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8915" windowHeight="7395" activeTab="1"/>
  </bookViews>
  <sheets>
    <sheet name="RESUMEN" sheetId="1" r:id="rId1"/>
    <sheet name="PRORRATEO" sheetId="2" r:id="rId2"/>
    <sheet name="COCHERA" sheetId="3" r:id="rId3"/>
  </sheets>
  <definedNames>
    <definedName name="_xlnm.Print_Area" localSheetId="1">PRORRATEO!$A$1:$N$64</definedName>
    <definedName name="_xlnm.Print_Area" localSheetId="0">RESUMEN!$A$1:$F$150</definedName>
  </definedNames>
  <calcPr calcId="144525"/>
</workbook>
</file>

<file path=xl/calcChain.xml><?xml version="1.0" encoding="utf-8"?>
<calcChain xmlns="http://schemas.openxmlformats.org/spreadsheetml/2006/main">
  <c r="M2" i="2" l="1"/>
  <c r="G26" i="2"/>
  <c r="F79" i="1" l="1"/>
  <c r="E79" i="1"/>
  <c r="F78" i="1"/>
  <c r="E78" i="1"/>
  <c r="E77" i="1"/>
  <c r="E72" i="1"/>
  <c r="F64" i="1"/>
  <c r="E64" i="1"/>
  <c r="E74" i="1"/>
  <c r="E71" i="1"/>
  <c r="E70" i="1"/>
  <c r="M4" i="2"/>
  <c r="G17" i="2"/>
  <c r="L12" i="2"/>
  <c r="L13" i="2"/>
  <c r="L14" i="2"/>
  <c r="L15" i="2"/>
  <c r="L16" i="2"/>
  <c r="L18" i="2"/>
  <c r="L19" i="2"/>
  <c r="L20" i="2"/>
  <c r="L21" i="2"/>
  <c r="L22" i="2"/>
  <c r="L23" i="2"/>
  <c r="L24" i="2"/>
  <c r="G28" i="2" l="1"/>
  <c r="G49" i="2" l="1"/>
  <c r="G16" i="2" s="1"/>
  <c r="G18" i="2"/>
  <c r="G23" i="2"/>
  <c r="G27" i="2"/>
  <c r="G15" i="2"/>
  <c r="G24" i="2"/>
  <c r="G9" i="2"/>
  <c r="G13" i="2"/>
  <c r="G29" i="2"/>
  <c r="G19" i="2"/>
  <c r="G21" i="2"/>
  <c r="G20" i="2"/>
  <c r="D121" i="1"/>
  <c r="E75" i="1"/>
  <c r="E69" i="1"/>
  <c r="E68" i="1"/>
  <c r="F68" i="1"/>
  <c r="G68" i="1"/>
  <c r="H68" i="1" l="1"/>
  <c r="I68" i="1" s="1"/>
  <c r="F57" i="1" l="1"/>
  <c r="E57" i="1"/>
  <c r="D52" i="1" l="1"/>
  <c r="D47" i="1" l="1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G22" i="2"/>
  <c r="E60" i="1"/>
  <c r="F123" i="1"/>
  <c r="E123" i="1"/>
  <c r="D125" i="1"/>
  <c r="B135" i="1" s="1"/>
  <c r="F121" i="1"/>
  <c r="E121" i="1"/>
  <c r="F124" i="1"/>
  <c r="E124" i="1"/>
  <c r="F122" i="1"/>
  <c r="E122" i="1"/>
  <c r="E125" i="1" s="1"/>
  <c r="F125" i="1" l="1"/>
  <c r="H79" i="1"/>
  <c r="G79" i="1"/>
  <c r="H78" i="1"/>
  <c r="G78" i="1"/>
  <c r="H60" i="1"/>
  <c r="G58" i="1"/>
  <c r="G59" i="1"/>
  <c r="G60" i="1"/>
  <c r="E59" i="1"/>
  <c r="H59" i="1" s="1"/>
  <c r="E58" i="1"/>
  <c r="H58" i="1" s="1"/>
  <c r="H125" i="1" l="1"/>
  <c r="I125" i="1" s="1"/>
  <c r="I79" i="1"/>
  <c r="I78" i="1"/>
  <c r="E94" i="1" l="1"/>
  <c r="E45" i="1" l="1"/>
  <c r="E46" i="1"/>
  <c r="E47" i="1" l="1"/>
  <c r="F46" i="1"/>
  <c r="F47" i="1" s="1"/>
  <c r="G47" i="1" l="1"/>
  <c r="F38" i="1"/>
  <c r="F37" i="1"/>
  <c r="F36" i="1"/>
  <c r="E38" i="1"/>
  <c r="E37" i="1"/>
  <c r="E36" i="1"/>
  <c r="F92" i="1" l="1"/>
  <c r="E92" i="1"/>
  <c r="E85" i="1"/>
  <c r="E84" i="1"/>
  <c r="E83" i="1"/>
  <c r="E73" i="1"/>
  <c r="G85" i="1" l="1"/>
  <c r="G83" i="1"/>
  <c r="G46" i="2" l="1"/>
  <c r="G57" i="1" l="1"/>
  <c r="G61" i="1"/>
  <c r="G62" i="1"/>
  <c r="G63" i="1"/>
  <c r="G64" i="1"/>
  <c r="G65" i="1"/>
  <c r="G66" i="1"/>
  <c r="G67" i="1"/>
  <c r="G69" i="1"/>
  <c r="G72" i="1"/>
  <c r="G73" i="1"/>
  <c r="G74" i="1"/>
  <c r="G75" i="1"/>
  <c r="G76" i="1"/>
  <c r="G77" i="1"/>
  <c r="G80" i="1"/>
  <c r="G81" i="1"/>
  <c r="G82" i="1"/>
  <c r="G84" i="1"/>
  <c r="G86" i="1"/>
  <c r="G56" i="1"/>
  <c r="E86" i="1"/>
  <c r="H86" i="1" s="1"/>
  <c r="E81" i="1"/>
  <c r="H81" i="1" s="1"/>
  <c r="H77" i="1"/>
  <c r="H75" i="1"/>
  <c r="H69" i="1"/>
  <c r="H64" i="1"/>
  <c r="E62" i="1"/>
  <c r="F62" i="1"/>
  <c r="H57" i="1"/>
  <c r="I86" i="1" l="1"/>
  <c r="I81" i="1"/>
  <c r="I64" i="1"/>
  <c r="I75" i="1"/>
  <c r="I69" i="1"/>
  <c r="I57" i="1"/>
  <c r="H62" i="1"/>
  <c r="I62" i="1" s="1"/>
  <c r="I77" i="1"/>
  <c r="H84" i="1" l="1"/>
  <c r="I84" i="1" s="1"/>
  <c r="H72" i="1"/>
  <c r="I72" i="1" s="1"/>
  <c r="E61" i="1"/>
  <c r="H61" i="1" s="1"/>
  <c r="I61" i="1" s="1"/>
  <c r="H74" i="1" l="1"/>
  <c r="I74" i="1" s="1"/>
  <c r="H73" i="1"/>
  <c r="I73" i="1" s="1"/>
  <c r="D87" i="1"/>
  <c r="D30" i="1" l="1"/>
  <c r="D54" i="1"/>
  <c r="D95" i="1"/>
  <c r="D104" i="1"/>
  <c r="D108" i="1"/>
  <c r="G11" i="2" l="1"/>
  <c r="G10" i="2"/>
  <c r="E93" i="1" l="1"/>
  <c r="F110" i="1" l="1"/>
  <c r="E110" i="1"/>
  <c r="G110" i="1" l="1"/>
  <c r="H110" i="1" s="1"/>
  <c r="F107" i="1" l="1"/>
  <c r="F106" i="1"/>
  <c r="E107" i="1"/>
  <c r="E106" i="1"/>
  <c r="F101" i="1"/>
  <c r="F99" i="1"/>
  <c r="E101" i="1"/>
  <c r="E99" i="1"/>
  <c r="F91" i="1"/>
  <c r="E91" i="1"/>
  <c r="F80" i="1"/>
  <c r="F67" i="1"/>
  <c r="F66" i="1"/>
  <c r="F65" i="1"/>
  <c r="F63" i="1"/>
  <c r="E76" i="1"/>
  <c r="H76" i="1" s="1"/>
  <c r="I76" i="1" s="1"/>
  <c r="E82" i="1"/>
  <c r="H82" i="1" s="1"/>
  <c r="I82" i="1" s="1"/>
  <c r="E80" i="1"/>
  <c r="E67" i="1"/>
  <c r="E66" i="1"/>
  <c r="E65" i="1"/>
  <c r="E63" i="1"/>
  <c r="E56" i="1"/>
  <c r="H56" i="1" s="1"/>
  <c r="I56" i="1" s="1"/>
  <c r="F32" i="1"/>
  <c r="F31" i="1"/>
  <c r="E32" i="1"/>
  <c r="E31" i="1"/>
  <c r="F53" i="1"/>
  <c r="F51" i="1"/>
  <c r="E53" i="1"/>
  <c r="E51" i="1"/>
  <c r="F24" i="1"/>
  <c r="F25" i="1"/>
  <c r="F23" i="1"/>
  <c r="E23" i="1"/>
  <c r="E24" i="1"/>
  <c r="E25" i="1"/>
  <c r="H66" i="1" l="1"/>
  <c r="I66" i="1" s="1"/>
  <c r="H80" i="1"/>
  <c r="I80" i="1" s="1"/>
  <c r="H65" i="1"/>
  <c r="I65" i="1" s="1"/>
  <c r="H67" i="1"/>
  <c r="I67" i="1" s="1"/>
  <c r="H63" i="1"/>
  <c r="I63" i="1" s="1"/>
  <c r="F30" i="1"/>
  <c r="F108" i="1"/>
  <c r="E87" i="1"/>
  <c r="E108" i="1"/>
  <c r="E104" i="1"/>
  <c r="F104" i="1"/>
  <c r="E95" i="1"/>
  <c r="F95" i="1"/>
  <c r="F87" i="1"/>
  <c r="E35" i="1"/>
  <c r="E39" i="1" s="1"/>
  <c r="F35" i="1"/>
  <c r="E30" i="1"/>
  <c r="G30" i="1" l="1"/>
  <c r="H30" i="1" s="1"/>
  <c r="G108" i="1"/>
  <c r="G104" i="1"/>
  <c r="G95" i="1"/>
  <c r="G87" i="1"/>
  <c r="H87" i="1" s="1"/>
  <c r="G35" i="1"/>
  <c r="D35" i="1"/>
  <c r="D112" i="1" l="1"/>
  <c r="B129" i="1" s="1"/>
  <c r="B134" i="1" s="1"/>
  <c r="D39" i="1"/>
  <c r="H95" i="1"/>
  <c r="H35" i="1"/>
  <c r="H108" i="1"/>
  <c r="H104" i="1"/>
  <c r="C117" i="1"/>
  <c r="B137" i="1" s="1"/>
  <c r="L1" i="2" l="1"/>
  <c r="E52" i="1"/>
  <c r="E54" i="1" s="1"/>
  <c r="E112" i="1" s="1"/>
  <c r="F52" i="1"/>
  <c r="F54" i="1" s="1"/>
  <c r="G54" i="1" l="1"/>
  <c r="G111" i="1" s="1"/>
  <c r="H54" i="1" l="1"/>
  <c r="B128" i="1"/>
  <c r="O1" i="2" l="1"/>
  <c r="O2" i="2" s="1"/>
  <c r="A3" i="2"/>
  <c r="E43" i="1" l="1"/>
  <c r="F43" i="1"/>
  <c r="K12" i="2" l="1"/>
  <c r="K47" i="2"/>
  <c r="K25" i="2"/>
  <c r="K50" i="2"/>
  <c r="K27" i="2"/>
  <c r="K8" i="2"/>
  <c r="K30" i="2"/>
  <c r="K49" i="2"/>
  <c r="K32" i="2"/>
  <c r="K10" i="2"/>
  <c r="K29" i="2"/>
  <c r="K51" i="2"/>
  <c r="K31" i="2"/>
  <c r="K9" i="2"/>
  <c r="K34" i="2"/>
  <c r="K11" i="2"/>
  <c r="K36" i="2"/>
  <c r="K14" i="2"/>
  <c r="K33" i="2"/>
  <c r="K16" i="2"/>
  <c r="K35" i="2"/>
  <c r="K13" i="2"/>
  <c r="K38" i="2"/>
  <c r="K15" i="2"/>
  <c r="K40" i="2"/>
  <c r="K18" i="2"/>
  <c r="K37" i="2"/>
  <c r="K20" i="2"/>
  <c r="K39" i="2"/>
  <c r="K17" i="2"/>
  <c r="K42" i="2"/>
  <c r="K19" i="2"/>
  <c r="K44" i="2"/>
  <c r="K22" i="2"/>
  <c r="K41" i="2"/>
  <c r="K24" i="2"/>
  <c r="K43" i="2"/>
  <c r="K21" i="2"/>
  <c r="K46" i="2"/>
  <c r="K23" i="2"/>
  <c r="K48" i="2"/>
  <c r="K26" i="2"/>
  <c r="K45" i="2"/>
  <c r="K28" i="2"/>
  <c r="G43" i="2"/>
  <c r="G44" i="2"/>
  <c r="G42" i="2"/>
  <c r="K52" i="2" l="1"/>
  <c r="P43" i="2" s="1"/>
  <c r="G7" i="2"/>
  <c r="K53" i="2" l="1"/>
  <c r="J52" i="2"/>
  <c r="Q47" i="2" s="1"/>
  <c r="B136" i="1"/>
  <c r="G14" i="2"/>
  <c r="B148" i="1" l="1"/>
  <c r="L41" i="2" l="1"/>
  <c r="J4" i="2"/>
  <c r="G32" i="2"/>
  <c r="G12" i="2"/>
  <c r="H12" i="2" s="1"/>
  <c r="L49" i="2" l="1"/>
  <c r="L45" i="2"/>
  <c r="L37" i="2"/>
  <c r="L8" i="2"/>
  <c r="L48" i="2"/>
  <c r="L44" i="2"/>
  <c r="L40" i="2"/>
  <c r="L36" i="2"/>
  <c r="L32" i="2"/>
  <c r="L28" i="2"/>
  <c r="L11" i="2"/>
  <c r="L33" i="2"/>
  <c r="L25" i="2"/>
  <c r="L51" i="2"/>
  <c r="L47" i="2"/>
  <c r="L43" i="2"/>
  <c r="L39" i="2"/>
  <c r="L35" i="2"/>
  <c r="L31" i="2"/>
  <c r="L27" i="2"/>
  <c r="L10" i="2"/>
  <c r="L50" i="2"/>
  <c r="L46" i="2"/>
  <c r="L42" i="2"/>
  <c r="L38" i="2"/>
  <c r="L34" i="2"/>
  <c r="L30" i="2"/>
  <c r="L9" i="2"/>
  <c r="G50" i="2" l="1"/>
  <c r="G35" i="2" l="1"/>
  <c r="G25" i="2" l="1"/>
  <c r="F39" i="1" l="1"/>
  <c r="N1" i="3" l="1"/>
  <c r="L52" i="2" l="1"/>
  <c r="E52" i="2"/>
  <c r="H43" i="2" l="1"/>
  <c r="M43" i="2" s="1"/>
  <c r="N43" i="2" s="1"/>
  <c r="H44" i="2"/>
  <c r="G33" i="2"/>
  <c r="G40" i="2"/>
  <c r="H40" i="2" s="1"/>
  <c r="M40" i="2" s="1"/>
  <c r="N40" i="2" s="1"/>
  <c r="G39" i="2"/>
  <c r="G36" i="2"/>
  <c r="H36" i="2" s="1"/>
  <c r="G31" i="2"/>
  <c r="H31" i="2" s="1"/>
  <c r="G30" i="2"/>
  <c r="G37" i="2"/>
  <c r="G45" i="2"/>
  <c r="G38" i="2"/>
  <c r="G41" i="2"/>
  <c r="G51" i="2"/>
  <c r="G48" i="2"/>
  <c r="H48" i="2" s="1"/>
  <c r="M48" i="2" s="1"/>
  <c r="N48" i="2" s="1"/>
  <c r="G47" i="2"/>
  <c r="M12" i="2"/>
  <c r="N12" i="2" s="1"/>
  <c r="H10" i="2"/>
  <c r="G34" i="2"/>
  <c r="H8" i="2"/>
  <c r="M8" i="2" s="1"/>
  <c r="H11" i="2"/>
  <c r="H13" i="2"/>
  <c r="M13" i="2" s="1"/>
  <c r="N13" i="2" s="1"/>
  <c r="H14" i="2"/>
  <c r="M14" i="2" s="1"/>
  <c r="N14" i="2" s="1"/>
  <c r="H15" i="2"/>
  <c r="H22" i="2"/>
  <c r="M22" i="2" s="1"/>
  <c r="N22" i="2" s="1"/>
  <c r="H25" i="2"/>
  <c r="M25" i="2" s="1"/>
  <c r="N25" i="2" s="1"/>
  <c r="H35" i="2"/>
  <c r="H38" i="2"/>
  <c r="M38" i="2" s="1"/>
  <c r="N38" i="2" s="1"/>
  <c r="H50" i="2"/>
  <c r="M50" i="2" s="1"/>
  <c r="N50" i="2" s="1"/>
  <c r="H7" i="2"/>
  <c r="M7" i="2" s="1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7" i="3"/>
  <c r="H17" i="2" l="1"/>
  <c r="M17" i="2" s="1"/>
  <c r="N17" i="2" s="1"/>
  <c r="H26" i="2"/>
  <c r="M26" i="2" s="1"/>
  <c r="N26" i="2" s="1"/>
  <c r="H46" i="2"/>
  <c r="M46" i="2" s="1"/>
  <c r="N46" i="2" s="1"/>
  <c r="H20" i="2"/>
  <c r="M20" i="2" s="1"/>
  <c r="N20" i="2" s="1"/>
  <c r="H21" i="2"/>
  <c r="M21" i="2" s="1"/>
  <c r="N21" i="2" s="1"/>
  <c r="H45" i="2"/>
  <c r="M45" i="2" s="1"/>
  <c r="N45" i="2" s="1"/>
  <c r="H30" i="2"/>
  <c r="M30" i="2" s="1"/>
  <c r="N30" i="2" s="1"/>
  <c r="H18" i="2"/>
  <c r="M18" i="2" s="1"/>
  <c r="N18" i="2" s="1"/>
  <c r="H33" i="2"/>
  <c r="M33" i="2" s="1"/>
  <c r="N33" i="2" s="1"/>
  <c r="H51" i="2"/>
  <c r="M51" i="2" s="1"/>
  <c r="N51" i="2" s="1"/>
  <c r="H16" i="2"/>
  <c r="M16" i="2" s="1"/>
  <c r="N16" i="2" s="1"/>
  <c r="H29" i="2"/>
  <c r="M29" i="2" s="1"/>
  <c r="N29" i="2" s="1"/>
  <c r="H19" i="2"/>
  <c r="M19" i="2" s="1"/>
  <c r="N19" i="2" s="1"/>
  <c r="H23" i="2"/>
  <c r="M23" i="2" s="1"/>
  <c r="N23" i="2" s="1"/>
  <c r="H9" i="2"/>
  <c r="M9" i="2" s="1"/>
  <c r="N9" i="2" s="1"/>
  <c r="H24" i="2"/>
  <c r="M24" i="2" s="1"/>
  <c r="N24" i="2" s="1"/>
  <c r="H49" i="2"/>
  <c r="M49" i="2" s="1"/>
  <c r="N49" i="2" s="1"/>
  <c r="H34" i="2"/>
  <c r="M34" i="2" s="1"/>
  <c r="N34" i="2" s="1"/>
  <c r="H28" i="2"/>
  <c r="M28" i="2" s="1"/>
  <c r="N28" i="2" s="1"/>
  <c r="H42" i="2"/>
  <c r="M42" i="2" s="1"/>
  <c r="N42" i="2" s="1"/>
  <c r="N7" i="2"/>
  <c r="H47" i="2"/>
  <c r="M47" i="2" s="1"/>
  <c r="N47" i="2" s="1"/>
  <c r="H37" i="2"/>
  <c r="M37" i="2" s="1"/>
  <c r="N37" i="2" s="1"/>
  <c r="H27" i="2"/>
  <c r="M27" i="2" s="1"/>
  <c r="N27" i="2" s="1"/>
  <c r="H41" i="2"/>
  <c r="M41" i="2" s="1"/>
  <c r="N41" i="2" s="1"/>
  <c r="H32" i="2"/>
  <c r="M32" i="2" s="1"/>
  <c r="N32" i="2" s="1"/>
  <c r="M36" i="2"/>
  <c r="N36" i="2" s="1"/>
  <c r="M15" i="2"/>
  <c r="N15" i="2" s="1"/>
  <c r="M11" i="2"/>
  <c r="N11" i="2" s="1"/>
  <c r="M35" i="2"/>
  <c r="N35" i="2" s="1"/>
  <c r="M31" i="2"/>
  <c r="N31" i="2" s="1"/>
  <c r="M10" i="2"/>
  <c r="N10" i="2" s="1"/>
  <c r="M44" i="2"/>
  <c r="N44" i="2" s="1"/>
  <c r="H39" i="2"/>
  <c r="M39" i="2" s="1"/>
  <c r="N39" i="2" s="1"/>
  <c r="N8" i="2" l="1"/>
  <c r="N52" i="2" s="1"/>
  <c r="M52" i="2"/>
  <c r="G52" i="2"/>
  <c r="B133" i="1" s="1"/>
  <c r="B139" i="1" s="1"/>
  <c r="F112" i="1"/>
  <c r="G112" i="1" s="1"/>
  <c r="H112" i="1" s="1"/>
</calcChain>
</file>

<file path=xl/sharedStrings.xml><?xml version="1.0" encoding="utf-8"?>
<sst xmlns="http://schemas.openxmlformats.org/spreadsheetml/2006/main" count="269" uniqueCount="181">
  <si>
    <t>consorciobelgrano1640@gmail.com</t>
  </si>
  <si>
    <t>LIQUIDACION DE EXPENSAS</t>
  </si>
  <si>
    <t>Deducciones</t>
  </si>
  <si>
    <t>TOTAL SUELDO</t>
  </si>
  <si>
    <t>APORTES Y CONTRIBUCIONES</t>
  </si>
  <si>
    <t>SUTERH - FATERYH - SARACAH</t>
  </si>
  <si>
    <t>A.F.I.P.</t>
  </si>
  <si>
    <t>TOTAL Aportes y Contribuciones - Sindicato</t>
  </si>
  <si>
    <t>ABONOS Y SERVICIOS</t>
  </si>
  <si>
    <t>ADS Ascensores del Sur S.A.</t>
  </si>
  <si>
    <t xml:space="preserve">Riesgo Uno </t>
  </si>
  <si>
    <t xml:space="preserve">Seguro Poliza </t>
  </si>
  <si>
    <t>EDESUR</t>
  </si>
  <si>
    <t>AYSA</t>
  </si>
  <si>
    <t>TOTAL ABONOS Y SERVICIOS</t>
  </si>
  <si>
    <t>JPL - Articulos de limpieza</t>
  </si>
  <si>
    <t xml:space="preserve">GASTOS DE ADMINISTRACION </t>
  </si>
  <si>
    <t>RC Adm Cons. CANCIANI, Carolina</t>
  </si>
  <si>
    <t>TOTAL GASTOS DE ADMINISTRACION</t>
  </si>
  <si>
    <t>Sr. Diego Britez (1)</t>
  </si>
  <si>
    <t>TOTAL GASTOS GENERALES / MANTENIMIENTO</t>
  </si>
  <si>
    <t>ESTADO DE CUENTA Y PRORRATEO</t>
  </si>
  <si>
    <t>BELGRANO Nº 1640</t>
  </si>
  <si>
    <t>Piso</t>
  </si>
  <si>
    <t>Dpto.</t>
  </si>
  <si>
    <t>UF</t>
  </si>
  <si>
    <t>Propietario</t>
  </si>
  <si>
    <t xml:space="preserve">Saldo </t>
  </si>
  <si>
    <t xml:space="preserve">Ingreso </t>
  </si>
  <si>
    <t>SALDO</t>
  </si>
  <si>
    <t>Expensas extraor.</t>
  </si>
  <si>
    <t>Intereses</t>
  </si>
  <si>
    <t>Expensas</t>
  </si>
  <si>
    <t>TOTAL</t>
  </si>
  <si>
    <t>Anterior</t>
  </si>
  <si>
    <t>Exp. Ord.</t>
  </si>
  <si>
    <t>Ord.</t>
  </si>
  <si>
    <t>PB</t>
  </si>
  <si>
    <t>LOCAL 1 - DANIEL VIDAL</t>
  </si>
  <si>
    <t>3º</t>
  </si>
  <si>
    <t>RODRIGUEZ, MARIA ROSA</t>
  </si>
  <si>
    <t>RUSSO, JUAN ANTONIO</t>
  </si>
  <si>
    <t>4º</t>
  </si>
  <si>
    <t>SALLABER, MARIA</t>
  </si>
  <si>
    <t>COLATRELLA, CAROLINA</t>
  </si>
  <si>
    <t>5º</t>
  </si>
  <si>
    <t>DI TORO, ALEJANDRO</t>
  </si>
  <si>
    <t>6º</t>
  </si>
  <si>
    <t>PERAZA, MARTHA</t>
  </si>
  <si>
    <t>MARANTE, MAURO</t>
  </si>
  <si>
    <t>7º</t>
  </si>
  <si>
    <t>RUIZ, DIEGO</t>
  </si>
  <si>
    <t>CAMPANA, NESTOR</t>
  </si>
  <si>
    <t>8º</t>
  </si>
  <si>
    <t>JARA, CLAUDIO</t>
  </si>
  <si>
    <t>MIRAMONTES, HORACIO</t>
  </si>
  <si>
    <t>9º</t>
  </si>
  <si>
    <t>MELINA, ANDRES</t>
  </si>
  <si>
    <t>GARCIA, MARIA SOL</t>
  </si>
  <si>
    <t>10º</t>
  </si>
  <si>
    <t>DAVIN, ALEJANDRO</t>
  </si>
  <si>
    <t>11º</t>
  </si>
  <si>
    <t>VROONLAND, DANIEL</t>
  </si>
  <si>
    <t>SIMONASSI, ALEJO</t>
  </si>
  <si>
    <t>12º</t>
  </si>
  <si>
    <t>VELAZ, ATILIO</t>
  </si>
  <si>
    <t>13º</t>
  </si>
  <si>
    <t>AGÜERO, MIRIAM S</t>
  </si>
  <si>
    <t>14º</t>
  </si>
  <si>
    <t>VILLA, JUAN MANUEL</t>
  </si>
  <si>
    <t>15º</t>
  </si>
  <si>
    <t>TOLOSA, FABIO</t>
  </si>
  <si>
    <t>TOTAL EXPENSAS 1er VTO</t>
  </si>
  <si>
    <t>TOTAL EXPENSAS 2do VTO</t>
  </si>
  <si>
    <t>Expensas ord</t>
  </si>
  <si>
    <t xml:space="preserve">Vencimiento </t>
  </si>
  <si>
    <t>Gastos Ordinario:</t>
  </si>
  <si>
    <t>Gastos Extr.:</t>
  </si>
  <si>
    <t>Cochera</t>
  </si>
  <si>
    <t xml:space="preserve">Porcentaje </t>
  </si>
  <si>
    <t>DEUDAS</t>
  </si>
  <si>
    <t>Deuda exp</t>
  </si>
  <si>
    <t>porcentaje</t>
  </si>
  <si>
    <t>1ER Vto.</t>
  </si>
  <si>
    <t>2DO Vto.</t>
  </si>
  <si>
    <t>(%)</t>
  </si>
  <si>
    <t>Extraord</t>
  </si>
  <si>
    <t>%</t>
  </si>
  <si>
    <t>Extr.</t>
  </si>
  <si>
    <t>EXPENSAS</t>
  </si>
  <si>
    <t>RUIZ, DIEGO ARIEL</t>
  </si>
  <si>
    <t>GASTOS ORDINARIOS UNIDADES FUNCIONALES:</t>
  </si>
  <si>
    <t>LOCAL 8,09%</t>
  </si>
  <si>
    <t>Santander cuenta 039-010552/1</t>
  </si>
  <si>
    <t>CBU: 0720039720000001055218</t>
  </si>
  <si>
    <t>CAJA EFECTIVO $ (pesos)</t>
  </si>
  <si>
    <t xml:space="preserve">Saldo anterior </t>
  </si>
  <si>
    <t>Ingresos</t>
  </si>
  <si>
    <t xml:space="preserve">  </t>
  </si>
  <si>
    <t>Saldo al cierre</t>
  </si>
  <si>
    <t>CAJA EFECTIVO SUM $ (pesos)</t>
  </si>
  <si>
    <t>COC</t>
  </si>
  <si>
    <t xml:space="preserve"> (%)</t>
  </si>
  <si>
    <t>CONSORCIO DE PROPIETARIOS DEL EDIFICIO CALLE BELGRANO NUMERO 1640/1646 BANFIELD PARTIDO DE LOMAS DE ZAMORA</t>
  </si>
  <si>
    <t>CUIT: 33-71826987-9</t>
  </si>
  <si>
    <t>GASTOS BANCARIOS</t>
  </si>
  <si>
    <t>Gastos bancarios</t>
  </si>
  <si>
    <t>Mantenimiento de cuenta</t>
  </si>
  <si>
    <t xml:space="preserve">TOTAL ORDINARIOS </t>
  </si>
  <si>
    <t>GASTOS ORDINARIOS + PREVISION :</t>
  </si>
  <si>
    <t>Dinero ingreso SUM</t>
  </si>
  <si>
    <t>GASTOS ORDINARIOS SIN PREVISION:</t>
  </si>
  <si>
    <t>Numero 1859135 Debito automatico</t>
  </si>
  <si>
    <t xml:space="preserve">Gustavo Padron contador </t>
  </si>
  <si>
    <t>Fecha</t>
  </si>
  <si>
    <t>SAC</t>
  </si>
  <si>
    <t>TOTAL SAC</t>
  </si>
  <si>
    <t>LUSENSKY, CARLOS</t>
  </si>
  <si>
    <t>Redondeo</t>
  </si>
  <si>
    <t>GASTOS EXTRAORDINARIOS</t>
  </si>
  <si>
    <t>Egresos Extraordinarios</t>
  </si>
  <si>
    <t>Egresos Ordinarios</t>
  </si>
  <si>
    <t xml:space="preserve">SEGURO OBLIGATORIO SR DIEGO BRITEZ FEDERACION PATRONAL DEBITO AUTOMATICO </t>
  </si>
  <si>
    <t>MP:1148</t>
  </si>
  <si>
    <t xml:space="preserve">TOTAL </t>
  </si>
  <si>
    <t>Domicilio: Dr. Melo Nº 2958 - 8VO PISO - Con cita previa</t>
  </si>
  <si>
    <t xml:space="preserve">Central vigia </t>
  </si>
  <si>
    <t>Gastos particulares</t>
  </si>
  <si>
    <t>UF 91,91%</t>
  </si>
  <si>
    <t>LOCAL</t>
  </si>
  <si>
    <t>SUM/ GASTOS PART</t>
  </si>
  <si>
    <t>SE GASTO:</t>
  </si>
  <si>
    <t>SE PRORRATEA EN LAS UF:</t>
  </si>
  <si>
    <t>Abono bimestral</t>
  </si>
  <si>
    <t xml:space="preserve">Haberes </t>
  </si>
  <si>
    <t xml:space="preserve">Servicio Fumigacion </t>
  </si>
  <si>
    <t>TOTAL REEMPLAZO</t>
  </si>
  <si>
    <t>Piletero Sr Dario - puesta a punto y mantenimiento de pileta</t>
  </si>
  <si>
    <t>RATON, MARIELA</t>
  </si>
  <si>
    <t>EL MONTO QUE SE PRORRATEA EN LAS UNIDADES FUNCIONALES ES MAYOR AL MONTO QUE SE GASTO YA QUE DE PRORRATEAR EL MONTO GASTADO NO SE ALCANZA A JUNTAR EL DINERO NECESARIO PARA CUBRIR EL 100% DE LOS GASTOS. ESTO SE DEBE A QUE EL LOCAL NO ABONA ESTRICTAMENTE EL 8,09% DE TODA LA LIQUIDACION, SINO QUE ABONA EL 8,09% DE ALGUNOS GASTOS SI Y DE OTROS NO. ES POR ESO MISMO QUE SE DEBE PRORRATEAR UN MONTO MAYOR A LO GASTADO PARA CON LAS UNIDADES FUNCIONALES CON EL OBJETIVO DE A FIN DE CUENTAS SI PODER REACAUDAR LO GASTADO</t>
  </si>
  <si>
    <t xml:space="preserve">Redondeo </t>
  </si>
  <si>
    <t>Seguro Sr Omar Silletero</t>
  </si>
  <si>
    <t>EXPENSAS EXTRA:</t>
  </si>
  <si>
    <t>extra</t>
  </si>
  <si>
    <t xml:space="preserve">FONDO DE GASTOS ORDINARIOS </t>
  </si>
  <si>
    <t>PERÍODO: ENERO</t>
  </si>
  <si>
    <t>Honorarios ENERO</t>
  </si>
  <si>
    <t>Mes de ENERO</t>
  </si>
  <si>
    <t>Energoup MES DE DICIEMBRE</t>
  </si>
  <si>
    <t>Ingreso mes de DICIEMBRE</t>
  </si>
  <si>
    <t>Pago mis cuentas 9/1</t>
  </si>
  <si>
    <t>Debito 13/01</t>
  </si>
  <si>
    <t>Uniforme encargados - Zapatos - pantalon - Remera</t>
  </si>
  <si>
    <t>DIFERENCIA DE LAS FACTURAS DESCONTANDO EL ARREGLO PERSIANA</t>
  </si>
  <si>
    <t>Casa Ruan -  Compra de termicas (6)</t>
  </si>
  <si>
    <t>Librería compra de almanaque SUM</t>
  </si>
  <si>
    <t>SA seguridad - Arreglo cerco electrico y asistencia tecnica - 23/1</t>
  </si>
  <si>
    <t>SA seguridad - Materiales y asistencia Tecnica de arreglos de camaras (Ballun, Bateria, Fuente 12v) - 22/1</t>
  </si>
  <si>
    <t>Kromacolor - Compra de recuplas para terraza (2), vendas sinteplas 1x25 (2)</t>
  </si>
  <si>
    <t>Rubber - compra de insumos para pileta - Transf 20/1</t>
  </si>
  <si>
    <t xml:space="preserve">Servisur - 20/1 - Reemplazo Reloj de terraza </t>
  </si>
  <si>
    <t>Casa Ruan  -  Compra reloj digital</t>
  </si>
  <si>
    <t>Villegas Gabriel Abogado - Envio carta documento ADS - Honorarios</t>
  </si>
  <si>
    <t>Correo Argentino - Envio de carta documento</t>
  </si>
  <si>
    <t xml:space="preserve">Casa Ruan - Compra de 4 TERMICAS </t>
  </si>
  <si>
    <t>Doartero - 28/1 -  Arreglo desagues de baños piso 5</t>
  </si>
  <si>
    <t>Sr Omar silletero mano de obra - Bajadas frente, contrafrente, linea negra al lado del mural, trabajo en balcon piso 12</t>
  </si>
  <si>
    <t>Sr. Dario Pintura interior 7A (estropeado cuando se rompio el caño de caldera)</t>
  </si>
  <si>
    <t>Doartero - 6/1 - Reparacion baños gimnasio</t>
  </si>
  <si>
    <t>Sanitarios ROMA - Accionamiento superior doble accion y Kit ariel paragolpe (baño gimnasio)</t>
  </si>
  <si>
    <t>Ferretreria el herrero Insumo Pileta</t>
  </si>
  <si>
    <t>Ferreteria el herrero, pastina, masilla, decapante, aguarras</t>
  </si>
  <si>
    <t>Ferretreria el herrero -  tornillo, capacitor, cable tipo taller</t>
  </si>
  <si>
    <t xml:space="preserve">Compra de combustible - Sr Villa Juan Manuel - 16/01 </t>
  </si>
  <si>
    <t>Debito 3/01</t>
  </si>
  <si>
    <t>Debito 27/01</t>
  </si>
  <si>
    <t>VTO. 13/02</t>
  </si>
  <si>
    <r>
      <t xml:space="preserve">Los gastos que se encuentras </t>
    </r>
    <r>
      <rPr>
        <b/>
        <u/>
        <sz val="14"/>
        <color theme="1"/>
        <rFont val="Calibri"/>
        <family val="2"/>
        <scheme val="minor"/>
      </rPr>
      <t>subrayados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son los que corresponden tanto a las unidades funcionales como tambien al local</t>
    </r>
  </si>
  <si>
    <t>Limpieza de SUM mal cobrada Nestor Campana</t>
  </si>
  <si>
    <t>Doartero -15/1 -  Mano de obra cambio de 4 termicas en tablero grupo electrogeno</t>
  </si>
  <si>
    <t>Doartero - 4/1 -  Cambio de 6 termicas tablero grupo electrogeno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</si>
</sst>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&quot;$&quot;\ * #,##0_-;\-&quot;$&quot;\ * #,##0_-;_-&quot;$&quot;\ 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color theme="3" tint="0.79998168889431442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rgb="FF000000"/>
      <name val="Arial"/>
      <family val="2"/>
    </font>
    <font>
      <sz val="8"/>
      <name val="Arial"/>
      <family val="2"/>
    </font>
    <font>
      <i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4" tint="0.59999389629810485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6">
    <xf numFmtId="0" fontId="0" fillId="0" borderId="0" xfId="0"/>
    <xf numFmtId="0" fontId="0" fillId="0" borderId="33" xfId="0" applyBorder="1"/>
    <xf numFmtId="0" fontId="0" fillId="0" borderId="34" xfId="0" applyBorder="1"/>
    <xf numFmtId="0" fontId="0" fillId="0" borderId="0" xfId="0"/>
    <xf numFmtId="0" fontId="0" fillId="0" borderId="0" xfId="0" applyBorder="1"/>
    <xf numFmtId="0" fontId="2" fillId="0" borderId="0" xfId="0" applyFont="1"/>
    <xf numFmtId="0" fontId="2" fillId="7" borderId="25" xfId="0" applyFont="1" applyFill="1" applyBorder="1"/>
    <xf numFmtId="0" fontId="2" fillId="7" borderId="26" xfId="0" applyFont="1" applyFill="1" applyBorder="1"/>
    <xf numFmtId="3" fontId="0" fillId="0" borderId="1" xfId="0" applyNumberFormat="1" applyBorder="1"/>
    <xf numFmtId="0" fontId="0" fillId="0" borderId="1" xfId="0" applyBorder="1"/>
    <xf numFmtId="0" fontId="0" fillId="5" borderId="0" xfId="0" applyFill="1"/>
    <xf numFmtId="8" fontId="0" fillId="5" borderId="0" xfId="0" applyNumberFormat="1" applyFill="1"/>
    <xf numFmtId="0" fontId="0" fillId="0" borderId="36" xfId="0" applyBorder="1"/>
    <xf numFmtId="4" fontId="0" fillId="0" borderId="1" xfId="0" applyNumberFormat="1" applyBorder="1"/>
    <xf numFmtId="0" fontId="0" fillId="0" borderId="9" xfId="0" applyBorder="1"/>
    <xf numFmtId="0" fontId="0" fillId="0" borderId="0" xfId="0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3" fillId="0" borderId="1" xfId="0" applyFont="1" applyBorder="1" applyAlignment="1">
      <alignment horizontal="center" wrapText="1"/>
    </xf>
    <xf numFmtId="4" fontId="2" fillId="2" borderId="4" xfId="0" applyNumberFormat="1" applyFont="1" applyFill="1" applyBorder="1"/>
    <xf numFmtId="165" fontId="0" fillId="0" borderId="11" xfId="0" applyNumberFormat="1" applyBorder="1"/>
    <xf numFmtId="4" fontId="0" fillId="0" borderId="13" xfId="0" applyNumberFormat="1" applyBorder="1"/>
    <xf numFmtId="0" fontId="0" fillId="2" borderId="5" xfId="0" applyFill="1" applyBorder="1"/>
    <xf numFmtId="3" fontId="0" fillId="0" borderId="1" xfId="0" applyNumberFormat="1" applyBorder="1"/>
    <xf numFmtId="3" fontId="2" fillId="2" borderId="5" xfId="2" applyNumberFormat="1" applyFont="1" applyFill="1" applyBorder="1"/>
    <xf numFmtId="3" fontId="0" fillId="0" borderId="19" xfId="0" applyNumberFormat="1" applyFont="1" applyBorder="1"/>
    <xf numFmtId="3" fontId="2" fillId="2" borderId="22" xfId="2" applyNumberFormat="1" applyFont="1" applyFill="1" applyBorder="1"/>
    <xf numFmtId="3" fontId="0" fillId="0" borderId="18" xfId="0" applyNumberFormat="1" applyBorder="1"/>
    <xf numFmtId="3" fontId="2" fillId="2" borderId="20" xfId="2" applyNumberFormat="1" applyFont="1" applyFill="1" applyBorder="1"/>
    <xf numFmtId="3" fontId="2" fillId="2" borderId="21" xfId="2" applyNumberFormat="1" applyFont="1" applyFill="1" applyBorder="1"/>
    <xf numFmtId="3" fontId="2" fillId="2" borderId="7" xfId="2" applyNumberFormat="1" applyFont="1" applyFill="1" applyBorder="1"/>
    <xf numFmtId="3" fontId="0" fillId="0" borderId="12" xfId="0" applyNumberFormat="1" applyBorder="1"/>
    <xf numFmtId="164" fontId="2" fillId="2" borderId="20" xfId="2" applyFont="1" applyFill="1" applyBorder="1"/>
    <xf numFmtId="3" fontId="0" fillId="0" borderId="13" xfId="0" applyNumberFormat="1" applyBorder="1"/>
    <xf numFmtId="166" fontId="2" fillId="2" borderId="7" xfId="2" applyNumberFormat="1" applyFont="1" applyFill="1" applyBorder="1"/>
    <xf numFmtId="3" fontId="2" fillId="2" borderId="13" xfId="0" applyNumberFormat="1" applyFont="1" applyFill="1" applyBorder="1"/>
    <xf numFmtId="3" fontId="2" fillId="2" borderId="24" xfId="0" applyNumberFormat="1" applyFont="1" applyFill="1" applyBorder="1"/>
    <xf numFmtId="166" fontId="0" fillId="0" borderId="0" xfId="0" applyNumberFormat="1"/>
    <xf numFmtId="0" fontId="3" fillId="0" borderId="1" xfId="0" applyFont="1" applyFill="1" applyBorder="1" applyAlignment="1">
      <alignment wrapText="1"/>
    </xf>
    <xf numFmtId="3" fontId="0" fillId="0" borderId="1" xfId="0" applyNumberFormat="1" applyFill="1" applyBorder="1"/>
    <xf numFmtId="3" fontId="0" fillId="0" borderId="18" xfId="0" applyNumberFormat="1" applyFill="1" applyBorder="1"/>
    <xf numFmtId="3" fontId="0" fillId="0" borderId="19" xfId="0" applyNumberFormat="1" applyFill="1" applyBorder="1"/>
    <xf numFmtId="0" fontId="2" fillId="5" borderId="6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2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9" fontId="2" fillId="5" borderId="0" xfId="0" applyNumberFormat="1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2" fillId="4" borderId="0" xfId="0" applyFont="1" applyFill="1"/>
    <xf numFmtId="0" fontId="0" fillId="4" borderId="0" xfId="0" applyFill="1" applyAlignment="1"/>
    <xf numFmtId="0" fontId="0" fillId="4" borderId="0" xfId="0" applyFill="1" applyAlignment="1">
      <alignment horizontal="left"/>
    </xf>
    <xf numFmtId="16" fontId="0" fillId="4" borderId="0" xfId="0" applyNumberFormat="1" applyFill="1"/>
    <xf numFmtId="164" fontId="2" fillId="4" borderId="0" xfId="2" applyFont="1" applyFill="1"/>
    <xf numFmtId="0" fontId="5" fillId="4" borderId="0" xfId="0" applyFont="1" applyFill="1"/>
    <xf numFmtId="0" fontId="2" fillId="5" borderId="6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165" fontId="0" fillId="2" borderId="4" xfId="0" applyNumberFormat="1" applyFill="1" applyBorder="1"/>
    <xf numFmtId="3" fontId="6" fillId="0" borderId="1" xfId="0" applyNumberFormat="1" applyFont="1" applyFill="1" applyBorder="1"/>
    <xf numFmtId="0" fontId="0" fillId="7" borderId="29" xfId="0" applyFill="1" applyBorder="1"/>
    <xf numFmtId="10" fontId="2" fillId="7" borderId="26" xfId="0" applyNumberFormat="1" applyFont="1" applyFill="1" applyBorder="1"/>
    <xf numFmtId="0" fontId="2" fillId="7" borderId="31" xfId="0" applyFont="1" applyFill="1" applyBorder="1"/>
    <xf numFmtId="0" fontId="2" fillId="7" borderId="29" xfId="0" applyFont="1" applyFill="1" applyBorder="1"/>
    <xf numFmtId="10" fontId="2" fillId="7" borderId="29" xfId="0" applyNumberFormat="1" applyFont="1" applyFill="1" applyBorder="1"/>
    <xf numFmtId="0" fontId="2" fillId="5" borderId="31" xfId="0" applyFont="1" applyFill="1" applyBorder="1"/>
    <xf numFmtId="0" fontId="2" fillId="5" borderId="29" xfId="0" applyFont="1" applyFill="1" applyBorder="1"/>
    <xf numFmtId="0" fontId="2" fillId="5" borderId="32" xfId="0" applyFont="1" applyFill="1" applyBorder="1"/>
    <xf numFmtId="0" fontId="2" fillId="5" borderId="33" xfId="0" applyFont="1" applyFill="1" applyBorder="1"/>
    <xf numFmtId="0" fontId="2" fillId="5" borderId="0" xfId="0" applyFont="1" applyFill="1" applyBorder="1"/>
    <xf numFmtId="0" fontId="2" fillId="5" borderId="34" xfId="0" applyFont="1" applyFill="1" applyBorder="1"/>
    <xf numFmtId="0" fontId="2" fillId="5" borderId="25" xfId="0" applyFont="1" applyFill="1" applyBorder="1"/>
    <xf numFmtId="0" fontId="2" fillId="5" borderId="26" xfId="0" applyFont="1" applyFill="1" applyBorder="1"/>
    <xf numFmtId="0" fontId="2" fillId="5" borderId="27" xfId="0" applyFont="1" applyFill="1" applyBorder="1"/>
    <xf numFmtId="8" fontId="0" fillId="0" borderId="0" xfId="0" applyNumberFormat="1"/>
    <xf numFmtId="0" fontId="7" fillId="8" borderId="0" xfId="0" applyFont="1" applyFill="1"/>
    <xf numFmtId="164" fontId="8" fillId="0" borderId="1" xfId="2" applyFont="1" applyBorder="1"/>
    <xf numFmtId="164" fontId="4" fillId="0" borderId="0" xfId="0" applyNumberFormat="1" applyFont="1"/>
    <xf numFmtId="0" fontId="8" fillId="0" borderId="1" xfId="0" applyFont="1" applyBorder="1"/>
    <xf numFmtId="4" fontId="0" fillId="0" borderId="0" xfId="0" applyNumberFormat="1"/>
    <xf numFmtId="0" fontId="4" fillId="0" borderId="1" xfId="0" applyFont="1" applyBorder="1"/>
    <xf numFmtId="0" fontId="4" fillId="0" borderId="1" xfId="0" applyFont="1" applyFill="1" applyBorder="1"/>
    <xf numFmtId="0" fontId="4" fillId="0" borderId="0" xfId="0" applyFont="1"/>
    <xf numFmtId="164" fontId="4" fillId="0" borderId="1" xfId="0" applyNumberFormat="1" applyFont="1" applyBorder="1"/>
    <xf numFmtId="4" fontId="8" fillId="0" borderId="0" xfId="0" applyNumberFormat="1" applyFont="1"/>
    <xf numFmtId="164" fontId="0" fillId="0" borderId="0" xfId="0" applyNumberFormat="1"/>
    <xf numFmtId="0" fontId="10" fillId="0" borderId="1" xfId="0" applyFont="1" applyFill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4" fontId="3" fillId="0" borderId="1" xfId="0" applyNumberFormat="1" applyFont="1" applyFill="1" applyBorder="1" applyAlignment="1">
      <alignment wrapText="1"/>
    </xf>
    <xf numFmtId="167" fontId="0" fillId="0" borderId="1" xfId="1" applyNumberFormat="1" applyFont="1" applyBorder="1"/>
    <xf numFmtId="0" fontId="0" fillId="9" borderId="1" xfId="0" applyFill="1" applyBorder="1"/>
    <xf numFmtId="167" fontId="0" fillId="9" borderId="1" xfId="0" applyNumberFormat="1" applyFill="1" applyBorder="1"/>
    <xf numFmtId="3" fontId="0" fillId="9" borderId="1" xfId="0" applyNumberFormat="1" applyFill="1" applyBorder="1"/>
    <xf numFmtId="164" fontId="9" fillId="3" borderId="1" xfId="2" applyFont="1" applyFill="1" applyBorder="1"/>
    <xf numFmtId="164" fontId="4" fillId="3" borderId="1" xfId="2" applyFont="1" applyFill="1" applyBorder="1"/>
    <xf numFmtId="0" fontId="12" fillId="0" borderId="1" xfId="0" applyFont="1" applyBorder="1"/>
    <xf numFmtId="0" fontId="2" fillId="6" borderId="1" xfId="0" applyFont="1" applyFill="1" applyBorder="1"/>
    <xf numFmtId="0" fontId="0" fillId="6" borderId="1" xfId="0" applyFill="1" applyBorder="1"/>
    <xf numFmtId="43" fontId="0" fillId="5" borderId="0" xfId="3" applyFont="1" applyFill="1"/>
    <xf numFmtId="0" fontId="0" fillId="3" borderId="1" xfId="0" applyFill="1" applyBorder="1"/>
    <xf numFmtId="0" fontId="2" fillId="10" borderId="1" xfId="0" applyFont="1" applyFill="1" applyBorder="1"/>
    <xf numFmtId="0" fontId="2" fillId="0" borderId="1" xfId="0" applyFont="1" applyBorder="1"/>
    <xf numFmtId="164" fontId="2" fillId="0" borderId="1" xfId="2" applyFont="1" applyBorder="1"/>
    <xf numFmtId="0" fontId="2" fillId="9" borderId="25" xfId="0" applyFont="1" applyFill="1" applyBorder="1"/>
    <xf numFmtId="44" fontId="2" fillId="9" borderId="27" xfId="0" applyNumberFormat="1" applyFont="1" applyFill="1" applyBorder="1"/>
    <xf numFmtId="0" fontId="2" fillId="9" borderId="38" xfId="0" applyFont="1" applyFill="1" applyBorder="1"/>
    <xf numFmtId="44" fontId="2" fillId="9" borderId="22" xfId="0" applyNumberFormat="1" applyFont="1" applyFill="1" applyBorder="1"/>
    <xf numFmtId="0" fontId="0" fillId="0" borderId="1" xfId="0" applyNumberFormat="1" applyBorder="1" applyAlignment="1">
      <alignment horizontal="center" vertical="center"/>
    </xf>
    <xf numFmtId="44" fontId="6" fillId="0" borderId="1" xfId="1" applyFont="1" applyBorder="1"/>
    <xf numFmtId="44" fontId="14" fillId="6" borderId="11" xfId="1" applyFont="1" applyFill="1" applyBorder="1"/>
    <xf numFmtId="44" fontId="6" fillId="6" borderId="11" xfId="1" applyFont="1" applyFill="1" applyBorder="1"/>
    <xf numFmtId="44" fontId="0" fillId="0" borderId="0" xfId="0" applyNumberFormat="1"/>
    <xf numFmtId="0" fontId="0" fillId="0" borderId="1" xfId="0" applyFont="1" applyBorder="1"/>
    <xf numFmtId="8" fontId="2" fillId="6" borderId="34" xfId="0" applyNumberFormat="1" applyFont="1" applyFill="1" applyBorder="1"/>
    <xf numFmtId="0" fontId="2" fillId="3" borderId="1" xfId="0" applyFont="1" applyFill="1" applyBorder="1"/>
    <xf numFmtId="44" fontId="2" fillId="6" borderId="0" xfId="0" applyNumberFormat="1" applyFont="1" applyFill="1" applyBorder="1"/>
    <xf numFmtId="0" fontId="0" fillId="3" borderId="1" xfId="0" applyFont="1" applyFill="1" applyBorder="1"/>
    <xf numFmtId="44" fontId="6" fillId="3" borderId="1" xfId="1" applyFont="1" applyFill="1" applyBorder="1"/>
    <xf numFmtId="0" fontId="0" fillId="0" borderId="11" xfId="0" applyBorder="1"/>
    <xf numFmtId="0" fontId="0" fillId="0" borderId="39" xfId="0" applyBorder="1"/>
    <xf numFmtId="0" fontId="0" fillId="3" borderId="11" xfId="0" applyFill="1" applyBorder="1"/>
    <xf numFmtId="0" fontId="0" fillId="3" borderId="2" xfId="0" applyFill="1" applyBorder="1"/>
    <xf numFmtId="0" fontId="0" fillId="3" borderId="39" xfId="0" applyFill="1" applyBorder="1"/>
    <xf numFmtId="44" fontId="2" fillId="10" borderId="25" xfId="1" applyFont="1" applyFill="1" applyBorder="1"/>
    <xf numFmtId="8" fontId="2" fillId="6" borderId="1" xfId="0" applyNumberFormat="1" applyFont="1" applyFill="1" applyBorder="1"/>
    <xf numFmtId="44" fontId="6" fillId="3" borderId="11" xfId="1" applyFont="1" applyFill="1" applyBorder="1"/>
    <xf numFmtId="44" fontId="6" fillId="0" borderId="11" xfId="1" applyFont="1" applyBorder="1"/>
    <xf numFmtId="8" fontId="2" fillId="3" borderId="1" xfId="0" applyNumberFormat="1" applyFont="1" applyFill="1" applyBorder="1"/>
    <xf numFmtId="0" fontId="16" fillId="0" borderId="1" xfId="0" applyFont="1" applyBorder="1"/>
    <xf numFmtId="0" fontId="0" fillId="0" borderId="1" xfId="0" applyBorder="1" applyAlignment="1">
      <alignment horizontal="center"/>
    </xf>
    <xf numFmtId="1" fontId="17" fillId="5" borderId="0" xfId="0" applyNumberFormat="1" applyFont="1" applyFill="1"/>
    <xf numFmtId="0" fontId="18" fillId="5" borderId="0" xfId="0" applyFont="1" applyFill="1"/>
    <xf numFmtId="44" fontId="6" fillId="3" borderId="0" xfId="1" applyFont="1" applyFill="1" applyBorder="1"/>
    <xf numFmtId="0" fontId="19" fillId="0" borderId="1" xfId="0" applyFont="1" applyFill="1" applyBorder="1"/>
    <xf numFmtId="167" fontId="0" fillId="9" borderId="1" xfId="1" applyNumberFormat="1" applyFont="1" applyFill="1" applyBorder="1"/>
    <xf numFmtId="6" fontId="0" fillId="5" borderId="0" xfId="0" applyNumberFormat="1" applyFill="1" applyAlignment="1">
      <alignment horizontal="right" wrapText="1"/>
    </xf>
    <xf numFmtId="0" fontId="12" fillId="3" borderId="1" xfId="0" applyFont="1" applyFill="1" applyBorder="1"/>
    <xf numFmtId="0" fontId="6" fillId="3" borderId="11" xfId="0" applyFont="1" applyFill="1" applyBorder="1"/>
    <xf numFmtId="167" fontId="15" fillId="0" borderId="1" xfId="0" applyNumberFormat="1" applyFont="1" applyBorder="1"/>
    <xf numFmtId="167" fontId="19" fillId="0" borderId="1" xfId="0" applyNumberFormat="1" applyFont="1" applyBorder="1"/>
    <xf numFmtId="0" fontId="15" fillId="0" borderId="1" xfId="0" applyFont="1" applyBorder="1"/>
    <xf numFmtId="44" fontId="0" fillId="0" borderId="1" xfId="0" applyNumberFormat="1" applyBorder="1"/>
    <xf numFmtId="6" fontId="0" fillId="0" borderId="0" xfId="0" applyNumberFormat="1"/>
    <xf numFmtId="44" fontId="2" fillId="10" borderId="1" xfId="0" applyNumberFormat="1" applyFont="1" applyFill="1" applyBorder="1"/>
    <xf numFmtId="6" fontId="0" fillId="3" borderId="0" xfId="0" applyNumberFormat="1" applyFill="1" applyAlignment="1">
      <alignment horizontal="right" wrapText="1"/>
    </xf>
    <xf numFmtId="167" fontId="0" fillId="0" borderId="0" xfId="0" applyNumberFormat="1"/>
    <xf numFmtId="0" fontId="0" fillId="0" borderId="33" xfId="0" applyFill="1" applyBorder="1"/>
    <xf numFmtId="44" fontId="0" fillId="0" borderId="34" xfId="1" applyFont="1" applyBorder="1"/>
    <xf numFmtId="44" fontId="0" fillId="0" borderId="30" xfId="1" applyFont="1" applyBorder="1"/>
    <xf numFmtId="0" fontId="0" fillId="11" borderId="30" xfId="0" applyFill="1" applyBorder="1"/>
    <xf numFmtId="0" fontId="0" fillId="11" borderId="25" xfId="0" applyFill="1" applyBorder="1"/>
    <xf numFmtId="0" fontId="0" fillId="0" borderId="25" xfId="0" applyFill="1" applyBorder="1"/>
    <xf numFmtId="0" fontId="0" fillId="0" borderId="27" xfId="0" applyBorder="1"/>
    <xf numFmtId="0" fontId="2" fillId="7" borderId="35" xfId="0" applyFont="1" applyFill="1" applyBorder="1" applyAlignment="1">
      <alignment vertical="center"/>
    </xf>
    <xf numFmtId="10" fontId="2" fillId="7" borderId="32" xfId="0" applyNumberFormat="1" applyFont="1" applyFill="1" applyBorder="1" applyAlignment="1">
      <alignment horizontal="center" vertical="center"/>
    </xf>
    <xf numFmtId="44" fontId="2" fillId="6" borderId="11" xfId="0" applyNumberFormat="1" applyFont="1" applyFill="1" applyBorder="1"/>
    <xf numFmtId="44" fontId="2" fillId="7" borderId="26" xfId="0" applyNumberFormat="1" applyFont="1" applyFill="1" applyBorder="1"/>
    <xf numFmtId="44" fontId="0" fillId="0" borderId="11" xfId="0" applyNumberFormat="1" applyBorder="1"/>
    <xf numFmtId="0" fontId="20" fillId="0" borderId="0" xfId="0" applyFont="1"/>
    <xf numFmtId="44" fontId="2" fillId="10" borderId="11" xfId="1" applyFont="1" applyFill="1" applyBorder="1"/>
    <xf numFmtId="6" fontId="6" fillId="5" borderId="0" xfId="0" applyNumberFormat="1" applyFont="1" applyFill="1" applyAlignment="1">
      <alignment horizontal="right" wrapText="1"/>
    </xf>
    <xf numFmtId="44" fontId="6" fillId="5" borderId="0" xfId="0" applyNumberFormat="1" applyFont="1" applyFill="1"/>
    <xf numFmtId="6" fontId="6" fillId="5" borderId="0" xfId="0" applyNumberFormat="1" applyFont="1" applyFill="1"/>
    <xf numFmtId="44" fontId="4" fillId="0" borderId="0" xfId="0" applyNumberFormat="1" applyFont="1"/>
    <xf numFmtId="0" fontId="0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4" fontId="0" fillId="0" borderId="0" xfId="1" applyFont="1"/>
    <xf numFmtId="167" fontId="6" fillId="0" borderId="1" xfId="1" applyNumberFormat="1" applyFont="1" applyBorder="1"/>
    <xf numFmtId="167" fontId="6" fillId="3" borderId="1" xfId="1" applyNumberFormat="1" applyFont="1" applyFill="1" applyBorder="1"/>
    <xf numFmtId="44" fontId="14" fillId="6" borderId="11" xfId="0" applyNumberFormat="1" applyFont="1" applyFill="1" applyBorder="1"/>
    <xf numFmtId="44" fontId="2" fillId="6" borderId="25" xfId="0" applyNumberFormat="1" applyFont="1" applyFill="1" applyBorder="1"/>
    <xf numFmtId="0" fontId="0" fillId="3" borderId="0" xfId="0" applyFill="1"/>
    <xf numFmtId="0" fontId="0" fillId="0" borderId="11" xfId="0" applyFont="1" applyBorder="1"/>
    <xf numFmtId="44" fontId="20" fillId="0" borderId="0" xfId="0" applyNumberFormat="1" applyFont="1"/>
    <xf numFmtId="0" fontId="0" fillId="0" borderId="39" xfId="0" applyFont="1" applyBorder="1"/>
    <xf numFmtId="16" fontId="0" fillId="3" borderId="1" xfId="0" applyNumberFormat="1" applyFont="1" applyFill="1" applyBorder="1"/>
    <xf numFmtId="44" fontId="0" fillId="0" borderId="11" xfId="0" applyNumberFormat="1" applyFont="1" applyBorder="1"/>
    <xf numFmtId="16" fontId="0" fillId="0" borderId="1" xfId="0" applyNumberFormat="1" applyFont="1" applyBorder="1"/>
    <xf numFmtId="44" fontId="0" fillId="0" borderId="1" xfId="0" applyNumberFormat="1" applyFont="1" applyBorder="1"/>
    <xf numFmtId="16" fontId="0" fillId="0" borderId="1" xfId="0" applyNumberFormat="1" applyFont="1" applyBorder="1" applyAlignment="1">
      <alignment horizontal="left"/>
    </xf>
    <xf numFmtId="44" fontId="0" fillId="0" borderId="2" xfId="0" applyNumberFormat="1" applyFont="1" applyBorder="1"/>
    <xf numFmtId="0" fontId="0" fillId="6" borderId="1" xfId="0" applyFont="1" applyFill="1" applyBorder="1"/>
    <xf numFmtId="0" fontId="6" fillId="0" borderId="0" xfId="0" applyFont="1"/>
    <xf numFmtId="44" fontId="20" fillId="3" borderId="1" xfId="1" applyFont="1" applyFill="1" applyBorder="1"/>
    <xf numFmtId="6" fontId="15" fillId="3" borderId="1" xfId="0" applyNumberFormat="1" applyFont="1" applyFill="1" applyBorder="1"/>
    <xf numFmtId="44" fontId="6" fillId="3" borderId="1" xfId="1" applyFont="1" applyFill="1" applyBorder="1" applyAlignment="1"/>
    <xf numFmtId="0" fontId="15" fillId="3" borderId="1" xfId="0" applyFont="1" applyFill="1" applyBorder="1"/>
    <xf numFmtId="0" fontId="2" fillId="3" borderId="0" xfId="0" applyFont="1" applyFill="1" applyAlignment="1">
      <alignment vertical="center" wrapText="1"/>
    </xf>
    <xf numFmtId="44" fontId="2" fillId="6" borderId="1" xfId="0" applyNumberFormat="1" applyFont="1" applyFill="1" applyBorder="1"/>
    <xf numFmtId="0" fontId="0" fillId="0" borderId="12" xfId="0" applyFont="1" applyBorder="1"/>
    <xf numFmtId="0" fontId="0" fillId="3" borderId="13" xfId="0" applyFont="1" applyFill="1" applyBorder="1"/>
    <xf numFmtId="44" fontId="2" fillId="6" borderId="1" xfId="1" applyFont="1" applyFill="1" applyBorder="1"/>
    <xf numFmtId="44" fontId="14" fillId="6" borderId="1" xfId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3" borderId="1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44" fontId="15" fillId="9" borderId="1" xfId="1" applyFont="1" applyFill="1" applyBorder="1"/>
    <xf numFmtId="164" fontId="21" fillId="3" borderId="1" xfId="2" applyFont="1" applyFill="1" applyBorder="1"/>
    <xf numFmtId="0" fontId="0" fillId="0" borderId="11" xfId="0" applyFont="1" applyBorder="1" applyAlignment="1">
      <alignment horizontal="left" vertical="center"/>
    </xf>
    <xf numFmtId="16" fontId="0" fillId="3" borderId="13" xfId="0" applyNumberFormat="1" applyFont="1" applyFill="1" applyBorder="1"/>
    <xf numFmtId="0" fontId="13" fillId="9" borderId="2" xfId="0" applyFont="1" applyFill="1" applyBorder="1" applyAlignment="1">
      <alignment horizontal="center" vertical="center" wrapText="1"/>
    </xf>
    <xf numFmtId="0" fontId="13" fillId="9" borderId="23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13" fillId="9" borderId="0" xfId="0" applyFont="1" applyFill="1" applyBorder="1" applyAlignment="1">
      <alignment horizontal="center" vertical="center" wrapText="1"/>
    </xf>
    <xf numFmtId="0" fontId="13" fillId="9" borderId="10" xfId="0" applyFont="1" applyFill="1" applyBorder="1" applyAlignment="1">
      <alignment horizontal="center" vertical="center" wrapText="1"/>
    </xf>
    <xf numFmtId="0" fontId="13" fillId="9" borderId="39" xfId="0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left"/>
    </xf>
    <xf numFmtId="0" fontId="2" fillId="6" borderId="12" xfId="0" applyFont="1" applyFill="1" applyBorder="1" applyAlignment="1">
      <alignment horizontal="left"/>
    </xf>
    <xf numFmtId="0" fontId="2" fillId="6" borderId="13" xfId="0" applyFont="1" applyFill="1" applyBorder="1" applyAlignment="1">
      <alignment horizontal="left"/>
    </xf>
    <xf numFmtId="0" fontId="0" fillId="0" borderId="11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3" borderId="11" xfId="0" applyFont="1" applyFill="1" applyBorder="1" applyAlignment="1">
      <alignment horizontal="left" vertical="center" wrapText="1"/>
    </xf>
    <xf numFmtId="0" fontId="0" fillId="3" borderId="12" xfId="0" applyFont="1" applyFill="1" applyBorder="1" applyAlignment="1">
      <alignment horizontal="left" vertical="center" wrapText="1"/>
    </xf>
    <xf numFmtId="0" fontId="0" fillId="3" borderId="13" xfId="0" applyFont="1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3" borderId="11" xfId="0" applyFont="1" applyFill="1" applyBorder="1" applyAlignment="1">
      <alignment wrapText="1"/>
    </xf>
    <xf numFmtId="0" fontId="0" fillId="3" borderId="12" xfId="0" applyFont="1" applyFill="1" applyBorder="1" applyAlignment="1">
      <alignment wrapText="1"/>
    </xf>
    <xf numFmtId="0" fontId="0" fillId="3" borderId="13" xfId="0" applyFont="1" applyFill="1" applyBorder="1" applyAlignment="1">
      <alignment wrapText="1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16" fontId="4" fillId="3" borderId="11" xfId="0" applyNumberFormat="1" applyFont="1" applyFill="1" applyBorder="1" applyAlignment="1">
      <alignment horizontal="left" wrapText="1"/>
    </xf>
    <xf numFmtId="16" fontId="4" fillId="3" borderId="13" xfId="0" applyNumberFormat="1" applyFont="1" applyFill="1" applyBorder="1" applyAlignment="1">
      <alignment horizontal="left" wrapText="1"/>
    </xf>
    <xf numFmtId="0" fontId="0" fillId="5" borderId="35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15" fillId="5" borderId="35" xfId="0" applyFont="1" applyFill="1" applyBorder="1" applyAlignment="1">
      <alignment horizontal="center" vertical="center"/>
    </xf>
    <xf numFmtId="0" fontId="15" fillId="5" borderId="36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 wrapText="1"/>
    </xf>
    <xf numFmtId="44" fontId="0" fillId="5" borderId="0" xfId="0" applyNumberFormat="1" applyFill="1" applyAlignment="1">
      <alignment horizontal="center" wrapText="1"/>
    </xf>
    <xf numFmtId="6" fontId="0" fillId="5" borderId="0" xfId="0" applyNumberFormat="1" applyFill="1" applyAlignment="1">
      <alignment horizontal="center" wrapText="1"/>
    </xf>
    <xf numFmtId="0" fontId="0" fillId="5" borderId="35" xfId="0" applyFill="1" applyBorder="1" applyAlignment="1">
      <alignment horizontal="center" vertical="center" wrapText="1"/>
    </xf>
    <xf numFmtId="0" fontId="0" fillId="5" borderId="36" xfId="0" applyFill="1" applyBorder="1" applyAlignment="1">
      <alignment horizontal="center" vertical="center" wrapText="1"/>
    </xf>
    <xf numFmtId="0" fontId="15" fillId="5" borderId="31" xfId="0" applyFont="1" applyFill="1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 wrapText="1"/>
    </xf>
    <xf numFmtId="0" fontId="19" fillId="5" borderId="35" xfId="0" applyFont="1" applyFill="1" applyBorder="1" applyAlignment="1">
      <alignment horizontal="center" vertical="center" wrapText="1"/>
    </xf>
    <xf numFmtId="0" fontId="19" fillId="5" borderId="36" xfId="0" applyFont="1" applyFill="1" applyBorder="1" applyAlignment="1">
      <alignment horizontal="center" vertical="center" wrapText="1"/>
    </xf>
    <xf numFmtId="0" fontId="15" fillId="5" borderId="37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</cellXfs>
  <cellStyles count="4">
    <cellStyle name="Millares" xfId="3" builtinId="3"/>
    <cellStyle name="Moneda" xfId="1" builtinId="4"/>
    <cellStyle name="Moned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333375</xdr:rowOff>
    </xdr:to>
    <xdr:pic>
      <xdr:nvPicPr>
        <xdr:cNvPr id="4" name="1 Imagen" descr="C:\Users\Particular\Desktop\NATI\CONSORCIOS RC\WhatsApp Image 2020-12-10 at 14.53.20.jpe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2"/>
  <sheetViews>
    <sheetView topLeftCell="A140" workbookViewId="0">
      <selection activeCell="F150" sqref="A1:F150"/>
    </sheetView>
  </sheetViews>
  <sheetFormatPr baseColWidth="10" defaultRowHeight="15" x14ac:dyDescent="0.25"/>
  <cols>
    <col min="1" max="1" width="33.42578125" customWidth="1"/>
    <col min="2" max="2" width="36.85546875" customWidth="1"/>
    <col min="3" max="3" width="17.42578125" customWidth="1"/>
    <col min="4" max="4" width="21.7109375" customWidth="1"/>
    <col min="5" max="5" width="15.7109375" customWidth="1"/>
    <col min="6" max="6" width="13" bestFit="1" customWidth="1"/>
    <col min="7" max="7" width="15.85546875" customWidth="1"/>
    <col min="8" max="9" width="13" bestFit="1" customWidth="1"/>
    <col min="10" max="10" width="14.5703125" bestFit="1" customWidth="1"/>
    <col min="12" max="12" width="18" customWidth="1"/>
    <col min="13" max="13" width="18.28515625" customWidth="1"/>
  </cols>
  <sheetData>
    <row r="1" spans="1:5" ht="15.75" thickBot="1" x14ac:dyDescent="0.3">
      <c r="A1" s="10"/>
      <c r="B1" s="106" t="s">
        <v>125</v>
      </c>
      <c r="C1" s="10"/>
      <c r="D1" s="10"/>
      <c r="E1" s="10"/>
    </row>
    <row r="2" spans="1:5" x14ac:dyDescent="0.25">
      <c r="A2" s="72"/>
      <c r="B2" s="73" t="s">
        <v>0</v>
      </c>
      <c r="C2" s="73"/>
      <c r="D2" s="73"/>
      <c r="E2" s="74"/>
    </row>
    <row r="3" spans="1:5" x14ac:dyDescent="0.25">
      <c r="A3" s="75"/>
      <c r="B3" s="76" t="s">
        <v>93</v>
      </c>
      <c r="C3" s="76"/>
      <c r="D3" s="76"/>
      <c r="E3" s="77"/>
    </row>
    <row r="4" spans="1:5" ht="33.75" customHeight="1" thickBot="1" x14ac:dyDescent="0.3">
      <c r="A4" s="75"/>
      <c r="B4" s="76" t="s">
        <v>94</v>
      </c>
      <c r="C4" s="76"/>
      <c r="D4" s="76"/>
      <c r="E4" s="77"/>
    </row>
    <row r="5" spans="1:5" ht="15.75" thickBot="1" x14ac:dyDescent="0.3">
      <c r="A5" s="78" t="s">
        <v>1</v>
      </c>
      <c r="B5" s="79" t="s">
        <v>145</v>
      </c>
      <c r="C5" s="79" t="s">
        <v>176</v>
      </c>
      <c r="D5" s="79"/>
      <c r="E5" s="80"/>
    </row>
    <row r="6" spans="1:5" ht="15.75" thickBot="1" x14ac:dyDescent="0.3">
      <c r="A6" s="75" t="s">
        <v>104</v>
      </c>
      <c r="B6" s="76"/>
      <c r="C6" s="76"/>
      <c r="D6" s="76"/>
      <c r="E6" s="77"/>
    </row>
    <row r="7" spans="1:5" ht="15.75" thickBot="1" x14ac:dyDescent="0.3">
      <c r="A7" s="78" t="s">
        <v>103</v>
      </c>
      <c r="B7" s="79"/>
      <c r="C7" s="79"/>
      <c r="D7" s="79"/>
      <c r="E7" s="80"/>
    </row>
    <row r="9" spans="1:5" hidden="1" x14ac:dyDescent="0.25"/>
    <row r="10" spans="1:5" hidden="1" x14ac:dyDescent="0.25"/>
    <row r="11" spans="1:5" hidden="1" x14ac:dyDescent="0.25"/>
    <row r="12" spans="1:5" hidden="1" x14ac:dyDescent="0.25"/>
    <row r="14" spans="1:5" x14ac:dyDescent="0.25">
      <c r="B14" s="209" t="s">
        <v>177</v>
      </c>
      <c r="C14" s="210"/>
      <c r="D14" s="211"/>
    </row>
    <row r="15" spans="1:5" x14ac:dyDescent="0.25">
      <c r="B15" s="212"/>
      <c r="C15" s="213"/>
      <c r="D15" s="214"/>
    </row>
    <row r="16" spans="1:5" x14ac:dyDescent="0.25">
      <c r="B16" s="212"/>
      <c r="C16" s="213"/>
      <c r="D16" s="214"/>
    </row>
    <row r="17" spans="1:8" x14ac:dyDescent="0.25">
      <c r="B17" s="215"/>
      <c r="C17" s="216"/>
      <c r="D17" s="217"/>
    </row>
    <row r="19" spans="1:8" x14ac:dyDescent="0.25">
      <c r="A19" s="5"/>
    </row>
    <row r="20" spans="1:8" ht="15.75" thickBot="1" x14ac:dyDescent="0.3"/>
    <row r="21" spans="1:8" x14ac:dyDescent="0.25">
      <c r="A21" s="69" t="s">
        <v>91</v>
      </c>
      <c r="B21" s="70"/>
      <c r="C21" s="71"/>
      <c r="D21" s="67"/>
      <c r="E21" s="162" t="s">
        <v>128</v>
      </c>
      <c r="F21" s="161" t="s">
        <v>92</v>
      </c>
    </row>
    <row r="22" spans="1:8" x14ac:dyDescent="0.25">
      <c r="A22" s="136" t="s">
        <v>19</v>
      </c>
      <c r="B22" s="9" t="s">
        <v>146</v>
      </c>
      <c r="C22" s="9"/>
      <c r="D22" s="145"/>
      <c r="E22" s="9"/>
      <c r="F22" s="9"/>
    </row>
    <row r="23" spans="1:8" x14ac:dyDescent="0.25">
      <c r="A23" s="136" t="s">
        <v>134</v>
      </c>
      <c r="B23" s="9"/>
      <c r="C23" s="9"/>
      <c r="D23" s="133">
        <v>1014646.96</v>
      </c>
      <c r="E23" s="149">
        <f>D23*91.91%</f>
        <v>932562.02093599993</v>
      </c>
      <c r="F23" s="149">
        <f>D23*8.09%</f>
        <v>82084.939063999991</v>
      </c>
    </row>
    <row r="24" spans="1:8" x14ac:dyDescent="0.25">
      <c r="A24" s="136" t="s">
        <v>2</v>
      </c>
      <c r="B24" s="9"/>
      <c r="C24" s="9"/>
      <c r="D24" s="133">
        <v>-220685.72</v>
      </c>
      <c r="E24" s="149">
        <f t="shared" ref="E24:E25" si="0">D24*91.91%</f>
        <v>-202832.24525199999</v>
      </c>
      <c r="F24" s="149">
        <f t="shared" ref="F24:F25" si="1">D24*8.09%</f>
        <v>-17853.474748000001</v>
      </c>
    </row>
    <row r="25" spans="1:8" x14ac:dyDescent="0.25">
      <c r="A25" s="136" t="s">
        <v>118</v>
      </c>
      <c r="B25" s="9"/>
      <c r="C25" s="9"/>
      <c r="D25" s="133">
        <v>0.76</v>
      </c>
      <c r="E25" s="149">
        <f t="shared" si="0"/>
        <v>0.69851599999999991</v>
      </c>
      <c r="F25" s="149">
        <f t="shared" si="1"/>
        <v>6.1484000000000004E-2</v>
      </c>
    </row>
    <row r="26" spans="1:8" x14ac:dyDescent="0.25">
      <c r="A26" s="136"/>
      <c r="B26" s="9"/>
      <c r="C26" s="9"/>
      <c r="D26" s="133"/>
      <c r="E26" s="9"/>
      <c r="F26" s="9"/>
    </row>
    <row r="27" spans="1:8" s="15" customFormat="1" hidden="1" x14ac:dyDescent="0.25">
      <c r="A27" s="136"/>
      <c r="B27" s="9"/>
      <c r="C27" s="9"/>
      <c r="D27" s="133"/>
      <c r="E27" s="9"/>
      <c r="F27" s="9"/>
    </row>
    <row r="28" spans="1:8" hidden="1" x14ac:dyDescent="0.25">
      <c r="A28" s="136"/>
      <c r="B28" s="9"/>
      <c r="C28" s="9"/>
      <c r="D28" s="133"/>
      <c r="E28" s="149"/>
      <c r="F28" s="9"/>
    </row>
    <row r="29" spans="1:8" s="15" customFormat="1" x14ac:dyDescent="0.25">
      <c r="A29" s="136"/>
      <c r="B29" s="9"/>
      <c r="C29" s="9"/>
      <c r="D29" s="133"/>
      <c r="E29" s="149"/>
      <c r="F29" s="9"/>
    </row>
    <row r="30" spans="1:8" x14ac:dyDescent="0.25">
      <c r="A30" s="104" t="s">
        <v>3</v>
      </c>
      <c r="B30" s="104"/>
      <c r="C30" s="104"/>
      <c r="D30" s="117">
        <f>SUM(D23:D29)</f>
        <v>793962</v>
      </c>
      <c r="E30" s="117">
        <f t="shared" ref="E30" si="2">SUM(E23:E29)</f>
        <v>729730.47419999994</v>
      </c>
      <c r="F30" s="117">
        <f>SUM(F23:F29)</f>
        <v>64231.525799999989</v>
      </c>
      <c r="G30" s="119">
        <f>E30+F30</f>
        <v>793961.99999999988</v>
      </c>
      <c r="H30" s="166" t="str">
        <f>IF(D30=G30, "", "Error")</f>
        <v/>
      </c>
    </row>
    <row r="31" spans="1:8" s="3" customFormat="1" hidden="1" x14ac:dyDescent="0.25">
      <c r="A31" s="103" t="s">
        <v>115</v>
      </c>
      <c r="B31" s="9"/>
      <c r="C31" s="9"/>
      <c r="D31" s="134">
        <v>0</v>
      </c>
      <c r="E31" s="149">
        <f>D31*91.91%</f>
        <v>0</v>
      </c>
      <c r="F31" s="149">
        <f>D31*8.09%</f>
        <v>0</v>
      </c>
      <c r="H31" s="166"/>
    </row>
    <row r="32" spans="1:8" s="15" customFormat="1" hidden="1" x14ac:dyDescent="0.25">
      <c r="A32" s="103"/>
      <c r="B32" s="9"/>
      <c r="C32" s="9"/>
      <c r="D32" s="133">
        <v>0</v>
      </c>
      <c r="E32" s="149">
        <f>D32*91.91%</f>
        <v>0</v>
      </c>
      <c r="F32" s="149">
        <f>D32*8.09%</f>
        <v>0</v>
      </c>
      <c r="H32" s="166"/>
    </row>
    <row r="33" spans="1:8" s="15" customFormat="1" hidden="1" x14ac:dyDescent="0.25">
      <c r="A33" s="103"/>
      <c r="B33" s="9"/>
      <c r="C33" s="9"/>
      <c r="D33" s="133"/>
      <c r="E33" s="9"/>
      <c r="F33" s="9"/>
      <c r="H33" s="166"/>
    </row>
    <row r="34" spans="1:8" s="15" customFormat="1" hidden="1" x14ac:dyDescent="0.25">
      <c r="A34" s="103"/>
      <c r="B34" s="9"/>
      <c r="C34" s="9"/>
      <c r="D34" s="133"/>
      <c r="E34" s="9"/>
      <c r="F34" s="9"/>
      <c r="H34" s="166"/>
    </row>
    <row r="35" spans="1:8" hidden="1" x14ac:dyDescent="0.25">
      <c r="A35" s="104" t="s">
        <v>124</v>
      </c>
      <c r="B35" s="104"/>
      <c r="C35" s="104"/>
      <c r="D35" s="117">
        <f>SUM(D31:D33)</f>
        <v>0</v>
      </c>
      <c r="E35" s="117">
        <f t="shared" ref="E35:F35" si="3">SUM(E31:E33)</f>
        <v>0</v>
      </c>
      <c r="F35" s="117">
        <f t="shared" si="3"/>
        <v>0</v>
      </c>
      <c r="G35" s="119">
        <f>E35+F35</f>
        <v>0</v>
      </c>
      <c r="H35" s="166" t="str">
        <f>IF(D35=G35, "", "Error")</f>
        <v/>
      </c>
    </row>
    <row r="36" spans="1:8" hidden="1" x14ac:dyDescent="0.25">
      <c r="A36" s="103" t="s">
        <v>115</v>
      </c>
      <c r="B36" s="9"/>
      <c r="C36" s="9"/>
      <c r="D36" s="134"/>
      <c r="E36" s="149">
        <f>D36*91.91%</f>
        <v>0</v>
      </c>
      <c r="F36" s="149">
        <f>D36*8.09%</f>
        <v>0</v>
      </c>
      <c r="H36" s="166"/>
    </row>
    <row r="37" spans="1:8" s="3" customFormat="1" hidden="1" x14ac:dyDescent="0.25">
      <c r="A37" s="120" t="s">
        <v>140</v>
      </c>
      <c r="B37" s="9"/>
      <c r="C37" s="9"/>
      <c r="D37" s="133"/>
      <c r="E37" s="149">
        <f t="shared" ref="E37:E38" si="4">D37*91.91%</f>
        <v>0</v>
      </c>
      <c r="F37" s="149">
        <f t="shared" ref="F37:F38" si="5">D37*8.09%</f>
        <v>0</v>
      </c>
      <c r="H37" s="166"/>
    </row>
    <row r="38" spans="1:8" s="3" customFormat="1" hidden="1" x14ac:dyDescent="0.25">
      <c r="A38" s="103" t="s">
        <v>2</v>
      </c>
      <c r="B38" s="9"/>
      <c r="C38" s="9"/>
      <c r="D38" s="133"/>
      <c r="E38" s="149">
        <f t="shared" si="4"/>
        <v>0</v>
      </c>
      <c r="F38" s="149">
        <f t="shared" si="5"/>
        <v>0</v>
      </c>
      <c r="H38" s="166"/>
    </row>
    <row r="39" spans="1:8" hidden="1" x14ac:dyDescent="0.25">
      <c r="A39" s="104" t="s">
        <v>116</v>
      </c>
      <c r="B39" s="104"/>
      <c r="C39" s="104"/>
      <c r="D39" s="117">
        <f>SUM(D32:D38)</f>
        <v>0</v>
      </c>
      <c r="E39" s="117">
        <f t="shared" ref="E39" si="6">SUM(E32:E38)</f>
        <v>0</v>
      </c>
      <c r="F39" s="132">
        <f>E39*8.09%</f>
        <v>0</v>
      </c>
      <c r="H39" s="166"/>
    </row>
    <row r="40" spans="1:8" s="15" customFormat="1" ht="0.75" customHeight="1" x14ac:dyDescent="0.25">
      <c r="A40" s="144"/>
      <c r="B40" s="124"/>
      <c r="C40" s="124"/>
      <c r="D40" s="133"/>
      <c r="E40" s="135"/>
      <c r="F40" s="135"/>
      <c r="H40" s="166"/>
    </row>
    <row r="41" spans="1:8" s="15" customFormat="1" hidden="1" x14ac:dyDescent="0.25">
      <c r="A41" s="144"/>
      <c r="B41" s="124"/>
      <c r="C41" s="124"/>
      <c r="D41" s="133"/>
      <c r="E41" s="135"/>
      <c r="F41" s="135"/>
      <c r="H41" s="166"/>
    </row>
    <row r="42" spans="1:8" hidden="1" x14ac:dyDescent="0.25">
      <c r="A42" s="124"/>
      <c r="B42" s="124"/>
      <c r="C42" s="122"/>
      <c r="D42" s="133"/>
      <c r="E42" s="135"/>
      <c r="F42" s="135"/>
      <c r="H42" s="166"/>
    </row>
    <row r="43" spans="1:8" hidden="1" x14ac:dyDescent="0.25">
      <c r="A43" s="104" t="s">
        <v>124</v>
      </c>
      <c r="B43" s="104"/>
      <c r="C43" s="104"/>
      <c r="D43" s="117"/>
      <c r="E43" s="123">
        <f>SUM(D40:D42)</f>
        <v>0</v>
      </c>
      <c r="F43" s="121">
        <f>(D40)*8.09%</f>
        <v>0</v>
      </c>
      <c r="H43" s="166"/>
    </row>
    <row r="44" spans="1:8" hidden="1" x14ac:dyDescent="0.25">
      <c r="A44" s="103"/>
      <c r="B44" s="9"/>
      <c r="C44" s="9"/>
      <c r="D44" s="190"/>
      <c r="E44" s="126"/>
      <c r="F44" s="9"/>
      <c r="H44" s="166"/>
    </row>
    <row r="45" spans="1:8" s="3" customFormat="1" x14ac:dyDescent="0.25">
      <c r="A45" s="120" t="s">
        <v>137</v>
      </c>
      <c r="B45" s="9"/>
      <c r="C45" s="9"/>
      <c r="D45" s="125">
        <v>80000</v>
      </c>
      <c r="E45" s="165">
        <f>D45</f>
        <v>80000</v>
      </c>
      <c r="F45" s="9"/>
      <c r="H45" s="166"/>
    </row>
    <row r="46" spans="1:8" s="3" customFormat="1" ht="15.75" thickBot="1" x14ac:dyDescent="0.3">
      <c r="A46" s="103"/>
      <c r="B46" s="9"/>
      <c r="C46" s="9"/>
      <c r="D46" s="116"/>
      <c r="E46" s="149">
        <f>D46*91.91%</f>
        <v>0</v>
      </c>
      <c r="F46" s="149">
        <f>D46*8.09%</f>
        <v>0</v>
      </c>
      <c r="H46" s="166"/>
    </row>
    <row r="47" spans="1:8" ht="15.75" thickBot="1" x14ac:dyDescent="0.3">
      <c r="A47" s="104" t="s">
        <v>136</v>
      </c>
      <c r="B47" s="104"/>
      <c r="C47" s="104"/>
      <c r="D47" s="117">
        <f>SUM(D45:D46)</f>
        <v>80000</v>
      </c>
      <c r="E47" s="178">
        <f>SUM(E45:E46)</f>
        <v>80000</v>
      </c>
      <c r="F47" s="196">
        <f>SUM(F45:F46)</f>
        <v>0</v>
      </c>
      <c r="G47" s="119">
        <f>E47+F47</f>
        <v>80000</v>
      </c>
      <c r="H47" s="166"/>
    </row>
    <row r="48" spans="1:8" hidden="1" x14ac:dyDescent="0.25">
      <c r="A48" s="9"/>
      <c r="B48" s="9"/>
      <c r="C48" s="9"/>
      <c r="D48" s="116"/>
      <c r="E48" s="127"/>
      <c r="F48" s="109"/>
      <c r="H48" s="166"/>
    </row>
    <row r="49" spans="1:9" hidden="1" x14ac:dyDescent="0.25">
      <c r="A49" s="9"/>
      <c r="B49" s="9"/>
      <c r="C49" s="9"/>
      <c r="D49" s="116"/>
      <c r="E49" s="126"/>
      <c r="F49" s="109"/>
      <c r="H49" s="166"/>
    </row>
    <row r="50" spans="1:9" x14ac:dyDescent="0.25">
      <c r="A50" s="103" t="s">
        <v>4</v>
      </c>
      <c r="B50" s="9"/>
      <c r="C50" s="9"/>
      <c r="D50" s="116"/>
      <c r="E50" s="126"/>
      <c r="F50" s="109"/>
      <c r="H50" s="166"/>
    </row>
    <row r="51" spans="1:9" x14ac:dyDescent="0.25">
      <c r="A51" s="103" t="s">
        <v>122</v>
      </c>
      <c r="B51" s="9"/>
      <c r="C51" s="107"/>
      <c r="D51" s="125">
        <v>5020</v>
      </c>
      <c r="E51" s="149">
        <f>D51*91.91%</f>
        <v>4613.8819999999996</v>
      </c>
      <c r="F51" s="149">
        <f>D51*8.09%</f>
        <v>406.11799999999999</v>
      </c>
      <c r="H51" s="166"/>
    </row>
    <row r="52" spans="1:9" x14ac:dyDescent="0.25">
      <c r="A52" s="103" t="s">
        <v>5</v>
      </c>
      <c r="B52" s="9" t="s">
        <v>151</v>
      </c>
      <c r="C52" s="9"/>
      <c r="D52" s="125">
        <f>115174.45+7879.26+70913.38</f>
        <v>193967.09</v>
      </c>
      <c r="E52" s="149">
        <f>D52*91.91%</f>
        <v>178275.15241899999</v>
      </c>
      <c r="F52" s="149">
        <f>D52*8.09%</f>
        <v>15691.937581</v>
      </c>
      <c r="H52" s="166"/>
    </row>
    <row r="53" spans="1:9" x14ac:dyDescent="0.25">
      <c r="A53" s="103" t="s">
        <v>6</v>
      </c>
      <c r="B53" s="9" t="s">
        <v>150</v>
      </c>
      <c r="C53" s="9"/>
      <c r="D53" s="125">
        <v>771433.26</v>
      </c>
      <c r="E53" s="149">
        <f>D53*91.91%</f>
        <v>709024.30926599994</v>
      </c>
      <c r="F53" s="149">
        <f>D53*8.09%</f>
        <v>62408.950733999998</v>
      </c>
      <c r="H53" s="166"/>
    </row>
    <row r="54" spans="1:9" x14ac:dyDescent="0.25">
      <c r="A54" s="104" t="s">
        <v>7</v>
      </c>
      <c r="B54" s="105"/>
      <c r="C54" s="105"/>
      <c r="D54" s="118">
        <f>SUM(D51:D53)</f>
        <v>970420.35</v>
      </c>
      <c r="E54" s="118">
        <f t="shared" ref="E54:F54" si="7">SUM(E51:E53)</f>
        <v>891913.34368499997</v>
      </c>
      <c r="F54" s="118">
        <f t="shared" si="7"/>
        <v>78507.006315000006</v>
      </c>
      <c r="G54" s="119">
        <f>E54+F54</f>
        <v>970420.35</v>
      </c>
      <c r="H54" s="166" t="str">
        <f>IF(D54=G54, "", "Error")</f>
        <v/>
      </c>
    </row>
    <row r="55" spans="1:9" x14ac:dyDescent="0.25">
      <c r="A55" s="120" t="s">
        <v>8</v>
      </c>
      <c r="B55" s="120"/>
      <c r="C55" s="120"/>
      <c r="D55" s="116"/>
      <c r="E55" s="182"/>
      <c r="F55" s="120"/>
      <c r="H55" s="166"/>
    </row>
    <row r="56" spans="1:9" s="15" customFormat="1" ht="25.5" customHeight="1" x14ac:dyDescent="0.25">
      <c r="A56" s="120" t="s">
        <v>9</v>
      </c>
      <c r="B56" s="235" t="s">
        <v>153</v>
      </c>
      <c r="C56" s="236"/>
      <c r="D56" s="125">
        <v>103312</v>
      </c>
      <c r="E56" s="184">
        <f>D56</f>
        <v>103312</v>
      </c>
      <c r="F56" s="120"/>
      <c r="G56" s="119">
        <f>D56</f>
        <v>103312</v>
      </c>
      <c r="H56" s="181">
        <f>E56+F56</f>
        <v>103312</v>
      </c>
      <c r="I56" s="15" t="str">
        <f>IF(G56=H56, "", "Error")</f>
        <v/>
      </c>
    </row>
    <row r="57" spans="1:9" s="15" customFormat="1" x14ac:dyDescent="0.25">
      <c r="A57" s="144" t="s">
        <v>152</v>
      </c>
      <c r="B57" s="185"/>
      <c r="C57" s="120"/>
      <c r="D57" s="125">
        <v>100130</v>
      </c>
      <c r="E57" s="184">
        <f t="shared" ref="E57" si="8">D57*91.91%</f>
        <v>92029.482999999993</v>
      </c>
      <c r="F57" s="186">
        <f t="shared" ref="F57" si="9">D57*8.09%</f>
        <v>8100.5169999999998</v>
      </c>
      <c r="G57" s="119">
        <f t="shared" ref="G57:G86" si="10">D57</f>
        <v>100130</v>
      </c>
      <c r="H57" s="181">
        <f t="shared" ref="H57:H86" si="11">E57+F57</f>
        <v>100130</v>
      </c>
      <c r="I57" s="15" t="str">
        <f t="shared" ref="I57:I84" si="12">IF(G57=H57, "", "Error")</f>
        <v/>
      </c>
    </row>
    <row r="58" spans="1:9" s="15" customFormat="1" x14ac:dyDescent="0.25">
      <c r="A58" s="124" t="s">
        <v>161</v>
      </c>
      <c r="B58" s="185"/>
      <c r="C58" s="120"/>
      <c r="D58" s="125">
        <v>20000</v>
      </c>
      <c r="E58" s="184">
        <f>D58</f>
        <v>20000</v>
      </c>
      <c r="F58" s="120"/>
      <c r="G58" s="119">
        <f t="shared" si="10"/>
        <v>20000</v>
      </c>
      <c r="H58" s="181">
        <f t="shared" si="11"/>
        <v>20000</v>
      </c>
    </row>
    <row r="59" spans="1:9" s="15" customFormat="1" x14ac:dyDescent="0.25">
      <c r="A59" s="124" t="s">
        <v>154</v>
      </c>
      <c r="B59" s="185"/>
      <c r="C59" s="120"/>
      <c r="D59" s="125">
        <v>111420</v>
      </c>
      <c r="E59" s="184">
        <f>D59</f>
        <v>111420</v>
      </c>
      <c r="F59" s="120"/>
      <c r="G59" s="119">
        <f t="shared" si="10"/>
        <v>111420</v>
      </c>
      <c r="H59" s="181">
        <f t="shared" si="11"/>
        <v>111420</v>
      </c>
    </row>
    <row r="60" spans="1:9" s="15" customFormat="1" x14ac:dyDescent="0.25">
      <c r="A60" s="124" t="s">
        <v>164</v>
      </c>
      <c r="B60" s="185"/>
      <c r="C60" s="120"/>
      <c r="D60" s="125">
        <v>74280</v>
      </c>
      <c r="E60" s="184">
        <f>D60</f>
        <v>74280</v>
      </c>
      <c r="F60" s="120"/>
      <c r="G60" s="119">
        <f t="shared" si="10"/>
        <v>74280</v>
      </c>
      <c r="H60" s="181">
        <f t="shared" si="11"/>
        <v>74280</v>
      </c>
    </row>
    <row r="61" spans="1:9" s="15" customFormat="1" x14ac:dyDescent="0.25">
      <c r="A61" s="120" t="s">
        <v>135</v>
      </c>
      <c r="B61" s="185"/>
      <c r="C61" s="120"/>
      <c r="D61" s="125">
        <v>59500</v>
      </c>
      <c r="E61" s="184">
        <f>D61</f>
        <v>59500</v>
      </c>
      <c r="F61" s="120"/>
      <c r="G61" s="119">
        <f t="shared" si="10"/>
        <v>59500</v>
      </c>
      <c r="H61" s="181">
        <f t="shared" si="11"/>
        <v>59500</v>
      </c>
      <c r="I61" s="15" t="str">
        <f t="shared" si="12"/>
        <v/>
      </c>
    </row>
    <row r="62" spans="1:9" s="3" customFormat="1" hidden="1" x14ac:dyDescent="0.25">
      <c r="A62" s="103"/>
      <c r="B62" s="120"/>
      <c r="C62" s="120"/>
      <c r="D62" s="125"/>
      <c r="E62" s="184">
        <f t="shared" ref="E62" si="13">D62*91.91%</f>
        <v>0</v>
      </c>
      <c r="F62" s="186">
        <f t="shared" ref="F62" si="14">D62*8.09%</f>
        <v>0</v>
      </c>
      <c r="G62" s="119">
        <f t="shared" si="10"/>
        <v>0</v>
      </c>
      <c r="H62" s="181">
        <f t="shared" si="11"/>
        <v>0</v>
      </c>
      <c r="I62" s="15" t="str">
        <f>IF(G62=H62, "", "Error")</f>
        <v/>
      </c>
    </row>
    <row r="63" spans="1:9" ht="14.25" customHeight="1" x14ac:dyDescent="0.25">
      <c r="A63" s="136" t="s">
        <v>10</v>
      </c>
      <c r="B63" s="187" t="s">
        <v>133</v>
      </c>
      <c r="C63" s="120"/>
      <c r="D63" s="125">
        <v>120322.09</v>
      </c>
      <c r="E63" s="184">
        <f t="shared" ref="E63:E68" si="15">D63*91.91%</f>
        <v>110588.03291899999</v>
      </c>
      <c r="F63" s="186">
        <f t="shared" ref="F63:F68" si="16">D63*8.09%</f>
        <v>9734.057080999999</v>
      </c>
      <c r="G63" s="119">
        <f t="shared" si="10"/>
        <v>120322.09</v>
      </c>
      <c r="H63" s="181">
        <f t="shared" si="11"/>
        <v>120322.09</v>
      </c>
      <c r="I63" s="15" t="str">
        <f t="shared" si="12"/>
        <v/>
      </c>
    </row>
    <row r="64" spans="1:9" s="15" customFormat="1" x14ac:dyDescent="0.25">
      <c r="A64" s="103" t="s">
        <v>158</v>
      </c>
      <c r="B64" s="187"/>
      <c r="C64" s="185">
        <v>45685</v>
      </c>
      <c r="D64" s="125">
        <v>297680.3</v>
      </c>
      <c r="E64" s="184">
        <f t="shared" si="15"/>
        <v>273597.96372999996</v>
      </c>
      <c r="F64" s="186">
        <f t="shared" si="16"/>
        <v>24082.33627</v>
      </c>
      <c r="G64" s="119">
        <f t="shared" si="10"/>
        <v>297680.3</v>
      </c>
      <c r="H64" s="181">
        <f t="shared" si="11"/>
        <v>297680.29999999993</v>
      </c>
      <c r="I64" s="15" t="str">
        <f t="shared" si="12"/>
        <v/>
      </c>
    </row>
    <row r="65" spans="1:9" s="15" customFormat="1" x14ac:dyDescent="0.25">
      <c r="A65" s="103" t="s">
        <v>148</v>
      </c>
      <c r="B65" s="120"/>
      <c r="C65" s="120"/>
      <c r="D65" s="125">
        <v>104975</v>
      </c>
      <c r="E65" s="184">
        <f t="shared" si="15"/>
        <v>96482.522499999992</v>
      </c>
      <c r="F65" s="186">
        <f t="shared" si="16"/>
        <v>8492.4775000000009</v>
      </c>
      <c r="G65" s="119">
        <f t="shared" si="10"/>
        <v>104975</v>
      </c>
      <c r="H65" s="181">
        <f t="shared" si="11"/>
        <v>104975</v>
      </c>
      <c r="I65" s="15" t="str">
        <f t="shared" si="12"/>
        <v/>
      </c>
    </row>
    <row r="66" spans="1:9" x14ac:dyDescent="0.25">
      <c r="A66" s="103" t="s">
        <v>11</v>
      </c>
      <c r="B66" s="120" t="s">
        <v>112</v>
      </c>
      <c r="C66" s="120"/>
      <c r="D66" s="125">
        <v>47807</v>
      </c>
      <c r="E66" s="184">
        <f t="shared" si="15"/>
        <v>43939.413699999997</v>
      </c>
      <c r="F66" s="186">
        <f t="shared" si="16"/>
        <v>3867.5862999999999</v>
      </c>
      <c r="G66" s="119">
        <f t="shared" si="10"/>
        <v>47807</v>
      </c>
      <c r="H66" s="181">
        <f t="shared" si="11"/>
        <v>47807</v>
      </c>
      <c r="I66" s="15" t="str">
        <f t="shared" si="12"/>
        <v/>
      </c>
    </row>
    <row r="67" spans="1:9" s="15" customFormat="1" x14ac:dyDescent="0.25">
      <c r="A67" s="144" t="s">
        <v>12</v>
      </c>
      <c r="B67" s="124" t="s">
        <v>174</v>
      </c>
      <c r="C67" s="124"/>
      <c r="D67" s="125">
        <v>870071.38</v>
      </c>
      <c r="E67" s="184">
        <f t="shared" si="15"/>
        <v>799682.60535799991</v>
      </c>
      <c r="F67" s="186">
        <f t="shared" si="16"/>
        <v>70388.774642000004</v>
      </c>
      <c r="G67" s="119">
        <f t="shared" si="10"/>
        <v>870071.38</v>
      </c>
      <c r="H67" s="181">
        <f t="shared" si="11"/>
        <v>870071.37999999989</v>
      </c>
      <c r="I67" s="15" t="str">
        <f t="shared" si="12"/>
        <v/>
      </c>
    </row>
    <row r="68" spans="1:9" s="15" customFormat="1" x14ac:dyDescent="0.25">
      <c r="A68" s="144" t="s">
        <v>12</v>
      </c>
      <c r="B68" s="124" t="s">
        <v>175</v>
      </c>
      <c r="C68" s="124"/>
      <c r="D68" s="125">
        <v>780677.85</v>
      </c>
      <c r="E68" s="184">
        <f t="shared" si="15"/>
        <v>717521.01193499996</v>
      </c>
      <c r="F68" s="186">
        <f t="shared" si="16"/>
        <v>63156.838064999996</v>
      </c>
      <c r="G68" s="119">
        <f t="shared" si="10"/>
        <v>780677.85</v>
      </c>
      <c r="H68" s="181">
        <f t="shared" si="11"/>
        <v>780677.85</v>
      </c>
      <c r="I68" s="15" t="str">
        <f t="shared" si="12"/>
        <v/>
      </c>
    </row>
    <row r="69" spans="1:9" s="15" customFormat="1" x14ac:dyDescent="0.25">
      <c r="A69" s="120" t="s">
        <v>159</v>
      </c>
      <c r="B69" s="120"/>
      <c r="C69" s="183"/>
      <c r="D69" s="116">
        <v>394899.6</v>
      </c>
      <c r="E69" s="184">
        <f t="shared" ref="E69:E73" si="17">D69</f>
        <v>394899.6</v>
      </c>
      <c r="F69" s="186">
        <v>0</v>
      </c>
      <c r="G69" s="119">
        <f t="shared" si="10"/>
        <v>394899.6</v>
      </c>
      <c r="H69" s="181">
        <f t="shared" si="11"/>
        <v>394899.6</v>
      </c>
      <c r="I69" s="15" t="str">
        <f t="shared" si="12"/>
        <v/>
      </c>
    </row>
    <row r="70" spans="1:9" s="15" customFormat="1" x14ac:dyDescent="0.25">
      <c r="A70" s="180" t="s">
        <v>170</v>
      </c>
      <c r="B70" s="197"/>
      <c r="C70" s="208"/>
      <c r="D70" s="116">
        <v>10164</v>
      </c>
      <c r="E70" s="184">
        <f t="shared" si="17"/>
        <v>10164</v>
      </c>
      <c r="F70" s="186"/>
      <c r="G70" s="119"/>
      <c r="H70" s="181"/>
    </row>
    <row r="71" spans="1:9" s="15" customFormat="1" x14ac:dyDescent="0.25">
      <c r="A71" s="180" t="s">
        <v>172</v>
      </c>
      <c r="B71" s="197"/>
      <c r="C71" s="208"/>
      <c r="D71" s="116">
        <v>7350</v>
      </c>
      <c r="E71" s="184">
        <f t="shared" si="17"/>
        <v>7350</v>
      </c>
      <c r="F71" s="186"/>
      <c r="G71" s="119"/>
      <c r="H71" s="181"/>
    </row>
    <row r="72" spans="1:9" s="15" customFormat="1" ht="33" customHeight="1" x14ac:dyDescent="0.25">
      <c r="A72" s="221" t="s">
        <v>157</v>
      </c>
      <c r="B72" s="222"/>
      <c r="C72" s="223"/>
      <c r="D72" s="125">
        <v>84237.42</v>
      </c>
      <c r="E72" s="184">
        <f t="shared" si="17"/>
        <v>84237.42</v>
      </c>
      <c r="F72" s="186"/>
      <c r="G72" s="119">
        <f t="shared" si="10"/>
        <v>84237.42</v>
      </c>
      <c r="H72" s="181">
        <f t="shared" si="11"/>
        <v>84237.42</v>
      </c>
      <c r="I72" s="15" t="str">
        <f t="shared" si="12"/>
        <v/>
      </c>
    </row>
    <row r="73" spans="1:9" s="15" customFormat="1" ht="21.75" customHeight="1" x14ac:dyDescent="0.25">
      <c r="A73" s="221" t="s">
        <v>156</v>
      </c>
      <c r="B73" s="222"/>
      <c r="C73" s="223"/>
      <c r="D73" s="125">
        <v>33230.28</v>
      </c>
      <c r="E73" s="184">
        <f t="shared" si="17"/>
        <v>33230.28</v>
      </c>
      <c r="F73" s="186"/>
      <c r="G73" s="119">
        <f t="shared" si="10"/>
        <v>33230.28</v>
      </c>
      <c r="H73" s="181">
        <f t="shared" si="11"/>
        <v>33230.28</v>
      </c>
      <c r="I73" s="15" t="str">
        <f t="shared" si="12"/>
        <v/>
      </c>
    </row>
    <row r="74" spans="1:9" s="15" customFormat="1" x14ac:dyDescent="0.25">
      <c r="A74" s="221" t="s">
        <v>169</v>
      </c>
      <c r="B74" s="222"/>
      <c r="C74" s="223"/>
      <c r="D74" s="125">
        <v>10224.68</v>
      </c>
      <c r="E74" s="184">
        <f>D74</f>
        <v>10224.68</v>
      </c>
      <c r="F74" s="186"/>
      <c r="G74" s="119">
        <f t="shared" si="10"/>
        <v>10224.68</v>
      </c>
      <c r="H74" s="181">
        <f t="shared" si="11"/>
        <v>10224.68</v>
      </c>
      <c r="I74" s="15" t="str">
        <f t="shared" si="12"/>
        <v/>
      </c>
    </row>
    <row r="75" spans="1:9" s="15" customFormat="1" ht="15" customHeight="1" x14ac:dyDescent="0.25">
      <c r="A75" s="221" t="s">
        <v>168</v>
      </c>
      <c r="B75" s="222"/>
      <c r="C75" s="223"/>
      <c r="D75" s="125">
        <v>65000</v>
      </c>
      <c r="E75" s="184">
        <f t="shared" ref="E75:E77" si="18">D75</f>
        <v>65000</v>
      </c>
      <c r="F75" s="186"/>
      <c r="G75" s="119">
        <f t="shared" si="10"/>
        <v>65000</v>
      </c>
      <c r="H75" s="181">
        <f t="shared" si="11"/>
        <v>65000</v>
      </c>
      <c r="I75" s="15" t="str">
        <f t="shared" si="12"/>
        <v/>
      </c>
    </row>
    <row r="76" spans="1:9" s="15" customFormat="1" x14ac:dyDescent="0.25">
      <c r="A76" s="120" t="s">
        <v>180</v>
      </c>
      <c r="B76" s="120"/>
      <c r="C76" s="124"/>
      <c r="D76" s="125">
        <v>150000</v>
      </c>
      <c r="E76" s="184">
        <f t="shared" si="18"/>
        <v>150000</v>
      </c>
      <c r="F76" s="120"/>
      <c r="G76" s="119">
        <f t="shared" si="10"/>
        <v>150000</v>
      </c>
      <c r="H76" s="181">
        <f t="shared" si="11"/>
        <v>150000</v>
      </c>
      <c r="I76" s="15" t="str">
        <f t="shared" si="12"/>
        <v/>
      </c>
    </row>
    <row r="77" spans="1:9" s="15" customFormat="1" x14ac:dyDescent="0.25">
      <c r="A77" s="207" t="s">
        <v>179</v>
      </c>
      <c r="B77" s="120"/>
      <c r="C77" s="124"/>
      <c r="D77" s="125">
        <v>100000</v>
      </c>
      <c r="E77" s="184">
        <f t="shared" si="18"/>
        <v>100000</v>
      </c>
      <c r="F77" s="186"/>
      <c r="G77" s="119">
        <f t="shared" si="10"/>
        <v>100000</v>
      </c>
      <c r="H77" s="181">
        <f t="shared" si="11"/>
        <v>100000</v>
      </c>
      <c r="I77" s="15" t="str">
        <f t="shared" si="12"/>
        <v/>
      </c>
    </row>
    <row r="78" spans="1:9" s="15" customFormat="1" x14ac:dyDescent="0.25">
      <c r="A78" s="103" t="s">
        <v>165</v>
      </c>
      <c r="B78" s="197"/>
      <c r="C78" s="198"/>
      <c r="D78" s="125">
        <v>135000</v>
      </c>
      <c r="E78" s="184">
        <f t="shared" ref="E78:E79" si="19">D78*91.91%</f>
        <v>124078.49999999999</v>
      </c>
      <c r="F78" s="186">
        <f t="shared" ref="F78:F79" si="20">D78*8.09%</f>
        <v>10921.5</v>
      </c>
      <c r="G78" s="119">
        <f t="shared" si="10"/>
        <v>135000</v>
      </c>
      <c r="H78" s="181">
        <f t="shared" si="11"/>
        <v>135000</v>
      </c>
      <c r="I78" s="15" t="str">
        <f t="shared" si="12"/>
        <v/>
      </c>
    </row>
    <row r="79" spans="1:9" s="15" customFormat="1" x14ac:dyDescent="0.25">
      <c r="A79" s="144" t="s">
        <v>167</v>
      </c>
      <c r="B79" s="197"/>
      <c r="C79" s="198"/>
      <c r="D79" s="125">
        <v>100000</v>
      </c>
      <c r="E79" s="184">
        <f t="shared" si="19"/>
        <v>91909.999999999985</v>
      </c>
      <c r="F79" s="186">
        <f t="shared" si="20"/>
        <v>8090</v>
      </c>
      <c r="G79" s="119">
        <f t="shared" si="10"/>
        <v>100000</v>
      </c>
      <c r="H79" s="181">
        <f t="shared" si="11"/>
        <v>99999.999999999985</v>
      </c>
      <c r="I79" s="15" t="str">
        <f t="shared" si="12"/>
        <v/>
      </c>
    </row>
    <row r="80" spans="1:9" s="15" customFormat="1" x14ac:dyDescent="0.25">
      <c r="A80" s="103" t="s">
        <v>13</v>
      </c>
      <c r="B80" s="185"/>
      <c r="C80" s="120"/>
      <c r="D80" s="125">
        <v>475612.02</v>
      </c>
      <c r="E80" s="184">
        <f>D80*91.91%</f>
        <v>437135.00758199999</v>
      </c>
      <c r="F80" s="186">
        <f>D80*8.09%</f>
        <v>38477.012417999998</v>
      </c>
      <c r="G80" s="119">
        <f t="shared" si="10"/>
        <v>475612.02</v>
      </c>
      <c r="H80" s="181">
        <f t="shared" si="11"/>
        <v>475612.02</v>
      </c>
      <c r="I80" s="15" t="str">
        <f t="shared" si="12"/>
        <v/>
      </c>
    </row>
    <row r="81" spans="1:10" s="15" customFormat="1" hidden="1" x14ac:dyDescent="0.25">
      <c r="A81" s="124"/>
      <c r="B81" s="120"/>
      <c r="C81" s="120"/>
      <c r="D81" s="125"/>
      <c r="E81" s="184">
        <f t="shared" ref="E81:E86" si="21">D81</f>
        <v>0</v>
      </c>
      <c r="F81" s="186"/>
      <c r="G81" s="119">
        <f t="shared" si="10"/>
        <v>0</v>
      </c>
      <c r="H81" s="181">
        <f t="shared" si="11"/>
        <v>0</v>
      </c>
      <c r="I81" s="15" t="str">
        <f t="shared" si="12"/>
        <v/>
      </c>
    </row>
    <row r="82" spans="1:10" ht="14.25" customHeight="1" x14ac:dyDescent="0.25">
      <c r="A82" s="120" t="s">
        <v>126</v>
      </c>
      <c r="B82" s="120" t="s">
        <v>147</v>
      </c>
      <c r="C82" s="120"/>
      <c r="D82" s="125">
        <v>73764</v>
      </c>
      <c r="E82" s="184">
        <f t="shared" si="21"/>
        <v>73764</v>
      </c>
      <c r="F82" s="120"/>
      <c r="G82" s="119">
        <f t="shared" si="10"/>
        <v>73764</v>
      </c>
      <c r="H82" s="181">
        <f t="shared" si="11"/>
        <v>73764</v>
      </c>
      <c r="I82" s="15" t="str">
        <f t="shared" si="12"/>
        <v/>
      </c>
    </row>
    <row r="83" spans="1:10" s="15" customFormat="1" ht="14.25" customHeight="1" x14ac:dyDescent="0.25">
      <c r="A83" s="124" t="s">
        <v>160</v>
      </c>
      <c r="B83" s="124"/>
      <c r="C83" s="120"/>
      <c r="D83" s="125">
        <v>30000</v>
      </c>
      <c r="E83" s="184">
        <f t="shared" si="21"/>
        <v>30000</v>
      </c>
      <c r="F83" s="120"/>
      <c r="G83" s="119">
        <f t="shared" si="10"/>
        <v>30000</v>
      </c>
      <c r="H83" s="181"/>
    </row>
    <row r="84" spans="1:10" s="15" customFormat="1" ht="14.25" customHeight="1" x14ac:dyDescent="0.25">
      <c r="A84" s="124" t="s">
        <v>163</v>
      </c>
      <c r="B84" s="180"/>
      <c r="C84" s="120"/>
      <c r="D84" s="125">
        <v>16400</v>
      </c>
      <c r="E84" s="184">
        <f t="shared" si="21"/>
        <v>16400</v>
      </c>
      <c r="F84" s="186"/>
      <c r="G84" s="119">
        <f t="shared" si="10"/>
        <v>16400</v>
      </c>
      <c r="H84" s="181">
        <f t="shared" si="11"/>
        <v>16400</v>
      </c>
      <c r="I84" s="15" t="str">
        <f t="shared" si="12"/>
        <v/>
      </c>
    </row>
    <row r="85" spans="1:10" s="15" customFormat="1" ht="15" customHeight="1" x14ac:dyDescent="0.25">
      <c r="A85" s="224" t="s">
        <v>162</v>
      </c>
      <c r="B85" s="225"/>
      <c r="C85" s="226"/>
      <c r="D85" s="125">
        <v>200000</v>
      </c>
      <c r="E85" s="184">
        <f t="shared" si="21"/>
        <v>200000</v>
      </c>
      <c r="F85" s="186"/>
      <c r="G85" s="119">
        <f t="shared" si="10"/>
        <v>200000</v>
      </c>
      <c r="H85" s="181"/>
    </row>
    <row r="86" spans="1:10" x14ac:dyDescent="0.25">
      <c r="A86" s="172"/>
      <c r="B86" s="173"/>
      <c r="C86" s="173"/>
      <c r="D86" s="193"/>
      <c r="E86" s="184">
        <f t="shared" si="21"/>
        <v>0</v>
      </c>
      <c r="F86" s="186"/>
      <c r="G86" s="119">
        <f t="shared" si="10"/>
        <v>0</v>
      </c>
      <c r="H86" s="181">
        <f t="shared" si="11"/>
        <v>0</v>
      </c>
      <c r="I86" s="15" t="str">
        <f>IF(G86=H86, "", "Error")</f>
        <v/>
      </c>
    </row>
    <row r="87" spans="1:10" x14ac:dyDescent="0.25">
      <c r="A87" s="189" t="s">
        <v>14</v>
      </c>
      <c r="B87" s="189"/>
      <c r="C87" s="189"/>
      <c r="D87" s="118">
        <f>SUM(D56:D86)</f>
        <v>4576057.62</v>
      </c>
      <c r="E87" s="118">
        <f>SUM(E56:E86)</f>
        <v>4330746.5207240004</v>
      </c>
      <c r="F87" s="118">
        <f>SUM(F56:F86)</f>
        <v>245311.09927599999</v>
      </c>
      <c r="G87" s="119">
        <f>E87+F87</f>
        <v>4576057.62</v>
      </c>
      <c r="H87" s="166" t="str">
        <f>IF(D87=G87, "", "Error")</f>
        <v/>
      </c>
      <c r="I87" s="15"/>
    </row>
    <row r="88" spans="1:10" s="3" customFormat="1" hidden="1" x14ac:dyDescent="0.25">
      <c r="A88" s="120"/>
      <c r="B88" s="120"/>
      <c r="C88" s="120"/>
      <c r="D88" s="116"/>
      <c r="E88" s="182"/>
      <c r="F88" s="120"/>
      <c r="H88" s="166"/>
    </row>
    <row r="89" spans="1:10" hidden="1" x14ac:dyDescent="0.25">
      <c r="A89" s="120"/>
      <c r="B89" s="120"/>
      <c r="C89" s="120"/>
      <c r="D89" s="116"/>
      <c r="E89" s="180"/>
      <c r="F89" s="120"/>
      <c r="H89" s="166"/>
    </row>
    <row r="90" spans="1:10" hidden="1" x14ac:dyDescent="0.25">
      <c r="A90" s="120"/>
      <c r="B90" s="120"/>
      <c r="C90" s="120"/>
      <c r="D90" s="116"/>
      <c r="E90" s="180"/>
      <c r="F90" s="120"/>
      <c r="H90" s="166"/>
    </row>
    <row r="91" spans="1:10" x14ac:dyDescent="0.25">
      <c r="A91" s="103" t="s">
        <v>15</v>
      </c>
      <c r="B91" s="124"/>
      <c r="C91" s="120"/>
      <c r="D91" s="125">
        <v>0</v>
      </c>
      <c r="E91" s="184">
        <f>D91*91.91%</f>
        <v>0</v>
      </c>
      <c r="F91" s="186">
        <f>D91*8.09%</f>
        <v>0</v>
      </c>
      <c r="G91" s="179"/>
      <c r="H91" s="166"/>
    </row>
    <row r="92" spans="1:10" s="15" customFormat="1" ht="14.25" customHeight="1" x14ac:dyDescent="0.25">
      <c r="A92" s="103" t="s">
        <v>173</v>
      </c>
      <c r="B92" s="124"/>
      <c r="C92" s="120"/>
      <c r="D92" s="116">
        <v>144138.88</v>
      </c>
      <c r="E92" s="184">
        <f>D92*91.91%</f>
        <v>132478.044608</v>
      </c>
      <c r="F92" s="186">
        <f>D92*8.09%</f>
        <v>11660.835392000001</v>
      </c>
      <c r="H92" s="166"/>
    </row>
    <row r="93" spans="1:10" s="15" customFormat="1" x14ac:dyDescent="0.25">
      <c r="A93" s="124"/>
      <c r="B93" s="183"/>
      <c r="C93" s="120"/>
      <c r="D93" s="125"/>
      <c r="E93" s="184">
        <f>D93</f>
        <v>0</v>
      </c>
      <c r="F93" s="186"/>
      <c r="H93" s="166"/>
    </row>
    <row r="94" spans="1:10" s="15" customFormat="1" x14ac:dyDescent="0.25">
      <c r="A94" s="120"/>
      <c r="B94" s="120"/>
      <c r="C94" s="120"/>
      <c r="D94" s="125"/>
      <c r="E94" s="188">
        <f>D94</f>
        <v>0</v>
      </c>
      <c r="F94" s="120"/>
      <c r="H94" s="166"/>
      <c r="I94" s="119"/>
    </row>
    <row r="95" spans="1:10" s="15" customFormat="1" ht="13.5" customHeight="1" x14ac:dyDescent="0.25">
      <c r="A95" s="104" t="s">
        <v>20</v>
      </c>
      <c r="B95" s="104"/>
      <c r="C95" s="104"/>
      <c r="D95" s="117">
        <f>SUM(D91:D94)</f>
        <v>144138.88</v>
      </c>
      <c r="E95" s="117">
        <f t="shared" ref="E95:F95" si="22">SUM(E91:E94)</f>
        <v>132478.044608</v>
      </c>
      <c r="F95" s="117">
        <f t="shared" si="22"/>
        <v>11660.835392000001</v>
      </c>
      <c r="G95" s="119">
        <f>E95+F95</f>
        <v>144138.88</v>
      </c>
      <c r="H95" s="166" t="str">
        <f>IF(D95=G95, "", "Error")</f>
        <v/>
      </c>
      <c r="J95" s="119"/>
    </row>
    <row r="96" spans="1:10" hidden="1" x14ac:dyDescent="0.25">
      <c r="A96" s="9"/>
      <c r="B96" s="9"/>
      <c r="C96" s="9"/>
      <c r="D96" s="116"/>
      <c r="E96" s="127"/>
      <c r="F96" s="9"/>
      <c r="H96" s="166"/>
    </row>
    <row r="97" spans="1:10" hidden="1" x14ac:dyDescent="0.25">
      <c r="A97" s="9"/>
      <c r="B97" s="9"/>
      <c r="C97" s="9"/>
      <c r="D97" s="116"/>
      <c r="E97" s="126"/>
      <c r="F97" s="9"/>
      <c r="H97" s="166"/>
    </row>
    <row r="98" spans="1:10" x14ac:dyDescent="0.25">
      <c r="A98" s="103" t="s">
        <v>16</v>
      </c>
      <c r="B98" s="9"/>
      <c r="C98" s="9"/>
      <c r="D98" s="116"/>
      <c r="E98" s="126"/>
      <c r="F98" s="9"/>
      <c r="H98" s="166"/>
    </row>
    <row r="99" spans="1:10" ht="14.25" customHeight="1" x14ac:dyDescent="0.25">
      <c r="A99" s="103" t="s">
        <v>17</v>
      </c>
      <c r="B99" s="9" t="s">
        <v>123</v>
      </c>
      <c r="C99" s="9"/>
      <c r="D99" s="125">
        <v>222264.92</v>
      </c>
      <c r="E99" s="165">
        <f>D99*91.91%</f>
        <v>204283.68797199999</v>
      </c>
      <c r="F99" s="149">
        <f>D99*8.09%</f>
        <v>17981.232028000002</v>
      </c>
      <c r="H99" s="166"/>
    </row>
    <row r="100" spans="1:10" s="15" customFormat="1" ht="15" hidden="1" customHeight="1" x14ac:dyDescent="0.25">
      <c r="A100" s="103"/>
      <c r="B100" s="9"/>
      <c r="C100" s="9"/>
      <c r="D100" s="125"/>
      <c r="E100" s="165"/>
      <c r="F100" s="149"/>
      <c r="H100" s="166"/>
    </row>
    <row r="101" spans="1:10" x14ac:dyDescent="0.25">
      <c r="A101" s="103" t="s">
        <v>113</v>
      </c>
      <c r="B101" s="9"/>
      <c r="C101" s="9"/>
      <c r="D101" s="125">
        <v>25000</v>
      </c>
      <c r="E101" s="165">
        <f>D101*91.91%</f>
        <v>22977.499999999996</v>
      </c>
      <c r="F101" s="149">
        <f>D101*8.09%</f>
        <v>2022.5</v>
      </c>
      <c r="H101" s="166"/>
      <c r="J101" s="125"/>
    </row>
    <row r="102" spans="1:10" x14ac:dyDescent="0.25">
      <c r="A102" s="9"/>
      <c r="B102" s="9"/>
      <c r="C102" s="9"/>
      <c r="D102" s="125"/>
      <c r="E102" s="128"/>
      <c r="F102" s="9"/>
      <c r="H102" s="166"/>
    </row>
    <row r="103" spans="1:10" x14ac:dyDescent="0.25">
      <c r="A103" s="9"/>
      <c r="B103" s="9"/>
      <c r="C103" s="9"/>
      <c r="D103" s="116"/>
      <c r="E103" s="129"/>
      <c r="F103" s="9"/>
      <c r="H103" s="166"/>
      <c r="J103" s="119"/>
    </row>
    <row r="104" spans="1:10" s="15" customFormat="1" x14ac:dyDescent="0.25">
      <c r="A104" s="104" t="s">
        <v>105</v>
      </c>
      <c r="B104" s="104"/>
      <c r="C104" s="104"/>
      <c r="D104" s="117">
        <f>SUM(D99:D103)</f>
        <v>247264.92</v>
      </c>
      <c r="E104" s="117">
        <f t="shared" ref="E104:F104" si="23">SUM(E99:E103)</f>
        <v>227261.18797199999</v>
      </c>
      <c r="F104" s="117">
        <f t="shared" si="23"/>
        <v>20003.732028000002</v>
      </c>
      <c r="G104" s="119">
        <f>E104+F104</f>
        <v>247264.91999999998</v>
      </c>
      <c r="H104" s="166" t="str">
        <f>IF(D104=G104, "", "Error")</f>
        <v/>
      </c>
      <c r="J104" s="119"/>
    </row>
    <row r="105" spans="1:10" s="15" customFormat="1" ht="14.25" customHeight="1" x14ac:dyDescent="0.25">
      <c r="A105" s="9"/>
      <c r="B105" s="9"/>
      <c r="C105" s="9"/>
      <c r="D105" s="125"/>
      <c r="E105" s="130"/>
      <c r="F105" s="9"/>
      <c r="H105" s="166"/>
    </row>
    <row r="106" spans="1:10" x14ac:dyDescent="0.25">
      <c r="A106" s="103" t="s">
        <v>106</v>
      </c>
      <c r="B106" s="9"/>
      <c r="C106" s="9"/>
      <c r="D106" s="125">
        <v>101927.88</v>
      </c>
      <c r="E106" s="165">
        <f>D106*91.91%</f>
        <v>93681.914508000002</v>
      </c>
      <c r="F106" s="149">
        <f>D106*8.09%</f>
        <v>8245.9654920000012</v>
      </c>
      <c r="H106" s="166"/>
    </row>
    <row r="107" spans="1:10" x14ac:dyDescent="0.25">
      <c r="A107" s="103" t="s">
        <v>107</v>
      </c>
      <c r="B107" s="9"/>
      <c r="C107" s="137"/>
      <c r="D107" s="125">
        <v>35500</v>
      </c>
      <c r="E107" s="165">
        <f>D107*91.91%</f>
        <v>32628.049999999996</v>
      </c>
      <c r="F107" s="149">
        <f>D107*8.09%</f>
        <v>2871.95</v>
      </c>
      <c r="H107" s="166"/>
    </row>
    <row r="108" spans="1:10" x14ac:dyDescent="0.25">
      <c r="A108" s="104" t="s">
        <v>18</v>
      </c>
      <c r="B108" s="104"/>
      <c r="C108" s="104"/>
      <c r="D108" s="177">
        <f>SUM(D106:D107)</f>
        <v>137427.88</v>
      </c>
      <c r="E108" s="163">
        <f t="shared" ref="E108:F108" si="24">SUM(E106:E107)</f>
        <v>126309.964508</v>
      </c>
      <c r="F108" s="163">
        <f t="shared" si="24"/>
        <v>11117.915492</v>
      </c>
      <c r="G108" s="119">
        <f>E108+F108</f>
        <v>137427.88</v>
      </c>
      <c r="H108" s="166" t="str">
        <f>IF(D108=G108, "", "Error")</f>
        <v/>
      </c>
    </row>
    <row r="109" spans="1:10" ht="15.75" thickBot="1" x14ac:dyDescent="0.3">
      <c r="A109" s="9"/>
      <c r="B109" s="9"/>
      <c r="C109" s="9"/>
      <c r="D109" s="9"/>
      <c r="E109" s="14"/>
      <c r="F109" s="9"/>
      <c r="H109" s="166"/>
    </row>
    <row r="110" spans="1:10" ht="15.75" thickBot="1" x14ac:dyDescent="0.3">
      <c r="A110" s="108" t="s">
        <v>144</v>
      </c>
      <c r="B110" s="108"/>
      <c r="C110" s="108"/>
      <c r="D110" s="167"/>
      <c r="E110" s="131">
        <f>D110*91.91%</f>
        <v>0</v>
      </c>
      <c r="F110" s="151">
        <f>D110*8.09%</f>
        <v>0</v>
      </c>
      <c r="G110" s="119">
        <f>E110+F110</f>
        <v>0</v>
      </c>
      <c r="H110" s="166" t="str">
        <f>IF(D110=G110, "", "Error")</f>
        <v/>
      </c>
    </row>
    <row r="111" spans="1:10" ht="15.75" thickBot="1" x14ac:dyDescent="0.3">
      <c r="A111" s="1"/>
      <c r="B111" s="4"/>
      <c r="C111" s="4"/>
      <c r="D111" s="4"/>
      <c r="E111" s="2"/>
      <c r="F111" s="12"/>
      <c r="G111" s="174">
        <f>SUM(G27:G110)</f>
        <v>11507815.270000001</v>
      </c>
      <c r="H111" s="166"/>
    </row>
    <row r="112" spans="1:10" ht="15.75" thickBot="1" x14ac:dyDescent="0.3">
      <c r="A112" s="6" t="s">
        <v>108</v>
      </c>
      <c r="B112" s="68"/>
      <c r="C112" s="7"/>
      <c r="D112" s="164">
        <f>SUM(D110+D108+D104+D95+D87+D54+D35+D30+D47)</f>
        <v>6949271.6499999994</v>
      </c>
      <c r="E112" s="164">
        <f>SUM(E110+E108+E104+E95+E87+E54+E35+E30+E47)</f>
        <v>6518439.535697001</v>
      </c>
      <c r="F112" s="164">
        <f>SUM(F110+F108+F104+F95+F87+F54+F35+F30+F47)</f>
        <v>430832.11430299998</v>
      </c>
      <c r="G112" s="119">
        <f>E112+F112</f>
        <v>6949271.6500000013</v>
      </c>
      <c r="H112" s="166" t="str">
        <f>IF(D112=G112, "", "Error")</f>
        <v/>
      </c>
    </row>
    <row r="113" spans="1:9" ht="15.75" thickBot="1" x14ac:dyDescent="0.3">
      <c r="E113" s="119"/>
    </row>
    <row r="114" spans="1:9" s="15" customFormat="1" ht="15.75" thickBot="1" x14ac:dyDescent="0.3">
      <c r="A114" s="158" t="s">
        <v>127</v>
      </c>
      <c r="B114" s="157"/>
      <c r="C114" s="157"/>
      <c r="E114" s="119"/>
    </row>
    <row r="115" spans="1:9" s="15" customFormat="1" x14ac:dyDescent="0.25">
      <c r="A115" s="154"/>
      <c r="B115" s="4"/>
      <c r="C115" s="155"/>
      <c r="E115" s="119"/>
    </row>
    <row r="116" spans="1:9" s="15" customFormat="1" ht="15.75" thickBot="1" x14ac:dyDescent="0.3">
      <c r="A116" s="154"/>
      <c r="B116" s="4"/>
      <c r="C116" s="155"/>
      <c r="E116" s="119"/>
    </row>
    <row r="117" spans="1:9" s="15" customFormat="1" ht="15.75" thickBot="1" x14ac:dyDescent="0.3">
      <c r="A117" s="159" t="s">
        <v>33</v>
      </c>
      <c r="B117" s="160"/>
      <c r="C117" s="156">
        <f>SUM(C115:C116)</f>
        <v>0</v>
      </c>
      <c r="E117" s="119"/>
    </row>
    <row r="118" spans="1:9" s="15" customFormat="1" x14ac:dyDescent="0.25">
      <c r="E118" s="119"/>
    </row>
    <row r="119" spans="1:9" s="15" customFormat="1" x14ac:dyDescent="0.25">
      <c r="E119" s="152"/>
    </row>
    <row r="120" spans="1:9" s="15" customFormat="1" x14ac:dyDescent="0.25">
      <c r="A120" s="233" t="s">
        <v>119</v>
      </c>
      <c r="B120" s="234"/>
      <c r="C120" s="234"/>
      <c r="D120" s="234"/>
      <c r="E120" s="200" t="s">
        <v>25</v>
      </c>
      <c r="F120" s="201" t="s">
        <v>129</v>
      </c>
    </row>
    <row r="121" spans="1:9" s="15" customFormat="1" x14ac:dyDescent="0.25">
      <c r="A121" s="230" t="s">
        <v>171</v>
      </c>
      <c r="B121" s="231"/>
      <c r="C121" s="232"/>
      <c r="D121" s="193">
        <f>64875.65</f>
        <v>64875.65</v>
      </c>
      <c r="E121" s="165">
        <f>D121*91.91%</f>
        <v>59627.209914999999</v>
      </c>
      <c r="F121" s="149">
        <f>D121*8.09%</f>
        <v>5248.4400850000002</v>
      </c>
    </row>
    <row r="122" spans="1:9" s="15" customFormat="1" ht="36" customHeight="1" x14ac:dyDescent="0.25">
      <c r="A122" s="227" t="s">
        <v>166</v>
      </c>
      <c r="B122" s="228"/>
      <c r="C122" s="229"/>
      <c r="D122" s="125">
        <v>660000</v>
      </c>
      <c r="E122" s="165">
        <f>D122*91.91%</f>
        <v>606606</v>
      </c>
      <c r="F122" s="149">
        <f>D122*8.09%</f>
        <v>53394</v>
      </c>
    </row>
    <row r="123" spans="1:9" s="15" customFormat="1" ht="36" customHeight="1" x14ac:dyDescent="0.25">
      <c r="A123" s="202" t="s">
        <v>141</v>
      </c>
      <c r="B123" s="203"/>
      <c r="C123" s="204"/>
      <c r="D123" s="125">
        <v>22270.75</v>
      </c>
      <c r="E123" s="165">
        <f>D123*91.91%</f>
        <v>20469.046324999999</v>
      </c>
      <c r="F123" s="149">
        <f>D123*8.09%</f>
        <v>1801.703675</v>
      </c>
    </row>
    <row r="124" spans="1:9" s="15" customFormat="1" ht="28.5" customHeight="1" x14ac:dyDescent="0.25">
      <c r="A124" s="227"/>
      <c r="B124" s="228"/>
      <c r="C124" s="229"/>
      <c r="D124" s="125"/>
      <c r="E124" s="165">
        <f>D124*91.91%</f>
        <v>0</v>
      </c>
      <c r="F124" s="149">
        <f>D124*8.09%</f>
        <v>0</v>
      </c>
    </row>
    <row r="125" spans="1:9" s="15" customFormat="1" x14ac:dyDescent="0.25">
      <c r="A125" s="218" t="s">
        <v>33</v>
      </c>
      <c r="B125" s="219"/>
      <c r="C125" s="220"/>
      <c r="D125" s="199">
        <f>SUM(D121:D124)</f>
        <v>747146.4</v>
      </c>
      <c r="E125" s="199">
        <f>SUM(E121:E124)</f>
        <v>686702.25624000002</v>
      </c>
      <c r="F125" s="199">
        <f>SUM(F121:F124)</f>
        <v>60444.143759999999</v>
      </c>
      <c r="H125" s="119">
        <f>E125+F125</f>
        <v>747146.4</v>
      </c>
      <c r="I125" s="166" t="str">
        <f>IF(D125=H125, "", "Error")</f>
        <v/>
      </c>
    </row>
    <row r="126" spans="1:9" s="15" customFormat="1" x14ac:dyDescent="0.25"/>
    <row r="127" spans="1:9" ht="15.75" thickBot="1" x14ac:dyDescent="0.3">
      <c r="A127" s="15"/>
      <c r="B127" s="15"/>
      <c r="C127" s="15"/>
      <c r="D127" s="15"/>
      <c r="E127" s="119"/>
      <c r="F127" s="15"/>
    </row>
    <row r="128" spans="1:9" ht="15.75" thickBot="1" x14ac:dyDescent="0.3">
      <c r="A128" s="111" t="s">
        <v>109</v>
      </c>
      <c r="B128" s="112">
        <f>D112</f>
        <v>6949271.6499999994</v>
      </c>
      <c r="C128" s="15"/>
      <c r="D128" s="15"/>
      <c r="E128" s="15"/>
      <c r="F128" s="15"/>
    </row>
    <row r="129" spans="1:7" ht="15.75" thickBot="1" x14ac:dyDescent="0.3">
      <c r="A129" s="113" t="s">
        <v>111</v>
      </c>
      <c r="B129" s="114">
        <f>D112-D110</f>
        <v>6949271.6499999994</v>
      </c>
    </row>
    <row r="130" spans="1:7" x14ac:dyDescent="0.25">
      <c r="A130" s="15"/>
      <c r="B130" s="15"/>
      <c r="C130" s="15"/>
      <c r="D130" s="15"/>
      <c r="E130" s="15"/>
    </row>
    <row r="131" spans="1:7" x14ac:dyDescent="0.25">
      <c r="A131" s="82" t="s">
        <v>95</v>
      </c>
      <c r="B131" s="83"/>
      <c r="C131" s="84"/>
    </row>
    <row r="132" spans="1:7" x14ac:dyDescent="0.25">
      <c r="A132" s="85" t="s">
        <v>96</v>
      </c>
      <c r="B132" s="86">
        <v>1875171.2659766937</v>
      </c>
      <c r="C132" s="86"/>
    </row>
    <row r="133" spans="1:7" x14ac:dyDescent="0.25">
      <c r="A133" s="87" t="s">
        <v>97</v>
      </c>
      <c r="B133" s="101">
        <f>PRORRATEO!G52</f>
        <v>7204167.012614768</v>
      </c>
      <c r="C133" s="86" t="s">
        <v>98</v>
      </c>
    </row>
    <row r="134" spans="1:7" x14ac:dyDescent="0.25">
      <c r="A134" s="88" t="s">
        <v>121</v>
      </c>
      <c r="B134" s="206">
        <f>-B129</f>
        <v>-6949271.6499999994</v>
      </c>
      <c r="C134" s="84"/>
      <c r="G134" s="125"/>
    </row>
    <row r="135" spans="1:7" s="15" customFormat="1" x14ac:dyDescent="0.25">
      <c r="A135" s="88" t="s">
        <v>120</v>
      </c>
      <c r="B135" s="206">
        <f>-D125</f>
        <v>-747146.4</v>
      </c>
      <c r="C135" s="84"/>
      <c r="D135" s="119"/>
      <c r="G135" s="140"/>
    </row>
    <row r="136" spans="1:7" x14ac:dyDescent="0.25">
      <c r="A136" s="87" t="s">
        <v>110</v>
      </c>
      <c r="B136" s="206">
        <f>-B143</f>
        <v>-78500</v>
      </c>
      <c r="C136" s="89"/>
    </row>
    <row r="137" spans="1:7" s="15" customFormat="1" x14ac:dyDescent="0.25">
      <c r="A137" s="87" t="s">
        <v>127</v>
      </c>
      <c r="B137" s="102">
        <f>-C117</f>
        <v>0</v>
      </c>
      <c r="C137" s="89"/>
    </row>
    <row r="138" spans="1:7" x14ac:dyDescent="0.25">
      <c r="A138" s="87"/>
      <c r="B138" s="83"/>
      <c r="C138" s="89"/>
    </row>
    <row r="139" spans="1:7" x14ac:dyDescent="0.25">
      <c r="A139" s="85" t="s">
        <v>99</v>
      </c>
      <c r="B139" s="90">
        <f>SUM(B132:B138)</f>
        <v>1304420.2285914621</v>
      </c>
      <c r="C139" s="171"/>
    </row>
    <row r="140" spans="1:7" x14ac:dyDescent="0.25">
      <c r="A140" s="89"/>
      <c r="B140" s="15"/>
      <c r="C140" s="84"/>
      <c r="D140" s="92"/>
    </row>
    <row r="141" spans="1:7" x14ac:dyDescent="0.25">
      <c r="A141" s="15"/>
      <c r="B141" s="15"/>
      <c r="C141" s="84"/>
      <c r="D141" s="119"/>
    </row>
    <row r="142" spans="1:7" x14ac:dyDescent="0.25">
      <c r="A142" s="82" t="s">
        <v>100</v>
      </c>
      <c r="B142" s="13">
        <v>-317194.54000000004</v>
      </c>
      <c r="C142" s="91"/>
    </row>
    <row r="143" spans="1:7" ht="14.25" customHeight="1" x14ac:dyDescent="0.25">
      <c r="A143" s="85" t="s">
        <v>149</v>
      </c>
      <c r="B143" s="101">
        <v>78500</v>
      </c>
      <c r="C143" s="91"/>
      <c r="E143" s="119"/>
    </row>
    <row r="144" spans="1:7" s="15" customFormat="1" hidden="1" x14ac:dyDescent="0.25">
      <c r="A144" s="85"/>
      <c r="B144" s="206"/>
      <c r="C144" s="91"/>
      <c r="E144" s="119"/>
    </row>
    <row r="145" spans="1:14" s="15" customFormat="1" hidden="1" x14ac:dyDescent="0.25">
      <c r="A145" s="85"/>
      <c r="B145" s="206"/>
      <c r="C145" s="91"/>
      <c r="E145" s="119"/>
    </row>
    <row r="146" spans="1:14" s="15" customFormat="1" x14ac:dyDescent="0.25">
      <c r="A146" s="85" t="s">
        <v>178</v>
      </c>
      <c r="B146" s="206">
        <v>-9500</v>
      </c>
      <c r="C146" s="91"/>
      <c r="E146" s="119"/>
    </row>
    <row r="147" spans="1:14" ht="33" customHeight="1" x14ac:dyDescent="0.25">
      <c r="A147" s="124" t="s">
        <v>155</v>
      </c>
      <c r="B147" s="191">
        <v>-7500</v>
      </c>
      <c r="C147" s="91"/>
    </row>
    <row r="148" spans="1:14" x14ac:dyDescent="0.25">
      <c r="A148" s="109" t="s">
        <v>33</v>
      </c>
      <c r="B148" s="110">
        <f>SUM(B142:B147)</f>
        <v>-255694.54000000004</v>
      </c>
      <c r="C148" s="91"/>
    </row>
    <row r="149" spans="1:14" x14ac:dyDescent="0.25">
      <c r="A149" s="15"/>
      <c r="B149" s="15"/>
      <c r="C149" s="92"/>
    </row>
    <row r="150" spans="1:14" x14ac:dyDescent="0.25">
      <c r="A150" s="15"/>
      <c r="B150" s="89"/>
      <c r="C150" s="84"/>
    </row>
    <row r="152" spans="1:14" x14ac:dyDescent="0.25">
      <c r="N152" s="14"/>
    </row>
  </sheetData>
  <mergeCells count="12">
    <mergeCell ref="B14:D17"/>
    <mergeCell ref="A125:C125"/>
    <mergeCell ref="A72:C72"/>
    <mergeCell ref="A73:C73"/>
    <mergeCell ref="A75:C75"/>
    <mergeCell ref="A85:C85"/>
    <mergeCell ref="A122:C122"/>
    <mergeCell ref="A124:C124"/>
    <mergeCell ref="A121:C121"/>
    <mergeCell ref="A120:D120"/>
    <mergeCell ref="B56:C56"/>
    <mergeCell ref="A74:C74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"/>
  <sheetViews>
    <sheetView tabSelected="1" topLeftCell="A46" zoomScaleNormal="100" workbookViewId="0">
      <selection activeCell="D68" sqref="D68"/>
    </sheetView>
  </sheetViews>
  <sheetFormatPr baseColWidth="10" defaultRowHeight="15" x14ac:dyDescent="0.25"/>
  <cols>
    <col min="1" max="1" width="4.5703125" customWidth="1"/>
    <col min="2" max="2" width="17.140625" hidden="1" customWidth="1"/>
    <col min="3" max="3" width="5.28515625" customWidth="1"/>
    <col min="4" max="4" width="21.7109375" customWidth="1"/>
    <col min="5" max="5" width="6.140625" customWidth="1"/>
    <col min="6" max="7" width="12" bestFit="1" customWidth="1"/>
    <col min="8" max="8" width="9" customWidth="1"/>
    <col min="9" max="9" width="6" style="15" customWidth="1"/>
    <col min="10" max="10" width="13.7109375" customWidth="1"/>
    <col min="11" max="11" width="13.28515625" customWidth="1"/>
    <col min="12" max="12" width="10.42578125" customWidth="1"/>
    <col min="13" max="13" width="14.28515625" customWidth="1"/>
    <col min="14" max="14" width="13.7109375" customWidth="1"/>
    <col min="15" max="15" width="11.42578125" customWidth="1"/>
    <col min="16" max="16" width="14.5703125" bestFit="1" customWidth="1"/>
  </cols>
  <sheetData>
    <row r="1" spans="1:16" x14ac:dyDescent="0.25">
      <c r="A1" s="10"/>
      <c r="B1" s="10"/>
      <c r="C1" s="10"/>
      <c r="D1" s="10"/>
      <c r="E1" s="10"/>
      <c r="F1" s="10" t="s">
        <v>21</v>
      </c>
      <c r="G1" s="10"/>
      <c r="H1" s="10"/>
      <c r="I1" s="10"/>
      <c r="J1" s="10"/>
      <c r="K1" s="10" t="s">
        <v>131</v>
      </c>
      <c r="L1" s="244">
        <f>RESUMEN!D112</f>
        <v>6949271.6499999994</v>
      </c>
      <c r="M1" s="245"/>
      <c r="N1" s="169"/>
      <c r="O1" s="150">
        <f>L1*8.09%</f>
        <v>562196.07648499997</v>
      </c>
    </row>
    <row r="2" spans="1:16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 t="s">
        <v>132</v>
      </c>
      <c r="L2" s="10"/>
      <c r="M2" s="169">
        <f>L1+O2+6643*2-1439-128+3800+240+20-200-2+180+15-3617.5-290-29+390+35</f>
        <v>7092199.1121819997</v>
      </c>
      <c r="N2" s="170"/>
      <c r="O2" s="150">
        <f>O1-K7-553-50-86-8</f>
        <v>130666.96218199999</v>
      </c>
    </row>
    <row r="3" spans="1:16" x14ac:dyDescent="0.25">
      <c r="A3" s="10" t="str">
        <f>RESUMEN!C5</f>
        <v>VTO. 13/02</v>
      </c>
      <c r="B3" s="10"/>
      <c r="C3" s="10"/>
      <c r="D3" s="10"/>
      <c r="E3" s="10"/>
      <c r="F3" s="10"/>
      <c r="G3" s="10"/>
      <c r="H3" s="10"/>
      <c r="I3" s="10"/>
      <c r="J3" s="11"/>
      <c r="K3" s="10" t="s">
        <v>142</v>
      </c>
      <c r="L3" s="10"/>
      <c r="M3" s="143">
        <v>747146.4</v>
      </c>
      <c r="N3" s="168"/>
      <c r="O3" s="81"/>
    </row>
    <row r="4" spans="1:16" ht="15.75" thickBot="1" x14ac:dyDescent="0.3">
      <c r="A4" s="10"/>
      <c r="B4" s="10"/>
      <c r="C4" s="10"/>
      <c r="D4" s="10"/>
      <c r="E4" s="10"/>
      <c r="F4" s="10"/>
      <c r="G4" s="10"/>
      <c r="H4" s="10"/>
      <c r="I4" s="10"/>
      <c r="J4" s="138">
        <f>(J3*8.09%)/44</f>
        <v>0</v>
      </c>
      <c r="K4" s="10" t="s">
        <v>132</v>
      </c>
      <c r="L4" s="10"/>
      <c r="M4" s="143">
        <f>747146+80000-13000-1182-59+5</f>
        <v>812910</v>
      </c>
      <c r="N4" s="139"/>
    </row>
    <row r="5" spans="1:16" x14ac:dyDescent="0.25">
      <c r="A5" s="237" t="s">
        <v>23</v>
      </c>
      <c r="B5" s="239" t="s">
        <v>24</v>
      </c>
      <c r="C5" s="237" t="s">
        <v>25</v>
      </c>
      <c r="D5" s="241" t="s">
        <v>26</v>
      </c>
      <c r="E5" s="237" t="s">
        <v>102</v>
      </c>
      <c r="F5" s="237" t="s">
        <v>27</v>
      </c>
      <c r="G5" s="237" t="s">
        <v>28</v>
      </c>
      <c r="H5" s="248" t="s">
        <v>29</v>
      </c>
      <c r="I5" s="241" t="s">
        <v>114</v>
      </c>
      <c r="J5" s="246" t="s">
        <v>30</v>
      </c>
      <c r="K5" s="246" t="s">
        <v>74</v>
      </c>
      <c r="L5" s="251" t="s">
        <v>130</v>
      </c>
      <c r="M5" s="246" t="s">
        <v>72</v>
      </c>
      <c r="N5" s="246" t="s">
        <v>73</v>
      </c>
    </row>
    <row r="6" spans="1:16" x14ac:dyDescent="0.25">
      <c r="A6" s="238"/>
      <c r="B6" s="240"/>
      <c r="C6" s="238"/>
      <c r="D6" s="242"/>
      <c r="E6" s="238"/>
      <c r="F6" s="238"/>
      <c r="G6" s="238"/>
      <c r="H6" s="249"/>
      <c r="I6" s="253"/>
      <c r="J6" s="247"/>
      <c r="K6" s="250"/>
      <c r="L6" s="252"/>
      <c r="M6" s="250"/>
      <c r="N6" s="247"/>
    </row>
    <row r="7" spans="1:16" x14ac:dyDescent="0.25">
      <c r="A7" s="9" t="s">
        <v>37</v>
      </c>
      <c r="B7" s="9"/>
      <c r="C7" s="9">
        <v>1</v>
      </c>
      <c r="D7" s="148" t="s">
        <v>38</v>
      </c>
      <c r="E7" s="9">
        <v>8.09</v>
      </c>
      <c r="F7" s="97">
        <v>408464.07492100005</v>
      </c>
      <c r="G7" s="175">
        <f>F7</f>
        <v>408464.07492100005</v>
      </c>
      <c r="H7" s="146">
        <f>F7-G7</f>
        <v>0</v>
      </c>
      <c r="I7" s="115">
        <v>10</v>
      </c>
      <c r="J7" s="97">
        <v>60444.143759999999</v>
      </c>
      <c r="K7" s="97">
        <v>430832.11430299998</v>
      </c>
      <c r="L7" s="107">
        <v>0</v>
      </c>
      <c r="M7" s="8">
        <f>K7+J7+H7+L7</f>
        <v>491276.25806299999</v>
      </c>
      <c r="N7" s="13">
        <f>M7*6% + M7</f>
        <v>520752.83354677999</v>
      </c>
    </row>
    <row r="8" spans="1:16" x14ac:dyDescent="0.25">
      <c r="A8" s="9" t="s">
        <v>39</v>
      </c>
      <c r="B8" s="9"/>
      <c r="C8" s="9">
        <v>24</v>
      </c>
      <c r="D8" s="148" t="s">
        <v>40</v>
      </c>
      <c r="E8" s="9">
        <v>2.21</v>
      </c>
      <c r="F8" s="97">
        <v>135635.43103029375</v>
      </c>
      <c r="G8" s="175">
        <v>140000</v>
      </c>
      <c r="H8" s="146">
        <f t="shared" ref="H8:H51" si="0">F8-G8</f>
        <v>-4364.568969706248</v>
      </c>
      <c r="I8" s="115">
        <v>10</v>
      </c>
      <c r="J8" s="97">
        <f>M$4*E8%</f>
        <v>17965.310999999998</v>
      </c>
      <c r="K8" s="97">
        <f>M$2*E8 /100</f>
        <v>156737.60037922219</v>
      </c>
      <c r="L8" s="192">
        <f>J$3*E8%+J$4</f>
        <v>0</v>
      </c>
      <c r="M8" s="23">
        <f>K8+J8+H8+L8</f>
        <v>170338.34240951593</v>
      </c>
      <c r="N8" s="13">
        <f t="shared" ref="N8:N51" si="1">M8*6% + M8</f>
        <v>180558.64295408688</v>
      </c>
    </row>
    <row r="9" spans="1:16" x14ac:dyDescent="0.25">
      <c r="A9" s="9" t="s">
        <v>39</v>
      </c>
      <c r="B9" s="9"/>
      <c r="C9" s="9">
        <v>25</v>
      </c>
      <c r="D9" s="148" t="s">
        <v>41</v>
      </c>
      <c r="E9" s="9">
        <v>4.21</v>
      </c>
      <c r="F9" s="97">
        <v>259094.79649671988</v>
      </c>
      <c r="G9" s="176">
        <f>292328-G34</f>
        <v>259094.9459161016</v>
      </c>
      <c r="H9" s="146">
        <f t="shared" si="0"/>
        <v>-0.14941938171978109</v>
      </c>
      <c r="I9" s="115">
        <v>6</v>
      </c>
      <c r="J9" s="97">
        <f t="shared" ref="J9:J51" si="2">M$4*E9%</f>
        <v>34223.510999999999</v>
      </c>
      <c r="K9" s="97">
        <f t="shared" ref="K9:K51" si="3">M$2*E9 /100</f>
        <v>298581.58262286219</v>
      </c>
      <c r="L9" s="192">
        <f t="shared" ref="L9:L51" si="4">J$3*E9%+J$4</f>
        <v>0</v>
      </c>
      <c r="M9" s="23">
        <f t="shared" ref="M9:M51" si="5">K9+J9+H9+L9</f>
        <v>332804.9442034805</v>
      </c>
      <c r="N9" s="13">
        <f t="shared" si="1"/>
        <v>352773.24085568934</v>
      </c>
    </row>
    <row r="10" spans="1:16" x14ac:dyDescent="0.25">
      <c r="A10" s="9" t="s">
        <v>42</v>
      </c>
      <c r="B10" s="9"/>
      <c r="C10" s="9">
        <v>26</v>
      </c>
      <c r="D10" s="148" t="s">
        <v>43</v>
      </c>
      <c r="E10" s="9">
        <v>2.84</v>
      </c>
      <c r="F10" s="97">
        <v>174781.2474042064</v>
      </c>
      <c r="G10" s="175">
        <f>F10</f>
        <v>174781.2474042064</v>
      </c>
      <c r="H10" s="146">
        <f t="shared" si="0"/>
        <v>0</v>
      </c>
      <c r="I10" s="115">
        <v>14</v>
      </c>
      <c r="J10" s="97">
        <f t="shared" si="2"/>
        <v>23086.644</v>
      </c>
      <c r="K10" s="97">
        <f t="shared" si="3"/>
        <v>201418.45478596876</v>
      </c>
      <c r="L10" s="192">
        <f t="shared" si="4"/>
        <v>0</v>
      </c>
      <c r="M10" s="23">
        <f t="shared" si="5"/>
        <v>224505.09878596876</v>
      </c>
      <c r="N10" s="13">
        <f t="shared" si="1"/>
        <v>237975.40471312689</v>
      </c>
    </row>
    <row r="11" spans="1:16" x14ac:dyDescent="0.25">
      <c r="A11" s="9" t="s">
        <v>42</v>
      </c>
      <c r="B11" s="9"/>
      <c r="C11" s="9">
        <v>27</v>
      </c>
      <c r="D11" s="148" t="s">
        <v>44</v>
      </c>
      <c r="E11" s="9">
        <v>3.43</v>
      </c>
      <c r="F11" s="97">
        <v>211091.43612550281</v>
      </c>
      <c r="G11" s="175">
        <f>F11</f>
        <v>211091.43612550281</v>
      </c>
      <c r="H11" s="146">
        <f t="shared" si="0"/>
        <v>0</v>
      </c>
      <c r="I11" s="115">
        <v>3</v>
      </c>
      <c r="J11" s="97">
        <f t="shared" si="2"/>
        <v>27882.813000000002</v>
      </c>
      <c r="K11" s="97">
        <f t="shared" si="3"/>
        <v>243262.42954784259</v>
      </c>
      <c r="L11" s="192">
        <f t="shared" si="4"/>
        <v>0</v>
      </c>
      <c r="M11" s="23">
        <f t="shared" si="5"/>
        <v>271145.24254784262</v>
      </c>
      <c r="N11" s="13">
        <f t="shared" si="1"/>
        <v>287413.95710071316</v>
      </c>
      <c r="P11" s="119"/>
    </row>
    <row r="12" spans="1:16" x14ac:dyDescent="0.25">
      <c r="A12" s="9" t="s">
        <v>45</v>
      </c>
      <c r="B12" s="9"/>
      <c r="C12" s="9">
        <v>28</v>
      </c>
      <c r="D12" s="148" t="s">
        <v>117</v>
      </c>
      <c r="E12" s="9">
        <v>2.84</v>
      </c>
      <c r="F12" s="97">
        <v>174781.2474042064</v>
      </c>
      <c r="G12" s="176">
        <f>F12</f>
        <v>174781.2474042064</v>
      </c>
      <c r="H12" s="146">
        <f>F12-G12</f>
        <v>0</v>
      </c>
      <c r="I12" s="115">
        <v>3</v>
      </c>
      <c r="J12" s="97">
        <f t="shared" si="2"/>
        <v>23086.644</v>
      </c>
      <c r="K12" s="97">
        <f t="shared" si="3"/>
        <v>201418.45478596876</v>
      </c>
      <c r="L12" s="192">
        <f t="shared" si="4"/>
        <v>0</v>
      </c>
      <c r="M12" s="23">
        <f t="shared" si="5"/>
        <v>224505.09878596876</v>
      </c>
      <c r="N12" s="13">
        <f t="shared" si="1"/>
        <v>237975.40471312689</v>
      </c>
    </row>
    <row r="13" spans="1:16" x14ac:dyDescent="0.25">
      <c r="A13" s="9" t="s">
        <v>45</v>
      </c>
      <c r="B13" s="9"/>
      <c r="C13" s="9">
        <v>29</v>
      </c>
      <c r="D13" s="148" t="s">
        <v>46</v>
      </c>
      <c r="E13" s="9">
        <v>3.43</v>
      </c>
      <c r="F13" s="97">
        <v>211090.88307822886</v>
      </c>
      <c r="G13" s="176">
        <f>247400-G50</f>
        <v>211089.81127870362</v>
      </c>
      <c r="H13" s="146">
        <f t="shared" si="0"/>
        <v>1.0717995252343826</v>
      </c>
      <c r="I13" s="115">
        <v>6</v>
      </c>
      <c r="J13" s="97">
        <f t="shared" si="2"/>
        <v>27882.813000000002</v>
      </c>
      <c r="K13" s="97">
        <f t="shared" si="3"/>
        <v>243262.42954784259</v>
      </c>
      <c r="L13" s="192">
        <f t="shared" si="4"/>
        <v>0</v>
      </c>
      <c r="M13" s="23">
        <f t="shared" si="5"/>
        <v>271146.31434736785</v>
      </c>
      <c r="N13" s="13">
        <f t="shared" si="1"/>
        <v>287415.0932082099</v>
      </c>
    </row>
    <row r="14" spans="1:16" x14ac:dyDescent="0.25">
      <c r="A14" s="9" t="s">
        <v>47</v>
      </c>
      <c r="B14" s="9"/>
      <c r="C14" s="9">
        <v>30</v>
      </c>
      <c r="D14" s="148" t="s">
        <v>48</v>
      </c>
      <c r="E14" s="9">
        <v>2.84</v>
      </c>
      <c r="F14" s="97">
        <v>184781.2474042064</v>
      </c>
      <c r="G14" s="175">
        <f>F14</f>
        <v>184781.2474042064</v>
      </c>
      <c r="H14" s="146">
        <f t="shared" si="0"/>
        <v>0</v>
      </c>
      <c r="I14" s="115">
        <v>14</v>
      </c>
      <c r="J14" s="97">
        <f t="shared" si="2"/>
        <v>23086.644</v>
      </c>
      <c r="K14" s="97">
        <f t="shared" si="3"/>
        <v>201418.45478596876</v>
      </c>
      <c r="L14" s="192">
        <f t="shared" si="4"/>
        <v>0</v>
      </c>
      <c r="M14" s="23">
        <f t="shared" si="5"/>
        <v>224505.09878596876</v>
      </c>
      <c r="N14" s="13">
        <f t="shared" si="1"/>
        <v>237975.40471312689</v>
      </c>
    </row>
    <row r="15" spans="1:16" x14ac:dyDescent="0.25">
      <c r="A15" s="9" t="s">
        <v>47</v>
      </c>
      <c r="B15" s="9"/>
      <c r="C15" s="9">
        <v>31</v>
      </c>
      <c r="D15" s="148" t="s">
        <v>49</v>
      </c>
      <c r="E15" s="9">
        <v>3.43</v>
      </c>
      <c r="F15" s="97">
        <v>211091.99082258242</v>
      </c>
      <c r="G15" s="176">
        <f>241863-G35</f>
        <v>211091.65362602001</v>
      </c>
      <c r="H15" s="146">
        <f t="shared" si="0"/>
        <v>0.33719656241009943</v>
      </c>
      <c r="I15" s="115">
        <v>9</v>
      </c>
      <c r="J15" s="97">
        <f t="shared" si="2"/>
        <v>27882.813000000002</v>
      </c>
      <c r="K15" s="97">
        <f t="shared" si="3"/>
        <v>243262.42954784259</v>
      </c>
      <c r="L15" s="192">
        <f t="shared" si="4"/>
        <v>0</v>
      </c>
      <c r="M15" s="23">
        <f t="shared" si="5"/>
        <v>271145.579744405</v>
      </c>
      <c r="N15" s="13">
        <f t="shared" si="1"/>
        <v>287414.31452906929</v>
      </c>
    </row>
    <row r="16" spans="1:16" x14ac:dyDescent="0.25">
      <c r="A16" s="9" t="s">
        <v>50</v>
      </c>
      <c r="B16" s="9"/>
      <c r="C16" s="9">
        <v>32</v>
      </c>
      <c r="D16" s="148" t="s">
        <v>51</v>
      </c>
      <c r="E16" s="9">
        <v>2.84</v>
      </c>
      <c r="F16" s="97">
        <v>543403.53582593694</v>
      </c>
      <c r="G16" s="176">
        <f>90780+F16-G49</f>
        <v>543403.53582593694</v>
      </c>
      <c r="H16" s="146">
        <f t="shared" si="0"/>
        <v>0</v>
      </c>
      <c r="I16" s="115">
        <v>3</v>
      </c>
      <c r="J16" s="97">
        <f t="shared" si="2"/>
        <v>23086.644</v>
      </c>
      <c r="K16" s="97">
        <f t="shared" si="3"/>
        <v>201418.45478596876</v>
      </c>
      <c r="L16" s="192">
        <f t="shared" si="4"/>
        <v>0</v>
      </c>
      <c r="M16" s="23">
        <f t="shared" si="5"/>
        <v>224505.09878596876</v>
      </c>
      <c r="N16" s="13">
        <f t="shared" si="1"/>
        <v>237975.40471312689</v>
      </c>
    </row>
    <row r="17" spans="1:14" x14ac:dyDescent="0.25">
      <c r="A17" s="9" t="s">
        <v>50</v>
      </c>
      <c r="B17" s="9"/>
      <c r="C17" s="9">
        <v>33</v>
      </c>
      <c r="D17" s="148" t="s">
        <v>52</v>
      </c>
      <c r="E17" s="9">
        <v>3.43</v>
      </c>
      <c r="F17" s="97">
        <v>230592.26249117014</v>
      </c>
      <c r="G17" s="175">
        <f>282019+9501-G47-G48</f>
        <v>230592.73417951961</v>
      </c>
      <c r="H17" s="146">
        <f t="shared" si="0"/>
        <v>-0.47168834946933202</v>
      </c>
      <c r="I17" s="115">
        <v>10</v>
      </c>
      <c r="J17" s="97">
        <f t="shared" si="2"/>
        <v>27882.813000000002</v>
      </c>
      <c r="K17" s="97">
        <f t="shared" si="3"/>
        <v>243262.42954784259</v>
      </c>
      <c r="L17" s="192">
        <v>10000</v>
      </c>
      <c r="M17" s="23">
        <f t="shared" si="5"/>
        <v>281144.77085949318</v>
      </c>
      <c r="N17" s="13">
        <f t="shared" si="1"/>
        <v>298013.45711106277</v>
      </c>
    </row>
    <row r="18" spans="1:14" x14ac:dyDescent="0.25">
      <c r="A18" s="9" t="s">
        <v>53</v>
      </c>
      <c r="B18" s="9"/>
      <c r="C18" s="9">
        <v>34</v>
      </c>
      <c r="D18" s="148" t="s">
        <v>54</v>
      </c>
      <c r="E18" s="9">
        <v>2.84</v>
      </c>
      <c r="F18" s="97">
        <v>170157.05518650808</v>
      </c>
      <c r="G18" s="175">
        <f>205236-G51</f>
        <v>170156.66513366281</v>
      </c>
      <c r="H18" s="146">
        <f t="shared" si="0"/>
        <v>0.39005284526501782</v>
      </c>
      <c r="I18" s="115">
        <v>14</v>
      </c>
      <c r="J18" s="97">
        <f t="shared" si="2"/>
        <v>23086.644</v>
      </c>
      <c r="K18" s="97">
        <f t="shared" si="3"/>
        <v>201418.45478596876</v>
      </c>
      <c r="L18" s="192">
        <f t="shared" si="4"/>
        <v>0</v>
      </c>
      <c r="M18" s="23">
        <f t="shared" si="5"/>
        <v>224505.48883881402</v>
      </c>
      <c r="N18" s="13">
        <f t="shared" si="1"/>
        <v>237975.81816914288</v>
      </c>
    </row>
    <row r="19" spans="1:14" x14ac:dyDescent="0.25">
      <c r="A19" s="9" t="s">
        <v>53</v>
      </c>
      <c r="B19" s="9"/>
      <c r="C19" s="9">
        <v>35</v>
      </c>
      <c r="D19" s="148" t="s">
        <v>55</v>
      </c>
      <c r="E19" s="9">
        <v>3.43</v>
      </c>
      <c r="F19" s="97">
        <v>221091.30944264409</v>
      </c>
      <c r="G19" s="176">
        <f>254324-G41</f>
        <v>221090.9459161016</v>
      </c>
      <c r="H19" s="146">
        <f t="shared" si="0"/>
        <v>0.36352654249640182</v>
      </c>
      <c r="I19" s="115">
        <v>2</v>
      </c>
      <c r="J19" s="97">
        <f t="shared" si="2"/>
        <v>27882.813000000002</v>
      </c>
      <c r="K19" s="97">
        <f t="shared" si="3"/>
        <v>243262.42954784259</v>
      </c>
      <c r="L19" s="192">
        <f t="shared" si="4"/>
        <v>0</v>
      </c>
      <c r="M19" s="23">
        <f t="shared" si="5"/>
        <v>271145.60607438511</v>
      </c>
      <c r="N19" s="13">
        <f t="shared" si="1"/>
        <v>287414.34243884822</v>
      </c>
    </row>
    <row r="20" spans="1:14" x14ac:dyDescent="0.25">
      <c r="A20" s="9" t="s">
        <v>56</v>
      </c>
      <c r="B20" s="9"/>
      <c r="C20" s="9">
        <v>36</v>
      </c>
      <c r="D20" s="148" t="s">
        <v>57</v>
      </c>
      <c r="E20" s="9">
        <v>2.84</v>
      </c>
      <c r="F20" s="97">
        <v>174781.62585991382</v>
      </c>
      <c r="G20" s="175">
        <f>204938-G38</f>
        <v>174782.0805534996</v>
      </c>
      <c r="H20" s="146">
        <f t="shared" si="0"/>
        <v>-0.45469358577975072</v>
      </c>
      <c r="I20" s="115">
        <v>2</v>
      </c>
      <c r="J20" s="97">
        <f t="shared" si="2"/>
        <v>23086.644</v>
      </c>
      <c r="K20" s="97">
        <f t="shared" si="3"/>
        <v>201418.45478596876</v>
      </c>
      <c r="L20" s="192">
        <f t="shared" si="4"/>
        <v>0</v>
      </c>
      <c r="M20" s="23">
        <f t="shared" si="5"/>
        <v>224504.64409238298</v>
      </c>
      <c r="N20" s="13">
        <f t="shared" si="1"/>
        <v>237974.92273792595</v>
      </c>
    </row>
    <row r="21" spans="1:14" x14ac:dyDescent="0.25">
      <c r="A21" s="9" t="s">
        <v>56</v>
      </c>
      <c r="B21" s="9"/>
      <c r="C21" s="9">
        <v>37</v>
      </c>
      <c r="D21" s="148" t="s">
        <v>58</v>
      </c>
      <c r="E21" s="9">
        <v>3.43</v>
      </c>
      <c r="F21" s="97">
        <v>211091.71176927199</v>
      </c>
      <c r="G21" s="175">
        <f>244325-G45</f>
        <v>211091.9459161016</v>
      </c>
      <c r="H21" s="146">
        <f t="shared" si="0"/>
        <v>-0.23414682960719801</v>
      </c>
      <c r="I21" s="115">
        <v>2</v>
      </c>
      <c r="J21" s="97">
        <f t="shared" si="2"/>
        <v>27882.813000000002</v>
      </c>
      <c r="K21" s="97">
        <f t="shared" si="3"/>
        <v>243262.42954784259</v>
      </c>
      <c r="L21" s="192">
        <f t="shared" si="4"/>
        <v>0</v>
      </c>
      <c r="M21" s="23">
        <f t="shared" si="5"/>
        <v>271145.00840101298</v>
      </c>
      <c r="N21" s="13">
        <f t="shared" si="1"/>
        <v>287413.70890507376</v>
      </c>
    </row>
    <row r="22" spans="1:14" x14ac:dyDescent="0.25">
      <c r="A22" s="9" t="s">
        <v>59</v>
      </c>
      <c r="B22" s="9"/>
      <c r="C22" s="9">
        <v>38</v>
      </c>
      <c r="D22" s="194" t="s">
        <v>138</v>
      </c>
      <c r="E22" s="9">
        <v>2.84</v>
      </c>
      <c r="F22" s="97">
        <v>174781.2474042064</v>
      </c>
      <c r="G22" s="175">
        <f>F22</f>
        <v>174781.2474042064</v>
      </c>
      <c r="H22" s="146">
        <f t="shared" si="0"/>
        <v>0</v>
      </c>
      <c r="I22" s="115">
        <v>6</v>
      </c>
      <c r="J22" s="97">
        <f t="shared" si="2"/>
        <v>23086.644</v>
      </c>
      <c r="K22" s="97">
        <f t="shared" si="3"/>
        <v>201418.45478596876</v>
      </c>
      <c r="L22" s="192">
        <f t="shared" si="4"/>
        <v>0</v>
      </c>
      <c r="M22" s="23">
        <f t="shared" si="5"/>
        <v>224505.09878596876</v>
      </c>
      <c r="N22" s="13">
        <f t="shared" si="1"/>
        <v>237975.40471312689</v>
      </c>
    </row>
    <row r="23" spans="1:14" x14ac:dyDescent="0.25">
      <c r="A23" s="9" t="s">
        <v>59</v>
      </c>
      <c r="B23" s="9"/>
      <c r="C23" s="9">
        <v>39</v>
      </c>
      <c r="D23" s="148" t="s">
        <v>60</v>
      </c>
      <c r="E23" s="9">
        <v>3.43</v>
      </c>
      <c r="F23" s="97">
        <v>229499.45053636251</v>
      </c>
      <c r="G23" s="176">
        <f>259615-G46</f>
        <v>228843.65362602001</v>
      </c>
      <c r="H23" s="146">
        <f t="shared" si="0"/>
        <v>655.79691034249845</v>
      </c>
      <c r="I23" s="115">
        <v>13</v>
      </c>
      <c r="J23" s="97">
        <f t="shared" si="2"/>
        <v>27882.813000000002</v>
      </c>
      <c r="K23" s="97">
        <f t="shared" si="3"/>
        <v>243262.42954784259</v>
      </c>
      <c r="L23" s="192">
        <f t="shared" si="4"/>
        <v>0</v>
      </c>
      <c r="M23" s="23">
        <f t="shared" si="5"/>
        <v>271801.03945818509</v>
      </c>
      <c r="N23" s="13">
        <f t="shared" si="1"/>
        <v>288109.10182567616</v>
      </c>
    </row>
    <row r="24" spans="1:14" x14ac:dyDescent="0.25">
      <c r="A24" s="9" t="s">
        <v>61</v>
      </c>
      <c r="B24" s="9"/>
      <c r="C24" s="9">
        <v>40</v>
      </c>
      <c r="D24" s="148" t="s">
        <v>62</v>
      </c>
      <c r="E24" s="9">
        <v>2.84</v>
      </c>
      <c r="F24" s="97">
        <v>193982.34342391384</v>
      </c>
      <c r="G24" s="175">
        <f>225000-G37</f>
        <v>194844.0805534996</v>
      </c>
      <c r="H24" s="146">
        <f t="shared" si="0"/>
        <v>-861.73712958575925</v>
      </c>
      <c r="I24" s="115">
        <v>6</v>
      </c>
      <c r="J24" s="97">
        <f t="shared" si="2"/>
        <v>23086.644</v>
      </c>
      <c r="K24" s="97">
        <f t="shared" si="3"/>
        <v>201418.45478596876</v>
      </c>
      <c r="L24" s="192">
        <f t="shared" si="4"/>
        <v>0</v>
      </c>
      <c r="M24" s="23">
        <f t="shared" si="5"/>
        <v>223643.361656383</v>
      </c>
      <c r="N24" s="13">
        <f t="shared" si="1"/>
        <v>237061.96335576597</v>
      </c>
    </row>
    <row r="25" spans="1:14" x14ac:dyDescent="0.25">
      <c r="A25" s="9" t="s">
        <v>61</v>
      </c>
      <c r="B25" s="9"/>
      <c r="C25" s="9">
        <v>41</v>
      </c>
      <c r="D25" s="148" t="s">
        <v>63</v>
      </c>
      <c r="E25" s="9">
        <v>3.43</v>
      </c>
      <c r="F25" s="97">
        <v>211091.43612550281</v>
      </c>
      <c r="G25" s="175">
        <f>F25</f>
        <v>211091.43612550281</v>
      </c>
      <c r="H25" s="146">
        <f t="shared" si="0"/>
        <v>0</v>
      </c>
      <c r="I25" s="115">
        <v>9</v>
      </c>
      <c r="J25" s="97">
        <f t="shared" si="2"/>
        <v>27882.813000000002</v>
      </c>
      <c r="K25" s="97">
        <f t="shared" si="3"/>
        <v>243262.42954784259</v>
      </c>
      <c r="L25" s="192">
        <f t="shared" si="4"/>
        <v>0</v>
      </c>
      <c r="M25" s="23">
        <f t="shared" si="5"/>
        <v>271145.24254784262</v>
      </c>
      <c r="N25" s="13">
        <f t="shared" si="1"/>
        <v>287413.95710071316</v>
      </c>
    </row>
    <row r="26" spans="1:14" x14ac:dyDescent="0.25">
      <c r="A26" s="9" t="s">
        <v>64</v>
      </c>
      <c r="B26" s="9"/>
      <c r="C26" s="9">
        <v>42</v>
      </c>
      <c r="D26" s="148" t="s">
        <v>65</v>
      </c>
      <c r="E26" s="9">
        <v>6</v>
      </c>
      <c r="F26" s="97">
        <v>342990.30543716653</v>
      </c>
      <c r="G26" s="176">
        <f>450000+500000-G30-G31-G36</f>
        <v>852147.11853074352</v>
      </c>
      <c r="H26" s="146">
        <f t="shared" si="0"/>
        <v>-509156.81309357699</v>
      </c>
      <c r="I26" s="115">
        <v>2</v>
      </c>
      <c r="J26" s="97">
        <f t="shared" si="2"/>
        <v>48774.6</v>
      </c>
      <c r="K26" s="97">
        <f t="shared" si="3"/>
        <v>425531.94673092</v>
      </c>
      <c r="L26" s="192">
        <v>0</v>
      </c>
      <c r="M26" s="23">
        <f t="shared" si="5"/>
        <v>-34850.266362657014</v>
      </c>
      <c r="N26" s="13">
        <f t="shared" si="1"/>
        <v>-36941.282344416431</v>
      </c>
    </row>
    <row r="27" spans="1:14" x14ac:dyDescent="0.25">
      <c r="A27" s="9" t="s">
        <v>66</v>
      </c>
      <c r="B27" s="9"/>
      <c r="C27" s="9">
        <v>43</v>
      </c>
      <c r="D27" s="148" t="s">
        <v>67</v>
      </c>
      <c r="E27" s="9">
        <v>5.89</v>
      </c>
      <c r="F27" s="97">
        <v>362487.47851380118</v>
      </c>
      <c r="G27" s="175">
        <f>433876-G39-G40</f>
        <v>362486.47641236644</v>
      </c>
      <c r="H27" s="146">
        <f t="shared" si="0"/>
        <v>1.0021014347439632</v>
      </c>
      <c r="I27" s="115">
        <v>10</v>
      </c>
      <c r="J27" s="97">
        <f t="shared" si="2"/>
        <v>47880.398999999998</v>
      </c>
      <c r="K27" s="97">
        <f t="shared" si="3"/>
        <v>417730.52770751977</v>
      </c>
      <c r="L27" s="192">
        <f t="shared" si="4"/>
        <v>0</v>
      </c>
      <c r="M27" s="23">
        <f t="shared" si="5"/>
        <v>465611.92880895449</v>
      </c>
      <c r="N27" s="13">
        <f t="shared" si="1"/>
        <v>493548.64453749172</v>
      </c>
    </row>
    <row r="28" spans="1:14" x14ac:dyDescent="0.25">
      <c r="A28" s="9" t="s">
        <v>68</v>
      </c>
      <c r="B28" s="9"/>
      <c r="C28" s="9">
        <v>44</v>
      </c>
      <c r="D28" s="148" t="s">
        <v>69</v>
      </c>
      <c r="E28" s="9">
        <v>5.89</v>
      </c>
      <c r="F28" s="97">
        <v>362411.81999205454</v>
      </c>
      <c r="G28" s="175">
        <f>206615+221032.66+RESUMEN!D92-G32-G33</f>
        <v>506551.28568716242</v>
      </c>
      <c r="H28" s="146">
        <f t="shared" si="0"/>
        <v>-144139.46569510788</v>
      </c>
      <c r="I28" s="115">
        <v>4</v>
      </c>
      <c r="J28" s="97">
        <f t="shared" si="2"/>
        <v>47880.398999999998</v>
      </c>
      <c r="K28" s="97">
        <f t="shared" si="3"/>
        <v>417730.52770751977</v>
      </c>
      <c r="L28" s="192">
        <f t="shared" si="4"/>
        <v>0</v>
      </c>
      <c r="M28" s="23">
        <f t="shared" si="5"/>
        <v>321471.46101241186</v>
      </c>
      <c r="N28" s="13">
        <f t="shared" si="1"/>
        <v>340759.7486731566</v>
      </c>
    </row>
    <row r="29" spans="1:14" x14ac:dyDescent="0.25">
      <c r="A29" s="9" t="s">
        <v>70</v>
      </c>
      <c r="B29" s="9"/>
      <c r="C29" s="9">
        <v>45</v>
      </c>
      <c r="D29" s="148" t="s">
        <v>71</v>
      </c>
      <c r="E29" s="9">
        <v>5.89</v>
      </c>
      <c r="F29" s="97">
        <v>342104.96396883461</v>
      </c>
      <c r="G29" s="176">
        <f>468000-G42-G43-G44</f>
        <v>368916.26467578439</v>
      </c>
      <c r="H29" s="147">
        <f t="shared" si="0"/>
        <v>-26811.300706949783</v>
      </c>
      <c r="I29" s="115">
        <v>3</v>
      </c>
      <c r="J29" s="97">
        <f t="shared" si="2"/>
        <v>47880.398999999998</v>
      </c>
      <c r="K29" s="97">
        <f t="shared" si="3"/>
        <v>417730.52770751977</v>
      </c>
      <c r="L29" s="192">
        <v>0</v>
      </c>
      <c r="M29" s="23">
        <f t="shared" si="5"/>
        <v>438799.62600056996</v>
      </c>
      <c r="N29" s="13">
        <f t="shared" si="1"/>
        <v>465127.60356060416</v>
      </c>
    </row>
    <row r="30" spans="1:14" x14ac:dyDescent="0.25">
      <c r="A30" s="141" t="s">
        <v>101</v>
      </c>
      <c r="B30" s="9"/>
      <c r="C30" s="9">
        <v>1</v>
      </c>
      <c r="D30" s="148" t="s">
        <v>65</v>
      </c>
      <c r="E30" s="9">
        <v>0.54</v>
      </c>
      <c r="F30" s="97">
        <v>33233.054083898402</v>
      </c>
      <c r="G30" s="175">
        <f t="shared" ref="G30:G34" si="6">F30</f>
        <v>33233.054083898402</v>
      </c>
      <c r="H30" s="146">
        <f t="shared" si="0"/>
        <v>0</v>
      </c>
      <c r="I30" s="115"/>
      <c r="J30" s="97">
        <f t="shared" si="2"/>
        <v>4389.7139999999999</v>
      </c>
      <c r="K30" s="97">
        <f t="shared" si="3"/>
        <v>38297.875205782802</v>
      </c>
      <c r="L30" s="192">
        <f t="shared" si="4"/>
        <v>0</v>
      </c>
      <c r="M30" s="23">
        <f t="shared" si="5"/>
        <v>42687.589205782802</v>
      </c>
      <c r="N30" s="13">
        <f t="shared" si="1"/>
        <v>45248.844558129771</v>
      </c>
    </row>
    <row r="31" spans="1:14" x14ac:dyDescent="0.25">
      <c r="A31" s="141" t="s">
        <v>101</v>
      </c>
      <c r="B31" s="9"/>
      <c r="C31" s="9">
        <v>2</v>
      </c>
      <c r="D31" s="148" t="s">
        <v>65</v>
      </c>
      <c r="E31" s="9">
        <v>0.55000000000000004</v>
      </c>
      <c r="F31" s="97">
        <v>33848.481011378004</v>
      </c>
      <c r="G31" s="175">
        <f t="shared" si="6"/>
        <v>33848.481011378004</v>
      </c>
      <c r="H31" s="146">
        <f t="shared" si="0"/>
        <v>0</v>
      </c>
      <c r="I31" s="115"/>
      <c r="J31" s="97">
        <f t="shared" si="2"/>
        <v>4471.0050000000001</v>
      </c>
      <c r="K31" s="97">
        <f t="shared" si="3"/>
        <v>39007.095117001001</v>
      </c>
      <c r="L31" s="192">
        <f t="shared" si="4"/>
        <v>0</v>
      </c>
      <c r="M31" s="23">
        <f t="shared" si="5"/>
        <v>43478.100117000999</v>
      </c>
      <c r="N31" s="13">
        <f t="shared" si="1"/>
        <v>46086.786124021055</v>
      </c>
    </row>
    <row r="32" spans="1:14" x14ac:dyDescent="0.25">
      <c r="A32" s="141" t="s">
        <v>101</v>
      </c>
      <c r="B32" s="9"/>
      <c r="C32" s="9">
        <v>3</v>
      </c>
      <c r="D32" s="148" t="s">
        <v>69</v>
      </c>
      <c r="E32" s="9">
        <v>0.45</v>
      </c>
      <c r="F32" s="97">
        <v>27694.211736582001</v>
      </c>
      <c r="G32" s="175">
        <f>F32</f>
        <v>27694.211736582001</v>
      </c>
      <c r="H32" s="146">
        <f t="shared" si="0"/>
        <v>0</v>
      </c>
      <c r="I32" s="115"/>
      <c r="J32" s="97">
        <f t="shared" si="2"/>
        <v>3658.0950000000003</v>
      </c>
      <c r="K32" s="97">
        <f t="shared" si="3"/>
        <v>31914.896004818998</v>
      </c>
      <c r="L32" s="192">
        <f t="shared" si="4"/>
        <v>0</v>
      </c>
      <c r="M32" s="23">
        <f t="shared" si="5"/>
        <v>35572.991004818999</v>
      </c>
      <c r="N32" s="13">
        <f t="shared" si="1"/>
        <v>37707.370465108143</v>
      </c>
    </row>
    <row r="33" spans="1:17" x14ac:dyDescent="0.25">
      <c r="A33" s="141" t="s">
        <v>101</v>
      </c>
      <c r="B33" s="9"/>
      <c r="C33" s="9">
        <v>4</v>
      </c>
      <c r="D33" s="148" t="s">
        <v>69</v>
      </c>
      <c r="E33" s="9">
        <v>0.61</v>
      </c>
      <c r="F33" s="97">
        <v>37541.042576255597</v>
      </c>
      <c r="G33" s="175">
        <f t="shared" si="6"/>
        <v>37541.042576255597</v>
      </c>
      <c r="H33" s="146">
        <f t="shared" si="0"/>
        <v>0</v>
      </c>
      <c r="I33" s="115"/>
      <c r="J33" s="97">
        <f t="shared" si="2"/>
        <v>4958.7509999999993</v>
      </c>
      <c r="K33" s="97">
        <f t="shared" si="3"/>
        <v>43262.414584310194</v>
      </c>
      <c r="L33" s="192">
        <f t="shared" si="4"/>
        <v>0</v>
      </c>
      <c r="M33" s="23">
        <f t="shared" si="5"/>
        <v>48221.165584310191</v>
      </c>
      <c r="N33" s="13">
        <f t="shared" si="1"/>
        <v>51114.435519368802</v>
      </c>
    </row>
    <row r="34" spans="1:17" x14ac:dyDescent="0.25">
      <c r="A34" s="141" t="s">
        <v>101</v>
      </c>
      <c r="B34" s="9"/>
      <c r="C34" s="9">
        <v>5</v>
      </c>
      <c r="D34" s="148" t="s">
        <v>41</v>
      </c>
      <c r="E34" s="9">
        <v>0.54</v>
      </c>
      <c r="F34" s="97">
        <v>33233.054083898402</v>
      </c>
      <c r="G34" s="175">
        <f t="shared" si="6"/>
        <v>33233.054083898402</v>
      </c>
      <c r="H34" s="146">
        <f t="shared" si="0"/>
        <v>0</v>
      </c>
      <c r="I34" s="115"/>
      <c r="J34" s="97">
        <f t="shared" si="2"/>
        <v>4389.7139999999999</v>
      </c>
      <c r="K34" s="97">
        <f t="shared" si="3"/>
        <v>38297.875205782802</v>
      </c>
      <c r="L34" s="192">
        <f t="shared" si="4"/>
        <v>0</v>
      </c>
      <c r="M34" s="23">
        <f t="shared" si="5"/>
        <v>42687.589205782802</v>
      </c>
      <c r="N34" s="13">
        <f t="shared" si="1"/>
        <v>45248.844558129771</v>
      </c>
    </row>
    <row r="35" spans="1:17" x14ac:dyDescent="0.25">
      <c r="A35" s="141" t="s">
        <v>101</v>
      </c>
      <c r="B35" s="9"/>
      <c r="C35" s="9">
        <v>6</v>
      </c>
      <c r="D35" s="148" t="s">
        <v>49</v>
      </c>
      <c r="E35" s="9">
        <v>0.5</v>
      </c>
      <c r="F35" s="97">
        <v>30771.346373979999</v>
      </c>
      <c r="G35" s="176">
        <f>F35</f>
        <v>30771.346373979999</v>
      </c>
      <c r="H35" s="146">
        <f t="shared" si="0"/>
        <v>0</v>
      </c>
      <c r="I35" s="115"/>
      <c r="J35" s="97">
        <f t="shared" si="2"/>
        <v>4064.55</v>
      </c>
      <c r="K35" s="97">
        <f t="shared" si="3"/>
        <v>35460.99556091</v>
      </c>
      <c r="L35" s="192">
        <f t="shared" si="4"/>
        <v>0</v>
      </c>
      <c r="M35" s="23">
        <f t="shared" si="5"/>
        <v>39525.545560910003</v>
      </c>
      <c r="N35" s="13">
        <f t="shared" si="1"/>
        <v>41897.078294564606</v>
      </c>
    </row>
    <row r="36" spans="1:17" x14ac:dyDescent="0.25">
      <c r="A36" s="141" t="s">
        <v>101</v>
      </c>
      <c r="B36" s="9"/>
      <c r="C36" s="9">
        <v>7</v>
      </c>
      <c r="D36" s="148" t="s">
        <v>65</v>
      </c>
      <c r="E36" s="9">
        <v>0.5</v>
      </c>
      <c r="F36" s="97">
        <v>30771.346373979999</v>
      </c>
      <c r="G36" s="175">
        <f t="shared" ref="G36:G41" si="7">F36</f>
        <v>30771.346373979999</v>
      </c>
      <c r="H36" s="146">
        <f t="shared" si="0"/>
        <v>0</v>
      </c>
      <c r="I36" s="115"/>
      <c r="J36" s="97">
        <f t="shared" si="2"/>
        <v>4064.55</v>
      </c>
      <c r="K36" s="97">
        <f t="shared" si="3"/>
        <v>35460.99556091</v>
      </c>
      <c r="L36" s="192">
        <f t="shared" si="4"/>
        <v>0</v>
      </c>
      <c r="M36" s="23">
        <f t="shared" si="5"/>
        <v>39525.545560910003</v>
      </c>
      <c r="N36" s="13">
        <f t="shared" si="1"/>
        <v>41897.078294564606</v>
      </c>
    </row>
    <row r="37" spans="1:17" x14ac:dyDescent="0.25">
      <c r="A37" s="141" t="s">
        <v>101</v>
      </c>
      <c r="B37" s="9"/>
      <c r="C37" s="9">
        <v>8</v>
      </c>
      <c r="D37" s="148" t="s">
        <v>62</v>
      </c>
      <c r="E37" s="9">
        <v>0.49</v>
      </c>
      <c r="F37" s="97">
        <v>30155.9194465004</v>
      </c>
      <c r="G37" s="175">
        <f t="shared" si="7"/>
        <v>30155.9194465004</v>
      </c>
      <c r="H37" s="146">
        <f t="shared" si="0"/>
        <v>0</v>
      </c>
      <c r="I37" s="115"/>
      <c r="J37" s="97">
        <f t="shared" si="2"/>
        <v>3983.259</v>
      </c>
      <c r="K37" s="97">
        <f t="shared" si="3"/>
        <v>34751.775649691794</v>
      </c>
      <c r="L37" s="192">
        <f t="shared" si="4"/>
        <v>0</v>
      </c>
      <c r="M37" s="23">
        <f t="shared" si="5"/>
        <v>38735.034649691792</v>
      </c>
      <c r="N37" s="13">
        <f t="shared" si="1"/>
        <v>41059.1367286733</v>
      </c>
    </row>
    <row r="38" spans="1:17" x14ac:dyDescent="0.25">
      <c r="A38" s="141" t="s">
        <v>101</v>
      </c>
      <c r="B38" s="9"/>
      <c r="C38" s="9">
        <v>9</v>
      </c>
      <c r="D38" s="148" t="s">
        <v>57</v>
      </c>
      <c r="E38" s="9">
        <v>0.49</v>
      </c>
      <c r="F38" s="97">
        <v>30155.9194465004</v>
      </c>
      <c r="G38" s="175">
        <f t="shared" si="7"/>
        <v>30155.9194465004</v>
      </c>
      <c r="H38" s="146">
        <f t="shared" si="0"/>
        <v>0</v>
      </c>
      <c r="I38" s="115"/>
      <c r="J38" s="97">
        <f t="shared" si="2"/>
        <v>3983.259</v>
      </c>
      <c r="K38" s="97">
        <f t="shared" si="3"/>
        <v>34751.775649691794</v>
      </c>
      <c r="L38" s="192">
        <f t="shared" si="4"/>
        <v>0</v>
      </c>
      <c r="M38" s="23">
        <f t="shared" si="5"/>
        <v>38735.034649691792</v>
      </c>
      <c r="N38" s="13">
        <f t="shared" si="1"/>
        <v>41059.1367286733</v>
      </c>
    </row>
    <row r="39" spans="1:17" x14ac:dyDescent="0.25">
      <c r="A39" s="141" t="s">
        <v>101</v>
      </c>
      <c r="B39" s="9"/>
      <c r="C39" s="9">
        <v>10</v>
      </c>
      <c r="D39" s="148" t="s">
        <v>67</v>
      </c>
      <c r="E39" s="9">
        <v>0.59</v>
      </c>
      <c r="F39" s="97">
        <v>36310.188721296392</v>
      </c>
      <c r="G39" s="175">
        <f t="shared" si="7"/>
        <v>36310.188721296392</v>
      </c>
      <c r="H39" s="146">
        <f t="shared" si="0"/>
        <v>0</v>
      </c>
      <c r="I39" s="115"/>
      <c r="J39" s="97">
        <f t="shared" si="2"/>
        <v>4796.1689999999999</v>
      </c>
      <c r="K39" s="97">
        <f t="shared" si="3"/>
        <v>41843.974761873797</v>
      </c>
      <c r="L39" s="192">
        <f t="shared" si="4"/>
        <v>0</v>
      </c>
      <c r="M39" s="23">
        <f t="shared" si="5"/>
        <v>46640.143761873798</v>
      </c>
      <c r="N39" s="13">
        <f t="shared" si="1"/>
        <v>49438.552387586227</v>
      </c>
    </row>
    <row r="40" spans="1:17" x14ac:dyDescent="0.25">
      <c r="A40" s="141" t="s">
        <v>101</v>
      </c>
      <c r="B40" s="9"/>
      <c r="C40" s="9">
        <v>11</v>
      </c>
      <c r="D40" s="148" t="s">
        <v>67</v>
      </c>
      <c r="E40" s="9">
        <v>0.56999999999999995</v>
      </c>
      <c r="F40" s="97">
        <v>35079.334866337194</v>
      </c>
      <c r="G40" s="175">
        <f t="shared" si="7"/>
        <v>35079.334866337194</v>
      </c>
      <c r="H40" s="146">
        <f t="shared" si="0"/>
        <v>0</v>
      </c>
      <c r="I40" s="115"/>
      <c r="J40" s="97">
        <f t="shared" si="2"/>
        <v>4633.5869999999995</v>
      </c>
      <c r="K40" s="97">
        <f t="shared" si="3"/>
        <v>40425.534939437399</v>
      </c>
      <c r="L40" s="192">
        <f t="shared" si="4"/>
        <v>0</v>
      </c>
      <c r="M40" s="23">
        <f t="shared" si="5"/>
        <v>45059.121939437398</v>
      </c>
      <c r="N40" s="13">
        <f t="shared" si="1"/>
        <v>47762.669255803645</v>
      </c>
    </row>
    <row r="41" spans="1:17" x14ac:dyDescent="0.25">
      <c r="A41" s="141" t="s">
        <v>101</v>
      </c>
      <c r="B41" s="9"/>
      <c r="C41" s="9">
        <v>12</v>
      </c>
      <c r="D41" s="148" t="s">
        <v>55</v>
      </c>
      <c r="E41" s="9">
        <v>0.54</v>
      </c>
      <c r="F41" s="97">
        <v>33233.054083898402</v>
      </c>
      <c r="G41" s="175">
        <f t="shared" si="7"/>
        <v>33233.054083898402</v>
      </c>
      <c r="H41" s="146">
        <f t="shared" si="0"/>
        <v>0</v>
      </c>
      <c r="I41" s="115"/>
      <c r="J41" s="97">
        <f t="shared" si="2"/>
        <v>4389.7139999999999</v>
      </c>
      <c r="K41" s="97">
        <f t="shared" si="3"/>
        <v>38297.875205782802</v>
      </c>
      <c r="L41" s="192">
        <f t="shared" si="4"/>
        <v>0</v>
      </c>
      <c r="M41" s="23">
        <f t="shared" si="5"/>
        <v>42687.589205782802</v>
      </c>
      <c r="N41" s="13">
        <f t="shared" si="1"/>
        <v>45248.844558129771</v>
      </c>
    </row>
    <row r="42" spans="1:17" x14ac:dyDescent="0.25">
      <c r="A42" s="141" t="s">
        <v>101</v>
      </c>
      <c r="B42" s="9"/>
      <c r="C42" s="9">
        <v>13</v>
      </c>
      <c r="D42" s="148" t="s">
        <v>71</v>
      </c>
      <c r="E42" s="9">
        <v>0.55000000000000004</v>
      </c>
      <c r="F42" s="97">
        <v>33848.481011378004</v>
      </c>
      <c r="G42" s="175">
        <f>F42</f>
        <v>33848.481011378004</v>
      </c>
      <c r="H42" s="146">
        <f t="shared" si="0"/>
        <v>0</v>
      </c>
      <c r="I42" s="115"/>
      <c r="J42" s="97">
        <f t="shared" si="2"/>
        <v>4471.0050000000001</v>
      </c>
      <c r="K42" s="97">
        <f t="shared" si="3"/>
        <v>39007.095117001001</v>
      </c>
      <c r="L42" s="192">
        <f t="shared" si="4"/>
        <v>0</v>
      </c>
      <c r="M42" s="23">
        <f t="shared" si="5"/>
        <v>43478.100117000999</v>
      </c>
      <c r="N42" s="13">
        <f t="shared" si="1"/>
        <v>46086.786124021055</v>
      </c>
    </row>
    <row r="43" spans="1:17" x14ac:dyDescent="0.25">
      <c r="A43" s="141" t="s">
        <v>101</v>
      </c>
      <c r="B43" s="9"/>
      <c r="C43" s="9">
        <v>14</v>
      </c>
      <c r="D43" s="148" t="s">
        <v>71</v>
      </c>
      <c r="E43" s="9">
        <v>0.45</v>
      </c>
      <c r="F43" s="97">
        <v>27694.211736582001</v>
      </c>
      <c r="G43" s="175">
        <f t="shared" ref="G43:G44" si="8">F43</f>
        <v>27694.211736582001</v>
      </c>
      <c r="H43" s="146">
        <f t="shared" si="0"/>
        <v>0</v>
      </c>
      <c r="I43" s="115"/>
      <c r="J43" s="97">
        <f t="shared" si="2"/>
        <v>3658.0950000000003</v>
      </c>
      <c r="K43" s="97">
        <f t="shared" si="3"/>
        <v>31914.896004818998</v>
      </c>
      <c r="L43" s="192">
        <f t="shared" si="4"/>
        <v>0</v>
      </c>
      <c r="M43" s="23">
        <f t="shared" si="5"/>
        <v>35572.991004818999</v>
      </c>
      <c r="N43" s="13">
        <f t="shared" si="1"/>
        <v>37707.370465108143</v>
      </c>
      <c r="P43" s="119">
        <f>L1-K52</f>
        <v>-0.66830947529524565</v>
      </c>
    </row>
    <row r="44" spans="1:17" x14ac:dyDescent="0.25">
      <c r="A44" s="141" t="s">
        <v>101</v>
      </c>
      <c r="B44" s="9"/>
      <c r="C44" s="9">
        <v>15</v>
      </c>
      <c r="D44" s="148" t="s">
        <v>71</v>
      </c>
      <c r="E44" s="9">
        <v>0.61</v>
      </c>
      <c r="F44" s="97">
        <v>37541.042576255597</v>
      </c>
      <c r="G44" s="175">
        <f t="shared" si="8"/>
        <v>37541.042576255597</v>
      </c>
      <c r="H44" s="146">
        <f t="shared" si="0"/>
        <v>0</v>
      </c>
      <c r="I44" s="115"/>
      <c r="J44" s="97">
        <f t="shared" si="2"/>
        <v>4958.7509999999993</v>
      </c>
      <c r="K44" s="97">
        <f t="shared" si="3"/>
        <v>43262.414584310194</v>
      </c>
      <c r="L44" s="192">
        <f t="shared" si="4"/>
        <v>0</v>
      </c>
      <c r="M44" s="23">
        <f t="shared" si="5"/>
        <v>48221.165584310191</v>
      </c>
      <c r="N44" s="13">
        <f t="shared" si="1"/>
        <v>51114.435519368802</v>
      </c>
    </row>
    <row r="45" spans="1:17" x14ac:dyDescent="0.25">
      <c r="A45" s="141" t="s">
        <v>101</v>
      </c>
      <c r="B45" s="9"/>
      <c r="C45" s="9">
        <v>16</v>
      </c>
      <c r="D45" s="148" t="s">
        <v>58</v>
      </c>
      <c r="E45" s="9">
        <v>0.54</v>
      </c>
      <c r="F45" s="97">
        <v>33233.054083898402</v>
      </c>
      <c r="G45" s="175">
        <f t="shared" ref="G45:G51" si="9">F45</f>
        <v>33233.054083898402</v>
      </c>
      <c r="H45" s="146">
        <f t="shared" si="0"/>
        <v>0</v>
      </c>
      <c r="I45" s="115"/>
      <c r="J45" s="97">
        <f t="shared" si="2"/>
        <v>4389.7139999999999</v>
      </c>
      <c r="K45" s="97">
        <f t="shared" si="3"/>
        <v>38297.875205782802</v>
      </c>
      <c r="L45" s="192">
        <f t="shared" si="4"/>
        <v>0</v>
      </c>
      <c r="M45" s="23">
        <f t="shared" si="5"/>
        <v>42687.589205782802</v>
      </c>
      <c r="N45" s="13">
        <f t="shared" si="1"/>
        <v>45248.844558129771</v>
      </c>
    </row>
    <row r="46" spans="1:17" x14ac:dyDescent="0.25">
      <c r="A46" s="141" t="s">
        <v>101</v>
      </c>
      <c r="B46" s="9"/>
      <c r="C46" s="9">
        <v>17</v>
      </c>
      <c r="D46" s="148" t="s">
        <v>60</v>
      </c>
      <c r="E46" s="9">
        <v>0.5</v>
      </c>
      <c r="F46" s="97">
        <v>30771.346373979999</v>
      </c>
      <c r="G46" s="175">
        <f>F46</f>
        <v>30771.346373979999</v>
      </c>
      <c r="H46" s="146">
        <f t="shared" si="0"/>
        <v>0</v>
      </c>
      <c r="I46" s="115"/>
      <c r="J46" s="97">
        <f t="shared" si="2"/>
        <v>4064.55</v>
      </c>
      <c r="K46" s="97">
        <f t="shared" si="3"/>
        <v>35460.99556091</v>
      </c>
      <c r="L46" s="192">
        <f t="shared" si="4"/>
        <v>0</v>
      </c>
      <c r="M46" s="23">
        <f t="shared" si="5"/>
        <v>39525.545560910003</v>
      </c>
      <c r="N46" s="13">
        <f t="shared" si="1"/>
        <v>41897.078294564606</v>
      </c>
      <c r="Q46" t="s">
        <v>143</v>
      </c>
    </row>
    <row r="47" spans="1:17" x14ac:dyDescent="0.25">
      <c r="A47" s="141" t="s">
        <v>101</v>
      </c>
      <c r="B47" s="9"/>
      <c r="C47" s="9">
        <v>18</v>
      </c>
      <c r="D47" s="148" t="s">
        <v>52</v>
      </c>
      <c r="E47" s="9">
        <v>0.5</v>
      </c>
      <c r="F47" s="97">
        <v>30771.346373979999</v>
      </c>
      <c r="G47" s="175">
        <f t="shared" si="9"/>
        <v>30771.346373979999</v>
      </c>
      <c r="H47" s="146">
        <f t="shared" si="0"/>
        <v>0</v>
      </c>
      <c r="I47" s="115"/>
      <c r="J47" s="97">
        <f t="shared" si="2"/>
        <v>4064.55</v>
      </c>
      <c r="K47" s="97">
        <f t="shared" si="3"/>
        <v>35460.99556091</v>
      </c>
      <c r="L47" s="192">
        <f t="shared" si="4"/>
        <v>0</v>
      </c>
      <c r="M47" s="23">
        <f t="shared" si="5"/>
        <v>39525.545560910003</v>
      </c>
      <c r="N47" s="13">
        <f t="shared" si="1"/>
        <v>41897.078294564606</v>
      </c>
      <c r="O47" s="153"/>
      <c r="Q47" s="150">
        <f>M3-J52</f>
        <v>0.81899999955203384</v>
      </c>
    </row>
    <row r="48" spans="1:17" x14ac:dyDescent="0.25">
      <c r="A48" s="141" t="s">
        <v>101</v>
      </c>
      <c r="B48" s="9"/>
      <c r="C48" s="9">
        <v>19</v>
      </c>
      <c r="D48" s="148" t="s">
        <v>52</v>
      </c>
      <c r="E48" s="9">
        <v>0.49</v>
      </c>
      <c r="F48" s="97">
        <v>30155.9194465004</v>
      </c>
      <c r="G48" s="175">
        <f t="shared" si="9"/>
        <v>30155.9194465004</v>
      </c>
      <c r="H48" s="146">
        <f t="shared" si="0"/>
        <v>0</v>
      </c>
      <c r="I48" s="115"/>
      <c r="J48" s="97">
        <f t="shared" si="2"/>
        <v>3983.259</v>
      </c>
      <c r="K48" s="97">
        <f t="shared" si="3"/>
        <v>34751.775649691794</v>
      </c>
      <c r="L48" s="192">
        <f t="shared" si="4"/>
        <v>0</v>
      </c>
      <c r="M48" s="23">
        <f t="shared" si="5"/>
        <v>38735.034649691792</v>
      </c>
      <c r="N48" s="13">
        <f t="shared" si="1"/>
        <v>41059.1367286733</v>
      </c>
    </row>
    <row r="49" spans="1:16" x14ac:dyDescent="0.25">
      <c r="A49" s="141" t="s">
        <v>101</v>
      </c>
      <c r="B49" s="9"/>
      <c r="C49" s="9">
        <v>20</v>
      </c>
      <c r="D49" s="148" t="s">
        <v>90</v>
      </c>
      <c r="E49" s="9">
        <v>0.49</v>
      </c>
      <c r="F49" s="97">
        <v>90780</v>
      </c>
      <c r="G49" s="175">
        <f>F49</f>
        <v>90780</v>
      </c>
      <c r="H49" s="146">
        <f t="shared" si="0"/>
        <v>0</v>
      </c>
      <c r="I49" s="115"/>
      <c r="J49" s="97">
        <f t="shared" si="2"/>
        <v>3983.259</v>
      </c>
      <c r="K49" s="97">
        <f t="shared" si="3"/>
        <v>34751.775649691794</v>
      </c>
      <c r="L49" s="192">
        <f t="shared" si="4"/>
        <v>0</v>
      </c>
      <c r="M49" s="23">
        <f t="shared" si="5"/>
        <v>38735.034649691792</v>
      </c>
      <c r="N49" s="13">
        <f t="shared" si="1"/>
        <v>41059.1367286733</v>
      </c>
    </row>
    <row r="50" spans="1:16" x14ac:dyDescent="0.25">
      <c r="A50" s="141" t="s">
        <v>101</v>
      </c>
      <c r="B50" s="9"/>
      <c r="C50" s="9">
        <v>21</v>
      </c>
      <c r="D50" s="148" t="s">
        <v>46</v>
      </c>
      <c r="E50" s="9">
        <v>0.59</v>
      </c>
      <c r="F50" s="97">
        <v>36310.188721296392</v>
      </c>
      <c r="G50" s="176">
        <f>F50</f>
        <v>36310.188721296392</v>
      </c>
      <c r="H50" s="146">
        <f t="shared" si="0"/>
        <v>0</v>
      </c>
      <c r="I50" s="115"/>
      <c r="J50" s="97">
        <f t="shared" si="2"/>
        <v>4796.1689999999999</v>
      </c>
      <c r="K50" s="97">
        <f t="shared" si="3"/>
        <v>41843.974761873797</v>
      </c>
      <c r="L50" s="192">
        <f t="shared" si="4"/>
        <v>0</v>
      </c>
      <c r="M50" s="23">
        <f t="shared" si="5"/>
        <v>46640.143761873798</v>
      </c>
      <c r="N50" s="13">
        <f t="shared" si="1"/>
        <v>49438.552387586227</v>
      </c>
    </row>
    <row r="51" spans="1:16" x14ac:dyDescent="0.25">
      <c r="A51" s="141" t="s">
        <v>101</v>
      </c>
      <c r="B51" s="9"/>
      <c r="C51" s="9">
        <v>22</v>
      </c>
      <c r="D51" s="148" t="s">
        <v>54</v>
      </c>
      <c r="E51" s="9">
        <v>0.56999999999999995</v>
      </c>
      <c r="F51" s="97">
        <v>35079.334866337194</v>
      </c>
      <c r="G51" s="175">
        <f t="shared" si="9"/>
        <v>35079.334866337194</v>
      </c>
      <c r="H51" s="146">
        <f t="shared" si="0"/>
        <v>0</v>
      </c>
      <c r="I51" s="115"/>
      <c r="J51" s="97">
        <f t="shared" si="2"/>
        <v>4633.5869999999995</v>
      </c>
      <c r="K51" s="97">
        <f t="shared" si="3"/>
        <v>40425.534939437399</v>
      </c>
      <c r="L51" s="192">
        <f t="shared" si="4"/>
        <v>0</v>
      </c>
      <c r="M51" s="23">
        <f t="shared" si="5"/>
        <v>45059.121939437398</v>
      </c>
      <c r="N51" s="13">
        <f t="shared" si="1"/>
        <v>47762.669255803645</v>
      </c>
    </row>
    <row r="52" spans="1:16" ht="14.25" customHeight="1" x14ac:dyDescent="0.25">
      <c r="A52" s="98"/>
      <c r="B52" s="98"/>
      <c r="C52" s="98"/>
      <c r="D52" s="98"/>
      <c r="E52" s="98">
        <f>SUM(E7:E51)</f>
        <v>99.999999999999986</v>
      </c>
      <c r="F52" s="98"/>
      <c r="G52" s="99">
        <f>SUM(G7:G51)</f>
        <v>7204167.012614768</v>
      </c>
      <c r="H52" s="98"/>
      <c r="I52" s="98"/>
      <c r="J52" s="142">
        <f>SUM(J8:J51)</f>
        <v>747145.58100000047</v>
      </c>
      <c r="K52" s="99">
        <f>SUM(K7:K51)</f>
        <v>6949272.3183094747</v>
      </c>
      <c r="L52" s="205">
        <f>SUM(L7:L51)</f>
        <v>10000</v>
      </c>
      <c r="M52" s="100">
        <f>SUM(M7:M51)</f>
        <v>7082185.8091136571</v>
      </c>
      <c r="N52" s="99">
        <f>SUM(N7:N51)</f>
        <v>7507116.9576604739</v>
      </c>
      <c r="P52" s="150"/>
    </row>
    <row r="53" spans="1:16" hidden="1" x14ac:dyDescent="0.25">
      <c r="K53" s="153">
        <f>K52-L1</f>
        <v>0.66830947529524565</v>
      </c>
    </row>
    <row r="54" spans="1:16" ht="15" hidden="1" customHeight="1" x14ac:dyDescent="0.25">
      <c r="C54" s="243"/>
      <c r="D54" s="243"/>
      <c r="E54" s="243"/>
      <c r="F54" s="243"/>
      <c r="G54" s="243"/>
      <c r="H54" s="243"/>
      <c r="I54" s="243"/>
      <c r="J54" s="243"/>
      <c r="K54" s="243"/>
      <c r="L54" s="243"/>
      <c r="M54" s="243"/>
      <c r="N54" s="243"/>
    </row>
    <row r="55" spans="1:16" s="15" customFormat="1" hidden="1" x14ac:dyDescent="0.25">
      <c r="C55" s="243"/>
      <c r="D55" s="243"/>
      <c r="E55" s="243"/>
      <c r="F55" s="243"/>
      <c r="G55" s="243"/>
      <c r="H55" s="243"/>
      <c r="I55" s="243"/>
      <c r="J55" s="243"/>
      <c r="K55" s="243"/>
      <c r="L55" s="243"/>
      <c r="M55" s="243"/>
      <c r="N55" s="243"/>
    </row>
    <row r="56" spans="1:16" s="15" customFormat="1" x14ac:dyDescent="0.25"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</row>
    <row r="57" spans="1:16" s="15" customFormat="1" x14ac:dyDescent="0.25">
      <c r="C57" s="243" t="s">
        <v>139</v>
      </c>
      <c r="D57" s="243"/>
      <c r="E57" s="243"/>
      <c r="F57" s="243"/>
      <c r="G57" s="243"/>
      <c r="H57" s="243"/>
      <c r="I57" s="243"/>
      <c r="J57" s="243"/>
      <c r="K57" s="243"/>
      <c r="L57" s="243"/>
      <c r="M57" s="243"/>
      <c r="N57" s="243"/>
    </row>
    <row r="58" spans="1:16" s="15" customFormat="1" x14ac:dyDescent="0.25"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</row>
    <row r="59" spans="1:16" x14ac:dyDescent="0.25">
      <c r="C59" s="243"/>
      <c r="D59" s="243"/>
      <c r="E59" s="243"/>
      <c r="F59" s="243"/>
      <c r="G59" s="243"/>
      <c r="H59" s="243"/>
      <c r="I59" s="243"/>
      <c r="J59" s="243"/>
      <c r="K59" s="243"/>
      <c r="L59" s="243"/>
      <c r="M59" s="243"/>
      <c r="N59" s="243"/>
    </row>
    <row r="60" spans="1:16" x14ac:dyDescent="0.25">
      <c r="C60" s="243"/>
      <c r="D60" s="243"/>
      <c r="E60" s="243"/>
      <c r="F60" s="243"/>
      <c r="G60" s="243"/>
      <c r="H60" s="243"/>
      <c r="I60" s="243"/>
      <c r="J60" s="243"/>
      <c r="K60" s="243"/>
      <c r="L60" s="243"/>
      <c r="M60" s="243"/>
      <c r="N60" s="243"/>
    </row>
    <row r="61" spans="1:16" x14ac:dyDescent="0.25">
      <c r="C61" s="243"/>
      <c r="D61" s="243"/>
      <c r="E61" s="243"/>
      <c r="F61" s="243"/>
      <c r="G61" s="243"/>
      <c r="H61" s="243"/>
      <c r="I61" s="243"/>
      <c r="J61" s="243"/>
      <c r="K61" s="243"/>
      <c r="L61" s="243"/>
      <c r="M61" s="243"/>
      <c r="N61" s="243"/>
    </row>
    <row r="62" spans="1:16" x14ac:dyDescent="0.25">
      <c r="C62" s="243"/>
      <c r="D62" s="243"/>
      <c r="E62" s="243"/>
      <c r="F62" s="243"/>
      <c r="G62" s="243"/>
      <c r="H62" s="243"/>
      <c r="I62" s="243"/>
      <c r="J62" s="243"/>
      <c r="K62" s="243"/>
      <c r="L62" s="243"/>
      <c r="M62" s="243"/>
      <c r="N62" s="243"/>
    </row>
    <row r="63" spans="1:16" x14ac:dyDescent="0.25">
      <c r="C63" s="243"/>
      <c r="D63" s="243"/>
      <c r="E63" s="243"/>
      <c r="F63" s="243"/>
      <c r="G63" s="243"/>
      <c r="H63" s="243"/>
      <c r="I63" s="243"/>
      <c r="J63" s="243"/>
      <c r="K63" s="243"/>
      <c r="L63" s="243"/>
      <c r="M63" s="243"/>
      <c r="N63" s="243"/>
    </row>
  </sheetData>
  <mergeCells count="17">
    <mergeCell ref="F5:F6"/>
    <mergeCell ref="C57:N63"/>
    <mergeCell ref="C54:N55"/>
    <mergeCell ref="L1:M1"/>
    <mergeCell ref="N5:N6"/>
    <mergeCell ref="G5:G6"/>
    <mergeCell ref="H5:H6"/>
    <mergeCell ref="J5:J6"/>
    <mergeCell ref="K5:K6"/>
    <mergeCell ref="L5:L6"/>
    <mergeCell ref="M5:M6"/>
    <mergeCell ref="I5:I6"/>
    <mergeCell ref="A5:A6"/>
    <mergeCell ref="B5:B6"/>
    <mergeCell ref="C5:C6"/>
    <mergeCell ref="D5:D6"/>
    <mergeCell ref="E5:E6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opLeftCell="A7" workbookViewId="0">
      <selection activeCell="N2" sqref="N2"/>
    </sheetView>
  </sheetViews>
  <sheetFormatPr baseColWidth="10" defaultRowHeight="15" x14ac:dyDescent="0.25"/>
  <cols>
    <col min="1" max="1" width="8.42578125" customWidth="1"/>
    <col min="2" max="2" width="17.7109375" customWidth="1"/>
    <col min="3" max="3" width="8.85546875" customWidth="1"/>
    <col min="12" max="12" width="13.7109375" customWidth="1"/>
    <col min="13" max="13" width="11.42578125" hidden="1" customWidth="1"/>
  </cols>
  <sheetData>
    <row r="1" spans="1:15" x14ac:dyDescent="0.25">
      <c r="A1" s="55"/>
      <c r="B1" s="56"/>
      <c r="C1" s="56"/>
      <c r="D1" s="57" t="s">
        <v>21</v>
      </c>
      <c r="E1" s="57"/>
      <c r="F1" s="56"/>
      <c r="G1" s="56"/>
      <c r="H1" s="56"/>
      <c r="I1" s="56"/>
      <c r="J1" s="56"/>
      <c r="K1" s="56"/>
      <c r="L1" s="57" t="s">
        <v>75</v>
      </c>
      <c r="M1" s="56"/>
      <c r="N1" s="60" t="str">
        <f>RESUMEN!C5</f>
        <v>VTO. 13/02</v>
      </c>
      <c r="O1" s="60"/>
    </row>
    <row r="2" spans="1:15" x14ac:dyDescent="0.25">
      <c r="A2" s="58"/>
      <c r="B2" s="59"/>
      <c r="C2" s="59"/>
      <c r="D2" s="57" t="s">
        <v>22</v>
      </c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3" spans="1:15" x14ac:dyDescent="0.25">
      <c r="A3" s="58"/>
      <c r="B3" s="59"/>
      <c r="C3" s="59"/>
      <c r="D3" s="57"/>
      <c r="E3" s="56"/>
      <c r="F3" s="56"/>
      <c r="G3" s="56"/>
      <c r="H3" s="56"/>
      <c r="I3" s="56"/>
      <c r="J3" s="57" t="s">
        <v>76</v>
      </c>
      <c r="K3" s="57"/>
      <c r="L3" s="61">
        <v>249991.29847799998</v>
      </c>
      <c r="M3" s="56"/>
      <c r="N3" s="62">
        <v>-1891.33</v>
      </c>
      <c r="O3" s="62"/>
    </row>
    <row r="4" spans="1:15" ht="15.75" thickBot="1" x14ac:dyDescent="0.3">
      <c r="A4" s="58"/>
      <c r="B4" s="59"/>
      <c r="C4" s="59"/>
      <c r="D4" s="57"/>
      <c r="E4" s="56"/>
      <c r="F4" s="56"/>
      <c r="G4" s="56"/>
      <c r="H4" s="56"/>
      <c r="I4" s="56"/>
      <c r="J4" s="57" t="s">
        <v>77</v>
      </c>
      <c r="K4" s="57"/>
      <c r="L4" s="61">
        <v>0</v>
      </c>
      <c r="M4" s="56"/>
      <c r="N4" s="56"/>
      <c r="O4" s="56"/>
    </row>
    <row r="5" spans="1:15" ht="30" x14ac:dyDescent="0.25">
      <c r="A5" s="254" t="s">
        <v>78</v>
      </c>
      <c r="B5" s="254" t="s">
        <v>26</v>
      </c>
      <c r="C5" s="63" t="s">
        <v>79</v>
      </c>
      <c r="D5" s="42" t="s">
        <v>27</v>
      </c>
      <c r="E5" s="42" t="s">
        <v>28</v>
      </c>
      <c r="F5" s="254" t="s">
        <v>80</v>
      </c>
      <c r="G5" s="44" t="s">
        <v>81</v>
      </c>
      <c r="H5" s="45" t="s">
        <v>31</v>
      </c>
      <c r="I5" s="43" t="s">
        <v>82</v>
      </c>
      <c r="J5" s="46" t="s">
        <v>32</v>
      </c>
      <c r="K5" s="47" t="s">
        <v>32</v>
      </c>
      <c r="L5" s="44" t="s">
        <v>33</v>
      </c>
      <c r="M5" s="48"/>
      <c r="N5" s="254" t="s">
        <v>83</v>
      </c>
      <c r="O5" s="254" t="s">
        <v>84</v>
      </c>
    </row>
    <row r="6" spans="1:15" x14ac:dyDescent="0.25">
      <c r="A6" s="255"/>
      <c r="B6" s="255"/>
      <c r="C6" s="64" t="s">
        <v>85</v>
      </c>
      <c r="D6" s="49" t="s">
        <v>34</v>
      </c>
      <c r="E6" s="49" t="s">
        <v>35</v>
      </c>
      <c r="F6" s="255"/>
      <c r="G6" s="51" t="s">
        <v>86</v>
      </c>
      <c r="H6" s="52">
        <v>0.06</v>
      </c>
      <c r="I6" s="50" t="s">
        <v>87</v>
      </c>
      <c r="J6" s="53" t="s">
        <v>36</v>
      </c>
      <c r="K6" s="54" t="s">
        <v>88</v>
      </c>
      <c r="L6" s="51" t="s">
        <v>89</v>
      </c>
      <c r="M6" s="54"/>
      <c r="N6" s="255"/>
      <c r="O6" s="255"/>
    </row>
    <row r="7" spans="1:15" ht="15" customHeight="1" x14ac:dyDescent="0.25">
      <c r="A7" s="18">
        <v>1</v>
      </c>
      <c r="B7" s="93" t="s">
        <v>65</v>
      </c>
      <c r="C7" s="96">
        <v>5.4</v>
      </c>
      <c r="D7" s="39">
        <v>13967.239436680005</v>
      </c>
      <c r="E7" s="66">
        <f>D7</f>
        <v>13967.239436680005</v>
      </c>
      <c r="F7" s="40">
        <v>0</v>
      </c>
      <c r="G7" s="41">
        <v>0</v>
      </c>
      <c r="H7" s="31">
        <v>0</v>
      </c>
      <c r="I7" s="20">
        <v>0.54</v>
      </c>
      <c r="J7" s="27">
        <v>11608.200117812001</v>
      </c>
      <c r="K7" s="33">
        <v>0</v>
      </c>
      <c r="L7" s="25">
        <v>11608.200117812001</v>
      </c>
      <c r="M7" s="21"/>
      <c r="N7" s="23">
        <v>11608.200117812001</v>
      </c>
      <c r="O7" s="23">
        <v>12304.692124880721</v>
      </c>
    </row>
    <row r="8" spans="1:15" ht="15" customHeight="1" x14ac:dyDescent="0.25">
      <c r="A8" s="18">
        <v>2</v>
      </c>
      <c r="B8" s="93" t="s">
        <v>65</v>
      </c>
      <c r="C8" s="96">
        <v>5.5</v>
      </c>
      <c r="D8" s="39">
        <v>14267.901278100004</v>
      </c>
      <c r="E8" s="66">
        <f t="shared" ref="E8:E28" si="0">D8</f>
        <v>14267.901278100004</v>
      </c>
      <c r="F8" s="40">
        <v>0</v>
      </c>
      <c r="G8" s="41">
        <v>0</v>
      </c>
      <c r="H8" s="31">
        <v>0</v>
      </c>
      <c r="I8" s="20">
        <v>0.55000000000000004</v>
      </c>
      <c r="J8" s="27">
        <v>11858.191416289999</v>
      </c>
      <c r="K8" s="33">
        <v>0</v>
      </c>
      <c r="L8" s="25">
        <v>11858.191416289999</v>
      </c>
      <c r="M8" s="21"/>
      <c r="N8" s="23">
        <v>11858.191416289999</v>
      </c>
      <c r="O8" s="23">
        <v>12569.682901267399</v>
      </c>
    </row>
    <row r="9" spans="1:15" ht="15" customHeight="1" x14ac:dyDescent="0.25">
      <c r="A9" s="18">
        <v>3</v>
      </c>
      <c r="B9" s="93" t="s">
        <v>69</v>
      </c>
      <c r="C9" s="96">
        <v>4.5</v>
      </c>
      <c r="D9" s="39">
        <v>11261.282863900002</v>
      </c>
      <c r="E9" s="66">
        <f t="shared" si="0"/>
        <v>11261.282863900002</v>
      </c>
      <c r="F9" s="40">
        <v>0</v>
      </c>
      <c r="G9" s="41">
        <v>0</v>
      </c>
      <c r="H9" s="31">
        <v>0</v>
      </c>
      <c r="I9" s="20">
        <v>0.45</v>
      </c>
      <c r="J9" s="27">
        <v>9358.278431509998</v>
      </c>
      <c r="K9" s="33">
        <v>0</v>
      </c>
      <c r="L9" s="25">
        <v>9358.278431509998</v>
      </c>
      <c r="M9" s="21"/>
      <c r="N9" s="23">
        <v>9358.278431509998</v>
      </c>
      <c r="O9" s="23">
        <v>9919.7751374005984</v>
      </c>
    </row>
    <row r="10" spans="1:15" ht="15" customHeight="1" x14ac:dyDescent="0.25">
      <c r="A10" s="18">
        <v>4</v>
      </c>
      <c r="B10" s="93" t="s">
        <v>69</v>
      </c>
      <c r="C10" s="96">
        <v>6.1</v>
      </c>
      <c r="D10" s="39">
        <v>16071.872326620005</v>
      </c>
      <c r="E10" s="66">
        <f t="shared" si="0"/>
        <v>16071.872326620005</v>
      </c>
      <c r="F10" s="40">
        <v>0</v>
      </c>
      <c r="G10" s="41">
        <v>0</v>
      </c>
      <c r="H10" s="31">
        <v>0</v>
      </c>
      <c r="I10" s="20">
        <v>0.61</v>
      </c>
      <c r="J10" s="27">
        <v>13358.139207157999</v>
      </c>
      <c r="K10" s="33">
        <v>0</v>
      </c>
      <c r="L10" s="25">
        <v>13358.139207157999</v>
      </c>
      <c r="M10" s="21"/>
      <c r="N10" s="23">
        <v>13358.139207157999</v>
      </c>
      <c r="O10" s="23">
        <v>14159.627559587479</v>
      </c>
    </row>
    <row r="11" spans="1:15" ht="15" customHeight="1" x14ac:dyDescent="0.25">
      <c r="A11" s="18">
        <v>5</v>
      </c>
      <c r="B11" s="93" t="s">
        <v>41</v>
      </c>
      <c r="C11" s="96">
        <v>5.4</v>
      </c>
      <c r="D11" s="39">
        <v>13967.239436680005</v>
      </c>
      <c r="E11" s="66">
        <f t="shared" si="0"/>
        <v>13967.239436680005</v>
      </c>
      <c r="F11" s="40">
        <v>0</v>
      </c>
      <c r="G11" s="41">
        <v>0</v>
      </c>
      <c r="H11" s="31">
        <v>0</v>
      </c>
      <c r="I11" s="20">
        <v>0.54</v>
      </c>
      <c r="J11" s="27">
        <v>11608.200117812001</v>
      </c>
      <c r="K11" s="33">
        <v>0</v>
      </c>
      <c r="L11" s="25">
        <v>11608.200117812001</v>
      </c>
      <c r="M11" s="21"/>
      <c r="N11" s="23">
        <v>11608.200117812001</v>
      </c>
      <c r="O11" s="23">
        <v>12304.692124880721</v>
      </c>
    </row>
    <row r="12" spans="1:15" ht="15" customHeight="1" x14ac:dyDescent="0.25">
      <c r="A12" s="18">
        <v>6</v>
      </c>
      <c r="B12" s="94" t="s">
        <v>49</v>
      </c>
      <c r="C12" s="96">
        <v>5</v>
      </c>
      <c r="D12" s="39">
        <v>12764.592071000003</v>
      </c>
      <c r="E12" s="66">
        <f t="shared" si="0"/>
        <v>12764.592071000003</v>
      </c>
      <c r="F12" s="40">
        <v>0</v>
      </c>
      <c r="G12" s="41">
        <v>0</v>
      </c>
      <c r="H12" s="31">
        <v>0</v>
      </c>
      <c r="I12" s="20">
        <v>0.5</v>
      </c>
      <c r="J12" s="27">
        <v>10608.2349239</v>
      </c>
      <c r="K12" s="33">
        <v>0</v>
      </c>
      <c r="L12" s="25">
        <v>10608.2349239</v>
      </c>
      <c r="M12" s="21"/>
      <c r="N12" s="23">
        <v>10608.2349239</v>
      </c>
      <c r="O12" s="23">
        <v>11244.729019334</v>
      </c>
    </row>
    <row r="13" spans="1:15" ht="15" customHeight="1" x14ac:dyDescent="0.25">
      <c r="A13" s="18">
        <v>7</v>
      </c>
      <c r="B13" s="93" t="s">
        <v>65</v>
      </c>
      <c r="C13" s="96">
        <v>5</v>
      </c>
      <c r="D13" s="39">
        <v>12764.592071000003</v>
      </c>
      <c r="E13" s="66">
        <f t="shared" si="0"/>
        <v>12764.592071000003</v>
      </c>
      <c r="F13" s="40">
        <v>0</v>
      </c>
      <c r="G13" s="41">
        <v>0</v>
      </c>
      <c r="H13" s="31">
        <v>0</v>
      </c>
      <c r="I13" s="20">
        <v>0.5</v>
      </c>
      <c r="J13" s="27">
        <v>10608.2349239</v>
      </c>
      <c r="K13" s="33">
        <v>0</v>
      </c>
      <c r="L13" s="25">
        <v>10608.2349239</v>
      </c>
      <c r="M13" s="21"/>
      <c r="N13" s="23">
        <v>10608.2349239</v>
      </c>
      <c r="O13" s="23">
        <v>11244.729019334</v>
      </c>
    </row>
    <row r="14" spans="1:15" ht="15" customHeight="1" x14ac:dyDescent="0.25">
      <c r="A14" s="18">
        <v>8</v>
      </c>
      <c r="B14" s="93" t="s">
        <v>62</v>
      </c>
      <c r="C14" s="96">
        <v>4.9000000000000004</v>
      </c>
      <c r="D14" s="39">
        <v>12463.930229580003</v>
      </c>
      <c r="E14" s="66">
        <f t="shared" si="0"/>
        <v>12463.930229580003</v>
      </c>
      <c r="F14" s="40">
        <v>0</v>
      </c>
      <c r="G14" s="41">
        <v>0</v>
      </c>
      <c r="H14" s="31">
        <v>0</v>
      </c>
      <c r="I14" s="20">
        <v>0.49</v>
      </c>
      <c r="J14" s="27">
        <v>10358.243625421999</v>
      </c>
      <c r="K14" s="33">
        <v>0</v>
      </c>
      <c r="L14" s="25">
        <v>10358.243625421999</v>
      </c>
      <c r="M14" s="21"/>
      <c r="N14" s="23">
        <v>10358.243625421999</v>
      </c>
      <c r="O14" s="23">
        <v>10979.738242947318</v>
      </c>
    </row>
    <row r="15" spans="1:15" ht="15" customHeight="1" x14ac:dyDescent="0.25">
      <c r="A15" s="18">
        <v>9</v>
      </c>
      <c r="B15" s="93" t="s">
        <v>57</v>
      </c>
      <c r="C15" s="96">
        <v>4.9000000000000004</v>
      </c>
      <c r="D15" s="39">
        <v>12463.930229580003</v>
      </c>
      <c r="E15" s="66">
        <f t="shared" si="0"/>
        <v>12463.930229580003</v>
      </c>
      <c r="F15" s="40">
        <v>0</v>
      </c>
      <c r="G15" s="41">
        <v>0</v>
      </c>
      <c r="H15" s="31">
        <v>0</v>
      </c>
      <c r="I15" s="20">
        <v>0.49</v>
      </c>
      <c r="J15" s="27">
        <v>10358.243625421999</v>
      </c>
      <c r="K15" s="33">
        <v>0</v>
      </c>
      <c r="L15" s="25">
        <v>10358.243625421999</v>
      </c>
      <c r="M15" s="21"/>
      <c r="N15" s="23">
        <v>10358.243625421999</v>
      </c>
      <c r="O15" s="23">
        <v>10979.738242947318</v>
      </c>
    </row>
    <row r="16" spans="1:15" ht="15" customHeight="1" x14ac:dyDescent="0.25">
      <c r="A16" s="18">
        <v>10</v>
      </c>
      <c r="B16" s="93" t="s">
        <v>67</v>
      </c>
      <c r="C16" s="96">
        <v>5.9</v>
      </c>
      <c r="D16" s="39">
        <v>15470.548643780005</v>
      </c>
      <c r="E16" s="66">
        <f t="shared" si="0"/>
        <v>15470.548643780005</v>
      </c>
      <c r="F16" s="40">
        <v>0</v>
      </c>
      <c r="G16" s="41">
        <v>0</v>
      </c>
      <c r="H16" s="31">
        <v>0</v>
      </c>
      <c r="I16" s="20">
        <v>0.59</v>
      </c>
      <c r="J16" s="27">
        <v>12858.156610202001</v>
      </c>
      <c r="K16" s="33">
        <v>0</v>
      </c>
      <c r="L16" s="25">
        <v>12858.156610202001</v>
      </c>
      <c r="M16" s="21"/>
      <c r="N16" s="23">
        <v>12858.156610202001</v>
      </c>
      <c r="O16" s="23">
        <v>13629.64600681412</v>
      </c>
    </row>
    <row r="17" spans="1:15" ht="15" customHeight="1" x14ac:dyDescent="0.25">
      <c r="A17" s="18">
        <v>11</v>
      </c>
      <c r="B17" s="93" t="s">
        <v>67</v>
      </c>
      <c r="C17" s="96">
        <v>5.7</v>
      </c>
      <c r="D17" s="39">
        <v>14869.224960940002</v>
      </c>
      <c r="E17" s="66">
        <f t="shared" si="0"/>
        <v>14869.224960940002</v>
      </c>
      <c r="F17" s="40">
        <v>0</v>
      </c>
      <c r="G17" s="41">
        <v>0</v>
      </c>
      <c r="H17" s="31">
        <v>0</v>
      </c>
      <c r="I17" s="20">
        <v>0.56999999999999995</v>
      </c>
      <c r="J17" s="27">
        <v>12358.174013246</v>
      </c>
      <c r="K17" s="33">
        <v>0</v>
      </c>
      <c r="L17" s="25">
        <v>12358.174013246</v>
      </c>
      <c r="M17" s="21"/>
      <c r="N17" s="23">
        <v>12358.174013246</v>
      </c>
      <c r="O17" s="23">
        <v>13099.66445404076</v>
      </c>
    </row>
    <row r="18" spans="1:15" ht="15" customHeight="1" x14ac:dyDescent="0.25">
      <c r="A18" s="18">
        <v>12</v>
      </c>
      <c r="B18" s="93" t="s">
        <v>55</v>
      </c>
      <c r="C18" s="96">
        <v>5.4</v>
      </c>
      <c r="D18" s="39">
        <v>13967.239436680005</v>
      </c>
      <c r="E18" s="66">
        <f t="shared" si="0"/>
        <v>13967.239436680005</v>
      </c>
      <c r="F18" s="40">
        <v>0</v>
      </c>
      <c r="G18" s="41">
        <v>0</v>
      </c>
      <c r="H18" s="31">
        <v>0</v>
      </c>
      <c r="I18" s="20">
        <v>0.54</v>
      </c>
      <c r="J18" s="27">
        <v>11608.200117812001</v>
      </c>
      <c r="K18" s="33">
        <v>0</v>
      </c>
      <c r="L18" s="25">
        <v>11608.200117812001</v>
      </c>
      <c r="M18" s="21"/>
      <c r="N18" s="23">
        <v>11608.200117812001</v>
      </c>
      <c r="O18" s="23">
        <v>12304.692124880721</v>
      </c>
    </row>
    <row r="19" spans="1:15" ht="15" customHeight="1" x14ac:dyDescent="0.25">
      <c r="A19" s="18">
        <v>13</v>
      </c>
      <c r="B19" s="93" t="s">
        <v>71</v>
      </c>
      <c r="C19" s="96">
        <v>5.5</v>
      </c>
      <c r="D19" s="39">
        <v>14267.901278100004</v>
      </c>
      <c r="E19" s="66">
        <f t="shared" si="0"/>
        <v>14267.901278100004</v>
      </c>
      <c r="F19" s="40">
        <v>0</v>
      </c>
      <c r="G19" s="41">
        <v>0</v>
      </c>
      <c r="H19" s="31">
        <v>0</v>
      </c>
      <c r="I19" s="20">
        <v>0.55000000000000004</v>
      </c>
      <c r="J19" s="27">
        <v>11858.191416289999</v>
      </c>
      <c r="K19" s="33">
        <v>0</v>
      </c>
      <c r="L19" s="25">
        <v>11858.191416289999</v>
      </c>
      <c r="M19" s="21"/>
      <c r="N19" s="23">
        <v>11858.191416289999</v>
      </c>
      <c r="O19" s="23">
        <v>12569.682901267399</v>
      </c>
    </row>
    <row r="20" spans="1:15" ht="15" customHeight="1" x14ac:dyDescent="0.25">
      <c r="A20" s="18">
        <v>14</v>
      </c>
      <c r="B20" s="93" t="s">
        <v>71</v>
      </c>
      <c r="C20" s="96">
        <v>4.5</v>
      </c>
      <c r="D20" s="39">
        <v>11261.282863900002</v>
      </c>
      <c r="E20" s="66">
        <f t="shared" si="0"/>
        <v>11261.282863900002</v>
      </c>
      <c r="F20" s="40">
        <v>0</v>
      </c>
      <c r="G20" s="41">
        <v>0</v>
      </c>
      <c r="H20" s="31">
        <v>0</v>
      </c>
      <c r="I20" s="20">
        <v>0.45</v>
      </c>
      <c r="J20" s="27">
        <v>9358.278431509998</v>
      </c>
      <c r="K20" s="33">
        <v>0</v>
      </c>
      <c r="L20" s="25">
        <v>9358.278431509998</v>
      </c>
      <c r="M20" s="21"/>
      <c r="N20" s="23">
        <v>9358.278431509998</v>
      </c>
      <c r="O20" s="23">
        <v>9919.7751374005984</v>
      </c>
    </row>
    <row r="21" spans="1:15" ht="15" customHeight="1" x14ac:dyDescent="0.25">
      <c r="A21" s="18">
        <v>15</v>
      </c>
      <c r="B21" s="93" t="s">
        <v>71</v>
      </c>
      <c r="C21" s="96">
        <v>6.1</v>
      </c>
      <c r="D21" s="39">
        <v>16071.872326620005</v>
      </c>
      <c r="E21" s="66">
        <f t="shared" si="0"/>
        <v>16071.872326620005</v>
      </c>
      <c r="F21" s="40">
        <v>0</v>
      </c>
      <c r="G21" s="41">
        <v>0</v>
      </c>
      <c r="H21" s="23">
        <v>0</v>
      </c>
      <c r="I21" s="20">
        <v>0.61</v>
      </c>
      <c r="J21" s="27">
        <v>13358.139207157999</v>
      </c>
      <c r="K21" s="33">
        <v>0</v>
      </c>
      <c r="L21" s="25">
        <v>13358.139207157999</v>
      </c>
      <c r="M21" s="21"/>
      <c r="N21" s="23">
        <v>13358.139207157999</v>
      </c>
      <c r="O21" s="23">
        <v>14159.627559587479</v>
      </c>
    </row>
    <row r="22" spans="1:15" ht="15" customHeight="1" x14ac:dyDescent="0.25">
      <c r="A22" s="18">
        <v>16</v>
      </c>
      <c r="B22" s="93" t="s">
        <v>58</v>
      </c>
      <c r="C22" s="96">
        <v>5.4</v>
      </c>
      <c r="D22" s="39">
        <v>13967.239436680005</v>
      </c>
      <c r="E22" s="66">
        <f t="shared" si="0"/>
        <v>13967.239436680005</v>
      </c>
      <c r="F22" s="40">
        <v>0</v>
      </c>
      <c r="G22" s="41">
        <v>0</v>
      </c>
      <c r="H22" s="31">
        <v>0</v>
      </c>
      <c r="I22" s="20">
        <v>0.54</v>
      </c>
      <c r="J22" s="27">
        <v>11608.200117812001</v>
      </c>
      <c r="K22" s="33">
        <v>0</v>
      </c>
      <c r="L22" s="25">
        <v>11608.200117812001</v>
      </c>
      <c r="M22" s="21"/>
      <c r="N22" s="23">
        <v>11608.200117812001</v>
      </c>
      <c r="O22" s="23">
        <v>12304.692124880721</v>
      </c>
    </row>
    <row r="23" spans="1:15" ht="15" customHeight="1" x14ac:dyDescent="0.25">
      <c r="A23" s="18">
        <v>17</v>
      </c>
      <c r="B23" s="93" t="s">
        <v>60</v>
      </c>
      <c r="C23" s="96">
        <v>5</v>
      </c>
      <c r="D23" s="39">
        <v>12764.592071000003</v>
      </c>
      <c r="E23" s="66">
        <f t="shared" si="0"/>
        <v>12764.592071000003</v>
      </c>
      <c r="F23" s="40">
        <v>0</v>
      </c>
      <c r="G23" s="41">
        <v>0</v>
      </c>
      <c r="H23" s="31">
        <v>0</v>
      </c>
      <c r="I23" s="20">
        <v>0.5</v>
      </c>
      <c r="J23" s="27">
        <v>10608.2349239</v>
      </c>
      <c r="K23" s="33">
        <v>0</v>
      </c>
      <c r="L23" s="25">
        <v>10608.2349239</v>
      </c>
      <c r="M23" s="21"/>
      <c r="N23" s="23">
        <v>10608.2349239</v>
      </c>
      <c r="O23" s="23">
        <v>11244.729019334</v>
      </c>
    </row>
    <row r="24" spans="1:15" ht="15" customHeight="1" x14ac:dyDescent="0.25">
      <c r="A24" s="18">
        <v>18</v>
      </c>
      <c r="B24" s="93" t="s">
        <v>52</v>
      </c>
      <c r="C24" s="96">
        <v>5</v>
      </c>
      <c r="D24" s="39">
        <v>12764.592071000003</v>
      </c>
      <c r="E24" s="66">
        <f t="shared" si="0"/>
        <v>12764.592071000003</v>
      </c>
      <c r="F24" s="40">
        <v>0</v>
      </c>
      <c r="G24" s="41">
        <v>0</v>
      </c>
      <c r="H24" s="31">
        <v>0</v>
      </c>
      <c r="I24" s="20">
        <v>0.5</v>
      </c>
      <c r="J24" s="27">
        <v>10608.2349239</v>
      </c>
      <c r="K24" s="33">
        <v>0</v>
      </c>
      <c r="L24" s="25">
        <v>10608.2349239</v>
      </c>
      <c r="M24" s="21"/>
      <c r="N24" s="23">
        <v>10608.2349239</v>
      </c>
      <c r="O24" s="23">
        <v>11244.729019334</v>
      </c>
    </row>
    <row r="25" spans="1:15" ht="15" customHeight="1" x14ac:dyDescent="0.25">
      <c r="A25" s="18">
        <v>19</v>
      </c>
      <c r="B25" s="93" t="s">
        <v>52</v>
      </c>
      <c r="C25" s="96">
        <v>4.9000000000000004</v>
      </c>
      <c r="D25" s="39">
        <v>12463.930229580003</v>
      </c>
      <c r="E25" s="66">
        <f t="shared" si="0"/>
        <v>12463.930229580003</v>
      </c>
      <c r="F25" s="40">
        <v>0</v>
      </c>
      <c r="G25" s="41">
        <v>0</v>
      </c>
      <c r="H25" s="31">
        <v>0</v>
      </c>
      <c r="I25" s="20">
        <v>0.49</v>
      </c>
      <c r="J25" s="27">
        <v>10358.243625421999</v>
      </c>
      <c r="K25" s="33">
        <v>0</v>
      </c>
      <c r="L25" s="25">
        <v>10358.243625421999</v>
      </c>
      <c r="M25" s="21"/>
      <c r="N25" s="23">
        <v>10358.243625421999</v>
      </c>
      <c r="O25" s="23">
        <v>10979.738242947318</v>
      </c>
    </row>
    <row r="26" spans="1:15" ht="15" customHeight="1" x14ac:dyDescent="0.25">
      <c r="A26" s="18">
        <v>20</v>
      </c>
      <c r="B26" s="93" t="s">
        <v>90</v>
      </c>
      <c r="C26" s="96">
        <v>4.9000000000000004</v>
      </c>
      <c r="D26" s="39">
        <v>12463.930229580003</v>
      </c>
      <c r="E26" s="66">
        <f t="shared" si="0"/>
        <v>12463.930229580003</v>
      </c>
      <c r="F26" s="40">
        <v>0</v>
      </c>
      <c r="G26" s="41">
        <v>0</v>
      </c>
      <c r="H26" s="31">
        <v>0</v>
      </c>
      <c r="I26" s="20">
        <v>0.49</v>
      </c>
      <c r="J26" s="27">
        <v>10358.243625421999</v>
      </c>
      <c r="K26" s="33">
        <v>0</v>
      </c>
      <c r="L26" s="25">
        <v>10358.243625421999</v>
      </c>
      <c r="M26" s="21"/>
      <c r="N26" s="23">
        <v>10358.243625421999</v>
      </c>
      <c r="O26" s="23">
        <v>10979.738242947318</v>
      </c>
    </row>
    <row r="27" spans="1:15" ht="15" customHeight="1" x14ac:dyDescent="0.25">
      <c r="A27" s="18">
        <v>21</v>
      </c>
      <c r="B27" s="93" t="s">
        <v>46</v>
      </c>
      <c r="C27" s="96">
        <v>5.9</v>
      </c>
      <c r="D27" s="39">
        <v>15470.548643780005</v>
      </c>
      <c r="E27" s="66">
        <f t="shared" si="0"/>
        <v>15470.548643780005</v>
      </c>
      <c r="F27" s="40">
        <v>0</v>
      </c>
      <c r="G27" s="41">
        <v>0</v>
      </c>
      <c r="H27" s="31">
        <v>0</v>
      </c>
      <c r="I27" s="20">
        <v>0.59</v>
      </c>
      <c r="J27" s="27">
        <v>12858.156610202001</v>
      </c>
      <c r="K27" s="33">
        <v>0</v>
      </c>
      <c r="L27" s="25">
        <v>12858.156610202001</v>
      </c>
      <c r="M27" s="21"/>
      <c r="N27" s="23">
        <v>12858.156610202001</v>
      </c>
      <c r="O27" s="23">
        <v>13629.64600681412</v>
      </c>
    </row>
    <row r="28" spans="1:15" ht="15" customHeight="1" x14ac:dyDescent="0.25">
      <c r="A28" s="18">
        <v>22</v>
      </c>
      <c r="B28" s="95" t="s">
        <v>54</v>
      </c>
      <c r="C28" s="96">
        <v>5.7</v>
      </c>
      <c r="D28" s="39">
        <v>14869.224960940002</v>
      </c>
      <c r="E28" s="66">
        <f t="shared" si="0"/>
        <v>14869.224960940002</v>
      </c>
      <c r="F28" s="40">
        <v>0</v>
      </c>
      <c r="G28" s="41">
        <v>0</v>
      </c>
      <c r="H28" s="31">
        <v>0</v>
      </c>
      <c r="I28" s="20">
        <v>0.56999999999999995</v>
      </c>
      <c r="J28" s="27">
        <v>12358.174013246</v>
      </c>
      <c r="K28" s="33">
        <v>0</v>
      </c>
      <c r="L28" s="25">
        <v>12358.174013246</v>
      </c>
      <c r="M28" s="21"/>
      <c r="N28" s="23">
        <v>12358.174013246</v>
      </c>
      <c r="O28" s="23">
        <v>13099.66445404076</v>
      </c>
    </row>
    <row r="29" spans="1:15" x14ac:dyDescent="0.25">
      <c r="A29" s="18"/>
      <c r="B29" s="38"/>
      <c r="C29" s="38"/>
      <c r="D29" s="39"/>
      <c r="E29" s="39"/>
      <c r="F29" s="40"/>
      <c r="G29" s="41"/>
      <c r="H29" s="31"/>
      <c r="I29" s="20"/>
      <c r="J29" s="27"/>
      <c r="K29" s="33"/>
      <c r="L29" s="25"/>
      <c r="M29" s="21"/>
      <c r="N29" s="23"/>
      <c r="O29" s="23"/>
    </row>
    <row r="30" spans="1:15" ht="15.75" thickBot="1" x14ac:dyDescent="0.3">
      <c r="A30" s="16"/>
      <c r="B30" s="17"/>
      <c r="C30" s="65">
        <v>116.60000000000001</v>
      </c>
      <c r="D30" s="30">
        <v>161487.47195715201</v>
      </c>
      <c r="E30" s="34">
        <v>161487.47195715201</v>
      </c>
      <c r="F30" s="32">
        <v>0</v>
      </c>
      <c r="G30" s="36">
        <v>0</v>
      </c>
      <c r="H30" s="35">
        <v>0</v>
      </c>
      <c r="I30" s="19">
        <v>11.66</v>
      </c>
      <c r="J30" s="28">
        <v>249880.59402534799</v>
      </c>
      <c r="K30" s="29">
        <v>0</v>
      </c>
      <c r="L30" s="26">
        <v>249880.59402534799</v>
      </c>
      <c r="M30" s="22"/>
      <c r="N30" s="24">
        <v>249880.59402534799</v>
      </c>
      <c r="O30" s="24">
        <v>264873.42966686888</v>
      </c>
    </row>
    <row r="31" spans="1:15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15" x14ac:dyDescent="0.25">
      <c r="A33" s="15"/>
      <c r="B33" s="15"/>
      <c r="C33" s="15"/>
      <c r="D33" s="15"/>
      <c r="E33" s="37"/>
      <c r="F33" s="37"/>
      <c r="G33" s="15"/>
      <c r="H33" s="15"/>
      <c r="I33" s="15"/>
      <c r="J33" s="15"/>
      <c r="K33" s="15"/>
      <c r="L33" s="15"/>
      <c r="M33" s="15"/>
      <c r="N33" s="15"/>
      <c r="O33" s="15"/>
    </row>
  </sheetData>
  <mergeCells count="5">
    <mergeCell ref="A5:A6"/>
    <mergeCell ref="B5:B6"/>
    <mergeCell ref="F5:F6"/>
    <mergeCell ref="N5:N6"/>
    <mergeCell ref="O5:O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COCHERA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2025-01-31T13:37:23Z</cp:lastPrinted>
  <dcterms:created xsi:type="dcterms:W3CDTF">2023-09-17T12:29:07Z</dcterms:created>
  <dcterms:modified xsi:type="dcterms:W3CDTF">2025-01-31T13:41:19Z</dcterms:modified>
</cp:coreProperties>
</file>