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marzo\"/>
    </mc:Choice>
  </mc:AlternateContent>
  <xr:revisionPtr revIDLastSave="0" documentId="13_ncr:1_{1FE19D2A-7924-41D5-A1BA-E39F3EE3E77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RESUMEN!$A$1:$F$135</definedName>
  </definedNames>
  <calcPr calcId="181029"/>
</workbook>
</file>

<file path=xl/calcChain.xml><?xml version="1.0" encoding="utf-8"?>
<calcChain xmlns="http://schemas.openxmlformats.org/spreadsheetml/2006/main">
  <c r="E73" i="1" l="1"/>
  <c r="F73" i="1"/>
  <c r="F72" i="1"/>
  <c r="E72" i="1"/>
  <c r="G19" i="2"/>
  <c r="G26" i="2"/>
  <c r="G49" i="2"/>
  <c r="G16" i="2"/>
  <c r="G18" i="2"/>
  <c r="G17" i="2"/>
  <c r="G27" i="2"/>
  <c r="G15" i="2"/>
  <c r="G28" i="2"/>
  <c r="G46" i="2"/>
  <c r="G23" i="2" s="1"/>
  <c r="G24" i="2"/>
  <c r="G21" i="2"/>
  <c r="G9" i="2"/>
  <c r="G29" i="2"/>
  <c r="G13" i="2"/>
  <c r="G20" i="2"/>
  <c r="G68" i="1"/>
  <c r="F68" i="1"/>
  <c r="E68" i="1"/>
  <c r="H68" i="1" s="1"/>
  <c r="E66" i="1"/>
  <c r="F66" i="1"/>
  <c r="G66" i="1"/>
  <c r="E65" i="1"/>
  <c r="F65" i="1"/>
  <c r="G65" i="1"/>
  <c r="F67" i="1"/>
  <c r="E67" i="1"/>
  <c r="G71" i="1"/>
  <c r="E71" i="1"/>
  <c r="H71" i="1" s="1"/>
  <c r="G57" i="1"/>
  <c r="E57" i="1"/>
  <c r="H57" i="1" s="1"/>
  <c r="D60" i="1"/>
  <c r="G60" i="1" s="1"/>
  <c r="H66" i="1" l="1"/>
  <c r="H65" i="1"/>
  <c r="E60" i="1"/>
  <c r="F60" i="1"/>
  <c r="H60" i="1" l="1"/>
  <c r="D53" i="1" l="1"/>
  <c r="F62" i="1"/>
  <c r="E62" i="1"/>
  <c r="G62" i="1"/>
  <c r="F52" i="2"/>
  <c r="D75" i="1"/>
  <c r="E64" i="1"/>
  <c r="F64" i="1"/>
  <c r="F46" i="1"/>
  <c r="E46" i="1"/>
  <c r="D82" i="1"/>
  <c r="E69" i="1" l="1"/>
  <c r="G64" i="1" l="1"/>
  <c r="H64" i="1" l="1"/>
  <c r="I64" i="1" s="1"/>
  <c r="D48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G22" i="2"/>
  <c r="D112" i="1"/>
  <c r="B122" i="1" s="1"/>
  <c r="F111" i="1"/>
  <c r="E111" i="1"/>
  <c r="E112" i="1" l="1"/>
  <c r="F112" i="1"/>
  <c r="H112" i="1" l="1"/>
  <c r="I112" i="1" s="1"/>
  <c r="E81" i="1" l="1"/>
  <c r="E45" i="1" l="1"/>
  <c r="E47" i="1"/>
  <c r="E48" i="1" l="1"/>
  <c r="F47" i="1"/>
  <c r="F48" i="1" s="1"/>
  <c r="G48" i="1" l="1"/>
  <c r="F38" i="1"/>
  <c r="F37" i="1"/>
  <c r="F36" i="1"/>
  <c r="E38" i="1"/>
  <c r="E37" i="1"/>
  <c r="E36" i="1"/>
  <c r="H72" i="1" l="1"/>
  <c r="G72" i="1" l="1"/>
  <c r="G58" i="1" l="1"/>
  <c r="G59" i="1"/>
  <c r="G61" i="1"/>
  <c r="G63" i="1"/>
  <c r="G67" i="1"/>
  <c r="G69" i="1"/>
  <c r="G70" i="1"/>
  <c r="G73" i="1"/>
  <c r="G74" i="1"/>
  <c r="E74" i="1"/>
  <c r="H74" i="1" s="1"/>
  <c r="I74" i="1" l="1"/>
  <c r="H73" i="1" l="1"/>
  <c r="I73" i="1" s="1"/>
  <c r="H67" i="1"/>
  <c r="I67" i="1" s="1"/>
  <c r="H69" i="1" l="1"/>
  <c r="I69" i="1" s="1"/>
  <c r="D30" i="1" l="1"/>
  <c r="D55" i="1"/>
  <c r="D91" i="1"/>
  <c r="D95" i="1"/>
  <c r="G11" i="2" l="1"/>
  <c r="E80" i="1" l="1"/>
  <c r="F97" i="1" l="1"/>
  <c r="E97" i="1"/>
  <c r="G97" i="1" l="1"/>
  <c r="H97" i="1" s="1"/>
  <c r="F94" i="1" l="1"/>
  <c r="F93" i="1"/>
  <c r="E94" i="1"/>
  <c r="E93" i="1"/>
  <c r="F88" i="1"/>
  <c r="F86" i="1"/>
  <c r="E88" i="1"/>
  <c r="E86" i="1"/>
  <c r="F79" i="1"/>
  <c r="E79" i="1"/>
  <c r="F63" i="1"/>
  <c r="F61" i="1"/>
  <c r="F59" i="1"/>
  <c r="F58" i="1"/>
  <c r="E70" i="1"/>
  <c r="H70" i="1" s="1"/>
  <c r="I70" i="1" s="1"/>
  <c r="E63" i="1"/>
  <c r="E61" i="1"/>
  <c r="E59" i="1"/>
  <c r="E58" i="1"/>
  <c r="F32" i="1"/>
  <c r="F31" i="1"/>
  <c r="E32" i="1"/>
  <c r="E31" i="1"/>
  <c r="F54" i="1"/>
  <c r="F52" i="1"/>
  <c r="E54" i="1"/>
  <c r="E52" i="1"/>
  <c r="F24" i="1"/>
  <c r="F25" i="1"/>
  <c r="F23" i="1"/>
  <c r="E23" i="1"/>
  <c r="E24" i="1"/>
  <c r="E25" i="1"/>
  <c r="H61" i="1" l="1"/>
  <c r="I61" i="1" s="1"/>
  <c r="H59" i="1"/>
  <c r="I59" i="1" s="1"/>
  <c r="H63" i="1"/>
  <c r="I63" i="1" s="1"/>
  <c r="H58" i="1"/>
  <c r="I58" i="1" s="1"/>
  <c r="F30" i="1"/>
  <c r="F95" i="1"/>
  <c r="E75" i="1"/>
  <c r="E95" i="1"/>
  <c r="E91" i="1"/>
  <c r="F91" i="1"/>
  <c r="E82" i="1"/>
  <c r="F82" i="1"/>
  <c r="F75" i="1"/>
  <c r="E35" i="1"/>
  <c r="E39" i="1" s="1"/>
  <c r="F35" i="1"/>
  <c r="E30" i="1"/>
  <c r="G30" i="1" l="1"/>
  <c r="H30" i="1" s="1"/>
  <c r="G95" i="1"/>
  <c r="G91" i="1"/>
  <c r="G82" i="1"/>
  <c r="G75" i="1"/>
  <c r="H75" i="1" s="1"/>
  <c r="G35" i="1"/>
  <c r="D35" i="1"/>
  <c r="D99" i="1" s="1"/>
  <c r="B116" i="1" l="1"/>
  <c r="B121" i="1" s="1"/>
  <c r="D39" i="1"/>
  <c r="H82" i="1"/>
  <c r="H35" i="1"/>
  <c r="H95" i="1"/>
  <c r="H91" i="1"/>
  <c r="C104" i="1"/>
  <c r="B124" i="1" s="1"/>
  <c r="L1" i="2" l="1"/>
  <c r="E53" i="1"/>
  <c r="E55" i="1" s="1"/>
  <c r="E99" i="1" s="1"/>
  <c r="F53" i="1"/>
  <c r="F55" i="1" s="1"/>
  <c r="G55" i="1" l="1"/>
  <c r="G98" i="1" s="1"/>
  <c r="H55" i="1" l="1"/>
  <c r="B115" i="1"/>
  <c r="O1" i="2" l="1"/>
  <c r="O2" i="2" s="1"/>
  <c r="A3" i="2"/>
  <c r="E43" i="1" l="1"/>
  <c r="F43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G7" i="2"/>
  <c r="K53" i="2" l="1"/>
  <c r="J52" i="2"/>
  <c r="Q47" i="2" s="1"/>
  <c r="B123" i="1"/>
  <c r="G14" i="2"/>
  <c r="B134" i="1" l="1"/>
  <c r="J4" i="2" l="1"/>
  <c r="G32" i="2"/>
  <c r="G12" i="2"/>
  <c r="H12" i="2" s="1"/>
  <c r="L15" i="2" l="1"/>
  <c r="L20" i="2"/>
  <c r="L24" i="2"/>
  <c r="L16" i="2"/>
  <c r="L21" i="2"/>
  <c r="L13" i="2"/>
  <c r="L18" i="2"/>
  <c r="L22" i="2"/>
  <c r="L14" i="2"/>
  <c r="L19" i="2"/>
  <c r="L23" i="2"/>
  <c r="L41" i="2"/>
  <c r="L49" i="2"/>
  <c r="L45" i="2"/>
  <c r="L37" i="2"/>
  <c r="L8" i="2"/>
  <c r="L48" i="2"/>
  <c r="L44" i="2"/>
  <c r="L40" i="2"/>
  <c r="L36" i="2"/>
  <c r="L32" i="2"/>
  <c r="L28" i="2"/>
  <c r="L11" i="2"/>
  <c r="L33" i="2"/>
  <c r="L25" i="2"/>
  <c r="L51" i="2"/>
  <c r="L47" i="2"/>
  <c r="L43" i="2"/>
  <c r="L39" i="2"/>
  <c r="L35" i="2"/>
  <c r="L31" i="2"/>
  <c r="L27" i="2"/>
  <c r="L10" i="2"/>
  <c r="L50" i="2"/>
  <c r="L46" i="2"/>
  <c r="L42" i="2"/>
  <c r="L38" i="2"/>
  <c r="L34" i="2"/>
  <c r="L30" i="2"/>
  <c r="L9" i="2"/>
  <c r="G50" i="2" l="1"/>
  <c r="G35" i="2" l="1"/>
  <c r="G25" i="2" l="1"/>
  <c r="F39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G52" i="2" l="1"/>
  <c r="H17" i="2"/>
  <c r="M17" i="2" s="1"/>
  <c r="N17" i="2" s="1"/>
  <c r="H26" i="2"/>
  <c r="M26" i="2" s="1"/>
  <c r="N26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20" i="1"/>
  <c r="B126" i="1" s="1"/>
  <c r="F99" i="1"/>
  <c r="G99" i="1" s="1"/>
  <c r="H99" i="1" l="1"/>
  <c r="I99" i="1"/>
</calcChain>
</file>

<file path=xl/sharedStrings.xml><?xml version="1.0" encoding="utf-8"?>
<sst xmlns="http://schemas.openxmlformats.org/spreadsheetml/2006/main" count="257" uniqueCount="168">
  <si>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</si>
  <si>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</si>
  <si>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</si>
  <si>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</si>
  <si>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</si>
  <si>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</si>
  <si>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</si>
  <si>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</si>
  <si>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</si>
  <si>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</si>
  <si>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</si>
  <si>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</si>
  <si>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</si>
  <si>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</si>
  <si>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</si>
  <si>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</si>
  <si>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</si>
  <si>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</si>
  <si>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</si>
  <si>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</si>
  <si>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</si>
  <si>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</si>
  <si>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</si>
  <si>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</si>
  <si>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</si>
  <si>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</si>
  <si>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</si>
  <si>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</si>
  <si>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</si>
  <si>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</si>
  <si>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</si>
  <si>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</si>
  <si>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</si>
  <si>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</si>
  <si>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</si>
  <si>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</si>
  <si>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</si>
  <si>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</si>
  <si>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</si>
  <si>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</si>
  <si>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</si>
  <si>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</si>
  <si>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</si>
  <si>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</si>
  <si>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</si>
  <si>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</si>
  <si>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</si>
  <si>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</si>
  <si>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RUIZ, DIEGO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</si>
  <si>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</si>
  <si>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</si>
  <si>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</si>
  <si>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</si>
  <si>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</si>
  <si>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</si>
  <si>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</si>
  <si>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</si>
  <si>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</si>
  <si>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</si>
  <si>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</si>
  <si>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</si>
  <si>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</si>
  <si>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</si>
  <si>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</si>
  <si>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</si>
  <si>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</si>
  <si>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</si>
  <si>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</si>
  <si>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</si>
  <si>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</si>
  <si>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</si>
  <si>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</si>
  <si>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</si>
  <si>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</si>
  <si>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</si>
  <si>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</si>
  <si>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</si>
  <si>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</si>
  <si>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</si>
  <si>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</si>
  <si>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</si>
  <si>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</si>
  <si>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</si>
  <si>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</si>
  <si>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</si>
  <si>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</si>
  <si>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</si>
  <si>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</si>
  <si>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</si>
  <si>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</si>
  <si>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</si>
  <si>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</si>
  <si>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</si>
  <si>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</si>
  <si>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</si>
  <si>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</si>
  <si>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</si>
  <si>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</si>
  <si>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</si>
  <si>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</si>
  <si>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</si>
  <si>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</si>
  <si>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</si>
  <si>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</si>
  <si>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</si>
  <si>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</si>
  <si>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</si>
  <si>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</si>
  <si>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</si>
  <si>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</si>
  <si>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</si>
  <si>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</si>
  <si>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</si>
  <si>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</si>
  <si>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</si>
  <si>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</si>
  <si>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</si>
  <si>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</si>
  <si>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</si>
  <si>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</si>
  <si>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</si>
  <si>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</si>
  <si>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</si>
  <si>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</si>
  <si>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</si>
  <si>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</si>
  <si>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</si>
  <si>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</si>
  <si>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</si>
  <si>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</si>
  <si>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Piletero Sr Dario - puesta a punto y mantenimiento de pileta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</si>
  <si>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</si>
  <si>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</si>
  <si>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</si>
  <si>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</si>
  <si>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</si>
  <si>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</si>
  <si>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</si>
  <si>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Seguro Monica</t>
  </si>
  <si>
    <t>PARA PREEVER GATOS DEL FUTURO ASCENSOR SE PRORRATEA MAS DE LO GASTADO (SE PRORRATEA LO MISMO QUE EGRESO EL MES PASADO)</t>
  </si>
  <si>
    <t>PERÍODO: MARZO</t>
  </si>
  <si>
    <t>Honorarios MARZO</t>
  </si>
  <si>
    <t>EN TEORIA EN ESTE PUNTO (MARZO DEL 2025) LA CAJA NOS DA BIEN, TENEMOS 1,4M EN EL BANCO Y CERCA DE 120MIL PESOS EN EFECTIVO</t>
  </si>
  <si>
    <t>Ingreso mes de FEBRERO</t>
  </si>
  <si>
    <t>VTO. 14/04</t>
  </si>
  <si>
    <t>Poda - Alterrini guido 27/3</t>
  </si>
  <si>
    <t>ARCA</t>
  </si>
  <si>
    <t>ADS - Mantenimiento ascensores Marzo</t>
  </si>
  <si>
    <t>Fumigacion 11/3</t>
  </si>
  <si>
    <t>Debito 07/03</t>
  </si>
  <si>
    <t>Numero 1859135 Debito automatico 5/3</t>
  </si>
  <si>
    <t>SEGURO OBLIGATORIO SR DIEGO BRITEZ FEDERACION PATRONAL DEBITO AUTOMATICO 5/3</t>
  </si>
  <si>
    <t>Pago mis cuentas 7/3</t>
  </si>
  <si>
    <t>Debito 13/03</t>
  </si>
  <si>
    <t>Energoup MES DE MARZO 24/3</t>
  </si>
  <si>
    <t>Energoup MES DE FEBRERO 10/3</t>
  </si>
  <si>
    <t>JPL - Articulos de limpieza 18/3</t>
  </si>
  <si>
    <t>Abono bimestral 19/3</t>
  </si>
  <si>
    <t>Mes de MARZO 25/3</t>
  </si>
  <si>
    <t>Bateria alarma puerta 27/3</t>
  </si>
  <si>
    <t>Debito 26/02</t>
  </si>
  <si>
    <t xml:space="preserve">Doartero - Arreglo ficha TV </t>
  </si>
  <si>
    <t>Ferreteria el herrero - cables, cutter, viruta, masilla y mas 17/3</t>
  </si>
  <si>
    <t xml:space="preserve">Servisur - reemplazo de dicroicas mano de obra y plafones led </t>
  </si>
  <si>
    <t>Casa ruan compra de materiales</t>
  </si>
  <si>
    <t xml:space="preserve">Servisur - busqueda de fuga por salto de disyuntor </t>
  </si>
  <si>
    <t>Compra de combustible - Sra claudia jara</t>
  </si>
  <si>
    <t>Monica reemplazo martes 25/3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</si>
</sst>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#,##0.0000"/>
    <numFmt numFmtId="169" formatCode="_ &quot;$&quot;\ * #,##0_ ;_ &quot;$&quot;\ * \-#,##0_ ;_ &quot;$&quot;\ * &quot;-&quot;??_ ;_ @_ "/>
    <numFmt numFmtId="170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5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165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8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7" fontId="2" fillId="2" borderId="20" xfId="2" applyFont="1" applyFill="1" applyBorder="1"/>
    <xf numFmtId="3" fontId="0" fillId="0" borderId="13" xfId="0" applyNumberFormat="1" applyBorder="1"/>
    <xf numFmtId="169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9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7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8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165" fontId="0" fillId="0" borderId="0" xfId="0" applyNumberFormat="1"/>
    <xf numFmtId="0" fontId="7" fillId="8" borderId="0" xfId="0" applyFont="1" applyFill="1"/>
    <xf numFmtId="167" fontId="8" fillId="0" borderId="1" xfId="2" applyFont="1" applyBorder="1"/>
    <xf numFmtId="167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7" fontId="4" fillId="0" borderId="1" xfId="0" applyNumberFormat="1" applyFont="1" applyBorder="1"/>
    <xf numFmtId="4" fontId="8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70" fontId="0" fillId="0" borderId="1" xfId="1" applyNumberFormat="1" applyFont="1" applyBorder="1"/>
    <xf numFmtId="0" fontId="0" fillId="9" borderId="1" xfId="0" applyFill="1" applyBorder="1"/>
    <xf numFmtId="170" fontId="0" fillId="9" borderId="1" xfId="0" applyNumberFormat="1" applyFill="1" applyBorder="1"/>
    <xf numFmtId="3" fontId="0" fillId="9" borderId="1" xfId="0" applyNumberFormat="1" applyFill="1" applyBorder="1"/>
    <xf numFmtId="167" fontId="9" fillId="3" borderId="1" xfId="2" applyFont="1" applyFill="1" applyBorder="1"/>
    <xf numFmtId="167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7" fontId="2" fillId="0" borderId="1" xfId="2" applyFont="1" applyBorder="1"/>
    <xf numFmtId="0" fontId="2" fillId="9" borderId="25" xfId="0" applyFont="1" applyFill="1" applyBorder="1"/>
    <xf numFmtId="166" fontId="2" fillId="9" borderId="27" xfId="0" applyNumberFormat="1" applyFont="1" applyFill="1" applyBorder="1"/>
    <xf numFmtId="0" fontId="2" fillId="9" borderId="38" xfId="0" applyFont="1" applyFill="1" applyBorder="1"/>
    <xf numFmtId="166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166" fontId="14" fillId="6" borderId="11" xfId="1" applyFont="1" applyFill="1" applyBorder="1"/>
    <xf numFmtId="166" fontId="6" fillId="6" borderId="11" xfId="1" applyFont="1" applyFill="1" applyBorder="1"/>
    <xf numFmtId="166" fontId="0" fillId="0" borderId="0" xfId="0" applyNumberFormat="1"/>
    <xf numFmtId="165" fontId="2" fillId="6" borderId="34" xfId="0" applyNumberFormat="1" applyFont="1" applyFill="1" applyBorder="1"/>
    <xf numFmtId="0" fontId="2" fillId="3" borderId="1" xfId="0" applyFont="1" applyFill="1" applyBorder="1"/>
    <xf numFmtId="166" fontId="2" fillId="6" borderId="0" xfId="0" applyNumberFormat="1" applyFont="1" applyFill="1"/>
    <xf numFmtId="166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11" xfId="0" applyFill="1" applyBorder="1"/>
    <xf numFmtId="0" fontId="0" fillId="3" borderId="2" xfId="0" applyFill="1" applyBorder="1"/>
    <xf numFmtId="0" fontId="0" fillId="3" borderId="39" xfId="0" applyFill="1" applyBorder="1"/>
    <xf numFmtId="166" fontId="2" fillId="10" borderId="25" xfId="1" applyFont="1" applyFill="1" applyBorder="1"/>
    <xf numFmtId="165" fontId="2" fillId="6" borderId="1" xfId="0" applyNumberFormat="1" applyFont="1" applyFill="1" applyBorder="1"/>
    <xf numFmtId="165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166" fontId="6" fillId="3" borderId="0" xfId="1" applyFont="1" applyFill="1" applyBorder="1"/>
    <xf numFmtId="0" fontId="19" fillId="0" borderId="1" xfId="0" applyFont="1" applyBorder="1"/>
    <xf numFmtId="170" fontId="0" fillId="9" borderId="1" xfId="1" applyNumberFormat="1" applyFont="1" applyFill="1" applyBorder="1"/>
    <xf numFmtId="164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70" fontId="15" fillId="0" borderId="1" xfId="0" applyNumberFormat="1" applyFont="1" applyBorder="1"/>
    <xf numFmtId="170" fontId="19" fillId="0" borderId="1" xfId="0" applyNumberFormat="1" applyFont="1" applyBorder="1"/>
    <xf numFmtId="0" fontId="15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10" borderId="1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70" fontId="0" fillId="0" borderId="0" xfId="0" applyNumberFormat="1"/>
    <xf numFmtId="166" fontId="0" fillId="0" borderId="34" xfId="1" applyFont="1" applyBorder="1"/>
    <xf numFmtId="166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/>
    <xf numFmtId="166" fontId="2" fillId="7" borderId="26" xfId="0" applyNumberFormat="1" applyFont="1" applyFill="1" applyBorder="1"/>
    <xf numFmtId="166" fontId="0" fillId="0" borderId="11" xfId="0" applyNumberFormat="1" applyBorder="1"/>
    <xf numFmtId="0" fontId="20" fillId="0" borderId="0" xfId="0" applyFont="1"/>
    <xf numFmtId="164" fontId="6" fillId="5" borderId="0" xfId="0" applyNumberFormat="1" applyFont="1" applyFill="1" applyAlignment="1">
      <alignment horizontal="right" wrapText="1"/>
    </xf>
    <xf numFmtId="166" fontId="6" fillId="5" borderId="0" xfId="0" applyNumberFormat="1" applyFont="1" applyFill="1"/>
    <xf numFmtId="164" fontId="6" fillId="5" borderId="0" xfId="0" applyNumberFormat="1" applyFont="1" applyFill="1"/>
    <xf numFmtId="166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6" fontId="0" fillId="0" borderId="0" xfId="1" applyFont="1"/>
    <xf numFmtId="166" fontId="14" fillId="6" borderId="11" xfId="0" applyNumberFormat="1" applyFont="1" applyFill="1" applyBorder="1"/>
    <xf numFmtId="166" fontId="2" fillId="6" borderId="25" xfId="0" applyNumberFormat="1" applyFont="1" applyFill="1" applyBorder="1"/>
    <xf numFmtId="0" fontId="0" fillId="3" borderId="0" xfId="0" applyFill="1"/>
    <xf numFmtId="166" fontId="20" fillId="0" borderId="0" xfId="0" applyNumberFormat="1" applyFont="1"/>
    <xf numFmtId="16" fontId="0" fillId="3" borderId="1" xfId="0" applyNumberFormat="1" applyFill="1" applyBorder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166" fontId="0" fillId="0" borderId="2" xfId="0" applyNumberFormat="1" applyBorder="1"/>
    <xf numFmtId="164" fontId="15" fillId="3" borderId="1" xfId="0" applyNumberFormat="1" applyFont="1" applyFill="1" applyBorder="1"/>
    <xf numFmtId="166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166" fontId="2" fillId="6" borderId="1" xfId="0" applyNumberFormat="1" applyFont="1" applyFill="1" applyBorder="1"/>
    <xf numFmtId="166" fontId="2" fillId="6" borderId="1" xfId="1" applyFont="1" applyFill="1" applyBorder="1"/>
    <xf numFmtId="166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166" fontId="15" fillId="9" borderId="1" xfId="1" applyFont="1" applyFill="1" applyBorder="1"/>
    <xf numFmtId="167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170" fontId="1" fillId="0" borderId="1" xfId="1" applyNumberFormat="1" applyFont="1" applyBorder="1"/>
    <xf numFmtId="170" fontId="1" fillId="3" borderId="1" xfId="1" applyNumberFormat="1" applyFont="1" applyFill="1" applyBorder="1"/>
    <xf numFmtId="166" fontId="1" fillId="3" borderId="1" xfId="1" applyFont="1" applyFill="1" applyBorder="1"/>
    <xf numFmtId="0" fontId="0" fillId="11" borderId="0" xfId="0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166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0" fillId="3" borderId="12" xfId="0" applyFill="1" applyBorder="1"/>
    <xf numFmtId="0" fontId="0" fillId="3" borderId="13" xfId="0" applyFill="1" applyBorder="1"/>
    <xf numFmtId="0" fontId="12" fillId="0" borderId="12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6" fontId="6" fillId="3" borderId="11" xfId="1" applyFont="1" applyFill="1" applyBorder="1"/>
    <xf numFmtId="166" fontId="6" fillId="0" borderId="11" xfId="1" applyFont="1" applyBorder="1"/>
    <xf numFmtId="0" fontId="6" fillId="0" borderId="0" xfId="0" applyFont="1"/>
    <xf numFmtId="166" fontId="6" fillId="0" borderId="1" xfId="1" applyFont="1" applyBorder="1"/>
    <xf numFmtId="0" fontId="6" fillId="0" borderId="1" xfId="0" applyFont="1" applyBorder="1"/>
    <xf numFmtId="166" fontId="14" fillId="10" borderId="11" xfId="1" applyFont="1" applyFill="1" applyBorder="1"/>
    <xf numFmtId="166" fontId="14" fillId="7" borderId="26" xfId="0" applyNumberFormat="1" applyFont="1" applyFill="1" applyBorder="1"/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opLeftCell="A13" workbookViewId="0">
      <selection activeCell="D23" sqref="D23:D100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120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90</v>
      </c>
      <c r="C3" s="68"/>
      <c r="D3" s="68"/>
      <c r="E3" s="69"/>
    </row>
    <row r="4" spans="1:5" ht="33.75" customHeight="1" thickBot="1" x14ac:dyDescent="0.3">
      <c r="A4" s="67"/>
      <c r="B4" s="68" t="s">
        <v>91</v>
      </c>
      <c r="C4" s="68"/>
      <c r="D4" s="68"/>
      <c r="E4" s="69"/>
    </row>
    <row r="5" spans="1:5" ht="15.75" thickBot="1" x14ac:dyDescent="0.3">
      <c r="A5" s="70" t="s">
        <v>1</v>
      </c>
      <c r="B5" s="71" t="s">
        <v>140</v>
      </c>
      <c r="C5" s="71" t="s">
        <v>144</v>
      </c>
      <c r="D5" s="71"/>
      <c r="E5" s="72"/>
    </row>
    <row r="6" spans="1:5" ht="15.75" thickBot="1" x14ac:dyDescent="0.3">
      <c r="A6" s="67" t="s">
        <v>101</v>
      </c>
      <c r="B6" s="68"/>
      <c r="C6" s="68"/>
      <c r="D6" s="68"/>
      <c r="E6" s="69"/>
    </row>
    <row r="7" spans="1:5" ht="15.75" thickBot="1" x14ac:dyDescent="0.3">
      <c r="A7" s="70" t="s">
        <v>100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188" t="s">
        <v>137</v>
      </c>
      <c r="C14" s="189"/>
      <c r="D14" s="190"/>
    </row>
    <row r="15" spans="1:5" x14ac:dyDescent="0.25">
      <c r="B15" s="191"/>
      <c r="C15" s="192"/>
      <c r="D15" s="193"/>
    </row>
    <row r="16" spans="1:5" x14ac:dyDescent="0.25">
      <c r="B16" s="191"/>
      <c r="C16" s="192"/>
      <c r="D16" s="193"/>
    </row>
    <row r="17" spans="1:8" x14ac:dyDescent="0.25">
      <c r="B17" s="194"/>
      <c r="C17" s="195"/>
      <c r="D17" s="196"/>
    </row>
    <row r="19" spans="1:8" x14ac:dyDescent="0.25">
      <c r="A19" s="3"/>
    </row>
    <row r="20" spans="1:8" ht="15.75" thickBot="1" x14ac:dyDescent="0.3"/>
    <row r="21" spans="1:8" x14ac:dyDescent="0.25">
      <c r="A21" s="61" t="s">
        <v>88</v>
      </c>
      <c r="B21" s="62"/>
      <c r="C21" s="63"/>
      <c r="D21" s="59"/>
      <c r="E21" s="147" t="s">
        <v>123</v>
      </c>
      <c r="F21" s="146" t="s">
        <v>89</v>
      </c>
    </row>
    <row r="22" spans="1:8" x14ac:dyDescent="0.25">
      <c r="A22" s="122" t="s">
        <v>16</v>
      </c>
      <c r="B22" s="7" t="s">
        <v>141</v>
      </c>
      <c r="C22" s="7"/>
      <c r="D22" s="131"/>
      <c r="E22" s="7"/>
      <c r="F22" s="7"/>
    </row>
    <row r="23" spans="1:8" x14ac:dyDescent="0.25">
      <c r="A23" s="122" t="s">
        <v>128</v>
      </c>
      <c r="B23" s="7"/>
      <c r="C23" s="7"/>
      <c r="D23" s="238">
        <v>1191633.554</v>
      </c>
      <c r="E23" s="135">
        <f>D23*91.91%</f>
        <v>1095230.3994813999</v>
      </c>
      <c r="F23" s="135">
        <f>D23*8.09%</f>
        <v>96403.1545186</v>
      </c>
    </row>
    <row r="24" spans="1:8" x14ac:dyDescent="0.25">
      <c r="A24" s="122" t="s">
        <v>2</v>
      </c>
      <c r="B24" s="7"/>
      <c r="C24" s="7"/>
      <c r="D24" s="238">
        <v>-259180.31</v>
      </c>
      <c r="E24" s="135">
        <f t="shared" ref="E24:E25" si="0">D24*91.91%</f>
        <v>-238212.62292099997</v>
      </c>
      <c r="F24" s="135">
        <f t="shared" ref="F24:F25" si="1">D24*8.09%</f>
        <v>-20967.687078999999</v>
      </c>
    </row>
    <row r="25" spans="1:8" x14ac:dyDescent="0.25">
      <c r="A25" s="122" t="s">
        <v>114</v>
      </c>
      <c r="B25" s="7"/>
      <c r="C25" s="7"/>
      <c r="D25" s="238">
        <v>0.76</v>
      </c>
      <c r="E25" s="135">
        <f t="shared" si="0"/>
        <v>0.69851599999999991</v>
      </c>
      <c r="F25" s="135">
        <f t="shared" si="1"/>
        <v>6.1484000000000004E-2</v>
      </c>
    </row>
    <row r="26" spans="1:8" x14ac:dyDescent="0.25">
      <c r="A26" s="122"/>
      <c r="B26" s="7"/>
      <c r="C26" s="7"/>
      <c r="D26" s="238"/>
      <c r="E26" s="7"/>
      <c r="F26" s="7"/>
    </row>
    <row r="27" spans="1:8" hidden="1" x14ac:dyDescent="0.25">
      <c r="A27" s="122"/>
      <c r="B27" s="7"/>
      <c r="C27" s="7"/>
      <c r="D27" s="238"/>
      <c r="E27" s="7"/>
      <c r="F27" s="7"/>
    </row>
    <row r="28" spans="1:8" hidden="1" x14ac:dyDescent="0.25">
      <c r="A28" s="122"/>
      <c r="B28" s="7"/>
      <c r="C28" s="7"/>
      <c r="D28" s="238"/>
      <c r="E28" s="135"/>
      <c r="F28" s="7"/>
    </row>
    <row r="29" spans="1:8" x14ac:dyDescent="0.25">
      <c r="A29" s="122"/>
      <c r="B29" s="7"/>
      <c r="C29" s="7"/>
      <c r="D29" s="238"/>
      <c r="E29" s="135"/>
      <c r="F29" s="7"/>
    </row>
    <row r="30" spans="1:8" x14ac:dyDescent="0.25">
      <c r="A30" s="95" t="s">
        <v>3</v>
      </c>
      <c r="B30" s="95"/>
      <c r="C30" s="95"/>
      <c r="D30" s="107">
        <f>SUM(D23:D29)</f>
        <v>932454.00399999996</v>
      </c>
      <c r="E30" s="107">
        <f t="shared" ref="E30" si="2">SUM(E23:E29)</f>
        <v>857018.47507639986</v>
      </c>
      <c r="F30" s="107">
        <f>SUM(F23:F29)</f>
        <v>75435.52892360001</v>
      </c>
      <c r="G30" s="109">
        <f>E30+F30</f>
        <v>932454.00399999984</v>
      </c>
      <c r="H30" s="151" t="str">
        <f>IF(D30=G30, "", "Error")</f>
        <v/>
      </c>
    </row>
    <row r="31" spans="1:8" hidden="1" x14ac:dyDescent="0.25">
      <c r="A31" s="94" t="s">
        <v>111</v>
      </c>
      <c r="B31" s="7"/>
      <c r="C31" s="7"/>
      <c r="D31" s="239">
        <v>0</v>
      </c>
      <c r="E31" s="135">
        <f>D31*91.91%</f>
        <v>0</v>
      </c>
      <c r="F31" s="135">
        <f>D31*8.09%</f>
        <v>0</v>
      </c>
      <c r="H31" s="151"/>
    </row>
    <row r="32" spans="1:8" hidden="1" x14ac:dyDescent="0.25">
      <c r="A32" s="94"/>
      <c r="B32" s="7"/>
      <c r="C32" s="7"/>
      <c r="D32" s="238">
        <v>0</v>
      </c>
      <c r="E32" s="135">
        <f>D32*91.91%</f>
        <v>0</v>
      </c>
      <c r="F32" s="135">
        <f>D32*8.09%</f>
        <v>0</v>
      </c>
      <c r="H32" s="151"/>
    </row>
    <row r="33" spans="1:8" hidden="1" x14ac:dyDescent="0.25">
      <c r="A33" s="94"/>
      <c r="B33" s="7"/>
      <c r="C33" s="7"/>
      <c r="D33" s="238"/>
      <c r="E33" s="7"/>
      <c r="F33" s="7"/>
      <c r="H33" s="151"/>
    </row>
    <row r="34" spans="1:8" hidden="1" x14ac:dyDescent="0.25">
      <c r="A34" s="94"/>
      <c r="B34" s="7"/>
      <c r="C34" s="7"/>
      <c r="D34" s="238"/>
      <c r="E34" s="7"/>
      <c r="F34" s="7"/>
      <c r="H34" s="151"/>
    </row>
    <row r="35" spans="1:8" hidden="1" x14ac:dyDescent="0.25">
      <c r="A35" s="95" t="s">
        <v>119</v>
      </c>
      <c r="B35" s="95"/>
      <c r="C35" s="95"/>
      <c r="D35" s="107">
        <f>SUM(D31:D33)</f>
        <v>0</v>
      </c>
      <c r="E35" s="107">
        <f t="shared" ref="E35:F35" si="3">SUM(E31:E33)</f>
        <v>0</v>
      </c>
      <c r="F35" s="107">
        <f t="shared" si="3"/>
        <v>0</v>
      </c>
      <c r="G35" s="109">
        <f>E35+F35</f>
        <v>0</v>
      </c>
      <c r="H35" s="151" t="str">
        <f>IF(D35=G35, "", "Error")</f>
        <v/>
      </c>
    </row>
    <row r="36" spans="1:8" hidden="1" x14ac:dyDescent="0.25">
      <c r="A36" s="94" t="s">
        <v>111</v>
      </c>
      <c r="B36" s="7"/>
      <c r="C36" s="7"/>
      <c r="D36" s="239"/>
      <c r="E36" s="135">
        <f>D36*91.91%</f>
        <v>0</v>
      </c>
      <c r="F36" s="135">
        <f>D36*8.09%</f>
        <v>0</v>
      </c>
      <c r="H36" s="151"/>
    </row>
    <row r="37" spans="1:8" hidden="1" x14ac:dyDescent="0.25">
      <c r="A37" s="7" t="s">
        <v>133</v>
      </c>
      <c r="B37" s="7"/>
      <c r="C37" s="7"/>
      <c r="D37" s="238"/>
      <c r="E37" s="135">
        <f t="shared" ref="E37:E38" si="4">D37*91.91%</f>
        <v>0</v>
      </c>
      <c r="F37" s="135">
        <f t="shared" ref="F37:F38" si="5">D37*8.09%</f>
        <v>0</v>
      </c>
      <c r="H37" s="151"/>
    </row>
    <row r="38" spans="1:8" hidden="1" x14ac:dyDescent="0.25">
      <c r="A38" s="94" t="s">
        <v>2</v>
      </c>
      <c r="B38" s="7"/>
      <c r="C38" s="7"/>
      <c r="D38" s="238"/>
      <c r="E38" s="135">
        <f t="shared" si="4"/>
        <v>0</v>
      </c>
      <c r="F38" s="135">
        <f t="shared" si="5"/>
        <v>0</v>
      </c>
      <c r="H38" s="151"/>
    </row>
    <row r="39" spans="1:8" hidden="1" x14ac:dyDescent="0.25">
      <c r="A39" s="95" t="s">
        <v>112</v>
      </c>
      <c r="B39" s="95"/>
      <c r="C39" s="95"/>
      <c r="D39" s="107">
        <f>SUM(D32:D38)</f>
        <v>0</v>
      </c>
      <c r="E39" s="107">
        <f t="shared" ref="E39" si="6">SUM(E32:E38)</f>
        <v>0</v>
      </c>
      <c r="F39" s="120">
        <f>E39*8.09%</f>
        <v>0</v>
      </c>
      <c r="H39" s="151"/>
    </row>
    <row r="40" spans="1:8" ht="0.75" customHeight="1" x14ac:dyDescent="0.25">
      <c r="A40" s="130"/>
      <c r="B40" s="98"/>
      <c r="C40" s="98"/>
      <c r="D40" s="238"/>
      <c r="E40" s="121"/>
      <c r="F40" s="121"/>
      <c r="H40" s="151"/>
    </row>
    <row r="41" spans="1:8" hidden="1" x14ac:dyDescent="0.25">
      <c r="A41" s="130"/>
      <c r="B41" s="98"/>
      <c r="C41" s="98"/>
      <c r="D41" s="238"/>
      <c r="E41" s="121"/>
      <c r="F41" s="121"/>
      <c r="H41" s="151"/>
    </row>
    <row r="42" spans="1:8" hidden="1" x14ac:dyDescent="0.25">
      <c r="A42" s="98"/>
      <c r="B42" s="98"/>
      <c r="C42" s="111"/>
      <c r="D42" s="238"/>
      <c r="E42" s="121"/>
      <c r="F42" s="121"/>
      <c r="H42" s="151"/>
    </row>
    <row r="43" spans="1:8" hidden="1" x14ac:dyDescent="0.25">
      <c r="A43" s="95" t="s">
        <v>119</v>
      </c>
      <c r="B43" s="95"/>
      <c r="C43" s="95"/>
      <c r="D43" s="107"/>
      <c r="E43" s="112">
        <f>SUM(D40:D42)</f>
        <v>0</v>
      </c>
      <c r="F43" s="110">
        <f>(D40)*8.09%</f>
        <v>0</v>
      </c>
      <c r="H43" s="151"/>
    </row>
    <row r="44" spans="1:8" hidden="1" x14ac:dyDescent="0.25">
      <c r="A44" s="94"/>
      <c r="B44" s="7"/>
      <c r="C44" s="7"/>
      <c r="D44" s="240"/>
      <c r="E44" s="114"/>
      <c r="F44" s="7"/>
      <c r="H44" s="151"/>
    </row>
    <row r="45" spans="1:8" x14ac:dyDescent="0.25">
      <c r="A45" s="7" t="s">
        <v>130</v>
      </c>
      <c r="B45" s="7"/>
      <c r="C45" s="7"/>
      <c r="D45" s="113">
        <v>80000</v>
      </c>
      <c r="E45" s="150">
        <f>D45</f>
        <v>80000</v>
      </c>
      <c r="F45" s="7"/>
      <c r="H45" s="151"/>
    </row>
    <row r="46" spans="1:8" x14ac:dyDescent="0.25">
      <c r="A46" s="94" t="s">
        <v>138</v>
      </c>
      <c r="B46" s="7"/>
      <c r="C46" s="7"/>
      <c r="D46" s="113">
        <v>3567.21</v>
      </c>
      <c r="E46" s="135">
        <f>D46*91.91%</f>
        <v>3278.6227109999995</v>
      </c>
      <c r="F46" s="135">
        <f>D46*8.09%</f>
        <v>288.587289</v>
      </c>
      <c r="H46" s="151"/>
    </row>
    <row r="47" spans="1:8" ht="15.75" thickBot="1" x14ac:dyDescent="0.3">
      <c r="A47" s="94" t="s">
        <v>167</v>
      </c>
      <c r="B47" s="7"/>
      <c r="C47" s="7"/>
      <c r="D47" s="241">
        <v>23000</v>
      </c>
      <c r="E47" s="135">
        <f>D47*91.91%</f>
        <v>21139.3</v>
      </c>
      <c r="F47" s="135">
        <f>D47*8.09%</f>
        <v>1860.7</v>
      </c>
      <c r="H47" s="151"/>
    </row>
    <row r="48" spans="1:8" ht="15.75" thickBot="1" x14ac:dyDescent="0.3">
      <c r="A48" s="95" t="s">
        <v>129</v>
      </c>
      <c r="B48" s="95"/>
      <c r="C48" s="95"/>
      <c r="D48" s="107">
        <f>SUM(D45:D47)</f>
        <v>106567.21</v>
      </c>
      <c r="E48" s="160">
        <f>SUM(E45:E47)</f>
        <v>104417.92271100001</v>
      </c>
      <c r="F48" s="171">
        <f>SUM(F45:F47)</f>
        <v>2149.2872889999999</v>
      </c>
      <c r="G48" s="109">
        <f>E48+F48</f>
        <v>106567.21</v>
      </c>
      <c r="H48" s="151"/>
    </row>
    <row r="49" spans="1:9" hidden="1" x14ac:dyDescent="0.25">
      <c r="A49" s="7"/>
      <c r="B49" s="7"/>
      <c r="C49" s="7"/>
      <c r="D49" s="241"/>
      <c r="E49" s="115"/>
      <c r="F49" s="100"/>
      <c r="H49" s="151"/>
    </row>
    <row r="50" spans="1:9" hidden="1" x14ac:dyDescent="0.25">
      <c r="A50" s="7"/>
      <c r="B50" s="7"/>
      <c r="C50" s="7"/>
      <c r="D50" s="241"/>
      <c r="E50" s="114"/>
      <c r="F50" s="100"/>
      <c r="H50" s="151"/>
    </row>
    <row r="51" spans="1:9" x14ac:dyDescent="0.25">
      <c r="A51" s="94" t="s">
        <v>4</v>
      </c>
      <c r="B51" s="7"/>
      <c r="C51" s="7"/>
      <c r="D51" s="241"/>
      <c r="E51" s="114"/>
      <c r="F51" s="100"/>
      <c r="H51" s="151"/>
    </row>
    <row r="52" spans="1:9" x14ac:dyDescent="0.25">
      <c r="A52" s="94" t="s">
        <v>151</v>
      </c>
      <c r="B52" s="7"/>
      <c r="C52" s="98"/>
      <c r="D52" s="113">
        <v>5020</v>
      </c>
      <c r="E52" s="135">
        <f>D52*91.91%</f>
        <v>4613.8819999999996</v>
      </c>
      <c r="F52" s="135">
        <f>D52*8.09%</f>
        <v>406.11799999999999</v>
      </c>
      <c r="H52" s="151"/>
    </row>
    <row r="53" spans="1:9" x14ac:dyDescent="0.25">
      <c r="A53" s="94" t="s">
        <v>5</v>
      </c>
      <c r="B53" s="7" t="s">
        <v>153</v>
      </c>
      <c r="C53" s="7"/>
      <c r="D53" s="113">
        <f>97651.15+5227.83+47050.49</f>
        <v>149929.47</v>
      </c>
      <c r="E53" s="135">
        <f>D53*91.91%</f>
        <v>137800.175877</v>
      </c>
      <c r="F53" s="135">
        <f>D53*8.09%</f>
        <v>12129.294123</v>
      </c>
      <c r="H53" s="151"/>
    </row>
    <row r="54" spans="1:9" x14ac:dyDescent="0.25">
      <c r="A54" s="94" t="s">
        <v>146</v>
      </c>
      <c r="B54" s="7" t="s">
        <v>152</v>
      </c>
      <c r="C54" s="7"/>
      <c r="D54" s="113">
        <v>462490.43</v>
      </c>
      <c r="E54" s="135">
        <f>D54*91.91%</f>
        <v>425074.95421299996</v>
      </c>
      <c r="F54" s="135">
        <f>D54*8.09%</f>
        <v>37415.475786999996</v>
      </c>
      <c r="H54" s="151"/>
    </row>
    <row r="55" spans="1:9" x14ac:dyDescent="0.25">
      <c r="A55" s="95" t="s">
        <v>6</v>
      </c>
      <c r="B55" s="96"/>
      <c r="C55" s="96"/>
      <c r="D55" s="108">
        <f>SUM(D52:D54)</f>
        <v>617439.9</v>
      </c>
      <c r="E55" s="108">
        <f t="shared" ref="E55:F55" si="7">SUM(E52:E54)</f>
        <v>567489.01208999997</v>
      </c>
      <c r="F55" s="108">
        <f t="shared" si="7"/>
        <v>49950.887909999998</v>
      </c>
      <c r="G55" s="109">
        <f>E55+F55</f>
        <v>617439.9</v>
      </c>
      <c r="H55" s="151" t="str">
        <f>IF(D55=G55, "", "Error")</f>
        <v/>
      </c>
    </row>
    <row r="56" spans="1:9" x14ac:dyDescent="0.25">
      <c r="A56" s="7" t="s">
        <v>7</v>
      </c>
      <c r="B56" s="7"/>
      <c r="C56" s="7"/>
      <c r="D56" s="241"/>
      <c r="E56" s="115"/>
      <c r="F56" s="7"/>
      <c r="H56" s="151"/>
    </row>
    <row r="57" spans="1:9" ht="20.25" customHeight="1" x14ac:dyDescent="0.25">
      <c r="A57" s="114" t="s">
        <v>147</v>
      </c>
      <c r="B57" s="180"/>
      <c r="C57" s="181"/>
      <c r="D57" s="241">
        <v>338000</v>
      </c>
      <c r="E57" s="150">
        <f>D57</f>
        <v>338000</v>
      </c>
      <c r="F57" s="7"/>
      <c r="G57" s="109">
        <f>D57</f>
        <v>338000</v>
      </c>
      <c r="H57" s="162">
        <f>E57+F57</f>
        <v>338000</v>
      </c>
    </row>
    <row r="58" spans="1:9" ht="14.25" customHeight="1" x14ac:dyDescent="0.25">
      <c r="A58" s="122" t="s">
        <v>8</v>
      </c>
      <c r="B58" s="165" t="s">
        <v>157</v>
      </c>
      <c r="C58" s="7"/>
      <c r="D58" s="113">
        <v>104066.47</v>
      </c>
      <c r="E58" s="150">
        <f t="shared" ref="E58:E68" si="8">D58*91.91%</f>
        <v>95647.492576999997</v>
      </c>
      <c r="F58" s="135">
        <f t="shared" ref="F58:F68" si="9">D58*8.09%</f>
        <v>8418.9774230000003</v>
      </c>
      <c r="G58" s="109">
        <f t="shared" ref="G58:G74" si="10">D58</f>
        <v>104066.47</v>
      </c>
      <c r="H58" s="162">
        <f t="shared" ref="H58:H74" si="11">E58+F58</f>
        <v>104066.47</v>
      </c>
      <c r="I58" t="str">
        <f t="shared" ref="I58:I73" si="12">IF(G58=H58, "", "Error")</f>
        <v/>
      </c>
    </row>
    <row r="59" spans="1:9" x14ac:dyDescent="0.25">
      <c r="A59" s="94" t="s">
        <v>155</v>
      </c>
      <c r="B59" s="7"/>
      <c r="C59" s="7"/>
      <c r="D59" s="113">
        <v>129675</v>
      </c>
      <c r="E59" s="150">
        <f t="shared" si="8"/>
        <v>119184.2925</v>
      </c>
      <c r="F59" s="135">
        <f t="shared" si="9"/>
        <v>10490.7075</v>
      </c>
      <c r="G59" s="109">
        <f t="shared" si="10"/>
        <v>129675</v>
      </c>
      <c r="H59" s="162">
        <f t="shared" si="11"/>
        <v>129675</v>
      </c>
      <c r="I59" t="str">
        <f t="shared" si="12"/>
        <v/>
      </c>
    </row>
    <row r="60" spans="1:9" x14ac:dyDescent="0.25">
      <c r="A60" s="94" t="s">
        <v>154</v>
      </c>
      <c r="B60" s="7"/>
      <c r="C60" s="7"/>
      <c r="D60" s="113">
        <f>D59</f>
        <v>129675</v>
      </c>
      <c r="E60" s="150">
        <f t="shared" si="8"/>
        <v>119184.2925</v>
      </c>
      <c r="F60" s="135">
        <f t="shared" si="9"/>
        <v>10490.7075</v>
      </c>
      <c r="G60" s="109">
        <f t="shared" si="10"/>
        <v>129675</v>
      </c>
      <c r="H60" s="162">
        <f t="shared" si="11"/>
        <v>129675</v>
      </c>
    </row>
    <row r="61" spans="1:9" x14ac:dyDescent="0.25">
      <c r="A61" s="94" t="s">
        <v>9</v>
      </c>
      <c r="B61" s="7" t="s">
        <v>150</v>
      </c>
      <c r="C61" s="7"/>
      <c r="D61" s="113">
        <v>74622</v>
      </c>
      <c r="E61" s="150">
        <f t="shared" si="8"/>
        <v>68585.080199999997</v>
      </c>
      <c r="F61" s="135">
        <f t="shared" si="9"/>
        <v>6036.9197999999997</v>
      </c>
      <c r="G61" s="109">
        <f t="shared" si="10"/>
        <v>74622</v>
      </c>
      <c r="H61" s="162">
        <f t="shared" si="11"/>
        <v>74622</v>
      </c>
      <c r="I61" t="str">
        <f t="shared" si="12"/>
        <v/>
      </c>
    </row>
    <row r="62" spans="1:9" x14ac:dyDescent="0.25">
      <c r="A62" s="94" t="s">
        <v>11</v>
      </c>
      <c r="B62" s="7" t="s">
        <v>149</v>
      </c>
      <c r="C62" s="7"/>
      <c r="D62" s="113">
        <v>773683.95</v>
      </c>
      <c r="E62" s="150">
        <f t="shared" si="8"/>
        <v>711092.91844499984</v>
      </c>
      <c r="F62" s="135">
        <f t="shared" si="9"/>
        <v>62591.031554999994</v>
      </c>
      <c r="G62" s="109">
        <f t="shared" si="10"/>
        <v>773683.95</v>
      </c>
      <c r="H62" s="162"/>
    </row>
    <row r="63" spans="1:9" x14ac:dyDescent="0.25">
      <c r="A63" s="130" t="s">
        <v>10</v>
      </c>
      <c r="B63" s="98" t="s">
        <v>160</v>
      </c>
      <c r="C63" s="98"/>
      <c r="D63" s="113">
        <v>848382.25</v>
      </c>
      <c r="E63" s="150">
        <f t="shared" si="8"/>
        <v>779748.12597499997</v>
      </c>
      <c r="F63" s="135">
        <f t="shared" si="9"/>
        <v>68634.124024999997</v>
      </c>
      <c r="G63" s="109">
        <f t="shared" si="10"/>
        <v>848382.25</v>
      </c>
      <c r="H63" s="162">
        <f t="shared" si="11"/>
        <v>848382.25</v>
      </c>
      <c r="I63" t="str">
        <f t="shared" si="12"/>
        <v/>
      </c>
    </row>
    <row r="64" spans="1:9" x14ac:dyDescent="0.25">
      <c r="A64" s="130" t="s">
        <v>164</v>
      </c>
      <c r="B64" s="98"/>
      <c r="C64" s="98"/>
      <c r="D64" s="113">
        <v>67700</v>
      </c>
      <c r="E64" s="150">
        <f t="shared" si="8"/>
        <v>62223.069999999992</v>
      </c>
      <c r="F64" s="135">
        <f t="shared" si="9"/>
        <v>5476.93</v>
      </c>
      <c r="G64" s="109">
        <f t="shared" si="10"/>
        <v>67700</v>
      </c>
      <c r="H64" s="162">
        <f t="shared" si="11"/>
        <v>67700</v>
      </c>
      <c r="I64" t="str">
        <f t="shared" si="12"/>
        <v/>
      </c>
    </row>
    <row r="65" spans="1:9" x14ac:dyDescent="0.25">
      <c r="A65" s="130" t="s">
        <v>164</v>
      </c>
      <c r="B65" s="232"/>
      <c r="C65" s="233"/>
      <c r="D65" s="113">
        <v>5500</v>
      </c>
      <c r="E65" s="150">
        <f t="shared" si="8"/>
        <v>5055.0499999999993</v>
      </c>
      <c r="F65" s="135">
        <f t="shared" si="9"/>
        <v>444.95</v>
      </c>
      <c r="G65" s="109">
        <f t="shared" si="10"/>
        <v>5500</v>
      </c>
      <c r="H65" s="162">
        <f t="shared" si="11"/>
        <v>5499.9999999999991</v>
      </c>
      <c r="I65" s="182"/>
    </row>
    <row r="66" spans="1:9" x14ac:dyDescent="0.25">
      <c r="A66" s="229" t="s">
        <v>165</v>
      </c>
      <c r="B66" s="230"/>
      <c r="C66" s="231"/>
      <c r="D66" s="113">
        <v>140000</v>
      </c>
      <c r="E66" s="150">
        <f t="shared" si="8"/>
        <v>128673.99999999999</v>
      </c>
      <c r="F66" s="135">
        <f t="shared" si="9"/>
        <v>11326</v>
      </c>
      <c r="G66" s="109">
        <f t="shared" si="10"/>
        <v>140000</v>
      </c>
      <c r="H66" s="162">
        <f t="shared" si="11"/>
        <v>140000</v>
      </c>
    </row>
    <row r="67" spans="1:9" ht="16.5" customHeight="1" x14ac:dyDescent="0.25">
      <c r="A67" s="229" t="s">
        <v>163</v>
      </c>
      <c r="B67" s="230"/>
      <c r="C67" s="231"/>
      <c r="D67" s="113">
        <v>140000</v>
      </c>
      <c r="E67" s="150">
        <f t="shared" si="8"/>
        <v>128673.99999999999</v>
      </c>
      <c r="F67" s="135">
        <f t="shared" si="9"/>
        <v>11326</v>
      </c>
      <c r="G67" s="109">
        <f>D67</f>
        <v>140000</v>
      </c>
      <c r="H67" s="162">
        <f t="shared" si="11"/>
        <v>140000</v>
      </c>
      <c r="I67" t="str">
        <f>IF(G67=H67, "", "Error")</f>
        <v/>
      </c>
    </row>
    <row r="68" spans="1:9" ht="16.5" customHeight="1" x14ac:dyDescent="0.25">
      <c r="A68" s="236" t="s">
        <v>166</v>
      </c>
      <c r="B68" s="234"/>
      <c r="C68" s="235"/>
      <c r="D68" s="113">
        <v>91209.95</v>
      </c>
      <c r="E68" s="150">
        <f t="shared" si="8"/>
        <v>83831.065044999996</v>
      </c>
      <c r="F68" s="135">
        <f t="shared" si="9"/>
        <v>7378.8849549999995</v>
      </c>
      <c r="G68" s="109">
        <f>D68</f>
        <v>91209.95</v>
      </c>
      <c r="H68" s="162">
        <f t="shared" si="11"/>
        <v>91209.95</v>
      </c>
    </row>
    <row r="69" spans="1:9" x14ac:dyDescent="0.25">
      <c r="A69" s="200" t="s">
        <v>148</v>
      </c>
      <c r="B69" s="201"/>
      <c r="C69" s="202"/>
      <c r="D69" s="113">
        <v>62500</v>
      </c>
      <c r="E69" s="150">
        <f>D69</f>
        <v>62500</v>
      </c>
      <c r="F69" s="135"/>
      <c r="G69" s="109">
        <f t="shared" si="10"/>
        <v>62500</v>
      </c>
      <c r="H69" s="162">
        <f t="shared" si="11"/>
        <v>62500</v>
      </c>
      <c r="I69" t="str">
        <f t="shared" si="12"/>
        <v/>
      </c>
    </row>
    <row r="70" spans="1:9" ht="14.25" customHeight="1" x14ac:dyDescent="0.25">
      <c r="A70" s="7" t="s">
        <v>121</v>
      </c>
      <c r="B70" s="7" t="s">
        <v>158</v>
      </c>
      <c r="C70" s="7"/>
      <c r="D70" s="113">
        <v>77045</v>
      </c>
      <c r="E70" s="150">
        <f t="shared" ref="E70:E74" si="13">D70</f>
        <v>77045</v>
      </c>
      <c r="F70" s="7"/>
      <c r="G70" s="109">
        <f t="shared" si="10"/>
        <v>77045</v>
      </c>
      <c r="H70" s="162">
        <f t="shared" si="11"/>
        <v>77045</v>
      </c>
      <c r="I70" t="str">
        <f t="shared" si="12"/>
        <v/>
      </c>
    </row>
    <row r="71" spans="1:9" ht="14.25" customHeight="1" x14ac:dyDescent="0.25">
      <c r="A71" s="7" t="s">
        <v>121</v>
      </c>
      <c r="B71" s="7" t="s">
        <v>159</v>
      </c>
      <c r="C71" s="7"/>
      <c r="D71" s="113">
        <v>5944</v>
      </c>
      <c r="E71" s="150">
        <f t="shared" si="13"/>
        <v>5944</v>
      </c>
      <c r="F71" s="7"/>
      <c r="G71" s="109">
        <f t="shared" si="10"/>
        <v>5944</v>
      </c>
      <c r="H71" s="162">
        <f t="shared" si="11"/>
        <v>5944</v>
      </c>
    </row>
    <row r="72" spans="1:9" ht="14.25" customHeight="1" x14ac:dyDescent="0.25">
      <c r="A72" s="98" t="s">
        <v>162</v>
      </c>
      <c r="B72" s="98"/>
      <c r="C72" s="7"/>
      <c r="D72" s="113">
        <v>98894.6</v>
      </c>
      <c r="E72" s="150">
        <f t="shared" ref="E72:E73" si="14">D72*91.91%</f>
        <v>90894.026859999998</v>
      </c>
      <c r="F72" s="135">
        <f t="shared" ref="F72:F73" si="15">D72*8.09%</f>
        <v>8000.5731400000004</v>
      </c>
      <c r="G72" s="109">
        <f t="shared" si="10"/>
        <v>98894.6</v>
      </c>
      <c r="H72" s="162">
        <f t="shared" si="11"/>
        <v>98894.6</v>
      </c>
    </row>
    <row r="73" spans="1:9" ht="14.25" customHeight="1" x14ac:dyDescent="0.25">
      <c r="A73" s="98" t="s">
        <v>145</v>
      </c>
      <c r="B73" s="114"/>
      <c r="C73" s="164"/>
      <c r="D73" s="113">
        <v>65000</v>
      </c>
      <c r="E73" s="150">
        <f t="shared" si="14"/>
        <v>59741.499999999993</v>
      </c>
      <c r="F73" s="135">
        <f t="shared" si="15"/>
        <v>5258.5</v>
      </c>
      <c r="G73" s="109">
        <f t="shared" si="10"/>
        <v>65000</v>
      </c>
      <c r="H73" s="162">
        <f t="shared" si="11"/>
        <v>64999.999999999993</v>
      </c>
      <c r="I73" t="str">
        <f t="shared" si="12"/>
        <v/>
      </c>
    </row>
    <row r="74" spans="1:9" x14ac:dyDescent="0.25">
      <c r="A74" s="156"/>
      <c r="B74" s="157"/>
      <c r="C74" s="157"/>
      <c r="D74" s="168"/>
      <c r="E74" s="150">
        <f t="shared" si="13"/>
        <v>0</v>
      </c>
      <c r="F74" s="135"/>
      <c r="G74" s="109">
        <f t="shared" si="10"/>
        <v>0</v>
      </c>
      <c r="H74" s="162">
        <f t="shared" si="11"/>
        <v>0</v>
      </c>
      <c r="I74" t="str">
        <f>IF(G74=H74, "", "Error")</f>
        <v/>
      </c>
    </row>
    <row r="75" spans="1:9" x14ac:dyDescent="0.25">
      <c r="A75" s="96" t="s">
        <v>12</v>
      </c>
      <c r="B75" s="96"/>
      <c r="C75" s="96"/>
      <c r="D75" s="108">
        <f>SUM(D58:D74)</f>
        <v>2813898.22</v>
      </c>
      <c r="E75" s="108">
        <f>SUM(E58:E74)</f>
        <v>2598023.9141019997</v>
      </c>
      <c r="F75" s="108">
        <f>SUM(F58:F74)</f>
        <v>215874.30589799999</v>
      </c>
      <c r="G75" s="109">
        <f>E75+F75</f>
        <v>2813898.2199999997</v>
      </c>
      <c r="H75" s="151" t="str">
        <f>IF(D75=G75, "", "Error")</f>
        <v/>
      </c>
    </row>
    <row r="76" spans="1:9" hidden="1" x14ac:dyDescent="0.25">
      <c r="A76" s="7"/>
      <c r="B76" s="7"/>
      <c r="C76" s="7"/>
      <c r="D76" s="241"/>
      <c r="E76" s="115"/>
      <c r="F76" s="7"/>
      <c r="H76" s="151"/>
    </row>
    <row r="77" spans="1:9" hidden="1" x14ac:dyDescent="0.25">
      <c r="A77" s="7"/>
      <c r="B77" s="7"/>
      <c r="C77" s="7"/>
      <c r="D77" s="241"/>
      <c r="E77" s="114"/>
      <c r="F77" s="7"/>
      <c r="H77" s="151"/>
    </row>
    <row r="78" spans="1:9" hidden="1" x14ac:dyDescent="0.25">
      <c r="A78" s="7"/>
      <c r="B78" s="7"/>
      <c r="C78" s="7"/>
      <c r="D78" s="241"/>
      <c r="E78" s="114"/>
      <c r="F78" s="7"/>
      <c r="H78" s="151"/>
    </row>
    <row r="79" spans="1:9" x14ac:dyDescent="0.25">
      <c r="A79" s="94" t="s">
        <v>156</v>
      </c>
      <c r="B79" s="98"/>
      <c r="C79" s="7"/>
      <c r="D79" s="113">
        <v>132700</v>
      </c>
      <c r="E79" s="150">
        <f>D79*91.91%</f>
        <v>121964.56999999999</v>
      </c>
      <c r="F79" s="135">
        <f>D79*8.09%</f>
        <v>10735.43</v>
      </c>
      <c r="G79" s="161"/>
      <c r="H79" s="151"/>
    </row>
    <row r="80" spans="1:9" x14ac:dyDescent="0.25">
      <c r="A80" s="98"/>
      <c r="B80" s="163"/>
      <c r="C80" s="7"/>
      <c r="D80" s="113"/>
      <c r="E80" s="150">
        <f>D80</f>
        <v>0</v>
      </c>
      <c r="F80" s="135"/>
      <c r="H80" s="151"/>
    </row>
    <row r="81" spans="1:10" x14ac:dyDescent="0.25">
      <c r="A81" s="7"/>
      <c r="B81" s="7"/>
      <c r="C81" s="7"/>
      <c r="D81" s="113"/>
      <c r="E81" s="166">
        <f>D81</f>
        <v>0</v>
      </c>
      <c r="F81" s="7"/>
      <c r="H81" s="151"/>
      <c r="I81" s="109"/>
    </row>
    <row r="82" spans="1:10" ht="13.5" customHeight="1" x14ac:dyDescent="0.25">
      <c r="A82" s="95" t="s">
        <v>17</v>
      </c>
      <c r="B82" s="95"/>
      <c r="C82" s="95"/>
      <c r="D82" s="107">
        <f>SUM(D79:D81)</f>
        <v>132700</v>
      </c>
      <c r="E82" s="107">
        <f>SUM(E79:E81)</f>
        <v>121964.56999999999</v>
      </c>
      <c r="F82" s="107">
        <f>SUM(F79:F81)</f>
        <v>10735.43</v>
      </c>
      <c r="G82" s="109">
        <f>E82+F82</f>
        <v>132700</v>
      </c>
      <c r="H82" s="151" t="str">
        <f>IF(D82=G82, "", "Error")</f>
        <v/>
      </c>
      <c r="J82" s="109"/>
    </row>
    <row r="83" spans="1:10" hidden="1" x14ac:dyDescent="0.25">
      <c r="A83" s="7"/>
      <c r="B83" s="7"/>
      <c r="C83" s="7"/>
      <c r="D83" s="241"/>
      <c r="E83" s="115"/>
      <c r="F83" s="7"/>
      <c r="H83" s="151"/>
    </row>
    <row r="84" spans="1:10" hidden="1" x14ac:dyDescent="0.25">
      <c r="A84" s="7"/>
      <c r="B84" s="7"/>
      <c r="C84" s="7"/>
      <c r="D84" s="241"/>
      <c r="E84" s="114"/>
      <c r="F84" s="7"/>
      <c r="H84" s="151"/>
    </row>
    <row r="85" spans="1:10" x14ac:dyDescent="0.25">
      <c r="A85" s="94" t="s">
        <v>13</v>
      </c>
      <c r="B85" s="7"/>
      <c r="C85" s="7"/>
      <c r="D85" s="241"/>
      <c r="E85" s="114"/>
      <c r="F85" s="7"/>
      <c r="H85" s="151"/>
    </row>
    <row r="86" spans="1:10" ht="14.25" customHeight="1" x14ac:dyDescent="0.25">
      <c r="A86" s="94" t="s">
        <v>14</v>
      </c>
      <c r="B86" s="7" t="s">
        <v>118</v>
      </c>
      <c r="C86" s="7"/>
      <c r="D86" s="113">
        <v>222264.92</v>
      </c>
      <c r="E86" s="150">
        <f>D86*91.91%</f>
        <v>204283.68797199999</v>
      </c>
      <c r="F86" s="135">
        <f>D86*8.09%</f>
        <v>17981.232028000002</v>
      </c>
      <c r="H86" s="151"/>
    </row>
    <row r="87" spans="1:10" ht="15" hidden="1" customHeight="1" x14ac:dyDescent="0.25">
      <c r="A87" s="94"/>
      <c r="B87" s="7"/>
      <c r="C87" s="7"/>
      <c r="D87" s="113"/>
      <c r="E87" s="150"/>
      <c r="F87" s="135"/>
      <c r="H87" s="151"/>
    </row>
    <row r="88" spans="1:10" x14ac:dyDescent="0.25">
      <c r="A88" s="94" t="s">
        <v>109</v>
      </c>
      <c r="B88" s="7"/>
      <c r="C88" s="7"/>
      <c r="D88" s="113">
        <v>25000</v>
      </c>
      <c r="E88" s="150">
        <f>D88*91.91%</f>
        <v>22977.499999999996</v>
      </c>
      <c r="F88" s="135">
        <f>D88*8.09%</f>
        <v>2022.5</v>
      </c>
      <c r="H88" s="151"/>
      <c r="J88" s="113"/>
    </row>
    <row r="89" spans="1:10" x14ac:dyDescent="0.25">
      <c r="A89" s="7"/>
      <c r="B89" s="7"/>
      <c r="C89" s="7"/>
      <c r="D89" s="113"/>
      <c r="E89" s="116"/>
      <c r="F89" s="7"/>
      <c r="H89" s="151"/>
    </row>
    <row r="90" spans="1:10" x14ac:dyDescent="0.25">
      <c r="A90" s="7"/>
      <c r="B90" s="7"/>
      <c r="C90" s="7"/>
      <c r="D90" s="241"/>
      <c r="E90" s="117"/>
      <c r="F90" s="7"/>
      <c r="H90" s="151"/>
      <c r="J90" s="109"/>
    </row>
    <row r="91" spans="1:10" x14ac:dyDescent="0.25">
      <c r="A91" s="95" t="s">
        <v>102</v>
      </c>
      <c r="B91" s="95"/>
      <c r="C91" s="95"/>
      <c r="D91" s="107">
        <f>SUM(D86:D90)</f>
        <v>247264.92</v>
      </c>
      <c r="E91" s="107">
        <f t="shared" ref="E91:F91" si="16">SUM(E86:E90)</f>
        <v>227261.18797199999</v>
      </c>
      <c r="F91" s="107">
        <f t="shared" si="16"/>
        <v>20003.732028000002</v>
      </c>
      <c r="G91" s="109">
        <f>E91+F91</f>
        <v>247264.91999999998</v>
      </c>
      <c r="H91" s="151" t="str">
        <f>IF(D91=G91, "", "Error")</f>
        <v/>
      </c>
      <c r="J91" s="109"/>
    </row>
    <row r="92" spans="1:10" ht="14.25" customHeight="1" x14ac:dyDescent="0.25">
      <c r="A92" s="7"/>
      <c r="B92" s="7"/>
      <c r="C92" s="7"/>
      <c r="D92" s="113"/>
      <c r="E92" s="118"/>
      <c r="F92" s="7"/>
      <c r="H92" s="151"/>
    </row>
    <row r="93" spans="1:10" x14ac:dyDescent="0.25">
      <c r="A93" s="94" t="s">
        <v>103</v>
      </c>
      <c r="B93" s="7"/>
      <c r="C93" s="7"/>
      <c r="D93" s="113">
        <v>117033.67</v>
      </c>
      <c r="E93" s="150">
        <f>D93*91.91%</f>
        <v>107565.64609699999</v>
      </c>
      <c r="F93" s="135">
        <f>D93*8.09%</f>
        <v>9468.0239029999993</v>
      </c>
      <c r="H93" s="151"/>
    </row>
    <row r="94" spans="1:10" x14ac:dyDescent="0.25">
      <c r="A94" s="94" t="s">
        <v>104</v>
      </c>
      <c r="B94" s="7"/>
      <c r="C94" s="123"/>
      <c r="D94" s="113">
        <v>44400</v>
      </c>
      <c r="E94" s="150">
        <f>D94*91.91%</f>
        <v>40808.039999999994</v>
      </c>
      <c r="F94" s="135">
        <f>D94*8.09%</f>
        <v>3591.96</v>
      </c>
      <c r="H94" s="151"/>
    </row>
    <row r="95" spans="1:10" x14ac:dyDescent="0.25">
      <c r="A95" s="95" t="s">
        <v>15</v>
      </c>
      <c r="B95" s="95"/>
      <c r="C95" s="95"/>
      <c r="D95" s="159">
        <f>SUM(D93:D94)</f>
        <v>161433.66999999998</v>
      </c>
      <c r="E95" s="148">
        <f t="shared" ref="E95:F95" si="17">SUM(E93:E94)</f>
        <v>148373.68609699997</v>
      </c>
      <c r="F95" s="148">
        <f t="shared" si="17"/>
        <v>13059.983903</v>
      </c>
      <c r="G95" s="109">
        <f>E95+F95</f>
        <v>161433.66999999998</v>
      </c>
      <c r="H95" s="151" t="str">
        <f>IF(D95=G95, "", "Error")</f>
        <v/>
      </c>
    </row>
    <row r="96" spans="1:10" ht="15.75" thickBot="1" x14ac:dyDescent="0.3">
      <c r="A96" s="7"/>
      <c r="B96" s="7"/>
      <c r="C96" s="7"/>
      <c r="D96" s="242"/>
      <c r="E96" s="12"/>
      <c r="F96" s="7"/>
      <c r="H96" s="151"/>
    </row>
    <row r="97" spans="1:9" ht="15.75" thickBot="1" x14ac:dyDescent="0.3">
      <c r="A97" s="99" t="s">
        <v>136</v>
      </c>
      <c r="B97" s="99"/>
      <c r="C97" s="99"/>
      <c r="D97" s="243"/>
      <c r="E97" s="119">
        <f>D97*91.91%</f>
        <v>0</v>
      </c>
      <c r="F97" s="137">
        <f>D97*8.09%</f>
        <v>0</v>
      </c>
      <c r="G97" s="109">
        <f>E97+F97</f>
        <v>0</v>
      </c>
      <c r="H97" s="151" t="str">
        <f>IF(D97=G97, "", "Error")</f>
        <v/>
      </c>
    </row>
    <row r="98" spans="1:9" ht="15.75" thickBot="1" x14ac:dyDescent="0.3">
      <c r="A98" s="1"/>
      <c r="D98" s="240"/>
      <c r="E98" s="2"/>
      <c r="F98" s="10"/>
      <c r="G98" s="158">
        <f>SUM(G27:G97)</f>
        <v>8163656.1439999994</v>
      </c>
      <c r="H98" s="151"/>
    </row>
    <row r="99" spans="1:9" ht="15.75" thickBot="1" x14ac:dyDescent="0.3">
      <c r="A99" s="4" t="s">
        <v>105</v>
      </c>
      <c r="B99" s="60"/>
      <c r="C99" s="5"/>
      <c r="D99" s="244">
        <f>SUM(D97+D95+D91+D82+D75+D55+D35+D30+D48)</f>
        <v>5011757.9239999996</v>
      </c>
      <c r="E99" s="149">
        <f>SUM(E97+E95+E91+E82+E75+E55+E35+E30+E48)</f>
        <v>4624548.7680483991</v>
      </c>
      <c r="F99" s="149">
        <f>SUM(F97+F95+F91+F82+F75+F55+F35+F30+F48)</f>
        <v>387209.15595160006</v>
      </c>
      <c r="G99" s="109">
        <f>E99+F99</f>
        <v>5011757.9239999987</v>
      </c>
      <c r="H99" s="151" t="str">
        <f>IF(D99=G99, "", "Error")</f>
        <v/>
      </c>
      <c r="I99" s="182">
        <f>D99-G99</f>
        <v>0</v>
      </c>
    </row>
    <row r="100" spans="1:9" ht="15.75" thickBot="1" x14ac:dyDescent="0.3">
      <c r="D100" s="240"/>
      <c r="E100" s="109"/>
    </row>
    <row r="101" spans="1:9" ht="15.75" thickBot="1" x14ac:dyDescent="0.3">
      <c r="A101" s="143" t="s">
        <v>122</v>
      </c>
      <c r="B101" s="142"/>
      <c r="C101" s="142"/>
      <c r="E101" s="109"/>
    </row>
    <row r="102" spans="1:9" x14ac:dyDescent="0.25">
      <c r="A102" s="1"/>
      <c r="C102" s="140"/>
      <c r="E102" s="109"/>
    </row>
    <row r="103" spans="1:9" ht="15.75" thickBot="1" x14ac:dyDescent="0.3">
      <c r="A103" s="1"/>
      <c r="C103" s="140"/>
      <c r="E103" s="109"/>
    </row>
    <row r="104" spans="1:9" ht="15.75" thickBot="1" x14ac:dyDescent="0.3">
      <c r="A104" s="144" t="s">
        <v>30</v>
      </c>
      <c r="B104" s="145"/>
      <c r="C104" s="141">
        <f>SUM(C102:C103)</f>
        <v>0</v>
      </c>
      <c r="E104" s="109"/>
    </row>
    <row r="105" spans="1:9" x14ac:dyDescent="0.25">
      <c r="E105" s="109"/>
    </row>
    <row r="106" spans="1:9" x14ac:dyDescent="0.25">
      <c r="E106" s="138"/>
    </row>
    <row r="107" spans="1:9" x14ac:dyDescent="0.25">
      <c r="A107" s="209" t="s">
        <v>115</v>
      </c>
      <c r="B107" s="210"/>
      <c r="C107" s="210"/>
      <c r="D107" s="210"/>
      <c r="E107" s="173" t="s">
        <v>22</v>
      </c>
      <c r="F107" s="174" t="s">
        <v>124</v>
      </c>
    </row>
    <row r="108" spans="1:9" hidden="1" x14ac:dyDescent="0.25">
      <c r="A108" s="206"/>
      <c r="B108" s="207"/>
      <c r="C108" s="208"/>
      <c r="D108" s="168"/>
      <c r="E108" s="150"/>
      <c r="F108" s="135"/>
    </row>
    <row r="109" spans="1:9" ht="36" customHeight="1" x14ac:dyDescent="0.25">
      <c r="A109" s="203"/>
      <c r="B109" s="204"/>
      <c r="C109" s="205"/>
      <c r="D109" s="185"/>
      <c r="E109" s="150"/>
      <c r="F109" s="135"/>
    </row>
    <row r="110" spans="1:9" ht="36" customHeight="1" x14ac:dyDescent="0.25">
      <c r="A110" s="175"/>
      <c r="B110" s="176"/>
      <c r="C110" s="177"/>
      <c r="D110" s="185"/>
      <c r="E110" s="150"/>
      <c r="F110" s="135"/>
    </row>
    <row r="111" spans="1:9" ht="28.5" customHeight="1" x14ac:dyDescent="0.25">
      <c r="A111" s="203"/>
      <c r="B111" s="204"/>
      <c r="C111" s="205"/>
      <c r="D111" s="113"/>
      <c r="E111" s="150">
        <f>D111*91.91%</f>
        <v>0</v>
      </c>
      <c r="F111" s="135">
        <f>D111*8.09%</f>
        <v>0</v>
      </c>
    </row>
    <row r="112" spans="1:9" x14ac:dyDescent="0.25">
      <c r="A112" s="197" t="s">
        <v>30</v>
      </c>
      <c r="B112" s="198"/>
      <c r="C112" s="199"/>
      <c r="D112" s="172">
        <f>SUM(D108:D111)</f>
        <v>0</v>
      </c>
      <c r="E112" s="172">
        <f>SUM(E108:E111)</f>
        <v>0</v>
      </c>
      <c r="F112" s="172">
        <f>SUM(F108:F111)</f>
        <v>0</v>
      </c>
      <c r="H112" s="109">
        <f>E112+F112</f>
        <v>0</v>
      </c>
      <c r="I112" s="151" t="str">
        <f>IF(D112=H112, "", "Error")</f>
        <v/>
      </c>
    </row>
    <row r="114" spans="1:7" ht="15.75" thickBot="1" x14ac:dyDescent="0.3">
      <c r="E114" s="109"/>
    </row>
    <row r="115" spans="1:7" ht="15.75" thickBot="1" x14ac:dyDescent="0.3">
      <c r="A115" s="102" t="s">
        <v>106</v>
      </c>
      <c r="B115" s="103">
        <f>D99</f>
        <v>5011757.9239999996</v>
      </c>
    </row>
    <row r="116" spans="1:7" ht="15.75" thickBot="1" x14ac:dyDescent="0.3">
      <c r="A116" s="104" t="s">
        <v>108</v>
      </c>
      <c r="B116" s="105">
        <f>D99-D97</f>
        <v>5011757.9239999996</v>
      </c>
    </row>
    <row r="117" spans="1:7" x14ac:dyDescent="0.25">
      <c r="D117" s="187" t="s">
        <v>139</v>
      </c>
      <c r="E117" s="187"/>
    </row>
    <row r="118" spans="1:7" x14ac:dyDescent="0.25">
      <c r="A118" s="74" t="s">
        <v>92</v>
      </c>
      <c r="B118" s="75"/>
      <c r="C118" s="76"/>
      <c r="D118" s="187"/>
      <c r="E118" s="187"/>
    </row>
    <row r="119" spans="1:7" x14ac:dyDescent="0.25">
      <c r="A119" s="77" t="s">
        <v>93</v>
      </c>
      <c r="B119" s="78">
        <v>1803293.268108055</v>
      </c>
      <c r="C119" s="78"/>
      <c r="D119" s="187"/>
      <c r="E119" s="187"/>
    </row>
    <row r="120" spans="1:7" x14ac:dyDescent="0.25">
      <c r="A120" s="79" t="s">
        <v>94</v>
      </c>
      <c r="B120" s="92">
        <f>PRORRATEO!G52</f>
        <v>7660788.4767199997</v>
      </c>
      <c r="C120" s="78" t="s">
        <v>95</v>
      </c>
      <c r="D120" s="187"/>
      <c r="E120" s="187"/>
    </row>
    <row r="121" spans="1:7" x14ac:dyDescent="0.25">
      <c r="A121" s="79" t="s">
        <v>117</v>
      </c>
      <c r="B121" s="179">
        <f>-B116</f>
        <v>-5011757.9239999996</v>
      </c>
      <c r="C121" s="76"/>
      <c r="D121" s="187"/>
      <c r="E121" s="187"/>
      <c r="G121" s="113"/>
    </row>
    <row r="122" spans="1:7" x14ac:dyDescent="0.25">
      <c r="A122" s="79" t="s">
        <v>116</v>
      </c>
      <c r="B122" s="179">
        <f>-D112</f>
        <v>0</v>
      </c>
      <c r="C122" s="76"/>
      <c r="D122" s="187"/>
      <c r="E122" s="187"/>
      <c r="G122" s="126"/>
    </row>
    <row r="123" spans="1:7" x14ac:dyDescent="0.25">
      <c r="A123" s="79" t="s">
        <v>107</v>
      </c>
      <c r="B123" s="179">
        <f>-B130</f>
        <v>0</v>
      </c>
      <c r="C123" s="80"/>
    </row>
    <row r="124" spans="1:7" x14ac:dyDescent="0.25">
      <c r="A124" s="79" t="s">
        <v>122</v>
      </c>
      <c r="B124" s="93">
        <f>-C104</f>
        <v>0</v>
      </c>
      <c r="C124" s="80"/>
    </row>
    <row r="125" spans="1:7" x14ac:dyDescent="0.25">
      <c r="A125" s="79"/>
      <c r="B125" s="75"/>
      <c r="C125" s="80"/>
    </row>
    <row r="126" spans="1:7" x14ac:dyDescent="0.25">
      <c r="A126" s="77" t="s">
        <v>96</v>
      </c>
      <c r="B126" s="81">
        <f>SUM(B119:B125)</f>
        <v>4452323.820828055</v>
      </c>
      <c r="C126" s="155"/>
    </row>
    <row r="127" spans="1:7" x14ac:dyDescent="0.25">
      <c r="A127" s="80"/>
      <c r="C127" s="76"/>
      <c r="D127" s="83"/>
    </row>
    <row r="128" spans="1:7" x14ac:dyDescent="0.25">
      <c r="C128" s="76"/>
      <c r="D128" s="109"/>
      <c r="E128" s="182"/>
    </row>
    <row r="129" spans="1:14" x14ac:dyDescent="0.25">
      <c r="A129" s="74" t="s">
        <v>97</v>
      </c>
      <c r="B129" s="11">
        <v>-245694.54</v>
      </c>
      <c r="C129" s="82"/>
    </row>
    <row r="130" spans="1:14" ht="14.25" customHeight="1" x14ac:dyDescent="0.25">
      <c r="A130" s="77" t="s">
        <v>143</v>
      </c>
      <c r="B130" s="93"/>
      <c r="C130" s="82"/>
      <c r="D130" s="182"/>
      <c r="E130" s="109"/>
    </row>
    <row r="131" spans="1:14" hidden="1" x14ac:dyDescent="0.25">
      <c r="A131" s="77"/>
      <c r="B131" s="179"/>
      <c r="C131" s="82"/>
      <c r="E131" s="109"/>
    </row>
    <row r="132" spans="1:14" hidden="1" x14ac:dyDescent="0.25">
      <c r="A132" s="77"/>
      <c r="B132" s="179"/>
      <c r="C132" s="82"/>
      <c r="E132" s="109"/>
    </row>
    <row r="133" spans="1:14" x14ac:dyDescent="0.25">
      <c r="A133" s="77" t="s">
        <v>161</v>
      </c>
      <c r="B133" s="179">
        <v>-65000</v>
      </c>
      <c r="C133" s="82"/>
      <c r="E133" s="109"/>
    </row>
    <row r="134" spans="1:14" x14ac:dyDescent="0.25">
      <c r="A134" s="100" t="s">
        <v>30</v>
      </c>
      <c r="B134" s="101">
        <f>SUM(B129:B133)</f>
        <v>-310694.54000000004</v>
      </c>
      <c r="C134" s="82"/>
    </row>
    <row r="135" spans="1:14" x14ac:dyDescent="0.25">
      <c r="C135" s="83"/>
      <c r="D135" s="182"/>
    </row>
    <row r="136" spans="1:14" x14ac:dyDescent="0.25">
      <c r="B136" s="80"/>
      <c r="C136" s="76"/>
    </row>
    <row r="138" spans="1:14" x14ac:dyDescent="0.25">
      <c r="N138" s="12"/>
    </row>
    <row r="141" spans="1:14" x14ac:dyDescent="0.25">
      <c r="B141" s="186" t="s">
        <v>142</v>
      </c>
      <c r="C141" s="186"/>
      <c r="D141" s="186"/>
      <c r="E141" s="186"/>
    </row>
    <row r="142" spans="1:14" x14ac:dyDescent="0.25">
      <c r="B142" s="186"/>
      <c r="C142" s="186"/>
      <c r="D142" s="186"/>
      <c r="E142" s="186"/>
    </row>
    <row r="143" spans="1:14" x14ac:dyDescent="0.25">
      <c r="B143" s="186"/>
      <c r="C143" s="186"/>
      <c r="D143" s="186"/>
      <c r="E143" s="186"/>
    </row>
    <row r="144" spans="1:14" x14ac:dyDescent="0.25">
      <c r="B144" s="186"/>
      <c r="C144" s="186"/>
      <c r="D144" s="186"/>
      <c r="E144" s="186"/>
    </row>
    <row r="145" spans="2:5" x14ac:dyDescent="0.25">
      <c r="B145" s="186"/>
      <c r="C145" s="186"/>
      <c r="D145" s="186"/>
      <c r="E145" s="186"/>
    </row>
  </sheetData>
  <mergeCells count="11">
    <mergeCell ref="B141:E145"/>
    <mergeCell ref="D117:E122"/>
    <mergeCell ref="B14:D17"/>
    <mergeCell ref="A112:C112"/>
    <mergeCell ref="A67:C67"/>
    <mergeCell ref="A109:C109"/>
    <mergeCell ref="A111:C111"/>
    <mergeCell ref="A108:C108"/>
    <mergeCell ref="A107:D107"/>
    <mergeCell ref="A69:C69"/>
    <mergeCell ref="A66:C66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abSelected="1" zoomScaleNormal="100" workbookViewId="0">
      <selection activeCell="L7" sqref="L7"/>
    </sheetView>
  </sheetViews>
  <sheetFormatPr baseColWidth="10" defaultRowHeight="15" x14ac:dyDescent="0.25"/>
  <cols>
    <col min="1" max="1" width="4.5703125" customWidth="1"/>
    <col min="2" max="2" width="17.14062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18</v>
      </c>
      <c r="G1" s="8"/>
      <c r="H1" s="8"/>
      <c r="I1" s="8"/>
      <c r="J1" s="8"/>
      <c r="K1" s="8" t="s">
        <v>126</v>
      </c>
      <c r="L1" s="213">
        <f>RESUMEN!D99</f>
        <v>5011757.9239999996</v>
      </c>
      <c r="M1" s="214"/>
      <c r="N1" s="153"/>
      <c r="O1" s="136">
        <f>L1*8.09%</f>
        <v>405451.21605159994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127</v>
      </c>
      <c r="L2" s="8"/>
      <c r="M2" s="153">
        <v>6949271.6499999994</v>
      </c>
      <c r="N2" s="154"/>
      <c r="O2" s="136">
        <f>O1-K7-553-50-86-8</f>
        <v>17545.060099999886</v>
      </c>
    </row>
    <row r="3" spans="1:16" x14ac:dyDescent="0.25">
      <c r="A3" s="8" t="str">
        <f>RESUMEN!C5</f>
        <v>VTO. 14/04</v>
      </c>
      <c r="B3" s="8"/>
      <c r="C3" s="8"/>
      <c r="D3" s="8"/>
      <c r="E3" s="8"/>
      <c r="F3" s="8"/>
      <c r="G3" s="8"/>
      <c r="H3" s="8"/>
      <c r="I3" s="8"/>
      <c r="J3" s="9"/>
      <c r="K3" s="8" t="s">
        <v>134</v>
      </c>
      <c r="L3" s="8"/>
      <c r="M3" s="129"/>
      <c r="N3" s="152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4">
        <f>(J3*8.09%)/44</f>
        <v>0</v>
      </c>
      <c r="K4" s="8" t="s">
        <v>127</v>
      </c>
      <c r="L4" s="8"/>
      <c r="M4" s="129"/>
      <c r="N4" s="125"/>
    </row>
    <row r="5" spans="1:16" x14ac:dyDescent="0.25">
      <c r="A5" s="211" t="s">
        <v>20</v>
      </c>
      <c r="B5" s="224" t="s">
        <v>21</v>
      </c>
      <c r="C5" s="211" t="s">
        <v>22</v>
      </c>
      <c r="D5" s="222" t="s">
        <v>23</v>
      </c>
      <c r="E5" s="211" t="s">
        <v>99</v>
      </c>
      <c r="F5" s="211" t="s">
        <v>24</v>
      </c>
      <c r="G5" s="211" t="s">
        <v>25</v>
      </c>
      <c r="H5" s="217" t="s">
        <v>26</v>
      </c>
      <c r="I5" s="222" t="s">
        <v>110</v>
      </c>
      <c r="J5" s="215" t="s">
        <v>27</v>
      </c>
      <c r="K5" s="215" t="s">
        <v>71</v>
      </c>
      <c r="L5" s="220" t="s">
        <v>125</v>
      </c>
      <c r="M5" s="215" t="s">
        <v>69</v>
      </c>
      <c r="N5" s="215" t="s">
        <v>70</v>
      </c>
    </row>
    <row r="6" spans="1:16" x14ac:dyDescent="0.25">
      <c r="A6" s="212"/>
      <c r="B6" s="225"/>
      <c r="C6" s="212"/>
      <c r="D6" s="226"/>
      <c r="E6" s="212"/>
      <c r="F6" s="212"/>
      <c r="G6" s="212"/>
      <c r="H6" s="218"/>
      <c r="I6" s="223"/>
      <c r="J6" s="216"/>
      <c r="K6" s="219"/>
      <c r="L6" s="221"/>
      <c r="M6" s="219"/>
      <c r="N6" s="216"/>
    </row>
    <row r="7" spans="1:16" x14ac:dyDescent="0.25">
      <c r="A7" s="7" t="s">
        <v>34</v>
      </c>
      <c r="B7" s="7"/>
      <c r="C7" s="7">
        <v>1</v>
      </c>
      <c r="D7" s="134" t="s">
        <v>35</v>
      </c>
      <c r="E7" s="7">
        <v>8.09</v>
      </c>
      <c r="F7" s="88">
        <v>345634.89480000001</v>
      </c>
      <c r="G7" s="183">
        <f>F7</f>
        <v>345634.89480000001</v>
      </c>
      <c r="H7" s="132">
        <f>F7-G7</f>
        <v>0</v>
      </c>
      <c r="I7" s="106">
        <v>11</v>
      </c>
      <c r="J7" s="88"/>
      <c r="K7" s="88">
        <v>387209.15595160006</v>
      </c>
      <c r="L7" s="98">
        <v>0</v>
      </c>
      <c r="M7" s="6">
        <f>K7+J7+H7+L7</f>
        <v>387209.15595160006</v>
      </c>
      <c r="N7" s="11">
        <f>M7*6% + M7</f>
        <v>410441.70530869608</v>
      </c>
    </row>
    <row r="8" spans="1:16" x14ac:dyDescent="0.25">
      <c r="A8" s="7" t="s">
        <v>36</v>
      </c>
      <c r="B8" s="7"/>
      <c r="C8" s="7">
        <v>24</v>
      </c>
      <c r="D8" s="134" t="s">
        <v>37</v>
      </c>
      <c r="E8" s="7">
        <v>2.21</v>
      </c>
      <c r="F8" s="88">
        <v>162368.55804951591</v>
      </c>
      <c r="G8" s="183">
        <v>163000</v>
      </c>
      <c r="H8" s="132">
        <f t="shared" ref="H8:H51" si="0">F8-G8</f>
        <v>-631.44195048409165</v>
      </c>
      <c r="I8" s="106">
        <v>10</v>
      </c>
      <c r="J8" s="88">
        <f>M$4*E8%</f>
        <v>0</v>
      </c>
      <c r="K8" s="88">
        <f>M$2*E8 /100</f>
        <v>153578.90346499998</v>
      </c>
      <c r="L8" s="167">
        <f>J$3*E8%+J$4</f>
        <v>0</v>
      </c>
      <c r="M8" s="6">
        <f>K8+J8+H8+L8</f>
        <v>152947.46151451589</v>
      </c>
      <c r="N8" s="11">
        <f t="shared" ref="N8:N51" si="1">M8*6% + M8</f>
        <v>162124.30920538685</v>
      </c>
    </row>
    <row r="9" spans="1:16" x14ac:dyDescent="0.25">
      <c r="A9" s="7" t="s">
        <v>36</v>
      </c>
      <c r="B9" s="7"/>
      <c r="C9" s="7">
        <v>25</v>
      </c>
      <c r="D9" s="134" t="s">
        <v>38</v>
      </c>
      <c r="E9" s="7">
        <v>4.21</v>
      </c>
      <c r="F9" s="88">
        <v>309615.91704926331</v>
      </c>
      <c r="G9" s="184">
        <f>349329-G34</f>
        <v>309615.73463999998</v>
      </c>
      <c r="H9" s="132">
        <f t="shared" si="0"/>
        <v>0.18240926333237439</v>
      </c>
      <c r="I9" s="106">
        <v>5</v>
      </c>
      <c r="J9" s="88">
        <f t="shared" ref="J9:J51" si="2">M$4*E9%</f>
        <v>0</v>
      </c>
      <c r="K9" s="88">
        <f t="shared" ref="K9:K51" si="3">M$2*E9 /100</f>
        <v>292564.336465</v>
      </c>
      <c r="L9" s="167">
        <f t="shared" ref="L9:L51" si="4">J$3*E9%+J$4</f>
        <v>0</v>
      </c>
      <c r="M9" s="6">
        <f t="shared" ref="M9:M51" si="5">K9+J9+H9+L9</f>
        <v>292564.51887426333</v>
      </c>
      <c r="N9" s="11">
        <f t="shared" si="1"/>
        <v>310118.39000671916</v>
      </c>
    </row>
    <row r="10" spans="1:16" x14ac:dyDescent="0.25">
      <c r="A10" s="7" t="s">
        <v>39</v>
      </c>
      <c r="B10" s="7"/>
      <c r="C10" s="7">
        <v>26</v>
      </c>
      <c r="D10" s="134" t="s">
        <v>40</v>
      </c>
      <c r="E10" s="7">
        <v>2.84</v>
      </c>
      <c r="F10" s="88">
        <v>231949.45734596875</v>
      </c>
      <c r="G10" s="183">
        <v>197359</v>
      </c>
      <c r="H10" s="132">
        <f t="shared" si="0"/>
        <v>34590.457345968753</v>
      </c>
      <c r="I10" s="106">
        <v>10</v>
      </c>
      <c r="J10" s="88">
        <f t="shared" si="2"/>
        <v>0</v>
      </c>
      <c r="K10" s="88">
        <f t="shared" si="3"/>
        <v>197359.31485999998</v>
      </c>
      <c r="L10" s="167">
        <f t="shared" si="4"/>
        <v>0</v>
      </c>
      <c r="M10" s="6">
        <f t="shared" si="5"/>
        <v>231949.77220596874</v>
      </c>
      <c r="N10" s="11">
        <f t="shared" si="1"/>
        <v>245866.75853832686</v>
      </c>
    </row>
    <row r="11" spans="1:16" x14ac:dyDescent="0.25">
      <c r="A11" s="7" t="s">
        <v>39</v>
      </c>
      <c r="B11" s="7"/>
      <c r="C11" s="7">
        <v>27</v>
      </c>
      <c r="D11" s="134" t="s">
        <v>41</v>
      </c>
      <c r="E11" s="7">
        <v>3.43</v>
      </c>
      <c r="F11" s="88">
        <v>252252.77812</v>
      </c>
      <c r="G11" s="183">
        <f>F11</f>
        <v>252252.77812</v>
      </c>
      <c r="H11" s="132">
        <f t="shared" si="0"/>
        <v>0</v>
      </c>
      <c r="I11" s="106">
        <v>10</v>
      </c>
      <c r="J11" s="88">
        <f t="shared" si="2"/>
        <v>0</v>
      </c>
      <c r="K11" s="88">
        <f t="shared" si="3"/>
        <v>238360.01759500001</v>
      </c>
      <c r="L11" s="167">
        <f t="shared" si="4"/>
        <v>0</v>
      </c>
      <c r="M11" s="6">
        <f t="shared" si="5"/>
        <v>238360.01759500001</v>
      </c>
      <c r="N11" s="11">
        <f t="shared" si="1"/>
        <v>252661.61865070002</v>
      </c>
      <c r="P11" s="109"/>
    </row>
    <row r="12" spans="1:16" x14ac:dyDescent="0.25">
      <c r="A12" s="7" t="s">
        <v>42</v>
      </c>
      <c r="B12" s="7"/>
      <c r="C12" s="7">
        <v>28</v>
      </c>
      <c r="D12" s="134" t="s">
        <v>113</v>
      </c>
      <c r="E12" s="7">
        <v>2.84</v>
      </c>
      <c r="F12" s="88">
        <v>208862.35855999999</v>
      </c>
      <c r="G12" s="184">
        <f>F12</f>
        <v>208862.35855999999</v>
      </c>
      <c r="H12" s="132">
        <f>F12-G12</f>
        <v>0</v>
      </c>
      <c r="I12" s="106">
        <v>10</v>
      </c>
      <c r="J12" s="88">
        <f t="shared" si="2"/>
        <v>0</v>
      </c>
      <c r="K12" s="88">
        <f t="shared" si="3"/>
        <v>197359.31485999998</v>
      </c>
      <c r="L12" s="167">
        <v>10000</v>
      </c>
      <c r="M12" s="6">
        <f t="shared" si="5"/>
        <v>207359.31485999998</v>
      </c>
      <c r="N12" s="11">
        <f t="shared" si="1"/>
        <v>219800.87375159998</v>
      </c>
    </row>
    <row r="13" spans="1:16" x14ac:dyDescent="0.25">
      <c r="A13" s="7" t="s">
        <v>42</v>
      </c>
      <c r="B13" s="7"/>
      <c r="C13" s="7">
        <v>29</v>
      </c>
      <c r="D13" s="134" t="s">
        <v>43</v>
      </c>
      <c r="E13" s="7">
        <v>3.43</v>
      </c>
      <c r="F13" s="88">
        <v>252254.23622924168</v>
      </c>
      <c r="G13" s="184">
        <f>279361-G50</f>
        <v>235970.58043999999</v>
      </c>
      <c r="H13" s="132">
        <f t="shared" si="0"/>
        <v>16283.655789241689</v>
      </c>
      <c r="I13" s="106">
        <v>5</v>
      </c>
      <c r="J13" s="88">
        <f t="shared" si="2"/>
        <v>0</v>
      </c>
      <c r="K13" s="88">
        <f t="shared" si="3"/>
        <v>238360.01759500001</v>
      </c>
      <c r="L13" s="167">
        <f t="shared" si="4"/>
        <v>0</v>
      </c>
      <c r="M13" s="6">
        <f t="shared" si="5"/>
        <v>254643.6733842417</v>
      </c>
      <c r="N13" s="11">
        <f t="shared" si="1"/>
        <v>269922.29378729622</v>
      </c>
    </row>
    <row r="14" spans="1:16" x14ac:dyDescent="0.25">
      <c r="A14" s="7" t="s">
        <v>44</v>
      </c>
      <c r="B14" s="7"/>
      <c r="C14" s="7">
        <v>30</v>
      </c>
      <c r="D14" s="134" t="s">
        <v>45</v>
      </c>
      <c r="E14" s="7">
        <v>2.84</v>
      </c>
      <c r="F14" s="88">
        <v>208862.35855999999</v>
      </c>
      <c r="G14" s="183">
        <f>F14</f>
        <v>208862.35855999999</v>
      </c>
      <c r="H14" s="132">
        <f t="shared" si="0"/>
        <v>0</v>
      </c>
      <c r="I14" s="106">
        <v>13</v>
      </c>
      <c r="J14" s="88">
        <f t="shared" si="2"/>
        <v>0</v>
      </c>
      <c r="K14" s="88">
        <f t="shared" si="3"/>
        <v>197359.31485999998</v>
      </c>
      <c r="L14" s="167">
        <f t="shared" si="4"/>
        <v>0</v>
      </c>
      <c r="M14" s="6">
        <f t="shared" si="5"/>
        <v>197359.31485999998</v>
      </c>
      <c r="N14" s="11">
        <f t="shared" si="1"/>
        <v>209200.87375159998</v>
      </c>
    </row>
    <row r="15" spans="1:16" x14ac:dyDescent="0.25">
      <c r="A15" s="7" t="s">
        <v>44</v>
      </c>
      <c r="B15" s="7"/>
      <c r="C15" s="7">
        <v>31</v>
      </c>
      <c r="D15" s="134" t="s">
        <v>46</v>
      </c>
      <c r="E15" s="7">
        <v>3.43</v>
      </c>
      <c r="F15" s="88">
        <v>252251.90342531502</v>
      </c>
      <c r="G15" s="184">
        <f>289024-G35</f>
        <v>252252.45799999998</v>
      </c>
      <c r="H15" s="132">
        <f t="shared" si="0"/>
        <v>-0.55457468496751972</v>
      </c>
      <c r="I15" s="106">
        <v>13</v>
      </c>
      <c r="J15" s="88">
        <f t="shared" si="2"/>
        <v>0</v>
      </c>
      <c r="K15" s="88">
        <f t="shared" si="3"/>
        <v>238360.01759500001</v>
      </c>
      <c r="L15" s="167">
        <f t="shared" si="4"/>
        <v>0</v>
      </c>
      <c r="M15" s="6">
        <f t="shared" si="5"/>
        <v>238359.46302031504</v>
      </c>
      <c r="N15" s="11">
        <f t="shared" si="1"/>
        <v>252661.03080153395</v>
      </c>
    </row>
    <row r="16" spans="1:16" x14ac:dyDescent="0.25">
      <c r="A16" s="7" t="s">
        <v>47</v>
      </c>
      <c r="B16" s="7"/>
      <c r="C16" s="7">
        <v>32</v>
      </c>
      <c r="D16" s="134" t="s">
        <v>48</v>
      </c>
      <c r="E16" s="7">
        <v>2.84</v>
      </c>
      <c r="F16" s="88">
        <v>433367.45734596899</v>
      </c>
      <c r="G16" s="184">
        <f>508138-G49</f>
        <v>433366.85419030825</v>
      </c>
      <c r="H16" s="132">
        <f t="shared" si="0"/>
        <v>0.60315566073404625</v>
      </c>
      <c r="I16" s="106">
        <v>13</v>
      </c>
      <c r="J16" s="88">
        <f t="shared" si="2"/>
        <v>0</v>
      </c>
      <c r="K16" s="88">
        <f t="shared" si="3"/>
        <v>197359.31485999998</v>
      </c>
      <c r="L16" s="167">
        <f t="shared" si="4"/>
        <v>0</v>
      </c>
      <c r="M16" s="6">
        <f t="shared" si="5"/>
        <v>197359.91801566072</v>
      </c>
      <c r="N16" s="11">
        <f t="shared" si="1"/>
        <v>209201.51309660036</v>
      </c>
    </row>
    <row r="17" spans="1:14" x14ac:dyDescent="0.25">
      <c r="A17" s="7" t="s">
        <v>47</v>
      </c>
      <c r="B17" s="7"/>
      <c r="C17" s="7">
        <v>33</v>
      </c>
      <c r="D17" s="134" t="s">
        <v>49</v>
      </c>
      <c r="E17" s="7">
        <v>3.43</v>
      </c>
      <c r="F17" s="88">
        <v>252252.12919009497</v>
      </c>
      <c r="G17" s="183">
        <f>325060-G47-G48</f>
        <v>252252.34683999998</v>
      </c>
      <c r="H17" s="132">
        <f t="shared" si="0"/>
        <v>-0.21764990501105785</v>
      </c>
      <c r="I17" s="106">
        <v>14</v>
      </c>
      <c r="J17" s="88">
        <f t="shared" si="2"/>
        <v>0</v>
      </c>
      <c r="K17" s="88">
        <f t="shared" si="3"/>
        <v>238360.01759500001</v>
      </c>
      <c r="L17" s="167">
        <v>10000</v>
      </c>
      <c r="M17" s="6">
        <f t="shared" si="5"/>
        <v>248359.799945095</v>
      </c>
      <c r="N17" s="11">
        <f t="shared" si="1"/>
        <v>263261.3879418007</v>
      </c>
    </row>
    <row r="18" spans="1:14" x14ac:dyDescent="0.25">
      <c r="A18" s="7" t="s">
        <v>50</v>
      </c>
      <c r="B18" s="7"/>
      <c r="C18" s="7">
        <v>34</v>
      </c>
      <c r="D18" s="134" t="s">
        <v>51</v>
      </c>
      <c r="E18" s="7">
        <v>2.84</v>
      </c>
      <c r="F18" s="88">
        <v>208426.96933825142</v>
      </c>
      <c r="G18" s="183">
        <f>91209.95+160000-G51</f>
        <v>209290.39212000003</v>
      </c>
      <c r="H18" s="132">
        <f t="shared" si="0"/>
        <v>-863.42278174860985</v>
      </c>
      <c r="I18" s="106">
        <v>13</v>
      </c>
      <c r="J18" s="88">
        <f t="shared" si="2"/>
        <v>0</v>
      </c>
      <c r="K18" s="88">
        <f t="shared" si="3"/>
        <v>197359.31485999998</v>
      </c>
      <c r="L18" s="167">
        <f t="shared" si="4"/>
        <v>0</v>
      </c>
      <c r="M18" s="6">
        <f t="shared" si="5"/>
        <v>196495.89207825137</v>
      </c>
      <c r="N18" s="11">
        <f t="shared" si="1"/>
        <v>208285.64560294646</v>
      </c>
    </row>
    <row r="19" spans="1:14" x14ac:dyDescent="0.25">
      <c r="A19" s="7" t="s">
        <v>50</v>
      </c>
      <c r="B19" s="7"/>
      <c r="C19" s="7">
        <v>35</v>
      </c>
      <c r="D19" s="134" t="s">
        <v>52</v>
      </c>
      <c r="E19" s="7">
        <v>3.43</v>
      </c>
      <c r="F19" s="88">
        <v>252251.97340016792</v>
      </c>
      <c r="G19" s="184">
        <f>291965-G41</f>
        <v>252251.73463999998</v>
      </c>
      <c r="H19" s="132">
        <f t="shared" si="0"/>
        <v>0.23876016793656163</v>
      </c>
      <c r="I19" s="106">
        <v>5</v>
      </c>
      <c r="J19" s="88">
        <f t="shared" si="2"/>
        <v>0</v>
      </c>
      <c r="K19" s="88">
        <f t="shared" si="3"/>
        <v>238360.01759500001</v>
      </c>
      <c r="L19" s="167">
        <f t="shared" si="4"/>
        <v>0</v>
      </c>
      <c r="M19" s="6">
        <f t="shared" si="5"/>
        <v>238360.25635516795</v>
      </c>
      <c r="N19" s="11">
        <f t="shared" si="1"/>
        <v>252661.87173647803</v>
      </c>
    </row>
    <row r="20" spans="1:14" x14ac:dyDescent="0.25">
      <c r="A20" s="7" t="s">
        <v>53</v>
      </c>
      <c r="B20" s="7"/>
      <c r="C20" s="7">
        <v>36</v>
      </c>
      <c r="D20" s="134" t="s">
        <v>54</v>
      </c>
      <c r="E20" s="7">
        <v>2.84</v>
      </c>
      <c r="F20" s="88">
        <v>208862.03730207475</v>
      </c>
      <c r="G20" s="183">
        <f>244898-G38</f>
        <v>208861.88884</v>
      </c>
      <c r="H20" s="132">
        <f t="shared" si="0"/>
        <v>0.14846207475056872</v>
      </c>
      <c r="I20" s="106">
        <v>5</v>
      </c>
      <c r="J20" s="88">
        <f t="shared" si="2"/>
        <v>0</v>
      </c>
      <c r="K20" s="88">
        <f t="shared" si="3"/>
        <v>197359.31485999998</v>
      </c>
      <c r="L20" s="167">
        <f t="shared" si="4"/>
        <v>0</v>
      </c>
      <c r="M20" s="6">
        <f t="shared" si="5"/>
        <v>197359.46332207473</v>
      </c>
      <c r="N20" s="11">
        <f t="shared" si="1"/>
        <v>209201.03112139922</v>
      </c>
    </row>
    <row r="21" spans="1:14" x14ac:dyDescent="0.25">
      <c r="A21" s="7" t="s">
        <v>53</v>
      </c>
      <c r="B21" s="7"/>
      <c r="C21" s="7">
        <v>37</v>
      </c>
      <c r="D21" s="134" t="s">
        <v>55</v>
      </c>
      <c r="E21" s="7">
        <v>3.43</v>
      </c>
      <c r="F21" s="88">
        <v>284525.37572679576</v>
      </c>
      <c r="G21" s="183">
        <f>323238-G45</f>
        <v>283524.73463999998</v>
      </c>
      <c r="H21" s="132">
        <f t="shared" si="0"/>
        <v>1000.6410867957748</v>
      </c>
      <c r="I21" s="106">
        <v>9</v>
      </c>
      <c r="J21" s="88">
        <f t="shared" si="2"/>
        <v>0</v>
      </c>
      <c r="K21" s="88">
        <f t="shared" si="3"/>
        <v>238360.01759500001</v>
      </c>
      <c r="L21" s="167">
        <f t="shared" si="4"/>
        <v>0</v>
      </c>
      <c r="M21" s="6">
        <f t="shared" si="5"/>
        <v>239360.65868179579</v>
      </c>
      <c r="N21" s="11">
        <f t="shared" si="1"/>
        <v>253722.29820270353</v>
      </c>
    </row>
    <row r="22" spans="1:14" x14ac:dyDescent="0.25">
      <c r="A22" s="7" t="s">
        <v>56</v>
      </c>
      <c r="B22" s="7"/>
      <c r="C22" s="7">
        <v>38</v>
      </c>
      <c r="D22" s="169" t="s">
        <v>131</v>
      </c>
      <c r="E22" s="7">
        <v>2.84</v>
      </c>
      <c r="F22" s="88">
        <v>208862.35855999999</v>
      </c>
      <c r="G22" s="183">
        <f>F22</f>
        <v>208862.35855999999</v>
      </c>
      <c r="H22" s="132">
        <f t="shared" si="0"/>
        <v>0</v>
      </c>
      <c r="I22" s="106">
        <v>5</v>
      </c>
      <c r="J22" s="88">
        <f t="shared" si="2"/>
        <v>0</v>
      </c>
      <c r="K22" s="88">
        <f t="shared" si="3"/>
        <v>197359.31485999998</v>
      </c>
      <c r="L22" s="167">
        <f t="shared" si="4"/>
        <v>0</v>
      </c>
      <c r="M22" s="6">
        <f t="shared" si="5"/>
        <v>197359.31485999998</v>
      </c>
      <c r="N22" s="11">
        <f t="shared" si="1"/>
        <v>209200.87375159998</v>
      </c>
    </row>
    <row r="23" spans="1:14" x14ac:dyDescent="0.25">
      <c r="A23" s="7" t="s">
        <v>56</v>
      </c>
      <c r="B23" s="7"/>
      <c r="C23" s="7">
        <v>39</v>
      </c>
      <c r="D23" s="134" t="s">
        <v>57</v>
      </c>
      <c r="E23" s="7">
        <v>3.43</v>
      </c>
      <c r="F23" s="88">
        <v>524053.81757818512</v>
      </c>
      <c r="G23" s="184">
        <f>637000-G46</f>
        <v>560702.91243908997</v>
      </c>
      <c r="H23" s="132">
        <f t="shared" si="0"/>
        <v>-36649.09486090485</v>
      </c>
      <c r="I23" s="106">
        <v>11</v>
      </c>
      <c r="J23" s="88">
        <f t="shared" si="2"/>
        <v>0</v>
      </c>
      <c r="K23" s="88">
        <f t="shared" si="3"/>
        <v>238360.01759500001</v>
      </c>
      <c r="L23" s="167">
        <f t="shared" si="4"/>
        <v>0</v>
      </c>
      <c r="M23" s="6">
        <f t="shared" si="5"/>
        <v>201710.92273409516</v>
      </c>
      <c r="N23" s="11">
        <f t="shared" si="1"/>
        <v>213813.57809814086</v>
      </c>
    </row>
    <row r="24" spans="1:14" x14ac:dyDescent="0.25">
      <c r="A24" s="7" t="s">
        <v>58</v>
      </c>
      <c r="B24" s="7"/>
      <c r="C24" s="7">
        <v>40</v>
      </c>
      <c r="D24" s="134" t="s">
        <v>59</v>
      </c>
      <c r="E24" s="7">
        <v>2.84</v>
      </c>
      <c r="F24" s="88">
        <v>208240.75486607477</v>
      </c>
      <c r="G24" s="183">
        <f>245000-G37</f>
        <v>208963.88884</v>
      </c>
      <c r="H24" s="132">
        <f t="shared" si="0"/>
        <v>-723.13397392522893</v>
      </c>
      <c r="I24" s="237">
        <v>10</v>
      </c>
      <c r="J24" s="88">
        <f t="shared" si="2"/>
        <v>0</v>
      </c>
      <c r="K24" s="88">
        <f t="shared" si="3"/>
        <v>197359.31485999998</v>
      </c>
      <c r="L24" s="167">
        <f t="shared" si="4"/>
        <v>0</v>
      </c>
      <c r="M24" s="6">
        <f t="shared" si="5"/>
        <v>196636.18088607476</v>
      </c>
      <c r="N24" s="11">
        <f t="shared" si="1"/>
        <v>208434.35173923924</v>
      </c>
    </row>
    <row r="25" spans="1:14" x14ac:dyDescent="0.25">
      <c r="A25" s="7" t="s">
        <v>58</v>
      </c>
      <c r="B25" s="7"/>
      <c r="C25" s="7">
        <v>41</v>
      </c>
      <c r="D25" s="134" t="s">
        <v>60</v>
      </c>
      <c r="E25" s="7">
        <v>3.43</v>
      </c>
      <c r="F25" s="88">
        <v>252252.77812</v>
      </c>
      <c r="G25" s="183">
        <f>F25</f>
        <v>252252.77812</v>
      </c>
      <c r="H25" s="132">
        <f t="shared" si="0"/>
        <v>0</v>
      </c>
      <c r="I25" s="106">
        <v>11</v>
      </c>
      <c r="J25" s="88">
        <f t="shared" si="2"/>
        <v>0</v>
      </c>
      <c r="K25" s="88">
        <f t="shared" si="3"/>
        <v>238360.01759500001</v>
      </c>
      <c r="L25" s="167">
        <f t="shared" si="4"/>
        <v>0</v>
      </c>
      <c r="M25" s="6">
        <f t="shared" si="5"/>
        <v>238360.01759500001</v>
      </c>
      <c r="N25" s="11">
        <f t="shared" si="1"/>
        <v>252661.61865070002</v>
      </c>
    </row>
    <row r="26" spans="1:14" x14ac:dyDescent="0.25">
      <c r="A26" s="7" t="s">
        <v>61</v>
      </c>
      <c r="B26" s="7"/>
      <c r="C26" s="7">
        <v>42</v>
      </c>
      <c r="D26" s="134" t="s">
        <v>62</v>
      </c>
      <c r="E26" s="7">
        <v>6</v>
      </c>
      <c r="F26" s="88">
        <v>32099.472521036805</v>
      </c>
      <c r="G26" s="184">
        <f>500000-G30-G31-G36</f>
        <v>383066.49643999996</v>
      </c>
      <c r="H26" s="132">
        <f t="shared" si="0"/>
        <v>-350967.02391896315</v>
      </c>
      <c r="I26" s="106">
        <v>28</v>
      </c>
      <c r="J26" s="88">
        <f t="shared" si="2"/>
        <v>0</v>
      </c>
      <c r="K26" s="88">
        <f t="shared" si="3"/>
        <v>416956.299</v>
      </c>
      <c r="L26" s="167">
        <v>0</v>
      </c>
      <c r="M26" s="6">
        <f t="shared" si="5"/>
        <v>65989.275081036845</v>
      </c>
      <c r="N26" s="11">
        <f t="shared" si="1"/>
        <v>69948.631585899057</v>
      </c>
    </row>
    <row r="27" spans="1:14" x14ac:dyDescent="0.25">
      <c r="A27" s="7" t="s">
        <v>63</v>
      </c>
      <c r="B27" s="7"/>
      <c r="C27" s="7">
        <v>43</v>
      </c>
      <c r="D27" s="134" t="s">
        <v>64</v>
      </c>
      <c r="E27" s="7">
        <v>5.89</v>
      </c>
      <c r="F27" s="88">
        <v>433168.95927026565</v>
      </c>
      <c r="G27" s="183">
        <f>518479-G39-G40</f>
        <v>433169.02256000001</v>
      </c>
      <c r="H27" s="132">
        <f t="shared" si="0"/>
        <v>-6.3289734360296279E-2</v>
      </c>
      <c r="I27" s="106">
        <v>13</v>
      </c>
      <c r="J27" s="88">
        <f t="shared" si="2"/>
        <v>0</v>
      </c>
      <c r="K27" s="88">
        <f t="shared" si="3"/>
        <v>409312.10018499993</v>
      </c>
      <c r="L27" s="167">
        <f t="shared" si="4"/>
        <v>0</v>
      </c>
      <c r="M27" s="6">
        <f t="shared" si="5"/>
        <v>409312.03689526557</v>
      </c>
      <c r="N27" s="11">
        <f t="shared" si="1"/>
        <v>433870.75910898153</v>
      </c>
    </row>
    <row r="28" spans="1:14" x14ac:dyDescent="0.25">
      <c r="A28" s="7" t="s">
        <v>65</v>
      </c>
      <c r="B28" s="7"/>
      <c r="C28" s="7">
        <v>44</v>
      </c>
      <c r="D28" s="134" t="s">
        <v>66</v>
      </c>
      <c r="E28" s="7">
        <v>5.89</v>
      </c>
      <c r="F28" s="88">
        <v>432434.38236154098</v>
      </c>
      <c r="G28" s="183">
        <f>511000-G32-G33</f>
        <v>433044.33095999999</v>
      </c>
      <c r="H28" s="132">
        <f t="shared" si="0"/>
        <v>-609.94859845901374</v>
      </c>
      <c r="I28" s="106">
        <v>11</v>
      </c>
      <c r="J28" s="88">
        <f t="shared" si="2"/>
        <v>0</v>
      </c>
      <c r="K28" s="88">
        <f t="shared" si="3"/>
        <v>409312.10018499993</v>
      </c>
      <c r="L28" s="167">
        <f t="shared" si="4"/>
        <v>0</v>
      </c>
      <c r="M28" s="6">
        <f t="shared" si="5"/>
        <v>408702.15158654092</v>
      </c>
      <c r="N28" s="11">
        <f t="shared" si="1"/>
        <v>433224.28068173339</v>
      </c>
    </row>
    <row r="29" spans="1:14" x14ac:dyDescent="0.25">
      <c r="A29" s="7" t="s">
        <v>67</v>
      </c>
      <c r="B29" s="7"/>
      <c r="C29" s="7">
        <v>45</v>
      </c>
      <c r="D29" s="134" t="s">
        <v>68</v>
      </c>
      <c r="E29" s="7">
        <v>5.89</v>
      </c>
      <c r="F29" s="88">
        <v>432968.64746670006</v>
      </c>
      <c r="G29" s="184">
        <f>550000-G42-G43-G44</f>
        <v>431595.63475999999</v>
      </c>
      <c r="H29" s="133">
        <f t="shared" si="0"/>
        <v>1373.0127067000722</v>
      </c>
      <c r="I29" s="106">
        <v>5</v>
      </c>
      <c r="J29" s="88">
        <f t="shared" si="2"/>
        <v>0</v>
      </c>
      <c r="K29" s="88">
        <f t="shared" si="3"/>
        <v>409312.10018499993</v>
      </c>
      <c r="L29" s="167">
        <v>10000</v>
      </c>
      <c r="M29" s="6">
        <f t="shared" si="5"/>
        <v>420685.1128917</v>
      </c>
      <c r="N29" s="11">
        <f t="shared" si="1"/>
        <v>445926.21966520202</v>
      </c>
    </row>
    <row r="30" spans="1:14" x14ac:dyDescent="0.25">
      <c r="A30" s="127" t="s">
        <v>98</v>
      </c>
      <c r="B30" s="7"/>
      <c r="C30" s="7">
        <v>1</v>
      </c>
      <c r="D30" s="134" t="s">
        <v>62</v>
      </c>
      <c r="E30" s="7">
        <v>0.54</v>
      </c>
      <c r="F30" s="88">
        <v>39713.265360000005</v>
      </c>
      <c r="G30" s="183">
        <f t="shared" ref="G30:G34" si="6">F30</f>
        <v>39713.265360000005</v>
      </c>
      <c r="H30" s="132">
        <f t="shared" si="0"/>
        <v>0</v>
      </c>
      <c r="I30" s="106"/>
      <c r="J30" s="88">
        <f t="shared" si="2"/>
        <v>0</v>
      </c>
      <c r="K30" s="88">
        <f t="shared" si="3"/>
        <v>37526.066910000001</v>
      </c>
      <c r="L30" s="167">
        <f t="shared" si="4"/>
        <v>0</v>
      </c>
      <c r="M30" s="6">
        <f t="shared" si="5"/>
        <v>37526.066910000001</v>
      </c>
      <c r="N30" s="11">
        <f t="shared" si="1"/>
        <v>39777.630924600002</v>
      </c>
    </row>
    <row r="31" spans="1:14" x14ac:dyDescent="0.25">
      <c r="A31" s="127" t="s">
        <v>98</v>
      </c>
      <c r="B31" s="7"/>
      <c r="C31" s="7">
        <v>2</v>
      </c>
      <c r="D31" s="134" t="s">
        <v>62</v>
      </c>
      <c r="E31" s="7">
        <v>0.55000000000000004</v>
      </c>
      <c r="F31" s="88">
        <v>40448.696200000006</v>
      </c>
      <c r="G31" s="183">
        <f t="shared" si="6"/>
        <v>40448.696200000006</v>
      </c>
      <c r="H31" s="132">
        <f t="shared" si="0"/>
        <v>0</v>
      </c>
      <c r="I31" s="106"/>
      <c r="J31" s="88">
        <f t="shared" si="2"/>
        <v>0</v>
      </c>
      <c r="K31" s="88">
        <f t="shared" si="3"/>
        <v>38220.994075000002</v>
      </c>
      <c r="L31" s="167">
        <f t="shared" si="4"/>
        <v>0</v>
      </c>
      <c r="M31" s="6">
        <f t="shared" si="5"/>
        <v>38220.994075000002</v>
      </c>
      <c r="N31" s="11">
        <f t="shared" si="1"/>
        <v>40514.253719500004</v>
      </c>
    </row>
    <row r="32" spans="1:14" x14ac:dyDescent="0.25">
      <c r="A32" s="127" t="s">
        <v>98</v>
      </c>
      <c r="B32" s="7"/>
      <c r="C32" s="7">
        <v>3</v>
      </c>
      <c r="D32" s="134" t="s">
        <v>66</v>
      </c>
      <c r="E32" s="7">
        <v>0.45</v>
      </c>
      <c r="F32" s="88">
        <v>33094.387799999997</v>
      </c>
      <c r="G32" s="183">
        <f>F32</f>
        <v>33094.387799999997</v>
      </c>
      <c r="H32" s="132">
        <f t="shared" si="0"/>
        <v>0</v>
      </c>
      <c r="I32" s="106"/>
      <c r="J32" s="88">
        <f t="shared" si="2"/>
        <v>0</v>
      </c>
      <c r="K32" s="88">
        <f t="shared" si="3"/>
        <v>31271.722424999996</v>
      </c>
      <c r="L32" s="167">
        <f t="shared" si="4"/>
        <v>0</v>
      </c>
      <c r="M32" s="6">
        <f t="shared" si="5"/>
        <v>31271.722424999996</v>
      </c>
      <c r="N32" s="11">
        <f t="shared" si="1"/>
        <v>33148.025770499997</v>
      </c>
    </row>
    <row r="33" spans="1:17" x14ac:dyDescent="0.25">
      <c r="A33" s="127" t="s">
        <v>98</v>
      </c>
      <c r="B33" s="7"/>
      <c r="C33" s="7">
        <v>4</v>
      </c>
      <c r="D33" s="134" t="s">
        <v>66</v>
      </c>
      <c r="E33" s="7">
        <v>0.61</v>
      </c>
      <c r="F33" s="88">
        <v>44861.281239999997</v>
      </c>
      <c r="G33" s="183">
        <f t="shared" si="6"/>
        <v>44861.281239999997</v>
      </c>
      <c r="H33" s="132">
        <f t="shared" si="0"/>
        <v>0</v>
      </c>
      <c r="I33" s="106"/>
      <c r="J33" s="88">
        <f t="shared" si="2"/>
        <v>0</v>
      </c>
      <c r="K33" s="88">
        <f t="shared" si="3"/>
        <v>42390.557064999994</v>
      </c>
      <c r="L33" s="167">
        <f t="shared" si="4"/>
        <v>0</v>
      </c>
      <c r="M33" s="6">
        <f t="shared" si="5"/>
        <v>42390.557064999994</v>
      </c>
      <c r="N33" s="11">
        <f t="shared" si="1"/>
        <v>44933.990488899995</v>
      </c>
    </row>
    <row r="34" spans="1:17" x14ac:dyDescent="0.25">
      <c r="A34" s="127" t="s">
        <v>98</v>
      </c>
      <c r="B34" s="7"/>
      <c r="C34" s="7">
        <v>5</v>
      </c>
      <c r="D34" s="134" t="s">
        <v>38</v>
      </c>
      <c r="E34" s="7">
        <v>0.54</v>
      </c>
      <c r="F34" s="88">
        <v>39713.265360000005</v>
      </c>
      <c r="G34" s="183">
        <f t="shared" si="6"/>
        <v>39713.265360000005</v>
      </c>
      <c r="H34" s="132">
        <f t="shared" si="0"/>
        <v>0</v>
      </c>
      <c r="I34" s="106"/>
      <c r="J34" s="88">
        <f t="shared" si="2"/>
        <v>0</v>
      </c>
      <c r="K34" s="88">
        <f t="shared" si="3"/>
        <v>37526.066910000001</v>
      </c>
      <c r="L34" s="167">
        <f t="shared" si="4"/>
        <v>0</v>
      </c>
      <c r="M34" s="6">
        <f t="shared" si="5"/>
        <v>37526.066910000001</v>
      </c>
      <c r="N34" s="11">
        <f t="shared" si="1"/>
        <v>39777.630924600002</v>
      </c>
    </row>
    <row r="35" spans="1:17" x14ac:dyDescent="0.25">
      <c r="A35" s="127" t="s">
        <v>98</v>
      </c>
      <c r="B35" s="7"/>
      <c r="C35" s="7">
        <v>6</v>
      </c>
      <c r="D35" s="134" t="s">
        <v>46</v>
      </c>
      <c r="E35" s="7">
        <v>0.5</v>
      </c>
      <c r="F35" s="88">
        <v>36771.542000000001</v>
      </c>
      <c r="G35" s="184">
        <f>F35</f>
        <v>36771.542000000001</v>
      </c>
      <c r="H35" s="132">
        <f t="shared" si="0"/>
        <v>0</v>
      </c>
      <c r="I35" s="106"/>
      <c r="J35" s="88">
        <f t="shared" si="2"/>
        <v>0</v>
      </c>
      <c r="K35" s="88">
        <f t="shared" si="3"/>
        <v>34746.358249999997</v>
      </c>
      <c r="L35" s="167">
        <f t="shared" si="4"/>
        <v>0</v>
      </c>
      <c r="M35" s="6">
        <f t="shared" si="5"/>
        <v>34746.358249999997</v>
      </c>
      <c r="N35" s="11">
        <f t="shared" si="1"/>
        <v>36831.139745</v>
      </c>
    </row>
    <row r="36" spans="1:17" x14ac:dyDescent="0.25">
      <c r="A36" s="127" t="s">
        <v>98</v>
      </c>
      <c r="B36" s="7"/>
      <c r="C36" s="7">
        <v>7</v>
      </c>
      <c r="D36" s="134" t="s">
        <v>62</v>
      </c>
      <c r="E36" s="7">
        <v>0.5</v>
      </c>
      <c r="F36" s="88">
        <v>36771.542000000001</v>
      </c>
      <c r="G36" s="183">
        <f t="shared" ref="G36:G41" si="7">F36</f>
        <v>36771.542000000001</v>
      </c>
      <c r="H36" s="132">
        <f t="shared" si="0"/>
        <v>0</v>
      </c>
      <c r="I36" s="106"/>
      <c r="J36" s="88">
        <f t="shared" si="2"/>
        <v>0</v>
      </c>
      <c r="K36" s="88">
        <f t="shared" si="3"/>
        <v>34746.358249999997</v>
      </c>
      <c r="L36" s="167">
        <f t="shared" si="4"/>
        <v>0</v>
      </c>
      <c r="M36" s="6">
        <f t="shared" si="5"/>
        <v>34746.358249999997</v>
      </c>
      <c r="N36" s="11">
        <f t="shared" si="1"/>
        <v>36831.139745</v>
      </c>
    </row>
    <row r="37" spans="1:17" x14ac:dyDescent="0.25">
      <c r="A37" s="127" t="s">
        <v>98</v>
      </c>
      <c r="B37" s="7"/>
      <c r="C37" s="7">
        <v>8</v>
      </c>
      <c r="D37" s="134" t="s">
        <v>59</v>
      </c>
      <c r="E37" s="7">
        <v>0.49</v>
      </c>
      <c r="F37" s="88">
        <v>36036.111159999993</v>
      </c>
      <c r="G37" s="183">
        <f t="shared" si="7"/>
        <v>36036.111159999993</v>
      </c>
      <c r="H37" s="132">
        <f t="shared" si="0"/>
        <v>0</v>
      </c>
      <c r="I37" s="106"/>
      <c r="J37" s="88">
        <f t="shared" si="2"/>
        <v>0</v>
      </c>
      <c r="K37" s="88">
        <f t="shared" si="3"/>
        <v>34051.431084999997</v>
      </c>
      <c r="L37" s="167">
        <f t="shared" si="4"/>
        <v>0</v>
      </c>
      <c r="M37" s="6">
        <f t="shared" si="5"/>
        <v>34051.431084999997</v>
      </c>
      <c r="N37" s="11">
        <f t="shared" si="1"/>
        <v>36094.516950099998</v>
      </c>
    </row>
    <row r="38" spans="1:17" x14ac:dyDescent="0.25">
      <c r="A38" s="127" t="s">
        <v>98</v>
      </c>
      <c r="B38" s="7"/>
      <c r="C38" s="7">
        <v>9</v>
      </c>
      <c r="D38" s="134" t="s">
        <v>54</v>
      </c>
      <c r="E38" s="7">
        <v>0.49</v>
      </c>
      <c r="F38" s="88">
        <v>36036.111159999993</v>
      </c>
      <c r="G38" s="183">
        <f t="shared" si="7"/>
        <v>36036.111159999993</v>
      </c>
      <c r="H38" s="132">
        <f t="shared" si="0"/>
        <v>0</v>
      </c>
      <c r="I38" s="106"/>
      <c r="J38" s="88">
        <f t="shared" si="2"/>
        <v>0</v>
      </c>
      <c r="K38" s="88">
        <f t="shared" si="3"/>
        <v>34051.431084999997</v>
      </c>
      <c r="L38" s="167">
        <f t="shared" si="4"/>
        <v>0</v>
      </c>
      <c r="M38" s="6">
        <f t="shared" si="5"/>
        <v>34051.431084999997</v>
      </c>
      <c r="N38" s="11">
        <f t="shared" si="1"/>
        <v>36094.516950099998</v>
      </c>
    </row>
    <row r="39" spans="1:17" x14ac:dyDescent="0.25">
      <c r="A39" s="127" t="s">
        <v>98</v>
      </c>
      <c r="B39" s="7"/>
      <c r="C39" s="7">
        <v>10</v>
      </c>
      <c r="D39" s="134" t="s">
        <v>64</v>
      </c>
      <c r="E39" s="7">
        <v>0.59</v>
      </c>
      <c r="F39" s="88">
        <v>43390.419560000002</v>
      </c>
      <c r="G39" s="183">
        <f t="shared" si="7"/>
        <v>43390.419560000002</v>
      </c>
      <c r="H39" s="132">
        <f t="shared" si="0"/>
        <v>0</v>
      </c>
      <c r="I39" s="106"/>
      <c r="J39" s="88">
        <f t="shared" si="2"/>
        <v>0</v>
      </c>
      <c r="K39" s="88">
        <f t="shared" si="3"/>
        <v>41000.702734999999</v>
      </c>
      <c r="L39" s="167">
        <f t="shared" si="4"/>
        <v>0</v>
      </c>
      <c r="M39" s="6">
        <f t="shared" si="5"/>
        <v>41000.702734999999</v>
      </c>
      <c r="N39" s="11">
        <f t="shared" si="1"/>
        <v>43460.744899099998</v>
      </c>
    </row>
    <row r="40" spans="1:17" x14ac:dyDescent="0.25">
      <c r="A40" s="127" t="s">
        <v>98</v>
      </c>
      <c r="B40" s="7"/>
      <c r="C40" s="7">
        <v>11</v>
      </c>
      <c r="D40" s="134" t="s">
        <v>64</v>
      </c>
      <c r="E40" s="7">
        <v>0.56999999999999995</v>
      </c>
      <c r="F40" s="88">
        <v>41919.557879999993</v>
      </c>
      <c r="G40" s="183">
        <f t="shared" si="7"/>
        <v>41919.557879999993</v>
      </c>
      <c r="H40" s="132">
        <f t="shared" si="0"/>
        <v>0</v>
      </c>
      <c r="I40" s="106"/>
      <c r="J40" s="88">
        <f t="shared" si="2"/>
        <v>0</v>
      </c>
      <c r="K40" s="88">
        <f t="shared" si="3"/>
        <v>39610.848404999997</v>
      </c>
      <c r="L40" s="167">
        <f t="shared" si="4"/>
        <v>0</v>
      </c>
      <c r="M40" s="6">
        <f t="shared" si="5"/>
        <v>39610.848404999997</v>
      </c>
      <c r="N40" s="11">
        <f t="shared" si="1"/>
        <v>41987.499309299994</v>
      </c>
    </row>
    <row r="41" spans="1:17" x14ac:dyDescent="0.25">
      <c r="A41" s="127" t="s">
        <v>98</v>
      </c>
      <c r="B41" s="7"/>
      <c r="C41" s="7">
        <v>12</v>
      </c>
      <c r="D41" s="134" t="s">
        <v>52</v>
      </c>
      <c r="E41" s="7">
        <v>0.54</v>
      </c>
      <c r="F41" s="88">
        <v>39713.265360000005</v>
      </c>
      <c r="G41" s="183">
        <f t="shared" si="7"/>
        <v>39713.265360000005</v>
      </c>
      <c r="H41" s="132">
        <f t="shared" si="0"/>
        <v>0</v>
      </c>
      <c r="I41" s="106"/>
      <c r="J41" s="88">
        <f t="shared" si="2"/>
        <v>0</v>
      </c>
      <c r="K41" s="88">
        <f t="shared" si="3"/>
        <v>37526.066910000001</v>
      </c>
      <c r="L41" s="167">
        <f t="shared" si="4"/>
        <v>0</v>
      </c>
      <c r="M41" s="6">
        <f t="shared" si="5"/>
        <v>37526.066910000001</v>
      </c>
      <c r="N41" s="11">
        <f t="shared" si="1"/>
        <v>39777.630924600002</v>
      </c>
    </row>
    <row r="42" spans="1:17" x14ac:dyDescent="0.25">
      <c r="A42" s="127" t="s">
        <v>98</v>
      </c>
      <c r="B42" s="7"/>
      <c r="C42" s="7">
        <v>13</v>
      </c>
      <c r="D42" s="134" t="s">
        <v>68</v>
      </c>
      <c r="E42" s="7">
        <v>0.55000000000000004</v>
      </c>
      <c r="F42" s="88">
        <v>40448.696200000006</v>
      </c>
      <c r="G42" s="183">
        <f>F42</f>
        <v>40448.696200000006</v>
      </c>
      <c r="H42" s="132">
        <f t="shared" si="0"/>
        <v>0</v>
      </c>
      <c r="I42" s="106"/>
      <c r="J42" s="88">
        <f t="shared" si="2"/>
        <v>0</v>
      </c>
      <c r="K42" s="88">
        <f t="shared" si="3"/>
        <v>38220.994075000002</v>
      </c>
      <c r="L42" s="167">
        <f t="shared" si="4"/>
        <v>0</v>
      </c>
      <c r="M42" s="6">
        <f t="shared" si="5"/>
        <v>38220.994075000002</v>
      </c>
      <c r="N42" s="11">
        <f t="shared" si="1"/>
        <v>40514.253719500004</v>
      </c>
    </row>
    <row r="43" spans="1:17" x14ac:dyDescent="0.25">
      <c r="A43" s="127" t="s">
        <v>98</v>
      </c>
      <c r="B43" s="7"/>
      <c r="C43" s="7">
        <v>14</v>
      </c>
      <c r="D43" s="134" t="s">
        <v>68</v>
      </c>
      <c r="E43" s="7">
        <v>0.45</v>
      </c>
      <c r="F43" s="88">
        <v>33094.387799999997</v>
      </c>
      <c r="G43" s="183">
        <f t="shared" ref="G43:G44" si="8">F43</f>
        <v>33094.387799999997</v>
      </c>
      <c r="H43" s="132">
        <f t="shared" si="0"/>
        <v>0</v>
      </c>
      <c r="I43" s="106"/>
      <c r="J43" s="88">
        <f t="shared" si="2"/>
        <v>0</v>
      </c>
      <c r="K43" s="88">
        <f t="shared" si="3"/>
        <v>31271.722424999996</v>
      </c>
      <c r="L43" s="167">
        <f t="shared" si="4"/>
        <v>0</v>
      </c>
      <c r="M43" s="6">
        <f t="shared" si="5"/>
        <v>31271.722424999996</v>
      </c>
      <c r="N43" s="11">
        <f t="shared" si="1"/>
        <v>33148.025770499997</v>
      </c>
      <c r="P43" s="109">
        <f>L1-K52</f>
        <v>-1762526.805466597</v>
      </c>
    </row>
    <row r="44" spans="1:17" x14ac:dyDescent="0.25">
      <c r="A44" s="127" t="s">
        <v>98</v>
      </c>
      <c r="B44" s="7"/>
      <c r="C44" s="7">
        <v>15</v>
      </c>
      <c r="D44" s="134" t="s">
        <v>68</v>
      </c>
      <c r="E44" s="7">
        <v>0.61</v>
      </c>
      <c r="F44" s="88">
        <v>44861.281239999997</v>
      </c>
      <c r="G44" s="183">
        <f t="shared" si="8"/>
        <v>44861.281239999997</v>
      </c>
      <c r="H44" s="132">
        <f t="shared" si="0"/>
        <v>0</v>
      </c>
      <c r="I44" s="106"/>
      <c r="J44" s="88">
        <f t="shared" si="2"/>
        <v>0</v>
      </c>
      <c r="K44" s="88">
        <f t="shared" si="3"/>
        <v>42390.557064999994</v>
      </c>
      <c r="L44" s="167">
        <f t="shared" si="4"/>
        <v>0</v>
      </c>
      <c r="M44" s="6">
        <f t="shared" si="5"/>
        <v>42390.557064999994</v>
      </c>
      <c r="N44" s="11">
        <f t="shared" si="1"/>
        <v>44933.990488899995</v>
      </c>
    </row>
    <row r="45" spans="1:17" x14ac:dyDescent="0.25">
      <c r="A45" s="127" t="s">
        <v>98</v>
      </c>
      <c r="B45" s="7"/>
      <c r="C45" s="7">
        <v>16</v>
      </c>
      <c r="D45" s="134" t="s">
        <v>55</v>
      </c>
      <c r="E45" s="7">
        <v>0.54</v>
      </c>
      <c r="F45" s="88">
        <v>39713.265360000005</v>
      </c>
      <c r="G45" s="183">
        <f t="shared" ref="G45:G51" si="9">F45</f>
        <v>39713.265360000005</v>
      </c>
      <c r="H45" s="132">
        <f t="shared" si="0"/>
        <v>0</v>
      </c>
      <c r="I45" s="106"/>
      <c r="J45" s="88">
        <f t="shared" si="2"/>
        <v>0</v>
      </c>
      <c r="K45" s="88">
        <f t="shared" si="3"/>
        <v>37526.066910000001</v>
      </c>
      <c r="L45" s="167">
        <f t="shared" si="4"/>
        <v>0</v>
      </c>
      <c r="M45" s="6">
        <f t="shared" si="5"/>
        <v>37526.066910000001</v>
      </c>
      <c r="N45" s="11">
        <f t="shared" si="1"/>
        <v>39777.630924600002</v>
      </c>
    </row>
    <row r="46" spans="1:17" x14ac:dyDescent="0.25">
      <c r="A46" s="127" t="s">
        <v>98</v>
      </c>
      <c r="B46" s="7"/>
      <c r="C46" s="7">
        <v>17</v>
      </c>
      <c r="D46" s="134" t="s">
        <v>57</v>
      </c>
      <c r="E46" s="7">
        <v>0.5</v>
      </c>
      <c r="F46" s="88">
        <v>76297.087560910004</v>
      </c>
      <c r="G46" s="183">
        <f>F46</f>
        <v>76297.087560910004</v>
      </c>
      <c r="H46" s="132">
        <f t="shared" si="0"/>
        <v>0</v>
      </c>
      <c r="I46" s="106"/>
      <c r="J46" s="88">
        <f t="shared" si="2"/>
        <v>0</v>
      </c>
      <c r="K46" s="88">
        <f t="shared" si="3"/>
        <v>34746.358249999997</v>
      </c>
      <c r="L46" s="167">
        <f t="shared" si="4"/>
        <v>0</v>
      </c>
      <c r="M46" s="6">
        <f t="shared" si="5"/>
        <v>34746.358249999997</v>
      </c>
      <c r="N46" s="11">
        <f t="shared" si="1"/>
        <v>36831.139745</v>
      </c>
      <c r="Q46" t="s">
        <v>135</v>
      </c>
    </row>
    <row r="47" spans="1:17" x14ac:dyDescent="0.25">
      <c r="A47" s="127" t="s">
        <v>98</v>
      </c>
      <c r="B47" s="7"/>
      <c r="C47" s="7">
        <v>18</v>
      </c>
      <c r="D47" s="134" t="s">
        <v>49</v>
      </c>
      <c r="E47" s="7">
        <v>0.5</v>
      </c>
      <c r="F47" s="88">
        <v>36771.542000000001</v>
      </c>
      <c r="G47" s="183">
        <f t="shared" si="9"/>
        <v>36771.542000000001</v>
      </c>
      <c r="H47" s="132">
        <f t="shared" si="0"/>
        <v>0</v>
      </c>
      <c r="I47" s="106"/>
      <c r="J47" s="88">
        <f t="shared" si="2"/>
        <v>0</v>
      </c>
      <c r="K47" s="88">
        <f t="shared" si="3"/>
        <v>34746.358249999997</v>
      </c>
      <c r="L47" s="167">
        <f t="shared" si="4"/>
        <v>0</v>
      </c>
      <c r="M47" s="6">
        <f t="shared" si="5"/>
        <v>34746.358249999997</v>
      </c>
      <c r="N47" s="11">
        <f t="shared" si="1"/>
        <v>36831.139745</v>
      </c>
      <c r="O47" s="139"/>
      <c r="Q47" s="136">
        <f>M3-J52</f>
        <v>0</v>
      </c>
    </row>
    <row r="48" spans="1:17" x14ac:dyDescent="0.25">
      <c r="A48" s="127" t="s">
        <v>98</v>
      </c>
      <c r="B48" s="7"/>
      <c r="C48" s="7">
        <v>19</v>
      </c>
      <c r="D48" s="134" t="s">
        <v>49</v>
      </c>
      <c r="E48" s="7">
        <v>0.49</v>
      </c>
      <c r="F48" s="88">
        <v>36036.111159999993</v>
      </c>
      <c r="G48" s="183">
        <f t="shared" si="9"/>
        <v>36036.111159999993</v>
      </c>
      <c r="H48" s="132">
        <f t="shared" si="0"/>
        <v>0</v>
      </c>
      <c r="I48" s="106"/>
      <c r="J48" s="88">
        <f t="shared" si="2"/>
        <v>0</v>
      </c>
      <c r="K48" s="88">
        <f t="shared" si="3"/>
        <v>34051.431084999997</v>
      </c>
      <c r="L48" s="167">
        <f t="shared" si="4"/>
        <v>0</v>
      </c>
      <c r="M48" s="6">
        <f t="shared" si="5"/>
        <v>34051.431084999997</v>
      </c>
      <c r="N48" s="11">
        <f t="shared" si="1"/>
        <v>36094.516950099998</v>
      </c>
    </row>
    <row r="49" spans="1:16" x14ac:dyDescent="0.25">
      <c r="A49" s="127" t="s">
        <v>98</v>
      </c>
      <c r="B49" s="7"/>
      <c r="C49" s="7">
        <v>20</v>
      </c>
      <c r="D49" s="134" t="s">
        <v>87</v>
      </c>
      <c r="E49" s="7">
        <v>0.49</v>
      </c>
      <c r="F49" s="88">
        <v>74771.145809691778</v>
      </c>
      <c r="G49" s="183">
        <f>F49</f>
        <v>74771.145809691778</v>
      </c>
      <c r="H49" s="132">
        <f t="shared" si="0"/>
        <v>0</v>
      </c>
      <c r="I49" s="106"/>
      <c r="J49" s="88">
        <f t="shared" si="2"/>
        <v>0</v>
      </c>
      <c r="K49" s="88">
        <f t="shared" si="3"/>
        <v>34051.431084999997</v>
      </c>
      <c r="L49" s="167">
        <f t="shared" si="4"/>
        <v>0</v>
      </c>
      <c r="M49" s="6">
        <f t="shared" si="5"/>
        <v>34051.431084999997</v>
      </c>
      <c r="N49" s="11">
        <f t="shared" si="1"/>
        <v>36094.516950099998</v>
      </c>
    </row>
    <row r="50" spans="1:16" x14ac:dyDescent="0.25">
      <c r="A50" s="127" t="s">
        <v>98</v>
      </c>
      <c r="B50" s="7"/>
      <c r="C50" s="7">
        <v>21</v>
      </c>
      <c r="D50" s="134" t="s">
        <v>43</v>
      </c>
      <c r="E50" s="7">
        <v>0.59</v>
      </c>
      <c r="F50" s="88">
        <v>43390.419560000002</v>
      </c>
      <c r="G50" s="184">
        <f>F50</f>
        <v>43390.419560000002</v>
      </c>
      <c r="H50" s="132">
        <f t="shared" si="0"/>
        <v>0</v>
      </c>
      <c r="I50" s="106"/>
      <c r="J50" s="88">
        <f t="shared" si="2"/>
        <v>0</v>
      </c>
      <c r="K50" s="88">
        <f t="shared" si="3"/>
        <v>41000.702734999999</v>
      </c>
      <c r="L50" s="167">
        <f t="shared" si="4"/>
        <v>0</v>
      </c>
      <c r="M50" s="6">
        <f t="shared" si="5"/>
        <v>41000.702734999999</v>
      </c>
      <c r="N50" s="11">
        <f t="shared" si="1"/>
        <v>43460.744899099998</v>
      </c>
    </row>
    <row r="51" spans="1:16" x14ac:dyDescent="0.25">
      <c r="A51" s="127" t="s">
        <v>98</v>
      </c>
      <c r="B51" s="7"/>
      <c r="C51" s="7">
        <v>22</v>
      </c>
      <c r="D51" s="134" t="s">
        <v>51</v>
      </c>
      <c r="E51" s="7">
        <v>0.56999999999999995</v>
      </c>
      <c r="F51" s="88">
        <v>41919.557879999993</v>
      </c>
      <c r="G51" s="183">
        <f t="shared" si="9"/>
        <v>41919.557879999993</v>
      </c>
      <c r="H51" s="132">
        <f t="shared" si="0"/>
        <v>0</v>
      </c>
      <c r="I51" s="106"/>
      <c r="J51" s="88">
        <f t="shared" si="2"/>
        <v>0</v>
      </c>
      <c r="K51" s="88">
        <f t="shared" si="3"/>
        <v>39610.848404999997</v>
      </c>
      <c r="L51" s="167">
        <f t="shared" si="4"/>
        <v>0</v>
      </c>
      <c r="M51" s="6">
        <f t="shared" si="5"/>
        <v>39610.848404999997</v>
      </c>
      <c r="N51" s="11">
        <f t="shared" si="1"/>
        <v>41987.499309299994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90">
        <f>SUM(F7:F51)</f>
        <v>7323592.5148370629</v>
      </c>
      <c r="G52" s="90">
        <f>SUM(G7:G51)</f>
        <v>7660788.4767199997</v>
      </c>
      <c r="H52" s="89"/>
      <c r="I52" s="89"/>
      <c r="J52" s="128">
        <f>SUM(J8:J51)</f>
        <v>0</v>
      </c>
      <c r="K52" s="90">
        <f>SUM(K7:K51)</f>
        <v>6774284.7294665966</v>
      </c>
      <c r="L52" s="178">
        <f>SUM(L7:L51)</f>
        <v>30000</v>
      </c>
      <c r="M52" s="91">
        <f>SUM(M7:M51)</f>
        <v>6467088.7675836599</v>
      </c>
      <c r="N52" s="90">
        <f>SUM(N7:N51)</f>
        <v>6855114.0936386827</v>
      </c>
      <c r="P52" s="136"/>
    </row>
    <row r="53" spans="1:16" hidden="1" x14ac:dyDescent="0.25">
      <c r="K53" s="139">
        <f>K52-L1</f>
        <v>1762526.805466597</v>
      </c>
    </row>
    <row r="54" spans="1:16" ht="15" hidden="1" customHeight="1" x14ac:dyDescent="0.25"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</row>
    <row r="55" spans="1:16" hidden="1" x14ac:dyDescent="0.25"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</row>
    <row r="56" spans="1:16" x14ac:dyDescent="0.25"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</row>
    <row r="57" spans="1:16" x14ac:dyDescent="0.25">
      <c r="C57" s="187" t="s">
        <v>132</v>
      </c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</row>
    <row r="58" spans="1:16" x14ac:dyDescent="0.25"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</row>
    <row r="59" spans="1:16" x14ac:dyDescent="0.25"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</row>
    <row r="60" spans="1:16" x14ac:dyDescent="0.25"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</row>
    <row r="61" spans="1:16" x14ac:dyDescent="0.25"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</row>
    <row r="62" spans="1:16" x14ac:dyDescent="0.25"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</row>
    <row r="63" spans="1:16" x14ac:dyDescent="0.25"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18</v>
      </c>
      <c r="E1" s="50"/>
      <c r="F1" s="49"/>
      <c r="G1" s="49"/>
      <c r="H1" s="49"/>
      <c r="I1" s="49"/>
      <c r="J1" s="49"/>
      <c r="K1" s="49"/>
      <c r="L1" s="50" t="s">
        <v>72</v>
      </c>
      <c r="M1" s="49"/>
      <c r="N1" s="52" t="str">
        <f>RESUMEN!C5</f>
        <v>VTO. 14/04</v>
      </c>
      <c r="O1" s="52"/>
    </row>
    <row r="2" spans="1:15" x14ac:dyDescent="0.25">
      <c r="A2" s="49"/>
      <c r="B2" s="51"/>
      <c r="C2" s="51"/>
      <c r="D2" s="50" t="s">
        <v>19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73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74</v>
      </c>
      <c r="K4" s="50"/>
      <c r="L4" s="53">
        <v>0</v>
      </c>
      <c r="M4" s="49"/>
      <c r="N4" s="49"/>
      <c r="O4" s="49"/>
    </row>
    <row r="5" spans="1:15" ht="30" x14ac:dyDescent="0.25">
      <c r="A5" s="227" t="s">
        <v>75</v>
      </c>
      <c r="B5" s="227" t="s">
        <v>23</v>
      </c>
      <c r="C5" s="55" t="s">
        <v>76</v>
      </c>
      <c r="D5" s="35" t="s">
        <v>24</v>
      </c>
      <c r="E5" s="35" t="s">
        <v>25</v>
      </c>
      <c r="F5" s="227" t="s">
        <v>77</v>
      </c>
      <c r="G5" s="37" t="s">
        <v>78</v>
      </c>
      <c r="H5" s="38" t="s">
        <v>28</v>
      </c>
      <c r="I5" s="36" t="s">
        <v>79</v>
      </c>
      <c r="J5" s="39" t="s">
        <v>29</v>
      </c>
      <c r="K5" s="40" t="s">
        <v>29</v>
      </c>
      <c r="L5" s="37" t="s">
        <v>30</v>
      </c>
      <c r="M5" s="41"/>
      <c r="N5" s="227" t="s">
        <v>80</v>
      </c>
      <c r="O5" s="227" t="s">
        <v>81</v>
      </c>
    </row>
    <row r="6" spans="1:15" x14ac:dyDescent="0.25">
      <c r="A6" s="228"/>
      <c r="B6" s="228"/>
      <c r="C6" s="56" t="s">
        <v>82</v>
      </c>
      <c r="D6" s="42" t="s">
        <v>31</v>
      </c>
      <c r="E6" s="42" t="s">
        <v>32</v>
      </c>
      <c r="F6" s="228"/>
      <c r="G6" s="44" t="s">
        <v>83</v>
      </c>
      <c r="H6" s="45">
        <v>0.06</v>
      </c>
      <c r="I6" s="43" t="s">
        <v>84</v>
      </c>
      <c r="J6" s="46" t="s">
        <v>33</v>
      </c>
      <c r="K6" s="47" t="s">
        <v>85</v>
      </c>
      <c r="L6" s="44" t="s">
        <v>86</v>
      </c>
      <c r="M6" s="47"/>
      <c r="N6" s="228"/>
      <c r="O6" s="228"/>
    </row>
    <row r="7" spans="1:15" ht="15" customHeight="1" x14ac:dyDescent="0.25">
      <c r="A7" s="15">
        <v>1</v>
      </c>
      <c r="B7" s="84" t="s">
        <v>62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62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66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66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38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46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62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59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54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64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64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52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68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68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68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55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57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49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49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87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43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51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2025-03-30T14:25:47Z</cp:lastPrinted>
  <dcterms:created xsi:type="dcterms:W3CDTF">2023-09-17T12:29:07Z</dcterms:created>
  <dcterms:modified xsi:type="dcterms:W3CDTF">2025-03-30T14:25:53Z</dcterms:modified>
</cp:coreProperties>
</file>