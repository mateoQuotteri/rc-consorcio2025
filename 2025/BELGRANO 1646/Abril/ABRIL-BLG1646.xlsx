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BELGRANO 1646\Abril\"/>
    </mc:Choice>
  </mc:AlternateContent>
  <xr:revisionPtr revIDLastSave="0" documentId="13_ncr:1_{69BF2810-CC4A-44F1-BB38-9E2DB05301E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ESUMEN" sheetId="1" r:id="rId1"/>
    <sheet name="PRORRATEO" sheetId="2" r:id="rId2"/>
    <sheet name="COCHERA" sheetId="3" r:id="rId3"/>
  </sheets>
  <definedNames>
    <definedName name="_xlnm.Print_Area" localSheetId="1">PRORRATEO!$A$1:$N$64</definedName>
    <definedName name="_xlnm.Print_Area" localSheetId="0">RESUMEN!$A$1:$F$136</definedName>
  </definedNames>
  <calcPr calcId="181029"/>
</workbook>
</file>

<file path=xl/calcChain.xml><?xml version="1.0" encoding="utf-8"?>
<calcChain xmlns="http://schemas.openxmlformats.org/spreadsheetml/2006/main">
  <c r="L12" i="2" l="1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M2" i="2"/>
  <c r="F71" i="1"/>
  <c r="E71" i="1"/>
  <c r="E68" i="1"/>
  <c r="E67" i="1"/>
  <c r="E66" i="1"/>
  <c r="E65" i="1"/>
  <c r="E64" i="1"/>
  <c r="G16" i="2"/>
  <c r="G18" i="2"/>
  <c r="G27" i="2"/>
  <c r="G29" i="2"/>
  <c r="G9" i="2"/>
  <c r="G26" i="2"/>
  <c r="G28" i="2"/>
  <c r="G21" i="2"/>
  <c r="D49" i="2"/>
  <c r="E72" i="1"/>
  <c r="E73" i="1"/>
  <c r="G73" i="1"/>
  <c r="G72" i="1"/>
  <c r="G24" i="2"/>
  <c r="G19" i="2"/>
  <c r="G13" i="2"/>
  <c r="G20" i="2"/>
  <c r="G68" i="1"/>
  <c r="E74" i="1"/>
  <c r="H68" i="1" l="1"/>
  <c r="D61" i="1" l="1"/>
  <c r="D53" i="1"/>
  <c r="F90" i="1"/>
  <c r="E90" i="1"/>
  <c r="G49" i="2"/>
  <c r="G67" i="1"/>
  <c r="H67" i="1"/>
  <c r="G65" i="1"/>
  <c r="G64" i="1"/>
  <c r="G71" i="1"/>
  <c r="H71" i="1"/>
  <c r="G57" i="1"/>
  <c r="E57" i="1"/>
  <c r="H57" i="1" s="1"/>
  <c r="G59" i="1"/>
  <c r="H65" i="1" l="1"/>
  <c r="H64" i="1"/>
  <c r="E59" i="1"/>
  <c r="F59" i="1"/>
  <c r="H59" i="1" l="1"/>
  <c r="F61" i="1" l="1"/>
  <c r="E61" i="1"/>
  <c r="G61" i="1"/>
  <c r="F52" i="2"/>
  <c r="D76" i="1"/>
  <c r="E63" i="1"/>
  <c r="F63" i="1"/>
  <c r="F46" i="1"/>
  <c r="E46" i="1"/>
  <c r="D83" i="1"/>
  <c r="E69" i="1" l="1"/>
  <c r="G63" i="1" l="1"/>
  <c r="H63" i="1" l="1"/>
  <c r="I63" i="1" s="1"/>
  <c r="D48" i="1" l="1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G22" i="2"/>
  <c r="D113" i="1"/>
  <c r="B123" i="1" s="1"/>
  <c r="F112" i="1"/>
  <c r="E112" i="1"/>
  <c r="E113" i="1" l="1"/>
  <c r="F113" i="1"/>
  <c r="H113" i="1" l="1"/>
  <c r="I113" i="1" s="1"/>
  <c r="E82" i="1" l="1"/>
  <c r="E45" i="1" l="1"/>
  <c r="E47" i="1"/>
  <c r="E48" i="1" l="1"/>
  <c r="F47" i="1"/>
  <c r="F48" i="1" s="1"/>
  <c r="G48" i="1" l="1"/>
  <c r="F38" i="1"/>
  <c r="F37" i="1"/>
  <c r="F36" i="1"/>
  <c r="E38" i="1"/>
  <c r="E37" i="1"/>
  <c r="E36" i="1"/>
  <c r="G58" i="1" l="1"/>
  <c r="G60" i="1"/>
  <c r="G62" i="1"/>
  <c r="G66" i="1"/>
  <c r="G69" i="1"/>
  <c r="G70" i="1"/>
  <c r="G74" i="1"/>
  <c r="G75" i="1"/>
  <c r="E75" i="1"/>
  <c r="H75" i="1" s="1"/>
  <c r="I75" i="1" l="1"/>
  <c r="H74" i="1" l="1"/>
  <c r="I74" i="1" s="1"/>
  <c r="H66" i="1"/>
  <c r="I66" i="1" s="1"/>
  <c r="H69" i="1" l="1"/>
  <c r="I69" i="1" s="1"/>
  <c r="D30" i="1" l="1"/>
  <c r="D55" i="1"/>
  <c r="D92" i="1"/>
  <c r="D96" i="1"/>
  <c r="G11" i="2" l="1"/>
  <c r="E81" i="1" l="1"/>
  <c r="F98" i="1" l="1"/>
  <c r="E98" i="1"/>
  <c r="G98" i="1" l="1"/>
  <c r="H98" i="1" s="1"/>
  <c r="F95" i="1" l="1"/>
  <c r="F94" i="1"/>
  <c r="E95" i="1"/>
  <c r="E94" i="1"/>
  <c r="F89" i="1"/>
  <c r="F87" i="1"/>
  <c r="E89" i="1"/>
  <c r="E87" i="1"/>
  <c r="F80" i="1"/>
  <c r="E80" i="1"/>
  <c r="F62" i="1"/>
  <c r="F60" i="1"/>
  <c r="F58" i="1"/>
  <c r="E70" i="1"/>
  <c r="H70" i="1" s="1"/>
  <c r="I70" i="1" s="1"/>
  <c r="E62" i="1"/>
  <c r="E60" i="1"/>
  <c r="E58" i="1"/>
  <c r="F32" i="1"/>
  <c r="F31" i="1"/>
  <c r="E32" i="1"/>
  <c r="E31" i="1"/>
  <c r="F54" i="1"/>
  <c r="F52" i="1"/>
  <c r="E54" i="1"/>
  <c r="E52" i="1"/>
  <c r="F24" i="1"/>
  <c r="F25" i="1"/>
  <c r="F23" i="1"/>
  <c r="E23" i="1"/>
  <c r="E24" i="1"/>
  <c r="E25" i="1"/>
  <c r="H60" i="1" l="1"/>
  <c r="I60" i="1" s="1"/>
  <c r="H62" i="1"/>
  <c r="I62" i="1" s="1"/>
  <c r="H58" i="1"/>
  <c r="I58" i="1" s="1"/>
  <c r="F30" i="1"/>
  <c r="F96" i="1"/>
  <c r="E76" i="1"/>
  <c r="E96" i="1"/>
  <c r="E92" i="1"/>
  <c r="F92" i="1"/>
  <c r="E83" i="1"/>
  <c r="F83" i="1"/>
  <c r="F76" i="1"/>
  <c r="E35" i="1"/>
  <c r="E39" i="1" s="1"/>
  <c r="F35" i="1"/>
  <c r="E30" i="1"/>
  <c r="G30" i="1" l="1"/>
  <c r="H30" i="1" s="1"/>
  <c r="G96" i="1"/>
  <c r="G92" i="1"/>
  <c r="G83" i="1"/>
  <c r="G76" i="1"/>
  <c r="H76" i="1" s="1"/>
  <c r="G35" i="1"/>
  <c r="D35" i="1"/>
  <c r="D100" i="1" s="1"/>
  <c r="B117" i="1" l="1"/>
  <c r="B122" i="1" s="1"/>
  <c r="D39" i="1"/>
  <c r="H83" i="1"/>
  <c r="H35" i="1"/>
  <c r="H96" i="1"/>
  <c r="H92" i="1"/>
  <c r="C105" i="1"/>
  <c r="B125" i="1" s="1"/>
  <c r="L1" i="2" l="1"/>
  <c r="E53" i="1"/>
  <c r="E55" i="1" s="1"/>
  <c r="E100" i="1" s="1"/>
  <c r="F53" i="1"/>
  <c r="F55" i="1" s="1"/>
  <c r="G55" i="1" l="1"/>
  <c r="G99" i="1" s="1"/>
  <c r="H55" i="1" l="1"/>
  <c r="B116" i="1"/>
  <c r="O1" i="2" l="1"/>
  <c r="O2" i="2" s="1"/>
  <c r="A3" i="2"/>
  <c r="E43" i="1" l="1"/>
  <c r="F43" i="1"/>
  <c r="K12" i="2" l="1"/>
  <c r="K47" i="2"/>
  <c r="K25" i="2"/>
  <c r="K50" i="2"/>
  <c r="K27" i="2"/>
  <c r="K8" i="2"/>
  <c r="K30" i="2"/>
  <c r="K49" i="2"/>
  <c r="K32" i="2"/>
  <c r="K10" i="2"/>
  <c r="K29" i="2"/>
  <c r="K51" i="2"/>
  <c r="K31" i="2"/>
  <c r="K9" i="2"/>
  <c r="K34" i="2"/>
  <c r="K11" i="2"/>
  <c r="K36" i="2"/>
  <c r="K14" i="2"/>
  <c r="K33" i="2"/>
  <c r="K16" i="2"/>
  <c r="K35" i="2"/>
  <c r="K13" i="2"/>
  <c r="K38" i="2"/>
  <c r="K15" i="2"/>
  <c r="K40" i="2"/>
  <c r="K18" i="2"/>
  <c r="K37" i="2"/>
  <c r="K20" i="2"/>
  <c r="K39" i="2"/>
  <c r="K17" i="2"/>
  <c r="K42" i="2"/>
  <c r="K19" i="2"/>
  <c r="K44" i="2"/>
  <c r="K22" i="2"/>
  <c r="K41" i="2"/>
  <c r="K24" i="2"/>
  <c r="K43" i="2"/>
  <c r="K21" i="2"/>
  <c r="K46" i="2"/>
  <c r="K23" i="2"/>
  <c r="K48" i="2"/>
  <c r="K26" i="2"/>
  <c r="K45" i="2"/>
  <c r="K28" i="2"/>
  <c r="G43" i="2"/>
  <c r="G44" i="2"/>
  <c r="G42" i="2"/>
  <c r="K52" i="2" l="1"/>
  <c r="P43" i="2" s="1"/>
  <c r="G7" i="2"/>
  <c r="K53" i="2" l="1"/>
  <c r="J52" i="2"/>
  <c r="Q47" i="2" s="1"/>
  <c r="B124" i="1"/>
  <c r="G14" i="2"/>
  <c r="B135" i="1" l="1"/>
  <c r="J4" i="2" l="1"/>
  <c r="G32" i="2"/>
  <c r="G12" i="2"/>
  <c r="H12" i="2" s="1"/>
  <c r="L8" i="2" l="1"/>
  <c r="L11" i="2"/>
  <c r="L51" i="2"/>
  <c r="L10" i="2"/>
  <c r="L9" i="2"/>
  <c r="G50" i="2" l="1"/>
  <c r="G35" i="2" l="1"/>
  <c r="G15" i="2" s="1"/>
  <c r="G25" i="2" l="1"/>
  <c r="F39" i="1" l="1"/>
  <c r="N1" i="3" l="1"/>
  <c r="L52" i="2" l="1"/>
  <c r="E52" i="2"/>
  <c r="H43" i="2" l="1"/>
  <c r="M43" i="2" s="1"/>
  <c r="N43" i="2" s="1"/>
  <c r="H44" i="2"/>
  <c r="G33" i="2"/>
  <c r="G40" i="2"/>
  <c r="H40" i="2" s="1"/>
  <c r="M40" i="2" s="1"/>
  <c r="N40" i="2" s="1"/>
  <c r="G39" i="2"/>
  <c r="G36" i="2"/>
  <c r="H36" i="2" s="1"/>
  <c r="G31" i="2"/>
  <c r="H31" i="2" s="1"/>
  <c r="G30" i="2"/>
  <c r="G37" i="2"/>
  <c r="G45" i="2"/>
  <c r="G38" i="2"/>
  <c r="G41" i="2"/>
  <c r="G51" i="2"/>
  <c r="G48" i="2"/>
  <c r="H48" i="2" s="1"/>
  <c r="M48" i="2" s="1"/>
  <c r="N48" i="2" s="1"/>
  <c r="G47" i="2"/>
  <c r="G17" i="2" s="1"/>
  <c r="M12" i="2"/>
  <c r="N12" i="2" s="1"/>
  <c r="H10" i="2"/>
  <c r="G34" i="2"/>
  <c r="H8" i="2"/>
  <c r="M8" i="2" s="1"/>
  <c r="H11" i="2"/>
  <c r="H13" i="2"/>
  <c r="M13" i="2" s="1"/>
  <c r="N13" i="2" s="1"/>
  <c r="H14" i="2"/>
  <c r="M14" i="2" s="1"/>
  <c r="N14" i="2" s="1"/>
  <c r="H15" i="2"/>
  <c r="H22" i="2"/>
  <c r="M22" i="2" s="1"/>
  <c r="N22" i="2" s="1"/>
  <c r="H25" i="2"/>
  <c r="M25" i="2" s="1"/>
  <c r="N25" i="2" s="1"/>
  <c r="H35" i="2"/>
  <c r="H38" i="2"/>
  <c r="M38" i="2" s="1"/>
  <c r="N38" i="2" s="1"/>
  <c r="H50" i="2"/>
  <c r="M50" i="2" s="1"/>
  <c r="N50" i="2" s="1"/>
  <c r="H7" i="2"/>
  <c r="M7" i="2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7" i="3"/>
  <c r="H17" i="2" l="1"/>
  <c r="M17" i="2" s="1"/>
  <c r="N17" i="2" s="1"/>
  <c r="G52" i="2"/>
  <c r="H26" i="2"/>
  <c r="M26" i="2" s="1"/>
  <c r="N26" i="2" s="1"/>
  <c r="H46" i="2"/>
  <c r="M46" i="2" s="1"/>
  <c r="N46" i="2" s="1"/>
  <c r="H20" i="2"/>
  <c r="M20" i="2" s="1"/>
  <c r="N20" i="2" s="1"/>
  <c r="H21" i="2"/>
  <c r="M21" i="2" s="1"/>
  <c r="N21" i="2" s="1"/>
  <c r="H45" i="2"/>
  <c r="M45" i="2" s="1"/>
  <c r="N45" i="2" s="1"/>
  <c r="H30" i="2"/>
  <c r="M30" i="2" s="1"/>
  <c r="N30" i="2" s="1"/>
  <c r="H18" i="2"/>
  <c r="M18" i="2" s="1"/>
  <c r="N18" i="2" s="1"/>
  <c r="H33" i="2"/>
  <c r="M33" i="2" s="1"/>
  <c r="N33" i="2" s="1"/>
  <c r="H51" i="2"/>
  <c r="M51" i="2" s="1"/>
  <c r="N51" i="2" s="1"/>
  <c r="H16" i="2"/>
  <c r="M16" i="2" s="1"/>
  <c r="N16" i="2" s="1"/>
  <c r="H29" i="2"/>
  <c r="M29" i="2" s="1"/>
  <c r="N29" i="2" s="1"/>
  <c r="H19" i="2"/>
  <c r="M19" i="2" s="1"/>
  <c r="N19" i="2" s="1"/>
  <c r="H23" i="2"/>
  <c r="M23" i="2" s="1"/>
  <c r="N23" i="2" s="1"/>
  <c r="H9" i="2"/>
  <c r="M9" i="2" s="1"/>
  <c r="N9" i="2" s="1"/>
  <c r="H24" i="2"/>
  <c r="M24" i="2" s="1"/>
  <c r="N24" i="2" s="1"/>
  <c r="H49" i="2"/>
  <c r="M49" i="2" s="1"/>
  <c r="N49" i="2" s="1"/>
  <c r="H34" i="2"/>
  <c r="M34" i="2" s="1"/>
  <c r="N34" i="2" s="1"/>
  <c r="H28" i="2"/>
  <c r="M28" i="2" s="1"/>
  <c r="N28" i="2" s="1"/>
  <c r="H42" i="2"/>
  <c r="M42" i="2" s="1"/>
  <c r="N42" i="2" s="1"/>
  <c r="N7" i="2"/>
  <c r="H47" i="2"/>
  <c r="M47" i="2" s="1"/>
  <c r="N47" i="2" s="1"/>
  <c r="H37" i="2"/>
  <c r="M37" i="2" s="1"/>
  <c r="N37" i="2" s="1"/>
  <c r="H27" i="2"/>
  <c r="M27" i="2" s="1"/>
  <c r="N27" i="2" s="1"/>
  <c r="H41" i="2"/>
  <c r="M41" i="2" s="1"/>
  <c r="N41" i="2" s="1"/>
  <c r="H32" i="2"/>
  <c r="M32" i="2" s="1"/>
  <c r="N32" i="2" s="1"/>
  <c r="M36" i="2"/>
  <c r="N36" i="2" s="1"/>
  <c r="M15" i="2"/>
  <c r="N15" i="2" s="1"/>
  <c r="M11" i="2"/>
  <c r="N11" i="2" s="1"/>
  <c r="M35" i="2"/>
  <c r="N35" i="2" s="1"/>
  <c r="M31" i="2"/>
  <c r="N31" i="2" s="1"/>
  <c r="M10" i="2"/>
  <c r="N10" i="2" s="1"/>
  <c r="M44" i="2"/>
  <c r="N44" i="2" s="1"/>
  <c r="H39" i="2"/>
  <c r="M39" i="2" s="1"/>
  <c r="N39" i="2" s="1"/>
  <c r="N8" i="2" l="1"/>
  <c r="N52" i="2" s="1"/>
  <c r="M52" i="2"/>
  <c r="B121" i="1"/>
  <c r="B127" i="1" s="1"/>
  <c r="F100" i="1"/>
  <c r="G100" i="1" s="1"/>
  <c r="H100" i="1" l="1"/>
  <c r="I100" i="1"/>
</calcChain>
</file>

<file path=xl/sharedStrings.xml><?xml version="1.0" encoding="utf-8"?>
<sst xmlns="http://schemas.openxmlformats.org/spreadsheetml/2006/main" count="252" uniqueCount="166">
  <si>
    <t>consorciobelgrano1640@gmail.com</t>
  </si>
  <si>
    <t>LIQUIDACION DE EXPENSAS</t>
  </si>
  <si>
    <t>Deducciones</t>
  </si>
  <si>
    <t>TOTAL SUELDO</t>
  </si>
  <si>
    <t>APORTES Y CONTRIBUCIONES</t>
  </si>
  <si>
    <t>SUTERH - FATERYH - SARACAH</t>
  </si>
  <si>
    <t>TOTAL Aportes y Contribuciones - Sindicato</t>
  </si>
  <si>
    <t>ABONOS Y SERVICIOS</t>
  </si>
  <si>
    <t xml:space="preserve">Riesgo Uno </t>
  </si>
  <si>
    <t xml:space="preserve">Seguro Poliza </t>
  </si>
  <si>
    <t>EDESUR</t>
  </si>
  <si>
    <t>AYSA</t>
  </si>
  <si>
    <t>TOTAL ABONOS Y SERVICIOS</t>
  </si>
  <si>
    <t xml:space="preserve">GASTOS DE ADMINISTRACION </t>
  </si>
  <si>
    <t>RC Adm Cons. CANCIANI, Carolina</t>
  </si>
  <si>
    <t>TOTAL GASTOS DE ADMINISTRACION</t>
  </si>
  <si>
    <t>Sr. Diego Britez (1)</t>
  </si>
  <si>
    <t>TOTAL GASTOS GENERALES / MANTENIMIENTO</t>
  </si>
  <si>
    <t>ESTADO DE CUENTA Y PRORRATEO</t>
  </si>
  <si>
    <t>BELGRANO Nº 1640</t>
  </si>
  <si>
    <t>Piso</t>
  </si>
  <si>
    <t>Dpto.</t>
  </si>
  <si>
    <t>UF</t>
  </si>
  <si>
    <t>Propietario</t>
  </si>
  <si>
    <t xml:space="preserve">Saldo </t>
  </si>
  <si>
    <t xml:space="preserve">Ingreso </t>
  </si>
  <si>
    <t>SALDO</t>
  </si>
  <si>
    <t>Expensas extraor.</t>
  </si>
  <si>
    <t>Intereses</t>
  </si>
  <si>
    <t>Expensas</t>
  </si>
  <si>
    <t>TOTAL</t>
  </si>
  <si>
    <t>Anterior</t>
  </si>
  <si>
    <t>Exp. Ord.</t>
  </si>
  <si>
    <t>Ord.</t>
  </si>
  <si>
    <t>PB</t>
  </si>
  <si>
    <t>LOCAL 1 - DANIEL VIDAL</t>
  </si>
  <si>
    <t>3º</t>
  </si>
  <si>
    <t>RODRIGUEZ, MARIA ROSA</t>
  </si>
  <si>
    <t>RUSSO, JUAN ANTONIO</t>
  </si>
  <si>
    <t>4º</t>
  </si>
  <si>
    <t>SALLABER, MARIA</t>
  </si>
  <si>
    <t>COLATRELLA, CAROLINA</t>
  </si>
  <si>
    <t>5º</t>
  </si>
  <si>
    <t>DI TORO, ALEJANDRO</t>
  </si>
  <si>
    <t>6º</t>
  </si>
  <si>
    <t>PERAZA, MARTHA</t>
  </si>
  <si>
    <t>MARANTE, MAURO</t>
  </si>
  <si>
    <t>7º</t>
  </si>
  <si>
    <t>CAMPANA, NESTOR</t>
  </si>
  <si>
    <t>8º</t>
  </si>
  <si>
    <t>JARA, CLAUDIO</t>
  </si>
  <si>
    <t>MIRAMONTES, HORACIO</t>
  </si>
  <si>
    <t>9º</t>
  </si>
  <si>
    <t>MELINA, ANDRES</t>
  </si>
  <si>
    <t>GARCIA, MARIA SOL</t>
  </si>
  <si>
    <t>10º</t>
  </si>
  <si>
    <t>DAVIN, ALEJANDRO</t>
  </si>
  <si>
    <t>11º</t>
  </si>
  <si>
    <t>VROONLAND, DANIEL</t>
  </si>
  <si>
    <t>SIMONASSI, ALEJO</t>
  </si>
  <si>
    <t>12º</t>
  </si>
  <si>
    <t>VELAZ, ATILIO</t>
  </si>
  <si>
    <t>13º</t>
  </si>
  <si>
    <t>AGÜERO, MIRIAM S</t>
  </si>
  <si>
    <t>14º</t>
  </si>
  <si>
    <t>VILLA, JUAN MANUEL</t>
  </si>
  <si>
    <t>15º</t>
  </si>
  <si>
    <t>TOLOSA, FABIO</t>
  </si>
  <si>
    <t>TOTAL EXPENSAS 1er VTO</t>
  </si>
  <si>
    <t>TOTAL EXPENSAS 2do VTO</t>
  </si>
  <si>
    <t>Expensas ord</t>
  </si>
  <si>
    <t xml:space="preserve">Vencimiento </t>
  </si>
  <si>
    <t>Gastos Ordinario:</t>
  </si>
  <si>
    <t>Gastos Extr.:</t>
  </si>
  <si>
    <t>Cochera</t>
  </si>
  <si>
    <t xml:space="preserve">Porcentaje </t>
  </si>
  <si>
    <t>DEUDAS</t>
  </si>
  <si>
    <t>Deuda exp</t>
  </si>
  <si>
    <t>porcentaje</t>
  </si>
  <si>
    <t>1ER Vto.</t>
  </si>
  <si>
    <t>2DO Vto.</t>
  </si>
  <si>
    <t>(%)</t>
  </si>
  <si>
    <t>Extraord</t>
  </si>
  <si>
    <t>%</t>
  </si>
  <si>
    <t>Extr.</t>
  </si>
  <si>
    <t>EXPENSAS</t>
  </si>
  <si>
    <t>RUIZ, DIEGO ARIEL</t>
  </si>
  <si>
    <t>GASTOS ORDINARIOS UNIDADES FUNCIONALES:</t>
  </si>
  <si>
    <t>LOCAL 8,09%</t>
  </si>
  <si>
    <t>Santander cuenta 039-010552/1</t>
  </si>
  <si>
    <t>CBU: 0720039720000001055218</t>
  </si>
  <si>
    <t>CAJA EFECTIVO $ (pesos)</t>
  </si>
  <si>
    <t xml:space="preserve">Saldo anterior </t>
  </si>
  <si>
    <t>Ingresos</t>
  </si>
  <si>
    <t xml:space="preserve">  </t>
  </si>
  <si>
    <t>Saldo al cierre</t>
  </si>
  <si>
    <t>CAJA EFECTIVO SUM $ (pesos)</t>
  </si>
  <si>
    <t>COC</t>
  </si>
  <si>
    <t xml:space="preserve"> (%)</t>
  </si>
  <si>
    <t>CONSORCIO DE PROPIETARIOS DEL EDIFICIO CALLE BELGRANO NUMERO 1640/1646 BANFIELD PARTIDO DE LOMAS DE ZAMORA</t>
  </si>
  <si>
    <t>CUIT: 33-71826987-9</t>
  </si>
  <si>
    <t>GASTOS BANCARIOS</t>
  </si>
  <si>
    <t>Gastos bancarios</t>
  </si>
  <si>
    <t>Mantenimiento de cuenta</t>
  </si>
  <si>
    <t xml:space="preserve">TOTAL ORDINARIOS </t>
  </si>
  <si>
    <t>GASTOS ORDINARIOS + PREVISION :</t>
  </si>
  <si>
    <t>Dinero ingreso SUM</t>
  </si>
  <si>
    <t>GASTOS ORDINARIOS SIN PREVISION:</t>
  </si>
  <si>
    <t xml:space="preserve">Gustavo Padron contador </t>
  </si>
  <si>
    <t>Fecha</t>
  </si>
  <si>
    <t>SAC</t>
  </si>
  <si>
    <t>TOTAL SAC</t>
  </si>
  <si>
    <t>LUSENSKY, CARLOS</t>
  </si>
  <si>
    <t>Redondeo</t>
  </si>
  <si>
    <t>GASTOS EXTRAORDINARIOS</t>
  </si>
  <si>
    <t>Egresos Extraordinarios</t>
  </si>
  <si>
    <t>Egresos Ordinarios</t>
  </si>
  <si>
    <t>MP:1148</t>
  </si>
  <si>
    <t xml:space="preserve">TOTAL </t>
  </si>
  <si>
    <t>Domicilio: Dr. Melo Nº 2958 - 8VO PISO - Con cita previa</t>
  </si>
  <si>
    <t xml:space="preserve">Central vigia </t>
  </si>
  <si>
    <t>Gastos particulares</t>
  </si>
  <si>
    <t>UF 91,91%</t>
  </si>
  <si>
    <t>LOCAL</t>
  </si>
  <si>
    <t>SUM/ GASTOS PART</t>
  </si>
  <si>
    <t>SE GASTO:</t>
  </si>
  <si>
    <t>SE PRORRATEA EN LAS UF:</t>
  </si>
  <si>
    <t xml:space="preserve">Haberes </t>
  </si>
  <si>
    <t>TOTAL REEMPLAZO</t>
  </si>
  <si>
    <t>RATON, MARIELA</t>
  </si>
  <si>
    <t>EL MONTO QUE SE PRORRATEA EN LAS UNIDADES FUNCIONALES ES MAYOR AL MONTO QUE SE GASTO YA QUE DE PRORRATEAR EL MONTO GASTADO NO SE ALCANZA A JUNTAR EL DINERO NECESARIO PARA CUBRIR EL 100% DE LOS GASTOS. ESTO SE DEBE A QUE EL LOCAL NO ABONA ESTRICTAMENTE EL 8,09% DE TODA LA LIQUIDACION, SINO QUE ABONA EL 8,09% DE ALGUNOS GASTOS SI Y DE OTROS NO. ES POR ESO MISMO QUE SE DEBE PRORRATEAR UN MONTO MAYOR A LO GASTADO PARA CON LAS UNIDADES FUNCIONALES CON EL OBJETIVO DE A FIN DE CUENTAS SI PODER REACAUDAR LO GASTADO</t>
  </si>
  <si>
    <t xml:space="preserve">Redondeo </t>
  </si>
  <si>
    <t>EXPENSAS EXTRA:</t>
  </si>
  <si>
    <t>extra</t>
  </si>
  <si>
    <t xml:space="preserve">FONDO DE GASTOS ORDINARIOS </t>
  </si>
  <si>
    <r>
      <t xml:space="preserve">Los gastos que se encuentras </t>
    </r>
    <r>
      <rPr>
        <b/>
        <u/>
        <sz val="14"/>
        <color theme="1"/>
        <rFont val="Calibri"/>
        <family val="2"/>
        <scheme val="minor"/>
      </rPr>
      <t>subrayados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son los que corresponden tanto a las unidades funcionales como tambien al local</t>
    </r>
  </si>
  <si>
    <t>ARCA</t>
  </si>
  <si>
    <t>Gutavo Padron diferencia mes anterior</t>
  </si>
  <si>
    <t>PERÍODO: ABRIL</t>
  </si>
  <si>
    <t>Honorarios ABRIL</t>
  </si>
  <si>
    <t>Energoup MES DE ABRIL</t>
  </si>
  <si>
    <t>EN TEORIA EN ESTE PUNTO (ABRIL DEL 2025) LA CAJA NOS DA BIEN, TENEMOS 1,4M EN EL BANCO Y CERCA DE 120MIL PESOS EN EFECTIVO</t>
  </si>
  <si>
    <t>Ingreso mes de MARZO</t>
  </si>
  <si>
    <t>VTO. 14/05</t>
  </si>
  <si>
    <t>Piletero Sr Dario - puesta a punto y mantenimiento de pileta- ultimo mes</t>
  </si>
  <si>
    <t>SEGURO OBLIGATORIO SR DIEGO BRITEZ FEDERACION PATRONAL DEBITO AUTOMATICO 4/4</t>
  </si>
  <si>
    <t>Pago mis cuentas 9/4</t>
  </si>
  <si>
    <t>Debito 14/04</t>
  </si>
  <si>
    <t xml:space="preserve">Contessi - Mantenimiento de ascensores </t>
  </si>
  <si>
    <t>Debito 30/04</t>
  </si>
  <si>
    <t>PMC 07/04</t>
  </si>
  <si>
    <t>Numero 1859135 Debito automatico 1/04</t>
  </si>
  <si>
    <t>Mes de ABRIL 23/04</t>
  </si>
  <si>
    <t>AySa Destapaciones - 24/04</t>
  </si>
  <si>
    <t>JPL - Articulos de limpieza 14/04</t>
  </si>
  <si>
    <t>Agua porteria - Bidones - Consumo de un año</t>
  </si>
  <si>
    <t>Casa ruan compra de disyuntor</t>
  </si>
  <si>
    <t>Servisur - reemplazo sensor de movimiento</t>
  </si>
  <si>
    <t>Casa ruan compra de sensor</t>
  </si>
  <si>
    <t>Carta documento enviada a ADS - 01/04</t>
  </si>
  <si>
    <t>Hidraulica Rubber - Cepillo pileta</t>
  </si>
  <si>
    <t>Gabriel Villegas - Desvinculacion contrato ADS</t>
  </si>
  <si>
    <t>Fumigacion 9/04</t>
  </si>
  <si>
    <t>Compra motor PPA - Porton acceso al montavehiculos</t>
  </si>
  <si>
    <t xml:space="preserve">Colocacion y programacion del porton acceso al montavehiculos </t>
  </si>
  <si>
    <t>FEUILLANT, GASTON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</si>
</sst>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$&quot;\ #,##0;[Red]\-&quot;$&quot;\ #,##0"/>
    <numFmt numFmtId="165" formatCode="&quot;$&quot;\ #,##0.00;[Red]\-&quot;$&quot;\ #,##0.00"/>
    <numFmt numFmtId="166" formatCode="_-&quot;$&quot;\ * #,##0.00_-;\-&quot;$&quot;\ * #,##0.00_-;_-&quot;$&quot;\ * &quot;-&quot;??_-;_-@_-"/>
    <numFmt numFmtId="167" formatCode="_ &quot;$&quot;\ * #,##0.00_ ;_ &quot;$&quot;\ * \-#,##0.00_ ;_ &quot;$&quot;\ * &quot;-&quot;??_ ;_ @_ "/>
    <numFmt numFmtId="168" formatCode="#,##0.0000"/>
    <numFmt numFmtId="169" formatCode="_ &quot;$&quot;\ * #,##0_ ;_ &quot;$&quot;\ * \-#,##0_ ;_ &quot;$&quot;\ * &quot;-&quot;??_ ;_ @_ "/>
    <numFmt numFmtId="170" formatCode="_-&quot;$&quot;\ * #,##0_-;\-&quot;$&quot;\ * #,##0_-;_-&quot;$&quot;\ * &quot;-&quot;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1"/>
      <color theme="3" tint="0.79998168889431442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4" tint="0.59999389629810485"/>
      <name val="Calibri"/>
      <family val="2"/>
      <scheme val="minor"/>
    </font>
    <font>
      <sz val="11"/>
      <color theme="4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6">
    <xf numFmtId="0" fontId="0" fillId="0" borderId="0" xfId="0"/>
    <xf numFmtId="0" fontId="0" fillId="0" borderId="33" xfId="0" applyBorder="1"/>
    <xf numFmtId="0" fontId="0" fillId="0" borderId="34" xfId="0" applyBorder="1"/>
    <xf numFmtId="0" fontId="2" fillId="0" borderId="0" xfId="0" applyFont="1"/>
    <xf numFmtId="0" fontId="2" fillId="7" borderId="25" xfId="0" applyFont="1" applyFill="1" applyBorder="1"/>
    <xf numFmtId="0" fontId="2" fillId="7" borderId="26" xfId="0" applyFont="1" applyFill="1" applyBorder="1"/>
    <xf numFmtId="3" fontId="0" fillId="0" borderId="1" xfId="0" applyNumberFormat="1" applyBorder="1"/>
    <xf numFmtId="0" fontId="0" fillId="0" borderId="1" xfId="0" applyBorder="1"/>
    <xf numFmtId="0" fontId="0" fillId="5" borderId="0" xfId="0" applyFill="1"/>
    <xf numFmtId="165" fontId="0" fillId="5" borderId="0" xfId="0" applyNumberFormat="1" applyFill="1"/>
    <xf numFmtId="0" fontId="0" fillId="0" borderId="36" xfId="0" applyBorder="1"/>
    <xf numFmtId="4" fontId="0" fillId="0" borderId="1" xfId="0" applyNumberFormat="1" applyBorder="1"/>
    <xf numFmtId="0" fontId="0" fillId="0" borderId="9" xfId="0" applyBorder="1"/>
    <xf numFmtId="0" fontId="0" fillId="2" borderId="4" xfId="0" applyFill="1" applyBorder="1" applyAlignment="1">
      <alignment horizontal="center"/>
    </xf>
    <xf numFmtId="0" fontId="0" fillId="2" borderId="4" xfId="0" applyFill="1" applyBorder="1"/>
    <xf numFmtId="0" fontId="3" fillId="0" borderId="1" xfId="0" applyFont="1" applyBorder="1" applyAlignment="1">
      <alignment horizontal="center" wrapText="1"/>
    </xf>
    <xf numFmtId="4" fontId="2" fillId="2" borderId="4" xfId="0" applyNumberFormat="1" applyFont="1" applyFill="1" applyBorder="1"/>
    <xf numFmtId="168" fontId="0" fillId="0" borderId="11" xfId="0" applyNumberFormat="1" applyBorder="1"/>
    <xf numFmtId="4" fontId="0" fillId="0" borderId="13" xfId="0" applyNumberFormat="1" applyBorder="1"/>
    <xf numFmtId="0" fontId="0" fillId="2" borderId="5" xfId="0" applyFill="1" applyBorder="1"/>
    <xf numFmtId="3" fontId="2" fillId="2" borderId="5" xfId="2" applyNumberFormat="1" applyFont="1" applyFill="1" applyBorder="1"/>
    <xf numFmtId="3" fontId="0" fillId="0" borderId="19" xfId="0" applyNumberFormat="1" applyBorder="1"/>
    <xf numFmtId="3" fontId="2" fillId="2" borderId="22" xfId="2" applyNumberFormat="1" applyFont="1" applyFill="1" applyBorder="1"/>
    <xf numFmtId="3" fontId="0" fillId="0" borderId="18" xfId="0" applyNumberFormat="1" applyBorder="1"/>
    <xf numFmtId="3" fontId="2" fillId="2" borderId="20" xfId="2" applyNumberFormat="1" applyFont="1" applyFill="1" applyBorder="1"/>
    <xf numFmtId="3" fontId="2" fillId="2" borderId="21" xfId="2" applyNumberFormat="1" applyFont="1" applyFill="1" applyBorder="1"/>
    <xf numFmtId="3" fontId="2" fillId="2" borderId="7" xfId="2" applyNumberFormat="1" applyFont="1" applyFill="1" applyBorder="1"/>
    <xf numFmtId="3" fontId="0" fillId="0" borderId="12" xfId="0" applyNumberFormat="1" applyBorder="1"/>
    <xf numFmtId="167" fontId="2" fillId="2" borderId="20" xfId="2" applyFont="1" applyFill="1" applyBorder="1"/>
    <xf numFmtId="3" fontId="0" fillId="0" borderId="13" xfId="0" applyNumberFormat="1" applyBorder="1"/>
    <xf numFmtId="169" fontId="2" fillId="2" borderId="7" xfId="2" applyNumberFormat="1" applyFont="1" applyFill="1" applyBorder="1"/>
    <xf numFmtId="3" fontId="2" fillId="2" borderId="13" xfId="0" applyNumberFormat="1" applyFont="1" applyFill="1" applyBorder="1"/>
    <xf numFmtId="3" fontId="2" fillId="2" borderId="24" xfId="0" applyNumberFormat="1" applyFont="1" applyFill="1" applyBorder="1"/>
    <xf numFmtId="169" fontId="0" fillId="0" borderId="0" xfId="0" applyNumberFormat="1"/>
    <xf numFmtId="0" fontId="3" fillId="0" borderId="1" xfId="0" applyFont="1" applyBorder="1" applyAlignment="1">
      <alignment wrapText="1"/>
    </xf>
    <xf numFmtId="0" fontId="2" fillId="5" borderId="6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9" fontId="2" fillId="5" borderId="0" xfId="0" applyNumberFormat="1" applyFont="1" applyFill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/>
    <xf numFmtId="0" fontId="2" fillId="4" borderId="0" xfId="0" applyFont="1" applyFill="1"/>
    <xf numFmtId="0" fontId="0" fillId="4" borderId="0" xfId="0" applyFill="1" applyAlignment="1">
      <alignment horizontal="left"/>
    </xf>
    <xf numFmtId="16" fontId="0" fillId="4" borderId="0" xfId="0" applyNumberFormat="1" applyFill="1"/>
    <xf numFmtId="167" fontId="2" fillId="4" borderId="0" xfId="2" applyFont="1" applyFill="1"/>
    <xf numFmtId="0" fontId="5" fillId="4" borderId="0" xfId="0" applyFont="1" applyFill="1"/>
    <xf numFmtId="0" fontId="2" fillId="5" borderId="6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168" fontId="0" fillId="2" borderId="4" xfId="0" applyNumberFormat="1" applyFill="1" applyBorder="1"/>
    <xf numFmtId="3" fontId="6" fillId="0" borderId="1" xfId="0" applyNumberFormat="1" applyFont="1" applyBorder="1"/>
    <xf numFmtId="0" fontId="0" fillId="7" borderId="29" xfId="0" applyFill="1" applyBorder="1"/>
    <xf numFmtId="10" fontId="2" fillId="7" borderId="26" xfId="0" applyNumberFormat="1" applyFont="1" applyFill="1" applyBorder="1"/>
    <xf numFmtId="0" fontId="2" fillId="7" borderId="31" xfId="0" applyFont="1" applyFill="1" applyBorder="1"/>
    <xf numFmtId="0" fontId="2" fillId="7" borderId="29" xfId="0" applyFont="1" applyFill="1" applyBorder="1"/>
    <xf numFmtId="10" fontId="2" fillId="7" borderId="29" xfId="0" applyNumberFormat="1" applyFont="1" applyFill="1" applyBorder="1"/>
    <xf numFmtId="0" fontId="2" fillId="5" borderId="31" xfId="0" applyFont="1" applyFill="1" applyBorder="1"/>
    <xf numFmtId="0" fontId="2" fillId="5" borderId="29" xfId="0" applyFont="1" applyFill="1" applyBorder="1"/>
    <xf numFmtId="0" fontId="2" fillId="5" borderId="32" xfId="0" applyFont="1" applyFill="1" applyBorder="1"/>
    <xf numFmtId="0" fontId="2" fillId="5" borderId="33" xfId="0" applyFont="1" applyFill="1" applyBorder="1"/>
    <xf numFmtId="0" fontId="2" fillId="5" borderId="0" xfId="0" applyFont="1" applyFill="1"/>
    <xf numFmtId="0" fontId="2" fillId="5" borderId="34" xfId="0" applyFont="1" applyFill="1" applyBorder="1"/>
    <xf numFmtId="0" fontId="2" fillId="5" borderId="25" xfId="0" applyFont="1" applyFill="1" applyBorder="1"/>
    <xf numFmtId="0" fontId="2" fillId="5" borderId="26" xfId="0" applyFont="1" applyFill="1" applyBorder="1"/>
    <xf numFmtId="0" fontId="2" fillId="5" borderId="27" xfId="0" applyFont="1" applyFill="1" applyBorder="1"/>
    <xf numFmtId="165" fontId="0" fillId="0" borderId="0" xfId="0" applyNumberFormat="1"/>
    <xf numFmtId="0" fontId="7" fillId="8" borderId="0" xfId="0" applyFont="1" applyFill="1"/>
    <xf numFmtId="167" fontId="8" fillId="0" borderId="1" xfId="2" applyFont="1" applyBorder="1"/>
    <xf numFmtId="167" fontId="4" fillId="0" borderId="0" xfId="0" applyNumberFormat="1" applyFont="1"/>
    <xf numFmtId="0" fontId="8" fillId="0" borderId="1" xfId="0" applyFont="1" applyBorder="1"/>
    <xf numFmtId="4" fontId="0" fillId="0" borderId="0" xfId="0" applyNumberFormat="1"/>
    <xf numFmtId="0" fontId="4" fillId="0" borderId="1" xfId="0" applyFont="1" applyBorder="1"/>
    <xf numFmtId="0" fontId="4" fillId="0" borderId="0" xfId="0" applyFont="1"/>
    <xf numFmtId="167" fontId="4" fillId="0" borderId="1" xfId="0" applyNumberFormat="1" applyFont="1" applyBorder="1"/>
    <xf numFmtId="4" fontId="8" fillId="0" borderId="0" xfId="0" applyNumberFormat="1" applyFont="1"/>
    <xf numFmtId="167" fontId="0" fillId="0" borderId="0" xfId="0" applyNumberFormat="1"/>
    <xf numFmtId="0" fontId="10" fillId="0" borderId="1" xfId="0" applyFont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11" fillId="0" borderId="1" xfId="0" applyFont="1" applyBorder="1" applyAlignment="1">
      <alignment wrapText="1"/>
    </xf>
    <xf numFmtId="4" fontId="3" fillId="0" borderId="1" xfId="0" applyNumberFormat="1" applyFont="1" applyBorder="1" applyAlignment="1">
      <alignment wrapText="1"/>
    </xf>
    <xf numFmtId="170" fontId="0" fillId="0" borderId="1" xfId="1" applyNumberFormat="1" applyFont="1" applyBorder="1"/>
    <xf numFmtId="0" fontId="0" fillId="9" borderId="1" xfId="0" applyFill="1" applyBorder="1"/>
    <xf numFmtId="170" fontId="0" fillId="9" borderId="1" xfId="0" applyNumberFormat="1" applyFill="1" applyBorder="1"/>
    <xf numFmtId="3" fontId="0" fillId="9" borderId="1" xfId="0" applyNumberFormat="1" applyFill="1" applyBorder="1"/>
    <xf numFmtId="167" fontId="9" fillId="3" borderId="1" xfId="2" applyFont="1" applyFill="1" applyBorder="1"/>
    <xf numFmtId="167" fontId="4" fillId="3" borderId="1" xfId="2" applyFont="1" applyFill="1" applyBorder="1"/>
    <xf numFmtId="0" fontId="12" fillId="0" borderId="1" xfId="0" applyFont="1" applyBorder="1"/>
    <xf numFmtId="0" fontId="2" fillId="6" borderId="1" xfId="0" applyFont="1" applyFill="1" applyBorder="1"/>
    <xf numFmtId="0" fontId="0" fillId="6" borderId="1" xfId="0" applyFill="1" applyBorder="1"/>
    <xf numFmtId="43" fontId="0" fillId="5" borderId="0" xfId="3" applyFont="1" applyFill="1"/>
    <xf numFmtId="0" fontId="0" fillId="3" borderId="1" xfId="0" applyFill="1" applyBorder="1"/>
    <xf numFmtId="0" fontId="2" fillId="10" borderId="1" xfId="0" applyFont="1" applyFill="1" applyBorder="1"/>
    <xf numFmtId="0" fontId="2" fillId="0" borderId="1" xfId="0" applyFont="1" applyBorder="1"/>
    <xf numFmtId="167" fontId="2" fillId="0" borderId="1" xfId="2" applyFont="1" applyBorder="1"/>
    <xf numFmtId="0" fontId="2" fillId="9" borderId="25" xfId="0" applyFont="1" applyFill="1" applyBorder="1"/>
    <xf numFmtId="166" fontId="2" fillId="9" borderId="27" xfId="0" applyNumberFormat="1" applyFont="1" applyFill="1" applyBorder="1"/>
    <xf numFmtId="0" fontId="2" fillId="9" borderId="38" xfId="0" applyFont="1" applyFill="1" applyBorder="1"/>
    <xf numFmtId="166" fontId="2" fillId="9" borderId="22" xfId="0" applyNumberFormat="1" applyFont="1" applyFill="1" applyBorder="1"/>
    <xf numFmtId="0" fontId="0" fillId="0" borderId="1" xfId="0" applyBorder="1" applyAlignment="1">
      <alignment horizontal="center" vertical="center"/>
    </xf>
    <xf numFmtId="166" fontId="14" fillId="6" borderId="11" xfId="1" applyFont="1" applyFill="1" applyBorder="1"/>
    <xf numFmtId="166" fontId="6" fillId="6" borderId="11" xfId="1" applyFont="1" applyFill="1" applyBorder="1"/>
    <xf numFmtId="166" fontId="0" fillId="0" borderId="0" xfId="0" applyNumberFormat="1"/>
    <xf numFmtId="165" fontId="2" fillId="6" borderId="34" xfId="0" applyNumberFormat="1" applyFont="1" applyFill="1" applyBorder="1"/>
    <xf numFmtId="0" fontId="2" fillId="3" borderId="1" xfId="0" applyFont="1" applyFill="1" applyBorder="1"/>
    <xf numFmtId="166" fontId="2" fillId="6" borderId="0" xfId="0" applyNumberFormat="1" applyFont="1" applyFill="1"/>
    <xf numFmtId="166" fontId="6" fillId="3" borderId="1" xfId="1" applyFont="1" applyFill="1" applyBorder="1"/>
    <xf numFmtId="0" fontId="0" fillId="0" borderId="11" xfId="0" applyBorder="1"/>
    <xf numFmtId="0" fontId="0" fillId="0" borderId="39" xfId="0" applyBorder="1"/>
    <xf numFmtId="0" fontId="0" fillId="3" borderId="2" xfId="0" applyFill="1" applyBorder="1"/>
    <xf numFmtId="0" fontId="0" fillId="3" borderId="39" xfId="0" applyFill="1" applyBorder="1"/>
    <xf numFmtId="166" fontId="2" fillId="10" borderId="25" xfId="1" applyFont="1" applyFill="1" applyBorder="1"/>
    <xf numFmtId="165" fontId="2" fillId="6" borderId="1" xfId="0" applyNumberFormat="1" applyFont="1" applyFill="1" applyBorder="1"/>
    <xf numFmtId="165" fontId="2" fillId="3" borderId="1" xfId="0" applyNumberFormat="1" applyFont="1" applyFill="1" applyBorder="1"/>
    <xf numFmtId="0" fontId="16" fillId="0" borderId="1" xfId="0" applyFont="1" applyBorder="1"/>
    <xf numFmtId="0" fontId="0" fillId="0" borderId="1" xfId="0" applyBorder="1" applyAlignment="1">
      <alignment horizontal="center"/>
    </xf>
    <xf numFmtId="1" fontId="17" fillId="5" borderId="0" xfId="0" applyNumberFormat="1" applyFont="1" applyFill="1"/>
    <xf numFmtId="0" fontId="18" fillId="5" borderId="0" xfId="0" applyFont="1" applyFill="1"/>
    <xf numFmtId="166" fontId="6" fillId="3" borderId="0" xfId="1" applyFont="1" applyFill="1" applyBorder="1"/>
    <xf numFmtId="0" fontId="19" fillId="0" borderId="1" xfId="0" applyFont="1" applyBorder="1"/>
    <xf numFmtId="170" fontId="0" fillId="9" borderId="1" xfId="1" applyNumberFormat="1" applyFont="1" applyFill="1" applyBorder="1"/>
    <xf numFmtId="164" fontId="0" fillId="5" borderId="0" xfId="0" applyNumberFormat="1" applyFill="1" applyAlignment="1">
      <alignment horizontal="right" wrapText="1"/>
    </xf>
    <xf numFmtId="0" fontId="12" fillId="3" borderId="1" xfId="0" applyFont="1" applyFill="1" applyBorder="1"/>
    <xf numFmtId="0" fontId="6" fillId="3" borderId="11" xfId="0" applyFont="1" applyFill="1" applyBorder="1"/>
    <xf numFmtId="170" fontId="15" fillId="0" borderId="1" xfId="0" applyNumberFormat="1" applyFont="1" applyBorder="1"/>
    <xf numFmtId="170" fontId="19" fillId="0" borderId="1" xfId="0" applyNumberFormat="1" applyFont="1" applyBorder="1"/>
    <xf numFmtId="0" fontId="15" fillId="0" borderId="1" xfId="0" applyFont="1" applyBorder="1"/>
    <xf numFmtId="166" fontId="0" fillId="0" borderId="1" xfId="0" applyNumberFormat="1" applyBorder="1"/>
    <xf numFmtId="164" fontId="0" fillId="0" borderId="0" xfId="0" applyNumberFormat="1"/>
    <xf numFmtId="166" fontId="2" fillId="10" borderId="1" xfId="0" applyNumberFormat="1" applyFont="1" applyFill="1" applyBorder="1"/>
    <xf numFmtId="164" fontId="0" fillId="3" borderId="0" xfId="0" applyNumberFormat="1" applyFill="1" applyAlignment="1">
      <alignment horizontal="right" wrapText="1"/>
    </xf>
    <xf numFmtId="170" fontId="0" fillId="0" borderId="0" xfId="0" applyNumberFormat="1"/>
    <xf numFmtId="166" fontId="0" fillId="0" borderId="34" xfId="1" applyFont="1" applyBorder="1"/>
    <xf numFmtId="166" fontId="0" fillId="0" borderId="30" xfId="1" applyFont="1" applyBorder="1"/>
    <xf numFmtId="0" fontId="0" fillId="11" borderId="30" xfId="0" applyFill="1" applyBorder="1"/>
    <xf numFmtId="0" fontId="0" fillId="11" borderId="25" xfId="0" applyFill="1" applyBorder="1"/>
    <xf numFmtId="0" fontId="0" fillId="0" borderId="25" xfId="0" applyBorder="1"/>
    <xf numFmtId="0" fontId="0" fillId="0" borderId="27" xfId="0" applyBorder="1"/>
    <xf numFmtId="0" fontId="2" fillId="7" borderId="35" xfId="0" applyFont="1" applyFill="1" applyBorder="1" applyAlignment="1">
      <alignment vertical="center"/>
    </xf>
    <xf numFmtId="10" fontId="2" fillId="7" borderId="32" xfId="0" applyNumberFormat="1" applyFont="1" applyFill="1" applyBorder="1" applyAlignment="1">
      <alignment horizontal="center" vertical="center"/>
    </xf>
    <xf numFmtId="166" fontId="2" fillId="6" borderId="11" xfId="0" applyNumberFormat="1" applyFont="1" applyFill="1" applyBorder="1"/>
    <xf numFmtId="166" fontId="2" fillId="7" borderId="26" xfId="0" applyNumberFormat="1" applyFont="1" applyFill="1" applyBorder="1"/>
    <xf numFmtId="166" fontId="0" fillId="0" borderId="11" xfId="0" applyNumberFormat="1" applyBorder="1"/>
    <xf numFmtId="0" fontId="20" fillId="0" borderId="0" xfId="0" applyFont="1"/>
    <xf numFmtId="164" fontId="6" fillId="5" borderId="0" xfId="0" applyNumberFormat="1" applyFont="1" applyFill="1" applyAlignment="1">
      <alignment horizontal="right" wrapText="1"/>
    </xf>
    <xf numFmtId="166" fontId="6" fillId="5" borderId="0" xfId="0" applyNumberFormat="1" applyFont="1" applyFill="1"/>
    <xf numFmtId="164" fontId="6" fillId="5" borderId="0" xfId="0" applyNumberFormat="1" applyFont="1" applyFill="1"/>
    <xf numFmtId="166" fontId="4" fillId="0" borderId="0" xfId="0" applyNumberFormat="1" applyFont="1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6" fontId="0" fillId="0" borderId="0" xfId="1" applyFont="1"/>
    <xf numFmtId="166" fontId="14" fillId="6" borderId="11" xfId="0" applyNumberFormat="1" applyFont="1" applyFill="1" applyBorder="1"/>
    <xf numFmtId="166" fontId="2" fillId="6" borderId="25" xfId="0" applyNumberFormat="1" applyFont="1" applyFill="1" applyBorder="1"/>
    <xf numFmtId="0" fontId="0" fillId="3" borderId="0" xfId="0" applyFill="1"/>
    <xf numFmtId="166" fontId="20" fillId="0" borderId="0" xfId="0" applyNumberFormat="1" applyFont="1"/>
    <xf numFmtId="16" fontId="0" fillId="3" borderId="1" xfId="0" applyNumberFormat="1" applyFill="1" applyBorder="1"/>
    <xf numFmtId="16" fontId="0" fillId="0" borderId="1" xfId="0" applyNumberFormat="1" applyBorder="1"/>
    <xf numFmtId="16" fontId="0" fillId="0" borderId="1" xfId="0" applyNumberFormat="1" applyBorder="1" applyAlignment="1">
      <alignment horizontal="left"/>
    </xf>
    <xf numFmtId="166" fontId="0" fillId="0" borderId="2" xfId="0" applyNumberFormat="1" applyBorder="1"/>
    <xf numFmtId="164" fontId="15" fillId="3" borderId="1" xfId="0" applyNumberFormat="1" applyFont="1" applyFill="1" applyBorder="1"/>
    <xf numFmtId="166" fontId="6" fillId="3" borderId="1" xfId="1" applyFont="1" applyFill="1" applyBorder="1" applyAlignment="1"/>
    <xf numFmtId="0" fontId="15" fillId="3" borderId="1" xfId="0" applyFont="1" applyFill="1" applyBorder="1"/>
    <xf numFmtId="0" fontId="2" fillId="3" borderId="0" xfId="0" applyFont="1" applyFill="1" applyAlignment="1">
      <alignment vertical="center" wrapText="1"/>
    </xf>
    <xf numFmtId="166" fontId="2" fillId="6" borderId="1" xfId="0" applyNumberFormat="1" applyFont="1" applyFill="1" applyBorder="1"/>
    <xf numFmtId="166" fontId="2" fillId="6" borderId="1" xfId="1" applyFont="1" applyFill="1" applyBorder="1"/>
    <xf numFmtId="166" fontId="14" fillId="6" borderId="1" xfId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166" fontId="15" fillId="9" borderId="1" xfId="1" applyFont="1" applyFill="1" applyBorder="1"/>
    <xf numFmtId="167" fontId="21" fillId="3" borderId="1" xfId="2" applyFont="1" applyFill="1" applyBorder="1"/>
    <xf numFmtId="0" fontId="0" fillId="0" borderId="12" xfId="0" applyBorder="1"/>
    <xf numFmtId="0" fontId="0" fillId="0" borderId="13" xfId="0" applyBorder="1"/>
    <xf numFmtId="43" fontId="0" fillId="0" borderId="0" xfId="0" applyNumberFormat="1"/>
    <xf numFmtId="166" fontId="1" fillId="3" borderId="1" xfId="1" applyFont="1" applyFill="1" applyBorder="1"/>
    <xf numFmtId="0" fontId="0" fillId="3" borderId="12" xfId="0" applyFill="1" applyBorder="1"/>
    <xf numFmtId="0" fontId="0" fillId="3" borderId="13" xfId="0" applyFill="1" applyBorder="1"/>
    <xf numFmtId="0" fontId="6" fillId="0" borderId="1" xfId="0" applyFont="1" applyBorder="1" applyAlignment="1">
      <alignment horizontal="center" vertical="center"/>
    </xf>
    <xf numFmtId="166" fontId="6" fillId="3" borderId="11" xfId="1" applyFont="1" applyFill="1" applyBorder="1"/>
    <xf numFmtId="166" fontId="6" fillId="0" borderId="11" xfId="1" applyFont="1" applyBorder="1"/>
    <xf numFmtId="0" fontId="6" fillId="0" borderId="0" xfId="0" applyFont="1"/>
    <xf numFmtId="166" fontId="6" fillId="0" borderId="1" xfId="1" applyFont="1" applyBorder="1"/>
    <xf numFmtId="0" fontId="6" fillId="0" borderId="1" xfId="0" applyFont="1" applyBorder="1"/>
    <xf numFmtId="166" fontId="14" fillId="10" borderId="11" xfId="1" applyFont="1" applyFill="1" applyBorder="1"/>
    <xf numFmtId="166" fontId="14" fillId="7" borderId="26" xfId="0" applyNumberFormat="1" applyFont="1" applyFill="1" applyBorder="1"/>
    <xf numFmtId="0" fontId="0" fillId="11" borderId="0" xfId="0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13" fillId="9" borderId="2" xfId="0" applyFont="1" applyFill="1" applyBorder="1" applyAlignment="1">
      <alignment horizontal="center" vertical="center" wrapText="1"/>
    </xf>
    <xf numFmtId="0" fontId="13" fillId="9" borderId="2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9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13" fillId="9" borderId="5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left"/>
    </xf>
    <xf numFmtId="0" fontId="2" fillId="6" borderId="12" xfId="0" applyFont="1" applyFill="1" applyBorder="1" applyAlignment="1">
      <alignment horizontal="left"/>
    </xf>
    <xf numFmtId="0" fontId="2" fillId="6" borderId="13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 vertical="center" wrapText="1"/>
    </xf>
    <xf numFmtId="0" fontId="0" fillId="3" borderId="13" xfId="0" applyFill="1" applyBorder="1" applyAlignment="1">
      <alignment horizontal="left" vertical="center"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5" borderId="35" xfId="0" applyFill="1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166" fontId="0" fillId="5" borderId="0" xfId="0" applyNumberFormat="1" applyFill="1" applyAlignment="1">
      <alignment horizontal="center" wrapText="1"/>
    </xf>
    <xf numFmtId="164" fontId="0" fillId="5" borderId="0" xfId="0" applyNumberFormat="1" applyFill="1" applyAlignment="1">
      <alignment horizontal="center" wrapText="1"/>
    </xf>
    <xf numFmtId="0" fontId="0" fillId="5" borderId="35" xfId="0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 vertical="center" wrapText="1"/>
    </xf>
    <xf numFmtId="0" fontId="15" fillId="5" borderId="31" xfId="0" applyFont="1" applyFill="1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/>
    </xf>
    <xf numFmtId="0" fontId="0" fillId="5" borderId="37" xfId="0" applyFill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center" vertical="center" wrapText="1"/>
    </xf>
    <xf numFmtId="0" fontId="19" fillId="5" borderId="36" xfId="0" applyFont="1" applyFill="1" applyBorder="1" applyAlignment="1">
      <alignment horizontal="center" vertical="center" wrapText="1"/>
    </xf>
    <xf numFmtId="0" fontId="15" fillId="5" borderId="35" xfId="0" applyFont="1" applyFill="1" applyBorder="1" applyAlignment="1">
      <alignment horizontal="center" vertical="center"/>
    </xf>
    <xf numFmtId="0" fontId="15" fillId="5" borderId="37" xfId="0" applyFont="1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170" fontId="6" fillId="0" borderId="1" xfId="1" applyNumberFormat="1" applyFont="1" applyBorder="1"/>
    <xf numFmtId="170" fontId="6" fillId="3" borderId="1" xfId="1" applyNumberFormat="1" applyFont="1" applyFill="1" applyBorder="1"/>
    <xf numFmtId="0" fontId="0" fillId="3" borderId="1" xfId="0" applyFont="1" applyFill="1" applyBorder="1"/>
    <xf numFmtId="0" fontId="0" fillId="0" borderId="11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1" xfId="0" applyFont="1" applyBorder="1" applyAlignment="1">
      <alignment horizontal="left" vertical="center"/>
    </xf>
    <xf numFmtId="0" fontId="0" fillId="0" borderId="12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</cellXfs>
  <cellStyles count="4">
    <cellStyle name="Millares" xfId="3" builtinId="3"/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76200</xdr:rowOff>
    </xdr:from>
    <xdr:to>
      <xdr:col>0</xdr:col>
      <xdr:colOff>2190750</xdr:colOff>
      <xdr:row>3</xdr:row>
      <xdr:rowOff>333375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76200"/>
          <a:ext cx="2162175" cy="8382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6"/>
  <sheetViews>
    <sheetView workbookViewId="0">
      <selection activeCell="B135" sqref="B135"/>
    </sheetView>
  </sheetViews>
  <sheetFormatPr baseColWidth="10" defaultRowHeight="15" x14ac:dyDescent="0.25"/>
  <cols>
    <col min="1" max="1" width="33.42578125" customWidth="1"/>
    <col min="2" max="2" width="36.85546875" customWidth="1"/>
    <col min="3" max="3" width="17.42578125" customWidth="1"/>
    <col min="4" max="4" width="21.7109375" customWidth="1"/>
    <col min="5" max="5" width="15.7109375" customWidth="1"/>
    <col min="6" max="6" width="13" bestFit="1" customWidth="1"/>
    <col min="7" max="7" width="15.85546875" customWidth="1"/>
    <col min="8" max="9" width="13" bestFit="1" customWidth="1"/>
    <col min="10" max="10" width="14.5703125" bestFit="1" customWidth="1"/>
    <col min="12" max="12" width="18" customWidth="1"/>
    <col min="13" max="13" width="18.28515625" customWidth="1"/>
  </cols>
  <sheetData>
    <row r="1" spans="1:5" ht="15.75" thickBot="1" x14ac:dyDescent="0.3">
      <c r="A1" s="8"/>
      <c r="B1" s="97" t="s">
        <v>119</v>
      </c>
      <c r="C1" s="8"/>
      <c r="D1" s="8"/>
      <c r="E1" s="8"/>
    </row>
    <row r="2" spans="1:5" x14ac:dyDescent="0.25">
      <c r="A2" s="64"/>
      <c r="B2" s="65" t="s">
        <v>0</v>
      </c>
      <c r="C2" s="65"/>
      <c r="D2" s="65"/>
      <c r="E2" s="66"/>
    </row>
    <row r="3" spans="1:5" x14ac:dyDescent="0.25">
      <c r="A3" s="67"/>
      <c r="B3" s="68" t="s">
        <v>89</v>
      </c>
      <c r="C3" s="68"/>
      <c r="D3" s="68"/>
      <c r="E3" s="69"/>
    </row>
    <row r="4" spans="1:5" ht="33.75" customHeight="1" thickBot="1" x14ac:dyDescent="0.3">
      <c r="A4" s="67"/>
      <c r="B4" s="68" t="s">
        <v>90</v>
      </c>
      <c r="C4" s="68"/>
      <c r="D4" s="68"/>
      <c r="E4" s="69"/>
    </row>
    <row r="5" spans="1:5" ht="15.75" thickBot="1" x14ac:dyDescent="0.3">
      <c r="A5" s="70" t="s">
        <v>1</v>
      </c>
      <c r="B5" s="71" t="s">
        <v>138</v>
      </c>
      <c r="C5" s="71" t="s">
        <v>143</v>
      </c>
      <c r="D5" s="71"/>
      <c r="E5" s="72"/>
    </row>
    <row r="6" spans="1:5" ht="15.75" thickBot="1" x14ac:dyDescent="0.3">
      <c r="A6" s="67" t="s">
        <v>100</v>
      </c>
      <c r="B6" s="68"/>
      <c r="C6" s="68"/>
      <c r="D6" s="68"/>
      <c r="E6" s="69"/>
    </row>
    <row r="7" spans="1:5" ht="15.75" thickBot="1" x14ac:dyDescent="0.3">
      <c r="A7" s="70" t="s">
        <v>99</v>
      </c>
      <c r="B7" s="71"/>
      <c r="C7" s="71"/>
      <c r="D7" s="71"/>
      <c r="E7" s="72"/>
    </row>
    <row r="9" spans="1:5" hidden="1" x14ac:dyDescent="0.25"/>
    <row r="10" spans="1:5" hidden="1" x14ac:dyDescent="0.25"/>
    <row r="11" spans="1:5" hidden="1" x14ac:dyDescent="0.25"/>
    <row r="12" spans="1:5" hidden="1" x14ac:dyDescent="0.25"/>
    <row r="14" spans="1:5" x14ac:dyDescent="0.25">
      <c r="B14" s="195" t="s">
        <v>135</v>
      </c>
      <c r="C14" s="196"/>
      <c r="D14" s="197"/>
    </row>
    <row r="15" spans="1:5" x14ac:dyDescent="0.25">
      <c r="B15" s="198"/>
      <c r="C15" s="199"/>
      <c r="D15" s="200"/>
    </row>
    <row r="16" spans="1:5" x14ac:dyDescent="0.25">
      <c r="B16" s="198"/>
      <c r="C16" s="199"/>
      <c r="D16" s="200"/>
    </row>
    <row r="17" spans="1:8" x14ac:dyDescent="0.25">
      <c r="B17" s="201"/>
      <c r="C17" s="202"/>
      <c r="D17" s="203"/>
    </row>
    <row r="19" spans="1:8" x14ac:dyDescent="0.25">
      <c r="A19" s="3"/>
    </row>
    <row r="20" spans="1:8" ht="15.75" thickBot="1" x14ac:dyDescent="0.3"/>
    <row r="21" spans="1:8" x14ac:dyDescent="0.25">
      <c r="A21" s="61" t="s">
        <v>87</v>
      </c>
      <c r="B21" s="62"/>
      <c r="C21" s="63"/>
      <c r="D21" s="59"/>
      <c r="E21" s="146" t="s">
        <v>122</v>
      </c>
      <c r="F21" s="145" t="s">
        <v>88</v>
      </c>
    </row>
    <row r="22" spans="1:8" x14ac:dyDescent="0.25">
      <c r="A22" s="121" t="s">
        <v>16</v>
      </c>
      <c r="B22" s="7" t="s">
        <v>139</v>
      </c>
      <c r="C22" s="7"/>
      <c r="D22" s="130"/>
      <c r="E22" s="7"/>
      <c r="F22" s="7"/>
    </row>
    <row r="23" spans="1:8" x14ac:dyDescent="0.25">
      <c r="A23" s="121" t="s">
        <v>127</v>
      </c>
      <c r="B23" s="7"/>
      <c r="C23" s="7"/>
      <c r="D23" s="186">
        <v>1202204.23</v>
      </c>
      <c r="E23" s="134">
        <f>D23*91.91%</f>
        <v>1104945.9077929999</v>
      </c>
      <c r="F23" s="134">
        <f>D23*8.09%</f>
        <v>97258.322207000005</v>
      </c>
    </row>
    <row r="24" spans="1:8" x14ac:dyDescent="0.25">
      <c r="A24" s="121" t="s">
        <v>2</v>
      </c>
      <c r="B24" s="7"/>
      <c r="C24" s="7"/>
      <c r="D24" s="186">
        <v>-261479.42</v>
      </c>
      <c r="E24" s="134">
        <f t="shared" ref="E24:E25" si="0">D24*91.91%</f>
        <v>-240325.734922</v>
      </c>
      <c r="F24" s="134">
        <f t="shared" ref="F24:F25" si="1">D24*8.09%</f>
        <v>-21153.685078000002</v>
      </c>
    </row>
    <row r="25" spans="1:8" x14ac:dyDescent="0.25">
      <c r="A25" s="121" t="s">
        <v>113</v>
      </c>
      <c r="B25" s="7"/>
      <c r="C25" s="7"/>
      <c r="D25" s="186">
        <v>0.19</v>
      </c>
      <c r="E25" s="134">
        <f t="shared" si="0"/>
        <v>0.17462899999999998</v>
      </c>
      <c r="F25" s="134">
        <f t="shared" si="1"/>
        <v>1.5371000000000001E-2</v>
      </c>
    </row>
    <row r="26" spans="1:8" x14ac:dyDescent="0.25">
      <c r="A26" s="121"/>
      <c r="B26" s="7"/>
      <c r="C26" s="7"/>
      <c r="D26" s="186"/>
      <c r="E26" s="7"/>
      <c r="F26" s="7"/>
    </row>
    <row r="27" spans="1:8" hidden="1" x14ac:dyDescent="0.25">
      <c r="A27" s="121"/>
      <c r="B27" s="7"/>
      <c r="C27" s="7"/>
      <c r="D27" s="186"/>
      <c r="E27" s="7"/>
      <c r="F27" s="7"/>
    </row>
    <row r="28" spans="1:8" hidden="1" x14ac:dyDescent="0.25">
      <c r="A28" s="121"/>
      <c r="B28" s="7"/>
      <c r="C28" s="7"/>
      <c r="D28" s="186"/>
      <c r="E28" s="134"/>
      <c r="F28" s="7"/>
    </row>
    <row r="29" spans="1:8" x14ac:dyDescent="0.25">
      <c r="A29" s="121"/>
      <c r="B29" s="7"/>
      <c r="C29" s="7"/>
      <c r="D29" s="186"/>
      <c r="E29" s="134"/>
      <c r="F29" s="7"/>
    </row>
    <row r="30" spans="1:8" x14ac:dyDescent="0.25">
      <c r="A30" s="95" t="s">
        <v>3</v>
      </c>
      <c r="B30" s="95"/>
      <c r="C30" s="95"/>
      <c r="D30" s="107">
        <f>SUM(D23:D29)</f>
        <v>940724.99999999988</v>
      </c>
      <c r="E30" s="107">
        <f t="shared" ref="E30" si="2">SUM(E23:E29)</f>
        <v>864620.34749999992</v>
      </c>
      <c r="F30" s="107">
        <f>SUM(F23:F29)</f>
        <v>76104.652500000011</v>
      </c>
      <c r="G30" s="109">
        <f>E30+F30</f>
        <v>940724.99999999988</v>
      </c>
      <c r="H30" s="150" t="str">
        <f>IF(D30=G30, "", "Error")</f>
        <v/>
      </c>
    </row>
    <row r="31" spans="1:8" hidden="1" x14ac:dyDescent="0.25">
      <c r="A31" s="94" t="s">
        <v>110</v>
      </c>
      <c r="B31" s="7"/>
      <c r="C31" s="7"/>
      <c r="D31" s="187">
        <v>0</v>
      </c>
      <c r="E31" s="134">
        <f>D31*91.91%</f>
        <v>0</v>
      </c>
      <c r="F31" s="134">
        <f>D31*8.09%</f>
        <v>0</v>
      </c>
      <c r="H31" s="150"/>
    </row>
    <row r="32" spans="1:8" hidden="1" x14ac:dyDescent="0.25">
      <c r="A32" s="94"/>
      <c r="B32" s="7"/>
      <c r="C32" s="7"/>
      <c r="D32" s="186">
        <v>0</v>
      </c>
      <c r="E32" s="134">
        <f>D32*91.91%</f>
        <v>0</v>
      </c>
      <c r="F32" s="134">
        <f>D32*8.09%</f>
        <v>0</v>
      </c>
      <c r="H32" s="150"/>
    </row>
    <row r="33" spans="1:8" hidden="1" x14ac:dyDescent="0.25">
      <c r="A33" s="94"/>
      <c r="B33" s="7"/>
      <c r="C33" s="7"/>
      <c r="D33" s="186"/>
      <c r="E33" s="7"/>
      <c r="F33" s="7"/>
      <c r="H33" s="150"/>
    </row>
    <row r="34" spans="1:8" hidden="1" x14ac:dyDescent="0.25">
      <c r="A34" s="94"/>
      <c r="B34" s="7"/>
      <c r="C34" s="7"/>
      <c r="D34" s="186"/>
      <c r="E34" s="7"/>
      <c r="F34" s="7"/>
      <c r="H34" s="150"/>
    </row>
    <row r="35" spans="1:8" hidden="1" x14ac:dyDescent="0.25">
      <c r="A35" s="95" t="s">
        <v>118</v>
      </c>
      <c r="B35" s="95"/>
      <c r="C35" s="95"/>
      <c r="D35" s="107">
        <f>SUM(D31:D33)</f>
        <v>0</v>
      </c>
      <c r="E35" s="107">
        <f t="shared" ref="E35:F35" si="3">SUM(E31:E33)</f>
        <v>0</v>
      </c>
      <c r="F35" s="107">
        <f t="shared" si="3"/>
        <v>0</v>
      </c>
      <c r="G35" s="109">
        <f>E35+F35</f>
        <v>0</v>
      </c>
      <c r="H35" s="150" t="str">
        <f>IF(D35=G35, "", "Error")</f>
        <v/>
      </c>
    </row>
    <row r="36" spans="1:8" hidden="1" x14ac:dyDescent="0.25">
      <c r="A36" s="94" t="s">
        <v>110</v>
      </c>
      <c r="B36" s="7"/>
      <c r="C36" s="7"/>
      <c r="D36" s="187"/>
      <c r="E36" s="134">
        <f>D36*91.91%</f>
        <v>0</v>
      </c>
      <c r="F36" s="134">
        <f>D36*8.09%</f>
        <v>0</v>
      </c>
      <c r="H36" s="150"/>
    </row>
    <row r="37" spans="1:8" hidden="1" x14ac:dyDescent="0.25">
      <c r="A37" s="7" t="s">
        <v>131</v>
      </c>
      <c r="B37" s="7"/>
      <c r="C37" s="7"/>
      <c r="D37" s="186"/>
      <c r="E37" s="134">
        <f t="shared" ref="E37:E38" si="4">D37*91.91%</f>
        <v>0</v>
      </c>
      <c r="F37" s="134">
        <f t="shared" ref="F37:F38" si="5">D37*8.09%</f>
        <v>0</v>
      </c>
      <c r="H37" s="150"/>
    </row>
    <row r="38" spans="1:8" hidden="1" x14ac:dyDescent="0.25">
      <c r="A38" s="94" t="s">
        <v>2</v>
      </c>
      <c r="B38" s="7"/>
      <c r="C38" s="7"/>
      <c r="D38" s="186"/>
      <c r="E38" s="134">
        <f t="shared" si="4"/>
        <v>0</v>
      </c>
      <c r="F38" s="134">
        <f t="shared" si="5"/>
        <v>0</v>
      </c>
      <c r="H38" s="150"/>
    </row>
    <row r="39" spans="1:8" hidden="1" x14ac:dyDescent="0.25">
      <c r="A39" s="95" t="s">
        <v>111</v>
      </c>
      <c r="B39" s="95"/>
      <c r="C39" s="95"/>
      <c r="D39" s="107">
        <f>SUM(D32:D38)</f>
        <v>0</v>
      </c>
      <c r="E39" s="107">
        <f t="shared" ref="E39" si="6">SUM(E32:E38)</f>
        <v>0</v>
      </c>
      <c r="F39" s="119">
        <f>E39*8.09%</f>
        <v>0</v>
      </c>
      <c r="H39" s="150"/>
    </row>
    <row r="40" spans="1:8" ht="0.75" customHeight="1" x14ac:dyDescent="0.25">
      <c r="A40" s="129"/>
      <c r="B40" s="98"/>
      <c r="C40" s="98"/>
      <c r="D40" s="186"/>
      <c r="E40" s="120"/>
      <c r="F40" s="120"/>
      <c r="H40" s="150"/>
    </row>
    <row r="41" spans="1:8" hidden="1" x14ac:dyDescent="0.25">
      <c r="A41" s="129"/>
      <c r="B41" s="98"/>
      <c r="C41" s="98"/>
      <c r="D41" s="186"/>
      <c r="E41" s="120"/>
      <c r="F41" s="120"/>
      <c r="H41" s="150"/>
    </row>
    <row r="42" spans="1:8" hidden="1" x14ac:dyDescent="0.25">
      <c r="A42" s="98"/>
      <c r="B42" s="98"/>
      <c r="C42" s="111"/>
      <c r="D42" s="186"/>
      <c r="E42" s="120"/>
      <c r="F42" s="120"/>
      <c r="H42" s="150"/>
    </row>
    <row r="43" spans="1:8" hidden="1" x14ac:dyDescent="0.25">
      <c r="A43" s="95" t="s">
        <v>118</v>
      </c>
      <c r="B43" s="95"/>
      <c r="C43" s="95"/>
      <c r="D43" s="107"/>
      <c r="E43" s="112">
        <f>SUM(D40:D42)</f>
        <v>0</v>
      </c>
      <c r="F43" s="110">
        <f>(D40)*8.09%</f>
        <v>0</v>
      </c>
      <c r="H43" s="150"/>
    </row>
    <row r="44" spans="1:8" hidden="1" x14ac:dyDescent="0.25">
      <c r="A44" s="94"/>
      <c r="B44" s="7"/>
      <c r="C44" s="7"/>
      <c r="D44" s="188"/>
      <c r="E44" s="114"/>
      <c r="F44" s="7"/>
      <c r="H44" s="150"/>
    </row>
    <row r="45" spans="1:8" x14ac:dyDescent="0.25">
      <c r="A45" s="7" t="s">
        <v>144</v>
      </c>
      <c r="B45" s="7"/>
      <c r="C45" s="7"/>
      <c r="D45" s="113">
        <v>80000</v>
      </c>
      <c r="E45" s="149">
        <f>D45</f>
        <v>80000</v>
      </c>
      <c r="F45" s="7"/>
      <c r="H45" s="150"/>
    </row>
    <row r="46" spans="1:8" x14ac:dyDescent="0.25">
      <c r="A46" s="94"/>
      <c r="B46" s="7"/>
      <c r="C46" s="7"/>
      <c r="D46" s="113"/>
      <c r="E46" s="134">
        <f>D46*91.91%</f>
        <v>0</v>
      </c>
      <c r="F46" s="134">
        <f>D46*8.09%</f>
        <v>0</v>
      </c>
      <c r="H46" s="150"/>
    </row>
    <row r="47" spans="1:8" ht="15.75" thickBot="1" x14ac:dyDescent="0.3">
      <c r="A47" s="94"/>
      <c r="B47" s="7"/>
      <c r="C47" s="7"/>
      <c r="D47" s="189"/>
      <c r="E47" s="134">
        <f>D47*91.91%</f>
        <v>0</v>
      </c>
      <c r="F47" s="134">
        <f>D47*8.09%</f>
        <v>0</v>
      </c>
      <c r="H47" s="150"/>
    </row>
    <row r="48" spans="1:8" ht="15.75" thickBot="1" x14ac:dyDescent="0.3">
      <c r="A48" s="95" t="s">
        <v>128</v>
      </c>
      <c r="B48" s="95"/>
      <c r="C48" s="95"/>
      <c r="D48" s="107">
        <f>SUM(D45:D47)</f>
        <v>80000</v>
      </c>
      <c r="E48" s="159">
        <f>SUM(E45:E47)</f>
        <v>80000</v>
      </c>
      <c r="F48" s="170">
        <f>SUM(F45:F47)</f>
        <v>0</v>
      </c>
      <c r="G48" s="109">
        <f>E48+F48</f>
        <v>80000</v>
      </c>
      <c r="H48" s="150"/>
    </row>
    <row r="49" spans="1:9" hidden="1" x14ac:dyDescent="0.25">
      <c r="A49" s="7"/>
      <c r="B49" s="7"/>
      <c r="C49" s="7"/>
      <c r="D49" s="189"/>
      <c r="E49" s="115"/>
      <c r="F49" s="100"/>
      <c r="H49" s="150"/>
    </row>
    <row r="50" spans="1:9" hidden="1" x14ac:dyDescent="0.25">
      <c r="A50" s="7"/>
      <c r="B50" s="7"/>
      <c r="C50" s="7"/>
      <c r="D50" s="189"/>
      <c r="E50" s="114"/>
      <c r="F50" s="100"/>
      <c r="H50" s="150"/>
    </row>
    <row r="51" spans="1:9" x14ac:dyDescent="0.25">
      <c r="A51" s="94" t="s">
        <v>4</v>
      </c>
      <c r="B51" s="7"/>
      <c r="C51" s="7"/>
      <c r="D51" s="189"/>
      <c r="E51" s="114"/>
      <c r="F51" s="100"/>
      <c r="H51" s="150"/>
    </row>
    <row r="52" spans="1:9" x14ac:dyDescent="0.25">
      <c r="A52" s="94" t="s">
        <v>145</v>
      </c>
      <c r="B52" s="7"/>
      <c r="C52" s="98"/>
      <c r="D52" s="113">
        <v>5020</v>
      </c>
      <c r="E52" s="134">
        <f>D52*91.91%</f>
        <v>4613.8819999999996</v>
      </c>
      <c r="F52" s="134">
        <f>D52*8.09%</f>
        <v>406.11799999999999</v>
      </c>
      <c r="H52" s="150"/>
    </row>
    <row r="53" spans="1:9" x14ac:dyDescent="0.25">
      <c r="A53" s="94" t="s">
        <v>5</v>
      </c>
      <c r="B53" s="7" t="s">
        <v>147</v>
      </c>
      <c r="C53" s="7"/>
      <c r="D53" s="113">
        <f>101546.18+5958.17+53623.51</f>
        <v>161127.85999999999</v>
      </c>
      <c r="E53" s="134">
        <f>D53*91.91%</f>
        <v>148092.61612599998</v>
      </c>
      <c r="F53" s="134">
        <f>D53*8.09%</f>
        <v>13035.243873999998</v>
      </c>
      <c r="H53" s="150"/>
    </row>
    <row r="54" spans="1:9" x14ac:dyDescent="0.25">
      <c r="A54" s="94" t="s">
        <v>136</v>
      </c>
      <c r="B54" s="7" t="s">
        <v>146</v>
      </c>
      <c r="C54" s="7"/>
      <c r="D54" s="113">
        <v>527526.73</v>
      </c>
      <c r="E54" s="134">
        <f>D54*91.91%</f>
        <v>484849.81754299992</v>
      </c>
      <c r="F54" s="134">
        <f>D54*8.09%</f>
        <v>42676.912456999999</v>
      </c>
      <c r="H54" s="150"/>
    </row>
    <row r="55" spans="1:9" x14ac:dyDescent="0.25">
      <c r="A55" s="95" t="s">
        <v>6</v>
      </c>
      <c r="B55" s="96"/>
      <c r="C55" s="96"/>
      <c r="D55" s="108">
        <f>SUM(D52:D54)</f>
        <v>693674.59</v>
      </c>
      <c r="E55" s="108">
        <f t="shared" ref="E55:F55" si="7">SUM(E52:E54)</f>
        <v>637556.31566899992</v>
      </c>
      <c r="F55" s="108">
        <f t="shared" si="7"/>
        <v>56118.274330999993</v>
      </c>
      <c r="G55" s="109">
        <f>E55+F55</f>
        <v>693674.58999999985</v>
      </c>
      <c r="H55" s="150" t="str">
        <f>IF(D55=G55, "", "Error")</f>
        <v/>
      </c>
    </row>
    <row r="56" spans="1:9" x14ac:dyDescent="0.25">
      <c r="A56" s="7" t="s">
        <v>7</v>
      </c>
      <c r="B56" s="7"/>
      <c r="C56" s="7"/>
      <c r="D56" s="189"/>
      <c r="E56" s="115"/>
      <c r="F56" s="7"/>
      <c r="H56" s="150"/>
    </row>
    <row r="57" spans="1:9" ht="20.25" customHeight="1" x14ac:dyDescent="0.25">
      <c r="A57" s="236" t="s">
        <v>148</v>
      </c>
      <c r="B57" s="179"/>
      <c r="C57" s="180"/>
      <c r="D57" s="189">
        <v>308000</v>
      </c>
      <c r="E57" s="149">
        <f>D57</f>
        <v>308000</v>
      </c>
      <c r="F57" s="7"/>
      <c r="G57" s="109">
        <f>D57</f>
        <v>308000</v>
      </c>
      <c r="H57" s="161">
        <f>E57+F57</f>
        <v>308000</v>
      </c>
    </row>
    <row r="58" spans="1:9" ht="14.25" customHeight="1" x14ac:dyDescent="0.25">
      <c r="A58" s="121" t="s">
        <v>8</v>
      </c>
      <c r="B58" s="164"/>
      <c r="C58" s="7"/>
      <c r="D58" s="113">
        <v>0</v>
      </c>
      <c r="E58" s="149">
        <f t="shared" ref="E58:E68" si="8">D58*91.91%</f>
        <v>0</v>
      </c>
      <c r="F58" s="134">
        <f t="shared" ref="F58:F68" si="9">D58*8.09%</f>
        <v>0</v>
      </c>
      <c r="G58" s="109">
        <f t="shared" ref="G58:G75" si="10">D58</f>
        <v>0</v>
      </c>
      <c r="H58" s="161">
        <f t="shared" ref="H58:H75" si="11">E58+F58</f>
        <v>0</v>
      </c>
      <c r="I58" t="str">
        <f t="shared" ref="I58:I74" si="12">IF(G58=H58, "", "Error")</f>
        <v/>
      </c>
    </row>
    <row r="59" spans="1:9" x14ac:dyDescent="0.25">
      <c r="A59" s="94" t="s">
        <v>140</v>
      </c>
      <c r="B59" s="7"/>
      <c r="C59" s="7"/>
      <c r="D59" s="113">
        <v>129675</v>
      </c>
      <c r="E59" s="149">
        <f t="shared" si="8"/>
        <v>119184.2925</v>
      </c>
      <c r="F59" s="134">
        <f t="shared" si="9"/>
        <v>10490.7075</v>
      </c>
      <c r="G59" s="109">
        <f t="shared" si="10"/>
        <v>129675</v>
      </c>
      <c r="H59" s="161">
        <f t="shared" si="11"/>
        <v>129675</v>
      </c>
    </row>
    <row r="60" spans="1:9" x14ac:dyDescent="0.25">
      <c r="A60" s="94" t="s">
        <v>9</v>
      </c>
      <c r="B60" s="7" t="s">
        <v>151</v>
      </c>
      <c r="C60" s="7"/>
      <c r="D60" s="113">
        <v>74622</v>
      </c>
      <c r="E60" s="149">
        <f t="shared" si="8"/>
        <v>68585.080199999997</v>
      </c>
      <c r="F60" s="134">
        <f t="shared" si="9"/>
        <v>6036.9197999999997</v>
      </c>
      <c r="G60" s="109">
        <f t="shared" si="10"/>
        <v>74622</v>
      </c>
      <c r="H60" s="161">
        <f t="shared" si="11"/>
        <v>74622</v>
      </c>
      <c r="I60" t="str">
        <f t="shared" si="12"/>
        <v/>
      </c>
    </row>
    <row r="61" spans="1:9" x14ac:dyDescent="0.25">
      <c r="A61" s="94" t="s">
        <v>11</v>
      </c>
      <c r="B61" s="7" t="s">
        <v>150</v>
      </c>
      <c r="C61" s="7"/>
      <c r="D61" s="113">
        <f>314851+309690.68</f>
        <v>624541.67999999993</v>
      </c>
      <c r="E61" s="149">
        <f t="shared" si="8"/>
        <v>574016.25808799989</v>
      </c>
      <c r="F61" s="134">
        <f t="shared" si="9"/>
        <v>50525.421911999998</v>
      </c>
      <c r="G61" s="109">
        <f t="shared" si="10"/>
        <v>624541.67999999993</v>
      </c>
      <c r="H61" s="161"/>
    </row>
    <row r="62" spans="1:9" x14ac:dyDescent="0.25">
      <c r="A62" s="129" t="s">
        <v>10</v>
      </c>
      <c r="B62" s="98" t="s">
        <v>149</v>
      </c>
      <c r="C62" s="98"/>
      <c r="D62" s="113">
        <v>909879.28</v>
      </c>
      <c r="E62" s="149">
        <f t="shared" si="8"/>
        <v>836270.046248</v>
      </c>
      <c r="F62" s="134">
        <f t="shared" si="9"/>
        <v>73609.233752</v>
      </c>
      <c r="G62" s="109">
        <f t="shared" si="10"/>
        <v>909879.28</v>
      </c>
      <c r="H62" s="161">
        <f t="shared" si="11"/>
        <v>909879.28</v>
      </c>
      <c r="I62" t="str">
        <f t="shared" si="12"/>
        <v/>
      </c>
    </row>
    <row r="63" spans="1:9" x14ac:dyDescent="0.25">
      <c r="A63" s="129" t="s">
        <v>153</v>
      </c>
      <c r="B63" s="98"/>
      <c r="C63" s="98"/>
      <c r="D63" s="113">
        <v>40000</v>
      </c>
      <c r="E63" s="149">
        <f t="shared" si="8"/>
        <v>36764</v>
      </c>
      <c r="F63" s="134">
        <f t="shared" si="9"/>
        <v>3236</v>
      </c>
      <c r="G63" s="109">
        <f t="shared" si="10"/>
        <v>40000</v>
      </c>
      <c r="H63" s="161">
        <f t="shared" si="11"/>
        <v>40000</v>
      </c>
      <c r="I63" t="str">
        <f t="shared" si="12"/>
        <v/>
      </c>
    </row>
    <row r="64" spans="1:9" x14ac:dyDescent="0.25">
      <c r="A64" s="239" t="s">
        <v>156</v>
      </c>
      <c r="B64" s="183"/>
      <c r="C64" s="184"/>
      <c r="D64" s="113">
        <v>113500</v>
      </c>
      <c r="E64" s="149">
        <f>D64</f>
        <v>113500</v>
      </c>
      <c r="F64" s="134"/>
      <c r="G64" s="109">
        <f t="shared" si="10"/>
        <v>113500</v>
      </c>
      <c r="H64" s="161">
        <f t="shared" si="11"/>
        <v>113500</v>
      </c>
      <c r="I64" s="181"/>
    </row>
    <row r="65" spans="1:9" x14ac:dyDescent="0.25">
      <c r="A65" s="240" t="s">
        <v>158</v>
      </c>
      <c r="B65" s="241"/>
      <c r="C65" s="242"/>
      <c r="D65" s="113">
        <v>22000</v>
      </c>
      <c r="E65" s="149">
        <f>D65</f>
        <v>22000</v>
      </c>
      <c r="F65" s="134"/>
      <c r="G65" s="109">
        <f t="shared" si="10"/>
        <v>22000</v>
      </c>
      <c r="H65" s="161">
        <f t="shared" si="11"/>
        <v>22000</v>
      </c>
    </row>
    <row r="66" spans="1:9" ht="16.5" customHeight="1" x14ac:dyDescent="0.25">
      <c r="A66" s="240" t="s">
        <v>157</v>
      </c>
      <c r="B66" s="241"/>
      <c r="C66" s="242"/>
      <c r="D66" s="113">
        <v>25000</v>
      </c>
      <c r="E66" s="149">
        <f>D66</f>
        <v>25000</v>
      </c>
      <c r="F66" s="134"/>
      <c r="G66" s="109">
        <f>D66</f>
        <v>25000</v>
      </c>
      <c r="H66" s="161">
        <f t="shared" si="11"/>
        <v>25000</v>
      </c>
      <c r="I66" t="str">
        <f>IF(G66=H66, "", "Error")</f>
        <v/>
      </c>
    </row>
    <row r="67" spans="1:9" ht="16.5" customHeight="1" x14ac:dyDescent="0.25">
      <c r="A67" s="240" t="s">
        <v>159</v>
      </c>
      <c r="B67" s="241"/>
      <c r="C67" s="242"/>
      <c r="D67" s="113">
        <v>18300</v>
      </c>
      <c r="E67" s="149">
        <f>D67</f>
        <v>18300</v>
      </c>
      <c r="F67" s="134"/>
      <c r="G67" s="109">
        <f>D67</f>
        <v>18300</v>
      </c>
      <c r="H67" s="161">
        <f t="shared" si="11"/>
        <v>18300</v>
      </c>
    </row>
    <row r="68" spans="1:9" ht="16.5" customHeight="1" x14ac:dyDescent="0.25">
      <c r="A68" s="243" t="s">
        <v>161</v>
      </c>
      <c r="B68" s="244"/>
      <c r="C68" s="245"/>
      <c r="D68" s="113">
        <v>200000</v>
      </c>
      <c r="E68" s="149">
        <f>D68</f>
        <v>200000</v>
      </c>
      <c r="F68" s="134"/>
      <c r="G68" s="109">
        <f>D68</f>
        <v>200000</v>
      </c>
      <c r="H68" s="161">
        <f t="shared" si="11"/>
        <v>200000</v>
      </c>
    </row>
    <row r="69" spans="1:9" x14ac:dyDescent="0.25">
      <c r="A69" s="215" t="s">
        <v>162</v>
      </c>
      <c r="B69" s="216"/>
      <c r="C69" s="217"/>
      <c r="D69" s="113">
        <v>64000</v>
      </c>
      <c r="E69" s="149">
        <f>D69</f>
        <v>64000</v>
      </c>
      <c r="F69" s="134"/>
      <c r="G69" s="109">
        <f t="shared" si="10"/>
        <v>64000</v>
      </c>
      <c r="H69" s="161">
        <f t="shared" si="11"/>
        <v>64000</v>
      </c>
      <c r="I69" t="str">
        <f t="shared" si="12"/>
        <v/>
      </c>
    </row>
    <row r="70" spans="1:9" ht="14.25" customHeight="1" x14ac:dyDescent="0.25">
      <c r="A70" s="7" t="s">
        <v>120</v>
      </c>
      <c r="B70" s="7" t="s">
        <v>152</v>
      </c>
      <c r="C70" s="7"/>
      <c r="D70" s="113">
        <v>79895</v>
      </c>
      <c r="E70" s="149">
        <f t="shared" ref="E70:E75" si="13">D70</f>
        <v>79895</v>
      </c>
      <c r="F70" s="7"/>
      <c r="G70" s="109">
        <f t="shared" si="10"/>
        <v>79895</v>
      </c>
      <c r="H70" s="161">
        <f t="shared" si="11"/>
        <v>79895</v>
      </c>
      <c r="I70" t="str">
        <f t="shared" si="12"/>
        <v/>
      </c>
    </row>
    <row r="71" spans="1:9" ht="14.25" customHeight="1" x14ac:dyDescent="0.25">
      <c r="A71" s="94" t="s">
        <v>155</v>
      </c>
      <c r="B71" s="7"/>
      <c r="C71" s="7"/>
      <c r="D71" s="113">
        <v>96300</v>
      </c>
      <c r="E71" s="149">
        <f t="shared" ref="E71" si="14">D71*91.91%</f>
        <v>88509.329999999987</v>
      </c>
      <c r="F71" s="134">
        <f t="shared" ref="F71" si="15">D71*8.09%</f>
        <v>7790.67</v>
      </c>
      <c r="G71" s="109">
        <f t="shared" si="10"/>
        <v>96300</v>
      </c>
      <c r="H71" s="161">
        <f t="shared" si="11"/>
        <v>96299.999999999985</v>
      </c>
    </row>
    <row r="72" spans="1:9" ht="14.25" customHeight="1" x14ac:dyDescent="0.25">
      <c r="A72" s="7" t="s">
        <v>163</v>
      </c>
      <c r="B72" s="7"/>
      <c r="C72" s="7"/>
      <c r="D72" s="113">
        <v>460000</v>
      </c>
      <c r="E72" s="149">
        <f t="shared" si="13"/>
        <v>460000</v>
      </c>
      <c r="F72" s="7"/>
      <c r="G72" s="109">
        <f t="shared" si="10"/>
        <v>460000</v>
      </c>
      <c r="H72" s="161"/>
    </row>
    <row r="73" spans="1:9" ht="14.25" customHeight="1" x14ac:dyDescent="0.25">
      <c r="A73" s="7" t="s">
        <v>164</v>
      </c>
      <c r="B73" s="7"/>
      <c r="C73" s="7"/>
      <c r="D73" s="113">
        <v>80000</v>
      </c>
      <c r="E73" s="149">
        <f t="shared" si="13"/>
        <v>80000</v>
      </c>
      <c r="F73" s="7"/>
      <c r="G73" s="109">
        <f t="shared" si="10"/>
        <v>80000</v>
      </c>
      <c r="H73" s="161"/>
    </row>
    <row r="74" spans="1:9" ht="14.25" customHeight="1" x14ac:dyDescent="0.25">
      <c r="A74" s="98" t="s">
        <v>160</v>
      </c>
      <c r="B74" s="114"/>
      <c r="C74" s="163"/>
      <c r="D74" s="113">
        <v>11800</v>
      </c>
      <c r="E74" s="149">
        <f t="shared" si="13"/>
        <v>11800</v>
      </c>
      <c r="F74" s="134"/>
      <c r="G74" s="109">
        <f t="shared" si="10"/>
        <v>11800</v>
      </c>
      <c r="H74" s="161">
        <f t="shared" si="11"/>
        <v>11800</v>
      </c>
      <c r="I74" t="str">
        <f t="shared" si="12"/>
        <v/>
      </c>
    </row>
    <row r="75" spans="1:9" x14ac:dyDescent="0.25">
      <c r="A75" s="155"/>
      <c r="B75" s="156"/>
      <c r="C75" s="156"/>
      <c r="D75" s="167"/>
      <c r="E75" s="149">
        <f t="shared" si="13"/>
        <v>0</v>
      </c>
      <c r="F75" s="134"/>
      <c r="G75" s="109">
        <f t="shared" si="10"/>
        <v>0</v>
      </c>
      <c r="H75" s="161">
        <f t="shared" si="11"/>
        <v>0</v>
      </c>
      <c r="I75" t="str">
        <f>IF(G75=H75, "", "Error")</f>
        <v/>
      </c>
    </row>
    <row r="76" spans="1:9" x14ac:dyDescent="0.25">
      <c r="A76" s="96" t="s">
        <v>12</v>
      </c>
      <c r="B76" s="96"/>
      <c r="C76" s="96"/>
      <c r="D76" s="108">
        <f>SUM(D58:D75)</f>
        <v>2949512.96</v>
      </c>
      <c r="E76" s="108">
        <f>SUM(E58:E75)</f>
        <v>2797824.007036</v>
      </c>
      <c r="F76" s="108">
        <f>SUM(F58:F75)</f>
        <v>151688.95296400003</v>
      </c>
      <c r="G76" s="109">
        <f>E76+F76</f>
        <v>2949512.96</v>
      </c>
      <c r="H76" s="150" t="str">
        <f>IF(D76=G76, "", "Error")</f>
        <v/>
      </c>
    </row>
    <row r="77" spans="1:9" hidden="1" x14ac:dyDescent="0.25">
      <c r="A77" s="7"/>
      <c r="B77" s="7"/>
      <c r="C77" s="7"/>
      <c r="D77" s="189"/>
      <c r="E77" s="115"/>
      <c r="F77" s="7"/>
      <c r="H77" s="150"/>
    </row>
    <row r="78" spans="1:9" hidden="1" x14ac:dyDescent="0.25">
      <c r="A78" s="7"/>
      <c r="B78" s="7"/>
      <c r="C78" s="7"/>
      <c r="D78" s="189"/>
      <c r="E78" s="114"/>
      <c r="F78" s="7"/>
      <c r="H78" s="150"/>
    </row>
    <row r="79" spans="1:9" hidden="1" x14ac:dyDescent="0.25">
      <c r="A79" s="7"/>
      <c r="B79" s="7"/>
      <c r="C79" s="7"/>
      <c r="D79" s="189"/>
      <c r="E79" s="114"/>
      <c r="F79" s="7"/>
      <c r="H79" s="150"/>
    </row>
    <row r="80" spans="1:9" x14ac:dyDescent="0.25">
      <c r="A80" s="94" t="s">
        <v>154</v>
      </c>
      <c r="B80" s="98"/>
      <c r="C80" s="7"/>
      <c r="D80" s="113">
        <v>186900</v>
      </c>
      <c r="E80" s="149">
        <f>D80*91.91%</f>
        <v>171779.78999999998</v>
      </c>
      <c r="F80" s="134">
        <f>D80*8.09%</f>
        <v>15120.21</v>
      </c>
      <c r="G80" s="160"/>
      <c r="H80" s="150"/>
    </row>
    <row r="81" spans="1:10" x14ac:dyDescent="0.25">
      <c r="A81" s="98"/>
      <c r="B81" s="162"/>
      <c r="C81" s="7"/>
      <c r="D81" s="113"/>
      <c r="E81" s="149">
        <f>D81</f>
        <v>0</v>
      </c>
      <c r="F81" s="134"/>
      <c r="H81" s="150"/>
    </row>
    <row r="82" spans="1:10" x14ac:dyDescent="0.25">
      <c r="A82" s="7"/>
      <c r="B82" s="7"/>
      <c r="C82" s="7"/>
      <c r="D82" s="113"/>
      <c r="E82" s="165">
        <f>D82</f>
        <v>0</v>
      </c>
      <c r="F82" s="7"/>
      <c r="H82" s="150"/>
      <c r="I82" s="109"/>
    </row>
    <row r="83" spans="1:10" ht="13.5" customHeight="1" x14ac:dyDescent="0.25">
      <c r="A83" s="95" t="s">
        <v>17</v>
      </c>
      <c r="B83" s="95"/>
      <c r="C83" s="95"/>
      <c r="D83" s="107">
        <f>SUM(D80:D82)</f>
        <v>186900</v>
      </c>
      <c r="E83" s="107">
        <f>SUM(E80:E82)</f>
        <v>171779.78999999998</v>
      </c>
      <c r="F83" s="107">
        <f>SUM(F80:F82)</f>
        <v>15120.21</v>
      </c>
      <c r="G83" s="109">
        <f>E83+F83</f>
        <v>186899.99999999997</v>
      </c>
      <c r="H83" s="150" t="str">
        <f>IF(D83=G83, "", "Error")</f>
        <v/>
      </c>
      <c r="J83" s="109"/>
    </row>
    <row r="84" spans="1:10" hidden="1" x14ac:dyDescent="0.25">
      <c r="A84" s="7"/>
      <c r="B84" s="7"/>
      <c r="C84" s="7"/>
      <c r="D84" s="189"/>
      <c r="E84" s="115"/>
      <c r="F84" s="7"/>
      <c r="H84" s="150"/>
    </row>
    <row r="85" spans="1:10" hidden="1" x14ac:dyDescent="0.25">
      <c r="A85" s="7"/>
      <c r="B85" s="7"/>
      <c r="C85" s="7"/>
      <c r="D85" s="189"/>
      <c r="E85" s="114"/>
      <c r="F85" s="7"/>
      <c r="H85" s="150"/>
    </row>
    <row r="86" spans="1:10" x14ac:dyDescent="0.25">
      <c r="A86" s="94" t="s">
        <v>13</v>
      </c>
      <c r="B86" s="7"/>
      <c r="C86" s="7"/>
      <c r="D86" s="189"/>
      <c r="E86" s="114"/>
      <c r="F86" s="7"/>
      <c r="H86" s="150"/>
    </row>
    <row r="87" spans="1:10" ht="14.25" customHeight="1" x14ac:dyDescent="0.25">
      <c r="A87" s="94" t="s">
        <v>14</v>
      </c>
      <c r="B87" s="7" t="s">
        <v>117</v>
      </c>
      <c r="C87" s="7"/>
      <c r="D87" s="113">
        <v>222264.92</v>
      </c>
      <c r="E87" s="149">
        <f>D87*91.91%</f>
        <v>204283.68797199999</v>
      </c>
      <c r="F87" s="134">
        <f>D87*8.09%</f>
        <v>17981.232028000002</v>
      </c>
      <c r="H87" s="150"/>
    </row>
    <row r="88" spans="1:10" ht="15" hidden="1" customHeight="1" x14ac:dyDescent="0.25">
      <c r="A88" s="94"/>
      <c r="B88" s="7"/>
      <c r="C88" s="7"/>
      <c r="D88" s="113"/>
      <c r="E88" s="149"/>
      <c r="F88" s="134"/>
      <c r="H88" s="150"/>
    </row>
    <row r="89" spans="1:10" x14ac:dyDescent="0.25">
      <c r="A89" s="94" t="s">
        <v>108</v>
      </c>
      <c r="B89" s="7"/>
      <c r="C89" s="7"/>
      <c r="D89" s="113">
        <v>28000</v>
      </c>
      <c r="E89" s="149">
        <f>D89*91.91%</f>
        <v>25734.799999999999</v>
      </c>
      <c r="F89" s="134">
        <f>D89*8.09%</f>
        <v>2265.1999999999998</v>
      </c>
      <c r="H89" s="150"/>
      <c r="J89" s="113"/>
    </row>
    <row r="90" spans="1:10" x14ac:dyDescent="0.25">
      <c r="A90" s="94" t="s">
        <v>137</v>
      </c>
      <c r="B90" s="7"/>
      <c r="C90" s="7"/>
      <c r="D90" s="113">
        <v>3000</v>
      </c>
      <c r="E90" s="149">
        <f>D90*91.91%</f>
        <v>2757.2999999999997</v>
      </c>
      <c r="F90" s="134">
        <f>D90*8.09%</f>
        <v>242.7</v>
      </c>
      <c r="H90" s="150"/>
    </row>
    <row r="91" spans="1:10" x14ac:dyDescent="0.25">
      <c r="A91" s="7"/>
      <c r="B91" s="7"/>
      <c r="C91" s="7"/>
      <c r="D91" s="189"/>
      <c r="E91" s="116"/>
      <c r="F91" s="7"/>
      <c r="H91" s="150"/>
      <c r="J91" s="109"/>
    </row>
    <row r="92" spans="1:10" x14ac:dyDescent="0.25">
      <c r="A92" s="95" t="s">
        <v>101</v>
      </c>
      <c r="B92" s="95"/>
      <c r="C92" s="95"/>
      <c r="D92" s="107">
        <f>SUM(D87:D91)</f>
        <v>253264.92</v>
      </c>
      <c r="E92" s="107">
        <f t="shared" ref="E92:F92" si="16">SUM(E87:E91)</f>
        <v>232775.78797199996</v>
      </c>
      <c r="F92" s="107">
        <f t="shared" si="16"/>
        <v>20489.132028000004</v>
      </c>
      <c r="G92" s="109">
        <f>E92+F92</f>
        <v>253264.91999999995</v>
      </c>
      <c r="H92" s="150" t="str">
        <f>IF(D92=G92, "", "Error")</f>
        <v/>
      </c>
      <c r="J92" s="109"/>
    </row>
    <row r="93" spans="1:10" ht="14.25" customHeight="1" x14ac:dyDescent="0.25">
      <c r="A93" s="7"/>
      <c r="B93" s="7"/>
      <c r="C93" s="7"/>
      <c r="D93" s="113"/>
      <c r="E93" s="117"/>
      <c r="F93" s="7"/>
      <c r="H93" s="150"/>
    </row>
    <row r="94" spans="1:10" x14ac:dyDescent="0.25">
      <c r="A94" s="94" t="s">
        <v>102</v>
      </c>
      <c r="B94" s="7"/>
      <c r="C94" s="7"/>
      <c r="D94" s="113">
        <v>96626.92</v>
      </c>
      <c r="E94" s="149">
        <f>D94*91.91%</f>
        <v>88809.802171999996</v>
      </c>
      <c r="F94" s="134">
        <f>D94*8.09%</f>
        <v>7817.1178279999995</v>
      </c>
      <c r="H94" s="150"/>
    </row>
    <row r="95" spans="1:10" x14ac:dyDescent="0.25">
      <c r="A95" s="94" t="s">
        <v>103</v>
      </c>
      <c r="B95" s="7"/>
      <c r="C95" s="122"/>
      <c r="D95" s="113">
        <v>44400</v>
      </c>
      <c r="E95" s="149">
        <f>D95*91.91%</f>
        <v>40808.039999999994</v>
      </c>
      <c r="F95" s="134">
        <f>D95*8.09%</f>
        <v>3591.96</v>
      </c>
      <c r="H95" s="150"/>
    </row>
    <row r="96" spans="1:10" x14ac:dyDescent="0.25">
      <c r="A96" s="95" t="s">
        <v>15</v>
      </c>
      <c r="B96" s="95"/>
      <c r="C96" s="95"/>
      <c r="D96" s="158">
        <f>SUM(D94:D95)</f>
        <v>141026.91999999998</v>
      </c>
      <c r="E96" s="147">
        <f t="shared" ref="E96:F96" si="17">SUM(E94:E95)</f>
        <v>129617.84217199999</v>
      </c>
      <c r="F96" s="147">
        <f t="shared" si="17"/>
        <v>11409.077827999999</v>
      </c>
      <c r="G96" s="109">
        <f>E96+F96</f>
        <v>141026.91999999998</v>
      </c>
      <c r="H96" s="150" t="str">
        <f>IF(D96=G96, "", "Error")</f>
        <v/>
      </c>
    </row>
    <row r="97" spans="1:9" ht="15.75" thickBot="1" x14ac:dyDescent="0.3">
      <c r="A97" s="7"/>
      <c r="B97" s="7"/>
      <c r="C97" s="7"/>
      <c r="D97" s="190"/>
      <c r="E97" s="12"/>
      <c r="F97" s="7"/>
      <c r="H97" s="150"/>
    </row>
    <row r="98" spans="1:9" ht="15.75" thickBot="1" x14ac:dyDescent="0.3">
      <c r="A98" s="99" t="s">
        <v>134</v>
      </c>
      <c r="B98" s="99"/>
      <c r="C98" s="99"/>
      <c r="D98" s="191"/>
      <c r="E98" s="118">
        <f>D98*91.91%</f>
        <v>0</v>
      </c>
      <c r="F98" s="136">
        <f>D98*8.09%</f>
        <v>0</v>
      </c>
      <c r="G98" s="109">
        <f>E98+F98</f>
        <v>0</v>
      </c>
      <c r="H98" s="150" t="str">
        <f>IF(D98=G98, "", "Error")</f>
        <v/>
      </c>
    </row>
    <row r="99" spans="1:9" ht="15.75" thickBot="1" x14ac:dyDescent="0.3">
      <c r="A99" s="1"/>
      <c r="D99" s="188"/>
      <c r="E99" s="2"/>
      <c r="F99" s="10"/>
      <c r="G99" s="157">
        <f>SUM(G27:G98)</f>
        <v>8502617.3499999996</v>
      </c>
      <c r="H99" s="150"/>
    </row>
    <row r="100" spans="1:9" ht="15.75" thickBot="1" x14ac:dyDescent="0.3">
      <c r="A100" s="4" t="s">
        <v>104</v>
      </c>
      <c r="B100" s="60"/>
      <c r="C100" s="5"/>
      <c r="D100" s="192">
        <f>SUM(D98+D96+D92+D83+D76+D55+D35+D30+D48)</f>
        <v>5245104.3899999997</v>
      </c>
      <c r="E100" s="148">
        <f>SUM(E98+E96+E92+E83+E76+E55+E35+E30+E48)</f>
        <v>4914174.0903489999</v>
      </c>
      <c r="F100" s="148">
        <f>SUM(F98+F96+F92+F83+F76+F55+F35+F30+F48)</f>
        <v>330930.29965100001</v>
      </c>
      <c r="G100" s="109">
        <f>E100+F100</f>
        <v>5245104.3899999997</v>
      </c>
      <c r="H100" s="150" t="str">
        <f>IF(D100=G100, "", "Error")</f>
        <v/>
      </c>
      <c r="I100" s="181">
        <f>D100-G100</f>
        <v>0</v>
      </c>
    </row>
    <row r="101" spans="1:9" ht="15.75" thickBot="1" x14ac:dyDescent="0.3">
      <c r="D101" s="188"/>
      <c r="E101" s="109"/>
    </row>
    <row r="102" spans="1:9" ht="15.75" thickBot="1" x14ac:dyDescent="0.3">
      <c r="A102" s="142" t="s">
        <v>121</v>
      </c>
      <c r="B102" s="141"/>
      <c r="C102" s="141"/>
      <c r="E102" s="109"/>
    </row>
    <row r="103" spans="1:9" x14ac:dyDescent="0.25">
      <c r="A103" s="1"/>
      <c r="C103" s="139"/>
      <c r="E103" s="109"/>
    </row>
    <row r="104" spans="1:9" ht="15.75" thickBot="1" x14ac:dyDescent="0.3">
      <c r="A104" s="1"/>
      <c r="C104" s="139"/>
      <c r="E104" s="109"/>
    </row>
    <row r="105" spans="1:9" ht="15.75" thickBot="1" x14ac:dyDescent="0.3">
      <c r="A105" s="143" t="s">
        <v>30</v>
      </c>
      <c r="B105" s="144"/>
      <c r="C105" s="140">
        <f>SUM(C103:C104)</f>
        <v>0</v>
      </c>
      <c r="E105" s="109"/>
    </row>
    <row r="106" spans="1:9" x14ac:dyDescent="0.25">
      <c r="E106" s="109"/>
    </row>
    <row r="107" spans="1:9" x14ac:dyDescent="0.25">
      <c r="E107" s="137"/>
    </row>
    <row r="108" spans="1:9" x14ac:dyDescent="0.25">
      <c r="A108" s="213" t="s">
        <v>114</v>
      </c>
      <c r="B108" s="214"/>
      <c r="C108" s="214"/>
      <c r="D108" s="214"/>
      <c r="E108" s="172" t="s">
        <v>22</v>
      </c>
      <c r="F108" s="173" t="s">
        <v>123</v>
      </c>
    </row>
    <row r="109" spans="1:9" hidden="1" x14ac:dyDescent="0.25">
      <c r="A109" s="210"/>
      <c r="B109" s="211"/>
      <c r="C109" s="212"/>
      <c r="D109" s="167"/>
      <c r="E109" s="149"/>
      <c r="F109" s="134"/>
    </row>
    <row r="110" spans="1:9" ht="36" customHeight="1" x14ac:dyDescent="0.25">
      <c r="A110" s="207"/>
      <c r="B110" s="208"/>
      <c r="C110" s="209"/>
      <c r="D110" s="182"/>
      <c r="E110" s="149"/>
      <c r="F110" s="134"/>
    </row>
    <row r="111" spans="1:9" ht="36" customHeight="1" x14ac:dyDescent="0.25">
      <c r="A111" s="174"/>
      <c r="B111" s="175"/>
      <c r="C111" s="176"/>
      <c r="D111" s="182"/>
      <c r="E111" s="149"/>
      <c r="F111" s="134"/>
    </row>
    <row r="112" spans="1:9" ht="28.5" customHeight="1" x14ac:dyDescent="0.25">
      <c r="A112" s="207"/>
      <c r="B112" s="208"/>
      <c r="C112" s="209"/>
      <c r="D112" s="113"/>
      <c r="E112" s="149">
        <f>D112*91.91%</f>
        <v>0</v>
      </c>
      <c r="F112" s="134">
        <f>D112*8.09%</f>
        <v>0</v>
      </c>
    </row>
    <row r="113" spans="1:9" x14ac:dyDescent="0.25">
      <c r="A113" s="204" t="s">
        <v>30</v>
      </c>
      <c r="B113" s="205"/>
      <c r="C113" s="206"/>
      <c r="D113" s="171">
        <f>SUM(D109:D112)</f>
        <v>0</v>
      </c>
      <c r="E113" s="171">
        <f>SUM(E109:E112)</f>
        <v>0</v>
      </c>
      <c r="F113" s="171">
        <f>SUM(F109:F112)</f>
        <v>0</v>
      </c>
      <c r="H113" s="109">
        <f>E113+F113</f>
        <v>0</v>
      </c>
      <c r="I113" s="150" t="str">
        <f>IF(D113=H113, "", "Error")</f>
        <v/>
      </c>
    </row>
    <row r="115" spans="1:9" ht="15.75" thickBot="1" x14ac:dyDescent="0.3">
      <c r="E115" s="109"/>
    </row>
    <row r="116" spans="1:9" ht="15.75" thickBot="1" x14ac:dyDescent="0.3">
      <c r="A116" s="102" t="s">
        <v>105</v>
      </c>
      <c r="B116" s="103">
        <f>D100</f>
        <v>5245104.3899999997</v>
      </c>
    </row>
    <row r="117" spans="1:9" ht="15.75" thickBot="1" x14ac:dyDescent="0.3">
      <c r="A117" s="104" t="s">
        <v>107</v>
      </c>
      <c r="B117" s="105">
        <f>D100-D98</f>
        <v>5245104.3899999997</v>
      </c>
    </row>
    <row r="118" spans="1:9" x14ac:dyDescent="0.25">
      <c r="D118" s="194"/>
      <c r="E118" s="194"/>
    </row>
    <row r="119" spans="1:9" x14ac:dyDescent="0.25">
      <c r="A119" s="74" t="s">
        <v>91</v>
      </c>
      <c r="B119" s="75"/>
      <c r="C119" s="76"/>
      <c r="D119" s="194"/>
      <c r="E119" s="194"/>
    </row>
    <row r="120" spans="1:9" x14ac:dyDescent="0.25">
      <c r="A120" s="77" t="s">
        <v>92</v>
      </c>
      <c r="B120" s="78">
        <v>4452323.820828055</v>
      </c>
      <c r="C120" s="78"/>
      <c r="D120" s="194"/>
      <c r="E120" s="194"/>
    </row>
    <row r="121" spans="1:9" x14ac:dyDescent="0.25">
      <c r="A121" s="79" t="s">
        <v>93</v>
      </c>
      <c r="B121" s="92">
        <f>PRORRATEO!G52</f>
        <v>6849105.1357215978</v>
      </c>
      <c r="C121" s="78" t="s">
        <v>94</v>
      </c>
      <c r="D121" s="194"/>
      <c r="E121" s="194"/>
    </row>
    <row r="122" spans="1:9" x14ac:dyDescent="0.25">
      <c r="A122" s="79" t="s">
        <v>116</v>
      </c>
      <c r="B122" s="178">
        <f>-B117</f>
        <v>-5245104.3899999997</v>
      </c>
      <c r="C122" s="76"/>
      <c r="D122" s="194"/>
      <c r="E122" s="194"/>
      <c r="G122" s="113"/>
    </row>
    <row r="123" spans="1:9" x14ac:dyDescent="0.25">
      <c r="A123" s="79" t="s">
        <v>115</v>
      </c>
      <c r="B123" s="178">
        <f>-D113</f>
        <v>0</v>
      </c>
      <c r="C123" s="76"/>
      <c r="D123" s="194"/>
      <c r="E123" s="194"/>
      <c r="G123" s="125"/>
    </row>
    <row r="124" spans="1:9" x14ac:dyDescent="0.25">
      <c r="A124" s="79" t="s">
        <v>106</v>
      </c>
      <c r="B124" s="178">
        <f>-B131</f>
        <v>0</v>
      </c>
      <c r="C124" s="80"/>
    </row>
    <row r="125" spans="1:9" x14ac:dyDescent="0.25">
      <c r="A125" s="79" t="s">
        <v>121</v>
      </c>
      <c r="B125" s="93">
        <f>-C105</f>
        <v>0</v>
      </c>
      <c r="C125" s="80"/>
    </row>
    <row r="126" spans="1:9" x14ac:dyDescent="0.25">
      <c r="A126" s="79"/>
      <c r="B126" s="75"/>
      <c r="C126" s="80"/>
    </row>
    <row r="127" spans="1:9" x14ac:dyDescent="0.25">
      <c r="A127" s="77" t="s">
        <v>95</v>
      </c>
      <c r="B127" s="81">
        <f>SUM(B120:B126)</f>
        <v>6056324.5665496523</v>
      </c>
      <c r="C127" s="154"/>
    </row>
    <row r="128" spans="1:9" x14ac:dyDescent="0.25">
      <c r="A128" s="80"/>
      <c r="C128" s="76"/>
      <c r="D128" s="83"/>
    </row>
    <row r="129" spans="1:14" x14ac:dyDescent="0.25">
      <c r="C129" s="76"/>
      <c r="D129" s="109"/>
      <c r="E129" s="181"/>
    </row>
    <row r="130" spans="1:14" x14ac:dyDescent="0.25">
      <c r="A130" s="74" t="s">
        <v>96</v>
      </c>
      <c r="B130" s="11">
        <v>-310694.54000000004</v>
      </c>
      <c r="C130" s="82"/>
    </row>
    <row r="131" spans="1:14" ht="14.25" customHeight="1" x14ac:dyDescent="0.25">
      <c r="A131" s="77" t="s">
        <v>142</v>
      </c>
      <c r="B131" s="93"/>
      <c r="C131" s="82"/>
      <c r="D131" s="181"/>
      <c r="E131" s="109"/>
    </row>
    <row r="132" spans="1:14" hidden="1" x14ac:dyDescent="0.25">
      <c r="A132" s="77"/>
      <c r="B132" s="178"/>
      <c r="C132" s="82"/>
      <c r="E132" s="109"/>
    </row>
    <row r="133" spans="1:14" hidden="1" x14ac:dyDescent="0.25">
      <c r="A133" s="77"/>
      <c r="B133" s="178"/>
      <c r="C133" s="82"/>
      <c r="E133" s="109"/>
    </row>
    <row r="134" spans="1:14" x14ac:dyDescent="0.25">
      <c r="A134" s="77"/>
      <c r="B134" s="178"/>
      <c r="C134" s="82"/>
      <c r="E134" s="109"/>
    </row>
    <row r="135" spans="1:14" x14ac:dyDescent="0.25">
      <c r="A135" s="100" t="s">
        <v>30</v>
      </c>
      <c r="B135" s="101">
        <f>SUM(B130:B134)</f>
        <v>-310694.54000000004</v>
      </c>
      <c r="C135" s="82"/>
    </row>
    <row r="136" spans="1:14" x14ac:dyDescent="0.25">
      <c r="C136" s="83"/>
      <c r="D136" s="181"/>
    </row>
    <row r="137" spans="1:14" x14ac:dyDescent="0.25">
      <c r="B137" s="80"/>
      <c r="C137" s="76"/>
    </row>
    <row r="139" spans="1:14" x14ac:dyDescent="0.25">
      <c r="N139" s="12"/>
    </row>
    <row r="142" spans="1:14" x14ac:dyDescent="0.25">
      <c r="B142" s="193" t="s">
        <v>141</v>
      </c>
      <c r="C142" s="193"/>
      <c r="D142" s="193"/>
      <c r="E142" s="193"/>
    </row>
    <row r="143" spans="1:14" x14ac:dyDescent="0.25">
      <c r="B143" s="193"/>
      <c r="C143" s="193"/>
      <c r="D143" s="193"/>
      <c r="E143" s="193"/>
    </row>
    <row r="144" spans="1:14" x14ac:dyDescent="0.25">
      <c r="B144" s="193"/>
      <c r="C144" s="193"/>
      <c r="D144" s="193"/>
      <c r="E144" s="193"/>
    </row>
    <row r="145" spans="2:5" x14ac:dyDescent="0.25">
      <c r="B145" s="193"/>
      <c r="C145" s="193"/>
      <c r="D145" s="193"/>
      <c r="E145" s="193"/>
    </row>
    <row r="146" spans="2:5" x14ac:dyDescent="0.25">
      <c r="B146" s="193"/>
      <c r="C146" s="193"/>
      <c r="D146" s="193"/>
      <c r="E146" s="193"/>
    </row>
  </sheetData>
  <mergeCells count="12">
    <mergeCell ref="B142:E146"/>
    <mergeCell ref="D118:E123"/>
    <mergeCell ref="B14:D17"/>
    <mergeCell ref="A113:C113"/>
    <mergeCell ref="A66:C66"/>
    <mergeCell ref="A110:C110"/>
    <mergeCell ref="A112:C112"/>
    <mergeCell ref="A109:C109"/>
    <mergeCell ref="A108:D108"/>
    <mergeCell ref="A69:C69"/>
    <mergeCell ref="A65:C65"/>
    <mergeCell ref="A67:C67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3"/>
  <sheetViews>
    <sheetView tabSelected="1" topLeftCell="A4" zoomScaleNormal="100" workbookViewId="0">
      <selection activeCell="L16" sqref="L16"/>
    </sheetView>
  </sheetViews>
  <sheetFormatPr baseColWidth="10" defaultRowHeight="15" x14ac:dyDescent="0.25"/>
  <cols>
    <col min="1" max="1" width="4.5703125" customWidth="1"/>
    <col min="2" max="2" width="17.140625" hidden="1" customWidth="1"/>
    <col min="3" max="3" width="5.28515625" customWidth="1"/>
    <col min="4" max="4" width="21.7109375" customWidth="1"/>
    <col min="5" max="5" width="6.140625" customWidth="1"/>
    <col min="6" max="7" width="12" bestFit="1" customWidth="1"/>
    <col min="8" max="8" width="9" customWidth="1"/>
    <col min="9" max="9" width="6" customWidth="1"/>
    <col min="10" max="10" width="13.7109375" customWidth="1"/>
    <col min="11" max="11" width="13.28515625" customWidth="1"/>
    <col min="12" max="12" width="10.42578125" customWidth="1"/>
    <col min="13" max="13" width="14.28515625" customWidth="1"/>
    <col min="14" max="14" width="13.7109375" customWidth="1"/>
    <col min="15" max="15" width="11.42578125" customWidth="1"/>
    <col min="16" max="16" width="14.5703125" bestFit="1" customWidth="1"/>
  </cols>
  <sheetData>
    <row r="1" spans="1:16" x14ac:dyDescent="0.25">
      <c r="A1" s="8"/>
      <c r="B1" s="8"/>
      <c r="C1" s="8"/>
      <c r="D1" s="8"/>
      <c r="E1" s="8"/>
      <c r="F1" s="8" t="s">
        <v>18</v>
      </c>
      <c r="G1" s="8"/>
      <c r="H1" s="8"/>
      <c r="I1" s="8"/>
      <c r="J1" s="8"/>
      <c r="K1" s="8" t="s">
        <v>125</v>
      </c>
      <c r="L1" s="220">
        <f>RESUMEN!D100</f>
        <v>5245104.3899999997</v>
      </c>
      <c r="M1" s="221"/>
      <c r="N1" s="152"/>
      <c r="O1" s="135">
        <f>L1*8.09%</f>
        <v>424328.94515099999</v>
      </c>
    </row>
    <row r="2" spans="1:16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 t="s">
        <v>126</v>
      </c>
      <c r="L2" s="8"/>
      <c r="M2" s="152">
        <f>5500000-150000-3015-250-12</f>
        <v>5346723</v>
      </c>
      <c r="N2" s="153"/>
      <c r="O2" s="135">
        <f>O1-K7-553-50-86-8</f>
        <v>92701.645499999984</v>
      </c>
    </row>
    <row r="3" spans="1:16" x14ac:dyDescent="0.25">
      <c r="A3" s="8" t="str">
        <f>RESUMEN!C5</f>
        <v>VTO. 14/05</v>
      </c>
      <c r="B3" s="8"/>
      <c r="C3" s="8"/>
      <c r="D3" s="8"/>
      <c r="E3" s="8"/>
      <c r="F3" s="8"/>
      <c r="G3" s="8"/>
      <c r="H3" s="8"/>
      <c r="I3" s="8"/>
      <c r="J3" s="9"/>
      <c r="K3" s="8" t="s">
        <v>132</v>
      </c>
      <c r="L3" s="8"/>
      <c r="M3" s="128"/>
      <c r="N3" s="151"/>
      <c r="O3" s="73"/>
    </row>
    <row r="4" spans="1:16" ht="15.75" thickBot="1" x14ac:dyDescent="0.3">
      <c r="A4" s="8"/>
      <c r="B4" s="8"/>
      <c r="C4" s="8"/>
      <c r="D4" s="8"/>
      <c r="E4" s="8"/>
      <c r="F4" s="8"/>
      <c r="G4" s="8"/>
      <c r="H4" s="8"/>
      <c r="I4" s="8"/>
      <c r="J4" s="123">
        <f>(J3*8.09%)/44</f>
        <v>0</v>
      </c>
      <c r="K4" s="8" t="s">
        <v>126</v>
      </c>
      <c r="L4" s="8"/>
      <c r="M4" s="128"/>
      <c r="N4" s="124"/>
    </row>
    <row r="5" spans="1:16" x14ac:dyDescent="0.25">
      <c r="A5" s="218" t="s">
        <v>20</v>
      </c>
      <c r="B5" s="231" t="s">
        <v>21</v>
      </c>
      <c r="C5" s="218" t="s">
        <v>22</v>
      </c>
      <c r="D5" s="229" t="s">
        <v>23</v>
      </c>
      <c r="E5" s="218" t="s">
        <v>98</v>
      </c>
      <c r="F5" s="218" t="s">
        <v>24</v>
      </c>
      <c r="G5" s="218" t="s">
        <v>25</v>
      </c>
      <c r="H5" s="224" t="s">
        <v>26</v>
      </c>
      <c r="I5" s="229" t="s">
        <v>109</v>
      </c>
      <c r="J5" s="222" t="s">
        <v>27</v>
      </c>
      <c r="K5" s="222" t="s">
        <v>70</v>
      </c>
      <c r="L5" s="227" t="s">
        <v>124</v>
      </c>
      <c r="M5" s="222" t="s">
        <v>68</v>
      </c>
      <c r="N5" s="222" t="s">
        <v>69</v>
      </c>
    </row>
    <row r="6" spans="1:16" x14ac:dyDescent="0.25">
      <c r="A6" s="219"/>
      <c r="B6" s="232"/>
      <c r="C6" s="219"/>
      <c r="D6" s="233"/>
      <c r="E6" s="219"/>
      <c r="F6" s="219"/>
      <c r="G6" s="219"/>
      <c r="H6" s="225"/>
      <c r="I6" s="230"/>
      <c r="J6" s="223"/>
      <c r="K6" s="226"/>
      <c r="L6" s="228"/>
      <c r="M6" s="226"/>
      <c r="N6" s="223"/>
    </row>
    <row r="7" spans="1:16" x14ac:dyDescent="0.25">
      <c r="A7" s="7" t="s">
        <v>34</v>
      </c>
      <c r="B7" s="7"/>
      <c r="C7" s="7">
        <v>1</v>
      </c>
      <c r="D7" s="133" t="s">
        <v>35</v>
      </c>
      <c r="E7" s="7">
        <v>8.09</v>
      </c>
      <c r="F7" s="88">
        <v>387209.15595160006</v>
      </c>
      <c r="G7" s="237">
        <f>F7</f>
        <v>387209.15595160006</v>
      </c>
      <c r="H7" s="131">
        <f>F7-G7</f>
        <v>0</v>
      </c>
      <c r="I7" s="106">
        <v>11</v>
      </c>
      <c r="J7" s="88"/>
      <c r="K7" s="88">
        <v>330930.29965100001</v>
      </c>
      <c r="L7" s="98">
        <v>0</v>
      </c>
      <c r="M7" s="6">
        <f>K7+J7+H7+L7</f>
        <v>330930.29965100001</v>
      </c>
      <c r="N7" s="11">
        <f>M7*6% + M7</f>
        <v>350786.11763006001</v>
      </c>
    </row>
    <row r="8" spans="1:16" x14ac:dyDescent="0.25">
      <c r="A8" s="7" t="s">
        <v>36</v>
      </c>
      <c r="B8" s="7"/>
      <c r="C8" s="7">
        <v>24</v>
      </c>
      <c r="D8" s="133" t="s">
        <v>37</v>
      </c>
      <c r="E8" s="7">
        <v>2.21</v>
      </c>
      <c r="F8" s="88">
        <v>152947.46151451589</v>
      </c>
      <c r="G8" s="237">
        <v>153000</v>
      </c>
      <c r="H8" s="131">
        <f t="shared" ref="H8:H51" si="0">F8-G8</f>
        <v>-52.538485484110424</v>
      </c>
      <c r="I8" s="106">
        <v>11</v>
      </c>
      <c r="J8" s="88">
        <f>M$4*E8%</f>
        <v>0</v>
      </c>
      <c r="K8" s="88">
        <f>M$2*E8 /100</f>
        <v>118162.57829999999</v>
      </c>
      <c r="L8" s="166">
        <f>J$3*E8%+J$4</f>
        <v>0</v>
      </c>
      <c r="M8" s="6">
        <f>K8+J8+H8+L8</f>
        <v>118110.03981451588</v>
      </c>
      <c r="N8" s="11">
        <f t="shared" ref="N8:N51" si="1">M8*6% + M8</f>
        <v>125196.64220338683</v>
      </c>
    </row>
    <row r="9" spans="1:16" x14ac:dyDescent="0.25">
      <c r="A9" s="7" t="s">
        <v>36</v>
      </c>
      <c r="B9" s="7"/>
      <c r="C9" s="7">
        <v>25</v>
      </c>
      <c r="D9" s="133" t="s">
        <v>38</v>
      </c>
      <c r="E9" s="7">
        <v>4.21</v>
      </c>
      <c r="F9" s="88">
        <v>292564.51887426333</v>
      </c>
      <c r="G9" s="238">
        <f>333091-G34</f>
        <v>295564.93309000001</v>
      </c>
      <c r="H9" s="131">
        <f t="shared" si="0"/>
        <v>-3000.4142157366732</v>
      </c>
      <c r="I9" s="106">
        <v>7</v>
      </c>
      <c r="J9" s="88">
        <f t="shared" ref="J9:J51" si="2">M$4*E9%</f>
        <v>0</v>
      </c>
      <c r="K9" s="88">
        <f t="shared" ref="K9:K51" si="3">M$2*E9 /100</f>
        <v>225097.03829999999</v>
      </c>
      <c r="L9" s="166">
        <f t="shared" ref="L9:L51" si="4">J$3*E9%+J$4</f>
        <v>0</v>
      </c>
      <c r="M9" s="6">
        <f t="shared" ref="M9:M51" si="5">K9+J9+H9+L9</f>
        <v>222096.62408426331</v>
      </c>
      <c r="N9" s="11">
        <f t="shared" si="1"/>
        <v>235422.42152931911</v>
      </c>
    </row>
    <row r="10" spans="1:16" x14ac:dyDescent="0.25">
      <c r="A10" s="7" t="s">
        <v>39</v>
      </c>
      <c r="B10" s="7"/>
      <c r="C10" s="7">
        <v>26</v>
      </c>
      <c r="D10" s="133" t="s">
        <v>40</v>
      </c>
      <c r="E10" s="7">
        <v>2.84</v>
      </c>
      <c r="F10" s="88">
        <v>231949.77220596874</v>
      </c>
      <c r="G10" s="237">
        <v>197350</v>
      </c>
      <c r="H10" s="131">
        <f t="shared" si="0"/>
        <v>34599.772205968737</v>
      </c>
      <c r="I10" s="106">
        <v>4</v>
      </c>
      <c r="J10" s="88">
        <f t="shared" si="2"/>
        <v>0</v>
      </c>
      <c r="K10" s="88">
        <f t="shared" si="3"/>
        <v>151846.93319999997</v>
      </c>
      <c r="L10" s="166">
        <f t="shared" si="4"/>
        <v>0</v>
      </c>
      <c r="M10" s="6">
        <f t="shared" si="5"/>
        <v>186446.70540596871</v>
      </c>
      <c r="N10" s="11">
        <f t="shared" si="1"/>
        <v>197633.50773032682</v>
      </c>
    </row>
    <row r="11" spans="1:16" x14ac:dyDescent="0.25">
      <c r="A11" s="7" t="s">
        <v>39</v>
      </c>
      <c r="B11" s="7"/>
      <c r="C11" s="7">
        <v>27</v>
      </c>
      <c r="D11" s="133" t="s">
        <v>41</v>
      </c>
      <c r="E11" s="7">
        <v>3.43</v>
      </c>
      <c r="F11" s="88">
        <v>238360.01759500001</v>
      </c>
      <c r="G11" s="237">
        <f>F11</f>
        <v>238360.01759500001</v>
      </c>
      <c r="H11" s="131">
        <f t="shared" si="0"/>
        <v>0</v>
      </c>
      <c r="I11" s="106">
        <v>11</v>
      </c>
      <c r="J11" s="88">
        <f t="shared" si="2"/>
        <v>0</v>
      </c>
      <c r="K11" s="88">
        <f t="shared" si="3"/>
        <v>183392.59890000001</v>
      </c>
      <c r="L11" s="166">
        <f t="shared" si="4"/>
        <v>0</v>
      </c>
      <c r="M11" s="6">
        <f t="shared" si="5"/>
        <v>183392.59890000001</v>
      </c>
      <c r="N11" s="11">
        <f t="shared" si="1"/>
        <v>194396.15483400002</v>
      </c>
      <c r="P11" s="109"/>
    </row>
    <row r="12" spans="1:16" x14ac:dyDescent="0.25">
      <c r="A12" s="7" t="s">
        <v>42</v>
      </c>
      <c r="B12" s="7"/>
      <c r="C12" s="7">
        <v>28</v>
      </c>
      <c r="D12" s="133" t="s">
        <v>112</v>
      </c>
      <c r="E12" s="7">
        <v>2.84</v>
      </c>
      <c r="F12" s="88">
        <v>207359.31485999998</v>
      </c>
      <c r="G12" s="238">
        <f>F12</f>
        <v>207359.31485999998</v>
      </c>
      <c r="H12" s="131">
        <f>F12-G12</f>
        <v>0</v>
      </c>
      <c r="I12" s="106">
        <v>7</v>
      </c>
      <c r="J12" s="88">
        <f t="shared" si="2"/>
        <v>0</v>
      </c>
      <c r="K12" s="88">
        <f t="shared" si="3"/>
        <v>151846.93319999997</v>
      </c>
      <c r="L12" s="166">
        <f t="shared" si="4"/>
        <v>0</v>
      </c>
      <c r="M12" s="6">
        <f t="shared" si="5"/>
        <v>151846.93319999997</v>
      </c>
      <c r="N12" s="11">
        <f t="shared" si="1"/>
        <v>160957.74919199996</v>
      </c>
    </row>
    <row r="13" spans="1:16" x14ac:dyDescent="0.25">
      <c r="A13" s="7" t="s">
        <v>42</v>
      </c>
      <c r="B13" s="7"/>
      <c r="C13" s="7">
        <v>29</v>
      </c>
      <c r="D13" s="133" t="s">
        <v>43</v>
      </c>
      <c r="E13" s="7">
        <v>3.43</v>
      </c>
      <c r="F13" s="88">
        <v>254643.6733842417</v>
      </c>
      <c r="G13" s="238">
        <f>311928-G50</f>
        <v>270927.297265</v>
      </c>
      <c r="H13" s="131">
        <f t="shared" si="0"/>
        <v>-16283.623880758299</v>
      </c>
      <c r="I13" s="106">
        <v>1</v>
      </c>
      <c r="J13" s="88">
        <f t="shared" si="2"/>
        <v>0</v>
      </c>
      <c r="K13" s="88">
        <f t="shared" si="3"/>
        <v>183392.59890000001</v>
      </c>
      <c r="L13" s="166">
        <f t="shared" si="4"/>
        <v>0</v>
      </c>
      <c r="M13" s="6">
        <f t="shared" si="5"/>
        <v>167108.97501924171</v>
      </c>
      <c r="N13" s="11">
        <f t="shared" si="1"/>
        <v>177135.51352039623</v>
      </c>
    </row>
    <row r="14" spans="1:16" x14ac:dyDescent="0.25">
      <c r="A14" s="7" t="s">
        <v>44</v>
      </c>
      <c r="B14" s="7"/>
      <c r="C14" s="7">
        <v>30</v>
      </c>
      <c r="D14" s="133" t="s">
        <v>45</v>
      </c>
      <c r="E14" s="7">
        <v>2.84</v>
      </c>
      <c r="F14" s="88">
        <v>197359.31485999998</v>
      </c>
      <c r="G14" s="237">
        <f>F14</f>
        <v>197359.31485999998</v>
      </c>
      <c r="H14" s="131">
        <f t="shared" si="0"/>
        <v>0</v>
      </c>
      <c r="I14" s="106">
        <v>14</v>
      </c>
      <c r="J14" s="88">
        <f t="shared" si="2"/>
        <v>0</v>
      </c>
      <c r="K14" s="88">
        <f t="shared" si="3"/>
        <v>151846.93319999997</v>
      </c>
      <c r="L14" s="166">
        <f t="shared" si="4"/>
        <v>0</v>
      </c>
      <c r="M14" s="6">
        <f t="shared" si="5"/>
        <v>151846.93319999997</v>
      </c>
      <c r="N14" s="11">
        <f t="shared" si="1"/>
        <v>160957.74919199996</v>
      </c>
    </row>
    <row r="15" spans="1:16" x14ac:dyDescent="0.25">
      <c r="A15" s="7" t="s">
        <v>44</v>
      </c>
      <c r="B15" s="7"/>
      <c r="C15" s="7">
        <v>31</v>
      </c>
      <c r="D15" s="133" t="s">
        <v>46</v>
      </c>
      <c r="E15" s="7">
        <v>3.43</v>
      </c>
      <c r="F15" s="88">
        <v>252661.03080153395</v>
      </c>
      <c r="G15" s="238">
        <f>273105-G35</f>
        <v>236273.86025500001</v>
      </c>
      <c r="H15" s="131">
        <f t="shared" si="0"/>
        <v>16387.170546533947</v>
      </c>
      <c r="I15" s="106">
        <v>15</v>
      </c>
      <c r="J15" s="88">
        <f t="shared" si="2"/>
        <v>0</v>
      </c>
      <c r="K15" s="88">
        <f t="shared" si="3"/>
        <v>183392.59890000001</v>
      </c>
      <c r="L15" s="166">
        <f t="shared" si="4"/>
        <v>0</v>
      </c>
      <c r="M15" s="6">
        <f t="shared" si="5"/>
        <v>199779.76944653396</v>
      </c>
      <c r="N15" s="11">
        <f t="shared" si="1"/>
        <v>211766.555613326</v>
      </c>
    </row>
    <row r="16" spans="1:16" x14ac:dyDescent="0.25">
      <c r="A16" s="7" t="s">
        <v>47</v>
      </c>
      <c r="B16" s="7"/>
      <c r="C16" s="7">
        <v>32</v>
      </c>
      <c r="D16" s="133" t="s">
        <v>165</v>
      </c>
      <c r="E16" s="7">
        <v>2.84</v>
      </c>
      <c r="F16" s="88">
        <v>197359.91801566072</v>
      </c>
      <c r="G16" s="238">
        <f>197360-G49</f>
        <v>163308.56891500001</v>
      </c>
      <c r="H16" s="131">
        <f t="shared" si="0"/>
        <v>34051.349100660707</v>
      </c>
      <c r="I16" s="106">
        <v>14</v>
      </c>
      <c r="J16" s="88">
        <f t="shared" si="2"/>
        <v>0</v>
      </c>
      <c r="K16" s="88">
        <f t="shared" si="3"/>
        <v>151846.93319999997</v>
      </c>
      <c r="L16" s="166">
        <v>15184.7</v>
      </c>
      <c r="M16" s="6">
        <f t="shared" si="5"/>
        <v>201082.98230066069</v>
      </c>
      <c r="N16" s="11">
        <f t="shared" si="1"/>
        <v>213147.96123870034</v>
      </c>
    </row>
    <row r="17" spans="1:14" x14ac:dyDescent="0.25">
      <c r="A17" s="7" t="s">
        <v>47</v>
      </c>
      <c r="B17" s="7"/>
      <c r="C17" s="7">
        <v>33</v>
      </c>
      <c r="D17" s="133" t="s">
        <v>48</v>
      </c>
      <c r="E17" s="7">
        <v>3.43</v>
      </c>
      <c r="F17" s="88">
        <v>263261.3879418007</v>
      </c>
      <c r="G17" s="237">
        <f>317157-G47-G48</f>
        <v>244231.34330490002</v>
      </c>
      <c r="H17" s="131">
        <f t="shared" si="0"/>
        <v>19030.044636900682</v>
      </c>
      <c r="I17" s="106">
        <v>15</v>
      </c>
      <c r="J17" s="88">
        <f t="shared" si="2"/>
        <v>0</v>
      </c>
      <c r="K17" s="88">
        <f t="shared" si="3"/>
        <v>183392.59890000001</v>
      </c>
      <c r="L17" s="166">
        <f t="shared" si="4"/>
        <v>0</v>
      </c>
      <c r="M17" s="6">
        <f t="shared" si="5"/>
        <v>202422.64353690069</v>
      </c>
      <c r="N17" s="11">
        <f t="shared" si="1"/>
        <v>214568.00214911473</v>
      </c>
    </row>
    <row r="18" spans="1:14" x14ac:dyDescent="0.25">
      <c r="A18" s="7" t="s">
        <v>49</v>
      </c>
      <c r="B18" s="7"/>
      <c r="C18" s="7">
        <v>34</v>
      </c>
      <c r="D18" s="133" t="s">
        <v>50</v>
      </c>
      <c r="E18" s="7">
        <v>2.84</v>
      </c>
      <c r="F18" s="88">
        <v>196495.89207825137</v>
      </c>
      <c r="G18" s="237">
        <f>239000-G51</f>
        <v>199389.151595</v>
      </c>
      <c r="H18" s="131">
        <f t="shared" si="0"/>
        <v>-2893.2595167486288</v>
      </c>
      <c r="I18" s="106">
        <v>14</v>
      </c>
      <c r="J18" s="88">
        <f t="shared" si="2"/>
        <v>0</v>
      </c>
      <c r="K18" s="88">
        <f t="shared" si="3"/>
        <v>151846.93319999997</v>
      </c>
      <c r="L18" s="166">
        <f t="shared" si="4"/>
        <v>0</v>
      </c>
      <c r="M18" s="6">
        <f t="shared" si="5"/>
        <v>148953.67368325134</v>
      </c>
      <c r="N18" s="11">
        <f t="shared" si="1"/>
        <v>157890.89410424643</v>
      </c>
    </row>
    <row r="19" spans="1:14" x14ac:dyDescent="0.25">
      <c r="A19" s="7" t="s">
        <v>49</v>
      </c>
      <c r="B19" s="7"/>
      <c r="C19" s="7">
        <v>35</v>
      </c>
      <c r="D19" s="133" t="s">
        <v>51</v>
      </c>
      <c r="E19" s="7">
        <v>3.43</v>
      </c>
      <c r="F19" s="88">
        <v>238360.25635516795</v>
      </c>
      <c r="G19" s="238">
        <f>275886-G41</f>
        <v>238359.93309000001</v>
      </c>
      <c r="H19" s="131">
        <f t="shared" si="0"/>
        <v>0.3232651679427363</v>
      </c>
      <c r="I19" s="106">
        <v>1</v>
      </c>
      <c r="J19" s="88">
        <f t="shared" si="2"/>
        <v>0</v>
      </c>
      <c r="K19" s="88">
        <f t="shared" si="3"/>
        <v>183392.59890000001</v>
      </c>
      <c r="L19" s="166">
        <f t="shared" si="4"/>
        <v>0</v>
      </c>
      <c r="M19" s="6">
        <f t="shared" si="5"/>
        <v>183392.92216516795</v>
      </c>
      <c r="N19" s="11">
        <f t="shared" si="1"/>
        <v>194396.49749507802</v>
      </c>
    </row>
    <row r="20" spans="1:14" x14ac:dyDescent="0.25">
      <c r="A20" s="7" t="s">
        <v>52</v>
      </c>
      <c r="B20" s="7"/>
      <c r="C20" s="7">
        <v>36</v>
      </c>
      <c r="D20" s="133" t="s">
        <v>53</v>
      </c>
      <c r="E20" s="7">
        <v>2.84</v>
      </c>
      <c r="F20" s="88">
        <v>197359.46332207473</v>
      </c>
      <c r="G20" s="237">
        <f>231410-G38</f>
        <v>197358.56891500001</v>
      </c>
      <c r="H20" s="131">
        <f t="shared" si="0"/>
        <v>0.89440707472385839</v>
      </c>
      <c r="I20" s="106">
        <v>1</v>
      </c>
      <c r="J20" s="88">
        <f t="shared" si="2"/>
        <v>0</v>
      </c>
      <c r="K20" s="88">
        <f t="shared" si="3"/>
        <v>151846.93319999997</v>
      </c>
      <c r="L20" s="166">
        <f t="shared" si="4"/>
        <v>0</v>
      </c>
      <c r="M20" s="6">
        <f t="shared" si="5"/>
        <v>151847.82760707469</v>
      </c>
      <c r="N20" s="11">
        <f t="shared" si="1"/>
        <v>160958.69726349917</v>
      </c>
    </row>
    <row r="21" spans="1:14" x14ac:dyDescent="0.25">
      <c r="A21" s="7" t="s">
        <v>52</v>
      </c>
      <c r="B21" s="7"/>
      <c r="C21" s="7">
        <v>37</v>
      </c>
      <c r="D21" s="133" t="s">
        <v>54</v>
      </c>
      <c r="E21" s="7">
        <v>3.43</v>
      </c>
      <c r="F21" s="88">
        <v>239360.65868179579</v>
      </c>
      <c r="G21" s="237">
        <f>276887-G45</f>
        <v>239360.93309000001</v>
      </c>
      <c r="H21" s="131">
        <f t="shared" si="0"/>
        <v>-0.27440820421907119</v>
      </c>
      <c r="I21" s="106">
        <v>4</v>
      </c>
      <c r="J21" s="88">
        <f t="shared" si="2"/>
        <v>0</v>
      </c>
      <c r="K21" s="88">
        <f t="shared" si="3"/>
        <v>183392.59890000001</v>
      </c>
      <c r="L21" s="166">
        <f t="shared" si="4"/>
        <v>0</v>
      </c>
      <c r="M21" s="6">
        <f t="shared" si="5"/>
        <v>183392.32449179579</v>
      </c>
      <c r="N21" s="11">
        <f t="shared" si="1"/>
        <v>194395.86396130355</v>
      </c>
    </row>
    <row r="22" spans="1:14" x14ac:dyDescent="0.25">
      <c r="A22" s="7" t="s">
        <v>55</v>
      </c>
      <c r="B22" s="7"/>
      <c r="C22" s="7">
        <v>38</v>
      </c>
      <c r="D22" s="168" t="s">
        <v>129</v>
      </c>
      <c r="E22" s="7">
        <v>2.84</v>
      </c>
      <c r="F22" s="88">
        <v>197359.31485999998</v>
      </c>
      <c r="G22" s="237">
        <f>F22</f>
        <v>197359.31485999998</v>
      </c>
      <c r="H22" s="131">
        <f t="shared" si="0"/>
        <v>0</v>
      </c>
      <c r="I22" s="106">
        <v>12</v>
      </c>
      <c r="J22" s="88">
        <f t="shared" si="2"/>
        <v>0</v>
      </c>
      <c r="K22" s="88">
        <f t="shared" si="3"/>
        <v>151846.93319999997</v>
      </c>
      <c r="L22" s="166">
        <f t="shared" si="4"/>
        <v>0</v>
      </c>
      <c r="M22" s="6">
        <f t="shared" si="5"/>
        <v>151846.93319999997</v>
      </c>
      <c r="N22" s="11">
        <f t="shared" si="1"/>
        <v>160957.74919199996</v>
      </c>
    </row>
    <row r="23" spans="1:14" x14ac:dyDescent="0.25">
      <c r="A23" s="7" t="s">
        <v>55</v>
      </c>
      <c r="B23" s="7"/>
      <c r="C23" s="7">
        <v>39</v>
      </c>
      <c r="D23" s="133" t="s">
        <v>56</v>
      </c>
      <c r="E23" s="7">
        <v>3.43</v>
      </c>
      <c r="F23" s="88">
        <v>201710.92273409516</v>
      </c>
      <c r="G23" s="238"/>
      <c r="H23" s="131">
        <f t="shared" si="0"/>
        <v>201710.92273409516</v>
      </c>
      <c r="I23" s="106">
        <v>11</v>
      </c>
      <c r="J23" s="88">
        <f t="shared" si="2"/>
        <v>0</v>
      </c>
      <c r="K23" s="88">
        <f t="shared" si="3"/>
        <v>183392.59890000001</v>
      </c>
      <c r="L23" s="166">
        <f t="shared" si="4"/>
        <v>0</v>
      </c>
      <c r="M23" s="6">
        <f t="shared" si="5"/>
        <v>385103.52163409517</v>
      </c>
      <c r="N23" s="11">
        <f t="shared" si="1"/>
        <v>408209.73293214088</v>
      </c>
    </row>
    <row r="24" spans="1:14" x14ac:dyDescent="0.25">
      <c r="A24" s="7" t="s">
        <v>57</v>
      </c>
      <c r="B24" s="7"/>
      <c r="C24" s="7">
        <v>40</v>
      </c>
      <c r="D24" s="133" t="s">
        <v>58</v>
      </c>
      <c r="E24" s="7">
        <v>2.84</v>
      </c>
      <c r="F24" s="88">
        <v>196636.18088607476</v>
      </c>
      <c r="G24" s="237">
        <f>232000-G37</f>
        <v>197948.56891500001</v>
      </c>
      <c r="H24" s="131">
        <f t="shared" si="0"/>
        <v>-1312.3880289252556</v>
      </c>
      <c r="I24" s="185">
        <v>4</v>
      </c>
      <c r="J24" s="88">
        <f t="shared" si="2"/>
        <v>0</v>
      </c>
      <c r="K24" s="88">
        <f t="shared" si="3"/>
        <v>151846.93319999997</v>
      </c>
      <c r="L24" s="166">
        <f t="shared" si="4"/>
        <v>0</v>
      </c>
      <c r="M24" s="6">
        <f t="shared" si="5"/>
        <v>150534.54517107471</v>
      </c>
      <c r="N24" s="11">
        <f t="shared" si="1"/>
        <v>159566.61788133919</v>
      </c>
    </row>
    <row r="25" spans="1:14" x14ac:dyDescent="0.25">
      <c r="A25" s="7" t="s">
        <v>57</v>
      </c>
      <c r="B25" s="7"/>
      <c r="C25" s="7">
        <v>41</v>
      </c>
      <c r="D25" s="133" t="s">
        <v>59</v>
      </c>
      <c r="E25" s="7">
        <v>3.43</v>
      </c>
      <c r="F25" s="88">
        <v>238360.01759500001</v>
      </c>
      <c r="G25" s="237">
        <f>F25</f>
        <v>238360.01759500001</v>
      </c>
      <c r="H25" s="131">
        <f t="shared" si="0"/>
        <v>0</v>
      </c>
      <c r="I25" s="106">
        <v>10</v>
      </c>
      <c r="J25" s="88">
        <f t="shared" si="2"/>
        <v>0</v>
      </c>
      <c r="K25" s="88">
        <f t="shared" si="3"/>
        <v>183392.59890000001</v>
      </c>
      <c r="L25" s="166">
        <f t="shared" si="4"/>
        <v>0</v>
      </c>
      <c r="M25" s="6">
        <f t="shared" si="5"/>
        <v>183392.59890000001</v>
      </c>
      <c r="N25" s="11">
        <f t="shared" si="1"/>
        <v>194396.15483400002</v>
      </c>
    </row>
    <row r="26" spans="1:14" x14ac:dyDescent="0.25">
      <c r="A26" s="7" t="s">
        <v>60</v>
      </c>
      <c r="B26" s="7"/>
      <c r="C26" s="7">
        <v>42</v>
      </c>
      <c r="D26" s="133" t="s">
        <v>61</v>
      </c>
      <c r="E26" s="7">
        <v>6</v>
      </c>
      <c r="F26" s="88">
        <v>65989.275081036845</v>
      </c>
      <c r="G26" s="238">
        <f>200000+650000-G30-G31-G36</f>
        <v>739506.58076499985</v>
      </c>
      <c r="H26" s="131">
        <f t="shared" si="0"/>
        <v>-673517.305683963</v>
      </c>
      <c r="I26" s="106">
        <v>5</v>
      </c>
      <c r="J26" s="88">
        <f t="shared" si="2"/>
        <v>0</v>
      </c>
      <c r="K26" s="88">
        <f t="shared" si="3"/>
        <v>320803.38</v>
      </c>
      <c r="L26" s="166">
        <f t="shared" si="4"/>
        <v>0</v>
      </c>
      <c r="M26" s="6">
        <f t="shared" si="5"/>
        <v>-352713.925683963</v>
      </c>
      <c r="N26" s="11">
        <f t="shared" si="1"/>
        <v>-373876.76122500078</v>
      </c>
    </row>
    <row r="27" spans="1:14" x14ac:dyDescent="0.25">
      <c r="A27" s="7" t="s">
        <v>62</v>
      </c>
      <c r="B27" s="7"/>
      <c r="C27" s="7">
        <v>43</v>
      </c>
      <c r="D27" s="133" t="s">
        <v>63</v>
      </c>
      <c r="E27" s="7">
        <v>5.89</v>
      </c>
      <c r="F27" s="88">
        <v>409312.03689526557</v>
      </c>
      <c r="G27" s="237">
        <f>489924-G39-G40</f>
        <v>409312.44886</v>
      </c>
      <c r="H27" s="131">
        <f t="shared" si="0"/>
        <v>-0.41196473443415016</v>
      </c>
      <c r="I27" s="106">
        <v>12</v>
      </c>
      <c r="J27" s="88">
        <f t="shared" si="2"/>
        <v>0</v>
      </c>
      <c r="K27" s="88">
        <f t="shared" si="3"/>
        <v>314921.98469999997</v>
      </c>
      <c r="L27" s="166">
        <f t="shared" si="4"/>
        <v>0</v>
      </c>
      <c r="M27" s="6">
        <f t="shared" si="5"/>
        <v>314921.57273526554</v>
      </c>
      <c r="N27" s="11">
        <f t="shared" si="1"/>
        <v>333816.86709938146</v>
      </c>
    </row>
    <row r="28" spans="1:14" x14ac:dyDescent="0.25">
      <c r="A28" s="7" t="s">
        <v>64</v>
      </c>
      <c r="B28" s="7"/>
      <c r="C28" s="7">
        <v>44</v>
      </c>
      <c r="D28" s="133" t="s">
        <v>65</v>
      </c>
      <c r="E28" s="7">
        <v>5.89</v>
      </c>
      <c r="F28" s="88">
        <v>408702.15158654092</v>
      </c>
      <c r="G28" s="237">
        <f>483000-G32-G33</f>
        <v>409337.72051000001</v>
      </c>
      <c r="H28" s="131">
        <f t="shared" si="0"/>
        <v>-635.56892345909728</v>
      </c>
      <c r="I28" s="106">
        <v>4</v>
      </c>
      <c r="J28" s="88">
        <f t="shared" si="2"/>
        <v>0</v>
      </c>
      <c r="K28" s="88">
        <f t="shared" si="3"/>
        <v>314921.98469999997</v>
      </c>
      <c r="L28" s="166">
        <f t="shared" si="4"/>
        <v>0</v>
      </c>
      <c r="M28" s="6">
        <f t="shared" si="5"/>
        <v>314286.41577654087</v>
      </c>
      <c r="N28" s="11">
        <f t="shared" si="1"/>
        <v>333143.60072313331</v>
      </c>
    </row>
    <row r="29" spans="1:14" x14ac:dyDescent="0.25">
      <c r="A29" s="7" t="s">
        <v>66</v>
      </c>
      <c r="B29" s="7"/>
      <c r="C29" s="7">
        <v>45</v>
      </c>
      <c r="D29" s="133" t="s">
        <v>67</v>
      </c>
      <c r="E29" s="7">
        <v>5.89</v>
      </c>
      <c r="F29" s="88">
        <v>420685.1128917</v>
      </c>
      <c r="G29" s="238">
        <f>522000-G42-G43-G44</f>
        <v>410116.72643500002</v>
      </c>
      <c r="H29" s="132">
        <f t="shared" si="0"/>
        <v>10568.386456699984</v>
      </c>
      <c r="I29" s="106">
        <v>12</v>
      </c>
      <c r="J29" s="88">
        <f t="shared" si="2"/>
        <v>0</v>
      </c>
      <c r="K29" s="88">
        <f t="shared" si="3"/>
        <v>314921.98469999997</v>
      </c>
      <c r="L29" s="166">
        <f t="shared" si="4"/>
        <v>0</v>
      </c>
      <c r="M29" s="6">
        <f t="shared" si="5"/>
        <v>325490.37115669996</v>
      </c>
      <c r="N29" s="11">
        <f t="shared" si="1"/>
        <v>345019.79342610197</v>
      </c>
    </row>
    <row r="30" spans="1:14" x14ac:dyDescent="0.25">
      <c r="A30" s="126" t="s">
        <v>97</v>
      </c>
      <c r="B30" s="7"/>
      <c r="C30" s="7">
        <v>1</v>
      </c>
      <c r="D30" s="133" t="s">
        <v>61</v>
      </c>
      <c r="E30" s="7">
        <v>0.54</v>
      </c>
      <c r="F30" s="88">
        <v>37526.066910000001</v>
      </c>
      <c r="G30" s="237">
        <f t="shared" ref="G30:G34" si="6">F30</f>
        <v>37526.066910000001</v>
      </c>
      <c r="H30" s="131">
        <f t="shared" si="0"/>
        <v>0</v>
      </c>
      <c r="I30" s="106"/>
      <c r="J30" s="88">
        <f t="shared" si="2"/>
        <v>0</v>
      </c>
      <c r="K30" s="88">
        <f t="shared" si="3"/>
        <v>28872.304200000002</v>
      </c>
      <c r="L30" s="166">
        <f t="shared" si="4"/>
        <v>0</v>
      </c>
      <c r="M30" s="6">
        <f t="shared" si="5"/>
        <v>28872.304200000002</v>
      </c>
      <c r="N30" s="11">
        <f t="shared" si="1"/>
        <v>30604.642452000004</v>
      </c>
    </row>
    <row r="31" spans="1:14" x14ac:dyDescent="0.25">
      <c r="A31" s="126" t="s">
        <v>97</v>
      </c>
      <c r="B31" s="7"/>
      <c r="C31" s="7">
        <v>2</v>
      </c>
      <c r="D31" s="133" t="s">
        <v>61</v>
      </c>
      <c r="E31" s="7">
        <v>0.55000000000000004</v>
      </c>
      <c r="F31" s="88">
        <v>38220.994075000002</v>
      </c>
      <c r="G31" s="237">
        <f t="shared" si="6"/>
        <v>38220.994075000002</v>
      </c>
      <c r="H31" s="131">
        <f t="shared" si="0"/>
        <v>0</v>
      </c>
      <c r="I31" s="106"/>
      <c r="J31" s="88">
        <f t="shared" si="2"/>
        <v>0</v>
      </c>
      <c r="K31" s="88">
        <f t="shared" si="3"/>
        <v>29406.976500000004</v>
      </c>
      <c r="L31" s="166">
        <f t="shared" si="4"/>
        <v>0</v>
      </c>
      <c r="M31" s="6">
        <f t="shared" si="5"/>
        <v>29406.976500000004</v>
      </c>
      <c r="N31" s="11">
        <f t="shared" si="1"/>
        <v>31171.395090000005</v>
      </c>
    </row>
    <row r="32" spans="1:14" x14ac:dyDescent="0.25">
      <c r="A32" s="126" t="s">
        <v>97</v>
      </c>
      <c r="B32" s="7"/>
      <c r="C32" s="7">
        <v>3</v>
      </c>
      <c r="D32" s="133" t="s">
        <v>65</v>
      </c>
      <c r="E32" s="7">
        <v>0.45</v>
      </c>
      <c r="F32" s="88">
        <v>31271.722424999996</v>
      </c>
      <c r="G32" s="237">
        <f>F32</f>
        <v>31271.722424999996</v>
      </c>
      <c r="H32" s="131">
        <f t="shared" si="0"/>
        <v>0</v>
      </c>
      <c r="I32" s="106"/>
      <c r="J32" s="88">
        <f t="shared" si="2"/>
        <v>0</v>
      </c>
      <c r="K32" s="88">
        <f t="shared" si="3"/>
        <v>24060.253500000003</v>
      </c>
      <c r="L32" s="166">
        <f t="shared" si="4"/>
        <v>0</v>
      </c>
      <c r="M32" s="6">
        <f t="shared" si="5"/>
        <v>24060.253500000003</v>
      </c>
      <c r="N32" s="11">
        <f t="shared" si="1"/>
        <v>25503.868710000002</v>
      </c>
    </row>
    <row r="33" spans="1:17" x14ac:dyDescent="0.25">
      <c r="A33" s="126" t="s">
        <v>97</v>
      </c>
      <c r="B33" s="7"/>
      <c r="C33" s="7">
        <v>4</v>
      </c>
      <c r="D33" s="133" t="s">
        <v>65</v>
      </c>
      <c r="E33" s="7">
        <v>0.61</v>
      </c>
      <c r="F33" s="88">
        <v>42390.557064999994</v>
      </c>
      <c r="G33" s="237">
        <f t="shared" si="6"/>
        <v>42390.557064999994</v>
      </c>
      <c r="H33" s="131">
        <f t="shared" si="0"/>
        <v>0</v>
      </c>
      <c r="I33" s="106"/>
      <c r="J33" s="88">
        <f t="shared" si="2"/>
        <v>0</v>
      </c>
      <c r="K33" s="88">
        <f t="shared" si="3"/>
        <v>32615.010299999998</v>
      </c>
      <c r="L33" s="166">
        <f t="shared" si="4"/>
        <v>0</v>
      </c>
      <c r="M33" s="6">
        <f t="shared" si="5"/>
        <v>32615.010299999998</v>
      </c>
      <c r="N33" s="11">
        <f t="shared" si="1"/>
        <v>34571.910918000001</v>
      </c>
    </row>
    <row r="34" spans="1:17" x14ac:dyDescent="0.25">
      <c r="A34" s="126" t="s">
        <v>97</v>
      </c>
      <c r="B34" s="7"/>
      <c r="C34" s="7">
        <v>5</v>
      </c>
      <c r="D34" s="133" t="s">
        <v>38</v>
      </c>
      <c r="E34" s="7">
        <v>0.54</v>
      </c>
      <c r="F34" s="88">
        <v>37526.066910000001</v>
      </c>
      <c r="G34" s="237">
        <f t="shared" si="6"/>
        <v>37526.066910000001</v>
      </c>
      <c r="H34" s="131">
        <f t="shared" si="0"/>
        <v>0</v>
      </c>
      <c r="I34" s="106"/>
      <c r="J34" s="88">
        <f t="shared" si="2"/>
        <v>0</v>
      </c>
      <c r="K34" s="88">
        <f t="shared" si="3"/>
        <v>28872.304200000002</v>
      </c>
      <c r="L34" s="166">
        <f t="shared" si="4"/>
        <v>0</v>
      </c>
      <c r="M34" s="6">
        <f t="shared" si="5"/>
        <v>28872.304200000002</v>
      </c>
      <c r="N34" s="11">
        <f t="shared" si="1"/>
        <v>30604.642452000004</v>
      </c>
    </row>
    <row r="35" spans="1:17" x14ac:dyDescent="0.25">
      <c r="A35" s="126" t="s">
        <v>97</v>
      </c>
      <c r="B35" s="7"/>
      <c r="C35" s="7">
        <v>6</v>
      </c>
      <c r="D35" s="133" t="s">
        <v>46</v>
      </c>
      <c r="E35" s="7">
        <v>0.5</v>
      </c>
      <c r="F35" s="11">
        <v>36831.139745</v>
      </c>
      <c r="G35" s="238">
        <f>F35</f>
        <v>36831.139745</v>
      </c>
      <c r="H35" s="131">
        <f t="shared" si="0"/>
        <v>0</v>
      </c>
      <c r="I35" s="106"/>
      <c r="J35" s="88">
        <f t="shared" si="2"/>
        <v>0</v>
      </c>
      <c r="K35" s="88">
        <f t="shared" si="3"/>
        <v>26733.615000000002</v>
      </c>
      <c r="L35" s="166">
        <f t="shared" si="4"/>
        <v>0</v>
      </c>
      <c r="M35" s="6">
        <f t="shared" si="5"/>
        <v>26733.615000000002</v>
      </c>
      <c r="N35" s="11">
        <f t="shared" si="1"/>
        <v>28337.6319</v>
      </c>
    </row>
    <row r="36" spans="1:17" x14ac:dyDescent="0.25">
      <c r="A36" s="126" t="s">
        <v>97</v>
      </c>
      <c r="B36" s="7"/>
      <c r="C36" s="7">
        <v>7</v>
      </c>
      <c r="D36" s="133" t="s">
        <v>61</v>
      </c>
      <c r="E36" s="7">
        <v>0.5</v>
      </c>
      <c r="F36" s="88">
        <v>34746.358249999997</v>
      </c>
      <c r="G36" s="237">
        <f t="shared" ref="G36:G41" si="7">F36</f>
        <v>34746.358249999997</v>
      </c>
      <c r="H36" s="131">
        <f t="shared" si="0"/>
        <v>0</v>
      </c>
      <c r="I36" s="106"/>
      <c r="J36" s="88">
        <f t="shared" si="2"/>
        <v>0</v>
      </c>
      <c r="K36" s="88">
        <f t="shared" si="3"/>
        <v>26733.615000000002</v>
      </c>
      <c r="L36" s="166">
        <f t="shared" si="4"/>
        <v>0</v>
      </c>
      <c r="M36" s="6">
        <f t="shared" si="5"/>
        <v>26733.615000000002</v>
      </c>
      <c r="N36" s="11">
        <f t="shared" si="1"/>
        <v>28337.6319</v>
      </c>
    </row>
    <row r="37" spans="1:17" x14ac:dyDescent="0.25">
      <c r="A37" s="126" t="s">
        <v>97</v>
      </c>
      <c r="B37" s="7"/>
      <c r="C37" s="7">
        <v>8</v>
      </c>
      <c r="D37" s="133" t="s">
        <v>58</v>
      </c>
      <c r="E37" s="7">
        <v>0.49</v>
      </c>
      <c r="F37" s="88">
        <v>34051.431084999997</v>
      </c>
      <c r="G37" s="237">
        <f t="shared" si="7"/>
        <v>34051.431084999997</v>
      </c>
      <c r="H37" s="131">
        <f t="shared" si="0"/>
        <v>0</v>
      </c>
      <c r="I37" s="106"/>
      <c r="J37" s="88">
        <f t="shared" si="2"/>
        <v>0</v>
      </c>
      <c r="K37" s="88">
        <f t="shared" si="3"/>
        <v>26198.9427</v>
      </c>
      <c r="L37" s="166">
        <f t="shared" si="4"/>
        <v>0</v>
      </c>
      <c r="M37" s="6">
        <f t="shared" si="5"/>
        <v>26198.9427</v>
      </c>
      <c r="N37" s="11">
        <f t="shared" si="1"/>
        <v>27770.879261999999</v>
      </c>
    </row>
    <row r="38" spans="1:17" x14ac:dyDescent="0.25">
      <c r="A38" s="126" t="s">
        <v>97</v>
      </c>
      <c r="B38" s="7"/>
      <c r="C38" s="7">
        <v>9</v>
      </c>
      <c r="D38" s="133" t="s">
        <v>53</v>
      </c>
      <c r="E38" s="7">
        <v>0.49</v>
      </c>
      <c r="F38" s="88">
        <v>34051.431084999997</v>
      </c>
      <c r="G38" s="237">
        <f t="shared" si="7"/>
        <v>34051.431084999997</v>
      </c>
      <c r="H38" s="131">
        <f t="shared" si="0"/>
        <v>0</v>
      </c>
      <c r="I38" s="106"/>
      <c r="J38" s="88">
        <f t="shared" si="2"/>
        <v>0</v>
      </c>
      <c r="K38" s="88">
        <f t="shared" si="3"/>
        <v>26198.9427</v>
      </c>
      <c r="L38" s="166">
        <f t="shared" si="4"/>
        <v>0</v>
      </c>
      <c r="M38" s="6">
        <f t="shared" si="5"/>
        <v>26198.9427</v>
      </c>
      <c r="N38" s="11">
        <f t="shared" si="1"/>
        <v>27770.879261999999</v>
      </c>
    </row>
    <row r="39" spans="1:17" x14ac:dyDescent="0.25">
      <c r="A39" s="126" t="s">
        <v>97</v>
      </c>
      <c r="B39" s="7"/>
      <c r="C39" s="7">
        <v>10</v>
      </c>
      <c r="D39" s="133" t="s">
        <v>63</v>
      </c>
      <c r="E39" s="7">
        <v>0.59</v>
      </c>
      <c r="F39" s="88">
        <v>41000.702734999999</v>
      </c>
      <c r="G39" s="237">
        <f t="shared" si="7"/>
        <v>41000.702734999999</v>
      </c>
      <c r="H39" s="131">
        <f t="shared" si="0"/>
        <v>0</v>
      </c>
      <c r="I39" s="106"/>
      <c r="J39" s="88">
        <f t="shared" si="2"/>
        <v>0</v>
      </c>
      <c r="K39" s="88">
        <f t="shared" si="3"/>
        <v>31545.665699999998</v>
      </c>
      <c r="L39" s="166">
        <f t="shared" si="4"/>
        <v>0</v>
      </c>
      <c r="M39" s="6">
        <f t="shared" si="5"/>
        <v>31545.665699999998</v>
      </c>
      <c r="N39" s="11">
        <f t="shared" si="1"/>
        <v>33438.405641999998</v>
      </c>
    </row>
    <row r="40" spans="1:17" x14ac:dyDescent="0.25">
      <c r="A40" s="126" t="s">
        <v>97</v>
      </c>
      <c r="B40" s="7"/>
      <c r="C40" s="7">
        <v>11</v>
      </c>
      <c r="D40" s="133" t="s">
        <v>63</v>
      </c>
      <c r="E40" s="7">
        <v>0.56999999999999995</v>
      </c>
      <c r="F40" s="88">
        <v>39610.848404999997</v>
      </c>
      <c r="G40" s="237">
        <f t="shared" si="7"/>
        <v>39610.848404999997</v>
      </c>
      <c r="H40" s="131">
        <f t="shared" si="0"/>
        <v>0</v>
      </c>
      <c r="I40" s="106"/>
      <c r="J40" s="88">
        <f t="shared" si="2"/>
        <v>0</v>
      </c>
      <c r="K40" s="88">
        <f t="shared" si="3"/>
        <v>30476.321099999997</v>
      </c>
      <c r="L40" s="166">
        <f t="shared" si="4"/>
        <v>0</v>
      </c>
      <c r="M40" s="6">
        <f t="shared" si="5"/>
        <v>30476.321099999997</v>
      </c>
      <c r="N40" s="11">
        <f t="shared" si="1"/>
        <v>32304.900365999998</v>
      </c>
    </row>
    <row r="41" spans="1:17" x14ac:dyDescent="0.25">
      <c r="A41" s="126" t="s">
        <v>97</v>
      </c>
      <c r="B41" s="7"/>
      <c r="C41" s="7">
        <v>12</v>
      </c>
      <c r="D41" s="133" t="s">
        <v>51</v>
      </c>
      <c r="E41" s="7">
        <v>0.54</v>
      </c>
      <c r="F41" s="88">
        <v>37526.066910000001</v>
      </c>
      <c r="G41" s="237">
        <f t="shared" si="7"/>
        <v>37526.066910000001</v>
      </c>
      <c r="H41" s="131">
        <f t="shared" si="0"/>
        <v>0</v>
      </c>
      <c r="I41" s="106"/>
      <c r="J41" s="88">
        <f t="shared" si="2"/>
        <v>0</v>
      </c>
      <c r="K41" s="88">
        <f t="shared" si="3"/>
        <v>28872.304200000002</v>
      </c>
      <c r="L41" s="166">
        <f t="shared" si="4"/>
        <v>0</v>
      </c>
      <c r="M41" s="6">
        <f t="shared" si="5"/>
        <v>28872.304200000002</v>
      </c>
      <c r="N41" s="11">
        <f t="shared" si="1"/>
        <v>30604.642452000004</v>
      </c>
    </row>
    <row r="42" spans="1:17" x14ac:dyDescent="0.25">
      <c r="A42" s="126" t="s">
        <v>97</v>
      </c>
      <c r="B42" s="7"/>
      <c r="C42" s="7">
        <v>13</v>
      </c>
      <c r="D42" s="133" t="s">
        <v>67</v>
      </c>
      <c r="E42" s="7">
        <v>0.55000000000000004</v>
      </c>
      <c r="F42" s="88">
        <v>38220.994075000002</v>
      </c>
      <c r="G42" s="237">
        <f>F42</f>
        <v>38220.994075000002</v>
      </c>
      <c r="H42" s="131">
        <f t="shared" si="0"/>
        <v>0</v>
      </c>
      <c r="I42" s="106"/>
      <c r="J42" s="88">
        <f t="shared" si="2"/>
        <v>0</v>
      </c>
      <c r="K42" s="88">
        <f t="shared" si="3"/>
        <v>29406.976500000004</v>
      </c>
      <c r="L42" s="166">
        <f t="shared" si="4"/>
        <v>0</v>
      </c>
      <c r="M42" s="6">
        <f t="shared" si="5"/>
        <v>29406.976500000004</v>
      </c>
      <c r="N42" s="11">
        <f t="shared" si="1"/>
        <v>31171.395090000005</v>
      </c>
    </row>
    <row r="43" spans="1:17" x14ac:dyDescent="0.25">
      <c r="A43" s="126" t="s">
        <v>97</v>
      </c>
      <c r="B43" s="7"/>
      <c r="C43" s="7">
        <v>14</v>
      </c>
      <c r="D43" s="133" t="s">
        <v>67</v>
      </c>
      <c r="E43" s="7">
        <v>0.45</v>
      </c>
      <c r="F43" s="88">
        <v>31271.722424999996</v>
      </c>
      <c r="G43" s="237">
        <f t="shared" ref="G43:G44" si="8">F43</f>
        <v>31271.722424999996</v>
      </c>
      <c r="H43" s="131">
        <f t="shared" si="0"/>
        <v>0</v>
      </c>
      <c r="I43" s="106"/>
      <c r="J43" s="88">
        <f t="shared" si="2"/>
        <v>0</v>
      </c>
      <c r="K43" s="88">
        <f t="shared" si="3"/>
        <v>24060.253500000003</v>
      </c>
      <c r="L43" s="166">
        <f t="shared" si="4"/>
        <v>0</v>
      </c>
      <c r="M43" s="6">
        <f t="shared" si="5"/>
        <v>24060.253500000003</v>
      </c>
      <c r="N43" s="11">
        <f t="shared" si="1"/>
        <v>25503.868710000002</v>
      </c>
      <c r="P43" s="109">
        <f>L1-K52</f>
        <v>0.98104900121688843</v>
      </c>
    </row>
    <row r="44" spans="1:17" x14ac:dyDescent="0.25">
      <c r="A44" s="126" t="s">
        <v>97</v>
      </c>
      <c r="B44" s="7"/>
      <c r="C44" s="7">
        <v>15</v>
      </c>
      <c r="D44" s="133" t="s">
        <v>67</v>
      </c>
      <c r="E44" s="7">
        <v>0.61</v>
      </c>
      <c r="F44" s="88">
        <v>42390.557064999994</v>
      </c>
      <c r="G44" s="237">
        <f t="shared" si="8"/>
        <v>42390.557064999994</v>
      </c>
      <c r="H44" s="131">
        <f t="shared" si="0"/>
        <v>0</v>
      </c>
      <c r="I44" s="106"/>
      <c r="J44" s="88">
        <f t="shared" si="2"/>
        <v>0</v>
      </c>
      <c r="K44" s="88">
        <f t="shared" si="3"/>
        <v>32615.010299999998</v>
      </c>
      <c r="L44" s="166">
        <f t="shared" si="4"/>
        <v>0</v>
      </c>
      <c r="M44" s="6">
        <f t="shared" si="5"/>
        <v>32615.010299999998</v>
      </c>
      <c r="N44" s="11">
        <f t="shared" si="1"/>
        <v>34571.910918000001</v>
      </c>
    </row>
    <row r="45" spans="1:17" x14ac:dyDescent="0.25">
      <c r="A45" s="126" t="s">
        <v>97</v>
      </c>
      <c r="B45" s="7"/>
      <c r="C45" s="7">
        <v>16</v>
      </c>
      <c r="D45" s="133" t="s">
        <v>54</v>
      </c>
      <c r="E45" s="7">
        <v>0.54</v>
      </c>
      <c r="F45" s="88">
        <v>37526.066910000001</v>
      </c>
      <c r="G45" s="237">
        <f t="shared" ref="G45:G51" si="9">F45</f>
        <v>37526.066910000001</v>
      </c>
      <c r="H45" s="131">
        <f t="shared" si="0"/>
        <v>0</v>
      </c>
      <c r="I45" s="106"/>
      <c r="J45" s="88">
        <f t="shared" si="2"/>
        <v>0</v>
      </c>
      <c r="K45" s="88">
        <f t="shared" si="3"/>
        <v>28872.304200000002</v>
      </c>
      <c r="L45" s="166">
        <f t="shared" si="4"/>
        <v>0</v>
      </c>
      <c r="M45" s="6">
        <f t="shared" si="5"/>
        <v>28872.304200000002</v>
      </c>
      <c r="N45" s="11">
        <f t="shared" si="1"/>
        <v>30604.642452000004</v>
      </c>
    </row>
    <row r="46" spans="1:17" x14ac:dyDescent="0.25">
      <c r="A46" s="126" t="s">
        <v>97</v>
      </c>
      <c r="B46" s="7"/>
      <c r="C46" s="7">
        <v>17</v>
      </c>
      <c r="D46" s="133" t="s">
        <v>56</v>
      </c>
      <c r="E46" s="7">
        <v>0.5</v>
      </c>
      <c r="F46" s="88">
        <v>34746.358249999997</v>
      </c>
      <c r="G46" s="237"/>
      <c r="H46" s="131">
        <f t="shared" si="0"/>
        <v>34746.358249999997</v>
      </c>
      <c r="I46" s="106"/>
      <c r="J46" s="88">
        <f t="shared" si="2"/>
        <v>0</v>
      </c>
      <c r="K46" s="88">
        <f t="shared" si="3"/>
        <v>26733.615000000002</v>
      </c>
      <c r="L46" s="166">
        <f t="shared" si="4"/>
        <v>0</v>
      </c>
      <c r="M46" s="6">
        <f t="shared" si="5"/>
        <v>61479.973249999995</v>
      </c>
      <c r="N46" s="11">
        <f t="shared" si="1"/>
        <v>65168.771644999993</v>
      </c>
      <c r="Q46" t="s">
        <v>133</v>
      </c>
    </row>
    <row r="47" spans="1:17" x14ac:dyDescent="0.25">
      <c r="A47" s="126" t="s">
        <v>97</v>
      </c>
      <c r="B47" s="7"/>
      <c r="C47" s="7">
        <v>18</v>
      </c>
      <c r="D47" s="133" t="s">
        <v>48</v>
      </c>
      <c r="E47" s="7">
        <v>0.5</v>
      </c>
      <c r="F47" s="88">
        <v>36831.139745</v>
      </c>
      <c r="G47" s="237">
        <f t="shared" si="9"/>
        <v>36831.139745</v>
      </c>
      <c r="H47" s="131">
        <f t="shared" si="0"/>
        <v>0</v>
      </c>
      <c r="I47" s="106"/>
      <c r="J47" s="88">
        <f t="shared" si="2"/>
        <v>0</v>
      </c>
      <c r="K47" s="88">
        <f t="shared" si="3"/>
        <v>26733.615000000002</v>
      </c>
      <c r="L47" s="166">
        <f t="shared" si="4"/>
        <v>0</v>
      </c>
      <c r="M47" s="6">
        <f t="shared" si="5"/>
        <v>26733.615000000002</v>
      </c>
      <c r="N47" s="11">
        <f t="shared" si="1"/>
        <v>28337.6319</v>
      </c>
      <c r="O47" s="138"/>
      <c r="Q47" s="135">
        <f>M3-J52</f>
        <v>0</v>
      </c>
    </row>
    <row r="48" spans="1:17" x14ac:dyDescent="0.25">
      <c r="A48" s="126" t="s">
        <v>97</v>
      </c>
      <c r="B48" s="7"/>
      <c r="C48" s="7">
        <v>19</v>
      </c>
      <c r="D48" s="133" t="s">
        <v>48</v>
      </c>
      <c r="E48" s="7">
        <v>0.49</v>
      </c>
      <c r="F48" s="88">
        <v>36094.516950099998</v>
      </c>
      <c r="G48" s="237">
        <f t="shared" si="9"/>
        <v>36094.516950099998</v>
      </c>
      <c r="H48" s="131">
        <f t="shared" si="0"/>
        <v>0</v>
      </c>
      <c r="I48" s="106"/>
      <c r="J48" s="88">
        <f t="shared" si="2"/>
        <v>0</v>
      </c>
      <c r="K48" s="88">
        <f t="shared" si="3"/>
        <v>26198.9427</v>
      </c>
      <c r="L48" s="166">
        <f t="shared" si="4"/>
        <v>0</v>
      </c>
      <c r="M48" s="6">
        <f t="shared" si="5"/>
        <v>26198.9427</v>
      </c>
      <c r="N48" s="11">
        <f t="shared" si="1"/>
        <v>27770.879261999999</v>
      </c>
    </row>
    <row r="49" spans="1:16" x14ac:dyDescent="0.25">
      <c r="A49" s="126" t="s">
        <v>97</v>
      </c>
      <c r="B49" s="7"/>
      <c r="C49" s="7">
        <v>20</v>
      </c>
      <c r="D49" s="133" t="str">
        <f>D16</f>
        <v>FEUILLANT, GASTON</v>
      </c>
      <c r="E49" s="7">
        <v>0.49</v>
      </c>
      <c r="F49" s="88">
        <v>34051.431084999997</v>
      </c>
      <c r="G49" s="237">
        <f>F49</f>
        <v>34051.431084999997</v>
      </c>
      <c r="H49" s="131">
        <f t="shared" si="0"/>
        <v>0</v>
      </c>
      <c r="I49" s="106"/>
      <c r="J49" s="88">
        <f t="shared" si="2"/>
        <v>0</v>
      </c>
      <c r="K49" s="88">
        <f t="shared" si="3"/>
        <v>26198.9427</v>
      </c>
      <c r="L49" s="166">
        <f t="shared" si="4"/>
        <v>0</v>
      </c>
      <c r="M49" s="6">
        <f t="shared" si="5"/>
        <v>26198.9427</v>
      </c>
      <c r="N49" s="11">
        <f t="shared" si="1"/>
        <v>27770.879261999999</v>
      </c>
    </row>
    <row r="50" spans="1:16" x14ac:dyDescent="0.25">
      <c r="A50" s="126" t="s">
        <v>97</v>
      </c>
      <c r="B50" s="7"/>
      <c r="C50" s="7">
        <v>21</v>
      </c>
      <c r="D50" s="133" t="s">
        <v>43</v>
      </c>
      <c r="E50" s="7">
        <v>0.59</v>
      </c>
      <c r="F50" s="88">
        <v>41000.702734999999</v>
      </c>
      <c r="G50" s="238">
        <f>F50</f>
        <v>41000.702734999999</v>
      </c>
      <c r="H50" s="131">
        <f t="shared" si="0"/>
        <v>0</v>
      </c>
      <c r="I50" s="106"/>
      <c r="J50" s="88">
        <f t="shared" si="2"/>
        <v>0</v>
      </c>
      <c r="K50" s="88">
        <f t="shared" si="3"/>
        <v>31545.665699999998</v>
      </c>
      <c r="L50" s="166">
        <f t="shared" si="4"/>
        <v>0</v>
      </c>
      <c r="M50" s="6">
        <f t="shared" si="5"/>
        <v>31545.665699999998</v>
      </c>
      <c r="N50" s="11">
        <f t="shared" si="1"/>
        <v>33438.405641999998</v>
      </c>
    </row>
    <row r="51" spans="1:16" x14ac:dyDescent="0.25">
      <c r="A51" s="126" t="s">
        <v>97</v>
      </c>
      <c r="B51" s="7"/>
      <c r="C51" s="7">
        <v>22</v>
      </c>
      <c r="D51" s="133" t="s">
        <v>50</v>
      </c>
      <c r="E51" s="7">
        <v>0.56999999999999995</v>
      </c>
      <c r="F51" s="88">
        <v>39610.848404999997</v>
      </c>
      <c r="G51" s="237">
        <f t="shared" si="9"/>
        <v>39610.848404999997</v>
      </c>
      <c r="H51" s="131">
        <f t="shared" si="0"/>
        <v>0</v>
      </c>
      <c r="I51" s="106"/>
      <c r="J51" s="88">
        <f t="shared" si="2"/>
        <v>0</v>
      </c>
      <c r="K51" s="88">
        <f t="shared" si="3"/>
        <v>30476.321099999997</v>
      </c>
      <c r="L51" s="166">
        <f t="shared" si="4"/>
        <v>0</v>
      </c>
      <c r="M51" s="6">
        <f t="shared" si="5"/>
        <v>30476.321099999997</v>
      </c>
      <c r="N51" s="11">
        <f t="shared" si="1"/>
        <v>32304.900365999998</v>
      </c>
    </row>
    <row r="52" spans="1:16" ht="14.25" customHeight="1" x14ac:dyDescent="0.25">
      <c r="A52" s="89"/>
      <c r="B52" s="89"/>
      <c r="C52" s="89"/>
      <c r="D52" s="89"/>
      <c r="E52" s="89">
        <f>SUM(E7:E51)</f>
        <v>99.999999999999986</v>
      </c>
      <c r="F52" s="90">
        <f>SUM(F7:F51)</f>
        <v>6502504.5722166849</v>
      </c>
      <c r="G52" s="90">
        <f>SUM(G7:G51)</f>
        <v>6849105.1357215978</v>
      </c>
      <c r="H52" s="89"/>
      <c r="I52" s="89"/>
      <c r="J52" s="127">
        <f>SUM(J8:J51)</f>
        <v>0</v>
      </c>
      <c r="K52" s="90">
        <f>SUM(K7:K51)</f>
        <v>5245103.4089509984</v>
      </c>
      <c r="L52" s="177">
        <f>SUM(L7:L51)</f>
        <v>15184.7</v>
      </c>
      <c r="M52" s="91">
        <f>SUM(M7:M51)</f>
        <v>4913687.5454460867</v>
      </c>
      <c r="N52" s="90">
        <f>SUM(N7:N51)</f>
        <v>5208508.7981728548</v>
      </c>
      <c r="P52" s="135"/>
    </row>
    <row r="53" spans="1:16" hidden="1" x14ac:dyDescent="0.25">
      <c r="K53" s="138">
        <f>K52-L1</f>
        <v>-0.98104900121688843</v>
      </c>
    </row>
    <row r="54" spans="1:16" ht="15" hidden="1" customHeight="1" x14ac:dyDescent="0.25">
      <c r="C54" s="194"/>
      <c r="D54" s="194"/>
      <c r="E54" s="194"/>
      <c r="F54" s="194"/>
      <c r="G54" s="194"/>
      <c r="H54" s="194"/>
      <c r="I54" s="194"/>
      <c r="J54" s="194"/>
      <c r="K54" s="194"/>
      <c r="L54" s="194"/>
      <c r="M54" s="194"/>
      <c r="N54" s="194"/>
    </row>
    <row r="55" spans="1:16" hidden="1" x14ac:dyDescent="0.25"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</row>
    <row r="56" spans="1:16" x14ac:dyDescent="0.25">
      <c r="C56" s="169"/>
      <c r="D56" s="169"/>
      <c r="E56" s="169"/>
      <c r="F56" s="169"/>
      <c r="G56" s="169"/>
      <c r="H56" s="169"/>
      <c r="I56" s="169"/>
      <c r="J56" s="169"/>
      <c r="K56" s="169"/>
      <c r="L56" s="169"/>
      <c r="M56" s="169"/>
      <c r="N56" s="169"/>
    </row>
    <row r="57" spans="1:16" x14ac:dyDescent="0.25">
      <c r="C57" s="194" t="s">
        <v>130</v>
      </c>
      <c r="D57" s="194"/>
      <c r="E57" s="194"/>
      <c r="F57" s="194"/>
      <c r="G57" s="194"/>
      <c r="H57" s="194"/>
      <c r="I57" s="194"/>
      <c r="J57" s="194"/>
      <c r="K57" s="194"/>
      <c r="L57" s="194"/>
      <c r="M57" s="194"/>
      <c r="N57" s="194"/>
    </row>
    <row r="58" spans="1:16" x14ac:dyDescent="0.25">
      <c r="C58" s="194"/>
      <c r="D58" s="194"/>
      <c r="E58" s="194"/>
      <c r="F58" s="194"/>
      <c r="G58" s="194"/>
      <c r="H58" s="194"/>
      <c r="I58" s="194"/>
      <c r="J58" s="194"/>
      <c r="K58" s="194"/>
      <c r="L58" s="194"/>
      <c r="M58" s="194"/>
      <c r="N58" s="194"/>
    </row>
    <row r="59" spans="1:16" x14ac:dyDescent="0.25">
      <c r="C59" s="194"/>
      <c r="D59" s="194"/>
      <c r="E59" s="194"/>
      <c r="F59" s="194"/>
      <c r="G59" s="194"/>
      <c r="H59" s="194"/>
      <c r="I59" s="194"/>
      <c r="J59" s="194"/>
      <c r="K59" s="194"/>
      <c r="L59" s="194"/>
      <c r="M59" s="194"/>
      <c r="N59" s="194"/>
    </row>
    <row r="60" spans="1:16" x14ac:dyDescent="0.25">
      <c r="C60" s="194"/>
      <c r="D60" s="194"/>
      <c r="E60" s="194"/>
      <c r="F60" s="194"/>
      <c r="G60" s="194"/>
      <c r="H60" s="194"/>
      <c r="I60" s="194"/>
      <c r="J60" s="194"/>
      <c r="K60" s="194"/>
      <c r="L60" s="194"/>
      <c r="M60" s="194"/>
      <c r="N60" s="194"/>
    </row>
    <row r="61" spans="1:16" x14ac:dyDescent="0.25">
      <c r="C61" s="194"/>
      <c r="D61" s="194"/>
      <c r="E61" s="194"/>
      <c r="F61" s="194"/>
      <c r="G61" s="194"/>
      <c r="H61" s="194"/>
      <c r="I61" s="194"/>
      <c r="J61" s="194"/>
      <c r="K61" s="194"/>
      <c r="L61" s="194"/>
      <c r="M61" s="194"/>
      <c r="N61" s="194"/>
    </row>
    <row r="62" spans="1:16" x14ac:dyDescent="0.25">
      <c r="C62" s="194"/>
      <c r="D62" s="194"/>
      <c r="E62" s="194"/>
      <c r="F62" s="194"/>
      <c r="G62" s="194"/>
      <c r="H62" s="194"/>
      <c r="I62" s="194"/>
      <c r="J62" s="194"/>
      <c r="K62" s="194"/>
      <c r="L62" s="194"/>
      <c r="M62" s="194"/>
      <c r="N62" s="194"/>
    </row>
    <row r="63" spans="1:16" x14ac:dyDescent="0.25">
      <c r="C63" s="194"/>
      <c r="D63" s="194"/>
      <c r="E63" s="194"/>
      <c r="F63" s="194"/>
      <c r="G63" s="194"/>
      <c r="H63" s="194"/>
      <c r="I63" s="194"/>
      <c r="J63" s="194"/>
      <c r="K63" s="194"/>
      <c r="L63" s="194"/>
      <c r="M63" s="194"/>
      <c r="N63" s="194"/>
    </row>
  </sheetData>
  <mergeCells count="17">
    <mergeCell ref="A5:A6"/>
    <mergeCell ref="B5:B6"/>
    <mergeCell ref="C5:C6"/>
    <mergeCell ref="D5:D6"/>
    <mergeCell ref="E5:E6"/>
    <mergeCell ref="F5:F6"/>
    <mergeCell ref="C57:N63"/>
    <mergeCell ref="C54:N55"/>
    <mergeCell ref="L1:M1"/>
    <mergeCell ref="N5:N6"/>
    <mergeCell ref="G5:G6"/>
    <mergeCell ref="H5:H6"/>
    <mergeCell ref="J5:J6"/>
    <mergeCell ref="K5:K6"/>
    <mergeCell ref="L5:L6"/>
    <mergeCell ref="M5:M6"/>
    <mergeCell ref="I5:I6"/>
  </mergeCells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3"/>
  <sheetViews>
    <sheetView topLeftCell="A7" workbookViewId="0">
      <selection activeCell="N2" sqref="N2"/>
    </sheetView>
  </sheetViews>
  <sheetFormatPr baseColWidth="10" defaultRowHeight="15" x14ac:dyDescent="0.25"/>
  <cols>
    <col min="1" max="1" width="8.42578125" customWidth="1"/>
    <col min="2" max="2" width="17.7109375" customWidth="1"/>
    <col min="3" max="3" width="8.85546875" customWidth="1"/>
    <col min="12" max="12" width="13.7109375" customWidth="1"/>
    <col min="13" max="13" width="11.42578125" hidden="1" customWidth="1"/>
  </cols>
  <sheetData>
    <row r="1" spans="1:15" x14ac:dyDescent="0.25">
      <c r="A1" s="48"/>
      <c r="B1" s="49"/>
      <c r="C1" s="49"/>
      <c r="D1" s="50" t="s">
        <v>18</v>
      </c>
      <c r="E1" s="50"/>
      <c r="F1" s="49"/>
      <c r="G1" s="49"/>
      <c r="H1" s="49"/>
      <c r="I1" s="49"/>
      <c r="J1" s="49"/>
      <c r="K1" s="49"/>
      <c r="L1" s="50" t="s">
        <v>71</v>
      </c>
      <c r="M1" s="49"/>
      <c r="N1" s="52" t="str">
        <f>RESUMEN!C5</f>
        <v>VTO. 14/05</v>
      </c>
      <c r="O1" s="52"/>
    </row>
    <row r="2" spans="1:15" x14ac:dyDescent="0.25">
      <c r="A2" s="49"/>
      <c r="B2" s="51"/>
      <c r="C2" s="51"/>
      <c r="D2" s="50" t="s">
        <v>19</v>
      </c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</row>
    <row r="3" spans="1:15" x14ac:dyDescent="0.25">
      <c r="A3" s="49"/>
      <c r="B3" s="51"/>
      <c r="C3" s="51"/>
      <c r="D3" s="50"/>
      <c r="E3" s="49"/>
      <c r="F3" s="49"/>
      <c r="G3" s="49"/>
      <c r="H3" s="49"/>
      <c r="I3" s="49"/>
      <c r="J3" s="50" t="s">
        <v>72</v>
      </c>
      <c r="K3" s="50"/>
      <c r="L3" s="53">
        <v>249991.29847799998</v>
      </c>
      <c r="M3" s="49"/>
      <c r="N3" s="54">
        <v>-1891.33</v>
      </c>
      <c r="O3" s="54"/>
    </row>
    <row r="4" spans="1:15" ht="15.75" thickBot="1" x14ac:dyDescent="0.3">
      <c r="A4" s="49"/>
      <c r="B4" s="51"/>
      <c r="C4" s="51"/>
      <c r="D4" s="50"/>
      <c r="E4" s="49"/>
      <c r="F4" s="49"/>
      <c r="G4" s="49"/>
      <c r="H4" s="49"/>
      <c r="I4" s="49"/>
      <c r="J4" s="50" t="s">
        <v>73</v>
      </c>
      <c r="K4" s="50"/>
      <c r="L4" s="53">
        <v>0</v>
      </c>
      <c r="M4" s="49"/>
      <c r="N4" s="49"/>
      <c r="O4" s="49"/>
    </row>
    <row r="5" spans="1:15" ht="30" x14ac:dyDescent="0.25">
      <c r="A5" s="234" t="s">
        <v>74</v>
      </c>
      <c r="B5" s="234" t="s">
        <v>23</v>
      </c>
      <c r="C5" s="55" t="s">
        <v>75</v>
      </c>
      <c r="D5" s="35" t="s">
        <v>24</v>
      </c>
      <c r="E5" s="35" t="s">
        <v>25</v>
      </c>
      <c r="F5" s="234" t="s">
        <v>76</v>
      </c>
      <c r="G5" s="37" t="s">
        <v>77</v>
      </c>
      <c r="H5" s="38" t="s">
        <v>28</v>
      </c>
      <c r="I5" s="36" t="s">
        <v>78</v>
      </c>
      <c r="J5" s="39" t="s">
        <v>29</v>
      </c>
      <c r="K5" s="40" t="s">
        <v>29</v>
      </c>
      <c r="L5" s="37" t="s">
        <v>30</v>
      </c>
      <c r="M5" s="41"/>
      <c r="N5" s="234" t="s">
        <v>79</v>
      </c>
      <c r="O5" s="234" t="s">
        <v>80</v>
      </c>
    </row>
    <row r="6" spans="1:15" x14ac:dyDescent="0.25">
      <c r="A6" s="235"/>
      <c r="B6" s="235"/>
      <c r="C6" s="56" t="s">
        <v>81</v>
      </c>
      <c r="D6" s="42" t="s">
        <v>31</v>
      </c>
      <c r="E6" s="42" t="s">
        <v>32</v>
      </c>
      <c r="F6" s="235"/>
      <c r="G6" s="44" t="s">
        <v>82</v>
      </c>
      <c r="H6" s="45">
        <v>0.06</v>
      </c>
      <c r="I6" s="43" t="s">
        <v>83</v>
      </c>
      <c r="J6" s="46" t="s">
        <v>33</v>
      </c>
      <c r="K6" s="47" t="s">
        <v>84</v>
      </c>
      <c r="L6" s="44" t="s">
        <v>85</v>
      </c>
      <c r="M6" s="47"/>
      <c r="N6" s="235"/>
      <c r="O6" s="235"/>
    </row>
    <row r="7" spans="1:15" ht="15" customHeight="1" x14ac:dyDescent="0.25">
      <c r="A7" s="15">
        <v>1</v>
      </c>
      <c r="B7" s="84" t="s">
        <v>61</v>
      </c>
      <c r="C7" s="87">
        <v>5.4</v>
      </c>
      <c r="D7" s="6">
        <v>13967.239436680005</v>
      </c>
      <c r="E7" s="58">
        <f>D7</f>
        <v>13967.239436680005</v>
      </c>
      <c r="F7" s="23">
        <v>0</v>
      </c>
      <c r="G7" s="21">
        <v>0</v>
      </c>
      <c r="H7" s="27">
        <v>0</v>
      </c>
      <c r="I7" s="17">
        <v>0.54</v>
      </c>
      <c r="J7" s="23">
        <v>11608.200117812001</v>
      </c>
      <c r="K7" s="29">
        <v>0</v>
      </c>
      <c r="L7" s="21">
        <v>11608.200117812001</v>
      </c>
      <c r="M7" s="18"/>
      <c r="N7" s="6">
        <v>11608.200117812001</v>
      </c>
      <c r="O7" s="6">
        <v>12304.692124880721</v>
      </c>
    </row>
    <row r="8" spans="1:15" ht="15" customHeight="1" x14ac:dyDescent="0.25">
      <c r="A8" s="15">
        <v>2</v>
      </c>
      <c r="B8" s="84" t="s">
        <v>61</v>
      </c>
      <c r="C8" s="87">
        <v>5.5</v>
      </c>
      <c r="D8" s="6">
        <v>14267.901278100004</v>
      </c>
      <c r="E8" s="58">
        <f t="shared" ref="E8:E28" si="0">D8</f>
        <v>14267.901278100004</v>
      </c>
      <c r="F8" s="23">
        <v>0</v>
      </c>
      <c r="G8" s="21">
        <v>0</v>
      </c>
      <c r="H8" s="27">
        <v>0</v>
      </c>
      <c r="I8" s="17">
        <v>0.55000000000000004</v>
      </c>
      <c r="J8" s="23">
        <v>11858.191416289999</v>
      </c>
      <c r="K8" s="29">
        <v>0</v>
      </c>
      <c r="L8" s="21">
        <v>11858.191416289999</v>
      </c>
      <c r="M8" s="18"/>
      <c r="N8" s="6">
        <v>11858.191416289999</v>
      </c>
      <c r="O8" s="6">
        <v>12569.682901267399</v>
      </c>
    </row>
    <row r="9" spans="1:15" ht="15" customHeight="1" x14ac:dyDescent="0.25">
      <c r="A9" s="15">
        <v>3</v>
      </c>
      <c r="B9" s="84" t="s">
        <v>65</v>
      </c>
      <c r="C9" s="87">
        <v>4.5</v>
      </c>
      <c r="D9" s="6">
        <v>11261.282863900002</v>
      </c>
      <c r="E9" s="58">
        <f t="shared" si="0"/>
        <v>11261.282863900002</v>
      </c>
      <c r="F9" s="23">
        <v>0</v>
      </c>
      <c r="G9" s="21">
        <v>0</v>
      </c>
      <c r="H9" s="27">
        <v>0</v>
      </c>
      <c r="I9" s="17">
        <v>0.45</v>
      </c>
      <c r="J9" s="23">
        <v>9358.278431509998</v>
      </c>
      <c r="K9" s="29">
        <v>0</v>
      </c>
      <c r="L9" s="21">
        <v>9358.278431509998</v>
      </c>
      <c r="M9" s="18"/>
      <c r="N9" s="6">
        <v>9358.278431509998</v>
      </c>
      <c r="O9" s="6">
        <v>9919.7751374005984</v>
      </c>
    </row>
    <row r="10" spans="1:15" ht="15" customHeight="1" x14ac:dyDescent="0.25">
      <c r="A10" s="15">
        <v>4</v>
      </c>
      <c r="B10" s="84" t="s">
        <v>65</v>
      </c>
      <c r="C10" s="87">
        <v>6.1</v>
      </c>
      <c r="D10" s="6">
        <v>16071.872326620005</v>
      </c>
      <c r="E10" s="58">
        <f t="shared" si="0"/>
        <v>16071.872326620005</v>
      </c>
      <c r="F10" s="23">
        <v>0</v>
      </c>
      <c r="G10" s="21">
        <v>0</v>
      </c>
      <c r="H10" s="27">
        <v>0</v>
      </c>
      <c r="I10" s="17">
        <v>0.61</v>
      </c>
      <c r="J10" s="23">
        <v>13358.139207157999</v>
      </c>
      <c r="K10" s="29">
        <v>0</v>
      </c>
      <c r="L10" s="21">
        <v>13358.139207157999</v>
      </c>
      <c r="M10" s="18"/>
      <c r="N10" s="6">
        <v>13358.139207157999</v>
      </c>
      <c r="O10" s="6">
        <v>14159.627559587479</v>
      </c>
    </row>
    <row r="11" spans="1:15" ht="15" customHeight="1" x14ac:dyDescent="0.25">
      <c r="A11" s="15">
        <v>5</v>
      </c>
      <c r="B11" s="84" t="s">
        <v>38</v>
      </c>
      <c r="C11" s="87">
        <v>5.4</v>
      </c>
      <c r="D11" s="6">
        <v>13967.239436680005</v>
      </c>
      <c r="E11" s="58">
        <f t="shared" si="0"/>
        <v>13967.239436680005</v>
      </c>
      <c r="F11" s="23">
        <v>0</v>
      </c>
      <c r="G11" s="21">
        <v>0</v>
      </c>
      <c r="H11" s="27">
        <v>0</v>
      </c>
      <c r="I11" s="17">
        <v>0.54</v>
      </c>
      <c r="J11" s="23">
        <v>11608.200117812001</v>
      </c>
      <c r="K11" s="29">
        <v>0</v>
      </c>
      <c r="L11" s="21">
        <v>11608.200117812001</v>
      </c>
      <c r="M11" s="18"/>
      <c r="N11" s="6">
        <v>11608.200117812001</v>
      </c>
      <c r="O11" s="6">
        <v>12304.692124880721</v>
      </c>
    </row>
    <row r="12" spans="1:15" ht="15" customHeight="1" x14ac:dyDescent="0.25">
      <c r="A12" s="15">
        <v>6</v>
      </c>
      <c r="B12" s="85" t="s">
        <v>46</v>
      </c>
      <c r="C12" s="87">
        <v>5</v>
      </c>
      <c r="D12" s="6">
        <v>12764.592071000003</v>
      </c>
      <c r="E12" s="58">
        <f t="shared" si="0"/>
        <v>12764.592071000003</v>
      </c>
      <c r="F12" s="23">
        <v>0</v>
      </c>
      <c r="G12" s="21">
        <v>0</v>
      </c>
      <c r="H12" s="27">
        <v>0</v>
      </c>
      <c r="I12" s="17">
        <v>0.5</v>
      </c>
      <c r="J12" s="23">
        <v>10608.2349239</v>
      </c>
      <c r="K12" s="29">
        <v>0</v>
      </c>
      <c r="L12" s="21">
        <v>10608.2349239</v>
      </c>
      <c r="M12" s="18"/>
      <c r="N12" s="6">
        <v>10608.2349239</v>
      </c>
      <c r="O12" s="6">
        <v>11244.729019334</v>
      </c>
    </row>
    <row r="13" spans="1:15" ht="15" customHeight="1" x14ac:dyDescent="0.25">
      <c r="A13" s="15">
        <v>7</v>
      </c>
      <c r="B13" s="84" t="s">
        <v>61</v>
      </c>
      <c r="C13" s="87">
        <v>5</v>
      </c>
      <c r="D13" s="6">
        <v>12764.592071000003</v>
      </c>
      <c r="E13" s="58">
        <f t="shared" si="0"/>
        <v>12764.592071000003</v>
      </c>
      <c r="F13" s="23">
        <v>0</v>
      </c>
      <c r="G13" s="21">
        <v>0</v>
      </c>
      <c r="H13" s="27">
        <v>0</v>
      </c>
      <c r="I13" s="17">
        <v>0.5</v>
      </c>
      <c r="J13" s="23">
        <v>10608.2349239</v>
      </c>
      <c r="K13" s="29">
        <v>0</v>
      </c>
      <c r="L13" s="21">
        <v>10608.2349239</v>
      </c>
      <c r="M13" s="18"/>
      <c r="N13" s="6">
        <v>10608.2349239</v>
      </c>
      <c r="O13" s="6">
        <v>11244.729019334</v>
      </c>
    </row>
    <row r="14" spans="1:15" ht="15" customHeight="1" x14ac:dyDescent="0.25">
      <c r="A14" s="15">
        <v>8</v>
      </c>
      <c r="B14" s="84" t="s">
        <v>58</v>
      </c>
      <c r="C14" s="87">
        <v>4.9000000000000004</v>
      </c>
      <c r="D14" s="6">
        <v>12463.930229580003</v>
      </c>
      <c r="E14" s="58">
        <f t="shared" si="0"/>
        <v>12463.930229580003</v>
      </c>
      <c r="F14" s="23">
        <v>0</v>
      </c>
      <c r="G14" s="21">
        <v>0</v>
      </c>
      <c r="H14" s="27">
        <v>0</v>
      </c>
      <c r="I14" s="17">
        <v>0.49</v>
      </c>
      <c r="J14" s="23">
        <v>10358.243625421999</v>
      </c>
      <c r="K14" s="29">
        <v>0</v>
      </c>
      <c r="L14" s="21">
        <v>10358.243625421999</v>
      </c>
      <c r="M14" s="18"/>
      <c r="N14" s="6">
        <v>10358.243625421999</v>
      </c>
      <c r="O14" s="6">
        <v>10979.738242947318</v>
      </c>
    </row>
    <row r="15" spans="1:15" ht="15" customHeight="1" x14ac:dyDescent="0.25">
      <c r="A15" s="15">
        <v>9</v>
      </c>
      <c r="B15" s="84" t="s">
        <v>53</v>
      </c>
      <c r="C15" s="87">
        <v>4.9000000000000004</v>
      </c>
      <c r="D15" s="6">
        <v>12463.930229580003</v>
      </c>
      <c r="E15" s="58">
        <f t="shared" si="0"/>
        <v>12463.930229580003</v>
      </c>
      <c r="F15" s="23">
        <v>0</v>
      </c>
      <c r="G15" s="21">
        <v>0</v>
      </c>
      <c r="H15" s="27">
        <v>0</v>
      </c>
      <c r="I15" s="17">
        <v>0.49</v>
      </c>
      <c r="J15" s="23">
        <v>10358.243625421999</v>
      </c>
      <c r="K15" s="29">
        <v>0</v>
      </c>
      <c r="L15" s="21">
        <v>10358.243625421999</v>
      </c>
      <c r="M15" s="18"/>
      <c r="N15" s="6">
        <v>10358.243625421999</v>
      </c>
      <c r="O15" s="6">
        <v>10979.738242947318</v>
      </c>
    </row>
    <row r="16" spans="1:15" ht="15" customHeight="1" x14ac:dyDescent="0.25">
      <c r="A16" s="15">
        <v>10</v>
      </c>
      <c r="B16" s="84" t="s">
        <v>63</v>
      </c>
      <c r="C16" s="87">
        <v>5.9</v>
      </c>
      <c r="D16" s="6">
        <v>15470.548643780005</v>
      </c>
      <c r="E16" s="58">
        <f t="shared" si="0"/>
        <v>15470.548643780005</v>
      </c>
      <c r="F16" s="23">
        <v>0</v>
      </c>
      <c r="G16" s="21">
        <v>0</v>
      </c>
      <c r="H16" s="27">
        <v>0</v>
      </c>
      <c r="I16" s="17">
        <v>0.59</v>
      </c>
      <c r="J16" s="23">
        <v>12858.156610202001</v>
      </c>
      <c r="K16" s="29">
        <v>0</v>
      </c>
      <c r="L16" s="21">
        <v>12858.156610202001</v>
      </c>
      <c r="M16" s="18"/>
      <c r="N16" s="6">
        <v>12858.156610202001</v>
      </c>
      <c r="O16" s="6">
        <v>13629.64600681412</v>
      </c>
    </row>
    <row r="17" spans="1:15" ht="15" customHeight="1" x14ac:dyDescent="0.25">
      <c r="A17" s="15">
        <v>11</v>
      </c>
      <c r="B17" s="84" t="s">
        <v>63</v>
      </c>
      <c r="C17" s="87">
        <v>5.7</v>
      </c>
      <c r="D17" s="6">
        <v>14869.224960940002</v>
      </c>
      <c r="E17" s="58">
        <f t="shared" si="0"/>
        <v>14869.224960940002</v>
      </c>
      <c r="F17" s="23">
        <v>0</v>
      </c>
      <c r="G17" s="21">
        <v>0</v>
      </c>
      <c r="H17" s="27">
        <v>0</v>
      </c>
      <c r="I17" s="17">
        <v>0.56999999999999995</v>
      </c>
      <c r="J17" s="23">
        <v>12358.174013246</v>
      </c>
      <c r="K17" s="29">
        <v>0</v>
      </c>
      <c r="L17" s="21">
        <v>12358.174013246</v>
      </c>
      <c r="M17" s="18"/>
      <c r="N17" s="6">
        <v>12358.174013246</v>
      </c>
      <c r="O17" s="6">
        <v>13099.66445404076</v>
      </c>
    </row>
    <row r="18" spans="1:15" ht="15" customHeight="1" x14ac:dyDescent="0.25">
      <c r="A18" s="15">
        <v>12</v>
      </c>
      <c r="B18" s="84" t="s">
        <v>51</v>
      </c>
      <c r="C18" s="87">
        <v>5.4</v>
      </c>
      <c r="D18" s="6">
        <v>13967.239436680005</v>
      </c>
      <c r="E18" s="58">
        <f t="shared" si="0"/>
        <v>13967.239436680005</v>
      </c>
      <c r="F18" s="23">
        <v>0</v>
      </c>
      <c r="G18" s="21">
        <v>0</v>
      </c>
      <c r="H18" s="27">
        <v>0</v>
      </c>
      <c r="I18" s="17">
        <v>0.54</v>
      </c>
      <c r="J18" s="23">
        <v>11608.200117812001</v>
      </c>
      <c r="K18" s="29">
        <v>0</v>
      </c>
      <c r="L18" s="21">
        <v>11608.200117812001</v>
      </c>
      <c r="M18" s="18"/>
      <c r="N18" s="6">
        <v>11608.200117812001</v>
      </c>
      <c r="O18" s="6">
        <v>12304.692124880721</v>
      </c>
    </row>
    <row r="19" spans="1:15" ht="15" customHeight="1" x14ac:dyDescent="0.25">
      <c r="A19" s="15">
        <v>13</v>
      </c>
      <c r="B19" s="84" t="s">
        <v>67</v>
      </c>
      <c r="C19" s="87">
        <v>5.5</v>
      </c>
      <c r="D19" s="6">
        <v>14267.901278100004</v>
      </c>
      <c r="E19" s="58">
        <f t="shared" si="0"/>
        <v>14267.901278100004</v>
      </c>
      <c r="F19" s="23">
        <v>0</v>
      </c>
      <c r="G19" s="21">
        <v>0</v>
      </c>
      <c r="H19" s="27">
        <v>0</v>
      </c>
      <c r="I19" s="17">
        <v>0.55000000000000004</v>
      </c>
      <c r="J19" s="23">
        <v>11858.191416289999</v>
      </c>
      <c r="K19" s="29">
        <v>0</v>
      </c>
      <c r="L19" s="21">
        <v>11858.191416289999</v>
      </c>
      <c r="M19" s="18"/>
      <c r="N19" s="6">
        <v>11858.191416289999</v>
      </c>
      <c r="O19" s="6">
        <v>12569.682901267399</v>
      </c>
    </row>
    <row r="20" spans="1:15" ht="15" customHeight="1" x14ac:dyDescent="0.25">
      <c r="A20" s="15">
        <v>14</v>
      </c>
      <c r="B20" s="84" t="s">
        <v>67</v>
      </c>
      <c r="C20" s="87">
        <v>4.5</v>
      </c>
      <c r="D20" s="6">
        <v>11261.282863900002</v>
      </c>
      <c r="E20" s="58">
        <f t="shared" si="0"/>
        <v>11261.282863900002</v>
      </c>
      <c r="F20" s="23">
        <v>0</v>
      </c>
      <c r="G20" s="21">
        <v>0</v>
      </c>
      <c r="H20" s="27">
        <v>0</v>
      </c>
      <c r="I20" s="17">
        <v>0.45</v>
      </c>
      <c r="J20" s="23">
        <v>9358.278431509998</v>
      </c>
      <c r="K20" s="29">
        <v>0</v>
      </c>
      <c r="L20" s="21">
        <v>9358.278431509998</v>
      </c>
      <c r="M20" s="18"/>
      <c r="N20" s="6">
        <v>9358.278431509998</v>
      </c>
      <c r="O20" s="6">
        <v>9919.7751374005984</v>
      </c>
    </row>
    <row r="21" spans="1:15" ht="15" customHeight="1" x14ac:dyDescent="0.25">
      <c r="A21" s="15">
        <v>15</v>
      </c>
      <c r="B21" s="84" t="s">
        <v>67</v>
      </c>
      <c r="C21" s="87">
        <v>6.1</v>
      </c>
      <c r="D21" s="6">
        <v>16071.872326620005</v>
      </c>
      <c r="E21" s="58">
        <f t="shared" si="0"/>
        <v>16071.872326620005</v>
      </c>
      <c r="F21" s="23">
        <v>0</v>
      </c>
      <c r="G21" s="21">
        <v>0</v>
      </c>
      <c r="H21" s="6">
        <v>0</v>
      </c>
      <c r="I21" s="17">
        <v>0.61</v>
      </c>
      <c r="J21" s="23">
        <v>13358.139207157999</v>
      </c>
      <c r="K21" s="29">
        <v>0</v>
      </c>
      <c r="L21" s="21">
        <v>13358.139207157999</v>
      </c>
      <c r="M21" s="18"/>
      <c r="N21" s="6">
        <v>13358.139207157999</v>
      </c>
      <c r="O21" s="6">
        <v>14159.627559587479</v>
      </c>
    </row>
    <row r="22" spans="1:15" ht="15" customHeight="1" x14ac:dyDescent="0.25">
      <c r="A22" s="15">
        <v>16</v>
      </c>
      <c r="B22" s="84" t="s">
        <v>54</v>
      </c>
      <c r="C22" s="87">
        <v>5.4</v>
      </c>
      <c r="D22" s="6">
        <v>13967.239436680005</v>
      </c>
      <c r="E22" s="58">
        <f t="shared" si="0"/>
        <v>13967.239436680005</v>
      </c>
      <c r="F22" s="23">
        <v>0</v>
      </c>
      <c r="G22" s="21">
        <v>0</v>
      </c>
      <c r="H22" s="27">
        <v>0</v>
      </c>
      <c r="I22" s="17">
        <v>0.54</v>
      </c>
      <c r="J22" s="23">
        <v>11608.200117812001</v>
      </c>
      <c r="K22" s="29">
        <v>0</v>
      </c>
      <c r="L22" s="21">
        <v>11608.200117812001</v>
      </c>
      <c r="M22" s="18"/>
      <c r="N22" s="6">
        <v>11608.200117812001</v>
      </c>
      <c r="O22" s="6">
        <v>12304.692124880721</v>
      </c>
    </row>
    <row r="23" spans="1:15" ht="15" customHeight="1" x14ac:dyDescent="0.25">
      <c r="A23" s="15">
        <v>17</v>
      </c>
      <c r="B23" s="84" t="s">
        <v>56</v>
      </c>
      <c r="C23" s="87">
        <v>5</v>
      </c>
      <c r="D23" s="6">
        <v>12764.592071000003</v>
      </c>
      <c r="E23" s="58">
        <f t="shared" si="0"/>
        <v>12764.592071000003</v>
      </c>
      <c r="F23" s="23">
        <v>0</v>
      </c>
      <c r="G23" s="21">
        <v>0</v>
      </c>
      <c r="H23" s="27">
        <v>0</v>
      </c>
      <c r="I23" s="17">
        <v>0.5</v>
      </c>
      <c r="J23" s="23">
        <v>10608.2349239</v>
      </c>
      <c r="K23" s="29">
        <v>0</v>
      </c>
      <c r="L23" s="21">
        <v>10608.2349239</v>
      </c>
      <c r="M23" s="18"/>
      <c r="N23" s="6">
        <v>10608.2349239</v>
      </c>
      <c r="O23" s="6">
        <v>11244.729019334</v>
      </c>
    </row>
    <row r="24" spans="1:15" ht="15" customHeight="1" x14ac:dyDescent="0.25">
      <c r="A24" s="15">
        <v>18</v>
      </c>
      <c r="B24" s="84" t="s">
        <v>48</v>
      </c>
      <c r="C24" s="87">
        <v>5</v>
      </c>
      <c r="D24" s="6">
        <v>12764.592071000003</v>
      </c>
      <c r="E24" s="58">
        <f t="shared" si="0"/>
        <v>12764.592071000003</v>
      </c>
      <c r="F24" s="23">
        <v>0</v>
      </c>
      <c r="G24" s="21">
        <v>0</v>
      </c>
      <c r="H24" s="27">
        <v>0</v>
      </c>
      <c r="I24" s="17">
        <v>0.5</v>
      </c>
      <c r="J24" s="23">
        <v>10608.2349239</v>
      </c>
      <c r="K24" s="29">
        <v>0</v>
      </c>
      <c r="L24" s="21">
        <v>10608.2349239</v>
      </c>
      <c r="M24" s="18"/>
      <c r="N24" s="6">
        <v>10608.2349239</v>
      </c>
      <c r="O24" s="6">
        <v>11244.729019334</v>
      </c>
    </row>
    <row r="25" spans="1:15" ht="15" customHeight="1" x14ac:dyDescent="0.25">
      <c r="A25" s="15">
        <v>19</v>
      </c>
      <c r="B25" s="84" t="s">
        <v>48</v>
      </c>
      <c r="C25" s="87">
        <v>4.9000000000000004</v>
      </c>
      <c r="D25" s="6">
        <v>12463.930229580003</v>
      </c>
      <c r="E25" s="58">
        <f t="shared" si="0"/>
        <v>12463.930229580003</v>
      </c>
      <c r="F25" s="23">
        <v>0</v>
      </c>
      <c r="G25" s="21">
        <v>0</v>
      </c>
      <c r="H25" s="27">
        <v>0</v>
      </c>
      <c r="I25" s="17">
        <v>0.49</v>
      </c>
      <c r="J25" s="23">
        <v>10358.243625421999</v>
      </c>
      <c r="K25" s="29">
        <v>0</v>
      </c>
      <c r="L25" s="21">
        <v>10358.243625421999</v>
      </c>
      <c r="M25" s="18"/>
      <c r="N25" s="6">
        <v>10358.243625421999</v>
      </c>
      <c r="O25" s="6">
        <v>10979.738242947318</v>
      </c>
    </row>
    <row r="26" spans="1:15" ht="15" customHeight="1" x14ac:dyDescent="0.25">
      <c r="A26" s="15">
        <v>20</v>
      </c>
      <c r="B26" s="84" t="s">
        <v>86</v>
      </c>
      <c r="C26" s="87">
        <v>4.9000000000000004</v>
      </c>
      <c r="D26" s="6">
        <v>12463.930229580003</v>
      </c>
      <c r="E26" s="58">
        <f t="shared" si="0"/>
        <v>12463.930229580003</v>
      </c>
      <c r="F26" s="23">
        <v>0</v>
      </c>
      <c r="G26" s="21">
        <v>0</v>
      </c>
      <c r="H26" s="27">
        <v>0</v>
      </c>
      <c r="I26" s="17">
        <v>0.49</v>
      </c>
      <c r="J26" s="23">
        <v>10358.243625421999</v>
      </c>
      <c r="K26" s="29">
        <v>0</v>
      </c>
      <c r="L26" s="21">
        <v>10358.243625421999</v>
      </c>
      <c r="M26" s="18"/>
      <c r="N26" s="6">
        <v>10358.243625421999</v>
      </c>
      <c r="O26" s="6">
        <v>10979.738242947318</v>
      </c>
    </row>
    <row r="27" spans="1:15" ht="15" customHeight="1" x14ac:dyDescent="0.25">
      <c r="A27" s="15">
        <v>21</v>
      </c>
      <c r="B27" s="84" t="s">
        <v>43</v>
      </c>
      <c r="C27" s="87">
        <v>5.9</v>
      </c>
      <c r="D27" s="6">
        <v>15470.548643780005</v>
      </c>
      <c r="E27" s="58">
        <f t="shared" si="0"/>
        <v>15470.548643780005</v>
      </c>
      <c r="F27" s="23">
        <v>0</v>
      </c>
      <c r="G27" s="21">
        <v>0</v>
      </c>
      <c r="H27" s="27">
        <v>0</v>
      </c>
      <c r="I27" s="17">
        <v>0.59</v>
      </c>
      <c r="J27" s="23">
        <v>12858.156610202001</v>
      </c>
      <c r="K27" s="29">
        <v>0</v>
      </c>
      <c r="L27" s="21">
        <v>12858.156610202001</v>
      </c>
      <c r="M27" s="18"/>
      <c r="N27" s="6">
        <v>12858.156610202001</v>
      </c>
      <c r="O27" s="6">
        <v>13629.64600681412</v>
      </c>
    </row>
    <row r="28" spans="1:15" ht="15" customHeight="1" x14ac:dyDescent="0.25">
      <c r="A28" s="15">
        <v>22</v>
      </c>
      <c r="B28" s="86" t="s">
        <v>50</v>
      </c>
      <c r="C28" s="87">
        <v>5.7</v>
      </c>
      <c r="D28" s="6">
        <v>14869.224960940002</v>
      </c>
      <c r="E28" s="58">
        <f t="shared" si="0"/>
        <v>14869.224960940002</v>
      </c>
      <c r="F28" s="23">
        <v>0</v>
      </c>
      <c r="G28" s="21">
        <v>0</v>
      </c>
      <c r="H28" s="27">
        <v>0</v>
      </c>
      <c r="I28" s="17">
        <v>0.56999999999999995</v>
      </c>
      <c r="J28" s="23">
        <v>12358.174013246</v>
      </c>
      <c r="K28" s="29">
        <v>0</v>
      </c>
      <c r="L28" s="21">
        <v>12358.174013246</v>
      </c>
      <c r="M28" s="18"/>
      <c r="N28" s="6">
        <v>12358.174013246</v>
      </c>
      <c r="O28" s="6">
        <v>13099.66445404076</v>
      </c>
    </row>
    <row r="29" spans="1:15" x14ac:dyDescent="0.25">
      <c r="A29" s="15"/>
      <c r="B29" s="34"/>
      <c r="C29" s="34"/>
      <c r="D29" s="6"/>
      <c r="E29" s="6"/>
      <c r="F29" s="23"/>
      <c r="G29" s="21"/>
      <c r="H29" s="27"/>
      <c r="I29" s="17"/>
      <c r="J29" s="23"/>
      <c r="K29" s="29"/>
      <c r="L29" s="21"/>
      <c r="M29" s="18"/>
      <c r="N29" s="6"/>
      <c r="O29" s="6"/>
    </row>
    <row r="30" spans="1:15" ht="15.75" thickBot="1" x14ac:dyDescent="0.3">
      <c r="A30" s="13"/>
      <c r="B30" s="14"/>
      <c r="C30" s="57">
        <v>116.60000000000001</v>
      </c>
      <c r="D30" s="26">
        <v>161487.47195715201</v>
      </c>
      <c r="E30" s="30">
        <v>161487.47195715201</v>
      </c>
      <c r="F30" s="28">
        <v>0</v>
      </c>
      <c r="G30" s="32">
        <v>0</v>
      </c>
      <c r="H30" s="31">
        <v>0</v>
      </c>
      <c r="I30" s="16">
        <v>11.66</v>
      </c>
      <c r="J30" s="24">
        <v>249880.59402534799</v>
      </c>
      <c r="K30" s="25">
        <v>0</v>
      </c>
      <c r="L30" s="22">
        <v>249880.59402534799</v>
      </c>
      <c r="M30" s="19"/>
      <c r="N30" s="20">
        <v>249880.59402534799</v>
      </c>
      <c r="O30" s="20">
        <v>264873.42966686888</v>
      </c>
    </row>
    <row r="33" spans="5:6" x14ac:dyDescent="0.25">
      <c r="E33" s="33"/>
      <c r="F33" s="33"/>
    </row>
  </sheetData>
  <mergeCells count="5">
    <mergeCell ref="A5:A6"/>
    <mergeCell ref="B5:B6"/>
    <mergeCell ref="F5:F6"/>
    <mergeCell ref="N5:N6"/>
    <mergeCell ref="O5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PRORRATEO</vt:lpstr>
      <vt:lpstr>COCHERA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2025-05-01T14:14:45Z</cp:lastPrinted>
  <dcterms:created xsi:type="dcterms:W3CDTF">2023-09-17T12:29:07Z</dcterms:created>
  <dcterms:modified xsi:type="dcterms:W3CDTF">2025-05-01T14:14:55Z</dcterms:modified>
</cp:coreProperties>
</file>