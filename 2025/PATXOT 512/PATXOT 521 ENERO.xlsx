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40" windowHeight="7155"/>
  </bookViews>
  <sheets>
    <sheet name="detalle y gastos" sheetId="3" r:id="rId1"/>
    <sheet name="prorrateo " sheetId="1" r:id="rId2"/>
    <sheet name="edesur" sheetId="5" r:id="rId3"/>
    <sheet name="eXTR" sheetId="4" r:id="rId4"/>
  </sheets>
  <definedNames>
    <definedName name="_xlnm.Print_Area" localSheetId="0">'detalle y gastos'!$A$1:$C$48</definedName>
    <definedName name="_xlnm.Print_Area" localSheetId="2">edesur!$A$1:$H$15</definedName>
    <definedName name="_xlnm.Print_Area" localSheetId="1">'prorrateo '!$D$106:$M$129</definedName>
  </definedNames>
  <calcPr calcId="144525"/>
</workbook>
</file>

<file path=xl/calcChain.xml><?xml version="1.0" encoding="utf-8"?>
<calcChain xmlns="http://schemas.openxmlformats.org/spreadsheetml/2006/main">
  <c r="J120" i="1" l="1"/>
  <c r="J128" i="1"/>
  <c r="J119" i="1"/>
  <c r="J118" i="1"/>
  <c r="G115" i="1"/>
  <c r="J110" i="1"/>
  <c r="J50" i="1"/>
  <c r="J44" i="1"/>
  <c r="J43" i="1"/>
  <c r="J42" i="1"/>
  <c r="G39" i="1"/>
  <c r="J85" i="1"/>
  <c r="J94" i="1"/>
  <c r="J93" i="1"/>
  <c r="G90" i="1"/>
  <c r="J103" i="1"/>
  <c r="J67" i="1"/>
  <c r="J66" i="1"/>
  <c r="G63" i="1"/>
  <c r="J58" i="1"/>
  <c r="J34" i="1"/>
  <c r="J76" i="1"/>
  <c r="J68" i="1"/>
  <c r="J52" i="1"/>
  <c r="C45" i="3" l="1"/>
  <c r="D6" i="5" l="1"/>
  <c r="H6" i="1"/>
  <c r="H7" i="1"/>
  <c r="H8" i="1"/>
  <c r="H9" i="1"/>
  <c r="H10" i="1"/>
  <c r="H11" i="1"/>
  <c r="H12" i="1"/>
  <c r="H13" i="1"/>
  <c r="H14" i="1"/>
  <c r="H5" i="1"/>
  <c r="G12" i="1" l="1"/>
  <c r="G13" i="1"/>
  <c r="H4" i="5"/>
  <c r="K34" i="5"/>
  <c r="K28" i="5"/>
  <c r="D12" i="5"/>
  <c r="C12" i="5"/>
  <c r="E11" i="5"/>
  <c r="E10" i="5"/>
  <c r="E9" i="5"/>
  <c r="E8" i="5"/>
  <c r="E7" i="5"/>
  <c r="E6" i="5"/>
  <c r="E5" i="5"/>
  <c r="D14" i="5" l="1"/>
  <c r="F5" i="5" s="1"/>
  <c r="H5" i="5" s="1"/>
  <c r="K5" i="1" s="1"/>
  <c r="E12" i="5"/>
  <c r="A7" i="3"/>
  <c r="J6" i="1"/>
  <c r="J7" i="1"/>
  <c r="J8" i="1"/>
  <c r="J9" i="1"/>
  <c r="J10" i="1"/>
  <c r="J11" i="1"/>
  <c r="J12" i="1"/>
  <c r="L12" i="1" s="1"/>
  <c r="J13" i="1"/>
  <c r="J14" i="1"/>
  <c r="J5" i="1"/>
  <c r="C14" i="1"/>
  <c r="C13" i="1"/>
  <c r="C12" i="1"/>
  <c r="H20" i="5" l="1"/>
  <c r="F11" i="5"/>
  <c r="H11" i="5" s="1"/>
  <c r="K11" i="1" s="1"/>
  <c r="F7" i="5"/>
  <c r="H7" i="5" s="1"/>
  <c r="K7" i="1" s="1"/>
  <c r="F6" i="5"/>
  <c r="H6" i="5" s="1"/>
  <c r="K6" i="1" s="1"/>
  <c r="F10" i="5"/>
  <c r="H10" i="5" s="1"/>
  <c r="K10" i="1" s="1"/>
  <c r="F8" i="5"/>
  <c r="H8" i="5" s="1"/>
  <c r="K8" i="1" s="1"/>
  <c r="F9" i="5"/>
  <c r="H9" i="5" s="1"/>
  <c r="K9" i="1" s="1"/>
  <c r="L13" i="1"/>
  <c r="C23" i="3"/>
  <c r="C30" i="3"/>
  <c r="C38" i="3"/>
  <c r="C52" i="3" s="1"/>
  <c r="K15" i="1" l="1"/>
  <c r="F12" i="5"/>
  <c r="H12" i="5"/>
  <c r="C31" i="3"/>
  <c r="C46" i="3" s="1"/>
  <c r="F8" i="1" l="1"/>
  <c r="A2" i="1" l="1"/>
  <c r="N7" i="4" l="1"/>
  <c r="N8" i="4"/>
  <c r="N9" i="4"/>
  <c r="N10" i="4"/>
  <c r="N11" i="4"/>
  <c r="N12" i="4"/>
  <c r="N13" i="4"/>
  <c r="N6" i="4"/>
  <c r="M14" i="4"/>
  <c r="M7" i="4"/>
  <c r="M8" i="4"/>
  <c r="M9" i="4"/>
  <c r="M10" i="4"/>
  <c r="M11" i="4"/>
  <c r="M12" i="4"/>
  <c r="M13" i="4"/>
  <c r="M6" i="4"/>
  <c r="L7" i="4"/>
  <c r="L8" i="4"/>
  <c r="L9" i="4"/>
  <c r="L10" i="4"/>
  <c r="L11" i="4"/>
  <c r="L12" i="4"/>
  <c r="L13" i="4"/>
  <c r="L6" i="4"/>
  <c r="F6" i="1" l="1"/>
  <c r="C55" i="3" l="1"/>
  <c r="K14" i="4" l="1"/>
  <c r="N14" i="4" l="1"/>
  <c r="J14" i="4" l="1"/>
  <c r="I7" i="4" l="1"/>
  <c r="I8" i="4"/>
  <c r="I9" i="4"/>
  <c r="I10" i="4"/>
  <c r="I11" i="4"/>
  <c r="I12" i="4"/>
  <c r="I13" i="4"/>
  <c r="I6" i="4"/>
  <c r="G7" i="1" l="1"/>
  <c r="G8" i="1"/>
  <c r="G9" i="1"/>
  <c r="G10" i="1"/>
  <c r="G5" i="1"/>
  <c r="G11" i="1"/>
  <c r="L7" i="1" l="1"/>
  <c r="L10" i="1"/>
  <c r="L9" i="1"/>
  <c r="L11" i="1"/>
  <c r="L8" i="1"/>
  <c r="L5" i="1"/>
  <c r="F15" i="1"/>
  <c r="C44" i="3" s="1"/>
  <c r="G6" i="1"/>
  <c r="L6" i="1" l="1"/>
  <c r="G14" i="1"/>
  <c r="E15" i="1"/>
  <c r="E24" i="1"/>
  <c r="J15" i="1"/>
  <c r="L14" i="1" l="1"/>
  <c r="F9" i="4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J23" i="1"/>
  <c r="J24" i="1"/>
  <c r="J25" i="1"/>
  <c r="J26" i="1"/>
  <c r="J27" i="1"/>
  <c r="J28" i="1"/>
  <c r="J29" i="1"/>
  <c r="J22" i="1"/>
  <c r="L24" i="1" l="1"/>
  <c r="L27" i="1"/>
  <c r="L22" i="1"/>
  <c r="L26" i="1"/>
  <c r="L28" i="1"/>
  <c r="L29" i="1"/>
  <c r="L25" i="1"/>
  <c r="L23" i="1"/>
  <c r="L30" i="1" l="1"/>
  <c r="J30" i="1"/>
  <c r="I30" i="1"/>
  <c r="H30" i="1"/>
  <c r="F30" i="1"/>
  <c r="L15" i="1" l="1"/>
  <c r="H15" i="1"/>
  <c r="I15" i="1"/>
  <c r="C40" i="3" l="1"/>
  <c r="C47" i="3" l="1"/>
</calcChain>
</file>

<file path=xl/sharedStrings.xml><?xml version="1.0" encoding="utf-8"?>
<sst xmlns="http://schemas.openxmlformats.org/spreadsheetml/2006/main" count="223" uniqueCount="133">
  <si>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</si>
  <si>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</si>
  <si>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</si>
  <si>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</si>
  <si>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</si>
  <si>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</si>
  <si>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</si>
  <si>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</si>
  <si>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</si>
  <si>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</si>
  <si>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</si>
  <si>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</si>
  <si>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</si>
  <si>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</si>
  <si>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</si>
  <si>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</si>
  <si>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</si>
  <si>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</si>
  <si>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</si>
  <si>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</si>
  <si>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</si>
  <si>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</si>
  <si>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</si>
  <si>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</si>
  <si>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</si>
  <si>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</si>
  <si>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</si>
  <si>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</si>
  <si>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</si>
  <si>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</si>
  <si>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</si>
  <si>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</si>
  <si>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</si>
  <si>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</si>
  <si>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</si>
  <si>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</si>
  <si>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LIMPIEZA / MANTENIMIENTO / GASTOS GENERALES</t>
  </si>
  <si>
    <t>ESTADO FINACIERO</t>
  </si>
  <si>
    <t>EDIFICIO DRAGO 1770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</si>
  <si>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</si>
  <si>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</si>
  <si>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</si>
  <si>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</si>
  <si>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</si>
  <si>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</si>
  <si>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>Intereses</t>
  </si>
  <si>
    <t>Exp. Ord.</t>
  </si>
  <si>
    <t>Exp. Extraord.</t>
  </si>
  <si>
    <t xml:space="preserve">Teléfonos útiles </t>
  </si>
  <si>
    <t>EXPENSAS ORDINARIAS</t>
  </si>
  <si>
    <t>EXPENSAS EXTRAORDINARIAS</t>
  </si>
  <si>
    <t>DEUDAS</t>
  </si>
  <si>
    <t>Liquidación de mes: JULIO 2022</t>
  </si>
  <si>
    <t>Pago</t>
  </si>
  <si>
    <t>DEUDA</t>
  </si>
  <si>
    <t>TOTAL A PAGAR</t>
  </si>
  <si>
    <t>Inquilinos</t>
  </si>
  <si>
    <t>Liquidación de mes: DICIEMBRE 2023</t>
  </si>
  <si>
    <t>CAJA EXTRAORDINARIA</t>
  </si>
  <si>
    <t>MP 1148</t>
  </si>
  <si>
    <t>ENERO</t>
  </si>
  <si>
    <t>PUNITORIOS DE 5 MESES</t>
  </si>
  <si>
    <t>EXTRAORD</t>
  </si>
  <si>
    <t xml:space="preserve">Prevision </t>
  </si>
  <si>
    <t>Pago efectivo</t>
  </si>
  <si>
    <t>Egreso extraordinario</t>
  </si>
  <si>
    <t>Egresos por gastos del mes ordinarios</t>
  </si>
  <si>
    <t>Gomez Elizabeth</t>
  </si>
  <si>
    <t>Maceyle Gabriela</t>
  </si>
  <si>
    <t>Castelao Lorena</t>
  </si>
  <si>
    <t>Grand Jorge</t>
  </si>
  <si>
    <t>Valdez Norberto</t>
  </si>
  <si>
    <t>Lean Cosenza</t>
  </si>
  <si>
    <t>Caro Manay</t>
  </si>
  <si>
    <t>Pereyra Amanda</t>
  </si>
  <si>
    <t>Maitena E.</t>
  </si>
  <si>
    <t>Enciso Marisa</t>
  </si>
  <si>
    <t>EDIFICIO PATXOT 521</t>
  </si>
  <si>
    <t>COCH A</t>
  </si>
  <si>
    <t>COCH B</t>
  </si>
  <si>
    <t>COCH C</t>
  </si>
  <si>
    <t xml:space="preserve">Sra Limpieza </t>
  </si>
  <si>
    <t>Seguro Integral - a contratar</t>
  </si>
  <si>
    <t>TOTAL GASTOS ORDINARIOS (A) - SIN CONTAR EDESUR</t>
  </si>
  <si>
    <t>Edesur</t>
  </si>
  <si>
    <t>PATXOT</t>
  </si>
  <si>
    <t>NOVIEMBRE 2024</t>
  </si>
  <si>
    <t xml:space="preserve">BOLETA </t>
  </si>
  <si>
    <t>UNIDAD</t>
  </si>
  <si>
    <t>MEDIDOR</t>
  </si>
  <si>
    <t>CONSUMO</t>
  </si>
  <si>
    <t>PORCENTAJE</t>
  </si>
  <si>
    <t>BOLETA TOTAL</t>
  </si>
  <si>
    <t>TOTAL A ABONAR</t>
  </si>
  <si>
    <t>ANTERIOR</t>
  </si>
  <si>
    <t>ACTUAL</t>
  </si>
  <si>
    <t>GOMEZ</t>
  </si>
  <si>
    <t>CARA</t>
  </si>
  <si>
    <t>PEREYRA</t>
  </si>
  <si>
    <t>MARTINEZ</t>
  </si>
  <si>
    <t>ENCISO ROTELA</t>
  </si>
  <si>
    <t>VALDEZ</t>
  </si>
  <si>
    <t>COSENZA</t>
  </si>
  <si>
    <t>CONSUMO TOTAL KW</t>
  </si>
  <si>
    <t>EDIFICIO</t>
  </si>
  <si>
    <t xml:space="preserve">EN TOTAL LOS DEPARTAMENTOS USARON </t>
  </si>
  <si>
    <t>KW</t>
  </si>
  <si>
    <t>DEPARTAMENTO</t>
  </si>
  <si>
    <t>CONSUMIO</t>
  </si>
  <si>
    <t xml:space="preserve">KW </t>
  </si>
  <si>
    <t>EL 14,96% DE TOTAL CONSUMIDO</t>
  </si>
  <si>
    <t>ELECTRICIDAD</t>
  </si>
  <si>
    <t xml:space="preserve">TOTAL </t>
  </si>
  <si>
    <t>saldo OCTUBRE 24</t>
  </si>
  <si>
    <t>ABONASTE OCTUBRE 24</t>
  </si>
  <si>
    <t>NOVIEMBRE 24</t>
  </si>
  <si>
    <t>Expensas ord.</t>
  </si>
  <si>
    <t>RECIBO DE EXPENSAS</t>
  </si>
  <si>
    <t>CONSORCIO: ADMINISTRACION DE CONSORCIOS RC</t>
  </si>
  <si>
    <t>Adminstradora: Carolina Canciani</t>
  </si>
  <si>
    <t>Nombre y apellido:</t>
  </si>
  <si>
    <t>Fecha:</t>
  </si>
  <si>
    <t>Sello o firma autoriada:</t>
  </si>
  <si>
    <t>UF:</t>
  </si>
  <si>
    <t xml:space="preserve">EDESUR </t>
  </si>
  <si>
    <t>Total recibido:</t>
  </si>
  <si>
    <t>DEUDA + INTERESES</t>
  </si>
  <si>
    <t>ABONA DE MAS</t>
  </si>
  <si>
    <t>ABONA DE MENOS</t>
  </si>
  <si>
    <t>Vtp 13/02</t>
  </si>
  <si>
    <t>LIQUIDACIÓN EXPENSAS ENERO 2025</t>
  </si>
  <si>
    <t>Período ENERO 2024</t>
  </si>
  <si>
    <t xml:space="preserve">7 de ENERO copia de llave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</si>
</sst>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5B5B5F"/>
      <name val="Raleway"/>
    </font>
    <font>
      <sz val="11"/>
      <color rgb="FF212529"/>
      <name val="Arial"/>
      <family val="2"/>
    </font>
    <font>
      <b/>
      <sz val="11"/>
      <color rgb="FF4A484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2" fillId="0" borderId="0"/>
  </cellStyleXfs>
  <cellXfs count="237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0" fillId="0" borderId="0" xfId="0" applyFont="1"/>
    <xf numFmtId="0" fontId="5" fillId="0" borderId="0" xfId="0" applyFont="1"/>
    <xf numFmtId="165" fontId="0" fillId="0" borderId="8" xfId="0" applyNumberFormat="1" applyBorder="1"/>
    <xf numFmtId="0" fontId="7" fillId="0" borderId="0" xfId="0" applyFont="1"/>
    <xf numFmtId="0" fontId="6" fillId="0" borderId="0" xfId="0" applyFont="1" applyBorder="1"/>
    <xf numFmtId="0" fontId="7" fillId="0" borderId="0" xfId="0" applyFont="1" applyBorder="1"/>
    <xf numFmtId="4" fontId="7" fillId="0" borderId="0" xfId="0" applyNumberFormat="1" applyFont="1" applyBorder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 applyAlignment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0" xfId="0" applyFont="1" applyBorder="1"/>
    <xf numFmtId="4" fontId="0" fillId="0" borderId="6" xfId="0" applyNumberFormat="1" applyFont="1" applyBorder="1"/>
    <xf numFmtId="0" fontId="0" fillId="0" borderId="0" xfId="0" applyFont="1" applyFill="1" applyBorder="1"/>
    <xf numFmtId="0" fontId="0" fillId="0" borderId="9" xfId="0" applyFont="1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Font="1" applyBorder="1" applyAlignment="1">
      <alignment horizontal="center"/>
    </xf>
    <xf numFmtId="166" fontId="1" fillId="3" borderId="14" xfId="2" applyNumberFormat="1" applyFont="1" applyFill="1" applyBorder="1"/>
    <xf numFmtId="164" fontId="10" fillId="0" borderId="1" xfId="2" applyFont="1" applyBorder="1"/>
    <xf numFmtId="3" fontId="0" fillId="0" borderId="12" xfId="0" applyNumberFormat="1" applyFont="1" applyBorder="1"/>
    <xf numFmtId="166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Font="1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4" fontId="0" fillId="0" borderId="0" xfId="2" applyFont="1"/>
    <xf numFmtId="16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4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 applyBorder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 applyBorder="1"/>
    <xf numFmtId="0" fontId="0" fillId="2" borderId="0" xfId="0" applyFill="1" applyBorder="1" applyAlignment="1">
      <alignment horizontal="left"/>
    </xf>
    <xf numFmtId="0" fontId="3" fillId="0" borderId="0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4" fillId="4" borderId="1" xfId="0" applyFont="1" applyFill="1" applyBorder="1"/>
    <xf numFmtId="0" fontId="7" fillId="0" borderId="1" xfId="0" applyFont="1" applyBorder="1"/>
    <xf numFmtId="0" fontId="0" fillId="0" borderId="1" xfId="0" applyFont="1" applyBorder="1"/>
    <xf numFmtId="0" fontId="13" fillId="4" borderId="1" xfId="0" applyFont="1" applyFill="1" applyBorder="1"/>
    <xf numFmtId="164" fontId="7" fillId="0" borderId="1" xfId="2" applyFont="1" applyBorder="1"/>
    <xf numFmtId="164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16" fillId="0" borderId="1" xfId="2" applyFont="1" applyBorder="1"/>
    <xf numFmtId="164" fontId="17" fillId="0" borderId="1" xfId="2" applyFont="1" applyBorder="1"/>
    <xf numFmtId="0" fontId="0" fillId="0" borderId="1" xfId="0" applyFont="1" applyFill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0" fillId="0" borderId="1" xfId="0" applyFont="1" applyBorder="1" applyAlignment="1">
      <alignment horizontal="center"/>
    </xf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1" fillId="0" borderId="1" xfId="0" applyFont="1" applyFill="1" applyBorder="1"/>
    <xf numFmtId="4" fontId="11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/>
    </xf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4" fontId="0" fillId="0" borderId="1" xfId="0" applyNumberFormat="1" applyBorder="1"/>
    <xf numFmtId="164" fontId="0" fillId="0" borderId="1" xfId="2" applyFont="1" applyBorder="1"/>
    <xf numFmtId="0" fontId="1" fillId="2" borderId="24" xfId="0" applyFont="1" applyFill="1" applyBorder="1" applyAlignment="1">
      <alignment horizontal="left"/>
    </xf>
    <xf numFmtId="0" fontId="0" fillId="2" borderId="25" xfId="0" applyFill="1" applyBorder="1" applyAlignment="1"/>
    <xf numFmtId="0" fontId="0" fillId="2" borderId="25" xfId="0" applyFill="1" applyBorder="1" applyAlignment="1">
      <alignment horizontal="left"/>
    </xf>
    <xf numFmtId="0" fontId="1" fillId="2" borderId="25" xfId="0" applyFont="1" applyFill="1" applyBorder="1"/>
    <xf numFmtId="0" fontId="0" fillId="2" borderId="25" xfId="0" applyFill="1" applyBorder="1"/>
    <xf numFmtId="0" fontId="0" fillId="2" borderId="26" xfId="0" applyFill="1" applyBorder="1"/>
    <xf numFmtId="0" fontId="0" fillId="2" borderId="27" xfId="0" applyFill="1" applyBorder="1"/>
    <xf numFmtId="164" fontId="0" fillId="0" borderId="31" xfId="2" applyFont="1" applyBorder="1"/>
    <xf numFmtId="0" fontId="1" fillId="3" borderId="32" xfId="0" applyFont="1" applyFill="1" applyBorder="1" applyAlignment="1">
      <alignment horizontal="left"/>
    </xf>
    <xf numFmtId="0" fontId="0" fillId="3" borderId="33" xfId="0" applyFill="1" applyBorder="1" applyAlignment="1">
      <alignment horizontal="center"/>
    </xf>
    <xf numFmtId="0" fontId="0" fillId="3" borderId="33" xfId="0" applyFill="1" applyBorder="1"/>
    <xf numFmtId="3" fontId="1" fillId="3" borderId="34" xfId="2" applyNumberFormat="1" applyFont="1" applyFill="1" applyBorder="1"/>
    <xf numFmtId="3" fontId="1" fillId="3" borderId="35" xfId="2" applyNumberFormat="1" applyFont="1" applyFill="1" applyBorder="1"/>
    <xf numFmtId="4" fontId="1" fillId="3" borderId="33" xfId="0" applyNumberFormat="1" applyFont="1" applyFill="1" applyBorder="1"/>
    <xf numFmtId="0" fontId="1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0" fillId="7" borderId="0" xfId="0" applyNumberFormat="1" applyFill="1"/>
    <xf numFmtId="0" fontId="0" fillId="7" borderId="0" xfId="0" applyFill="1"/>
    <xf numFmtId="0" fontId="0" fillId="0" borderId="0" xfId="0" applyFill="1"/>
    <xf numFmtId="0" fontId="18" fillId="0" borderId="0" xfId="0" applyFont="1"/>
    <xf numFmtId="4" fontId="19" fillId="0" borderId="0" xfId="0" applyNumberFormat="1" applyFont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0" fillId="0" borderId="0" xfId="0" applyNumberFormat="1"/>
    <xf numFmtId="4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1" fillId="0" borderId="0" xfId="0" applyNumberFormat="1" applyFont="1" applyFill="1"/>
    <xf numFmtId="44" fontId="0" fillId="8" borderId="0" xfId="3" applyFont="1" applyFill="1" applyAlignment="1">
      <alignment horizontal="center" vertical="center"/>
    </xf>
    <xf numFmtId="0" fontId="1" fillId="0" borderId="0" xfId="0" applyFont="1" applyFill="1"/>
    <xf numFmtId="0" fontId="20" fillId="0" borderId="0" xfId="0" applyFont="1"/>
    <xf numFmtId="0" fontId="1" fillId="8" borderId="0" xfId="0" applyFont="1" applyFill="1"/>
    <xf numFmtId="0" fontId="1" fillId="0" borderId="0" xfId="0" applyFont="1" applyBorder="1"/>
    <xf numFmtId="0" fontId="0" fillId="0" borderId="0" xfId="0" applyNumberFormat="1" applyFont="1" applyBorder="1" applyAlignment="1">
      <alignment horizontal="center" vertical="center"/>
    </xf>
    <xf numFmtId="0" fontId="0" fillId="7" borderId="0" xfId="0" applyFont="1" applyFill="1" applyBorder="1"/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44" fontId="0" fillId="8" borderId="0" xfId="3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16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11" fillId="0" borderId="36" xfId="0" applyNumberFormat="1" applyFont="1" applyBorder="1" applyAlignment="1">
      <alignment horizontal="center" vertical="center"/>
    </xf>
    <xf numFmtId="0" fontId="11" fillId="0" borderId="0" xfId="0" applyNumberFormat="1" applyFont="1"/>
    <xf numFmtId="0" fontId="16" fillId="0" borderId="0" xfId="0" applyNumberFormat="1" applyFont="1" applyFill="1" applyAlignment="1">
      <alignment horizontal="center" vertical="center"/>
    </xf>
    <xf numFmtId="0" fontId="16" fillId="0" borderId="0" xfId="0" applyFont="1"/>
    <xf numFmtId="17" fontId="0" fillId="0" borderId="0" xfId="0" applyNumberFormat="1" applyFill="1"/>
    <xf numFmtId="0" fontId="0" fillId="0" borderId="36" xfId="0" applyBorder="1"/>
    <xf numFmtId="0" fontId="0" fillId="0" borderId="37" xfId="0" applyBorder="1"/>
    <xf numFmtId="0" fontId="0" fillId="0" borderId="26" xfId="0" applyBorder="1"/>
    <xf numFmtId="0" fontId="0" fillId="0" borderId="26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0" fillId="0" borderId="0" xfId="0" applyBorder="1"/>
    <xf numFmtId="0" fontId="1" fillId="9" borderId="0" xfId="0" applyFont="1" applyFill="1" applyBorder="1" applyAlignment="1">
      <alignment horizontal="center" vertical="center"/>
    </xf>
    <xf numFmtId="0" fontId="0" fillId="0" borderId="16" xfId="0" applyBorder="1"/>
    <xf numFmtId="0" fontId="0" fillId="0" borderId="32" xfId="0" applyBorder="1"/>
    <xf numFmtId="0" fontId="0" fillId="0" borderId="33" xfId="0" applyBorder="1"/>
    <xf numFmtId="0" fontId="0" fillId="0" borderId="40" xfId="0" applyBorder="1"/>
    <xf numFmtId="49" fontId="1" fillId="0" borderId="0" xfId="0" applyNumberFormat="1" applyFont="1" applyFill="1"/>
    <xf numFmtId="49" fontId="0" fillId="0" borderId="0" xfId="0" applyNumberFormat="1" applyFill="1"/>
    <xf numFmtId="164" fontId="0" fillId="0" borderId="8" xfId="2" applyFont="1" applyBorder="1"/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4" fontId="1" fillId="7" borderId="0" xfId="0" applyNumberFormat="1" applyFont="1" applyFill="1"/>
    <xf numFmtId="0" fontId="1" fillId="0" borderId="2" xfId="0" applyFont="1" applyBorder="1"/>
    <xf numFmtId="0" fontId="0" fillId="0" borderId="3" xfId="0" applyFont="1" applyBorder="1"/>
    <xf numFmtId="164" fontId="10" fillId="0" borderId="5" xfId="2" applyFont="1" applyBorder="1"/>
    <xf numFmtId="0" fontId="1" fillId="0" borderId="41" xfId="0" applyFont="1" applyBorder="1"/>
    <xf numFmtId="0" fontId="0" fillId="0" borderId="42" xfId="0" applyFont="1" applyBorder="1"/>
    <xf numFmtId="0" fontId="0" fillId="0" borderId="43" xfId="0" applyFont="1" applyBorder="1"/>
    <xf numFmtId="166" fontId="0" fillId="6" borderId="1" xfId="2" applyNumberFormat="1" applyFont="1" applyFill="1" applyBorder="1"/>
    <xf numFmtId="166" fontId="11" fillId="6" borderId="1" xfId="2" applyNumberFormat="1" applyFont="1" applyFill="1" applyBorder="1"/>
    <xf numFmtId="166" fontId="0" fillId="0" borderId="1" xfId="2" applyNumberFormat="1" applyFont="1" applyBorder="1"/>
    <xf numFmtId="0" fontId="23" fillId="0" borderId="47" xfId="0" applyFont="1" applyBorder="1" applyAlignment="1"/>
    <xf numFmtId="0" fontId="23" fillId="0" borderId="48" xfId="0" applyFont="1" applyBorder="1" applyAlignment="1"/>
    <xf numFmtId="0" fontId="23" fillId="0" borderId="49" xfId="0" applyFont="1" applyBorder="1" applyAlignment="1"/>
    <xf numFmtId="0" fontId="23" fillId="0" borderId="50" xfId="0" applyFont="1" applyBorder="1" applyAlignment="1"/>
    <xf numFmtId="0" fontId="23" fillId="0" borderId="51" xfId="0" applyFont="1" applyBorder="1" applyAlignment="1"/>
    <xf numFmtId="0" fontId="23" fillId="0" borderId="0" xfId="0" applyFont="1" applyAlignment="1"/>
    <xf numFmtId="0" fontId="23" fillId="0" borderId="50" xfId="0" applyFont="1" applyBorder="1"/>
    <xf numFmtId="0" fontId="23" fillId="0" borderId="52" xfId="0" applyFont="1" applyBorder="1" applyAlignment="1"/>
    <xf numFmtId="0" fontId="23" fillId="0" borderId="53" xfId="0" applyFont="1" applyBorder="1" applyAlignment="1"/>
    <xf numFmtId="0" fontId="23" fillId="0" borderId="54" xfId="0" applyFont="1" applyBorder="1" applyAlignment="1"/>
    <xf numFmtId="167" fontId="23" fillId="6" borderId="0" xfId="0" applyNumberFormat="1" applyFont="1" applyFill="1" applyAlignment="1"/>
    <xf numFmtId="1" fontId="23" fillId="0" borderId="0" xfId="0" applyNumberFormat="1" applyFont="1" applyAlignment="1"/>
    <xf numFmtId="4" fontId="23" fillId="0" borderId="0" xfId="0" applyNumberFormat="1" applyFont="1" applyAlignment="1"/>
    <xf numFmtId="0" fontId="0" fillId="0" borderId="7" xfId="0" applyBorder="1"/>
    <xf numFmtId="0" fontId="23" fillId="0" borderId="58" xfId="0" applyFont="1" applyBorder="1" applyAlignment="1"/>
    <xf numFmtId="0" fontId="23" fillId="0" borderId="59" xfId="0" applyFont="1" applyBorder="1" applyAlignment="1"/>
    <xf numFmtId="0" fontId="23" fillId="0" borderId="60" xfId="0" applyFont="1" applyBorder="1" applyAlignment="1"/>
    <xf numFmtId="0" fontId="23" fillId="0" borderId="62" xfId="0" applyFont="1" applyBorder="1" applyAlignment="1"/>
    <xf numFmtId="0" fontId="23" fillId="0" borderId="60" xfId="0" applyFont="1" applyBorder="1" applyAlignment="1"/>
    <xf numFmtId="0" fontId="22" fillId="0" borderId="61" xfId="0" applyFont="1" applyBorder="1"/>
    <xf numFmtId="168" fontId="23" fillId="11" borderId="44" xfId="0" applyNumberFormat="1" applyFont="1" applyFill="1" applyBorder="1" applyAlignment="1">
      <alignment horizontal="center"/>
    </xf>
    <xf numFmtId="0" fontId="22" fillId="0" borderId="46" xfId="0" applyFont="1" applyBorder="1"/>
    <xf numFmtId="0" fontId="21" fillId="10" borderId="44" xfId="0" applyFont="1" applyFill="1" applyBorder="1" applyAlignment="1">
      <alignment horizontal="center"/>
    </xf>
    <xf numFmtId="0" fontId="22" fillId="0" borderId="45" xfId="0" applyFont="1" applyBorder="1"/>
    <xf numFmtId="0" fontId="24" fillId="0" borderId="44" xfId="0" applyFont="1" applyBorder="1" applyAlignment="1">
      <alignment horizontal="center"/>
    </xf>
    <xf numFmtId="0" fontId="23" fillId="11" borderId="55" xfId="0" applyFont="1" applyFill="1" applyBorder="1" applyAlignment="1">
      <alignment horizontal="center"/>
    </xf>
    <xf numFmtId="0" fontId="22" fillId="0" borderId="56" xfId="0" applyFont="1" applyBorder="1"/>
    <xf numFmtId="0" fontId="22" fillId="0" borderId="57" xfId="0" applyFont="1" applyBorder="1"/>
    <xf numFmtId="0" fontId="23" fillId="0" borderId="49" xfId="0" applyFont="1" applyBorder="1" applyAlignment="1">
      <alignment horizontal="center"/>
    </xf>
    <xf numFmtId="0" fontId="22" fillId="0" borderId="50" xfId="0" applyFont="1" applyBorder="1"/>
    <xf numFmtId="0" fontId="23" fillId="0" borderId="49" xfId="0" applyFont="1" applyBorder="1" applyAlignme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Font="1" applyBorder="1" applyAlignment="1">
      <alignment horizontal="center" wrapText="1"/>
    </xf>
    <xf numFmtId="0" fontId="0" fillId="0" borderId="12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11" fillId="0" borderId="0" xfId="2" applyFont="1" applyAlignment="1">
      <alignment horizontal="center"/>
    </xf>
  </cellXfs>
  <cellStyles count="5">
    <cellStyle name="Hipervínculo" xfId="1" builtinId="8"/>
    <cellStyle name="Moneda" xfId="2" builtinId="4"/>
    <cellStyle name="Moneda 2" xfId="3"/>
    <cellStyle name="Normal" xfId="0" builtinId="0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59"/>
  <sheetViews>
    <sheetView tabSelected="1" topLeftCell="A6" workbookViewId="0">
      <selection activeCell="B8" sqref="B8"/>
    </sheetView>
  </sheetViews>
  <sheetFormatPr baseColWidth="10" defaultRowHeight="1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>
      <c r="B2" t="s">
        <v>21</v>
      </c>
      <c r="C2" t="s">
        <v>59</v>
      </c>
    </row>
    <row r="3" spans="1:3">
      <c r="B3" t="s">
        <v>12</v>
      </c>
    </row>
    <row r="4" spans="1:3">
      <c r="B4" s="4" t="s">
        <v>8</v>
      </c>
    </row>
    <row r="5" spans="1:3" ht="8.25" customHeight="1">
      <c r="A5" s="3"/>
      <c r="B5" s="27"/>
      <c r="C5" s="3"/>
    </row>
    <row r="7" spans="1:3">
      <c r="A7" s="28" t="str">
        <f>'prorrateo '!E2</f>
        <v>EDIFICIO PATXOT 521</v>
      </c>
      <c r="B7" s="29" t="s">
        <v>130</v>
      </c>
      <c r="C7" s="29" t="s">
        <v>129</v>
      </c>
    </row>
    <row r="8" spans="1:3">
      <c r="A8" s="3"/>
      <c r="B8" s="3"/>
      <c r="C8" s="3"/>
    </row>
    <row r="10" spans="1:3">
      <c r="A10" s="17" t="s">
        <v>48</v>
      </c>
      <c r="B10" s="16"/>
      <c r="C10" s="16"/>
    </row>
    <row r="11" spans="1:3">
      <c r="A11" s="16" t="s">
        <v>39</v>
      </c>
      <c r="B11" s="16"/>
      <c r="C11" s="16"/>
    </row>
    <row r="12" spans="1:3">
      <c r="A12" s="16" t="s">
        <v>40</v>
      </c>
      <c r="B12" s="16"/>
      <c r="C12" s="16"/>
    </row>
    <row r="13" spans="1:3">
      <c r="A13" s="16" t="s">
        <v>42</v>
      </c>
      <c r="C13" s="16"/>
    </row>
    <row r="14" spans="1:3">
      <c r="A14" s="16"/>
      <c r="B14" s="16"/>
      <c r="C14" s="16"/>
    </row>
    <row r="15" spans="1:3">
      <c r="A15" s="25" t="s">
        <v>14</v>
      </c>
      <c r="B15" s="16"/>
      <c r="C15" s="16"/>
    </row>
    <row r="16" spans="1:3">
      <c r="A16" s="95" t="s">
        <v>13</v>
      </c>
      <c r="B16" s="83"/>
      <c r="C16" s="96"/>
    </row>
    <row r="17" spans="1:6">
      <c r="A17" s="83" t="s">
        <v>82</v>
      </c>
      <c r="B17" s="97"/>
      <c r="C17" s="93"/>
      <c r="D17" s="5"/>
      <c r="E17" s="14"/>
    </row>
    <row r="18" spans="1:6" hidden="1">
      <c r="A18" s="83"/>
      <c r="B18" s="98"/>
      <c r="C18" s="93"/>
      <c r="D18" s="5"/>
      <c r="E18" s="14"/>
    </row>
    <row r="19" spans="1:6" hidden="1">
      <c r="A19" s="83"/>
      <c r="B19" s="99"/>
      <c r="C19" s="93"/>
      <c r="D19" s="5"/>
      <c r="E19" s="14"/>
      <c r="F19" s="19"/>
    </row>
    <row r="20" spans="1:6">
      <c r="A20" s="83" t="s">
        <v>35</v>
      </c>
      <c r="B20" s="99" t="s">
        <v>64</v>
      </c>
      <c r="C20" s="101">
        <v>71602.350000000006</v>
      </c>
      <c r="D20" s="54"/>
      <c r="F20" s="14"/>
    </row>
    <row r="21" spans="1:6">
      <c r="A21" s="83"/>
      <c r="B21" s="99"/>
      <c r="C21" s="93"/>
      <c r="D21" s="54"/>
      <c r="F21" s="14"/>
    </row>
    <row r="22" spans="1:6">
      <c r="A22" s="83"/>
      <c r="B22" s="100"/>
      <c r="C22" s="93"/>
      <c r="D22" s="5"/>
      <c r="E22" s="14"/>
    </row>
    <row r="23" spans="1:6">
      <c r="A23" s="102"/>
      <c r="B23" s="103"/>
      <c r="C23" s="67">
        <f>SUM(C17:C22)</f>
        <v>71602.350000000006</v>
      </c>
    </row>
    <row r="24" spans="1:6">
      <c r="A24" s="95" t="s">
        <v>36</v>
      </c>
      <c r="B24" s="99"/>
      <c r="C24" s="104"/>
      <c r="F24" s="36"/>
    </row>
    <row r="25" spans="1:6" ht="15.75">
      <c r="A25" s="83" t="s">
        <v>81</v>
      </c>
      <c r="B25" s="105" t="s">
        <v>131</v>
      </c>
      <c r="C25" s="93"/>
      <c r="F25" s="24"/>
    </row>
    <row r="26" spans="1:6" ht="15.75">
      <c r="A26" s="83" t="s">
        <v>132</v>
      </c>
      <c r="B26" s="105"/>
      <c r="C26" s="93">
        <v>22000</v>
      </c>
      <c r="F26" s="24"/>
    </row>
    <row r="27" spans="1:6" ht="15.75" hidden="1">
      <c r="A27" s="83"/>
      <c r="B27" s="105"/>
      <c r="C27" s="93"/>
      <c r="F27" s="24"/>
    </row>
    <row r="28" spans="1:6" ht="15.75" hidden="1">
      <c r="A28" s="83"/>
      <c r="B28" s="105"/>
      <c r="C28" s="93"/>
      <c r="F28" s="24"/>
    </row>
    <row r="29" spans="1:6" ht="15.75">
      <c r="A29" s="83" t="s">
        <v>63</v>
      </c>
      <c r="B29" s="100"/>
      <c r="C29" s="94"/>
      <c r="D29" s="5"/>
      <c r="E29" s="14"/>
      <c r="F29" s="24"/>
    </row>
    <row r="30" spans="1:6" ht="15.75">
      <c r="A30" s="102"/>
      <c r="B30" s="103"/>
      <c r="C30" s="67">
        <f>SUM(C24:C29)</f>
        <v>22000</v>
      </c>
      <c r="F30" s="24"/>
    </row>
    <row r="31" spans="1:6" ht="15.75">
      <c r="A31" s="87" t="s">
        <v>83</v>
      </c>
      <c r="B31" s="87"/>
      <c r="C31" s="106">
        <f>+C30+C23</f>
        <v>93602.35</v>
      </c>
      <c r="F31" s="24"/>
    </row>
    <row r="32" spans="1:6" ht="15.75">
      <c r="A32" s="16"/>
      <c r="B32" s="16"/>
      <c r="C32" s="68"/>
      <c r="F32" s="24"/>
    </row>
    <row r="33" spans="1:6" ht="15.75">
      <c r="A33" s="25" t="s">
        <v>44</v>
      </c>
      <c r="B33" s="16"/>
      <c r="C33" s="68"/>
      <c r="F33" s="24"/>
    </row>
    <row r="34" spans="1:6" ht="15.75">
      <c r="A34" s="83"/>
      <c r="B34" s="92"/>
      <c r="C34" s="93"/>
      <c r="F34" s="24"/>
    </row>
    <row r="35" spans="1:6" ht="15.75">
      <c r="A35" s="83"/>
      <c r="B35" s="92"/>
      <c r="C35" s="94"/>
      <c r="F35" s="24"/>
    </row>
    <row r="36" spans="1:6" ht="15.75">
      <c r="A36" s="92"/>
      <c r="B36" s="92"/>
      <c r="C36" s="94"/>
      <c r="F36" s="24"/>
    </row>
    <row r="37" spans="1:6" ht="15.75">
      <c r="A37" s="38"/>
      <c r="B37" s="38"/>
      <c r="C37" s="70"/>
      <c r="F37" s="24"/>
    </row>
    <row r="38" spans="1:6">
      <c r="A38" s="25" t="s">
        <v>41</v>
      </c>
      <c r="B38" s="25"/>
      <c r="C38" s="26">
        <f>+C34+C35+C36+C37</f>
        <v>0</v>
      </c>
      <c r="E38" s="14"/>
    </row>
    <row r="39" spans="1:6">
      <c r="A39" s="16"/>
      <c r="B39" s="16"/>
      <c r="C39" s="16"/>
    </row>
    <row r="40" spans="1:6">
      <c r="A40" s="40" t="s">
        <v>15</v>
      </c>
      <c r="B40" s="40"/>
      <c r="C40" s="41">
        <f>+C38+C31</f>
        <v>93602.35</v>
      </c>
    </row>
    <row r="41" spans="1:6" ht="15.75" thickBot="1">
      <c r="A41" s="16"/>
      <c r="B41" s="16"/>
      <c r="C41" s="16"/>
    </row>
    <row r="42" spans="1:6" ht="15.75" thickBot="1">
      <c r="A42" s="181" t="s">
        <v>37</v>
      </c>
      <c r="B42" s="182"/>
      <c r="C42" s="183"/>
    </row>
    <row r="43" spans="1:6">
      <c r="A43" s="178" t="s">
        <v>10</v>
      </c>
      <c r="B43" s="179"/>
      <c r="C43" s="180">
        <v>-269246.23</v>
      </c>
      <c r="D43" s="6"/>
      <c r="E43" s="6"/>
    </row>
    <row r="44" spans="1:6">
      <c r="A44" s="16" t="s">
        <v>9</v>
      </c>
      <c r="B44" s="16"/>
      <c r="C44" s="37">
        <f>'prorrateo '!F15</f>
        <v>49029.911250661047</v>
      </c>
      <c r="D44" s="14"/>
      <c r="E44" s="14"/>
    </row>
    <row r="45" spans="1:6">
      <c r="A45" s="16" t="s">
        <v>84</v>
      </c>
      <c r="B45" s="16"/>
      <c r="C45" s="107">
        <f>-edesur!H1</f>
        <v>-84383.63</v>
      </c>
      <c r="D45" s="14"/>
      <c r="E45" s="14"/>
    </row>
    <row r="46" spans="1:6">
      <c r="A46" s="16" t="s">
        <v>66</v>
      </c>
      <c r="B46" s="16"/>
      <c r="C46" s="107">
        <f>-(C31-C29)</f>
        <v>-93602.35</v>
      </c>
    </row>
    <row r="47" spans="1:6">
      <c r="A47" s="42" t="s">
        <v>16</v>
      </c>
      <c r="B47" s="39"/>
      <c r="C47" s="46">
        <f>SUM(C43:C46)</f>
        <v>-398202.29874933895</v>
      </c>
      <c r="D47" s="6"/>
    </row>
    <row r="48" spans="1:6">
      <c r="A48" s="20"/>
      <c r="B48" s="21"/>
      <c r="C48" s="22"/>
    </row>
    <row r="49" spans="1:6">
      <c r="A49" s="20"/>
      <c r="B49" s="21"/>
      <c r="C49" s="22"/>
      <c r="F49" s="108"/>
    </row>
    <row r="50" spans="1:6">
      <c r="A50" s="20"/>
      <c r="B50" s="21"/>
      <c r="C50" s="22"/>
    </row>
    <row r="51" spans="1:6" ht="15.75">
      <c r="A51" s="81" t="s">
        <v>58</v>
      </c>
      <c r="B51" s="82"/>
      <c r="C51" s="85">
        <v>0</v>
      </c>
    </row>
    <row r="52" spans="1:6">
      <c r="A52" s="83" t="s">
        <v>65</v>
      </c>
      <c r="B52" s="83"/>
      <c r="C52" s="90">
        <f>-C38</f>
        <v>0</v>
      </c>
    </row>
    <row r="53" spans="1:6">
      <c r="A53" s="83"/>
      <c r="B53" s="83"/>
      <c r="C53" s="90"/>
    </row>
    <row r="54" spans="1:6">
      <c r="A54" s="83"/>
      <c r="B54" s="83"/>
      <c r="C54" s="91"/>
    </row>
    <row r="55" spans="1:6">
      <c r="A55" s="87" t="s">
        <v>4</v>
      </c>
      <c r="B55" s="84"/>
      <c r="C55" s="86">
        <f>SUM(C51:C54)</f>
        <v>0</v>
      </c>
    </row>
    <row r="56" spans="1:6">
      <c r="A56" s="19"/>
      <c r="B56" s="19"/>
      <c r="C56" s="19"/>
    </row>
    <row r="57" spans="1:6">
      <c r="A57" s="19"/>
      <c r="B57" s="19"/>
      <c r="C57" s="19"/>
    </row>
    <row r="58" spans="1:6">
      <c r="A58" s="19"/>
      <c r="B58" s="19"/>
      <c r="C58" s="19"/>
    </row>
    <row r="59" spans="1:6">
      <c r="A59" s="19"/>
      <c r="B59" s="19"/>
      <c r="C59" s="19"/>
    </row>
  </sheetData>
  <hyperlinks>
    <hyperlink ref="B4" r:id="rId1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8"/>
  <sheetViews>
    <sheetView topLeftCell="B106" workbookViewId="0">
      <selection activeCell="J121" sqref="J121"/>
    </sheetView>
  </sheetViews>
  <sheetFormatPr baseColWidth="10" defaultRowHeight="15"/>
  <cols>
    <col min="1" max="1" width="5.28515625" style="1" customWidth="1"/>
    <col min="2" max="2" width="1.7109375" style="1" customWidth="1"/>
    <col min="3" max="3" width="23.42578125" bestFit="1" customWidth="1"/>
    <col min="4" max="4" width="9.85546875" bestFit="1" customWidth="1"/>
    <col min="5" max="5" width="11.7109375" customWidth="1"/>
    <col min="6" max="6" width="10.7109375" customWidth="1"/>
    <col min="7" max="7" width="9.5703125" customWidth="1"/>
    <col min="8" max="8" width="10.28515625" customWidth="1"/>
    <col min="9" max="9" width="8.28515625" customWidth="1"/>
    <col min="10" max="10" width="11.42578125" bestFit="1" customWidth="1"/>
    <col min="11" max="11" width="11.42578125" customWidth="1"/>
    <col min="12" max="12" width="12.42578125" bestFit="1" customWidth="1"/>
    <col min="14" max="14" width="11.42578125" style="23"/>
  </cols>
  <sheetData>
    <row r="1" spans="1:12" ht="15.75" thickBot="1">
      <c r="A1" s="59" t="s">
        <v>49</v>
      </c>
      <c r="E1" s="56">
        <v>93602.35</v>
      </c>
    </row>
    <row r="2" spans="1:12">
      <c r="A2" s="111" t="str">
        <f>'detalle y gastos'!B7</f>
        <v>LIQUIDACIÓN EXPENSAS ENERO 2025</v>
      </c>
      <c r="B2" s="112"/>
      <c r="C2" s="113"/>
      <c r="D2" s="113"/>
      <c r="E2" s="114" t="s">
        <v>77</v>
      </c>
      <c r="F2" s="115"/>
      <c r="G2" s="115"/>
      <c r="H2" s="115"/>
      <c r="I2" s="115"/>
      <c r="J2" s="116"/>
      <c r="K2" s="116"/>
      <c r="L2" s="117"/>
    </row>
    <row r="3" spans="1:12">
      <c r="A3" s="228" t="s">
        <v>1</v>
      </c>
      <c r="B3" s="229"/>
      <c r="C3" s="218" t="s">
        <v>2</v>
      </c>
      <c r="D3" s="226" t="s">
        <v>56</v>
      </c>
      <c r="E3" s="7" t="s">
        <v>19</v>
      </c>
      <c r="F3" s="7" t="s">
        <v>3</v>
      </c>
      <c r="G3" s="218" t="s">
        <v>54</v>
      </c>
      <c r="H3" s="2" t="s">
        <v>45</v>
      </c>
      <c r="I3" s="224" t="s">
        <v>7</v>
      </c>
      <c r="J3" s="220" t="s">
        <v>116</v>
      </c>
      <c r="K3" s="218" t="s">
        <v>43</v>
      </c>
      <c r="L3" s="51" t="s">
        <v>4</v>
      </c>
    </row>
    <row r="4" spans="1:12">
      <c r="A4" s="230"/>
      <c r="B4" s="231"/>
      <c r="C4" s="219"/>
      <c r="D4" s="227"/>
      <c r="E4" s="64" t="s">
        <v>20</v>
      </c>
      <c r="F4" s="7" t="s">
        <v>46</v>
      </c>
      <c r="G4" s="219"/>
      <c r="H4" s="43">
        <v>0.04</v>
      </c>
      <c r="I4" s="225"/>
      <c r="J4" s="221"/>
      <c r="K4" s="219"/>
      <c r="L4" s="44" t="s">
        <v>5</v>
      </c>
    </row>
    <row r="5" spans="1:12" ht="19.5" customHeight="1">
      <c r="A5" s="222">
        <v>1</v>
      </c>
      <c r="B5" s="223"/>
      <c r="C5" s="125" t="s">
        <v>67</v>
      </c>
      <c r="D5" s="65"/>
      <c r="E5" s="184">
        <v>29650.223243440138</v>
      </c>
      <c r="F5" s="185"/>
      <c r="G5" s="186">
        <f>E5-F5</f>
        <v>29650.223243440138</v>
      </c>
      <c r="H5" s="186">
        <f>IF(G5&gt;0,G5*4%,0)</f>
        <v>1186.0089297376055</v>
      </c>
      <c r="I5" s="109">
        <v>13.8</v>
      </c>
      <c r="J5" s="110">
        <f>E$1*I5/100</f>
        <v>12917.124300000001</v>
      </c>
      <c r="K5" s="173">
        <f>edesur!H5</f>
        <v>7945.2119155844166</v>
      </c>
      <c r="L5" s="118">
        <f>G5+H5+J5+K5</f>
        <v>51698.568388762164</v>
      </c>
    </row>
    <row r="6" spans="1:12" ht="26.25">
      <c r="A6" s="222">
        <v>2</v>
      </c>
      <c r="B6" s="223"/>
      <c r="C6" s="125" t="s">
        <v>68</v>
      </c>
      <c r="D6" s="80" t="s">
        <v>73</v>
      </c>
      <c r="E6" s="184">
        <v>8969.1014784013478</v>
      </c>
      <c r="F6" s="185">
        <f t="shared" ref="F6:F8" si="0">E6</f>
        <v>8969.1014784013478</v>
      </c>
      <c r="G6" s="186">
        <f t="shared" ref="G6:G14" si="1">E6-F6</f>
        <v>0</v>
      </c>
      <c r="H6" s="186">
        <f t="shared" ref="H6:H14" si="2">IF(G6&gt;0,G6*4%,0)</f>
        <v>0</v>
      </c>
      <c r="I6" s="109">
        <v>11.86</v>
      </c>
      <c r="J6" s="110">
        <f t="shared" ref="J6:J14" si="3">E$1*I6/100</f>
        <v>11101.23871</v>
      </c>
      <c r="K6" s="173">
        <f>edesur!H6</f>
        <v>11917.817873376625</v>
      </c>
      <c r="L6" s="118">
        <f t="shared" ref="L6:L14" si="4">G6+H6+J6+K6</f>
        <v>23019.056583376623</v>
      </c>
    </row>
    <row r="7" spans="1:12" ht="26.25">
      <c r="A7" s="222">
        <v>3</v>
      </c>
      <c r="B7" s="223"/>
      <c r="C7" s="125" t="s">
        <v>68</v>
      </c>
      <c r="D7" s="80" t="s">
        <v>74</v>
      </c>
      <c r="E7" s="184">
        <v>47532.634770677905</v>
      </c>
      <c r="F7" s="185"/>
      <c r="G7" s="186">
        <f t="shared" si="1"/>
        <v>47532.634770677905</v>
      </c>
      <c r="H7" s="186">
        <f t="shared" si="2"/>
        <v>1901.3053908271163</v>
      </c>
      <c r="I7" s="109">
        <v>12.46</v>
      </c>
      <c r="J7" s="110">
        <f t="shared" si="3"/>
        <v>11662.852810000002</v>
      </c>
      <c r="K7" s="173">
        <f>edesur!H7</f>
        <v>16027.410243506496</v>
      </c>
      <c r="L7" s="118">
        <f t="shared" si="4"/>
        <v>77124.203215011526</v>
      </c>
    </row>
    <row r="8" spans="1:12" ht="26.25">
      <c r="A8" s="222">
        <v>4</v>
      </c>
      <c r="B8" s="223"/>
      <c r="C8" s="125" t="s">
        <v>69</v>
      </c>
      <c r="D8" s="80" t="s">
        <v>75</v>
      </c>
      <c r="E8" s="184">
        <v>40060.809772259701</v>
      </c>
      <c r="F8" s="185">
        <f t="shared" si="0"/>
        <v>40060.809772259701</v>
      </c>
      <c r="G8" s="186">
        <f t="shared" si="1"/>
        <v>0</v>
      </c>
      <c r="H8" s="186">
        <f t="shared" si="2"/>
        <v>0</v>
      </c>
      <c r="I8" s="109">
        <v>14.75</v>
      </c>
      <c r="J8" s="110">
        <f t="shared" si="3"/>
        <v>13806.346625</v>
      </c>
      <c r="K8" s="173">
        <f>edesur!H8</f>
        <v>9726.0352759740254</v>
      </c>
      <c r="L8" s="118">
        <f t="shared" si="4"/>
        <v>23532.381900974025</v>
      </c>
    </row>
    <row r="9" spans="1:12" ht="33" customHeight="1">
      <c r="A9" s="222">
        <v>5</v>
      </c>
      <c r="B9" s="223"/>
      <c r="C9" s="125" t="s">
        <v>70</v>
      </c>
      <c r="D9" s="80" t="s">
        <v>76</v>
      </c>
      <c r="E9" s="184">
        <v>52706.719567288361</v>
      </c>
      <c r="F9" s="185"/>
      <c r="G9" s="186">
        <f t="shared" si="1"/>
        <v>52706.719567288361</v>
      </c>
      <c r="H9" s="186">
        <f t="shared" si="2"/>
        <v>2108.2687826915344</v>
      </c>
      <c r="I9" s="109">
        <v>12.41</v>
      </c>
      <c r="J9" s="110">
        <f t="shared" si="3"/>
        <v>11616.051635</v>
      </c>
      <c r="K9" s="173">
        <f>edesur!H9</f>
        <v>13150.695584415585</v>
      </c>
      <c r="L9" s="118">
        <f t="shared" si="4"/>
        <v>79581.735569395489</v>
      </c>
    </row>
    <row r="10" spans="1:12" ht="18" customHeight="1">
      <c r="A10" s="222">
        <v>6</v>
      </c>
      <c r="B10" s="223"/>
      <c r="C10" s="125" t="s">
        <v>71</v>
      </c>
      <c r="D10" s="80"/>
      <c r="E10" s="184">
        <v>47546.626278677904</v>
      </c>
      <c r="F10" s="185"/>
      <c r="G10" s="186">
        <f t="shared" si="1"/>
        <v>47546.626278677904</v>
      </c>
      <c r="H10" s="186">
        <f t="shared" si="2"/>
        <v>1901.8650511471162</v>
      </c>
      <c r="I10" s="109">
        <v>12.48</v>
      </c>
      <c r="J10" s="110">
        <f t="shared" si="3"/>
        <v>11681.573280000002</v>
      </c>
      <c r="K10" s="173">
        <f>edesur!H10</f>
        <v>14794.532532467534</v>
      </c>
      <c r="L10" s="118">
        <f t="shared" si="4"/>
        <v>75924.59714229255</v>
      </c>
    </row>
    <row r="11" spans="1:12" ht="17.25" customHeight="1">
      <c r="A11" s="222">
        <v>7</v>
      </c>
      <c r="B11" s="223"/>
      <c r="C11" s="125" t="s">
        <v>72</v>
      </c>
      <c r="D11" s="80"/>
      <c r="E11" s="184">
        <v>39995.804797254634</v>
      </c>
      <c r="F11" s="185"/>
      <c r="G11" s="186">
        <f t="shared" si="1"/>
        <v>39995.804797254634</v>
      </c>
      <c r="H11" s="186">
        <f t="shared" si="2"/>
        <v>1599.8321918901854</v>
      </c>
      <c r="I11" s="109">
        <v>18.260000000000002</v>
      </c>
      <c r="J11" s="110">
        <f t="shared" si="3"/>
        <v>17091.789110000002</v>
      </c>
      <c r="K11" s="173">
        <f>edesur!H11</f>
        <v>10821.926574675326</v>
      </c>
      <c r="L11" s="118">
        <f t="shared" si="4"/>
        <v>69509.352673820147</v>
      </c>
    </row>
    <row r="12" spans="1:12" ht="16.5" customHeight="1">
      <c r="A12" s="222" t="s">
        <v>78</v>
      </c>
      <c r="B12" s="223"/>
      <c r="C12" s="125" t="str">
        <f>C9</f>
        <v>Grand Jorge</v>
      </c>
      <c r="D12" s="80"/>
      <c r="E12" s="184">
        <v>937.43103600000006</v>
      </c>
      <c r="F12" s="185"/>
      <c r="G12" s="186">
        <f t="shared" si="1"/>
        <v>937.43103600000006</v>
      </c>
      <c r="H12" s="186">
        <f t="shared" si="2"/>
        <v>37.497241440000003</v>
      </c>
      <c r="I12" s="109">
        <v>1.34</v>
      </c>
      <c r="J12" s="110">
        <f t="shared" si="3"/>
        <v>1254.2714900000001</v>
      </c>
      <c r="K12" s="173">
        <v>0</v>
      </c>
      <c r="L12" s="118">
        <f t="shared" si="4"/>
        <v>2229.19976744</v>
      </c>
    </row>
    <row r="13" spans="1:12" ht="17.25" customHeight="1">
      <c r="A13" s="222" t="s">
        <v>79</v>
      </c>
      <c r="B13" s="223"/>
      <c r="C13" s="125" t="str">
        <f>C6</f>
        <v>Maceyle Gabriela</v>
      </c>
      <c r="D13" s="80"/>
      <c r="E13" s="184">
        <v>923.439528</v>
      </c>
      <c r="F13" s="185"/>
      <c r="G13" s="186">
        <f t="shared" si="1"/>
        <v>923.439528</v>
      </c>
      <c r="H13" s="186">
        <f t="shared" si="2"/>
        <v>36.937581119999997</v>
      </c>
      <c r="I13" s="109">
        <v>1.32</v>
      </c>
      <c r="J13" s="110">
        <f t="shared" si="3"/>
        <v>1235.5510200000001</v>
      </c>
      <c r="K13" s="173">
        <v>0</v>
      </c>
      <c r="L13" s="118">
        <f t="shared" si="4"/>
        <v>2195.92812912</v>
      </c>
    </row>
    <row r="14" spans="1:12" ht="19.5" customHeight="1">
      <c r="A14" s="222" t="s">
        <v>80</v>
      </c>
      <c r="B14" s="223"/>
      <c r="C14" s="65" t="str">
        <f>C6</f>
        <v>Maceyle Gabriela</v>
      </c>
      <c r="D14" s="80"/>
      <c r="E14" s="184">
        <v>923.439528</v>
      </c>
      <c r="F14" s="185"/>
      <c r="G14" s="186">
        <f t="shared" si="1"/>
        <v>923.439528</v>
      </c>
      <c r="H14" s="186">
        <f t="shared" si="2"/>
        <v>36.937581119999997</v>
      </c>
      <c r="I14" s="109">
        <v>1.32</v>
      </c>
      <c r="J14" s="110">
        <f t="shared" si="3"/>
        <v>1235.5510200000001</v>
      </c>
      <c r="K14" s="173">
        <v>0</v>
      </c>
      <c r="L14" s="118">
        <f t="shared" si="4"/>
        <v>2195.92812912</v>
      </c>
    </row>
    <row r="15" spans="1:12" ht="15.75" thickBot="1">
      <c r="A15" s="119" t="s">
        <v>11</v>
      </c>
      <c r="B15" s="120"/>
      <c r="C15" s="121"/>
      <c r="D15" s="121"/>
      <c r="E15" s="48">
        <f>SUM(E5:E14)</f>
        <v>269246.23000000004</v>
      </c>
      <c r="F15" s="122">
        <f>SUM(F5:F14)</f>
        <v>49029.911250661047</v>
      </c>
      <c r="G15" s="122"/>
      <c r="H15" s="123">
        <f>SUM(H5:H14)</f>
        <v>8808.6527499735585</v>
      </c>
      <c r="I15" s="124">
        <f t="shared" ref="I15" si="5">SUM(I5:I14)</f>
        <v>100</v>
      </c>
      <c r="J15" s="45">
        <f>SUM(J5:J14)</f>
        <v>93602.349999999991</v>
      </c>
      <c r="K15" s="48">
        <f>SUM(K5:K11)</f>
        <v>84383.63</v>
      </c>
      <c r="L15" s="48">
        <f>SUM(L5:L14)</f>
        <v>407010.95149931242</v>
      </c>
    </row>
    <row r="18" spans="1:14" hidden="1">
      <c r="A18" s="59" t="s">
        <v>50</v>
      </c>
      <c r="E18">
        <v>7454</v>
      </c>
    </row>
    <row r="19" spans="1:14" hidden="1">
      <c r="A19" s="30" t="s">
        <v>52</v>
      </c>
      <c r="B19" s="31"/>
      <c r="C19" s="32"/>
      <c r="D19" s="78"/>
      <c r="E19">
        <v>14805</v>
      </c>
      <c r="F19" s="34"/>
      <c r="G19" s="34"/>
      <c r="H19" s="34"/>
      <c r="I19" s="34"/>
      <c r="J19" s="60"/>
      <c r="K19" s="60"/>
      <c r="L19" s="35"/>
    </row>
    <row r="20" spans="1:14" hidden="1">
      <c r="A20" s="2" t="s">
        <v>0</v>
      </c>
      <c r="B20" s="7" t="s">
        <v>1</v>
      </c>
      <c r="C20" s="7" t="s">
        <v>2</v>
      </c>
      <c r="D20" s="71"/>
      <c r="E20">
        <v>3297</v>
      </c>
      <c r="F20" s="7" t="s">
        <v>3</v>
      </c>
      <c r="G20" s="2"/>
      <c r="H20" s="2" t="s">
        <v>45</v>
      </c>
      <c r="I20" s="2" t="s">
        <v>6</v>
      </c>
      <c r="J20" s="61" t="s">
        <v>17</v>
      </c>
      <c r="K20" s="174"/>
      <c r="L20" s="51" t="s">
        <v>4</v>
      </c>
    </row>
    <row r="21" spans="1:14" hidden="1">
      <c r="A21" s="2"/>
      <c r="B21" s="7"/>
      <c r="C21" s="7"/>
      <c r="D21" s="71"/>
      <c r="E21">
        <v>3177</v>
      </c>
      <c r="F21" s="7" t="s">
        <v>47</v>
      </c>
      <c r="G21" s="2"/>
      <c r="H21" s="43">
        <v>0.02</v>
      </c>
      <c r="I21" s="2" t="s">
        <v>7</v>
      </c>
      <c r="J21" s="49" t="s">
        <v>18</v>
      </c>
      <c r="K21" s="175"/>
      <c r="L21" s="44" t="s">
        <v>5</v>
      </c>
    </row>
    <row r="22" spans="1:14" ht="39" hidden="1">
      <c r="A22" s="11">
        <v>1</v>
      </c>
      <c r="B22" s="12" t="s">
        <v>22</v>
      </c>
      <c r="C22" s="13" t="s">
        <v>30</v>
      </c>
      <c r="D22" s="79"/>
      <c r="E22">
        <v>3056</v>
      </c>
      <c r="F22" s="52">
        <v>37971</v>
      </c>
      <c r="G22" s="57"/>
      <c r="H22" s="57">
        <v>0</v>
      </c>
      <c r="I22" s="18">
        <v>0.121</v>
      </c>
      <c r="J22" s="50">
        <f>0*I22</f>
        <v>0</v>
      </c>
      <c r="K22" s="176"/>
      <c r="L22" s="47" t="e">
        <f>+#REF!+H22+J22</f>
        <v>#REF!</v>
      </c>
    </row>
    <row r="23" spans="1:14" ht="39" hidden="1">
      <c r="A23" s="11">
        <v>2</v>
      </c>
      <c r="B23" s="12" t="s">
        <v>23</v>
      </c>
      <c r="C23" s="13" t="s">
        <v>31</v>
      </c>
      <c r="D23" s="79"/>
      <c r="E23">
        <v>3056</v>
      </c>
      <c r="F23" s="52">
        <v>66612</v>
      </c>
      <c r="G23" s="57"/>
      <c r="H23" s="57">
        <v>0</v>
      </c>
      <c r="I23" s="18">
        <v>0.122</v>
      </c>
      <c r="J23" s="50">
        <f t="shared" ref="J23:J29" si="6">0*I23</f>
        <v>0</v>
      </c>
      <c r="K23" s="176"/>
      <c r="L23" s="47" t="e">
        <f>+#REF!+H23+J23</f>
        <v>#REF!</v>
      </c>
    </row>
    <row r="24" spans="1:14" ht="39" hidden="1">
      <c r="A24" s="11">
        <v>3</v>
      </c>
      <c r="B24" s="12" t="s">
        <v>24</v>
      </c>
      <c r="C24" s="13" t="s">
        <v>32</v>
      </c>
      <c r="D24" s="79"/>
      <c r="E24">
        <f>SUM(E16:E23)</f>
        <v>34845</v>
      </c>
      <c r="F24" s="52">
        <v>0</v>
      </c>
      <c r="G24" s="57"/>
      <c r="H24" s="57">
        <v>0</v>
      </c>
      <c r="I24" s="18">
        <v>0.11700000000000001</v>
      </c>
      <c r="J24" s="50">
        <f t="shared" si="6"/>
        <v>0</v>
      </c>
      <c r="K24" s="176"/>
      <c r="L24" s="47" t="e">
        <f>+#REF!+H24+J24</f>
        <v>#REF!</v>
      </c>
    </row>
    <row r="25" spans="1:14" ht="39" hidden="1">
      <c r="A25" s="11">
        <v>4</v>
      </c>
      <c r="B25" s="12" t="s">
        <v>25</v>
      </c>
      <c r="C25" s="13" t="s">
        <v>33</v>
      </c>
      <c r="D25" s="79"/>
      <c r="F25" s="52">
        <v>0</v>
      </c>
      <c r="G25" s="57"/>
      <c r="H25" s="57">
        <v>0</v>
      </c>
      <c r="I25" s="18">
        <v>0.11700000000000001</v>
      </c>
      <c r="J25" s="50">
        <f t="shared" si="6"/>
        <v>0</v>
      </c>
      <c r="K25" s="176"/>
      <c r="L25" s="47" t="e">
        <f>+#REF!+H25+J25</f>
        <v>#REF!</v>
      </c>
    </row>
    <row r="26" spans="1:14" ht="39" hidden="1">
      <c r="A26" s="11">
        <v>5</v>
      </c>
      <c r="B26" s="12" t="s">
        <v>26</v>
      </c>
      <c r="C26" s="13" t="s">
        <v>30</v>
      </c>
      <c r="D26" s="79"/>
      <c r="F26" s="52">
        <v>80517</v>
      </c>
      <c r="G26" s="57"/>
      <c r="H26" s="57">
        <v>0</v>
      </c>
      <c r="I26" s="18">
        <v>0.13700000000000001</v>
      </c>
      <c r="J26" s="50">
        <f t="shared" si="6"/>
        <v>0</v>
      </c>
      <c r="K26" s="176"/>
      <c r="L26" s="47" t="e">
        <f>+#REF!+H26+J26</f>
        <v>#REF!</v>
      </c>
    </row>
    <row r="27" spans="1:14" ht="39" hidden="1">
      <c r="A27" s="11">
        <v>6</v>
      </c>
      <c r="B27" s="12" t="s">
        <v>27</v>
      </c>
      <c r="C27" s="13" t="s">
        <v>30</v>
      </c>
      <c r="D27" s="79"/>
      <c r="F27" s="52">
        <v>0</v>
      </c>
      <c r="G27" s="57"/>
      <c r="H27" s="57">
        <v>0</v>
      </c>
      <c r="I27" s="18">
        <v>0.13200000000000001</v>
      </c>
      <c r="J27" s="50">
        <f t="shared" si="6"/>
        <v>0</v>
      </c>
      <c r="K27" s="176"/>
      <c r="L27" s="47" t="e">
        <f>+#REF!+H27+J27</f>
        <v>#REF!</v>
      </c>
    </row>
    <row r="28" spans="1:14" ht="39" hidden="1">
      <c r="A28" s="11">
        <v>7</v>
      </c>
      <c r="B28" s="12" t="s">
        <v>28</v>
      </c>
      <c r="C28" s="13" t="s">
        <v>32</v>
      </c>
      <c r="D28" s="79"/>
      <c r="E28" t="s">
        <v>38</v>
      </c>
      <c r="F28" s="52">
        <v>18542</v>
      </c>
      <c r="G28" s="57"/>
      <c r="H28" s="57">
        <v>0</v>
      </c>
      <c r="I28" s="18">
        <v>0.127</v>
      </c>
      <c r="J28" s="50">
        <f t="shared" si="6"/>
        <v>0</v>
      </c>
      <c r="K28" s="176"/>
      <c r="L28" s="47" t="e">
        <f>+#REF!+H28+J28</f>
        <v>#REF!</v>
      </c>
    </row>
    <row r="29" spans="1:14" ht="39" hidden="1">
      <c r="A29" s="11">
        <v>8</v>
      </c>
      <c r="B29" s="12" t="s">
        <v>29</v>
      </c>
      <c r="C29" s="13" t="s">
        <v>34</v>
      </c>
      <c r="D29" s="79"/>
      <c r="E29" t="s">
        <v>19</v>
      </c>
      <c r="F29" s="52">
        <v>0</v>
      </c>
      <c r="G29" s="57"/>
      <c r="H29" s="57">
        <v>0</v>
      </c>
      <c r="I29" s="18">
        <v>0.127</v>
      </c>
      <c r="J29" s="50">
        <f t="shared" si="6"/>
        <v>0</v>
      </c>
      <c r="K29" s="176"/>
      <c r="L29" s="47" t="e">
        <f>+#REF!+H29+J29</f>
        <v>#REF!</v>
      </c>
    </row>
    <row r="30" spans="1:14" ht="15.75" hidden="1" thickBot="1">
      <c r="A30" s="8" t="s">
        <v>11</v>
      </c>
      <c r="B30" s="9"/>
      <c r="C30" s="10"/>
      <c r="D30" s="77"/>
      <c r="E30" t="s">
        <v>20</v>
      </c>
      <c r="F30" s="55">
        <f>SUM(F22:F29)</f>
        <v>203642</v>
      </c>
      <c r="G30" s="55"/>
      <c r="H30" s="58">
        <f>SUM(H22:H29)</f>
        <v>0</v>
      </c>
      <c r="I30" s="15">
        <f t="shared" ref="I30:J30" si="7">SUM(I22:I29)</f>
        <v>1</v>
      </c>
      <c r="J30" s="45">
        <f t="shared" si="7"/>
        <v>0</v>
      </c>
      <c r="K30" s="48"/>
      <c r="L30" s="48" t="e">
        <f>SUM(L22:L29)</f>
        <v>#REF!</v>
      </c>
    </row>
    <row r="31" spans="1:14" ht="15.75" thickBot="1">
      <c r="C31" s="1"/>
      <c r="D31" s="1"/>
      <c r="N31"/>
    </row>
    <row r="32" spans="1:14" ht="15.75" thickBot="1">
      <c r="C32" s="1"/>
      <c r="D32" s="1"/>
      <c r="E32" s="209" t="s">
        <v>117</v>
      </c>
      <c r="F32" s="210"/>
      <c r="G32" s="210"/>
      <c r="H32" s="210"/>
      <c r="I32" s="210"/>
      <c r="J32" s="210"/>
      <c r="K32" s="208"/>
      <c r="L32" s="187"/>
      <c r="M32" s="188"/>
      <c r="N32"/>
    </row>
    <row r="33" spans="3:14" ht="15.75" thickBot="1">
      <c r="C33" s="1"/>
      <c r="D33" s="1"/>
      <c r="E33" s="211" t="s">
        <v>118</v>
      </c>
      <c r="F33" s="210"/>
      <c r="G33" s="210"/>
      <c r="H33" s="210"/>
      <c r="I33" s="210"/>
      <c r="J33" s="210"/>
      <c r="K33" s="208"/>
      <c r="L33" s="189"/>
      <c r="M33" s="190"/>
      <c r="N33"/>
    </row>
    <row r="34" spans="3:14">
      <c r="C34" s="1"/>
      <c r="D34" s="1"/>
      <c r="E34" s="187"/>
      <c r="F34" s="191"/>
      <c r="G34" s="191"/>
      <c r="H34" s="191"/>
      <c r="I34" s="192"/>
      <c r="J34" s="192" t="str">
        <f>'detalle y gastos'!B7</f>
        <v>LIQUIDACIÓN EXPENSAS ENERO 2025</v>
      </c>
      <c r="K34" s="193"/>
      <c r="L34" s="189"/>
      <c r="M34" s="190"/>
      <c r="N34"/>
    </row>
    <row r="35" spans="3:14">
      <c r="C35" s="1"/>
      <c r="D35" s="1"/>
      <c r="E35" s="189" t="s">
        <v>119</v>
      </c>
      <c r="F35" s="192"/>
      <c r="G35" s="192"/>
      <c r="H35" s="192"/>
      <c r="I35" s="192"/>
      <c r="J35" s="192"/>
      <c r="K35" s="193"/>
      <c r="L35" s="189"/>
      <c r="M35" s="190"/>
      <c r="N35"/>
    </row>
    <row r="36" spans="3:14">
      <c r="C36" s="1"/>
      <c r="D36" s="1"/>
      <c r="E36" s="194"/>
      <c r="F36" s="195"/>
      <c r="G36" s="195"/>
      <c r="H36" s="195"/>
      <c r="I36" s="195"/>
      <c r="J36" s="195"/>
      <c r="K36" s="196"/>
      <c r="L36" s="189"/>
      <c r="M36" s="190"/>
      <c r="N36"/>
    </row>
    <row r="37" spans="3:14">
      <c r="C37" s="1"/>
      <c r="D37" s="1"/>
      <c r="E37" s="212" t="s">
        <v>50</v>
      </c>
      <c r="F37" s="213"/>
      <c r="G37" s="213"/>
      <c r="H37" s="213"/>
      <c r="I37" s="213"/>
      <c r="J37" s="213"/>
      <c r="K37" s="214"/>
      <c r="L37" s="189"/>
      <c r="M37" s="190"/>
      <c r="N37"/>
    </row>
    <row r="38" spans="3:14">
      <c r="C38" s="1"/>
      <c r="D38" s="1"/>
      <c r="E38" s="189"/>
      <c r="F38" s="192"/>
      <c r="G38" s="192"/>
      <c r="H38" s="192"/>
      <c r="I38" s="192"/>
      <c r="J38" s="192"/>
      <c r="K38" s="190"/>
      <c r="L38" s="189"/>
      <c r="M38" s="190"/>
      <c r="N38"/>
    </row>
    <row r="39" spans="3:14">
      <c r="C39" s="1"/>
      <c r="D39" s="1"/>
      <c r="E39" s="189" t="s">
        <v>120</v>
      </c>
      <c r="F39" s="192"/>
      <c r="G39" s="192" t="str">
        <f>C7</f>
        <v>Maceyle Gabriela</v>
      </c>
      <c r="H39" s="192"/>
      <c r="I39" s="192" t="s">
        <v>121</v>
      </c>
      <c r="J39" s="197">
        <v>45674</v>
      </c>
      <c r="K39" s="190"/>
      <c r="L39" s="215" t="s">
        <v>122</v>
      </c>
      <c r="M39" s="216"/>
      <c r="N39"/>
    </row>
    <row r="40" spans="3:14">
      <c r="C40" s="1"/>
      <c r="D40" s="1"/>
      <c r="E40" s="189" t="s">
        <v>123</v>
      </c>
      <c r="F40" s="198">
        <v>3</v>
      </c>
      <c r="G40" s="192"/>
      <c r="H40" s="192"/>
      <c r="I40" s="192"/>
      <c r="J40" s="192"/>
      <c r="K40" s="190"/>
      <c r="L40" s="189"/>
      <c r="M40" s="190"/>
      <c r="N40"/>
    </row>
    <row r="41" spans="3:14">
      <c r="C41" s="1"/>
      <c r="D41" s="1"/>
      <c r="E41" s="189"/>
      <c r="F41" s="192"/>
      <c r="G41" s="192"/>
      <c r="H41" s="192"/>
      <c r="I41" s="192"/>
      <c r="J41" s="192"/>
      <c r="K41" s="190"/>
      <c r="L41" s="217"/>
      <c r="M41" s="216"/>
      <c r="N41"/>
    </row>
    <row r="42" spans="3:14">
      <c r="C42" s="1"/>
      <c r="D42" s="1"/>
      <c r="E42" s="189" t="s">
        <v>49</v>
      </c>
      <c r="F42" s="192"/>
      <c r="G42" s="192"/>
      <c r="H42" s="192"/>
      <c r="I42" s="192"/>
      <c r="J42" s="199">
        <f>J7</f>
        <v>11662.852810000002</v>
      </c>
      <c r="K42" s="190"/>
      <c r="L42" s="189"/>
      <c r="M42" s="190"/>
      <c r="N42"/>
    </row>
    <row r="43" spans="3:14">
      <c r="C43" s="1"/>
      <c r="D43" s="1"/>
      <c r="E43" s="200" t="s">
        <v>124</v>
      </c>
      <c r="F43" s="192"/>
      <c r="G43" s="192"/>
      <c r="H43" s="192"/>
      <c r="I43" s="192"/>
      <c r="J43" s="199">
        <f>K7</f>
        <v>16027.410243506496</v>
      </c>
      <c r="K43" s="190"/>
      <c r="L43" s="189"/>
      <c r="M43" s="190"/>
      <c r="N43"/>
    </row>
    <row r="44" spans="3:14">
      <c r="C44" s="1"/>
      <c r="D44" s="1"/>
      <c r="E44" s="200" t="s">
        <v>126</v>
      </c>
      <c r="F44" s="192"/>
      <c r="G44" s="192"/>
      <c r="H44" s="192"/>
      <c r="I44" s="192"/>
      <c r="J44" s="199">
        <f>G7+H7</f>
        <v>49433.940161505023</v>
      </c>
      <c r="K44" s="190"/>
      <c r="L44" s="189"/>
      <c r="M44" s="190"/>
      <c r="N44"/>
    </row>
    <row r="45" spans="3:14" hidden="1">
      <c r="C45" s="1"/>
      <c r="D45" s="1"/>
      <c r="E45" s="200"/>
      <c r="F45" s="192"/>
      <c r="G45" s="192"/>
      <c r="H45" s="192"/>
      <c r="I45" s="192"/>
      <c r="J45" s="199"/>
      <c r="K45" s="190"/>
      <c r="L45" s="189"/>
      <c r="M45" s="190"/>
      <c r="N45"/>
    </row>
    <row r="46" spans="3:14" hidden="1">
      <c r="C46" s="1"/>
      <c r="D46" s="1"/>
      <c r="E46" s="200"/>
      <c r="F46" s="192"/>
      <c r="G46" s="192"/>
      <c r="H46" s="192"/>
      <c r="I46" s="192"/>
      <c r="J46" s="199"/>
      <c r="K46" s="190"/>
      <c r="L46" s="189"/>
      <c r="M46" s="190"/>
      <c r="N46"/>
    </row>
    <row r="47" spans="3:14" hidden="1">
      <c r="C47" s="1"/>
      <c r="D47" s="1"/>
      <c r="F47" s="192"/>
      <c r="G47" s="192"/>
      <c r="H47" s="192"/>
      <c r="I47" s="192"/>
      <c r="J47" s="199"/>
      <c r="K47" s="190"/>
      <c r="L47" s="189"/>
      <c r="M47" s="190"/>
      <c r="N47"/>
    </row>
    <row r="48" spans="3:14" hidden="1">
      <c r="C48" s="1"/>
      <c r="D48" s="1"/>
      <c r="E48" s="200"/>
      <c r="F48" s="192"/>
      <c r="G48" s="192"/>
      <c r="H48" s="192"/>
      <c r="I48" s="192"/>
      <c r="J48" s="199"/>
      <c r="K48" s="190"/>
      <c r="L48" s="189"/>
      <c r="M48" s="190"/>
      <c r="N48"/>
    </row>
    <row r="49" spans="3:14" hidden="1">
      <c r="C49" s="1"/>
      <c r="D49" s="1"/>
      <c r="E49" s="189"/>
      <c r="F49" s="192"/>
      <c r="G49" s="192"/>
      <c r="H49" s="192"/>
      <c r="I49" s="192"/>
      <c r="J49" s="192"/>
      <c r="K49" s="190"/>
      <c r="L49" s="189"/>
      <c r="M49" s="190"/>
      <c r="N49"/>
    </row>
    <row r="50" spans="3:14">
      <c r="C50" s="1"/>
      <c r="D50" s="1"/>
      <c r="E50" s="189" t="s">
        <v>127</v>
      </c>
      <c r="F50" s="192"/>
      <c r="G50" s="192"/>
      <c r="H50" s="192"/>
      <c r="I50" s="192"/>
      <c r="J50" s="192">
        <f>77200-77124.2</f>
        <v>75.80000000000291</v>
      </c>
      <c r="K50" s="190"/>
      <c r="L50" s="189"/>
      <c r="M50" s="190"/>
      <c r="N50"/>
    </row>
    <row r="51" spans="3:14" ht="15.75" thickBot="1">
      <c r="C51" s="1"/>
      <c r="D51" s="1"/>
      <c r="E51" s="189"/>
      <c r="F51" s="192"/>
      <c r="G51" s="192"/>
      <c r="H51" s="192"/>
      <c r="I51" s="192"/>
      <c r="J51" s="192"/>
      <c r="K51" s="190"/>
      <c r="L51" s="201"/>
      <c r="M51" s="202"/>
      <c r="N51"/>
    </row>
    <row r="52" spans="3:14" ht="15.75" thickBot="1">
      <c r="C52" s="1"/>
      <c r="D52" s="1"/>
      <c r="E52" s="205" t="s">
        <v>125</v>
      </c>
      <c r="F52" s="206"/>
      <c r="G52" s="206"/>
      <c r="H52" s="206"/>
      <c r="I52" s="206"/>
      <c r="J52" s="207">
        <f>SUM(J42:J51)</f>
        <v>77200.003215011515</v>
      </c>
      <c r="K52" s="208"/>
      <c r="L52" s="203"/>
      <c r="M52" s="204"/>
      <c r="N52"/>
    </row>
    <row r="53" spans="3:14">
      <c r="C53" s="1"/>
      <c r="D53" s="1"/>
      <c r="N53"/>
    </row>
    <row r="55" spans="3:14" ht="15.75" thickBot="1"/>
    <row r="56" spans="3:14" ht="15.75" thickBot="1">
      <c r="E56" s="209" t="s">
        <v>117</v>
      </c>
      <c r="F56" s="210"/>
      <c r="G56" s="210"/>
      <c r="H56" s="210"/>
      <c r="I56" s="210"/>
      <c r="J56" s="210"/>
      <c r="K56" s="208"/>
      <c r="L56" s="187"/>
      <c r="M56" s="188"/>
    </row>
    <row r="57" spans="3:14" ht="15.75" thickBot="1">
      <c r="E57" s="211" t="s">
        <v>118</v>
      </c>
      <c r="F57" s="210"/>
      <c r="G57" s="210"/>
      <c r="H57" s="210"/>
      <c r="I57" s="210"/>
      <c r="J57" s="210"/>
      <c r="K57" s="208"/>
      <c r="L57" s="189"/>
      <c r="M57" s="190"/>
    </row>
    <row r="58" spans="3:14">
      <c r="E58" s="187"/>
      <c r="F58" s="191"/>
      <c r="G58" s="191"/>
      <c r="H58" s="191"/>
      <c r="I58" s="192"/>
      <c r="J58" s="192" t="str">
        <f>J34</f>
        <v>LIQUIDACIÓN EXPENSAS ENERO 2025</v>
      </c>
      <c r="K58" s="193"/>
      <c r="L58" s="189"/>
      <c r="M58" s="190"/>
    </row>
    <row r="59" spans="3:14">
      <c r="E59" s="189" t="s">
        <v>119</v>
      </c>
      <c r="F59" s="192"/>
      <c r="G59" s="192"/>
      <c r="H59" s="192"/>
      <c r="I59" s="192"/>
      <c r="J59" s="192"/>
      <c r="K59" s="193"/>
      <c r="L59" s="189"/>
      <c r="M59" s="190"/>
    </row>
    <row r="60" spans="3:14">
      <c r="E60" s="194"/>
      <c r="F60" s="195"/>
      <c r="G60" s="195"/>
      <c r="H60" s="195"/>
      <c r="I60" s="195"/>
      <c r="J60" s="195"/>
      <c r="K60" s="196"/>
      <c r="L60" s="189"/>
      <c r="M60" s="190"/>
    </row>
    <row r="61" spans="3:14">
      <c r="E61" s="212" t="s">
        <v>50</v>
      </c>
      <c r="F61" s="213"/>
      <c r="G61" s="213"/>
      <c r="H61" s="213"/>
      <c r="I61" s="213"/>
      <c r="J61" s="213"/>
      <c r="K61" s="214"/>
      <c r="L61" s="189"/>
      <c r="M61" s="190"/>
    </row>
    <row r="62" spans="3:14">
      <c r="E62" s="189"/>
      <c r="F62" s="192"/>
      <c r="G62" s="192"/>
      <c r="H62" s="192"/>
      <c r="I62" s="192"/>
      <c r="J62" s="192"/>
      <c r="K62" s="190"/>
      <c r="L62" s="189"/>
      <c r="M62" s="190"/>
    </row>
    <row r="63" spans="3:14">
      <c r="E63" s="189" t="s">
        <v>120</v>
      </c>
      <c r="F63" s="192"/>
      <c r="G63" s="198" t="str">
        <f>C8</f>
        <v>Castelao Lorena</v>
      </c>
      <c r="H63" s="192"/>
      <c r="I63" s="192" t="s">
        <v>121</v>
      </c>
      <c r="J63" s="197">
        <v>45674</v>
      </c>
      <c r="K63" s="190"/>
      <c r="L63" s="215" t="s">
        <v>122</v>
      </c>
      <c r="M63" s="216"/>
    </row>
    <row r="64" spans="3:14">
      <c r="E64" s="189" t="s">
        <v>123</v>
      </c>
      <c r="F64" s="198">
        <v>4</v>
      </c>
      <c r="G64" s="192"/>
      <c r="H64" s="192"/>
      <c r="I64" s="192"/>
      <c r="J64" s="192"/>
      <c r="K64" s="190"/>
      <c r="L64" s="189"/>
      <c r="M64" s="190"/>
    </row>
    <row r="65" spans="5:13">
      <c r="E65" s="189"/>
      <c r="F65" s="192"/>
      <c r="G65" s="192"/>
      <c r="H65" s="192"/>
      <c r="I65" s="192"/>
      <c r="J65" s="192"/>
      <c r="K65" s="190"/>
      <c r="L65" s="217"/>
      <c r="M65" s="216"/>
    </row>
    <row r="66" spans="5:13">
      <c r="E66" s="189" t="s">
        <v>49</v>
      </c>
      <c r="F66" s="192"/>
      <c r="G66" s="192"/>
      <c r="H66" s="192"/>
      <c r="I66" s="192"/>
      <c r="J66" s="199">
        <f>J8</f>
        <v>13806.346625</v>
      </c>
      <c r="K66" s="190"/>
      <c r="L66" s="189"/>
      <c r="M66" s="190"/>
    </row>
    <row r="67" spans="5:13">
      <c r="E67" s="200" t="s">
        <v>124</v>
      </c>
      <c r="F67" s="192"/>
      <c r="G67" s="192"/>
      <c r="H67" s="192"/>
      <c r="I67" s="192"/>
      <c r="J67" s="199">
        <f>K8</f>
        <v>9726.0352759740254</v>
      </c>
      <c r="K67" s="190"/>
      <c r="L67" s="189"/>
      <c r="M67" s="190"/>
    </row>
    <row r="68" spans="5:13" ht="14.25" customHeight="1">
      <c r="E68" s="200" t="s">
        <v>126</v>
      </c>
      <c r="F68" s="192"/>
      <c r="G68" s="192"/>
      <c r="H68" s="192"/>
      <c r="I68" s="192"/>
      <c r="J68" s="199">
        <f>G29+H29</f>
        <v>0</v>
      </c>
      <c r="K68" s="190"/>
      <c r="L68" s="189"/>
      <c r="M68" s="190"/>
    </row>
    <row r="69" spans="5:13" hidden="1">
      <c r="E69" s="200"/>
      <c r="F69" s="192"/>
      <c r="G69" s="192"/>
      <c r="H69" s="192"/>
      <c r="I69" s="192"/>
      <c r="J69" s="199"/>
      <c r="K69" s="190"/>
      <c r="L69" s="189"/>
      <c r="M69" s="190"/>
    </row>
    <row r="70" spans="5:13" hidden="1">
      <c r="E70" s="200"/>
      <c r="F70" s="192"/>
      <c r="G70" s="192"/>
      <c r="H70" s="192"/>
      <c r="I70" s="192"/>
      <c r="J70" s="199"/>
      <c r="K70" s="190"/>
      <c r="L70" s="189"/>
      <c r="M70" s="190"/>
    </row>
    <row r="71" spans="5:13" hidden="1">
      <c r="F71" s="192"/>
      <c r="G71" s="192"/>
      <c r="H71" s="192"/>
      <c r="I71" s="192"/>
      <c r="J71" s="199"/>
      <c r="K71" s="190"/>
      <c r="L71" s="189"/>
      <c r="M71" s="190"/>
    </row>
    <row r="72" spans="5:13" hidden="1">
      <c r="E72" s="200"/>
      <c r="F72" s="192"/>
      <c r="G72" s="192"/>
      <c r="H72" s="192"/>
      <c r="I72" s="192"/>
      <c r="J72" s="199"/>
      <c r="K72" s="190"/>
      <c r="L72" s="189"/>
      <c r="M72" s="190"/>
    </row>
    <row r="73" spans="5:13" hidden="1">
      <c r="E73" s="189"/>
      <c r="F73" s="192"/>
      <c r="G73" s="192"/>
      <c r="H73" s="192"/>
      <c r="I73" s="192"/>
      <c r="J73" s="192"/>
      <c r="K73" s="190"/>
      <c r="L73" s="189"/>
      <c r="M73" s="190"/>
    </row>
    <row r="74" spans="5:13" hidden="1">
      <c r="E74" s="189"/>
      <c r="F74" s="192"/>
      <c r="G74" s="192"/>
      <c r="H74" s="192"/>
      <c r="I74" s="192"/>
      <c r="J74" s="192"/>
      <c r="K74" s="190"/>
      <c r="L74" s="189"/>
      <c r="M74" s="190"/>
    </row>
    <row r="75" spans="5:13" ht="15.75" thickBot="1">
      <c r="E75" s="189"/>
      <c r="F75" s="192"/>
      <c r="G75" s="192"/>
      <c r="H75" s="192"/>
      <c r="I75" s="192"/>
      <c r="J75" s="192"/>
      <c r="K75" s="190"/>
      <c r="L75" s="201"/>
      <c r="M75" s="202"/>
    </row>
    <row r="76" spans="5:13" ht="15.75" thickBot="1">
      <c r="E76" s="205" t="s">
        <v>125</v>
      </c>
      <c r="F76" s="206"/>
      <c r="G76" s="206"/>
      <c r="H76" s="206"/>
      <c r="I76" s="206"/>
      <c r="J76" s="207">
        <f>SUM(J66:J75)</f>
        <v>23532.381900974025</v>
      </c>
      <c r="K76" s="208"/>
      <c r="L76" s="203"/>
      <c r="M76" s="204"/>
    </row>
    <row r="82" spans="5:13" ht="15.75" thickBot="1"/>
    <row r="83" spans="5:13" ht="15.75" thickBot="1">
      <c r="E83" s="209" t="s">
        <v>117</v>
      </c>
      <c r="F83" s="210"/>
      <c r="G83" s="210"/>
      <c r="H83" s="210"/>
      <c r="I83" s="210"/>
      <c r="J83" s="210"/>
      <c r="K83" s="208"/>
      <c r="L83" s="187"/>
      <c r="M83" s="188"/>
    </row>
    <row r="84" spans="5:13" ht="15.75" thickBot="1">
      <c r="E84" s="211" t="s">
        <v>118</v>
      </c>
      <c r="F84" s="210"/>
      <c r="G84" s="210"/>
      <c r="H84" s="210"/>
      <c r="I84" s="210"/>
      <c r="J84" s="210"/>
      <c r="K84" s="208"/>
      <c r="L84" s="189"/>
      <c r="M84" s="190"/>
    </row>
    <row r="85" spans="5:13">
      <c r="E85" s="187"/>
      <c r="F85" s="191"/>
      <c r="G85" s="191"/>
      <c r="H85" s="191"/>
      <c r="I85" s="192"/>
      <c r="J85" s="192" t="str">
        <f>'detalle y gastos'!B7</f>
        <v>LIQUIDACIÓN EXPENSAS ENERO 2025</v>
      </c>
      <c r="K85" s="193"/>
      <c r="L85" s="189"/>
      <c r="M85" s="190"/>
    </row>
    <row r="86" spans="5:13">
      <c r="E86" s="189" t="s">
        <v>119</v>
      </c>
      <c r="F86" s="192"/>
      <c r="G86" s="192"/>
      <c r="H86" s="192"/>
      <c r="I86" s="192"/>
      <c r="J86" s="192"/>
      <c r="K86" s="193"/>
      <c r="L86" s="189"/>
      <c r="M86" s="190"/>
    </row>
    <row r="87" spans="5:13">
      <c r="E87" s="194"/>
      <c r="F87" s="195"/>
      <c r="G87" s="195"/>
      <c r="H87" s="195"/>
      <c r="I87" s="195"/>
      <c r="J87" s="195"/>
      <c r="K87" s="196"/>
      <c r="L87" s="189"/>
      <c r="M87" s="190"/>
    </row>
    <row r="88" spans="5:13">
      <c r="E88" s="212" t="s">
        <v>50</v>
      </c>
      <c r="F88" s="213"/>
      <c r="G88" s="213"/>
      <c r="H88" s="213"/>
      <c r="I88" s="213"/>
      <c r="J88" s="213"/>
      <c r="K88" s="214"/>
      <c r="L88" s="189"/>
      <c r="M88" s="190"/>
    </row>
    <row r="89" spans="5:13">
      <c r="E89" s="189"/>
      <c r="F89" s="192"/>
      <c r="G89" s="192"/>
      <c r="H89" s="192"/>
      <c r="I89" s="192"/>
      <c r="J89" s="192"/>
      <c r="K89" s="190"/>
      <c r="L89" s="189"/>
      <c r="M89" s="190"/>
    </row>
    <row r="90" spans="5:13">
      <c r="E90" s="189" t="s">
        <v>120</v>
      </c>
      <c r="F90" s="192"/>
      <c r="G90" s="198" t="str">
        <f>C10</f>
        <v>Valdez Norberto</v>
      </c>
      <c r="H90" s="192"/>
      <c r="I90" s="192" t="s">
        <v>121</v>
      </c>
      <c r="J90" s="197">
        <v>45674</v>
      </c>
      <c r="K90" s="190"/>
      <c r="L90" s="215" t="s">
        <v>122</v>
      </c>
      <c r="M90" s="216"/>
    </row>
    <row r="91" spans="5:13">
      <c r="E91" s="189" t="s">
        <v>123</v>
      </c>
      <c r="F91" s="198">
        <v>6</v>
      </c>
      <c r="G91" s="192"/>
      <c r="H91" s="192"/>
      <c r="I91" s="192"/>
      <c r="J91" s="192"/>
      <c r="K91" s="190"/>
      <c r="L91" s="189"/>
      <c r="M91" s="190"/>
    </row>
    <row r="92" spans="5:13">
      <c r="E92" s="189"/>
      <c r="F92" s="192"/>
      <c r="G92" s="192"/>
      <c r="H92" s="192"/>
      <c r="I92" s="192"/>
      <c r="J92" s="192"/>
      <c r="K92" s="190"/>
      <c r="L92" s="217"/>
      <c r="M92" s="216"/>
    </row>
    <row r="93" spans="5:13">
      <c r="E93" s="189" t="s">
        <v>49</v>
      </c>
      <c r="F93" s="192"/>
      <c r="G93" s="192"/>
      <c r="H93" s="192"/>
      <c r="I93" s="192"/>
      <c r="J93" s="199">
        <f>J10</f>
        <v>11681.573280000002</v>
      </c>
      <c r="K93" s="190"/>
      <c r="L93" s="189"/>
      <c r="M93" s="190"/>
    </row>
    <row r="94" spans="5:13">
      <c r="E94" s="200" t="s">
        <v>124</v>
      </c>
      <c r="F94" s="192"/>
      <c r="G94" s="192"/>
      <c r="H94" s="192"/>
      <c r="I94" s="192"/>
      <c r="J94" s="199">
        <f>K10</f>
        <v>14794.532532467534</v>
      </c>
      <c r="K94" s="190"/>
      <c r="L94" s="189"/>
      <c r="M94" s="190"/>
    </row>
    <row r="95" spans="5:13">
      <c r="E95" s="200" t="s">
        <v>127</v>
      </c>
      <c r="F95" s="192"/>
      <c r="G95" s="192"/>
      <c r="H95" s="192"/>
      <c r="I95" s="192"/>
      <c r="J95" s="199">
        <v>23.89</v>
      </c>
      <c r="K95" s="190"/>
      <c r="L95" s="189"/>
      <c r="M95" s="190"/>
    </row>
    <row r="96" spans="5:13" ht="4.5" customHeight="1" thickBot="1">
      <c r="E96" s="200"/>
      <c r="F96" s="192"/>
      <c r="G96" s="192"/>
      <c r="H96" s="192"/>
      <c r="I96" s="192"/>
      <c r="J96" s="199"/>
      <c r="K96" s="190"/>
      <c r="L96" s="189"/>
      <c r="M96" s="190"/>
    </row>
    <row r="97" spans="5:13" ht="15.75" hidden="1" thickBot="1">
      <c r="E97" s="200"/>
      <c r="F97" s="192"/>
      <c r="G97" s="192"/>
      <c r="H97" s="192"/>
      <c r="I97" s="192"/>
      <c r="J97" s="199"/>
      <c r="K97" s="190"/>
      <c r="L97" s="189"/>
      <c r="M97" s="190"/>
    </row>
    <row r="98" spans="5:13" ht="15.75" hidden="1" thickBot="1">
      <c r="F98" s="192"/>
      <c r="G98" s="192"/>
      <c r="H98" s="192"/>
      <c r="I98" s="192"/>
      <c r="J98" s="199"/>
      <c r="K98" s="190"/>
      <c r="L98" s="189"/>
      <c r="M98" s="190"/>
    </row>
    <row r="99" spans="5:13" ht="15.75" hidden="1" thickBot="1">
      <c r="E99" s="200"/>
      <c r="F99" s="192"/>
      <c r="G99" s="192"/>
      <c r="H99" s="192"/>
      <c r="I99" s="192"/>
      <c r="J99" s="199"/>
      <c r="K99" s="190"/>
      <c r="L99" s="189"/>
      <c r="M99" s="190"/>
    </row>
    <row r="100" spans="5:13" ht="15.75" hidden="1" thickBot="1">
      <c r="E100" s="189"/>
      <c r="F100" s="192"/>
      <c r="G100" s="192"/>
      <c r="H100" s="192"/>
      <c r="I100" s="192"/>
      <c r="J100" s="192"/>
      <c r="K100" s="190"/>
      <c r="L100" s="189"/>
      <c r="M100" s="190"/>
    </row>
    <row r="101" spans="5:13" ht="15.75" hidden="1" thickBot="1">
      <c r="E101" s="189"/>
      <c r="F101" s="192"/>
      <c r="G101" s="192"/>
      <c r="H101" s="192"/>
      <c r="I101" s="192"/>
      <c r="J101" s="192"/>
      <c r="K101" s="190"/>
      <c r="L101" s="189"/>
      <c r="M101" s="190"/>
    </row>
    <row r="102" spans="5:13" ht="15.75" hidden="1" thickBot="1">
      <c r="E102" s="189"/>
      <c r="F102" s="192"/>
      <c r="G102" s="192"/>
      <c r="H102" s="192"/>
      <c r="I102" s="192"/>
      <c r="J102" s="192"/>
      <c r="K102" s="190"/>
      <c r="L102" s="201"/>
      <c r="M102" s="202"/>
    </row>
    <row r="103" spans="5:13" ht="15.75" thickBot="1">
      <c r="E103" s="205" t="s">
        <v>125</v>
      </c>
      <c r="F103" s="206"/>
      <c r="G103" s="206"/>
      <c r="H103" s="206"/>
      <c r="I103" s="206"/>
      <c r="J103" s="207">
        <f>SUM(J93:J102)</f>
        <v>26499.995812467536</v>
      </c>
      <c r="K103" s="208"/>
      <c r="L103" s="203"/>
      <c r="M103" s="204"/>
    </row>
    <row r="107" spans="5:13" ht="15.75" thickBot="1"/>
    <row r="108" spans="5:13" ht="15.75" thickBot="1">
      <c r="E108" s="209" t="s">
        <v>117</v>
      </c>
      <c r="F108" s="210"/>
      <c r="G108" s="210"/>
      <c r="H108" s="210"/>
      <c r="I108" s="210"/>
      <c r="J108" s="210"/>
      <c r="K108" s="208"/>
      <c r="L108" s="187"/>
      <c r="M108" s="188"/>
    </row>
    <row r="109" spans="5:13" ht="15.75" thickBot="1">
      <c r="E109" s="211" t="s">
        <v>118</v>
      </c>
      <c r="F109" s="210"/>
      <c r="G109" s="210"/>
      <c r="H109" s="210"/>
      <c r="I109" s="210"/>
      <c r="J109" s="210"/>
      <c r="K109" s="208"/>
      <c r="L109" s="189"/>
      <c r="M109" s="190"/>
    </row>
    <row r="110" spans="5:13">
      <c r="E110" s="187"/>
      <c r="F110" s="191"/>
      <c r="G110" s="191"/>
      <c r="H110" s="191"/>
      <c r="I110" s="192"/>
      <c r="J110" s="192" t="str">
        <f>'detalle y gastos'!B7</f>
        <v>LIQUIDACIÓN EXPENSAS ENERO 2025</v>
      </c>
      <c r="K110" s="193"/>
      <c r="L110" s="189"/>
      <c r="M110" s="190"/>
    </row>
    <row r="111" spans="5:13">
      <c r="E111" s="189" t="s">
        <v>119</v>
      </c>
      <c r="F111" s="192"/>
      <c r="G111" s="192"/>
      <c r="H111" s="192"/>
      <c r="I111" s="192"/>
      <c r="J111" s="192"/>
      <c r="K111" s="193"/>
      <c r="L111" s="189"/>
      <c r="M111" s="190"/>
    </row>
    <row r="112" spans="5:13">
      <c r="E112" s="194"/>
      <c r="F112" s="195"/>
      <c r="G112" s="195"/>
      <c r="H112" s="195"/>
      <c r="I112" s="195"/>
      <c r="J112" s="195"/>
      <c r="K112" s="196"/>
      <c r="L112" s="189"/>
      <c r="M112" s="190"/>
    </row>
    <row r="113" spans="5:13">
      <c r="E113" s="212" t="s">
        <v>50</v>
      </c>
      <c r="F113" s="213"/>
      <c r="G113" s="213"/>
      <c r="H113" s="213"/>
      <c r="I113" s="213"/>
      <c r="J113" s="213"/>
      <c r="K113" s="214"/>
      <c r="L113" s="189"/>
      <c r="M113" s="190"/>
    </row>
    <row r="114" spans="5:13">
      <c r="E114" s="189"/>
      <c r="F114" s="192"/>
      <c r="G114" s="192"/>
      <c r="H114" s="192"/>
      <c r="I114" s="192"/>
      <c r="J114" s="192"/>
      <c r="K114" s="190"/>
      <c r="L114" s="189"/>
      <c r="M114" s="190"/>
    </row>
    <row r="115" spans="5:13">
      <c r="E115" s="189" t="s">
        <v>120</v>
      </c>
      <c r="F115" s="192"/>
      <c r="G115" s="198" t="str">
        <f>C5</f>
        <v>Gomez Elizabeth</v>
      </c>
      <c r="H115" s="192"/>
      <c r="I115" s="192" t="s">
        <v>121</v>
      </c>
      <c r="J115" s="197">
        <v>45674</v>
      </c>
      <c r="K115" s="190"/>
      <c r="L115" s="215" t="s">
        <v>122</v>
      </c>
      <c r="M115" s="216"/>
    </row>
    <row r="116" spans="5:13">
      <c r="E116" s="189" t="s">
        <v>123</v>
      </c>
      <c r="F116" s="198">
        <v>1</v>
      </c>
      <c r="G116" s="192"/>
      <c r="H116" s="192"/>
      <c r="I116" s="192"/>
      <c r="J116" s="192"/>
      <c r="K116" s="190"/>
      <c r="L116" s="189"/>
      <c r="M116" s="190"/>
    </row>
    <row r="117" spans="5:13">
      <c r="E117" s="189"/>
      <c r="F117" s="192"/>
      <c r="G117" s="192"/>
      <c r="H117" s="192"/>
      <c r="I117" s="192"/>
      <c r="J117" s="192"/>
      <c r="K117" s="190"/>
      <c r="L117" s="217"/>
      <c r="M117" s="216"/>
    </row>
    <row r="118" spans="5:13">
      <c r="E118" s="189" t="s">
        <v>49</v>
      </c>
      <c r="F118" s="192"/>
      <c r="G118" s="192"/>
      <c r="H118" s="192"/>
      <c r="I118" s="192"/>
      <c r="J118" s="199">
        <f>J5</f>
        <v>12917.124300000001</v>
      </c>
      <c r="K118" s="190"/>
      <c r="L118" s="189"/>
      <c r="M118" s="190"/>
    </row>
    <row r="119" spans="5:13">
      <c r="E119" s="200" t="s">
        <v>124</v>
      </c>
      <c r="F119" s="192"/>
      <c r="G119" s="192"/>
      <c r="H119" s="192"/>
      <c r="I119" s="192"/>
      <c r="J119" s="199">
        <f>K5</f>
        <v>7945.2119155844166</v>
      </c>
      <c r="K119" s="190"/>
      <c r="L119" s="189"/>
      <c r="M119" s="190"/>
    </row>
    <row r="120" spans="5:13">
      <c r="E120" s="200" t="s">
        <v>128</v>
      </c>
      <c r="F120" s="192"/>
      <c r="G120" s="192"/>
      <c r="H120" s="192"/>
      <c r="I120" s="192"/>
      <c r="J120" s="199">
        <f>-20862.34+20810</f>
        <v>-52.340000000000146</v>
      </c>
      <c r="K120" s="190"/>
      <c r="L120" s="189"/>
      <c r="M120" s="190"/>
    </row>
    <row r="121" spans="5:13" ht="4.5" customHeight="1" thickBot="1">
      <c r="E121" s="200"/>
      <c r="F121" s="192"/>
      <c r="G121" s="192"/>
      <c r="H121" s="192"/>
      <c r="I121" s="192"/>
      <c r="J121" s="199"/>
      <c r="K121" s="190"/>
      <c r="L121" s="189"/>
      <c r="M121" s="190"/>
    </row>
    <row r="122" spans="5:13" ht="15.75" hidden="1" thickBot="1">
      <c r="E122" s="200"/>
      <c r="F122" s="192"/>
      <c r="G122" s="192"/>
      <c r="H122" s="192"/>
      <c r="I122" s="192"/>
      <c r="J122" s="199"/>
      <c r="K122" s="190"/>
      <c r="L122" s="189"/>
      <c r="M122" s="190"/>
    </row>
    <row r="123" spans="5:13" ht="15.75" hidden="1" thickBot="1">
      <c r="F123" s="192"/>
      <c r="G123" s="192"/>
      <c r="H123" s="192"/>
      <c r="I123" s="192"/>
      <c r="J123" s="199"/>
      <c r="K123" s="190"/>
      <c r="L123" s="189"/>
      <c r="M123" s="190"/>
    </row>
    <row r="124" spans="5:13" ht="15.75" hidden="1" thickBot="1">
      <c r="E124" s="200"/>
      <c r="F124" s="192"/>
      <c r="G124" s="192"/>
      <c r="H124" s="192"/>
      <c r="I124" s="192"/>
      <c r="J124" s="199"/>
      <c r="K124" s="190"/>
      <c r="L124" s="189"/>
      <c r="M124" s="190"/>
    </row>
    <row r="125" spans="5:13" ht="15.75" hidden="1" thickBot="1">
      <c r="E125" s="189"/>
      <c r="F125" s="192"/>
      <c r="G125" s="192"/>
      <c r="H125" s="192"/>
      <c r="I125" s="192"/>
      <c r="J125" s="192"/>
      <c r="K125" s="190"/>
      <c r="L125" s="189"/>
      <c r="M125" s="190"/>
    </row>
    <row r="126" spans="5:13" ht="15.75" hidden="1" thickBot="1">
      <c r="E126" s="189"/>
      <c r="F126" s="192"/>
      <c r="G126" s="192"/>
      <c r="H126" s="192"/>
      <c r="I126" s="192"/>
      <c r="J126" s="192"/>
      <c r="K126" s="190"/>
      <c r="L126" s="189"/>
      <c r="M126" s="190"/>
    </row>
    <row r="127" spans="5:13" ht="15.75" hidden="1" thickBot="1">
      <c r="E127" s="189"/>
      <c r="F127" s="192"/>
      <c r="G127" s="192"/>
      <c r="H127" s="192"/>
      <c r="I127" s="192"/>
      <c r="J127" s="192"/>
      <c r="K127" s="190"/>
      <c r="L127" s="201"/>
      <c r="M127" s="202"/>
    </row>
    <row r="128" spans="5:13" ht="15.75" thickBot="1">
      <c r="E128" s="205" t="s">
        <v>125</v>
      </c>
      <c r="F128" s="206"/>
      <c r="G128" s="206"/>
      <c r="H128" s="206"/>
      <c r="I128" s="206"/>
      <c r="J128" s="207">
        <f>SUM(J118:J127)</f>
        <v>20809.996215584419</v>
      </c>
      <c r="K128" s="208"/>
      <c r="L128" s="203"/>
      <c r="M128" s="204"/>
    </row>
  </sheetData>
  <mergeCells count="45">
    <mergeCell ref="A14:B14"/>
    <mergeCell ref="I3:I4"/>
    <mergeCell ref="A6:B6"/>
    <mergeCell ref="A7:B7"/>
    <mergeCell ref="A8:B8"/>
    <mergeCell ref="A9:B9"/>
    <mergeCell ref="A10:B10"/>
    <mergeCell ref="G3:G4"/>
    <mergeCell ref="C3:C4"/>
    <mergeCell ref="D3:D4"/>
    <mergeCell ref="A3:B4"/>
    <mergeCell ref="A5:B5"/>
    <mergeCell ref="K3:K4"/>
    <mergeCell ref="J3:J4"/>
    <mergeCell ref="A11:B11"/>
    <mergeCell ref="A12:B12"/>
    <mergeCell ref="A13:B13"/>
    <mergeCell ref="E32:K32"/>
    <mergeCell ref="E33:K33"/>
    <mergeCell ref="E37:K37"/>
    <mergeCell ref="L39:M39"/>
    <mergeCell ref="L41:M41"/>
    <mergeCell ref="E52:I52"/>
    <mergeCell ref="J52:K52"/>
    <mergeCell ref="E56:K56"/>
    <mergeCell ref="E57:K57"/>
    <mergeCell ref="E61:K61"/>
    <mergeCell ref="L63:M63"/>
    <mergeCell ref="L65:M65"/>
    <mergeCell ref="E76:I76"/>
    <mergeCell ref="J76:K76"/>
    <mergeCell ref="E83:K83"/>
    <mergeCell ref="L115:M115"/>
    <mergeCell ref="L117:M117"/>
    <mergeCell ref="E84:K84"/>
    <mergeCell ref="E88:K88"/>
    <mergeCell ref="L90:M90"/>
    <mergeCell ref="L92:M92"/>
    <mergeCell ref="E103:I103"/>
    <mergeCell ref="J103:K103"/>
    <mergeCell ref="E128:I128"/>
    <mergeCell ref="J128:K128"/>
    <mergeCell ref="E108:K108"/>
    <mergeCell ref="E109:K109"/>
    <mergeCell ref="E113:K113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D7" sqref="D7"/>
    </sheetView>
  </sheetViews>
  <sheetFormatPr baseColWidth="10" defaultRowHeight="15"/>
  <cols>
    <col min="6" max="7" width="15.42578125" customWidth="1"/>
    <col min="8" max="8" width="18.28515625" customWidth="1"/>
    <col min="9" max="9" width="13.5703125" customWidth="1"/>
    <col min="10" max="10" width="22.5703125" customWidth="1"/>
    <col min="11" max="11" width="13.85546875" customWidth="1"/>
  </cols>
  <sheetData>
    <row r="1" spans="1:13">
      <c r="B1" s="126" t="s">
        <v>85</v>
      </c>
      <c r="C1" s="127" t="s">
        <v>86</v>
      </c>
      <c r="D1" s="128"/>
      <c r="F1" t="s">
        <v>43</v>
      </c>
      <c r="G1" t="s">
        <v>87</v>
      </c>
      <c r="H1" s="177">
        <v>84383.63</v>
      </c>
      <c r="I1" s="129"/>
      <c r="J1" s="129"/>
      <c r="K1" s="130"/>
      <c r="L1" s="131"/>
    </row>
    <row r="2" spans="1:13">
      <c r="H2" s="132"/>
      <c r="I2" s="132"/>
      <c r="J2" s="132"/>
    </row>
    <row r="3" spans="1:13">
      <c r="B3" s="133" t="s">
        <v>88</v>
      </c>
      <c r="C3" s="126" t="s">
        <v>89</v>
      </c>
      <c r="D3" s="126" t="s">
        <v>89</v>
      </c>
      <c r="E3" s="126" t="s">
        <v>90</v>
      </c>
      <c r="F3" s="126" t="s">
        <v>91</v>
      </c>
      <c r="G3" s="126" t="s">
        <v>92</v>
      </c>
      <c r="H3" s="134" t="s">
        <v>93</v>
      </c>
      <c r="I3" s="133"/>
      <c r="J3" s="133"/>
      <c r="K3" s="5"/>
      <c r="M3" s="135"/>
    </row>
    <row r="4" spans="1:13">
      <c r="B4" s="133"/>
      <c r="C4" s="126" t="s">
        <v>94</v>
      </c>
      <c r="D4" s="126" t="s">
        <v>95</v>
      </c>
      <c r="E4" s="126"/>
      <c r="F4" s="126"/>
      <c r="H4" s="136">
        <f>H1</f>
        <v>84383.63</v>
      </c>
      <c r="I4" s="136"/>
      <c r="J4" s="136"/>
      <c r="K4" s="129"/>
    </row>
    <row r="5" spans="1:13">
      <c r="A5" s="5" t="s">
        <v>96</v>
      </c>
      <c r="B5" s="137">
        <v>1</v>
      </c>
      <c r="C5" s="129">
        <v>7595</v>
      </c>
      <c r="D5" s="128">
        <v>7653</v>
      </c>
      <c r="E5" s="138">
        <f>D5-C5</f>
        <v>58</v>
      </c>
      <c r="F5" s="137">
        <f>E5*100/D14</f>
        <v>9.4155844155844157</v>
      </c>
      <c r="G5" s="139"/>
      <c r="H5" s="140">
        <f>H4*(F5/100)</f>
        <v>7945.2119155844166</v>
      </c>
      <c r="I5" s="138"/>
      <c r="J5" s="5"/>
      <c r="K5" s="141"/>
      <c r="L5" s="142"/>
      <c r="M5" s="143"/>
    </row>
    <row r="6" spans="1:13">
      <c r="A6" s="5" t="s">
        <v>97</v>
      </c>
      <c r="B6" s="137">
        <v>2</v>
      </c>
      <c r="C6" s="129">
        <v>6891</v>
      </c>
      <c r="D6" s="128">
        <f>C6+87</f>
        <v>6978</v>
      </c>
      <c r="E6" s="138">
        <f>D6-C6</f>
        <v>87</v>
      </c>
      <c r="F6" s="137">
        <f>E6*100/D14</f>
        <v>14.123376623376624</v>
      </c>
      <c r="G6" s="139"/>
      <c r="H6" s="140">
        <f>H4*(F6/100)</f>
        <v>11917.817873376625</v>
      </c>
      <c r="I6" s="138"/>
      <c r="J6" s="5"/>
      <c r="K6" s="141"/>
      <c r="L6" s="142"/>
      <c r="M6" s="143"/>
    </row>
    <row r="7" spans="1:13">
      <c r="A7" s="144" t="s">
        <v>98</v>
      </c>
      <c r="B7" s="145">
        <v>3</v>
      </c>
      <c r="C7" s="38">
        <v>7480</v>
      </c>
      <c r="D7" s="146">
        <v>7597</v>
      </c>
      <c r="E7" s="147">
        <f t="shared" ref="E7:E11" si="0">D7-C7</f>
        <v>117</v>
      </c>
      <c r="F7" s="145">
        <f>E7*100/D14</f>
        <v>18.993506493506494</v>
      </c>
      <c r="G7" s="148"/>
      <c r="H7" s="149">
        <f>H4*(F7/100)</f>
        <v>16027.410243506496</v>
      </c>
      <c r="I7" s="150"/>
      <c r="J7" s="144"/>
      <c r="K7" s="151"/>
      <c r="L7" s="142"/>
      <c r="M7" s="143"/>
    </row>
    <row r="8" spans="1:13">
      <c r="A8" s="151" t="s">
        <v>99</v>
      </c>
      <c r="B8" s="137">
        <v>4</v>
      </c>
      <c r="C8" s="129">
        <v>9084</v>
      </c>
      <c r="D8" s="128">
        <v>9155</v>
      </c>
      <c r="E8" s="138">
        <f t="shared" si="0"/>
        <v>71</v>
      </c>
      <c r="F8" s="137">
        <f>E8*100/D14</f>
        <v>11.525974025974026</v>
      </c>
      <c r="G8" s="139"/>
      <c r="H8" s="140">
        <f>H4*(F8/100)</f>
        <v>9726.0352759740254</v>
      </c>
      <c r="I8" s="138"/>
      <c r="J8" s="151"/>
      <c r="K8" s="141"/>
      <c r="L8" s="142"/>
      <c r="M8" s="143"/>
    </row>
    <row r="9" spans="1:13">
      <c r="A9" s="151" t="s">
        <v>100</v>
      </c>
      <c r="B9" s="137">
        <v>5</v>
      </c>
      <c r="C9" s="129">
        <v>10479</v>
      </c>
      <c r="D9" s="128">
        <v>10575</v>
      </c>
      <c r="E9" s="138">
        <f t="shared" si="0"/>
        <v>96</v>
      </c>
      <c r="F9" s="137">
        <f>E9*100/D14</f>
        <v>15.584415584415584</v>
      </c>
      <c r="G9" s="139"/>
      <c r="H9" s="140">
        <f>H4*(F9/100)</f>
        <v>13150.695584415585</v>
      </c>
      <c r="I9" s="138"/>
      <c r="J9" s="151"/>
      <c r="K9" s="141"/>
      <c r="L9" s="142"/>
      <c r="M9" s="143"/>
    </row>
    <row r="10" spans="1:13">
      <c r="A10" s="151" t="s">
        <v>101</v>
      </c>
      <c r="B10" s="137">
        <v>6</v>
      </c>
      <c r="C10" s="129">
        <v>10537</v>
      </c>
      <c r="D10" s="128">
        <v>10645</v>
      </c>
      <c r="E10" s="138">
        <f t="shared" si="0"/>
        <v>108</v>
      </c>
      <c r="F10" s="137">
        <f>E10*100/D14</f>
        <v>17.532467532467532</v>
      </c>
      <c r="G10" s="139"/>
      <c r="H10" s="140">
        <f>H4*(F10/100)</f>
        <v>14794.532532467534</v>
      </c>
      <c r="I10" s="138"/>
      <c r="J10" s="151"/>
      <c r="K10" s="141"/>
      <c r="L10" s="142"/>
      <c r="M10" s="143"/>
    </row>
    <row r="11" spans="1:13" ht="15.75" thickBot="1">
      <c r="A11" s="151" t="s">
        <v>102</v>
      </c>
      <c r="B11" s="137">
        <v>7</v>
      </c>
      <c r="C11" s="129">
        <v>12975</v>
      </c>
      <c r="D11" s="128">
        <v>13054</v>
      </c>
      <c r="E11" s="138">
        <f t="shared" si="0"/>
        <v>79</v>
      </c>
      <c r="F11" s="137">
        <f>E11*100/D14</f>
        <v>12.824675324675324</v>
      </c>
      <c r="G11" s="139"/>
      <c r="H11" s="140">
        <f>H4*(F11/100)</f>
        <v>10821.926574675326</v>
      </c>
      <c r="I11" s="138"/>
      <c r="J11" s="151"/>
      <c r="K11" s="141"/>
      <c r="L11" s="142"/>
      <c r="M11" s="143"/>
    </row>
    <row r="12" spans="1:13" ht="15.75" thickBot="1">
      <c r="B12" s="152"/>
      <c r="C12" s="153">
        <f>SUM(C5:C11)</f>
        <v>65041</v>
      </c>
      <c r="D12" s="153">
        <f>SUM(D5:D11)</f>
        <v>65657</v>
      </c>
      <c r="E12" s="154">
        <f>SUM(E5:E11)</f>
        <v>616</v>
      </c>
      <c r="F12" s="153">
        <f>SUM(F5:F11)</f>
        <v>100</v>
      </c>
      <c r="G12" s="155"/>
      <c r="H12" s="153">
        <f>SUM(H5:H11)</f>
        <v>84383.63</v>
      </c>
      <c r="I12" s="152"/>
      <c r="J12" s="152"/>
      <c r="K12" s="156"/>
      <c r="L12" s="157"/>
    </row>
    <row r="13" spans="1:13" ht="15.75" thickBot="1">
      <c r="C13" s="158"/>
      <c r="H13" s="133"/>
      <c r="I13" s="133"/>
      <c r="J13" s="133"/>
    </row>
    <row r="14" spans="1:13" ht="15.75" thickBot="1">
      <c r="B14" t="s">
        <v>103</v>
      </c>
      <c r="D14" s="159">
        <f>D12-C12</f>
        <v>616</v>
      </c>
      <c r="H14" s="133"/>
      <c r="I14" s="133"/>
      <c r="J14" s="133"/>
    </row>
    <row r="15" spans="1:13">
      <c r="B15" t="s">
        <v>104</v>
      </c>
      <c r="H15" s="133"/>
      <c r="I15" s="133"/>
      <c r="J15" s="133"/>
    </row>
    <row r="16" spans="1:13">
      <c r="B16" s="133"/>
      <c r="C16" s="126"/>
      <c r="D16" s="126"/>
      <c r="E16" s="126"/>
      <c r="F16" s="126"/>
      <c r="H16" s="126"/>
      <c r="I16" s="126"/>
      <c r="J16" s="126"/>
      <c r="K16" s="5"/>
    </row>
    <row r="17" spans="2:13">
      <c r="B17" s="133"/>
      <c r="C17" s="126"/>
      <c r="D17" s="126"/>
      <c r="E17" s="126"/>
      <c r="F17" s="126"/>
      <c r="H17" s="136"/>
      <c r="I17" s="136"/>
      <c r="J17" s="136"/>
    </row>
    <row r="18" spans="2:13" ht="15.75" thickBot="1">
      <c r="H18" s="133"/>
      <c r="I18" s="133"/>
      <c r="J18" s="133"/>
    </row>
    <row r="19" spans="2:13">
      <c r="C19" s="160"/>
      <c r="D19" s="161"/>
      <c r="E19" s="161"/>
      <c r="F19" s="161"/>
      <c r="G19" s="161"/>
      <c r="H19" s="162"/>
      <c r="I19" s="162"/>
      <c r="J19" s="162"/>
      <c r="K19" s="161"/>
      <c r="L19" s="161"/>
      <c r="M19" s="163"/>
    </row>
    <row r="20" spans="2:13">
      <c r="C20" s="164"/>
      <c r="D20" s="165"/>
      <c r="E20" s="165" t="s">
        <v>105</v>
      </c>
      <c r="F20" s="165"/>
      <c r="G20" s="165"/>
      <c r="H20" s="166">
        <f>D14</f>
        <v>616</v>
      </c>
      <c r="I20" s="166"/>
      <c r="J20" s="166"/>
      <c r="K20" s="165" t="s">
        <v>106</v>
      </c>
      <c r="L20" s="165"/>
      <c r="M20" s="167"/>
    </row>
    <row r="21" spans="2:13">
      <c r="C21" s="164"/>
      <c r="D21" s="165" t="s">
        <v>107</v>
      </c>
      <c r="E21" s="165">
        <v>7</v>
      </c>
      <c r="F21" s="165" t="s">
        <v>108</v>
      </c>
      <c r="G21" s="165">
        <v>197</v>
      </c>
      <c r="H21" s="165" t="s">
        <v>109</v>
      </c>
      <c r="I21" s="165"/>
      <c r="J21" s="165"/>
      <c r="K21" s="165" t="s">
        <v>110</v>
      </c>
      <c r="L21" s="165"/>
      <c r="M21" s="167"/>
    </row>
    <row r="22" spans="2:13" ht="15.75" thickBot="1">
      <c r="C22" s="168"/>
      <c r="D22" s="169"/>
      <c r="E22" s="169"/>
      <c r="F22" s="169"/>
      <c r="G22" s="169"/>
      <c r="H22" s="169"/>
      <c r="I22" s="169"/>
      <c r="J22" s="169"/>
      <c r="K22" s="169"/>
      <c r="L22" s="169"/>
      <c r="M22" s="170"/>
    </row>
    <row r="25" spans="2:13">
      <c r="G25" s="129"/>
      <c r="H25" s="129"/>
      <c r="J25" s="129"/>
      <c r="K25" s="171" t="s">
        <v>86</v>
      </c>
    </row>
    <row r="26" spans="2:13">
      <c r="G26" s="141"/>
      <c r="H26" s="129"/>
      <c r="I26" s="129"/>
      <c r="J26" s="129"/>
      <c r="K26" s="172"/>
    </row>
    <row r="27" spans="2:13">
      <c r="G27" s="129"/>
      <c r="H27" s="129"/>
      <c r="I27" s="129" t="s">
        <v>111</v>
      </c>
      <c r="J27" s="129" t="s">
        <v>5</v>
      </c>
      <c r="K27" s="129" t="s">
        <v>112</v>
      </c>
    </row>
    <row r="28" spans="2:13">
      <c r="G28" s="151"/>
      <c r="H28" s="151" t="s">
        <v>101</v>
      </c>
      <c r="I28" s="141">
        <v>29829</v>
      </c>
      <c r="J28" s="142">
        <v>16000</v>
      </c>
      <c r="K28" s="143">
        <f t="shared" ref="K28" si="1">I28+J28</f>
        <v>45829</v>
      </c>
    </row>
    <row r="31" spans="2:13">
      <c r="J31" t="s">
        <v>113</v>
      </c>
      <c r="K31">
        <v>117067</v>
      </c>
    </row>
    <row r="32" spans="2:13">
      <c r="J32" t="s">
        <v>114</v>
      </c>
      <c r="K32">
        <v>-55000</v>
      </c>
    </row>
    <row r="33" spans="10:11">
      <c r="J33" s="135" t="s">
        <v>115</v>
      </c>
      <c r="K33">
        <v>43965</v>
      </c>
    </row>
    <row r="34" spans="10:11">
      <c r="K34" s="128">
        <f>SUM(K31:K33)</f>
        <v>106032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N10" sqref="N10"/>
    </sheetView>
  </sheetViews>
  <sheetFormatPr baseColWidth="10" defaultRowHeight="1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>
      <c r="D1" s="62">
        <v>50000</v>
      </c>
      <c r="H1" s="236">
        <v>250000</v>
      </c>
      <c r="I1" s="236"/>
      <c r="J1" s="236"/>
    </row>
    <row r="2" spans="1:16">
      <c r="A2" s="59" t="s">
        <v>50</v>
      </c>
      <c r="B2" s="1"/>
      <c r="P2" s="23"/>
    </row>
    <row r="3" spans="1:16" ht="15.75" thickBot="1">
      <c r="A3" s="30" t="s">
        <v>57</v>
      </c>
      <c r="B3" s="31"/>
      <c r="C3" s="32"/>
      <c r="D3" s="33" t="s">
        <v>38</v>
      </c>
      <c r="E3" s="34"/>
      <c r="F3" s="33" t="s">
        <v>50</v>
      </c>
      <c r="G3" s="34"/>
      <c r="H3" s="34"/>
      <c r="I3" s="60"/>
      <c r="J3" s="69"/>
      <c r="K3" s="60"/>
      <c r="L3" s="60"/>
      <c r="M3" s="60"/>
      <c r="N3" s="35"/>
      <c r="P3" s="23"/>
    </row>
    <row r="4" spans="1:16">
      <c r="A4" s="2" t="s">
        <v>0</v>
      </c>
      <c r="B4" s="7" t="s">
        <v>1</v>
      </c>
      <c r="C4" s="7" t="s">
        <v>2</v>
      </c>
      <c r="D4" s="7" t="s">
        <v>19</v>
      </c>
      <c r="E4" s="7" t="s">
        <v>53</v>
      </c>
      <c r="F4" s="7" t="s">
        <v>51</v>
      </c>
      <c r="G4" s="2" t="s">
        <v>45</v>
      </c>
      <c r="H4" s="2" t="s">
        <v>6</v>
      </c>
      <c r="I4" s="61" t="s">
        <v>17</v>
      </c>
      <c r="J4" s="71" t="s">
        <v>54</v>
      </c>
      <c r="K4" s="75"/>
      <c r="L4" s="234" t="s">
        <v>61</v>
      </c>
      <c r="M4" s="88" t="s">
        <v>5</v>
      </c>
      <c r="N4" s="232" t="s">
        <v>55</v>
      </c>
      <c r="P4" s="23"/>
    </row>
    <row r="5" spans="1:16">
      <c r="A5" s="2"/>
      <c r="B5" s="7"/>
      <c r="C5" s="7"/>
      <c r="D5" s="7" t="s">
        <v>20</v>
      </c>
      <c r="E5" s="63" t="s">
        <v>47</v>
      </c>
      <c r="F5" s="7"/>
      <c r="G5" s="43">
        <v>0.02</v>
      </c>
      <c r="H5" s="2" t="s">
        <v>7</v>
      </c>
      <c r="I5" s="49" t="s">
        <v>18</v>
      </c>
      <c r="J5" s="72" t="s">
        <v>60</v>
      </c>
      <c r="K5" s="64"/>
      <c r="L5" s="235"/>
      <c r="M5" s="89" t="s">
        <v>62</v>
      </c>
      <c r="N5" s="233"/>
      <c r="P5" s="23"/>
    </row>
    <row r="6" spans="1:16">
      <c r="A6" s="11">
        <v>1</v>
      </c>
      <c r="B6" s="12" t="s">
        <v>22</v>
      </c>
      <c r="C6" s="66" t="s">
        <v>30</v>
      </c>
      <c r="D6" s="52">
        <v>0</v>
      </c>
      <c r="E6" s="52">
        <v>0</v>
      </c>
      <c r="F6" s="52">
        <f>+D6-E6</f>
        <v>0</v>
      </c>
      <c r="G6" s="57">
        <v>0</v>
      </c>
      <c r="H6" s="18">
        <v>0.121</v>
      </c>
      <c r="I6" s="50">
        <f>H$1*H6</f>
        <v>30250</v>
      </c>
      <c r="J6" s="73">
        <v>9706.619999999999</v>
      </c>
      <c r="K6" s="76"/>
      <c r="L6" s="73">
        <f>(J6+K6)*5%+(J6+K6)*5%+(J6+K6)*5%+(J6+K6)*5%+(J6+K6)*5%</f>
        <v>2426.6549999999997</v>
      </c>
      <c r="M6" s="52">
        <f>H$1*H6</f>
        <v>30250</v>
      </c>
      <c r="N6" s="74">
        <f>J6+K6+L6+M6</f>
        <v>42383.274999999994</v>
      </c>
      <c r="P6" s="23"/>
    </row>
    <row r="7" spans="1:16" ht="16.5" customHeight="1">
      <c r="A7" s="11">
        <v>2</v>
      </c>
      <c r="B7" s="12" t="s">
        <v>23</v>
      </c>
      <c r="C7" s="66" t="s">
        <v>31</v>
      </c>
      <c r="D7" s="52">
        <v>0</v>
      </c>
      <c r="E7" s="52">
        <v>0</v>
      </c>
      <c r="F7" s="52">
        <f t="shared" ref="F7:F13" si="0">+D7-E7</f>
        <v>0</v>
      </c>
      <c r="G7" s="57">
        <v>0</v>
      </c>
      <c r="H7" s="18">
        <v>0.122</v>
      </c>
      <c r="I7" s="50">
        <f t="shared" ref="I7:I13" si="1">H$1*H7</f>
        <v>30500</v>
      </c>
      <c r="J7" s="73">
        <v>19573.68</v>
      </c>
      <c r="K7" s="76"/>
      <c r="L7" s="73">
        <f t="shared" ref="L7:L13" si="2">(J7+K7)*5%+(J7+K7)*5%+(J7+K7)*5%+(J7+K7)*5%+(J7+K7)*5%</f>
        <v>4893.42</v>
      </c>
      <c r="M7" s="52">
        <f t="shared" ref="M7:M13" si="3">H$1*H7</f>
        <v>30500</v>
      </c>
      <c r="N7" s="74">
        <f t="shared" ref="N7:N13" si="4">J7+K7+L7+M7</f>
        <v>54967.1</v>
      </c>
      <c r="P7" s="23"/>
    </row>
    <row r="8" spans="1:16" ht="26.25">
      <c r="A8" s="11">
        <v>3</v>
      </c>
      <c r="B8" s="12" t="s">
        <v>24</v>
      </c>
      <c r="C8" s="66" t="s">
        <v>32</v>
      </c>
      <c r="D8" s="52">
        <v>0</v>
      </c>
      <c r="E8" s="52">
        <v>0</v>
      </c>
      <c r="F8" s="52">
        <f t="shared" si="0"/>
        <v>0</v>
      </c>
      <c r="G8" s="57">
        <v>0</v>
      </c>
      <c r="H8" s="18">
        <v>0.11700000000000001</v>
      </c>
      <c r="I8" s="50">
        <f t="shared" si="1"/>
        <v>29250</v>
      </c>
      <c r="J8" s="73">
        <v>0</v>
      </c>
      <c r="K8" s="76"/>
      <c r="L8" s="73">
        <f t="shared" si="2"/>
        <v>0</v>
      </c>
      <c r="M8" s="52">
        <f t="shared" si="3"/>
        <v>29250</v>
      </c>
      <c r="N8" s="74">
        <f t="shared" si="4"/>
        <v>29250</v>
      </c>
      <c r="P8" s="23"/>
    </row>
    <row r="9" spans="1:16" ht="26.25">
      <c r="A9" s="11">
        <v>4</v>
      </c>
      <c r="B9" s="12" t="s">
        <v>25</v>
      </c>
      <c r="C9" s="66" t="s">
        <v>33</v>
      </c>
      <c r="D9" s="52">
        <v>0</v>
      </c>
      <c r="E9" s="52">
        <v>0</v>
      </c>
      <c r="F9" s="52">
        <f>+D9-E9</f>
        <v>0</v>
      </c>
      <c r="G9" s="57">
        <v>0</v>
      </c>
      <c r="H9" s="18">
        <v>0.11700000000000001</v>
      </c>
      <c r="I9" s="50">
        <f t="shared" si="1"/>
        <v>29250</v>
      </c>
      <c r="J9" s="73">
        <v>18771.480000000003</v>
      </c>
      <c r="K9" s="76"/>
      <c r="L9" s="73">
        <f t="shared" si="2"/>
        <v>4692.8700000000008</v>
      </c>
      <c r="M9" s="52">
        <f t="shared" si="3"/>
        <v>29250</v>
      </c>
      <c r="N9" s="74">
        <f t="shared" si="4"/>
        <v>52714.350000000006</v>
      </c>
      <c r="P9" s="23"/>
    </row>
    <row r="10" spans="1:16">
      <c r="A10" s="11">
        <v>5</v>
      </c>
      <c r="B10" s="12" t="s">
        <v>26</v>
      </c>
      <c r="C10" s="66" t="s">
        <v>30</v>
      </c>
      <c r="D10" s="52">
        <v>0</v>
      </c>
      <c r="E10" s="52">
        <v>0</v>
      </c>
      <c r="F10" s="52">
        <f t="shared" si="0"/>
        <v>0</v>
      </c>
      <c r="G10" s="57">
        <v>0</v>
      </c>
      <c r="H10" s="18">
        <v>0.13700000000000001</v>
      </c>
      <c r="I10" s="50">
        <f t="shared" si="1"/>
        <v>34250</v>
      </c>
      <c r="J10" s="73">
        <v>10990.140000000001</v>
      </c>
      <c r="K10" s="76"/>
      <c r="L10" s="73">
        <f t="shared" si="2"/>
        <v>2747.5350000000003</v>
      </c>
      <c r="M10" s="52">
        <f t="shared" si="3"/>
        <v>34250</v>
      </c>
      <c r="N10" s="74">
        <f t="shared" si="4"/>
        <v>47987.675000000003</v>
      </c>
      <c r="P10" s="23"/>
    </row>
    <row r="11" spans="1:16">
      <c r="A11" s="11">
        <v>6</v>
      </c>
      <c r="B11" s="12" t="s">
        <v>27</v>
      </c>
      <c r="C11" s="66" t="s">
        <v>30</v>
      </c>
      <c r="D11" s="52">
        <v>0</v>
      </c>
      <c r="E11" s="52">
        <v>0</v>
      </c>
      <c r="F11" s="52">
        <f t="shared" si="0"/>
        <v>0</v>
      </c>
      <c r="G11" s="57">
        <v>0</v>
      </c>
      <c r="H11" s="18">
        <v>0.13200000000000001</v>
      </c>
      <c r="I11" s="50">
        <f t="shared" si="1"/>
        <v>33000</v>
      </c>
      <c r="J11" s="73">
        <v>10589.04</v>
      </c>
      <c r="K11" s="76"/>
      <c r="L11" s="73">
        <f t="shared" si="2"/>
        <v>2647.2600000000007</v>
      </c>
      <c r="M11" s="52">
        <f t="shared" si="3"/>
        <v>33000</v>
      </c>
      <c r="N11" s="74">
        <f t="shared" si="4"/>
        <v>46236.3</v>
      </c>
      <c r="P11" s="23"/>
    </row>
    <row r="12" spans="1:16" ht="27.75" customHeight="1">
      <c r="A12" s="11">
        <v>7</v>
      </c>
      <c r="B12" s="12" t="s">
        <v>28</v>
      </c>
      <c r="C12" s="66" t="s">
        <v>32</v>
      </c>
      <c r="D12" s="52">
        <v>0</v>
      </c>
      <c r="E12" s="52">
        <v>0</v>
      </c>
      <c r="F12" s="52">
        <f t="shared" si="0"/>
        <v>0</v>
      </c>
      <c r="G12" s="57">
        <v>0</v>
      </c>
      <c r="H12" s="18">
        <v>0.127</v>
      </c>
      <c r="I12" s="50">
        <f t="shared" si="1"/>
        <v>31750</v>
      </c>
      <c r="J12" s="73">
        <v>0</v>
      </c>
      <c r="K12" s="76"/>
      <c r="L12" s="73">
        <f t="shared" si="2"/>
        <v>0</v>
      </c>
      <c r="M12" s="52">
        <f t="shared" si="3"/>
        <v>31750</v>
      </c>
      <c r="N12" s="74">
        <f t="shared" si="4"/>
        <v>31750</v>
      </c>
      <c r="P12" s="23"/>
    </row>
    <row r="13" spans="1:16" ht="26.25">
      <c r="A13" s="11">
        <v>8</v>
      </c>
      <c r="B13" s="12" t="s">
        <v>29</v>
      </c>
      <c r="C13" s="66" t="s">
        <v>34</v>
      </c>
      <c r="D13" s="52">
        <v>0</v>
      </c>
      <c r="E13" s="52">
        <v>0</v>
      </c>
      <c r="F13" s="52">
        <f t="shared" si="0"/>
        <v>0</v>
      </c>
      <c r="G13" s="57">
        <v>0</v>
      </c>
      <c r="H13" s="18">
        <v>0.127</v>
      </c>
      <c r="I13" s="50">
        <f t="shared" si="1"/>
        <v>31750</v>
      </c>
      <c r="J13" s="73">
        <v>0</v>
      </c>
      <c r="K13" s="76"/>
      <c r="L13" s="73">
        <f t="shared" si="2"/>
        <v>0</v>
      </c>
      <c r="M13" s="52">
        <f t="shared" si="3"/>
        <v>31750</v>
      </c>
      <c r="N13" s="74">
        <f t="shared" si="4"/>
        <v>31750</v>
      </c>
      <c r="P13" s="23"/>
    </row>
    <row r="14" spans="1:16" ht="15.75" thickBot="1">
      <c r="A14" s="8" t="s">
        <v>11</v>
      </c>
      <c r="B14" s="9"/>
      <c r="C14" s="10"/>
      <c r="D14" s="53">
        <f>SUM(D6:D13)</f>
        <v>0</v>
      </c>
      <c r="E14" s="55">
        <f>SUM(E6:E13)</f>
        <v>0</v>
      </c>
      <c r="F14" s="53">
        <f t="shared" ref="F14" si="5">SUM(F6:F13)</f>
        <v>0</v>
      </c>
      <c r="G14" s="58">
        <f>SUM(G6:G13)</f>
        <v>0</v>
      </c>
      <c r="H14" s="15">
        <f t="shared" ref="H14:I14" si="6">SUM(H6:H13)</f>
        <v>1</v>
      </c>
      <c r="I14" s="45">
        <f t="shared" si="6"/>
        <v>250000</v>
      </c>
      <c r="J14" s="48">
        <f>SUM(J6:J13)</f>
        <v>69630.959999999992</v>
      </c>
      <c r="K14" s="48">
        <f>SUM(K6:K13)</f>
        <v>0</v>
      </c>
      <c r="L14" s="48"/>
      <c r="M14" s="48">
        <f>SUM(M6:M13)</f>
        <v>250000</v>
      </c>
      <c r="N14" s="45">
        <f>SUM(N6:N13)</f>
        <v>337038.7</v>
      </c>
      <c r="P14" s="23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detalle y gastos</vt:lpstr>
      <vt:lpstr>prorrateo </vt:lpstr>
      <vt:lpstr>edesur</vt:lpstr>
      <vt:lpstr>eXTR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2025-01-21T14:36:36Z</cp:lastPrinted>
  <dcterms:created xsi:type="dcterms:W3CDTF">2020-12-10T00:27:53Z</dcterms:created>
  <dcterms:modified xsi:type="dcterms:W3CDTF">2025-01-23T02:16:08Z</dcterms:modified>
</cp:coreProperties>
</file>