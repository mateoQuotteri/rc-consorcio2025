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PATXOT 512\febrero\"/>
    </mc:Choice>
  </mc:AlternateContent>
  <xr:revisionPtr revIDLastSave="0" documentId="13_ncr:1_{1CF3B0D1-C262-48C0-9546-D54813B36C81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etalle y gastos" sheetId="3" r:id="rId1"/>
    <sheet name="prorrateo " sheetId="1" r:id="rId2"/>
    <sheet name="edesur" sheetId="5" r:id="rId3"/>
    <sheet name="eXTR" sheetId="4" r:id="rId4"/>
  </sheets>
  <definedNames>
    <definedName name="_xlnm.Print_Area" localSheetId="0">'detalle y gastos'!$A$1:$C$45</definedName>
    <definedName name="_xlnm.Print_Area" localSheetId="2">edesur!$A$1:$H$15</definedName>
    <definedName name="_xlnm.Print_Area" localSheetId="1">'prorrateo '!$A$1:$L$16</definedName>
  </definedNames>
  <calcPr calcId="181029"/>
</workbook>
</file>

<file path=xl/calcChain.xml><?xml version="1.0" encoding="utf-8"?>
<calcChain xmlns="http://schemas.openxmlformats.org/spreadsheetml/2006/main">
  <c r="C43" i="3" l="1"/>
  <c r="F12" i="1"/>
  <c r="F13" i="1"/>
  <c r="F14" i="1"/>
  <c r="D8" i="5" l="1"/>
  <c r="D10" i="5"/>
  <c r="D5" i="5"/>
  <c r="D6" i="5"/>
  <c r="D9" i="5"/>
  <c r="D11" i="5"/>
  <c r="D7" i="5"/>
  <c r="F11" i="1"/>
  <c r="F5" i="1"/>
  <c r="F6" i="1"/>
  <c r="F7" i="1"/>
  <c r="F8" i="1"/>
  <c r="F9" i="1"/>
  <c r="F10" i="1"/>
  <c r="J120" i="1"/>
  <c r="G115" i="1"/>
  <c r="J110" i="1"/>
  <c r="J50" i="1"/>
  <c r="G39" i="1"/>
  <c r="J85" i="1"/>
  <c r="G90" i="1"/>
  <c r="G63" i="1"/>
  <c r="J34" i="1"/>
  <c r="J58" i="1" s="1"/>
  <c r="J68" i="1"/>
  <c r="C42" i="3" l="1"/>
  <c r="G12" i="1" l="1"/>
  <c r="H12" i="1" s="1"/>
  <c r="G13" i="1"/>
  <c r="H13" i="1" s="1"/>
  <c r="H4" i="5"/>
  <c r="K34" i="5"/>
  <c r="K28" i="5"/>
  <c r="D12" i="5"/>
  <c r="C12" i="5"/>
  <c r="E11" i="5"/>
  <c r="E10" i="5"/>
  <c r="E9" i="5"/>
  <c r="E8" i="5"/>
  <c r="E7" i="5"/>
  <c r="E6" i="5"/>
  <c r="E5" i="5"/>
  <c r="D14" i="5" l="1"/>
  <c r="F5" i="5" s="1"/>
  <c r="H5" i="5" s="1"/>
  <c r="K5" i="1" s="1"/>
  <c r="J119" i="1" s="1"/>
  <c r="E12" i="5"/>
  <c r="J6" i="1"/>
  <c r="J7" i="1"/>
  <c r="J42" i="1" s="1"/>
  <c r="J8" i="1"/>
  <c r="J66" i="1" s="1"/>
  <c r="J9" i="1"/>
  <c r="J10" i="1"/>
  <c r="J93" i="1" s="1"/>
  <c r="J11" i="1"/>
  <c r="J12" i="1"/>
  <c r="L12" i="1" s="1"/>
  <c r="J13" i="1"/>
  <c r="J14" i="1"/>
  <c r="J5" i="1"/>
  <c r="J118" i="1" s="1"/>
  <c r="C14" i="1"/>
  <c r="C13" i="1"/>
  <c r="C12" i="1"/>
  <c r="J128" i="1" l="1"/>
  <c r="H20" i="5"/>
  <c r="F11" i="5"/>
  <c r="H11" i="5" s="1"/>
  <c r="K11" i="1" s="1"/>
  <c r="F7" i="5"/>
  <c r="H7" i="5" s="1"/>
  <c r="K7" i="1" s="1"/>
  <c r="J43" i="1" s="1"/>
  <c r="F6" i="5"/>
  <c r="H6" i="5" s="1"/>
  <c r="K6" i="1" s="1"/>
  <c r="F10" i="5"/>
  <c r="H10" i="5" s="1"/>
  <c r="K10" i="1" s="1"/>
  <c r="J94" i="1" s="1"/>
  <c r="J103" i="1" s="1"/>
  <c r="F8" i="5"/>
  <c r="H8" i="5" s="1"/>
  <c r="K8" i="1" s="1"/>
  <c r="J67" i="1" s="1"/>
  <c r="J76" i="1" s="1"/>
  <c r="F9" i="5"/>
  <c r="H9" i="5" s="1"/>
  <c r="K9" i="1" s="1"/>
  <c r="L13" i="1"/>
  <c r="C20" i="3"/>
  <c r="C27" i="3"/>
  <c r="C35" i="3"/>
  <c r="C49" i="3" s="1"/>
  <c r="K15" i="1" l="1"/>
  <c r="F12" i="5"/>
  <c r="H12" i="5"/>
  <c r="C28" i="3"/>
  <c r="A2" i="1" l="1"/>
  <c r="N10" i="4" l="1"/>
  <c r="N6" i="4"/>
  <c r="M7" i="4"/>
  <c r="M8" i="4"/>
  <c r="M9" i="4"/>
  <c r="M10" i="4"/>
  <c r="M11" i="4"/>
  <c r="M12" i="4"/>
  <c r="M13" i="4"/>
  <c r="M6" i="4"/>
  <c r="M14" i="4" s="1"/>
  <c r="L7" i="4"/>
  <c r="N7" i="4" s="1"/>
  <c r="L8" i="4"/>
  <c r="N8" i="4" s="1"/>
  <c r="L9" i="4"/>
  <c r="N9" i="4" s="1"/>
  <c r="L10" i="4"/>
  <c r="L11" i="4"/>
  <c r="N11" i="4" s="1"/>
  <c r="L12" i="4"/>
  <c r="N12" i="4" s="1"/>
  <c r="L13" i="4"/>
  <c r="N13" i="4" s="1"/>
  <c r="L6" i="4"/>
  <c r="C52" i="3" l="1"/>
  <c r="K14" i="4" l="1"/>
  <c r="N14" i="4" l="1"/>
  <c r="J14" i="4" l="1"/>
  <c r="I7" i="4" l="1"/>
  <c r="I8" i="4"/>
  <c r="I9" i="4"/>
  <c r="I10" i="4"/>
  <c r="I11" i="4"/>
  <c r="I12" i="4"/>
  <c r="I13" i="4"/>
  <c r="I6" i="4"/>
  <c r="G7" i="1" l="1"/>
  <c r="G8" i="1"/>
  <c r="H8" i="1" s="1"/>
  <c r="G9" i="1"/>
  <c r="G10" i="1"/>
  <c r="H10" i="1" s="1"/>
  <c r="G5" i="1"/>
  <c r="H5" i="1" s="1"/>
  <c r="G11" i="1"/>
  <c r="H11" i="1" s="1"/>
  <c r="H9" i="1" l="1"/>
  <c r="L9" i="1" s="1"/>
  <c r="H7" i="1"/>
  <c r="J44" i="1" s="1"/>
  <c r="J52" i="1" s="1"/>
  <c r="L10" i="1"/>
  <c r="L11" i="1"/>
  <c r="L8" i="1"/>
  <c r="L5" i="1"/>
  <c r="F15" i="1"/>
  <c r="C41" i="3" s="1"/>
  <c r="G6" i="1"/>
  <c r="H6" i="1" s="1"/>
  <c r="L7" i="1" l="1"/>
  <c r="L6" i="1"/>
  <c r="G14" i="1"/>
  <c r="H14" i="1" s="1"/>
  <c r="E15" i="1"/>
  <c r="E24" i="1"/>
  <c r="J15" i="1"/>
  <c r="L14" i="1" l="1"/>
  <c r="F9" i="4"/>
  <c r="F6" i="4"/>
  <c r="H14" i="4" l="1"/>
  <c r="G14" i="4"/>
  <c r="E14" i="4"/>
  <c r="D14" i="4"/>
  <c r="F13" i="4"/>
  <c r="F12" i="4"/>
  <c r="F11" i="4"/>
  <c r="F10" i="4"/>
  <c r="I14" i="4"/>
  <c r="F8" i="4"/>
  <c r="F7" i="4"/>
  <c r="F14" i="4" l="1"/>
  <c r="J23" i="1"/>
  <c r="J24" i="1"/>
  <c r="J25" i="1"/>
  <c r="J26" i="1"/>
  <c r="J27" i="1"/>
  <c r="J28" i="1"/>
  <c r="J29" i="1"/>
  <c r="J22" i="1"/>
  <c r="L24" i="1" l="1"/>
  <c r="L27" i="1"/>
  <c r="L22" i="1"/>
  <c r="L26" i="1"/>
  <c r="L28" i="1"/>
  <c r="L29" i="1"/>
  <c r="L25" i="1"/>
  <c r="L23" i="1"/>
  <c r="L30" i="1" l="1"/>
  <c r="J30" i="1"/>
  <c r="I30" i="1"/>
  <c r="H30" i="1"/>
  <c r="F30" i="1"/>
  <c r="L15" i="1" l="1"/>
  <c r="H15" i="1"/>
  <c r="I15" i="1"/>
  <c r="C37" i="3" l="1"/>
  <c r="C44" i="3" l="1"/>
</calcChain>
</file>

<file path=xl/sharedStrings.xml><?xml version="1.0" encoding="utf-8"?>
<sst xmlns="http://schemas.openxmlformats.org/spreadsheetml/2006/main" count="219" uniqueCount="130">
  <si>
    <t>UF</t>
  </si>
  <si>
    <t>Dpto.</t>
  </si>
  <si>
    <t>Propietario</t>
  </si>
  <si>
    <t>Pagos</t>
  </si>
  <si>
    <t>TOTAL</t>
  </si>
  <si>
    <t>EXPENSAS</t>
  </si>
  <si>
    <t>porcentaje</t>
  </si>
  <si>
    <t>%</t>
  </si>
  <si>
    <t>consorciosrc13@gmail.com</t>
  </si>
  <si>
    <t>Ingreso por pago de expensas en término</t>
  </si>
  <si>
    <t>Saldo anterior</t>
  </si>
  <si>
    <t>TOTALES</t>
  </si>
  <si>
    <t>Tel. 11 5320-2676</t>
  </si>
  <si>
    <t>ABONOS y SERVICIOS</t>
  </si>
  <si>
    <t>GASTOS ORDINARIOS</t>
  </si>
  <si>
    <t>TOTAL GENERAL DE GASTOS (A) + (B)</t>
  </si>
  <si>
    <t>Saldo al cierre $ (pesos)</t>
  </si>
  <si>
    <t>Expensas</t>
  </si>
  <si>
    <t>Ordinarias</t>
  </si>
  <si>
    <t xml:space="preserve">Saldo </t>
  </si>
  <si>
    <t>Anterior</t>
  </si>
  <si>
    <t>CANCIANI, Carolina</t>
  </si>
  <si>
    <t>PB 2</t>
  </si>
  <si>
    <t>PB 1</t>
  </si>
  <si>
    <t>PB 3</t>
  </si>
  <si>
    <t>PB 4</t>
  </si>
  <si>
    <t>PA 2</t>
  </si>
  <si>
    <t>PA 1</t>
  </si>
  <si>
    <t>PA 3</t>
  </si>
  <si>
    <t>PA 4</t>
  </si>
  <si>
    <t>POC SERGIO</t>
  </si>
  <si>
    <t>GODOY DARIO</t>
  </si>
  <si>
    <t>BARBARESI CAROLINA</t>
  </si>
  <si>
    <t>ECHEVERRIA CHRISTIAN</t>
  </si>
  <si>
    <t>MANTEIGA LUCAS</t>
  </si>
  <si>
    <t>AYSA</t>
  </si>
  <si>
    <t>LIMPIEZA / MANTENIMIENTO / GASTOS GENERALES</t>
  </si>
  <si>
    <t>ESTADO FINACIERO</t>
  </si>
  <si>
    <t>EDIFICIO DRAGO 1770</t>
  </si>
  <si>
    <t>EDESUR  0800-333-3787</t>
  </si>
  <si>
    <t>AySA  0800-321-2482</t>
  </si>
  <si>
    <t>TOTAL GASTOS EXTRAORDINARIOS (B)</t>
  </si>
  <si>
    <t>Metrogas 0800-333-6427</t>
  </si>
  <si>
    <t>EDESUR</t>
  </si>
  <si>
    <t>GASTOS EXTRAORDINARIOS</t>
  </si>
  <si>
    <t>Intereses</t>
  </si>
  <si>
    <t>Exp. Ord.</t>
  </si>
  <si>
    <t>Exp. Extraord.</t>
  </si>
  <si>
    <t xml:space="preserve">Teléfonos útiles </t>
  </si>
  <si>
    <t>EXPENSAS ORDINARIAS</t>
  </si>
  <si>
    <t>EXPENSAS EXTRAORDINARIAS</t>
  </si>
  <si>
    <t>DEUDAS</t>
  </si>
  <si>
    <t>Liquidación de mes: JULIO 2022</t>
  </si>
  <si>
    <t>Pago</t>
  </si>
  <si>
    <t>DEUDA</t>
  </si>
  <si>
    <t>TOTAL A PAGAR</t>
  </si>
  <si>
    <t>Inquilinos</t>
  </si>
  <si>
    <t>Liquidación de mes: DICIEMBRE 2023</t>
  </si>
  <si>
    <t>CAJA EXTRAORDINARIA</t>
  </si>
  <si>
    <t>MP 1148</t>
  </si>
  <si>
    <t>ENERO</t>
  </si>
  <si>
    <t>PUNITORIOS DE 5 MESES</t>
  </si>
  <si>
    <t>EXTRAORD</t>
  </si>
  <si>
    <t>Pago efectivo</t>
  </si>
  <si>
    <t>Egreso extraordinario</t>
  </si>
  <si>
    <t>Egresos por gastos del mes ordinarios</t>
  </si>
  <si>
    <t>Gomez Elizabeth</t>
  </si>
  <si>
    <t>Maceyle Gabriela</t>
  </si>
  <si>
    <t>Castelao Lorena</t>
  </si>
  <si>
    <t>Grand Jorge</t>
  </si>
  <si>
    <t>Valdez Norberto</t>
  </si>
  <si>
    <t>Lean Cosenza</t>
  </si>
  <si>
    <t>Caro Manay</t>
  </si>
  <si>
    <t>Pereyra Amanda</t>
  </si>
  <si>
    <t>Maitena E.</t>
  </si>
  <si>
    <t>Enciso Marisa</t>
  </si>
  <si>
    <t>COCH A</t>
  </si>
  <si>
    <t>COCH B</t>
  </si>
  <si>
    <t>COCH C</t>
  </si>
  <si>
    <t>TOTAL GASTOS ORDINARIOS (A) - SIN CONTAR EDESUR</t>
  </si>
  <si>
    <t>Edesur</t>
  </si>
  <si>
    <t>PATXOT</t>
  </si>
  <si>
    <t>NOVIEMBRE 2024</t>
  </si>
  <si>
    <t xml:space="preserve">BOLETA </t>
  </si>
  <si>
    <t>UNIDAD</t>
  </si>
  <si>
    <t>MEDIDOR</t>
  </si>
  <si>
    <t>CONSUMO</t>
  </si>
  <si>
    <t>PORCENTAJE</t>
  </si>
  <si>
    <t>BOLETA TOTAL</t>
  </si>
  <si>
    <t>TOTAL A ABONAR</t>
  </si>
  <si>
    <t>ANTERIOR</t>
  </si>
  <si>
    <t>ACTUAL</t>
  </si>
  <si>
    <t>GOMEZ</t>
  </si>
  <si>
    <t>CARA</t>
  </si>
  <si>
    <t>PEREYRA</t>
  </si>
  <si>
    <t>MARTINEZ</t>
  </si>
  <si>
    <t>ENCISO ROTELA</t>
  </si>
  <si>
    <t>VALDEZ</t>
  </si>
  <si>
    <t>COSENZA</t>
  </si>
  <si>
    <t>CONSUMO TOTAL KW</t>
  </si>
  <si>
    <t>EDIFICIO</t>
  </si>
  <si>
    <t xml:space="preserve">EN TOTAL LOS DEPARTAMENTOS USARON </t>
  </si>
  <si>
    <t>KW</t>
  </si>
  <si>
    <t>DEPARTAMENTO</t>
  </si>
  <si>
    <t>CONSUMIO</t>
  </si>
  <si>
    <t xml:space="preserve">KW </t>
  </si>
  <si>
    <t>EL 14,96% DE TOTAL CONSUMIDO</t>
  </si>
  <si>
    <t>ELECTRICIDAD</t>
  </si>
  <si>
    <t xml:space="preserve">TOTAL </t>
  </si>
  <si>
    <t>saldo OCTUBRE 24</t>
  </si>
  <si>
    <t>ABONASTE OCTUBRE 24</t>
  </si>
  <si>
    <t>NOVIEMBRE 24</t>
  </si>
  <si>
    <t>Expensas ord.</t>
  </si>
  <si>
    <t>RECIBO DE EXPENSAS</t>
  </si>
  <si>
    <t>CONSORCIO: ADMINISTRACION DE CONSORCIOS RC</t>
  </si>
  <si>
    <t>Adminstradora: Carolina Canciani</t>
  </si>
  <si>
    <t>Nombre y apellido:</t>
  </si>
  <si>
    <t>Fecha:</t>
  </si>
  <si>
    <t>Sello o firma autoriada:</t>
  </si>
  <si>
    <t>UF:</t>
  </si>
  <si>
    <t xml:space="preserve">EDESUR </t>
  </si>
  <si>
    <t>Total recibido:</t>
  </si>
  <si>
    <t>DEUDA + INTERESES</t>
  </si>
  <si>
    <t>ABONA DE MAS</t>
  </si>
  <si>
    <t>ABONA DE MENOS</t>
  </si>
  <si>
    <t>ENERO 2025</t>
  </si>
  <si>
    <t>Poliza de Seguro Obligatoria Mercantil andina N. 1181593</t>
  </si>
  <si>
    <t>LIQUIDACIÓN EXPENSAS FEBRERO 2025</t>
  </si>
  <si>
    <t>Honorarios FEBRERO 2025</t>
  </si>
  <si>
    <t>Prevision ordinaria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</si>
</sst>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&quot;$&quot;\ * #,##0.00_-;\-&quot;$&quot;\ * #,##0.00_-;_-&quot;$&quot;\ * &quot;-&quot;??_-;_-@_-"/>
    <numFmt numFmtId="165" formatCode="_ &quot;$&quot;\ * #,##0.00_ ;_ &quot;$&quot;\ * \-#,##0.00_ ;_ &quot;$&quot;\ * &quot;-&quot;??_ ;_ @_ "/>
    <numFmt numFmtId="166" formatCode="#,##0.0000"/>
    <numFmt numFmtId="167" formatCode="_ &quot;$&quot;\ * #,##0_ ;_ &quot;$&quot;\ * \-#,##0_ ;_ &quot;$&quot;\ * &quot;-&quot;??_ ;_ @_ "/>
    <numFmt numFmtId="168" formatCode="d/m"/>
    <numFmt numFmtId="169" formatCode="_-&quot;$&quot;\ * #,##0.00_-;\-&quot;$&quot;\ * #,##0.00_-;_-&quot;$&quot;\ * &quot;-&quot;??_-;_-@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5B5B5F"/>
      <name val="Raleway"/>
    </font>
    <font>
      <sz val="11"/>
      <color rgb="FF212529"/>
      <name val="Arial"/>
      <family val="2"/>
    </font>
    <font>
      <b/>
      <sz val="11"/>
      <color rgb="FF4A4848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12" fillId="0" borderId="0"/>
  </cellStyleXfs>
  <cellXfs count="204">
    <xf numFmtId="0" fontId="0" fillId="0" borderId="0" xfId="0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/>
    <xf numFmtId="0" fontId="2" fillId="0" borderId="0" xfId="1"/>
    <xf numFmtId="0" fontId="1" fillId="0" borderId="0" xfId="0" applyFont="1"/>
    <xf numFmtId="165" fontId="0" fillId="0" borderId="0" xfId="0" applyNumberFormat="1"/>
    <xf numFmtId="0" fontId="0" fillId="0" borderId="6" xfId="0" applyBorder="1" applyAlignment="1">
      <alignment horizontal="center"/>
    </xf>
    <xf numFmtId="0" fontId="1" fillId="3" borderId="2" xfId="0" applyFont="1" applyFill="1" applyBorder="1" applyAlignment="1">
      <alignment horizontal="left"/>
    </xf>
    <xf numFmtId="0" fontId="0" fillId="3" borderId="3" xfId="0" applyFill="1" applyBorder="1" applyAlignment="1">
      <alignment horizontal="center"/>
    </xf>
    <xf numFmtId="0" fontId="0" fillId="3" borderId="3" xfId="0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0" xfId="0" applyNumberFormat="1"/>
    <xf numFmtId="4" fontId="1" fillId="3" borderId="3" xfId="0" applyNumberFormat="1" applyFont="1" applyFill="1" applyBorder="1"/>
    <xf numFmtId="0" fontId="5" fillId="0" borderId="0" xfId="0" applyFont="1"/>
    <xf numFmtId="166" fontId="0" fillId="0" borderId="8" xfId="0" applyNumberFormat="1" applyBorder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0" borderId="0" xfId="0" applyFont="1"/>
    <xf numFmtId="0" fontId="9" fillId="4" borderId="0" xfId="0" applyFont="1" applyFill="1"/>
    <xf numFmtId="165" fontId="9" fillId="4" borderId="0" xfId="2" applyFont="1" applyFill="1"/>
    <xf numFmtId="0" fontId="2" fillId="0" borderId="3" xfId="1" applyBorder="1"/>
    <xf numFmtId="0" fontId="1" fillId="5" borderId="0" xfId="0" applyFont="1" applyFill="1" applyAlignment="1">
      <alignment horizontal="center"/>
    </xf>
    <xf numFmtId="0" fontId="1" fillId="2" borderId="8" xfId="0" applyFont="1" applyFill="1" applyBorder="1" applyAlignment="1">
      <alignment horizontal="left"/>
    </xf>
    <xf numFmtId="0" fontId="0" fillId="2" borderId="9" xfId="0" applyFill="1" applyBorder="1"/>
    <xf numFmtId="0" fontId="0" fillId="2" borderId="9" xfId="0" applyFill="1" applyBorder="1" applyAlignment="1">
      <alignment horizontal="left"/>
    </xf>
    <xf numFmtId="0" fontId="1" fillId="2" borderId="9" xfId="0" applyFont="1" applyFill="1" applyBorder="1"/>
    <xf numFmtId="0" fontId="0" fillId="2" borderId="10" xfId="0" applyFill="1" applyBorder="1"/>
    <xf numFmtId="4" fontId="0" fillId="0" borderId="6" xfId="0" applyNumberFormat="1" applyBorder="1"/>
    <xf numFmtId="0" fontId="0" fillId="0" borderId="9" xfId="0" applyBorder="1"/>
    <xf numFmtId="0" fontId="9" fillId="4" borderId="9" xfId="0" applyFont="1" applyFill="1" applyBorder="1"/>
    <xf numFmtId="165" fontId="9" fillId="4" borderId="10" xfId="2" applyFont="1" applyFill="1" applyBorder="1"/>
    <xf numFmtId="0" fontId="1" fillId="0" borderId="8" xfId="0" applyFont="1" applyBorder="1"/>
    <xf numFmtId="9" fontId="0" fillId="0" borderId="7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167" fontId="1" fillId="3" borderId="14" xfId="2" applyNumberFormat="1" applyFont="1" applyFill="1" applyBorder="1"/>
    <xf numFmtId="165" fontId="10" fillId="0" borderId="1" xfId="2" applyFont="1" applyBorder="1"/>
    <xf numFmtId="3" fontId="0" fillId="0" borderId="12" xfId="0" applyNumberFormat="1" applyBorder="1"/>
    <xf numFmtId="167" fontId="1" fillId="3" borderId="15" xfId="2" applyNumberFormat="1" applyFont="1" applyFill="1" applyBorder="1"/>
    <xf numFmtId="0" fontId="0" fillId="0" borderId="13" xfId="0" applyBorder="1" applyAlignment="1">
      <alignment horizontal="center"/>
    </xf>
    <xf numFmtId="3" fontId="0" fillId="0" borderId="13" xfId="0" applyNumberFormat="1" applyBorder="1"/>
    <xf numFmtId="0" fontId="0" fillId="0" borderId="16" xfId="0" applyBorder="1" applyAlignment="1">
      <alignment horizontal="center"/>
    </xf>
    <xf numFmtId="3" fontId="0" fillId="0" borderId="1" xfId="0" applyNumberFormat="1" applyBorder="1"/>
    <xf numFmtId="167" fontId="1" fillId="3" borderId="5" xfId="2" applyNumberFormat="1" applyFont="1" applyFill="1" applyBorder="1"/>
    <xf numFmtId="4" fontId="1" fillId="0" borderId="0" xfId="0" applyNumberFormat="1" applyFont="1"/>
    <xf numFmtId="3" fontId="1" fillId="3" borderId="5" xfId="2" applyNumberFormat="1" applyFont="1" applyFill="1" applyBorder="1"/>
    <xf numFmtId="3" fontId="0" fillId="0" borderId="0" xfId="0" applyNumberFormat="1"/>
    <xf numFmtId="3" fontId="0" fillId="0" borderId="8" xfId="0" applyNumberFormat="1" applyBorder="1"/>
    <xf numFmtId="3" fontId="1" fillId="3" borderId="1" xfId="2" applyNumberFormat="1" applyFont="1" applyFill="1" applyBorder="1"/>
    <xf numFmtId="0" fontId="1" fillId="0" borderId="0" xfId="0" applyFont="1" applyAlignment="1">
      <alignment horizontal="left"/>
    </xf>
    <xf numFmtId="0" fontId="0" fillId="2" borderId="11" xfId="0" applyFill="1" applyBorder="1"/>
    <xf numFmtId="0" fontId="0" fillId="0" borderId="17" xfId="0" applyBorder="1" applyAlignment="1">
      <alignment horizontal="center"/>
    </xf>
    <xf numFmtId="165" fontId="0" fillId="0" borderId="0" xfId="2" applyFont="1"/>
    <xf numFmtId="16" fontId="0" fillId="0" borderId="6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12" fillId="0" borderId="1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165" fontId="10" fillId="2" borderId="1" xfId="2" applyFont="1" applyFill="1" applyBorder="1"/>
    <xf numFmtId="0" fontId="11" fillId="0" borderId="0" xfId="0" applyFont="1"/>
    <xf numFmtId="0" fontId="0" fillId="2" borderId="18" xfId="0" applyFill="1" applyBorder="1"/>
    <xf numFmtId="4" fontId="11" fillId="0" borderId="0" xfId="0" applyNumberFormat="1" applyFont="1"/>
    <xf numFmtId="0" fontId="0" fillId="0" borderId="3" xfId="0" applyBorder="1" applyAlignment="1">
      <alignment horizontal="center"/>
    </xf>
    <xf numFmtId="3" fontId="0" fillId="0" borderId="3" xfId="0" applyNumberFormat="1" applyBorder="1"/>
    <xf numFmtId="3" fontId="11" fillId="6" borderId="20" xfId="0" applyNumberFormat="1" applyFont="1" applyFill="1" applyBorder="1"/>
    <xf numFmtId="0" fontId="0" fillId="0" borderId="4" xfId="0" applyBorder="1" applyAlignment="1">
      <alignment horizontal="center"/>
    </xf>
    <xf numFmtId="3" fontId="0" fillId="0" borderId="5" xfId="0" applyNumberFormat="1" applyBorder="1"/>
    <xf numFmtId="0" fontId="0" fillId="3" borderId="0" xfId="0" applyFill="1"/>
    <xf numFmtId="0" fontId="0" fillId="2" borderId="0" xfId="0" applyFill="1" applyAlignment="1">
      <alignment horizontal="left"/>
    </xf>
    <xf numFmtId="0" fontId="3" fillId="0" borderId="0" xfId="0" applyFont="1" applyAlignment="1">
      <alignment wrapText="1"/>
    </xf>
    <xf numFmtId="0" fontId="12" fillId="0" borderId="5" xfId="0" applyFont="1" applyBorder="1" applyAlignment="1">
      <alignment wrapText="1"/>
    </xf>
    <xf numFmtId="0" fontId="14" fillId="4" borderId="1" xfId="0" applyFont="1" applyFill="1" applyBorder="1"/>
    <xf numFmtId="0" fontId="7" fillId="0" borderId="1" xfId="0" applyFont="1" applyBorder="1"/>
    <xf numFmtId="0" fontId="0" fillId="0" borderId="1" xfId="0" applyBorder="1"/>
    <xf numFmtId="0" fontId="13" fillId="4" borderId="1" xfId="0" applyFont="1" applyFill="1" applyBorder="1"/>
    <xf numFmtId="165" fontId="7" fillId="0" borderId="1" xfId="2" applyFont="1" applyBorder="1"/>
    <xf numFmtId="165" fontId="13" fillId="4" borderId="1" xfId="2" applyFont="1" applyFill="1" applyBorder="1"/>
    <xf numFmtId="0" fontId="9" fillId="4" borderId="1" xfId="0" applyFont="1" applyFill="1" applyBorder="1"/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65" fontId="15" fillId="0" borderId="1" xfId="2" applyFont="1" applyBorder="1"/>
    <xf numFmtId="165" fontId="16" fillId="0" borderId="1" xfId="2" applyFont="1" applyBorder="1"/>
    <xf numFmtId="4" fontId="11" fillId="6" borderId="1" xfId="0" applyNumberFormat="1" applyFont="1" applyFill="1" applyBorder="1"/>
    <xf numFmtId="4" fontId="11" fillId="0" borderId="1" xfId="0" applyNumberFormat="1" applyFont="1" applyBorder="1"/>
    <xf numFmtId="0" fontId="5" fillId="0" borderId="1" xfId="0" applyFont="1" applyBorder="1"/>
    <xf numFmtId="0" fontId="11" fillId="0" borderId="1" xfId="0" applyFont="1" applyBorder="1"/>
    <xf numFmtId="0" fontId="1" fillId="2" borderId="1" xfId="0" applyFont="1" applyFill="1" applyBorder="1"/>
    <xf numFmtId="0" fontId="11" fillId="2" borderId="1" xfId="0" applyFont="1" applyFill="1" applyBorder="1"/>
    <xf numFmtId="0" fontId="11" fillId="0" borderId="1" xfId="0" applyFont="1" applyBorder="1" applyAlignment="1">
      <alignment horizontal="center"/>
    </xf>
    <xf numFmtId="17" fontId="11" fillId="0" borderId="1" xfId="0" applyNumberFormat="1" applyFont="1" applyBorder="1"/>
    <xf numFmtId="165" fontId="9" fillId="4" borderId="1" xfId="0" applyNumberFormat="1" applyFont="1" applyFill="1" applyBorder="1"/>
    <xf numFmtId="4" fontId="15" fillId="0" borderId="6" xfId="0" applyNumberFormat="1" applyFont="1" applyBorder="1"/>
    <xf numFmtId="164" fontId="0" fillId="0" borderId="0" xfId="0" applyNumberFormat="1"/>
    <xf numFmtId="4" fontId="0" fillId="0" borderId="1" xfId="0" applyNumberFormat="1" applyBorder="1"/>
    <xf numFmtId="165" fontId="0" fillId="0" borderId="1" xfId="2" applyFont="1" applyBorder="1"/>
    <xf numFmtId="0" fontId="1" fillId="2" borderId="24" xfId="0" applyFont="1" applyFill="1" applyBorder="1" applyAlignment="1">
      <alignment horizontal="left"/>
    </xf>
    <xf numFmtId="0" fontId="0" fillId="2" borderId="25" xfId="0" applyFill="1" applyBorder="1"/>
    <xf numFmtId="0" fontId="0" fillId="2" borderId="25" xfId="0" applyFill="1" applyBorder="1" applyAlignment="1">
      <alignment horizontal="left"/>
    </xf>
    <xf numFmtId="0" fontId="1" fillId="2" borderId="25" xfId="0" applyFont="1" applyFill="1" applyBorder="1"/>
    <xf numFmtId="0" fontId="0" fillId="2" borderId="26" xfId="0" applyFill="1" applyBorder="1"/>
    <xf numFmtId="0" fontId="0" fillId="2" borderId="27" xfId="0" applyFill="1" applyBorder="1"/>
    <xf numFmtId="165" fontId="0" fillId="0" borderId="31" xfId="2" applyFont="1" applyBorder="1"/>
    <xf numFmtId="0" fontId="1" fillId="3" borderId="32" xfId="0" applyFont="1" applyFill="1" applyBorder="1" applyAlignment="1">
      <alignment horizontal="left"/>
    </xf>
    <xf numFmtId="0" fontId="0" fillId="3" borderId="33" xfId="0" applyFill="1" applyBorder="1" applyAlignment="1">
      <alignment horizontal="center"/>
    </xf>
    <xf numFmtId="0" fontId="0" fillId="3" borderId="33" xfId="0" applyFill="1" applyBorder="1"/>
    <xf numFmtId="3" fontId="1" fillId="3" borderId="34" xfId="2" applyNumberFormat="1" applyFont="1" applyFill="1" applyBorder="1"/>
    <xf numFmtId="3" fontId="1" fillId="3" borderId="35" xfId="2" applyNumberFormat="1" applyFont="1" applyFill="1" applyBorder="1"/>
    <xf numFmtId="4" fontId="1" fillId="3" borderId="33" xfId="0" applyNumberFormat="1" applyFont="1" applyFill="1" applyBorder="1"/>
    <xf numFmtId="0" fontId="12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49" fontId="0" fillId="7" borderId="0" xfId="0" applyNumberFormat="1" applyFill="1"/>
    <xf numFmtId="0" fontId="0" fillId="7" borderId="0" xfId="0" applyFill="1"/>
    <xf numFmtId="0" fontId="17" fillId="0" borderId="0" xfId="0" applyFont="1"/>
    <xf numFmtId="4" fontId="18" fillId="0" borderId="0" xfId="0" applyNumberFormat="1" applyFont="1"/>
    <xf numFmtId="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49" fontId="0" fillId="0" borderId="0" xfId="0" applyNumberFormat="1"/>
    <xf numFmtId="4" fontId="1" fillId="0" borderId="0" xfId="0" applyNumberFormat="1" applyFont="1" applyAlignment="1">
      <alignment horizontal="center" vertical="center"/>
    </xf>
    <xf numFmtId="164" fontId="0" fillId="8" borderId="0" xfId="3" applyFont="1" applyFill="1" applyAlignment="1">
      <alignment horizontal="center" vertical="center"/>
    </xf>
    <xf numFmtId="0" fontId="19" fillId="0" borderId="0" xfId="0" applyFont="1"/>
    <xf numFmtId="0" fontId="1" fillId="8" borderId="0" xfId="0" applyFont="1" applyFill="1"/>
    <xf numFmtId="164" fontId="0" fillId="8" borderId="0" xfId="3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5" fillId="0" borderId="0" xfId="0" applyFont="1"/>
    <xf numFmtId="17" fontId="0" fillId="0" borderId="0" xfId="0" applyNumberFormat="1"/>
    <xf numFmtId="0" fontId="0" fillId="0" borderId="36" xfId="0" applyBorder="1"/>
    <xf numFmtId="0" fontId="0" fillId="0" borderId="37" xfId="0" applyBorder="1"/>
    <xf numFmtId="0" fontId="0" fillId="0" borderId="26" xfId="0" applyBorder="1"/>
    <xf numFmtId="0" fontId="0" fillId="0" borderId="26" xfId="0" applyBorder="1" applyAlignment="1">
      <alignment horizontal="center" vertical="center"/>
    </xf>
    <xf numFmtId="0" fontId="0" fillId="0" borderId="38" xfId="0" applyBorder="1"/>
    <xf numFmtId="0" fontId="0" fillId="0" borderId="39" xfId="0" applyBorder="1"/>
    <xf numFmtId="0" fontId="1" fillId="9" borderId="0" xfId="0" applyFont="1" applyFill="1" applyAlignment="1">
      <alignment horizontal="center" vertical="center"/>
    </xf>
    <xf numFmtId="0" fontId="0" fillId="0" borderId="16" xfId="0" applyBorder="1"/>
    <xf numFmtId="0" fontId="0" fillId="0" borderId="32" xfId="0" applyBorder="1"/>
    <xf numFmtId="0" fontId="0" fillId="0" borderId="33" xfId="0" applyBorder="1"/>
    <xf numFmtId="0" fontId="0" fillId="0" borderId="40" xfId="0" applyBorder="1"/>
    <xf numFmtId="49" fontId="1" fillId="0" borderId="0" xfId="0" applyNumberFormat="1" applyFont="1"/>
    <xf numFmtId="165" fontId="0" fillId="0" borderId="8" xfId="2" applyFont="1" applyBorder="1"/>
    <xf numFmtId="4" fontId="1" fillId="7" borderId="0" xfId="0" applyNumberFormat="1" applyFont="1" applyFill="1"/>
    <xf numFmtId="0" fontId="1" fillId="0" borderId="2" xfId="0" applyFont="1" applyBorder="1"/>
    <xf numFmtId="165" fontId="10" fillId="0" borderId="5" xfId="2" applyFont="1" applyBorder="1"/>
    <xf numFmtId="0" fontId="1" fillId="0" borderId="41" xfId="0" applyFont="1" applyBorder="1"/>
    <xf numFmtId="0" fontId="0" fillId="0" borderId="42" xfId="0" applyBorder="1"/>
    <xf numFmtId="0" fontId="0" fillId="0" borderId="43" xfId="0" applyBorder="1"/>
    <xf numFmtId="167" fontId="0" fillId="6" borderId="1" xfId="2" applyNumberFormat="1" applyFont="1" applyFill="1" applyBorder="1"/>
    <xf numFmtId="167" fontId="11" fillId="6" borderId="1" xfId="2" applyNumberFormat="1" applyFont="1" applyFill="1" applyBorder="1"/>
    <xf numFmtId="167" fontId="0" fillId="0" borderId="1" xfId="2" applyNumberFormat="1" applyFont="1" applyBorder="1"/>
    <xf numFmtId="0" fontId="22" fillId="0" borderId="47" xfId="0" applyFont="1" applyBorder="1"/>
    <xf numFmtId="0" fontId="22" fillId="0" borderId="48" xfId="0" applyFont="1" applyBorder="1"/>
    <xf numFmtId="0" fontId="22" fillId="0" borderId="49" xfId="0" applyFont="1" applyBorder="1"/>
    <xf numFmtId="0" fontId="22" fillId="0" borderId="50" xfId="0" applyFont="1" applyBorder="1"/>
    <xf numFmtId="0" fontId="22" fillId="0" borderId="51" xfId="0" applyFont="1" applyBorder="1"/>
    <xf numFmtId="0" fontId="22" fillId="0" borderId="0" xfId="0" applyFont="1"/>
    <xf numFmtId="0" fontId="22" fillId="0" borderId="52" xfId="0" applyFont="1" applyBorder="1"/>
    <xf numFmtId="0" fontId="22" fillId="0" borderId="53" xfId="0" applyFont="1" applyBorder="1"/>
    <xf numFmtId="0" fontId="22" fillId="0" borderId="54" xfId="0" applyFont="1" applyBorder="1"/>
    <xf numFmtId="168" fontId="22" fillId="6" borderId="0" xfId="0" applyNumberFormat="1" applyFont="1" applyFill="1"/>
    <xf numFmtId="1" fontId="22" fillId="0" borderId="0" xfId="0" applyNumberFormat="1" applyFont="1"/>
    <xf numFmtId="4" fontId="22" fillId="0" borderId="0" xfId="0" applyNumberFormat="1" applyFont="1"/>
    <xf numFmtId="0" fontId="0" fillId="0" borderId="7" xfId="0" applyBorder="1"/>
    <xf numFmtId="0" fontId="22" fillId="0" borderId="58" xfId="0" applyFont="1" applyBorder="1"/>
    <xf numFmtId="0" fontId="22" fillId="0" borderId="59" xfId="0" applyFont="1" applyBorder="1"/>
    <xf numFmtId="0" fontId="22" fillId="0" borderId="60" xfId="0" applyFont="1" applyBorder="1"/>
    <xf numFmtId="0" fontId="22" fillId="0" borderId="62" xfId="0" applyFont="1" applyBorder="1"/>
    <xf numFmtId="4" fontId="11" fillId="6" borderId="1" xfId="0" applyNumberFormat="1" applyFont="1" applyFill="1" applyBorder="1" applyAlignment="1">
      <alignment horizontal="right"/>
    </xf>
    <xf numFmtId="0" fontId="1" fillId="5" borderId="0" xfId="0" applyFont="1" applyFill="1" applyAlignment="1">
      <alignment horizontal="left"/>
    </xf>
    <xf numFmtId="0" fontId="22" fillId="0" borderId="60" xfId="0" applyFont="1" applyBorder="1"/>
    <xf numFmtId="0" fontId="21" fillId="0" borderId="61" xfId="0" applyFont="1" applyBorder="1"/>
    <xf numFmtId="169" fontId="22" fillId="11" borderId="44" xfId="0" applyNumberFormat="1" applyFont="1" applyFill="1" applyBorder="1" applyAlignment="1">
      <alignment horizontal="center"/>
    </xf>
    <xf numFmtId="0" fontId="21" fillId="0" borderId="46" xfId="0" applyFont="1" applyBorder="1"/>
    <xf numFmtId="0" fontId="20" fillId="10" borderId="44" xfId="0" applyFont="1" applyFill="1" applyBorder="1" applyAlignment="1">
      <alignment horizontal="center"/>
    </xf>
    <xf numFmtId="0" fontId="21" fillId="0" borderId="45" xfId="0" applyFont="1" applyBorder="1"/>
    <xf numFmtId="0" fontId="23" fillId="0" borderId="44" xfId="0" applyFont="1" applyBorder="1" applyAlignment="1">
      <alignment horizontal="center"/>
    </xf>
    <xf numFmtId="0" fontId="22" fillId="11" borderId="55" xfId="0" applyFont="1" applyFill="1" applyBorder="1" applyAlignment="1">
      <alignment horizontal="center"/>
    </xf>
    <xf numFmtId="0" fontId="21" fillId="0" borderId="56" xfId="0" applyFont="1" applyBorder="1"/>
    <xf numFmtId="0" fontId="21" fillId="0" borderId="57" xfId="0" applyFont="1" applyBorder="1"/>
    <xf numFmtId="0" fontId="22" fillId="0" borderId="49" xfId="0" applyFont="1" applyBorder="1" applyAlignment="1">
      <alignment horizontal="center"/>
    </xf>
    <xf numFmtId="0" fontId="21" fillId="0" borderId="50" xfId="0" applyFont="1" applyBorder="1"/>
    <xf numFmtId="0" fontId="22" fillId="0" borderId="49" xfId="0" applyFont="1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3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9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165" fontId="11" fillId="0" borderId="0" xfId="2" applyFont="1" applyAlignment="1">
      <alignment horizontal="center"/>
    </xf>
  </cellXfs>
  <cellStyles count="5">
    <cellStyle name="Hipervínculo" xfId="1" builtinId="8"/>
    <cellStyle name="Moneda" xfId="2" builtinId="4"/>
    <cellStyle name="Moneda 2" xfId="3" xr:uid="{00000000-0005-0000-0000-000002000000}"/>
    <cellStyle name="Normal" xfId="0" builtinId="0"/>
    <cellStyle name="Normal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F56"/>
  <sheetViews>
    <sheetView topLeftCell="A25" workbookViewId="0">
      <selection activeCell="C28" sqref="C28"/>
    </sheetView>
  </sheetViews>
  <sheetFormatPr baseColWidth="10" defaultRowHeight="15" x14ac:dyDescent="0.25"/>
  <cols>
    <col min="1" max="1" width="38" customWidth="1"/>
    <col min="2" max="2" width="40.28515625" customWidth="1"/>
    <col min="3" max="3" width="16.42578125" customWidth="1"/>
    <col min="4" max="4" width="12.140625" bestFit="1" customWidth="1"/>
    <col min="6" max="6" width="13" bestFit="1" customWidth="1"/>
  </cols>
  <sheetData>
    <row r="2" spans="1:3" x14ac:dyDescent="0.25">
      <c r="B2" t="s">
        <v>21</v>
      </c>
      <c r="C2" t="s">
        <v>59</v>
      </c>
    </row>
    <row r="3" spans="1:3" x14ac:dyDescent="0.25">
      <c r="B3" t="s">
        <v>12</v>
      </c>
    </row>
    <row r="4" spans="1:3" x14ac:dyDescent="0.25">
      <c r="B4" s="4" t="s">
        <v>8</v>
      </c>
    </row>
    <row r="5" spans="1:3" ht="8.25" customHeight="1" x14ac:dyDescent="0.25">
      <c r="A5" s="3"/>
      <c r="B5" s="25"/>
      <c r="C5" s="3"/>
    </row>
    <row r="7" spans="1:3" x14ac:dyDescent="0.25">
      <c r="A7" s="171" t="s">
        <v>127</v>
      </c>
      <c r="B7" s="26"/>
      <c r="C7" s="26"/>
    </row>
    <row r="8" spans="1:3" x14ac:dyDescent="0.25">
      <c r="A8" s="3"/>
      <c r="B8" s="3"/>
      <c r="C8" s="3"/>
    </row>
    <row r="10" spans="1:3" x14ac:dyDescent="0.25">
      <c r="A10" s="16" t="s">
        <v>48</v>
      </c>
    </row>
    <row r="11" spans="1:3" x14ac:dyDescent="0.25">
      <c r="A11" t="s">
        <v>39</v>
      </c>
    </row>
    <row r="12" spans="1:3" x14ac:dyDescent="0.25">
      <c r="A12" t="s">
        <v>40</v>
      </c>
    </row>
    <row r="13" spans="1:3" x14ac:dyDescent="0.25">
      <c r="A13" t="s">
        <v>42</v>
      </c>
    </row>
    <row r="15" spans="1:3" x14ac:dyDescent="0.25">
      <c r="A15" s="23" t="s">
        <v>14</v>
      </c>
    </row>
    <row r="16" spans="1:3" x14ac:dyDescent="0.25">
      <c r="A16" s="87" t="s">
        <v>13</v>
      </c>
      <c r="B16" s="76"/>
      <c r="C16" s="11"/>
    </row>
    <row r="17" spans="1:6" x14ac:dyDescent="0.25">
      <c r="A17" s="76" t="s">
        <v>35</v>
      </c>
      <c r="B17" s="88" t="s">
        <v>63</v>
      </c>
      <c r="C17" s="170">
        <v>74825.289999999994</v>
      </c>
      <c r="D17" s="48"/>
      <c r="F17" s="14"/>
    </row>
    <row r="18" spans="1:6" x14ac:dyDescent="0.25">
      <c r="A18" s="76"/>
      <c r="B18" s="88"/>
      <c r="C18" s="85"/>
      <c r="D18" s="48"/>
      <c r="F18" s="14"/>
    </row>
    <row r="19" spans="1:6" x14ac:dyDescent="0.25">
      <c r="A19" s="76"/>
      <c r="B19" s="88"/>
      <c r="C19" s="85"/>
      <c r="D19" s="5"/>
      <c r="E19" s="14"/>
    </row>
    <row r="20" spans="1:6" x14ac:dyDescent="0.25">
      <c r="A20" s="89"/>
      <c r="B20" s="90"/>
      <c r="C20" s="61">
        <f>SUM(C17:C19)</f>
        <v>74825.289999999994</v>
      </c>
    </row>
    <row r="21" spans="1:6" x14ac:dyDescent="0.25">
      <c r="A21" s="87" t="s">
        <v>36</v>
      </c>
      <c r="B21" s="88"/>
      <c r="C21" s="91"/>
    </row>
    <row r="22" spans="1:6" ht="15.75" x14ac:dyDescent="0.25">
      <c r="A22" s="76" t="s">
        <v>128</v>
      </c>
      <c r="B22" s="92"/>
      <c r="C22" s="85">
        <v>30000</v>
      </c>
      <c r="F22" s="22"/>
    </row>
    <row r="23" spans="1:6" ht="15.75" x14ac:dyDescent="0.25">
      <c r="A23" s="76" t="s">
        <v>126</v>
      </c>
      <c r="B23" s="92"/>
      <c r="C23" s="85">
        <v>36534.6</v>
      </c>
      <c r="F23" s="22"/>
    </row>
    <row r="24" spans="1:6" ht="15.75" x14ac:dyDescent="0.25">
      <c r="A24" s="76"/>
      <c r="B24" s="92"/>
      <c r="C24" s="85"/>
      <c r="F24" s="22"/>
    </row>
    <row r="25" spans="1:6" ht="15.75" x14ac:dyDescent="0.25">
      <c r="A25" s="76"/>
      <c r="B25" s="92"/>
      <c r="C25" s="85"/>
      <c r="F25" s="22"/>
    </row>
    <row r="26" spans="1:6" ht="15.75" x14ac:dyDescent="0.25">
      <c r="A26" s="76" t="s">
        <v>129</v>
      </c>
      <c r="B26" s="88"/>
      <c r="C26" s="86">
        <v>150000</v>
      </c>
      <c r="D26" s="5"/>
      <c r="E26" s="14"/>
      <c r="F26" s="22"/>
    </row>
    <row r="27" spans="1:6" ht="15.75" x14ac:dyDescent="0.25">
      <c r="A27" s="89"/>
      <c r="B27" s="90"/>
      <c r="C27" s="61">
        <f>SUM(C21:C26)</f>
        <v>216534.6</v>
      </c>
      <c r="F27" s="22"/>
    </row>
    <row r="28" spans="1:6" ht="15.75" x14ac:dyDescent="0.25">
      <c r="A28" s="80" t="s">
        <v>79</v>
      </c>
      <c r="B28" s="80"/>
      <c r="C28" s="93">
        <f>+C27+C20</f>
        <v>291359.89</v>
      </c>
      <c r="F28" s="22"/>
    </row>
    <row r="29" spans="1:6" ht="15.75" x14ac:dyDescent="0.25">
      <c r="C29" s="62"/>
      <c r="F29" s="22"/>
    </row>
    <row r="30" spans="1:6" ht="15.75" x14ac:dyDescent="0.25">
      <c r="A30" s="23" t="s">
        <v>44</v>
      </c>
      <c r="C30" s="62"/>
      <c r="F30" s="22"/>
    </row>
    <row r="31" spans="1:6" ht="15.75" x14ac:dyDescent="0.25">
      <c r="A31" s="76"/>
      <c r="B31" s="76"/>
      <c r="C31" s="85"/>
      <c r="F31" s="22"/>
    </row>
    <row r="32" spans="1:6" ht="15.75" x14ac:dyDescent="0.25">
      <c r="A32" s="76"/>
      <c r="B32" s="76"/>
      <c r="C32" s="86"/>
      <c r="F32" s="22"/>
    </row>
    <row r="33" spans="1:6" ht="15.75" x14ac:dyDescent="0.25">
      <c r="A33" s="76"/>
      <c r="B33" s="76"/>
      <c r="C33" s="86"/>
      <c r="F33" s="22"/>
    </row>
    <row r="34" spans="1:6" ht="15.75" x14ac:dyDescent="0.25">
      <c r="C34" s="64"/>
      <c r="F34" s="22"/>
    </row>
    <row r="35" spans="1:6" x14ac:dyDescent="0.25">
      <c r="A35" s="23" t="s">
        <v>41</v>
      </c>
      <c r="B35" s="23"/>
      <c r="C35" s="24">
        <f>+C31+C32+C33+C34</f>
        <v>0</v>
      </c>
      <c r="E35" s="14"/>
    </row>
    <row r="37" spans="1:6" x14ac:dyDescent="0.25">
      <c r="A37" s="34" t="s">
        <v>15</v>
      </c>
      <c r="B37" s="34"/>
      <c r="C37" s="35">
        <f>+C35+C28</f>
        <v>291359.89</v>
      </c>
    </row>
    <row r="38" spans="1:6" ht="15.75" thickBot="1" x14ac:dyDescent="0.3"/>
    <row r="39" spans="1:6" ht="15.75" thickBot="1" x14ac:dyDescent="0.3">
      <c r="A39" s="147" t="s">
        <v>37</v>
      </c>
      <c r="B39" s="148"/>
      <c r="C39" s="149"/>
    </row>
    <row r="40" spans="1:6" x14ac:dyDescent="0.25">
      <c r="A40" s="145" t="s">
        <v>10</v>
      </c>
      <c r="B40" s="3"/>
      <c r="C40" s="146">
        <v>-225247.17452636751</v>
      </c>
      <c r="D40" s="6"/>
      <c r="E40" s="6"/>
    </row>
    <row r="41" spans="1:6" x14ac:dyDescent="0.25">
      <c r="A41" t="s">
        <v>9</v>
      </c>
      <c r="C41" s="32">
        <f>'prorrateo '!F15</f>
        <v>234321.66826670722</v>
      </c>
      <c r="D41" s="14"/>
      <c r="E41" s="14"/>
    </row>
    <row r="42" spans="1:6" x14ac:dyDescent="0.25">
      <c r="A42" t="s">
        <v>80</v>
      </c>
      <c r="C42" s="94">
        <f>-edesur!H1</f>
        <v>0</v>
      </c>
      <c r="D42" s="14"/>
      <c r="E42" s="14"/>
    </row>
    <row r="43" spans="1:6" x14ac:dyDescent="0.25">
      <c r="A43" t="s">
        <v>65</v>
      </c>
      <c r="C43" s="94">
        <f>-(C28-C26)</f>
        <v>-141359.89000000001</v>
      </c>
    </row>
    <row r="44" spans="1:6" x14ac:dyDescent="0.25">
      <c r="A44" s="36" t="s">
        <v>16</v>
      </c>
      <c r="B44" s="33"/>
      <c r="C44" s="40">
        <f>SUM(C40:C43)</f>
        <v>-132285.39625966031</v>
      </c>
      <c r="D44" s="6"/>
    </row>
    <row r="45" spans="1:6" x14ac:dyDescent="0.25">
      <c r="A45" s="19"/>
      <c r="B45" s="18"/>
      <c r="C45" s="20"/>
    </row>
    <row r="46" spans="1:6" x14ac:dyDescent="0.25">
      <c r="A46" s="19"/>
      <c r="B46" s="18"/>
      <c r="C46" s="20"/>
      <c r="F46" s="95"/>
    </row>
    <row r="47" spans="1:6" x14ac:dyDescent="0.25">
      <c r="A47" s="19"/>
      <c r="B47" s="18"/>
      <c r="C47" s="20"/>
    </row>
    <row r="48" spans="1:6" ht="15.75" x14ac:dyDescent="0.25">
      <c r="A48" s="74" t="s">
        <v>58</v>
      </c>
      <c r="B48" s="75"/>
      <c r="C48" s="78">
        <v>0</v>
      </c>
    </row>
    <row r="49" spans="1:3" x14ac:dyDescent="0.25">
      <c r="A49" s="76" t="s">
        <v>64</v>
      </c>
      <c r="B49" s="76"/>
      <c r="C49" s="83">
        <f>-C35</f>
        <v>0</v>
      </c>
    </row>
    <row r="50" spans="1:3" x14ac:dyDescent="0.25">
      <c r="A50" s="76"/>
      <c r="B50" s="76"/>
      <c r="C50" s="83"/>
    </row>
    <row r="51" spans="1:3" x14ac:dyDescent="0.25">
      <c r="A51" s="76"/>
      <c r="B51" s="76"/>
      <c r="C51" s="84"/>
    </row>
    <row r="52" spans="1:3" x14ac:dyDescent="0.25">
      <c r="A52" s="80" t="s">
        <v>4</v>
      </c>
      <c r="B52" s="77"/>
      <c r="C52" s="79">
        <f>SUM(C48:C51)</f>
        <v>0</v>
      </c>
    </row>
    <row r="53" spans="1:3" x14ac:dyDescent="0.25">
      <c r="A53" s="18"/>
      <c r="B53" s="18"/>
      <c r="C53" s="18"/>
    </row>
    <row r="54" spans="1:3" x14ac:dyDescent="0.25">
      <c r="A54" s="18"/>
      <c r="B54" s="18"/>
      <c r="C54" s="18"/>
    </row>
    <row r="55" spans="1:3" x14ac:dyDescent="0.25">
      <c r="A55" s="18"/>
      <c r="B55" s="18"/>
      <c r="C55" s="18"/>
    </row>
    <row r="56" spans="1:3" x14ac:dyDescent="0.25">
      <c r="A56" s="18"/>
      <c r="B56" s="18"/>
      <c r="C56" s="18"/>
    </row>
  </sheetData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28"/>
  <sheetViews>
    <sheetView tabSelected="1" workbookViewId="0">
      <selection activeCell="E1" sqref="E1"/>
    </sheetView>
  </sheetViews>
  <sheetFormatPr baseColWidth="10" defaultRowHeight="15" x14ac:dyDescent="0.25"/>
  <cols>
    <col min="1" max="1" width="5.28515625" style="1" customWidth="1"/>
    <col min="2" max="2" width="4" style="1" customWidth="1"/>
    <col min="3" max="3" width="23.42578125" bestFit="1" customWidth="1"/>
    <col min="4" max="4" width="9.85546875" bestFit="1" customWidth="1"/>
    <col min="5" max="5" width="11.7109375" customWidth="1"/>
    <col min="6" max="6" width="10.7109375" customWidth="1"/>
    <col min="7" max="7" width="9.5703125" customWidth="1"/>
    <col min="8" max="8" width="10.28515625" customWidth="1"/>
    <col min="9" max="9" width="8.28515625" customWidth="1"/>
    <col min="10" max="10" width="11.42578125" bestFit="1" customWidth="1"/>
    <col min="11" max="11" width="11.42578125" customWidth="1"/>
    <col min="12" max="12" width="12.42578125" bestFit="1" customWidth="1"/>
    <col min="14" max="14" width="11.42578125" style="21"/>
  </cols>
  <sheetData>
    <row r="1" spans="1:12" ht="15.75" thickBot="1" x14ac:dyDescent="0.3">
      <c r="A1" s="53" t="s">
        <v>49</v>
      </c>
      <c r="E1" s="50">
        <v>291359.89</v>
      </c>
    </row>
    <row r="2" spans="1:12" x14ac:dyDescent="0.25">
      <c r="A2" s="98">
        <f>'detalle y gastos'!B7</f>
        <v>0</v>
      </c>
      <c r="B2" s="99"/>
      <c r="C2" s="100"/>
      <c r="D2" s="100"/>
      <c r="E2" s="101"/>
      <c r="F2" s="99"/>
      <c r="G2" s="99"/>
      <c r="H2" s="99"/>
      <c r="I2" s="99"/>
      <c r="J2" s="102"/>
      <c r="K2" s="102"/>
      <c r="L2" s="103"/>
    </row>
    <row r="3" spans="1:12" x14ac:dyDescent="0.25">
      <c r="A3" s="195" t="s">
        <v>1</v>
      </c>
      <c r="B3" s="196"/>
      <c r="C3" s="185" t="s">
        <v>2</v>
      </c>
      <c r="D3" s="193" t="s">
        <v>56</v>
      </c>
      <c r="E3" s="7" t="s">
        <v>19</v>
      </c>
      <c r="F3" s="7" t="s">
        <v>3</v>
      </c>
      <c r="G3" s="185" t="s">
        <v>54</v>
      </c>
      <c r="H3" s="2" t="s">
        <v>45</v>
      </c>
      <c r="I3" s="191" t="s">
        <v>7</v>
      </c>
      <c r="J3" s="187" t="s">
        <v>112</v>
      </c>
      <c r="K3" s="185" t="s">
        <v>43</v>
      </c>
      <c r="L3" s="45" t="s">
        <v>4</v>
      </c>
    </row>
    <row r="4" spans="1:12" x14ac:dyDescent="0.25">
      <c r="A4" s="197"/>
      <c r="B4" s="198"/>
      <c r="C4" s="186"/>
      <c r="D4" s="194"/>
      <c r="E4" s="58" t="s">
        <v>20</v>
      </c>
      <c r="F4" s="7" t="s">
        <v>46</v>
      </c>
      <c r="G4" s="186"/>
      <c r="H4" s="37">
        <v>0.04</v>
      </c>
      <c r="I4" s="192"/>
      <c r="J4" s="188"/>
      <c r="K4" s="186"/>
      <c r="L4" s="38" t="s">
        <v>5</v>
      </c>
    </row>
    <row r="5" spans="1:12" ht="19.5" customHeight="1" x14ac:dyDescent="0.25">
      <c r="A5" s="189">
        <v>1</v>
      </c>
      <c r="B5" s="190"/>
      <c r="C5" s="111" t="s">
        <v>66</v>
      </c>
      <c r="D5" s="59"/>
      <c r="E5" s="150">
        <v>31310.712786555188</v>
      </c>
      <c r="F5" s="151">
        <f t="shared" ref="F5:F9" si="0">E5</f>
        <v>31310.712786555188</v>
      </c>
      <c r="G5" s="152">
        <f>E5-F5</f>
        <v>0</v>
      </c>
      <c r="H5" s="152">
        <f>IF(G5&gt;0,G5*4%,0)</f>
        <v>0</v>
      </c>
      <c r="I5" s="96">
        <v>13.8</v>
      </c>
      <c r="J5" s="97">
        <f>E$1*I5/100</f>
        <v>40207.664820000005</v>
      </c>
      <c r="K5" s="143">
        <f>edesur!H5</f>
        <v>0</v>
      </c>
      <c r="L5" s="104">
        <f>G5+H5+J5+K5</f>
        <v>40207.664820000005</v>
      </c>
    </row>
    <row r="6" spans="1:12" ht="26.25" x14ac:dyDescent="0.25">
      <c r="A6" s="189">
        <v>2</v>
      </c>
      <c r="B6" s="190"/>
      <c r="C6" s="111" t="s">
        <v>67</v>
      </c>
      <c r="D6" s="73" t="s">
        <v>72</v>
      </c>
      <c r="E6" s="150">
        <v>30871.318343297658</v>
      </c>
      <c r="F6" s="151">
        <f t="shared" si="0"/>
        <v>30871.318343297658</v>
      </c>
      <c r="G6" s="152">
        <f t="shared" ref="G6:G14" si="1">E6-F6</f>
        <v>0</v>
      </c>
      <c r="H6" s="152">
        <f t="shared" ref="H6:H14" si="2">IF(G6&gt;0,G6*4%,0)</f>
        <v>0</v>
      </c>
      <c r="I6" s="96">
        <v>11.86</v>
      </c>
      <c r="J6" s="97">
        <f t="shared" ref="J6:J14" si="3">E$1*I6/100</f>
        <v>34555.282954000002</v>
      </c>
      <c r="K6" s="143">
        <f>edesur!H6</f>
        <v>0</v>
      </c>
      <c r="L6" s="104">
        <f t="shared" ref="L6:L14" si="4">G6+H6+J6+K6</f>
        <v>34555.282954000002</v>
      </c>
    </row>
    <row r="7" spans="1:12" ht="26.25" x14ac:dyDescent="0.25">
      <c r="A7" s="189">
        <v>3</v>
      </c>
      <c r="B7" s="190"/>
      <c r="C7" s="111" t="s">
        <v>67</v>
      </c>
      <c r="D7" s="73" t="s">
        <v>73</v>
      </c>
      <c r="E7" s="150">
        <v>31575.545756876258</v>
      </c>
      <c r="F7" s="151">
        <f t="shared" si="0"/>
        <v>31575.545756876258</v>
      </c>
      <c r="G7" s="152">
        <f t="shared" si="1"/>
        <v>0</v>
      </c>
      <c r="H7" s="152">
        <f t="shared" si="2"/>
        <v>0</v>
      </c>
      <c r="I7" s="96">
        <v>12.46</v>
      </c>
      <c r="J7" s="97">
        <f t="shared" si="3"/>
        <v>36303.442294000008</v>
      </c>
      <c r="K7" s="143">
        <f>edesur!H7</f>
        <v>0</v>
      </c>
      <c r="L7" s="104">
        <f t="shared" si="4"/>
        <v>36303.442294000008</v>
      </c>
    </row>
    <row r="8" spans="1:12" ht="26.25" x14ac:dyDescent="0.25">
      <c r="A8" s="189">
        <v>4</v>
      </c>
      <c r="B8" s="190"/>
      <c r="C8" s="111" t="s">
        <v>68</v>
      </c>
      <c r="D8" s="73" t="s">
        <v>74</v>
      </c>
      <c r="E8" s="150">
        <v>36252.089402090307</v>
      </c>
      <c r="F8" s="151">
        <f t="shared" si="0"/>
        <v>36252.089402090307</v>
      </c>
      <c r="G8" s="152">
        <f t="shared" si="1"/>
        <v>0</v>
      </c>
      <c r="H8" s="152">
        <f t="shared" si="2"/>
        <v>0</v>
      </c>
      <c r="I8" s="96">
        <v>14.75</v>
      </c>
      <c r="J8" s="97">
        <f t="shared" si="3"/>
        <v>42975.583775000006</v>
      </c>
      <c r="K8" s="143">
        <f>edesur!H8</f>
        <v>0</v>
      </c>
      <c r="L8" s="104">
        <f t="shared" si="4"/>
        <v>42975.583775000006</v>
      </c>
    </row>
    <row r="9" spans="1:12" ht="33" customHeight="1" x14ac:dyDescent="0.25">
      <c r="A9" s="189">
        <v>5</v>
      </c>
      <c r="B9" s="190"/>
      <c r="C9" s="111" t="s">
        <v>69</v>
      </c>
      <c r="D9" s="73" t="s">
        <v>75</v>
      </c>
      <c r="E9" s="150">
        <v>26179.162034284283</v>
      </c>
      <c r="F9" s="151">
        <f t="shared" si="0"/>
        <v>26179.162034284283</v>
      </c>
      <c r="G9" s="152">
        <f t="shared" si="1"/>
        <v>0</v>
      </c>
      <c r="H9" s="152">
        <f t="shared" si="2"/>
        <v>0</v>
      </c>
      <c r="I9" s="96">
        <v>12.41</v>
      </c>
      <c r="J9" s="97">
        <f t="shared" si="3"/>
        <v>36157.762348999997</v>
      </c>
      <c r="K9" s="143">
        <f>edesur!H9</f>
        <v>0</v>
      </c>
      <c r="L9" s="104">
        <f>G9+H9+J9+K9</f>
        <v>36157.762348999997</v>
      </c>
    </row>
    <row r="10" spans="1:12" ht="18" customHeight="1" x14ac:dyDescent="0.25">
      <c r="A10" s="189">
        <v>6</v>
      </c>
      <c r="B10" s="190"/>
      <c r="C10" s="111" t="s">
        <v>70</v>
      </c>
      <c r="D10" s="73"/>
      <c r="E10" s="150">
        <v>26422.052583705688</v>
      </c>
      <c r="F10" s="151">
        <f>E10</f>
        <v>26422.052583705688</v>
      </c>
      <c r="G10" s="152">
        <f t="shared" si="1"/>
        <v>0</v>
      </c>
      <c r="H10" s="152">
        <f t="shared" si="2"/>
        <v>0</v>
      </c>
      <c r="I10" s="96">
        <v>12.48</v>
      </c>
      <c r="J10" s="97">
        <f t="shared" si="3"/>
        <v>36361.714272000005</v>
      </c>
      <c r="K10" s="143">
        <f>edesur!H10</f>
        <v>0</v>
      </c>
      <c r="L10" s="104">
        <f t="shared" si="4"/>
        <v>36361.714272000005</v>
      </c>
    </row>
    <row r="11" spans="1:12" ht="17.25" customHeight="1" x14ac:dyDescent="0.25">
      <c r="A11" s="189">
        <v>7</v>
      </c>
      <c r="B11" s="190"/>
      <c r="C11" s="111" t="s">
        <v>71</v>
      </c>
      <c r="D11" s="73"/>
      <c r="E11" s="150">
        <v>39198.725671190645</v>
      </c>
      <c r="F11" s="151">
        <f>E11</f>
        <v>39198.725671190645</v>
      </c>
      <c r="G11" s="152">
        <f t="shared" si="1"/>
        <v>0</v>
      </c>
      <c r="H11" s="152">
        <f t="shared" si="2"/>
        <v>0</v>
      </c>
      <c r="I11" s="96">
        <v>18.260000000000002</v>
      </c>
      <c r="J11" s="97">
        <f t="shared" si="3"/>
        <v>53202.315914000006</v>
      </c>
      <c r="K11" s="143">
        <f>edesur!H11</f>
        <v>0</v>
      </c>
      <c r="L11" s="104">
        <f t="shared" si="4"/>
        <v>53202.315914000006</v>
      </c>
    </row>
    <row r="12" spans="1:12" ht="16.5" customHeight="1" x14ac:dyDescent="0.25">
      <c r="A12" s="189" t="s">
        <v>76</v>
      </c>
      <c r="B12" s="190"/>
      <c r="C12" s="111" t="str">
        <f>C9</f>
        <v>Grand Jorge</v>
      </c>
      <c r="D12" s="73"/>
      <c r="E12" s="150">
        <v>4212.6036841376008</v>
      </c>
      <c r="F12" s="151">
        <f t="shared" ref="F12:F14" si="5">E12</f>
        <v>4212.6036841376008</v>
      </c>
      <c r="G12" s="152">
        <f t="shared" si="1"/>
        <v>0</v>
      </c>
      <c r="H12" s="152">
        <f t="shared" si="2"/>
        <v>0</v>
      </c>
      <c r="I12" s="96">
        <v>1.34</v>
      </c>
      <c r="J12" s="97">
        <f t="shared" si="3"/>
        <v>3904.2225260000005</v>
      </c>
      <c r="K12" s="143">
        <v>0</v>
      </c>
      <c r="L12" s="104">
        <f t="shared" si="4"/>
        <v>3904.2225260000005</v>
      </c>
    </row>
    <row r="13" spans="1:12" ht="17.25" customHeight="1" x14ac:dyDescent="0.25">
      <c r="A13" s="189" t="s">
        <v>77</v>
      </c>
      <c r="B13" s="190"/>
      <c r="C13" s="111" t="str">
        <f>C6</f>
        <v>Maceyle Gabriela</v>
      </c>
      <c r="D13" s="73"/>
      <c r="E13" s="150">
        <v>4149.7290022848001</v>
      </c>
      <c r="F13" s="151">
        <f t="shared" si="5"/>
        <v>4149.7290022848001</v>
      </c>
      <c r="G13" s="152">
        <f t="shared" si="1"/>
        <v>0</v>
      </c>
      <c r="H13" s="152">
        <f t="shared" si="2"/>
        <v>0</v>
      </c>
      <c r="I13" s="96">
        <v>1.32</v>
      </c>
      <c r="J13" s="97">
        <f t="shared" si="3"/>
        <v>3845.9505480000003</v>
      </c>
      <c r="K13" s="143">
        <v>0</v>
      </c>
      <c r="L13" s="104">
        <f t="shared" si="4"/>
        <v>3845.9505480000003</v>
      </c>
    </row>
    <row r="14" spans="1:12" ht="19.5" customHeight="1" x14ac:dyDescent="0.25">
      <c r="A14" s="189" t="s">
        <v>78</v>
      </c>
      <c r="B14" s="190"/>
      <c r="C14" s="59" t="str">
        <f>C6</f>
        <v>Maceyle Gabriela</v>
      </c>
      <c r="D14" s="73"/>
      <c r="E14" s="150">
        <v>4149.7290022848001</v>
      </c>
      <c r="F14" s="151">
        <f t="shared" si="5"/>
        <v>4149.7290022848001</v>
      </c>
      <c r="G14" s="152">
        <f t="shared" si="1"/>
        <v>0</v>
      </c>
      <c r="H14" s="152">
        <f t="shared" si="2"/>
        <v>0</v>
      </c>
      <c r="I14" s="96">
        <v>1.32</v>
      </c>
      <c r="J14" s="97">
        <f t="shared" si="3"/>
        <v>3845.9505480000003</v>
      </c>
      <c r="K14" s="143">
        <v>0</v>
      </c>
      <c r="L14" s="104">
        <f t="shared" si="4"/>
        <v>3845.9505480000003</v>
      </c>
    </row>
    <row r="15" spans="1:12" ht="15.75" thickBot="1" x14ac:dyDescent="0.3">
      <c r="A15" s="105" t="s">
        <v>11</v>
      </c>
      <c r="B15" s="106"/>
      <c r="C15" s="107"/>
      <c r="D15" s="107"/>
      <c r="E15" s="42">
        <f>SUM(E5:E14)</f>
        <v>234321.66826670722</v>
      </c>
      <c r="F15" s="108">
        <f>SUM(F5:F14)</f>
        <v>234321.66826670722</v>
      </c>
      <c r="G15" s="108"/>
      <c r="H15" s="109">
        <f>SUM(H5:H14)</f>
        <v>0</v>
      </c>
      <c r="I15" s="110">
        <f t="shared" ref="I15" si="6">SUM(I5:I14)</f>
        <v>100</v>
      </c>
      <c r="J15" s="39">
        <f>SUM(J5:J14)</f>
        <v>291359.89</v>
      </c>
      <c r="K15" s="42">
        <f>SUM(K5:K11)</f>
        <v>0</v>
      </c>
      <c r="L15" s="42">
        <f>SUM(L5:L14)</f>
        <v>291359.89</v>
      </c>
    </row>
    <row r="18" spans="1:14" hidden="1" x14ac:dyDescent="0.25">
      <c r="A18" s="53" t="s">
        <v>50</v>
      </c>
      <c r="E18">
        <v>7454</v>
      </c>
    </row>
    <row r="19" spans="1:14" hidden="1" x14ac:dyDescent="0.25">
      <c r="A19" s="27" t="s">
        <v>52</v>
      </c>
      <c r="B19" s="28"/>
      <c r="C19" s="29"/>
      <c r="D19" s="71"/>
      <c r="E19">
        <v>14805</v>
      </c>
      <c r="F19" s="28"/>
      <c r="G19" s="28"/>
      <c r="H19" s="28"/>
      <c r="I19" s="28"/>
      <c r="J19" s="54"/>
      <c r="K19" s="54"/>
      <c r="L19" s="31"/>
    </row>
    <row r="20" spans="1:14" hidden="1" x14ac:dyDescent="0.25">
      <c r="A20" s="2" t="s">
        <v>0</v>
      </c>
      <c r="B20" s="7" t="s">
        <v>1</v>
      </c>
      <c r="C20" s="7" t="s">
        <v>2</v>
      </c>
      <c r="D20" s="1"/>
      <c r="E20">
        <v>3297</v>
      </c>
      <c r="F20" s="7" t="s">
        <v>3</v>
      </c>
      <c r="G20" s="2"/>
      <c r="H20" s="2" t="s">
        <v>45</v>
      </c>
      <c r="I20" s="2" t="s">
        <v>6</v>
      </c>
      <c r="J20" s="55" t="s">
        <v>17</v>
      </c>
      <c r="K20" s="45"/>
      <c r="L20" s="45" t="s">
        <v>4</v>
      </c>
    </row>
    <row r="21" spans="1:14" hidden="1" x14ac:dyDescent="0.25">
      <c r="A21" s="2"/>
      <c r="B21" s="7"/>
      <c r="C21" s="7"/>
      <c r="D21" s="1"/>
      <c r="E21">
        <v>3177</v>
      </c>
      <c r="F21" s="7" t="s">
        <v>47</v>
      </c>
      <c r="G21" s="2"/>
      <c r="H21" s="37">
        <v>0.02</v>
      </c>
      <c r="I21" s="2" t="s">
        <v>7</v>
      </c>
      <c r="J21" s="43" t="s">
        <v>18</v>
      </c>
      <c r="K21" s="38"/>
      <c r="L21" s="38" t="s">
        <v>5</v>
      </c>
    </row>
    <row r="22" spans="1:14" ht="39" hidden="1" x14ac:dyDescent="0.25">
      <c r="A22" s="11">
        <v>1</v>
      </c>
      <c r="B22" s="12" t="s">
        <v>22</v>
      </c>
      <c r="C22" s="13" t="s">
        <v>30</v>
      </c>
      <c r="D22" s="72"/>
      <c r="E22">
        <v>3056</v>
      </c>
      <c r="F22" s="46">
        <v>37971</v>
      </c>
      <c r="G22" s="51"/>
      <c r="H22" s="51">
        <v>0</v>
      </c>
      <c r="I22" s="17">
        <v>0.121</v>
      </c>
      <c r="J22" s="44">
        <f>0*I22</f>
        <v>0</v>
      </c>
      <c r="K22" s="41"/>
      <c r="L22" s="41" t="e">
        <f>+#REF!+H22+J22</f>
        <v>#REF!</v>
      </c>
    </row>
    <row r="23" spans="1:14" ht="39" hidden="1" x14ac:dyDescent="0.25">
      <c r="A23" s="11">
        <v>2</v>
      </c>
      <c r="B23" s="12" t="s">
        <v>23</v>
      </c>
      <c r="C23" s="13" t="s">
        <v>31</v>
      </c>
      <c r="D23" s="72"/>
      <c r="E23">
        <v>3056</v>
      </c>
      <c r="F23" s="46">
        <v>66612</v>
      </c>
      <c r="G23" s="51"/>
      <c r="H23" s="51">
        <v>0</v>
      </c>
      <c r="I23" s="17">
        <v>0.122</v>
      </c>
      <c r="J23" s="44">
        <f t="shared" ref="J23:J29" si="7">0*I23</f>
        <v>0</v>
      </c>
      <c r="K23" s="41"/>
      <c r="L23" s="41" t="e">
        <f>+#REF!+H23+J23</f>
        <v>#REF!</v>
      </c>
    </row>
    <row r="24" spans="1:14" ht="39" hidden="1" x14ac:dyDescent="0.25">
      <c r="A24" s="11">
        <v>3</v>
      </c>
      <c r="B24" s="12" t="s">
        <v>24</v>
      </c>
      <c r="C24" s="13" t="s">
        <v>32</v>
      </c>
      <c r="D24" s="72"/>
      <c r="E24">
        <f>SUM(E16:E23)</f>
        <v>34845</v>
      </c>
      <c r="F24" s="46">
        <v>0</v>
      </c>
      <c r="G24" s="51"/>
      <c r="H24" s="51">
        <v>0</v>
      </c>
      <c r="I24" s="17">
        <v>0.11700000000000001</v>
      </c>
      <c r="J24" s="44">
        <f t="shared" si="7"/>
        <v>0</v>
      </c>
      <c r="K24" s="41"/>
      <c r="L24" s="41" t="e">
        <f>+#REF!+H24+J24</f>
        <v>#REF!</v>
      </c>
    </row>
    <row r="25" spans="1:14" ht="39" hidden="1" x14ac:dyDescent="0.25">
      <c r="A25" s="11">
        <v>4</v>
      </c>
      <c r="B25" s="12" t="s">
        <v>25</v>
      </c>
      <c r="C25" s="13" t="s">
        <v>33</v>
      </c>
      <c r="D25" s="72"/>
      <c r="F25" s="46">
        <v>0</v>
      </c>
      <c r="G25" s="51"/>
      <c r="H25" s="51">
        <v>0</v>
      </c>
      <c r="I25" s="17">
        <v>0.11700000000000001</v>
      </c>
      <c r="J25" s="44">
        <f t="shared" si="7"/>
        <v>0</v>
      </c>
      <c r="K25" s="41"/>
      <c r="L25" s="41" t="e">
        <f>+#REF!+H25+J25</f>
        <v>#REF!</v>
      </c>
    </row>
    <row r="26" spans="1:14" ht="39" hidden="1" x14ac:dyDescent="0.25">
      <c r="A26" s="11">
        <v>5</v>
      </c>
      <c r="B26" s="12" t="s">
        <v>26</v>
      </c>
      <c r="C26" s="13" t="s">
        <v>30</v>
      </c>
      <c r="D26" s="72"/>
      <c r="F26" s="46">
        <v>80517</v>
      </c>
      <c r="G26" s="51"/>
      <c r="H26" s="51">
        <v>0</v>
      </c>
      <c r="I26" s="17">
        <v>0.13700000000000001</v>
      </c>
      <c r="J26" s="44">
        <f t="shared" si="7"/>
        <v>0</v>
      </c>
      <c r="K26" s="41"/>
      <c r="L26" s="41" t="e">
        <f>+#REF!+H26+J26</f>
        <v>#REF!</v>
      </c>
    </row>
    <row r="27" spans="1:14" ht="39" hidden="1" x14ac:dyDescent="0.25">
      <c r="A27" s="11">
        <v>6</v>
      </c>
      <c r="B27" s="12" t="s">
        <v>27</v>
      </c>
      <c r="C27" s="13" t="s">
        <v>30</v>
      </c>
      <c r="D27" s="72"/>
      <c r="F27" s="46">
        <v>0</v>
      </c>
      <c r="G27" s="51"/>
      <c r="H27" s="51">
        <v>0</v>
      </c>
      <c r="I27" s="17">
        <v>0.13200000000000001</v>
      </c>
      <c r="J27" s="44">
        <f t="shared" si="7"/>
        <v>0</v>
      </c>
      <c r="K27" s="41"/>
      <c r="L27" s="41" t="e">
        <f>+#REF!+H27+J27</f>
        <v>#REF!</v>
      </c>
    </row>
    <row r="28" spans="1:14" ht="39" hidden="1" x14ac:dyDescent="0.25">
      <c r="A28" s="11">
        <v>7</v>
      </c>
      <c r="B28" s="12" t="s">
        <v>28</v>
      </c>
      <c r="C28" s="13" t="s">
        <v>32</v>
      </c>
      <c r="D28" s="72"/>
      <c r="E28" t="s">
        <v>38</v>
      </c>
      <c r="F28" s="46">
        <v>18542</v>
      </c>
      <c r="G28" s="51"/>
      <c r="H28" s="51">
        <v>0</v>
      </c>
      <c r="I28" s="17">
        <v>0.127</v>
      </c>
      <c r="J28" s="44">
        <f t="shared" si="7"/>
        <v>0</v>
      </c>
      <c r="K28" s="41"/>
      <c r="L28" s="41" t="e">
        <f>+#REF!+H28+J28</f>
        <v>#REF!</v>
      </c>
    </row>
    <row r="29" spans="1:14" ht="39" hidden="1" x14ac:dyDescent="0.25">
      <c r="A29" s="11">
        <v>8</v>
      </c>
      <c r="B29" s="12" t="s">
        <v>29</v>
      </c>
      <c r="C29" s="13" t="s">
        <v>34</v>
      </c>
      <c r="D29" s="72"/>
      <c r="E29" t="s">
        <v>19</v>
      </c>
      <c r="F29" s="46">
        <v>0</v>
      </c>
      <c r="G29" s="51"/>
      <c r="H29" s="51">
        <v>0</v>
      </c>
      <c r="I29" s="17">
        <v>0.127</v>
      </c>
      <c r="J29" s="44">
        <f t="shared" si="7"/>
        <v>0</v>
      </c>
      <c r="K29" s="41"/>
      <c r="L29" s="41" t="e">
        <f>+#REF!+H29+J29</f>
        <v>#REF!</v>
      </c>
    </row>
    <row r="30" spans="1:14" ht="15.75" hidden="1" thickBot="1" x14ac:dyDescent="0.3">
      <c r="A30" s="8" t="s">
        <v>11</v>
      </c>
      <c r="B30" s="9"/>
      <c r="C30" s="10"/>
      <c r="D30" s="70"/>
      <c r="E30" t="s">
        <v>20</v>
      </c>
      <c r="F30" s="49">
        <f>SUM(F22:F29)</f>
        <v>203642</v>
      </c>
      <c r="G30" s="49"/>
      <c r="H30" s="52">
        <f>SUM(H22:H29)</f>
        <v>0</v>
      </c>
      <c r="I30" s="15">
        <f t="shared" ref="I30:J30" si="8">SUM(I22:I29)</f>
        <v>1</v>
      </c>
      <c r="J30" s="39">
        <f t="shared" si="8"/>
        <v>0</v>
      </c>
      <c r="K30" s="42"/>
      <c r="L30" s="42" t="e">
        <f>SUM(L22:L29)</f>
        <v>#REF!</v>
      </c>
    </row>
    <row r="31" spans="1:14" ht="15.75" thickBot="1" x14ac:dyDescent="0.3">
      <c r="C31" s="1"/>
      <c r="D31" s="1"/>
      <c r="N31"/>
    </row>
    <row r="32" spans="1:14" ht="15.75" thickBot="1" x14ac:dyDescent="0.3">
      <c r="C32" s="1"/>
      <c r="D32" s="1"/>
      <c r="E32" s="176" t="s">
        <v>113</v>
      </c>
      <c r="F32" s="177"/>
      <c r="G32" s="177"/>
      <c r="H32" s="177"/>
      <c r="I32" s="177"/>
      <c r="J32" s="177"/>
      <c r="K32" s="175"/>
      <c r="L32" s="153"/>
      <c r="M32" s="154"/>
      <c r="N32"/>
    </row>
    <row r="33" spans="3:14" ht="15.75" thickBot="1" x14ac:dyDescent="0.3">
      <c r="C33" s="1"/>
      <c r="D33" s="1"/>
      <c r="E33" s="178" t="s">
        <v>114</v>
      </c>
      <c r="F33" s="177"/>
      <c r="G33" s="177"/>
      <c r="H33" s="177"/>
      <c r="I33" s="177"/>
      <c r="J33" s="177"/>
      <c r="K33" s="175"/>
      <c r="L33" s="155"/>
      <c r="M33" s="156"/>
      <c r="N33"/>
    </row>
    <row r="34" spans="3:14" x14ac:dyDescent="0.25">
      <c r="C34" s="1"/>
      <c r="D34" s="1"/>
      <c r="E34" s="153"/>
      <c r="F34" s="157"/>
      <c r="G34" s="157"/>
      <c r="H34" s="157"/>
      <c r="I34" s="158"/>
      <c r="J34" s="158">
        <f>'detalle y gastos'!B7</f>
        <v>0</v>
      </c>
      <c r="K34" s="156"/>
      <c r="L34" s="155"/>
      <c r="M34" s="156"/>
      <c r="N34"/>
    </row>
    <row r="35" spans="3:14" x14ac:dyDescent="0.25">
      <c r="C35" s="1"/>
      <c r="D35" s="1"/>
      <c r="E35" s="155" t="s">
        <v>115</v>
      </c>
      <c r="F35" s="158"/>
      <c r="G35" s="158"/>
      <c r="H35" s="158"/>
      <c r="I35" s="158"/>
      <c r="J35" s="158"/>
      <c r="K35" s="156"/>
      <c r="L35" s="155"/>
      <c r="M35" s="156"/>
      <c r="N35"/>
    </row>
    <row r="36" spans="3:14" x14ac:dyDescent="0.25">
      <c r="C36" s="1"/>
      <c r="D36" s="1"/>
      <c r="E36" s="159"/>
      <c r="F36" s="160"/>
      <c r="G36" s="160"/>
      <c r="H36" s="160"/>
      <c r="I36" s="160"/>
      <c r="J36" s="160"/>
      <c r="K36" s="161"/>
      <c r="L36" s="155"/>
      <c r="M36" s="156"/>
      <c r="N36"/>
    </row>
    <row r="37" spans="3:14" x14ac:dyDescent="0.25">
      <c r="C37" s="1"/>
      <c r="D37" s="1"/>
      <c r="E37" s="179" t="s">
        <v>50</v>
      </c>
      <c r="F37" s="180"/>
      <c r="G37" s="180"/>
      <c r="H37" s="180"/>
      <c r="I37" s="180"/>
      <c r="J37" s="180"/>
      <c r="K37" s="181"/>
      <c r="L37" s="155"/>
      <c r="M37" s="156"/>
      <c r="N37"/>
    </row>
    <row r="38" spans="3:14" x14ac:dyDescent="0.25">
      <c r="C38" s="1"/>
      <c r="D38" s="1"/>
      <c r="E38" s="155"/>
      <c r="F38" s="158"/>
      <c r="G38" s="158"/>
      <c r="H38" s="158"/>
      <c r="I38" s="158"/>
      <c r="J38" s="158"/>
      <c r="K38" s="156"/>
      <c r="L38" s="155"/>
      <c r="M38" s="156"/>
      <c r="N38"/>
    </row>
    <row r="39" spans="3:14" x14ac:dyDescent="0.25">
      <c r="C39" s="1"/>
      <c r="D39" s="1"/>
      <c r="E39" s="155" t="s">
        <v>116</v>
      </c>
      <c r="F39" s="158"/>
      <c r="G39" s="158" t="str">
        <f>C7</f>
        <v>Maceyle Gabriela</v>
      </c>
      <c r="H39" s="158"/>
      <c r="I39" s="158" t="s">
        <v>117</v>
      </c>
      <c r="J39" s="162">
        <v>45674</v>
      </c>
      <c r="K39" s="156"/>
      <c r="L39" s="182" t="s">
        <v>118</v>
      </c>
      <c r="M39" s="183"/>
      <c r="N39"/>
    </row>
    <row r="40" spans="3:14" x14ac:dyDescent="0.25">
      <c r="C40" s="1"/>
      <c r="D40" s="1"/>
      <c r="E40" s="155" t="s">
        <v>119</v>
      </c>
      <c r="F40" s="163">
        <v>3</v>
      </c>
      <c r="G40" s="158"/>
      <c r="H40" s="158"/>
      <c r="I40" s="158"/>
      <c r="J40" s="158"/>
      <c r="K40" s="156"/>
      <c r="L40" s="155"/>
      <c r="M40" s="156"/>
      <c r="N40"/>
    </row>
    <row r="41" spans="3:14" x14ac:dyDescent="0.25">
      <c r="C41" s="1"/>
      <c r="D41" s="1"/>
      <c r="E41" s="155"/>
      <c r="F41" s="158"/>
      <c r="G41" s="158"/>
      <c r="H41" s="158"/>
      <c r="I41" s="158"/>
      <c r="J41" s="158"/>
      <c r="K41" s="156"/>
      <c r="L41" s="184"/>
      <c r="M41" s="183"/>
      <c r="N41"/>
    </row>
    <row r="42" spans="3:14" x14ac:dyDescent="0.25">
      <c r="C42" s="1"/>
      <c r="D42" s="1"/>
      <c r="E42" s="155" t="s">
        <v>49</v>
      </c>
      <c r="F42" s="158"/>
      <c r="G42" s="158"/>
      <c r="H42" s="158"/>
      <c r="I42" s="158"/>
      <c r="J42" s="164">
        <f>J7</f>
        <v>36303.442294000008</v>
      </c>
      <c r="K42" s="156"/>
      <c r="L42" s="155"/>
      <c r="M42" s="156"/>
      <c r="N42"/>
    </row>
    <row r="43" spans="3:14" x14ac:dyDescent="0.25">
      <c r="C43" s="1"/>
      <c r="D43" s="1"/>
      <c r="E43" s="165" t="s">
        <v>120</v>
      </c>
      <c r="F43" s="158"/>
      <c r="G43" s="158"/>
      <c r="H43" s="158"/>
      <c r="I43" s="158"/>
      <c r="J43" s="164">
        <f>K7</f>
        <v>0</v>
      </c>
      <c r="K43" s="156"/>
      <c r="L43" s="155"/>
      <c r="M43" s="156"/>
      <c r="N43"/>
    </row>
    <row r="44" spans="3:14" x14ac:dyDescent="0.25">
      <c r="C44" s="1"/>
      <c r="D44" s="1"/>
      <c r="E44" s="165" t="s">
        <v>122</v>
      </c>
      <c r="F44" s="158"/>
      <c r="G44" s="158"/>
      <c r="H44" s="158"/>
      <c r="I44" s="158"/>
      <c r="J44" s="164">
        <f>G7+H7</f>
        <v>0</v>
      </c>
      <c r="K44" s="156"/>
      <c r="L44" s="155"/>
      <c r="M44" s="156"/>
      <c r="N44"/>
    </row>
    <row r="45" spans="3:14" hidden="1" x14ac:dyDescent="0.25">
      <c r="C45" s="1"/>
      <c r="D45" s="1"/>
      <c r="E45" s="165"/>
      <c r="F45" s="158"/>
      <c r="G45" s="158"/>
      <c r="H45" s="158"/>
      <c r="I45" s="158"/>
      <c r="J45" s="164"/>
      <c r="K45" s="156"/>
      <c r="L45" s="155"/>
      <c r="M45" s="156"/>
      <c r="N45"/>
    </row>
    <row r="46" spans="3:14" hidden="1" x14ac:dyDescent="0.25">
      <c r="C46" s="1"/>
      <c r="D46" s="1"/>
      <c r="E46" s="165"/>
      <c r="F46" s="158"/>
      <c r="G46" s="158"/>
      <c r="H46" s="158"/>
      <c r="I46" s="158"/>
      <c r="J46" s="164"/>
      <c r="K46" s="156"/>
      <c r="L46" s="155"/>
      <c r="M46" s="156"/>
      <c r="N46"/>
    </row>
    <row r="47" spans="3:14" hidden="1" x14ac:dyDescent="0.25">
      <c r="C47" s="1"/>
      <c r="D47" s="1"/>
      <c r="F47" s="158"/>
      <c r="G47" s="158"/>
      <c r="H47" s="158"/>
      <c r="I47" s="158"/>
      <c r="J47" s="164"/>
      <c r="K47" s="156"/>
      <c r="L47" s="155"/>
      <c r="M47" s="156"/>
      <c r="N47"/>
    </row>
    <row r="48" spans="3:14" hidden="1" x14ac:dyDescent="0.25">
      <c r="C48" s="1"/>
      <c r="D48" s="1"/>
      <c r="E48" s="165"/>
      <c r="F48" s="158"/>
      <c r="G48" s="158"/>
      <c r="H48" s="158"/>
      <c r="I48" s="158"/>
      <c r="J48" s="164"/>
      <c r="K48" s="156"/>
      <c r="L48" s="155"/>
      <c r="M48" s="156"/>
      <c r="N48"/>
    </row>
    <row r="49" spans="3:14" hidden="1" x14ac:dyDescent="0.25">
      <c r="C49" s="1"/>
      <c r="D49" s="1"/>
      <c r="E49" s="155"/>
      <c r="F49" s="158"/>
      <c r="G49" s="158"/>
      <c r="H49" s="158"/>
      <c r="I49" s="158"/>
      <c r="J49" s="158"/>
      <c r="K49" s="156"/>
      <c r="L49" s="155"/>
      <c r="M49" s="156"/>
      <c r="N49"/>
    </row>
    <row r="50" spans="3:14" x14ac:dyDescent="0.25">
      <c r="C50" s="1"/>
      <c r="D50" s="1"/>
      <c r="E50" s="155" t="s">
        <v>123</v>
      </c>
      <c r="F50" s="158"/>
      <c r="G50" s="158"/>
      <c r="H50" s="158"/>
      <c r="I50" s="158"/>
      <c r="J50" s="158">
        <f>77200-77124.2</f>
        <v>75.80000000000291</v>
      </c>
      <c r="K50" s="156"/>
      <c r="L50" s="155"/>
      <c r="M50" s="156"/>
      <c r="N50"/>
    </row>
    <row r="51" spans="3:14" ht="15.75" thickBot="1" x14ac:dyDescent="0.3">
      <c r="C51" s="1"/>
      <c r="D51" s="1"/>
      <c r="E51" s="155"/>
      <c r="F51" s="158"/>
      <c r="G51" s="158"/>
      <c r="H51" s="158"/>
      <c r="I51" s="158"/>
      <c r="J51" s="158"/>
      <c r="K51" s="156"/>
      <c r="L51" s="166"/>
      <c r="M51" s="167"/>
      <c r="N51"/>
    </row>
    <row r="52" spans="3:14" ht="15.75" thickBot="1" x14ac:dyDescent="0.3">
      <c r="C52" s="1"/>
      <c r="D52" s="1"/>
      <c r="E52" s="172" t="s">
        <v>121</v>
      </c>
      <c r="F52" s="173"/>
      <c r="G52" s="173"/>
      <c r="H52" s="173"/>
      <c r="I52" s="173"/>
      <c r="J52" s="174">
        <f>SUM(J42:J51)</f>
        <v>36379.242294000011</v>
      </c>
      <c r="K52" s="175"/>
      <c r="L52" s="168"/>
      <c r="M52" s="169"/>
      <c r="N52"/>
    </row>
    <row r="53" spans="3:14" x14ac:dyDescent="0.25">
      <c r="C53" s="1"/>
      <c r="D53" s="1"/>
      <c r="N53"/>
    </row>
    <row r="55" spans="3:14" ht="15.75" thickBot="1" x14ac:dyDescent="0.3"/>
    <row r="56" spans="3:14" ht="15.75" thickBot="1" x14ac:dyDescent="0.3">
      <c r="E56" s="176" t="s">
        <v>113</v>
      </c>
      <c r="F56" s="177"/>
      <c r="G56" s="177"/>
      <c r="H56" s="177"/>
      <c r="I56" s="177"/>
      <c r="J56" s="177"/>
      <c r="K56" s="175"/>
      <c r="L56" s="153"/>
      <c r="M56" s="154"/>
    </row>
    <row r="57" spans="3:14" ht="15.75" thickBot="1" x14ac:dyDescent="0.3">
      <c r="E57" s="178" t="s">
        <v>114</v>
      </c>
      <c r="F57" s="177"/>
      <c r="G57" s="177"/>
      <c r="H57" s="177"/>
      <c r="I57" s="177"/>
      <c r="J57" s="177"/>
      <c r="K57" s="175"/>
      <c r="L57" s="155"/>
      <c r="M57" s="156"/>
    </row>
    <row r="58" spans="3:14" x14ac:dyDescent="0.25">
      <c r="E58" s="153"/>
      <c r="F58" s="157"/>
      <c r="G58" s="157"/>
      <c r="H58" s="157"/>
      <c r="I58" s="158"/>
      <c r="J58" s="158">
        <f>J34</f>
        <v>0</v>
      </c>
      <c r="K58" s="156"/>
      <c r="L58" s="155"/>
      <c r="M58" s="156"/>
    </row>
    <row r="59" spans="3:14" x14ac:dyDescent="0.25">
      <c r="E59" s="155" t="s">
        <v>115</v>
      </c>
      <c r="F59" s="158"/>
      <c r="G59" s="158"/>
      <c r="H59" s="158"/>
      <c r="I59" s="158"/>
      <c r="J59" s="158"/>
      <c r="K59" s="156"/>
      <c r="L59" s="155"/>
      <c r="M59" s="156"/>
    </row>
    <row r="60" spans="3:14" x14ac:dyDescent="0.25">
      <c r="E60" s="159"/>
      <c r="F60" s="160"/>
      <c r="G60" s="160"/>
      <c r="H60" s="160"/>
      <c r="I60" s="160"/>
      <c r="J60" s="160"/>
      <c r="K60" s="161"/>
      <c r="L60" s="155"/>
      <c r="M60" s="156"/>
    </row>
    <row r="61" spans="3:14" x14ac:dyDescent="0.25">
      <c r="E61" s="179" t="s">
        <v>50</v>
      </c>
      <c r="F61" s="180"/>
      <c r="G61" s="180"/>
      <c r="H61" s="180"/>
      <c r="I61" s="180"/>
      <c r="J61" s="180"/>
      <c r="K61" s="181"/>
      <c r="L61" s="155"/>
      <c r="M61" s="156"/>
    </row>
    <row r="62" spans="3:14" x14ac:dyDescent="0.25">
      <c r="E62" s="155"/>
      <c r="F62" s="158"/>
      <c r="G62" s="158"/>
      <c r="H62" s="158"/>
      <c r="I62" s="158"/>
      <c r="J62" s="158"/>
      <c r="K62" s="156"/>
      <c r="L62" s="155"/>
      <c r="M62" s="156"/>
    </row>
    <row r="63" spans="3:14" x14ac:dyDescent="0.25">
      <c r="E63" s="155" t="s">
        <v>116</v>
      </c>
      <c r="F63" s="158"/>
      <c r="G63" s="163" t="str">
        <f>C8</f>
        <v>Castelao Lorena</v>
      </c>
      <c r="H63" s="158"/>
      <c r="I63" s="158" t="s">
        <v>117</v>
      </c>
      <c r="J63" s="162">
        <v>45674</v>
      </c>
      <c r="K63" s="156"/>
      <c r="L63" s="182" t="s">
        <v>118</v>
      </c>
      <c r="M63" s="183"/>
    </row>
    <row r="64" spans="3:14" x14ac:dyDescent="0.25">
      <c r="E64" s="155" t="s">
        <v>119</v>
      </c>
      <c r="F64" s="163">
        <v>4</v>
      </c>
      <c r="G64" s="158"/>
      <c r="H64" s="158"/>
      <c r="I64" s="158"/>
      <c r="J64" s="158"/>
      <c r="K64" s="156"/>
      <c r="L64" s="155"/>
      <c r="M64" s="156"/>
    </row>
    <row r="65" spans="5:13" x14ac:dyDescent="0.25">
      <c r="E65" s="155"/>
      <c r="F65" s="158"/>
      <c r="G65" s="158"/>
      <c r="H65" s="158"/>
      <c r="I65" s="158"/>
      <c r="J65" s="158"/>
      <c r="K65" s="156"/>
      <c r="L65" s="184"/>
      <c r="M65" s="183"/>
    </row>
    <row r="66" spans="5:13" x14ac:dyDescent="0.25">
      <c r="E66" s="155" t="s">
        <v>49</v>
      </c>
      <c r="F66" s="158"/>
      <c r="G66" s="158"/>
      <c r="H66" s="158"/>
      <c r="I66" s="158"/>
      <c r="J66" s="164">
        <f>J8</f>
        <v>42975.583775000006</v>
      </c>
      <c r="K66" s="156"/>
      <c r="L66" s="155"/>
      <c r="M66" s="156"/>
    </row>
    <row r="67" spans="5:13" x14ac:dyDescent="0.25">
      <c r="E67" s="165" t="s">
        <v>120</v>
      </c>
      <c r="F67" s="158"/>
      <c r="G67" s="158"/>
      <c r="H67" s="158"/>
      <c r="I67" s="158"/>
      <c r="J67" s="164">
        <f>K8</f>
        <v>0</v>
      </c>
      <c r="K67" s="156"/>
      <c r="L67" s="155"/>
      <c r="M67" s="156"/>
    </row>
    <row r="68" spans="5:13" ht="14.25" customHeight="1" x14ac:dyDescent="0.25">
      <c r="E68" s="165" t="s">
        <v>122</v>
      </c>
      <c r="F68" s="158"/>
      <c r="G68" s="158"/>
      <c r="H68" s="158"/>
      <c r="I68" s="158"/>
      <c r="J68" s="164">
        <f>G29+H29</f>
        <v>0</v>
      </c>
      <c r="K68" s="156"/>
      <c r="L68" s="155"/>
      <c r="M68" s="156"/>
    </row>
    <row r="69" spans="5:13" hidden="1" x14ac:dyDescent="0.25">
      <c r="E69" s="165"/>
      <c r="F69" s="158"/>
      <c r="G69" s="158"/>
      <c r="H69" s="158"/>
      <c r="I69" s="158"/>
      <c r="J69" s="164"/>
      <c r="K69" s="156"/>
      <c r="L69" s="155"/>
      <c r="M69" s="156"/>
    </row>
    <row r="70" spans="5:13" hidden="1" x14ac:dyDescent="0.25">
      <c r="E70" s="165"/>
      <c r="F70" s="158"/>
      <c r="G70" s="158"/>
      <c r="H70" s="158"/>
      <c r="I70" s="158"/>
      <c r="J70" s="164"/>
      <c r="K70" s="156"/>
      <c r="L70" s="155"/>
      <c r="M70" s="156"/>
    </row>
    <row r="71" spans="5:13" hidden="1" x14ac:dyDescent="0.25">
      <c r="F71" s="158"/>
      <c r="G71" s="158"/>
      <c r="H71" s="158"/>
      <c r="I71" s="158"/>
      <c r="J71" s="164"/>
      <c r="K71" s="156"/>
      <c r="L71" s="155"/>
      <c r="M71" s="156"/>
    </row>
    <row r="72" spans="5:13" hidden="1" x14ac:dyDescent="0.25">
      <c r="E72" s="165"/>
      <c r="F72" s="158"/>
      <c r="G72" s="158"/>
      <c r="H72" s="158"/>
      <c r="I72" s="158"/>
      <c r="J72" s="164"/>
      <c r="K72" s="156"/>
      <c r="L72" s="155"/>
      <c r="M72" s="156"/>
    </row>
    <row r="73" spans="5:13" hidden="1" x14ac:dyDescent="0.25">
      <c r="E73" s="155"/>
      <c r="F73" s="158"/>
      <c r="G73" s="158"/>
      <c r="H73" s="158"/>
      <c r="I73" s="158"/>
      <c r="J73" s="158"/>
      <c r="K73" s="156"/>
      <c r="L73" s="155"/>
      <c r="M73" s="156"/>
    </row>
    <row r="74" spans="5:13" hidden="1" x14ac:dyDescent="0.25">
      <c r="E74" s="155"/>
      <c r="F74" s="158"/>
      <c r="G74" s="158"/>
      <c r="H74" s="158"/>
      <c r="I74" s="158"/>
      <c r="J74" s="158"/>
      <c r="K74" s="156"/>
      <c r="L74" s="155"/>
      <c r="M74" s="156"/>
    </row>
    <row r="75" spans="5:13" ht="15.75" thickBot="1" x14ac:dyDescent="0.3">
      <c r="E75" s="155"/>
      <c r="F75" s="158"/>
      <c r="G75" s="158"/>
      <c r="H75" s="158"/>
      <c r="I75" s="158"/>
      <c r="J75" s="158"/>
      <c r="K75" s="156"/>
      <c r="L75" s="166"/>
      <c r="M75" s="167"/>
    </row>
    <row r="76" spans="5:13" ht="15.75" thickBot="1" x14ac:dyDescent="0.3">
      <c r="E76" s="172" t="s">
        <v>121</v>
      </c>
      <c r="F76" s="173"/>
      <c r="G76" s="173"/>
      <c r="H76" s="173"/>
      <c r="I76" s="173"/>
      <c r="J76" s="174">
        <f>SUM(J66:J75)</f>
        <v>42975.583775000006</v>
      </c>
      <c r="K76" s="175"/>
      <c r="L76" s="168"/>
      <c r="M76" s="169"/>
    </row>
    <row r="82" spans="5:13" ht="15.75" thickBot="1" x14ac:dyDescent="0.3"/>
    <row r="83" spans="5:13" ht="15.75" thickBot="1" x14ac:dyDescent="0.3">
      <c r="E83" s="176" t="s">
        <v>113</v>
      </c>
      <c r="F83" s="177"/>
      <c r="G83" s="177"/>
      <c r="H83" s="177"/>
      <c r="I83" s="177"/>
      <c r="J83" s="177"/>
      <c r="K83" s="175"/>
      <c r="L83" s="153"/>
      <c r="M83" s="154"/>
    </row>
    <row r="84" spans="5:13" ht="15.75" thickBot="1" x14ac:dyDescent="0.3">
      <c r="E84" s="178" t="s">
        <v>114</v>
      </c>
      <c r="F84" s="177"/>
      <c r="G84" s="177"/>
      <c r="H84" s="177"/>
      <c r="I84" s="177"/>
      <c r="J84" s="177"/>
      <c r="K84" s="175"/>
      <c r="L84" s="155"/>
      <c r="M84" s="156"/>
    </row>
    <row r="85" spans="5:13" x14ac:dyDescent="0.25">
      <c r="E85" s="153"/>
      <c r="F85" s="157"/>
      <c r="G85" s="157"/>
      <c r="H85" s="157"/>
      <c r="I85" s="158"/>
      <c r="J85" s="158">
        <f>'detalle y gastos'!B7</f>
        <v>0</v>
      </c>
      <c r="K85" s="156"/>
      <c r="L85" s="155"/>
      <c r="M85" s="156"/>
    </row>
    <row r="86" spans="5:13" x14ac:dyDescent="0.25">
      <c r="E86" s="155" t="s">
        <v>115</v>
      </c>
      <c r="F86" s="158"/>
      <c r="G86" s="158"/>
      <c r="H86" s="158"/>
      <c r="I86" s="158"/>
      <c r="J86" s="158"/>
      <c r="K86" s="156"/>
      <c r="L86" s="155"/>
      <c r="M86" s="156"/>
    </row>
    <row r="87" spans="5:13" x14ac:dyDescent="0.25">
      <c r="E87" s="159"/>
      <c r="F87" s="160"/>
      <c r="G87" s="160"/>
      <c r="H87" s="160"/>
      <c r="I87" s="160"/>
      <c r="J87" s="160"/>
      <c r="K87" s="161"/>
      <c r="L87" s="155"/>
      <c r="M87" s="156"/>
    </row>
    <row r="88" spans="5:13" x14ac:dyDescent="0.25">
      <c r="E88" s="179" t="s">
        <v>50</v>
      </c>
      <c r="F88" s="180"/>
      <c r="G88" s="180"/>
      <c r="H88" s="180"/>
      <c r="I88" s="180"/>
      <c r="J88" s="180"/>
      <c r="K88" s="181"/>
      <c r="L88" s="155"/>
      <c r="M88" s="156"/>
    </row>
    <row r="89" spans="5:13" x14ac:dyDescent="0.25">
      <c r="E89" s="155"/>
      <c r="F89" s="158"/>
      <c r="G89" s="158"/>
      <c r="H89" s="158"/>
      <c r="I89" s="158"/>
      <c r="J89" s="158"/>
      <c r="K89" s="156"/>
      <c r="L89" s="155"/>
      <c r="M89" s="156"/>
    </row>
    <row r="90" spans="5:13" x14ac:dyDescent="0.25">
      <c r="E90" s="155" t="s">
        <v>116</v>
      </c>
      <c r="F90" s="158"/>
      <c r="G90" s="163" t="str">
        <f>C10</f>
        <v>Valdez Norberto</v>
      </c>
      <c r="H90" s="158"/>
      <c r="I90" s="158" t="s">
        <v>117</v>
      </c>
      <c r="J90" s="162">
        <v>45674</v>
      </c>
      <c r="K90" s="156"/>
      <c r="L90" s="182" t="s">
        <v>118</v>
      </c>
      <c r="M90" s="183"/>
    </row>
    <row r="91" spans="5:13" x14ac:dyDescent="0.25">
      <c r="E91" s="155" t="s">
        <v>119</v>
      </c>
      <c r="F91" s="163">
        <v>6</v>
      </c>
      <c r="G91" s="158"/>
      <c r="H91" s="158"/>
      <c r="I91" s="158"/>
      <c r="J91" s="158"/>
      <c r="K91" s="156"/>
      <c r="L91" s="155"/>
      <c r="M91" s="156"/>
    </row>
    <row r="92" spans="5:13" x14ac:dyDescent="0.25">
      <c r="E92" s="155"/>
      <c r="F92" s="158"/>
      <c r="G92" s="158"/>
      <c r="H92" s="158"/>
      <c r="I92" s="158"/>
      <c r="J92" s="158"/>
      <c r="K92" s="156"/>
      <c r="L92" s="184"/>
      <c r="M92" s="183"/>
    </row>
    <row r="93" spans="5:13" x14ac:dyDescent="0.25">
      <c r="E93" s="155" t="s">
        <v>49</v>
      </c>
      <c r="F93" s="158"/>
      <c r="G93" s="158"/>
      <c r="H93" s="158"/>
      <c r="I93" s="158"/>
      <c r="J93" s="164">
        <f>J10</f>
        <v>36361.714272000005</v>
      </c>
      <c r="K93" s="156"/>
      <c r="L93" s="155"/>
      <c r="M93" s="156"/>
    </row>
    <row r="94" spans="5:13" x14ac:dyDescent="0.25">
      <c r="E94" s="165" t="s">
        <v>120</v>
      </c>
      <c r="F94" s="158"/>
      <c r="G94" s="158"/>
      <c r="H94" s="158"/>
      <c r="I94" s="158"/>
      <c r="J94" s="164">
        <f>K10</f>
        <v>0</v>
      </c>
      <c r="K94" s="156"/>
      <c r="L94" s="155"/>
      <c r="M94" s="156"/>
    </row>
    <row r="95" spans="5:13" x14ac:dyDescent="0.25">
      <c r="E95" s="165" t="s">
        <v>123</v>
      </c>
      <c r="F95" s="158"/>
      <c r="G95" s="158"/>
      <c r="H95" s="158"/>
      <c r="I95" s="158"/>
      <c r="J95" s="164">
        <v>23.89</v>
      </c>
      <c r="K95" s="156"/>
      <c r="L95" s="155"/>
      <c r="M95" s="156"/>
    </row>
    <row r="96" spans="5:13" ht="4.5" customHeight="1" thickBot="1" x14ac:dyDescent="0.3">
      <c r="E96" s="165"/>
      <c r="F96" s="158"/>
      <c r="G96" s="158"/>
      <c r="H96" s="158"/>
      <c r="I96" s="158"/>
      <c r="J96" s="164"/>
      <c r="K96" s="156"/>
      <c r="L96" s="155"/>
      <c r="M96" s="156"/>
    </row>
    <row r="97" spans="5:13" ht="15.75" hidden="1" thickBot="1" x14ac:dyDescent="0.3">
      <c r="E97" s="165"/>
      <c r="F97" s="158"/>
      <c r="G97" s="158"/>
      <c r="H97" s="158"/>
      <c r="I97" s="158"/>
      <c r="J97" s="164"/>
      <c r="K97" s="156"/>
      <c r="L97" s="155"/>
      <c r="M97" s="156"/>
    </row>
    <row r="98" spans="5:13" ht="15.75" hidden="1" thickBot="1" x14ac:dyDescent="0.3">
      <c r="F98" s="158"/>
      <c r="G98" s="158"/>
      <c r="H98" s="158"/>
      <c r="I98" s="158"/>
      <c r="J98" s="164"/>
      <c r="K98" s="156"/>
      <c r="L98" s="155"/>
      <c r="M98" s="156"/>
    </row>
    <row r="99" spans="5:13" ht="15.75" hidden="1" thickBot="1" x14ac:dyDescent="0.3">
      <c r="E99" s="165"/>
      <c r="F99" s="158"/>
      <c r="G99" s="158"/>
      <c r="H99" s="158"/>
      <c r="I99" s="158"/>
      <c r="J99" s="164"/>
      <c r="K99" s="156"/>
      <c r="L99" s="155"/>
      <c r="M99" s="156"/>
    </row>
    <row r="100" spans="5:13" ht="15.75" hidden="1" thickBot="1" x14ac:dyDescent="0.3">
      <c r="E100" s="155"/>
      <c r="F100" s="158"/>
      <c r="G100" s="158"/>
      <c r="H100" s="158"/>
      <c r="I100" s="158"/>
      <c r="J100" s="158"/>
      <c r="K100" s="156"/>
      <c r="L100" s="155"/>
      <c r="M100" s="156"/>
    </row>
    <row r="101" spans="5:13" ht="15.75" hidden="1" thickBot="1" x14ac:dyDescent="0.3">
      <c r="E101" s="155"/>
      <c r="F101" s="158"/>
      <c r="G101" s="158"/>
      <c r="H101" s="158"/>
      <c r="I101" s="158"/>
      <c r="J101" s="158"/>
      <c r="K101" s="156"/>
      <c r="L101" s="155"/>
      <c r="M101" s="156"/>
    </row>
    <row r="102" spans="5:13" ht="15.75" hidden="1" thickBot="1" x14ac:dyDescent="0.3">
      <c r="E102" s="155"/>
      <c r="F102" s="158"/>
      <c r="G102" s="158"/>
      <c r="H102" s="158"/>
      <c r="I102" s="158"/>
      <c r="J102" s="158"/>
      <c r="K102" s="156"/>
      <c r="L102" s="166"/>
      <c r="M102" s="167"/>
    </row>
    <row r="103" spans="5:13" ht="15.75" thickBot="1" x14ac:dyDescent="0.3">
      <c r="E103" s="172" t="s">
        <v>121</v>
      </c>
      <c r="F103" s="173"/>
      <c r="G103" s="173"/>
      <c r="H103" s="173"/>
      <c r="I103" s="173"/>
      <c r="J103" s="174">
        <f>SUM(J93:J102)</f>
        <v>36385.604272000004</v>
      </c>
      <c r="K103" s="175"/>
      <c r="L103" s="168"/>
      <c r="M103" s="169"/>
    </row>
    <row r="107" spans="5:13" ht="15.75" thickBot="1" x14ac:dyDescent="0.3"/>
    <row r="108" spans="5:13" ht="15.75" thickBot="1" x14ac:dyDescent="0.3">
      <c r="E108" s="176" t="s">
        <v>113</v>
      </c>
      <c r="F108" s="177"/>
      <c r="G108" s="177"/>
      <c r="H108" s="177"/>
      <c r="I108" s="177"/>
      <c r="J108" s="177"/>
      <c r="K108" s="175"/>
      <c r="L108" s="153"/>
      <c r="M108" s="154"/>
    </row>
    <row r="109" spans="5:13" ht="15.75" thickBot="1" x14ac:dyDescent="0.3">
      <c r="E109" s="178" t="s">
        <v>114</v>
      </c>
      <c r="F109" s="177"/>
      <c r="G109" s="177"/>
      <c r="H109" s="177"/>
      <c r="I109" s="177"/>
      <c r="J109" s="177"/>
      <c r="K109" s="175"/>
      <c r="L109" s="155"/>
      <c r="M109" s="156"/>
    </row>
    <row r="110" spans="5:13" x14ac:dyDescent="0.25">
      <c r="E110" s="153"/>
      <c r="F110" s="157"/>
      <c r="G110" s="157"/>
      <c r="H110" s="157"/>
      <c r="I110" s="158"/>
      <c r="J110" s="158">
        <f>'detalle y gastos'!B7</f>
        <v>0</v>
      </c>
      <c r="K110" s="156"/>
      <c r="L110" s="155"/>
      <c r="M110" s="156"/>
    </row>
    <row r="111" spans="5:13" x14ac:dyDescent="0.25">
      <c r="E111" s="155" t="s">
        <v>115</v>
      </c>
      <c r="F111" s="158"/>
      <c r="G111" s="158"/>
      <c r="H111" s="158"/>
      <c r="I111" s="158"/>
      <c r="J111" s="158"/>
      <c r="K111" s="156"/>
      <c r="L111" s="155"/>
      <c r="M111" s="156"/>
    </row>
    <row r="112" spans="5:13" x14ac:dyDescent="0.25">
      <c r="E112" s="159"/>
      <c r="F112" s="160"/>
      <c r="G112" s="160"/>
      <c r="H112" s="160"/>
      <c r="I112" s="160"/>
      <c r="J112" s="160"/>
      <c r="K112" s="161"/>
      <c r="L112" s="155"/>
      <c r="M112" s="156"/>
    </row>
    <row r="113" spans="5:13" x14ac:dyDescent="0.25">
      <c r="E113" s="179" t="s">
        <v>50</v>
      </c>
      <c r="F113" s="180"/>
      <c r="G113" s="180"/>
      <c r="H113" s="180"/>
      <c r="I113" s="180"/>
      <c r="J113" s="180"/>
      <c r="K113" s="181"/>
      <c r="L113" s="155"/>
      <c r="M113" s="156"/>
    </row>
    <row r="114" spans="5:13" x14ac:dyDescent="0.25">
      <c r="E114" s="155"/>
      <c r="F114" s="158"/>
      <c r="G114" s="158"/>
      <c r="H114" s="158"/>
      <c r="I114" s="158"/>
      <c r="J114" s="158"/>
      <c r="K114" s="156"/>
      <c r="L114" s="155"/>
      <c r="M114" s="156"/>
    </row>
    <row r="115" spans="5:13" x14ac:dyDescent="0.25">
      <c r="E115" s="155" t="s">
        <v>116</v>
      </c>
      <c r="F115" s="158"/>
      <c r="G115" s="163" t="str">
        <f>C5</f>
        <v>Gomez Elizabeth</v>
      </c>
      <c r="H115" s="158"/>
      <c r="I115" s="158" t="s">
        <v>117</v>
      </c>
      <c r="J115" s="162">
        <v>45674</v>
      </c>
      <c r="K115" s="156"/>
      <c r="L115" s="182" t="s">
        <v>118</v>
      </c>
      <c r="M115" s="183"/>
    </row>
    <row r="116" spans="5:13" x14ac:dyDescent="0.25">
      <c r="E116" s="155" t="s">
        <v>119</v>
      </c>
      <c r="F116" s="163">
        <v>1</v>
      </c>
      <c r="G116" s="158"/>
      <c r="H116" s="158"/>
      <c r="I116" s="158"/>
      <c r="J116" s="158"/>
      <c r="K116" s="156"/>
      <c r="L116" s="155"/>
      <c r="M116" s="156"/>
    </row>
    <row r="117" spans="5:13" x14ac:dyDescent="0.25">
      <c r="E117" s="155"/>
      <c r="F117" s="158"/>
      <c r="G117" s="158"/>
      <c r="H117" s="158"/>
      <c r="I117" s="158"/>
      <c r="J117" s="158"/>
      <c r="K117" s="156"/>
      <c r="L117" s="184"/>
      <c r="M117" s="183"/>
    </row>
    <row r="118" spans="5:13" x14ac:dyDescent="0.25">
      <c r="E118" s="155" t="s">
        <v>49</v>
      </c>
      <c r="F118" s="158"/>
      <c r="G118" s="158"/>
      <c r="H118" s="158"/>
      <c r="I118" s="158"/>
      <c r="J118" s="164">
        <f>J5</f>
        <v>40207.664820000005</v>
      </c>
      <c r="K118" s="156"/>
      <c r="L118" s="155"/>
      <c r="M118" s="156"/>
    </row>
    <row r="119" spans="5:13" x14ac:dyDescent="0.25">
      <c r="E119" s="165" t="s">
        <v>120</v>
      </c>
      <c r="F119" s="158"/>
      <c r="G119" s="158"/>
      <c r="H119" s="158"/>
      <c r="I119" s="158"/>
      <c r="J119" s="164">
        <f>K5</f>
        <v>0</v>
      </c>
      <c r="K119" s="156"/>
      <c r="L119" s="155"/>
      <c r="M119" s="156"/>
    </row>
    <row r="120" spans="5:13" x14ac:dyDescent="0.25">
      <c r="E120" s="165" t="s">
        <v>124</v>
      </c>
      <c r="F120" s="158"/>
      <c r="G120" s="158"/>
      <c r="H120" s="158"/>
      <c r="I120" s="158"/>
      <c r="J120" s="164">
        <f>-20862.34+20810</f>
        <v>-52.340000000000146</v>
      </c>
      <c r="K120" s="156"/>
      <c r="L120" s="155"/>
      <c r="M120" s="156"/>
    </row>
    <row r="121" spans="5:13" ht="4.5" customHeight="1" thickBot="1" x14ac:dyDescent="0.3">
      <c r="E121" s="165"/>
      <c r="F121" s="158"/>
      <c r="G121" s="158"/>
      <c r="H121" s="158"/>
      <c r="I121" s="158"/>
      <c r="J121" s="164"/>
      <c r="K121" s="156"/>
      <c r="L121" s="155"/>
      <c r="M121" s="156"/>
    </row>
    <row r="122" spans="5:13" ht="15.75" hidden="1" thickBot="1" x14ac:dyDescent="0.3">
      <c r="E122" s="165"/>
      <c r="F122" s="158"/>
      <c r="G122" s="158"/>
      <c r="H122" s="158"/>
      <c r="I122" s="158"/>
      <c r="J122" s="164"/>
      <c r="K122" s="156"/>
      <c r="L122" s="155"/>
      <c r="M122" s="156"/>
    </row>
    <row r="123" spans="5:13" ht="15.75" hidden="1" thickBot="1" x14ac:dyDescent="0.3">
      <c r="F123" s="158"/>
      <c r="G123" s="158"/>
      <c r="H123" s="158"/>
      <c r="I123" s="158"/>
      <c r="J123" s="164"/>
      <c r="K123" s="156"/>
      <c r="L123" s="155"/>
      <c r="M123" s="156"/>
    </row>
    <row r="124" spans="5:13" ht="15.75" hidden="1" thickBot="1" x14ac:dyDescent="0.3">
      <c r="E124" s="165"/>
      <c r="F124" s="158"/>
      <c r="G124" s="158"/>
      <c r="H124" s="158"/>
      <c r="I124" s="158"/>
      <c r="J124" s="164"/>
      <c r="K124" s="156"/>
      <c r="L124" s="155"/>
      <c r="M124" s="156"/>
    </row>
    <row r="125" spans="5:13" ht="15.75" hidden="1" thickBot="1" x14ac:dyDescent="0.3">
      <c r="E125" s="155"/>
      <c r="F125" s="158"/>
      <c r="G125" s="158"/>
      <c r="H125" s="158"/>
      <c r="I125" s="158"/>
      <c r="J125" s="158"/>
      <c r="K125" s="156"/>
      <c r="L125" s="155"/>
      <c r="M125" s="156"/>
    </row>
    <row r="126" spans="5:13" ht="15.75" hidden="1" thickBot="1" x14ac:dyDescent="0.3">
      <c r="E126" s="155"/>
      <c r="F126" s="158"/>
      <c r="G126" s="158"/>
      <c r="H126" s="158"/>
      <c r="I126" s="158"/>
      <c r="J126" s="158"/>
      <c r="K126" s="156"/>
      <c r="L126" s="155"/>
      <c r="M126" s="156"/>
    </row>
    <row r="127" spans="5:13" ht="15.75" hidden="1" thickBot="1" x14ac:dyDescent="0.3">
      <c r="E127" s="155"/>
      <c r="F127" s="158"/>
      <c r="G127" s="158"/>
      <c r="H127" s="158"/>
      <c r="I127" s="158"/>
      <c r="J127" s="158"/>
      <c r="K127" s="156"/>
      <c r="L127" s="166"/>
      <c r="M127" s="167"/>
    </row>
    <row r="128" spans="5:13" ht="15.75" thickBot="1" x14ac:dyDescent="0.3">
      <c r="E128" s="172" t="s">
        <v>121</v>
      </c>
      <c r="F128" s="173"/>
      <c r="G128" s="173"/>
      <c r="H128" s="173"/>
      <c r="I128" s="173"/>
      <c r="J128" s="174">
        <f>SUM(J118:J127)</f>
        <v>40155.324820000009</v>
      </c>
      <c r="K128" s="175"/>
      <c r="L128" s="168"/>
      <c r="M128" s="169"/>
    </row>
  </sheetData>
  <mergeCells count="45">
    <mergeCell ref="A14:B14"/>
    <mergeCell ref="I3:I4"/>
    <mergeCell ref="A6:B6"/>
    <mergeCell ref="A7:B7"/>
    <mergeCell ref="A8:B8"/>
    <mergeCell ref="A9:B9"/>
    <mergeCell ref="A10:B10"/>
    <mergeCell ref="G3:G4"/>
    <mergeCell ref="C3:C4"/>
    <mergeCell ref="D3:D4"/>
    <mergeCell ref="A3:B4"/>
    <mergeCell ref="A5:B5"/>
    <mergeCell ref="K3:K4"/>
    <mergeCell ref="J3:J4"/>
    <mergeCell ref="A11:B11"/>
    <mergeCell ref="A12:B12"/>
    <mergeCell ref="A13:B13"/>
    <mergeCell ref="E32:K32"/>
    <mergeCell ref="E33:K33"/>
    <mergeCell ref="E37:K37"/>
    <mergeCell ref="L39:M39"/>
    <mergeCell ref="L41:M41"/>
    <mergeCell ref="E52:I52"/>
    <mergeCell ref="J52:K52"/>
    <mergeCell ref="E56:K56"/>
    <mergeCell ref="E57:K57"/>
    <mergeCell ref="E61:K61"/>
    <mergeCell ref="L63:M63"/>
    <mergeCell ref="L65:M65"/>
    <mergeCell ref="E76:I76"/>
    <mergeCell ref="J76:K76"/>
    <mergeCell ref="E83:K83"/>
    <mergeCell ref="L115:M115"/>
    <mergeCell ref="L117:M117"/>
    <mergeCell ref="E84:K84"/>
    <mergeCell ref="E88:K88"/>
    <mergeCell ref="L90:M90"/>
    <mergeCell ref="L92:M92"/>
    <mergeCell ref="E103:I103"/>
    <mergeCell ref="J103:K103"/>
    <mergeCell ref="E128:I128"/>
    <mergeCell ref="J128:K128"/>
    <mergeCell ref="E108:K108"/>
    <mergeCell ref="E109:K109"/>
    <mergeCell ref="E113:K113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4"/>
  <sheetViews>
    <sheetView workbookViewId="0">
      <selection activeCell="D14" sqref="D14"/>
    </sheetView>
  </sheetViews>
  <sheetFormatPr baseColWidth="10" defaultRowHeight="15" x14ac:dyDescent="0.25"/>
  <cols>
    <col min="6" max="7" width="15.42578125" customWidth="1"/>
    <col min="8" max="8" width="18.28515625" customWidth="1"/>
    <col min="9" max="9" width="13.5703125" customWidth="1"/>
    <col min="10" max="10" width="22.5703125" customWidth="1"/>
    <col min="11" max="11" width="13.85546875" customWidth="1"/>
  </cols>
  <sheetData>
    <row r="1" spans="1:13" ht="18" x14ac:dyDescent="0.35">
      <c r="B1" s="112" t="s">
        <v>81</v>
      </c>
      <c r="C1" s="113" t="s">
        <v>125</v>
      </c>
      <c r="D1" s="114"/>
      <c r="F1" t="s">
        <v>43</v>
      </c>
      <c r="G1" t="s">
        <v>83</v>
      </c>
      <c r="H1" s="144">
        <v>0</v>
      </c>
      <c r="K1" s="115"/>
      <c r="L1" s="116"/>
    </row>
    <row r="2" spans="1:13" x14ac:dyDescent="0.25">
      <c r="H2" s="117"/>
      <c r="I2" s="117"/>
      <c r="J2" s="117"/>
    </row>
    <row r="3" spans="1:13" x14ac:dyDescent="0.25">
      <c r="B3" s="118" t="s">
        <v>84</v>
      </c>
      <c r="C3" s="112" t="s">
        <v>85</v>
      </c>
      <c r="D3" s="112" t="s">
        <v>85</v>
      </c>
      <c r="E3" s="112" t="s">
        <v>86</v>
      </c>
      <c r="F3" s="112" t="s">
        <v>87</v>
      </c>
      <c r="G3" s="112" t="s">
        <v>88</v>
      </c>
      <c r="H3" s="119" t="s">
        <v>89</v>
      </c>
      <c r="I3" s="118"/>
      <c r="J3" s="118"/>
      <c r="K3" s="5"/>
      <c r="M3" s="120"/>
    </row>
    <row r="4" spans="1:13" x14ac:dyDescent="0.25">
      <c r="B4" s="118"/>
      <c r="C4" s="112" t="s">
        <v>90</v>
      </c>
      <c r="D4" s="112" t="s">
        <v>91</v>
      </c>
      <c r="E4" s="112"/>
      <c r="F4" s="112"/>
      <c r="H4" s="121">
        <f>H1</f>
        <v>0</v>
      </c>
      <c r="I4" s="121"/>
      <c r="J4" s="121"/>
    </row>
    <row r="5" spans="1:13" x14ac:dyDescent="0.25">
      <c r="A5" s="5" t="s">
        <v>92</v>
      </c>
      <c r="B5" s="118">
        <v>1</v>
      </c>
      <c r="C5">
        <v>7735</v>
      </c>
      <c r="D5" s="114">
        <f>C5+82</f>
        <v>7817</v>
      </c>
      <c r="E5" s="118">
        <f>D5-C5</f>
        <v>82</v>
      </c>
      <c r="F5" s="118">
        <f>E5*100/D14</f>
        <v>13.7123745819398</v>
      </c>
      <c r="G5" s="5"/>
      <c r="H5" s="122">
        <f>H4*(F5/100)</f>
        <v>0</v>
      </c>
      <c r="I5" s="118"/>
      <c r="J5" s="5"/>
      <c r="K5" s="5"/>
      <c r="L5" s="123"/>
      <c r="M5" s="124"/>
    </row>
    <row r="6" spans="1:13" x14ac:dyDescent="0.25">
      <c r="A6" s="5" t="s">
        <v>93</v>
      </c>
      <c r="B6" s="118">
        <v>2</v>
      </c>
      <c r="C6">
        <v>7076</v>
      </c>
      <c r="D6" s="114">
        <f>C6+98</f>
        <v>7174</v>
      </c>
      <c r="E6" s="118">
        <f>D6-C6</f>
        <v>98</v>
      </c>
      <c r="F6" s="118">
        <f>E6*100/D14</f>
        <v>16.387959866220736</v>
      </c>
      <c r="G6" s="5"/>
      <c r="H6" s="122">
        <f>H4*(F6/100)</f>
        <v>0</v>
      </c>
      <c r="I6" s="118"/>
      <c r="J6" s="5"/>
      <c r="K6" s="5"/>
      <c r="L6" s="123"/>
      <c r="M6" s="124"/>
    </row>
    <row r="7" spans="1:13" x14ac:dyDescent="0.25">
      <c r="A7" s="5" t="s">
        <v>94</v>
      </c>
      <c r="B7" s="118">
        <v>3</v>
      </c>
      <c r="C7">
        <v>7694</v>
      </c>
      <c r="D7" s="114">
        <f>C7+97</f>
        <v>7791</v>
      </c>
      <c r="E7" s="118">
        <f t="shared" ref="E7:E11" si="0">D7-C7</f>
        <v>97</v>
      </c>
      <c r="F7" s="118">
        <f>E7*100/D14</f>
        <v>16.220735785953178</v>
      </c>
      <c r="H7" s="125">
        <f>H4*(F7/100)</f>
        <v>0</v>
      </c>
      <c r="I7" s="112"/>
      <c r="J7" s="5"/>
      <c r="K7" s="5"/>
      <c r="L7" s="123"/>
      <c r="M7" s="124"/>
    </row>
    <row r="8" spans="1:13" x14ac:dyDescent="0.25">
      <c r="A8" s="5" t="s">
        <v>95</v>
      </c>
      <c r="B8" s="118">
        <v>4</v>
      </c>
      <c r="C8">
        <v>9262</v>
      </c>
      <c r="D8" s="114">
        <f>C8+107</f>
        <v>9369</v>
      </c>
      <c r="E8" s="118">
        <f t="shared" si="0"/>
        <v>107</v>
      </c>
      <c r="F8" s="118">
        <f>E8*100/D14</f>
        <v>17.892976588628763</v>
      </c>
      <c r="G8" s="5"/>
      <c r="H8" s="122">
        <f>H4*(F8/100)</f>
        <v>0</v>
      </c>
      <c r="I8" s="118"/>
      <c r="J8" s="5"/>
      <c r="K8" s="5"/>
      <c r="L8" s="123"/>
      <c r="M8" s="124"/>
    </row>
    <row r="9" spans="1:13" x14ac:dyDescent="0.25">
      <c r="A9" s="5" t="s">
        <v>96</v>
      </c>
      <c r="B9" s="118">
        <v>5</v>
      </c>
      <c r="C9">
        <v>10635</v>
      </c>
      <c r="D9" s="114">
        <f>C9+60</f>
        <v>10695</v>
      </c>
      <c r="E9" s="118">
        <f t="shared" si="0"/>
        <v>60</v>
      </c>
      <c r="F9" s="118">
        <f>E9*100/D14</f>
        <v>10.033444816053512</v>
      </c>
      <c r="G9" s="5"/>
      <c r="H9" s="122">
        <f>H4*(F9/100)</f>
        <v>0</v>
      </c>
      <c r="I9" s="118"/>
      <c r="J9" s="5"/>
      <c r="K9" s="5"/>
      <c r="L9" s="123"/>
      <c r="M9" s="124"/>
    </row>
    <row r="10" spans="1:13" x14ac:dyDescent="0.25">
      <c r="A10" s="5" t="s">
        <v>97</v>
      </c>
      <c r="B10" s="118">
        <v>6</v>
      </c>
      <c r="C10">
        <v>10706</v>
      </c>
      <c r="D10" s="114">
        <f>C10+37+12+12</f>
        <v>10767</v>
      </c>
      <c r="E10" s="118">
        <f t="shared" si="0"/>
        <v>61</v>
      </c>
      <c r="F10" s="118">
        <f>E10*100/D14</f>
        <v>10.200668896321071</v>
      </c>
      <c r="G10" s="5"/>
      <c r="H10" s="122">
        <f>H4*(F10/100)</f>
        <v>0</v>
      </c>
      <c r="I10" s="118"/>
      <c r="J10" s="5"/>
      <c r="K10" s="5"/>
      <c r="L10" s="123"/>
      <c r="M10" s="124"/>
    </row>
    <row r="11" spans="1:13" ht="15.75" thickBot="1" x14ac:dyDescent="0.3">
      <c r="A11" s="5" t="s">
        <v>98</v>
      </c>
      <c r="B11" s="118">
        <v>7</v>
      </c>
      <c r="C11">
        <v>13147</v>
      </c>
      <c r="D11" s="114">
        <f>C11+93</f>
        <v>13240</v>
      </c>
      <c r="E11" s="118">
        <f t="shared" si="0"/>
        <v>93</v>
      </c>
      <c r="F11" s="118">
        <f>E11*100/D14</f>
        <v>15.551839464882944</v>
      </c>
      <c r="G11" s="5"/>
      <c r="H11" s="122">
        <f>H4*(F11/100)</f>
        <v>0</v>
      </c>
      <c r="I11" s="118"/>
      <c r="J11" s="5"/>
      <c r="K11" s="5"/>
      <c r="L11" s="123"/>
      <c r="M11" s="124"/>
    </row>
    <row r="12" spans="1:13" ht="15.75" thickBot="1" x14ac:dyDescent="0.3">
      <c r="B12" s="126"/>
      <c r="C12" s="127">
        <f>SUM(C5:C11)</f>
        <v>66255</v>
      </c>
      <c r="D12" s="127">
        <f>SUM(D5:D11)</f>
        <v>66853</v>
      </c>
      <c r="E12" s="128">
        <f>SUM(E5:E11)</f>
        <v>598</v>
      </c>
      <c r="F12" s="127">
        <f>SUM(F5:F11)</f>
        <v>100.00000000000003</v>
      </c>
      <c r="G12" s="62"/>
      <c r="H12" s="127">
        <f>SUM(H5:H11)</f>
        <v>0</v>
      </c>
      <c r="I12" s="126"/>
      <c r="J12" s="126"/>
      <c r="K12" s="126"/>
      <c r="L12" s="129"/>
    </row>
    <row r="13" spans="1:13" ht="15.75" thickBot="1" x14ac:dyDescent="0.3">
      <c r="C13" s="130"/>
      <c r="H13" s="118"/>
      <c r="I13" s="118"/>
      <c r="J13" s="118"/>
    </row>
    <row r="14" spans="1:13" ht="15.75" thickBot="1" x14ac:dyDescent="0.3">
      <c r="B14" t="s">
        <v>99</v>
      </c>
      <c r="D14" s="131">
        <f>D12-C12</f>
        <v>598</v>
      </c>
      <c r="H14" s="118"/>
      <c r="I14" s="118"/>
      <c r="J14" s="118"/>
    </row>
    <row r="15" spans="1:13" x14ac:dyDescent="0.25">
      <c r="B15" t="s">
        <v>100</v>
      </c>
      <c r="H15" s="118"/>
      <c r="I15" s="118"/>
      <c r="J15" s="118"/>
    </row>
    <row r="16" spans="1:13" x14ac:dyDescent="0.25">
      <c r="B16" s="118"/>
      <c r="C16" s="112"/>
      <c r="D16" s="112"/>
      <c r="E16" s="112"/>
      <c r="F16" s="112"/>
      <c r="H16" s="112"/>
      <c r="I16" s="112"/>
      <c r="J16" s="112"/>
      <c r="K16" s="5"/>
    </row>
    <row r="17" spans="2:13" x14ac:dyDescent="0.25">
      <c r="B17" s="118"/>
      <c r="C17" s="112"/>
      <c r="D17" s="112"/>
      <c r="E17" s="112"/>
      <c r="F17" s="112"/>
      <c r="H17" s="121"/>
      <c r="I17" s="121"/>
      <c r="J17" s="121"/>
    </row>
    <row r="18" spans="2:13" ht="15.75" thickBot="1" x14ac:dyDescent="0.3">
      <c r="H18" s="118"/>
      <c r="I18" s="118"/>
      <c r="J18" s="118"/>
    </row>
    <row r="19" spans="2:13" x14ac:dyDescent="0.25">
      <c r="C19" s="132"/>
      <c r="D19" s="133"/>
      <c r="E19" s="133"/>
      <c r="F19" s="133"/>
      <c r="G19" s="133"/>
      <c r="H19" s="134"/>
      <c r="I19" s="134"/>
      <c r="J19" s="134"/>
      <c r="K19" s="133"/>
      <c r="L19" s="133"/>
      <c r="M19" s="135"/>
    </row>
    <row r="20" spans="2:13" x14ac:dyDescent="0.25">
      <c r="C20" s="136"/>
      <c r="E20" t="s">
        <v>101</v>
      </c>
      <c r="H20" s="137">
        <f>D14</f>
        <v>598</v>
      </c>
      <c r="I20" s="137"/>
      <c r="J20" s="137"/>
      <c r="K20" t="s">
        <v>102</v>
      </c>
      <c r="M20" s="138"/>
    </row>
    <row r="21" spans="2:13" x14ac:dyDescent="0.25">
      <c r="C21" s="136"/>
      <c r="D21" t="s">
        <v>103</v>
      </c>
      <c r="E21">
        <v>7</v>
      </c>
      <c r="F21" t="s">
        <v>104</v>
      </c>
      <c r="G21">
        <v>197</v>
      </c>
      <c r="H21" t="s">
        <v>105</v>
      </c>
      <c r="K21" t="s">
        <v>106</v>
      </c>
      <c r="M21" s="138"/>
    </row>
    <row r="22" spans="2:13" ht="15.75" thickBot="1" x14ac:dyDescent="0.3">
      <c r="C22" s="139"/>
      <c r="D22" s="140"/>
      <c r="E22" s="140"/>
      <c r="F22" s="140"/>
      <c r="G22" s="140"/>
      <c r="H22" s="140"/>
      <c r="I22" s="140"/>
      <c r="J22" s="140"/>
      <c r="K22" s="140"/>
      <c r="L22" s="140"/>
      <c r="M22" s="141"/>
    </row>
    <row r="25" spans="2:13" x14ac:dyDescent="0.25">
      <c r="K25" s="142" t="s">
        <v>82</v>
      </c>
    </row>
    <row r="26" spans="2:13" x14ac:dyDescent="0.25">
      <c r="G26" s="5"/>
      <c r="K26" s="120"/>
    </row>
    <row r="27" spans="2:13" x14ac:dyDescent="0.25">
      <c r="I27" t="s">
        <v>107</v>
      </c>
      <c r="J27" t="s">
        <v>5</v>
      </c>
      <c r="K27" t="s">
        <v>108</v>
      </c>
    </row>
    <row r="28" spans="2:13" x14ac:dyDescent="0.25">
      <c r="G28" s="5"/>
      <c r="H28" s="5" t="s">
        <v>97</v>
      </c>
      <c r="I28" s="5">
        <v>29829</v>
      </c>
      <c r="J28" s="123">
        <v>16000</v>
      </c>
      <c r="K28" s="124">
        <f t="shared" ref="K28" si="1">I28+J28</f>
        <v>45829</v>
      </c>
    </row>
    <row r="31" spans="2:13" x14ac:dyDescent="0.25">
      <c r="J31" t="s">
        <v>109</v>
      </c>
      <c r="K31">
        <v>117067</v>
      </c>
    </row>
    <row r="32" spans="2:13" x14ac:dyDescent="0.25">
      <c r="J32" t="s">
        <v>110</v>
      </c>
      <c r="K32">
        <v>-55000</v>
      </c>
    </row>
    <row r="33" spans="10:11" x14ac:dyDescent="0.25">
      <c r="J33" s="120" t="s">
        <v>111</v>
      </c>
      <c r="K33">
        <v>43965</v>
      </c>
    </row>
    <row r="34" spans="10:11" x14ac:dyDescent="0.25">
      <c r="K34" s="114">
        <f>SUM(K31:K33)</f>
        <v>106032</v>
      </c>
    </row>
  </sheetData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4"/>
  <sheetViews>
    <sheetView workbookViewId="0">
      <selection activeCell="N10" sqref="N10"/>
    </sheetView>
  </sheetViews>
  <sheetFormatPr baseColWidth="10" defaultRowHeight="15" x14ac:dyDescent="0.25"/>
  <cols>
    <col min="3" max="3" width="14.140625" bestFit="1" customWidth="1"/>
    <col min="4" max="4" width="15.140625" hidden="1" customWidth="1"/>
    <col min="5" max="5" width="12" hidden="1" customWidth="1"/>
    <col min="6" max="6" width="10.28515625" hidden="1" customWidth="1"/>
    <col min="7" max="7" width="11.140625" hidden="1" customWidth="1"/>
    <col min="8" max="8" width="11.42578125" customWidth="1"/>
    <col min="9" max="9" width="0.140625" customWidth="1"/>
    <col min="10" max="10" width="12" customWidth="1"/>
    <col min="11" max="11" width="0.140625" customWidth="1"/>
    <col min="12" max="13" width="12" customWidth="1"/>
    <col min="14" max="14" width="13" customWidth="1"/>
  </cols>
  <sheetData>
    <row r="1" spans="1:16" x14ac:dyDescent="0.25">
      <c r="D1" s="56">
        <v>50000</v>
      </c>
      <c r="H1" s="203">
        <v>250000</v>
      </c>
      <c r="I1" s="203"/>
      <c r="J1" s="203"/>
    </row>
    <row r="2" spans="1:16" x14ac:dyDescent="0.25">
      <c r="A2" s="53" t="s">
        <v>50</v>
      </c>
      <c r="B2" s="1"/>
      <c r="P2" s="21"/>
    </row>
    <row r="3" spans="1:16" ht="15.75" thickBot="1" x14ac:dyDescent="0.3">
      <c r="A3" s="27" t="s">
        <v>57</v>
      </c>
      <c r="B3" s="28"/>
      <c r="C3" s="29"/>
      <c r="D3" s="30" t="s">
        <v>38</v>
      </c>
      <c r="E3" s="28"/>
      <c r="F3" s="30" t="s">
        <v>50</v>
      </c>
      <c r="G3" s="28"/>
      <c r="H3" s="28"/>
      <c r="I3" s="54"/>
      <c r="J3" s="63"/>
      <c r="K3" s="54"/>
      <c r="L3" s="54"/>
      <c r="M3" s="54"/>
      <c r="N3" s="31"/>
      <c r="P3" s="21"/>
    </row>
    <row r="4" spans="1:16" x14ac:dyDescent="0.25">
      <c r="A4" s="2" t="s">
        <v>0</v>
      </c>
      <c r="B4" s="7" t="s">
        <v>1</v>
      </c>
      <c r="C4" s="7" t="s">
        <v>2</v>
      </c>
      <c r="D4" s="7" t="s">
        <v>19</v>
      </c>
      <c r="E4" s="7" t="s">
        <v>53</v>
      </c>
      <c r="F4" s="7" t="s">
        <v>51</v>
      </c>
      <c r="G4" s="2" t="s">
        <v>45</v>
      </c>
      <c r="H4" s="2" t="s">
        <v>6</v>
      </c>
      <c r="I4" s="55" t="s">
        <v>17</v>
      </c>
      <c r="J4" s="1" t="s">
        <v>54</v>
      </c>
      <c r="K4" s="68"/>
      <c r="L4" s="201" t="s">
        <v>61</v>
      </c>
      <c r="M4" s="81" t="s">
        <v>5</v>
      </c>
      <c r="N4" s="199" t="s">
        <v>55</v>
      </c>
      <c r="P4" s="21"/>
    </row>
    <row r="5" spans="1:16" x14ac:dyDescent="0.25">
      <c r="A5" s="2"/>
      <c r="B5" s="7"/>
      <c r="C5" s="7"/>
      <c r="D5" s="7" t="s">
        <v>20</v>
      </c>
      <c r="E5" s="57" t="s">
        <v>47</v>
      </c>
      <c r="F5" s="7"/>
      <c r="G5" s="37">
        <v>0.02</v>
      </c>
      <c r="H5" s="2" t="s">
        <v>7</v>
      </c>
      <c r="I5" s="43" t="s">
        <v>18</v>
      </c>
      <c r="J5" s="65" t="s">
        <v>60</v>
      </c>
      <c r="K5" s="58"/>
      <c r="L5" s="202"/>
      <c r="M5" s="82" t="s">
        <v>62</v>
      </c>
      <c r="N5" s="200"/>
      <c r="P5" s="21"/>
    </row>
    <row r="6" spans="1:16" x14ac:dyDescent="0.25">
      <c r="A6" s="11">
        <v>1</v>
      </c>
      <c r="B6" s="12" t="s">
        <v>22</v>
      </c>
      <c r="C6" s="60" t="s">
        <v>30</v>
      </c>
      <c r="D6" s="46">
        <v>0</v>
      </c>
      <c r="E6" s="46">
        <v>0</v>
      </c>
      <c r="F6" s="46">
        <f>+D6-E6</f>
        <v>0</v>
      </c>
      <c r="G6" s="51">
        <v>0</v>
      </c>
      <c r="H6" s="17">
        <v>0.121</v>
      </c>
      <c r="I6" s="44">
        <f>H$1*H6</f>
        <v>30250</v>
      </c>
      <c r="J6" s="66">
        <v>9706.619999999999</v>
      </c>
      <c r="K6" s="69"/>
      <c r="L6" s="66">
        <f>(J6+K6)*5%+(J6+K6)*5%+(J6+K6)*5%+(J6+K6)*5%+(J6+K6)*5%</f>
        <v>2426.6549999999997</v>
      </c>
      <c r="M6" s="46">
        <f>H$1*H6</f>
        <v>30250</v>
      </c>
      <c r="N6" s="67">
        <f>J6+K6+L6+M6</f>
        <v>42383.274999999994</v>
      </c>
      <c r="P6" s="21"/>
    </row>
    <row r="7" spans="1:16" ht="16.5" customHeight="1" x14ac:dyDescent="0.25">
      <c r="A7" s="11">
        <v>2</v>
      </c>
      <c r="B7" s="12" t="s">
        <v>23</v>
      </c>
      <c r="C7" s="60" t="s">
        <v>31</v>
      </c>
      <c r="D7" s="46">
        <v>0</v>
      </c>
      <c r="E7" s="46">
        <v>0</v>
      </c>
      <c r="F7" s="46">
        <f t="shared" ref="F7:F13" si="0">+D7-E7</f>
        <v>0</v>
      </c>
      <c r="G7" s="51">
        <v>0</v>
      </c>
      <c r="H7" s="17">
        <v>0.122</v>
      </c>
      <c r="I7" s="44">
        <f t="shared" ref="I7:I13" si="1">H$1*H7</f>
        <v>30500</v>
      </c>
      <c r="J7" s="66">
        <v>19573.68</v>
      </c>
      <c r="K7" s="69"/>
      <c r="L7" s="66">
        <f t="shared" ref="L7:L13" si="2">(J7+K7)*5%+(J7+K7)*5%+(J7+K7)*5%+(J7+K7)*5%+(J7+K7)*5%</f>
        <v>4893.42</v>
      </c>
      <c r="M7" s="46">
        <f t="shared" ref="M7:M13" si="3">H$1*H7</f>
        <v>30500</v>
      </c>
      <c r="N7" s="67">
        <f t="shared" ref="N7:N13" si="4">J7+K7+L7+M7</f>
        <v>54967.1</v>
      </c>
      <c r="P7" s="21"/>
    </row>
    <row r="8" spans="1:16" ht="26.25" x14ac:dyDescent="0.25">
      <c r="A8" s="11">
        <v>3</v>
      </c>
      <c r="B8" s="12" t="s">
        <v>24</v>
      </c>
      <c r="C8" s="60" t="s">
        <v>32</v>
      </c>
      <c r="D8" s="46">
        <v>0</v>
      </c>
      <c r="E8" s="46">
        <v>0</v>
      </c>
      <c r="F8" s="46">
        <f t="shared" si="0"/>
        <v>0</v>
      </c>
      <c r="G8" s="51">
        <v>0</v>
      </c>
      <c r="H8" s="17">
        <v>0.11700000000000001</v>
      </c>
      <c r="I8" s="44">
        <f t="shared" si="1"/>
        <v>29250</v>
      </c>
      <c r="J8" s="66">
        <v>0</v>
      </c>
      <c r="K8" s="69"/>
      <c r="L8" s="66">
        <f t="shared" si="2"/>
        <v>0</v>
      </c>
      <c r="M8" s="46">
        <f t="shared" si="3"/>
        <v>29250</v>
      </c>
      <c r="N8" s="67">
        <f t="shared" si="4"/>
        <v>29250</v>
      </c>
      <c r="P8" s="21"/>
    </row>
    <row r="9" spans="1:16" ht="26.25" x14ac:dyDescent="0.25">
      <c r="A9" s="11">
        <v>4</v>
      </c>
      <c r="B9" s="12" t="s">
        <v>25</v>
      </c>
      <c r="C9" s="60" t="s">
        <v>33</v>
      </c>
      <c r="D9" s="46">
        <v>0</v>
      </c>
      <c r="E9" s="46">
        <v>0</v>
      </c>
      <c r="F9" s="46">
        <f>+D9-E9</f>
        <v>0</v>
      </c>
      <c r="G9" s="51">
        <v>0</v>
      </c>
      <c r="H9" s="17">
        <v>0.11700000000000001</v>
      </c>
      <c r="I9" s="44">
        <f t="shared" si="1"/>
        <v>29250</v>
      </c>
      <c r="J9" s="66">
        <v>18771.480000000003</v>
      </c>
      <c r="K9" s="69"/>
      <c r="L9" s="66">
        <f t="shared" si="2"/>
        <v>4692.8700000000008</v>
      </c>
      <c r="M9" s="46">
        <f t="shared" si="3"/>
        <v>29250</v>
      </c>
      <c r="N9" s="67">
        <f t="shared" si="4"/>
        <v>52714.350000000006</v>
      </c>
      <c r="P9" s="21"/>
    </row>
    <row r="10" spans="1:16" x14ac:dyDescent="0.25">
      <c r="A10" s="11">
        <v>5</v>
      </c>
      <c r="B10" s="12" t="s">
        <v>26</v>
      </c>
      <c r="C10" s="60" t="s">
        <v>30</v>
      </c>
      <c r="D10" s="46">
        <v>0</v>
      </c>
      <c r="E10" s="46">
        <v>0</v>
      </c>
      <c r="F10" s="46">
        <f t="shared" si="0"/>
        <v>0</v>
      </c>
      <c r="G10" s="51">
        <v>0</v>
      </c>
      <c r="H10" s="17">
        <v>0.13700000000000001</v>
      </c>
      <c r="I10" s="44">
        <f t="shared" si="1"/>
        <v>34250</v>
      </c>
      <c r="J10" s="66">
        <v>10990.140000000001</v>
      </c>
      <c r="K10" s="69"/>
      <c r="L10" s="66">
        <f t="shared" si="2"/>
        <v>2747.5350000000003</v>
      </c>
      <c r="M10" s="46">
        <f t="shared" si="3"/>
        <v>34250</v>
      </c>
      <c r="N10" s="67">
        <f t="shared" si="4"/>
        <v>47987.675000000003</v>
      </c>
      <c r="P10" s="21"/>
    </row>
    <row r="11" spans="1:16" x14ac:dyDescent="0.25">
      <c r="A11" s="11">
        <v>6</v>
      </c>
      <c r="B11" s="12" t="s">
        <v>27</v>
      </c>
      <c r="C11" s="60" t="s">
        <v>30</v>
      </c>
      <c r="D11" s="46">
        <v>0</v>
      </c>
      <c r="E11" s="46">
        <v>0</v>
      </c>
      <c r="F11" s="46">
        <f t="shared" si="0"/>
        <v>0</v>
      </c>
      <c r="G11" s="51">
        <v>0</v>
      </c>
      <c r="H11" s="17">
        <v>0.13200000000000001</v>
      </c>
      <c r="I11" s="44">
        <f t="shared" si="1"/>
        <v>33000</v>
      </c>
      <c r="J11" s="66">
        <v>10589.04</v>
      </c>
      <c r="K11" s="69"/>
      <c r="L11" s="66">
        <f t="shared" si="2"/>
        <v>2647.2600000000007</v>
      </c>
      <c r="M11" s="46">
        <f t="shared" si="3"/>
        <v>33000</v>
      </c>
      <c r="N11" s="67">
        <f t="shared" si="4"/>
        <v>46236.3</v>
      </c>
      <c r="P11" s="21"/>
    </row>
    <row r="12" spans="1:16" ht="27.75" customHeight="1" x14ac:dyDescent="0.25">
      <c r="A12" s="11">
        <v>7</v>
      </c>
      <c r="B12" s="12" t="s">
        <v>28</v>
      </c>
      <c r="C12" s="60" t="s">
        <v>32</v>
      </c>
      <c r="D12" s="46">
        <v>0</v>
      </c>
      <c r="E12" s="46">
        <v>0</v>
      </c>
      <c r="F12" s="46">
        <f t="shared" si="0"/>
        <v>0</v>
      </c>
      <c r="G12" s="51">
        <v>0</v>
      </c>
      <c r="H12" s="17">
        <v>0.127</v>
      </c>
      <c r="I12" s="44">
        <f t="shared" si="1"/>
        <v>31750</v>
      </c>
      <c r="J12" s="66">
        <v>0</v>
      </c>
      <c r="K12" s="69"/>
      <c r="L12" s="66">
        <f t="shared" si="2"/>
        <v>0</v>
      </c>
      <c r="M12" s="46">
        <f t="shared" si="3"/>
        <v>31750</v>
      </c>
      <c r="N12" s="67">
        <f t="shared" si="4"/>
        <v>31750</v>
      </c>
      <c r="P12" s="21"/>
    </row>
    <row r="13" spans="1:16" ht="26.25" x14ac:dyDescent="0.25">
      <c r="A13" s="11">
        <v>8</v>
      </c>
      <c r="B13" s="12" t="s">
        <v>29</v>
      </c>
      <c r="C13" s="60" t="s">
        <v>34</v>
      </c>
      <c r="D13" s="46">
        <v>0</v>
      </c>
      <c r="E13" s="46">
        <v>0</v>
      </c>
      <c r="F13" s="46">
        <f t="shared" si="0"/>
        <v>0</v>
      </c>
      <c r="G13" s="51">
        <v>0</v>
      </c>
      <c r="H13" s="17">
        <v>0.127</v>
      </c>
      <c r="I13" s="44">
        <f t="shared" si="1"/>
        <v>31750</v>
      </c>
      <c r="J13" s="66">
        <v>0</v>
      </c>
      <c r="K13" s="69"/>
      <c r="L13" s="66">
        <f t="shared" si="2"/>
        <v>0</v>
      </c>
      <c r="M13" s="46">
        <f t="shared" si="3"/>
        <v>31750</v>
      </c>
      <c r="N13" s="67">
        <f t="shared" si="4"/>
        <v>31750</v>
      </c>
      <c r="P13" s="21"/>
    </row>
    <row r="14" spans="1:16" ht="15.75" thickBot="1" x14ac:dyDescent="0.3">
      <c r="A14" s="8" t="s">
        <v>11</v>
      </c>
      <c r="B14" s="9"/>
      <c r="C14" s="10"/>
      <c r="D14" s="47">
        <f>SUM(D6:D13)</f>
        <v>0</v>
      </c>
      <c r="E14" s="49">
        <f>SUM(E6:E13)</f>
        <v>0</v>
      </c>
      <c r="F14" s="47">
        <f t="shared" ref="F14" si="5">SUM(F6:F13)</f>
        <v>0</v>
      </c>
      <c r="G14" s="52">
        <f>SUM(G6:G13)</f>
        <v>0</v>
      </c>
      <c r="H14" s="15">
        <f t="shared" ref="H14:I14" si="6">SUM(H6:H13)</f>
        <v>1</v>
      </c>
      <c r="I14" s="39">
        <f t="shared" si="6"/>
        <v>250000</v>
      </c>
      <c r="J14" s="42">
        <f>SUM(J6:J13)</f>
        <v>69630.959999999992</v>
      </c>
      <c r="K14" s="42">
        <f>SUM(K6:K13)</f>
        <v>0</v>
      </c>
      <c r="L14" s="42"/>
      <c r="M14" s="42">
        <f>SUM(M6:M13)</f>
        <v>250000</v>
      </c>
      <c r="N14" s="39">
        <f>SUM(N6:N13)</f>
        <v>337038.7</v>
      </c>
      <c r="P14" s="21"/>
    </row>
  </sheetData>
  <mergeCells count="3">
    <mergeCell ref="N4:N5"/>
    <mergeCell ref="L4:L5"/>
    <mergeCell ref="H1:J1"/>
  </mergeCells>
  <pageMargins left="0.7" right="0.7" top="0.75" bottom="0.75" header="0.3" footer="0.3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detalle y gastos</vt:lpstr>
      <vt:lpstr>prorrateo </vt:lpstr>
      <vt:lpstr>edesur</vt:lpstr>
      <vt:lpstr>eXTR</vt:lpstr>
      <vt:lpstr>'detalle y gastos'!Área_de_impresión</vt:lpstr>
      <vt:lpstr>edesur!Área_de_impresión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2025-03-17T14:59:48Z</cp:lastPrinted>
  <dcterms:created xsi:type="dcterms:W3CDTF">2020-12-10T00:27:53Z</dcterms:created>
  <dcterms:modified xsi:type="dcterms:W3CDTF">2025-03-19T14:13:41Z</dcterms:modified>
</cp:coreProperties>
</file>