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DRAGO\Julio\"/>
    </mc:Choice>
  </mc:AlternateContent>
  <xr:revisionPtr revIDLastSave="0" documentId="13_ncr:1_{A079FB6A-8060-451B-B8C1-6A1CFDF2F1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gastos'!$A$1:$C$51</definedName>
    <definedName name="_xlnm.Print_Area" localSheetId="1">'prorrateo '!$A$1:$M$14</definedName>
  </definedNames>
  <calcPr calcId="181029"/>
</workbook>
</file>

<file path=xl/calcChain.xml><?xml version="1.0" encoding="utf-8"?>
<calcChain xmlns="http://schemas.openxmlformats.org/spreadsheetml/2006/main">
  <c r="F6" i="1" l="1"/>
  <c r="F10" i="1" l="1"/>
  <c r="C24" i="3" l="1"/>
  <c r="F11" i="1"/>
  <c r="F5" i="1" l="1"/>
  <c r="G1" i="1" l="1"/>
  <c r="J13" i="1" l="1"/>
  <c r="K5" i="1"/>
  <c r="C27" i="3" l="1"/>
  <c r="F7" i="1"/>
  <c r="C22" i="3" l="1"/>
  <c r="C28" i="3" s="1"/>
  <c r="C35" i="3"/>
  <c r="F9" i="1" l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0" i="3" l="1"/>
  <c r="K14" i="4" l="1"/>
  <c r="N14" i="4" l="1"/>
  <c r="J14" i="4" l="1"/>
  <c r="C43" i="3" l="1"/>
  <c r="I7" i="4" l="1"/>
  <c r="I8" i="4"/>
  <c r="I9" i="4"/>
  <c r="I10" i="4"/>
  <c r="I11" i="4"/>
  <c r="I12" i="4"/>
  <c r="I13" i="4"/>
  <c r="I6" i="4"/>
  <c r="G7" i="1" l="1"/>
  <c r="H7" i="1" s="1"/>
  <c r="G8" i="1"/>
  <c r="H8" i="1" s="1"/>
  <c r="G9" i="1"/>
  <c r="H9" i="1" s="1"/>
  <c r="G10" i="1"/>
  <c r="H10" i="1" s="1"/>
  <c r="G5" i="1"/>
  <c r="G11" i="1"/>
  <c r="H11" i="1" s="1"/>
  <c r="H5" i="1" l="1"/>
  <c r="L5" i="1" s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s="1"/>
  <c r="L6" i="1" s="1"/>
  <c r="M6" i="1" s="1"/>
  <c r="G12" i="1" l="1"/>
  <c r="H12" i="1" s="1"/>
  <c r="L12" i="1" s="1"/>
  <c r="M12" i="1" s="1"/>
  <c r="E13" i="1"/>
  <c r="E22" i="1"/>
  <c r="K13" i="1"/>
  <c r="L13" i="1" l="1"/>
  <c r="C41" i="3"/>
  <c r="C44" i="3" s="1"/>
  <c r="F9" i="4" l="1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K21" i="1"/>
  <c r="K22" i="1"/>
  <c r="K23" i="1"/>
  <c r="K24" i="1"/>
  <c r="K25" i="1"/>
  <c r="K26" i="1"/>
  <c r="K27" i="1"/>
  <c r="K20" i="1"/>
  <c r="M22" i="1" l="1"/>
  <c r="M25" i="1"/>
  <c r="M20" i="1"/>
  <c r="M24" i="1"/>
  <c r="M26" i="1"/>
  <c r="M27" i="1"/>
  <c r="M23" i="1"/>
  <c r="M21" i="1"/>
  <c r="M28" i="1" l="1"/>
  <c r="K28" i="1"/>
  <c r="I28" i="1"/>
  <c r="H28" i="1"/>
  <c r="F28" i="1"/>
  <c r="M13" i="1" l="1"/>
  <c r="H13" i="1"/>
  <c r="I13" i="1"/>
  <c r="C37" i="3" l="1"/>
</calcChain>
</file>

<file path=xl/sharedStrings.xml><?xml version="1.0" encoding="utf-8"?>
<sst xmlns="http://schemas.openxmlformats.org/spreadsheetml/2006/main" count="155" uniqueCount="93">
  <si>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</si>
  <si>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</si>
  <si>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</si>
  <si>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</si>
  <si>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</si>
  <si>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</si>
  <si>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</si>
  <si>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</si>
  <si>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</si>
  <si>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</si>
  <si>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</si>
  <si>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</si>
  <si>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</si>
  <si>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</si>
  <si>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</si>
  <si>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</si>
  <si>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</si>
  <si>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</si>
  <si>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</si>
  <si>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</si>
  <si>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</si>
  <si>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</si>
  <si>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</si>
  <si>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</si>
  <si>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</si>
  <si>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</si>
  <si>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</si>
  <si>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</si>
  <si>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</si>
  <si>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</si>
  <si>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</si>
  <si>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</si>
  <si>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</si>
  <si>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</si>
  <si>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</si>
  <si>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</si>
  <si>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</si>
  <si>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</si>
  <si>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</si>
  <si>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</si>
  <si>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</si>
  <si>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</si>
  <si>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</si>
  <si>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</si>
  <si>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</si>
  <si>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</si>
  <si>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</si>
  <si>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</si>
  <si>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</si>
  <si>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>Exp. Extraord.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</si>
  <si>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</si>
  <si>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</si>
  <si>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</si>
  <si>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</si>
  <si>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</si>
  <si>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DEUDAS</t>
  </si>
  <si>
    <t>Liquidación de mes: JULIO 2022</t>
  </si>
  <si>
    <t>Pago</t>
  </si>
  <si>
    <t>DEUDA</t>
  </si>
  <si>
    <t>TOTAL A PAGAR</t>
  </si>
  <si>
    <t>Inquilinos</t>
  </si>
  <si>
    <t>Pamela</t>
  </si>
  <si>
    <t>Nicolas</t>
  </si>
  <si>
    <t>Melina</t>
  </si>
  <si>
    <t>Fabio</t>
  </si>
  <si>
    <t>Lucas</t>
  </si>
  <si>
    <t>Damian</t>
  </si>
  <si>
    <t>Enzo</t>
  </si>
  <si>
    <t>Liquidación de mes: DICIEMBRE 2023</t>
  </si>
  <si>
    <t>CAJA EXTRAORDINARIA</t>
  </si>
  <si>
    <t>MP 1148</t>
  </si>
  <si>
    <t>Seguro Sra. Monica</t>
  </si>
  <si>
    <t>Sueldo Sra. Monica</t>
  </si>
  <si>
    <t>ENERO</t>
  </si>
  <si>
    <t>PUNITORIOS DE 5 MESES</t>
  </si>
  <si>
    <t>EXTRAORD</t>
  </si>
  <si>
    <t>Honorarios administracion</t>
  </si>
  <si>
    <t xml:space="preserve">Zurich Nro Poliza. 70050787 </t>
  </si>
  <si>
    <t>Pago efectivo</t>
  </si>
  <si>
    <t>Egresos por gastos del mes ordinarios</t>
  </si>
  <si>
    <t>Punitorios mal cobrados</t>
  </si>
  <si>
    <t>GASTOS PART</t>
  </si>
  <si>
    <t xml:space="preserve">TOTAL GASTOS ORDINARIOS (A) </t>
  </si>
  <si>
    <t>Prevision ord</t>
  </si>
  <si>
    <t>Expensas ordinarias</t>
  </si>
  <si>
    <t>Expensas 1er Vto</t>
  </si>
  <si>
    <t>Expensas 2do Vto</t>
  </si>
  <si>
    <t>Valeria</t>
  </si>
  <si>
    <t>AUMENTADOS EN JUNI 2025</t>
  </si>
  <si>
    <t>Articulos de limpieza</t>
  </si>
  <si>
    <t>LIQUIDACIÓN EXPENSAS julio 2025</t>
  </si>
  <si>
    <t>Período julio 2025</t>
  </si>
  <si>
    <t>Vto. 14/08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</si>
</sst>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6" fontId="1" fillId="3" borderId="14" xfId="2" applyNumberFormat="1" applyFont="1" applyFill="1" applyBorder="1"/>
    <xf numFmtId="164" fontId="10" fillId="0" borderId="1" xfId="2" applyFont="1" applyBorder="1"/>
    <xf numFmtId="3" fontId="0" fillId="0" borderId="12" xfId="0" applyNumberFormat="1" applyBorder="1"/>
    <xf numFmtId="166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166" fontId="0" fillId="0" borderId="0" xfId="0" applyNumberFormat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4" fontId="0" fillId="0" borderId="0" xfId="2" applyFont="1"/>
    <xf numFmtId="16" fontId="0" fillId="0" borderId="6" xfId="0" applyNumberFormat="1" applyBorder="1" applyAlignment="1">
      <alignment horizontal="center"/>
    </xf>
    <xf numFmtId="165" fontId="0" fillId="0" borderId="0" xfId="0" applyNumberFormat="1"/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5" fontId="0" fillId="0" borderId="3" xfId="0" applyNumberFormat="1" applyBorder="1"/>
    <xf numFmtId="4" fontId="1" fillId="3" borderId="0" xfId="0" applyNumberFormat="1" applyFont="1" applyFill="1"/>
    <xf numFmtId="166" fontId="0" fillId="0" borderId="1" xfId="2" applyNumberFormat="1" applyFont="1" applyBorder="1"/>
    <xf numFmtId="4" fontId="16" fillId="6" borderId="1" xfId="0" applyNumberFormat="1" applyFont="1" applyFill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21" xfId="0" applyFill="1" applyBorder="1"/>
    <xf numFmtId="0" fontId="0" fillId="2" borderId="22" xfId="0" applyFill="1" applyBorder="1"/>
    <xf numFmtId="0" fontId="0" fillId="0" borderId="23" xfId="0" applyBorder="1" applyAlignment="1">
      <alignment horizontal="center"/>
    </xf>
    <xf numFmtId="3" fontId="1" fillId="3" borderId="24" xfId="2" applyNumberFormat="1" applyFont="1" applyFill="1" applyBorder="1"/>
    <xf numFmtId="4" fontId="1" fillId="3" borderId="24" xfId="0" applyNumberFormat="1" applyFont="1" applyFill="1" applyBorder="1"/>
    <xf numFmtId="0" fontId="1" fillId="2" borderId="25" xfId="0" applyFont="1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1" fillId="2" borderId="21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26" xfId="2" applyFont="1" applyBorder="1"/>
    <xf numFmtId="0" fontId="1" fillId="3" borderId="27" xfId="0" applyFont="1" applyFill="1" applyBorder="1" applyAlignment="1">
      <alignment horizontal="left"/>
    </xf>
    <xf numFmtId="0" fontId="0" fillId="3" borderId="24" xfId="0" applyFill="1" applyBorder="1" applyAlignment="1">
      <alignment horizontal="center"/>
    </xf>
    <xf numFmtId="0" fontId="0" fillId="3" borderId="24" xfId="0" applyFill="1" applyBorder="1"/>
    <xf numFmtId="166" fontId="1" fillId="3" borderId="24" xfId="2" applyNumberFormat="1" applyFont="1" applyFill="1" applyBorder="1"/>
    <xf numFmtId="166" fontId="1" fillId="3" borderId="28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11" fillId="0" borderId="0" xfId="2" applyFont="1" applyAlignment="1">
      <alignment horizontal="center"/>
    </xf>
    <xf numFmtId="4" fontId="16" fillId="6" borderId="1" xfId="0" applyNumberFormat="1" applyFont="1" applyFill="1" applyBorder="1" applyAlignment="1">
      <alignment horizontal="right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4"/>
  <sheetViews>
    <sheetView tabSelected="1" workbookViewId="0">
      <selection activeCell="C8" sqref="C8"/>
    </sheetView>
  </sheetViews>
  <sheetFormatPr baseColWidth="10" defaultRowHeight="14.4" x14ac:dyDescent="0.3"/>
  <cols>
    <col min="1" max="1" width="38" customWidth="1"/>
    <col min="2" max="2" width="40.33203125" customWidth="1"/>
    <col min="3" max="3" width="16.44140625" customWidth="1"/>
    <col min="4" max="4" width="12.109375" bestFit="1" customWidth="1"/>
    <col min="6" max="6" width="13" bestFit="1" customWidth="1"/>
  </cols>
  <sheetData>
    <row r="2" spans="1:3" x14ac:dyDescent="0.3">
      <c r="B2" t="s">
        <v>21</v>
      </c>
      <c r="C2" t="s">
        <v>70</v>
      </c>
    </row>
    <row r="3" spans="1:3" x14ac:dyDescent="0.3">
      <c r="B3" t="s">
        <v>12</v>
      </c>
    </row>
    <row r="4" spans="1:3" x14ac:dyDescent="0.3">
      <c r="B4" s="4" t="s">
        <v>8</v>
      </c>
    </row>
    <row r="5" spans="1:3" ht="8.25" customHeight="1" x14ac:dyDescent="0.3">
      <c r="A5" s="3"/>
      <c r="B5" s="25"/>
      <c r="C5" s="3"/>
    </row>
    <row r="7" spans="1:3" x14ac:dyDescent="0.3">
      <c r="A7" s="26" t="s">
        <v>39</v>
      </c>
      <c r="B7" s="27" t="s">
        <v>90</v>
      </c>
      <c r="C7" s="27" t="s">
        <v>92</v>
      </c>
    </row>
    <row r="8" spans="1:3" x14ac:dyDescent="0.3">
      <c r="A8" s="3"/>
      <c r="B8" s="3"/>
      <c r="C8" s="3"/>
    </row>
    <row r="10" spans="1:3" x14ac:dyDescent="0.3">
      <c r="A10" s="16" t="s">
        <v>50</v>
      </c>
    </row>
    <row r="11" spans="1:3" x14ac:dyDescent="0.3">
      <c r="A11" t="s">
        <v>41</v>
      </c>
      <c r="B11" t="s">
        <v>44</v>
      </c>
    </row>
    <row r="12" spans="1:3" x14ac:dyDescent="0.3">
      <c r="A12" t="s">
        <v>42</v>
      </c>
      <c r="B12" t="s">
        <v>51</v>
      </c>
    </row>
    <row r="13" spans="1:3" x14ac:dyDescent="0.3">
      <c r="A13" t="s">
        <v>45</v>
      </c>
    </row>
    <row r="15" spans="1:3" x14ac:dyDescent="0.3">
      <c r="A15" s="23" t="s">
        <v>14</v>
      </c>
    </row>
    <row r="16" spans="1:3" x14ac:dyDescent="0.3">
      <c r="A16" s="86" t="s">
        <v>13</v>
      </c>
      <c r="B16" s="77"/>
      <c r="C16" s="11"/>
    </row>
    <row r="17" spans="1:8" ht="14.25" customHeight="1" x14ac:dyDescent="0.3">
      <c r="A17" s="77" t="s">
        <v>54</v>
      </c>
      <c r="B17" s="87" t="s">
        <v>77</v>
      </c>
      <c r="C17" s="99">
        <v>41718</v>
      </c>
      <c r="D17" s="5"/>
      <c r="E17" s="14"/>
    </row>
    <row r="18" spans="1:8" x14ac:dyDescent="0.3">
      <c r="A18" s="77" t="s">
        <v>71</v>
      </c>
      <c r="B18" s="88"/>
      <c r="C18" s="84">
        <v>3567.21</v>
      </c>
      <c r="D18" s="49"/>
      <c r="E18" s="14"/>
    </row>
    <row r="19" spans="1:8" x14ac:dyDescent="0.3">
      <c r="A19" s="77" t="s">
        <v>46</v>
      </c>
      <c r="B19" s="89" t="s">
        <v>78</v>
      </c>
      <c r="C19" s="99">
        <v>15030.94</v>
      </c>
      <c r="D19" s="5"/>
      <c r="E19" s="14"/>
      <c r="F19" s="18"/>
    </row>
    <row r="20" spans="1:8" x14ac:dyDescent="0.3">
      <c r="A20" s="77" t="s">
        <v>35</v>
      </c>
      <c r="B20" s="89" t="s">
        <v>78</v>
      </c>
      <c r="C20" s="138">
        <v>145207.69</v>
      </c>
      <c r="D20" s="49"/>
      <c r="F20" s="14"/>
    </row>
    <row r="21" spans="1:8" x14ac:dyDescent="0.3">
      <c r="A21" s="77" t="s">
        <v>36</v>
      </c>
      <c r="B21" s="89" t="s">
        <v>76</v>
      </c>
      <c r="C21" s="84">
        <v>44500</v>
      </c>
      <c r="D21" s="5"/>
      <c r="E21" s="14"/>
      <c r="H21" t="s">
        <v>88</v>
      </c>
    </row>
    <row r="22" spans="1:8" x14ac:dyDescent="0.3">
      <c r="A22" s="90"/>
      <c r="B22" s="91"/>
      <c r="C22" s="64">
        <f>SUM(C17:C21)</f>
        <v>250023.84</v>
      </c>
    </row>
    <row r="23" spans="1:8" x14ac:dyDescent="0.3">
      <c r="A23" s="86" t="s">
        <v>37</v>
      </c>
      <c r="B23" s="89"/>
      <c r="C23" s="120"/>
    </row>
    <row r="24" spans="1:8" ht="15.6" x14ac:dyDescent="0.3">
      <c r="A24" s="77" t="s">
        <v>72</v>
      </c>
      <c r="B24" s="92" t="s">
        <v>91</v>
      </c>
      <c r="C24" s="84">
        <f>65200+65200*5%</f>
        <v>68460</v>
      </c>
      <c r="F24" s="22"/>
    </row>
    <row r="25" spans="1:8" ht="15.6" x14ac:dyDescent="0.3">
      <c r="A25" s="77" t="s">
        <v>89</v>
      </c>
      <c r="B25" s="92"/>
      <c r="C25" s="99">
        <v>33650</v>
      </c>
      <c r="F25" s="22"/>
    </row>
    <row r="26" spans="1:8" ht="15.6" x14ac:dyDescent="0.3">
      <c r="A26" s="77" t="s">
        <v>83</v>
      </c>
      <c r="B26" s="89"/>
      <c r="C26" s="85"/>
      <c r="D26" s="5"/>
      <c r="E26" s="14"/>
      <c r="F26" s="22"/>
    </row>
    <row r="27" spans="1:8" ht="15.6" x14ac:dyDescent="0.3">
      <c r="A27" s="90"/>
      <c r="B27" s="91"/>
      <c r="C27" s="64">
        <f>SUM(C23:C26)</f>
        <v>102110</v>
      </c>
      <c r="F27" s="22"/>
    </row>
    <row r="28" spans="1:8" ht="15.6" x14ac:dyDescent="0.3">
      <c r="A28" s="80" t="s">
        <v>82</v>
      </c>
      <c r="B28" s="80"/>
      <c r="C28" s="93">
        <f>+C27+C22</f>
        <v>352133.83999999997</v>
      </c>
      <c r="F28" s="22"/>
    </row>
    <row r="29" spans="1:8" ht="15.6" x14ac:dyDescent="0.3">
      <c r="C29" s="65"/>
      <c r="F29" s="22"/>
    </row>
    <row r="30" spans="1:8" ht="15.6" x14ac:dyDescent="0.3">
      <c r="A30" s="23" t="s">
        <v>47</v>
      </c>
      <c r="C30" s="65"/>
      <c r="F30" s="22"/>
    </row>
    <row r="31" spans="1:8" ht="15.6" x14ac:dyDescent="0.3">
      <c r="A31" s="77"/>
      <c r="B31" s="77"/>
      <c r="C31" s="84"/>
      <c r="F31" s="22"/>
    </row>
    <row r="32" spans="1:8" ht="15.6" x14ac:dyDescent="0.3">
      <c r="A32" s="77"/>
      <c r="B32" s="77"/>
      <c r="C32" s="85"/>
      <c r="F32" s="22"/>
    </row>
    <row r="33" spans="1:6" ht="15.6" x14ac:dyDescent="0.3">
      <c r="A33" s="77"/>
      <c r="B33" s="77"/>
      <c r="C33" s="85"/>
      <c r="F33" s="22"/>
    </row>
    <row r="34" spans="1:6" ht="15.6" x14ac:dyDescent="0.3">
      <c r="C34" s="67"/>
      <c r="F34" s="22"/>
    </row>
    <row r="35" spans="1:6" x14ac:dyDescent="0.3">
      <c r="A35" s="23" t="s">
        <v>43</v>
      </c>
      <c r="B35" s="23"/>
      <c r="C35" s="24">
        <f>+C31+C32+C33+C34</f>
        <v>0</v>
      </c>
      <c r="E35" s="14"/>
    </row>
    <row r="37" spans="1:6" x14ac:dyDescent="0.3">
      <c r="A37" s="35" t="s">
        <v>15</v>
      </c>
      <c r="B37" s="35"/>
      <c r="C37" s="36">
        <f>+C35+C28</f>
        <v>352133.83999999997</v>
      </c>
    </row>
    <row r="39" spans="1:6" x14ac:dyDescent="0.3">
      <c r="A39" s="5" t="s">
        <v>38</v>
      </c>
    </row>
    <row r="40" spans="1:6" x14ac:dyDescent="0.3">
      <c r="A40" s="37" t="s">
        <v>10</v>
      </c>
      <c r="B40" s="34"/>
      <c r="C40" s="41">
        <v>260801.88812239992</v>
      </c>
      <c r="D40" s="6"/>
      <c r="E40" s="6"/>
    </row>
    <row r="41" spans="1:6" x14ac:dyDescent="0.3">
      <c r="A41" t="s">
        <v>9</v>
      </c>
      <c r="C41" s="33">
        <f>'prorrateo '!F13</f>
        <v>391672.39302100008</v>
      </c>
      <c r="D41" s="14"/>
      <c r="E41" s="14"/>
    </row>
    <row r="42" spans="1:6" x14ac:dyDescent="0.3">
      <c r="A42" t="s">
        <v>80</v>
      </c>
      <c r="C42" s="94"/>
      <c r="D42" s="14"/>
      <c r="E42" s="14"/>
    </row>
    <row r="43" spans="1:6" x14ac:dyDescent="0.3">
      <c r="A43" t="s">
        <v>79</v>
      </c>
      <c r="C43" s="94">
        <f>-(C28-C26)</f>
        <v>-352133.83999999997</v>
      </c>
    </row>
    <row r="44" spans="1:6" x14ac:dyDescent="0.3">
      <c r="A44" s="37" t="s">
        <v>16</v>
      </c>
      <c r="B44" s="34"/>
      <c r="C44" s="41">
        <f>SUM(C40:C43)</f>
        <v>300340.44114340004</v>
      </c>
      <c r="D44" s="6"/>
    </row>
    <row r="45" spans="1:6" x14ac:dyDescent="0.3">
      <c r="A45" s="19"/>
      <c r="B45" s="18"/>
      <c r="C45" s="20"/>
    </row>
    <row r="46" spans="1:6" x14ac:dyDescent="0.3">
      <c r="A46" s="19"/>
      <c r="B46" s="18"/>
      <c r="C46" s="20"/>
      <c r="F46" s="95"/>
    </row>
    <row r="47" spans="1:6" x14ac:dyDescent="0.3">
      <c r="A47" s="19"/>
      <c r="B47" s="18"/>
      <c r="C47" s="20"/>
    </row>
    <row r="48" spans="1:6" ht="15.6" x14ac:dyDescent="0.3">
      <c r="A48" s="76" t="s">
        <v>69</v>
      </c>
      <c r="B48" s="100"/>
      <c r="C48" s="101">
        <v>109834.99657000002</v>
      </c>
    </row>
    <row r="49" spans="1:3" x14ac:dyDescent="0.3">
      <c r="A49" s="77"/>
      <c r="B49" s="77"/>
      <c r="C49" s="83"/>
    </row>
    <row r="50" spans="1:3" x14ac:dyDescent="0.3">
      <c r="A50" s="80" t="s">
        <v>4</v>
      </c>
      <c r="B50" s="78"/>
      <c r="C50" s="79">
        <f>SUM(C48:C49)</f>
        <v>109834.99657000002</v>
      </c>
    </row>
    <row r="51" spans="1:3" x14ac:dyDescent="0.3">
      <c r="A51" s="18"/>
      <c r="B51" s="18"/>
      <c r="C51" s="18"/>
    </row>
    <row r="52" spans="1:3" x14ac:dyDescent="0.3">
      <c r="A52" s="18"/>
      <c r="B52" s="18"/>
      <c r="C52" s="18"/>
    </row>
    <row r="53" spans="1:3" x14ac:dyDescent="0.3">
      <c r="A53" s="18"/>
      <c r="B53" s="18"/>
      <c r="C53" s="18"/>
    </row>
    <row r="54" spans="1:3" x14ac:dyDescent="0.3">
      <c r="A54" s="18"/>
      <c r="B54" s="18"/>
      <c r="C54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topLeftCell="B1" workbookViewId="0">
      <selection activeCell="E1" sqref="E1"/>
    </sheetView>
  </sheetViews>
  <sheetFormatPr baseColWidth="10" defaultRowHeight="14.4" x14ac:dyDescent="0.3"/>
  <cols>
    <col min="1" max="1" width="5.33203125" style="1" customWidth="1"/>
    <col min="2" max="2" width="8" style="1" customWidth="1"/>
    <col min="3" max="3" width="23.44140625" bestFit="1" customWidth="1"/>
    <col min="4" max="4" width="9.88671875" bestFit="1" customWidth="1"/>
    <col min="5" max="5" width="16.33203125" customWidth="1"/>
    <col min="6" max="6" width="12.44140625" bestFit="1" customWidth="1"/>
    <col min="7" max="7" width="12.44140625" customWidth="1"/>
    <col min="8" max="8" width="9.33203125" bestFit="1" customWidth="1"/>
    <col min="9" max="9" width="10.44140625" customWidth="1"/>
    <col min="10" max="10" width="10.5546875" hidden="1" customWidth="1"/>
    <col min="11" max="12" width="12.44140625" customWidth="1"/>
    <col min="13" max="13" width="12.44140625" bestFit="1" customWidth="1"/>
    <col min="15" max="15" width="11.44140625" style="21"/>
  </cols>
  <sheetData>
    <row r="1" spans="1:17" ht="15" thickBot="1" x14ac:dyDescent="0.35">
      <c r="A1" s="55" t="s">
        <v>52</v>
      </c>
      <c r="E1" s="51">
        <v>321624.45999999996</v>
      </c>
      <c r="G1" t="str">
        <f>'detalle y gastos'!C7</f>
        <v>Vto. 14/08</v>
      </c>
    </row>
    <row r="2" spans="1:17" x14ac:dyDescent="0.3">
      <c r="A2" s="107" t="str">
        <f>'detalle y gastos'!B7</f>
        <v>LIQUIDACIÓN EXPENSAS julio 2025</v>
      </c>
      <c r="B2" s="102"/>
      <c r="C2" s="108"/>
      <c r="D2" s="108"/>
      <c r="E2" s="109" t="s">
        <v>40</v>
      </c>
      <c r="F2" s="102"/>
      <c r="G2" s="102"/>
      <c r="H2" s="102"/>
      <c r="I2" s="102"/>
      <c r="J2" s="102"/>
      <c r="K2" s="102"/>
      <c r="L2" s="102"/>
      <c r="M2" s="103"/>
    </row>
    <row r="3" spans="1:17" x14ac:dyDescent="0.3">
      <c r="A3" s="124"/>
      <c r="B3" s="122" t="s">
        <v>1</v>
      </c>
      <c r="C3" s="130" t="s">
        <v>2</v>
      </c>
      <c r="D3" s="131" t="s">
        <v>60</v>
      </c>
      <c r="E3" s="122" t="s">
        <v>19</v>
      </c>
      <c r="F3" s="128" t="s">
        <v>3</v>
      </c>
      <c r="G3" s="130" t="s">
        <v>58</v>
      </c>
      <c r="H3" s="128" t="s">
        <v>48</v>
      </c>
      <c r="I3" s="130" t="s">
        <v>7</v>
      </c>
      <c r="J3" s="132" t="s">
        <v>81</v>
      </c>
      <c r="K3" s="126" t="s">
        <v>84</v>
      </c>
      <c r="L3" s="126" t="s">
        <v>85</v>
      </c>
      <c r="M3" s="126" t="s">
        <v>86</v>
      </c>
    </row>
    <row r="4" spans="1:17" x14ac:dyDescent="0.3">
      <c r="A4" s="125"/>
      <c r="B4" s="123"/>
      <c r="C4" s="130"/>
      <c r="D4" s="131"/>
      <c r="E4" s="123"/>
      <c r="F4" s="129"/>
      <c r="G4" s="130"/>
      <c r="H4" s="129"/>
      <c r="I4" s="130"/>
      <c r="J4" s="132"/>
      <c r="K4" s="127"/>
      <c r="L4" s="127"/>
      <c r="M4" s="127"/>
    </row>
    <row r="5" spans="1:17" x14ac:dyDescent="0.3">
      <c r="A5" s="104">
        <v>1</v>
      </c>
      <c r="B5" s="12" t="s">
        <v>22</v>
      </c>
      <c r="C5" s="62" t="s">
        <v>30</v>
      </c>
      <c r="D5" s="62" t="s">
        <v>66</v>
      </c>
      <c r="E5" s="47">
        <v>38532.256399999998</v>
      </c>
      <c r="F5" s="121">
        <f>E5</f>
        <v>38532.256399999998</v>
      </c>
      <c r="G5" s="47">
        <f>E5-F5</f>
        <v>0</v>
      </c>
      <c r="H5" s="47">
        <f>IF(G5&gt;0,G5*5%,0)</f>
        <v>0</v>
      </c>
      <c r="I5" s="110">
        <v>0.121</v>
      </c>
      <c r="J5" s="98"/>
      <c r="K5" s="111">
        <f>E1*I5</f>
        <v>38916.559659999992</v>
      </c>
      <c r="L5" s="111">
        <f>E5-F5+H5+K5+J5</f>
        <v>38916.559659999992</v>
      </c>
      <c r="M5" s="112">
        <f>L5+L5*4%</f>
        <v>40473.222046399991</v>
      </c>
    </row>
    <row r="6" spans="1:17" x14ac:dyDescent="0.3">
      <c r="A6" s="104">
        <v>2</v>
      </c>
      <c r="B6" s="12" t="s">
        <v>23</v>
      </c>
      <c r="C6" s="62" t="s">
        <v>31</v>
      </c>
      <c r="D6" s="62" t="s">
        <v>67</v>
      </c>
      <c r="E6" s="47">
        <v>47715.447421000004</v>
      </c>
      <c r="F6" s="121">
        <f>E6</f>
        <v>47715.447421000004</v>
      </c>
      <c r="G6" s="47">
        <f t="shared" ref="G6:G12" si="0">E6-F6</f>
        <v>0</v>
      </c>
      <c r="H6" s="47">
        <f t="shared" ref="H6:H12" si="1">IF(G6&gt;0,G6*5%,0)</f>
        <v>0</v>
      </c>
      <c r="I6" s="110">
        <v>0.122</v>
      </c>
      <c r="J6" s="98"/>
      <c r="K6" s="111">
        <f>E1*I6</f>
        <v>39238.184119999998</v>
      </c>
      <c r="L6" s="111">
        <f t="shared" ref="L6:L12" si="2">E6-F6+H6+K6+J6</f>
        <v>39238.184119999998</v>
      </c>
      <c r="M6" s="112">
        <f t="shared" ref="M6:M12" si="3">L6+L6*4%</f>
        <v>40807.711484799998</v>
      </c>
      <c r="O6" s="119"/>
      <c r="Q6" s="118"/>
    </row>
    <row r="7" spans="1:17" x14ac:dyDescent="0.3">
      <c r="A7" s="104">
        <v>3</v>
      </c>
      <c r="B7" s="12" t="s">
        <v>24</v>
      </c>
      <c r="C7" s="62" t="s">
        <v>32</v>
      </c>
      <c r="D7" s="62" t="s">
        <v>87</v>
      </c>
      <c r="E7" s="47">
        <v>37258.462800000008</v>
      </c>
      <c r="F7" s="121">
        <f>E7</f>
        <v>37258.462800000008</v>
      </c>
      <c r="G7" s="47">
        <f t="shared" si="0"/>
        <v>0</v>
      </c>
      <c r="H7" s="47">
        <f t="shared" si="1"/>
        <v>0</v>
      </c>
      <c r="I7" s="110">
        <v>0.11700000000000001</v>
      </c>
      <c r="J7" s="98"/>
      <c r="K7" s="111">
        <f>E1*I7</f>
        <v>37630.061819999995</v>
      </c>
      <c r="L7" s="111">
        <f t="shared" si="2"/>
        <v>37630.061819999995</v>
      </c>
      <c r="M7" s="112">
        <f t="shared" si="3"/>
        <v>39135.264292799999</v>
      </c>
    </row>
    <row r="8" spans="1:17" x14ac:dyDescent="0.3">
      <c r="A8" s="104">
        <v>4</v>
      </c>
      <c r="B8" s="12" t="s">
        <v>25</v>
      </c>
      <c r="C8" s="62" t="s">
        <v>33</v>
      </c>
      <c r="D8" s="62" t="s">
        <v>62</v>
      </c>
      <c r="E8" s="47">
        <v>165459.88212379918</v>
      </c>
      <c r="F8" s="121">
        <v>100000</v>
      </c>
      <c r="G8" s="47">
        <f t="shared" si="0"/>
        <v>65459.88212379918</v>
      </c>
      <c r="H8" s="47">
        <f t="shared" si="1"/>
        <v>3272.994106189959</v>
      </c>
      <c r="I8" s="110">
        <v>0.11700000000000001</v>
      </c>
      <c r="J8" s="98"/>
      <c r="K8" s="111">
        <f>E1*I8</f>
        <v>37630.061819999995</v>
      </c>
      <c r="L8" s="111">
        <f t="shared" si="2"/>
        <v>106362.93804998914</v>
      </c>
      <c r="M8" s="112">
        <f t="shared" si="3"/>
        <v>110617.45557198871</v>
      </c>
    </row>
    <row r="9" spans="1:17" x14ac:dyDescent="0.3">
      <c r="A9" s="104">
        <v>5</v>
      </c>
      <c r="B9" s="12" t="s">
        <v>26</v>
      </c>
      <c r="C9" s="62" t="s">
        <v>30</v>
      </c>
      <c r="D9" s="62" t="s">
        <v>65</v>
      </c>
      <c r="E9" s="47">
        <v>43627.430800000009</v>
      </c>
      <c r="F9" s="121">
        <f t="shared" ref="F9" si="4">E9</f>
        <v>43627.430800000009</v>
      </c>
      <c r="G9" s="47">
        <f t="shared" si="0"/>
        <v>0</v>
      </c>
      <c r="H9" s="47">
        <f t="shared" si="1"/>
        <v>0</v>
      </c>
      <c r="I9" s="110">
        <v>0.13700000000000001</v>
      </c>
      <c r="J9" s="98"/>
      <c r="K9" s="111">
        <f>E1*I9</f>
        <v>44062.551019999999</v>
      </c>
      <c r="L9" s="111">
        <f t="shared" si="2"/>
        <v>44062.551019999999</v>
      </c>
      <c r="M9" s="112">
        <f t="shared" si="3"/>
        <v>45825.053060799997</v>
      </c>
    </row>
    <row r="10" spans="1:17" x14ac:dyDescent="0.3">
      <c r="A10" s="104">
        <v>6</v>
      </c>
      <c r="B10" s="12" t="s">
        <v>27</v>
      </c>
      <c r="C10" s="62" t="s">
        <v>30</v>
      </c>
      <c r="D10" s="62" t="s">
        <v>64</v>
      </c>
      <c r="E10" s="47">
        <v>42035.188800000004</v>
      </c>
      <c r="F10" s="121">
        <f>E10</f>
        <v>42035.188800000004</v>
      </c>
      <c r="G10" s="47">
        <f t="shared" si="0"/>
        <v>0</v>
      </c>
      <c r="H10" s="47">
        <f t="shared" si="1"/>
        <v>0</v>
      </c>
      <c r="I10" s="110">
        <v>0.13200000000000001</v>
      </c>
      <c r="J10" s="98"/>
      <c r="K10" s="111">
        <f>E1*I10</f>
        <v>42454.428719999996</v>
      </c>
      <c r="L10" s="111">
        <f t="shared" si="2"/>
        <v>42454.428719999996</v>
      </c>
      <c r="M10" s="112">
        <f t="shared" si="3"/>
        <v>44152.605868799998</v>
      </c>
    </row>
    <row r="11" spans="1:17" x14ac:dyDescent="0.3">
      <c r="A11" s="104">
        <v>7</v>
      </c>
      <c r="B11" s="12" t="s">
        <v>28</v>
      </c>
      <c r="C11" s="62" t="s">
        <v>32</v>
      </c>
      <c r="D11" s="62" t="s">
        <v>63</v>
      </c>
      <c r="E11" s="47">
        <v>40442.946800000005</v>
      </c>
      <c r="F11" s="121">
        <f>E11</f>
        <v>40442.946800000005</v>
      </c>
      <c r="G11" s="47">
        <f t="shared" si="0"/>
        <v>0</v>
      </c>
      <c r="H11" s="47">
        <f t="shared" si="1"/>
        <v>0</v>
      </c>
      <c r="I11" s="110">
        <v>0.127</v>
      </c>
      <c r="J11" s="98"/>
      <c r="K11" s="111">
        <f>E1*I11</f>
        <v>40846.306419999994</v>
      </c>
      <c r="L11" s="111">
        <f t="shared" si="2"/>
        <v>40846.306419999994</v>
      </c>
      <c r="M11" s="112">
        <f t="shared" si="3"/>
        <v>42480.158676799991</v>
      </c>
    </row>
    <row r="12" spans="1:17" x14ac:dyDescent="0.3">
      <c r="A12" s="104">
        <v>8</v>
      </c>
      <c r="B12" s="12" t="s">
        <v>29</v>
      </c>
      <c r="C12" s="62" t="s">
        <v>34</v>
      </c>
      <c r="D12" s="62" t="s">
        <v>61</v>
      </c>
      <c r="E12" s="47">
        <v>40442.946800000005</v>
      </c>
      <c r="F12" s="121">
        <v>42060.66</v>
      </c>
      <c r="G12" s="47">
        <f t="shared" si="0"/>
        <v>-1617.7131999999983</v>
      </c>
      <c r="H12" s="47">
        <f t="shared" si="1"/>
        <v>0</v>
      </c>
      <c r="I12" s="110">
        <v>0.127</v>
      </c>
      <c r="J12" s="98"/>
      <c r="K12" s="111">
        <f>E1*I12</f>
        <v>40846.306419999994</v>
      </c>
      <c r="L12" s="111">
        <f t="shared" si="2"/>
        <v>39228.593219999995</v>
      </c>
      <c r="M12" s="112">
        <f t="shared" si="3"/>
        <v>40797.736948799997</v>
      </c>
    </row>
    <row r="13" spans="1:17" ht="15" thickBot="1" x14ac:dyDescent="0.35">
      <c r="A13" s="113" t="s">
        <v>11</v>
      </c>
      <c r="B13" s="114"/>
      <c r="C13" s="115"/>
      <c r="D13" s="115"/>
      <c r="E13" s="116">
        <f>SUM(E5:E12)</f>
        <v>455514.56194479926</v>
      </c>
      <c r="F13" s="105">
        <f>SUM(F5:F12)</f>
        <v>391672.39302100008</v>
      </c>
      <c r="G13" s="105"/>
      <c r="H13" s="105">
        <f>SUM(H5:H12)</f>
        <v>3272.994106189959</v>
      </c>
      <c r="I13" s="106">
        <f t="shared" ref="I13" si="5">SUM(I5:I12)</f>
        <v>1</v>
      </c>
      <c r="J13" s="106">
        <f>SUM(J5:J12)</f>
        <v>0</v>
      </c>
      <c r="K13" s="116">
        <f>SUM(K5:K12)</f>
        <v>321624.45999999996</v>
      </c>
      <c r="L13" s="116">
        <f>SUM(L5:L12)</f>
        <v>388739.62302998907</v>
      </c>
      <c r="M13" s="117">
        <f>SUM(M5:M12)</f>
        <v>404289.20795118867</v>
      </c>
    </row>
    <row r="16" spans="1:17" hidden="1" x14ac:dyDescent="0.3">
      <c r="A16" s="55" t="s">
        <v>53</v>
      </c>
      <c r="E16">
        <v>7454</v>
      </c>
    </row>
    <row r="17" spans="1:13" hidden="1" x14ac:dyDescent="0.3">
      <c r="A17" s="28" t="s">
        <v>56</v>
      </c>
      <c r="B17" s="29"/>
      <c r="C17" s="30"/>
      <c r="D17" s="74"/>
      <c r="E17">
        <v>14805</v>
      </c>
      <c r="F17" s="29"/>
      <c r="G17" s="29"/>
      <c r="H17" s="29"/>
      <c r="I17" s="29"/>
      <c r="J17" s="56"/>
      <c r="K17" s="56"/>
      <c r="L17" s="56"/>
      <c r="M17" s="32"/>
    </row>
    <row r="18" spans="1:13" hidden="1" x14ac:dyDescent="0.3">
      <c r="A18" s="2" t="s">
        <v>0</v>
      </c>
      <c r="B18" s="7" t="s">
        <v>1</v>
      </c>
      <c r="C18" s="7" t="s">
        <v>2</v>
      </c>
      <c r="D18" s="1"/>
      <c r="E18">
        <v>3297</v>
      </c>
      <c r="F18" s="7" t="s">
        <v>3</v>
      </c>
      <c r="G18" s="2"/>
      <c r="H18" s="2" t="s">
        <v>48</v>
      </c>
      <c r="I18" s="2" t="s">
        <v>6</v>
      </c>
      <c r="J18" s="1"/>
      <c r="K18" s="57" t="s">
        <v>17</v>
      </c>
      <c r="L18" s="46"/>
      <c r="M18" s="46" t="s">
        <v>4</v>
      </c>
    </row>
    <row r="19" spans="1:13" hidden="1" x14ac:dyDescent="0.3">
      <c r="A19" s="2"/>
      <c r="B19" s="7"/>
      <c r="C19" s="7"/>
      <c r="D19" s="1"/>
      <c r="E19">
        <v>3177</v>
      </c>
      <c r="F19" s="7" t="s">
        <v>49</v>
      </c>
      <c r="G19" s="2"/>
      <c r="H19" s="38">
        <v>0.02</v>
      </c>
      <c r="I19" s="2" t="s">
        <v>7</v>
      </c>
      <c r="J19" s="1"/>
      <c r="K19" s="44" t="s">
        <v>18</v>
      </c>
      <c r="L19" s="39"/>
      <c r="M19" s="39" t="s">
        <v>5</v>
      </c>
    </row>
    <row r="20" spans="1:13" hidden="1" x14ac:dyDescent="0.3">
      <c r="A20" s="11">
        <v>1</v>
      </c>
      <c r="B20" s="12" t="s">
        <v>22</v>
      </c>
      <c r="C20" s="13" t="s">
        <v>30</v>
      </c>
      <c r="D20" s="75"/>
      <c r="E20">
        <v>3056</v>
      </c>
      <c r="F20" s="47">
        <v>37971</v>
      </c>
      <c r="G20" s="52"/>
      <c r="H20" s="52">
        <v>0</v>
      </c>
      <c r="I20" s="17">
        <v>0.121</v>
      </c>
      <c r="J20" s="96"/>
      <c r="K20" s="45">
        <f>0*I20</f>
        <v>0</v>
      </c>
      <c r="L20" s="42"/>
      <c r="M20" s="42" t="e">
        <f>+#REF!+H20+K20</f>
        <v>#REF!</v>
      </c>
    </row>
    <row r="21" spans="1:13" hidden="1" x14ac:dyDescent="0.3">
      <c r="A21" s="11">
        <v>2</v>
      </c>
      <c r="B21" s="12" t="s">
        <v>23</v>
      </c>
      <c r="C21" s="13" t="s">
        <v>31</v>
      </c>
      <c r="D21" s="75"/>
      <c r="E21">
        <v>3056</v>
      </c>
      <c r="F21" s="47">
        <v>66612</v>
      </c>
      <c r="G21" s="52"/>
      <c r="H21" s="52">
        <v>0</v>
      </c>
      <c r="I21" s="17">
        <v>0.122</v>
      </c>
      <c r="J21" s="96"/>
      <c r="K21" s="45">
        <f t="shared" ref="K21:K27" si="6">0*I21</f>
        <v>0</v>
      </c>
      <c r="L21" s="42"/>
      <c r="M21" s="42" t="e">
        <f>+#REF!+H21+K21</f>
        <v>#REF!</v>
      </c>
    </row>
    <row r="22" spans="1:13" hidden="1" x14ac:dyDescent="0.3">
      <c r="A22" s="11">
        <v>3</v>
      </c>
      <c r="B22" s="12" t="s">
        <v>24</v>
      </c>
      <c r="C22" s="13" t="s">
        <v>32</v>
      </c>
      <c r="D22" s="75"/>
      <c r="E22">
        <f>SUM(E14:E21)</f>
        <v>34845</v>
      </c>
      <c r="F22" s="47">
        <v>0</v>
      </c>
      <c r="G22" s="52"/>
      <c r="H22" s="52">
        <v>0</v>
      </c>
      <c r="I22" s="17">
        <v>0.11700000000000001</v>
      </c>
      <c r="J22" s="96"/>
      <c r="K22" s="45">
        <f t="shared" si="6"/>
        <v>0</v>
      </c>
      <c r="L22" s="42"/>
      <c r="M22" s="42" t="e">
        <f>+#REF!+H22+K22</f>
        <v>#REF!</v>
      </c>
    </row>
    <row r="23" spans="1:13" hidden="1" x14ac:dyDescent="0.3">
      <c r="A23" s="11">
        <v>4</v>
      </c>
      <c r="B23" s="12" t="s">
        <v>25</v>
      </c>
      <c r="C23" s="13" t="s">
        <v>33</v>
      </c>
      <c r="D23" s="75"/>
      <c r="F23" s="47">
        <v>0</v>
      </c>
      <c r="G23" s="52"/>
      <c r="H23" s="52">
        <v>0</v>
      </c>
      <c r="I23" s="17">
        <v>0.11700000000000001</v>
      </c>
      <c r="J23" s="96"/>
      <c r="K23" s="45">
        <f t="shared" si="6"/>
        <v>0</v>
      </c>
      <c r="L23" s="42"/>
      <c r="M23" s="42" t="e">
        <f>+#REF!+H23+K23</f>
        <v>#REF!</v>
      </c>
    </row>
    <row r="24" spans="1:13" hidden="1" x14ac:dyDescent="0.3">
      <c r="A24" s="11">
        <v>5</v>
      </c>
      <c r="B24" s="12" t="s">
        <v>26</v>
      </c>
      <c r="C24" s="13" t="s">
        <v>30</v>
      </c>
      <c r="D24" s="75"/>
      <c r="F24" s="47">
        <v>80517</v>
      </c>
      <c r="G24" s="52"/>
      <c r="H24" s="52">
        <v>0</v>
      </c>
      <c r="I24" s="17">
        <v>0.13700000000000001</v>
      </c>
      <c r="J24" s="96"/>
      <c r="K24" s="45">
        <f t="shared" si="6"/>
        <v>0</v>
      </c>
      <c r="L24" s="42"/>
      <c r="M24" s="42" t="e">
        <f>+#REF!+H24+K24</f>
        <v>#REF!</v>
      </c>
    </row>
    <row r="25" spans="1:13" hidden="1" x14ac:dyDescent="0.3">
      <c r="A25" s="11">
        <v>6</v>
      </c>
      <c r="B25" s="12" t="s">
        <v>27</v>
      </c>
      <c r="C25" s="13" t="s">
        <v>30</v>
      </c>
      <c r="D25" s="75"/>
      <c r="F25" s="47">
        <v>0</v>
      </c>
      <c r="G25" s="52"/>
      <c r="H25" s="52">
        <v>0</v>
      </c>
      <c r="I25" s="17">
        <v>0.13200000000000001</v>
      </c>
      <c r="J25" s="96"/>
      <c r="K25" s="45">
        <f t="shared" si="6"/>
        <v>0</v>
      </c>
      <c r="L25" s="42"/>
      <c r="M25" s="42" t="e">
        <f>+#REF!+H25+K25</f>
        <v>#REF!</v>
      </c>
    </row>
    <row r="26" spans="1:13" hidden="1" x14ac:dyDescent="0.3">
      <c r="A26" s="11">
        <v>7</v>
      </c>
      <c r="B26" s="12" t="s">
        <v>28</v>
      </c>
      <c r="C26" s="13" t="s">
        <v>32</v>
      </c>
      <c r="D26" s="75"/>
      <c r="E26" t="s">
        <v>40</v>
      </c>
      <c r="F26" s="47">
        <v>18542</v>
      </c>
      <c r="G26" s="52"/>
      <c r="H26" s="52">
        <v>0</v>
      </c>
      <c r="I26" s="17">
        <v>0.127</v>
      </c>
      <c r="J26" s="96"/>
      <c r="K26" s="45">
        <f t="shared" si="6"/>
        <v>0</v>
      </c>
      <c r="L26" s="42"/>
      <c r="M26" s="42" t="e">
        <f>+#REF!+H26+K26</f>
        <v>#REF!</v>
      </c>
    </row>
    <row r="27" spans="1:13" hidden="1" x14ac:dyDescent="0.3">
      <c r="A27" s="11">
        <v>8</v>
      </c>
      <c r="B27" s="12" t="s">
        <v>29</v>
      </c>
      <c r="C27" s="13" t="s">
        <v>34</v>
      </c>
      <c r="D27" s="75"/>
      <c r="E27" t="s">
        <v>19</v>
      </c>
      <c r="F27" s="47">
        <v>0</v>
      </c>
      <c r="G27" s="52"/>
      <c r="H27" s="52">
        <v>0</v>
      </c>
      <c r="I27" s="17">
        <v>0.127</v>
      </c>
      <c r="J27" s="96"/>
      <c r="K27" s="45">
        <f t="shared" si="6"/>
        <v>0</v>
      </c>
      <c r="L27" s="42"/>
      <c r="M27" s="42" t="e">
        <f>+#REF!+H27+K27</f>
        <v>#REF!</v>
      </c>
    </row>
    <row r="28" spans="1:13" ht="15" hidden="1" thickBot="1" x14ac:dyDescent="0.35">
      <c r="A28" s="8" t="s">
        <v>11</v>
      </c>
      <c r="B28" s="9"/>
      <c r="C28" s="10"/>
      <c r="D28" s="73"/>
      <c r="E28" t="s">
        <v>20</v>
      </c>
      <c r="F28" s="50">
        <f>SUM(F20:F27)</f>
        <v>203642</v>
      </c>
      <c r="G28" s="50"/>
      <c r="H28" s="53">
        <f>SUM(H20:H27)</f>
        <v>0</v>
      </c>
      <c r="I28" s="15">
        <f t="shared" ref="I28:K28" si="7">SUM(I20:I27)</f>
        <v>1</v>
      </c>
      <c r="J28" s="97"/>
      <c r="K28" s="40">
        <f t="shared" si="7"/>
        <v>0</v>
      </c>
      <c r="L28" s="43"/>
      <c r="M28" s="43" t="e">
        <f>SUM(M20:M27)</f>
        <v>#REF!</v>
      </c>
    </row>
    <row r="30" spans="1:13" x14ac:dyDescent="0.3">
      <c r="I30" s="60"/>
      <c r="J30" s="60"/>
    </row>
    <row r="31" spans="1:13" x14ac:dyDescent="0.3">
      <c r="I31" s="60"/>
      <c r="J31" s="60"/>
    </row>
    <row r="39" spans="5:5" x14ac:dyDescent="0.3">
      <c r="E39" s="54"/>
    </row>
  </sheetData>
  <mergeCells count="13"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N10" sqref="N10"/>
    </sheetView>
  </sheetViews>
  <sheetFormatPr baseColWidth="10" defaultRowHeight="14.4" x14ac:dyDescent="0.3"/>
  <cols>
    <col min="3" max="3" width="14.109375" bestFit="1" customWidth="1"/>
    <col min="4" max="4" width="15.109375" hidden="1" customWidth="1"/>
    <col min="5" max="5" width="12" hidden="1" customWidth="1"/>
    <col min="6" max="6" width="10.33203125" hidden="1" customWidth="1"/>
    <col min="7" max="7" width="11.109375" hidden="1" customWidth="1"/>
    <col min="8" max="8" width="11.44140625" customWidth="1"/>
    <col min="9" max="9" width="0.109375" customWidth="1"/>
    <col min="10" max="10" width="12" customWidth="1"/>
    <col min="11" max="11" width="0.109375" customWidth="1"/>
    <col min="12" max="13" width="12" customWidth="1"/>
    <col min="14" max="14" width="13" customWidth="1"/>
  </cols>
  <sheetData>
    <row r="1" spans="1:16" x14ac:dyDescent="0.3">
      <c r="D1" s="58">
        <v>50000</v>
      </c>
      <c r="H1" s="137">
        <v>250000</v>
      </c>
      <c r="I1" s="137"/>
      <c r="J1" s="137"/>
    </row>
    <row r="2" spans="1:16" x14ac:dyDescent="0.3">
      <c r="A2" s="55" t="s">
        <v>53</v>
      </c>
      <c r="B2" s="1"/>
      <c r="P2" s="21"/>
    </row>
    <row r="3" spans="1:16" ht="15" thickBot="1" x14ac:dyDescent="0.35">
      <c r="A3" s="28" t="s">
        <v>68</v>
      </c>
      <c r="B3" s="29"/>
      <c r="C3" s="30"/>
      <c r="D3" s="31" t="s">
        <v>40</v>
      </c>
      <c r="E3" s="29"/>
      <c r="F3" s="31" t="s">
        <v>53</v>
      </c>
      <c r="G3" s="29"/>
      <c r="H3" s="29"/>
      <c r="I3" s="56"/>
      <c r="J3" s="66"/>
      <c r="K3" s="56"/>
      <c r="L3" s="56"/>
      <c r="M3" s="56"/>
      <c r="N3" s="32"/>
      <c r="P3" s="21"/>
    </row>
    <row r="4" spans="1:16" x14ac:dyDescent="0.3">
      <c r="A4" s="2" t="s">
        <v>0</v>
      </c>
      <c r="B4" s="7" t="s">
        <v>1</v>
      </c>
      <c r="C4" s="7" t="s">
        <v>2</v>
      </c>
      <c r="D4" s="7" t="s">
        <v>19</v>
      </c>
      <c r="E4" s="7" t="s">
        <v>57</v>
      </c>
      <c r="F4" s="7" t="s">
        <v>55</v>
      </c>
      <c r="G4" s="2" t="s">
        <v>48</v>
      </c>
      <c r="H4" s="2" t="s">
        <v>6</v>
      </c>
      <c r="I4" s="57" t="s">
        <v>17</v>
      </c>
      <c r="J4" s="1" t="s">
        <v>58</v>
      </c>
      <c r="K4" s="71"/>
      <c r="L4" s="135" t="s">
        <v>74</v>
      </c>
      <c r="M4" s="81" t="s">
        <v>5</v>
      </c>
      <c r="N4" s="133" t="s">
        <v>59</v>
      </c>
      <c r="P4" s="21"/>
    </row>
    <row r="5" spans="1:16" x14ac:dyDescent="0.3">
      <c r="A5" s="2"/>
      <c r="B5" s="7"/>
      <c r="C5" s="7"/>
      <c r="D5" s="7" t="s">
        <v>20</v>
      </c>
      <c r="E5" s="59" t="s">
        <v>49</v>
      </c>
      <c r="F5" s="7"/>
      <c r="G5" s="38">
        <v>0.02</v>
      </c>
      <c r="H5" s="2" t="s">
        <v>7</v>
      </c>
      <c r="I5" s="44" t="s">
        <v>18</v>
      </c>
      <c r="J5" s="68" t="s">
        <v>73</v>
      </c>
      <c r="K5" s="61"/>
      <c r="L5" s="136"/>
      <c r="M5" s="82" t="s">
        <v>75</v>
      </c>
      <c r="N5" s="134"/>
      <c r="P5" s="21"/>
    </row>
    <row r="6" spans="1:16" x14ac:dyDescent="0.3">
      <c r="A6" s="11">
        <v>1</v>
      </c>
      <c r="B6" s="12" t="s">
        <v>22</v>
      </c>
      <c r="C6" s="63" t="s">
        <v>30</v>
      </c>
      <c r="D6" s="47">
        <v>0</v>
      </c>
      <c r="E6" s="47">
        <v>0</v>
      </c>
      <c r="F6" s="47">
        <f>+D6-E6</f>
        <v>0</v>
      </c>
      <c r="G6" s="52">
        <v>0</v>
      </c>
      <c r="H6" s="17">
        <v>0.121</v>
      </c>
      <c r="I6" s="45">
        <f>H$1*H6</f>
        <v>30250</v>
      </c>
      <c r="J6" s="69">
        <v>9706.619999999999</v>
      </c>
      <c r="K6" s="72"/>
      <c r="L6" s="69">
        <f>(J6+K6)*5%+(J6+K6)*5%+(J6+K6)*5%+(J6+K6)*5%+(J6+K6)*5%</f>
        <v>2426.6549999999997</v>
      </c>
      <c r="M6" s="47">
        <f>H$1*H6</f>
        <v>30250</v>
      </c>
      <c r="N6" s="70">
        <f>J6+K6+L6+M6</f>
        <v>42383.274999999994</v>
      </c>
      <c r="P6" s="21"/>
    </row>
    <row r="7" spans="1:16" ht="16.5" customHeight="1" x14ac:dyDescent="0.3">
      <c r="A7" s="11">
        <v>2</v>
      </c>
      <c r="B7" s="12" t="s">
        <v>23</v>
      </c>
      <c r="C7" s="63" t="s">
        <v>31</v>
      </c>
      <c r="D7" s="47">
        <v>0</v>
      </c>
      <c r="E7" s="47">
        <v>0</v>
      </c>
      <c r="F7" s="47">
        <f t="shared" ref="F7:F13" si="0">+D7-E7</f>
        <v>0</v>
      </c>
      <c r="G7" s="52">
        <v>0</v>
      </c>
      <c r="H7" s="17">
        <v>0.122</v>
      </c>
      <c r="I7" s="45">
        <f t="shared" ref="I7:I13" si="1">H$1*H7</f>
        <v>30500</v>
      </c>
      <c r="J7" s="69">
        <v>19573.68</v>
      </c>
      <c r="K7" s="72"/>
      <c r="L7" s="69">
        <f t="shared" ref="L7:L13" si="2">(J7+K7)*5%+(J7+K7)*5%+(J7+K7)*5%+(J7+K7)*5%+(J7+K7)*5%</f>
        <v>4893.42</v>
      </c>
      <c r="M7" s="47">
        <f t="shared" ref="M7:M13" si="3">H$1*H7</f>
        <v>30500</v>
      </c>
      <c r="N7" s="70">
        <f t="shared" ref="N7:N13" si="4">J7+K7+L7+M7</f>
        <v>54967.1</v>
      </c>
      <c r="P7" s="21"/>
    </row>
    <row r="8" spans="1:16" ht="27" x14ac:dyDescent="0.3">
      <c r="A8" s="11">
        <v>3</v>
      </c>
      <c r="B8" s="12" t="s">
        <v>24</v>
      </c>
      <c r="C8" s="63" t="s">
        <v>32</v>
      </c>
      <c r="D8" s="47">
        <v>0</v>
      </c>
      <c r="E8" s="47">
        <v>0</v>
      </c>
      <c r="F8" s="47">
        <f t="shared" si="0"/>
        <v>0</v>
      </c>
      <c r="G8" s="52">
        <v>0</v>
      </c>
      <c r="H8" s="17">
        <v>0.11700000000000001</v>
      </c>
      <c r="I8" s="45">
        <f t="shared" si="1"/>
        <v>29250</v>
      </c>
      <c r="J8" s="69">
        <v>0</v>
      </c>
      <c r="K8" s="72"/>
      <c r="L8" s="69">
        <f t="shared" si="2"/>
        <v>0</v>
      </c>
      <c r="M8" s="47">
        <f t="shared" si="3"/>
        <v>29250</v>
      </c>
      <c r="N8" s="70">
        <f t="shared" si="4"/>
        <v>29250</v>
      </c>
      <c r="P8" s="21"/>
    </row>
    <row r="9" spans="1:16" ht="27" x14ac:dyDescent="0.3">
      <c r="A9" s="11">
        <v>4</v>
      </c>
      <c r="B9" s="12" t="s">
        <v>25</v>
      </c>
      <c r="C9" s="63" t="s">
        <v>33</v>
      </c>
      <c r="D9" s="47">
        <v>0</v>
      </c>
      <c r="E9" s="47">
        <v>0</v>
      </c>
      <c r="F9" s="47">
        <f>+D9-E9</f>
        <v>0</v>
      </c>
      <c r="G9" s="52">
        <v>0</v>
      </c>
      <c r="H9" s="17">
        <v>0.11700000000000001</v>
      </c>
      <c r="I9" s="45">
        <f t="shared" si="1"/>
        <v>29250</v>
      </c>
      <c r="J9" s="69">
        <v>18771.480000000003</v>
      </c>
      <c r="K9" s="72"/>
      <c r="L9" s="69">
        <f t="shared" si="2"/>
        <v>4692.8700000000008</v>
      </c>
      <c r="M9" s="47">
        <f t="shared" si="3"/>
        <v>29250</v>
      </c>
      <c r="N9" s="70">
        <f t="shared" si="4"/>
        <v>52714.350000000006</v>
      </c>
      <c r="P9" s="21"/>
    </row>
    <row r="10" spans="1:16" x14ac:dyDescent="0.3">
      <c r="A10" s="11">
        <v>5</v>
      </c>
      <c r="B10" s="12" t="s">
        <v>26</v>
      </c>
      <c r="C10" s="63" t="s">
        <v>30</v>
      </c>
      <c r="D10" s="47">
        <v>0</v>
      </c>
      <c r="E10" s="47">
        <v>0</v>
      </c>
      <c r="F10" s="47">
        <f t="shared" si="0"/>
        <v>0</v>
      </c>
      <c r="G10" s="52">
        <v>0</v>
      </c>
      <c r="H10" s="17">
        <v>0.13700000000000001</v>
      </c>
      <c r="I10" s="45">
        <f t="shared" si="1"/>
        <v>34250</v>
      </c>
      <c r="J10" s="69">
        <v>10990.140000000001</v>
      </c>
      <c r="K10" s="72"/>
      <c r="L10" s="69">
        <f t="shared" si="2"/>
        <v>2747.5350000000003</v>
      </c>
      <c r="M10" s="47">
        <f t="shared" si="3"/>
        <v>34250</v>
      </c>
      <c r="N10" s="70">
        <f t="shared" si="4"/>
        <v>47987.675000000003</v>
      </c>
      <c r="P10" s="21"/>
    </row>
    <row r="11" spans="1:16" x14ac:dyDescent="0.3">
      <c r="A11" s="11">
        <v>6</v>
      </c>
      <c r="B11" s="12" t="s">
        <v>27</v>
      </c>
      <c r="C11" s="63" t="s">
        <v>30</v>
      </c>
      <c r="D11" s="47">
        <v>0</v>
      </c>
      <c r="E11" s="47">
        <v>0</v>
      </c>
      <c r="F11" s="47">
        <f t="shared" si="0"/>
        <v>0</v>
      </c>
      <c r="G11" s="52">
        <v>0</v>
      </c>
      <c r="H11" s="17">
        <v>0.13200000000000001</v>
      </c>
      <c r="I11" s="45">
        <f t="shared" si="1"/>
        <v>33000</v>
      </c>
      <c r="J11" s="69">
        <v>10589.04</v>
      </c>
      <c r="K11" s="72"/>
      <c r="L11" s="69">
        <f t="shared" si="2"/>
        <v>2647.2600000000007</v>
      </c>
      <c r="M11" s="47">
        <f t="shared" si="3"/>
        <v>33000</v>
      </c>
      <c r="N11" s="70">
        <f t="shared" si="4"/>
        <v>46236.3</v>
      </c>
      <c r="P11" s="21"/>
    </row>
    <row r="12" spans="1:16" ht="27.75" customHeight="1" x14ac:dyDescent="0.3">
      <c r="A12" s="11">
        <v>7</v>
      </c>
      <c r="B12" s="12" t="s">
        <v>28</v>
      </c>
      <c r="C12" s="63" t="s">
        <v>32</v>
      </c>
      <c r="D12" s="47">
        <v>0</v>
      </c>
      <c r="E12" s="47">
        <v>0</v>
      </c>
      <c r="F12" s="47">
        <f t="shared" si="0"/>
        <v>0</v>
      </c>
      <c r="G12" s="52">
        <v>0</v>
      </c>
      <c r="H12" s="17">
        <v>0.127</v>
      </c>
      <c r="I12" s="45">
        <f t="shared" si="1"/>
        <v>31750</v>
      </c>
      <c r="J12" s="69">
        <v>0</v>
      </c>
      <c r="K12" s="72"/>
      <c r="L12" s="69">
        <f t="shared" si="2"/>
        <v>0</v>
      </c>
      <c r="M12" s="47">
        <f t="shared" si="3"/>
        <v>31750</v>
      </c>
      <c r="N12" s="70">
        <f t="shared" si="4"/>
        <v>31750</v>
      </c>
      <c r="P12" s="21"/>
    </row>
    <row r="13" spans="1:16" ht="27" x14ac:dyDescent="0.3">
      <c r="A13" s="11">
        <v>8</v>
      </c>
      <c r="B13" s="12" t="s">
        <v>29</v>
      </c>
      <c r="C13" s="63" t="s">
        <v>34</v>
      </c>
      <c r="D13" s="47">
        <v>0</v>
      </c>
      <c r="E13" s="47">
        <v>0</v>
      </c>
      <c r="F13" s="47">
        <f t="shared" si="0"/>
        <v>0</v>
      </c>
      <c r="G13" s="52">
        <v>0</v>
      </c>
      <c r="H13" s="17">
        <v>0.127</v>
      </c>
      <c r="I13" s="45">
        <f t="shared" si="1"/>
        <v>31750</v>
      </c>
      <c r="J13" s="69">
        <v>0</v>
      </c>
      <c r="K13" s="72"/>
      <c r="L13" s="69">
        <f t="shared" si="2"/>
        <v>0</v>
      </c>
      <c r="M13" s="47">
        <f t="shared" si="3"/>
        <v>31750</v>
      </c>
      <c r="N13" s="70">
        <f t="shared" si="4"/>
        <v>31750</v>
      </c>
      <c r="P13" s="21"/>
    </row>
    <row r="14" spans="1:16" ht="15" thickBot="1" x14ac:dyDescent="0.35">
      <c r="A14" s="8" t="s">
        <v>11</v>
      </c>
      <c r="B14" s="9"/>
      <c r="C14" s="10"/>
      <c r="D14" s="48">
        <f>SUM(D6:D13)</f>
        <v>0</v>
      </c>
      <c r="E14" s="50">
        <f>SUM(E6:E13)</f>
        <v>0</v>
      </c>
      <c r="F14" s="48">
        <f t="shared" ref="F14" si="5">SUM(F6:F13)</f>
        <v>0</v>
      </c>
      <c r="G14" s="53">
        <f>SUM(G6:G13)</f>
        <v>0</v>
      </c>
      <c r="H14" s="15">
        <f t="shared" ref="H14:I14" si="6">SUM(H6:H13)</f>
        <v>1</v>
      </c>
      <c r="I14" s="40">
        <f t="shared" si="6"/>
        <v>250000</v>
      </c>
      <c r="J14" s="43">
        <f>SUM(J6:J13)</f>
        <v>69630.959999999992</v>
      </c>
      <c r="K14" s="43">
        <f>SUM(K6:K13)</f>
        <v>0</v>
      </c>
      <c r="L14" s="43"/>
      <c r="M14" s="43">
        <f>SUM(M6:M13)</f>
        <v>250000</v>
      </c>
      <c r="N14" s="40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</cp:lastModifiedBy>
  <cp:lastPrinted>2025-06-29T14:58:47Z</cp:lastPrinted>
  <dcterms:created xsi:type="dcterms:W3CDTF">2020-12-10T00:27:53Z</dcterms:created>
  <dcterms:modified xsi:type="dcterms:W3CDTF">2025-07-25T18:09:29Z</dcterms:modified>
</cp:coreProperties>
</file>