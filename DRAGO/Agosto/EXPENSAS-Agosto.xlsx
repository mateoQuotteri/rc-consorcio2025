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DRAGO\Agosto\"/>
    </mc:Choice>
  </mc:AlternateContent>
  <xr:revisionPtr revIDLastSave="0" documentId="13_ncr:1_{43D19E67-4906-4CFB-9541-F4C4358769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gastos'!$A$1:$C$52</definedName>
    <definedName name="_xlnm.Print_Area" localSheetId="1">'prorrateo '!$A$1:$M$14</definedName>
  </definedNames>
  <calcPr calcId="181029"/>
</workbook>
</file>

<file path=xl/calcChain.xml><?xml version="1.0" encoding="utf-8"?>
<calcChain xmlns="http://schemas.openxmlformats.org/spreadsheetml/2006/main">
  <c r="F7" i="1" l="1"/>
  <c r="F8" i="1"/>
  <c r="F9" i="1"/>
  <c r="F6" i="1"/>
  <c r="F10" i="1" l="1"/>
  <c r="C24" i="3" l="1"/>
  <c r="F11" i="1"/>
  <c r="F5" i="1" l="1"/>
  <c r="G1" i="1" l="1"/>
  <c r="J13" i="1" l="1"/>
  <c r="K5" i="1"/>
  <c r="C28" i="3" l="1"/>
  <c r="C22" i="3" l="1"/>
  <c r="C29" i="3" s="1"/>
  <c r="C36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1" i="3" l="1"/>
  <c r="K14" i="4" l="1"/>
  <c r="N14" i="4" l="1"/>
  <c r="J14" i="4" l="1"/>
  <c r="C44" i="3" l="1"/>
  <c r="I7" i="4" l="1"/>
  <c r="I8" i="4"/>
  <c r="I9" i="4"/>
  <c r="I10" i="4"/>
  <c r="I11" i="4"/>
  <c r="I12" i="4"/>
  <c r="I13" i="4"/>
  <c r="I6" i="4"/>
  <c r="G7" i="1" l="1"/>
  <c r="H7" i="1" s="1"/>
  <c r="G8" i="1"/>
  <c r="H8" i="1" s="1"/>
  <c r="G9" i="1"/>
  <c r="H9" i="1" s="1"/>
  <c r="G10" i="1"/>
  <c r="H10" i="1" s="1"/>
  <c r="G5" i="1"/>
  <c r="G11" i="1"/>
  <c r="H11" i="1" s="1"/>
  <c r="H5" i="1" l="1"/>
  <c r="L5" i="1" s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s="1"/>
  <c r="L6" i="1" s="1"/>
  <c r="M6" i="1" s="1"/>
  <c r="G12" i="1" l="1"/>
  <c r="H12" i="1" s="1"/>
  <c r="L12" i="1" s="1"/>
  <c r="M12" i="1" s="1"/>
  <c r="E13" i="1"/>
  <c r="E22" i="1"/>
  <c r="K13" i="1"/>
  <c r="L13" i="1" l="1"/>
  <c r="C42" i="3"/>
  <c r="C45" i="3" s="1"/>
  <c r="F9" i="4" l="1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K21" i="1"/>
  <c r="K22" i="1"/>
  <c r="K23" i="1"/>
  <c r="K24" i="1"/>
  <c r="K25" i="1"/>
  <c r="K26" i="1"/>
  <c r="K27" i="1"/>
  <c r="K20" i="1"/>
  <c r="M22" i="1" l="1"/>
  <c r="M25" i="1"/>
  <c r="M20" i="1"/>
  <c r="M24" i="1"/>
  <c r="M26" i="1"/>
  <c r="M27" i="1"/>
  <c r="M23" i="1"/>
  <c r="M21" i="1"/>
  <c r="M28" i="1" l="1"/>
  <c r="K28" i="1"/>
  <c r="I28" i="1"/>
  <c r="H28" i="1"/>
  <c r="F28" i="1"/>
  <c r="M13" i="1" l="1"/>
  <c r="H13" i="1"/>
  <c r="I13" i="1"/>
  <c r="C38" i="3" l="1"/>
</calcChain>
</file>

<file path=xl/sharedStrings.xml><?xml version="1.0" encoding="utf-8"?>
<sst xmlns="http://schemas.openxmlformats.org/spreadsheetml/2006/main" count="156" uniqueCount="94">
  <si>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</si>
  <si>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</si>
  <si>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</si>
  <si>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</si>
  <si>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</si>
  <si>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</si>
  <si>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</si>
  <si>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</si>
  <si>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</si>
  <si>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</si>
  <si>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</si>
  <si>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</si>
  <si>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</si>
  <si>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</si>
  <si>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</si>
  <si>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</si>
  <si>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</si>
  <si>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</si>
  <si>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</si>
  <si>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</si>
  <si>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</si>
  <si>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</si>
  <si>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</si>
  <si>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</si>
  <si>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</si>
  <si>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</si>
  <si>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</si>
  <si>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</si>
  <si>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</si>
  <si>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</si>
  <si>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</si>
  <si>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</si>
  <si>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</si>
  <si>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</si>
  <si>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</si>
  <si>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</si>
  <si>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</si>
  <si>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</si>
  <si>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</si>
  <si>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</si>
  <si>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</si>
  <si>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</si>
  <si>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</si>
  <si>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</si>
  <si>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</si>
  <si>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</si>
  <si>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</si>
  <si>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</si>
  <si>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</si>
  <si>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>Exp. Extraord.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</si>
  <si>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</si>
  <si>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</si>
  <si>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</si>
  <si>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</si>
  <si>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</si>
  <si>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DEUDAS</t>
  </si>
  <si>
    <t>Liquidación de mes: JULIO 2022</t>
  </si>
  <si>
    <t>Pago</t>
  </si>
  <si>
    <t>DEUDA</t>
  </si>
  <si>
    <t>TOTAL A PAGAR</t>
  </si>
  <si>
    <t>Inquilinos</t>
  </si>
  <si>
    <t>Pamela</t>
  </si>
  <si>
    <t>Nicolas</t>
  </si>
  <si>
    <t>Melina</t>
  </si>
  <si>
    <t>Fabio</t>
  </si>
  <si>
    <t>Lucas</t>
  </si>
  <si>
    <t>Damian</t>
  </si>
  <si>
    <t>Enzo</t>
  </si>
  <si>
    <t>Liquidación de mes: DICIEMBRE 2023</t>
  </si>
  <si>
    <t>CAJA EXTRAORDINARIA</t>
  </si>
  <si>
    <t>MP 1148</t>
  </si>
  <si>
    <t>Seguro Sra. Monica</t>
  </si>
  <si>
    <t>Sueldo Sra. Monica</t>
  </si>
  <si>
    <t>ENERO</t>
  </si>
  <si>
    <t>PUNITORIOS DE 5 MESES</t>
  </si>
  <si>
    <t>EXTRAORD</t>
  </si>
  <si>
    <t>Honorarios administracion</t>
  </si>
  <si>
    <t xml:space="preserve">Zurich Nro Poliza. 70050787 </t>
  </si>
  <si>
    <t>Pago efectivo</t>
  </si>
  <si>
    <t>Egresos por gastos del mes ordinarios</t>
  </si>
  <si>
    <t>Punitorios mal cobrados</t>
  </si>
  <si>
    <t>GASTOS PART</t>
  </si>
  <si>
    <t xml:space="preserve">TOTAL GASTOS ORDINARIOS (A) </t>
  </si>
  <si>
    <t>Prevision ord</t>
  </si>
  <si>
    <t>Expensas ordinarias</t>
  </si>
  <si>
    <t>Expensas 1er Vto</t>
  </si>
  <si>
    <t>Expensas 2do Vto</t>
  </si>
  <si>
    <t>Valeria</t>
  </si>
  <si>
    <t>AUMENTADOS EN JUNI 2025</t>
  </si>
  <si>
    <t>Articulos de limpieza</t>
  </si>
  <si>
    <t>Vto. 15/09</t>
  </si>
  <si>
    <t>LIQUIDACIÓN EXPENSAS AGOSTO 2025</t>
  </si>
  <si>
    <t>Período AGOSTO 2025</t>
  </si>
  <si>
    <t>Julio Doartero - Arreglo de portero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</si>
</sst>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166" fontId="0" fillId="0" borderId="0" xfId="0" applyNumberFormat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165" fontId="0" fillId="0" borderId="0" xfId="0" applyNumberFormat="1"/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5" fontId="0" fillId="0" borderId="3" xfId="0" applyNumberFormat="1" applyBorder="1"/>
    <xf numFmtId="4" fontId="1" fillId="3" borderId="0" xfId="0" applyNumberFormat="1" applyFont="1" applyFill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21" xfId="0" applyFill="1" applyBorder="1"/>
    <xf numFmtId="0" fontId="0" fillId="2" borderId="22" xfId="0" applyFill="1" applyBorder="1"/>
    <xf numFmtId="0" fontId="0" fillId="0" borderId="23" xfId="0" applyBorder="1" applyAlignment="1">
      <alignment horizontal="center"/>
    </xf>
    <xf numFmtId="3" fontId="1" fillId="3" borderId="24" xfId="2" applyNumberFormat="1" applyFont="1" applyFill="1" applyBorder="1"/>
    <xf numFmtId="4" fontId="1" fillId="3" borderId="24" xfId="0" applyNumberFormat="1" applyFont="1" applyFill="1" applyBorder="1"/>
    <xf numFmtId="0" fontId="1" fillId="2" borderId="25" xfId="0" applyFont="1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1" fillId="2" borderId="21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26" xfId="2" applyFont="1" applyBorder="1"/>
    <xf numFmtId="0" fontId="1" fillId="3" borderId="27" xfId="0" applyFont="1" applyFill="1" applyBorder="1" applyAlignment="1">
      <alignment horizontal="left"/>
    </xf>
    <xf numFmtId="0" fontId="0" fillId="3" borderId="24" xfId="0" applyFill="1" applyBorder="1" applyAlignment="1">
      <alignment horizontal="center"/>
    </xf>
    <xf numFmtId="0" fontId="0" fillId="3" borderId="24" xfId="0" applyFill="1" applyBorder="1"/>
    <xf numFmtId="166" fontId="1" fillId="3" borderId="24" xfId="2" applyNumberFormat="1" applyFont="1" applyFill="1" applyBorder="1"/>
    <xf numFmtId="166" fontId="1" fillId="3" borderId="28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4" fontId="16" fillId="6" borderId="1" xfId="0" applyNumberFormat="1" applyFont="1" applyFill="1" applyBorder="1"/>
    <xf numFmtId="4" fontId="16" fillId="6" borderId="1" xfId="0" applyNumberFormat="1" applyFont="1" applyFill="1" applyBorder="1" applyAlignment="1">
      <alignment horizontal="right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5"/>
  <sheetViews>
    <sheetView tabSelected="1" topLeftCell="A7" workbookViewId="0">
      <selection activeCell="C17" sqref="C17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70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26" t="s">
        <v>39</v>
      </c>
      <c r="B7" s="27" t="s">
        <v>91</v>
      </c>
      <c r="C7" s="27" t="s">
        <v>90</v>
      </c>
    </row>
    <row r="8" spans="1:3" x14ac:dyDescent="0.3">
      <c r="A8" s="3"/>
      <c r="B8" s="3"/>
      <c r="C8" s="3"/>
    </row>
    <row r="10" spans="1:3" x14ac:dyDescent="0.3">
      <c r="A10" s="16" t="s">
        <v>50</v>
      </c>
    </row>
    <row r="11" spans="1:3" x14ac:dyDescent="0.3">
      <c r="A11" t="s">
        <v>41</v>
      </c>
      <c r="B11" t="s">
        <v>44</v>
      </c>
    </row>
    <row r="12" spans="1:3" x14ac:dyDescent="0.3">
      <c r="A12" t="s">
        <v>42</v>
      </c>
      <c r="B12" t="s">
        <v>51</v>
      </c>
    </row>
    <row r="13" spans="1:3" x14ac:dyDescent="0.3">
      <c r="A13" t="s">
        <v>45</v>
      </c>
    </row>
    <row r="15" spans="1:3" x14ac:dyDescent="0.3">
      <c r="A15" s="23" t="s">
        <v>14</v>
      </c>
    </row>
    <row r="16" spans="1:3" x14ac:dyDescent="0.3">
      <c r="A16" s="86" t="s">
        <v>13</v>
      </c>
      <c r="B16" s="77"/>
      <c r="C16" s="119"/>
    </row>
    <row r="17" spans="1:8" ht="14.25" customHeight="1" x14ac:dyDescent="0.3">
      <c r="A17" s="77" t="s">
        <v>54</v>
      </c>
      <c r="B17" s="87" t="s">
        <v>77</v>
      </c>
      <c r="C17" s="137">
        <v>41718</v>
      </c>
      <c r="D17" s="5"/>
      <c r="E17" s="14"/>
    </row>
    <row r="18" spans="1:8" x14ac:dyDescent="0.3">
      <c r="A18" s="77" t="s">
        <v>71</v>
      </c>
      <c r="B18" s="88"/>
      <c r="C18" s="84">
        <v>3567.21</v>
      </c>
      <c r="D18" s="49"/>
      <c r="E18" s="14"/>
    </row>
    <row r="19" spans="1:8" x14ac:dyDescent="0.3">
      <c r="A19" s="77" t="s">
        <v>46</v>
      </c>
      <c r="B19" s="89" t="s">
        <v>78</v>
      </c>
      <c r="C19" s="137">
        <v>15348.19</v>
      </c>
      <c r="D19" s="5"/>
      <c r="E19" s="14"/>
      <c r="F19" s="18"/>
    </row>
    <row r="20" spans="1:8" x14ac:dyDescent="0.3">
      <c r="A20" s="77" t="s">
        <v>35</v>
      </c>
      <c r="B20" s="89" t="s">
        <v>78</v>
      </c>
      <c r="C20" s="138">
        <v>148086.38</v>
      </c>
      <c r="D20" s="49"/>
      <c r="F20" s="14"/>
    </row>
    <row r="21" spans="1:8" x14ac:dyDescent="0.3">
      <c r="A21" s="77" t="s">
        <v>36</v>
      </c>
      <c r="B21" s="89" t="s">
        <v>76</v>
      </c>
      <c r="C21" s="84">
        <v>44500</v>
      </c>
      <c r="D21" s="5"/>
      <c r="E21" s="14"/>
      <c r="H21" t="s">
        <v>88</v>
      </c>
    </row>
    <row r="22" spans="1:8" x14ac:dyDescent="0.3">
      <c r="A22" s="90"/>
      <c r="B22" s="91"/>
      <c r="C22" s="64">
        <f>SUM(C17:C21)</f>
        <v>253219.78</v>
      </c>
    </row>
    <row r="23" spans="1:8" x14ac:dyDescent="0.3">
      <c r="A23" s="86" t="s">
        <v>37</v>
      </c>
      <c r="B23" s="89"/>
      <c r="C23" s="119"/>
    </row>
    <row r="24" spans="1:8" ht="15.6" x14ac:dyDescent="0.3">
      <c r="A24" s="77" t="s">
        <v>72</v>
      </c>
      <c r="B24" s="92" t="s">
        <v>92</v>
      </c>
      <c r="C24" s="84">
        <f>65200+65200*5%</f>
        <v>68460</v>
      </c>
      <c r="F24" s="22"/>
    </row>
    <row r="25" spans="1:8" ht="15.6" x14ac:dyDescent="0.3">
      <c r="A25" s="77" t="s">
        <v>93</v>
      </c>
      <c r="B25" s="92"/>
      <c r="C25" s="137">
        <v>85000</v>
      </c>
      <c r="F25" s="22"/>
    </row>
    <row r="26" spans="1:8" ht="15.6" x14ac:dyDescent="0.3">
      <c r="A26" s="77" t="s">
        <v>89</v>
      </c>
      <c r="B26" s="92"/>
      <c r="C26" s="84">
        <v>33650</v>
      </c>
      <c r="F26" s="22"/>
    </row>
    <row r="27" spans="1:8" ht="15.6" x14ac:dyDescent="0.3">
      <c r="A27" s="77" t="s">
        <v>83</v>
      </c>
      <c r="B27" s="89"/>
      <c r="C27" s="85"/>
      <c r="D27" s="5"/>
      <c r="E27" s="14"/>
      <c r="F27" s="22"/>
    </row>
    <row r="28" spans="1:8" ht="15.6" x14ac:dyDescent="0.3">
      <c r="A28" s="90"/>
      <c r="B28" s="91"/>
      <c r="C28" s="64">
        <f>SUM(C23:C27)</f>
        <v>187110</v>
      </c>
      <c r="F28" s="22"/>
    </row>
    <row r="29" spans="1:8" ht="15.6" x14ac:dyDescent="0.3">
      <c r="A29" s="80" t="s">
        <v>82</v>
      </c>
      <c r="B29" s="80"/>
      <c r="C29" s="93">
        <f>+C28+C22</f>
        <v>440329.78</v>
      </c>
      <c r="F29" s="22"/>
    </row>
    <row r="30" spans="1:8" ht="15.6" x14ac:dyDescent="0.3">
      <c r="C30" s="65"/>
      <c r="F30" s="22"/>
    </row>
    <row r="31" spans="1:8" ht="15.6" x14ac:dyDescent="0.3">
      <c r="A31" s="23" t="s">
        <v>47</v>
      </c>
      <c r="C31" s="65"/>
      <c r="F31" s="22"/>
    </row>
    <row r="32" spans="1:8" ht="15.6" x14ac:dyDescent="0.3">
      <c r="A32" s="77"/>
      <c r="B32" s="77"/>
      <c r="C32" s="84"/>
      <c r="F32" s="22"/>
    </row>
    <row r="33" spans="1:6" ht="15.6" x14ac:dyDescent="0.3">
      <c r="A33" s="77"/>
      <c r="B33" s="77"/>
      <c r="C33" s="85"/>
      <c r="F33" s="22"/>
    </row>
    <row r="34" spans="1:6" ht="15.6" x14ac:dyDescent="0.3">
      <c r="A34" s="77"/>
      <c r="B34" s="77"/>
      <c r="C34" s="85"/>
      <c r="F34" s="22"/>
    </row>
    <row r="35" spans="1:6" ht="15.6" x14ac:dyDescent="0.3">
      <c r="C35" s="67"/>
      <c r="F35" s="22"/>
    </row>
    <row r="36" spans="1:6" x14ac:dyDescent="0.3">
      <c r="A36" s="23" t="s">
        <v>43</v>
      </c>
      <c r="B36" s="23"/>
      <c r="C36" s="24">
        <f>+C32+C33+C34+C35</f>
        <v>0</v>
      </c>
      <c r="E36" s="14"/>
    </row>
    <row r="38" spans="1:6" x14ac:dyDescent="0.3">
      <c r="A38" s="35" t="s">
        <v>15</v>
      </c>
      <c r="B38" s="35"/>
      <c r="C38" s="36">
        <f>+C36+C29</f>
        <v>440329.78</v>
      </c>
    </row>
    <row r="40" spans="1:6" x14ac:dyDescent="0.3">
      <c r="A40" s="5" t="s">
        <v>38</v>
      </c>
    </row>
    <row r="41" spans="1:6" x14ac:dyDescent="0.3">
      <c r="A41" s="37" t="s">
        <v>10</v>
      </c>
      <c r="B41" s="34"/>
      <c r="C41" s="41">
        <v>330849.82114340004</v>
      </c>
      <c r="D41" s="6"/>
      <c r="E41" s="6"/>
    </row>
    <row r="42" spans="1:6" x14ac:dyDescent="0.3">
      <c r="A42" t="s">
        <v>9</v>
      </c>
      <c r="C42" s="33">
        <f>'prorrateo '!F13</f>
        <v>391571.68980998907</v>
      </c>
      <c r="D42" s="14"/>
      <c r="E42" s="14"/>
    </row>
    <row r="43" spans="1:6" x14ac:dyDescent="0.3">
      <c r="A43" t="s">
        <v>80</v>
      </c>
      <c r="C43" s="94"/>
      <c r="D43" s="14"/>
      <c r="E43" s="14"/>
    </row>
    <row r="44" spans="1:6" x14ac:dyDescent="0.3">
      <c r="A44" t="s">
        <v>79</v>
      </c>
      <c r="C44" s="94">
        <f>-(C29-C27)</f>
        <v>-440329.78</v>
      </c>
    </row>
    <row r="45" spans="1:6" x14ac:dyDescent="0.3">
      <c r="A45" s="37" t="s">
        <v>16</v>
      </c>
      <c r="B45" s="34"/>
      <c r="C45" s="41">
        <f>SUM(C41:C44)</f>
        <v>282091.73095338908</v>
      </c>
      <c r="D45" s="6"/>
    </row>
    <row r="46" spans="1:6" x14ac:dyDescent="0.3">
      <c r="A46" s="19"/>
      <c r="B46" s="18"/>
      <c r="C46" s="20"/>
    </row>
    <row r="47" spans="1:6" x14ac:dyDescent="0.3">
      <c r="A47" s="19"/>
      <c r="B47" s="18"/>
      <c r="C47" s="20"/>
      <c r="F47" s="95"/>
    </row>
    <row r="48" spans="1:6" x14ac:dyDescent="0.3">
      <c r="A48" s="19"/>
      <c r="B48" s="18"/>
      <c r="C48" s="20"/>
    </row>
    <row r="49" spans="1:3" ht="15.6" x14ac:dyDescent="0.3">
      <c r="A49" s="76" t="s">
        <v>69</v>
      </c>
      <c r="B49" s="99"/>
      <c r="C49" s="100">
        <v>109834.99657000002</v>
      </c>
    </row>
    <row r="50" spans="1:3" x14ac:dyDescent="0.3">
      <c r="A50" s="77"/>
      <c r="B50" s="77"/>
      <c r="C50" s="83"/>
    </row>
    <row r="51" spans="1:3" x14ac:dyDescent="0.3">
      <c r="A51" s="80" t="s">
        <v>4</v>
      </c>
      <c r="B51" s="78"/>
      <c r="C51" s="79">
        <f>SUM(C49:C50)</f>
        <v>109834.99657000002</v>
      </c>
    </row>
    <row r="52" spans="1:3" x14ac:dyDescent="0.3">
      <c r="A52" s="18"/>
      <c r="B52" s="18"/>
      <c r="C52" s="18"/>
    </row>
    <row r="53" spans="1:3" x14ac:dyDescent="0.3">
      <c r="A53" s="18"/>
      <c r="B53" s="18"/>
      <c r="C53" s="18"/>
    </row>
    <row r="54" spans="1:3" x14ac:dyDescent="0.3">
      <c r="A54" s="18"/>
      <c r="B54" s="18"/>
      <c r="C54" s="18"/>
    </row>
    <row r="55" spans="1:3" x14ac:dyDescent="0.3">
      <c r="A55" s="18"/>
      <c r="B55" s="18"/>
      <c r="C55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topLeftCell="B1" workbookViewId="0">
      <selection activeCell="F6" sqref="F6:F7"/>
    </sheetView>
  </sheetViews>
  <sheetFormatPr baseColWidth="10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10.5546875" hidden="1" customWidth="1"/>
    <col min="11" max="12" width="12.44140625" customWidth="1"/>
    <col min="13" max="13" width="12.44140625" bestFit="1" customWidth="1"/>
    <col min="15" max="15" width="11.44140625" style="21"/>
  </cols>
  <sheetData>
    <row r="1" spans="1:17" ht="15" thickBot="1" x14ac:dyDescent="0.35">
      <c r="A1" s="55" t="s">
        <v>52</v>
      </c>
      <c r="E1" s="51">
        <v>352133.83999999997</v>
      </c>
      <c r="G1" t="str">
        <f>'detalle y gastos'!C7</f>
        <v>Vto. 15/09</v>
      </c>
    </row>
    <row r="2" spans="1:17" x14ac:dyDescent="0.3">
      <c r="A2" s="106" t="str">
        <f>'detalle y gastos'!B7</f>
        <v>LIQUIDACIÓN EXPENSAS AGOSTO 2025</v>
      </c>
      <c r="B2" s="101"/>
      <c r="C2" s="107"/>
      <c r="D2" s="107"/>
      <c r="E2" s="108" t="s">
        <v>40</v>
      </c>
      <c r="F2" s="101"/>
      <c r="G2" s="101"/>
      <c r="H2" s="101"/>
      <c r="I2" s="101"/>
      <c r="J2" s="101"/>
      <c r="K2" s="101"/>
      <c r="L2" s="101"/>
      <c r="M2" s="102"/>
    </row>
    <row r="3" spans="1:17" x14ac:dyDescent="0.3">
      <c r="A3" s="123"/>
      <c r="B3" s="121" t="s">
        <v>1</v>
      </c>
      <c r="C3" s="129" t="s">
        <v>2</v>
      </c>
      <c r="D3" s="130" t="s">
        <v>60</v>
      </c>
      <c r="E3" s="121" t="s">
        <v>19</v>
      </c>
      <c r="F3" s="127" t="s">
        <v>3</v>
      </c>
      <c r="G3" s="129" t="s">
        <v>58</v>
      </c>
      <c r="H3" s="127" t="s">
        <v>48</v>
      </c>
      <c r="I3" s="129" t="s">
        <v>7</v>
      </c>
      <c r="J3" s="131" t="s">
        <v>81</v>
      </c>
      <c r="K3" s="125" t="s">
        <v>84</v>
      </c>
      <c r="L3" s="125" t="s">
        <v>85</v>
      </c>
      <c r="M3" s="125" t="s">
        <v>86</v>
      </c>
    </row>
    <row r="4" spans="1:17" x14ac:dyDescent="0.3">
      <c r="A4" s="124"/>
      <c r="B4" s="122"/>
      <c r="C4" s="129"/>
      <c r="D4" s="130"/>
      <c r="E4" s="122"/>
      <c r="F4" s="128"/>
      <c r="G4" s="129"/>
      <c r="H4" s="128"/>
      <c r="I4" s="129"/>
      <c r="J4" s="131"/>
      <c r="K4" s="126"/>
      <c r="L4" s="126"/>
      <c r="M4" s="126"/>
    </row>
    <row r="5" spans="1:17" x14ac:dyDescent="0.3">
      <c r="A5" s="103">
        <v>1</v>
      </c>
      <c r="B5" s="12" t="s">
        <v>22</v>
      </c>
      <c r="C5" s="62" t="s">
        <v>30</v>
      </c>
      <c r="D5" s="62" t="s">
        <v>66</v>
      </c>
      <c r="E5" s="47">
        <v>38916.559659999992</v>
      </c>
      <c r="F5" s="120">
        <f t="shared" ref="F5:F11" si="0">E5</f>
        <v>38916.559659999992</v>
      </c>
      <c r="G5" s="47">
        <f>E5-F5</f>
        <v>0</v>
      </c>
      <c r="H5" s="47">
        <f>IF(G5&gt;0,G5*5%,0)</f>
        <v>0</v>
      </c>
      <c r="I5" s="109">
        <v>0.121</v>
      </c>
      <c r="J5" s="98"/>
      <c r="K5" s="110">
        <f>E1*I5</f>
        <v>42608.194639999994</v>
      </c>
      <c r="L5" s="110">
        <f>E5-F5+H5+K5+J5</f>
        <v>42608.194639999994</v>
      </c>
      <c r="M5" s="111">
        <f>L5+L5*4%</f>
        <v>44312.522425599993</v>
      </c>
    </row>
    <row r="6" spans="1:17" x14ac:dyDescent="0.3">
      <c r="A6" s="103">
        <v>2</v>
      </c>
      <c r="B6" s="12" t="s">
        <v>23</v>
      </c>
      <c r="C6" s="62" t="s">
        <v>31</v>
      </c>
      <c r="D6" s="62" t="s">
        <v>67</v>
      </c>
      <c r="E6" s="47">
        <v>39238.184119999998</v>
      </c>
      <c r="F6" s="120">
        <f t="shared" si="0"/>
        <v>39238.184119999998</v>
      </c>
      <c r="G6" s="47">
        <f t="shared" ref="G6:G12" si="1">E6-F6</f>
        <v>0</v>
      </c>
      <c r="H6" s="47">
        <f t="shared" ref="H6:H12" si="2">IF(G6&gt;0,G6*5%,0)</f>
        <v>0</v>
      </c>
      <c r="I6" s="109">
        <v>0.122</v>
      </c>
      <c r="J6" s="98"/>
      <c r="K6" s="110">
        <f>E1*I6</f>
        <v>42960.328479999996</v>
      </c>
      <c r="L6" s="110">
        <f t="shared" ref="L6:L12" si="3">E6-F6+H6+K6+J6</f>
        <v>42960.328479999996</v>
      </c>
      <c r="M6" s="111">
        <f t="shared" ref="M6:M12" si="4">L6+L6*4%</f>
        <v>44678.741619199995</v>
      </c>
      <c r="O6" s="118"/>
      <c r="Q6" s="117"/>
    </row>
    <row r="7" spans="1:17" x14ac:dyDescent="0.3">
      <c r="A7" s="103">
        <v>3</v>
      </c>
      <c r="B7" s="12" t="s">
        <v>24</v>
      </c>
      <c r="C7" s="62" t="s">
        <v>32</v>
      </c>
      <c r="D7" s="62" t="s">
        <v>87</v>
      </c>
      <c r="E7" s="47">
        <v>37630.061819999995</v>
      </c>
      <c r="F7" s="120">
        <f t="shared" si="0"/>
        <v>37630.061819999995</v>
      </c>
      <c r="G7" s="47">
        <f t="shared" si="1"/>
        <v>0</v>
      </c>
      <c r="H7" s="47">
        <f t="shared" si="2"/>
        <v>0</v>
      </c>
      <c r="I7" s="109">
        <v>0.11700000000000001</v>
      </c>
      <c r="J7" s="98"/>
      <c r="K7" s="110">
        <f>E1*I7</f>
        <v>41199.65928</v>
      </c>
      <c r="L7" s="110">
        <f t="shared" si="3"/>
        <v>41199.65928</v>
      </c>
      <c r="M7" s="111">
        <f t="shared" si="4"/>
        <v>42847.6456512</v>
      </c>
    </row>
    <row r="8" spans="1:17" x14ac:dyDescent="0.3">
      <c r="A8" s="103">
        <v>4</v>
      </c>
      <c r="B8" s="12" t="s">
        <v>25</v>
      </c>
      <c r="C8" s="62" t="s">
        <v>33</v>
      </c>
      <c r="D8" s="62" t="s">
        <v>62</v>
      </c>
      <c r="E8" s="47">
        <v>106362.93804998914</v>
      </c>
      <c r="F8" s="120">
        <f t="shared" si="0"/>
        <v>106362.93804998914</v>
      </c>
      <c r="G8" s="47">
        <f t="shared" si="1"/>
        <v>0</v>
      </c>
      <c r="H8" s="47">
        <f t="shared" si="2"/>
        <v>0</v>
      </c>
      <c r="I8" s="109">
        <v>0.11700000000000001</v>
      </c>
      <c r="J8" s="98"/>
      <c r="K8" s="110">
        <f>E1*I8</f>
        <v>41199.65928</v>
      </c>
      <c r="L8" s="110">
        <f t="shared" si="3"/>
        <v>41199.65928</v>
      </c>
      <c r="M8" s="111">
        <f t="shared" si="4"/>
        <v>42847.6456512</v>
      </c>
    </row>
    <row r="9" spans="1:17" x14ac:dyDescent="0.3">
      <c r="A9" s="103">
        <v>5</v>
      </c>
      <c r="B9" s="12" t="s">
        <v>26</v>
      </c>
      <c r="C9" s="62" t="s">
        <v>30</v>
      </c>
      <c r="D9" s="62" t="s">
        <v>65</v>
      </c>
      <c r="E9" s="47">
        <v>44062.551019999999</v>
      </c>
      <c r="F9" s="120">
        <f t="shared" si="0"/>
        <v>44062.551019999999</v>
      </c>
      <c r="G9" s="47">
        <f t="shared" si="1"/>
        <v>0</v>
      </c>
      <c r="H9" s="47">
        <f t="shared" si="2"/>
        <v>0</v>
      </c>
      <c r="I9" s="109">
        <v>0.13700000000000001</v>
      </c>
      <c r="J9" s="98"/>
      <c r="K9" s="110">
        <f>E1*I9</f>
        <v>48242.336080000001</v>
      </c>
      <c r="L9" s="110">
        <f t="shared" si="3"/>
        <v>48242.336080000001</v>
      </c>
      <c r="M9" s="111">
        <f t="shared" si="4"/>
        <v>50172.029523199999</v>
      </c>
    </row>
    <row r="10" spans="1:17" x14ac:dyDescent="0.3">
      <c r="A10" s="103">
        <v>6</v>
      </c>
      <c r="B10" s="12" t="s">
        <v>27</v>
      </c>
      <c r="C10" s="62" t="s">
        <v>30</v>
      </c>
      <c r="D10" s="62" t="s">
        <v>64</v>
      </c>
      <c r="E10" s="47">
        <v>42454.428719999996</v>
      </c>
      <c r="F10" s="120">
        <f t="shared" si="0"/>
        <v>42454.428719999996</v>
      </c>
      <c r="G10" s="47">
        <f t="shared" si="1"/>
        <v>0</v>
      </c>
      <c r="H10" s="47">
        <f t="shared" si="2"/>
        <v>0</v>
      </c>
      <c r="I10" s="109">
        <v>0.13200000000000001</v>
      </c>
      <c r="J10" s="98"/>
      <c r="K10" s="110">
        <f>E1*I10</f>
        <v>46481.666879999997</v>
      </c>
      <c r="L10" s="110">
        <f t="shared" si="3"/>
        <v>46481.666879999997</v>
      </c>
      <c r="M10" s="111">
        <f t="shared" si="4"/>
        <v>48340.933555199997</v>
      </c>
    </row>
    <row r="11" spans="1:17" x14ac:dyDescent="0.3">
      <c r="A11" s="103">
        <v>7</v>
      </c>
      <c r="B11" s="12" t="s">
        <v>28</v>
      </c>
      <c r="C11" s="62" t="s">
        <v>32</v>
      </c>
      <c r="D11" s="62" t="s">
        <v>63</v>
      </c>
      <c r="E11" s="47">
        <v>40846.306419999994</v>
      </c>
      <c r="F11" s="120">
        <f t="shared" si="0"/>
        <v>40846.306419999994</v>
      </c>
      <c r="G11" s="47">
        <f t="shared" si="1"/>
        <v>0</v>
      </c>
      <c r="H11" s="47">
        <f t="shared" si="2"/>
        <v>0</v>
      </c>
      <c r="I11" s="109">
        <v>0.127</v>
      </c>
      <c r="J11" s="98"/>
      <c r="K11" s="110">
        <f>E1*I11</f>
        <v>44720.997679999993</v>
      </c>
      <c r="L11" s="110">
        <f t="shared" si="3"/>
        <v>44720.997679999993</v>
      </c>
      <c r="M11" s="111">
        <f t="shared" si="4"/>
        <v>46509.837587199996</v>
      </c>
    </row>
    <row r="12" spans="1:17" x14ac:dyDescent="0.3">
      <c r="A12" s="103">
        <v>8</v>
      </c>
      <c r="B12" s="12" t="s">
        <v>29</v>
      </c>
      <c r="C12" s="62" t="s">
        <v>34</v>
      </c>
      <c r="D12" s="62" t="s">
        <v>61</v>
      </c>
      <c r="E12" s="47">
        <v>39228.593219999995</v>
      </c>
      <c r="F12" s="120">
        <v>42060.66</v>
      </c>
      <c r="G12" s="47">
        <f t="shared" si="1"/>
        <v>-2832.0667800000083</v>
      </c>
      <c r="H12" s="47">
        <f t="shared" si="2"/>
        <v>0</v>
      </c>
      <c r="I12" s="109">
        <v>0.127</v>
      </c>
      <c r="J12" s="98"/>
      <c r="K12" s="110">
        <f>E1*I12</f>
        <v>44720.997679999993</v>
      </c>
      <c r="L12" s="110">
        <f t="shared" si="3"/>
        <v>41888.930899999985</v>
      </c>
      <c r="M12" s="111">
        <f t="shared" si="4"/>
        <v>43564.488135999985</v>
      </c>
    </row>
    <row r="13" spans="1:17" ht="15" thickBot="1" x14ac:dyDescent="0.35">
      <c r="A13" s="112" t="s">
        <v>11</v>
      </c>
      <c r="B13" s="113"/>
      <c r="C13" s="114"/>
      <c r="D13" s="114"/>
      <c r="E13" s="115">
        <f>SUM(E5:E12)</f>
        <v>388739.62302998907</v>
      </c>
      <c r="F13" s="104">
        <f>SUM(F5:F12)</f>
        <v>391571.68980998907</v>
      </c>
      <c r="G13" s="104"/>
      <c r="H13" s="104">
        <f>SUM(H5:H12)</f>
        <v>0</v>
      </c>
      <c r="I13" s="105">
        <f t="shared" ref="I13" si="5">SUM(I5:I12)</f>
        <v>1</v>
      </c>
      <c r="J13" s="105">
        <f>SUM(J5:J12)</f>
        <v>0</v>
      </c>
      <c r="K13" s="115">
        <f>SUM(K5:K12)</f>
        <v>352133.83999999991</v>
      </c>
      <c r="L13" s="115">
        <f>SUM(L5:L12)</f>
        <v>349301.77321999992</v>
      </c>
      <c r="M13" s="116">
        <f>SUM(M5:M12)</f>
        <v>363273.84414880001</v>
      </c>
    </row>
    <row r="16" spans="1:17" hidden="1" x14ac:dyDescent="0.3">
      <c r="A16" s="55" t="s">
        <v>53</v>
      </c>
      <c r="E16">
        <v>7454</v>
      </c>
    </row>
    <row r="17" spans="1:13" hidden="1" x14ac:dyDescent="0.3">
      <c r="A17" s="28" t="s">
        <v>56</v>
      </c>
      <c r="B17" s="29"/>
      <c r="C17" s="30"/>
      <c r="D17" s="74"/>
      <c r="E17">
        <v>14805</v>
      </c>
      <c r="F17" s="29"/>
      <c r="G17" s="29"/>
      <c r="H17" s="29"/>
      <c r="I17" s="29"/>
      <c r="J17" s="56"/>
      <c r="K17" s="56"/>
      <c r="L17" s="56"/>
      <c r="M17" s="32"/>
    </row>
    <row r="18" spans="1:13" hidden="1" x14ac:dyDescent="0.3">
      <c r="A18" s="2" t="s">
        <v>0</v>
      </c>
      <c r="B18" s="7" t="s">
        <v>1</v>
      </c>
      <c r="C18" s="7" t="s">
        <v>2</v>
      </c>
      <c r="D18" s="1"/>
      <c r="E18">
        <v>3297</v>
      </c>
      <c r="F18" s="7" t="s">
        <v>3</v>
      </c>
      <c r="G18" s="2"/>
      <c r="H18" s="2" t="s">
        <v>48</v>
      </c>
      <c r="I18" s="2" t="s">
        <v>6</v>
      </c>
      <c r="J18" s="1"/>
      <c r="K18" s="57" t="s">
        <v>17</v>
      </c>
      <c r="L18" s="46"/>
      <c r="M18" s="46" t="s">
        <v>4</v>
      </c>
    </row>
    <row r="19" spans="1:13" hidden="1" x14ac:dyDescent="0.3">
      <c r="A19" s="2"/>
      <c r="B19" s="7"/>
      <c r="C19" s="7"/>
      <c r="D19" s="1"/>
      <c r="E19">
        <v>3177</v>
      </c>
      <c r="F19" s="7" t="s">
        <v>49</v>
      </c>
      <c r="G19" s="2"/>
      <c r="H19" s="38">
        <v>0.02</v>
      </c>
      <c r="I19" s="2" t="s">
        <v>7</v>
      </c>
      <c r="J19" s="1"/>
      <c r="K19" s="44" t="s">
        <v>18</v>
      </c>
      <c r="L19" s="39"/>
      <c r="M19" s="39" t="s">
        <v>5</v>
      </c>
    </row>
    <row r="20" spans="1:13" hidden="1" x14ac:dyDescent="0.3">
      <c r="A20" s="11">
        <v>1</v>
      </c>
      <c r="B20" s="12" t="s">
        <v>22</v>
      </c>
      <c r="C20" s="13" t="s">
        <v>30</v>
      </c>
      <c r="D20" s="75"/>
      <c r="E20">
        <v>3056</v>
      </c>
      <c r="F20" s="47">
        <v>37971</v>
      </c>
      <c r="G20" s="52"/>
      <c r="H20" s="52">
        <v>0</v>
      </c>
      <c r="I20" s="17">
        <v>0.121</v>
      </c>
      <c r="J20" s="96"/>
      <c r="K20" s="45">
        <f>0*I20</f>
        <v>0</v>
      </c>
      <c r="L20" s="42"/>
      <c r="M20" s="42" t="e">
        <f>+#REF!+H20+K20</f>
        <v>#REF!</v>
      </c>
    </row>
    <row r="21" spans="1:13" hidden="1" x14ac:dyDescent="0.3">
      <c r="A21" s="11">
        <v>2</v>
      </c>
      <c r="B21" s="12" t="s">
        <v>23</v>
      </c>
      <c r="C21" s="13" t="s">
        <v>31</v>
      </c>
      <c r="D21" s="75"/>
      <c r="E21">
        <v>3056</v>
      </c>
      <c r="F21" s="47">
        <v>66612</v>
      </c>
      <c r="G21" s="52"/>
      <c r="H21" s="52">
        <v>0</v>
      </c>
      <c r="I21" s="17">
        <v>0.122</v>
      </c>
      <c r="J21" s="96"/>
      <c r="K21" s="45">
        <f t="shared" ref="K21:K27" si="6">0*I21</f>
        <v>0</v>
      </c>
      <c r="L21" s="42"/>
      <c r="M21" s="42" t="e">
        <f>+#REF!+H21+K21</f>
        <v>#REF!</v>
      </c>
    </row>
    <row r="22" spans="1:13" hidden="1" x14ac:dyDescent="0.3">
      <c r="A22" s="11">
        <v>3</v>
      </c>
      <c r="B22" s="12" t="s">
        <v>24</v>
      </c>
      <c r="C22" s="13" t="s">
        <v>32</v>
      </c>
      <c r="D22" s="75"/>
      <c r="E22">
        <f>SUM(E14:E21)</f>
        <v>34845</v>
      </c>
      <c r="F22" s="47">
        <v>0</v>
      </c>
      <c r="G22" s="52"/>
      <c r="H22" s="52">
        <v>0</v>
      </c>
      <c r="I22" s="17">
        <v>0.11700000000000001</v>
      </c>
      <c r="J22" s="96"/>
      <c r="K22" s="45">
        <f t="shared" si="6"/>
        <v>0</v>
      </c>
      <c r="L22" s="42"/>
      <c r="M22" s="42" t="e">
        <f>+#REF!+H22+K22</f>
        <v>#REF!</v>
      </c>
    </row>
    <row r="23" spans="1:13" hidden="1" x14ac:dyDescent="0.3">
      <c r="A23" s="11">
        <v>4</v>
      </c>
      <c r="B23" s="12" t="s">
        <v>25</v>
      </c>
      <c r="C23" s="13" t="s">
        <v>33</v>
      </c>
      <c r="D23" s="75"/>
      <c r="F23" s="47">
        <v>0</v>
      </c>
      <c r="G23" s="52"/>
      <c r="H23" s="52">
        <v>0</v>
      </c>
      <c r="I23" s="17">
        <v>0.11700000000000001</v>
      </c>
      <c r="J23" s="96"/>
      <c r="K23" s="45">
        <f t="shared" si="6"/>
        <v>0</v>
      </c>
      <c r="L23" s="42"/>
      <c r="M23" s="42" t="e">
        <f>+#REF!+H23+K23</f>
        <v>#REF!</v>
      </c>
    </row>
    <row r="24" spans="1:13" hidden="1" x14ac:dyDescent="0.3">
      <c r="A24" s="11">
        <v>5</v>
      </c>
      <c r="B24" s="12" t="s">
        <v>26</v>
      </c>
      <c r="C24" s="13" t="s">
        <v>30</v>
      </c>
      <c r="D24" s="75"/>
      <c r="F24" s="47">
        <v>80517</v>
      </c>
      <c r="G24" s="52"/>
      <c r="H24" s="52">
        <v>0</v>
      </c>
      <c r="I24" s="17">
        <v>0.13700000000000001</v>
      </c>
      <c r="J24" s="96"/>
      <c r="K24" s="45">
        <f t="shared" si="6"/>
        <v>0</v>
      </c>
      <c r="L24" s="42"/>
      <c r="M24" s="42" t="e">
        <f>+#REF!+H24+K24</f>
        <v>#REF!</v>
      </c>
    </row>
    <row r="25" spans="1:13" hidden="1" x14ac:dyDescent="0.3">
      <c r="A25" s="11">
        <v>6</v>
      </c>
      <c r="B25" s="12" t="s">
        <v>27</v>
      </c>
      <c r="C25" s="13" t="s">
        <v>30</v>
      </c>
      <c r="D25" s="75"/>
      <c r="F25" s="47">
        <v>0</v>
      </c>
      <c r="G25" s="52"/>
      <c r="H25" s="52">
        <v>0</v>
      </c>
      <c r="I25" s="17">
        <v>0.13200000000000001</v>
      </c>
      <c r="J25" s="96"/>
      <c r="K25" s="45">
        <f t="shared" si="6"/>
        <v>0</v>
      </c>
      <c r="L25" s="42"/>
      <c r="M25" s="42" t="e">
        <f>+#REF!+H25+K25</f>
        <v>#REF!</v>
      </c>
    </row>
    <row r="26" spans="1:13" hidden="1" x14ac:dyDescent="0.3">
      <c r="A26" s="11">
        <v>7</v>
      </c>
      <c r="B26" s="12" t="s">
        <v>28</v>
      </c>
      <c r="C26" s="13" t="s">
        <v>32</v>
      </c>
      <c r="D26" s="75"/>
      <c r="E26" t="s">
        <v>40</v>
      </c>
      <c r="F26" s="47">
        <v>18542</v>
      </c>
      <c r="G26" s="52"/>
      <c r="H26" s="52">
        <v>0</v>
      </c>
      <c r="I26" s="17">
        <v>0.127</v>
      </c>
      <c r="J26" s="96"/>
      <c r="K26" s="45">
        <f t="shared" si="6"/>
        <v>0</v>
      </c>
      <c r="L26" s="42"/>
      <c r="M26" s="42" t="e">
        <f>+#REF!+H26+K26</f>
        <v>#REF!</v>
      </c>
    </row>
    <row r="27" spans="1:13" hidden="1" x14ac:dyDescent="0.3">
      <c r="A27" s="11">
        <v>8</v>
      </c>
      <c r="B27" s="12" t="s">
        <v>29</v>
      </c>
      <c r="C27" s="13" t="s">
        <v>34</v>
      </c>
      <c r="D27" s="75"/>
      <c r="E27" t="s">
        <v>19</v>
      </c>
      <c r="F27" s="47">
        <v>0</v>
      </c>
      <c r="G27" s="52"/>
      <c r="H27" s="52">
        <v>0</v>
      </c>
      <c r="I27" s="17">
        <v>0.127</v>
      </c>
      <c r="J27" s="96"/>
      <c r="K27" s="45">
        <f t="shared" si="6"/>
        <v>0</v>
      </c>
      <c r="L27" s="42"/>
      <c r="M27" s="42" t="e">
        <f>+#REF!+H27+K27</f>
        <v>#REF!</v>
      </c>
    </row>
    <row r="28" spans="1:13" ht="15" hidden="1" thickBot="1" x14ac:dyDescent="0.35">
      <c r="A28" s="8" t="s">
        <v>11</v>
      </c>
      <c r="B28" s="9"/>
      <c r="C28" s="10"/>
      <c r="D28" s="73"/>
      <c r="E28" t="s">
        <v>20</v>
      </c>
      <c r="F28" s="50">
        <f>SUM(F20:F27)</f>
        <v>203642</v>
      </c>
      <c r="G28" s="50"/>
      <c r="H28" s="53">
        <f>SUM(H20:H27)</f>
        <v>0</v>
      </c>
      <c r="I28" s="15">
        <f t="shared" ref="I28:K28" si="7">SUM(I20:I27)</f>
        <v>1</v>
      </c>
      <c r="J28" s="97"/>
      <c r="K28" s="40">
        <f t="shared" si="7"/>
        <v>0</v>
      </c>
      <c r="L28" s="43"/>
      <c r="M28" s="43" t="e">
        <f>SUM(M20:M27)</f>
        <v>#REF!</v>
      </c>
    </row>
    <row r="30" spans="1:13" x14ac:dyDescent="0.3">
      <c r="I30" s="60"/>
      <c r="J30" s="60"/>
    </row>
    <row r="31" spans="1:13" x14ac:dyDescent="0.3">
      <c r="I31" s="60"/>
      <c r="J31" s="60"/>
    </row>
    <row r="39" spans="5:5" x14ac:dyDescent="0.3">
      <c r="E39" s="54"/>
    </row>
  </sheetData>
  <mergeCells count="13">
    <mergeCell ref="B3:B4"/>
    <mergeCell ref="A3:A4"/>
    <mergeCell ref="K3:K4"/>
    <mergeCell ref="L3:L4"/>
    <mergeCell ref="M3:M4"/>
    <mergeCell ref="H3:H4"/>
    <mergeCell ref="F3:F4"/>
    <mergeCell ref="G3:G4"/>
    <mergeCell ref="C3:C4"/>
    <mergeCell ref="D3:D4"/>
    <mergeCell ref="J3:J4"/>
    <mergeCell ref="I3:I4"/>
    <mergeCell ref="E3:E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8">
        <v>50000</v>
      </c>
      <c r="H1" s="136">
        <v>250000</v>
      </c>
      <c r="I1" s="136"/>
      <c r="J1" s="136"/>
    </row>
    <row r="2" spans="1:16" x14ac:dyDescent="0.3">
      <c r="A2" s="55" t="s">
        <v>53</v>
      </c>
      <c r="B2" s="1"/>
      <c r="P2" s="21"/>
    </row>
    <row r="3" spans="1:16" ht="15" thickBot="1" x14ac:dyDescent="0.35">
      <c r="A3" s="28" t="s">
        <v>68</v>
      </c>
      <c r="B3" s="29"/>
      <c r="C3" s="30"/>
      <c r="D3" s="31" t="s">
        <v>40</v>
      </c>
      <c r="E3" s="29"/>
      <c r="F3" s="31" t="s">
        <v>53</v>
      </c>
      <c r="G3" s="29"/>
      <c r="H3" s="29"/>
      <c r="I3" s="56"/>
      <c r="J3" s="66"/>
      <c r="K3" s="56"/>
      <c r="L3" s="56"/>
      <c r="M3" s="56"/>
      <c r="N3" s="32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57</v>
      </c>
      <c r="F4" s="7" t="s">
        <v>55</v>
      </c>
      <c r="G4" s="2" t="s">
        <v>48</v>
      </c>
      <c r="H4" s="2" t="s">
        <v>6</v>
      </c>
      <c r="I4" s="57" t="s">
        <v>17</v>
      </c>
      <c r="J4" s="1" t="s">
        <v>58</v>
      </c>
      <c r="K4" s="71"/>
      <c r="L4" s="134" t="s">
        <v>74</v>
      </c>
      <c r="M4" s="81" t="s">
        <v>5</v>
      </c>
      <c r="N4" s="132" t="s">
        <v>59</v>
      </c>
      <c r="P4" s="21"/>
    </row>
    <row r="5" spans="1:16" x14ac:dyDescent="0.3">
      <c r="A5" s="2"/>
      <c r="B5" s="7"/>
      <c r="C5" s="7"/>
      <c r="D5" s="7" t="s">
        <v>20</v>
      </c>
      <c r="E5" s="59" t="s">
        <v>49</v>
      </c>
      <c r="F5" s="7"/>
      <c r="G5" s="38">
        <v>0.02</v>
      </c>
      <c r="H5" s="2" t="s">
        <v>7</v>
      </c>
      <c r="I5" s="44" t="s">
        <v>18</v>
      </c>
      <c r="J5" s="68" t="s">
        <v>73</v>
      </c>
      <c r="K5" s="61"/>
      <c r="L5" s="135"/>
      <c r="M5" s="82" t="s">
        <v>75</v>
      </c>
      <c r="N5" s="133"/>
      <c r="P5" s="21"/>
    </row>
    <row r="6" spans="1:16" x14ac:dyDescent="0.3">
      <c r="A6" s="11">
        <v>1</v>
      </c>
      <c r="B6" s="12" t="s">
        <v>22</v>
      </c>
      <c r="C6" s="63" t="s">
        <v>30</v>
      </c>
      <c r="D6" s="47">
        <v>0</v>
      </c>
      <c r="E6" s="47">
        <v>0</v>
      </c>
      <c r="F6" s="47">
        <f>+D6-E6</f>
        <v>0</v>
      </c>
      <c r="G6" s="52">
        <v>0</v>
      </c>
      <c r="H6" s="17">
        <v>0.121</v>
      </c>
      <c r="I6" s="45">
        <f>H$1*H6</f>
        <v>30250</v>
      </c>
      <c r="J6" s="69">
        <v>9706.619999999999</v>
      </c>
      <c r="K6" s="72"/>
      <c r="L6" s="69">
        <f>(J6+K6)*5%+(J6+K6)*5%+(J6+K6)*5%+(J6+K6)*5%+(J6+K6)*5%</f>
        <v>2426.6549999999997</v>
      </c>
      <c r="M6" s="47">
        <f>H$1*H6</f>
        <v>30250</v>
      </c>
      <c r="N6" s="70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63" t="s">
        <v>31</v>
      </c>
      <c r="D7" s="47">
        <v>0</v>
      </c>
      <c r="E7" s="47">
        <v>0</v>
      </c>
      <c r="F7" s="47">
        <f t="shared" ref="F7:F13" si="0">+D7-E7</f>
        <v>0</v>
      </c>
      <c r="G7" s="52">
        <v>0</v>
      </c>
      <c r="H7" s="17">
        <v>0.122</v>
      </c>
      <c r="I7" s="45">
        <f t="shared" ref="I7:I13" si="1">H$1*H7</f>
        <v>30500</v>
      </c>
      <c r="J7" s="69">
        <v>19573.68</v>
      </c>
      <c r="K7" s="72"/>
      <c r="L7" s="69">
        <f t="shared" ref="L7:L13" si="2">(J7+K7)*5%+(J7+K7)*5%+(J7+K7)*5%+(J7+K7)*5%+(J7+K7)*5%</f>
        <v>4893.42</v>
      </c>
      <c r="M7" s="47">
        <f t="shared" ref="M7:M13" si="3">H$1*H7</f>
        <v>30500</v>
      </c>
      <c r="N7" s="70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63" t="s">
        <v>32</v>
      </c>
      <c r="D8" s="47">
        <v>0</v>
      </c>
      <c r="E8" s="47">
        <v>0</v>
      </c>
      <c r="F8" s="47">
        <f t="shared" si="0"/>
        <v>0</v>
      </c>
      <c r="G8" s="52">
        <v>0</v>
      </c>
      <c r="H8" s="17">
        <v>0.11700000000000001</v>
      </c>
      <c r="I8" s="45">
        <f t="shared" si="1"/>
        <v>29250</v>
      </c>
      <c r="J8" s="69">
        <v>0</v>
      </c>
      <c r="K8" s="72"/>
      <c r="L8" s="69">
        <f t="shared" si="2"/>
        <v>0</v>
      </c>
      <c r="M8" s="47">
        <f t="shared" si="3"/>
        <v>29250</v>
      </c>
      <c r="N8" s="70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63" t="s">
        <v>33</v>
      </c>
      <c r="D9" s="47">
        <v>0</v>
      </c>
      <c r="E9" s="47">
        <v>0</v>
      </c>
      <c r="F9" s="47">
        <f>+D9-E9</f>
        <v>0</v>
      </c>
      <c r="G9" s="52">
        <v>0</v>
      </c>
      <c r="H9" s="17">
        <v>0.11700000000000001</v>
      </c>
      <c r="I9" s="45">
        <f t="shared" si="1"/>
        <v>29250</v>
      </c>
      <c r="J9" s="69">
        <v>18771.480000000003</v>
      </c>
      <c r="K9" s="72"/>
      <c r="L9" s="69">
        <f t="shared" si="2"/>
        <v>4692.8700000000008</v>
      </c>
      <c r="M9" s="47">
        <f t="shared" si="3"/>
        <v>29250</v>
      </c>
      <c r="N9" s="70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63" t="s">
        <v>30</v>
      </c>
      <c r="D10" s="47">
        <v>0</v>
      </c>
      <c r="E10" s="47">
        <v>0</v>
      </c>
      <c r="F10" s="47">
        <f t="shared" si="0"/>
        <v>0</v>
      </c>
      <c r="G10" s="52">
        <v>0</v>
      </c>
      <c r="H10" s="17">
        <v>0.13700000000000001</v>
      </c>
      <c r="I10" s="45">
        <f t="shared" si="1"/>
        <v>34250</v>
      </c>
      <c r="J10" s="69">
        <v>10990.140000000001</v>
      </c>
      <c r="K10" s="72"/>
      <c r="L10" s="69">
        <f t="shared" si="2"/>
        <v>2747.5350000000003</v>
      </c>
      <c r="M10" s="47">
        <f t="shared" si="3"/>
        <v>34250</v>
      </c>
      <c r="N10" s="70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63" t="s">
        <v>30</v>
      </c>
      <c r="D11" s="47">
        <v>0</v>
      </c>
      <c r="E11" s="47">
        <v>0</v>
      </c>
      <c r="F11" s="47">
        <f t="shared" si="0"/>
        <v>0</v>
      </c>
      <c r="G11" s="52">
        <v>0</v>
      </c>
      <c r="H11" s="17">
        <v>0.13200000000000001</v>
      </c>
      <c r="I11" s="45">
        <f t="shared" si="1"/>
        <v>33000</v>
      </c>
      <c r="J11" s="69">
        <v>10589.04</v>
      </c>
      <c r="K11" s="72"/>
      <c r="L11" s="69">
        <f t="shared" si="2"/>
        <v>2647.2600000000007</v>
      </c>
      <c r="M11" s="47">
        <f t="shared" si="3"/>
        <v>33000</v>
      </c>
      <c r="N11" s="70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63" t="s">
        <v>32</v>
      </c>
      <c r="D12" s="47">
        <v>0</v>
      </c>
      <c r="E12" s="47">
        <v>0</v>
      </c>
      <c r="F12" s="47">
        <f t="shared" si="0"/>
        <v>0</v>
      </c>
      <c r="G12" s="52">
        <v>0</v>
      </c>
      <c r="H12" s="17">
        <v>0.127</v>
      </c>
      <c r="I12" s="45">
        <f t="shared" si="1"/>
        <v>31750</v>
      </c>
      <c r="J12" s="69">
        <v>0</v>
      </c>
      <c r="K12" s="72"/>
      <c r="L12" s="69">
        <f t="shared" si="2"/>
        <v>0</v>
      </c>
      <c r="M12" s="47">
        <f t="shared" si="3"/>
        <v>31750</v>
      </c>
      <c r="N12" s="70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63" t="s">
        <v>34</v>
      </c>
      <c r="D13" s="47">
        <v>0</v>
      </c>
      <c r="E13" s="47">
        <v>0</v>
      </c>
      <c r="F13" s="47">
        <f t="shared" si="0"/>
        <v>0</v>
      </c>
      <c r="G13" s="52">
        <v>0</v>
      </c>
      <c r="H13" s="17">
        <v>0.127</v>
      </c>
      <c r="I13" s="45">
        <f t="shared" si="1"/>
        <v>31750</v>
      </c>
      <c r="J13" s="69">
        <v>0</v>
      </c>
      <c r="K13" s="72"/>
      <c r="L13" s="69">
        <f t="shared" si="2"/>
        <v>0</v>
      </c>
      <c r="M13" s="47">
        <f t="shared" si="3"/>
        <v>31750</v>
      </c>
      <c r="N13" s="70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8">
        <f>SUM(D6:D13)</f>
        <v>0</v>
      </c>
      <c r="E14" s="50">
        <f>SUM(E6:E13)</f>
        <v>0</v>
      </c>
      <c r="F14" s="48">
        <f t="shared" ref="F14" si="5">SUM(F6:F13)</f>
        <v>0</v>
      </c>
      <c r="G14" s="53">
        <f>SUM(G6:G13)</f>
        <v>0</v>
      </c>
      <c r="H14" s="15">
        <f t="shared" ref="H14:I14" si="6">SUM(H6:H13)</f>
        <v>1</v>
      </c>
      <c r="I14" s="40">
        <f t="shared" si="6"/>
        <v>250000</v>
      </c>
      <c r="J14" s="43">
        <f>SUM(J6:J13)</f>
        <v>69630.959999999992</v>
      </c>
      <c r="K14" s="43">
        <f>SUM(K6:K13)</f>
        <v>0</v>
      </c>
      <c r="L14" s="43"/>
      <c r="M14" s="43">
        <f>SUM(M6:M13)</f>
        <v>250000</v>
      </c>
      <c r="N14" s="40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2025-07-28T19:15:06Z</cp:lastPrinted>
  <dcterms:created xsi:type="dcterms:W3CDTF">2020-12-10T00:27:53Z</dcterms:created>
  <dcterms:modified xsi:type="dcterms:W3CDTF">2025-08-27T12:25:40Z</dcterms:modified>
</cp:coreProperties>
</file>