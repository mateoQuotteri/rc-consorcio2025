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2026\PATXOT 512\ENERO\"/>
    </mc:Choice>
  </mc:AlternateContent>
  <xr:revisionPtr revIDLastSave="0" documentId="13_ncr:1_{F3FED3BB-C5AC-4AF2-8B7A-6E97A95AF5FE}" xr6:coauthVersionLast="47" xr6:coauthVersionMax="47" xr10:uidLastSave="{00000000-0000-0000-0000-000000000000}"/>
  <bookViews>
    <workbookView xWindow="-210" yWindow="15" windowWidth="15375" windowHeight="7230" xr2:uid="{00000000-000D-0000-FFFF-FFFF00000000}"/>
  </bookViews>
  <sheets>
    <sheet name="detalle y gastos" sheetId="3" r:id="rId1"/>
    <sheet name="prorrateo " sheetId="1" r:id="rId2"/>
    <sheet name="edesur" sheetId="5" r:id="rId3"/>
  </sheets>
  <definedNames>
    <definedName name="_xlnm.Print_Area" localSheetId="0">'detalle y gastos'!$A$1:$C$50</definedName>
    <definedName name="_xlnm.Print_Area" localSheetId="2">edesur!$A$1:$H$15</definedName>
    <definedName name="_xlnm.Print_Area" localSheetId="1">'prorrateo '!$A$1:$L$16</definedName>
  </definedNames>
  <calcPr calcId="181029"/>
</workbook>
</file>

<file path=xl/calcChain.xml><?xml version="1.0" encoding="utf-8"?>
<calcChain xmlns="http://schemas.openxmlformats.org/spreadsheetml/2006/main">
  <c r="K6" i="1" l="1"/>
  <c r="K7" i="1"/>
  <c r="K8" i="1"/>
  <c r="K9" i="1"/>
  <c r="K10" i="1"/>
  <c r="K11" i="1"/>
  <c r="K5" i="1"/>
  <c r="D11" i="5"/>
  <c r="D10" i="5"/>
  <c r="D8" i="5"/>
  <c r="D5" i="5"/>
  <c r="A43" i="3"/>
  <c r="C39" i="3"/>
  <c r="E14" i="1"/>
  <c r="E10" i="1"/>
  <c r="F12" i="1"/>
  <c r="F9" i="1"/>
  <c r="E12" i="1"/>
  <c r="F8" i="1"/>
  <c r="E8" i="1"/>
  <c r="F7" i="1"/>
  <c r="E7" i="1"/>
  <c r="E9" i="1"/>
  <c r="F11" i="1" l="1"/>
  <c r="F14" i="1"/>
  <c r="F10" i="1" s="1"/>
  <c r="F5" i="1"/>
  <c r="J5" i="1" l="1"/>
  <c r="C23" i="3"/>
  <c r="D6" i="5" l="1"/>
  <c r="D9" i="5"/>
  <c r="D7" i="5"/>
  <c r="G12" i="1" l="1"/>
  <c r="H12" i="1" s="1"/>
  <c r="G13" i="1"/>
  <c r="H13" i="1" s="1"/>
  <c r="H4" i="5"/>
  <c r="K34" i="5"/>
  <c r="K28" i="5"/>
  <c r="D12" i="5"/>
  <c r="C12" i="5"/>
  <c r="E11" i="5"/>
  <c r="E10" i="5"/>
  <c r="E9" i="5"/>
  <c r="E8" i="5"/>
  <c r="E7" i="5"/>
  <c r="E6" i="5"/>
  <c r="E5" i="5"/>
  <c r="D14" i="5" l="1"/>
  <c r="F5" i="5" s="1"/>
  <c r="H5" i="5" s="1"/>
  <c r="E12" i="5"/>
  <c r="J6" i="1"/>
  <c r="J7" i="1"/>
  <c r="J8" i="1"/>
  <c r="J9" i="1"/>
  <c r="J10" i="1"/>
  <c r="J11" i="1"/>
  <c r="J12" i="1"/>
  <c r="L12" i="1" s="1"/>
  <c r="J13" i="1"/>
  <c r="J14" i="1"/>
  <c r="C14" i="1"/>
  <c r="C13" i="1"/>
  <c r="C12" i="1"/>
  <c r="H20" i="5" l="1"/>
  <c r="F11" i="5"/>
  <c r="H11" i="5" s="1"/>
  <c r="F7" i="5"/>
  <c r="H7" i="5" s="1"/>
  <c r="F6" i="5"/>
  <c r="H6" i="5" s="1"/>
  <c r="F10" i="5"/>
  <c r="H10" i="5" s="1"/>
  <c r="F8" i="5"/>
  <c r="H8" i="5" s="1"/>
  <c r="F9" i="5"/>
  <c r="H9" i="5" s="1"/>
  <c r="L13" i="1"/>
  <c r="C18" i="3"/>
  <c r="C31" i="3"/>
  <c r="C54" i="3" s="1"/>
  <c r="K15" i="1" l="1"/>
  <c r="F12" i="5"/>
  <c r="H12" i="5"/>
  <c r="C24" i="3"/>
  <c r="C40" i="3" s="1"/>
  <c r="A2" i="1" l="1"/>
  <c r="C57" i="3" l="1"/>
  <c r="G7" i="1" l="1"/>
  <c r="H7" i="1" s="1"/>
  <c r="G8" i="1"/>
  <c r="H8" i="1" s="1"/>
  <c r="G9" i="1"/>
  <c r="H9" i="1" s="1"/>
  <c r="G10" i="1"/>
  <c r="H10" i="1" s="1"/>
  <c r="G5" i="1"/>
  <c r="H5" i="1" s="1"/>
  <c r="G11" i="1"/>
  <c r="H11" i="1" s="1"/>
  <c r="L9" i="1" l="1"/>
  <c r="L10" i="1"/>
  <c r="L11" i="1"/>
  <c r="L8" i="1"/>
  <c r="L5" i="1"/>
  <c r="F15" i="1"/>
  <c r="C37" i="3" s="1"/>
  <c r="C41" i="3" s="1"/>
  <c r="G6" i="1"/>
  <c r="H6" i="1" s="1"/>
  <c r="L7" i="1" l="1"/>
  <c r="L6" i="1"/>
  <c r="G14" i="1"/>
  <c r="H14" i="1" s="1"/>
  <c r="E15" i="1"/>
  <c r="J15" i="1"/>
  <c r="L14" i="1" l="1"/>
  <c r="L15" i="1" l="1"/>
  <c r="H15" i="1"/>
  <c r="I15" i="1"/>
  <c r="C33" i="3" l="1"/>
</calcChain>
</file>

<file path=xl/sharedStrings.xml><?xml version="1.0" encoding="utf-8"?>
<sst xmlns="http://schemas.openxmlformats.org/spreadsheetml/2006/main" count="100" uniqueCount="93">
  <si>
    <t>Dpto.</t>
  </si>
  <si>
    <t>Propietario</t>
  </si>
  <si>
    <t>Pagos</t>
  </si>
  <si>
    <t>TOTAL</t>
  </si>
  <si>
    <t>EXPENSAS</t>
  </si>
  <si>
    <t>%</t>
  </si>
  <si>
    <t>consorciosrc13@gmail.com</t>
  </si>
  <si>
    <t>Ingreso por pago de expensas en término</t>
  </si>
  <si>
    <t>Saldo anterior</t>
  </si>
  <si>
    <t>TOTALES</t>
  </si>
  <si>
    <t>Tel. 11 5320-2676</t>
  </si>
  <si>
    <t>ABONOS y SERVICIOS</t>
  </si>
  <si>
    <t>GASTOS ORDINARIOS</t>
  </si>
  <si>
    <t>TOTAL GENERAL DE GASTOS (A) + (B)</t>
  </si>
  <si>
    <t>Saldo al cierre $ (pesos)</t>
  </si>
  <si>
    <t xml:space="preserve">Saldo </t>
  </si>
  <si>
    <t>Anterior</t>
  </si>
  <si>
    <t>CANCIANI, Carolina</t>
  </si>
  <si>
    <t>LIMPIEZA / MANTENIMIENTO / GASTOS GENERALES</t>
  </si>
  <si>
    <t>ESTADO FINACIERO</t>
  </si>
  <si>
    <t>EDESUR  0800-333-3787</t>
  </si>
  <si>
    <t>AySA  0800-321-2482</t>
  </si>
  <si>
    <t>TOTAL GASTOS EXTRAORDINARIOS (B)</t>
  </si>
  <si>
    <t>Metrogas 0800-333-6427</t>
  </si>
  <si>
    <t>EDESUR</t>
  </si>
  <si>
    <t>GASTOS EXTRAORDINARIOS</t>
  </si>
  <si>
    <t>Intereses</t>
  </si>
  <si>
    <t>Exp. Ord.</t>
  </si>
  <si>
    <t xml:space="preserve">Teléfonos útiles </t>
  </si>
  <si>
    <t>EXPENSAS ORDINARIAS</t>
  </si>
  <si>
    <t>DEUDA</t>
  </si>
  <si>
    <t>Inquilinos</t>
  </si>
  <si>
    <t>CAJA EXTRAORDINARIA</t>
  </si>
  <si>
    <t>MP 1148</t>
  </si>
  <si>
    <t>Pago efectivo</t>
  </si>
  <si>
    <t>Egreso extraordinario</t>
  </si>
  <si>
    <t>Egresos por gastos del mes ordinarios</t>
  </si>
  <si>
    <t>Gomez Elizabeth</t>
  </si>
  <si>
    <t>Maceyle Gabriela</t>
  </si>
  <si>
    <t>Castelao Lorena</t>
  </si>
  <si>
    <t>Grand Jorge</t>
  </si>
  <si>
    <t>Valdez Norberto</t>
  </si>
  <si>
    <t>Lean Cosenza</t>
  </si>
  <si>
    <t>Pereyra Amanda</t>
  </si>
  <si>
    <t>Enciso Marisa</t>
  </si>
  <si>
    <t>COCH A</t>
  </si>
  <si>
    <t>COCH B</t>
  </si>
  <si>
    <t>COCH C</t>
  </si>
  <si>
    <t>TOTAL GASTOS ORDINARIOS (A) - SIN CONTAR EDESUR</t>
  </si>
  <si>
    <t>PATXOT</t>
  </si>
  <si>
    <t>NOVIEMBRE 2024</t>
  </si>
  <si>
    <t xml:space="preserve">BOLETA </t>
  </si>
  <si>
    <t>UNIDAD</t>
  </si>
  <si>
    <t>MEDIDOR</t>
  </si>
  <si>
    <t>CONSUMO</t>
  </si>
  <si>
    <t>PORCENTAJE</t>
  </si>
  <si>
    <t>BOLETA TOTAL</t>
  </si>
  <si>
    <t>TOTAL A ABONAR</t>
  </si>
  <si>
    <t>ANTERIOR</t>
  </si>
  <si>
    <t>ACTUAL</t>
  </si>
  <si>
    <t>GOMEZ</t>
  </si>
  <si>
    <t>CARA</t>
  </si>
  <si>
    <t>PEREYRA</t>
  </si>
  <si>
    <t>MARTINEZ</t>
  </si>
  <si>
    <t>ENCISO ROTELA</t>
  </si>
  <si>
    <t>VALDEZ</t>
  </si>
  <si>
    <t>COSENZA</t>
  </si>
  <si>
    <t>CONSUMO TOTAL KW</t>
  </si>
  <si>
    <t>EDIFICIO</t>
  </si>
  <si>
    <t xml:space="preserve">EN TOTAL LOS DEPARTAMENTOS USARON </t>
  </si>
  <si>
    <t>KW</t>
  </si>
  <si>
    <t>DEPARTAMENTO</t>
  </si>
  <si>
    <t>CONSUMIO</t>
  </si>
  <si>
    <t xml:space="preserve">KW </t>
  </si>
  <si>
    <t>EL 14,96% DE TOTAL CONSUMIDO</t>
  </si>
  <si>
    <t>ELECTRICIDAD</t>
  </si>
  <si>
    <t xml:space="preserve">TOTAL </t>
  </si>
  <si>
    <t>saldo OCTUBRE 24</t>
  </si>
  <si>
    <t>ABONASTE OCTUBRE 24</t>
  </si>
  <si>
    <t>NOVIEMBRE 24</t>
  </si>
  <si>
    <t>Expensas ord.</t>
  </si>
  <si>
    <t>ENERO 2025</t>
  </si>
  <si>
    <t>Prevision ordinaria</t>
  </si>
  <si>
    <t>EDESUR:</t>
  </si>
  <si>
    <t>Honorarios Administracion</t>
  </si>
  <si>
    <t>Poliza de Seguro Obligatoria Mercantil andina N. 1181593</t>
  </si>
  <si>
    <t>AYSA - DICIEMBRE</t>
  </si>
  <si>
    <t>Edesur - DICIEMBRE</t>
  </si>
  <si>
    <t>Elida</t>
  </si>
  <si>
    <t>Norberto</t>
  </si>
  <si>
    <t>LIQUIDACIÓN EXPENSAS ENERO 2026</t>
  </si>
  <si>
    <t>Atención: se han reliquidado todas las deudas correspondientes a cada unidad funcional, dejando reflejados los saldos reales de cada una.
A partir de este mes se aplicarán intereses a quienes no abonen las expensas en tiempo y forma.
La columna Ingresos registra pagos efectuados tanto durante el mes de enero como en meses anteriores. Por este motivo, en la caja general se han descontado aquellos pagos que no corresponden al período liquidado, a fin de evitar su doble contabilización, ya que los mismos fueron imputados oportunamente en expensas anteriores.
Del mismo modo, los saldos anteriores incluyen montos correspondientes a expensas adeudadas no solo del mes de diciembre, sino también de meses posteriores.</t>
  </si>
  <si>
    <t>Ingresos que no corresponden al periodo liquidado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</si>
</sst>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 &quot;$&quot;\ * #,##0.00_ ;_ &quot;$&quot;\ * \-#,##0.00_ ;_ &quot;$&quot;\ * &quot;-&quot;??_ ;_ @_ "/>
    <numFmt numFmtId="166" formatCode="_ &quot;$&quot;\ * #,##0_ ;_ &quot;$&quot;\ * \-#,##0_ ;_ &quot;$&quot;\ * &quot;-&quot;??_ ;_ @_ "/>
  </numFmts>
  <fonts count="19"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sz val="10"/>
      <name val="Arial"/>
      <family val="2"/>
    </font>
    <font>
      <b/>
      <sz val="10"/>
      <color theme="0"/>
      <name val="Calibri"/>
      <family val="2"/>
      <scheme val="minor"/>
    </font>
    <font>
      <b/>
      <sz val="12"/>
      <color theme="0"/>
      <name val="Calibri"/>
      <family val="2"/>
      <scheme val="minor"/>
    </font>
    <font>
      <sz val="11"/>
      <color rgb="FFFF0000"/>
      <name val="Calibri"/>
      <family val="2"/>
      <scheme val="minor"/>
    </font>
    <font>
      <sz val="10"/>
      <color rgb="FFFF0000"/>
      <name val="Calibri"/>
      <family val="2"/>
      <scheme val="minor"/>
    </font>
    <font>
      <b/>
      <sz val="11"/>
      <color rgb="FF5B5B5F"/>
      <name val="Raleway"/>
    </font>
    <font>
      <sz val="11"/>
      <color rgb="FF212529"/>
      <name val="Arial"/>
      <family val="2"/>
    </font>
    <font>
      <b/>
      <sz val="11"/>
      <color rgb="FF4A4848"/>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44" fontId="3" fillId="0" borderId="0" applyFont="0" applyFill="0" applyBorder="0" applyAlignment="0" applyProtection="0"/>
    <xf numFmtId="0" fontId="11" fillId="0" borderId="0"/>
  </cellStyleXfs>
  <cellXfs count="136">
    <xf numFmtId="0" fontId="0" fillId="0" borderId="0" xfId="0"/>
    <xf numFmtId="0" fontId="0" fillId="0" borderId="0" xfId="0" applyAlignment="1">
      <alignment horizontal="center"/>
    </xf>
    <xf numFmtId="0" fontId="0" fillId="0" borderId="3" xfId="0" applyBorder="1"/>
    <xf numFmtId="0" fontId="2" fillId="0" borderId="0" xfId="1"/>
    <xf numFmtId="0" fontId="1" fillId="0" borderId="0" xfId="0" applyFont="1"/>
    <xf numFmtId="164" fontId="0" fillId="0" borderId="0" xfId="0" applyNumberFormat="1"/>
    <xf numFmtId="0" fontId="0" fillId="0" borderId="1" xfId="0" applyBorder="1" applyAlignment="1">
      <alignment horizontal="center"/>
    </xf>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4" borderId="0" xfId="0" applyFont="1" applyFill="1"/>
    <xf numFmtId="164" fontId="8" fillId="4" borderId="0" xfId="2" applyFont="1" applyFill="1"/>
    <xf numFmtId="0" fontId="2" fillId="0" borderId="3" xfId="1" applyBorder="1"/>
    <xf numFmtId="0" fontId="1" fillId="5" borderId="0" xfId="0" applyFont="1" applyFill="1" applyAlignment="1">
      <alignment horizontal="center"/>
    </xf>
    <xf numFmtId="4" fontId="0" fillId="0" borderId="6" xfId="0" applyNumberFormat="1" applyBorder="1"/>
    <xf numFmtId="0" fontId="0" fillId="0" borderId="8" xfId="0" applyBorder="1"/>
    <xf numFmtId="0" fontId="8" fillId="4" borderId="8" xfId="0" applyFont="1" applyFill="1" applyBorder="1"/>
    <xf numFmtId="164" fontId="8" fillId="4" borderId="9" xfId="2" applyFont="1" applyFill="1" applyBorder="1"/>
    <xf numFmtId="0" fontId="1" fillId="0" borderId="7" xfId="0" applyFont="1" applyBorder="1"/>
    <xf numFmtId="164" fontId="9" fillId="0" borderId="1" xfId="2" applyFont="1" applyBorder="1"/>
    <xf numFmtId="0" fontId="11" fillId="0" borderId="1" xfId="0" applyFont="1" applyBorder="1" applyAlignment="1">
      <alignment wrapText="1"/>
    </xf>
    <xf numFmtId="164" fontId="9" fillId="2" borderId="1" xfId="2" applyFont="1" applyFill="1" applyBorder="1"/>
    <xf numFmtId="0" fontId="10" fillId="0" borderId="0" xfId="0" applyFont="1"/>
    <xf numFmtId="4" fontId="10" fillId="0" borderId="0" xfId="0" applyNumberFormat="1" applyFont="1"/>
    <xf numFmtId="0" fontId="11" fillId="0" borderId="5" xfId="0" applyFont="1" applyBorder="1" applyAlignment="1">
      <alignment wrapText="1"/>
    </xf>
    <xf numFmtId="0" fontId="13" fillId="4" borderId="1" xfId="0" applyFont="1" applyFill="1" applyBorder="1"/>
    <xf numFmtId="0" fontId="6" fillId="0" borderId="1" xfId="0" applyFont="1" applyBorder="1"/>
    <xf numFmtId="0" fontId="0" fillId="0" borderId="1" xfId="0" applyBorder="1"/>
    <xf numFmtId="0" fontId="12" fillId="4" borderId="1" xfId="0" applyFont="1" applyFill="1" applyBorder="1"/>
    <xf numFmtId="164" fontId="6" fillId="0" borderId="1" xfId="2" applyFont="1" applyBorder="1"/>
    <xf numFmtId="164" fontId="12" fillId="4" borderId="1" xfId="2" applyFont="1" applyFill="1" applyBorder="1"/>
    <xf numFmtId="0" fontId="8" fillId="4" borderId="1" xfId="0" applyFont="1" applyFill="1" applyBorder="1"/>
    <xf numFmtId="164" fontId="14" fillId="0" borderId="1" xfId="2" applyFont="1" applyBorder="1"/>
    <xf numFmtId="164" fontId="15" fillId="0" borderId="1" xfId="2" applyFont="1" applyBorder="1"/>
    <xf numFmtId="4" fontId="10" fillId="6" borderId="1" xfId="0" applyNumberFormat="1" applyFont="1" applyFill="1" applyBorder="1"/>
    <xf numFmtId="4" fontId="10" fillId="0" borderId="1" xfId="0" applyNumberFormat="1" applyFont="1" applyBorder="1"/>
    <xf numFmtId="0" fontId="4" fillId="0" borderId="1" xfId="0"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4" borderId="1" xfId="0" applyNumberFormat="1" applyFont="1" applyFill="1" applyBorder="1"/>
    <xf numFmtId="4" fontId="14" fillId="0" borderId="6" xfId="0" applyNumberFormat="1" applyFont="1" applyBorder="1"/>
    <xf numFmtId="44" fontId="0" fillId="0" borderId="0" xfId="0" applyNumberFormat="1"/>
    <xf numFmtId="0" fontId="11" fillId="0" borderId="1" xfId="0" applyFont="1" applyBorder="1" applyAlignment="1">
      <alignment vertical="center" wrapText="1"/>
    </xf>
    <xf numFmtId="0" fontId="1" fillId="0" borderId="0" xfId="0" applyFont="1" applyAlignment="1">
      <alignment horizontal="center" vertical="center"/>
    </xf>
    <xf numFmtId="49" fontId="0" fillId="7" borderId="0" xfId="0" applyNumberFormat="1" applyFill="1"/>
    <xf numFmtId="0" fontId="0" fillId="7" borderId="0" xfId="0" applyFill="1"/>
    <xf numFmtId="0" fontId="16" fillId="0" borderId="0" xfId="0" applyFont="1"/>
    <xf numFmtId="4" fontId="17" fillId="0" borderId="0" xfId="0" applyNumberFormat="1" applyFont="1"/>
    <xf numFmtId="4" fontId="0" fillId="0" borderId="0" xfId="0" applyNumberFormat="1" applyAlignment="1">
      <alignment horizontal="center" vertical="center"/>
    </xf>
    <xf numFmtId="0" fontId="0" fillId="0" borderId="0" xfId="0" applyAlignment="1">
      <alignment horizontal="center" vertical="center"/>
    </xf>
    <xf numFmtId="0" fontId="1" fillId="8" borderId="0" xfId="0" applyFont="1" applyFill="1" applyAlignment="1">
      <alignment horizontal="center" vertical="center"/>
    </xf>
    <xf numFmtId="49" fontId="0" fillId="0" borderId="0" xfId="0" applyNumberFormat="1"/>
    <xf numFmtId="4" fontId="1" fillId="0" borderId="0" xfId="0" applyNumberFormat="1" applyFont="1" applyAlignment="1">
      <alignment horizontal="center" vertical="center"/>
    </xf>
    <xf numFmtId="44" fontId="0" fillId="8" borderId="0" xfId="3" applyFont="1" applyFill="1" applyAlignment="1">
      <alignment horizontal="center" vertical="center"/>
    </xf>
    <xf numFmtId="0" fontId="18" fillId="0" borderId="0" xfId="0" applyFont="1"/>
    <xf numFmtId="0" fontId="1" fillId="8" borderId="0" xfId="0" applyFont="1" applyFill="1"/>
    <xf numFmtId="44" fontId="0" fillId="8" borderId="0" xfId="3" applyFont="1" applyFill="1" applyBorder="1" applyAlignment="1">
      <alignment horizontal="center" vertical="center"/>
    </xf>
    <xf numFmtId="0" fontId="14" fillId="0" borderId="0" xfId="0" applyFont="1" applyAlignment="1">
      <alignment horizontal="center" vertical="center"/>
    </xf>
    <xf numFmtId="0" fontId="10" fillId="0" borderId="0" xfId="0" applyFont="1" applyAlignment="1">
      <alignment horizontal="center" vertical="center"/>
    </xf>
    <xf numFmtId="0" fontId="10" fillId="0" borderId="29" xfId="0" applyFont="1" applyBorder="1" applyAlignment="1">
      <alignment horizontal="center" vertical="center"/>
    </xf>
    <xf numFmtId="0" fontId="14" fillId="0" borderId="0" xfId="0" applyFont="1"/>
    <xf numFmtId="17" fontId="0" fillId="0" borderId="0" xfId="0" applyNumberFormat="1"/>
    <xf numFmtId="0" fontId="0" fillId="0" borderId="29" xfId="0" applyBorder="1"/>
    <xf numFmtId="0" fontId="0" fillId="0" borderId="30" xfId="0" applyBorder="1"/>
    <xf numFmtId="0" fontId="0" fillId="0" borderId="19" xfId="0" applyBorder="1"/>
    <xf numFmtId="0" fontId="0" fillId="0" borderId="19" xfId="0" applyBorder="1" applyAlignment="1">
      <alignment horizontal="center" vertical="center"/>
    </xf>
    <xf numFmtId="0" fontId="0" fillId="0" borderId="31" xfId="0" applyBorder="1"/>
    <xf numFmtId="0" fontId="0" fillId="0" borderId="32" xfId="0" applyBorder="1"/>
    <xf numFmtId="0" fontId="1" fillId="9" borderId="0" xfId="0" applyFont="1" applyFill="1" applyAlignment="1">
      <alignment horizontal="center" vertical="center"/>
    </xf>
    <xf numFmtId="0" fontId="0" fillId="0" borderId="13" xfId="0" applyBorder="1"/>
    <xf numFmtId="0" fontId="0" fillId="0" borderId="25" xfId="0" applyBorder="1"/>
    <xf numFmtId="0" fontId="0" fillId="0" borderId="26" xfId="0" applyBorder="1"/>
    <xf numFmtId="0" fontId="0" fillId="0" borderId="33" xfId="0" applyBorder="1"/>
    <xf numFmtId="49" fontId="1" fillId="0" borderId="0" xfId="0" applyNumberFormat="1" applyFont="1"/>
    <xf numFmtId="4" fontId="1" fillId="7" borderId="0" xfId="0" applyNumberFormat="1" applyFont="1" applyFill="1"/>
    <xf numFmtId="0" fontId="1" fillId="0" borderId="2" xfId="0" applyFont="1" applyBorder="1"/>
    <xf numFmtId="164" fontId="9" fillId="0" borderId="5" xfId="2" applyFont="1" applyBorder="1"/>
    <xf numFmtId="0" fontId="1" fillId="0" borderId="34" xfId="0" applyFont="1" applyBorder="1"/>
    <xf numFmtId="0" fontId="0" fillId="0" borderId="35" xfId="0" applyBorder="1"/>
    <xf numFmtId="0" fontId="0" fillId="0" borderId="36" xfId="0" applyBorder="1"/>
    <xf numFmtId="166" fontId="10" fillId="6" borderId="1" xfId="2" applyNumberFormat="1" applyFont="1" applyFill="1" applyBorder="1"/>
    <xf numFmtId="0" fontId="1" fillId="5" borderId="0" xfId="0" applyFont="1" applyFill="1" applyAlignment="1">
      <alignment horizontal="left"/>
    </xf>
    <xf numFmtId="0" fontId="11" fillId="0" borderId="5" xfId="0" applyFont="1" applyBorder="1" applyAlignment="1">
      <alignment vertical="center" wrapText="1"/>
    </xf>
    <xf numFmtId="166" fontId="0" fillId="0" borderId="0" xfId="0" applyNumberFormat="1"/>
    <xf numFmtId="0" fontId="5" fillId="7" borderId="0" xfId="0" applyFont="1" applyFill="1" applyAlignment="1">
      <alignment horizontal="left" vertical="center" wrapText="1"/>
    </xf>
    <xf numFmtId="4" fontId="10" fillId="6" borderId="1" xfId="0" applyNumberFormat="1" applyFont="1" applyFill="1" applyBorder="1" applyAlignment="1">
      <alignment horizontal="right"/>
    </xf>
    <xf numFmtId="4" fontId="9" fillId="0" borderId="0" xfId="0" applyNumberFormat="1" applyFont="1"/>
    <xf numFmtId="0" fontId="10" fillId="0" borderId="1" xfId="0" applyFont="1" applyBorder="1" applyAlignment="1">
      <alignment horizontal="center"/>
    </xf>
    <xf numFmtId="0" fontId="9" fillId="0" borderId="0" xfId="0" applyFont="1"/>
    <xf numFmtId="164" fontId="10" fillId="0" borderId="0" xfId="2" applyFont="1" applyAlignment="1">
      <alignment horizontal="center" vertical="center"/>
    </xf>
    <xf numFmtId="0" fontId="9" fillId="0" borderId="0" xfId="0" applyFont="1" applyAlignment="1">
      <alignment horizontal="left"/>
    </xf>
    <xf numFmtId="0" fontId="10" fillId="0" borderId="0" xfId="0" applyFont="1" applyAlignment="1">
      <alignment horizontal="center"/>
    </xf>
    <xf numFmtId="0" fontId="9" fillId="0" borderId="26" xfId="0" applyFont="1" applyBorder="1" applyAlignment="1">
      <alignment horizontal="left"/>
    </xf>
    <xf numFmtId="0" fontId="9" fillId="2" borderId="17" xfId="0" applyFont="1" applyFill="1" applyBorder="1" applyAlignment="1">
      <alignment horizontal="left"/>
    </xf>
    <xf numFmtId="0" fontId="10" fillId="2" borderId="18" xfId="0" applyFont="1" applyFill="1" applyBorder="1"/>
    <xf numFmtId="0" fontId="10" fillId="2" borderId="18" xfId="0" applyFont="1" applyFill="1" applyBorder="1" applyAlignment="1">
      <alignment horizontal="left"/>
    </xf>
    <xf numFmtId="0" fontId="9" fillId="2" borderId="18" xfId="0" applyFont="1" applyFill="1" applyBorder="1"/>
    <xf numFmtId="0" fontId="10" fillId="2" borderId="19" xfId="0" applyFont="1" applyFill="1" applyBorder="1"/>
    <xf numFmtId="0" fontId="10" fillId="2" borderId="20" xfId="0" applyFont="1" applyFill="1" applyBorder="1"/>
    <xf numFmtId="0" fontId="10" fillId="0" borderId="21" xfId="0" applyFont="1" applyBorder="1" applyAlignment="1">
      <alignment horizontal="center" vertical="center"/>
    </xf>
    <xf numFmtId="0" fontId="10" fillId="0" borderId="15" xfId="0" applyFont="1" applyBorder="1" applyAlignment="1">
      <alignment horizontal="center" vertical="center"/>
    </xf>
    <xf numFmtId="0" fontId="10" fillId="0" borderId="4" xfId="0" applyFont="1" applyBorder="1" applyAlignment="1">
      <alignment horizontal="center" vertical="center"/>
    </xf>
    <xf numFmtId="0" fontId="10" fillId="0" borderId="4" xfId="0" applyFont="1" applyBorder="1" applyAlignment="1">
      <alignment horizontal="center" vertical="center" wrapText="1"/>
    </xf>
    <xf numFmtId="0" fontId="10" fillId="0" borderId="6" xfId="0" applyFont="1" applyBorder="1" applyAlignment="1">
      <alignment horizontal="center"/>
    </xf>
    <xf numFmtId="0" fontId="10" fillId="0" borderId="14" xfId="0" applyFont="1" applyBorder="1" applyAlignment="1">
      <alignment horizontal="center" vertical="center"/>
    </xf>
    <xf numFmtId="0" fontId="10" fillId="0" borderId="4" xfId="0" applyFont="1" applyBorder="1" applyAlignment="1">
      <alignment horizontal="center" wrapText="1"/>
    </xf>
    <xf numFmtId="0" fontId="10" fillId="0" borderId="13" xfId="0" applyFont="1" applyBorder="1" applyAlignment="1">
      <alignment horizontal="center"/>
    </xf>
    <xf numFmtId="0" fontId="10" fillId="0" borderId="22" xfId="0" applyFont="1" applyBorder="1" applyAlignment="1">
      <alignment horizontal="center" vertical="center"/>
    </xf>
    <xf numFmtId="0" fontId="10" fillId="0" borderId="16" xfId="0" applyFont="1" applyBorder="1" applyAlignment="1">
      <alignment horizontal="center" vertical="center"/>
    </xf>
    <xf numFmtId="0" fontId="10" fillId="0" borderId="5" xfId="0" applyFont="1" applyBorder="1" applyAlignment="1">
      <alignment horizontal="center" vertical="center"/>
    </xf>
    <xf numFmtId="0" fontId="10" fillId="0" borderId="5" xfId="0" applyFont="1" applyBorder="1" applyAlignment="1">
      <alignment horizontal="center" vertical="center" wrapText="1"/>
    </xf>
    <xf numFmtId="0" fontId="10" fillId="0" borderId="5" xfId="0" applyFont="1" applyBorder="1" applyAlignment="1">
      <alignment horizontal="center"/>
    </xf>
    <xf numFmtId="0" fontId="10" fillId="0" borderId="2" xfId="0" applyFont="1" applyBorder="1" applyAlignment="1">
      <alignment horizontal="center" vertical="center"/>
    </xf>
    <xf numFmtId="0" fontId="10" fillId="0" borderId="5" xfId="0" applyFont="1" applyBorder="1" applyAlignment="1">
      <alignment horizontal="center" wrapText="1"/>
    </xf>
    <xf numFmtId="0" fontId="10" fillId="0" borderId="10" xfId="0" applyFont="1" applyBorder="1" applyAlignment="1">
      <alignment horizontal="center"/>
    </xf>
    <xf numFmtId="0" fontId="10" fillId="0" borderId="23" xfId="0" applyFont="1" applyBorder="1" applyAlignment="1">
      <alignment horizontal="center"/>
    </xf>
    <xf numFmtId="0" fontId="10" fillId="0" borderId="9" xfId="0" applyFont="1" applyBorder="1" applyAlignment="1">
      <alignment horizontal="center"/>
    </xf>
    <xf numFmtId="166" fontId="10" fillId="0" borderId="1" xfId="2" applyNumberFormat="1" applyFont="1" applyBorder="1"/>
    <xf numFmtId="164" fontId="10" fillId="0" borderId="1" xfId="2" applyFont="1" applyBorder="1"/>
    <xf numFmtId="164" fontId="10" fillId="0" borderId="7" xfId="2" applyFont="1" applyBorder="1"/>
    <xf numFmtId="164" fontId="10" fillId="0" borderId="24" xfId="2" applyFont="1" applyBorder="1"/>
    <xf numFmtId="0" fontId="9" fillId="3" borderId="25" xfId="0" applyFont="1" applyFill="1" applyBorder="1" applyAlignment="1">
      <alignment horizontal="left"/>
    </xf>
    <xf numFmtId="0" fontId="10" fillId="3" borderId="26" xfId="0" applyFont="1" applyFill="1" applyBorder="1" applyAlignment="1">
      <alignment horizontal="center"/>
    </xf>
    <xf numFmtId="0" fontId="10" fillId="3" borderId="26" xfId="0" applyFont="1" applyFill="1" applyBorder="1"/>
    <xf numFmtId="166" fontId="9" fillId="3" borderId="12" xfId="2" applyNumberFormat="1" applyFont="1" applyFill="1" applyBorder="1"/>
    <xf numFmtId="3" fontId="9" fillId="3" borderId="27" xfId="2" applyNumberFormat="1" applyFont="1" applyFill="1" applyBorder="1"/>
    <xf numFmtId="3" fontId="9" fillId="3" borderId="28" xfId="2" applyNumberFormat="1" applyFont="1" applyFill="1" applyBorder="1"/>
    <xf numFmtId="4" fontId="9" fillId="3" borderId="26" xfId="0" applyNumberFormat="1" applyFont="1" applyFill="1" applyBorder="1"/>
    <xf numFmtId="166" fontId="9" fillId="3" borderId="11" xfId="2" applyNumberFormat="1" applyFont="1" applyFill="1" applyBorder="1"/>
    <xf numFmtId="0" fontId="9" fillId="7" borderId="19" xfId="0" applyFont="1" applyFill="1" applyBorder="1" applyAlignment="1">
      <alignment horizontal="left" vertical="center" wrapText="1"/>
    </xf>
  </cellXfs>
  <cellStyles count="5">
    <cellStyle name="Hipervínculo" xfId="1" builtinId="8"/>
    <cellStyle name="Moneda" xfId="2" builtinId="4"/>
    <cellStyle name="Moneda 2" xfId="3" xr:uid="{00000000-0005-0000-0000-000002000000}"/>
    <cellStyle name="Normal" xfId="0" builtinId="0"/>
    <cellStyle name="Normal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1"/>
  <sheetViews>
    <sheetView tabSelected="1" topLeftCell="A38" workbookViewId="0">
      <selection activeCell="A43" sqref="A1:C50"/>
    </sheetView>
  </sheetViews>
  <sheetFormatPr baseColWidth="10" defaultRowHeight="15" x14ac:dyDescent="0.25"/>
  <cols>
    <col min="1" max="1" width="38" customWidth="1"/>
    <col min="2" max="2" width="40.28515625" customWidth="1"/>
    <col min="3" max="3" width="16.42578125" customWidth="1"/>
    <col min="4" max="4" width="12.140625" bestFit="1" customWidth="1"/>
    <col min="6" max="6" width="13" bestFit="1" customWidth="1"/>
  </cols>
  <sheetData>
    <row r="2" spans="1:3" x14ac:dyDescent="0.25">
      <c r="B2" t="s">
        <v>17</v>
      </c>
      <c r="C2" t="s">
        <v>33</v>
      </c>
    </row>
    <row r="3" spans="1:3" x14ac:dyDescent="0.25">
      <c r="B3" t="s">
        <v>10</v>
      </c>
    </row>
    <row r="4" spans="1:3" x14ac:dyDescent="0.25">
      <c r="B4" s="3" t="s">
        <v>6</v>
      </c>
    </row>
    <row r="5" spans="1:3" ht="8.25" customHeight="1" x14ac:dyDescent="0.25">
      <c r="A5" s="2"/>
      <c r="B5" s="16"/>
      <c r="C5" s="2"/>
    </row>
    <row r="7" spans="1:3" x14ac:dyDescent="0.25">
      <c r="A7" s="87" t="s">
        <v>90</v>
      </c>
      <c r="B7" s="17"/>
      <c r="C7" s="17"/>
    </row>
    <row r="8" spans="1:3" x14ac:dyDescent="0.25">
      <c r="A8" s="2"/>
      <c r="B8" s="2"/>
      <c r="C8" s="2"/>
    </row>
    <row r="10" spans="1:3" x14ac:dyDescent="0.25">
      <c r="A10" s="8" t="s">
        <v>28</v>
      </c>
    </row>
    <row r="11" spans="1:3" x14ac:dyDescent="0.25">
      <c r="A11" t="s">
        <v>20</v>
      </c>
    </row>
    <row r="12" spans="1:3" x14ac:dyDescent="0.25">
      <c r="A12" t="s">
        <v>21</v>
      </c>
    </row>
    <row r="13" spans="1:3" x14ac:dyDescent="0.25">
      <c r="A13" t="s">
        <v>23</v>
      </c>
    </row>
    <row r="15" spans="1:3" x14ac:dyDescent="0.25">
      <c r="A15" s="14" t="s">
        <v>12</v>
      </c>
    </row>
    <row r="16" spans="1:3" x14ac:dyDescent="0.25">
      <c r="A16" s="40" t="s">
        <v>11</v>
      </c>
      <c r="B16" s="31"/>
      <c r="C16" s="6"/>
    </row>
    <row r="17" spans="1:6" x14ac:dyDescent="0.25">
      <c r="A17" s="31" t="s">
        <v>86</v>
      </c>
      <c r="B17" s="41" t="s">
        <v>34</v>
      </c>
      <c r="C17" s="91">
        <v>35799</v>
      </c>
      <c r="D17" s="92"/>
      <c r="F17" s="7"/>
    </row>
    <row r="18" spans="1:6" x14ac:dyDescent="0.25">
      <c r="A18" s="42"/>
      <c r="B18" s="43"/>
      <c r="C18" s="25">
        <f>SUM(C17:C17)</f>
        <v>35799</v>
      </c>
      <c r="D18" s="26"/>
    </row>
    <row r="19" spans="1:6" x14ac:dyDescent="0.25">
      <c r="A19" s="40" t="s">
        <v>18</v>
      </c>
      <c r="B19" s="41"/>
      <c r="C19" s="93"/>
      <c r="D19" s="26"/>
    </row>
    <row r="20" spans="1:6" ht="15.75" x14ac:dyDescent="0.25">
      <c r="A20" s="31" t="s">
        <v>84</v>
      </c>
      <c r="B20" s="44"/>
      <c r="C20" s="38">
        <v>37000</v>
      </c>
      <c r="D20" s="26"/>
      <c r="F20" s="13"/>
    </row>
    <row r="21" spans="1:6" ht="15.75" x14ac:dyDescent="0.25">
      <c r="A21" s="31" t="s">
        <v>85</v>
      </c>
      <c r="B21" s="44"/>
      <c r="C21" s="38">
        <v>36534.6</v>
      </c>
      <c r="D21" s="26"/>
      <c r="F21" s="13"/>
    </row>
    <row r="22" spans="1:6" ht="15.75" x14ac:dyDescent="0.25">
      <c r="A22" s="31" t="s">
        <v>82</v>
      </c>
      <c r="B22" s="41"/>
      <c r="C22" s="39"/>
      <c r="D22" s="94"/>
      <c r="E22" s="7"/>
      <c r="F22" s="13"/>
    </row>
    <row r="23" spans="1:6" ht="15.75" x14ac:dyDescent="0.25">
      <c r="A23" s="42"/>
      <c r="B23" s="43"/>
      <c r="C23" s="25">
        <f>SUM(C19:C22)</f>
        <v>73534.600000000006</v>
      </c>
      <c r="F23" s="13"/>
    </row>
    <row r="24" spans="1:6" ht="15.75" x14ac:dyDescent="0.25">
      <c r="A24" s="35" t="s">
        <v>48</v>
      </c>
      <c r="B24" s="35"/>
      <c r="C24" s="45">
        <f>+C23+C18</f>
        <v>109333.6</v>
      </c>
      <c r="F24" s="13"/>
    </row>
    <row r="25" spans="1:6" ht="15.75" x14ac:dyDescent="0.25">
      <c r="C25" s="26"/>
      <c r="F25" s="13"/>
    </row>
    <row r="26" spans="1:6" ht="15.75" x14ac:dyDescent="0.25">
      <c r="A26" s="14" t="s">
        <v>25</v>
      </c>
      <c r="C26" s="26"/>
      <c r="F26" s="13"/>
    </row>
    <row r="27" spans="1:6" ht="15.75" x14ac:dyDescent="0.25">
      <c r="A27" s="31"/>
      <c r="B27" s="31"/>
      <c r="C27" s="38"/>
      <c r="F27" s="13"/>
    </row>
    <row r="28" spans="1:6" ht="15.75" x14ac:dyDescent="0.25">
      <c r="A28" s="31"/>
      <c r="B28" s="31"/>
      <c r="C28" s="39"/>
      <c r="F28" s="13"/>
    </row>
    <row r="29" spans="1:6" ht="15.75" x14ac:dyDescent="0.25">
      <c r="A29" s="31"/>
      <c r="B29" s="31"/>
      <c r="C29" s="39"/>
      <c r="F29" s="13"/>
    </row>
    <row r="30" spans="1:6" ht="15.75" x14ac:dyDescent="0.25">
      <c r="C30" s="27"/>
      <c r="F30" s="13"/>
    </row>
    <row r="31" spans="1:6" x14ac:dyDescent="0.25">
      <c r="A31" s="14" t="s">
        <v>22</v>
      </c>
      <c r="B31" s="14"/>
      <c r="C31" s="15">
        <f>+C27+C28+C29+C30</f>
        <v>0</v>
      </c>
      <c r="E31" s="7"/>
    </row>
    <row r="33" spans="1:5" x14ac:dyDescent="0.25">
      <c r="A33" s="20" t="s">
        <v>13</v>
      </c>
      <c r="B33" s="20"/>
      <c r="C33" s="21">
        <f>+C31+C24</f>
        <v>109333.6</v>
      </c>
    </row>
    <row r="34" spans="1:5" ht="15.75" thickBot="1" x14ac:dyDescent="0.3"/>
    <row r="35" spans="1:5" ht="15.75" thickBot="1" x14ac:dyDescent="0.3">
      <c r="A35" s="83" t="s">
        <v>19</v>
      </c>
      <c r="B35" s="84"/>
      <c r="C35" s="85"/>
    </row>
    <row r="36" spans="1:5" x14ac:dyDescent="0.25">
      <c r="A36" s="81" t="s">
        <v>8</v>
      </c>
      <c r="B36" s="2"/>
      <c r="C36" s="82">
        <v>-782106.07639999967</v>
      </c>
      <c r="D36" s="5"/>
      <c r="E36" s="5"/>
    </row>
    <row r="37" spans="1:5" x14ac:dyDescent="0.25">
      <c r="A37" t="s">
        <v>7</v>
      </c>
      <c r="C37" s="18">
        <f>'prorrateo '!F15</f>
        <v>1216661.4719760001</v>
      </c>
      <c r="D37" s="7"/>
      <c r="E37" s="7"/>
    </row>
    <row r="38" spans="1:5" x14ac:dyDescent="0.25">
      <c r="A38" t="s">
        <v>92</v>
      </c>
      <c r="C38" s="46">
        <v>-761194</v>
      </c>
      <c r="D38" s="7"/>
      <c r="E38" s="7"/>
    </row>
    <row r="39" spans="1:5" x14ac:dyDescent="0.25">
      <c r="A39" t="s">
        <v>87</v>
      </c>
      <c r="C39" s="46">
        <f>-(281988.92-122970.95)</f>
        <v>-159017.96999999997</v>
      </c>
      <c r="D39" s="7"/>
      <c r="E39" s="7"/>
    </row>
    <row r="40" spans="1:5" x14ac:dyDescent="0.25">
      <c r="A40" t="s">
        <v>36</v>
      </c>
      <c r="C40" s="46">
        <f>-C24</f>
        <v>-109333.6</v>
      </c>
    </row>
    <row r="41" spans="1:5" x14ac:dyDescent="0.25">
      <c r="A41" s="22" t="s">
        <v>14</v>
      </c>
      <c r="B41" s="19"/>
      <c r="C41" s="23">
        <f>SUM(C36:C40)</f>
        <v>-594990.1744239995</v>
      </c>
      <c r="D41" s="5"/>
    </row>
    <row r="42" spans="1:5" x14ac:dyDescent="0.25">
      <c r="A42" s="10"/>
      <c r="B42" s="9"/>
      <c r="C42" s="11"/>
    </row>
    <row r="43" spans="1:5" x14ac:dyDescent="0.25">
      <c r="A43" s="90" t="str">
        <f>'prorrateo '!A16:L16</f>
        <v>Atención: se han reliquidado todas las deudas correspondientes a cada unidad funcional, dejando reflejados los saldos reales de cada una.
A partir de este mes se aplicarán intereses a quienes no abonen las expensas en tiempo y forma.
La columna Ingresos registra pagos efectuados tanto durante el mes de enero como en meses anteriores. Por este motivo, en la caja general se han descontado aquellos pagos que no corresponden al período liquidado, a fin de evitar su doble contabilización, ya que los mismos fueron imputados oportunamente en expensas anteriores.
Del mismo modo, los saldos anteriores incluyen montos correspondientes a expensas adeudadas no solo del mes de diciembre, sino también de meses posteriores.</v>
      </c>
      <c r="B43" s="90"/>
      <c r="C43" s="90"/>
    </row>
    <row r="44" spans="1:5" x14ac:dyDescent="0.25">
      <c r="A44" s="90"/>
      <c r="B44" s="90"/>
      <c r="C44" s="90"/>
    </row>
    <row r="45" spans="1:5" x14ac:dyDescent="0.25">
      <c r="A45" s="90"/>
      <c r="B45" s="90"/>
      <c r="C45" s="90"/>
    </row>
    <row r="46" spans="1:5" x14ac:dyDescent="0.25">
      <c r="A46" s="90"/>
      <c r="B46" s="90"/>
      <c r="C46" s="90"/>
    </row>
    <row r="47" spans="1:5" x14ac:dyDescent="0.25">
      <c r="A47" s="90"/>
      <c r="B47" s="90"/>
      <c r="C47" s="90"/>
    </row>
    <row r="48" spans="1:5" x14ac:dyDescent="0.25">
      <c r="A48" s="90"/>
      <c r="B48" s="90"/>
      <c r="C48" s="90"/>
    </row>
    <row r="49" spans="1:6" x14ac:dyDescent="0.25">
      <c r="A49" s="90"/>
      <c r="B49" s="90"/>
      <c r="C49" s="90"/>
    </row>
    <row r="50" spans="1:6" ht="81.75" customHeight="1" x14ac:dyDescent="0.25">
      <c r="A50" s="90"/>
      <c r="B50" s="90"/>
      <c r="C50" s="90"/>
    </row>
    <row r="51" spans="1:6" x14ac:dyDescent="0.25">
      <c r="A51" s="10"/>
      <c r="B51" s="9"/>
      <c r="C51" s="11"/>
      <c r="F51" s="47"/>
    </row>
    <row r="52" spans="1:6" x14ac:dyDescent="0.25">
      <c r="A52" s="10"/>
      <c r="B52" s="9"/>
      <c r="C52" s="11"/>
    </row>
    <row r="53" spans="1:6" ht="15.75" x14ac:dyDescent="0.25">
      <c r="A53" s="29" t="s">
        <v>32</v>
      </c>
      <c r="B53" s="30"/>
      <c r="C53" s="33">
        <v>0</v>
      </c>
    </row>
    <row r="54" spans="1:6" x14ac:dyDescent="0.25">
      <c r="A54" s="31" t="s">
        <v>35</v>
      </c>
      <c r="B54" s="31"/>
      <c r="C54" s="36">
        <f>-C31</f>
        <v>0</v>
      </c>
    </row>
    <row r="55" spans="1:6" x14ac:dyDescent="0.25">
      <c r="A55" s="31"/>
      <c r="B55" s="31"/>
      <c r="C55" s="36"/>
    </row>
    <row r="56" spans="1:6" x14ac:dyDescent="0.25">
      <c r="A56" s="31"/>
      <c r="B56" s="31"/>
      <c r="C56" s="37"/>
    </row>
    <row r="57" spans="1:6" x14ac:dyDescent="0.25">
      <c r="A57" s="35" t="s">
        <v>3</v>
      </c>
      <c r="B57" s="32"/>
      <c r="C57" s="34">
        <f>SUM(C53:C56)</f>
        <v>0</v>
      </c>
    </row>
    <row r="58" spans="1:6" x14ac:dyDescent="0.25">
      <c r="A58" s="9"/>
      <c r="B58" s="9"/>
      <c r="C58" s="9"/>
    </row>
    <row r="59" spans="1:6" x14ac:dyDescent="0.25">
      <c r="A59" s="9"/>
      <c r="B59" s="9"/>
      <c r="C59" s="9"/>
    </row>
    <row r="60" spans="1:6" x14ac:dyDescent="0.25">
      <c r="A60" s="9"/>
      <c r="B60" s="9"/>
      <c r="C60" s="9"/>
    </row>
    <row r="61" spans="1:6" x14ac:dyDescent="0.25">
      <c r="A61" s="9"/>
      <c r="B61" s="9"/>
      <c r="C61" s="9"/>
    </row>
  </sheetData>
  <mergeCells count="1">
    <mergeCell ref="A43:C50"/>
  </mergeCells>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97"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6"/>
  <sheetViews>
    <sheetView zoomScaleNormal="100" zoomScaleSheetLayoutView="40" workbookViewId="0">
      <selection activeCell="A16" sqref="A1:L16"/>
    </sheetView>
  </sheetViews>
  <sheetFormatPr baseColWidth="10" defaultRowHeight="15" x14ac:dyDescent="0.25"/>
  <cols>
    <col min="1" max="1" width="5.28515625" style="1" customWidth="1"/>
    <col min="2" max="2" width="4" style="1" customWidth="1"/>
    <col min="3" max="3" width="23.42578125" bestFit="1" customWidth="1"/>
    <col min="4" max="4" width="9.85546875" bestFit="1" customWidth="1"/>
    <col min="5" max="5" width="11.7109375" customWidth="1"/>
    <col min="6" max="6" width="10.7109375" customWidth="1"/>
    <col min="7" max="7" width="9.5703125" customWidth="1"/>
    <col min="8" max="8" width="10.28515625" customWidth="1"/>
    <col min="9" max="9" width="8.28515625" customWidth="1"/>
    <col min="10" max="10" width="13.140625" customWidth="1"/>
    <col min="11" max="11" width="11.42578125" customWidth="1"/>
    <col min="12" max="12" width="12.42578125" bestFit="1" customWidth="1"/>
    <col min="14" max="14" width="11.42578125" style="12"/>
  </cols>
  <sheetData>
    <row r="1" spans="1:13" ht="15.75" thickBot="1" x14ac:dyDescent="0.3">
      <c r="A1" s="96" t="s">
        <v>29</v>
      </c>
      <c r="B1" s="97"/>
      <c r="C1" s="26"/>
      <c r="D1" s="26"/>
      <c r="E1" s="27">
        <v>109333.6</v>
      </c>
      <c r="F1" s="26"/>
      <c r="G1" s="26"/>
      <c r="H1" s="98" t="s">
        <v>83</v>
      </c>
      <c r="I1" s="98"/>
      <c r="J1" s="27">
        <v>159017.97</v>
      </c>
      <c r="K1" s="26"/>
      <c r="L1" s="26"/>
    </row>
    <row r="2" spans="1:13" x14ac:dyDescent="0.25">
      <c r="A2" s="99">
        <f>'detalle y gastos'!B7</f>
        <v>0</v>
      </c>
      <c r="B2" s="100"/>
      <c r="C2" s="101"/>
      <c r="D2" s="101"/>
      <c r="E2" s="102"/>
      <c r="F2" s="100"/>
      <c r="G2" s="100"/>
      <c r="H2" s="100"/>
      <c r="I2" s="100"/>
      <c r="J2" s="103"/>
      <c r="K2" s="103"/>
      <c r="L2" s="104"/>
    </row>
    <row r="3" spans="1:13" x14ac:dyDescent="0.25">
      <c r="A3" s="105" t="s">
        <v>0</v>
      </c>
      <c r="B3" s="106"/>
      <c r="C3" s="107" t="s">
        <v>1</v>
      </c>
      <c r="D3" s="108" t="s">
        <v>31</v>
      </c>
      <c r="E3" s="109" t="s">
        <v>15</v>
      </c>
      <c r="F3" s="109" t="s">
        <v>2</v>
      </c>
      <c r="G3" s="107" t="s">
        <v>30</v>
      </c>
      <c r="H3" s="107" t="s">
        <v>26</v>
      </c>
      <c r="I3" s="110" t="s">
        <v>5</v>
      </c>
      <c r="J3" s="111" t="s">
        <v>80</v>
      </c>
      <c r="K3" s="107" t="s">
        <v>24</v>
      </c>
      <c r="L3" s="112" t="s">
        <v>3</v>
      </c>
    </row>
    <row r="4" spans="1:13" x14ac:dyDescent="0.25">
      <c r="A4" s="113"/>
      <c r="B4" s="114"/>
      <c r="C4" s="115"/>
      <c r="D4" s="116"/>
      <c r="E4" s="117" t="s">
        <v>16</v>
      </c>
      <c r="F4" s="109" t="s">
        <v>27</v>
      </c>
      <c r="G4" s="115"/>
      <c r="H4" s="115"/>
      <c r="I4" s="118"/>
      <c r="J4" s="119"/>
      <c r="K4" s="115"/>
      <c r="L4" s="120" t="s">
        <v>4</v>
      </c>
    </row>
    <row r="5" spans="1:13" ht="19.5" customHeight="1" x14ac:dyDescent="0.25">
      <c r="A5" s="121">
        <v>1</v>
      </c>
      <c r="B5" s="122"/>
      <c r="C5" s="48" t="s">
        <v>37</v>
      </c>
      <c r="D5" s="24"/>
      <c r="E5" s="86">
        <v>46673.998480000002</v>
      </c>
      <c r="F5" s="86">
        <f>E5</f>
        <v>46673.998480000002</v>
      </c>
      <c r="G5" s="123">
        <f>E5-F5</f>
        <v>0</v>
      </c>
      <c r="H5" s="123">
        <f>IF(G5&gt;0,G5*6%,0)</f>
        <v>0</v>
      </c>
      <c r="I5" s="39">
        <v>13.8</v>
      </c>
      <c r="J5" s="124">
        <f>E$1*I5/100</f>
        <v>15088.036800000002</v>
      </c>
      <c r="K5" s="125">
        <f>edesur!H5</f>
        <v>9493.6101492537327</v>
      </c>
      <c r="L5" s="126">
        <f>G5+H5+J5+K5</f>
        <v>24581.646949253736</v>
      </c>
      <c r="M5" s="89"/>
    </row>
    <row r="6" spans="1:13" x14ac:dyDescent="0.25">
      <c r="A6" s="121">
        <v>2</v>
      </c>
      <c r="B6" s="122"/>
      <c r="C6" s="48" t="s">
        <v>38</v>
      </c>
      <c r="D6" s="28"/>
      <c r="E6" s="86">
        <v>93174.074720303732</v>
      </c>
      <c r="F6" s="86"/>
      <c r="G6" s="123">
        <f t="shared" ref="G6:G14" si="0">E6-F6</f>
        <v>93174.074720303732</v>
      </c>
      <c r="H6" s="123">
        <f t="shared" ref="H6:H14" si="1">IF(G6&gt;0,G6*6%,0)</f>
        <v>5590.4444832182235</v>
      </c>
      <c r="I6" s="39">
        <v>11.86</v>
      </c>
      <c r="J6" s="124">
        <f t="shared" ref="J6:J14" si="2">E$1*I6/100</f>
        <v>12966.964960000001</v>
      </c>
      <c r="K6" s="125">
        <f>edesur!H6</f>
        <v>46518.689731343286</v>
      </c>
      <c r="L6" s="126">
        <f t="shared" ref="L6:L14" si="3">G6+H6+J6+K6</f>
        <v>158250.17389486523</v>
      </c>
    </row>
    <row r="7" spans="1:13" ht="26.25" x14ac:dyDescent="0.25">
      <c r="A7" s="121">
        <v>3</v>
      </c>
      <c r="B7" s="122"/>
      <c r="C7" s="48" t="s">
        <v>38</v>
      </c>
      <c r="D7" s="28" t="s">
        <v>43</v>
      </c>
      <c r="E7" s="86">
        <f>404493.75+44569.42</f>
        <v>449063.17</v>
      </c>
      <c r="F7" s="86">
        <f>120000+50000+114600</f>
        <v>284600</v>
      </c>
      <c r="G7" s="123">
        <f t="shared" si="0"/>
        <v>164463.16999999998</v>
      </c>
      <c r="H7" s="123">
        <f t="shared" si="1"/>
        <v>9867.7901999999995</v>
      </c>
      <c r="I7" s="39">
        <v>12.46</v>
      </c>
      <c r="J7" s="124">
        <f t="shared" si="2"/>
        <v>13622.966560000003</v>
      </c>
      <c r="K7" s="125">
        <f>edesur!H7</f>
        <v>46044.009223880596</v>
      </c>
      <c r="L7" s="126">
        <f t="shared" si="3"/>
        <v>233997.93598388057</v>
      </c>
    </row>
    <row r="8" spans="1:13" x14ac:dyDescent="0.25">
      <c r="A8" s="121">
        <v>4</v>
      </c>
      <c r="B8" s="122"/>
      <c r="C8" s="48" t="s">
        <v>39</v>
      </c>
      <c r="D8" s="28" t="s">
        <v>88</v>
      </c>
      <c r="E8" s="86">
        <f>410990.58+104559.2</f>
        <v>515549.78</v>
      </c>
      <c r="F8" s="86">
        <f>128678+49000+128000</f>
        <v>305678</v>
      </c>
      <c r="G8" s="123">
        <f t="shared" si="0"/>
        <v>209871.78000000003</v>
      </c>
      <c r="H8" s="123">
        <f t="shared" si="1"/>
        <v>12592.306800000002</v>
      </c>
      <c r="I8" s="39">
        <v>14.75</v>
      </c>
      <c r="J8" s="124">
        <f t="shared" si="2"/>
        <v>16126.706</v>
      </c>
      <c r="K8" s="125">
        <f>edesur!H8</f>
        <v>9493.6101492537327</v>
      </c>
      <c r="L8" s="126">
        <f t="shared" si="3"/>
        <v>248084.40294925377</v>
      </c>
    </row>
    <row r="9" spans="1:13" ht="30.75" customHeight="1" x14ac:dyDescent="0.25">
      <c r="A9" s="121">
        <v>5</v>
      </c>
      <c r="B9" s="122"/>
      <c r="C9" s="48" t="s">
        <v>40</v>
      </c>
      <c r="D9" s="28" t="s">
        <v>44</v>
      </c>
      <c r="E9" s="86">
        <f>65135.91+199803.65</f>
        <v>264939.56</v>
      </c>
      <c r="F9" s="86">
        <f>145436.21+54367.43+65136</f>
        <v>264939.64</v>
      </c>
      <c r="G9" s="123">
        <f t="shared" si="0"/>
        <v>-8.0000000016298145E-2</v>
      </c>
      <c r="H9" s="123">
        <f t="shared" si="1"/>
        <v>0</v>
      </c>
      <c r="I9" s="39">
        <v>12.41</v>
      </c>
      <c r="J9" s="124">
        <f t="shared" si="2"/>
        <v>13568.29976</v>
      </c>
      <c r="K9" s="125">
        <f>edesur!H9</f>
        <v>28480.830447761193</v>
      </c>
      <c r="L9" s="126">
        <f>G9+H9+J9+K9</f>
        <v>42049.050207761175</v>
      </c>
    </row>
    <row r="10" spans="1:13" ht="18" customHeight="1" x14ac:dyDescent="0.25">
      <c r="A10" s="121">
        <v>6</v>
      </c>
      <c r="B10" s="122"/>
      <c r="C10" s="48" t="s">
        <v>41</v>
      </c>
      <c r="D10" s="28"/>
      <c r="E10" s="86">
        <f>44600+399309.33</f>
        <v>443909.33</v>
      </c>
      <c r="F10" s="86">
        <f>4150+26423+54675+85000+44601-F14</f>
        <v>169324.31</v>
      </c>
      <c r="G10" s="123">
        <f t="shared" si="0"/>
        <v>274585.02</v>
      </c>
      <c r="H10" s="123">
        <f t="shared" si="1"/>
        <v>16475.101200000001</v>
      </c>
      <c r="I10" s="39">
        <v>12.48</v>
      </c>
      <c r="J10" s="124">
        <f t="shared" si="2"/>
        <v>13644.833280000003</v>
      </c>
      <c r="K10" s="125">
        <f>edesur!H10</f>
        <v>9493.6101492537327</v>
      </c>
      <c r="L10" s="126">
        <f t="shared" si="3"/>
        <v>314198.56462925376</v>
      </c>
    </row>
    <row r="11" spans="1:13" ht="17.25" customHeight="1" x14ac:dyDescent="0.25">
      <c r="A11" s="121">
        <v>7</v>
      </c>
      <c r="B11" s="122"/>
      <c r="C11" s="48" t="s">
        <v>42</v>
      </c>
      <c r="D11" s="28"/>
      <c r="E11" s="86">
        <v>53678.783496000004</v>
      </c>
      <c r="F11" s="86">
        <f t="shared" ref="F11:F14" si="4">E11</f>
        <v>53678.783496000004</v>
      </c>
      <c r="G11" s="123">
        <f t="shared" si="0"/>
        <v>0</v>
      </c>
      <c r="H11" s="123">
        <f t="shared" si="1"/>
        <v>0</v>
      </c>
      <c r="I11" s="39">
        <v>18.260000000000002</v>
      </c>
      <c r="J11" s="124">
        <f t="shared" si="2"/>
        <v>19964.315360000004</v>
      </c>
      <c r="K11" s="125">
        <f>edesur!H11</f>
        <v>9493.6101492537327</v>
      </c>
      <c r="L11" s="126">
        <f t="shared" si="3"/>
        <v>29457.925509253735</v>
      </c>
      <c r="M11" s="89"/>
    </row>
    <row r="12" spans="1:13" ht="25.5" customHeight="1" x14ac:dyDescent="0.25">
      <c r="A12" s="121" t="s">
        <v>45</v>
      </c>
      <c r="B12" s="122"/>
      <c r="C12" s="48" t="str">
        <f>C9</f>
        <v>Grand Jorge</v>
      </c>
      <c r="D12" s="88" t="s">
        <v>44</v>
      </c>
      <c r="E12" s="86">
        <f>44137.05+2104.58</f>
        <v>46241.630000000005</v>
      </c>
      <c r="F12" s="86">
        <f>44137.05+2105</f>
        <v>46242.05</v>
      </c>
      <c r="G12" s="123">
        <f t="shared" si="0"/>
        <v>-0.41999999999825377</v>
      </c>
      <c r="H12" s="123">
        <f t="shared" si="1"/>
        <v>0</v>
      </c>
      <c r="I12" s="39">
        <v>1.34</v>
      </c>
      <c r="J12" s="124">
        <f t="shared" si="2"/>
        <v>1465.07024</v>
      </c>
      <c r="K12" s="125"/>
      <c r="L12" s="126">
        <f t="shared" si="3"/>
        <v>1464.6502400000018</v>
      </c>
    </row>
    <row r="13" spans="1:13" x14ac:dyDescent="0.25">
      <c r="A13" s="121" t="s">
        <v>46</v>
      </c>
      <c r="B13" s="122"/>
      <c r="C13" s="48" t="str">
        <f>C6</f>
        <v>Maceyle Gabriela</v>
      </c>
      <c r="D13" s="28"/>
      <c r="E13" s="86">
        <v>41426.1</v>
      </c>
      <c r="F13" s="86"/>
      <c r="G13" s="123">
        <f t="shared" si="0"/>
        <v>41426.1</v>
      </c>
      <c r="H13" s="123">
        <f t="shared" si="1"/>
        <v>2485.5659999999998</v>
      </c>
      <c r="I13" s="39">
        <v>1.32</v>
      </c>
      <c r="J13" s="124">
        <f t="shared" si="2"/>
        <v>1443.20352</v>
      </c>
      <c r="K13" s="125"/>
      <c r="L13" s="126">
        <f t="shared" si="3"/>
        <v>45354.86952</v>
      </c>
    </row>
    <row r="14" spans="1:13" ht="19.5" customHeight="1" x14ac:dyDescent="0.25">
      <c r="A14" s="121" t="s">
        <v>47</v>
      </c>
      <c r="B14" s="122"/>
      <c r="C14" s="24" t="str">
        <f>C6</f>
        <v>Maceyle Gabriela</v>
      </c>
      <c r="D14" s="28" t="s">
        <v>89</v>
      </c>
      <c r="E14" s="86">
        <f>43451.53+2073.16</f>
        <v>45524.69</v>
      </c>
      <c r="F14" s="86">
        <f t="shared" si="4"/>
        <v>45524.69</v>
      </c>
      <c r="G14" s="123">
        <f t="shared" si="0"/>
        <v>0</v>
      </c>
      <c r="H14" s="123">
        <f t="shared" si="1"/>
        <v>0</v>
      </c>
      <c r="I14" s="39">
        <v>1.32</v>
      </c>
      <c r="J14" s="124">
        <f t="shared" si="2"/>
        <v>1443.20352</v>
      </c>
      <c r="K14" s="125"/>
      <c r="L14" s="126">
        <f t="shared" si="3"/>
        <v>1443.20352</v>
      </c>
    </row>
    <row r="15" spans="1:13" ht="15.75" thickBot="1" x14ac:dyDescent="0.3">
      <c r="A15" s="127" t="s">
        <v>9</v>
      </c>
      <c r="B15" s="128"/>
      <c r="C15" s="129"/>
      <c r="D15" s="129"/>
      <c r="E15" s="130">
        <f>SUM(E5:E14)</f>
        <v>2000181.1166963042</v>
      </c>
      <c r="F15" s="131">
        <f>SUM(F5:F14)</f>
        <v>1216661.4719760001</v>
      </c>
      <c r="G15" s="131"/>
      <c r="H15" s="132">
        <f>SUM(H5:H14)</f>
        <v>47011.208683218225</v>
      </c>
      <c r="I15" s="133">
        <f t="shared" ref="I15" si="5">SUM(I5:I14)</f>
        <v>100</v>
      </c>
      <c r="J15" s="134">
        <f>SUM(J5:J14)</f>
        <v>109333.6</v>
      </c>
      <c r="K15" s="130">
        <f>SUM(K5:K11)</f>
        <v>159017.97</v>
      </c>
      <c r="L15" s="130">
        <f>SUM(L5:L14)</f>
        <v>1098882.423403522</v>
      </c>
    </row>
    <row r="16" spans="1:13" ht="217.5" customHeight="1" x14ac:dyDescent="0.25">
      <c r="A16" s="135" t="s">
        <v>91</v>
      </c>
      <c r="B16" s="135"/>
      <c r="C16" s="135"/>
      <c r="D16" s="135"/>
      <c r="E16" s="135"/>
      <c r="F16" s="135"/>
      <c r="G16" s="135"/>
      <c r="H16" s="135"/>
      <c r="I16" s="135"/>
      <c r="J16" s="135"/>
      <c r="K16" s="135"/>
      <c r="L16" s="135"/>
    </row>
  </sheetData>
  <mergeCells count="20">
    <mergeCell ref="A16:L16"/>
    <mergeCell ref="I3:I4"/>
    <mergeCell ref="A6:B6"/>
    <mergeCell ref="A7:B7"/>
    <mergeCell ref="A8:B8"/>
    <mergeCell ref="A9:B9"/>
    <mergeCell ref="H3:H4"/>
    <mergeCell ref="A10:B10"/>
    <mergeCell ref="G3:G4"/>
    <mergeCell ref="C3:C4"/>
    <mergeCell ref="D3:D4"/>
    <mergeCell ref="A3:B4"/>
    <mergeCell ref="A5:B5"/>
    <mergeCell ref="K3:K4"/>
    <mergeCell ref="J3:J4"/>
    <mergeCell ref="A11:B11"/>
    <mergeCell ref="A12:B12"/>
    <mergeCell ref="A13:B13"/>
    <mergeCell ref="A14:B14"/>
    <mergeCell ref="H1:I1"/>
  </mergeCells>
  <printOptions horizontalCentered="1" verticalCentered="1"/>
  <pageMargins left="0.19685039370078741" right="0.19685039370078741" top="0.19685039370078741" bottom="0.19685039370078741"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4"/>
  <sheetViews>
    <sheetView workbookViewId="0">
      <selection activeCell="D11" sqref="D11"/>
    </sheetView>
  </sheetViews>
  <sheetFormatPr baseColWidth="10" defaultRowHeight="15" x14ac:dyDescent="0.25"/>
  <cols>
    <col min="6" max="7" width="15.42578125" customWidth="1"/>
    <col min="8" max="8" width="18.28515625" customWidth="1"/>
    <col min="9" max="9" width="13.5703125" customWidth="1"/>
    <col min="10" max="10" width="22.5703125" customWidth="1"/>
    <col min="11" max="11" width="13.85546875" customWidth="1"/>
  </cols>
  <sheetData>
    <row r="1" spans="1:13" ht="18" x14ac:dyDescent="0.35">
      <c r="B1" s="49" t="s">
        <v>49</v>
      </c>
      <c r="C1" s="50" t="s">
        <v>81</v>
      </c>
      <c r="D1" s="51"/>
      <c r="F1" t="s">
        <v>24</v>
      </c>
      <c r="G1" t="s">
        <v>51</v>
      </c>
      <c r="H1" s="80">
        <v>159017.97</v>
      </c>
      <c r="K1" s="52"/>
      <c r="L1" s="53"/>
    </row>
    <row r="2" spans="1:13" x14ac:dyDescent="0.25">
      <c r="H2" s="54"/>
      <c r="I2" s="54"/>
      <c r="J2" s="54"/>
    </row>
    <row r="3" spans="1:13" x14ac:dyDescent="0.25">
      <c r="B3" s="55" t="s">
        <v>52</v>
      </c>
      <c r="C3" s="49" t="s">
        <v>53</v>
      </c>
      <c r="D3" s="49" t="s">
        <v>53</v>
      </c>
      <c r="E3" s="49" t="s">
        <v>54</v>
      </c>
      <c r="F3" s="49" t="s">
        <v>55</v>
      </c>
      <c r="G3" s="49" t="s">
        <v>56</v>
      </c>
      <c r="H3" s="56" t="s">
        <v>57</v>
      </c>
      <c r="I3" s="55"/>
      <c r="J3" s="55"/>
      <c r="K3" s="4"/>
      <c r="M3" s="57"/>
    </row>
    <row r="4" spans="1:13" x14ac:dyDescent="0.25">
      <c r="B4" s="55"/>
      <c r="C4" s="49" t="s">
        <v>58</v>
      </c>
      <c r="D4" s="49" t="s">
        <v>59</v>
      </c>
      <c r="E4" s="49"/>
      <c r="F4" s="49"/>
      <c r="H4" s="58">
        <f>H1</f>
        <v>159017.97</v>
      </c>
      <c r="I4" s="58"/>
      <c r="J4" s="58"/>
    </row>
    <row r="5" spans="1:13" x14ac:dyDescent="0.25">
      <c r="A5" s="4" t="s">
        <v>60</v>
      </c>
      <c r="B5" s="55">
        <v>1</v>
      </c>
      <c r="C5">
        <v>7817</v>
      </c>
      <c r="D5" s="51">
        <f>C5+20</f>
        <v>7837</v>
      </c>
      <c r="E5" s="55">
        <f>D5-C5</f>
        <v>20</v>
      </c>
      <c r="F5" s="55">
        <f>E5*100/D14</f>
        <v>5.9701492537313436</v>
      </c>
      <c r="G5" s="4"/>
      <c r="H5" s="59">
        <f>H4*(F5/100)</f>
        <v>9493.6101492537327</v>
      </c>
      <c r="I5" s="55"/>
      <c r="J5" s="4"/>
      <c r="K5" s="4"/>
      <c r="L5" s="60"/>
      <c r="M5" s="61"/>
    </row>
    <row r="6" spans="1:13" x14ac:dyDescent="0.25">
      <c r="A6" s="4" t="s">
        <v>61</v>
      </c>
      <c r="B6" s="55">
        <v>2</v>
      </c>
      <c r="C6">
        <v>7174</v>
      </c>
      <c r="D6" s="51">
        <f>C6+98</f>
        <v>7272</v>
      </c>
      <c r="E6" s="55">
        <f>D6-C6</f>
        <v>98</v>
      </c>
      <c r="F6" s="55">
        <f>E6*100/D14</f>
        <v>29.253731343283583</v>
      </c>
      <c r="G6" s="4"/>
      <c r="H6" s="59">
        <f>H4*(F6/100)</f>
        <v>46518.689731343286</v>
      </c>
      <c r="I6" s="55"/>
      <c r="J6" s="4"/>
      <c r="K6" s="4"/>
      <c r="L6" s="60"/>
      <c r="M6" s="61"/>
    </row>
    <row r="7" spans="1:13" x14ac:dyDescent="0.25">
      <c r="A7" s="4" t="s">
        <v>62</v>
      </c>
      <c r="B7" s="55">
        <v>3</v>
      </c>
      <c r="C7">
        <v>7791</v>
      </c>
      <c r="D7" s="51">
        <f>C7+97</f>
        <v>7888</v>
      </c>
      <c r="E7" s="55">
        <f t="shared" ref="E7:E11" si="0">D7-C7</f>
        <v>97</v>
      </c>
      <c r="F7" s="55">
        <f>E7*100/D14</f>
        <v>28.955223880597014</v>
      </c>
      <c r="H7" s="62">
        <f>H4*(F7/100)</f>
        <v>46044.009223880596</v>
      </c>
      <c r="I7" s="49"/>
      <c r="J7" s="4"/>
      <c r="K7" s="4"/>
      <c r="L7" s="60"/>
      <c r="M7" s="61"/>
    </row>
    <row r="8" spans="1:13" x14ac:dyDescent="0.25">
      <c r="A8" s="4" t="s">
        <v>63</v>
      </c>
      <c r="B8" s="55">
        <v>4</v>
      </c>
      <c r="C8">
        <v>9369</v>
      </c>
      <c r="D8" s="51">
        <f>C8+20</f>
        <v>9389</v>
      </c>
      <c r="E8" s="55">
        <f t="shared" si="0"/>
        <v>20</v>
      </c>
      <c r="F8" s="55">
        <f>E8*100/D14</f>
        <v>5.9701492537313436</v>
      </c>
      <c r="G8" s="4"/>
      <c r="H8" s="59">
        <f>H4*(F8/100)</f>
        <v>9493.6101492537327</v>
      </c>
      <c r="I8" s="55"/>
      <c r="J8" s="4"/>
      <c r="K8" s="4"/>
      <c r="L8" s="60"/>
      <c r="M8" s="61"/>
    </row>
    <row r="9" spans="1:13" x14ac:dyDescent="0.25">
      <c r="A9" s="4" t="s">
        <v>64</v>
      </c>
      <c r="B9" s="55">
        <v>5</v>
      </c>
      <c r="C9">
        <v>10695</v>
      </c>
      <c r="D9" s="51">
        <f>C9+60</f>
        <v>10755</v>
      </c>
      <c r="E9" s="55">
        <f t="shared" si="0"/>
        <v>60</v>
      </c>
      <c r="F9" s="55">
        <f>E9*100/D14</f>
        <v>17.910447761194028</v>
      </c>
      <c r="G9" s="4"/>
      <c r="H9" s="59">
        <f>H4*(F9/100)</f>
        <v>28480.830447761193</v>
      </c>
      <c r="I9" s="55"/>
      <c r="J9" s="4"/>
      <c r="K9" s="4"/>
      <c r="L9" s="60"/>
      <c r="M9" s="61"/>
    </row>
    <row r="10" spans="1:13" x14ac:dyDescent="0.25">
      <c r="A10" s="4" t="s">
        <v>65</v>
      </c>
      <c r="B10" s="55">
        <v>6</v>
      </c>
      <c r="C10">
        <v>10767</v>
      </c>
      <c r="D10" s="51">
        <f>C10+20</f>
        <v>10787</v>
      </c>
      <c r="E10" s="55">
        <f t="shared" si="0"/>
        <v>20</v>
      </c>
      <c r="F10" s="55">
        <f>E10*100/D14</f>
        <v>5.9701492537313436</v>
      </c>
      <c r="G10" s="4"/>
      <c r="H10" s="59">
        <f>H4*(F10/100)</f>
        <v>9493.6101492537327</v>
      </c>
      <c r="I10" s="55"/>
      <c r="J10" s="4"/>
      <c r="K10" s="4"/>
      <c r="L10" s="60"/>
      <c r="M10" s="61"/>
    </row>
    <row r="11" spans="1:13" ht="15.75" thickBot="1" x14ac:dyDescent="0.3">
      <c r="A11" s="4" t="s">
        <v>66</v>
      </c>
      <c r="B11" s="55">
        <v>7</v>
      </c>
      <c r="C11">
        <v>13240</v>
      </c>
      <c r="D11" s="51">
        <f>C11+20</f>
        <v>13260</v>
      </c>
      <c r="E11" s="55">
        <f t="shared" si="0"/>
        <v>20</v>
      </c>
      <c r="F11" s="55">
        <f>E11*100/D14</f>
        <v>5.9701492537313436</v>
      </c>
      <c r="G11" s="4"/>
      <c r="H11" s="59">
        <f>H4*(F11/100)</f>
        <v>9493.6101492537327</v>
      </c>
      <c r="I11" s="55"/>
      <c r="J11" s="4"/>
      <c r="K11" s="4"/>
      <c r="L11" s="60"/>
      <c r="M11" s="61"/>
    </row>
    <row r="12" spans="1:13" ht="15.75" thickBot="1" x14ac:dyDescent="0.3">
      <c r="B12" s="63"/>
      <c r="C12" s="64">
        <f>SUM(C5:C11)</f>
        <v>66853</v>
      </c>
      <c r="D12" s="64">
        <f>SUM(D5:D11)</f>
        <v>67188</v>
      </c>
      <c r="E12" s="65">
        <f>SUM(E5:E11)</f>
        <v>335</v>
      </c>
      <c r="F12" s="64">
        <f>SUM(F5:F11)</f>
        <v>100.00000000000003</v>
      </c>
      <c r="G12" s="26"/>
      <c r="H12" s="95">
        <f>SUM(H5:H11)</f>
        <v>159017.97</v>
      </c>
      <c r="I12" s="63"/>
      <c r="J12" s="63"/>
      <c r="K12" s="63"/>
      <c r="L12" s="66"/>
    </row>
    <row r="13" spans="1:13" ht="15.75" thickBot="1" x14ac:dyDescent="0.3">
      <c r="C13" s="67"/>
      <c r="H13" s="55"/>
      <c r="I13" s="55"/>
      <c r="J13" s="55"/>
    </row>
    <row r="14" spans="1:13" ht="15.75" thickBot="1" x14ac:dyDescent="0.3">
      <c r="B14" t="s">
        <v>67</v>
      </c>
      <c r="D14" s="68">
        <f>D12-C12</f>
        <v>335</v>
      </c>
      <c r="H14" s="55"/>
      <c r="I14" s="55"/>
      <c r="J14" s="55"/>
    </row>
    <row r="15" spans="1:13" x14ac:dyDescent="0.25">
      <c r="B15" t="s">
        <v>68</v>
      </c>
      <c r="H15" s="55"/>
      <c r="I15" s="55"/>
      <c r="J15" s="55"/>
    </row>
    <row r="16" spans="1:13" x14ac:dyDescent="0.25">
      <c r="B16" s="55"/>
      <c r="C16" s="49"/>
      <c r="D16" s="49"/>
      <c r="E16" s="49"/>
      <c r="F16" s="49"/>
      <c r="H16" s="49"/>
      <c r="I16" s="49"/>
      <c r="J16" s="49"/>
      <c r="K16" s="4"/>
    </row>
    <row r="17" spans="2:13" x14ac:dyDescent="0.25">
      <c r="B17" s="55"/>
      <c r="C17" s="49"/>
      <c r="D17" s="49"/>
      <c r="E17" s="49"/>
      <c r="F17" s="49"/>
      <c r="H17" s="58"/>
      <c r="I17" s="58"/>
      <c r="J17" s="58"/>
    </row>
    <row r="18" spans="2:13" ht="15.75" thickBot="1" x14ac:dyDescent="0.3">
      <c r="H18" s="55"/>
      <c r="I18" s="55"/>
      <c r="J18" s="55"/>
    </row>
    <row r="19" spans="2:13" x14ac:dyDescent="0.25">
      <c r="C19" s="69"/>
      <c r="D19" s="70"/>
      <c r="E19" s="70"/>
      <c r="F19" s="70"/>
      <c r="G19" s="70"/>
      <c r="H19" s="71"/>
      <c r="I19" s="71"/>
      <c r="J19" s="71"/>
      <c r="K19" s="70"/>
      <c r="L19" s="70"/>
      <c r="M19" s="72"/>
    </row>
    <row r="20" spans="2:13" x14ac:dyDescent="0.25">
      <c r="C20" s="73"/>
      <c r="E20" t="s">
        <v>69</v>
      </c>
      <c r="H20" s="74">
        <f>D14</f>
        <v>335</v>
      </c>
      <c r="I20" s="74"/>
      <c r="J20" s="74"/>
      <c r="K20" t="s">
        <v>70</v>
      </c>
      <c r="M20" s="75"/>
    </row>
    <row r="21" spans="2:13" x14ac:dyDescent="0.25">
      <c r="C21" s="73"/>
      <c r="D21" t="s">
        <v>71</v>
      </c>
      <c r="E21">
        <v>7</v>
      </c>
      <c r="F21" t="s">
        <v>72</v>
      </c>
      <c r="G21">
        <v>197</v>
      </c>
      <c r="H21" t="s">
        <v>73</v>
      </c>
      <c r="K21" t="s">
        <v>74</v>
      </c>
      <c r="M21" s="75"/>
    </row>
    <row r="22" spans="2:13" ht="15.75" thickBot="1" x14ac:dyDescent="0.3">
      <c r="C22" s="76"/>
      <c r="D22" s="77"/>
      <c r="E22" s="77"/>
      <c r="F22" s="77"/>
      <c r="G22" s="77"/>
      <c r="H22" s="77"/>
      <c r="I22" s="77"/>
      <c r="J22" s="77"/>
      <c r="K22" s="77"/>
      <c r="L22" s="77"/>
      <c r="M22" s="78"/>
    </row>
    <row r="25" spans="2:13" x14ac:dyDescent="0.25">
      <c r="K25" s="79" t="s">
        <v>50</v>
      </c>
    </row>
    <row r="26" spans="2:13" x14ac:dyDescent="0.25">
      <c r="G26" s="4"/>
      <c r="K26" s="57"/>
    </row>
    <row r="27" spans="2:13" x14ac:dyDescent="0.25">
      <c r="I27" t="s">
        <v>75</v>
      </c>
      <c r="J27" t="s">
        <v>4</v>
      </c>
      <c r="K27" t="s">
        <v>76</v>
      </c>
    </row>
    <row r="28" spans="2:13" x14ac:dyDescent="0.25">
      <c r="G28" s="4"/>
      <c r="H28" s="4" t="s">
        <v>65</v>
      </c>
      <c r="I28" s="4">
        <v>29829</v>
      </c>
      <c r="J28" s="60">
        <v>16000</v>
      </c>
      <c r="K28" s="61">
        <f t="shared" ref="K28" si="1">I28+J28</f>
        <v>45829</v>
      </c>
    </row>
    <row r="31" spans="2:13" x14ac:dyDescent="0.25">
      <c r="J31" t="s">
        <v>77</v>
      </c>
      <c r="K31">
        <v>117067</v>
      </c>
    </row>
    <row r="32" spans="2:13" x14ac:dyDescent="0.25">
      <c r="J32" t="s">
        <v>78</v>
      </c>
      <c r="K32">
        <v>-55000</v>
      </c>
    </row>
    <row r="33" spans="10:11" x14ac:dyDescent="0.25">
      <c r="J33" s="57" t="s">
        <v>79</v>
      </c>
      <c r="K33">
        <v>43965</v>
      </c>
    </row>
    <row r="34" spans="10:11" x14ac:dyDescent="0.25">
      <c r="K34" s="51">
        <f>SUM(K31:K33)</f>
        <v>106032</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Sistemax</cp:lastModifiedBy>
  <cp:lastPrinted>2026-02-17T20:38:22Z</cp:lastPrinted>
  <dcterms:created xsi:type="dcterms:W3CDTF">2020-12-10T00:27:53Z</dcterms:created>
  <dcterms:modified xsi:type="dcterms:W3CDTF">2026-02-17T20:38:35Z</dcterms:modified>
</cp:coreProperties>
</file>