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OLOMBRES\Febrero\"/>
    </mc:Choice>
  </mc:AlternateContent>
  <xr:revisionPtr revIDLastSave="0" documentId="13_ncr:1_{316AD445-8239-4C73-BA82-243C79FCBBC7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PRORRATEO!$A$1:$P$44</definedName>
    <definedName name="_xlnm.Print_Area" localSheetId="0">RESUMEN!$A$1:$D$133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2" l="1"/>
  <c r="C87" i="1"/>
  <c r="C27" i="1"/>
  <c r="C52" i="1"/>
  <c r="C42" i="1"/>
  <c r="C47" i="1"/>
  <c r="H7" i="2"/>
  <c r="H13" i="2"/>
  <c r="H23" i="2"/>
  <c r="H32" i="2"/>
  <c r="H31" i="2"/>
  <c r="H18" i="2"/>
  <c r="H12" i="2"/>
  <c r="H29" i="2"/>
  <c r="H17" i="2"/>
  <c r="D84" i="1" l="1"/>
  <c r="C32" i="1"/>
  <c r="D90" i="1" l="1"/>
  <c r="D88" i="1"/>
  <c r="H19" i="2"/>
  <c r="D76" i="1"/>
  <c r="H16" i="2" l="1"/>
  <c r="H20" i="2"/>
  <c r="H24" i="2"/>
  <c r="D57" i="1" l="1"/>
  <c r="H6" i="2"/>
  <c r="D61" i="1"/>
  <c r="H30" i="2" l="1"/>
  <c r="H25" i="2"/>
  <c r="J15" i="2" l="1"/>
  <c r="H27" i="2"/>
  <c r="D67" i="1"/>
  <c r="H21" i="2" l="1"/>
  <c r="H28" i="2"/>
  <c r="M33" i="2" l="1"/>
  <c r="M6" i="2"/>
  <c r="C37" i="1"/>
  <c r="D53" i="1" s="1"/>
  <c r="J25" i="2"/>
  <c r="K25" i="2" s="1"/>
  <c r="J29" i="2"/>
  <c r="K29" i="2" s="1"/>
  <c r="J32" i="2"/>
  <c r="K32" i="2" s="1"/>
  <c r="J7" i="2"/>
  <c r="K7" i="2" s="1"/>
  <c r="H26" i="2"/>
  <c r="J26" i="2" s="1"/>
  <c r="K26" i="2" s="1"/>
  <c r="J23" i="2"/>
  <c r="K23" i="2" s="1"/>
  <c r="J24" i="2"/>
  <c r="K24" i="2" s="1"/>
  <c r="J30" i="2"/>
  <c r="K30" i="2" s="1"/>
  <c r="J20" i="2"/>
  <c r="K20" i="2" s="1"/>
  <c r="J19" i="2"/>
  <c r="K19" i="2" s="1"/>
  <c r="J33" i="2"/>
  <c r="K33" i="2" s="1"/>
  <c r="J22" i="2"/>
  <c r="K22" i="2" s="1"/>
  <c r="J27" i="2"/>
  <c r="K27" i="2" s="1"/>
  <c r="J17" i="2"/>
  <c r="K17" i="2" s="1"/>
  <c r="J12" i="2"/>
  <c r="K12" i="2" s="1"/>
  <c r="D65" i="1"/>
  <c r="D66" i="1" s="1"/>
  <c r="J8" i="2"/>
  <c r="K8" i="2" s="1"/>
  <c r="J10" i="2"/>
  <c r="K10" i="2" s="1"/>
  <c r="J11" i="2"/>
  <c r="K11" i="2" s="1"/>
  <c r="J13" i="2"/>
  <c r="K13" i="2" s="1"/>
  <c r="J14" i="2"/>
  <c r="K14" i="2" s="1"/>
  <c r="K15" i="2"/>
  <c r="J16" i="2"/>
  <c r="K16" i="2" s="1"/>
  <c r="J18" i="2"/>
  <c r="K18" i="2" s="1"/>
  <c r="J21" i="2"/>
  <c r="K21" i="2" s="1"/>
  <c r="J28" i="2"/>
  <c r="K28" i="2" s="1"/>
  <c r="J31" i="2"/>
  <c r="K31" i="2" s="1"/>
  <c r="I35" i="2" l="1"/>
  <c r="H34" i="2" l="1"/>
  <c r="J34" i="2" s="1"/>
  <c r="O34" i="2" s="1"/>
  <c r="L34" i="2"/>
  <c r="M34" i="2"/>
  <c r="P34" i="2" l="1"/>
  <c r="K34" i="2"/>
  <c r="B132" i="1" l="1"/>
  <c r="L7" i="2" l="1"/>
  <c r="L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6" i="2"/>
  <c r="D99" i="1" l="1"/>
  <c r="D104" i="1" s="1"/>
  <c r="B108" i="1" s="1"/>
  <c r="B124" i="1" s="1"/>
  <c r="B119" i="1" l="1"/>
  <c r="D92" i="1" l="1"/>
  <c r="O5" i="2" l="1"/>
  <c r="Q7" i="2" l="1"/>
  <c r="Q8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l="1"/>
  <c r="H35" i="2" l="1"/>
  <c r="B118" i="1" s="1"/>
  <c r="F35" i="2"/>
  <c r="G35" i="2"/>
  <c r="J6" i="2" l="1"/>
  <c r="K6" i="2" s="1"/>
  <c r="B109" i="1" l="1"/>
  <c r="L35" i="2"/>
  <c r="B107" i="1" l="1"/>
  <c r="B123" i="1" s="1"/>
  <c r="B125" i="1" s="1"/>
  <c r="M7" i="2"/>
  <c r="M8" i="2"/>
  <c r="O8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3" i="2"/>
  <c r="O6" i="2"/>
  <c r="O7" i="2" l="1"/>
  <c r="P7" i="2" s="1"/>
  <c r="M35" i="2"/>
  <c r="O32" i="2"/>
  <c r="P32" i="2" s="1"/>
  <c r="P28" i="2"/>
  <c r="P24" i="2"/>
  <c r="P20" i="2"/>
  <c r="P16" i="2"/>
  <c r="P12" i="2"/>
  <c r="P6" i="2"/>
  <c r="P31" i="2"/>
  <c r="P27" i="2"/>
  <c r="P23" i="2"/>
  <c r="P19" i="2"/>
  <c r="P15" i="2"/>
  <c r="P11" i="2"/>
  <c r="P30" i="2"/>
  <c r="P26" i="2"/>
  <c r="P22" i="2"/>
  <c r="P18" i="2"/>
  <c r="P14" i="2"/>
  <c r="P10" i="2"/>
  <c r="P33" i="2"/>
  <c r="P29" i="2"/>
  <c r="P25" i="2"/>
  <c r="P21" i="2"/>
  <c r="P17" i="2"/>
  <c r="P13" i="2"/>
  <c r="P8" i="2"/>
  <c r="P35" i="2" l="1"/>
  <c r="O35" i="2"/>
  <c r="B106" i="1" l="1"/>
  <c r="N35" i="2" l="1"/>
</calcChain>
</file>

<file path=xl/sharedStrings.xml><?xml version="1.0" encoding="utf-8"?>
<sst xmlns="http://schemas.openxmlformats.org/spreadsheetml/2006/main" count="233" uniqueCount="187">
  <si>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</si>
  <si>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</si>
  <si>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</si>
  <si>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</si>
  <si>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</si>
  <si>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</si>
  <si>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</si>
  <si>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</si>
  <si>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</si>
  <si>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</si>
  <si>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</si>
  <si>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</si>
  <si>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</si>
  <si>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</si>
  <si>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</si>
  <si>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</si>
  <si>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</si>
  <si>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</si>
  <si>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</si>
  <si>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</si>
  <si>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</si>
  <si>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</si>
  <si>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</si>
  <si>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</si>
  <si>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</si>
  <si>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</si>
  <si>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</si>
  <si>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</si>
  <si>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</si>
  <si>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</si>
  <si>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</si>
  <si>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</si>
  <si>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</si>
  <si>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</si>
  <si>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</si>
  <si>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</si>
  <si>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</si>
  <si>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</si>
  <si>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</si>
  <si>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</si>
  <si>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</si>
  <si>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</si>
  <si>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</si>
  <si>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</si>
  <si>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</si>
  <si>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</si>
  <si>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</si>
  <si>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</si>
  <si>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</si>
  <si>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</si>
  <si>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</si>
  <si>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</si>
  <si>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</si>
  <si>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</si>
  <si>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</si>
  <si>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</si>
  <si>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</si>
  <si>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</si>
  <si>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</si>
  <si>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</si>
  <si>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</si>
  <si>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</si>
  <si>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</si>
  <si>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</si>
  <si>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</si>
  <si>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</si>
  <si>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</si>
  <si>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</si>
  <si>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</si>
  <si>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</si>
  <si>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</si>
  <si>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</si>
  <si>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</si>
  <si>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</si>
  <si>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</si>
  <si>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</si>
  <si>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</si>
  <si>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</si>
  <si>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</si>
  <si>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</si>
  <si>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</si>
  <si>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</si>
  <si>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</si>
  <si>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</si>
  <si>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</si>
  <si>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</si>
  <si>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</si>
  <si>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</si>
  <si>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</si>
  <si>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</si>
  <si>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</si>
  <si>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</si>
  <si>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</si>
  <si>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</si>
  <si>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</si>
  <si>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</si>
  <si>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</si>
  <si>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</si>
  <si>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</si>
  <si>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</si>
  <si>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</si>
  <si>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</si>
  <si>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</si>
  <si>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</si>
  <si>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</si>
  <si>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</si>
  <si>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</si>
  <si>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</si>
  <si>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</si>
  <si>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</si>
  <si>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</si>
  <si>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</si>
  <si>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</si>
  <si>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</si>
  <si>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</si>
  <si>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</si>
  <si>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</si>
  <si>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</si>
  <si>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</si>
  <si>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</si>
  <si>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</si>
  <si>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</si>
  <si>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ADMINISTRADORA: CAROLINA CANCIANI MP:1148 - CUIT ADMINISTRACION: 27231256879</t>
  </si>
  <si>
    <t>TELEFONO : 11-5320-2676 - MAIL: colombres360@gmail.com - OFICINA CON CITA PREVIA - DR MELO 2958 8° PISO</t>
  </si>
  <si>
    <t xml:space="preserve">METROGAS - Cliente 30008873781 </t>
  </si>
  <si>
    <t>Banco Supervielle  - Gastos bancarios</t>
  </si>
  <si>
    <t xml:space="preserve">Allianz Argentina - Póliza 240170531675 - Vida colectivo </t>
  </si>
  <si>
    <t>Bernaola Palomino Jose Luis</t>
  </si>
  <si>
    <t>Calderon Diego Alejandro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</si>
  <si>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</si>
  <si>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</si>
  <si>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</si>
  <si>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</si>
  <si>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</si>
  <si>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</si>
  <si>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</si>
  <si>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</si>
  <si>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María Josefina Conti y Nicolás Massaro</t>
  </si>
  <si>
    <t>Mozart Srl</t>
  </si>
  <si>
    <t>SONIA</t>
  </si>
  <si>
    <t>Colombres Sur</t>
  </si>
  <si>
    <t>PREVISION ORDINARIA</t>
  </si>
  <si>
    <t>MAGRO LAUTARO - MAGRO DANIELA</t>
  </si>
  <si>
    <t>SI EN LA COLUMNA LLAMADA DEUDA O SALDO A FAVOR FIGURA UN NUMERO EN NEGATIVO SIGNIFICA QUE LA UF POSEE DINERO A FAVOR (ES DECIR PAGO DE MAS)</t>
  </si>
  <si>
    <t>Claudia Guidobono</t>
  </si>
  <si>
    <t xml:space="preserve">
Raquel Martinez</t>
  </si>
  <si>
    <t>Diego Varas</t>
  </si>
  <si>
    <t>HORARIOS DE ATENCION: 10 A 15HS - LUNES A VIERNES</t>
  </si>
  <si>
    <t>Servicio de fumigacion - Ortega Daniel - Mes de Octubre - Se adeudaba</t>
  </si>
  <si>
    <t>Loschi Bruno - Mantenimiento bimestral</t>
  </si>
  <si>
    <t>Transf 25/01</t>
  </si>
  <si>
    <t>Transf 30/01</t>
  </si>
  <si>
    <t>PABLO GARCIA - MATIAS EZEQUIEL GARCIA</t>
  </si>
  <si>
    <t>Deposito sin identificar del - 15/01</t>
  </si>
  <si>
    <t>Los depositos sin identificar del 15/01 son de sergio</t>
  </si>
  <si>
    <t>El 1B mando un mail desde soniases2020@icloud.com para que verifiquemos que no tiene deuda alguno, mando todos sus comprobantes desde hace mucho tiempo 226497,02 - Deben abonar    337.700,02</t>
  </si>
  <si>
    <t>VTO 13/03</t>
  </si>
  <si>
    <t>FEBRERO</t>
  </si>
  <si>
    <t>Frank Matias Wallace - Mantenimiento ascensor FEBRERO</t>
  </si>
  <si>
    <t>Articulos de limpieza -  Mes de FEBRERO</t>
  </si>
  <si>
    <t>EL DPTO 2A REALIZO UN INGRESO DE $300.000 DE DONDE SE ABONO LOS HONORARIOS QUE CORRESPONDEN A LA FIRMA DEL CONVENIO ($120.000) Y LE RESTAN ABONAR 6 CUOTAS DE $400.000 CON VENCIMIENTO EN FEBRERO, ABRIL, JUNIO, AGOSTO, OCTUBRE Y FEBRERO DEL 2026 - DICHO DEPARTAMENTO ESTA COLOREADO DE GRIS YA QUE INGRESO EN UN PLAN DE PAGOS</t>
  </si>
  <si>
    <t>Mes de ENERO</t>
  </si>
  <si>
    <t xml:space="preserve">Papelera Corpa </t>
  </si>
  <si>
    <t xml:space="preserve">Mozart SRL - Recarga de matafuegos </t>
  </si>
  <si>
    <t>Transf 10/02</t>
  </si>
  <si>
    <t>Transf 11/02</t>
  </si>
  <si>
    <t>Transf 04/02</t>
  </si>
  <si>
    <t>Debito 04/02</t>
  </si>
  <si>
    <t>Debito 12/02</t>
  </si>
  <si>
    <t>Cerrajeria Ayram - 1 Microllavero - Sr. Diego</t>
  </si>
  <si>
    <t xml:space="preserve">Transf 10/02 </t>
  </si>
  <si>
    <t>Vacaciones abonadas - Trabajadas</t>
  </si>
  <si>
    <t>Transf 20/02</t>
  </si>
  <si>
    <t xml:space="preserve">Adelanto vacaciones </t>
  </si>
  <si>
    <t>Transf 18/02</t>
  </si>
  <si>
    <t>Transf 23/02</t>
  </si>
  <si>
    <t>Escribania Romanatti - Digitalizacion para presentar en ARCA</t>
  </si>
  <si>
    <t>Efectivo</t>
  </si>
  <si>
    <t xml:space="preserve">Ferreteria Beta - Compra de acoples </t>
  </si>
  <si>
    <t>Deposito ya identificado mes anterior</t>
  </si>
  <si>
    <t>Punitorios mal cobrados 4A</t>
  </si>
  <si>
    <t>Mes de FEBRERO</t>
  </si>
  <si>
    <t>Guenaga Gonzalo Federico</t>
  </si>
  <si>
    <t>Seguro Mercantil Andina - Sra Patricia Reemplazo vacaciones Diego</t>
  </si>
  <si>
    <t>Debito 25/02</t>
  </si>
  <si>
    <t>2-A - MAGRO LAUTARO - MAGRO DANIELA - CUOTA 1/6 PLAN DE PAGOS</t>
  </si>
  <si>
    <t>Banco Santander
Tipo de cuenta: Cuenta corriente en pesos
Número de cuenta: 039-0234504
CBU: 0720039720000002345040
Alias: ALFA.CETRO.AMOROSAS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</si>
</sst>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5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44" fontId="14" fillId="4" borderId="13" xfId="0" applyNumberFormat="1" applyFont="1" applyFill="1" applyBorder="1"/>
    <xf numFmtId="44" fontId="0" fillId="3" borderId="0" xfId="1" applyFont="1" applyFill="1" applyAlignment="1"/>
    <xf numFmtId="0" fontId="18" fillId="11" borderId="1" xfId="0" applyFont="1" applyFill="1" applyBorder="1"/>
    <xf numFmtId="8" fontId="19" fillId="11" borderId="6" xfId="0" applyNumberFormat="1" applyFont="1" applyFill="1" applyBorder="1"/>
    <xf numFmtId="44" fontId="0" fillId="4" borderId="0" xfId="1" applyFont="1" applyFill="1"/>
    <xf numFmtId="44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20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20" fillId="0" borderId="25" xfId="1" applyFont="1" applyBorder="1"/>
    <xf numFmtId="44" fontId="20" fillId="0" borderId="27" xfId="1" applyFont="1" applyBorder="1"/>
    <xf numFmtId="44" fontId="21" fillId="0" borderId="1" xfId="1" applyFont="1" applyBorder="1"/>
    <xf numFmtId="165" fontId="21" fillId="2" borderId="1" xfId="1" applyNumberFormat="1" applyFont="1" applyFill="1" applyBorder="1"/>
    <xf numFmtId="165" fontId="21" fillId="0" borderId="1" xfId="0" applyNumberFormat="1" applyFont="1" applyBorder="1"/>
    <xf numFmtId="165" fontId="21" fillId="0" borderId="1" xfId="1" applyNumberFormat="1" applyFont="1" applyBorder="1"/>
    <xf numFmtId="44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44" fontId="7" fillId="0" borderId="1" xfId="1" applyFont="1" applyBorder="1"/>
    <xf numFmtId="8" fontId="19" fillId="11" borderId="1" xfId="0" applyNumberFormat="1" applyFont="1" applyFill="1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44" fontId="0" fillId="2" borderId="0" xfId="0" applyNumberFormat="1" applyFill="1"/>
    <xf numFmtId="0" fontId="18" fillId="11" borderId="3" xfId="0" applyFont="1" applyFill="1" applyBorder="1"/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43" fontId="0" fillId="0" borderId="0" xfId="0" applyNumberFormat="1"/>
    <xf numFmtId="0" fontId="15" fillId="2" borderId="1" xfId="1" applyNumberFormat="1" applyFont="1" applyFill="1" applyBorder="1" applyAlignment="1">
      <alignment wrapText="1"/>
    </xf>
    <xf numFmtId="44" fontId="24" fillId="2" borderId="1" xfId="1" applyFont="1" applyFill="1" applyBorder="1"/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44" fontId="15" fillId="0" borderId="2" xfId="1" applyFont="1" applyBorder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0" fontId="14" fillId="12" borderId="1" xfId="0" applyFont="1" applyFill="1" applyBorder="1"/>
    <xf numFmtId="0" fontId="14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wrapText="1"/>
    </xf>
    <xf numFmtId="0" fontId="14" fillId="12" borderId="1" xfId="0" applyFont="1" applyFill="1" applyBorder="1" applyAlignment="1">
      <alignment horizontal="center"/>
    </xf>
    <xf numFmtId="44" fontId="20" fillId="12" borderId="1" xfId="1" applyFont="1" applyFill="1" applyBorder="1"/>
    <xf numFmtId="165" fontId="20" fillId="12" borderId="1" xfId="1" applyNumberFormat="1" applyFont="1" applyFill="1" applyBorder="1"/>
    <xf numFmtId="165" fontId="14" fillId="12" borderId="1" xfId="0" applyNumberFormat="1" applyFont="1" applyFill="1" applyBorder="1"/>
    <xf numFmtId="165" fontId="14" fillId="12" borderId="1" xfId="1" applyNumberFormat="1" applyFont="1" applyFill="1" applyBorder="1"/>
    <xf numFmtId="44" fontId="14" fillId="12" borderId="6" xfId="1" applyFont="1" applyFill="1" applyBorder="1"/>
    <xf numFmtId="44" fontId="20" fillId="12" borderId="25" xfId="1" applyFont="1" applyFill="1" applyBorder="1"/>
    <xf numFmtId="44" fontId="20" fillId="12" borderId="27" xfId="1" applyFont="1" applyFill="1" applyBorder="1"/>
    <xf numFmtId="8" fontId="4" fillId="2" borderId="1" xfId="0" applyNumberFormat="1" applyFont="1" applyFill="1" applyBorder="1"/>
    <xf numFmtId="44" fontId="4" fillId="0" borderId="1" xfId="1" applyFont="1" applyBorder="1"/>
    <xf numFmtId="165" fontId="0" fillId="3" borderId="0" xfId="1" applyNumberFormat="1" applyFont="1" applyFill="1" applyAlignment="1"/>
    <xf numFmtId="165" fontId="0" fillId="3" borderId="8" xfId="1" applyNumberFormat="1" applyFont="1" applyFill="1" applyBorder="1" applyAlignment="1">
      <alignment vertical="center"/>
    </xf>
    <xf numFmtId="0" fontId="15" fillId="2" borderId="2" xfId="1" applyNumberFormat="1" applyFont="1" applyFill="1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4" fillId="4" borderId="1" xfId="0" applyFont="1" applyFill="1" applyBorder="1"/>
    <xf numFmtId="44" fontId="4" fillId="2" borderId="1" xfId="1" applyFont="1" applyFill="1" applyBorder="1"/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7" fillId="4" borderId="1" xfId="0" applyFont="1" applyFill="1" applyBorder="1" applyAlignment="1">
      <alignment wrapText="1"/>
    </xf>
    <xf numFmtId="0" fontId="0" fillId="13" borderId="0" xfId="0" applyFill="1"/>
    <xf numFmtId="0" fontId="0" fillId="14" borderId="0" xfId="0" applyFill="1"/>
    <xf numFmtId="0" fontId="4" fillId="2" borderId="6" xfId="0" applyFont="1" applyFill="1" applyBorder="1" applyAlignment="1">
      <alignment horizontal="left" vertical="center"/>
    </xf>
    <xf numFmtId="8" fontId="8" fillId="2" borderId="6" xfId="0" applyNumberFormat="1" applyFont="1" applyFill="1" applyBorder="1"/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20" fillId="2" borderId="25" xfId="1" applyFont="1" applyFill="1" applyBorder="1"/>
    <xf numFmtId="44" fontId="20" fillId="2" borderId="27" xfId="1" applyFont="1" applyFill="1" applyBorder="1"/>
    <xf numFmtId="0" fontId="14" fillId="2" borderId="1" xfId="0" applyFont="1" applyFill="1" applyBorder="1" applyAlignment="1">
      <alignment wrapText="1"/>
    </xf>
    <xf numFmtId="4" fontId="0" fillId="0" borderId="0" xfId="0" applyNumberFormat="1"/>
    <xf numFmtId="0" fontId="23" fillId="2" borderId="1" xfId="1" applyNumberFormat="1" applyFont="1" applyFill="1" applyBorder="1" applyAlignment="1"/>
    <xf numFmtId="44" fontId="20" fillId="2" borderId="1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2" borderId="29" xfId="0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left" vertical="center" wrapText="1"/>
    </xf>
    <xf numFmtId="0" fontId="14" fillId="12" borderId="24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top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zoomScale="90" zoomScaleNormal="90" workbookViewId="0">
      <selection activeCell="A4" sqref="A4:B7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8.42578125" customWidth="1"/>
    <col min="4" max="4" width="15.5703125" customWidth="1"/>
    <col min="5" max="5" width="14.5703125" bestFit="1" customWidth="1"/>
    <col min="6" max="7" width="13.140625" bestFit="1" customWidth="1"/>
    <col min="10" max="10" width="18" customWidth="1"/>
    <col min="11" max="11" width="18.42578125" customWidth="1"/>
  </cols>
  <sheetData>
    <row r="1" spans="1:4" x14ac:dyDescent="0.25">
      <c r="A1" s="114" t="s">
        <v>122</v>
      </c>
      <c r="B1" s="108"/>
      <c r="C1" s="6"/>
      <c r="D1" s="6"/>
    </row>
    <row r="2" spans="1:4" x14ac:dyDescent="0.25">
      <c r="A2" s="109" t="s">
        <v>123</v>
      </c>
      <c r="B2" s="109"/>
      <c r="C2" s="109"/>
      <c r="D2" s="109"/>
    </row>
    <row r="3" spans="1:4" ht="17.100000000000001" customHeight="1" x14ac:dyDescent="0.25">
      <c r="A3" s="109" t="s">
        <v>147</v>
      </c>
      <c r="B3" s="109"/>
      <c r="C3" s="109"/>
      <c r="D3" s="109"/>
    </row>
    <row r="4" spans="1:4" ht="32.25" customHeight="1" x14ac:dyDescent="0.25">
      <c r="A4" s="204" t="s">
        <v>186</v>
      </c>
      <c r="B4" s="204"/>
      <c r="C4" s="110"/>
      <c r="D4" s="110"/>
    </row>
    <row r="5" spans="1:4" x14ac:dyDescent="0.25">
      <c r="A5" s="204"/>
      <c r="B5" s="204"/>
      <c r="C5" s="110"/>
      <c r="D5" s="110"/>
    </row>
    <row r="6" spans="1:4" x14ac:dyDescent="0.25">
      <c r="A6" s="204"/>
      <c r="B6" s="204"/>
      <c r="C6" s="110"/>
      <c r="D6" s="110"/>
    </row>
    <row r="7" spans="1:4" ht="27" customHeight="1" x14ac:dyDescent="0.25">
      <c r="A7" s="204"/>
      <c r="B7" s="204"/>
      <c r="C7" s="110"/>
      <c r="D7" s="110"/>
    </row>
    <row r="9" spans="1:4" x14ac:dyDescent="0.25">
      <c r="B9" s="181" t="s">
        <v>156</v>
      </c>
    </row>
    <row r="10" spans="1:4" x14ac:dyDescent="0.25">
      <c r="B10" s="181"/>
    </row>
    <row r="11" spans="1:4" x14ac:dyDescent="0.25">
      <c r="B11" s="181"/>
    </row>
    <row r="13" spans="1:4" hidden="1" x14ac:dyDescent="0.25"/>
    <row r="14" spans="1:4" ht="15" customHeight="1" x14ac:dyDescent="0.25">
      <c r="A14" s="182" t="s">
        <v>92</v>
      </c>
      <c r="B14" s="182"/>
      <c r="C14" s="182"/>
      <c r="D14" s="182"/>
    </row>
    <row r="15" spans="1:4" ht="15" customHeight="1" x14ac:dyDescent="0.25">
      <c r="A15" s="182"/>
      <c r="B15" s="182"/>
      <c r="C15" s="182"/>
      <c r="D15" s="182"/>
    </row>
    <row r="16" spans="1:4" ht="15" customHeight="1" x14ac:dyDescent="0.25">
      <c r="A16" s="182"/>
      <c r="B16" s="182"/>
      <c r="C16" s="182"/>
      <c r="D16" s="182"/>
    </row>
    <row r="17" spans="1:7" ht="53.25" customHeight="1" x14ac:dyDescent="0.25">
      <c r="A17" s="182"/>
      <c r="B17" s="182"/>
      <c r="C17" s="182"/>
      <c r="D17" s="182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6" t="s">
        <v>80</v>
      </c>
      <c r="B22" s="26"/>
      <c r="C22" s="24"/>
      <c r="D22" s="24"/>
    </row>
    <row r="23" spans="1:7" ht="14.25" customHeight="1" x14ac:dyDescent="0.25">
      <c r="A23" s="5" t="s">
        <v>128</v>
      </c>
      <c r="B23" s="5" t="s">
        <v>161</v>
      </c>
      <c r="C23" s="137">
        <v>1497939.7</v>
      </c>
      <c r="D23" s="80"/>
      <c r="G23" s="160"/>
    </row>
    <row r="24" spans="1:7" x14ac:dyDescent="0.25">
      <c r="A24" s="5" t="s">
        <v>84</v>
      </c>
      <c r="B24" s="5"/>
      <c r="C24" s="137">
        <v>-618836.34</v>
      </c>
      <c r="D24" s="80"/>
    </row>
    <row r="25" spans="1:7" x14ac:dyDescent="0.25">
      <c r="A25" s="5" t="s">
        <v>83</v>
      </c>
      <c r="B25" s="5"/>
      <c r="C25" s="137">
        <v>0.64</v>
      </c>
      <c r="D25" s="80"/>
      <c r="G25" s="14"/>
    </row>
    <row r="26" spans="1:7" x14ac:dyDescent="0.25">
      <c r="A26" s="5" t="s">
        <v>173</v>
      </c>
      <c r="B26" s="5"/>
      <c r="C26" s="137">
        <v>422400</v>
      </c>
      <c r="D26" s="80"/>
      <c r="G26" s="14"/>
    </row>
    <row r="27" spans="1:7" x14ac:dyDescent="0.25">
      <c r="A27" s="47" t="s">
        <v>82</v>
      </c>
      <c r="B27" s="47"/>
      <c r="C27" s="106">
        <f>SUM(C23:C26)</f>
        <v>1301504</v>
      </c>
      <c r="D27" s="47"/>
      <c r="G27" s="14"/>
    </row>
    <row r="28" spans="1:7" x14ac:dyDescent="0.25">
      <c r="A28" s="5" t="s">
        <v>127</v>
      </c>
      <c r="B28" s="5" t="s">
        <v>161</v>
      </c>
      <c r="C28" s="137">
        <v>1232039.3</v>
      </c>
      <c r="D28" s="80"/>
      <c r="G28" s="14"/>
    </row>
    <row r="29" spans="1:7" x14ac:dyDescent="0.25">
      <c r="A29" s="5" t="s">
        <v>81</v>
      </c>
      <c r="B29" s="5"/>
      <c r="C29" s="137">
        <v>-267968.53999999998</v>
      </c>
      <c r="D29" s="80"/>
      <c r="G29" s="14"/>
    </row>
    <row r="30" spans="1:7" x14ac:dyDescent="0.25">
      <c r="A30" s="5" t="s">
        <v>83</v>
      </c>
      <c r="B30" s="5"/>
      <c r="C30" s="137">
        <v>0.24</v>
      </c>
      <c r="D30" s="80"/>
      <c r="G30" s="14"/>
    </row>
    <row r="31" spans="1:7" x14ac:dyDescent="0.25">
      <c r="A31" s="5" t="s">
        <v>171</v>
      </c>
      <c r="B31" s="5"/>
      <c r="C31" s="151">
        <v>633951.69999999995</v>
      </c>
      <c r="D31" s="80"/>
      <c r="G31" s="14"/>
    </row>
    <row r="32" spans="1:7" x14ac:dyDescent="0.25">
      <c r="A32" s="47" t="s">
        <v>82</v>
      </c>
      <c r="B32" s="47"/>
      <c r="C32" s="106">
        <f>SUM(C28:C31)</f>
        <v>1598022.7</v>
      </c>
      <c r="D32" s="81"/>
      <c r="F32" s="179"/>
      <c r="G32" s="180"/>
    </row>
    <row r="33" spans="1:7" x14ac:dyDescent="0.25">
      <c r="A33" s="5" t="s">
        <v>182</v>
      </c>
      <c r="B33" s="5" t="s">
        <v>161</v>
      </c>
      <c r="C33" s="137">
        <v>554812.06999999995</v>
      </c>
      <c r="D33" s="113"/>
    </row>
    <row r="34" spans="1:7" x14ac:dyDescent="0.25">
      <c r="A34" s="5" t="s">
        <v>81</v>
      </c>
      <c r="B34" s="5"/>
      <c r="C34" s="137">
        <v>-120671.62</v>
      </c>
      <c r="D34" s="113"/>
    </row>
    <row r="35" spans="1:7" x14ac:dyDescent="0.25">
      <c r="A35" s="5" t="s">
        <v>83</v>
      </c>
      <c r="B35" s="5"/>
      <c r="C35" s="137">
        <v>0.55000000000000004</v>
      </c>
      <c r="D35" s="113"/>
    </row>
    <row r="36" spans="1:7" x14ac:dyDescent="0.25">
      <c r="A36" s="5"/>
      <c r="B36" s="5"/>
      <c r="C36" s="151"/>
      <c r="D36" s="113"/>
    </row>
    <row r="37" spans="1:7" x14ac:dyDescent="0.25">
      <c r="A37" s="47" t="s">
        <v>82</v>
      </c>
      <c r="B37" s="112"/>
      <c r="C37" s="48">
        <f>SUM(C33:C36)</f>
        <v>434140.99999999994</v>
      </c>
      <c r="D37" s="81"/>
    </row>
    <row r="38" spans="1:7" x14ac:dyDescent="0.25">
      <c r="A38" s="5" t="s">
        <v>128</v>
      </c>
      <c r="B38" s="5" t="s">
        <v>181</v>
      </c>
      <c r="C38" s="137">
        <v>1578850.12</v>
      </c>
      <c r="D38" s="80"/>
    </row>
    <row r="39" spans="1:7" x14ac:dyDescent="0.25">
      <c r="A39" s="5" t="s">
        <v>84</v>
      </c>
      <c r="B39" s="5"/>
      <c r="C39" s="137">
        <v>-810662.45</v>
      </c>
      <c r="D39" s="80"/>
    </row>
    <row r="40" spans="1:7" x14ac:dyDescent="0.25">
      <c r="A40" s="5" t="s">
        <v>83</v>
      </c>
      <c r="B40" s="5"/>
      <c r="C40" s="137">
        <v>0.33</v>
      </c>
      <c r="D40" s="80"/>
      <c r="G40" s="160"/>
    </row>
    <row r="41" spans="1:7" x14ac:dyDescent="0.25">
      <c r="A41" s="5"/>
      <c r="B41" s="5"/>
      <c r="C41" s="137"/>
      <c r="D41" s="80"/>
    </row>
    <row r="42" spans="1:7" x14ac:dyDescent="0.25">
      <c r="A42" s="47" t="s">
        <v>82</v>
      </c>
      <c r="B42" s="47"/>
      <c r="C42" s="106">
        <f>SUM(C38:C41)</f>
        <v>768188.00000000012</v>
      </c>
      <c r="D42" s="47"/>
    </row>
    <row r="43" spans="1:7" x14ac:dyDescent="0.25">
      <c r="A43" s="5" t="s">
        <v>127</v>
      </c>
      <c r="B43" s="5" t="s">
        <v>181</v>
      </c>
      <c r="C43" s="137">
        <v>1433185.66</v>
      </c>
      <c r="D43" s="113"/>
    </row>
    <row r="44" spans="1:7" x14ac:dyDescent="0.25">
      <c r="A44" s="5" t="s">
        <v>81</v>
      </c>
      <c r="B44" s="5"/>
      <c r="C44" s="137">
        <v>-311717.88</v>
      </c>
      <c r="D44" s="113"/>
    </row>
    <row r="45" spans="1:7" x14ac:dyDescent="0.25">
      <c r="A45" s="5" t="s">
        <v>83</v>
      </c>
      <c r="B45" s="5"/>
      <c r="C45" s="137">
        <v>0.22</v>
      </c>
      <c r="D45" s="113"/>
    </row>
    <row r="46" spans="1:7" x14ac:dyDescent="0.25">
      <c r="A46" s="5"/>
      <c r="B46" s="5"/>
      <c r="C46" s="151"/>
      <c r="D46" s="113"/>
    </row>
    <row r="47" spans="1:7" x14ac:dyDescent="0.25">
      <c r="A47" s="47" t="s">
        <v>82</v>
      </c>
      <c r="B47" s="112"/>
      <c r="C47" s="48">
        <f>SUM(C43:C46)</f>
        <v>1121467.9999999998</v>
      </c>
      <c r="D47" s="81"/>
    </row>
    <row r="48" spans="1:7" x14ac:dyDescent="0.25">
      <c r="A48" s="5" t="s">
        <v>182</v>
      </c>
      <c r="B48" s="5" t="s">
        <v>181</v>
      </c>
      <c r="C48" s="137">
        <v>1388921.91</v>
      </c>
      <c r="D48" s="113"/>
    </row>
    <row r="49" spans="1:7" x14ac:dyDescent="0.25">
      <c r="A49" s="5" t="s">
        <v>81</v>
      </c>
      <c r="B49" s="5"/>
      <c r="C49" s="137">
        <v>-302090.52</v>
      </c>
      <c r="D49" s="113"/>
    </row>
    <row r="50" spans="1:7" x14ac:dyDescent="0.25">
      <c r="A50" s="5" t="s">
        <v>83</v>
      </c>
      <c r="B50" s="5"/>
      <c r="C50" s="137">
        <v>0.61</v>
      </c>
      <c r="D50" s="113"/>
    </row>
    <row r="51" spans="1:7" x14ac:dyDescent="0.25">
      <c r="A51" s="5"/>
      <c r="B51" s="5"/>
      <c r="C51" s="151"/>
      <c r="D51" s="113"/>
    </row>
    <row r="52" spans="1:7" x14ac:dyDescent="0.25">
      <c r="A52" s="47" t="s">
        <v>82</v>
      </c>
      <c r="B52" s="112"/>
      <c r="C52" s="48">
        <f>SUM(C48:C51)</f>
        <v>1086832</v>
      </c>
      <c r="D52" s="81"/>
    </row>
    <row r="53" spans="1:7" ht="14.25" customHeight="1" thickBot="1" x14ac:dyDescent="0.3">
      <c r="A53" s="18" t="s">
        <v>0</v>
      </c>
      <c r="B53" s="18"/>
      <c r="C53" s="19"/>
      <c r="D53" s="82">
        <f>C32+C37+C27+C42+C47+C52</f>
        <v>6310155.7000000002</v>
      </c>
      <c r="E53" s="14"/>
      <c r="F53" s="14"/>
    </row>
    <row r="54" spans="1:7" x14ac:dyDescent="0.25">
      <c r="A54" s="26" t="s">
        <v>38</v>
      </c>
      <c r="B54" s="26"/>
      <c r="C54" s="27"/>
      <c r="D54" s="83"/>
      <c r="F54" s="14"/>
    </row>
    <row r="55" spans="1:7" ht="22.5" customHeight="1" x14ac:dyDescent="0.25">
      <c r="A55" s="56" t="s">
        <v>39</v>
      </c>
      <c r="B55" s="5"/>
      <c r="C55" s="137">
        <v>135000</v>
      </c>
      <c r="D55" s="124" t="s">
        <v>165</v>
      </c>
      <c r="G55" s="14"/>
    </row>
    <row r="56" spans="1:7" ht="21" customHeight="1" x14ac:dyDescent="0.25">
      <c r="A56" s="115" t="s">
        <v>129</v>
      </c>
      <c r="B56" s="107" t="s">
        <v>157</v>
      </c>
      <c r="C56" s="137">
        <v>211800</v>
      </c>
      <c r="D56" s="124" t="s">
        <v>151</v>
      </c>
      <c r="G56" s="14"/>
    </row>
    <row r="57" spans="1:7" ht="15.75" thickBot="1" x14ac:dyDescent="0.3">
      <c r="A57" s="18" t="s">
        <v>34</v>
      </c>
      <c r="B57" s="18"/>
      <c r="C57" s="30"/>
      <c r="D57" s="82">
        <f>SUM(C55:C56)</f>
        <v>346800</v>
      </c>
    </row>
    <row r="58" spans="1:7" x14ac:dyDescent="0.25">
      <c r="A58" s="24" t="s">
        <v>77</v>
      </c>
      <c r="B58" s="25"/>
      <c r="C58" s="28"/>
      <c r="D58" s="57"/>
    </row>
    <row r="59" spans="1:7" s="33" customFormat="1" ht="29.25" customHeight="1" x14ac:dyDescent="0.25">
      <c r="A59" s="175" t="s">
        <v>183</v>
      </c>
      <c r="B59" s="176"/>
      <c r="C59" s="163">
        <v>10864.97</v>
      </c>
      <c r="D59" s="161" t="s">
        <v>184</v>
      </c>
    </row>
    <row r="60" spans="1:7" ht="30" customHeight="1" x14ac:dyDescent="0.25">
      <c r="A60" s="175" t="s">
        <v>126</v>
      </c>
      <c r="B60" s="176"/>
      <c r="C60" s="164">
        <v>4203</v>
      </c>
      <c r="D60" s="123"/>
    </row>
    <row r="61" spans="1:7" ht="15.75" thickBot="1" x14ac:dyDescent="0.3">
      <c r="A61" s="25" t="s">
        <v>1</v>
      </c>
      <c r="B61" s="25"/>
      <c r="C61" s="30"/>
      <c r="D61" s="84">
        <f>SUM(C59:C60)</f>
        <v>15067.97</v>
      </c>
    </row>
    <row r="62" spans="1:7" x14ac:dyDescent="0.25">
      <c r="A62" s="24" t="s">
        <v>35</v>
      </c>
      <c r="B62" s="143"/>
      <c r="C62" s="31"/>
      <c r="D62" s="85"/>
    </row>
    <row r="63" spans="1:7" x14ac:dyDescent="0.25">
      <c r="A63" s="80" t="s">
        <v>130</v>
      </c>
      <c r="B63" s="80" t="s">
        <v>161</v>
      </c>
      <c r="C63" s="138">
        <v>1421002.83</v>
      </c>
      <c r="D63" s="120" t="s">
        <v>167</v>
      </c>
      <c r="F63" s="116"/>
    </row>
    <row r="64" spans="1:7" x14ac:dyDescent="0.25">
      <c r="A64" s="80" t="s">
        <v>131</v>
      </c>
      <c r="B64" s="80" t="s">
        <v>161</v>
      </c>
      <c r="C64" s="144">
        <v>16423.96</v>
      </c>
      <c r="D64" s="123" t="s">
        <v>168</v>
      </c>
    </row>
    <row r="65" spans="1:4" x14ac:dyDescent="0.25">
      <c r="A65" s="80" t="s">
        <v>132</v>
      </c>
      <c r="B65" s="80" t="s">
        <v>161</v>
      </c>
      <c r="C65" s="144">
        <v>147815.6</v>
      </c>
      <c r="D65" s="123" t="str">
        <f>D64</f>
        <v>Debito 12/02</v>
      </c>
    </row>
    <row r="66" spans="1:4" x14ac:dyDescent="0.25">
      <c r="A66" s="80" t="s">
        <v>133</v>
      </c>
      <c r="B66" s="80" t="s">
        <v>161</v>
      </c>
      <c r="C66" s="144">
        <v>399207.23</v>
      </c>
      <c r="D66" s="121" t="str">
        <f>D65</f>
        <v>Debito 12/02</v>
      </c>
    </row>
    <row r="67" spans="1:4" ht="15" customHeight="1" thickBot="1" x14ac:dyDescent="0.3">
      <c r="A67" s="25" t="s">
        <v>2</v>
      </c>
      <c r="B67" s="143"/>
      <c r="C67" s="32"/>
      <c r="D67" s="84">
        <f>SUM(C63:C66)</f>
        <v>1984449.62</v>
      </c>
    </row>
    <row r="68" spans="1:4" x14ac:dyDescent="0.25">
      <c r="A68" s="24" t="s">
        <v>37</v>
      </c>
      <c r="B68" s="143"/>
      <c r="C68" s="31"/>
      <c r="D68" s="85"/>
    </row>
    <row r="69" spans="1:4" ht="14.25" customHeight="1" x14ac:dyDescent="0.25">
      <c r="A69" s="80" t="s">
        <v>134</v>
      </c>
      <c r="B69" s="80"/>
      <c r="C69" s="144">
        <v>554680.11</v>
      </c>
      <c r="D69" s="120" t="s">
        <v>150</v>
      </c>
    </row>
    <row r="70" spans="1:4" ht="14.25" customHeight="1" x14ac:dyDescent="0.25">
      <c r="A70" s="80" t="s">
        <v>134</v>
      </c>
      <c r="B70" s="80"/>
      <c r="C70" s="144"/>
      <c r="D70" s="120"/>
    </row>
    <row r="71" spans="1:4" ht="14.25" customHeight="1" x14ac:dyDescent="0.25">
      <c r="A71" s="80" t="s">
        <v>124</v>
      </c>
      <c r="B71" s="80"/>
      <c r="C71" s="144">
        <v>20460.259999999998</v>
      </c>
      <c r="D71" s="120" t="s">
        <v>174</v>
      </c>
    </row>
    <row r="72" spans="1:4" ht="14.25" customHeight="1" x14ac:dyDescent="0.25">
      <c r="A72" s="80" t="s">
        <v>136</v>
      </c>
      <c r="B72" s="80"/>
      <c r="C72" s="144">
        <v>864000.26</v>
      </c>
      <c r="D72" s="120" t="s">
        <v>166</v>
      </c>
    </row>
    <row r="73" spans="1:4" ht="33" customHeight="1" x14ac:dyDescent="0.25">
      <c r="A73" s="177" t="s">
        <v>158</v>
      </c>
      <c r="B73" s="178"/>
      <c r="C73" s="144">
        <v>204149</v>
      </c>
      <c r="D73" s="120" t="s">
        <v>172</v>
      </c>
    </row>
    <row r="74" spans="1:4" ht="35.25" customHeight="1" x14ac:dyDescent="0.25">
      <c r="A74" s="173" t="s">
        <v>149</v>
      </c>
      <c r="B74" s="174"/>
      <c r="C74" s="144">
        <v>0</v>
      </c>
      <c r="D74" s="122"/>
    </row>
    <row r="75" spans="1:4" ht="45.75" customHeight="1" x14ac:dyDescent="0.25">
      <c r="A75" s="175" t="s">
        <v>148</v>
      </c>
      <c r="B75" s="176"/>
      <c r="C75" s="144">
        <v>35200</v>
      </c>
      <c r="D75" s="122" t="s">
        <v>175</v>
      </c>
    </row>
    <row r="76" spans="1:4" ht="15.75" thickBot="1" x14ac:dyDescent="0.3">
      <c r="A76" s="25" t="s">
        <v>3</v>
      </c>
      <c r="B76" s="25"/>
      <c r="C76" s="30"/>
      <c r="D76" s="84">
        <f>SUM(C69:C75)</f>
        <v>1678489.63</v>
      </c>
    </row>
    <row r="77" spans="1:4" ht="15.75" thickBot="1" x14ac:dyDescent="0.3">
      <c r="A77" s="24" t="s">
        <v>36</v>
      </c>
      <c r="B77" s="25"/>
      <c r="C77" s="30"/>
      <c r="D77" s="87"/>
    </row>
    <row r="78" spans="1:4" ht="28.5" customHeight="1" x14ac:dyDescent="0.25">
      <c r="A78" s="146" t="s">
        <v>176</v>
      </c>
      <c r="B78" s="145"/>
      <c r="C78" s="144">
        <v>51919.14</v>
      </c>
      <c r="D78" s="118" t="s">
        <v>175</v>
      </c>
    </row>
    <row r="79" spans="1:4" ht="28.5" customHeight="1" x14ac:dyDescent="0.25">
      <c r="A79" s="175" t="s">
        <v>163</v>
      </c>
      <c r="B79" s="176"/>
      <c r="C79" s="144">
        <v>753830.53</v>
      </c>
      <c r="D79" s="120" t="s">
        <v>164</v>
      </c>
    </row>
    <row r="80" spans="1:4" ht="28.5" customHeight="1" x14ac:dyDescent="0.25">
      <c r="A80" s="150" t="s">
        <v>169</v>
      </c>
      <c r="B80" s="142"/>
      <c r="C80" s="144">
        <v>10000</v>
      </c>
      <c r="D80" s="141" t="s">
        <v>170</v>
      </c>
    </row>
    <row r="81" spans="1:6" ht="28.5" customHeight="1" x14ac:dyDescent="0.25">
      <c r="A81" s="150" t="s">
        <v>178</v>
      </c>
      <c r="B81" s="142"/>
      <c r="C81" s="144">
        <v>8760.52</v>
      </c>
      <c r="D81" s="122" t="s">
        <v>177</v>
      </c>
    </row>
    <row r="82" spans="1:6" ht="28.5" customHeight="1" x14ac:dyDescent="0.25">
      <c r="A82" s="175" t="s">
        <v>162</v>
      </c>
      <c r="B82" s="176"/>
      <c r="C82" s="144">
        <v>34000</v>
      </c>
      <c r="D82" s="122" t="s">
        <v>177</v>
      </c>
      <c r="E82" s="39"/>
      <c r="F82" s="39"/>
    </row>
    <row r="83" spans="1:6" ht="23.25" customHeight="1" x14ac:dyDescent="0.25">
      <c r="A83" s="173" t="s">
        <v>159</v>
      </c>
      <c r="B83" s="174"/>
      <c r="C83" s="138">
        <v>0</v>
      </c>
      <c r="D83" s="122"/>
    </row>
    <row r="84" spans="1:6" ht="15.75" thickBot="1" x14ac:dyDescent="0.3">
      <c r="A84" s="25" t="s">
        <v>11</v>
      </c>
      <c r="B84" s="24"/>
      <c r="C84" s="24"/>
      <c r="D84" s="90">
        <f>SUM(C78:C83)</f>
        <v>858510.19000000006</v>
      </c>
    </row>
    <row r="85" spans="1:6" ht="15.75" thickBot="1" x14ac:dyDescent="0.3">
      <c r="A85" s="24" t="s">
        <v>29</v>
      </c>
      <c r="B85" s="147"/>
      <c r="C85" s="19"/>
      <c r="D85" s="87"/>
    </row>
    <row r="86" spans="1:6" x14ac:dyDescent="0.25">
      <c r="A86" s="80" t="s">
        <v>135</v>
      </c>
      <c r="B86" s="80"/>
      <c r="C86" s="144">
        <v>65343</v>
      </c>
      <c r="D86" s="91"/>
    </row>
    <row r="87" spans="1:6" x14ac:dyDescent="0.25">
      <c r="A87" s="80" t="s">
        <v>125</v>
      </c>
      <c r="B87" s="80"/>
      <c r="C87" s="144">
        <f>65.19+149249.14</f>
        <v>149314.33000000002</v>
      </c>
      <c r="D87" s="89"/>
    </row>
    <row r="88" spans="1:6" ht="15.75" thickBot="1" x14ac:dyDescent="0.3">
      <c r="A88" s="44" t="s">
        <v>34</v>
      </c>
      <c r="B88" s="44"/>
      <c r="C88" s="92"/>
      <c r="D88" s="84">
        <f>SUM(C86:C87)</f>
        <v>214657.33000000002</v>
      </c>
    </row>
    <row r="89" spans="1:6" ht="15.75" thickBot="1" x14ac:dyDescent="0.3">
      <c r="A89" s="5"/>
      <c r="B89" s="5"/>
      <c r="C89" s="80"/>
      <c r="D89" s="93"/>
    </row>
    <row r="90" spans="1:6" ht="22.5" customHeight="1" thickBot="1" x14ac:dyDescent="0.3">
      <c r="A90" s="170" t="s">
        <v>141</v>
      </c>
      <c r="B90" s="171"/>
      <c r="C90" s="172"/>
      <c r="D90" s="94">
        <f>10000000-8703429.85</f>
        <v>1296570.1500000004</v>
      </c>
    </row>
    <row r="91" spans="1:6" ht="15.75" thickBot="1" x14ac:dyDescent="0.3">
      <c r="A91" s="1"/>
      <c r="C91" s="95"/>
      <c r="D91" s="96"/>
      <c r="E91" s="39"/>
    </row>
    <row r="92" spans="1:6" ht="15.75" thickBot="1" x14ac:dyDescent="0.3">
      <c r="A92" s="3" t="s">
        <v>30</v>
      </c>
      <c r="B92" s="10"/>
      <c r="C92" s="97"/>
      <c r="D92" s="98">
        <f>(SUM(D33:D90))</f>
        <v>12704700.589999998</v>
      </c>
      <c r="E92" s="39"/>
      <c r="F92" s="39"/>
    </row>
    <row r="93" spans="1:6" x14ac:dyDescent="0.25">
      <c r="C93" s="95"/>
      <c r="D93" s="95"/>
      <c r="F93" s="117"/>
    </row>
    <row r="94" spans="1:6" ht="15.75" thickBot="1" x14ac:dyDescent="0.3">
      <c r="C94" s="95"/>
      <c r="D94" s="95"/>
    </row>
    <row r="95" spans="1:6" x14ac:dyDescent="0.25">
      <c r="A95" s="11" t="s">
        <v>40</v>
      </c>
      <c r="B95" s="12"/>
      <c r="C95" s="99"/>
      <c r="D95" s="100"/>
    </row>
    <row r="96" spans="1:6" x14ac:dyDescent="0.25">
      <c r="A96" s="168"/>
      <c r="B96" s="169"/>
      <c r="C96" s="88"/>
      <c r="D96" s="86"/>
    </row>
    <row r="97" spans="1:4" x14ac:dyDescent="0.25">
      <c r="A97" s="168"/>
      <c r="B97" s="169"/>
      <c r="C97" s="88"/>
      <c r="D97" s="86"/>
    </row>
    <row r="98" spans="1:4" x14ac:dyDescent="0.25">
      <c r="A98" s="103"/>
      <c r="B98" s="104"/>
      <c r="C98" s="88"/>
      <c r="D98" s="86"/>
    </row>
    <row r="99" spans="1:4" x14ac:dyDescent="0.25">
      <c r="A99" s="42"/>
      <c r="B99" s="41"/>
      <c r="C99" s="49"/>
      <c r="D99" s="49">
        <f>SUM(C96:C98)</f>
        <v>0</v>
      </c>
    </row>
    <row r="100" spans="1:4" ht="15" customHeight="1" x14ac:dyDescent="0.25"/>
    <row r="101" spans="1:4" hidden="1" x14ac:dyDescent="0.25"/>
    <row r="102" spans="1:4" x14ac:dyDescent="0.25">
      <c r="A102" s="20" t="s">
        <v>41</v>
      </c>
      <c r="B102" s="20"/>
      <c r="C102" s="21"/>
      <c r="D102" s="125">
        <v>2000000</v>
      </c>
    </row>
    <row r="103" spans="1:4" ht="15.75" thickBot="1" x14ac:dyDescent="0.3"/>
    <row r="104" spans="1:4" ht="15.75" thickBot="1" x14ac:dyDescent="0.3">
      <c r="A104" s="3" t="s">
        <v>42</v>
      </c>
      <c r="B104" s="10"/>
      <c r="C104" s="4"/>
      <c r="D104" s="58">
        <f>D99+D102</f>
        <v>2000000</v>
      </c>
    </row>
    <row r="105" spans="1:4" ht="15.75" thickBot="1" x14ac:dyDescent="0.3"/>
    <row r="106" spans="1:4" ht="15.75" thickBot="1" x14ac:dyDescent="0.3">
      <c r="A106" s="78" t="s">
        <v>31</v>
      </c>
      <c r="B106" s="79">
        <f>D92</f>
        <v>12704700.589999998</v>
      </c>
      <c r="C106" s="39"/>
    </row>
    <row r="107" spans="1:4" ht="15.75" thickBot="1" x14ac:dyDescent="0.3">
      <c r="A107" s="78" t="s">
        <v>32</v>
      </c>
      <c r="B107" s="79">
        <f>D92-D90</f>
        <v>11408130.439999998</v>
      </c>
    </row>
    <row r="108" spans="1:4" ht="15.75" thickBot="1" x14ac:dyDescent="0.3">
      <c r="A108" s="78" t="s">
        <v>43</v>
      </c>
      <c r="B108" s="79">
        <f>D104-D102</f>
        <v>0</v>
      </c>
    </row>
    <row r="109" spans="1:4" ht="15.75" thickBot="1" x14ac:dyDescent="0.3">
      <c r="A109" s="78" t="s">
        <v>88</v>
      </c>
      <c r="B109" s="79">
        <f>D104</f>
        <v>2000000</v>
      </c>
    </row>
    <row r="112" spans="1:4" x14ac:dyDescent="0.25">
      <c r="A112" s="167" t="s">
        <v>160</v>
      </c>
      <c r="B112" s="167"/>
      <c r="C112" s="167"/>
      <c r="D112" s="167"/>
    </row>
    <row r="113" spans="1:4" x14ac:dyDescent="0.25">
      <c r="A113" s="167"/>
      <c r="B113" s="167"/>
      <c r="C113" s="167"/>
      <c r="D113" s="167"/>
    </row>
    <row r="114" spans="1:4" ht="33" customHeight="1" x14ac:dyDescent="0.25">
      <c r="A114" s="167"/>
      <c r="B114" s="167"/>
      <c r="C114" s="167"/>
      <c r="D114" s="167"/>
    </row>
    <row r="116" spans="1:4" x14ac:dyDescent="0.25">
      <c r="A116" s="15" t="s">
        <v>79</v>
      </c>
      <c r="B116" s="35"/>
    </row>
    <row r="117" spans="1:4" ht="25.5" customHeight="1" x14ac:dyDescent="0.25">
      <c r="A117" s="23" t="s">
        <v>33</v>
      </c>
      <c r="B117" s="105">
        <v>7139335.7599999998</v>
      </c>
    </row>
    <row r="118" spans="1:4" ht="14.25" customHeight="1" x14ac:dyDescent="0.25">
      <c r="A118" s="16" t="s">
        <v>91</v>
      </c>
      <c r="B118" s="36">
        <f>PRORRATEO!H35</f>
        <v>12003298.140000001</v>
      </c>
    </row>
    <row r="119" spans="1:4" ht="14.25" customHeight="1" x14ac:dyDescent="0.25">
      <c r="A119" s="16" t="s">
        <v>90</v>
      </c>
      <c r="B119" s="89">
        <f>B132</f>
        <v>500000</v>
      </c>
    </row>
    <row r="120" spans="1:4" ht="18" customHeight="1" x14ac:dyDescent="0.25">
      <c r="A120" s="17" t="s">
        <v>180</v>
      </c>
      <c r="B120" s="119">
        <v>-10167</v>
      </c>
    </row>
    <row r="121" spans="1:4" ht="18" customHeight="1" x14ac:dyDescent="0.25">
      <c r="A121" s="17" t="s">
        <v>179</v>
      </c>
      <c r="B121" s="119">
        <v>-240000</v>
      </c>
    </row>
    <row r="122" spans="1:4" ht="18" customHeight="1" x14ac:dyDescent="0.25">
      <c r="A122" s="17" t="s">
        <v>179</v>
      </c>
      <c r="B122" s="119">
        <v>-260000</v>
      </c>
    </row>
    <row r="123" spans="1:4" x14ac:dyDescent="0.25">
      <c r="A123" s="34" t="s">
        <v>44</v>
      </c>
      <c r="B123" s="119">
        <f>-B107</f>
        <v>-11408130.439999998</v>
      </c>
    </row>
    <row r="124" spans="1:4" x14ac:dyDescent="0.25">
      <c r="A124" s="17" t="s">
        <v>45</v>
      </c>
      <c r="B124" s="89">
        <f>-(B108)</f>
        <v>0</v>
      </c>
    </row>
    <row r="125" spans="1:4" x14ac:dyDescent="0.25">
      <c r="A125" s="22" t="s">
        <v>11</v>
      </c>
      <c r="B125" s="105">
        <f>SUM(B117:B124)</f>
        <v>7724336.4600000009</v>
      </c>
    </row>
    <row r="126" spans="1:4" ht="34.5" customHeight="1" x14ac:dyDescent="0.25">
      <c r="B126" s="37"/>
      <c r="C126" s="39"/>
    </row>
    <row r="128" spans="1:4" x14ac:dyDescent="0.25">
      <c r="A128" s="166" t="s">
        <v>78</v>
      </c>
      <c r="B128" s="166"/>
    </row>
    <row r="129" spans="1:12" ht="27.75" customHeight="1" x14ac:dyDescent="0.25">
      <c r="A129" s="166"/>
      <c r="B129" s="166"/>
    </row>
    <row r="130" spans="1:12" ht="32.25" customHeight="1" x14ac:dyDescent="0.25">
      <c r="A130" s="101" t="s">
        <v>153</v>
      </c>
      <c r="B130" s="29">
        <v>240000</v>
      </c>
    </row>
    <row r="131" spans="1:12" ht="32.25" customHeight="1" x14ac:dyDescent="0.25">
      <c r="A131" s="101" t="s">
        <v>153</v>
      </c>
      <c r="B131" s="29">
        <v>260000</v>
      </c>
    </row>
    <row r="132" spans="1:12" x14ac:dyDescent="0.25">
      <c r="A132" s="40" t="s">
        <v>11</v>
      </c>
      <c r="B132" s="102">
        <f>SUM(B130:B131)</f>
        <v>500000</v>
      </c>
    </row>
    <row r="133" spans="1:12" ht="30" customHeight="1" x14ac:dyDescent="0.25">
      <c r="L133" s="8"/>
    </row>
    <row r="134" spans="1:12" ht="15" customHeight="1" x14ac:dyDescent="0.25">
      <c r="A134" s="165"/>
      <c r="B134" s="165"/>
      <c r="C134" s="165"/>
      <c r="D134" s="165"/>
    </row>
    <row r="135" spans="1:12" x14ac:dyDescent="0.25">
      <c r="A135" s="165"/>
      <c r="B135" s="165"/>
      <c r="C135" s="165"/>
      <c r="D135" s="165"/>
    </row>
    <row r="136" spans="1:12" x14ac:dyDescent="0.25">
      <c r="A136" s="165"/>
      <c r="B136" s="165"/>
      <c r="C136" s="165"/>
      <c r="D136" s="165"/>
    </row>
    <row r="137" spans="1:12" x14ac:dyDescent="0.25">
      <c r="A137" s="165"/>
      <c r="B137" s="165"/>
      <c r="C137" s="165"/>
      <c r="D137" s="165"/>
    </row>
  </sheetData>
  <mergeCells count="18">
    <mergeCell ref="F32:G32"/>
    <mergeCell ref="B9:B11"/>
    <mergeCell ref="A59:B59"/>
    <mergeCell ref="A4:B7"/>
    <mergeCell ref="A60:B60"/>
    <mergeCell ref="A14:D17"/>
    <mergeCell ref="A90:C90"/>
    <mergeCell ref="A83:B83"/>
    <mergeCell ref="A82:B82"/>
    <mergeCell ref="A73:B73"/>
    <mergeCell ref="A74:B74"/>
    <mergeCell ref="A79:B79"/>
    <mergeCell ref="A75:B75"/>
    <mergeCell ref="A134:D137"/>
    <mergeCell ref="A128:B129"/>
    <mergeCell ref="A112:D114"/>
    <mergeCell ref="A97:B97"/>
    <mergeCell ref="A96:B9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3"/>
  <sheetViews>
    <sheetView tabSelected="1" topLeftCell="B1" zoomScaleNormal="100" workbookViewId="0">
      <selection activeCell="B1" sqref="B1:K3"/>
    </sheetView>
  </sheetViews>
  <sheetFormatPr baseColWidth="10" defaultColWidth="10.85546875" defaultRowHeight="15" x14ac:dyDescent="0.25"/>
  <cols>
    <col min="1" max="1" width="5" hidden="1" customWidth="1"/>
    <col min="2" max="2" width="5.5703125" customWidth="1"/>
    <col min="3" max="3" width="4.42578125" customWidth="1"/>
    <col min="4" max="4" width="18.5703125" customWidth="1"/>
    <col min="5" max="5" width="9.140625" hidden="1" customWidth="1"/>
    <col min="6" max="6" width="5.140625" customWidth="1"/>
    <col min="7" max="7" width="14.140625" customWidth="1"/>
    <col min="8" max="8" width="14" customWidth="1"/>
    <col min="9" max="9" width="7.570312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5.4257812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89" t="str">
        <f>RESUMEN!A4</f>
        <v>Banco Santander
Tipo de cuenta: Cuenta corriente en pesos
Número de cuenta: 039-0234504
CBU: 0720039720000002345040
Alias: ALFA.CETRO.AMOROSAS</v>
      </c>
      <c r="C1" s="189"/>
      <c r="D1" s="189"/>
      <c r="E1" s="189"/>
      <c r="F1" s="189"/>
      <c r="G1" s="189"/>
      <c r="H1" s="189"/>
      <c r="I1" s="189"/>
      <c r="J1" s="189"/>
      <c r="K1" s="189"/>
      <c r="L1" s="6"/>
      <c r="M1" s="6"/>
      <c r="N1" s="6"/>
      <c r="O1" s="6"/>
      <c r="P1" s="6"/>
    </row>
    <row r="2" spans="1:19" ht="33.75" customHeight="1" x14ac:dyDescent="0.25">
      <c r="A2" s="6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7" t="s">
        <v>4</v>
      </c>
      <c r="M2" s="6"/>
      <c r="N2" s="6"/>
      <c r="O2" s="139">
        <v>10000000</v>
      </c>
      <c r="P2" s="46"/>
      <c r="Q2" s="14"/>
    </row>
    <row r="3" spans="1:19" ht="48" customHeight="1" thickBot="1" x14ac:dyDescent="0.3">
      <c r="A3" s="6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7" t="s">
        <v>93</v>
      </c>
      <c r="M3" s="6"/>
      <c r="N3" s="6"/>
      <c r="O3" s="140">
        <v>2000000</v>
      </c>
      <c r="P3" s="50"/>
    </row>
    <row r="4" spans="1:19" x14ac:dyDescent="0.25">
      <c r="A4" s="183" t="s">
        <v>5</v>
      </c>
      <c r="B4" s="185" t="s">
        <v>6</v>
      </c>
      <c r="C4" s="187" t="s">
        <v>7</v>
      </c>
      <c r="D4" s="187" t="s">
        <v>8</v>
      </c>
      <c r="E4" s="187" t="s">
        <v>48</v>
      </c>
      <c r="F4" s="187" t="s">
        <v>28</v>
      </c>
      <c r="G4" s="187" t="s">
        <v>89</v>
      </c>
      <c r="H4" s="187" t="s">
        <v>9</v>
      </c>
      <c r="I4" s="187" t="s">
        <v>49</v>
      </c>
      <c r="J4" s="196" t="s">
        <v>50</v>
      </c>
      <c r="K4" s="194" t="s">
        <v>47</v>
      </c>
      <c r="L4" s="194" t="s">
        <v>10</v>
      </c>
      <c r="M4" s="194" t="s">
        <v>46</v>
      </c>
      <c r="N4" s="199" t="s">
        <v>87</v>
      </c>
      <c r="O4" s="53" t="s">
        <v>86</v>
      </c>
      <c r="P4" s="191" t="s">
        <v>85</v>
      </c>
      <c r="S4" s="39"/>
    </row>
    <row r="5" spans="1:19" ht="15.75" customHeight="1" x14ac:dyDescent="0.25">
      <c r="A5" s="184"/>
      <c r="B5" s="186"/>
      <c r="C5" s="188"/>
      <c r="D5" s="188"/>
      <c r="E5" s="193"/>
      <c r="F5" s="188"/>
      <c r="G5" s="188"/>
      <c r="H5" s="188"/>
      <c r="I5" s="193"/>
      <c r="J5" s="197"/>
      <c r="K5" s="195"/>
      <c r="L5" s="198"/>
      <c r="M5" s="195"/>
      <c r="N5" s="200"/>
      <c r="O5" s="51" t="str">
        <f>RESUMEN!B9</f>
        <v>VTO 13/03</v>
      </c>
      <c r="P5" s="192"/>
    </row>
    <row r="6" spans="1:19" ht="17.100000000000001" customHeight="1" x14ac:dyDescent="0.25">
      <c r="A6" s="5" t="s">
        <v>12</v>
      </c>
      <c r="B6" s="54">
        <v>1</v>
      </c>
      <c r="C6" s="54" t="s">
        <v>51</v>
      </c>
      <c r="D6" s="54" t="s">
        <v>95</v>
      </c>
      <c r="E6" s="54"/>
      <c r="F6" s="59">
        <v>4.57</v>
      </c>
      <c r="G6" s="60">
        <v>502700.01</v>
      </c>
      <c r="H6" s="61">
        <f>G6</f>
        <v>502700.01</v>
      </c>
      <c r="I6" s="62"/>
      <c r="J6" s="63">
        <f>G6-H6</f>
        <v>0</v>
      </c>
      <c r="K6" s="63">
        <f>IF(J6&gt;0,J6*2.95%,0)</f>
        <v>0</v>
      </c>
      <c r="L6" s="64">
        <f>O$3*F6%</f>
        <v>91400.000000000015</v>
      </c>
      <c r="M6" s="64">
        <f>O$2*F6%</f>
        <v>457000.00000000006</v>
      </c>
      <c r="N6" s="65">
        <v>0</v>
      </c>
      <c r="O6" s="66">
        <f t="shared" ref="O6:O34" si="0">ROUND(SUM(J6:N6),0) + Q6</f>
        <v>548400.01</v>
      </c>
      <c r="P6" s="67">
        <f t="shared" ref="P6:P34" si="1">ROUND(O6*3%,0) + O6</f>
        <v>564852.01</v>
      </c>
      <c r="Q6" s="39">
        <v>0.01</v>
      </c>
    </row>
    <row r="7" spans="1:19" ht="17.100000000000001" customHeight="1" x14ac:dyDescent="0.25">
      <c r="A7" s="5" t="s">
        <v>13</v>
      </c>
      <c r="B7" s="152">
        <v>2</v>
      </c>
      <c r="C7" s="152" t="s">
        <v>52</v>
      </c>
      <c r="D7" s="152" t="s">
        <v>96</v>
      </c>
      <c r="E7" s="159"/>
      <c r="F7" s="153">
        <v>3.07</v>
      </c>
      <c r="G7" s="61">
        <v>347831.02</v>
      </c>
      <c r="H7" s="61">
        <f>G7</f>
        <v>347831.02</v>
      </c>
      <c r="I7" s="62"/>
      <c r="J7" s="154">
        <f t="shared" ref="J7:J32" si="2">G7-H7</f>
        <v>0</v>
      </c>
      <c r="K7" s="154">
        <f t="shared" ref="K7:K33" si="3">IF(J7&gt;0,J7*2.95%,0)</f>
        <v>0</v>
      </c>
      <c r="L7" s="155">
        <f t="shared" ref="L7:L34" si="4">O$3*F7%</f>
        <v>61399.999999999993</v>
      </c>
      <c r="M7" s="155">
        <f t="shared" ref="M7:M34" si="5">O$2*F7%</f>
        <v>307000</v>
      </c>
      <c r="N7" s="156">
        <v>0</v>
      </c>
      <c r="O7" s="157">
        <f t="shared" si="0"/>
        <v>368400.02</v>
      </c>
      <c r="P7" s="158">
        <f t="shared" si="1"/>
        <v>379452.02</v>
      </c>
      <c r="Q7" s="39">
        <f>Q6+0.01</f>
        <v>0.02</v>
      </c>
      <c r="R7" s="39" t="s">
        <v>152</v>
      </c>
    </row>
    <row r="8" spans="1:19" ht="32.25" customHeight="1" x14ac:dyDescent="0.25">
      <c r="A8" s="5" t="s">
        <v>13</v>
      </c>
      <c r="B8" s="126">
        <v>3</v>
      </c>
      <c r="C8" s="126" t="s">
        <v>53</v>
      </c>
      <c r="D8" s="127" t="s">
        <v>142</v>
      </c>
      <c r="E8" s="128"/>
      <c r="F8" s="129">
        <v>4.55</v>
      </c>
      <c r="G8" s="130">
        <v>1015765.03</v>
      </c>
      <c r="H8" s="130">
        <v>505000</v>
      </c>
      <c r="I8" s="131"/>
      <c r="J8" s="132">
        <f t="shared" si="2"/>
        <v>510765.03</v>
      </c>
      <c r="K8" s="132">
        <f t="shared" si="3"/>
        <v>15067.568385000002</v>
      </c>
      <c r="L8" s="133">
        <f t="shared" si="4"/>
        <v>91000</v>
      </c>
      <c r="M8" s="133">
        <f t="shared" si="5"/>
        <v>455000</v>
      </c>
      <c r="N8" s="134">
        <v>0</v>
      </c>
      <c r="O8" s="135">
        <f t="shared" si="0"/>
        <v>1071833.03</v>
      </c>
      <c r="P8" s="136">
        <f t="shared" si="1"/>
        <v>1103988.03</v>
      </c>
      <c r="Q8" s="39">
        <f t="shared" ref="Q8:Q33" si="6">Q7+0.01</f>
        <v>0.03</v>
      </c>
    </row>
    <row r="9" spans="1:19" ht="32.25" customHeight="1" x14ac:dyDescent="0.25">
      <c r="A9" s="5"/>
      <c r="B9" s="201" t="s">
        <v>185</v>
      </c>
      <c r="C9" s="202"/>
      <c r="D9" s="203"/>
      <c r="E9" s="128"/>
      <c r="F9" s="129"/>
      <c r="G9" s="130">
        <v>400000</v>
      </c>
      <c r="H9" s="130">
        <v>400000</v>
      </c>
      <c r="I9" s="131"/>
      <c r="J9" s="132"/>
      <c r="K9" s="132"/>
      <c r="L9" s="133"/>
      <c r="M9" s="133"/>
      <c r="N9" s="134"/>
      <c r="O9" s="135"/>
      <c r="P9" s="136"/>
      <c r="Q9" s="39"/>
    </row>
    <row r="10" spans="1:19" ht="17.100000000000001" customHeight="1" x14ac:dyDescent="0.25">
      <c r="A10" s="5" t="s">
        <v>14</v>
      </c>
      <c r="B10" s="54">
        <v>4</v>
      </c>
      <c r="C10" s="54" t="s">
        <v>54</v>
      </c>
      <c r="D10" s="54" t="s">
        <v>97</v>
      </c>
      <c r="E10" s="55"/>
      <c r="F10" s="59">
        <v>3.05</v>
      </c>
      <c r="G10" s="60">
        <v>323930.03999999998</v>
      </c>
      <c r="H10" s="61">
        <v>350000</v>
      </c>
      <c r="I10" s="62"/>
      <c r="J10" s="63">
        <f t="shared" si="2"/>
        <v>-26069.960000000021</v>
      </c>
      <c r="K10" s="63">
        <f t="shared" si="3"/>
        <v>0</v>
      </c>
      <c r="L10" s="64">
        <f t="shared" si="4"/>
        <v>61000</v>
      </c>
      <c r="M10" s="64">
        <f t="shared" si="5"/>
        <v>305000</v>
      </c>
      <c r="N10" s="65">
        <v>0</v>
      </c>
      <c r="O10" s="66">
        <f t="shared" si="0"/>
        <v>339930.04</v>
      </c>
      <c r="P10" s="67">
        <f t="shared" si="1"/>
        <v>350128.04</v>
      </c>
      <c r="Q10" s="39">
        <f>Q8+0.01</f>
        <v>0.04</v>
      </c>
      <c r="R10" t="s">
        <v>139</v>
      </c>
      <c r="S10" s="39"/>
    </row>
    <row r="11" spans="1:19" ht="17.100000000000001" customHeight="1" x14ac:dyDescent="0.25">
      <c r="A11" s="5" t="s">
        <v>14</v>
      </c>
      <c r="B11" s="54">
        <v>5</v>
      </c>
      <c r="C11" s="54" t="s">
        <v>55</v>
      </c>
      <c r="D11" s="54" t="s">
        <v>98</v>
      </c>
      <c r="E11" s="55"/>
      <c r="F11" s="59">
        <v>4.55</v>
      </c>
      <c r="G11" s="60">
        <v>515626.05</v>
      </c>
      <c r="H11" s="61"/>
      <c r="I11" s="62"/>
      <c r="J11" s="63">
        <f t="shared" si="2"/>
        <v>515626.05</v>
      </c>
      <c r="K11" s="63">
        <f t="shared" si="3"/>
        <v>15210.968475000001</v>
      </c>
      <c r="L11" s="64">
        <f t="shared" si="4"/>
        <v>91000</v>
      </c>
      <c r="M11" s="64">
        <f t="shared" si="5"/>
        <v>455000</v>
      </c>
      <c r="N11" s="65">
        <v>0</v>
      </c>
      <c r="O11" s="66">
        <f t="shared" si="0"/>
        <v>1076837.05</v>
      </c>
      <c r="P11" s="67">
        <f t="shared" si="1"/>
        <v>1109142.05</v>
      </c>
      <c r="Q11" s="39">
        <f t="shared" si="6"/>
        <v>0.05</v>
      </c>
      <c r="S11" s="39"/>
    </row>
    <row r="12" spans="1:19" ht="17.100000000000001" customHeight="1" x14ac:dyDescent="0.25">
      <c r="A12" s="5" t="s">
        <v>15</v>
      </c>
      <c r="B12" s="54">
        <v>6</v>
      </c>
      <c r="C12" s="54" t="s">
        <v>56</v>
      </c>
      <c r="D12" s="54" t="s">
        <v>99</v>
      </c>
      <c r="E12" s="54"/>
      <c r="F12" s="59">
        <v>3.05</v>
      </c>
      <c r="G12" s="60">
        <v>335500.06</v>
      </c>
      <c r="H12" s="61">
        <f>G12</f>
        <v>335500.06</v>
      </c>
      <c r="I12" s="62"/>
      <c r="J12" s="63">
        <f t="shared" si="2"/>
        <v>0</v>
      </c>
      <c r="K12" s="63">
        <f t="shared" si="3"/>
        <v>0</v>
      </c>
      <c r="L12" s="64">
        <f t="shared" si="4"/>
        <v>61000</v>
      </c>
      <c r="M12" s="64">
        <f t="shared" si="5"/>
        <v>305000</v>
      </c>
      <c r="N12" s="65">
        <v>0</v>
      </c>
      <c r="O12" s="66">
        <f t="shared" si="0"/>
        <v>366000.06</v>
      </c>
      <c r="P12" s="67">
        <f t="shared" si="1"/>
        <v>376980.06</v>
      </c>
      <c r="Q12" s="39">
        <f t="shared" si="6"/>
        <v>6.0000000000000005E-2</v>
      </c>
    </row>
    <row r="13" spans="1:19" ht="17.100000000000001" customHeight="1" x14ac:dyDescent="0.25">
      <c r="A13" s="5" t="s">
        <v>15</v>
      </c>
      <c r="B13" s="152">
        <v>7</v>
      </c>
      <c r="C13" s="152" t="s">
        <v>57</v>
      </c>
      <c r="D13" s="152" t="s">
        <v>100</v>
      </c>
      <c r="E13" s="152"/>
      <c r="F13" s="153">
        <v>4.55</v>
      </c>
      <c r="G13" s="61">
        <v>1011647.07</v>
      </c>
      <c r="H13" s="61">
        <f>240000+260000+501000+10647</f>
        <v>1011647</v>
      </c>
      <c r="I13" s="62"/>
      <c r="J13" s="154">
        <f t="shared" si="2"/>
        <v>6.9999999948777258E-2</v>
      </c>
      <c r="K13" s="154">
        <f t="shared" si="3"/>
        <v>2.0649999984889292E-3</v>
      </c>
      <c r="L13" s="155">
        <f t="shared" si="4"/>
        <v>91000</v>
      </c>
      <c r="M13" s="155">
        <f t="shared" si="5"/>
        <v>455000</v>
      </c>
      <c r="N13" s="156">
        <v>0</v>
      </c>
      <c r="O13" s="157">
        <f t="shared" si="0"/>
        <v>546000.06999999995</v>
      </c>
      <c r="P13" s="158">
        <f t="shared" si="1"/>
        <v>562380.06999999995</v>
      </c>
      <c r="Q13" s="39">
        <f t="shared" si="6"/>
        <v>7.0000000000000007E-2</v>
      </c>
      <c r="R13" s="117"/>
      <c r="S13" s="116"/>
    </row>
    <row r="14" spans="1:19" ht="17.100000000000001" customHeight="1" x14ac:dyDescent="0.25">
      <c r="A14" s="5" t="s">
        <v>16</v>
      </c>
      <c r="B14" s="54">
        <v>8</v>
      </c>
      <c r="C14" s="54" t="s">
        <v>58</v>
      </c>
      <c r="D14" s="54" t="s">
        <v>101</v>
      </c>
      <c r="E14" s="55"/>
      <c r="F14" s="59">
        <v>3.05</v>
      </c>
      <c r="G14" s="60">
        <v>325702.08</v>
      </c>
      <c r="H14" s="61">
        <v>335473</v>
      </c>
      <c r="I14" s="62"/>
      <c r="J14" s="63">
        <f t="shared" si="2"/>
        <v>-9770.9199999999837</v>
      </c>
      <c r="K14" s="63">
        <f t="shared" si="3"/>
        <v>0</v>
      </c>
      <c r="L14" s="64">
        <f t="shared" si="4"/>
        <v>61000</v>
      </c>
      <c r="M14" s="64">
        <f t="shared" si="5"/>
        <v>305000</v>
      </c>
      <c r="N14" s="65">
        <v>0</v>
      </c>
      <c r="O14" s="66">
        <f t="shared" si="0"/>
        <v>356229.08</v>
      </c>
      <c r="P14" s="67">
        <f t="shared" si="1"/>
        <v>366916.08</v>
      </c>
      <c r="Q14" s="39">
        <f t="shared" si="6"/>
        <v>0.08</v>
      </c>
    </row>
    <row r="15" spans="1:19" ht="17.100000000000001" customHeight="1" x14ac:dyDescent="0.25">
      <c r="A15" s="5" t="s">
        <v>16</v>
      </c>
      <c r="B15" s="54">
        <v>9</v>
      </c>
      <c r="C15" s="54" t="s">
        <v>59</v>
      </c>
      <c r="D15" s="54" t="s">
        <v>102</v>
      </c>
      <c r="E15" s="55"/>
      <c r="F15" s="59">
        <v>4.5599999999999996</v>
      </c>
      <c r="G15" s="60">
        <v>498800.09</v>
      </c>
      <c r="H15" s="162">
        <v>514000</v>
      </c>
      <c r="I15" s="62"/>
      <c r="J15" s="63">
        <f t="shared" si="2"/>
        <v>-15199.909999999974</v>
      </c>
      <c r="K15" s="63">
        <f t="shared" si="3"/>
        <v>0</v>
      </c>
      <c r="L15" s="64">
        <f t="shared" si="4"/>
        <v>91199.999999999985</v>
      </c>
      <c r="M15" s="64">
        <f t="shared" si="5"/>
        <v>455999.99999999994</v>
      </c>
      <c r="N15" s="65">
        <v>0</v>
      </c>
      <c r="O15" s="66">
        <f t="shared" si="0"/>
        <v>532000.09</v>
      </c>
      <c r="P15" s="67">
        <f t="shared" si="1"/>
        <v>547960.09</v>
      </c>
      <c r="Q15" s="39">
        <f t="shared" si="6"/>
        <v>0.09</v>
      </c>
      <c r="R15" t="s">
        <v>144</v>
      </c>
    </row>
    <row r="16" spans="1:19" ht="17.100000000000001" customHeight="1" x14ac:dyDescent="0.25">
      <c r="A16" s="5" t="s">
        <v>17</v>
      </c>
      <c r="B16" s="54">
        <v>10</v>
      </c>
      <c r="C16" s="54" t="s">
        <v>60</v>
      </c>
      <c r="D16" s="54" t="s">
        <v>103</v>
      </c>
      <c r="E16" s="55"/>
      <c r="F16" s="59">
        <v>3.05</v>
      </c>
      <c r="G16" s="60">
        <v>335500.09999999998</v>
      </c>
      <c r="H16" s="61">
        <f>G16</f>
        <v>335500.09999999998</v>
      </c>
      <c r="I16" s="62"/>
      <c r="J16" s="63">
        <f t="shared" si="2"/>
        <v>0</v>
      </c>
      <c r="K16" s="63">
        <f t="shared" si="3"/>
        <v>0</v>
      </c>
      <c r="L16" s="64">
        <f t="shared" si="4"/>
        <v>61000</v>
      </c>
      <c r="M16" s="64">
        <f t="shared" si="5"/>
        <v>305000</v>
      </c>
      <c r="N16" s="65">
        <v>0</v>
      </c>
      <c r="O16" s="66">
        <f t="shared" si="0"/>
        <v>366000.1</v>
      </c>
      <c r="P16" s="67">
        <f t="shared" si="1"/>
        <v>376980.1</v>
      </c>
      <c r="Q16" s="39">
        <f t="shared" si="6"/>
        <v>9.9999999999999992E-2</v>
      </c>
      <c r="R16" t="s">
        <v>146</v>
      </c>
    </row>
    <row r="17" spans="1:19" ht="17.100000000000001" customHeight="1" x14ac:dyDescent="0.25">
      <c r="A17" s="5" t="s">
        <v>17</v>
      </c>
      <c r="B17" s="54">
        <v>11</v>
      </c>
      <c r="C17" s="54" t="s">
        <v>61</v>
      </c>
      <c r="D17" s="54" t="s">
        <v>104</v>
      </c>
      <c r="E17" s="55"/>
      <c r="F17" s="59">
        <v>4.55</v>
      </c>
      <c r="G17" s="60">
        <v>485485.11</v>
      </c>
      <c r="H17" s="61">
        <f>G17</f>
        <v>485485.11</v>
      </c>
      <c r="I17" s="62"/>
      <c r="J17" s="63">
        <f t="shared" si="2"/>
        <v>0</v>
      </c>
      <c r="K17" s="63">
        <f t="shared" si="3"/>
        <v>0</v>
      </c>
      <c r="L17" s="64">
        <f t="shared" si="4"/>
        <v>91000</v>
      </c>
      <c r="M17" s="64">
        <f t="shared" si="5"/>
        <v>455000</v>
      </c>
      <c r="N17" s="65">
        <v>0</v>
      </c>
      <c r="O17" s="66">
        <f t="shared" si="0"/>
        <v>546000.11</v>
      </c>
      <c r="P17" s="67">
        <f t="shared" si="1"/>
        <v>562380.11</v>
      </c>
      <c r="Q17" s="39">
        <f t="shared" si="6"/>
        <v>0.10999999999999999</v>
      </c>
    </row>
    <row r="18" spans="1:19" ht="17.100000000000001" customHeight="1" x14ac:dyDescent="0.25">
      <c r="A18" s="5" t="s">
        <v>18</v>
      </c>
      <c r="B18" s="54">
        <v>12</v>
      </c>
      <c r="C18" s="54" t="s">
        <v>62</v>
      </c>
      <c r="D18" s="54" t="s">
        <v>105</v>
      </c>
      <c r="E18" s="55"/>
      <c r="F18" s="59">
        <v>3.05</v>
      </c>
      <c r="G18" s="60">
        <v>762336.12</v>
      </c>
      <c r="H18" s="61">
        <f>300000+5000</f>
        <v>305000</v>
      </c>
      <c r="I18" s="62"/>
      <c r="J18" s="63">
        <f t="shared" si="2"/>
        <v>457336.12</v>
      </c>
      <c r="K18" s="63">
        <f t="shared" si="3"/>
        <v>13491.41554</v>
      </c>
      <c r="L18" s="64">
        <f t="shared" si="4"/>
        <v>61000</v>
      </c>
      <c r="M18" s="64">
        <f t="shared" si="5"/>
        <v>305000</v>
      </c>
      <c r="N18" s="65">
        <v>0</v>
      </c>
      <c r="O18" s="66">
        <f t="shared" si="0"/>
        <v>836828.12</v>
      </c>
      <c r="P18" s="67">
        <f t="shared" si="1"/>
        <v>861933.12</v>
      </c>
      <c r="Q18" s="39">
        <f t="shared" si="6"/>
        <v>0.11999999999999998</v>
      </c>
    </row>
    <row r="19" spans="1:19" ht="17.100000000000001" customHeight="1" x14ac:dyDescent="0.25">
      <c r="A19" s="5" t="s">
        <v>18</v>
      </c>
      <c r="B19" s="54">
        <v>13</v>
      </c>
      <c r="C19" s="54" t="s">
        <v>63</v>
      </c>
      <c r="D19" s="54" t="s">
        <v>106</v>
      </c>
      <c r="E19" s="55"/>
      <c r="F19" s="59">
        <v>4.55</v>
      </c>
      <c r="G19" s="60">
        <v>500500.13</v>
      </c>
      <c r="H19" s="61">
        <f>G19</f>
        <v>500500.13</v>
      </c>
      <c r="I19" s="62"/>
      <c r="J19" s="63">
        <f t="shared" si="2"/>
        <v>0</v>
      </c>
      <c r="K19" s="63">
        <f t="shared" si="3"/>
        <v>0</v>
      </c>
      <c r="L19" s="64">
        <f t="shared" si="4"/>
        <v>91000</v>
      </c>
      <c r="M19" s="64">
        <f t="shared" si="5"/>
        <v>455000</v>
      </c>
      <c r="N19" s="65">
        <v>0</v>
      </c>
      <c r="O19" s="66">
        <f t="shared" si="0"/>
        <v>546000.13</v>
      </c>
      <c r="P19" s="67">
        <f t="shared" si="1"/>
        <v>562380.13</v>
      </c>
      <c r="Q19" s="39">
        <f t="shared" si="6"/>
        <v>0.12999999999999998</v>
      </c>
    </row>
    <row r="20" spans="1:19" ht="17.100000000000001" customHeight="1" x14ac:dyDescent="0.25">
      <c r="A20" s="5" t="s">
        <v>19</v>
      </c>
      <c r="B20" s="54">
        <v>14</v>
      </c>
      <c r="C20" s="54" t="s">
        <v>64</v>
      </c>
      <c r="D20" s="54" t="s">
        <v>107</v>
      </c>
      <c r="E20" s="55"/>
      <c r="F20" s="59">
        <v>3.18</v>
      </c>
      <c r="G20" s="60">
        <v>349800.14</v>
      </c>
      <c r="H20" s="61">
        <f>G20</f>
        <v>349800.14</v>
      </c>
      <c r="I20" s="62"/>
      <c r="J20" s="63">
        <f t="shared" si="2"/>
        <v>0</v>
      </c>
      <c r="K20" s="63">
        <f t="shared" si="3"/>
        <v>0</v>
      </c>
      <c r="L20" s="64">
        <f t="shared" si="4"/>
        <v>63600.000000000007</v>
      </c>
      <c r="M20" s="64">
        <f t="shared" si="5"/>
        <v>318000</v>
      </c>
      <c r="N20" s="65">
        <v>0</v>
      </c>
      <c r="O20" s="66">
        <f t="shared" si="0"/>
        <v>381600.14</v>
      </c>
      <c r="P20" s="67">
        <f t="shared" si="1"/>
        <v>393048.14</v>
      </c>
      <c r="Q20" s="39">
        <f t="shared" si="6"/>
        <v>0.13999999999999999</v>
      </c>
    </row>
    <row r="21" spans="1:19" ht="17.100000000000001" customHeight="1" x14ac:dyDescent="0.25">
      <c r="A21" s="5" t="s">
        <v>19</v>
      </c>
      <c r="B21" s="54">
        <v>15</v>
      </c>
      <c r="C21" s="54" t="s">
        <v>65</v>
      </c>
      <c r="D21" s="54" t="s">
        <v>108</v>
      </c>
      <c r="E21" s="55"/>
      <c r="F21" s="59">
        <v>4.55</v>
      </c>
      <c r="G21" s="60">
        <v>500500.15</v>
      </c>
      <c r="H21" s="61">
        <f>G21</f>
        <v>500500.15</v>
      </c>
      <c r="I21" s="62"/>
      <c r="J21" s="63">
        <f t="shared" si="2"/>
        <v>0</v>
      </c>
      <c r="K21" s="63">
        <f t="shared" si="3"/>
        <v>0</v>
      </c>
      <c r="L21" s="64">
        <f t="shared" si="4"/>
        <v>91000</v>
      </c>
      <c r="M21" s="64">
        <f t="shared" si="5"/>
        <v>455000</v>
      </c>
      <c r="N21" s="65">
        <v>0</v>
      </c>
      <c r="O21" s="66">
        <f t="shared" si="0"/>
        <v>546000.15</v>
      </c>
      <c r="P21" s="67">
        <f t="shared" si="1"/>
        <v>562380.15</v>
      </c>
      <c r="Q21" s="39">
        <f t="shared" si="6"/>
        <v>0.15</v>
      </c>
    </row>
    <row r="22" spans="1:19" ht="17.100000000000001" customHeight="1" x14ac:dyDescent="0.25">
      <c r="A22" s="5" t="s">
        <v>20</v>
      </c>
      <c r="B22" s="54">
        <v>16</v>
      </c>
      <c r="C22" s="54" t="s">
        <v>66</v>
      </c>
      <c r="D22" s="54" t="s">
        <v>109</v>
      </c>
      <c r="E22" s="54"/>
      <c r="F22" s="59">
        <v>3.17</v>
      </c>
      <c r="G22" s="60">
        <v>348154.16</v>
      </c>
      <c r="H22" s="61">
        <v>350000</v>
      </c>
      <c r="I22" s="62"/>
      <c r="J22" s="63">
        <f t="shared" si="2"/>
        <v>-1845.8400000000256</v>
      </c>
      <c r="K22" s="63">
        <f t="shared" si="3"/>
        <v>0</v>
      </c>
      <c r="L22" s="64">
        <f t="shared" si="4"/>
        <v>63400</v>
      </c>
      <c r="M22" s="64">
        <f t="shared" si="5"/>
        <v>317000</v>
      </c>
      <c r="N22" s="65">
        <v>0</v>
      </c>
      <c r="O22" s="66">
        <f t="shared" si="0"/>
        <v>378554.16</v>
      </c>
      <c r="P22" s="67">
        <f t="shared" si="1"/>
        <v>389911.16</v>
      </c>
      <c r="Q22" s="39">
        <f t="shared" si="6"/>
        <v>0.16</v>
      </c>
      <c r="R22" t="s">
        <v>145</v>
      </c>
      <c r="S22" s="38"/>
    </row>
    <row r="23" spans="1:19" ht="17.100000000000001" customHeight="1" x14ac:dyDescent="0.25">
      <c r="A23" s="5" t="s">
        <v>20</v>
      </c>
      <c r="B23" s="54">
        <v>17</v>
      </c>
      <c r="C23" s="54" t="s">
        <v>67</v>
      </c>
      <c r="D23" s="54" t="s">
        <v>110</v>
      </c>
      <c r="E23" s="55"/>
      <c r="F23" s="59">
        <v>4.55</v>
      </c>
      <c r="G23" s="61">
        <v>1015765.17</v>
      </c>
      <c r="H23" s="61">
        <f>1046238.17</f>
        <v>1046238.17</v>
      </c>
      <c r="I23" s="62"/>
      <c r="J23" s="63">
        <f t="shared" si="2"/>
        <v>-30473</v>
      </c>
      <c r="K23" s="63">
        <f t="shared" si="3"/>
        <v>0</v>
      </c>
      <c r="L23" s="64">
        <f t="shared" si="4"/>
        <v>91000</v>
      </c>
      <c r="M23" s="64">
        <f t="shared" si="5"/>
        <v>455000</v>
      </c>
      <c r="N23" s="65">
        <v>0</v>
      </c>
      <c r="O23" s="66">
        <f t="shared" si="0"/>
        <v>515527.17</v>
      </c>
      <c r="P23" s="67">
        <f t="shared" si="1"/>
        <v>530993.16999999993</v>
      </c>
      <c r="Q23" s="39">
        <f t="shared" si="6"/>
        <v>0.17</v>
      </c>
    </row>
    <row r="24" spans="1:19" ht="17.100000000000001" customHeight="1" x14ac:dyDescent="0.25">
      <c r="A24" s="5" t="s">
        <v>21</v>
      </c>
      <c r="B24" s="54">
        <v>18</v>
      </c>
      <c r="C24" s="54" t="s">
        <v>68</v>
      </c>
      <c r="D24" s="54" t="s">
        <v>111</v>
      </c>
      <c r="E24" s="54"/>
      <c r="F24" s="59">
        <v>3.17</v>
      </c>
      <c r="G24" s="60">
        <v>348700.18</v>
      </c>
      <c r="H24" s="61">
        <f>G24</f>
        <v>348700.18</v>
      </c>
      <c r="I24" s="62"/>
      <c r="J24" s="63">
        <f t="shared" si="2"/>
        <v>0</v>
      </c>
      <c r="K24" s="63">
        <f t="shared" si="3"/>
        <v>0</v>
      </c>
      <c r="L24" s="64">
        <f t="shared" si="4"/>
        <v>63400</v>
      </c>
      <c r="M24" s="64">
        <f t="shared" si="5"/>
        <v>317000</v>
      </c>
      <c r="N24" s="65">
        <v>0</v>
      </c>
      <c r="O24" s="66">
        <f t="shared" si="0"/>
        <v>380400.18</v>
      </c>
      <c r="P24" s="67">
        <f t="shared" si="1"/>
        <v>391812.18</v>
      </c>
      <c r="Q24" s="39">
        <f t="shared" si="6"/>
        <v>0.18000000000000002</v>
      </c>
    </row>
    <row r="25" spans="1:19" ht="17.100000000000001" customHeight="1" x14ac:dyDescent="0.25">
      <c r="A25" s="5" t="s">
        <v>21</v>
      </c>
      <c r="B25" s="54">
        <v>19</v>
      </c>
      <c r="C25" s="54" t="s">
        <v>69</v>
      </c>
      <c r="D25" s="54" t="s">
        <v>112</v>
      </c>
      <c r="E25" s="55"/>
      <c r="F25" s="59">
        <v>4.55</v>
      </c>
      <c r="G25" s="60">
        <v>500500.19</v>
      </c>
      <c r="H25" s="61">
        <f>G25</f>
        <v>500500.19</v>
      </c>
      <c r="I25" s="62"/>
      <c r="J25" s="63">
        <f t="shared" si="2"/>
        <v>0</v>
      </c>
      <c r="K25" s="63">
        <f t="shared" si="3"/>
        <v>0</v>
      </c>
      <c r="L25" s="64">
        <f t="shared" si="4"/>
        <v>91000</v>
      </c>
      <c r="M25" s="64">
        <f t="shared" si="5"/>
        <v>455000</v>
      </c>
      <c r="N25" s="65">
        <v>0</v>
      </c>
      <c r="O25" s="66">
        <f t="shared" si="0"/>
        <v>546000.18999999994</v>
      </c>
      <c r="P25" s="67">
        <f t="shared" si="1"/>
        <v>562380.18999999994</v>
      </c>
      <c r="Q25" s="39">
        <f t="shared" si="6"/>
        <v>0.19000000000000003</v>
      </c>
    </row>
    <row r="26" spans="1:19" ht="17.100000000000001" customHeight="1" x14ac:dyDescent="0.25">
      <c r="A26" s="5" t="s">
        <v>22</v>
      </c>
      <c r="B26" s="54">
        <v>20</v>
      </c>
      <c r="C26" s="54" t="s">
        <v>70</v>
      </c>
      <c r="D26" s="54" t="s">
        <v>113</v>
      </c>
      <c r="E26" s="54"/>
      <c r="F26" s="59">
        <v>3.17</v>
      </c>
      <c r="G26" s="61">
        <v>348700.2</v>
      </c>
      <c r="H26" s="61">
        <f>G26</f>
        <v>348700.2</v>
      </c>
      <c r="I26" s="62"/>
      <c r="J26" s="63">
        <f t="shared" si="2"/>
        <v>0</v>
      </c>
      <c r="K26" s="63">
        <f t="shared" si="3"/>
        <v>0</v>
      </c>
      <c r="L26" s="64">
        <f t="shared" si="4"/>
        <v>63400</v>
      </c>
      <c r="M26" s="64">
        <f t="shared" si="5"/>
        <v>317000</v>
      </c>
      <c r="N26" s="65">
        <v>0</v>
      </c>
      <c r="O26" s="66">
        <f t="shared" si="0"/>
        <v>380400.2</v>
      </c>
      <c r="P26" s="67">
        <f t="shared" si="1"/>
        <v>391812.2</v>
      </c>
      <c r="Q26" s="39">
        <f t="shared" si="6"/>
        <v>0.20000000000000004</v>
      </c>
      <c r="S26" t="s">
        <v>137</v>
      </c>
    </row>
    <row r="27" spans="1:19" ht="17.100000000000001" customHeight="1" x14ac:dyDescent="0.25">
      <c r="A27" s="5" t="s">
        <v>23</v>
      </c>
      <c r="B27" s="54">
        <v>21</v>
      </c>
      <c r="C27" s="54" t="s">
        <v>71</v>
      </c>
      <c r="D27" s="54" t="s">
        <v>114</v>
      </c>
      <c r="E27" s="55"/>
      <c r="F27" s="59">
        <v>4.55</v>
      </c>
      <c r="G27" s="60">
        <v>500500.21</v>
      </c>
      <c r="H27" s="61">
        <f>G27</f>
        <v>500500.21</v>
      </c>
      <c r="I27" s="62"/>
      <c r="J27" s="63">
        <f t="shared" si="2"/>
        <v>0</v>
      </c>
      <c r="K27" s="63">
        <f t="shared" si="3"/>
        <v>0</v>
      </c>
      <c r="L27" s="64">
        <f t="shared" si="4"/>
        <v>91000</v>
      </c>
      <c r="M27" s="64">
        <f t="shared" si="5"/>
        <v>455000</v>
      </c>
      <c r="N27" s="65">
        <v>0</v>
      </c>
      <c r="O27" s="66">
        <f t="shared" si="0"/>
        <v>546000.21</v>
      </c>
      <c r="P27" s="67">
        <f t="shared" si="1"/>
        <v>562380.21</v>
      </c>
      <c r="Q27" s="39">
        <f t="shared" si="6"/>
        <v>0.21000000000000005</v>
      </c>
    </row>
    <row r="28" spans="1:19" ht="17.100000000000001" customHeight="1" x14ac:dyDescent="0.25">
      <c r="A28" s="5" t="s">
        <v>24</v>
      </c>
      <c r="B28" s="54">
        <v>22</v>
      </c>
      <c r="C28" s="54" t="s">
        <v>72</v>
      </c>
      <c r="D28" s="54" t="s">
        <v>115</v>
      </c>
      <c r="E28" s="55"/>
      <c r="F28" s="59">
        <v>3.17</v>
      </c>
      <c r="G28" s="60">
        <v>-168789.78</v>
      </c>
      <c r="H28" s="61">
        <f>381870.22</f>
        <v>381870.22</v>
      </c>
      <c r="I28" s="62"/>
      <c r="J28" s="63">
        <f t="shared" si="2"/>
        <v>-550660</v>
      </c>
      <c r="K28" s="63">
        <f t="shared" si="3"/>
        <v>0</v>
      </c>
      <c r="L28" s="64">
        <f t="shared" si="4"/>
        <v>63400</v>
      </c>
      <c r="M28" s="64">
        <f t="shared" si="5"/>
        <v>317000</v>
      </c>
      <c r="N28" s="65">
        <v>0</v>
      </c>
      <c r="O28" s="66">
        <f t="shared" si="0"/>
        <v>-170259.78</v>
      </c>
      <c r="P28" s="67">
        <f t="shared" si="1"/>
        <v>-175367.78</v>
      </c>
      <c r="Q28" s="39">
        <f t="shared" si="6"/>
        <v>0.22000000000000006</v>
      </c>
    </row>
    <row r="29" spans="1:19" ht="17.100000000000001" customHeight="1" x14ac:dyDescent="0.25">
      <c r="A29" s="5" t="s">
        <v>25</v>
      </c>
      <c r="B29" s="54">
        <v>23</v>
      </c>
      <c r="C29" s="54" t="s">
        <v>73</v>
      </c>
      <c r="D29" s="54" t="s">
        <v>116</v>
      </c>
      <c r="E29" s="55"/>
      <c r="F29" s="59">
        <v>4.66</v>
      </c>
      <c r="G29" s="60">
        <v>512600.23</v>
      </c>
      <c r="H29" s="61">
        <f>G29</f>
        <v>512600.23</v>
      </c>
      <c r="I29" s="62"/>
      <c r="J29" s="63">
        <f t="shared" si="2"/>
        <v>0</v>
      </c>
      <c r="K29" s="63">
        <f t="shared" si="3"/>
        <v>0</v>
      </c>
      <c r="L29" s="64">
        <f t="shared" si="4"/>
        <v>93200</v>
      </c>
      <c r="M29" s="64">
        <f t="shared" si="5"/>
        <v>466000</v>
      </c>
      <c r="N29" s="65">
        <v>0</v>
      </c>
      <c r="O29" s="66">
        <f t="shared" si="0"/>
        <v>559200.23</v>
      </c>
      <c r="P29" s="67">
        <f t="shared" si="1"/>
        <v>575976.23</v>
      </c>
      <c r="Q29" s="39">
        <f t="shared" si="6"/>
        <v>0.23000000000000007</v>
      </c>
    </row>
    <row r="30" spans="1:19" ht="17.100000000000001" customHeight="1" x14ac:dyDescent="0.25">
      <c r="A30" s="5" t="s">
        <v>27</v>
      </c>
      <c r="B30" s="54">
        <v>24</v>
      </c>
      <c r="C30" s="54" t="s">
        <v>74</v>
      </c>
      <c r="D30" s="54" t="s">
        <v>117</v>
      </c>
      <c r="E30" s="55"/>
      <c r="F30" s="59">
        <v>3.21</v>
      </c>
      <c r="G30" s="60">
        <v>353100.24</v>
      </c>
      <c r="H30" s="61">
        <f>G30</f>
        <v>353100.24</v>
      </c>
      <c r="I30" s="62"/>
      <c r="J30" s="63">
        <f t="shared" si="2"/>
        <v>0</v>
      </c>
      <c r="K30" s="63">
        <f t="shared" si="3"/>
        <v>0</v>
      </c>
      <c r="L30" s="64">
        <f t="shared" si="4"/>
        <v>64199.999999999993</v>
      </c>
      <c r="M30" s="64">
        <f t="shared" si="5"/>
        <v>320999.99999999994</v>
      </c>
      <c r="N30" s="65">
        <v>0</v>
      </c>
      <c r="O30" s="66">
        <f t="shared" si="0"/>
        <v>385200.24</v>
      </c>
      <c r="P30" s="67">
        <f t="shared" si="1"/>
        <v>396756.24</v>
      </c>
      <c r="Q30" s="39">
        <f t="shared" si="6"/>
        <v>0.24000000000000007</v>
      </c>
    </row>
    <row r="31" spans="1:19" ht="17.100000000000001" customHeight="1" x14ac:dyDescent="0.25">
      <c r="A31" s="5" t="s">
        <v>27</v>
      </c>
      <c r="B31" s="54">
        <v>25</v>
      </c>
      <c r="C31" s="54" t="s">
        <v>75</v>
      </c>
      <c r="D31" s="54" t="s">
        <v>118</v>
      </c>
      <c r="E31" s="54"/>
      <c r="F31" s="59">
        <v>4.6900000000000004</v>
      </c>
      <c r="G31" s="60">
        <v>500423.25</v>
      </c>
      <c r="H31" s="61">
        <f>G31</f>
        <v>500423.25</v>
      </c>
      <c r="I31" s="62"/>
      <c r="J31" s="63">
        <f t="shared" si="2"/>
        <v>0</v>
      </c>
      <c r="K31" s="63">
        <f t="shared" si="3"/>
        <v>0</v>
      </c>
      <c r="L31" s="64">
        <f t="shared" si="4"/>
        <v>93800.000000000015</v>
      </c>
      <c r="M31" s="64">
        <f t="shared" si="5"/>
        <v>469000.00000000006</v>
      </c>
      <c r="N31" s="65">
        <v>0</v>
      </c>
      <c r="O31" s="66">
        <f t="shared" si="0"/>
        <v>562800.25</v>
      </c>
      <c r="P31" s="67">
        <f t="shared" si="1"/>
        <v>579684.25</v>
      </c>
      <c r="Q31" s="39">
        <f t="shared" si="6"/>
        <v>0.25000000000000006</v>
      </c>
      <c r="R31" t="s">
        <v>140</v>
      </c>
    </row>
    <row r="32" spans="1:19" ht="17.100000000000001" customHeight="1" x14ac:dyDescent="0.25">
      <c r="A32" s="5" t="s">
        <v>27</v>
      </c>
      <c r="B32" s="54">
        <v>26</v>
      </c>
      <c r="C32" s="54" t="s">
        <v>76</v>
      </c>
      <c r="D32" s="54" t="s">
        <v>119</v>
      </c>
      <c r="E32" s="54"/>
      <c r="F32" s="59">
        <v>3.02</v>
      </c>
      <c r="G32" s="60">
        <v>363600.26</v>
      </c>
      <c r="H32" s="61">
        <f>G32</f>
        <v>363600.26</v>
      </c>
      <c r="I32" s="62"/>
      <c r="J32" s="63">
        <f t="shared" si="2"/>
        <v>0</v>
      </c>
      <c r="K32" s="63">
        <f t="shared" si="3"/>
        <v>0</v>
      </c>
      <c r="L32" s="64">
        <f t="shared" si="4"/>
        <v>60400</v>
      </c>
      <c r="M32" s="64">
        <f t="shared" si="5"/>
        <v>302000</v>
      </c>
      <c r="N32" s="65">
        <v>31400</v>
      </c>
      <c r="O32" s="66">
        <f t="shared" si="0"/>
        <v>393800.26</v>
      </c>
      <c r="P32" s="67">
        <f t="shared" si="1"/>
        <v>405614.26</v>
      </c>
      <c r="Q32" s="111">
        <f t="shared" si="6"/>
        <v>0.26000000000000006</v>
      </c>
      <c r="R32" s="116"/>
      <c r="S32" t="s">
        <v>138</v>
      </c>
    </row>
    <row r="33" spans="1:17" ht="17.100000000000001" customHeight="1" thickBot="1" x14ac:dyDescent="0.3">
      <c r="A33" s="5" t="s">
        <v>27</v>
      </c>
      <c r="B33" s="54">
        <v>27</v>
      </c>
      <c r="C33" s="54" t="s">
        <v>120</v>
      </c>
      <c r="D33" s="54" t="s">
        <v>121</v>
      </c>
      <c r="E33" s="55"/>
      <c r="F33" s="59">
        <v>0.16</v>
      </c>
      <c r="G33" s="60">
        <v>17600.27</v>
      </c>
      <c r="H33" s="61">
        <v>18128.27</v>
      </c>
      <c r="I33" s="62"/>
      <c r="J33" s="63">
        <f>G33-H33</f>
        <v>-528</v>
      </c>
      <c r="K33" s="63">
        <f t="shared" si="3"/>
        <v>0</v>
      </c>
      <c r="L33" s="64">
        <f t="shared" si="4"/>
        <v>3200</v>
      </c>
      <c r="M33" s="64">
        <f>O$2*F33%</f>
        <v>16000</v>
      </c>
      <c r="N33" s="65">
        <v>0</v>
      </c>
      <c r="O33" s="66">
        <f t="shared" si="0"/>
        <v>18672.27</v>
      </c>
      <c r="P33" s="67">
        <f t="shared" si="1"/>
        <v>19232.27</v>
      </c>
      <c r="Q33" s="39">
        <f t="shared" si="6"/>
        <v>0.27000000000000007</v>
      </c>
    </row>
    <row r="34" spans="1:17" ht="15.75" hidden="1" thickBot="1" x14ac:dyDescent="0.3">
      <c r="A34" s="5" t="s">
        <v>27</v>
      </c>
      <c r="B34" s="54"/>
      <c r="C34" s="54"/>
      <c r="D34" s="54"/>
      <c r="E34" s="54"/>
      <c r="F34" s="59"/>
      <c r="G34" s="68" t="s">
        <v>94</v>
      </c>
      <c r="H34" s="61" t="str">
        <f t="shared" ref="H34" si="7">G34</f>
        <v>162450.31</v>
      </c>
      <c r="I34" s="69"/>
      <c r="J34" s="70" t="e">
        <f t="shared" ref="J34" si="8">G34-H34</f>
        <v>#VALUE!</v>
      </c>
      <c r="K34" s="63" t="e">
        <f t="shared" ref="K34" si="9">IF(J34&gt;0,J34*3%,0)</f>
        <v>#VALUE!</v>
      </c>
      <c r="L34" s="64">
        <f t="shared" si="4"/>
        <v>0</v>
      </c>
      <c r="M34" s="71">
        <f t="shared" si="5"/>
        <v>0</v>
      </c>
      <c r="N34" s="72">
        <v>0</v>
      </c>
      <c r="O34" s="66" t="e">
        <f t="shared" si="0"/>
        <v>#VALUE!</v>
      </c>
      <c r="P34" s="67" t="e">
        <f t="shared" si="1"/>
        <v>#VALUE!</v>
      </c>
      <c r="Q34" s="39"/>
    </row>
    <row r="35" spans="1:17" ht="17.100000000000001" customHeight="1" thickBot="1" x14ac:dyDescent="0.3">
      <c r="B35" s="73"/>
      <c r="C35" s="74"/>
      <c r="D35" s="75"/>
      <c r="E35" s="75"/>
      <c r="F35" s="76">
        <f>SUM(F6:F34)</f>
        <v>99.999999999999972</v>
      </c>
      <c r="G35" s="45">
        <f>SUM(G6:G34)</f>
        <v>12852477.779999999</v>
      </c>
      <c r="H35" s="52">
        <f>SUM(H6:H34)</f>
        <v>12003298.140000001</v>
      </c>
      <c r="I35" s="52">
        <f t="shared" ref="I35" si="10">SUM(I6:I34)</f>
        <v>0</v>
      </c>
      <c r="J35" s="52"/>
      <c r="K35" s="52"/>
      <c r="L35" s="52">
        <f>SUM(L6:L34)</f>
        <v>2000000</v>
      </c>
      <c r="M35" s="52">
        <f>SUM(M6:M34)</f>
        <v>10000000</v>
      </c>
      <c r="N35" s="52">
        <f>SUM(N6:N34)</f>
        <v>31400</v>
      </c>
      <c r="O35" s="77">
        <f>SUM(O6:O33)</f>
        <v>12924353.779999999</v>
      </c>
      <c r="P35" s="77">
        <f>SUM(P6:P33)</f>
        <v>13312084.779999999</v>
      </c>
    </row>
    <row r="36" spans="1:17" ht="12.75" customHeight="1" x14ac:dyDescent="0.25">
      <c r="D36" s="43"/>
      <c r="E36" s="43"/>
    </row>
    <row r="37" spans="1:17" hidden="1" x14ac:dyDescent="0.25"/>
    <row r="38" spans="1:17" ht="9" customHeight="1" x14ac:dyDescent="0.25">
      <c r="D38" s="165" t="s">
        <v>143</v>
      </c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</row>
    <row r="39" spans="1:17" ht="12" hidden="1" customHeight="1" x14ac:dyDescent="0.25"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</row>
    <row r="40" spans="1:17" ht="12" hidden="1" customHeight="1" x14ac:dyDescent="0.25"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</row>
    <row r="41" spans="1:17" ht="12" hidden="1" customHeight="1" x14ac:dyDescent="0.25"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</row>
    <row r="42" spans="1:17" ht="12" hidden="1" customHeight="1" x14ac:dyDescent="0.25"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</row>
    <row r="43" spans="1:17" ht="65.25" customHeight="1" x14ac:dyDescent="0.25"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</row>
  </sheetData>
  <mergeCells count="18">
    <mergeCell ref="B1:K3"/>
    <mergeCell ref="P4:P5"/>
    <mergeCell ref="D38:O43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B9:D9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D240-6D8B-4144-A545-69291A6FAA07}">
  <dimension ref="C3:C6"/>
  <sheetViews>
    <sheetView workbookViewId="0">
      <selection activeCell="C3" sqref="C3"/>
    </sheetView>
  </sheetViews>
  <sheetFormatPr baseColWidth="10" defaultColWidth="10.85546875" defaultRowHeight="15" x14ac:dyDescent="0.25"/>
  <sheetData>
    <row r="3" spans="3:3" x14ac:dyDescent="0.25">
      <c r="C3" s="148" t="s">
        <v>154</v>
      </c>
    </row>
    <row r="6" spans="3:3" x14ac:dyDescent="0.25">
      <c r="C6" s="1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2026-03-02T21:42:58Z</cp:lastPrinted>
  <dcterms:created xsi:type="dcterms:W3CDTF">2023-09-17T12:29:07Z</dcterms:created>
  <dcterms:modified xsi:type="dcterms:W3CDTF">2026-03-02T21:43:04Z</dcterms:modified>
</cp:coreProperties>
</file>