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OLOMBRES\ENERO\"/>
    </mc:Choice>
  </mc:AlternateContent>
  <xr:revisionPtr revIDLastSave="0" documentId="13_ncr:1_{70D4896D-81A6-4227-9BD8-211FAF0CFC32}" xr6:coauthVersionLast="47" xr6:coauthVersionMax="47" xr10:uidLastSave="{00000000-0000-0000-0000-000000000000}"/>
  <bookViews>
    <workbookView xWindow="-108" yWindow="-108" windowWidth="23256" windowHeight="12576" tabRatio="793" activeTab="2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PRORRATEO!$A$1:$P$43</definedName>
    <definedName name="_xlnm.Print_Area" localSheetId="0">RESUMEN!$A$1:$D$115</definedName>
  </definedNames>
  <calcPr calcId="181029"/>
</workbook>
</file>

<file path=xl/calcChain.xml><?xml version="1.0" encoding="utf-8"?>
<calcChain xmlns="http://schemas.openxmlformats.org/spreadsheetml/2006/main">
  <c r="H7" i="2" l="1"/>
  <c r="D73" i="1" l="1"/>
  <c r="D67" i="1"/>
  <c r="D71" i="1"/>
  <c r="C70" i="1"/>
  <c r="C24" i="1"/>
  <c r="H10" i="2"/>
  <c r="H11" i="2"/>
  <c r="H32" i="2"/>
  <c r="H18" i="2"/>
  <c r="H28" i="2"/>
  <c r="D55" i="1"/>
  <c r="H15" i="2" l="1"/>
  <c r="H31" i="2"/>
  <c r="H19" i="2"/>
  <c r="H23" i="2"/>
  <c r="D37" i="1" l="1"/>
  <c r="H6" i="2"/>
  <c r="D41" i="1"/>
  <c r="H29" i="2" l="1"/>
  <c r="H24" i="2"/>
  <c r="J14" i="2" l="1"/>
  <c r="H26" i="2"/>
  <c r="D47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5" i="1"/>
  <c r="D4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4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2" i="1" l="1"/>
  <c r="D87" i="1" s="1"/>
  <c r="B91" i="1" s="1"/>
  <c r="B106" i="1" s="1"/>
  <c r="B102" i="1" l="1"/>
  <c r="D75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1" i="1" s="1"/>
  <c r="F34" i="2"/>
  <c r="G34" i="2"/>
  <c r="J6" i="2" l="1"/>
  <c r="K6" i="2" s="1"/>
  <c r="B92" i="1" l="1"/>
  <c r="L34" i="2"/>
  <c r="B90" i="1" l="1"/>
  <c r="B105" i="1" s="1"/>
  <c r="B107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9" i="1" l="1"/>
  <c r="N34" i="2" l="1"/>
</calcChain>
</file>

<file path=xl/sharedStrings.xml><?xml version="1.0" encoding="utf-8"?>
<sst xmlns="http://schemas.openxmlformats.org/spreadsheetml/2006/main" count="221" uniqueCount="190">
  <si>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</si>
  <si>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</si>
  <si>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</si>
  <si>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</si>
  <si>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</si>
  <si>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</si>
  <si>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</si>
  <si>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</si>
  <si>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</si>
  <si>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</si>
  <si>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</si>
  <si>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</si>
  <si>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</si>
  <si>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</si>
  <si>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</si>
  <si>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</si>
  <si>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</si>
  <si>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</si>
  <si>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</si>
  <si>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</si>
  <si>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</si>
  <si>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</si>
  <si>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</si>
  <si>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</si>
  <si>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</si>
  <si>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</si>
  <si>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</si>
  <si>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</si>
  <si>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</si>
  <si>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</si>
  <si>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</si>
  <si>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</si>
  <si>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</si>
  <si>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</si>
  <si>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</si>
  <si>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</si>
  <si>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</si>
  <si>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</si>
  <si>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</si>
  <si>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</si>
  <si>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</si>
  <si>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</si>
  <si>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</si>
  <si>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</si>
  <si>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</si>
  <si>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</si>
  <si>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</si>
  <si>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</si>
  <si>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</si>
  <si>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</si>
  <si>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</si>
  <si>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</si>
  <si>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</si>
  <si>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</si>
  <si>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</si>
  <si>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</si>
  <si>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</si>
  <si>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</si>
  <si>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</si>
  <si>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</si>
  <si>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</si>
  <si>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</si>
  <si>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</si>
  <si>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</si>
  <si>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</si>
  <si>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</si>
  <si>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</si>
  <si>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</si>
  <si>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</si>
  <si>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</si>
  <si>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</si>
  <si>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</si>
  <si>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</si>
  <si>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</si>
  <si>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</si>
  <si>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</si>
  <si>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</si>
  <si>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</si>
  <si>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</si>
  <si>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</si>
  <si>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</si>
  <si>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</si>
  <si>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</si>
  <si>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</si>
  <si>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</si>
  <si>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</si>
  <si>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</si>
  <si>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</si>
  <si>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</si>
  <si>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</si>
  <si>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</si>
  <si>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</si>
  <si>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</si>
  <si>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</si>
  <si>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</si>
  <si>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</si>
  <si>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</si>
  <si>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</si>
  <si>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</si>
  <si>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</si>
  <si>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</si>
  <si>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</si>
  <si>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</si>
  <si>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</si>
  <si>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</si>
  <si>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</si>
  <si>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</si>
  <si>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</si>
  <si>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</si>
  <si>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</si>
  <si>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</si>
  <si>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</si>
  <si>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</si>
  <si>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</si>
  <si>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</si>
  <si>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</si>
  <si>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</si>
  <si>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</si>
  <si>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</si>
  <si>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</si>
  <si>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</si>
  <si>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</si>
  <si>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</si>
  <si>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</si>
  <si>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</si>
  <si>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</si>
  <si>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</si>
  <si>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</si>
  <si>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</si>
  <si>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</si>
  <si>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</si>
  <si>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</si>
  <si>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</si>
  <si>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</si>
  <si>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</si>
  <si>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</si>
  <si>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</si>
  <si>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</si>
  <si>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</si>
  <si>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</si>
  <si>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</si>
  <si>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</si>
  <si>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</si>
  <si>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</si>
  <si>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</si>
  <si>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</si>
  <si>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</si>
  <si>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</si>
  <si>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</si>
  <si>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</si>
  <si>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</si>
  <si>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</si>
  <si>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</si>
  <si>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</si>
  <si>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Ticket - Pago en efectivo</t>
  </si>
  <si>
    <t>VTO 16/02</t>
  </si>
  <si>
    <t>ENERO</t>
  </si>
  <si>
    <t>Frank Matias Wallace - Mantenimiento ascensor ENERO</t>
  </si>
  <si>
    <t>Articulos de limpieza -  Mes de ENERO</t>
  </si>
  <si>
    <t>EL DPTO 2A REALIZO UN INGRESO DE $300.000 DE DONDE SE ABONO LOS HONORARIOS QUE CORRESPONDEN A LA FIRMA DEL CONVENIO ($120.000) Y LE RESTAN ABONAR 6 CUOTAS DE $400.000 CON VENCIMIENTO EN FEBRERO, ABRIL, JUNIO, AGOSTO, OCTUBRE Y ENERO DEL 2026 - DICHO DEPARTAMENTO ESTA COLOREADO DE GRIS YA QUE INGRESO EN UN PLAN DE PAGOS</t>
  </si>
  <si>
    <t>Mes de diciembre</t>
  </si>
  <si>
    <t>Doartero Julio - Cambio de flotante</t>
  </si>
  <si>
    <t>Transf 16/01</t>
  </si>
  <si>
    <t>Transf 12/01</t>
  </si>
  <si>
    <t>Ferreteria Beta - Buje reduccion</t>
  </si>
  <si>
    <t>Sanitarios Viamonte - Boya de tergopol y flotante presion 32BCE</t>
  </si>
  <si>
    <t>Transf 09/1</t>
  </si>
  <si>
    <t>Transf 08/01</t>
  </si>
  <si>
    <t>Leonardo Balcazza - Arreglo piso 13B  - Material y mano de obra</t>
  </si>
  <si>
    <t>Debito 08/01</t>
  </si>
  <si>
    <t>Loschi Bruno - Mantenimiento bimestral</t>
  </si>
  <si>
    <t>Transf 15/01</t>
  </si>
  <si>
    <t>Debito 13/01</t>
  </si>
  <si>
    <t>Electricidad Alsina SA - Timer 24V - Arreglo extractor (terraza)</t>
  </si>
  <si>
    <t>Transf 26/01</t>
  </si>
  <si>
    <t>Transf 25/01</t>
  </si>
  <si>
    <t>Cuello natalia (Destapacion) - Tramo interno 13B</t>
  </si>
  <si>
    <t>Alterini Guido - Mantenimiento de ENERO - Maceton y tierra fertil 25dm</t>
  </si>
  <si>
    <t>Transf 30/01</t>
  </si>
  <si>
    <t>Debito 04/01</t>
  </si>
  <si>
    <t>Mes de descanso</t>
  </si>
  <si>
    <t>PABLO GARCIA - MATIAS EZEQUIEL GARCIA</t>
  </si>
  <si>
    <t>Lireria - Sobres para entrega de expensas</t>
  </si>
  <si>
    <t>Doartero Julio - Cambio de contactora</t>
  </si>
  <si>
    <t>Materiales para el cambio de contactora</t>
  </si>
  <si>
    <t xml:space="preserve">Transf 30/01 </t>
  </si>
  <si>
    <t>Deposito sin identificar del - 15/01</t>
  </si>
  <si>
    <t>QUEDO PENDIENTE PARA FEBR3R0 PASAR UN EDESUR DE EN3RO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</si>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</sst>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4" fontId="4" fillId="2" borderId="1" xfId="1" applyFont="1" applyFill="1" applyBorder="1" applyAlignment="1"/>
    <xf numFmtId="0" fontId="4" fillId="4" borderId="1" xfId="0" applyFont="1" applyFill="1" applyBorder="1"/>
    <xf numFmtId="44" fontId="4" fillId="2" borderId="1" xfId="1" applyFont="1" applyFill="1" applyBorder="1"/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44" fontId="20" fillId="2" borderId="1" xfId="0" applyNumberFormat="1" applyFont="1" applyFill="1" applyBorder="1"/>
    <xf numFmtId="0" fontId="14" fillId="13" borderId="1" xfId="0" applyFont="1" applyFill="1" applyBorder="1"/>
    <xf numFmtId="0" fontId="14" fillId="13" borderId="1" xfId="0" applyFont="1" applyFill="1" applyBorder="1" applyAlignment="1">
      <alignment horizontal="center"/>
    </xf>
    <xf numFmtId="44" fontId="20" fillId="13" borderId="1" xfId="1" applyFont="1" applyFill="1" applyBorder="1"/>
    <xf numFmtId="165" fontId="20" fillId="13" borderId="1" xfId="1" applyNumberFormat="1" applyFont="1" applyFill="1" applyBorder="1"/>
    <xf numFmtId="165" fontId="14" fillId="13" borderId="1" xfId="0" applyNumberFormat="1" applyFont="1" applyFill="1" applyBorder="1"/>
    <xf numFmtId="165" fontId="14" fillId="13" borderId="1" xfId="1" applyNumberFormat="1" applyFont="1" applyFill="1" applyBorder="1"/>
    <xf numFmtId="44" fontId="14" fillId="13" borderId="6" xfId="1" applyFont="1" applyFill="1" applyBorder="1"/>
    <xf numFmtId="44" fontId="20" fillId="13" borderId="25" xfId="1" applyFont="1" applyFill="1" applyBorder="1"/>
    <xf numFmtId="44" fontId="20" fillId="13" borderId="27" xfId="1" applyFont="1" applyFill="1" applyBorder="1"/>
    <xf numFmtId="0" fontId="0" fillId="13" borderId="0" xfId="0" applyFill="1"/>
    <xf numFmtId="0" fontId="14" fillId="14" borderId="1" xfId="0" applyFont="1" applyFill="1" applyBorder="1"/>
    <xf numFmtId="0" fontId="14" fillId="14" borderId="1" xfId="0" applyFont="1" applyFill="1" applyBorder="1" applyAlignment="1">
      <alignment wrapText="1"/>
    </xf>
    <xf numFmtId="0" fontId="14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165" fontId="20" fillId="14" borderId="1" xfId="1" applyNumberFormat="1" applyFont="1" applyFill="1" applyBorder="1"/>
    <xf numFmtId="165" fontId="14" fillId="14" borderId="1" xfId="0" applyNumberFormat="1" applyFont="1" applyFill="1" applyBorder="1"/>
    <xf numFmtId="165" fontId="14" fillId="14" borderId="1" xfId="1" applyNumberFormat="1" applyFont="1" applyFill="1" applyBorder="1"/>
    <xf numFmtId="44" fontId="14" fillId="14" borderId="6" xfId="1" applyFont="1" applyFill="1" applyBorder="1"/>
    <xf numFmtId="44" fontId="20" fillId="14" borderId="25" xfId="1" applyFont="1" applyFill="1" applyBorder="1"/>
    <xf numFmtId="44" fontId="20" fillId="14" borderId="27" xfId="1" applyFont="1" applyFill="1" applyBorder="1"/>
    <xf numFmtId="0" fontId="0" fillId="14" borderId="0" xfId="0" applyFill="1"/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opLeftCell="A103" workbookViewId="0">
      <selection activeCell="F50" sqref="F50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14" t="s">
        <v>122</v>
      </c>
      <c r="B1" s="108"/>
      <c r="C1" s="6"/>
      <c r="D1" s="6"/>
    </row>
    <row r="2" spans="1:4" x14ac:dyDescent="0.3">
      <c r="A2" s="109" t="s">
        <v>123</v>
      </c>
      <c r="B2" s="109"/>
      <c r="C2" s="109"/>
      <c r="D2" s="109"/>
    </row>
    <row r="3" spans="1:4" ht="16.95" customHeight="1" x14ac:dyDescent="0.3">
      <c r="A3" s="109" t="s">
        <v>152</v>
      </c>
      <c r="B3" s="109"/>
      <c r="C3" s="109"/>
      <c r="D3" s="109"/>
    </row>
    <row r="4" spans="1:4" ht="32.25" customHeight="1" x14ac:dyDescent="0.3">
      <c r="A4" s="181" t="s">
        <v>124</v>
      </c>
      <c r="B4" s="181"/>
      <c r="C4" s="110"/>
      <c r="D4" s="110"/>
    </row>
    <row r="5" spans="1:4" x14ac:dyDescent="0.3">
      <c r="A5" s="181"/>
      <c r="B5" s="181"/>
      <c r="C5" s="110"/>
      <c r="D5" s="110"/>
    </row>
    <row r="6" spans="1:4" x14ac:dyDescent="0.3">
      <c r="A6" s="181"/>
      <c r="B6" s="181"/>
      <c r="C6" s="110"/>
      <c r="D6" s="110"/>
    </row>
    <row r="7" spans="1:4" ht="27" customHeight="1" x14ac:dyDescent="0.3">
      <c r="A7" s="181"/>
      <c r="B7" s="181"/>
      <c r="C7" s="110"/>
      <c r="D7" s="110"/>
    </row>
    <row r="9" spans="1:4" x14ac:dyDescent="0.3">
      <c r="B9" s="178" t="s">
        <v>155</v>
      </c>
    </row>
    <row r="10" spans="1:4" x14ac:dyDescent="0.3">
      <c r="B10" s="178"/>
    </row>
    <row r="11" spans="1:4" x14ac:dyDescent="0.3">
      <c r="B11" s="178"/>
    </row>
    <row r="13" spans="1:4" hidden="1" x14ac:dyDescent="0.3"/>
    <row r="14" spans="1:4" ht="15" customHeight="1" x14ac:dyDescent="0.3">
      <c r="A14" s="182" t="s">
        <v>92</v>
      </c>
      <c r="B14" s="182"/>
      <c r="C14" s="182"/>
      <c r="D14" s="182"/>
    </row>
    <row r="15" spans="1:4" ht="15" customHeight="1" x14ac:dyDescent="0.3">
      <c r="A15" s="182"/>
      <c r="B15" s="182"/>
      <c r="C15" s="182"/>
      <c r="D15" s="182"/>
    </row>
    <row r="16" spans="1:4" ht="15" customHeight="1" x14ac:dyDescent="0.3">
      <c r="A16" s="182"/>
      <c r="B16" s="182"/>
      <c r="C16" s="182"/>
      <c r="D16" s="182"/>
    </row>
    <row r="17" spans="1:7" ht="53.25" customHeight="1" x14ac:dyDescent="0.3">
      <c r="A17" s="182"/>
      <c r="B17" s="182"/>
      <c r="C17" s="182"/>
      <c r="D17" s="182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6" t="s">
        <v>80</v>
      </c>
      <c r="B22" s="26"/>
      <c r="C22" s="24"/>
      <c r="D22" s="24"/>
    </row>
    <row r="23" spans="1:7" ht="14.25" customHeight="1" x14ac:dyDescent="0.3">
      <c r="A23" s="5" t="s">
        <v>130</v>
      </c>
      <c r="B23" s="5" t="s">
        <v>160</v>
      </c>
      <c r="C23" s="137">
        <v>1774070.07</v>
      </c>
      <c r="D23" s="80"/>
    </row>
    <row r="24" spans="1:7" x14ac:dyDescent="0.3">
      <c r="A24" s="5" t="s">
        <v>84</v>
      </c>
      <c r="B24" s="5"/>
      <c r="C24" s="137">
        <f>-732912.7</f>
        <v>-732912.7</v>
      </c>
      <c r="D24" s="80"/>
    </row>
    <row r="25" spans="1:7" x14ac:dyDescent="0.3">
      <c r="A25" s="5" t="s">
        <v>83</v>
      </c>
      <c r="B25" s="5"/>
      <c r="C25" s="137">
        <v>0.63</v>
      </c>
      <c r="D25" s="80"/>
      <c r="G25" s="14"/>
    </row>
    <row r="26" spans="1:7" x14ac:dyDescent="0.3">
      <c r="A26" s="5"/>
      <c r="B26" s="5"/>
      <c r="C26" s="137"/>
      <c r="D26" s="80"/>
      <c r="G26" s="14"/>
    </row>
    <row r="27" spans="1:7" x14ac:dyDescent="0.3">
      <c r="A27" s="47" t="s">
        <v>82</v>
      </c>
      <c r="B27" s="47"/>
      <c r="C27" s="106">
        <f>SUM(C23:C26)</f>
        <v>1041158.0000000001</v>
      </c>
      <c r="D27" s="81"/>
      <c r="F27" s="176" t="s">
        <v>145</v>
      </c>
      <c r="G27" s="177"/>
    </row>
    <row r="28" spans="1:7" x14ac:dyDescent="0.3">
      <c r="A28" s="5" t="s">
        <v>129</v>
      </c>
      <c r="B28" s="5" t="s">
        <v>160</v>
      </c>
      <c r="C28" s="137">
        <v>1301013.8899999999</v>
      </c>
      <c r="D28" s="113"/>
    </row>
    <row r="29" spans="1:7" x14ac:dyDescent="0.3">
      <c r="A29" s="5" t="s">
        <v>81</v>
      </c>
      <c r="B29" s="5"/>
      <c r="C29" s="137">
        <v>-282970.53000000003</v>
      </c>
      <c r="D29" s="113"/>
    </row>
    <row r="30" spans="1:7" x14ac:dyDescent="0.3">
      <c r="A30" s="5" t="s">
        <v>83</v>
      </c>
      <c r="B30" s="5"/>
      <c r="C30" s="137">
        <v>0.64</v>
      </c>
      <c r="D30" s="113"/>
    </row>
    <row r="31" spans="1:7" x14ac:dyDescent="0.3">
      <c r="A31" s="5"/>
      <c r="B31" s="5"/>
      <c r="C31" s="138"/>
      <c r="D31" s="113"/>
    </row>
    <row r="32" spans="1:7" x14ac:dyDescent="0.3">
      <c r="A32" s="47" t="s">
        <v>82</v>
      </c>
      <c r="B32" s="112"/>
      <c r="C32" s="48">
        <f>SUM(C28:C31)</f>
        <v>1018043.9999999999</v>
      </c>
      <c r="D32" s="81"/>
    </row>
    <row r="33" spans="1:7" ht="14.25" customHeight="1" thickBot="1" x14ac:dyDescent="0.35">
      <c r="A33" s="18" t="s">
        <v>0</v>
      </c>
      <c r="B33" s="18"/>
      <c r="C33" s="19"/>
      <c r="D33" s="82">
        <f>C27+C32</f>
        <v>2059202</v>
      </c>
      <c r="E33" s="14"/>
      <c r="F33" s="14"/>
    </row>
    <row r="34" spans="1:7" x14ac:dyDescent="0.3">
      <c r="A34" s="26" t="s">
        <v>38</v>
      </c>
      <c r="B34" s="26"/>
      <c r="C34" s="27"/>
      <c r="D34" s="83"/>
      <c r="F34" s="14"/>
    </row>
    <row r="35" spans="1:7" ht="22.5" customHeight="1" x14ac:dyDescent="0.3">
      <c r="A35" s="56" t="s">
        <v>39</v>
      </c>
      <c r="B35" s="5"/>
      <c r="C35" s="137">
        <v>70000</v>
      </c>
      <c r="D35" s="124" t="s">
        <v>163</v>
      </c>
      <c r="G35" s="14"/>
    </row>
    <row r="36" spans="1:7" ht="21" customHeight="1" x14ac:dyDescent="0.3">
      <c r="A36" s="115" t="s">
        <v>131</v>
      </c>
      <c r="B36" s="107" t="s">
        <v>156</v>
      </c>
      <c r="C36" s="137">
        <v>211800</v>
      </c>
      <c r="D36" s="124" t="s">
        <v>178</v>
      </c>
      <c r="G36" s="14"/>
    </row>
    <row r="37" spans="1:7" ht="15" thickBot="1" x14ac:dyDescent="0.35">
      <c r="A37" s="18" t="s">
        <v>34</v>
      </c>
      <c r="B37" s="18"/>
      <c r="C37" s="30"/>
      <c r="D37" s="82">
        <f>SUM(C35:C36)</f>
        <v>281800</v>
      </c>
    </row>
    <row r="38" spans="1:7" x14ac:dyDescent="0.3">
      <c r="A38" s="24" t="s">
        <v>77</v>
      </c>
      <c r="B38" s="25"/>
      <c r="C38" s="28"/>
      <c r="D38" s="57"/>
    </row>
    <row r="39" spans="1:7" s="33" customFormat="1" ht="29.25" customHeight="1" x14ac:dyDescent="0.3">
      <c r="A39" s="179" t="s">
        <v>127</v>
      </c>
      <c r="B39" s="180"/>
      <c r="C39" s="139" t="s">
        <v>180</v>
      </c>
      <c r="D39" s="123"/>
    </row>
    <row r="40" spans="1:7" ht="30" customHeight="1" x14ac:dyDescent="0.3">
      <c r="A40" s="179" t="s">
        <v>128</v>
      </c>
      <c r="B40" s="180"/>
      <c r="C40" s="146">
        <v>4203</v>
      </c>
      <c r="D40" s="123" t="s">
        <v>179</v>
      </c>
    </row>
    <row r="41" spans="1:7" ht="15" thickBot="1" x14ac:dyDescent="0.35">
      <c r="A41" s="25" t="s">
        <v>1</v>
      </c>
      <c r="B41" s="25"/>
      <c r="C41" s="30"/>
      <c r="D41" s="84">
        <f>SUM(C39:C40)</f>
        <v>4203</v>
      </c>
    </row>
    <row r="42" spans="1:7" x14ac:dyDescent="0.3">
      <c r="A42" s="24" t="s">
        <v>35</v>
      </c>
      <c r="B42" s="147"/>
      <c r="C42" s="31"/>
      <c r="D42" s="85"/>
    </row>
    <row r="43" spans="1:7" x14ac:dyDescent="0.3">
      <c r="A43" s="80" t="s">
        <v>132</v>
      </c>
      <c r="B43" s="80" t="s">
        <v>160</v>
      </c>
      <c r="C43" s="140">
        <v>2082831.51</v>
      </c>
      <c r="D43" s="123" t="s">
        <v>169</v>
      </c>
      <c r="F43" s="116"/>
    </row>
    <row r="44" spans="1:7" x14ac:dyDescent="0.3">
      <c r="A44" s="80" t="s">
        <v>133</v>
      </c>
      <c r="B44" s="80" t="s">
        <v>160</v>
      </c>
      <c r="C44" s="148">
        <v>24115.91</v>
      </c>
      <c r="D44" s="123" t="s">
        <v>172</v>
      </c>
    </row>
    <row r="45" spans="1:7" x14ac:dyDescent="0.3">
      <c r="A45" s="80" t="s">
        <v>134</v>
      </c>
      <c r="B45" s="80" t="s">
        <v>160</v>
      </c>
      <c r="C45" s="148">
        <v>217043.12</v>
      </c>
      <c r="D45" s="123" t="str">
        <f>D44</f>
        <v>Debito 13/01</v>
      </c>
    </row>
    <row r="46" spans="1:7" x14ac:dyDescent="0.3">
      <c r="A46" s="80" t="s">
        <v>135</v>
      </c>
      <c r="B46" s="80" t="s">
        <v>160</v>
      </c>
      <c r="C46" s="148">
        <v>397626.72</v>
      </c>
      <c r="D46" s="121" t="str">
        <f>D45</f>
        <v>Debito 13/01</v>
      </c>
    </row>
    <row r="47" spans="1:7" ht="15" customHeight="1" thickBot="1" x14ac:dyDescent="0.35">
      <c r="A47" s="25" t="s">
        <v>2</v>
      </c>
      <c r="B47" s="147"/>
      <c r="C47" s="32"/>
      <c r="D47" s="84">
        <f>SUM(C43:C46)</f>
        <v>2721617.26</v>
      </c>
    </row>
    <row r="48" spans="1:7" x14ac:dyDescent="0.3">
      <c r="A48" s="24" t="s">
        <v>37</v>
      </c>
      <c r="B48" s="147"/>
      <c r="C48" s="31"/>
      <c r="D48" s="85"/>
    </row>
    <row r="49" spans="1:6" ht="14.25" customHeight="1" x14ac:dyDescent="0.3">
      <c r="A49" s="95" t="s">
        <v>136</v>
      </c>
      <c r="B49" s="80"/>
      <c r="C49" s="148">
        <v>569002.89</v>
      </c>
      <c r="D49" s="120" t="s">
        <v>167</v>
      </c>
    </row>
    <row r="50" spans="1:6" ht="14.25" customHeight="1" x14ac:dyDescent="0.3">
      <c r="A50" s="80" t="s">
        <v>125</v>
      </c>
      <c r="B50" s="80"/>
      <c r="C50" s="148">
        <v>20769.7</v>
      </c>
      <c r="D50" s="120" t="s">
        <v>167</v>
      </c>
      <c r="F50" t="s">
        <v>187</v>
      </c>
    </row>
    <row r="51" spans="1:6" ht="14.25" customHeight="1" x14ac:dyDescent="0.3">
      <c r="A51" s="80" t="s">
        <v>138</v>
      </c>
      <c r="B51" s="80"/>
      <c r="C51" s="148">
        <v>864000.26</v>
      </c>
      <c r="D51" s="120" t="s">
        <v>167</v>
      </c>
    </row>
    <row r="52" spans="1:6" ht="33" customHeight="1" x14ac:dyDescent="0.3">
      <c r="A52" s="188" t="s">
        <v>157</v>
      </c>
      <c r="B52" s="189"/>
      <c r="C52" s="148">
        <v>204149</v>
      </c>
      <c r="D52" s="120" t="s">
        <v>175</v>
      </c>
    </row>
    <row r="53" spans="1:6" ht="35.25" customHeight="1" x14ac:dyDescent="0.3">
      <c r="A53" s="186" t="s">
        <v>170</v>
      </c>
      <c r="B53" s="187"/>
      <c r="C53" s="148">
        <v>100000</v>
      </c>
      <c r="D53" s="122" t="s">
        <v>171</v>
      </c>
    </row>
    <row r="54" spans="1:6" ht="45.75" customHeight="1" x14ac:dyDescent="0.3">
      <c r="A54" s="179" t="s">
        <v>153</v>
      </c>
      <c r="B54" s="180"/>
      <c r="C54" s="148">
        <v>35200</v>
      </c>
      <c r="D54" s="122" t="s">
        <v>175</v>
      </c>
    </row>
    <row r="55" spans="1:6" ht="15" thickBot="1" x14ac:dyDescent="0.35">
      <c r="A55" s="25" t="s">
        <v>3</v>
      </c>
      <c r="B55" s="25"/>
      <c r="C55" s="30"/>
      <c r="D55" s="84">
        <f>SUM(C49:C54)</f>
        <v>1793121.85</v>
      </c>
    </row>
    <row r="56" spans="1:6" ht="15" thickBot="1" x14ac:dyDescent="0.35">
      <c r="A56" s="24" t="s">
        <v>36</v>
      </c>
      <c r="B56" s="25"/>
      <c r="C56" s="30"/>
      <c r="D56" s="87"/>
    </row>
    <row r="57" spans="1:6" ht="28.5" customHeight="1" x14ac:dyDescent="0.3">
      <c r="A57" s="149" t="s">
        <v>164</v>
      </c>
      <c r="B57" s="150"/>
      <c r="C57" s="148">
        <v>11850</v>
      </c>
      <c r="D57" s="118" t="s">
        <v>154</v>
      </c>
    </row>
    <row r="58" spans="1:6" ht="28.5" customHeight="1" x14ac:dyDescent="0.3">
      <c r="A58" s="149" t="s">
        <v>182</v>
      </c>
      <c r="B58" s="150"/>
      <c r="C58" s="148">
        <v>5400</v>
      </c>
      <c r="D58" s="118" t="s">
        <v>154</v>
      </c>
    </row>
    <row r="59" spans="1:6" ht="28.5" customHeight="1" x14ac:dyDescent="0.3">
      <c r="A59" s="151" t="s">
        <v>165</v>
      </c>
      <c r="B59" s="152"/>
      <c r="C59" s="148">
        <v>184942.62</v>
      </c>
      <c r="D59" s="118" t="s">
        <v>166</v>
      </c>
    </row>
    <row r="60" spans="1:6" ht="33" customHeight="1" x14ac:dyDescent="0.3">
      <c r="A60" s="179" t="s">
        <v>177</v>
      </c>
      <c r="B60" s="180"/>
      <c r="C60" s="148">
        <v>250000</v>
      </c>
      <c r="D60" s="118" t="s">
        <v>178</v>
      </c>
    </row>
    <row r="61" spans="1:6" ht="28.5" customHeight="1" x14ac:dyDescent="0.3">
      <c r="A61" s="151" t="s">
        <v>173</v>
      </c>
      <c r="B61" s="150"/>
      <c r="C61" s="148">
        <v>96111.67</v>
      </c>
      <c r="D61" s="118" t="s">
        <v>174</v>
      </c>
    </row>
    <row r="62" spans="1:6" ht="28.5" customHeight="1" x14ac:dyDescent="0.3">
      <c r="A62" s="179" t="s">
        <v>168</v>
      </c>
      <c r="B62" s="180"/>
      <c r="C62" s="148">
        <v>750000</v>
      </c>
      <c r="D62" s="120" t="s">
        <v>167</v>
      </c>
    </row>
    <row r="63" spans="1:6" ht="28.5" customHeight="1" x14ac:dyDescent="0.3">
      <c r="A63" s="144" t="s">
        <v>184</v>
      </c>
      <c r="B63" s="145"/>
      <c r="C63" s="148">
        <v>128083.59</v>
      </c>
      <c r="D63" s="143" t="s">
        <v>185</v>
      </c>
    </row>
    <row r="64" spans="1:6" ht="28.5" customHeight="1" x14ac:dyDescent="0.3">
      <c r="A64" s="179" t="s">
        <v>183</v>
      </c>
      <c r="B64" s="180"/>
      <c r="C64" s="148">
        <v>180000</v>
      </c>
      <c r="D64" s="143" t="s">
        <v>178</v>
      </c>
    </row>
    <row r="65" spans="1:6" ht="28.5" customHeight="1" x14ac:dyDescent="0.3">
      <c r="A65" s="179" t="s">
        <v>161</v>
      </c>
      <c r="B65" s="180"/>
      <c r="C65" s="148">
        <v>35000</v>
      </c>
      <c r="D65" s="122" t="s">
        <v>162</v>
      </c>
      <c r="E65" s="39"/>
      <c r="F65" s="39"/>
    </row>
    <row r="66" spans="1:6" ht="16.5" customHeight="1" x14ac:dyDescent="0.3">
      <c r="A66" s="186" t="s">
        <v>158</v>
      </c>
      <c r="B66" s="187"/>
      <c r="C66" s="140">
        <v>0</v>
      </c>
      <c r="D66" s="122"/>
    </row>
    <row r="67" spans="1:6" ht="15" thickBot="1" x14ac:dyDescent="0.35">
      <c r="A67" s="25" t="s">
        <v>11</v>
      </c>
      <c r="B67" s="24"/>
      <c r="C67" s="24"/>
      <c r="D67" s="90">
        <f>SUM(C57:C66)</f>
        <v>1641387.8800000001</v>
      </c>
    </row>
    <row r="68" spans="1:6" ht="15" thickBot="1" x14ac:dyDescent="0.35">
      <c r="A68" s="24" t="s">
        <v>29</v>
      </c>
      <c r="B68" s="153"/>
      <c r="C68" s="19"/>
      <c r="D68" s="87"/>
    </row>
    <row r="69" spans="1:6" x14ac:dyDescent="0.3">
      <c r="A69" s="80" t="s">
        <v>137</v>
      </c>
      <c r="B69" s="80"/>
      <c r="C69" s="148">
        <v>65343</v>
      </c>
      <c r="D69" s="91"/>
    </row>
    <row r="70" spans="1:6" x14ac:dyDescent="0.3">
      <c r="A70" s="80" t="s">
        <v>126</v>
      </c>
      <c r="B70" s="80"/>
      <c r="C70" s="148">
        <f>1270.8+130081.56+168.5+1080+1392+150+600+950+1062</f>
        <v>136754.85999999999</v>
      </c>
      <c r="D70" s="89"/>
    </row>
    <row r="71" spans="1:6" ht="15" thickBot="1" x14ac:dyDescent="0.35">
      <c r="A71" s="44" t="s">
        <v>34</v>
      </c>
      <c r="B71" s="44"/>
      <c r="C71" s="92"/>
      <c r="D71" s="84">
        <f>SUM(C69:C70)</f>
        <v>202097.86</v>
      </c>
    </row>
    <row r="72" spans="1:6" ht="15" thickBot="1" x14ac:dyDescent="0.35">
      <c r="A72" s="5"/>
      <c r="B72" s="5"/>
      <c r="C72" s="80"/>
      <c r="D72" s="93"/>
    </row>
    <row r="73" spans="1:6" ht="22.5" customHeight="1" thickBot="1" x14ac:dyDescent="0.35">
      <c r="A73" s="183" t="s">
        <v>144</v>
      </c>
      <c r="B73" s="184"/>
      <c r="C73" s="185"/>
      <c r="D73" s="94">
        <f>10000000-8703429.85</f>
        <v>1296570.1500000004</v>
      </c>
    </row>
    <row r="74" spans="1:6" ht="15" thickBot="1" x14ac:dyDescent="0.35">
      <c r="A74" s="1"/>
      <c r="C74" s="95"/>
      <c r="D74" s="96"/>
      <c r="E74" s="39"/>
    </row>
    <row r="75" spans="1:6" ht="15" thickBot="1" x14ac:dyDescent="0.35">
      <c r="A75" s="3" t="s">
        <v>30</v>
      </c>
      <c r="B75" s="10"/>
      <c r="C75" s="97"/>
      <c r="D75" s="98">
        <f>(SUM(D28:D73))</f>
        <v>10000000</v>
      </c>
      <c r="E75" s="39"/>
      <c r="F75" s="39"/>
    </row>
    <row r="76" spans="1:6" x14ac:dyDescent="0.3">
      <c r="C76" s="95"/>
      <c r="D76" s="95"/>
      <c r="F76" s="117"/>
    </row>
    <row r="77" spans="1:6" ht="15" thickBot="1" x14ac:dyDescent="0.35">
      <c r="C77" s="95"/>
      <c r="D77" s="95"/>
    </row>
    <row r="78" spans="1:6" x14ac:dyDescent="0.3">
      <c r="A78" s="11" t="s">
        <v>40</v>
      </c>
      <c r="B78" s="12"/>
      <c r="C78" s="99"/>
      <c r="D78" s="100"/>
    </row>
    <row r="79" spans="1:6" x14ac:dyDescent="0.3">
      <c r="A79" s="193"/>
      <c r="B79" s="194"/>
      <c r="C79" s="88"/>
      <c r="D79" s="86"/>
    </row>
    <row r="80" spans="1:6" x14ac:dyDescent="0.3">
      <c r="A80" s="193"/>
      <c r="B80" s="194"/>
      <c r="C80" s="88"/>
      <c r="D80" s="86"/>
    </row>
    <row r="81" spans="1:4" x14ac:dyDescent="0.3">
      <c r="A81" s="103"/>
      <c r="B81" s="104"/>
      <c r="C81" s="88"/>
      <c r="D81" s="86"/>
    </row>
    <row r="82" spans="1:4" x14ac:dyDescent="0.3">
      <c r="A82" s="42"/>
      <c r="B82" s="41"/>
      <c r="C82" s="49"/>
      <c r="D82" s="49">
        <f>SUM(C79:C81)</f>
        <v>0</v>
      </c>
    </row>
    <row r="83" spans="1:4" ht="15" customHeight="1" x14ac:dyDescent="0.3"/>
    <row r="84" spans="1:4" hidden="1" x14ac:dyDescent="0.3"/>
    <row r="85" spans="1:4" x14ac:dyDescent="0.3">
      <c r="A85" s="20" t="s">
        <v>41</v>
      </c>
      <c r="B85" s="20"/>
      <c r="C85" s="21"/>
      <c r="D85" s="125">
        <v>1000000</v>
      </c>
    </row>
    <row r="86" spans="1:4" ht="15" thickBot="1" x14ac:dyDescent="0.35"/>
    <row r="87" spans="1:4" ht="15" thickBot="1" x14ac:dyDescent="0.35">
      <c r="A87" s="3" t="s">
        <v>42</v>
      </c>
      <c r="B87" s="10"/>
      <c r="C87" s="4"/>
      <c r="D87" s="58">
        <f>D82+D85</f>
        <v>1000000</v>
      </c>
    </row>
    <row r="88" spans="1:4" ht="15" thickBot="1" x14ac:dyDescent="0.35"/>
    <row r="89" spans="1:4" ht="15" thickBot="1" x14ac:dyDescent="0.35">
      <c r="A89" s="78" t="s">
        <v>31</v>
      </c>
      <c r="B89" s="79">
        <f>D75</f>
        <v>10000000</v>
      </c>
      <c r="C89" s="39"/>
    </row>
    <row r="90" spans="1:4" ht="15" thickBot="1" x14ac:dyDescent="0.35">
      <c r="A90" s="78" t="s">
        <v>32</v>
      </c>
      <c r="B90" s="79">
        <f>D75-D73</f>
        <v>8703429.8499999996</v>
      </c>
    </row>
    <row r="91" spans="1:4" ht="15" thickBot="1" x14ac:dyDescent="0.35">
      <c r="A91" s="78" t="s">
        <v>43</v>
      </c>
      <c r="B91" s="79">
        <f>D87-D85</f>
        <v>0</v>
      </c>
    </row>
    <row r="92" spans="1:4" ht="15" thickBot="1" x14ac:dyDescent="0.35">
      <c r="A92" s="78" t="s">
        <v>88</v>
      </c>
      <c r="B92" s="79">
        <f>D87</f>
        <v>1000000</v>
      </c>
    </row>
    <row r="95" spans="1:4" x14ac:dyDescent="0.3">
      <c r="A95" s="192" t="s">
        <v>159</v>
      </c>
      <c r="B95" s="192"/>
      <c r="C95" s="192"/>
      <c r="D95" s="192"/>
    </row>
    <row r="96" spans="1:4" x14ac:dyDescent="0.3">
      <c r="A96" s="192"/>
      <c r="B96" s="192"/>
      <c r="C96" s="192"/>
      <c r="D96" s="192"/>
    </row>
    <row r="97" spans="1:4" ht="33" customHeight="1" x14ac:dyDescent="0.3">
      <c r="A97" s="192"/>
      <c r="B97" s="192"/>
      <c r="C97" s="192"/>
      <c r="D97" s="192"/>
    </row>
    <row r="99" spans="1:4" x14ac:dyDescent="0.3">
      <c r="A99" s="15" t="s">
        <v>79</v>
      </c>
      <c r="B99" s="35"/>
    </row>
    <row r="100" spans="1:4" ht="25.5" customHeight="1" x14ac:dyDescent="0.3">
      <c r="A100" s="23" t="s">
        <v>33</v>
      </c>
      <c r="B100" s="105">
        <v>5322816.5199999996</v>
      </c>
    </row>
    <row r="101" spans="1:4" ht="14.25" customHeight="1" x14ac:dyDescent="0.3">
      <c r="A101" s="16" t="s">
        <v>91</v>
      </c>
      <c r="B101" s="36">
        <f>PRORRATEO!H34</f>
        <v>10051349.09</v>
      </c>
    </row>
    <row r="102" spans="1:4" ht="14.25" customHeight="1" x14ac:dyDescent="0.3">
      <c r="A102" s="16" t="s">
        <v>90</v>
      </c>
      <c r="B102" s="89">
        <f>B114</f>
        <v>500000</v>
      </c>
    </row>
    <row r="103" spans="1:4" ht="18" customHeight="1" x14ac:dyDescent="0.3">
      <c r="A103" s="17" t="s">
        <v>143</v>
      </c>
      <c r="B103" s="119"/>
    </row>
    <row r="104" spans="1:4" ht="33" customHeight="1" x14ac:dyDescent="0.3">
      <c r="A104" s="17" t="s">
        <v>176</v>
      </c>
      <c r="B104" s="119">
        <v>-31400</v>
      </c>
    </row>
    <row r="105" spans="1:4" x14ac:dyDescent="0.3">
      <c r="A105" s="34" t="s">
        <v>44</v>
      </c>
      <c r="B105" s="119">
        <f>-B90</f>
        <v>-8703429.8499999996</v>
      </c>
    </row>
    <row r="106" spans="1:4" x14ac:dyDescent="0.3">
      <c r="A106" s="17" t="s">
        <v>45</v>
      </c>
      <c r="B106" s="89">
        <f>-(B91)</f>
        <v>0</v>
      </c>
    </row>
    <row r="107" spans="1:4" x14ac:dyDescent="0.3">
      <c r="A107" s="22" t="s">
        <v>11</v>
      </c>
      <c r="B107" s="105">
        <f>SUM(B100:B106)</f>
        <v>7139335.7599999998</v>
      </c>
    </row>
    <row r="108" spans="1:4" ht="34.5" customHeight="1" x14ac:dyDescent="0.3">
      <c r="B108" s="37"/>
      <c r="C108" s="39"/>
    </row>
    <row r="110" spans="1:4" x14ac:dyDescent="0.3">
      <c r="A110" s="191" t="s">
        <v>78</v>
      </c>
      <c r="B110" s="191"/>
    </row>
    <row r="111" spans="1:4" ht="27.75" customHeight="1" x14ac:dyDescent="0.3">
      <c r="A111" s="191"/>
      <c r="B111" s="191"/>
    </row>
    <row r="112" spans="1:4" ht="32.25" customHeight="1" x14ac:dyDescent="0.3">
      <c r="A112" s="101" t="s">
        <v>186</v>
      </c>
      <c r="B112" s="29">
        <v>240000</v>
      </c>
    </row>
    <row r="113" spans="1:12" ht="32.25" customHeight="1" x14ac:dyDescent="0.3">
      <c r="A113" s="101" t="s">
        <v>186</v>
      </c>
      <c r="B113" s="29">
        <v>260000</v>
      </c>
    </row>
    <row r="114" spans="1:12" x14ac:dyDescent="0.3">
      <c r="A114" s="40" t="s">
        <v>11</v>
      </c>
      <c r="B114" s="102">
        <f>SUM(B112:B113)</f>
        <v>500000</v>
      </c>
    </row>
    <row r="115" spans="1:12" ht="30" customHeight="1" x14ac:dyDescent="0.3">
      <c r="L115" s="8"/>
    </row>
    <row r="116" spans="1:12" ht="15" customHeight="1" x14ac:dyDescent="0.3">
      <c r="A116" s="190"/>
      <c r="B116" s="190"/>
      <c r="C116" s="190"/>
      <c r="D116" s="190"/>
    </row>
    <row r="117" spans="1:12" x14ac:dyDescent="0.3">
      <c r="A117" s="190"/>
      <c r="B117" s="190"/>
      <c r="C117" s="190"/>
      <c r="D117" s="190"/>
    </row>
    <row r="118" spans="1:12" x14ac:dyDescent="0.3">
      <c r="A118" s="190"/>
      <c r="B118" s="190"/>
      <c r="C118" s="190"/>
      <c r="D118" s="190"/>
    </row>
    <row r="119" spans="1:12" x14ac:dyDescent="0.3">
      <c r="A119" s="190"/>
      <c r="B119" s="190"/>
      <c r="C119" s="190"/>
      <c r="D119" s="190"/>
    </row>
  </sheetData>
  <mergeCells count="20">
    <mergeCell ref="A116:D119"/>
    <mergeCell ref="A110:B111"/>
    <mergeCell ref="A95:D97"/>
    <mergeCell ref="A80:B80"/>
    <mergeCell ref="A79:B79"/>
    <mergeCell ref="A73:C73"/>
    <mergeCell ref="A66:B66"/>
    <mergeCell ref="A65:B65"/>
    <mergeCell ref="A52:B52"/>
    <mergeCell ref="A53:B53"/>
    <mergeCell ref="A60:B60"/>
    <mergeCell ref="A62:B62"/>
    <mergeCell ref="A54:B54"/>
    <mergeCell ref="A64:B64"/>
    <mergeCell ref="F27:G27"/>
    <mergeCell ref="B9:B11"/>
    <mergeCell ref="A39:B39"/>
    <mergeCell ref="A4:B7"/>
    <mergeCell ref="A40:B40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B7" sqref="B7:P7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9.109375" hidden="1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95" t="s">
        <v>147</v>
      </c>
      <c r="C1" s="195"/>
      <c r="D1" s="195"/>
      <c r="E1" s="195"/>
      <c r="F1" s="195"/>
      <c r="G1" s="195"/>
      <c r="H1" s="195"/>
      <c r="I1" s="195"/>
      <c r="J1" s="195"/>
      <c r="K1" s="195"/>
      <c r="L1" s="6"/>
      <c r="M1" s="6"/>
      <c r="N1" s="6"/>
      <c r="O1" s="6"/>
      <c r="P1" s="6"/>
    </row>
    <row r="2" spans="1:19" ht="33.75" customHeight="1" x14ac:dyDescent="0.3">
      <c r="A2" s="6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7" t="s">
        <v>4</v>
      </c>
      <c r="M2" s="6"/>
      <c r="N2" s="6"/>
      <c r="O2" s="141">
        <v>10000000</v>
      </c>
      <c r="P2" s="46"/>
      <c r="Q2" s="14"/>
    </row>
    <row r="3" spans="1:19" ht="15.75" customHeight="1" thickBot="1" x14ac:dyDescent="0.35">
      <c r="A3" s="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7" t="s">
        <v>93</v>
      </c>
      <c r="M3" s="6"/>
      <c r="N3" s="6"/>
      <c r="O3" s="142">
        <v>1000000</v>
      </c>
      <c r="P3" s="50"/>
    </row>
    <row r="4" spans="1:19" x14ac:dyDescent="0.3">
      <c r="A4" s="209" t="s">
        <v>5</v>
      </c>
      <c r="B4" s="211" t="s">
        <v>6</v>
      </c>
      <c r="C4" s="199" t="s">
        <v>7</v>
      </c>
      <c r="D4" s="199" t="s">
        <v>8</v>
      </c>
      <c r="E4" s="199" t="s">
        <v>48</v>
      </c>
      <c r="F4" s="199" t="s">
        <v>28</v>
      </c>
      <c r="G4" s="199" t="s">
        <v>89</v>
      </c>
      <c r="H4" s="199" t="s">
        <v>9</v>
      </c>
      <c r="I4" s="199" t="s">
        <v>49</v>
      </c>
      <c r="J4" s="204" t="s">
        <v>50</v>
      </c>
      <c r="K4" s="201" t="s">
        <v>47</v>
      </c>
      <c r="L4" s="201" t="s">
        <v>10</v>
      </c>
      <c r="M4" s="201" t="s">
        <v>46</v>
      </c>
      <c r="N4" s="207" t="s">
        <v>87</v>
      </c>
      <c r="O4" s="53" t="s">
        <v>86</v>
      </c>
      <c r="P4" s="197" t="s">
        <v>85</v>
      </c>
      <c r="S4" s="39"/>
    </row>
    <row r="5" spans="1:19" ht="15.75" customHeight="1" x14ac:dyDescent="0.3">
      <c r="A5" s="210"/>
      <c r="B5" s="212"/>
      <c r="C5" s="203"/>
      <c r="D5" s="203"/>
      <c r="E5" s="200"/>
      <c r="F5" s="203"/>
      <c r="G5" s="203"/>
      <c r="H5" s="203"/>
      <c r="I5" s="200"/>
      <c r="J5" s="205"/>
      <c r="K5" s="202"/>
      <c r="L5" s="206"/>
      <c r="M5" s="202"/>
      <c r="N5" s="208"/>
      <c r="O5" s="51" t="str">
        <f>RESUMEN!B9</f>
        <v>VTO 16/02</v>
      </c>
      <c r="P5" s="198"/>
    </row>
    <row r="6" spans="1:19" ht="17.100000000000001" customHeight="1" x14ac:dyDescent="0.3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507700.01</v>
      </c>
      <c r="H6" s="61">
        <f>G6</f>
        <v>507700.01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3">
      <c r="A7" s="5" t="s">
        <v>13</v>
      </c>
      <c r="B7" s="165">
        <v>2</v>
      </c>
      <c r="C7" s="165" t="s">
        <v>52</v>
      </c>
      <c r="D7" s="165" t="s">
        <v>96</v>
      </c>
      <c r="E7" s="166"/>
      <c r="F7" s="167">
        <v>3.07</v>
      </c>
      <c r="G7" s="168">
        <v>909166.02</v>
      </c>
      <c r="H7" s="168">
        <f>177000+307000+160000+226497.02+38669</f>
        <v>909166.02</v>
      </c>
      <c r="I7" s="169"/>
      <c r="J7" s="170">
        <f t="shared" ref="J7:J31" si="2">G7-H7</f>
        <v>0</v>
      </c>
      <c r="K7" s="170">
        <f t="shared" ref="K7:K32" si="3">IF(J7&gt;0,J7*2.95%,0)</f>
        <v>0</v>
      </c>
      <c r="L7" s="171">
        <f t="shared" ref="L7:L33" si="4">O$3*F7%</f>
        <v>30699.999999999996</v>
      </c>
      <c r="M7" s="171">
        <f t="shared" ref="M7:M33" si="5">O$2*F7%</f>
        <v>307000</v>
      </c>
      <c r="N7" s="172">
        <v>0</v>
      </c>
      <c r="O7" s="173">
        <f t="shared" si="0"/>
        <v>337700.02</v>
      </c>
      <c r="P7" s="174">
        <f t="shared" si="1"/>
        <v>347831.02</v>
      </c>
      <c r="Q7" s="39">
        <f>Q6+0.01</f>
        <v>0.02</v>
      </c>
      <c r="R7" s="39" t="s">
        <v>181</v>
      </c>
    </row>
    <row r="8" spans="1:19" ht="32.25" customHeight="1" x14ac:dyDescent="0.3">
      <c r="A8" s="5" t="s">
        <v>13</v>
      </c>
      <c r="B8" s="126">
        <v>3</v>
      </c>
      <c r="C8" s="126" t="s">
        <v>53</v>
      </c>
      <c r="D8" s="127" t="s">
        <v>146</v>
      </c>
      <c r="E8" s="128"/>
      <c r="F8" s="129">
        <v>4.55</v>
      </c>
      <c r="G8" s="130">
        <v>500500.03</v>
      </c>
      <c r="H8" s="130"/>
      <c r="I8" s="131"/>
      <c r="J8" s="132">
        <f t="shared" si="2"/>
        <v>500500.03</v>
      </c>
      <c r="K8" s="132">
        <f t="shared" si="3"/>
        <v>14764.750885000001</v>
      </c>
      <c r="L8" s="133">
        <f t="shared" si="4"/>
        <v>45500</v>
      </c>
      <c r="M8" s="133">
        <f t="shared" si="5"/>
        <v>455000</v>
      </c>
      <c r="N8" s="134">
        <v>0</v>
      </c>
      <c r="O8" s="135">
        <f t="shared" si="0"/>
        <v>1015765.03</v>
      </c>
      <c r="P8" s="136">
        <f t="shared" si="1"/>
        <v>1046238.03</v>
      </c>
      <c r="Q8" s="39">
        <f t="shared" ref="Q8:Q32" si="6">Q7+0.01</f>
        <v>0.03</v>
      </c>
    </row>
    <row r="9" spans="1:19" ht="17.100000000000001" customHeight="1" x14ac:dyDescent="0.3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304495.03999999998</v>
      </c>
      <c r="H9" s="61">
        <v>325500.03999999998</v>
      </c>
      <c r="I9" s="62"/>
      <c r="J9" s="63">
        <f t="shared" si="2"/>
        <v>-21005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314495.03999999998</v>
      </c>
      <c r="P9" s="67">
        <f t="shared" si="1"/>
        <v>323930.03999999998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3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509693.05</v>
      </c>
      <c r="H10" s="61">
        <f>400000+95000</f>
        <v>495000</v>
      </c>
      <c r="I10" s="62"/>
      <c r="J10" s="63">
        <f t="shared" si="2"/>
        <v>14693.049999999988</v>
      </c>
      <c r="K10" s="63">
        <f t="shared" si="3"/>
        <v>433.44497499999966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515626.05</v>
      </c>
      <c r="P10" s="67">
        <f t="shared" si="1"/>
        <v>531095.05000000005</v>
      </c>
      <c r="Q10" s="39">
        <f t="shared" si="6"/>
        <v>0.05</v>
      </c>
      <c r="S10" s="39"/>
    </row>
    <row r="11" spans="1:19" ht="17.100000000000001" customHeight="1" x14ac:dyDescent="0.3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326350.06</v>
      </c>
      <c r="H11" s="61">
        <f>G11</f>
        <v>326350.06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3">
      <c r="A12" s="5" t="s">
        <v>15</v>
      </c>
      <c r="B12" s="155">
        <v>7</v>
      </c>
      <c r="C12" s="155" t="s">
        <v>57</v>
      </c>
      <c r="D12" s="155" t="s">
        <v>100</v>
      </c>
      <c r="E12" s="155"/>
      <c r="F12" s="156">
        <v>4.55</v>
      </c>
      <c r="G12" s="157">
        <v>496500.07</v>
      </c>
      <c r="H12" s="157"/>
      <c r="I12" s="158"/>
      <c r="J12" s="159">
        <f t="shared" si="2"/>
        <v>496500.07</v>
      </c>
      <c r="K12" s="159">
        <f t="shared" si="3"/>
        <v>14646.752065000001</v>
      </c>
      <c r="L12" s="160">
        <f t="shared" si="4"/>
        <v>45500</v>
      </c>
      <c r="M12" s="160">
        <f t="shared" si="5"/>
        <v>455000</v>
      </c>
      <c r="N12" s="161">
        <v>0</v>
      </c>
      <c r="O12" s="162">
        <f t="shared" si="0"/>
        <v>1011647.07</v>
      </c>
      <c r="P12" s="163">
        <f t="shared" si="1"/>
        <v>1041996.07</v>
      </c>
      <c r="Q12" s="39">
        <f t="shared" si="6"/>
        <v>7.0000000000000007E-2</v>
      </c>
      <c r="R12" s="117"/>
      <c r="S12" s="116"/>
    </row>
    <row r="13" spans="1:19" ht="17.100000000000001" customHeight="1" x14ac:dyDescent="0.3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326592.08</v>
      </c>
      <c r="H13" s="61">
        <v>336390.08</v>
      </c>
      <c r="I13" s="62"/>
      <c r="J13" s="63">
        <f t="shared" si="2"/>
        <v>-9798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325702.08</v>
      </c>
      <c r="P13" s="67">
        <f t="shared" si="1"/>
        <v>335473.08</v>
      </c>
      <c r="Q13" s="39">
        <f t="shared" si="6"/>
        <v>0.08</v>
      </c>
    </row>
    <row r="14" spans="1:19" ht="17.100000000000001" customHeight="1" x14ac:dyDescent="0.3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487200.09</v>
      </c>
      <c r="H14" s="154">
        <v>490000</v>
      </c>
      <c r="I14" s="62"/>
      <c r="J14" s="63">
        <f t="shared" si="2"/>
        <v>-2799.9099999999744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498800.09</v>
      </c>
      <c r="P14" s="67">
        <f t="shared" si="1"/>
        <v>513764.09</v>
      </c>
      <c r="Q14" s="39">
        <f t="shared" si="6"/>
        <v>0.09</v>
      </c>
      <c r="R14" t="s">
        <v>149</v>
      </c>
    </row>
    <row r="15" spans="1:19" ht="17.100000000000001" customHeight="1" x14ac:dyDescent="0.3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61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151</v>
      </c>
    </row>
    <row r="16" spans="1:19" ht="17.100000000000001" customHeight="1" x14ac:dyDescent="0.3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500500.11</v>
      </c>
      <c r="H16" s="61">
        <v>515515.11</v>
      </c>
      <c r="I16" s="62"/>
      <c r="J16" s="63">
        <f t="shared" si="2"/>
        <v>-15015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485485.11</v>
      </c>
      <c r="P16" s="67">
        <f t="shared" si="1"/>
        <v>500050.11</v>
      </c>
      <c r="Q16" s="39">
        <f t="shared" si="6"/>
        <v>0.10999999999999999</v>
      </c>
    </row>
    <row r="17" spans="1:19" ht="17.100000000000001" customHeight="1" x14ac:dyDescent="0.3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719605.12</v>
      </c>
      <c r="H17" s="61">
        <v>305000</v>
      </c>
      <c r="I17" s="62"/>
      <c r="J17" s="63">
        <f t="shared" si="2"/>
        <v>414605.12</v>
      </c>
      <c r="K17" s="63">
        <f t="shared" si="3"/>
        <v>12230.851040000001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762336.12</v>
      </c>
      <c r="P17" s="67">
        <f t="shared" si="1"/>
        <v>785206.12</v>
      </c>
      <c r="Q17" s="39">
        <f t="shared" si="6"/>
        <v>0.11999999999999998</v>
      </c>
    </row>
    <row r="18" spans="1:19" ht="17.100000000000001" customHeight="1" x14ac:dyDescent="0.3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487210.13</v>
      </c>
      <c r="H18" s="61">
        <f>G18</f>
        <v>487210.13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3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61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3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61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3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339454.16</v>
      </c>
      <c r="H21" s="61">
        <v>340000</v>
      </c>
      <c r="I21" s="62"/>
      <c r="J21" s="63">
        <f t="shared" si="2"/>
        <v>-545.84000000002561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348154.16</v>
      </c>
      <c r="P21" s="67">
        <f t="shared" si="1"/>
        <v>358599.16</v>
      </c>
      <c r="Q21" s="39">
        <f t="shared" si="6"/>
        <v>0.16</v>
      </c>
      <c r="R21" t="s">
        <v>150</v>
      </c>
      <c r="S21" s="38"/>
    </row>
    <row r="22" spans="1:19" ht="17.100000000000001" customHeight="1" x14ac:dyDescent="0.3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500500.17</v>
      </c>
      <c r="H22" s="61"/>
      <c r="I22" s="62"/>
      <c r="J22" s="63">
        <f t="shared" si="2"/>
        <v>500500.17</v>
      </c>
      <c r="K22" s="63">
        <f t="shared" si="3"/>
        <v>14764.755015000001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1015765.17</v>
      </c>
      <c r="P22" s="67">
        <f t="shared" si="1"/>
        <v>1046238.17</v>
      </c>
      <c r="Q22" s="39">
        <f t="shared" si="6"/>
        <v>0.17</v>
      </c>
    </row>
    <row r="23" spans="1:19" ht="17.100000000000001" customHeight="1" x14ac:dyDescent="0.3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61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3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515515.19</v>
      </c>
      <c r="H24" s="61">
        <f>G24</f>
        <v>515515.19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3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61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3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61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3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-135619.78</v>
      </c>
      <c r="H27" s="61">
        <f>381870.22</f>
        <v>381870.22</v>
      </c>
      <c r="I27" s="62"/>
      <c r="J27" s="63">
        <f t="shared" si="2"/>
        <v>-517490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-168789.78</v>
      </c>
      <c r="P27" s="67">
        <f t="shared" si="1"/>
        <v>-173853.78</v>
      </c>
      <c r="Q27" s="39">
        <f t="shared" si="6"/>
        <v>0.22000000000000006</v>
      </c>
    </row>
    <row r="28" spans="1:19" ht="17.100000000000001" customHeight="1" x14ac:dyDescent="0.3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498620.23</v>
      </c>
      <c r="H28" s="61">
        <f>G28</f>
        <v>498620.23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3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61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3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515900.25</v>
      </c>
      <c r="H30" s="61">
        <v>531377.25</v>
      </c>
      <c r="I30" s="62"/>
      <c r="J30" s="63">
        <f t="shared" si="2"/>
        <v>-15477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500423.25</v>
      </c>
      <c r="P30" s="67">
        <f t="shared" si="1"/>
        <v>515436.25</v>
      </c>
      <c r="Q30" s="39">
        <f t="shared" si="6"/>
        <v>0.25000000000000006</v>
      </c>
      <c r="R30" t="s">
        <v>142</v>
      </c>
    </row>
    <row r="31" spans="1:19" ht="17.100000000000001" customHeight="1" x14ac:dyDescent="0.3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332200.26</v>
      </c>
      <c r="H31" s="61">
        <f>G31</f>
        <v>332200.26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5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17133.27</v>
      </c>
      <c r="H32" s="61">
        <f>G32</f>
        <v>17133.27</v>
      </c>
      <c r="I32" s="62"/>
      <c r="J32" s="63">
        <f>G32-H32</f>
        <v>0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17600.27</v>
      </c>
      <c r="P32" s="67">
        <f t="shared" si="1"/>
        <v>18128.27</v>
      </c>
      <c r="Q32" s="39">
        <f t="shared" si="6"/>
        <v>0.27000000000000007</v>
      </c>
    </row>
    <row r="33" spans="1:17" ht="15" hidden="1" thickBot="1" x14ac:dyDescent="0.35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5">
      <c r="B34" s="73"/>
      <c r="C34" s="74"/>
      <c r="D34" s="75"/>
      <c r="E34" s="75"/>
      <c r="F34" s="76">
        <f>SUM(F6:F33)</f>
        <v>99.999999999999972</v>
      </c>
      <c r="G34" s="45">
        <f>SUM(G6:G33)</f>
        <v>11396016.780000001</v>
      </c>
      <c r="H34" s="52">
        <f>SUM(H6:H33)</f>
        <v>10051349.09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12432911.779999999</v>
      </c>
      <c r="P34" s="77">
        <f>SUM(P6:P32)</f>
        <v>12805899.780000001</v>
      </c>
    </row>
    <row r="35" spans="1:17" ht="12.75" customHeight="1" x14ac:dyDescent="0.3">
      <c r="D35" s="43"/>
      <c r="E35" s="43"/>
    </row>
    <row r="36" spans="1:17" hidden="1" x14ac:dyDescent="0.3"/>
    <row r="37" spans="1:17" ht="9" customHeight="1" x14ac:dyDescent="0.3">
      <c r="D37" s="190" t="s">
        <v>148</v>
      </c>
      <c r="E37" s="190"/>
      <c r="F37" s="190"/>
      <c r="G37" s="190"/>
      <c r="H37" s="190"/>
      <c r="I37" s="190"/>
      <c r="J37" s="190"/>
      <c r="K37" s="190"/>
      <c r="L37" s="190"/>
      <c r="M37" s="190"/>
      <c r="N37" s="190"/>
      <c r="O37" s="190"/>
    </row>
    <row r="38" spans="1:17" ht="12" hidden="1" customHeight="1" x14ac:dyDescent="0.3"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0"/>
    </row>
    <row r="39" spans="1:17" ht="12" hidden="1" customHeight="1" x14ac:dyDescent="0.3">
      <c r="D39" s="190"/>
      <c r="E39" s="190"/>
      <c r="F39" s="190"/>
      <c r="G39" s="190"/>
      <c r="H39" s="190"/>
      <c r="I39" s="190"/>
      <c r="J39" s="190"/>
      <c r="K39" s="190"/>
      <c r="L39" s="190"/>
      <c r="M39" s="190"/>
      <c r="N39" s="190"/>
      <c r="O39" s="190"/>
    </row>
    <row r="40" spans="1:17" ht="12" hidden="1" customHeight="1" x14ac:dyDescent="0.3">
      <c r="D40" s="190"/>
      <c r="E40" s="190"/>
      <c r="F40" s="190"/>
      <c r="G40" s="190"/>
      <c r="H40" s="190"/>
      <c r="I40" s="190"/>
      <c r="J40" s="190"/>
      <c r="K40" s="190"/>
      <c r="L40" s="190"/>
      <c r="M40" s="190"/>
      <c r="N40" s="190"/>
      <c r="O40" s="190"/>
    </row>
    <row r="41" spans="1:17" ht="12" hidden="1" customHeight="1" x14ac:dyDescent="0.3"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90"/>
      <c r="O41" s="190"/>
    </row>
    <row r="42" spans="1:17" ht="65.25" customHeight="1" x14ac:dyDescent="0.3"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tabSelected="1" workbookViewId="0">
      <selection activeCell="C6" sqref="C6"/>
    </sheetView>
  </sheetViews>
  <sheetFormatPr baseColWidth="10" defaultRowHeight="14.4" x14ac:dyDescent="0.3"/>
  <sheetData>
    <row r="3" spans="3:3" x14ac:dyDescent="0.3">
      <c r="C3" s="164" t="s">
        <v>188</v>
      </c>
    </row>
    <row r="6" spans="3:3" x14ac:dyDescent="0.3">
      <c r="C6" s="175" t="s">
        <v>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2026-02-03T12:35:03Z</cp:lastPrinted>
  <dcterms:created xsi:type="dcterms:W3CDTF">2023-09-17T12:29:07Z</dcterms:created>
  <dcterms:modified xsi:type="dcterms:W3CDTF">2026-02-13T13:41:05Z</dcterms:modified>
</cp:coreProperties>
</file>