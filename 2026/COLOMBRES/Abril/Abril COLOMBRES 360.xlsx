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OLOMBRES\Abril\"/>
    </mc:Choice>
  </mc:AlternateContent>
  <xr:revisionPtr revIDLastSave="0" documentId="13_ncr:1_{7E7CB316-D881-47FB-BF21-CA0E8548EE86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PRORRATEO!$A$1:$P$44</definedName>
    <definedName name="_xlnm.Print_Area" localSheetId="0">RESUMEN!$A$1:$D$121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D76" i="1"/>
  <c r="H26" i="2"/>
  <c r="H13" i="2"/>
  <c r="H22" i="2"/>
  <c r="H30" i="2"/>
  <c r="H32" i="2"/>
  <c r="H25" i="2"/>
  <c r="H31" i="2"/>
  <c r="H24" i="2"/>
  <c r="C67" i="1"/>
  <c r="H6" i="2" l="1"/>
  <c r="H20" i="2"/>
  <c r="H17" i="2"/>
  <c r="D64" i="1"/>
  <c r="D70" i="1"/>
  <c r="C41" i="1"/>
  <c r="C37" i="1"/>
  <c r="B1" i="2" l="1"/>
  <c r="C27" i="1"/>
  <c r="C32" i="1"/>
  <c r="H29" i="2"/>
  <c r="D42" i="1" l="1"/>
  <c r="D74" i="1" l="1"/>
  <c r="D46" i="1" l="1"/>
  <c r="D49" i="1"/>
  <c r="J15" i="2" l="1"/>
  <c r="H27" i="2"/>
  <c r="H21" i="2" l="1"/>
  <c r="M33" i="2" l="1"/>
  <c r="M6" i="2"/>
  <c r="J25" i="2"/>
  <c r="K25" i="2" s="1"/>
  <c r="J29" i="2"/>
  <c r="K29" i="2" s="1"/>
  <c r="J32" i="2"/>
  <c r="K32" i="2" s="1"/>
  <c r="J7" i="2"/>
  <c r="K7" i="2" s="1"/>
  <c r="J26" i="2"/>
  <c r="K26" i="2" s="1"/>
  <c r="J23" i="2"/>
  <c r="K23" i="2" s="1"/>
  <c r="J24" i="2"/>
  <c r="K24" i="2" s="1"/>
  <c r="J30" i="2"/>
  <c r="K30" i="2" s="1"/>
  <c r="J20" i="2"/>
  <c r="K20" i="2" s="1"/>
  <c r="J19" i="2"/>
  <c r="K19" i="2" s="1"/>
  <c r="J33" i="2"/>
  <c r="K33" i="2" s="1"/>
  <c r="J22" i="2"/>
  <c r="K22" i="2" s="1"/>
  <c r="J27" i="2"/>
  <c r="K27" i="2" s="1"/>
  <c r="J17" i="2"/>
  <c r="K17" i="2" s="1"/>
  <c r="J12" i="2"/>
  <c r="K12" i="2" s="1"/>
  <c r="J8" i="2"/>
  <c r="K8" i="2" s="1"/>
  <c r="J10" i="2"/>
  <c r="K10" i="2" s="1"/>
  <c r="J11" i="2"/>
  <c r="K11" i="2" s="1"/>
  <c r="J13" i="2"/>
  <c r="K13" i="2" s="1"/>
  <c r="J14" i="2"/>
  <c r="K14" i="2" s="1"/>
  <c r="K15" i="2"/>
  <c r="J16" i="2"/>
  <c r="K16" i="2" s="1"/>
  <c r="J18" i="2"/>
  <c r="K18" i="2" s="1"/>
  <c r="J21" i="2"/>
  <c r="K21" i="2" s="1"/>
  <c r="J28" i="2"/>
  <c r="K28" i="2" s="1"/>
  <c r="J31" i="2"/>
  <c r="K31" i="2" s="1"/>
  <c r="I35" i="2" l="1"/>
  <c r="H34" i="2" l="1"/>
  <c r="J34" i="2" s="1"/>
  <c r="O34" i="2" s="1"/>
  <c r="L34" i="2"/>
  <c r="M34" i="2"/>
  <c r="P34" i="2" l="1"/>
  <c r="K34" i="2"/>
  <c r="B120" i="1" l="1"/>
  <c r="L7" i="2" l="1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6" i="2"/>
  <c r="D85" i="1" l="1"/>
  <c r="D90" i="1" s="1"/>
  <c r="B94" i="1" s="1"/>
  <c r="B109" i="1" s="1"/>
  <c r="B105" i="1" l="1"/>
  <c r="D78" i="1" l="1"/>
  <c r="O5" i="2" l="1"/>
  <c r="Q7" i="2" l="1"/>
  <c r="Q8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l="1"/>
  <c r="H35" i="2" l="1"/>
  <c r="B104" i="1" s="1"/>
  <c r="F35" i="2"/>
  <c r="G35" i="2"/>
  <c r="J6" i="2" l="1"/>
  <c r="K6" i="2" s="1"/>
  <c r="B95" i="1" l="1"/>
  <c r="L35" i="2"/>
  <c r="B93" i="1" l="1"/>
  <c r="B108" i="1" s="1"/>
  <c r="B110" i="1" s="1"/>
  <c r="M7" i="2"/>
  <c r="M8" i="2"/>
  <c r="O8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3" i="2"/>
  <c r="O6" i="2"/>
  <c r="O7" i="2" l="1"/>
  <c r="P7" i="2" s="1"/>
  <c r="M35" i="2"/>
  <c r="O32" i="2"/>
  <c r="P32" i="2" s="1"/>
  <c r="P28" i="2"/>
  <c r="P24" i="2"/>
  <c r="P20" i="2"/>
  <c r="P16" i="2"/>
  <c r="P12" i="2"/>
  <c r="P6" i="2"/>
  <c r="P31" i="2"/>
  <c r="P27" i="2"/>
  <c r="P23" i="2"/>
  <c r="P19" i="2"/>
  <c r="P15" i="2"/>
  <c r="P11" i="2"/>
  <c r="P30" i="2"/>
  <c r="P26" i="2"/>
  <c r="P22" i="2"/>
  <c r="P18" i="2"/>
  <c r="P14" i="2"/>
  <c r="P10" i="2"/>
  <c r="P33" i="2"/>
  <c r="P29" i="2"/>
  <c r="P25" i="2"/>
  <c r="P21" i="2"/>
  <c r="P17" i="2"/>
  <c r="P13" i="2"/>
  <c r="P8" i="2"/>
  <c r="P35" i="2" l="1"/>
  <c r="O35" i="2"/>
  <c r="B92" i="1" l="1"/>
  <c r="N35" i="2" l="1"/>
</calcChain>
</file>

<file path=xl/sharedStrings.xml><?xml version="1.0" encoding="utf-8"?>
<sst xmlns="http://schemas.openxmlformats.org/spreadsheetml/2006/main" count="199" uniqueCount="171">
  <si>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</si>
  <si>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</si>
  <si>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</si>
  <si>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</si>
  <si>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</si>
  <si>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</si>
  <si>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</si>
  <si>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</si>
  <si>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</si>
  <si>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</si>
  <si>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</si>
  <si>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</si>
  <si>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</si>
  <si>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</si>
  <si>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</si>
  <si>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</si>
  <si>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</si>
  <si>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</si>
  <si>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</si>
  <si>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</si>
  <si>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</si>
  <si>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</si>
  <si>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</si>
  <si>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</si>
  <si>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</si>
  <si>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</si>
  <si>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</si>
  <si>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</si>
  <si>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</si>
  <si>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</si>
  <si>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</si>
  <si>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</si>
  <si>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</si>
  <si>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</si>
  <si>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</si>
  <si>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</si>
  <si>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</si>
  <si>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</si>
  <si>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</si>
  <si>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</si>
  <si>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</si>
  <si>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</si>
  <si>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</si>
  <si>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</si>
  <si>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</si>
  <si>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</si>
  <si>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</si>
  <si>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</si>
  <si>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</si>
  <si>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</si>
  <si>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</si>
  <si>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</si>
  <si>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</si>
  <si>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</si>
  <si>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</si>
  <si>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</si>
  <si>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</si>
  <si>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</si>
  <si>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</si>
  <si>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</si>
  <si>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</si>
  <si>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</si>
  <si>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</si>
  <si>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</si>
  <si>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</si>
  <si>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</si>
  <si>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</si>
  <si>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</si>
  <si>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</si>
  <si>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</si>
  <si>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</si>
  <si>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</si>
  <si>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</si>
  <si>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</si>
  <si>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</si>
  <si>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</si>
  <si>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</si>
  <si>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</si>
  <si>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</si>
  <si>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</si>
  <si>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</si>
  <si>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</si>
  <si>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</si>
  <si>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</si>
  <si>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</si>
  <si>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</si>
  <si>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</si>
  <si>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</si>
  <si>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</si>
  <si>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</si>
  <si>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</si>
  <si>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</si>
  <si>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</si>
  <si>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</si>
  <si>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</si>
  <si>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</si>
  <si>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</si>
  <si>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</si>
  <si>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</si>
  <si>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</si>
  <si>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</si>
  <si>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</si>
  <si>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</si>
  <si>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</si>
  <si>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</si>
  <si>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</si>
  <si>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</si>
  <si>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</si>
  <si>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</si>
  <si>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</si>
  <si>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</si>
  <si>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</si>
  <si>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</si>
  <si>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</si>
  <si>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</si>
  <si>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</si>
  <si>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</si>
  <si>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</si>
  <si>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</si>
  <si>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</si>
  <si>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</si>
  <si>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</si>
  <si>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</si>
  <si>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TELEFONO : 11-5320-2676 - MAIL: colombres360@gmail.com - OFICINA CON CITA PREVIA - DR MELO 2958 8° PISO</t>
  </si>
  <si>
    <t xml:space="preserve">METROGAS - Cliente 30008873781 </t>
  </si>
  <si>
    <t>Bernaola Palomino Jose Luis</t>
  </si>
  <si>
    <t>Calderon Diego Alejandro</t>
  </si>
  <si>
    <t>Arca931</t>
  </si>
  <si>
    <t>Sindicatos :  Seracarh</t>
  </si>
  <si>
    <t>Sindicatos :  Suther</t>
  </si>
  <si>
    <t>Sindicatos :  Fatherhy</t>
  </si>
  <si>
    <t xml:space="preserve">EDESUR - Cliente 80089864 </t>
  </si>
  <si>
    <t xml:space="preserve">AySA - Cuenta 1266646 </t>
  </si>
  <si>
    <t>María Josefina Conti y Nicolás Massaro</t>
  </si>
  <si>
    <t>Mozart Srl</t>
  </si>
  <si>
    <t>SONIA</t>
  </si>
  <si>
    <t>Colombres Sur</t>
  </si>
  <si>
    <t>PREVISION ORDINARIA</t>
  </si>
  <si>
    <t>MAGRO LAUTARO - MAGRO DANIELA</t>
  </si>
  <si>
    <t>SI EN LA COLUMNA LLAMADA DEUDA O SALDO A FAVOR FIGURA UN NUMERO EN NEGATIVO SIGNIFICA QUE LA UF POSEE DINERO A FAVOR (ES DECIR PAGO DE MAS)</t>
  </si>
  <si>
    <t>Claudia Guidobono</t>
  </si>
  <si>
    <t xml:space="preserve">
Raquel Martinez</t>
  </si>
  <si>
    <t>Diego Varas</t>
  </si>
  <si>
    <t>HORARIOS DE ATENCION: 10 A 15HS - LUNES A VIERNES</t>
  </si>
  <si>
    <t>PABLO GARCIA - MATIAS EZEQUIEL GARCIA</t>
  </si>
  <si>
    <t>Efectivo</t>
  </si>
  <si>
    <t>Guenaga Gonzalo Federico</t>
  </si>
  <si>
    <t>2-A - MAGRO LAUTARO - MAGRO DANIELA - CUOTA 1/6 PLAN DE PAGOS</t>
  </si>
  <si>
    <t>Banco Santander
Tipo de cuenta: Cuenta corriente en pesos
Número de cuenta: 039-0234504
CBU: 0720039720000002345040
Alias: ALFA.CETRO.AMOROSAS</t>
  </si>
  <si>
    <t>Fotocopias - Grafica Tuge</t>
  </si>
  <si>
    <t>Seguro Federacion Patronal - Seguro de consorcio - Poliza nro. 2290715</t>
  </si>
  <si>
    <t>Loschi Bruno - Mantenimiento bimestral - Grupo electrogeno</t>
  </si>
  <si>
    <t>Banco  - Gastos bancarios</t>
  </si>
  <si>
    <t>Servicio de fumigacion - Ortega Daniel</t>
  </si>
  <si>
    <t>VTO 15/05</t>
  </si>
  <si>
    <t>Mes de ABRIL</t>
  </si>
  <si>
    <t>Articulos de limpieza -  Mes de ABRIL</t>
  </si>
  <si>
    <t>EL DPTO 2A REALIZO UN INGRESO DE $300.000 DE DONDE SE ABONO LOS HONORARIOS QUE CORRESPONDEN A LA FIRMA DEL CONVENIO ($120.000) Y LE RESTAN ABONAR 6 CUOTAS DE $400.000 CON VENCIMIENTO EN ABRIL, ABRIL, JUNIO, AGOSTO, OCTUBRE Y ABRIL DEL 2026 - DICHO DEPARTAMENTO ESTA COLOREADO DE GRIS YA QUE INGRESO EN UN PLAN DE PAGOS</t>
  </si>
  <si>
    <t>Transf 06/04</t>
  </si>
  <si>
    <t>Transf 07/04</t>
  </si>
  <si>
    <t>Maria Celeste Basile - Certificacion de fotocopias digital</t>
  </si>
  <si>
    <t>Transf 13/04</t>
  </si>
  <si>
    <t>Ascensores WF - Mantenimiento de ascensores</t>
  </si>
  <si>
    <t>Transf 15/04</t>
  </si>
  <si>
    <t xml:space="preserve">Punitorios mal cobrados </t>
  </si>
  <si>
    <t>Honorarios administracion RC - Abono Marzo - Se adeuda ABRIL</t>
  </si>
  <si>
    <t>Cerrajeria Ayram - Copias de llaves</t>
  </si>
  <si>
    <t>Debito 20/04</t>
  </si>
  <si>
    <t xml:space="preserve">Banco - Mantenimiento cuenta corriente </t>
  </si>
  <si>
    <t>Debito 15/04</t>
  </si>
  <si>
    <t>DENTRO DEL MONTO TOTAL DE CAJA: $12.858.379,98 SE CUENTA CON $12.782.067,67 EN LA CUENTA BANCARIA Y $76.309 EN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</si>
</sst>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44" fontId="24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44" fontId="15" fillId="0" borderId="2" xfId="1" applyFont="1" applyBorder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wrapText="1"/>
    </xf>
    <xf numFmtId="0" fontId="14" fillId="12" borderId="1" xfId="0" applyFont="1" applyFill="1" applyBorder="1" applyAlignment="1">
      <alignment horizontal="center"/>
    </xf>
    <xf numFmtId="44" fontId="20" fillId="12" borderId="1" xfId="1" applyFont="1" applyFill="1" applyBorder="1"/>
    <xf numFmtId="165" fontId="20" fillId="12" borderId="1" xfId="1" applyNumberFormat="1" applyFont="1" applyFill="1" applyBorder="1"/>
    <xf numFmtId="165" fontId="14" fillId="12" borderId="1" xfId="0" applyNumberFormat="1" applyFont="1" applyFill="1" applyBorder="1"/>
    <xf numFmtId="165" fontId="14" fillId="12" borderId="1" xfId="1" applyNumberFormat="1" applyFont="1" applyFill="1" applyBorder="1"/>
    <xf numFmtId="44" fontId="14" fillId="12" borderId="6" xfId="1" applyFont="1" applyFill="1" applyBorder="1"/>
    <xf numFmtId="44" fontId="20" fillId="12" borderId="25" xfId="1" applyFont="1" applyFill="1" applyBorder="1"/>
    <xf numFmtId="44" fontId="20" fillId="12" borderId="27" xfId="1" applyFont="1" applyFill="1" applyBorder="1"/>
    <xf numFmtId="8" fontId="4" fillId="2" borderId="1" xfId="0" applyNumberFormat="1" applyFont="1" applyFill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4" fillId="4" borderId="1" xfId="0" applyFont="1" applyFill="1" applyBorder="1"/>
    <xf numFmtId="44" fontId="4" fillId="2" borderId="1" xfId="1" applyFont="1" applyFill="1" applyBorder="1"/>
    <xf numFmtId="0" fontId="7" fillId="4" borderId="1" xfId="0" applyFont="1" applyFill="1" applyBorder="1" applyAlignment="1">
      <alignment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20" fillId="2" borderId="25" xfId="1" applyFont="1" applyFill="1" applyBorder="1"/>
    <xf numFmtId="44" fontId="20" fillId="2" borderId="27" xfId="1" applyFont="1" applyFill="1" applyBorder="1"/>
    <xf numFmtId="0" fontId="14" fillId="2" borderId="1" xfId="0" applyFont="1" applyFill="1" applyBorder="1" applyAlignment="1">
      <alignment wrapText="1"/>
    </xf>
    <xf numFmtId="4" fontId="0" fillId="0" borderId="0" xfId="0" applyNumberFormat="1"/>
    <xf numFmtId="0" fontId="23" fillId="2" borderId="1" xfId="1" applyNumberFormat="1" applyFont="1" applyFill="1" applyBorder="1" applyAlignment="1"/>
    <xf numFmtId="44" fontId="20" fillId="2" borderId="1" xfId="0" applyNumberFormat="1" applyFont="1" applyFill="1" applyBorder="1"/>
    <xf numFmtId="44" fontId="4" fillId="0" borderId="1" xfId="1" applyFont="1" applyBorder="1" applyAlignment="1">
      <alignment vertical="center" wrapText="1"/>
    </xf>
    <xf numFmtId="0" fontId="0" fillId="0" borderId="3" xfId="0" applyBorder="1"/>
    <xf numFmtId="8" fontId="4" fillId="2" borderId="6" xfId="0" applyNumberFormat="1" applyFont="1" applyFill="1" applyBorder="1"/>
    <xf numFmtId="165" fontId="0" fillId="0" borderId="0" xfId="0" applyNumberFormat="1"/>
    <xf numFmtId="166" fontId="0" fillId="0" borderId="0" xfId="1" applyNumberFormat="1" applyFont="1"/>
    <xf numFmtId="44" fontId="4" fillId="0" borderId="1" xfId="1" applyFont="1" applyBorder="1"/>
    <xf numFmtId="0" fontId="4" fillId="0" borderId="7" xfId="0" applyFont="1" applyBorder="1"/>
    <xf numFmtId="0" fontId="6" fillId="0" borderId="1" xfId="0" applyFont="1" applyBorder="1" applyAlignment="1">
      <alignment vertical="center"/>
    </xf>
    <xf numFmtId="0" fontId="2" fillId="0" borderId="0" xfId="0" applyFont="1" applyBorder="1"/>
    <xf numFmtId="44" fontId="7" fillId="0" borderId="0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24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3" zoomScale="90" zoomScaleNormal="90" workbookViewId="0">
      <selection activeCell="C114" sqref="C114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8.42578125" customWidth="1"/>
    <col min="4" max="4" width="15.5703125" customWidth="1"/>
    <col min="5" max="5" width="14.5703125" bestFit="1" customWidth="1"/>
    <col min="6" max="6" width="16" customWidth="1"/>
    <col min="7" max="7" width="13.140625" bestFit="1" customWidth="1"/>
    <col min="10" max="10" width="18" customWidth="1"/>
    <col min="11" max="11" width="18.42578125" customWidth="1"/>
  </cols>
  <sheetData>
    <row r="1" spans="1:4" x14ac:dyDescent="0.25">
      <c r="A1" s="113" t="s">
        <v>122</v>
      </c>
      <c r="B1" s="107"/>
      <c r="C1" s="6"/>
      <c r="D1" s="6"/>
    </row>
    <row r="2" spans="1:4" x14ac:dyDescent="0.25">
      <c r="A2" s="108" t="s">
        <v>123</v>
      </c>
      <c r="B2" s="108"/>
      <c r="C2" s="108"/>
      <c r="D2" s="108"/>
    </row>
    <row r="3" spans="1:4" ht="17.100000000000001" customHeight="1" x14ac:dyDescent="0.25">
      <c r="A3" s="108" t="s">
        <v>143</v>
      </c>
      <c r="B3" s="108"/>
      <c r="C3" s="108"/>
      <c r="D3" s="108"/>
    </row>
    <row r="4" spans="1:4" ht="32.25" customHeight="1" x14ac:dyDescent="0.25">
      <c r="A4" s="178" t="s">
        <v>148</v>
      </c>
      <c r="B4" s="178"/>
      <c r="C4" s="109"/>
      <c r="D4" s="109"/>
    </row>
    <row r="5" spans="1:4" x14ac:dyDescent="0.25">
      <c r="A5" s="178"/>
      <c r="B5" s="178"/>
      <c r="C5" s="109"/>
      <c r="D5" s="109"/>
    </row>
    <row r="6" spans="1:4" x14ac:dyDescent="0.25">
      <c r="A6" s="178"/>
      <c r="B6" s="178"/>
      <c r="C6" s="109"/>
      <c r="D6" s="109"/>
    </row>
    <row r="7" spans="1:4" ht="27" customHeight="1" x14ac:dyDescent="0.25">
      <c r="A7" s="178"/>
      <c r="B7" s="178"/>
      <c r="C7" s="109"/>
      <c r="D7" s="109"/>
    </row>
    <row r="9" spans="1:4" x14ac:dyDescent="0.25">
      <c r="B9" s="177" t="s">
        <v>154</v>
      </c>
    </row>
    <row r="10" spans="1:4" x14ac:dyDescent="0.25">
      <c r="B10" s="177"/>
    </row>
    <row r="11" spans="1:4" x14ac:dyDescent="0.25">
      <c r="B11" s="177"/>
    </row>
    <row r="13" spans="1:4" hidden="1" x14ac:dyDescent="0.25"/>
    <row r="14" spans="1:4" ht="15" customHeight="1" x14ac:dyDescent="0.25">
      <c r="A14" s="179" t="s">
        <v>92</v>
      </c>
      <c r="B14" s="179"/>
      <c r="C14" s="179"/>
      <c r="D14" s="179"/>
    </row>
    <row r="15" spans="1:4" ht="15" customHeight="1" x14ac:dyDescent="0.25">
      <c r="A15" s="179"/>
      <c r="B15" s="179"/>
      <c r="C15" s="179"/>
      <c r="D15" s="179"/>
    </row>
    <row r="16" spans="1:4" ht="15" customHeight="1" x14ac:dyDescent="0.25">
      <c r="A16" s="179"/>
      <c r="B16" s="179"/>
      <c r="C16" s="179"/>
      <c r="D16" s="179"/>
    </row>
    <row r="17" spans="1:7" ht="53.25" customHeight="1" x14ac:dyDescent="0.25">
      <c r="A17" s="179"/>
      <c r="B17" s="179"/>
      <c r="C17" s="179"/>
      <c r="D17" s="179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6" t="s">
        <v>80</v>
      </c>
      <c r="B22" s="26"/>
      <c r="C22" s="24"/>
      <c r="D22" s="24"/>
    </row>
    <row r="23" spans="1:7" x14ac:dyDescent="0.25">
      <c r="A23" s="5" t="s">
        <v>126</v>
      </c>
      <c r="B23" s="5" t="s">
        <v>155</v>
      </c>
      <c r="C23" s="135">
        <v>1711920.96</v>
      </c>
      <c r="D23" s="79"/>
    </row>
    <row r="24" spans="1:7" x14ac:dyDescent="0.25">
      <c r="A24" s="5" t="s">
        <v>84</v>
      </c>
      <c r="B24" s="5"/>
      <c r="C24" s="135">
        <v>-707237.36</v>
      </c>
      <c r="D24" s="79"/>
    </row>
    <row r="25" spans="1:7" x14ac:dyDescent="0.25">
      <c r="A25" s="5" t="s">
        <v>83</v>
      </c>
      <c r="B25" s="5"/>
      <c r="C25" s="135">
        <v>0.4</v>
      </c>
      <c r="D25" s="79"/>
      <c r="G25" s="149"/>
    </row>
    <row r="26" spans="1:7" x14ac:dyDescent="0.25">
      <c r="A26" s="5"/>
      <c r="B26" s="5"/>
      <c r="C26" s="135"/>
      <c r="D26" s="79"/>
    </row>
    <row r="27" spans="1:7" x14ac:dyDescent="0.25">
      <c r="A27" s="46" t="s">
        <v>82</v>
      </c>
      <c r="B27" s="46"/>
      <c r="C27" s="105">
        <f>SUM(C23:C26)</f>
        <v>1004684</v>
      </c>
      <c r="D27" s="46"/>
    </row>
    <row r="28" spans="1:7" x14ac:dyDescent="0.25">
      <c r="A28" s="5" t="s">
        <v>125</v>
      </c>
      <c r="B28" s="5" t="s">
        <v>155</v>
      </c>
      <c r="C28" s="135">
        <v>1504484.16</v>
      </c>
      <c r="D28" s="112"/>
    </row>
    <row r="29" spans="1:7" x14ac:dyDescent="0.25">
      <c r="A29" s="5" t="s">
        <v>81</v>
      </c>
      <c r="B29" s="5"/>
      <c r="C29" s="135">
        <v>-327225.28999999998</v>
      </c>
      <c r="D29" s="112"/>
    </row>
    <row r="30" spans="1:7" x14ac:dyDescent="0.25">
      <c r="A30" s="5" t="s">
        <v>83</v>
      </c>
      <c r="B30" s="5"/>
      <c r="C30" s="135">
        <v>0.13</v>
      </c>
      <c r="D30" s="112"/>
    </row>
    <row r="31" spans="1:7" x14ac:dyDescent="0.25">
      <c r="A31" s="5"/>
      <c r="B31" s="5"/>
      <c r="C31" s="154"/>
      <c r="D31" s="112"/>
    </row>
    <row r="32" spans="1:7" x14ac:dyDescent="0.25">
      <c r="A32" s="46" t="s">
        <v>82</v>
      </c>
      <c r="B32" s="111"/>
      <c r="C32" s="47">
        <f>SUM(C28:C31)</f>
        <v>1177258.9999999998</v>
      </c>
      <c r="D32" s="80"/>
    </row>
    <row r="33" spans="1:7" x14ac:dyDescent="0.25">
      <c r="A33" s="5" t="s">
        <v>146</v>
      </c>
      <c r="B33" s="5" t="s">
        <v>155</v>
      </c>
      <c r="C33" s="135">
        <v>1357095.49</v>
      </c>
      <c r="D33" s="112"/>
    </row>
    <row r="34" spans="1:7" x14ac:dyDescent="0.25">
      <c r="A34" s="5" t="s">
        <v>81</v>
      </c>
      <c r="B34" s="5"/>
      <c r="C34" s="135">
        <v>-295168.25</v>
      </c>
      <c r="D34" s="112"/>
    </row>
    <row r="35" spans="1:7" x14ac:dyDescent="0.25">
      <c r="A35" s="5" t="s">
        <v>83</v>
      </c>
      <c r="B35" s="5"/>
      <c r="C35" s="135">
        <v>0.76</v>
      </c>
      <c r="D35" s="112"/>
    </row>
    <row r="36" spans="1:7" x14ac:dyDescent="0.25">
      <c r="A36" s="5"/>
      <c r="B36" s="5"/>
      <c r="C36" s="154"/>
      <c r="D36" s="112"/>
    </row>
    <row r="37" spans="1:7" ht="14.25" customHeight="1" x14ac:dyDescent="0.25">
      <c r="A37" s="46" t="s">
        <v>82</v>
      </c>
      <c r="B37" s="111"/>
      <c r="C37" s="47">
        <f>SUM(C33:C36)</f>
        <v>1061928</v>
      </c>
      <c r="D37" s="80"/>
      <c r="F37" s="14"/>
    </row>
    <row r="38" spans="1:7" hidden="1" x14ac:dyDescent="0.25">
      <c r="A38" s="5"/>
      <c r="B38" s="5"/>
      <c r="C38" s="154"/>
      <c r="D38" s="112"/>
      <c r="F38" s="14"/>
    </row>
    <row r="39" spans="1:7" hidden="1" x14ac:dyDescent="0.25">
      <c r="A39" s="5"/>
      <c r="B39" s="5"/>
      <c r="C39" s="154"/>
      <c r="D39" s="112"/>
    </row>
    <row r="40" spans="1:7" hidden="1" x14ac:dyDescent="0.25">
      <c r="A40" s="5"/>
      <c r="B40" s="153"/>
      <c r="C40" s="154"/>
      <c r="D40" s="112"/>
    </row>
    <row r="41" spans="1:7" hidden="1" x14ac:dyDescent="0.25">
      <c r="A41" s="46" t="s">
        <v>82</v>
      </c>
      <c r="B41" s="111"/>
      <c r="C41" s="47">
        <f>SUM(C38:C40)</f>
        <v>0</v>
      </c>
      <c r="D41" s="80"/>
    </row>
    <row r="42" spans="1:7" ht="14.25" customHeight="1" thickBot="1" x14ac:dyDescent="0.3">
      <c r="A42" s="18" t="s">
        <v>0</v>
      </c>
      <c r="B42" s="18"/>
      <c r="C42" s="19"/>
      <c r="D42" s="81">
        <f>+C27+C32+C41+C37</f>
        <v>3243871</v>
      </c>
      <c r="E42" s="14"/>
      <c r="F42" s="14"/>
    </row>
    <row r="43" spans="1:7" x14ac:dyDescent="0.25">
      <c r="A43" s="26" t="s">
        <v>38</v>
      </c>
      <c r="B43" s="26"/>
      <c r="C43" s="27"/>
      <c r="D43" s="82"/>
      <c r="F43" s="14"/>
    </row>
    <row r="44" spans="1:7" ht="22.5" customHeight="1" x14ac:dyDescent="0.25">
      <c r="A44" s="55" t="s">
        <v>39</v>
      </c>
      <c r="B44" s="5"/>
      <c r="C44" s="135">
        <v>180000</v>
      </c>
      <c r="D44" s="122" t="s">
        <v>159</v>
      </c>
      <c r="G44" s="14"/>
    </row>
    <row r="45" spans="1:7" ht="21" customHeight="1" x14ac:dyDescent="0.25">
      <c r="A45" s="114" t="s">
        <v>165</v>
      </c>
      <c r="B45" s="106"/>
      <c r="C45" s="135">
        <v>211800</v>
      </c>
      <c r="D45" s="122"/>
      <c r="G45" s="14"/>
    </row>
    <row r="46" spans="1:7" ht="15.75" thickBot="1" x14ac:dyDescent="0.3">
      <c r="A46" s="18" t="s">
        <v>34</v>
      </c>
      <c r="B46" s="18"/>
      <c r="C46" s="30"/>
      <c r="D46" s="81">
        <f>SUM(C44:C45)</f>
        <v>391800</v>
      </c>
    </row>
    <row r="47" spans="1:7" x14ac:dyDescent="0.25">
      <c r="A47" s="24" t="s">
        <v>77</v>
      </c>
      <c r="B47" s="25"/>
      <c r="C47" s="28"/>
      <c r="D47" s="56"/>
    </row>
    <row r="48" spans="1:7" s="33" customFormat="1" ht="29.25" customHeight="1" x14ac:dyDescent="0.25">
      <c r="A48" s="171" t="s">
        <v>150</v>
      </c>
      <c r="B48" s="172"/>
      <c r="C48" s="152">
        <v>125266</v>
      </c>
      <c r="D48" s="150" t="s">
        <v>167</v>
      </c>
    </row>
    <row r="49" spans="1:6" ht="15.75" thickBot="1" x14ac:dyDescent="0.3">
      <c r="A49" s="25" t="s">
        <v>1</v>
      </c>
      <c r="B49" s="25"/>
      <c r="C49" s="30"/>
      <c r="D49" s="83">
        <f>SUM(C48:C48)</f>
        <v>125266</v>
      </c>
    </row>
    <row r="50" spans="1:6" x14ac:dyDescent="0.25">
      <c r="A50" s="24" t="s">
        <v>35</v>
      </c>
      <c r="B50" s="138"/>
      <c r="C50" s="31"/>
      <c r="D50" s="84"/>
    </row>
    <row r="51" spans="1:6" x14ac:dyDescent="0.25">
      <c r="A51" s="79" t="s">
        <v>127</v>
      </c>
      <c r="B51" s="79"/>
      <c r="C51" s="157">
        <v>2368381.63</v>
      </c>
      <c r="D51" s="118" t="s">
        <v>169</v>
      </c>
      <c r="F51" s="115"/>
    </row>
    <row r="52" spans="1:6" x14ac:dyDescent="0.25">
      <c r="A52" s="79" t="s">
        <v>128</v>
      </c>
      <c r="B52" s="79"/>
      <c r="C52" s="139">
        <v>0</v>
      </c>
      <c r="D52" s="121"/>
    </row>
    <row r="53" spans="1:6" x14ac:dyDescent="0.25">
      <c r="A53" s="79" t="s">
        <v>129</v>
      </c>
      <c r="B53" s="79"/>
      <c r="C53" s="139">
        <v>0</v>
      </c>
      <c r="D53" s="121"/>
    </row>
    <row r="54" spans="1:6" x14ac:dyDescent="0.25">
      <c r="A54" s="79" t="s">
        <v>130</v>
      </c>
      <c r="B54" s="79"/>
      <c r="C54" s="139">
        <v>0</v>
      </c>
      <c r="D54" s="119"/>
    </row>
    <row r="55" spans="1:6" ht="15" customHeight="1" thickBot="1" x14ac:dyDescent="0.3">
      <c r="A55" s="25" t="s">
        <v>2</v>
      </c>
      <c r="B55" s="138"/>
      <c r="C55" s="32"/>
      <c r="D55" s="83">
        <f>SUM(C51:C54)</f>
        <v>2368381.63</v>
      </c>
    </row>
    <row r="56" spans="1:6" x14ac:dyDescent="0.25">
      <c r="A56" s="24" t="s">
        <v>37</v>
      </c>
      <c r="B56" s="138"/>
      <c r="C56" s="31"/>
      <c r="D56" s="84"/>
    </row>
    <row r="57" spans="1:6" ht="14.25" customHeight="1" x14ac:dyDescent="0.25">
      <c r="A57" s="79" t="s">
        <v>131</v>
      </c>
      <c r="B57" s="79"/>
      <c r="C57" s="139">
        <v>575753</v>
      </c>
      <c r="D57" s="118" t="s">
        <v>158</v>
      </c>
    </row>
    <row r="58" spans="1:6" ht="14.25" customHeight="1" x14ac:dyDescent="0.25">
      <c r="A58" s="79" t="s">
        <v>124</v>
      </c>
      <c r="B58" s="79"/>
      <c r="C58" s="139">
        <v>12539.83</v>
      </c>
      <c r="D58" s="118" t="s">
        <v>163</v>
      </c>
    </row>
    <row r="59" spans="1:6" ht="14.25" customHeight="1" x14ac:dyDescent="0.25">
      <c r="A59" s="79" t="s">
        <v>132</v>
      </c>
      <c r="B59" s="79"/>
      <c r="C59" s="139">
        <v>802316.66</v>
      </c>
      <c r="D59" s="118" t="s">
        <v>158</v>
      </c>
    </row>
    <row r="60" spans="1:6" ht="14.25" customHeight="1" x14ac:dyDescent="0.25">
      <c r="A60" s="79" t="s">
        <v>132</v>
      </c>
      <c r="B60" s="158"/>
      <c r="C60" s="139">
        <v>819603.23</v>
      </c>
      <c r="D60" s="118" t="s">
        <v>159</v>
      </c>
    </row>
    <row r="61" spans="1:6" x14ac:dyDescent="0.25">
      <c r="A61" s="173" t="s">
        <v>162</v>
      </c>
      <c r="B61" s="174"/>
      <c r="C61" s="139">
        <v>224563</v>
      </c>
      <c r="D61" s="120" t="s">
        <v>161</v>
      </c>
    </row>
    <row r="62" spans="1:6" x14ac:dyDescent="0.25">
      <c r="A62" s="175" t="s">
        <v>151</v>
      </c>
      <c r="B62" s="176"/>
      <c r="C62" s="139">
        <v>0</v>
      </c>
      <c r="D62" s="120"/>
    </row>
    <row r="63" spans="1:6" ht="15.75" customHeight="1" x14ac:dyDescent="0.25">
      <c r="A63" s="171" t="s">
        <v>153</v>
      </c>
      <c r="B63" s="172"/>
      <c r="C63" s="139">
        <v>0</v>
      </c>
      <c r="D63" s="120"/>
    </row>
    <row r="64" spans="1:6" ht="15.75" thickBot="1" x14ac:dyDescent="0.3">
      <c r="A64" s="25" t="s">
        <v>3</v>
      </c>
      <c r="B64" s="25"/>
      <c r="C64" s="30"/>
      <c r="D64" s="83">
        <f>SUM(C57:C63)</f>
        <v>2434775.7199999997</v>
      </c>
    </row>
    <row r="65" spans="1:6" ht="15.75" thickBot="1" x14ac:dyDescent="0.3">
      <c r="A65" s="24" t="s">
        <v>36</v>
      </c>
      <c r="B65" s="25"/>
      <c r="C65" s="30"/>
      <c r="D65" s="86"/>
    </row>
    <row r="66" spans="1:6" ht="15.75" customHeight="1" x14ac:dyDescent="0.25">
      <c r="A66" s="175" t="s">
        <v>160</v>
      </c>
      <c r="B66" s="176"/>
      <c r="C66" s="139">
        <v>200458.32</v>
      </c>
      <c r="D66" s="118" t="s">
        <v>159</v>
      </c>
    </row>
    <row r="67" spans="1:6" ht="15" customHeight="1" x14ac:dyDescent="0.25">
      <c r="A67" s="171" t="s">
        <v>149</v>
      </c>
      <c r="B67" s="172"/>
      <c r="C67" s="139">
        <f>11200+1120</f>
        <v>12320</v>
      </c>
      <c r="D67" s="120" t="s">
        <v>145</v>
      </c>
      <c r="E67" s="38"/>
      <c r="F67" s="38"/>
    </row>
    <row r="68" spans="1:6" ht="15" customHeight="1" x14ac:dyDescent="0.25">
      <c r="A68" s="175" t="s">
        <v>166</v>
      </c>
      <c r="B68" s="176"/>
      <c r="C68" s="139">
        <v>20000</v>
      </c>
      <c r="D68" s="120"/>
      <c r="E68" s="38"/>
      <c r="F68" s="38"/>
    </row>
    <row r="69" spans="1:6" ht="15" customHeight="1" x14ac:dyDescent="0.25">
      <c r="A69" s="175" t="s">
        <v>156</v>
      </c>
      <c r="B69" s="176"/>
      <c r="C69" s="139">
        <v>0</v>
      </c>
      <c r="D69" s="120"/>
      <c r="E69" s="38"/>
      <c r="F69" s="38"/>
    </row>
    <row r="70" spans="1:6" ht="15.75" thickBot="1" x14ac:dyDescent="0.3">
      <c r="A70" s="25" t="s">
        <v>11</v>
      </c>
      <c r="B70" s="24"/>
      <c r="C70" s="24"/>
      <c r="D70" s="89">
        <f>SUM(C66:C69)</f>
        <v>232778.32</v>
      </c>
    </row>
    <row r="71" spans="1:6" ht="15.75" thickBot="1" x14ac:dyDescent="0.3">
      <c r="A71" s="24" t="s">
        <v>29</v>
      </c>
      <c r="B71" s="140"/>
      <c r="C71" s="19"/>
      <c r="D71" s="86"/>
    </row>
    <row r="72" spans="1:6" ht="14.25" customHeight="1" x14ac:dyDescent="0.25">
      <c r="A72" s="171" t="s">
        <v>168</v>
      </c>
      <c r="B72" s="172"/>
      <c r="C72" s="139">
        <v>0</v>
      </c>
      <c r="D72" s="90"/>
    </row>
    <row r="73" spans="1:6" x14ac:dyDescent="0.25">
      <c r="A73" s="79" t="s">
        <v>152</v>
      </c>
      <c r="B73" s="79"/>
      <c r="C73" s="139">
        <v>154402.79</v>
      </c>
      <c r="D73" s="88"/>
    </row>
    <row r="74" spans="1:6" ht="15.75" thickBot="1" x14ac:dyDescent="0.3">
      <c r="A74" s="43" t="s">
        <v>34</v>
      </c>
      <c r="B74" s="43"/>
      <c r="C74" s="91"/>
      <c r="D74" s="83">
        <f>SUM(C72:C73)</f>
        <v>154402.79</v>
      </c>
    </row>
    <row r="75" spans="1:6" ht="15.75" thickBot="1" x14ac:dyDescent="0.3">
      <c r="A75" s="5"/>
      <c r="B75" s="5"/>
      <c r="C75" s="79"/>
      <c r="D75" s="92"/>
    </row>
    <row r="76" spans="1:6" ht="22.5" customHeight="1" thickBot="1" x14ac:dyDescent="0.3">
      <c r="A76" s="168" t="s">
        <v>137</v>
      </c>
      <c r="B76" s="169"/>
      <c r="C76" s="170"/>
      <c r="D76" s="93">
        <f>10000000-9741330.67</f>
        <v>258669.33000000007</v>
      </c>
    </row>
    <row r="77" spans="1:6" ht="15.75" thickBot="1" x14ac:dyDescent="0.3">
      <c r="A77" s="1"/>
      <c r="C77" s="94"/>
      <c r="D77" s="95"/>
      <c r="E77" s="38"/>
    </row>
    <row r="78" spans="1:6" ht="15.75" thickBot="1" x14ac:dyDescent="0.3">
      <c r="A78" s="3" t="s">
        <v>30</v>
      </c>
      <c r="B78" s="10"/>
      <c r="C78" s="96"/>
      <c r="D78" s="97">
        <f>(SUM(D23:D76))</f>
        <v>9209944.7899999991</v>
      </c>
      <c r="E78" s="38"/>
      <c r="F78" s="38"/>
    </row>
    <row r="79" spans="1:6" x14ac:dyDescent="0.25">
      <c r="C79" s="94"/>
      <c r="D79" s="94"/>
      <c r="F79" s="116"/>
    </row>
    <row r="80" spans="1:6" ht="15.75" thickBot="1" x14ac:dyDescent="0.3">
      <c r="C80" s="94"/>
      <c r="D80" s="94"/>
    </row>
    <row r="81" spans="1:4" x14ac:dyDescent="0.25">
      <c r="A81" s="11" t="s">
        <v>40</v>
      </c>
      <c r="B81" s="12"/>
      <c r="C81" s="98"/>
      <c r="D81" s="99"/>
    </row>
    <row r="82" spans="1:4" x14ac:dyDescent="0.25">
      <c r="A82" s="165"/>
      <c r="B82" s="166"/>
      <c r="C82" s="87"/>
      <c r="D82" s="85"/>
    </row>
    <row r="83" spans="1:4" x14ac:dyDescent="0.25">
      <c r="A83" s="165"/>
      <c r="B83" s="166"/>
      <c r="C83" s="87"/>
      <c r="D83" s="85"/>
    </row>
    <row r="84" spans="1:4" x14ac:dyDescent="0.25">
      <c r="A84" s="102"/>
      <c r="B84" s="103"/>
      <c r="C84" s="87"/>
      <c r="D84" s="85"/>
    </row>
    <row r="85" spans="1:4" x14ac:dyDescent="0.25">
      <c r="A85" s="41"/>
      <c r="B85" s="40"/>
      <c r="C85" s="48"/>
      <c r="D85" s="48">
        <f>SUM(C82:C84)</f>
        <v>0</v>
      </c>
    </row>
    <row r="86" spans="1:4" ht="15" customHeight="1" x14ac:dyDescent="0.25"/>
    <row r="87" spans="1:4" hidden="1" x14ac:dyDescent="0.25"/>
    <row r="88" spans="1:4" x14ac:dyDescent="0.25">
      <c r="A88" s="20" t="s">
        <v>41</v>
      </c>
      <c r="B88" s="20"/>
      <c r="C88" s="21"/>
      <c r="D88" s="123">
        <v>2000000</v>
      </c>
    </row>
    <row r="89" spans="1:4" ht="15.75" thickBot="1" x14ac:dyDescent="0.3"/>
    <row r="90" spans="1:4" ht="15.75" thickBot="1" x14ac:dyDescent="0.3">
      <c r="A90" s="3" t="s">
        <v>42</v>
      </c>
      <c r="B90" s="10"/>
      <c r="C90" s="4"/>
      <c r="D90" s="57">
        <f>D85+D88</f>
        <v>2000000</v>
      </c>
    </row>
    <row r="91" spans="1:4" ht="15.75" thickBot="1" x14ac:dyDescent="0.3"/>
    <row r="92" spans="1:4" ht="15.75" thickBot="1" x14ac:dyDescent="0.3">
      <c r="A92" s="77" t="s">
        <v>31</v>
      </c>
      <c r="B92" s="78">
        <f>D78</f>
        <v>9209944.7899999991</v>
      </c>
      <c r="C92" s="38"/>
    </row>
    <row r="93" spans="1:4" ht="15.75" thickBot="1" x14ac:dyDescent="0.3">
      <c r="A93" s="77" t="s">
        <v>32</v>
      </c>
      <c r="B93" s="78">
        <f>D78-D76</f>
        <v>8951275.459999999</v>
      </c>
    </row>
    <row r="94" spans="1:4" ht="15.75" thickBot="1" x14ac:dyDescent="0.3">
      <c r="A94" s="77" t="s">
        <v>43</v>
      </c>
      <c r="B94" s="78">
        <f>D90-D88</f>
        <v>0</v>
      </c>
    </row>
    <row r="95" spans="1:4" ht="15.75" thickBot="1" x14ac:dyDescent="0.3">
      <c r="A95" s="77" t="s">
        <v>88</v>
      </c>
      <c r="B95" s="78">
        <f>D90</f>
        <v>2000000</v>
      </c>
    </row>
    <row r="98" spans="1:4" x14ac:dyDescent="0.25">
      <c r="A98" s="164" t="s">
        <v>157</v>
      </c>
      <c r="B98" s="164"/>
      <c r="C98" s="164"/>
      <c r="D98" s="164"/>
    </row>
    <row r="99" spans="1:4" x14ac:dyDescent="0.25">
      <c r="A99" s="164"/>
      <c r="B99" s="164"/>
      <c r="C99" s="164"/>
      <c r="D99" s="164"/>
    </row>
    <row r="100" spans="1:4" ht="33" customHeight="1" x14ac:dyDescent="0.25">
      <c r="A100" s="164"/>
      <c r="B100" s="164"/>
      <c r="C100" s="164"/>
      <c r="D100" s="164"/>
    </row>
    <row r="102" spans="1:4" x14ac:dyDescent="0.25">
      <c r="A102" s="15" t="s">
        <v>79</v>
      </c>
      <c r="B102" s="35"/>
    </row>
    <row r="103" spans="1:4" ht="25.5" customHeight="1" x14ac:dyDescent="0.25">
      <c r="A103" s="23" t="s">
        <v>33</v>
      </c>
      <c r="B103" s="104">
        <v>10621043.57</v>
      </c>
    </row>
    <row r="104" spans="1:4" ht="14.25" customHeight="1" x14ac:dyDescent="0.25">
      <c r="A104" s="16" t="s">
        <v>91</v>
      </c>
      <c r="B104" s="36">
        <f>PRORRATEO!H35</f>
        <v>11308355.08</v>
      </c>
    </row>
    <row r="105" spans="1:4" ht="18.75" customHeight="1" x14ac:dyDescent="0.25">
      <c r="A105" s="159" t="s">
        <v>90</v>
      </c>
      <c r="B105" s="88">
        <f>B120</f>
        <v>0</v>
      </c>
    </row>
    <row r="106" spans="1:4" ht="18" customHeight="1" x14ac:dyDescent="0.25">
      <c r="A106" s="17" t="s">
        <v>164</v>
      </c>
      <c r="B106" s="117">
        <v>0</v>
      </c>
    </row>
    <row r="107" spans="1:4" ht="18" hidden="1" customHeight="1" x14ac:dyDescent="0.25">
      <c r="A107" s="17"/>
      <c r="B107" s="117">
        <v>-119743</v>
      </c>
    </row>
    <row r="108" spans="1:4" x14ac:dyDescent="0.25">
      <c r="A108" s="34" t="s">
        <v>44</v>
      </c>
      <c r="B108" s="117">
        <f>-B93</f>
        <v>-8951275.459999999</v>
      </c>
    </row>
    <row r="109" spans="1:4" x14ac:dyDescent="0.25">
      <c r="A109" s="17" t="s">
        <v>45</v>
      </c>
      <c r="B109" s="88">
        <f>-(B94)</f>
        <v>0</v>
      </c>
    </row>
    <row r="110" spans="1:4" x14ac:dyDescent="0.25">
      <c r="A110" s="22" t="s">
        <v>11</v>
      </c>
      <c r="B110" s="104">
        <f>SUM(B103:B109)</f>
        <v>12858380.189999999</v>
      </c>
      <c r="D110" s="155"/>
    </row>
    <row r="111" spans="1:4" x14ac:dyDescent="0.25">
      <c r="A111" s="160"/>
      <c r="B111" s="161"/>
      <c r="D111" s="155"/>
    </row>
    <row r="112" spans="1:4" x14ac:dyDescent="0.25">
      <c r="A112" s="167" t="s">
        <v>170</v>
      </c>
      <c r="B112" s="167"/>
      <c r="D112" s="155"/>
    </row>
    <row r="113" spans="1:12" x14ac:dyDescent="0.25">
      <c r="A113" s="167"/>
      <c r="B113" s="167"/>
      <c r="D113" s="155"/>
    </row>
    <row r="114" spans="1:12" x14ac:dyDescent="0.25">
      <c r="A114" s="167"/>
      <c r="B114" s="167"/>
      <c r="D114" s="155"/>
    </row>
    <row r="115" spans="1:12" x14ac:dyDescent="0.25">
      <c r="D115" s="156"/>
    </row>
    <row r="116" spans="1:12" x14ac:dyDescent="0.25">
      <c r="A116" s="163" t="s">
        <v>78</v>
      </c>
      <c r="B116" s="163"/>
    </row>
    <row r="117" spans="1:12" ht="27.75" customHeight="1" x14ac:dyDescent="0.25">
      <c r="A117" s="163"/>
      <c r="B117" s="163"/>
    </row>
    <row r="118" spans="1:12" ht="32.25" customHeight="1" x14ac:dyDescent="0.25">
      <c r="A118" s="100"/>
      <c r="B118" s="29"/>
    </row>
    <row r="119" spans="1:12" ht="32.25" customHeight="1" x14ac:dyDescent="0.25">
      <c r="A119" s="100"/>
      <c r="B119" s="29"/>
    </row>
    <row r="120" spans="1:12" x14ac:dyDescent="0.25">
      <c r="A120" s="39" t="s">
        <v>11</v>
      </c>
      <c r="B120" s="101">
        <f>SUM(B118:B119)</f>
        <v>0</v>
      </c>
    </row>
    <row r="121" spans="1:12" ht="30" customHeight="1" x14ac:dyDescent="0.25">
      <c r="L121" s="8"/>
    </row>
    <row r="122" spans="1:12" ht="15" customHeight="1" x14ac:dyDescent="0.25">
      <c r="A122" s="162"/>
      <c r="B122" s="162"/>
      <c r="C122" s="162"/>
      <c r="D122" s="162"/>
    </row>
    <row r="123" spans="1:12" x14ac:dyDescent="0.25">
      <c r="A123" s="162"/>
      <c r="B123" s="162"/>
      <c r="C123" s="162"/>
      <c r="D123" s="162"/>
    </row>
    <row r="124" spans="1:12" x14ac:dyDescent="0.25">
      <c r="A124" s="162"/>
      <c r="B124" s="162"/>
      <c r="C124" s="162"/>
      <c r="D124" s="162"/>
    </row>
    <row r="125" spans="1:12" x14ac:dyDescent="0.25">
      <c r="A125" s="162"/>
      <c r="B125" s="162"/>
      <c r="C125" s="162"/>
      <c r="D125" s="162"/>
    </row>
  </sheetData>
  <mergeCells count="19">
    <mergeCell ref="B9:B11"/>
    <mergeCell ref="A48:B48"/>
    <mergeCell ref="A4:B7"/>
    <mergeCell ref="A14:D17"/>
    <mergeCell ref="A76:C76"/>
    <mergeCell ref="A67:B67"/>
    <mergeCell ref="A61:B61"/>
    <mergeCell ref="A62:B62"/>
    <mergeCell ref="A66:B66"/>
    <mergeCell ref="A63:B63"/>
    <mergeCell ref="A68:B68"/>
    <mergeCell ref="A69:B69"/>
    <mergeCell ref="A72:B72"/>
    <mergeCell ref="A122:D125"/>
    <mergeCell ref="A116:B117"/>
    <mergeCell ref="A98:D100"/>
    <mergeCell ref="A83:B83"/>
    <mergeCell ref="A82:B82"/>
    <mergeCell ref="A112:B11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topLeftCell="B1" zoomScaleNormal="100" workbookViewId="0">
      <selection activeCell="H6" sqref="H6:H33"/>
    </sheetView>
  </sheetViews>
  <sheetFormatPr baseColWidth="10" defaultColWidth="10.85546875" defaultRowHeight="15" x14ac:dyDescent="0.25"/>
  <cols>
    <col min="1" max="1" width="5" hidden="1" customWidth="1"/>
    <col min="2" max="2" width="5.5703125" customWidth="1"/>
    <col min="3" max="3" width="4.42578125" customWidth="1"/>
    <col min="4" max="4" width="18.5703125" customWidth="1"/>
    <col min="5" max="5" width="9.140625" hidden="1" customWidth="1"/>
    <col min="6" max="6" width="5.140625" customWidth="1"/>
    <col min="7" max="7" width="14.140625" customWidth="1"/>
    <col min="8" max="8" width="14" customWidth="1"/>
    <col min="9" max="9" width="7.570312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5.4257812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86" t="str">
        <f>RESUMEN!A4</f>
        <v>Banco Santander
Tipo de cuenta: Cuenta corriente en pesos
Número de cuenta: 039-0234504
CBU: 0720039720000002345040
Alias: ALFA.CETRO.AMOROSAS</v>
      </c>
      <c r="C1" s="186"/>
      <c r="D1" s="186"/>
      <c r="E1" s="186"/>
      <c r="F1" s="186"/>
      <c r="G1" s="186"/>
      <c r="H1" s="186"/>
      <c r="I1" s="186"/>
      <c r="J1" s="186"/>
      <c r="K1" s="186"/>
      <c r="L1" s="6"/>
      <c r="M1" s="6"/>
      <c r="N1" s="6"/>
      <c r="O1" s="6"/>
      <c r="P1" s="6"/>
    </row>
    <row r="2" spans="1:19" ht="33.75" customHeight="1" x14ac:dyDescent="0.25">
      <c r="A2" s="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7" t="s">
        <v>4</v>
      </c>
      <c r="M2" s="6"/>
      <c r="N2" s="6"/>
      <c r="O2" s="136">
        <v>10000000</v>
      </c>
      <c r="P2" s="45"/>
      <c r="Q2" s="14"/>
    </row>
    <row r="3" spans="1:19" ht="48" customHeight="1" thickBot="1" x14ac:dyDescent="0.3">
      <c r="A3" s="6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7" t="s">
        <v>93</v>
      </c>
      <c r="M3" s="6"/>
      <c r="N3" s="6"/>
      <c r="O3" s="137">
        <v>2000000</v>
      </c>
      <c r="P3" s="49"/>
    </row>
    <row r="4" spans="1:19" x14ac:dyDescent="0.25">
      <c r="A4" s="180" t="s">
        <v>5</v>
      </c>
      <c r="B4" s="182" t="s">
        <v>6</v>
      </c>
      <c r="C4" s="184" t="s">
        <v>7</v>
      </c>
      <c r="D4" s="184" t="s">
        <v>8</v>
      </c>
      <c r="E4" s="184" t="s">
        <v>48</v>
      </c>
      <c r="F4" s="184" t="s">
        <v>28</v>
      </c>
      <c r="G4" s="184" t="s">
        <v>89</v>
      </c>
      <c r="H4" s="184" t="s">
        <v>9</v>
      </c>
      <c r="I4" s="184" t="s">
        <v>49</v>
      </c>
      <c r="J4" s="193" t="s">
        <v>50</v>
      </c>
      <c r="K4" s="191" t="s">
        <v>47</v>
      </c>
      <c r="L4" s="191" t="s">
        <v>10</v>
      </c>
      <c r="M4" s="191" t="s">
        <v>46</v>
      </c>
      <c r="N4" s="196" t="s">
        <v>87</v>
      </c>
      <c r="O4" s="52" t="s">
        <v>86</v>
      </c>
      <c r="P4" s="188" t="s">
        <v>85</v>
      </c>
      <c r="S4" s="38"/>
    </row>
    <row r="5" spans="1:19" ht="15.75" customHeight="1" x14ac:dyDescent="0.25">
      <c r="A5" s="181"/>
      <c r="B5" s="183"/>
      <c r="C5" s="185"/>
      <c r="D5" s="185"/>
      <c r="E5" s="190"/>
      <c r="F5" s="185"/>
      <c r="G5" s="185"/>
      <c r="H5" s="185"/>
      <c r="I5" s="190"/>
      <c r="J5" s="194"/>
      <c r="K5" s="192"/>
      <c r="L5" s="195"/>
      <c r="M5" s="192"/>
      <c r="N5" s="197"/>
      <c r="O5" s="50" t="str">
        <f>RESUMEN!B9</f>
        <v>VTO 15/05</v>
      </c>
      <c r="P5" s="189"/>
    </row>
    <row r="6" spans="1:19" ht="17.100000000000001" customHeight="1" x14ac:dyDescent="0.25">
      <c r="A6" s="5" t="s">
        <v>12</v>
      </c>
      <c r="B6" s="53">
        <v>1</v>
      </c>
      <c r="C6" s="53" t="s">
        <v>51</v>
      </c>
      <c r="D6" s="53" t="s">
        <v>95</v>
      </c>
      <c r="E6" s="53"/>
      <c r="F6" s="58">
        <v>4.57</v>
      </c>
      <c r="G6" s="59">
        <v>548400.01</v>
      </c>
      <c r="H6" s="60">
        <f>G6</f>
        <v>548400.01</v>
      </c>
      <c r="I6" s="61"/>
      <c r="J6" s="62">
        <f>G6-H6</f>
        <v>0</v>
      </c>
      <c r="K6" s="62">
        <f>IF(J6&gt;0,J6*2.95%,0)</f>
        <v>0</v>
      </c>
      <c r="L6" s="63">
        <f>O$3*F6%</f>
        <v>91400.000000000015</v>
      </c>
      <c r="M6" s="63">
        <f>O$2*F6%</f>
        <v>457000.00000000006</v>
      </c>
      <c r="N6" s="64">
        <v>0</v>
      </c>
      <c r="O6" s="65">
        <f t="shared" ref="O6:O34" si="0">ROUND(SUM(J6:N6),0) + Q6</f>
        <v>548400.01</v>
      </c>
      <c r="P6" s="66">
        <f t="shared" ref="P6:P34" si="1">ROUND(O6*3%,0) + O6</f>
        <v>564852.01</v>
      </c>
      <c r="Q6" s="38">
        <v>0.01</v>
      </c>
    </row>
    <row r="7" spans="1:19" ht="17.100000000000001" customHeight="1" x14ac:dyDescent="0.25">
      <c r="A7" s="5" t="s">
        <v>13</v>
      </c>
      <c r="B7" s="141">
        <v>2</v>
      </c>
      <c r="C7" s="141" t="s">
        <v>52</v>
      </c>
      <c r="D7" s="141" t="s">
        <v>96</v>
      </c>
      <c r="E7" s="148"/>
      <c r="F7" s="142">
        <v>3.07</v>
      </c>
      <c r="G7" s="60">
        <v>368400.02</v>
      </c>
      <c r="H7" s="60">
        <v>0</v>
      </c>
      <c r="I7" s="61"/>
      <c r="J7" s="143">
        <f t="shared" ref="J7:J32" si="2">G7-H7</f>
        <v>368400.02</v>
      </c>
      <c r="K7" s="143">
        <f t="shared" ref="K7:K33" si="3">IF(J7&gt;0,J7*2.95%,0)</f>
        <v>10867.800590000001</v>
      </c>
      <c r="L7" s="144">
        <f t="shared" ref="L7:L34" si="4">O$3*F7%</f>
        <v>61399.999999999993</v>
      </c>
      <c r="M7" s="144">
        <f t="shared" ref="M7:M34" si="5">O$2*F7%</f>
        <v>307000</v>
      </c>
      <c r="N7" s="145">
        <v>0</v>
      </c>
      <c r="O7" s="146">
        <f t="shared" si="0"/>
        <v>747668.02</v>
      </c>
      <c r="P7" s="147">
        <f t="shared" si="1"/>
        <v>770098.02</v>
      </c>
      <c r="Q7" s="38">
        <f>Q6+0.01</f>
        <v>0.02</v>
      </c>
      <c r="R7" s="38" t="s">
        <v>144</v>
      </c>
    </row>
    <row r="8" spans="1:19" ht="32.25" customHeight="1" x14ac:dyDescent="0.25">
      <c r="A8" s="5" t="s">
        <v>13</v>
      </c>
      <c r="B8" s="124">
        <v>3</v>
      </c>
      <c r="C8" s="124" t="s">
        <v>53</v>
      </c>
      <c r="D8" s="125" t="s">
        <v>138</v>
      </c>
      <c r="E8" s="126"/>
      <c r="F8" s="127">
        <v>4.55</v>
      </c>
      <c r="G8" s="128">
        <v>1123620.03</v>
      </c>
      <c r="H8" s="128">
        <v>546000</v>
      </c>
      <c r="I8" s="129"/>
      <c r="J8" s="130">
        <f t="shared" si="2"/>
        <v>577620.03</v>
      </c>
      <c r="K8" s="130">
        <f t="shared" si="3"/>
        <v>17039.790885000002</v>
      </c>
      <c r="L8" s="131">
        <f t="shared" si="4"/>
        <v>91000</v>
      </c>
      <c r="M8" s="131">
        <f t="shared" si="5"/>
        <v>455000</v>
      </c>
      <c r="N8" s="132">
        <v>0</v>
      </c>
      <c r="O8" s="133">
        <f t="shared" si="0"/>
        <v>1140660.03</v>
      </c>
      <c r="P8" s="134">
        <f t="shared" si="1"/>
        <v>1174880.03</v>
      </c>
      <c r="Q8" s="38">
        <f t="shared" ref="Q8:Q33" si="6">Q7+0.01</f>
        <v>0.03</v>
      </c>
    </row>
    <row r="9" spans="1:19" ht="32.25" customHeight="1" x14ac:dyDescent="0.25">
      <c r="A9" s="5"/>
      <c r="B9" s="198" t="s">
        <v>147</v>
      </c>
      <c r="C9" s="199"/>
      <c r="D9" s="200"/>
      <c r="E9" s="126"/>
      <c r="F9" s="127"/>
      <c r="G9" s="128"/>
      <c r="H9" s="128">
        <v>400000</v>
      </c>
      <c r="I9" s="129"/>
      <c r="J9" s="130"/>
      <c r="K9" s="130"/>
      <c r="L9" s="131"/>
      <c r="M9" s="131"/>
      <c r="N9" s="132"/>
      <c r="O9" s="133"/>
      <c r="P9" s="134"/>
      <c r="Q9" s="38"/>
    </row>
    <row r="10" spans="1:19" ht="17.100000000000001" customHeight="1" x14ac:dyDescent="0.25">
      <c r="A10" s="5" t="s">
        <v>14</v>
      </c>
      <c r="B10" s="53">
        <v>4</v>
      </c>
      <c r="C10" s="53" t="s">
        <v>54</v>
      </c>
      <c r="D10" s="53" t="s">
        <v>97</v>
      </c>
      <c r="E10" s="54"/>
      <c r="F10" s="58">
        <v>3.05</v>
      </c>
      <c r="G10" s="59">
        <v>366812.04</v>
      </c>
      <c r="H10" s="60">
        <v>380000</v>
      </c>
      <c r="I10" s="61"/>
      <c r="J10" s="62">
        <f t="shared" si="2"/>
        <v>-13187.960000000021</v>
      </c>
      <c r="K10" s="62">
        <f t="shared" si="3"/>
        <v>0</v>
      </c>
      <c r="L10" s="63">
        <f t="shared" si="4"/>
        <v>61000</v>
      </c>
      <c r="M10" s="63">
        <f t="shared" si="5"/>
        <v>305000</v>
      </c>
      <c r="N10" s="64">
        <v>0</v>
      </c>
      <c r="O10" s="65">
        <f t="shared" si="0"/>
        <v>352812.04</v>
      </c>
      <c r="P10" s="66">
        <f t="shared" si="1"/>
        <v>363396.04</v>
      </c>
      <c r="Q10" s="38">
        <f>Q8+0.01</f>
        <v>0.04</v>
      </c>
      <c r="R10" t="s">
        <v>135</v>
      </c>
      <c r="S10" s="38"/>
    </row>
    <row r="11" spans="1:19" ht="17.100000000000001" customHeight="1" x14ac:dyDescent="0.25">
      <c r="A11" s="5" t="s">
        <v>14</v>
      </c>
      <c r="B11" s="53">
        <v>5</v>
      </c>
      <c r="C11" s="53" t="s">
        <v>55</v>
      </c>
      <c r="D11" s="53" t="s">
        <v>98</v>
      </c>
      <c r="E11" s="54"/>
      <c r="F11" s="58">
        <v>4.55</v>
      </c>
      <c r="G11" s="59">
        <v>542837.05000000005</v>
      </c>
      <c r="H11" s="60">
        <v>543000</v>
      </c>
      <c r="I11" s="61"/>
      <c r="J11" s="62">
        <f t="shared" si="2"/>
        <v>-162.94999999995343</v>
      </c>
      <c r="K11" s="62">
        <f t="shared" si="3"/>
        <v>0</v>
      </c>
      <c r="L11" s="63">
        <f t="shared" si="4"/>
        <v>91000</v>
      </c>
      <c r="M11" s="63">
        <f t="shared" si="5"/>
        <v>455000</v>
      </c>
      <c r="N11" s="64">
        <v>0</v>
      </c>
      <c r="O11" s="65">
        <f t="shared" si="0"/>
        <v>545837.05000000005</v>
      </c>
      <c r="P11" s="66">
        <f t="shared" si="1"/>
        <v>562212.05000000005</v>
      </c>
      <c r="Q11" s="38">
        <f t="shared" si="6"/>
        <v>0.05</v>
      </c>
      <c r="S11" s="38"/>
    </row>
    <row r="12" spans="1:19" ht="17.100000000000001" customHeight="1" x14ac:dyDescent="0.25">
      <c r="A12" s="5" t="s">
        <v>15</v>
      </c>
      <c r="B12" s="53">
        <v>6</v>
      </c>
      <c r="C12" s="53" t="s">
        <v>56</v>
      </c>
      <c r="D12" s="53" t="s">
        <v>99</v>
      </c>
      <c r="E12" s="53"/>
      <c r="F12" s="58">
        <v>3.05</v>
      </c>
      <c r="G12" s="59">
        <v>355020.06</v>
      </c>
      <c r="H12" s="60">
        <v>365671.06</v>
      </c>
      <c r="I12" s="61"/>
      <c r="J12" s="62">
        <f t="shared" si="2"/>
        <v>-10651</v>
      </c>
      <c r="K12" s="62">
        <f t="shared" si="3"/>
        <v>0</v>
      </c>
      <c r="L12" s="63">
        <f t="shared" si="4"/>
        <v>61000</v>
      </c>
      <c r="M12" s="63">
        <f t="shared" si="5"/>
        <v>305000</v>
      </c>
      <c r="N12" s="64">
        <v>0</v>
      </c>
      <c r="O12" s="65">
        <f t="shared" si="0"/>
        <v>355349.06</v>
      </c>
      <c r="P12" s="66">
        <f t="shared" si="1"/>
        <v>366009.06</v>
      </c>
      <c r="Q12" s="38">
        <f t="shared" si="6"/>
        <v>6.0000000000000005E-2</v>
      </c>
    </row>
    <row r="13" spans="1:19" ht="17.100000000000001" customHeight="1" x14ac:dyDescent="0.25">
      <c r="A13" s="5" t="s">
        <v>15</v>
      </c>
      <c r="B13" s="141">
        <v>7</v>
      </c>
      <c r="C13" s="141" t="s">
        <v>57</v>
      </c>
      <c r="D13" s="141" t="s">
        <v>100</v>
      </c>
      <c r="E13" s="141"/>
      <c r="F13" s="142">
        <v>4.55</v>
      </c>
      <c r="G13" s="60">
        <v>546000.06999999995</v>
      </c>
      <c r="H13" s="60">
        <f>G13</f>
        <v>546000.06999999995</v>
      </c>
      <c r="I13" s="61"/>
      <c r="J13" s="143">
        <f t="shared" si="2"/>
        <v>0</v>
      </c>
      <c r="K13" s="143">
        <f t="shared" si="3"/>
        <v>0</v>
      </c>
      <c r="L13" s="144">
        <f t="shared" si="4"/>
        <v>91000</v>
      </c>
      <c r="M13" s="144">
        <f t="shared" si="5"/>
        <v>455000</v>
      </c>
      <c r="N13" s="145">
        <v>0</v>
      </c>
      <c r="O13" s="146">
        <f t="shared" si="0"/>
        <v>546000.06999999995</v>
      </c>
      <c r="P13" s="147">
        <f t="shared" si="1"/>
        <v>562380.06999999995</v>
      </c>
      <c r="Q13" s="38">
        <f t="shared" si="6"/>
        <v>7.0000000000000007E-2</v>
      </c>
      <c r="R13" s="116"/>
      <c r="S13" s="115"/>
    </row>
    <row r="14" spans="1:19" ht="17.100000000000001" customHeight="1" x14ac:dyDescent="0.25">
      <c r="A14" s="5" t="s">
        <v>16</v>
      </c>
      <c r="B14" s="53">
        <v>8</v>
      </c>
      <c r="C14" s="53" t="s">
        <v>58</v>
      </c>
      <c r="D14" s="53" t="s">
        <v>101</v>
      </c>
      <c r="E14" s="54"/>
      <c r="F14" s="58">
        <v>3.05</v>
      </c>
      <c r="G14" s="59">
        <v>366000.08</v>
      </c>
      <c r="H14" s="60">
        <v>514068</v>
      </c>
      <c r="I14" s="61"/>
      <c r="J14" s="62">
        <f t="shared" si="2"/>
        <v>-148067.91999999998</v>
      </c>
      <c r="K14" s="62">
        <f t="shared" si="3"/>
        <v>0</v>
      </c>
      <c r="L14" s="63">
        <f t="shared" si="4"/>
        <v>61000</v>
      </c>
      <c r="M14" s="63">
        <f t="shared" si="5"/>
        <v>305000</v>
      </c>
      <c r="N14" s="64">
        <v>0</v>
      </c>
      <c r="O14" s="65">
        <f t="shared" si="0"/>
        <v>217932.08</v>
      </c>
      <c r="P14" s="66">
        <f t="shared" si="1"/>
        <v>224470.08</v>
      </c>
      <c r="Q14" s="38">
        <f t="shared" si="6"/>
        <v>0.08</v>
      </c>
    </row>
    <row r="15" spans="1:19" ht="17.100000000000001" customHeight="1" x14ac:dyDescent="0.25">
      <c r="A15" s="5" t="s">
        <v>16</v>
      </c>
      <c r="B15" s="53">
        <v>9</v>
      </c>
      <c r="C15" s="53" t="s">
        <v>59</v>
      </c>
      <c r="D15" s="53" t="s">
        <v>102</v>
      </c>
      <c r="E15" s="54"/>
      <c r="F15" s="58">
        <v>4.5599999999999996</v>
      </c>
      <c r="G15" s="59">
        <v>547200.09</v>
      </c>
      <c r="H15" s="151">
        <v>550000</v>
      </c>
      <c r="I15" s="61"/>
      <c r="J15" s="62">
        <f t="shared" si="2"/>
        <v>-2799.9100000000326</v>
      </c>
      <c r="K15" s="62">
        <f t="shared" si="3"/>
        <v>0</v>
      </c>
      <c r="L15" s="63">
        <f t="shared" si="4"/>
        <v>91199.999999999985</v>
      </c>
      <c r="M15" s="63">
        <f t="shared" si="5"/>
        <v>455999.99999999994</v>
      </c>
      <c r="N15" s="64">
        <v>0</v>
      </c>
      <c r="O15" s="65">
        <f t="shared" si="0"/>
        <v>544400.09</v>
      </c>
      <c r="P15" s="66">
        <f t="shared" si="1"/>
        <v>560732.09</v>
      </c>
      <c r="Q15" s="38">
        <f t="shared" si="6"/>
        <v>0.09</v>
      </c>
      <c r="R15" t="s">
        <v>140</v>
      </c>
    </row>
    <row r="16" spans="1:19" ht="17.100000000000001" customHeight="1" x14ac:dyDescent="0.25">
      <c r="A16" s="5" t="s">
        <v>17</v>
      </c>
      <c r="B16" s="53">
        <v>10</v>
      </c>
      <c r="C16" s="53" t="s">
        <v>60</v>
      </c>
      <c r="D16" s="53" t="s">
        <v>103</v>
      </c>
      <c r="E16" s="54"/>
      <c r="F16" s="58">
        <v>3.05</v>
      </c>
      <c r="G16" s="59">
        <v>367030.1</v>
      </c>
      <c r="H16" s="60">
        <v>367000</v>
      </c>
      <c r="I16" s="61"/>
      <c r="J16" s="62">
        <f t="shared" si="2"/>
        <v>30.099999999976717</v>
      </c>
      <c r="K16" s="62">
        <f t="shared" si="3"/>
        <v>0.88794999999931323</v>
      </c>
      <c r="L16" s="63">
        <f t="shared" si="4"/>
        <v>61000</v>
      </c>
      <c r="M16" s="63">
        <f t="shared" si="5"/>
        <v>305000</v>
      </c>
      <c r="N16" s="64">
        <v>0</v>
      </c>
      <c r="O16" s="65">
        <f t="shared" si="0"/>
        <v>366031.1</v>
      </c>
      <c r="P16" s="66">
        <f t="shared" si="1"/>
        <v>377012.1</v>
      </c>
      <c r="Q16" s="38">
        <f t="shared" si="6"/>
        <v>9.9999999999999992E-2</v>
      </c>
      <c r="R16" t="s">
        <v>142</v>
      </c>
    </row>
    <row r="17" spans="1:19" ht="17.100000000000001" customHeight="1" x14ac:dyDescent="0.25">
      <c r="A17" s="5" t="s">
        <v>17</v>
      </c>
      <c r="B17" s="53">
        <v>11</v>
      </c>
      <c r="C17" s="53" t="s">
        <v>61</v>
      </c>
      <c r="D17" s="53" t="s">
        <v>104</v>
      </c>
      <c r="E17" s="54"/>
      <c r="F17" s="58">
        <v>4.55</v>
      </c>
      <c r="G17" s="59">
        <v>546000.11</v>
      </c>
      <c r="H17" s="60">
        <f>G17</f>
        <v>546000.11</v>
      </c>
      <c r="I17" s="61"/>
      <c r="J17" s="62">
        <f t="shared" si="2"/>
        <v>0</v>
      </c>
      <c r="K17" s="62">
        <f t="shared" si="3"/>
        <v>0</v>
      </c>
      <c r="L17" s="63">
        <f t="shared" si="4"/>
        <v>91000</v>
      </c>
      <c r="M17" s="63">
        <f t="shared" si="5"/>
        <v>455000</v>
      </c>
      <c r="N17" s="64">
        <v>0</v>
      </c>
      <c r="O17" s="65">
        <f t="shared" si="0"/>
        <v>546000.11</v>
      </c>
      <c r="P17" s="66">
        <f t="shared" si="1"/>
        <v>562380.11</v>
      </c>
      <c r="Q17" s="38">
        <f t="shared" si="6"/>
        <v>0.10999999999999999</v>
      </c>
    </row>
    <row r="18" spans="1:19" ht="17.100000000000001" customHeight="1" x14ac:dyDescent="0.25">
      <c r="A18" s="5" t="s">
        <v>18</v>
      </c>
      <c r="B18" s="53">
        <v>12</v>
      </c>
      <c r="C18" s="53" t="s">
        <v>62</v>
      </c>
      <c r="D18" s="53" t="s">
        <v>105</v>
      </c>
      <c r="E18" s="54"/>
      <c r="F18" s="58">
        <v>3.05</v>
      </c>
      <c r="G18" s="59">
        <v>366000.12</v>
      </c>
      <c r="H18" s="60">
        <v>380000</v>
      </c>
      <c r="I18" s="61"/>
      <c r="J18" s="62">
        <f t="shared" si="2"/>
        <v>-13999.880000000005</v>
      </c>
      <c r="K18" s="62">
        <f t="shared" si="3"/>
        <v>0</v>
      </c>
      <c r="L18" s="63">
        <f t="shared" si="4"/>
        <v>61000</v>
      </c>
      <c r="M18" s="63">
        <f t="shared" si="5"/>
        <v>305000</v>
      </c>
      <c r="N18" s="64">
        <v>0</v>
      </c>
      <c r="O18" s="65">
        <f t="shared" si="0"/>
        <v>352000.12</v>
      </c>
      <c r="P18" s="66">
        <f t="shared" si="1"/>
        <v>362560.12</v>
      </c>
      <c r="Q18" s="38">
        <f t="shared" si="6"/>
        <v>0.11999999999999998</v>
      </c>
    </row>
    <row r="19" spans="1:19" ht="17.100000000000001" customHeight="1" x14ac:dyDescent="0.25">
      <c r="A19" s="5" t="s">
        <v>18</v>
      </c>
      <c r="B19" s="53">
        <v>13</v>
      </c>
      <c r="C19" s="53" t="s">
        <v>63</v>
      </c>
      <c r="D19" s="53" t="s">
        <v>106</v>
      </c>
      <c r="E19" s="54"/>
      <c r="F19" s="58">
        <v>4.55</v>
      </c>
      <c r="G19" s="59">
        <v>529620.13</v>
      </c>
      <c r="H19" s="60">
        <v>545509.13</v>
      </c>
      <c r="I19" s="61"/>
      <c r="J19" s="62">
        <f t="shared" si="2"/>
        <v>-15889</v>
      </c>
      <c r="K19" s="62">
        <f t="shared" si="3"/>
        <v>0</v>
      </c>
      <c r="L19" s="63">
        <f t="shared" si="4"/>
        <v>91000</v>
      </c>
      <c r="M19" s="63">
        <f t="shared" si="5"/>
        <v>455000</v>
      </c>
      <c r="N19" s="64">
        <v>0</v>
      </c>
      <c r="O19" s="65">
        <f t="shared" si="0"/>
        <v>530111.13</v>
      </c>
      <c r="P19" s="66">
        <f t="shared" si="1"/>
        <v>546014.13</v>
      </c>
      <c r="Q19" s="38">
        <f t="shared" si="6"/>
        <v>0.12999999999999998</v>
      </c>
    </row>
    <row r="20" spans="1:19" ht="17.100000000000001" customHeight="1" x14ac:dyDescent="0.25">
      <c r="A20" s="5" t="s">
        <v>19</v>
      </c>
      <c r="B20" s="53">
        <v>14</v>
      </c>
      <c r="C20" s="53" t="s">
        <v>64</v>
      </c>
      <c r="D20" s="53" t="s">
        <v>107</v>
      </c>
      <c r="E20" s="54"/>
      <c r="F20" s="58">
        <v>3.18</v>
      </c>
      <c r="G20" s="59">
        <v>381600.14</v>
      </c>
      <c r="H20" s="60">
        <f>G20</f>
        <v>381600.14</v>
      </c>
      <c r="I20" s="61"/>
      <c r="J20" s="62">
        <f t="shared" si="2"/>
        <v>0</v>
      </c>
      <c r="K20" s="62">
        <f t="shared" si="3"/>
        <v>0</v>
      </c>
      <c r="L20" s="63">
        <f t="shared" si="4"/>
        <v>63600.000000000007</v>
      </c>
      <c r="M20" s="63">
        <f t="shared" si="5"/>
        <v>318000</v>
      </c>
      <c r="N20" s="64">
        <v>0</v>
      </c>
      <c r="O20" s="65">
        <f t="shared" si="0"/>
        <v>381600.14</v>
      </c>
      <c r="P20" s="66">
        <f t="shared" si="1"/>
        <v>393048.14</v>
      </c>
      <c r="Q20" s="38">
        <f t="shared" si="6"/>
        <v>0.13999999999999999</v>
      </c>
    </row>
    <row r="21" spans="1:19" ht="17.100000000000001" customHeight="1" x14ac:dyDescent="0.25">
      <c r="A21" s="5" t="s">
        <v>19</v>
      </c>
      <c r="B21" s="53">
        <v>15</v>
      </c>
      <c r="C21" s="53" t="s">
        <v>65</v>
      </c>
      <c r="D21" s="53" t="s">
        <v>108</v>
      </c>
      <c r="E21" s="54"/>
      <c r="F21" s="58">
        <v>4.55</v>
      </c>
      <c r="G21" s="59">
        <v>546000.15</v>
      </c>
      <c r="H21" s="60">
        <f>G21</f>
        <v>546000.15</v>
      </c>
      <c r="I21" s="61"/>
      <c r="J21" s="62">
        <f t="shared" si="2"/>
        <v>0</v>
      </c>
      <c r="K21" s="62">
        <f t="shared" si="3"/>
        <v>0</v>
      </c>
      <c r="L21" s="63">
        <f t="shared" si="4"/>
        <v>91000</v>
      </c>
      <c r="M21" s="63">
        <f t="shared" si="5"/>
        <v>455000</v>
      </c>
      <c r="N21" s="64">
        <v>0</v>
      </c>
      <c r="O21" s="65">
        <f t="shared" si="0"/>
        <v>546000.15</v>
      </c>
      <c r="P21" s="66">
        <f t="shared" si="1"/>
        <v>562380.15</v>
      </c>
      <c r="Q21" s="38">
        <f t="shared" si="6"/>
        <v>0.15</v>
      </c>
    </row>
    <row r="22" spans="1:19" ht="17.100000000000001" customHeight="1" x14ac:dyDescent="0.25">
      <c r="A22" s="5" t="s">
        <v>20</v>
      </c>
      <c r="B22" s="53">
        <v>16</v>
      </c>
      <c r="C22" s="53" t="s">
        <v>66</v>
      </c>
      <c r="D22" s="53" t="s">
        <v>109</v>
      </c>
      <c r="E22" s="53"/>
      <c r="F22" s="58">
        <v>3.17</v>
      </c>
      <c r="G22" s="59">
        <v>380400.16</v>
      </c>
      <c r="H22" s="60">
        <f>G22</f>
        <v>380400.16</v>
      </c>
      <c r="I22" s="61"/>
      <c r="J22" s="62">
        <f t="shared" si="2"/>
        <v>0</v>
      </c>
      <c r="K22" s="62">
        <f t="shared" si="3"/>
        <v>0</v>
      </c>
      <c r="L22" s="63">
        <f t="shared" si="4"/>
        <v>63400</v>
      </c>
      <c r="M22" s="63">
        <f t="shared" si="5"/>
        <v>317000</v>
      </c>
      <c r="N22" s="64">
        <v>0</v>
      </c>
      <c r="O22" s="65">
        <f t="shared" si="0"/>
        <v>380400.16</v>
      </c>
      <c r="P22" s="66">
        <f t="shared" si="1"/>
        <v>391812.16</v>
      </c>
      <c r="Q22" s="38">
        <f t="shared" si="6"/>
        <v>0.16</v>
      </c>
      <c r="R22" t="s">
        <v>141</v>
      </c>
      <c r="S22" s="37"/>
    </row>
    <row r="23" spans="1:19" ht="17.100000000000001" customHeight="1" x14ac:dyDescent="0.25">
      <c r="A23" s="5" t="s">
        <v>20</v>
      </c>
      <c r="B23" s="53">
        <v>17</v>
      </c>
      <c r="C23" s="53" t="s">
        <v>67</v>
      </c>
      <c r="D23" s="53" t="s">
        <v>110</v>
      </c>
      <c r="E23" s="54"/>
      <c r="F23" s="58">
        <v>4.55</v>
      </c>
      <c r="G23" s="60">
        <v>546000.17000000004</v>
      </c>
      <c r="H23" s="60"/>
      <c r="I23" s="61"/>
      <c r="J23" s="62">
        <f t="shared" si="2"/>
        <v>546000.17000000004</v>
      </c>
      <c r="K23" s="62">
        <f t="shared" si="3"/>
        <v>16107.005015000002</v>
      </c>
      <c r="L23" s="63">
        <f t="shared" si="4"/>
        <v>91000</v>
      </c>
      <c r="M23" s="63">
        <f t="shared" si="5"/>
        <v>455000</v>
      </c>
      <c r="N23" s="64">
        <v>0</v>
      </c>
      <c r="O23" s="65">
        <f t="shared" si="0"/>
        <v>1108107.17</v>
      </c>
      <c r="P23" s="66">
        <f t="shared" si="1"/>
        <v>1141350.17</v>
      </c>
      <c r="Q23" s="38">
        <f t="shared" si="6"/>
        <v>0.17</v>
      </c>
    </row>
    <row r="24" spans="1:19" ht="17.100000000000001" customHeight="1" x14ac:dyDescent="0.25">
      <c r="A24" s="5" t="s">
        <v>21</v>
      </c>
      <c r="B24" s="53">
        <v>18</v>
      </c>
      <c r="C24" s="53" t="s">
        <v>68</v>
      </c>
      <c r="D24" s="53" t="s">
        <v>111</v>
      </c>
      <c r="E24" s="53"/>
      <c r="F24" s="58">
        <v>3.17</v>
      </c>
      <c r="G24" s="59">
        <v>368988.18</v>
      </c>
      <c r="H24" s="60">
        <f>G24</f>
        <v>368988.18</v>
      </c>
      <c r="I24" s="61"/>
      <c r="J24" s="62">
        <f t="shared" si="2"/>
        <v>0</v>
      </c>
      <c r="K24" s="62">
        <f t="shared" si="3"/>
        <v>0</v>
      </c>
      <c r="L24" s="63">
        <f t="shared" si="4"/>
        <v>63400</v>
      </c>
      <c r="M24" s="63">
        <f t="shared" si="5"/>
        <v>317000</v>
      </c>
      <c r="N24" s="64">
        <v>0</v>
      </c>
      <c r="O24" s="65">
        <f t="shared" si="0"/>
        <v>380400.18</v>
      </c>
      <c r="P24" s="66">
        <f t="shared" si="1"/>
        <v>391812.18</v>
      </c>
      <c r="Q24" s="38">
        <f t="shared" si="6"/>
        <v>0.18000000000000002</v>
      </c>
    </row>
    <row r="25" spans="1:19" ht="17.100000000000001" customHeight="1" x14ac:dyDescent="0.25">
      <c r="A25" s="5" t="s">
        <v>21</v>
      </c>
      <c r="B25" s="53">
        <v>19</v>
      </c>
      <c r="C25" s="53" t="s">
        <v>69</v>
      </c>
      <c r="D25" s="53" t="s">
        <v>112</v>
      </c>
      <c r="E25" s="54"/>
      <c r="F25" s="58">
        <v>4.55</v>
      </c>
      <c r="G25" s="59">
        <v>546000.18999999994</v>
      </c>
      <c r="H25" s="60">
        <f>G25</f>
        <v>546000.18999999994</v>
      </c>
      <c r="I25" s="61"/>
      <c r="J25" s="62">
        <f t="shared" si="2"/>
        <v>0</v>
      </c>
      <c r="K25" s="62">
        <f t="shared" si="3"/>
        <v>0</v>
      </c>
      <c r="L25" s="63">
        <f t="shared" si="4"/>
        <v>91000</v>
      </c>
      <c r="M25" s="63">
        <f t="shared" si="5"/>
        <v>455000</v>
      </c>
      <c r="N25" s="64">
        <v>0</v>
      </c>
      <c r="O25" s="65">
        <f t="shared" si="0"/>
        <v>546000.18999999994</v>
      </c>
      <c r="P25" s="66">
        <f t="shared" si="1"/>
        <v>562380.18999999994</v>
      </c>
      <c r="Q25" s="38">
        <f t="shared" si="6"/>
        <v>0.19000000000000003</v>
      </c>
    </row>
    <row r="26" spans="1:19" ht="17.100000000000001" customHeight="1" x14ac:dyDescent="0.25">
      <c r="A26" s="5" t="s">
        <v>22</v>
      </c>
      <c r="B26" s="53">
        <v>20</v>
      </c>
      <c r="C26" s="53" t="s">
        <v>70</v>
      </c>
      <c r="D26" s="53" t="s">
        <v>113</v>
      </c>
      <c r="E26" s="53"/>
      <c r="F26" s="58">
        <v>3.17</v>
      </c>
      <c r="G26" s="60">
        <v>380400.2</v>
      </c>
      <c r="H26" s="60">
        <f>G26</f>
        <v>380400.2</v>
      </c>
      <c r="I26" s="61"/>
      <c r="J26" s="62">
        <f t="shared" si="2"/>
        <v>0</v>
      </c>
      <c r="K26" s="62">
        <f t="shared" si="3"/>
        <v>0</v>
      </c>
      <c r="L26" s="63">
        <f t="shared" si="4"/>
        <v>63400</v>
      </c>
      <c r="M26" s="63">
        <f t="shared" si="5"/>
        <v>317000</v>
      </c>
      <c r="N26" s="64">
        <v>0</v>
      </c>
      <c r="O26" s="65">
        <f t="shared" si="0"/>
        <v>380400.2</v>
      </c>
      <c r="P26" s="66">
        <f t="shared" si="1"/>
        <v>391812.2</v>
      </c>
      <c r="Q26" s="38">
        <f t="shared" si="6"/>
        <v>0.20000000000000004</v>
      </c>
      <c r="S26" t="s">
        <v>133</v>
      </c>
    </row>
    <row r="27" spans="1:19" ht="17.100000000000001" customHeight="1" x14ac:dyDescent="0.25">
      <c r="A27" s="5" t="s">
        <v>23</v>
      </c>
      <c r="B27" s="53">
        <v>21</v>
      </c>
      <c r="C27" s="53" t="s">
        <v>71</v>
      </c>
      <c r="D27" s="53" t="s">
        <v>114</v>
      </c>
      <c r="E27" s="54"/>
      <c r="F27" s="58">
        <v>4.55</v>
      </c>
      <c r="G27" s="59">
        <v>546000.21</v>
      </c>
      <c r="H27" s="60">
        <f>G27</f>
        <v>546000.21</v>
      </c>
      <c r="I27" s="61"/>
      <c r="J27" s="62">
        <f t="shared" si="2"/>
        <v>0</v>
      </c>
      <c r="K27" s="62">
        <f t="shared" si="3"/>
        <v>0</v>
      </c>
      <c r="L27" s="63">
        <f t="shared" si="4"/>
        <v>91000</v>
      </c>
      <c r="M27" s="63">
        <f t="shared" si="5"/>
        <v>455000</v>
      </c>
      <c r="N27" s="64">
        <v>0</v>
      </c>
      <c r="O27" s="65">
        <f t="shared" si="0"/>
        <v>546000.21</v>
      </c>
      <c r="P27" s="66">
        <f t="shared" si="1"/>
        <v>562380.21</v>
      </c>
      <c r="Q27" s="38">
        <f t="shared" si="6"/>
        <v>0.21000000000000005</v>
      </c>
    </row>
    <row r="28" spans="1:19" ht="17.100000000000001" customHeight="1" x14ac:dyDescent="0.25">
      <c r="A28" s="5" t="s">
        <v>24</v>
      </c>
      <c r="B28" s="53">
        <v>22</v>
      </c>
      <c r="C28" s="53" t="s">
        <v>72</v>
      </c>
      <c r="D28" s="53" t="s">
        <v>115</v>
      </c>
      <c r="E28" s="54"/>
      <c r="F28" s="58">
        <v>3.17</v>
      </c>
      <c r="G28" s="59">
        <v>34772.22</v>
      </c>
      <c r="H28" s="60">
        <v>35815.22</v>
      </c>
      <c r="I28" s="61"/>
      <c r="J28" s="62">
        <f t="shared" si="2"/>
        <v>-1043</v>
      </c>
      <c r="K28" s="62">
        <f t="shared" si="3"/>
        <v>0</v>
      </c>
      <c r="L28" s="63">
        <f t="shared" si="4"/>
        <v>63400</v>
      </c>
      <c r="M28" s="63">
        <f t="shared" si="5"/>
        <v>317000</v>
      </c>
      <c r="N28" s="64">
        <v>0</v>
      </c>
      <c r="O28" s="65">
        <f t="shared" si="0"/>
        <v>379357.22</v>
      </c>
      <c r="P28" s="66">
        <f t="shared" si="1"/>
        <v>390738.22</v>
      </c>
      <c r="Q28" s="38">
        <f t="shared" si="6"/>
        <v>0.22000000000000006</v>
      </c>
    </row>
    <row r="29" spans="1:19" ht="17.100000000000001" customHeight="1" x14ac:dyDescent="0.25">
      <c r="A29" s="5" t="s">
        <v>25</v>
      </c>
      <c r="B29" s="53">
        <v>23</v>
      </c>
      <c r="C29" s="53" t="s">
        <v>73</v>
      </c>
      <c r="D29" s="53" t="s">
        <v>116</v>
      </c>
      <c r="E29" s="54"/>
      <c r="F29" s="58">
        <v>4.66</v>
      </c>
      <c r="G29" s="59">
        <v>559200.23</v>
      </c>
      <c r="H29" s="60">
        <f>G29</f>
        <v>559200.23</v>
      </c>
      <c r="I29" s="61"/>
      <c r="J29" s="62">
        <f t="shared" si="2"/>
        <v>0</v>
      </c>
      <c r="K29" s="62">
        <f t="shared" si="3"/>
        <v>0</v>
      </c>
      <c r="L29" s="63">
        <f t="shared" si="4"/>
        <v>93200</v>
      </c>
      <c r="M29" s="63">
        <f t="shared" si="5"/>
        <v>466000</v>
      </c>
      <c r="N29" s="64">
        <v>0</v>
      </c>
      <c r="O29" s="65">
        <f t="shared" si="0"/>
        <v>559200.23</v>
      </c>
      <c r="P29" s="66">
        <f t="shared" si="1"/>
        <v>575976.23</v>
      </c>
      <c r="Q29" s="38">
        <f t="shared" si="6"/>
        <v>0.23000000000000007</v>
      </c>
    </row>
    <row r="30" spans="1:19" ht="17.100000000000001" customHeight="1" x14ac:dyDescent="0.25">
      <c r="A30" s="5" t="s">
        <v>27</v>
      </c>
      <c r="B30" s="53">
        <v>24</v>
      </c>
      <c r="C30" s="53" t="s">
        <v>74</v>
      </c>
      <c r="D30" s="53" t="s">
        <v>117</v>
      </c>
      <c r="E30" s="54"/>
      <c r="F30" s="58">
        <v>3.21</v>
      </c>
      <c r="G30" s="59">
        <v>385200.24</v>
      </c>
      <c r="H30" s="60">
        <f>G30</f>
        <v>385200.24</v>
      </c>
      <c r="I30" s="61"/>
      <c r="J30" s="62">
        <f t="shared" si="2"/>
        <v>0</v>
      </c>
      <c r="K30" s="62">
        <f t="shared" si="3"/>
        <v>0</v>
      </c>
      <c r="L30" s="63">
        <f t="shared" si="4"/>
        <v>64199.999999999993</v>
      </c>
      <c r="M30" s="63">
        <f t="shared" si="5"/>
        <v>320999.99999999994</v>
      </c>
      <c r="N30" s="64">
        <v>0</v>
      </c>
      <c r="O30" s="65">
        <f t="shared" si="0"/>
        <v>385200.24</v>
      </c>
      <c r="P30" s="66">
        <f t="shared" si="1"/>
        <v>396756.24</v>
      </c>
      <c r="Q30" s="38">
        <f t="shared" si="6"/>
        <v>0.24000000000000007</v>
      </c>
    </row>
    <row r="31" spans="1:19" ht="17.100000000000001" customHeight="1" x14ac:dyDescent="0.25">
      <c r="A31" s="5" t="s">
        <v>27</v>
      </c>
      <c r="B31" s="53">
        <v>25</v>
      </c>
      <c r="C31" s="53" t="s">
        <v>75</v>
      </c>
      <c r="D31" s="53" t="s">
        <v>118</v>
      </c>
      <c r="E31" s="53"/>
      <c r="F31" s="58">
        <v>4.6900000000000004</v>
      </c>
      <c r="G31" s="59">
        <v>545916.25</v>
      </c>
      <c r="H31" s="60">
        <f>G31</f>
        <v>545916.25</v>
      </c>
      <c r="I31" s="61"/>
      <c r="J31" s="62">
        <f t="shared" si="2"/>
        <v>0</v>
      </c>
      <c r="K31" s="62">
        <f t="shared" si="3"/>
        <v>0</v>
      </c>
      <c r="L31" s="63">
        <f t="shared" si="4"/>
        <v>93800.000000000015</v>
      </c>
      <c r="M31" s="63">
        <f t="shared" si="5"/>
        <v>469000.00000000006</v>
      </c>
      <c r="N31" s="64">
        <v>0</v>
      </c>
      <c r="O31" s="65">
        <f t="shared" si="0"/>
        <v>562800.25</v>
      </c>
      <c r="P31" s="66">
        <f t="shared" si="1"/>
        <v>579684.25</v>
      </c>
      <c r="Q31" s="38">
        <f t="shared" si="6"/>
        <v>0.25000000000000006</v>
      </c>
      <c r="R31" t="s">
        <v>136</v>
      </c>
    </row>
    <row r="32" spans="1:19" ht="17.100000000000001" customHeight="1" x14ac:dyDescent="0.25">
      <c r="A32" s="5" t="s">
        <v>27</v>
      </c>
      <c r="B32" s="53">
        <v>26</v>
      </c>
      <c r="C32" s="53" t="s">
        <v>76</v>
      </c>
      <c r="D32" s="53" t="s">
        <v>119</v>
      </c>
      <c r="E32" s="53"/>
      <c r="F32" s="58">
        <v>3.02</v>
      </c>
      <c r="G32" s="59">
        <v>381986.26</v>
      </c>
      <c r="H32" s="60">
        <f>G32</f>
        <v>381986.26</v>
      </c>
      <c r="I32" s="61"/>
      <c r="J32" s="62">
        <f t="shared" si="2"/>
        <v>0</v>
      </c>
      <c r="K32" s="62">
        <f t="shared" si="3"/>
        <v>0</v>
      </c>
      <c r="L32" s="63">
        <f t="shared" si="4"/>
        <v>60400</v>
      </c>
      <c r="M32" s="63">
        <f t="shared" si="5"/>
        <v>302000</v>
      </c>
      <c r="N32" s="64">
        <v>31400</v>
      </c>
      <c r="O32" s="65">
        <f t="shared" si="0"/>
        <v>393800.26</v>
      </c>
      <c r="P32" s="66">
        <f t="shared" si="1"/>
        <v>405614.26</v>
      </c>
      <c r="Q32" s="110">
        <f t="shared" si="6"/>
        <v>0.26000000000000006</v>
      </c>
      <c r="R32" s="115"/>
      <c r="S32" t="s">
        <v>134</v>
      </c>
    </row>
    <row r="33" spans="1:17" ht="17.100000000000001" customHeight="1" thickBot="1" x14ac:dyDescent="0.3">
      <c r="A33" s="5" t="s">
        <v>27</v>
      </c>
      <c r="B33" s="53">
        <v>27</v>
      </c>
      <c r="C33" s="53" t="s">
        <v>120</v>
      </c>
      <c r="D33" s="53" t="s">
        <v>121</v>
      </c>
      <c r="E33" s="54"/>
      <c r="F33" s="58">
        <v>0.16</v>
      </c>
      <c r="G33" s="59">
        <v>18640.27</v>
      </c>
      <c r="H33" s="60">
        <v>19199.27</v>
      </c>
      <c r="I33" s="61"/>
      <c r="J33" s="62">
        <f>G33-H33</f>
        <v>-559</v>
      </c>
      <c r="K33" s="62">
        <f t="shared" si="3"/>
        <v>0</v>
      </c>
      <c r="L33" s="63">
        <f t="shared" si="4"/>
        <v>3200</v>
      </c>
      <c r="M33" s="63">
        <f>O$2*F33%</f>
        <v>16000</v>
      </c>
      <c r="N33" s="64">
        <v>0</v>
      </c>
      <c r="O33" s="65">
        <f t="shared" si="0"/>
        <v>18641.27</v>
      </c>
      <c r="P33" s="66">
        <f t="shared" si="1"/>
        <v>19200.27</v>
      </c>
      <c r="Q33" s="38">
        <f t="shared" si="6"/>
        <v>0.27000000000000007</v>
      </c>
    </row>
    <row r="34" spans="1:17" ht="15.75" hidden="1" thickBot="1" x14ac:dyDescent="0.3">
      <c r="A34" s="5" t="s">
        <v>27</v>
      </c>
      <c r="B34" s="53"/>
      <c r="C34" s="53"/>
      <c r="D34" s="53"/>
      <c r="E34" s="53"/>
      <c r="F34" s="58"/>
      <c r="G34" s="67" t="s">
        <v>94</v>
      </c>
      <c r="H34" s="60" t="str">
        <f t="shared" ref="H34" si="7">G34</f>
        <v>162450.31</v>
      </c>
      <c r="I34" s="68"/>
      <c r="J34" s="69" t="e">
        <f t="shared" ref="J34" si="8">G34-H34</f>
        <v>#VALUE!</v>
      </c>
      <c r="K34" s="62" t="e">
        <f t="shared" ref="K34" si="9">IF(J34&gt;0,J34*3%,0)</f>
        <v>#VALUE!</v>
      </c>
      <c r="L34" s="63">
        <f t="shared" si="4"/>
        <v>0</v>
      </c>
      <c r="M34" s="70">
        <f t="shared" si="5"/>
        <v>0</v>
      </c>
      <c r="N34" s="71">
        <v>0</v>
      </c>
      <c r="O34" s="65" t="e">
        <f t="shared" si="0"/>
        <v>#VALUE!</v>
      </c>
      <c r="P34" s="66" t="e">
        <f t="shared" si="1"/>
        <v>#VALUE!</v>
      </c>
      <c r="Q34" s="38"/>
    </row>
    <row r="35" spans="1:17" ht="17.100000000000001" customHeight="1" thickBot="1" x14ac:dyDescent="0.3">
      <c r="B35" s="72"/>
      <c r="C35" s="73"/>
      <c r="D35" s="74"/>
      <c r="E35" s="74"/>
      <c r="F35" s="75">
        <f>SUM(F6:F34)</f>
        <v>99.999999999999972</v>
      </c>
      <c r="G35" s="44">
        <f>SUM(G6:G34)</f>
        <v>12194044.779999999</v>
      </c>
      <c r="H35" s="51">
        <f>SUM(H6:H34)</f>
        <v>11308355.08</v>
      </c>
      <c r="I35" s="51">
        <f t="shared" ref="I35" si="10">SUM(I6:I34)</f>
        <v>0</v>
      </c>
      <c r="J35" s="51"/>
      <c r="K35" s="51"/>
      <c r="L35" s="51">
        <f>SUM(L6:L34)</f>
        <v>2000000</v>
      </c>
      <c r="M35" s="51">
        <f>SUM(M6:M34)</f>
        <v>10000000</v>
      </c>
      <c r="N35" s="51">
        <f>SUM(N6:N34)</f>
        <v>31400</v>
      </c>
      <c r="O35" s="76">
        <f>SUM(O6:O33)</f>
        <v>13361108.779999999</v>
      </c>
      <c r="P35" s="76">
        <f>SUM(P6:P33)</f>
        <v>13761940.779999999</v>
      </c>
    </row>
    <row r="36" spans="1:17" ht="12.75" customHeight="1" x14ac:dyDescent="0.25">
      <c r="D36" s="42"/>
      <c r="E36" s="42"/>
    </row>
    <row r="37" spans="1:17" hidden="1" x14ac:dyDescent="0.25"/>
    <row r="38" spans="1:17" ht="9" customHeight="1" x14ac:dyDescent="0.25">
      <c r="D38" s="162" t="s">
        <v>139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</row>
    <row r="39" spans="1:17" ht="12" hidden="1" customHeight="1" x14ac:dyDescent="0.25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</row>
    <row r="40" spans="1:17" ht="12" hidden="1" customHeight="1" x14ac:dyDescent="0.25"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</row>
    <row r="41" spans="1:17" ht="12" hidden="1" customHeight="1" x14ac:dyDescent="0.25"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</row>
    <row r="42" spans="1:17" ht="12" hidden="1" customHeight="1" x14ac:dyDescent="0.25"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</row>
    <row r="43" spans="1:17" ht="65.25" customHeight="1" x14ac:dyDescent="0.25"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</row>
  </sheetData>
  <mergeCells count="18">
    <mergeCell ref="B1:K3"/>
    <mergeCell ref="P4:P5"/>
    <mergeCell ref="D38:O43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B9:D9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D240-6D8B-4144-A545-69291A6FAA07}">
  <dimension ref="A1"/>
  <sheetViews>
    <sheetView workbookViewId="0">
      <selection activeCell="C2" sqref="C2:C8"/>
    </sheetView>
  </sheetViews>
  <sheetFormatPr baseColWidth="10" defaultColWidth="10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2026-05-05T13:45:09Z</cp:lastPrinted>
  <dcterms:created xsi:type="dcterms:W3CDTF">2023-09-17T12:29:07Z</dcterms:created>
  <dcterms:modified xsi:type="dcterms:W3CDTF">2026-05-05T13:57:29Z</dcterms:modified>
</cp:coreProperties>
</file>