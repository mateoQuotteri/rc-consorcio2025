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 PEÑA\Febrero\"/>
    </mc:Choice>
  </mc:AlternateContent>
  <xr:revisionPtr revIDLastSave="0" documentId="13_ncr:1_{5B943834-E04F-44D7-A0DA-6B8601658A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gastos'!$A$1:$F$35</definedName>
  </definedNames>
  <calcPr calcId="181029"/>
</workbook>
</file>

<file path=xl/calcChain.xml><?xml version="1.0" encoding="utf-8"?>
<calcChain xmlns="http://schemas.openxmlformats.org/spreadsheetml/2006/main">
  <c r="C21" i="3" l="1"/>
  <c r="F6" i="1"/>
  <c r="F10" i="1"/>
  <c r="F8" i="1"/>
  <c r="F9" i="1"/>
  <c r="C19" i="3"/>
  <c r="C22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3" i="3"/>
  <c r="C33" i="3" l="1"/>
  <c r="C35" i="3" s="1"/>
  <c r="A2" i="1"/>
  <c r="C34" i="3" l="1"/>
  <c r="C32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<sst xmlns="http://schemas.openxmlformats.org/spreadsheetml/2006/main" count="122" uniqueCount="74">
  <si>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</si>
  <si>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</si>
  <si>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</si>
  <si>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</si>
  <si>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</si>
  <si>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</si>
  <si>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</si>
  <si>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</si>
  <si>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</si>
  <si>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</si>
  <si>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</si>
  <si>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</si>
  <si>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</si>
  <si>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</si>
  <si>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</si>
  <si>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</si>
  <si>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</si>
  <si>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</si>
  <si>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</si>
  <si>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</si>
  <si>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</si>
  <si>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</si>
  <si>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</si>
  <si>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</si>
  <si>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</si>
  <si>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</si>
  <si>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</si>
  <si>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</si>
  <si>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</si>
  <si>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</si>
  <si>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</si>
  <si>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</si>
  <si>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</si>
  <si>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</si>
  <si>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</si>
  <si>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</si>
  <si>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</si>
  <si>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</si>
  <si>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</si>
  <si>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</si>
  <si>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</si>
  <si>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</si>
  <si>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</si>
  <si>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</si>
  <si>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</si>
  <si>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</si>
  <si>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</si>
  <si>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</si>
  <si>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</si>
  <si>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</si>
  <si>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</si>
  <si>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</si>
  <si>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</si>
  <si>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</si>
  <si>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</si>
  <si>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</si>
  <si>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</si>
  <si>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</si>
  <si>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</si>
  <si>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</si>
  <si>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</si>
  <si>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</si>
  <si>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</si>
  <si>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</si>
  <si>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</si>
  <si>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</si>
  <si>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</si>
  <si>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</si>
  <si>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</si>
  <si>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</si>
  <si>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Federacion Patronal - Sra. Nancy - Poliza 9200959</t>
  </si>
  <si>
    <t>Subidos en En3r0</t>
  </si>
  <si>
    <t>Liquidacion mes de FEBRERO</t>
  </si>
  <si>
    <t xml:space="preserve">Período FEBRERO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</si>
</sst>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4" fontId="0" fillId="6" borderId="1" xfId="0" applyNumberFormat="1" applyFill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" fontId="15" fillId="6" borderId="1" xfId="0" applyNumberFormat="1" applyFont="1" applyFill="1" applyBorder="1"/>
    <xf numFmtId="4" fontId="15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topLeftCell="A9" workbookViewId="0">
      <selection activeCell="C16" sqref="C16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8" x14ac:dyDescent="0.3">
      <c r="B1" t="s">
        <v>63</v>
      </c>
    </row>
    <row r="2" spans="1:8" x14ac:dyDescent="0.3">
      <c r="B2" t="s">
        <v>20</v>
      </c>
      <c r="C2" s="97" t="s">
        <v>62</v>
      </c>
    </row>
    <row r="3" spans="1:8" x14ac:dyDescent="0.3">
      <c r="B3" t="s">
        <v>11</v>
      </c>
    </row>
    <row r="4" spans="1:8" x14ac:dyDescent="0.3">
      <c r="B4" s="4" t="s">
        <v>8</v>
      </c>
    </row>
    <row r="5" spans="1:8" ht="8.25" customHeight="1" x14ac:dyDescent="0.3">
      <c r="A5" s="3"/>
      <c r="B5" s="23"/>
      <c r="C5" s="3"/>
    </row>
    <row r="6" spans="1:8" x14ac:dyDescent="0.3">
      <c r="D6" s="28"/>
      <c r="E6" s="28"/>
      <c r="F6" s="28"/>
    </row>
    <row r="7" spans="1:8" x14ac:dyDescent="0.3">
      <c r="A7" s="24" t="s">
        <v>43</v>
      </c>
      <c r="B7" s="24"/>
      <c r="C7" s="59"/>
      <c r="D7" s="59"/>
      <c r="E7" s="24" t="s">
        <v>72</v>
      </c>
      <c r="F7" s="98"/>
    </row>
    <row r="8" spans="1:8" x14ac:dyDescent="0.3">
      <c r="A8" s="3"/>
      <c r="B8" s="3"/>
      <c r="C8" s="3"/>
      <c r="D8" s="3"/>
      <c r="E8" s="3"/>
      <c r="F8" s="3"/>
    </row>
    <row r="10" spans="1:8" x14ac:dyDescent="0.3">
      <c r="A10" s="22" t="s">
        <v>13</v>
      </c>
    </row>
    <row r="11" spans="1:8" ht="15" thickBot="1" x14ac:dyDescent="0.35">
      <c r="A11" s="101" t="s">
        <v>12</v>
      </c>
      <c r="B11" s="97"/>
      <c r="C11" s="12"/>
      <c r="D11" s="5"/>
      <c r="E11" s="129" t="s">
        <v>24</v>
      </c>
      <c r="F11" s="129"/>
    </row>
    <row r="12" spans="1:8" x14ac:dyDescent="0.3">
      <c r="A12" s="99"/>
      <c r="B12" s="99"/>
      <c r="C12" s="122"/>
      <c r="D12" s="5"/>
      <c r="E12" s="48" t="s">
        <v>48</v>
      </c>
      <c r="F12" s="121">
        <v>1616917.9192361401</v>
      </c>
    </row>
    <row r="13" spans="1:8" x14ac:dyDescent="0.3">
      <c r="A13" s="97" t="s">
        <v>64</v>
      </c>
      <c r="B13" s="97" t="s">
        <v>65</v>
      </c>
      <c r="C13" s="149">
        <v>37185.11</v>
      </c>
      <c r="D13" s="36"/>
      <c r="E13" s="49" t="s">
        <v>9</v>
      </c>
      <c r="F13" s="50">
        <f>'prorrateo '!F11</f>
        <v>344271.84</v>
      </c>
    </row>
    <row r="14" spans="1:8" x14ac:dyDescent="0.3">
      <c r="A14" s="99" t="s">
        <v>26</v>
      </c>
      <c r="B14" s="99" t="s">
        <v>61</v>
      </c>
      <c r="C14" s="149">
        <v>43790.22</v>
      </c>
      <c r="D14" s="5"/>
      <c r="E14" s="49" t="s">
        <v>22</v>
      </c>
      <c r="F14" s="50">
        <f>-(C35)</f>
        <v>-251729.53</v>
      </c>
    </row>
    <row r="15" spans="1:8" x14ac:dyDescent="0.3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3">
      <c r="A16" s="99" t="s">
        <v>70</v>
      </c>
      <c r="B16" s="97"/>
      <c r="C16" s="150">
        <v>10568</v>
      </c>
      <c r="D16" s="5"/>
      <c r="E16" s="49"/>
      <c r="F16" s="50"/>
      <c r="H16" t="s">
        <v>71</v>
      </c>
    </row>
    <row r="17" spans="1:7" ht="15" thickBot="1" x14ac:dyDescent="0.35">
      <c r="A17" s="102"/>
      <c r="B17" s="103"/>
      <c r="C17" s="126">
        <f>SUM(C12:C16)</f>
        <v>126543.33</v>
      </c>
      <c r="E17" s="51" t="s">
        <v>49</v>
      </c>
      <c r="F17" s="118">
        <f>SUM(F12:F15)</f>
        <v>1709460.2292361401</v>
      </c>
    </row>
    <row r="18" spans="1:7" x14ac:dyDescent="0.3">
      <c r="A18" s="101" t="s">
        <v>23</v>
      </c>
      <c r="B18" s="97"/>
      <c r="C18" s="127"/>
      <c r="D18" s="5"/>
      <c r="E18" s="19"/>
      <c r="F18" s="20"/>
    </row>
    <row r="19" spans="1:7" ht="18" customHeight="1" x14ac:dyDescent="0.3">
      <c r="A19" s="97" t="s">
        <v>42</v>
      </c>
      <c r="B19" s="104" t="s">
        <v>73</v>
      </c>
      <c r="C19" s="71">
        <f xml:space="preserve"> 69942+69942*10%</f>
        <v>76936.2</v>
      </c>
      <c r="D19" s="5"/>
      <c r="E19" s="19"/>
      <c r="F19" s="20"/>
    </row>
    <row r="20" spans="1:7" ht="18.75" customHeight="1" x14ac:dyDescent="0.3">
      <c r="A20" s="97" t="s">
        <v>68</v>
      </c>
      <c r="B20" s="104"/>
      <c r="C20" s="105">
        <v>48250</v>
      </c>
      <c r="D20" s="5"/>
      <c r="E20" s="19"/>
      <c r="F20" s="20"/>
    </row>
    <row r="21" spans="1:7" x14ac:dyDescent="0.3">
      <c r="A21" s="97" t="s">
        <v>67</v>
      </c>
      <c r="B21" s="104"/>
      <c r="C21" s="105">
        <f>400000-246950.4</f>
        <v>153049.60000000001</v>
      </c>
      <c r="D21" s="5"/>
      <c r="E21" s="19"/>
      <c r="F21" s="20"/>
    </row>
    <row r="22" spans="1:7" x14ac:dyDescent="0.3">
      <c r="A22" s="102"/>
      <c r="B22" s="103"/>
      <c r="C22" s="119">
        <f>SUM(C18:C21)</f>
        <v>278235.8</v>
      </c>
      <c r="D22" s="5"/>
      <c r="E22" s="5"/>
      <c r="F22" s="47"/>
      <c r="G22" s="6"/>
    </row>
    <row r="23" spans="1:7" x14ac:dyDescent="0.3">
      <c r="A23" s="40" t="s">
        <v>14</v>
      </c>
      <c r="B23" s="41"/>
      <c r="C23" s="120">
        <f>+C22+C17</f>
        <v>404779.13</v>
      </c>
      <c r="D23" s="5"/>
      <c r="E23" s="19"/>
      <c r="F23" s="20"/>
    </row>
    <row r="24" spans="1:7" ht="14.25" customHeight="1" x14ac:dyDescent="0.3">
      <c r="A24" s="60" t="s">
        <v>27</v>
      </c>
      <c r="B24" s="73"/>
      <c r="C24" s="74"/>
      <c r="E24" s="19"/>
      <c r="F24" s="20"/>
    </row>
    <row r="25" spans="1:7" hidden="1" x14ac:dyDescent="0.3">
      <c r="A25" s="22" t="s">
        <v>27</v>
      </c>
    </row>
    <row r="26" spans="1:7" hidden="1" x14ac:dyDescent="0.3">
      <c r="A26" s="37"/>
      <c r="B26" s="28"/>
      <c r="C26" s="46"/>
      <c r="F26" s="6"/>
    </row>
    <row r="27" spans="1:7" hidden="1" x14ac:dyDescent="0.3">
      <c r="A27" s="44"/>
      <c r="B27" s="43"/>
      <c r="C27" s="45">
        <v>0</v>
      </c>
      <c r="F27" s="6"/>
    </row>
    <row r="28" spans="1:7" hidden="1" x14ac:dyDescent="0.3">
      <c r="A28" s="52"/>
      <c r="B28" s="53"/>
      <c r="C28" s="45">
        <v>0</v>
      </c>
      <c r="F28" s="6"/>
    </row>
    <row r="29" spans="1:7" x14ac:dyDescent="0.3">
      <c r="A29" s="69"/>
      <c r="B29" s="70"/>
      <c r="C29" s="72"/>
      <c r="F29" s="6"/>
    </row>
    <row r="30" spans="1:7" x14ac:dyDescent="0.3">
      <c r="A30" s="69"/>
      <c r="B30" s="76"/>
      <c r="C30" s="77"/>
      <c r="F30" s="6"/>
    </row>
    <row r="31" spans="1:7" x14ac:dyDescent="0.3">
      <c r="A31" s="69"/>
      <c r="B31" s="75"/>
      <c r="C31" s="72">
        <v>0</v>
      </c>
      <c r="F31" s="6"/>
    </row>
    <row r="32" spans="1:7" x14ac:dyDescent="0.3">
      <c r="A32" s="54" t="s">
        <v>25</v>
      </c>
      <c r="B32" s="55"/>
      <c r="C32" s="56">
        <f>SUM(C27:C31)</f>
        <v>0</v>
      </c>
    </row>
    <row r="33" spans="1:6" x14ac:dyDescent="0.3">
      <c r="A33" t="s">
        <v>59</v>
      </c>
      <c r="C33" s="123">
        <f>C23-C21</f>
        <v>251729.53</v>
      </c>
      <c r="F33" s="6"/>
    </row>
    <row r="34" spans="1:6" x14ac:dyDescent="0.3">
      <c r="A34" s="5" t="s">
        <v>54</v>
      </c>
      <c r="C34" s="124">
        <f>+C23</f>
        <v>404779.13</v>
      </c>
      <c r="E34" s="100"/>
      <c r="F34" s="6"/>
    </row>
    <row r="35" spans="1:6" x14ac:dyDescent="0.3">
      <c r="A35" s="54" t="s">
        <v>15</v>
      </c>
      <c r="B35" s="55"/>
      <c r="C35" s="125">
        <f>C33</f>
        <v>251729.53</v>
      </c>
      <c r="E35" s="16"/>
    </row>
    <row r="40" spans="1:6" x14ac:dyDescent="0.3">
      <c r="D40" s="6"/>
    </row>
    <row r="41" spans="1:6" x14ac:dyDescent="0.3">
      <c r="D41" s="16"/>
      <c r="E41" s="16"/>
    </row>
    <row r="42" spans="1:6" x14ac:dyDescent="0.3">
      <c r="D42" s="16"/>
      <c r="E42" s="16"/>
    </row>
    <row r="43" spans="1:6" x14ac:dyDescent="0.3">
      <c r="D43" s="16"/>
    </row>
    <row r="44" spans="1:6" x14ac:dyDescent="0.3">
      <c r="D44" s="16"/>
    </row>
    <row r="56" spans="1:3" x14ac:dyDescent="0.3">
      <c r="A56" s="19"/>
      <c r="B56" s="18"/>
      <c r="C56" s="20"/>
    </row>
    <row r="57" spans="1:3" x14ac:dyDescent="0.3">
      <c r="A57" s="18"/>
      <c r="B57" s="18"/>
      <c r="C57" s="18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F6" sqref="F6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400000</v>
      </c>
      <c r="L1" s="27"/>
    </row>
    <row r="2" spans="1:12" ht="15" thickBot="1" x14ac:dyDescent="0.35">
      <c r="A2" s="63" t="str">
        <f>'detalle y gastos'!E7</f>
        <v>Liquidacion mes de FEBRERO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465043.63838215801</v>
      </c>
      <c r="F5" s="71"/>
      <c r="G5" s="58">
        <f>E5-F5</f>
        <v>465043.63838215801</v>
      </c>
      <c r="H5" s="61">
        <f>IF(G5&gt;0,G5*8.4%,0)</f>
        <v>39063.665624101275</v>
      </c>
      <c r="I5" s="15">
        <v>0</v>
      </c>
      <c r="J5" s="31">
        <f>K1*D5</f>
        <v>60480</v>
      </c>
      <c r="K5" s="15">
        <f>K2*D5</f>
        <v>0</v>
      </c>
      <c r="L5" s="32">
        <f>J5+K5+H5+G5</f>
        <v>564587.30400625931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130791.84000000003</v>
      </c>
      <c r="F6" s="128">
        <f>E6</f>
        <v>130791.84000000003</v>
      </c>
      <c r="G6" s="58">
        <f t="shared" ref="G6:G8" si="0">E6-F6</f>
        <v>0</v>
      </c>
      <c r="H6" s="61">
        <f t="shared" ref="H6:H10" si="1">IF(G6&gt;0,G6*8.4%,0)</f>
        <v>0</v>
      </c>
      <c r="I6" s="15">
        <v>0</v>
      </c>
      <c r="J6" s="31">
        <f>K1*D6</f>
        <v>62760.000000000007</v>
      </c>
      <c r="K6" s="15">
        <f>K2*D6</f>
        <v>0</v>
      </c>
      <c r="L6" s="32">
        <f>J6+K6+H6+G6</f>
        <v>62760.000000000007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63280</v>
      </c>
      <c r="F7" s="128"/>
      <c r="G7" s="58">
        <f t="shared" si="0"/>
        <v>63280</v>
      </c>
      <c r="H7" s="61">
        <f t="shared" si="1"/>
        <v>5315.52</v>
      </c>
      <c r="I7" s="15">
        <v>0</v>
      </c>
      <c r="J7" s="31">
        <f>K1*D7</f>
        <v>63280</v>
      </c>
      <c r="K7" s="15">
        <f>K2*D7</f>
        <v>0</v>
      </c>
      <c r="L7" s="32">
        <f t="shared" ref="L7:L9" si="2">J7+K7+H7+G7</f>
        <v>131875.52000000002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79200</v>
      </c>
      <c r="F8" s="128">
        <f>E8</f>
        <v>79200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79200</v>
      </c>
      <c r="K8" s="15">
        <f>K2*D8</f>
        <v>0</v>
      </c>
      <c r="L8" s="32">
        <f t="shared" si="2"/>
        <v>79200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63680</v>
      </c>
      <c r="F9" s="128">
        <f>E9</f>
        <v>63680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63680</v>
      </c>
      <c r="K9" s="15">
        <f>K2*D9</f>
        <v>0</v>
      </c>
      <c r="L9" s="32">
        <f t="shared" si="2"/>
        <v>63680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70600</v>
      </c>
      <c r="F10" s="128">
        <f>E10</f>
        <v>70600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70600</v>
      </c>
      <c r="K10" s="15">
        <f>K2*D10</f>
        <v>0</v>
      </c>
      <c r="L10" s="32">
        <f>J10+K10+H10+G10</f>
        <v>70600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872595.47838215809</v>
      </c>
      <c r="F11" s="35">
        <f>SUM(F5:F10)</f>
        <v>344271.84</v>
      </c>
      <c r="G11" s="42">
        <f>SUM(G5:G10)</f>
        <v>528323.63838215801</v>
      </c>
      <c r="H11" s="42">
        <f t="shared" ref="H11:K11" si="4">SUM(H5:H10)</f>
        <v>44379.185624101272</v>
      </c>
      <c r="I11" s="11">
        <f t="shared" si="4"/>
        <v>0</v>
      </c>
      <c r="J11" s="39">
        <f t="shared" si="4"/>
        <v>400000</v>
      </c>
      <c r="K11" s="39">
        <f t="shared" si="4"/>
        <v>0</v>
      </c>
      <c r="L11" s="42">
        <f>SUM(L5:L10)</f>
        <v>972702.82400625932</v>
      </c>
    </row>
    <row r="12" spans="1:12" ht="51.75" hidden="1" customHeight="1" x14ac:dyDescent="0.3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69</v>
      </c>
      <c r="B1" s="107"/>
      <c r="C1" s="107"/>
      <c r="D1" s="108"/>
      <c r="E1" s="109"/>
      <c r="F1" s="108"/>
      <c r="G1" s="131">
        <v>4500000</v>
      </c>
      <c r="H1" s="131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30"/>
      <c r="B11" s="130"/>
      <c r="C11" s="130"/>
      <c r="D11" s="130"/>
      <c r="E11" s="130"/>
      <c r="F11" s="130"/>
      <c r="G11" s="130"/>
      <c r="H11" s="130"/>
      <c r="I11" s="130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7" t="s">
        <v>27</v>
      </c>
      <c r="B1" s="138"/>
      <c r="C1" s="138"/>
      <c r="D1" s="138"/>
      <c r="E1" s="139"/>
      <c r="F1" s="78"/>
      <c r="G1" s="78"/>
    </row>
    <row r="2" spans="1:7" ht="15" thickBot="1" x14ac:dyDescent="0.35">
      <c r="A2" s="140" t="s">
        <v>55</v>
      </c>
      <c r="B2" s="141"/>
      <c r="C2" s="142"/>
      <c r="D2" s="143">
        <v>565</v>
      </c>
      <c r="E2" s="144"/>
      <c r="F2" s="79"/>
      <c r="G2" s="79"/>
    </row>
    <row r="3" spans="1:7" ht="15" thickTop="1" x14ac:dyDescent="0.3">
      <c r="A3" s="145" t="s">
        <v>0</v>
      </c>
      <c r="B3" s="145" t="s">
        <v>1</v>
      </c>
      <c r="C3" s="145" t="s">
        <v>2</v>
      </c>
      <c r="D3" s="147" t="s">
        <v>6</v>
      </c>
      <c r="E3" s="132" t="s">
        <v>56</v>
      </c>
      <c r="F3" s="132" t="s">
        <v>57</v>
      </c>
      <c r="G3" s="132" t="s">
        <v>50</v>
      </c>
    </row>
    <row r="4" spans="1:7" ht="15" thickBot="1" x14ac:dyDescent="0.35">
      <c r="A4" s="146"/>
      <c r="B4" s="146"/>
      <c r="C4" s="146"/>
      <c r="D4" s="148"/>
      <c r="E4" s="133"/>
      <c r="F4" s="133"/>
      <c r="G4" s="133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4"/>
      <c r="B12" s="135"/>
      <c r="C12" s="135"/>
      <c r="D12" s="135"/>
      <c r="E12" s="136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2026-01-28T13:34:18Z</cp:lastPrinted>
  <dcterms:created xsi:type="dcterms:W3CDTF">2020-12-10T00:27:53Z</dcterms:created>
  <dcterms:modified xsi:type="dcterms:W3CDTF">2026-02-24T01:51:34Z</dcterms:modified>
</cp:coreProperties>
</file>