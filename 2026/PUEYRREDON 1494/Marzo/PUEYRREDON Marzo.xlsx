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PUEYRREDON 1494\Marzo\"/>
    </mc:Choice>
  </mc:AlternateContent>
  <xr:revisionPtr revIDLastSave="0" documentId="13_ncr:1_{F8D65583-3FB5-4647-9EF6-8EE69176F88E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RESUMEN!$A$1:$E$109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" i="2" l="1"/>
  <c r="H19" i="2"/>
  <c r="H22" i="2"/>
  <c r="H14" i="2"/>
  <c r="H18" i="2"/>
  <c r="H6" i="2"/>
  <c r="H16" i="2"/>
  <c r="H13" i="2"/>
  <c r="H21" i="2"/>
  <c r="H24" i="2"/>
  <c r="H11" i="2"/>
  <c r="D57" i="1"/>
  <c r="E51" i="1"/>
  <c r="E55" i="1"/>
  <c r="E44" i="1"/>
  <c r="H12" i="2" l="1"/>
  <c r="H17" i="2" l="1"/>
  <c r="D26" i="1"/>
  <c r="O2" i="2" l="1"/>
  <c r="O3" i="2"/>
  <c r="D29" i="1"/>
  <c r="J6" i="2" l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J16" i="2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08" i="1"/>
  <c r="B87" i="1" s="1"/>
  <c r="B101" i="1"/>
  <c r="E68" i="1"/>
  <c r="E72" i="1" s="1"/>
  <c r="E59" i="1"/>
  <c r="A42" i="1"/>
  <c r="A43" i="1" s="1"/>
  <c r="E38" i="1"/>
  <c r="E34" i="1"/>
  <c r="E30" i="1"/>
  <c r="H25" i="2" l="1"/>
  <c r="B86" i="1" s="1"/>
  <c r="B76" i="1"/>
  <c r="B91" i="1" s="1"/>
  <c r="B77" i="1"/>
  <c r="E63" i="1"/>
  <c r="L25" i="2"/>
  <c r="M25" i="2" l="1"/>
  <c r="J25" i="2"/>
  <c r="K25" i="2"/>
  <c r="B75" i="1"/>
  <c r="B90" i="1" s="1"/>
  <c r="B92" i="1" s="1"/>
  <c r="B74" i="1"/>
  <c r="O25" i="2" l="1"/>
  <c r="P25" i="2"/>
</calcChain>
</file>

<file path=xl/sharedStrings.xml><?xml version="1.0" encoding="utf-8"?>
<sst xmlns="http://schemas.openxmlformats.org/spreadsheetml/2006/main" count="186" uniqueCount="164">
  <si>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</si>
  <si>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</si>
  <si>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</si>
  <si>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</si>
  <si>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</si>
  <si>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</si>
  <si>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</si>
  <si>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</si>
  <si>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</si>
  <si>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</si>
  <si>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>Neto</t>
  </si>
  <si>
    <t>TOTAL SUELDO</t>
  </si>
  <si>
    <t>HONORARIOS</t>
  </si>
  <si>
    <t>Marcela Di Biase- Sra. Contadora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</si>
  <si>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</si>
  <si>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</si>
  <si>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</si>
  <si>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</si>
  <si>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</si>
  <si>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</si>
  <si>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</si>
  <si>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</si>
  <si>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</si>
  <si>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</si>
  <si>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</si>
  <si>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</si>
  <si>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</si>
  <si>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</si>
  <si>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</si>
  <si>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</si>
  <si>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</si>
  <si>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</si>
  <si>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</si>
  <si>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</si>
  <si>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</si>
  <si>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</si>
  <si>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</si>
  <si>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</si>
  <si>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</si>
  <si>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</si>
  <si>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</si>
  <si>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</si>
  <si>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</si>
  <si>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</si>
  <si>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</si>
  <si>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</si>
  <si>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</si>
  <si>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</si>
  <si>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</si>
  <si>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</si>
  <si>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</si>
  <si>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</si>
  <si>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</si>
  <si>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</si>
  <si>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</si>
  <si>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</si>
  <si>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</si>
  <si>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</si>
  <si>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</si>
  <si>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</si>
  <si>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</si>
  <si>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</si>
  <si>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</si>
  <si>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</si>
  <si>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</si>
  <si>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</si>
  <si>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</si>
  <si>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</si>
  <si>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</si>
  <si>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</si>
  <si>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</si>
  <si>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</si>
  <si>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</si>
  <si>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</si>
  <si>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</si>
  <si>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</si>
  <si>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</si>
  <si>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</si>
  <si>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</si>
  <si>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</si>
  <si>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</si>
  <si>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</si>
  <si>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</si>
  <si>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</si>
  <si>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</si>
  <si>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</si>
  <si>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</si>
  <si>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</si>
  <si>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</si>
  <si>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</si>
  <si>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</si>
  <si>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</si>
  <si>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</si>
  <si>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</si>
  <si>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</si>
  <si>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</si>
  <si>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</si>
  <si>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</si>
  <si>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</si>
  <si>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</si>
  <si>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</si>
  <si>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</si>
  <si>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</si>
  <si>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</si>
  <si>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</si>
  <si>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</si>
  <si>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</si>
  <si>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</si>
  <si>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</si>
  <si>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</si>
  <si>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</si>
  <si>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</si>
  <si>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</si>
  <si>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</si>
  <si>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</si>
  <si>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</si>
  <si>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</si>
  <si>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</si>
  <si>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</si>
  <si>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</si>
  <si>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</si>
  <si>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</si>
  <si>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</si>
  <si>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</si>
  <si>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</si>
  <si>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</si>
  <si>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</si>
  <si>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</si>
  <si>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</si>
  <si>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</si>
  <si>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</si>
  <si>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</si>
  <si>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</si>
  <si>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</si>
  <si>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</si>
  <si>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</si>
  <si>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>Lourdes</t>
  </si>
  <si>
    <t>Yamil Martinez</t>
  </si>
  <si>
    <t xml:space="preserve"> </t>
  </si>
  <si>
    <t>PAULA</t>
  </si>
  <si>
    <t xml:space="preserve"> El dueño es sanabria - Gabriela San</t>
  </si>
  <si>
    <t>Haberes Sra. Encargada</t>
  </si>
  <si>
    <t>Deducciones</t>
  </si>
  <si>
    <t>Redondeo</t>
  </si>
  <si>
    <t>SUBIDOS EN ENER0 A $154.300</t>
  </si>
  <si>
    <t>Transf 09/02</t>
  </si>
  <si>
    <t>Mantenimiento Ascensores</t>
  </si>
  <si>
    <t>Articulos de limpieza</t>
  </si>
  <si>
    <t>VTO 17/04</t>
  </si>
  <si>
    <t>CUIT DEL EDIFICIO: 30-68041540-0 - PERÍODO: MARZO - HORARIOS DE ATENCION: LUNES A VIERNES 10 A 15HS</t>
  </si>
  <si>
    <t>Mes de MARZO</t>
  </si>
  <si>
    <t>Sindicatos mes de MARZO</t>
  </si>
  <si>
    <t>Transf 20/03</t>
  </si>
  <si>
    <t>Transf 04/03</t>
  </si>
  <si>
    <t>Galvan Zaffalon - Mano de obra instalacion de tablero bomba elevadora</t>
  </si>
  <si>
    <t>Transf 09/03</t>
  </si>
  <si>
    <t>Compra adaptador Maguera</t>
  </si>
  <si>
    <t>No se debitaron</t>
  </si>
  <si>
    <t>Estos eran los de marzo que no se debitaron</t>
  </si>
  <si>
    <t>Transf 27/03</t>
  </si>
  <si>
    <t>No se abono por falta de entrega de boleta</t>
  </si>
  <si>
    <t>Honorarios administracion RC - Se debe Febrero y Marzo</t>
  </si>
  <si>
    <t>Punitorios mal cobrados 4A</t>
  </si>
  <si>
    <t>Cuota 3/7 - UF 17 - Convenio de pago Sra. Cordoba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</si>
</sst>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0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0" fontId="16" fillId="2" borderId="1" xfId="0" applyFont="1" applyFill="1" applyBorder="1" applyAlignment="1">
      <alignment wrapText="1"/>
    </xf>
    <xf numFmtId="0" fontId="16" fillId="12" borderId="1" xfId="0" applyFont="1" applyFill="1" applyBorder="1"/>
    <xf numFmtId="0" fontId="16" fillId="12" borderId="1" xfId="0" applyFont="1" applyFill="1" applyBorder="1" applyAlignment="1">
      <alignment wrapText="1"/>
    </xf>
    <xf numFmtId="0" fontId="16" fillId="12" borderId="1" xfId="0" applyFont="1" applyFill="1" applyBorder="1" applyAlignment="1">
      <alignment horizontal="center"/>
    </xf>
    <xf numFmtId="167" fontId="21" fillId="12" borderId="1" xfId="1" applyNumberFormat="1" applyFont="1" applyFill="1" applyBorder="1"/>
    <xf numFmtId="165" fontId="21" fillId="12" borderId="1" xfId="1" applyNumberFormat="1" applyFont="1" applyFill="1" applyBorder="1"/>
    <xf numFmtId="165" fontId="16" fillId="12" borderId="1" xfId="0" applyNumberFormat="1" applyFont="1" applyFill="1" applyBorder="1"/>
    <xf numFmtId="165" fontId="16" fillId="12" borderId="1" xfId="1" applyNumberFormat="1" applyFont="1" applyFill="1" applyBorder="1"/>
    <xf numFmtId="165" fontId="16" fillId="12" borderId="7" xfId="1" applyNumberFormat="1" applyFont="1" applyFill="1" applyBorder="1"/>
    <xf numFmtId="166" fontId="23" fillId="12" borderId="24" xfId="1" applyNumberFormat="1" applyFont="1" applyFill="1" applyBorder="1" applyAlignment="1">
      <alignment horizontal="right"/>
    </xf>
    <xf numFmtId="167" fontId="23" fillId="12" borderId="26" xfId="1" applyNumberFormat="1" applyFont="1" applyFill="1" applyBorder="1" applyAlignment="1">
      <alignment horizontal="right"/>
    </xf>
    <xf numFmtId="0" fontId="6" fillId="0" borderId="1" xfId="0" applyFont="1" applyBorder="1" applyAlignment="1">
      <alignment vertical="center"/>
    </xf>
    <xf numFmtId="44" fontId="21" fillId="12" borderId="1" xfId="1" applyFont="1" applyFill="1" applyBorder="1"/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44" fontId="23" fillId="0" borderId="2" xfId="1" applyFont="1" applyBorder="1"/>
    <xf numFmtId="44" fontId="1" fillId="0" borderId="0" xfId="1"/>
    <xf numFmtId="0" fontId="0" fillId="9" borderId="1" xfId="0" applyFill="1" applyBorder="1"/>
    <xf numFmtId="44" fontId="0" fillId="2" borderId="0" xfId="0" applyNumberFormat="1" applyFill="1"/>
    <xf numFmtId="0" fontId="0" fillId="0" borderId="0" xfId="0"/>
    <xf numFmtId="0" fontId="0" fillId="0" borderId="7" xfId="0" applyBorder="1"/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2" fillId="9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0" borderId="19" xfId="0" applyBorder="1"/>
    <xf numFmtId="0" fontId="13" fillId="3" borderId="18" xfId="0" applyFont="1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23" fillId="2" borderId="2" xfId="1" applyNumberFormat="1" applyFont="1" applyFill="1" applyBorder="1" applyAlignment="1">
      <alignment horizontal="left"/>
    </xf>
    <xf numFmtId="44" fontId="4" fillId="2" borderId="6" xfId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3"/>
  <sheetViews>
    <sheetView topLeftCell="A49" workbookViewId="0">
      <selection activeCell="D58" sqref="D23:E58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140625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ht="15.75" customHeight="1" x14ac:dyDescent="0.25">
      <c r="A1" s="136"/>
      <c r="B1" s="137"/>
      <c r="C1" s="138"/>
      <c r="D1" s="138"/>
      <c r="E1" s="139"/>
    </row>
    <row r="2" spans="1:5" x14ac:dyDescent="0.25">
      <c r="A2" s="140"/>
      <c r="B2" s="132" t="s">
        <v>0</v>
      </c>
      <c r="C2" s="132"/>
      <c r="D2" s="132"/>
      <c r="E2" s="141"/>
    </row>
    <row r="3" spans="1:5" x14ac:dyDescent="0.25">
      <c r="A3" s="140"/>
      <c r="B3" s="132" t="s">
        <v>1</v>
      </c>
      <c r="C3" s="132"/>
      <c r="D3" s="132"/>
      <c r="E3" s="141"/>
    </row>
    <row r="4" spans="1:5" ht="32.25" customHeight="1" x14ac:dyDescent="0.25">
      <c r="A4" s="140"/>
      <c r="B4" s="133" t="s">
        <v>2</v>
      </c>
      <c r="C4" s="132"/>
      <c r="D4" s="134" t="s">
        <v>3</v>
      </c>
      <c r="E4" s="141"/>
    </row>
    <row r="5" spans="1:5" ht="15.75" customHeight="1" x14ac:dyDescent="0.25">
      <c r="A5" s="140" t="s">
        <v>4</v>
      </c>
      <c r="B5" s="135" t="s">
        <v>5</v>
      </c>
      <c r="C5" s="131"/>
      <c r="D5" s="131"/>
      <c r="E5" s="142"/>
    </row>
    <row r="6" spans="1:5" ht="15.75" customHeight="1" x14ac:dyDescent="0.25">
      <c r="A6" s="140" t="s">
        <v>149</v>
      </c>
      <c r="B6" s="131"/>
      <c r="C6" s="131"/>
      <c r="D6" s="132"/>
      <c r="E6" s="142"/>
    </row>
    <row r="7" spans="1:5" ht="15.75" customHeight="1" x14ac:dyDescent="0.25">
      <c r="A7" s="143" t="s">
        <v>6</v>
      </c>
      <c r="B7" s="144"/>
      <c r="C7" s="144"/>
      <c r="D7" s="144"/>
      <c r="E7" s="145"/>
    </row>
    <row r="9" spans="1:5" x14ac:dyDescent="0.25">
      <c r="B9" s="181" t="s">
        <v>148</v>
      </c>
      <c r="C9" s="176"/>
    </row>
    <row r="10" spans="1:5" x14ac:dyDescent="0.25">
      <c r="B10" s="176"/>
      <c r="C10" s="176"/>
    </row>
    <row r="11" spans="1:5" x14ac:dyDescent="0.25">
      <c r="B11" s="176"/>
      <c r="C11" s="176"/>
    </row>
    <row r="12" spans="1:5" x14ac:dyDescent="0.25">
      <c r="B12" s="128"/>
    </row>
    <row r="13" spans="1:5" hidden="1" x14ac:dyDescent="0.25"/>
    <row r="14" spans="1:5" ht="15" customHeight="1" x14ac:dyDescent="0.25">
      <c r="A14" s="182" t="s">
        <v>7</v>
      </c>
      <c r="B14" s="176"/>
      <c r="C14" s="176"/>
      <c r="D14" s="176"/>
      <c r="E14" s="176"/>
    </row>
    <row r="15" spans="1:5" ht="15" customHeight="1" x14ac:dyDescent="0.25">
      <c r="A15" s="176"/>
      <c r="B15" s="176"/>
      <c r="C15" s="176"/>
      <c r="D15" s="176"/>
      <c r="E15" s="176"/>
    </row>
    <row r="16" spans="1:5" ht="15" customHeight="1" x14ac:dyDescent="0.25">
      <c r="A16" s="176"/>
      <c r="B16" s="176"/>
      <c r="C16" s="176"/>
      <c r="D16" s="176"/>
      <c r="E16" s="176"/>
    </row>
    <row r="17" spans="1:8" ht="53.25" customHeight="1" x14ac:dyDescent="0.25">
      <c r="A17" s="176"/>
      <c r="B17" s="176"/>
      <c r="C17" s="176"/>
      <c r="D17" s="176"/>
      <c r="E17" s="176"/>
    </row>
    <row r="18" spans="1:8" ht="14.25" customHeight="1" thickBot="1" x14ac:dyDescent="0.3"/>
    <row r="19" spans="1:8" hidden="1" x14ac:dyDescent="0.25">
      <c r="A19" s="2"/>
    </row>
    <row r="20" spans="1:8" ht="15.75" hidden="1" customHeight="1" thickBot="1" x14ac:dyDescent="0.3"/>
    <row r="21" spans="1:8" x14ac:dyDescent="0.25">
      <c r="A21" s="11" t="s">
        <v>8</v>
      </c>
      <c r="B21" s="12"/>
      <c r="C21" s="13"/>
      <c r="D21" s="9"/>
      <c r="E21" s="14"/>
    </row>
    <row r="22" spans="1:8" x14ac:dyDescent="0.25">
      <c r="A22" s="32" t="s">
        <v>9</v>
      </c>
      <c r="B22" s="32"/>
      <c r="C22" s="32"/>
      <c r="D22" s="30"/>
      <c r="E22" s="30"/>
    </row>
    <row r="23" spans="1:8" ht="14.45" customHeight="1" x14ac:dyDescent="0.25">
      <c r="A23" s="167" t="s">
        <v>141</v>
      </c>
      <c r="B23" s="168"/>
      <c r="C23" s="5"/>
      <c r="D23" s="116">
        <v>1035140.2</v>
      </c>
      <c r="E23" s="79"/>
    </row>
    <row r="24" spans="1:8" ht="14.45" customHeight="1" x14ac:dyDescent="0.25">
      <c r="A24" s="167" t="s">
        <v>142</v>
      </c>
      <c r="B24" s="168"/>
      <c r="C24" s="5"/>
      <c r="D24" s="116">
        <v>-225142.99</v>
      </c>
      <c r="E24" s="79"/>
    </row>
    <row r="25" spans="1:8" x14ac:dyDescent="0.25">
      <c r="A25" s="5" t="s">
        <v>143</v>
      </c>
      <c r="B25" s="5"/>
      <c r="C25" s="5"/>
      <c r="D25" s="116">
        <v>0.79</v>
      </c>
      <c r="E25" s="79"/>
      <c r="H25" s="5"/>
    </row>
    <row r="26" spans="1:8" ht="14.25" customHeight="1" x14ac:dyDescent="0.25">
      <c r="A26" s="56" t="s">
        <v>10</v>
      </c>
      <c r="B26" s="56"/>
      <c r="C26" s="56"/>
      <c r="D26" s="117">
        <f>SUM(D23:D25)</f>
        <v>809998</v>
      </c>
      <c r="E26" s="80"/>
      <c r="H26" s="5"/>
    </row>
    <row r="27" spans="1:8" ht="3.75" hidden="1" customHeight="1" x14ac:dyDescent="0.25">
      <c r="A27" s="5"/>
      <c r="B27" s="5"/>
      <c r="C27" s="5"/>
      <c r="D27" s="116"/>
      <c r="E27" s="79"/>
      <c r="H27" s="15"/>
    </row>
    <row r="28" spans="1:8" hidden="1" x14ac:dyDescent="0.25">
      <c r="A28" s="5"/>
      <c r="B28" s="5"/>
      <c r="C28" s="5"/>
      <c r="D28" s="116"/>
      <c r="E28" s="79"/>
      <c r="H28" s="5"/>
    </row>
    <row r="29" spans="1:8" hidden="1" x14ac:dyDescent="0.25">
      <c r="A29" s="56" t="s">
        <v>10</v>
      </c>
      <c r="B29" s="56"/>
      <c r="C29" s="56"/>
      <c r="D29" s="127">
        <f>SUM(D27:D28)</f>
        <v>0</v>
      </c>
      <c r="E29" s="80"/>
    </row>
    <row r="30" spans="1:8" ht="14.25" customHeight="1" thickBot="1" x14ac:dyDescent="0.3">
      <c r="A30" s="23" t="s">
        <v>11</v>
      </c>
      <c r="B30" s="23"/>
      <c r="C30" s="23"/>
      <c r="D30" s="118"/>
      <c r="E30" s="81">
        <f>D26+D29</f>
        <v>809998</v>
      </c>
      <c r="F30" s="15"/>
    </row>
    <row r="31" spans="1:8" x14ac:dyDescent="0.25">
      <c r="A31" s="32" t="s">
        <v>12</v>
      </c>
      <c r="B31" s="32"/>
      <c r="C31" s="32"/>
      <c r="D31" s="119"/>
      <c r="E31" s="82"/>
    </row>
    <row r="32" spans="1:8" ht="15.75" customHeight="1" x14ac:dyDescent="0.25">
      <c r="A32" s="63" t="s">
        <v>13</v>
      </c>
      <c r="B32" s="5" t="s">
        <v>150</v>
      </c>
      <c r="C32" s="5"/>
      <c r="D32" s="116">
        <v>43000</v>
      </c>
      <c r="E32" s="83" t="s">
        <v>153</v>
      </c>
    </row>
    <row r="33" spans="1:8" ht="16.5" customHeight="1" thickBot="1" x14ac:dyDescent="0.3">
      <c r="A33" s="184" t="s">
        <v>161</v>
      </c>
      <c r="B33" s="185"/>
      <c r="C33" s="5"/>
      <c r="D33" s="116"/>
      <c r="E33" s="83"/>
      <c r="G33" s="15"/>
      <c r="H33" t="s">
        <v>144</v>
      </c>
    </row>
    <row r="34" spans="1:8" ht="15.75" customHeight="1" thickBot="1" x14ac:dyDescent="0.3">
      <c r="A34" s="23" t="s">
        <v>14</v>
      </c>
      <c r="B34" s="23"/>
      <c r="C34" s="23"/>
      <c r="D34" s="120"/>
      <c r="E34" s="84">
        <f>SUM(D32:D33)</f>
        <v>43000</v>
      </c>
    </row>
    <row r="35" spans="1:8" x14ac:dyDescent="0.25">
      <c r="A35" s="30" t="s">
        <v>15</v>
      </c>
      <c r="B35" s="31"/>
      <c r="C35" s="31"/>
      <c r="D35" s="121"/>
      <c r="E35" s="65"/>
    </row>
    <row r="36" spans="1:8" s="36" customFormat="1" ht="13.5" customHeight="1" x14ac:dyDescent="0.25">
      <c r="A36" s="183" t="s">
        <v>16</v>
      </c>
      <c r="B36" s="179"/>
      <c r="C36" s="55"/>
      <c r="D36" s="148">
        <v>87562.7</v>
      </c>
      <c r="E36" s="104"/>
    </row>
    <row r="37" spans="1:8" ht="14.25" customHeight="1" x14ac:dyDescent="0.25">
      <c r="A37" s="183" t="s">
        <v>17</v>
      </c>
      <c r="B37" s="179"/>
      <c r="C37" s="55"/>
      <c r="D37" s="122">
        <v>5065</v>
      </c>
      <c r="E37" s="104"/>
    </row>
    <row r="38" spans="1:8" ht="15.75" customHeight="1" thickBot="1" x14ac:dyDescent="0.3">
      <c r="A38" s="23" t="s">
        <v>18</v>
      </c>
      <c r="B38" s="23"/>
      <c r="C38" s="23"/>
      <c r="D38" s="120"/>
      <c r="E38" s="85">
        <f>SUM(D36:D37)</f>
        <v>92627.7</v>
      </c>
    </row>
    <row r="39" spans="1:8" x14ac:dyDescent="0.25">
      <c r="A39" s="32" t="s">
        <v>19</v>
      </c>
      <c r="B39" s="24"/>
      <c r="C39" s="24"/>
      <c r="D39" s="123"/>
      <c r="E39" s="86"/>
    </row>
    <row r="40" spans="1:8" x14ac:dyDescent="0.25">
      <c r="A40" s="5" t="s">
        <v>20</v>
      </c>
      <c r="B40" s="5"/>
      <c r="C40" s="53"/>
      <c r="D40" s="122">
        <v>496944.27</v>
      </c>
      <c r="E40" s="169" t="s">
        <v>155</v>
      </c>
      <c r="G40" s="102"/>
    </row>
    <row r="41" spans="1:8" x14ac:dyDescent="0.25">
      <c r="A41" s="5" t="s">
        <v>151</v>
      </c>
      <c r="B41" s="5" t="s">
        <v>21</v>
      </c>
      <c r="C41" s="5"/>
      <c r="D41" s="122"/>
      <c r="E41" s="105" t="s">
        <v>157</v>
      </c>
      <c r="F41">
        <v>25878.5</v>
      </c>
      <c r="G41" t="s">
        <v>158</v>
      </c>
    </row>
    <row r="42" spans="1:8" x14ac:dyDescent="0.25">
      <c r="A42" s="5" t="str">
        <f>A41</f>
        <v>Sindicatos mes de MARZO</v>
      </c>
      <c r="B42" s="5" t="s">
        <v>22</v>
      </c>
      <c r="C42" s="5"/>
      <c r="D42" s="122"/>
      <c r="E42" s="105" t="s">
        <v>157</v>
      </c>
      <c r="F42">
        <v>87644.11</v>
      </c>
    </row>
    <row r="43" spans="1:8" x14ac:dyDescent="0.25">
      <c r="A43" s="5" t="str">
        <f>A42</f>
        <v>Sindicatos mes de MARZO</v>
      </c>
      <c r="B43" s="5" t="s">
        <v>23</v>
      </c>
      <c r="C43" s="5"/>
      <c r="D43" s="122"/>
      <c r="E43" s="105" t="s">
        <v>157</v>
      </c>
      <c r="F43">
        <v>5175.7</v>
      </c>
    </row>
    <row r="44" spans="1:8" ht="15" customHeight="1" thickBot="1" x14ac:dyDescent="0.3">
      <c r="A44" s="23" t="s">
        <v>24</v>
      </c>
      <c r="B44" s="24"/>
      <c r="C44" s="24"/>
      <c r="D44" s="124"/>
      <c r="E44" s="85">
        <f>SUM(D40:D43)</f>
        <v>496944.27</v>
      </c>
    </row>
    <row r="45" spans="1:8" x14ac:dyDescent="0.25">
      <c r="A45" s="32" t="s">
        <v>25</v>
      </c>
      <c r="B45" s="24"/>
      <c r="C45" s="24"/>
      <c r="D45" s="123"/>
      <c r="E45" s="86"/>
    </row>
    <row r="46" spans="1:8" ht="14.25" customHeight="1" x14ac:dyDescent="0.25">
      <c r="A46" s="53" t="s">
        <v>146</v>
      </c>
      <c r="B46" s="5" t="s">
        <v>160</v>
      </c>
      <c r="C46" s="5"/>
      <c r="D46" s="122"/>
      <c r="E46" s="88"/>
      <c r="G46" s="108"/>
    </row>
    <row r="47" spans="1:8" ht="14.25" customHeight="1" x14ac:dyDescent="0.25">
      <c r="A47" s="5" t="s">
        <v>26</v>
      </c>
      <c r="B47" s="5"/>
      <c r="C47" s="5"/>
      <c r="D47" s="122">
        <v>103992.78</v>
      </c>
      <c r="E47" s="88" t="s">
        <v>153</v>
      </c>
    </row>
    <row r="48" spans="1:8" ht="14.25" customHeight="1" x14ac:dyDescent="0.25">
      <c r="A48" s="5" t="s">
        <v>27</v>
      </c>
      <c r="B48" s="5"/>
      <c r="C48" s="5"/>
      <c r="D48" s="122"/>
      <c r="E48" s="88"/>
    </row>
    <row r="49" spans="1:7" ht="15" customHeight="1" x14ac:dyDescent="0.25">
      <c r="A49" s="5" t="s">
        <v>134</v>
      </c>
      <c r="B49" s="5"/>
      <c r="C49" s="5"/>
      <c r="D49" s="122">
        <v>55000</v>
      </c>
      <c r="E49" s="88" t="s">
        <v>152</v>
      </c>
    </row>
    <row r="50" spans="1:7" ht="33" customHeight="1" x14ac:dyDescent="0.25">
      <c r="A50" s="184" t="s">
        <v>154</v>
      </c>
      <c r="B50" s="185"/>
      <c r="C50" s="5"/>
      <c r="D50" s="202">
        <v>250000</v>
      </c>
      <c r="E50" s="88" t="s">
        <v>145</v>
      </c>
    </row>
    <row r="51" spans="1:7" ht="15.75" customHeight="1" thickBot="1" x14ac:dyDescent="0.3">
      <c r="A51" s="23" t="s">
        <v>28</v>
      </c>
      <c r="B51" s="23"/>
      <c r="C51" s="23"/>
      <c r="D51" s="120"/>
      <c r="E51" s="85">
        <f>SUM(D46:D50)</f>
        <v>408992.78</v>
      </c>
    </row>
    <row r="52" spans="1:7" ht="15.75" customHeight="1" thickBot="1" x14ac:dyDescent="0.3">
      <c r="A52" s="32" t="s">
        <v>29</v>
      </c>
      <c r="B52" s="23"/>
      <c r="C52" s="23"/>
      <c r="D52" s="120"/>
      <c r="E52" s="87"/>
    </row>
    <row r="53" spans="1:7" x14ac:dyDescent="0.25">
      <c r="A53" s="53" t="s">
        <v>156</v>
      </c>
      <c r="B53" s="174"/>
      <c r="C53" s="5"/>
      <c r="D53" s="202">
        <v>4000</v>
      </c>
      <c r="E53" s="88" t="s">
        <v>152</v>
      </c>
    </row>
    <row r="54" spans="1:7" s="173" customFormat="1" x14ac:dyDescent="0.25">
      <c r="A54" s="53" t="s">
        <v>147</v>
      </c>
      <c r="B54" s="174"/>
      <c r="C54" s="5"/>
      <c r="D54" s="202">
        <v>26600</v>
      </c>
      <c r="E54" s="201" t="s">
        <v>159</v>
      </c>
    </row>
    <row r="55" spans="1:7" ht="15.75" customHeight="1" thickBot="1" x14ac:dyDescent="0.3">
      <c r="A55" s="23" t="s">
        <v>30</v>
      </c>
      <c r="B55" s="32"/>
      <c r="C55" s="32"/>
      <c r="D55" s="30"/>
      <c r="E55" s="90">
        <f>SUM(D53:D54)</f>
        <v>30600</v>
      </c>
    </row>
    <row r="56" spans="1:7" ht="15.75" customHeight="1" thickBot="1" x14ac:dyDescent="0.3">
      <c r="A56" s="32" t="s">
        <v>31</v>
      </c>
      <c r="B56" s="64"/>
      <c r="C56" s="23"/>
      <c r="D56" s="118"/>
      <c r="E56" s="87"/>
    </row>
    <row r="57" spans="1:7" x14ac:dyDescent="0.25">
      <c r="A57" s="5" t="s">
        <v>31</v>
      </c>
      <c r="B57" s="5"/>
      <c r="C57" s="5"/>
      <c r="D57" s="122">
        <f>23880.54+10968.93+12690.9+4655.63</f>
        <v>52196</v>
      </c>
      <c r="E57" s="91"/>
    </row>
    <row r="58" spans="1:7" x14ac:dyDescent="0.25">
      <c r="A58" s="5" t="s">
        <v>32</v>
      </c>
      <c r="B58" s="5"/>
      <c r="C58" s="5"/>
      <c r="D58" s="122">
        <v>61600</v>
      </c>
      <c r="E58" s="89"/>
    </row>
    <row r="59" spans="1:7" ht="15.75" customHeight="1" thickBot="1" x14ac:dyDescent="0.3">
      <c r="A59" s="52" t="s">
        <v>14</v>
      </c>
      <c r="B59" s="52"/>
      <c r="C59" s="52"/>
      <c r="D59" s="92"/>
      <c r="E59" s="85">
        <f>SUM(D57:D58)</f>
        <v>113796</v>
      </c>
    </row>
    <row r="60" spans="1:7" ht="15.75" customHeight="1" thickBot="1" x14ac:dyDescent="0.3">
      <c r="A60" s="5"/>
      <c r="B60" s="5"/>
      <c r="C60" s="5"/>
      <c r="D60" s="79"/>
      <c r="E60" s="93"/>
    </row>
    <row r="61" spans="1:7" ht="15.75" customHeight="1" thickBot="1" x14ac:dyDescent="0.3">
      <c r="A61" s="25" t="s">
        <v>33</v>
      </c>
      <c r="B61" s="25"/>
      <c r="C61" s="25"/>
      <c r="D61" s="94"/>
      <c r="E61" s="95"/>
    </row>
    <row r="62" spans="1:7" ht="15.75" customHeight="1" thickBot="1" x14ac:dyDescent="0.3">
      <c r="A62" s="1"/>
      <c r="D62" s="96"/>
      <c r="E62" s="97"/>
      <c r="F62" s="43"/>
    </row>
    <row r="63" spans="1:7" ht="15.75" customHeight="1" thickBot="1" x14ac:dyDescent="0.3">
      <c r="A63" s="3" t="s">
        <v>34</v>
      </c>
      <c r="B63" s="10"/>
      <c r="C63" s="4"/>
      <c r="D63" s="98"/>
      <c r="E63" s="99">
        <f>(SUM(E30:E61))</f>
        <v>1995958.75</v>
      </c>
      <c r="F63" s="43"/>
      <c r="G63" s="108"/>
    </row>
    <row r="64" spans="1:7" x14ac:dyDescent="0.25">
      <c r="D64" s="96"/>
      <c r="E64" s="96"/>
      <c r="G64" s="108"/>
    </row>
    <row r="65" spans="1:5" ht="15.75" customHeight="1" thickBot="1" x14ac:dyDescent="0.3">
      <c r="D65" s="96"/>
      <c r="E65" s="96"/>
    </row>
    <row r="66" spans="1:5" ht="14.25" customHeight="1" x14ac:dyDescent="0.25">
      <c r="A66" s="11" t="s">
        <v>35</v>
      </c>
      <c r="B66" s="12"/>
      <c r="C66" s="13"/>
      <c r="D66" s="100"/>
      <c r="E66" s="101"/>
    </row>
    <row r="67" spans="1:5" x14ac:dyDescent="0.25">
      <c r="A67" s="178"/>
      <c r="B67" s="179"/>
      <c r="C67" s="53"/>
      <c r="D67" s="34"/>
      <c r="E67" s="126"/>
    </row>
    <row r="68" spans="1:5" x14ac:dyDescent="0.25">
      <c r="A68" s="50"/>
      <c r="B68" s="49"/>
      <c r="C68" s="49"/>
      <c r="D68" s="57"/>
      <c r="E68" s="147">
        <f>SUM(D67:D67)</f>
        <v>0</v>
      </c>
    </row>
    <row r="70" spans="1:5" x14ac:dyDescent="0.25">
      <c r="A70" s="25" t="s">
        <v>36</v>
      </c>
      <c r="B70" s="25"/>
      <c r="C70" s="25"/>
      <c r="D70" s="26"/>
      <c r="E70" s="109"/>
    </row>
    <row r="71" spans="1:5" ht="15.75" customHeight="1" thickBot="1" x14ac:dyDescent="0.3"/>
    <row r="72" spans="1:5" ht="15.75" customHeight="1" thickBot="1" x14ac:dyDescent="0.3">
      <c r="A72" s="3" t="s">
        <v>37</v>
      </c>
      <c r="B72" s="10"/>
      <c r="C72" s="4"/>
      <c r="D72" s="4"/>
      <c r="E72" s="66">
        <f>E68+E70</f>
        <v>0</v>
      </c>
    </row>
    <row r="73" spans="1:5" ht="15.75" customHeight="1" thickBot="1" x14ac:dyDescent="0.3"/>
    <row r="74" spans="1:5" ht="15.75" customHeight="1" thickBot="1" x14ac:dyDescent="0.3">
      <c r="A74" s="77" t="s">
        <v>38</v>
      </c>
      <c r="B74" s="78">
        <f>E63</f>
        <v>1995958.75</v>
      </c>
      <c r="D74" s="43"/>
    </row>
    <row r="75" spans="1:5" ht="15.75" customHeight="1" thickBot="1" x14ac:dyDescent="0.3">
      <c r="A75" s="77" t="s">
        <v>39</v>
      </c>
      <c r="B75" s="78">
        <f>E63-E61</f>
        <v>1995958.75</v>
      </c>
    </row>
    <row r="76" spans="1:5" ht="15.75" customHeight="1" thickBot="1" x14ac:dyDescent="0.3">
      <c r="A76" s="77" t="s">
        <v>40</v>
      </c>
      <c r="B76" s="78">
        <f>E72-E70</f>
        <v>0</v>
      </c>
    </row>
    <row r="77" spans="1:5" ht="15.75" customHeight="1" thickBot="1" x14ac:dyDescent="0.3">
      <c r="A77" s="77" t="s">
        <v>41</v>
      </c>
      <c r="B77" s="78">
        <f>E72</f>
        <v>0</v>
      </c>
    </row>
    <row r="78" spans="1:5" ht="14.25" customHeight="1" x14ac:dyDescent="0.25"/>
    <row r="79" spans="1:5" hidden="1" x14ac:dyDescent="0.25"/>
    <row r="80" spans="1:5" hidden="1" x14ac:dyDescent="0.25">
      <c r="A80" s="175"/>
      <c r="B80" s="176"/>
      <c r="C80" s="176"/>
      <c r="D80" s="176"/>
      <c r="E80" s="176"/>
    </row>
    <row r="81" spans="1:5" hidden="1" x14ac:dyDescent="0.25">
      <c r="A81" s="176"/>
      <c r="B81" s="176"/>
      <c r="C81" s="176"/>
      <c r="D81" s="176"/>
      <c r="E81" s="176"/>
    </row>
    <row r="82" spans="1:5" ht="38.25" hidden="1" customHeight="1" x14ac:dyDescent="0.25">
      <c r="A82" s="176"/>
      <c r="B82" s="176"/>
      <c r="C82" s="176"/>
      <c r="D82" s="176"/>
      <c r="E82" s="176"/>
    </row>
    <row r="84" spans="1:5" x14ac:dyDescent="0.25">
      <c r="A84" s="16" t="s">
        <v>42</v>
      </c>
      <c r="B84" s="38"/>
      <c r="C84" s="17"/>
    </row>
    <row r="85" spans="1:5" ht="18" customHeight="1" x14ac:dyDescent="0.25">
      <c r="A85" s="28" t="s">
        <v>43</v>
      </c>
      <c r="B85" s="107">
        <v>7563221.8724999987</v>
      </c>
      <c r="C85" s="19"/>
    </row>
    <row r="86" spans="1:5" ht="14.25" customHeight="1" x14ac:dyDescent="0.25">
      <c r="A86" s="18" t="s">
        <v>44</v>
      </c>
      <c r="B86" s="39">
        <f>PRORRATEO!H25</f>
        <v>2943610.92</v>
      </c>
      <c r="C86" s="17"/>
    </row>
    <row r="87" spans="1:5" x14ac:dyDescent="0.25">
      <c r="A87" s="165" t="s">
        <v>45</v>
      </c>
      <c r="B87" s="89">
        <f>B108</f>
        <v>0</v>
      </c>
      <c r="C87" s="17"/>
    </row>
    <row r="88" spans="1:5" s="173" customFormat="1" x14ac:dyDescent="0.25">
      <c r="A88" s="165" t="s">
        <v>162</v>
      </c>
      <c r="B88" s="47">
        <v>-21571</v>
      </c>
      <c r="C88" s="17"/>
    </row>
    <row r="89" spans="1:5" ht="34.9" customHeight="1" x14ac:dyDescent="0.25">
      <c r="A89" s="21" t="s">
        <v>163</v>
      </c>
      <c r="B89" s="89">
        <v>311500.37</v>
      </c>
      <c r="C89" s="17"/>
      <c r="E89" s="170"/>
    </row>
    <row r="90" spans="1:5" x14ac:dyDescent="0.25">
      <c r="A90" s="37" t="s">
        <v>46</v>
      </c>
      <c r="B90" s="47">
        <f>-B75</f>
        <v>-1995958.75</v>
      </c>
      <c r="C90" s="17"/>
      <c r="E90" s="43"/>
    </row>
    <row r="91" spans="1:5" x14ac:dyDescent="0.25">
      <c r="A91" s="21" t="s">
        <v>47</v>
      </c>
      <c r="B91" s="47">
        <f>-(B76)</f>
        <v>0</v>
      </c>
      <c r="C91" s="17"/>
      <c r="E91" s="19"/>
    </row>
    <row r="92" spans="1:5" x14ac:dyDescent="0.25">
      <c r="A92" s="27" t="s">
        <v>30</v>
      </c>
      <c r="B92" s="106">
        <f>SUM(B85:B91)</f>
        <v>8800803.4124999978</v>
      </c>
      <c r="C92" s="20"/>
    </row>
    <row r="93" spans="1:5" ht="34.5" customHeight="1" x14ac:dyDescent="0.25">
      <c r="B93" s="40"/>
      <c r="C93" s="20"/>
      <c r="D93" s="43"/>
    </row>
    <row r="94" spans="1:5" ht="14.25" hidden="1" customHeight="1" x14ac:dyDescent="0.25">
      <c r="B94" s="41"/>
      <c r="C94" s="20"/>
    </row>
    <row r="95" spans="1:5" s="36" customFormat="1" ht="27" hidden="1" customHeight="1" x14ac:dyDescent="0.25">
      <c r="B95" s="40"/>
      <c r="C95" s="35"/>
    </row>
    <row r="96" spans="1:5" s="36" customFormat="1" ht="27" hidden="1" customHeight="1" x14ac:dyDescent="0.25">
      <c r="A96" s="29" t="s">
        <v>48</v>
      </c>
      <c r="B96" s="33"/>
      <c r="C96" s="35"/>
      <c r="D96" s="46"/>
    </row>
    <row r="97" spans="1:13" s="36" customFormat="1" ht="27" hidden="1" customHeight="1" x14ac:dyDescent="0.25">
      <c r="A97" s="5" t="s">
        <v>43</v>
      </c>
      <c r="B97" s="34">
        <v>0</v>
      </c>
      <c r="C97" s="35"/>
    </row>
    <row r="98" spans="1:13" ht="14.25" hidden="1" customHeight="1" x14ac:dyDescent="0.25">
      <c r="A98" s="5" t="s">
        <v>49</v>
      </c>
      <c r="B98" s="33">
        <v>0</v>
      </c>
      <c r="C98" s="20"/>
      <c r="D98" s="43"/>
    </row>
    <row r="99" spans="1:13" hidden="1" x14ac:dyDescent="0.25">
      <c r="A99" s="5" t="s">
        <v>46</v>
      </c>
      <c r="B99" s="33">
        <v>0</v>
      </c>
      <c r="C99" s="20"/>
    </row>
    <row r="100" spans="1:13" hidden="1" x14ac:dyDescent="0.25">
      <c r="A100" s="5" t="s">
        <v>47</v>
      </c>
      <c r="B100" s="33">
        <v>0</v>
      </c>
      <c r="C100" s="22"/>
    </row>
    <row r="101" spans="1:13" hidden="1" x14ac:dyDescent="0.25">
      <c r="A101" s="29" t="s">
        <v>50</v>
      </c>
      <c r="B101" s="48">
        <f>SUM(B97:B100)</f>
        <v>0</v>
      </c>
      <c r="C101" s="17"/>
    </row>
    <row r="102" spans="1:13" hidden="1" x14ac:dyDescent="0.25"/>
    <row r="103" spans="1:13" ht="60.75" hidden="1" customHeight="1" x14ac:dyDescent="0.25"/>
    <row r="104" spans="1:13" x14ac:dyDescent="0.25">
      <c r="A104" s="177" t="s">
        <v>51</v>
      </c>
      <c r="B104" s="176"/>
      <c r="C104" s="176"/>
    </row>
    <row r="105" spans="1:13" x14ac:dyDescent="0.25">
      <c r="A105" s="176"/>
      <c r="B105" s="176"/>
      <c r="C105" s="176"/>
    </row>
    <row r="106" spans="1:13" ht="30.75" customHeight="1" x14ac:dyDescent="0.25">
      <c r="A106" s="55"/>
      <c r="B106" s="33"/>
      <c r="C106" s="33">
        <v>40000</v>
      </c>
    </row>
    <row r="107" spans="1:13" ht="15.75" customHeight="1" x14ac:dyDescent="0.25">
      <c r="A107" s="55"/>
      <c r="B107" s="33"/>
      <c r="C107" s="40"/>
    </row>
    <row r="108" spans="1:13" x14ac:dyDescent="0.25">
      <c r="A108" s="44" t="s">
        <v>30</v>
      </c>
      <c r="B108" s="103">
        <f>SUM(B106:B107)</f>
        <v>0</v>
      </c>
      <c r="C108" s="45"/>
    </row>
    <row r="109" spans="1:13" x14ac:dyDescent="0.25">
      <c r="M109" s="8"/>
    </row>
    <row r="110" spans="1:13" ht="15" hidden="1" customHeight="1" x14ac:dyDescent="0.25">
      <c r="A110" s="180"/>
      <c r="B110" s="176"/>
      <c r="C110" s="176"/>
      <c r="D110" s="176"/>
      <c r="E110" s="176"/>
    </row>
    <row r="111" spans="1:13" hidden="1" x14ac:dyDescent="0.25">
      <c r="A111" s="176"/>
      <c r="B111" s="176"/>
      <c r="C111" s="176"/>
      <c r="D111" s="176"/>
      <c r="E111" s="176"/>
    </row>
    <row r="112" spans="1:13" hidden="1" x14ac:dyDescent="0.25">
      <c r="A112" s="176"/>
      <c r="B112" s="176"/>
      <c r="C112" s="176"/>
      <c r="D112" s="176"/>
      <c r="E112" s="176"/>
    </row>
    <row r="113" spans="1:5" hidden="1" x14ac:dyDescent="0.25">
      <c r="A113" s="176"/>
      <c r="B113" s="176"/>
      <c r="C113" s="176"/>
      <c r="D113" s="176"/>
      <c r="E113" s="176"/>
    </row>
  </sheetData>
  <mergeCells count="10">
    <mergeCell ref="A80:E82"/>
    <mergeCell ref="A104:C105"/>
    <mergeCell ref="A67:B67"/>
    <mergeCell ref="A110:E113"/>
    <mergeCell ref="B9:C11"/>
    <mergeCell ref="A14:E17"/>
    <mergeCell ref="A36:B36"/>
    <mergeCell ref="A37:B37"/>
    <mergeCell ref="A33:B33"/>
    <mergeCell ref="A50:B5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abSelected="1" topLeftCell="B5" zoomScaleNormal="100" workbookViewId="0">
      <selection activeCell="H6" sqref="H6:H24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6.85546875" customWidth="1"/>
    <col min="4" max="4" width="18.5703125" customWidth="1"/>
    <col min="5" max="5" width="9.140625" bestFit="1" customWidth="1"/>
    <col min="6" max="6" width="5.140625" customWidth="1"/>
    <col min="7" max="7" width="14.140625" customWidth="1"/>
    <col min="8" max="8" width="15.28515625" customWidth="1"/>
    <col min="9" max="9" width="7.7109375" hidden="1" customWidth="1"/>
    <col min="10" max="10" width="10.5703125" customWidth="1"/>
    <col min="11" max="11" width="9.85546875" customWidth="1"/>
    <col min="12" max="12" width="11.28515625" customWidth="1"/>
    <col min="13" max="13" width="10.5703125" customWidth="1"/>
    <col min="14" max="14" width="10.5703125" hidden="1" customWidth="1"/>
    <col min="15" max="15" width="14" customWidth="1"/>
    <col min="16" max="16" width="13.5703125" customWidth="1"/>
    <col min="17" max="17" width="4.42578125" hidden="1" customWidth="1"/>
    <col min="18" max="18" width="12" bestFit="1" customWidth="1"/>
    <col min="19" max="19" width="13" bestFit="1" customWidth="1"/>
  </cols>
  <sheetData>
    <row r="1" spans="1:20" ht="12.95" customHeight="1" x14ac:dyDescent="0.25">
      <c r="A1" s="6"/>
      <c r="B1" s="6"/>
      <c r="C1" s="6"/>
      <c r="D1" s="6" t="s">
        <v>52</v>
      </c>
      <c r="E1" s="6"/>
      <c r="F1" s="198" t="s">
        <v>53</v>
      </c>
      <c r="G1" s="176"/>
      <c r="H1" s="176"/>
      <c r="I1" s="176"/>
      <c r="J1" s="176"/>
      <c r="K1" s="176"/>
      <c r="L1" s="176"/>
      <c r="M1" s="176"/>
      <c r="N1" s="176"/>
      <c r="O1" s="176"/>
      <c r="P1" s="6"/>
    </row>
    <row r="2" spans="1:20" ht="12.95" customHeight="1" x14ac:dyDescent="0.25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54</v>
      </c>
      <c r="M2" s="6"/>
      <c r="N2" s="6"/>
      <c r="O2" s="192">
        <f>T4</f>
        <v>2241878.2500000005</v>
      </c>
      <c r="P2" s="176"/>
      <c r="Q2" s="15"/>
    </row>
    <row r="3" spans="1:20" ht="12.95" customHeight="1" thickBot="1" x14ac:dyDescent="0.3">
      <c r="A3" s="6"/>
      <c r="B3" s="6"/>
      <c r="C3" s="6"/>
      <c r="D3" s="6" t="s">
        <v>55</v>
      </c>
      <c r="E3" s="6"/>
      <c r="F3" s="6"/>
      <c r="G3" s="6"/>
      <c r="H3" s="6"/>
      <c r="I3" s="6"/>
      <c r="J3" s="6"/>
      <c r="K3" s="6"/>
      <c r="L3" s="7" t="s">
        <v>56</v>
      </c>
      <c r="M3" s="6"/>
      <c r="N3" s="6"/>
      <c r="O3" s="196">
        <f>S6</f>
        <v>0</v>
      </c>
      <c r="P3" s="197"/>
    </row>
    <row r="4" spans="1:20" x14ac:dyDescent="0.25">
      <c r="A4" s="186" t="s">
        <v>57</v>
      </c>
      <c r="B4" s="193" t="s">
        <v>58</v>
      </c>
      <c r="C4" s="188" t="s">
        <v>59</v>
      </c>
      <c r="D4" s="188" t="s">
        <v>60</v>
      </c>
      <c r="E4" s="189" t="s">
        <v>61</v>
      </c>
      <c r="F4" s="188" t="s">
        <v>62</v>
      </c>
      <c r="G4" s="188" t="s">
        <v>63</v>
      </c>
      <c r="H4" s="188" t="s">
        <v>64</v>
      </c>
      <c r="I4" s="189" t="s">
        <v>65</v>
      </c>
      <c r="J4" s="199" t="s">
        <v>66</v>
      </c>
      <c r="K4" s="191" t="s">
        <v>67</v>
      </c>
      <c r="L4" s="200" t="s">
        <v>68</v>
      </c>
      <c r="M4" s="191" t="s">
        <v>69</v>
      </c>
      <c r="N4" s="191" t="s">
        <v>70</v>
      </c>
      <c r="O4" s="60" t="s">
        <v>71</v>
      </c>
      <c r="P4" s="195" t="s">
        <v>72</v>
      </c>
      <c r="S4" s="43"/>
      <c r="T4">
        <v>2241878.2500000005</v>
      </c>
    </row>
    <row r="5" spans="1:20" ht="15.75" customHeight="1" x14ac:dyDescent="0.25">
      <c r="A5" s="187"/>
      <c r="B5" s="194"/>
      <c r="C5" s="187"/>
      <c r="D5" s="187"/>
      <c r="E5" s="190"/>
      <c r="F5" s="187"/>
      <c r="G5" s="187"/>
      <c r="H5" s="187"/>
      <c r="I5" s="190"/>
      <c r="J5" s="190"/>
      <c r="K5" s="190"/>
      <c r="L5" s="187"/>
      <c r="M5" s="190"/>
      <c r="N5" s="190"/>
      <c r="O5" s="58" t="str">
        <f>RESUMEN!B9</f>
        <v>VTO 17/04</v>
      </c>
      <c r="P5" s="187"/>
      <c r="T5" t="s">
        <v>138</v>
      </c>
    </row>
    <row r="6" spans="1:20" ht="17.100000000000001" customHeight="1" x14ac:dyDescent="0.25">
      <c r="A6" s="5" t="s">
        <v>73</v>
      </c>
      <c r="B6" s="61">
        <v>1</v>
      </c>
      <c r="C6" s="61" t="s">
        <v>74</v>
      </c>
      <c r="D6" s="61" t="s">
        <v>75</v>
      </c>
      <c r="E6" s="61" t="s">
        <v>76</v>
      </c>
      <c r="F6" s="67">
        <v>3</v>
      </c>
      <c r="G6" s="129">
        <v>67256.100000000006</v>
      </c>
      <c r="H6" s="68">
        <f>G6</f>
        <v>67256.100000000006</v>
      </c>
      <c r="I6" s="69"/>
      <c r="J6" s="113">
        <f t="shared" ref="J6:J24" si="0">G6-H6</f>
        <v>0</v>
      </c>
      <c r="K6" s="70">
        <f t="shared" ref="K6:K24" si="1">IF(J6&gt;0,J6*5%,0)</f>
        <v>0</v>
      </c>
      <c r="L6" s="71">
        <f t="shared" ref="L6:L24" si="2">O$3*F6%</f>
        <v>0</v>
      </c>
      <c r="M6" s="71">
        <f t="shared" ref="M6:M24" si="3">O$2*F6%</f>
        <v>67256.347500000018</v>
      </c>
      <c r="N6" s="110">
        <f t="shared" ref="N6:N24" si="4">SUM(J6:M6)</f>
        <v>67256.347500000018</v>
      </c>
      <c r="O6" s="114" t="str">
        <f t="shared" ref="O6:O24" si="5">CONCATENATE("$",ROUND(N6,0), ",", Q6)</f>
        <v>$67256,1</v>
      </c>
      <c r="P6" s="115" t="str">
        <f t="shared" ref="P6:P24" si="6">CONCATENATE("$",ROUND(N6*3%+ N6,0), ",", Q6)</f>
        <v>$69274,1</v>
      </c>
      <c r="Q6" s="43" t="str">
        <f t="shared" ref="Q6:Q24" si="7">CONCATENATE(B6)</f>
        <v>1</v>
      </c>
    </row>
    <row r="7" spans="1:20" ht="17.100000000000001" customHeight="1" x14ac:dyDescent="0.25">
      <c r="A7" s="5" t="s">
        <v>77</v>
      </c>
      <c r="B7" s="61">
        <v>2</v>
      </c>
      <c r="C7" s="61" t="s">
        <v>78</v>
      </c>
      <c r="D7" s="61" t="s">
        <v>79</v>
      </c>
      <c r="E7" s="61" t="s">
        <v>80</v>
      </c>
      <c r="F7" s="67">
        <v>3.8</v>
      </c>
      <c r="G7" s="129">
        <v>83318.2</v>
      </c>
      <c r="H7" s="125">
        <v>84000.02</v>
      </c>
      <c r="I7" s="69"/>
      <c r="J7" s="113">
        <f t="shared" si="0"/>
        <v>-681.82000000000698</v>
      </c>
      <c r="K7" s="70">
        <f t="shared" si="1"/>
        <v>0</v>
      </c>
      <c r="L7" s="71">
        <f t="shared" si="2"/>
        <v>0</v>
      </c>
      <c r="M7" s="71">
        <f t="shared" si="3"/>
        <v>85191.373500000016</v>
      </c>
      <c r="N7" s="110">
        <f t="shared" si="4"/>
        <v>84509.553500000009</v>
      </c>
      <c r="O7" s="112" t="str">
        <f t="shared" si="5"/>
        <v>$84510,2</v>
      </c>
      <c r="P7" s="115" t="str">
        <f t="shared" si="6"/>
        <v>$87045,2</v>
      </c>
      <c r="Q7" s="43" t="str">
        <f t="shared" si="7"/>
        <v>2</v>
      </c>
      <c r="R7" s="43"/>
    </row>
    <row r="8" spans="1:20" ht="17.100000000000001" customHeight="1" x14ac:dyDescent="0.25">
      <c r="A8" s="5" t="s">
        <v>77</v>
      </c>
      <c r="B8" s="61">
        <v>3</v>
      </c>
      <c r="C8" s="61" t="s">
        <v>81</v>
      </c>
      <c r="D8" s="61" t="s">
        <v>82</v>
      </c>
      <c r="E8" s="61" t="s">
        <v>83</v>
      </c>
      <c r="F8" s="67">
        <v>3</v>
      </c>
      <c r="G8" s="129">
        <v>66832.3</v>
      </c>
      <c r="H8" s="125">
        <f>G8</f>
        <v>66832.3</v>
      </c>
      <c r="I8" s="69"/>
      <c r="J8" s="113">
        <f t="shared" si="0"/>
        <v>0</v>
      </c>
      <c r="K8" s="70">
        <f t="shared" si="1"/>
        <v>0</v>
      </c>
      <c r="L8" s="71">
        <f t="shared" si="2"/>
        <v>0</v>
      </c>
      <c r="M8" s="71">
        <f t="shared" si="3"/>
        <v>67256.347500000018</v>
      </c>
      <c r="N8" s="110">
        <f t="shared" si="4"/>
        <v>67256.347500000018</v>
      </c>
      <c r="O8" s="112" t="str">
        <f t="shared" si="5"/>
        <v>$67256,3</v>
      </c>
      <c r="P8" s="115" t="str">
        <f t="shared" si="6"/>
        <v>$69274,3</v>
      </c>
      <c r="Q8" s="43" t="str">
        <f t="shared" si="7"/>
        <v>3</v>
      </c>
    </row>
    <row r="9" spans="1:20" ht="17.100000000000001" customHeight="1" x14ac:dyDescent="0.25">
      <c r="A9" s="5" t="s">
        <v>84</v>
      </c>
      <c r="B9" s="61">
        <v>4</v>
      </c>
      <c r="C9" s="61" t="s">
        <v>85</v>
      </c>
      <c r="D9" s="61" t="s">
        <v>86</v>
      </c>
      <c r="E9" s="61" t="s">
        <v>87</v>
      </c>
      <c r="F9" s="67">
        <v>3.1</v>
      </c>
      <c r="G9" s="129">
        <v>71583.399999999994</v>
      </c>
      <c r="H9" s="125">
        <v>69499</v>
      </c>
      <c r="I9" s="69"/>
      <c r="J9" s="113">
        <f t="shared" si="0"/>
        <v>2084.3999999999942</v>
      </c>
      <c r="K9" s="70">
        <f t="shared" si="1"/>
        <v>104.21999999999971</v>
      </c>
      <c r="L9" s="71">
        <f t="shared" si="2"/>
        <v>0</v>
      </c>
      <c r="M9" s="71">
        <f t="shared" si="3"/>
        <v>69498.225750000012</v>
      </c>
      <c r="N9" s="110">
        <f t="shared" si="4"/>
        <v>71686.845750000008</v>
      </c>
      <c r="O9" s="112" t="str">
        <f t="shared" si="5"/>
        <v>$71687,4</v>
      </c>
      <c r="P9" s="115" t="str">
        <f t="shared" si="6"/>
        <v>$73837,4</v>
      </c>
      <c r="Q9" s="43" t="str">
        <f t="shared" si="7"/>
        <v>4</v>
      </c>
      <c r="S9" s="43"/>
      <c r="T9" t="s">
        <v>139</v>
      </c>
    </row>
    <row r="10" spans="1:20" ht="17.100000000000001" customHeight="1" x14ac:dyDescent="0.25">
      <c r="A10" s="5" t="s">
        <v>84</v>
      </c>
      <c r="B10" s="61">
        <v>5</v>
      </c>
      <c r="C10" s="61" t="s">
        <v>88</v>
      </c>
      <c r="D10" s="61" t="s">
        <v>89</v>
      </c>
      <c r="E10" s="61" t="s">
        <v>90</v>
      </c>
      <c r="F10" s="67">
        <v>3.1</v>
      </c>
      <c r="G10" s="125">
        <v>219720.5</v>
      </c>
      <c r="H10" s="125">
        <v>0</v>
      </c>
      <c r="I10" s="69"/>
      <c r="J10" s="113">
        <f t="shared" si="0"/>
        <v>219720.5</v>
      </c>
      <c r="K10" s="70">
        <f t="shared" si="1"/>
        <v>10986.025000000001</v>
      </c>
      <c r="L10" s="71">
        <f t="shared" si="2"/>
        <v>0</v>
      </c>
      <c r="M10" s="71">
        <f t="shared" si="3"/>
        <v>69498.225750000012</v>
      </c>
      <c r="N10" s="110">
        <f t="shared" si="4"/>
        <v>300204.75075000001</v>
      </c>
      <c r="O10" s="112" t="str">
        <f t="shared" si="5"/>
        <v>$300205,5</v>
      </c>
      <c r="P10" s="115" t="str">
        <f t="shared" si="6"/>
        <v>$309211,5</v>
      </c>
      <c r="Q10" s="43" t="str">
        <f t="shared" si="7"/>
        <v>5</v>
      </c>
      <c r="S10" s="43"/>
    </row>
    <row r="11" spans="1:20" ht="17.100000000000001" customHeight="1" x14ac:dyDescent="0.25">
      <c r="A11" s="5" t="s">
        <v>91</v>
      </c>
      <c r="B11" s="61">
        <v>6</v>
      </c>
      <c r="C11" s="61" t="s">
        <v>92</v>
      </c>
      <c r="D11" s="61" t="s">
        <v>93</v>
      </c>
      <c r="E11" s="61"/>
      <c r="F11" s="67">
        <v>3.2</v>
      </c>
      <c r="G11" s="129">
        <v>71740.600000000006</v>
      </c>
      <c r="H11" s="68">
        <f>G11</f>
        <v>71740.600000000006</v>
      </c>
      <c r="I11" s="69"/>
      <c r="J11" s="113">
        <f t="shared" si="0"/>
        <v>0</v>
      </c>
      <c r="K11" s="70">
        <f t="shared" si="1"/>
        <v>0</v>
      </c>
      <c r="L11" s="71">
        <f t="shared" si="2"/>
        <v>0</v>
      </c>
      <c r="M11" s="71">
        <f t="shared" si="3"/>
        <v>71740.104000000021</v>
      </c>
      <c r="N11" s="110">
        <f t="shared" si="4"/>
        <v>71740.104000000021</v>
      </c>
      <c r="O11" s="112" t="str">
        <f t="shared" si="5"/>
        <v>$71740,6</v>
      </c>
      <c r="P11" s="115" t="str">
        <f t="shared" si="6"/>
        <v>$73892,6</v>
      </c>
      <c r="Q11" s="43" t="str">
        <f t="shared" si="7"/>
        <v>6</v>
      </c>
    </row>
    <row r="12" spans="1:20" ht="17.100000000000001" customHeight="1" x14ac:dyDescent="0.25">
      <c r="A12" s="5" t="s">
        <v>91</v>
      </c>
      <c r="B12" s="61">
        <v>7</v>
      </c>
      <c r="C12" s="61" t="s">
        <v>94</v>
      </c>
      <c r="D12" s="61" t="s">
        <v>95</v>
      </c>
      <c r="E12" s="61" t="s">
        <v>96</v>
      </c>
      <c r="F12" s="67">
        <v>3.3</v>
      </c>
      <c r="G12" s="129">
        <v>73982.7</v>
      </c>
      <c r="H12" s="68">
        <f>G12</f>
        <v>73982.7</v>
      </c>
      <c r="I12" s="69"/>
      <c r="J12" s="113">
        <f t="shared" si="0"/>
        <v>0</v>
      </c>
      <c r="K12" s="70">
        <f t="shared" si="1"/>
        <v>0</v>
      </c>
      <c r="L12" s="71">
        <f t="shared" si="2"/>
        <v>0</v>
      </c>
      <c r="M12" s="71">
        <f t="shared" si="3"/>
        <v>73981.982250000015</v>
      </c>
      <c r="N12" s="110">
        <f t="shared" si="4"/>
        <v>73981.982250000015</v>
      </c>
      <c r="O12" s="112" t="str">
        <f t="shared" si="5"/>
        <v>$73982,7</v>
      </c>
      <c r="P12" s="115" t="str">
        <f t="shared" si="6"/>
        <v>$76201,7</v>
      </c>
      <c r="Q12" s="43" t="str">
        <f t="shared" si="7"/>
        <v>7</v>
      </c>
    </row>
    <row r="13" spans="1:20" ht="17.100000000000001" customHeight="1" x14ac:dyDescent="0.25">
      <c r="A13" s="5" t="s">
        <v>97</v>
      </c>
      <c r="B13" s="61">
        <v>23</v>
      </c>
      <c r="C13" s="61" t="s">
        <v>98</v>
      </c>
      <c r="D13" s="61" t="s">
        <v>99</v>
      </c>
      <c r="E13" s="61" t="s">
        <v>100</v>
      </c>
      <c r="F13" s="67">
        <v>6.3</v>
      </c>
      <c r="G13" s="129">
        <v>294738.23</v>
      </c>
      <c r="H13" s="68">
        <f>G13</f>
        <v>294738.23</v>
      </c>
      <c r="I13" s="69"/>
      <c r="J13" s="113">
        <f t="shared" si="0"/>
        <v>0</v>
      </c>
      <c r="K13" s="70">
        <f t="shared" si="1"/>
        <v>0</v>
      </c>
      <c r="L13" s="71">
        <f t="shared" si="2"/>
        <v>0</v>
      </c>
      <c r="M13" s="71">
        <f t="shared" si="3"/>
        <v>141238.32975000003</v>
      </c>
      <c r="N13" s="110">
        <f t="shared" si="4"/>
        <v>141238.32975000003</v>
      </c>
      <c r="O13" s="112" t="str">
        <f t="shared" si="5"/>
        <v>$141238,23</v>
      </c>
      <c r="P13" s="115" t="str">
        <f t="shared" si="6"/>
        <v>$145475,23</v>
      </c>
      <c r="Q13" s="43" t="str">
        <f t="shared" si="7"/>
        <v>23</v>
      </c>
      <c r="S13" t="s">
        <v>140</v>
      </c>
    </row>
    <row r="14" spans="1:20" ht="17.100000000000001" customHeight="1" x14ac:dyDescent="0.25">
      <c r="A14" s="5" t="s">
        <v>97</v>
      </c>
      <c r="B14" s="146">
        <v>22</v>
      </c>
      <c r="C14" s="146" t="s">
        <v>101</v>
      </c>
      <c r="D14" s="146" t="s">
        <v>102</v>
      </c>
      <c r="E14" s="146" t="s">
        <v>103</v>
      </c>
      <c r="F14" s="149">
        <v>5.0999999999999996</v>
      </c>
      <c r="G14" s="130">
        <v>121575.22</v>
      </c>
      <c r="H14" s="68">
        <f>G14*2</f>
        <v>243150.44</v>
      </c>
      <c r="I14" s="69"/>
      <c r="J14" s="113">
        <f t="shared" si="0"/>
        <v>-121575.22</v>
      </c>
      <c r="K14" s="113">
        <f t="shared" si="1"/>
        <v>0</v>
      </c>
      <c r="L14" s="150">
        <f t="shared" si="2"/>
        <v>0</v>
      </c>
      <c r="M14" s="150">
        <f t="shared" si="3"/>
        <v>114335.79075000001</v>
      </c>
      <c r="N14" s="151">
        <f t="shared" si="4"/>
        <v>-7239.4292499999865</v>
      </c>
      <c r="O14" s="152" t="str">
        <f t="shared" si="5"/>
        <v>$-7239,22</v>
      </c>
      <c r="P14" s="153" t="str">
        <f t="shared" si="6"/>
        <v>$-7457,22</v>
      </c>
      <c r="Q14" s="43" t="str">
        <f t="shared" si="7"/>
        <v>22</v>
      </c>
    </row>
    <row r="15" spans="1:20" ht="17.100000000000001" customHeight="1" x14ac:dyDescent="0.25">
      <c r="A15" s="5" t="s">
        <v>104</v>
      </c>
      <c r="B15" s="61">
        <v>21</v>
      </c>
      <c r="C15" s="61" t="s">
        <v>105</v>
      </c>
      <c r="D15" s="61" t="s">
        <v>106</v>
      </c>
      <c r="E15" s="62"/>
      <c r="F15" s="67">
        <v>8.1999999999999993</v>
      </c>
      <c r="G15" s="129">
        <v>183834.21</v>
      </c>
      <c r="H15" s="68">
        <v>189349.21</v>
      </c>
      <c r="I15" s="69"/>
      <c r="J15" s="113">
        <f t="shared" si="0"/>
        <v>-5515</v>
      </c>
      <c r="K15" s="70">
        <f t="shared" si="1"/>
        <v>0</v>
      </c>
      <c r="L15" s="71">
        <f t="shared" si="2"/>
        <v>0</v>
      </c>
      <c r="M15" s="71">
        <f t="shared" si="3"/>
        <v>183834.01650000003</v>
      </c>
      <c r="N15" s="110">
        <f t="shared" si="4"/>
        <v>178319.01650000003</v>
      </c>
      <c r="O15" s="112" t="str">
        <f t="shared" si="5"/>
        <v>$178319,21</v>
      </c>
      <c r="P15" s="115" t="str">
        <f t="shared" si="6"/>
        <v>$183669,21</v>
      </c>
      <c r="Q15" s="43" t="str">
        <f t="shared" si="7"/>
        <v>21</v>
      </c>
    </row>
    <row r="16" spans="1:20" ht="17.100000000000001" customHeight="1" x14ac:dyDescent="0.25">
      <c r="A16" s="5" t="s">
        <v>104</v>
      </c>
      <c r="B16" s="61">
        <v>14</v>
      </c>
      <c r="C16" s="61" t="s">
        <v>107</v>
      </c>
      <c r="D16" s="61" t="s">
        <v>108</v>
      </c>
      <c r="E16" s="61" t="s">
        <v>109</v>
      </c>
      <c r="F16" s="67">
        <v>6.1</v>
      </c>
      <c r="G16" s="129">
        <v>136755.14000000001</v>
      </c>
      <c r="H16" s="68">
        <f>G16</f>
        <v>136755.14000000001</v>
      </c>
      <c r="I16" s="69"/>
      <c r="J16" s="113">
        <f t="shared" si="0"/>
        <v>0</v>
      </c>
      <c r="K16" s="70">
        <f t="shared" si="1"/>
        <v>0</v>
      </c>
      <c r="L16" s="71">
        <f t="shared" si="2"/>
        <v>0</v>
      </c>
      <c r="M16" s="71">
        <f t="shared" si="3"/>
        <v>136754.57325000002</v>
      </c>
      <c r="N16" s="110">
        <f t="shared" si="4"/>
        <v>136754.57325000002</v>
      </c>
      <c r="O16" s="112" t="str">
        <f t="shared" si="5"/>
        <v>$136755,14</v>
      </c>
      <c r="P16" s="115" t="str">
        <f t="shared" si="6"/>
        <v>$140857,14</v>
      </c>
      <c r="Q16" s="43" t="str">
        <f t="shared" si="7"/>
        <v>14</v>
      </c>
    </row>
    <row r="17" spans="1:20" ht="17.100000000000001" customHeight="1" x14ac:dyDescent="0.25">
      <c r="A17" s="5" t="s">
        <v>110</v>
      </c>
      <c r="B17" s="146">
        <v>13</v>
      </c>
      <c r="C17" s="146" t="s">
        <v>111</v>
      </c>
      <c r="D17" s="146" t="s">
        <v>112</v>
      </c>
      <c r="E17" s="154"/>
      <c r="F17" s="149">
        <v>5</v>
      </c>
      <c r="G17" s="130">
        <v>115457.13</v>
      </c>
      <c r="H17" s="68">
        <f>G17</f>
        <v>115457.13</v>
      </c>
      <c r="I17" s="69"/>
      <c r="J17" s="113">
        <f t="shared" si="0"/>
        <v>0</v>
      </c>
      <c r="K17" s="113">
        <f t="shared" si="1"/>
        <v>0</v>
      </c>
      <c r="L17" s="150">
        <f t="shared" si="2"/>
        <v>0</v>
      </c>
      <c r="M17" s="150">
        <f t="shared" si="3"/>
        <v>112093.91250000003</v>
      </c>
      <c r="N17" s="151">
        <f t="shared" si="4"/>
        <v>112093.91250000003</v>
      </c>
      <c r="O17" s="152" t="str">
        <f t="shared" si="5"/>
        <v>$112094,13</v>
      </c>
      <c r="P17" s="153" t="str">
        <f t="shared" si="6"/>
        <v>$115457,13</v>
      </c>
      <c r="Q17" s="43" t="str">
        <f t="shared" si="7"/>
        <v>13</v>
      </c>
      <c r="S17" s="102"/>
    </row>
    <row r="18" spans="1:20" ht="17.100000000000001" customHeight="1" x14ac:dyDescent="0.25">
      <c r="A18" s="171" t="s">
        <v>110</v>
      </c>
      <c r="B18" s="146">
        <v>12</v>
      </c>
      <c r="C18" s="146" t="s">
        <v>113</v>
      </c>
      <c r="D18" s="146" t="s">
        <v>114</v>
      </c>
      <c r="E18" s="146" t="s">
        <v>115</v>
      </c>
      <c r="F18" s="149">
        <v>8.1999999999999993</v>
      </c>
      <c r="G18" s="130">
        <v>183834.12</v>
      </c>
      <c r="H18" s="68">
        <f>G18</f>
        <v>183834.12</v>
      </c>
      <c r="I18" s="69"/>
      <c r="J18" s="113">
        <f t="shared" si="0"/>
        <v>0</v>
      </c>
      <c r="K18" s="113">
        <f t="shared" si="1"/>
        <v>0</v>
      </c>
      <c r="L18" s="150">
        <f t="shared" si="2"/>
        <v>0</v>
      </c>
      <c r="M18" s="150">
        <f t="shared" si="3"/>
        <v>183834.01650000003</v>
      </c>
      <c r="N18" s="151">
        <f t="shared" si="4"/>
        <v>183834.01650000003</v>
      </c>
      <c r="O18" s="152" t="str">
        <f t="shared" si="5"/>
        <v>$183834,12</v>
      </c>
      <c r="P18" s="153" t="str">
        <f t="shared" si="6"/>
        <v>$189349,12</v>
      </c>
      <c r="Q18" s="172" t="str">
        <f t="shared" si="7"/>
        <v>12</v>
      </c>
      <c r="R18" s="102"/>
      <c r="S18" s="172"/>
    </row>
    <row r="19" spans="1:20" ht="17.100000000000001" customHeight="1" x14ac:dyDescent="0.25">
      <c r="A19" s="5" t="s">
        <v>116</v>
      </c>
      <c r="B19" s="155">
        <v>17</v>
      </c>
      <c r="C19" s="155" t="s">
        <v>117</v>
      </c>
      <c r="D19" s="155" t="s">
        <v>114</v>
      </c>
      <c r="E19" s="156"/>
      <c r="F19" s="157">
        <v>6.1</v>
      </c>
      <c r="G19" s="158">
        <v>136755.17000000001</v>
      </c>
      <c r="H19" s="166">
        <f>68377.8*2</f>
        <v>136755.6</v>
      </c>
      <c r="I19" s="159"/>
      <c r="J19" s="160">
        <f t="shared" si="0"/>
        <v>-0.42999999999301508</v>
      </c>
      <c r="K19" s="160">
        <f t="shared" si="1"/>
        <v>0</v>
      </c>
      <c r="L19" s="161">
        <f t="shared" si="2"/>
        <v>0</v>
      </c>
      <c r="M19" s="161">
        <f t="shared" si="3"/>
        <v>136754.57325000002</v>
      </c>
      <c r="N19" s="162">
        <f t="shared" si="4"/>
        <v>136754.14325000002</v>
      </c>
      <c r="O19" s="163" t="str">
        <f t="shared" si="5"/>
        <v>$136754,17</v>
      </c>
      <c r="P19" s="164" t="str">
        <f t="shared" si="6"/>
        <v>$140857,17</v>
      </c>
      <c r="Q19" s="43" t="str">
        <f t="shared" si="7"/>
        <v>17</v>
      </c>
      <c r="R19" s="43"/>
    </row>
    <row r="20" spans="1:20" ht="17.100000000000001" customHeight="1" x14ac:dyDescent="0.25">
      <c r="A20" s="5" t="s">
        <v>116</v>
      </c>
      <c r="B20" s="61">
        <v>16</v>
      </c>
      <c r="C20" s="61" t="s">
        <v>118</v>
      </c>
      <c r="D20" s="61" t="s">
        <v>119</v>
      </c>
      <c r="E20" s="62" t="s">
        <v>120</v>
      </c>
      <c r="F20" s="67">
        <v>5</v>
      </c>
      <c r="G20" s="130">
        <v>114219.16</v>
      </c>
      <c r="H20" s="125">
        <v>115000</v>
      </c>
      <c r="I20" s="69"/>
      <c r="J20" s="113">
        <f t="shared" si="0"/>
        <v>-780.83999999999651</v>
      </c>
      <c r="K20" s="70">
        <f t="shared" si="1"/>
        <v>0</v>
      </c>
      <c r="L20" s="71">
        <f t="shared" si="2"/>
        <v>0</v>
      </c>
      <c r="M20" s="71">
        <f t="shared" si="3"/>
        <v>112093.91250000003</v>
      </c>
      <c r="N20" s="110">
        <f t="shared" si="4"/>
        <v>111313.07250000004</v>
      </c>
      <c r="O20" s="112" t="str">
        <f t="shared" si="5"/>
        <v>$111313,16</v>
      </c>
      <c r="P20" s="115" t="str">
        <f t="shared" si="6"/>
        <v>$114652,16</v>
      </c>
      <c r="Q20" s="43" t="str">
        <f t="shared" si="7"/>
        <v>16</v>
      </c>
      <c r="S20" t="s">
        <v>135</v>
      </c>
    </row>
    <row r="21" spans="1:20" ht="17.100000000000001" customHeight="1" x14ac:dyDescent="0.25">
      <c r="A21" s="5" t="s">
        <v>121</v>
      </c>
      <c r="B21" s="61">
        <v>15</v>
      </c>
      <c r="C21" s="61" t="s">
        <v>122</v>
      </c>
      <c r="D21" s="61" t="s">
        <v>123</v>
      </c>
      <c r="E21" s="61"/>
      <c r="F21" s="67">
        <v>8.1999999999999993</v>
      </c>
      <c r="G21" s="129">
        <v>183834.15</v>
      </c>
      <c r="H21" s="68">
        <f>G21</f>
        <v>183834.15</v>
      </c>
      <c r="I21" s="69"/>
      <c r="J21" s="113">
        <f t="shared" si="0"/>
        <v>0</v>
      </c>
      <c r="K21" s="70">
        <f t="shared" si="1"/>
        <v>0</v>
      </c>
      <c r="L21" s="71">
        <f t="shared" si="2"/>
        <v>0</v>
      </c>
      <c r="M21" s="71">
        <f t="shared" si="3"/>
        <v>183834.01650000003</v>
      </c>
      <c r="N21" s="110">
        <f t="shared" si="4"/>
        <v>183834.01650000003</v>
      </c>
      <c r="O21" s="112" t="str">
        <f t="shared" si="5"/>
        <v>$183834,15</v>
      </c>
      <c r="P21" s="115" t="str">
        <f t="shared" si="6"/>
        <v>$189349,15</v>
      </c>
      <c r="Q21" s="43" t="str">
        <f t="shared" si="7"/>
        <v>15</v>
      </c>
      <c r="S21" s="42"/>
    </row>
    <row r="22" spans="1:20" ht="17.100000000000001" customHeight="1" x14ac:dyDescent="0.25">
      <c r="A22" s="5" t="s">
        <v>121</v>
      </c>
      <c r="B22" s="61">
        <v>20</v>
      </c>
      <c r="C22" s="61" t="s">
        <v>124</v>
      </c>
      <c r="D22" s="61" t="s">
        <v>125</v>
      </c>
      <c r="E22" s="62"/>
      <c r="F22" s="67">
        <v>6.1</v>
      </c>
      <c r="G22" s="130">
        <v>727592.2</v>
      </c>
      <c r="H22" s="68">
        <f>706021+21571</f>
        <v>727592</v>
      </c>
      <c r="I22" s="69"/>
      <c r="J22" s="70">
        <f t="shared" si="0"/>
        <v>0.19999999995343387</v>
      </c>
      <c r="K22" s="70">
        <f t="shared" si="1"/>
        <v>9.9999999976716943E-3</v>
      </c>
      <c r="L22" s="71">
        <f t="shared" si="2"/>
        <v>0</v>
      </c>
      <c r="M22" s="71">
        <f t="shared" si="3"/>
        <v>136754.57325000002</v>
      </c>
      <c r="N22" s="110">
        <f t="shared" si="4"/>
        <v>136754.78324999998</v>
      </c>
      <c r="O22" s="112" t="str">
        <f t="shared" si="5"/>
        <v>$136755,20</v>
      </c>
      <c r="P22" s="115" t="str">
        <f t="shared" si="6"/>
        <v>$140857,20</v>
      </c>
      <c r="Q22" s="43" t="str">
        <f t="shared" si="7"/>
        <v>20</v>
      </c>
      <c r="T22" t="s">
        <v>126</v>
      </c>
    </row>
    <row r="23" spans="1:20" ht="17.100000000000001" customHeight="1" x14ac:dyDescent="0.25">
      <c r="A23" s="5" t="s">
        <v>127</v>
      </c>
      <c r="B23" s="61">
        <v>19</v>
      </c>
      <c r="C23" s="61" t="s">
        <v>128</v>
      </c>
      <c r="D23" s="61" t="s">
        <v>129</v>
      </c>
      <c r="E23" s="61" t="s">
        <v>136</v>
      </c>
      <c r="F23" s="67">
        <v>5</v>
      </c>
      <c r="G23" s="129">
        <v>112094.19</v>
      </c>
      <c r="H23" s="68"/>
      <c r="I23" s="69"/>
      <c r="J23" s="70">
        <f t="shared" si="0"/>
        <v>112094.19</v>
      </c>
      <c r="K23" s="70">
        <f t="shared" si="1"/>
        <v>5604.7095000000008</v>
      </c>
      <c r="L23" s="71">
        <f t="shared" si="2"/>
        <v>0</v>
      </c>
      <c r="M23" s="71">
        <f t="shared" si="3"/>
        <v>112093.91250000003</v>
      </c>
      <c r="N23" s="110">
        <f t="shared" si="4"/>
        <v>229792.81200000003</v>
      </c>
      <c r="O23" s="112" t="str">
        <f t="shared" si="5"/>
        <v>$229793,19</v>
      </c>
      <c r="P23" s="115" t="str">
        <f t="shared" si="6"/>
        <v>$236687,19</v>
      </c>
      <c r="Q23" s="43" t="str">
        <f t="shared" si="7"/>
        <v>19</v>
      </c>
      <c r="S23" t="s">
        <v>137</v>
      </c>
    </row>
    <row r="24" spans="1:20" ht="17.100000000000001" customHeight="1" thickBot="1" x14ac:dyDescent="0.3">
      <c r="A24" s="5" t="s">
        <v>127</v>
      </c>
      <c r="B24" s="61">
        <v>18</v>
      </c>
      <c r="C24" s="61" t="s">
        <v>130</v>
      </c>
      <c r="D24" s="146" t="s">
        <v>131</v>
      </c>
      <c r="E24" s="62"/>
      <c r="F24" s="67">
        <v>8.1999999999999993</v>
      </c>
      <c r="G24" s="129">
        <v>183834.18</v>
      </c>
      <c r="H24" s="68">
        <f>G24</f>
        <v>183834.18</v>
      </c>
      <c r="I24" s="69"/>
      <c r="J24" s="70">
        <f t="shared" si="0"/>
        <v>0</v>
      </c>
      <c r="K24" s="70">
        <f t="shared" si="1"/>
        <v>0</v>
      </c>
      <c r="L24" s="71">
        <f t="shared" si="2"/>
        <v>0</v>
      </c>
      <c r="M24" s="71">
        <f t="shared" si="3"/>
        <v>183834.01650000003</v>
      </c>
      <c r="N24" s="110">
        <f t="shared" si="4"/>
        <v>183834.01650000003</v>
      </c>
      <c r="O24" s="112" t="str">
        <f t="shared" si="5"/>
        <v>$183834,18</v>
      </c>
      <c r="P24" s="115" t="str">
        <f t="shared" si="6"/>
        <v>$189349,18</v>
      </c>
      <c r="Q24" s="43" t="str">
        <f t="shared" si="7"/>
        <v>18</v>
      </c>
      <c r="T24" t="s">
        <v>132</v>
      </c>
    </row>
    <row r="25" spans="1:20" ht="17.100000000000001" customHeight="1" thickBot="1" x14ac:dyDescent="0.3">
      <c r="B25" s="72"/>
      <c r="C25" s="73"/>
      <c r="D25" s="74"/>
      <c r="E25" s="74"/>
      <c r="F25" s="75">
        <f t="shared" ref="F25:M25" si="8">SUM(F6:F24)</f>
        <v>99.999999999999986</v>
      </c>
      <c r="G25" s="54">
        <f t="shared" si="8"/>
        <v>3148956.9000000004</v>
      </c>
      <c r="H25" s="59">
        <f t="shared" si="8"/>
        <v>2943610.92</v>
      </c>
      <c r="I25" s="54">
        <f t="shared" si="8"/>
        <v>0</v>
      </c>
      <c r="J25" s="59">
        <f t="shared" si="8"/>
        <v>205345.97999999995</v>
      </c>
      <c r="K25" s="59">
        <f t="shared" si="8"/>
        <v>16694.964500000002</v>
      </c>
      <c r="L25" s="59">
        <f t="shared" si="8"/>
        <v>0</v>
      </c>
      <c r="M25" s="59">
        <f t="shared" si="8"/>
        <v>2241878.25</v>
      </c>
      <c r="N25" s="111"/>
      <c r="O25" s="76">
        <f>SUM(O6:O24)</f>
        <v>0</v>
      </c>
      <c r="P25" s="76">
        <f>SUM(P6:P24)</f>
        <v>0</v>
      </c>
    </row>
    <row r="26" spans="1:20" ht="12.75" customHeight="1" x14ac:dyDescent="0.25">
      <c r="D26" s="51"/>
      <c r="E26" s="51"/>
      <c r="R26" s="102"/>
    </row>
    <row r="27" spans="1:20" hidden="1" x14ac:dyDescent="0.25"/>
    <row r="28" spans="1:20" ht="9" customHeight="1" x14ac:dyDescent="0.25">
      <c r="D28" s="180" t="s">
        <v>133</v>
      </c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</row>
    <row r="29" spans="1:20" ht="12" hidden="1" customHeight="1" x14ac:dyDescent="0.25"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</row>
    <row r="30" spans="1:20" ht="12" hidden="1" customHeight="1" x14ac:dyDescent="0.25"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</row>
    <row r="31" spans="1:20" ht="12" hidden="1" customHeight="1" x14ac:dyDescent="0.25"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</row>
    <row r="32" spans="1:20" ht="12" hidden="1" customHeight="1" x14ac:dyDescent="0.25"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</row>
    <row r="33" spans="4:21" ht="65.25" customHeight="1" x14ac:dyDescent="0.25"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R33" s="102"/>
      <c r="S33" s="102"/>
      <c r="T33" s="102"/>
      <c r="U33" s="102"/>
    </row>
  </sheetData>
  <mergeCells count="19">
    <mergeCell ref="D28:O33"/>
    <mergeCell ref="C4:C5"/>
    <mergeCell ref="E4:E5"/>
    <mergeCell ref="F1:O1"/>
    <mergeCell ref="D4:D5"/>
    <mergeCell ref="J4:J5"/>
    <mergeCell ref="L4:L5"/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2026-03-09T15:30:59Z</cp:lastPrinted>
  <dcterms:created xsi:type="dcterms:W3CDTF">2023-09-17T12:29:07Z</dcterms:created>
  <dcterms:modified xsi:type="dcterms:W3CDTF">2026-04-04T12:55:26Z</dcterms:modified>
</cp:coreProperties>
</file>