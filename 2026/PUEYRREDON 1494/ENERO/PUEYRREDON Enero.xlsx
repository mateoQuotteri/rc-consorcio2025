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PUEYRREDON 1494\ENERO\"/>
    </mc:Choice>
  </mc:AlternateContent>
  <xr:revisionPtr revIDLastSave="0" documentId="13_ncr:1_{C3813996-15F4-432A-9D13-96F40383A33A}" xr6:coauthVersionLast="47" xr6:coauthVersionMax="47" xr10:uidLastSave="{00000000-0000-0000-0000-000000000000}"/>
  <bookViews>
    <workbookView xWindow="-108" yWindow="-108" windowWidth="23256" windowHeight="12576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RESUMEN!$A$1:$E$114</definedName>
  </definedNames>
  <calcPr calcId="181029"/>
</workbook>
</file>

<file path=xl/calcChain.xml><?xml version="1.0" encoding="utf-8"?>
<calcChain xmlns="http://schemas.openxmlformats.org/spreadsheetml/2006/main">
  <c r="S18" i="2" l="1"/>
  <c r="H13" i="2"/>
  <c r="H17" i="2"/>
  <c r="H24" i="2"/>
  <c r="H6" i="2"/>
  <c r="H12" i="2"/>
  <c r="H23" i="2"/>
  <c r="H15" i="2"/>
  <c r="H11" i="2"/>
  <c r="H21" i="2"/>
  <c r="H16" i="2"/>
  <c r="E58" i="1"/>
  <c r="B94" i="1"/>
  <c r="E38" i="1"/>
  <c r="D23" i="1"/>
  <c r="D27" i="1" s="1"/>
  <c r="H19" i="2" l="1"/>
  <c r="H14" i="2" l="1"/>
  <c r="E54" i="1"/>
  <c r="O2" i="2" l="1"/>
  <c r="O3" i="2"/>
  <c r="D30" i="1"/>
  <c r="J6" i="2" l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J16" i="2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J22" i="2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K6" i="2"/>
  <c r="N6" i="2" s="1"/>
  <c r="N17" i="2"/>
  <c r="N8" i="2"/>
  <c r="N9" i="2"/>
  <c r="P16" i="2" l="1"/>
  <c r="O20" i="2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13" i="1"/>
  <c r="B91" i="1" s="1"/>
  <c r="B106" i="1"/>
  <c r="E71" i="1"/>
  <c r="E75" i="1" s="1"/>
  <c r="E62" i="1"/>
  <c r="E45" i="1"/>
  <c r="E43" i="1"/>
  <c r="E44" i="1" s="1"/>
  <c r="A43" i="1"/>
  <c r="A44" i="1" s="1"/>
  <c r="E39" i="1"/>
  <c r="E35" i="1"/>
  <c r="E31" i="1"/>
  <c r="H25" i="2" l="1"/>
  <c r="B89" i="1" s="1"/>
  <c r="B79" i="1"/>
  <c r="B96" i="1" s="1"/>
  <c r="B80" i="1"/>
  <c r="E66" i="1"/>
  <c r="L25" i="2"/>
  <c r="M25" i="2" l="1"/>
  <c r="J25" i="2"/>
  <c r="K25" i="2"/>
  <c r="B78" i="1"/>
  <c r="B95" i="1" s="1"/>
  <c r="B97" i="1" s="1"/>
  <c r="B77" i="1"/>
  <c r="O25" i="2" l="1"/>
  <c r="P25" i="2"/>
</calcChain>
</file>

<file path=xl/sharedStrings.xml><?xml version="1.0" encoding="utf-8"?>
<sst xmlns="http://schemas.openxmlformats.org/spreadsheetml/2006/main" count="189" uniqueCount="169">
  <si>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</si>
  <si>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</si>
  <si>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</si>
  <si>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</si>
  <si>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</si>
  <si>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</si>
  <si>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CUIT DEL EDIFICIO: 30-68041540-0</t>
  </si>
  <si>
    <t>HORARIOS DE ATENCION: LUNES A VIERNES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</si>
  <si>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</si>
  <si>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</si>
  <si>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</si>
  <si>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</si>
  <si>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>Neto</t>
  </si>
  <si>
    <t>TOTAL SUELDO</t>
  </si>
  <si>
    <t>HONORARIOS</t>
  </si>
  <si>
    <t>Marcela Di Biase- Sra. Contadora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</si>
  <si>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</si>
  <si>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</si>
  <si>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</si>
  <si>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</si>
  <si>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</si>
  <si>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</si>
  <si>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</si>
  <si>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</si>
  <si>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</si>
  <si>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</si>
  <si>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</si>
  <si>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</si>
  <si>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</si>
  <si>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</si>
  <si>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</si>
  <si>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</si>
  <si>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</si>
  <si>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</si>
  <si>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</si>
  <si>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</si>
  <si>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</si>
  <si>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</si>
  <si>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</si>
  <si>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</si>
  <si>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</si>
  <si>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</si>
  <si>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</si>
  <si>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</si>
  <si>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</si>
  <si>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</si>
  <si>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</si>
  <si>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</si>
  <si>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</si>
  <si>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</si>
  <si>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</si>
  <si>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</si>
  <si>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</si>
  <si>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</si>
  <si>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</si>
  <si>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</si>
  <si>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</si>
  <si>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</si>
  <si>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</si>
  <si>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</si>
  <si>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</si>
  <si>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</si>
  <si>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</si>
  <si>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</si>
  <si>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</si>
  <si>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</si>
  <si>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</si>
  <si>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</si>
  <si>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</si>
  <si>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</si>
  <si>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</si>
  <si>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</si>
  <si>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</si>
  <si>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</si>
  <si>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</si>
  <si>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</si>
  <si>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</si>
  <si>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</si>
  <si>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</si>
  <si>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</si>
  <si>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</si>
  <si>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</si>
  <si>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</si>
  <si>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</si>
  <si>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</si>
  <si>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</si>
  <si>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</si>
  <si>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</si>
  <si>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</si>
  <si>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</si>
  <si>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</si>
  <si>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</si>
  <si>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</si>
  <si>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</si>
  <si>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</si>
  <si>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</si>
  <si>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</si>
  <si>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</si>
  <si>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</si>
  <si>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</si>
  <si>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</si>
  <si>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</si>
  <si>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</si>
  <si>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</si>
  <si>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</si>
  <si>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</si>
  <si>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</si>
  <si>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</si>
  <si>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</si>
  <si>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</si>
  <si>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</si>
  <si>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</si>
  <si>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</si>
  <si>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</si>
  <si>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</si>
  <si>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</si>
  <si>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</si>
  <si>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</si>
  <si>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</si>
  <si>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</si>
  <si>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</si>
  <si>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</si>
  <si>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</si>
  <si>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</si>
  <si>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</si>
  <si>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</si>
  <si>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</si>
  <si>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</si>
  <si>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</si>
  <si>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</si>
  <si>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</si>
  <si>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</si>
  <si>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</si>
  <si>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</si>
  <si>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</si>
  <si>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</si>
  <si>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Limpieza marquesina</t>
  </si>
  <si>
    <t>DEPOSITA SIEMPRE VALERIA</t>
  </si>
  <si>
    <t xml:space="preserve">Punitorios mal cobrados </t>
  </si>
  <si>
    <t>Lourdes</t>
  </si>
  <si>
    <t>Yamil Martinez</t>
  </si>
  <si>
    <t xml:space="preserve"> </t>
  </si>
  <si>
    <t>PAULA</t>
  </si>
  <si>
    <t xml:space="preserve"> El dueño es sanabria - Gabriela San</t>
  </si>
  <si>
    <t>Atriculos de limpieza</t>
  </si>
  <si>
    <t>VTO 16/02</t>
  </si>
  <si>
    <t>PERÍODO: ENERO</t>
  </si>
  <si>
    <t>Mes de ENERO</t>
  </si>
  <si>
    <t>Sindicatos mes de ENERO</t>
  </si>
  <si>
    <t>Emergencia cambio de fase - Julio Doartero</t>
  </si>
  <si>
    <t>Honorarios administracion RC</t>
  </si>
  <si>
    <t>Diferencia sueldo mes de Diciembre</t>
  </si>
  <si>
    <t>Haberes Sra. Encargada</t>
  </si>
  <si>
    <t>Deducciones</t>
  </si>
  <si>
    <t>Redondeo</t>
  </si>
  <si>
    <t>Cerrajeri Citta - Encuadre de puerta de hierro y vidrio + Mejora de cierre colocando nuevo cierra puerta</t>
  </si>
  <si>
    <t>Transf 05/01</t>
  </si>
  <si>
    <t>Transf 26/01</t>
  </si>
  <si>
    <t>Debito 14/01</t>
  </si>
  <si>
    <t>Mantenimiento Ascensores - No se abona</t>
  </si>
  <si>
    <t>Transf 15/01</t>
  </si>
  <si>
    <t>Debito 05/01</t>
  </si>
  <si>
    <t>Transf 27/01</t>
  </si>
  <si>
    <t>Se debe Diciembre y Enero</t>
  </si>
  <si>
    <t>Zafalonne Veronica - Trabajo de tablero de bombas materiales + mano de obra</t>
  </si>
  <si>
    <t>Cuota 1/7 - UF 17 - Convenio de pago Sra. Cordoba</t>
  </si>
  <si>
    <t>Sra. Laura Marin - Expensas adeudadas UF 17 - 50% octubre y noviembre</t>
  </si>
  <si>
    <t>SUBIDOS EN ENER0 A $154.300</t>
  </si>
  <si>
    <t>Debe abonar: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</si>
</sst>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&quot;Bs&quot;#,##0.00"/>
    <numFmt numFmtId="167" formatCode="_-[$$-2C0A]\ * #,##0.00_-;\-[$$-2C0A]\ * #,##0.00_-;_-[$$-2C0A]\ * &quot;-&quot;??_-;_-@_-"/>
    <numFmt numFmtId="168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164" fontId="1" fillId="0" borderId="0"/>
    <xf numFmtId="43" fontId="1" fillId="0" borderId="0"/>
  </cellStyleXfs>
  <cellXfs count="21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23" fillId="0" borderId="1" xfId="1" applyFont="1" applyBorder="1"/>
    <xf numFmtId="44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4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6" fontId="23" fillId="0" borderId="24" xfId="1" applyNumberFormat="1" applyFont="1" applyBorder="1" applyAlignment="1">
      <alignment horizontal="right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7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5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168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8" fontId="25" fillId="11" borderId="6" xfId="0" applyNumberFormat="1" applyFont="1" applyFill="1" applyBorder="1"/>
    <xf numFmtId="0" fontId="8" fillId="0" borderId="0" xfId="0" applyFont="1"/>
    <xf numFmtId="167" fontId="21" fillId="0" borderId="1" xfId="1" applyNumberFormat="1" applyFont="1" applyBorder="1"/>
    <xf numFmtId="167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6" fillId="0" borderId="1" xfId="0" applyFont="1" applyBorder="1" applyAlignment="1">
      <alignment horizontal="left" vertical="center" wrapText="1"/>
    </xf>
    <xf numFmtId="0" fontId="16" fillId="2" borderId="1" xfId="0" applyFont="1" applyFill="1" applyBorder="1"/>
    <xf numFmtId="44" fontId="2" fillId="4" borderId="0" xfId="1" applyFont="1" applyFill="1"/>
    <xf numFmtId="44" fontId="4" fillId="2" borderId="1" xfId="1" applyFont="1" applyFill="1" applyBorder="1" applyAlignment="1">
      <alignment wrapText="1"/>
    </xf>
    <xf numFmtId="0" fontId="16" fillId="2" borderId="1" xfId="0" applyFont="1" applyFill="1" applyBorder="1" applyAlignment="1">
      <alignment horizontal="center"/>
    </xf>
    <xf numFmtId="165" fontId="16" fillId="2" borderId="1" xfId="1" applyNumberFormat="1" applyFont="1" applyFill="1" applyBorder="1"/>
    <xf numFmtId="165" fontId="16" fillId="2" borderId="7" xfId="1" applyNumberFormat="1" applyFont="1" applyFill="1" applyBorder="1"/>
    <xf numFmtId="166" fontId="23" fillId="2" borderId="24" xfId="1" applyNumberFormat="1" applyFont="1" applyFill="1" applyBorder="1" applyAlignment="1">
      <alignment horizontal="right"/>
    </xf>
    <xf numFmtId="167" fontId="23" fillId="2" borderId="26" xfId="1" applyNumberFormat="1" applyFont="1" applyFill="1" applyBorder="1" applyAlignment="1">
      <alignment horizontal="right"/>
    </xf>
    <xf numFmtId="44" fontId="4" fillId="2" borderId="6" xfId="1" applyFont="1" applyFill="1" applyBorder="1"/>
    <xf numFmtId="0" fontId="0" fillId="0" borderId="7" xfId="0" applyBorder="1"/>
    <xf numFmtId="0" fontId="16" fillId="2" borderId="1" xfId="0" applyFont="1" applyFill="1" applyBorder="1" applyAlignment="1">
      <alignment wrapText="1"/>
    </xf>
    <xf numFmtId="0" fontId="16" fillId="12" borderId="1" xfId="0" applyFont="1" applyFill="1" applyBorder="1"/>
    <xf numFmtId="0" fontId="16" fillId="12" borderId="1" xfId="0" applyFont="1" applyFill="1" applyBorder="1" applyAlignment="1">
      <alignment wrapText="1"/>
    </xf>
    <xf numFmtId="0" fontId="16" fillId="12" borderId="1" xfId="0" applyFont="1" applyFill="1" applyBorder="1" applyAlignment="1">
      <alignment horizontal="center"/>
    </xf>
    <xf numFmtId="167" fontId="21" fillId="12" borderId="1" xfId="1" applyNumberFormat="1" applyFont="1" applyFill="1" applyBorder="1"/>
    <xf numFmtId="165" fontId="21" fillId="12" borderId="1" xfId="1" applyNumberFormat="1" applyFont="1" applyFill="1" applyBorder="1"/>
    <xf numFmtId="165" fontId="16" fillId="12" borderId="1" xfId="0" applyNumberFormat="1" applyFont="1" applyFill="1" applyBorder="1"/>
    <xf numFmtId="165" fontId="16" fillId="12" borderId="1" xfId="1" applyNumberFormat="1" applyFont="1" applyFill="1" applyBorder="1"/>
    <xf numFmtId="165" fontId="16" fillId="12" borderId="7" xfId="1" applyNumberFormat="1" applyFont="1" applyFill="1" applyBorder="1"/>
    <xf numFmtId="166" fontId="23" fillId="12" borderId="24" xfId="1" applyNumberFormat="1" applyFont="1" applyFill="1" applyBorder="1" applyAlignment="1">
      <alignment horizontal="right"/>
    </xf>
    <xf numFmtId="167" fontId="23" fillId="12" borderId="26" xfId="1" applyNumberFormat="1" applyFont="1" applyFill="1" applyBorder="1" applyAlignment="1">
      <alignment horizontal="right"/>
    </xf>
    <xf numFmtId="0" fontId="6" fillId="0" borderId="1" xfId="0" applyFont="1" applyBorder="1" applyAlignment="1">
      <alignment vertical="center"/>
    </xf>
    <xf numFmtId="44" fontId="21" fillId="12" borderId="1" xfId="1" applyFont="1" applyFill="1" applyBorder="1"/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44" fontId="23" fillId="0" borderId="2" xfId="1" applyFont="1" applyBorder="1"/>
    <xf numFmtId="44" fontId="1" fillId="0" borderId="0" xfId="1"/>
    <xf numFmtId="0" fontId="0" fillId="9" borderId="0" xfId="0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2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13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0" fontId="0" fillId="0" borderId="8" xfId="0" applyBorder="1"/>
    <xf numFmtId="0" fontId="0" fillId="9" borderId="1" xfId="0" applyFill="1" applyBorder="1"/>
    <xf numFmtId="0" fontId="16" fillId="9" borderId="1" xfId="0" applyFont="1" applyFill="1" applyBorder="1"/>
    <xf numFmtId="0" fontId="16" fillId="9" borderId="1" xfId="0" applyFont="1" applyFill="1" applyBorder="1" applyAlignment="1">
      <alignment horizontal="center"/>
    </xf>
    <xf numFmtId="167" fontId="21" fillId="9" borderId="1" xfId="1" applyNumberFormat="1" applyFont="1" applyFill="1" applyBorder="1"/>
    <xf numFmtId="44" fontId="21" fillId="9" borderId="1" xfId="1" applyFont="1" applyFill="1" applyBorder="1"/>
    <xf numFmtId="165" fontId="21" fillId="9" borderId="1" xfId="1" applyNumberFormat="1" applyFont="1" applyFill="1" applyBorder="1"/>
    <xf numFmtId="165" fontId="16" fillId="9" borderId="1" xfId="0" applyNumberFormat="1" applyFont="1" applyFill="1" applyBorder="1"/>
    <xf numFmtId="165" fontId="16" fillId="9" borderId="1" xfId="1" applyNumberFormat="1" applyFont="1" applyFill="1" applyBorder="1"/>
    <xf numFmtId="165" fontId="16" fillId="9" borderId="7" xfId="1" applyNumberFormat="1" applyFont="1" applyFill="1" applyBorder="1"/>
    <xf numFmtId="166" fontId="23" fillId="9" borderId="24" xfId="1" applyNumberFormat="1" applyFont="1" applyFill="1" applyBorder="1" applyAlignment="1">
      <alignment horizontal="right"/>
    </xf>
    <xf numFmtId="167" fontId="23" fillId="9" borderId="26" xfId="1" applyNumberFormat="1" applyFont="1" applyFill="1" applyBorder="1" applyAlignment="1">
      <alignment horizontal="right"/>
    </xf>
    <xf numFmtId="44" fontId="0" fillId="9" borderId="0" xfId="0" applyNumberFormat="1" applyFill="1"/>
    <xf numFmtId="0" fontId="0" fillId="9" borderId="0" xfId="0" applyFill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85725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857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"/>
  <sheetViews>
    <sheetView topLeftCell="A55" workbookViewId="0">
      <selection activeCell="E66" sqref="E66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109375" customWidth="1"/>
    <col min="6" max="6" width="13" bestFit="1" customWidth="1"/>
    <col min="7" max="7" width="13.109375" bestFit="1" customWidth="1"/>
    <col min="11" max="11" width="18" customWidth="1"/>
    <col min="12" max="12" width="18.33203125" customWidth="1"/>
  </cols>
  <sheetData>
    <row r="1" spans="1:5" ht="15.75" customHeight="1" x14ac:dyDescent="0.3">
      <c r="A1" s="139"/>
      <c r="B1" s="140"/>
      <c r="C1" s="141"/>
      <c r="D1" s="141"/>
      <c r="E1" s="142"/>
    </row>
    <row r="2" spans="1:5" x14ac:dyDescent="0.3">
      <c r="A2" s="143"/>
      <c r="B2" s="135" t="s">
        <v>0</v>
      </c>
      <c r="C2" s="135"/>
      <c r="D2" s="135"/>
      <c r="E2" s="144"/>
    </row>
    <row r="3" spans="1:5" x14ac:dyDescent="0.3">
      <c r="A3" s="143"/>
      <c r="B3" s="135" t="s">
        <v>1</v>
      </c>
      <c r="C3" s="135"/>
      <c r="D3" s="135"/>
      <c r="E3" s="144"/>
    </row>
    <row r="4" spans="1:5" ht="32.25" customHeight="1" x14ac:dyDescent="0.3">
      <c r="A4" s="143"/>
      <c r="B4" s="136" t="s">
        <v>2</v>
      </c>
      <c r="C4" s="135"/>
      <c r="D4" s="137" t="s">
        <v>3</v>
      </c>
      <c r="E4" s="144"/>
    </row>
    <row r="5" spans="1:5" ht="15.75" customHeight="1" x14ac:dyDescent="0.3">
      <c r="A5" s="143" t="s">
        <v>4</v>
      </c>
      <c r="B5" s="138" t="s">
        <v>5</v>
      </c>
      <c r="C5" s="134"/>
      <c r="D5" s="134"/>
      <c r="E5" s="145"/>
    </row>
    <row r="6" spans="1:5" ht="15.75" customHeight="1" x14ac:dyDescent="0.3">
      <c r="A6" s="143" t="s">
        <v>6</v>
      </c>
      <c r="B6" s="134" t="s">
        <v>146</v>
      </c>
      <c r="C6" s="134"/>
      <c r="D6" s="135" t="s">
        <v>7</v>
      </c>
      <c r="E6" s="145"/>
    </row>
    <row r="7" spans="1:5" ht="15.75" customHeight="1" x14ac:dyDescent="0.3">
      <c r="A7" s="146" t="s">
        <v>8</v>
      </c>
      <c r="B7" s="147"/>
      <c r="C7" s="147"/>
      <c r="D7" s="147"/>
      <c r="E7" s="148"/>
    </row>
    <row r="9" spans="1:5" x14ac:dyDescent="0.3">
      <c r="B9" s="183" t="s">
        <v>145</v>
      </c>
      <c r="C9" s="178"/>
    </row>
    <row r="10" spans="1:5" x14ac:dyDescent="0.3">
      <c r="B10" s="178"/>
      <c r="C10" s="178"/>
    </row>
    <row r="11" spans="1:5" x14ac:dyDescent="0.3">
      <c r="B11" s="178"/>
      <c r="C11" s="178"/>
    </row>
    <row r="12" spans="1:5" x14ac:dyDescent="0.3">
      <c r="B12" s="131"/>
    </row>
    <row r="13" spans="1:5" hidden="1" x14ac:dyDescent="0.3"/>
    <row r="14" spans="1:5" ht="15" customHeight="1" x14ac:dyDescent="0.3">
      <c r="A14" s="184" t="s">
        <v>9</v>
      </c>
      <c r="B14" s="178"/>
      <c r="C14" s="178"/>
      <c r="D14" s="178"/>
      <c r="E14" s="178"/>
    </row>
    <row r="15" spans="1:5" ht="15" customHeight="1" x14ac:dyDescent="0.3">
      <c r="A15" s="178"/>
      <c r="B15" s="178"/>
      <c r="C15" s="178"/>
      <c r="D15" s="178"/>
      <c r="E15" s="178"/>
    </row>
    <row r="16" spans="1:5" ht="15" customHeight="1" x14ac:dyDescent="0.3">
      <c r="A16" s="178"/>
      <c r="B16" s="178"/>
      <c r="C16" s="178"/>
      <c r="D16" s="178"/>
      <c r="E16" s="178"/>
    </row>
    <row r="17" spans="1:8" ht="53.25" customHeight="1" x14ac:dyDescent="0.3">
      <c r="A17" s="178"/>
      <c r="B17" s="178"/>
      <c r="C17" s="178"/>
      <c r="D17" s="178"/>
      <c r="E17" s="178"/>
    </row>
    <row r="18" spans="1:8" ht="14.25" customHeight="1" thickBot="1" x14ac:dyDescent="0.35"/>
    <row r="19" spans="1:8" hidden="1" x14ac:dyDescent="0.3">
      <c r="A19" s="2"/>
    </row>
    <row r="20" spans="1:8" ht="15.75" hidden="1" customHeight="1" thickBot="1" x14ac:dyDescent="0.35"/>
    <row r="21" spans="1:8" x14ac:dyDescent="0.3">
      <c r="A21" s="11" t="s">
        <v>10</v>
      </c>
      <c r="B21" s="12"/>
      <c r="C21" s="13"/>
      <c r="D21" s="9"/>
      <c r="E21" s="14"/>
    </row>
    <row r="22" spans="1:8" x14ac:dyDescent="0.3">
      <c r="A22" s="32" t="s">
        <v>11</v>
      </c>
      <c r="B22" s="32"/>
      <c r="C22" s="32"/>
      <c r="D22" s="30"/>
      <c r="E22" s="30"/>
    </row>
    <row r="23" spans="1:8" ht="14.4" customHeight="1" x14ac:dyDescent="0.3">
      <c r="A23" s="186" t="s">
        <v>151</v>
      </c>
      <c r="B23" s="187"/>
      <c r="C23" s="5"/>
      <c r="D23" s="119">
        <f>720482-702876</f>
        <v>17606</v>
      </c>
      <c r="E23" s="80"/>
    </row>
    <row r="24" spans="1:8" ht="14.4" customHeight="1" x14ac:dyDescent="0.3">
      <c r="A24" s="173" t="s">
        <v>152</v>
      </c>
      <c r="B24" s="174"/>
      <c r="C24" s="5"/>
      <c r="D24" s="119">
        <v>999157.6</v>
      </c>
      <c r="E24" s="80"/>
    </row>
    <row r="25" spans="1:8" ht="14.4" customHeight="1" x14ac:dyDescent="0.3">
      <c r="A25" s="173" t="s">
        <v>153</v>
      </c>
      <c r="B25" s="174"/>
      <c r="C25" s="5"/>
      <c r="D25" s="119">
        <v>-217316.78</v>
      </c>
      <c r="E25" s="80"/>
    </row>
    <row r="26" spans="1:8" x14ac:dyDescent="0.3">
      <c r="A26" s="5" t="s">
        <v>154</v>
      </c>
      <c r="B26" s="5"/>
      <c r="C26" s="5"/>
      <c r="D26" s="119">
        <v>0.18</v>
      </c>
      <c r="E26" s="80"/>
      <c r="H26" s="5"/>
    </row>
    <row r="27" spans="1:8" ht="14.25" customHeight="1" x14ac:dyDescent="0.3">
      <c r="A27" s="57" t="s">
        <v>12</v>
      </c>
      <c r="B27" s="57"/>
      <c r="C27" s="57"/>
      <c r="D27" s="120">
        <f>SUM(D23:D26)</f>
        <v>799447</v>
      </c>
      <c r="E27" s="81"/>
      <c r="H27" s="5"/>
    </row>
    <row r="28" spans="1:8" ht="3.75" hidden="1" customHeight="1" x14ac:dyDescent="0.3">
      <c r="A28" s="5"/>
      <c r="B28" s="5"/>
      <c r="C28" s="5"/>
      <c r="D28" s="119"/>
      <c r="E28" s="80"/>
      <c r="H28" s="15"/>
    </row>
    <row r="29" spans="1:8" hidden="1" x14ac:dyDescent="0.3">
      <c r="A29" s="5"/>
      <c r="B29" s="5"/>
      <c r="C29" s="5"/>
      <c r="D29" s="119"/>
      <c r="E29" s="80"/>
      <c r="H29" s="5"/>
    </row>
    <row r="30" spans="1:8" hidden="1" x14ac:dyDescent="0.3">
      <c r="A30" s="57" t="s">
        <v>12</v>
      </c>
      <c r="B30" s="57"/>
      <c r="C30" s="57"/>
      <c r="D30" s="130">
        <f>SUM(D28:D29)</f>
        <v>0</v>
      </c>
      <c r="E30" s="81"/>
    </row>
    <row r="31" spans="1:8" ht="14.25" customHeight="1" thickBot="1" x14ac:dyDescent="0.35">
      <c r="A31" s="23" t="s">
        <v>13</v>
      </c>
      <c r="B31" s="23"/>
      <c r="C31" s="23"/>
      <c r="D31" s="121"/>
      <c r="E31" s="82">
        <f>D27+D30</f>
        <v>799447</v>
      </c>
      <c r="F31" s="15"/>
    </row>
    <row r="32" spans="1:8" x14ac:dyDescent="0.3">
      <c r="A32" s="32" t="s">
        <v>14</v>
      </c>
      <c r="B32" s="32"/>
      <c r="C32" s="32"/>
      <c r="D32" s="122"/>
      <c r="E32" s="83"/>
    </row>
    <row r="33" spans="1:8" ht="15.75" customHeight="1" x14ac:dyDescent="0.3">
      <c r="A33" s="64" t="s">
        <v>15</v>
      </c>
      <c r="B33" s="5" t="s">
        <v>147</v>
      </c>
      <c r="C33" s="5"/>
      <c r="D33" s="119">
        <v>43000</v>
      </c>
      <c r="E33" s="84" t="s">
        <v>162</v>
      </c>
    </row>
    <row r="34" spans="1:8" ht="15.75" customHeight="1" thickBot="1" x14ac:dyDescent="0.35">
      <c r="A34" s="5" t="s">
        <v>150</v>
      </c>
      <c r="B34" s="5" t="s">
        <v>163</v>
      </c>
      <c r="C34" s="5"/>
      <c r="D34" s="119">
        <v>0</v>
      </c>
      <c r="E34" s="84"/>
      <c r="H34" t="s">
        <v>167</v>
      </c>
    </row>
    <row r="35" spans="1:8" ht="15.75" customHeight="1" thickBot="1" x14ac:dyDescent="0.35">
      <c r="A35" s="23" t="s">
        <v>16</v>
      </c>
      <c r="B35" s="23"/>
      <c r="C35" s="23"/>
      <c r="D35" s="123"/>
      <c r="E35" s="85">
        <f>SUM(D33:D34)</f>
        <v>43000</v>
      </c>
    </row>
    <row r="36" spans="1:8" x14ac:dyDescent="0.3">
      <c r="A36" s="30" t="s">
        <v>17</v>
      </c>
      <c r="B36" s="31"/>
      <c r="C36" s="31"/>
      <c r="D36" s="124"/>
      <c r="E36" s="66"/>
    </row>
    <row r="37" spans="1:8" s="36" customFormat="1" ht="13.5" customHeight="1" x14ac:dyDescent="0.3">
      <c r="A37" s="185" t="s">
        <v>18</v>
      </c>
      <c r="B37" s="181"/>
      <c r="C37" s="55"/>
      <c r="D37" s="152">
        <v>87562.7</v>
      </c>
      <c r="E37" s="106" t="s">
        <v>161</v>
      </c>
    </row>
    <row r="38" spans="1:8" ht="14.25" customHeight="1" x14ac:dyDescent="0.3">
      <c r="A38" s="185" t="s">
        <v>19</v>
      </c>
      <c r="B38" s="181"/>
      <c r="C38" s="55"/>
      <c r="D38" s="125">
        <v>6646.91</v>
      </c>
      <c r="E38" s="106" t="str">
        <f>E37</f>
        <v>Debito 05/01</v>
      </c>
    </row>
    <row r="39" spans="1:8" ht="15.75" customHeight="1" thickBot="1" x14ac:dyDescent="0.35">
      <c r="A39" s="23" t="s">
        <v>20</v>
      </c>
      <c r="B39" s="23"/>
      <c r="C39" s="23"/>
      <c r="D39" s="123"/>
      <c r="E39" s="86">
        <f>SUM(D37:D38)</f>
        <v>94209.61</v>
      </c>
    </row>
    <row r="40" spans="1:8" x14ac:dyDescent="0.3">
      <c r="A40" s="32" t="s">
        <v>21</v>
      </c>
      <c r="B40" s="24"/>
      <c r="C40" s="24"/>
      <c r="D40" s="126"/>
      <c r="E40" s="87"/>
    </row>
    <row r="41" spans="1:8" x14ac:dyDescent="0.3">
      <c r="A41" s="5" t="s">
        <v>22</v>
      </c>
      <c r="B41" s="5"/>
      <c r="C41" s="53"/>
      <c r="D41" s="125">
        <v>711911.63</v>
      </c>
      <c r="E41" s="175" t="s">
        <v>157</v>
      </c>
      <c r="G41" s="104"/>
    </row>
    <row r="42" spans="1:8" x14ac:dyDescent="0.3">
      <c r="A42" s="5" t="s">
        <v>148</v>
      </c>
      <c r="B42" s="5" t="s">
        <v>23</v>
      </c>
      <c r="C42" s="5"/>
      <c r="D42" s="125">
        <v>37132.400000000001</v>
      </c>
      <c r="E42" s="107" t="s">
        <v>158</v>
      </c>
    </row>
    <row r="43" spans="1:8" x14ac:dyDescent="0.3">
      <c r="A43" s="5" t="str">
        <f>A42</f>
        <v>Sindicatos mes de ENERO</v>
      </c>
      <c r="B43" s="5" t="s">
        <v>24</v>
      </c>
      <c r="C43" s="5"/>
      <c r="D43" s="125">
        <v>117612.83</v>
      </c>
      <c r="E43" s="107" t="str">
        <f>E42</f>
        <v>Debito 14/01</v>
      </c>
    </row>
    <row r="44" spans="1:8" x14ac:dyDescent="0.3">
      <c r="A44" s="5" t="str">
        <f>A43</f>
        <v>Sindicatos mes de ENERO</v>
      </c>
      <c r="B44" s="5" t="s">
        <v>25</v>
      </c>
      <c r="C44" s="5"/>
      <c r="D44" s="125">
        <v>7426.48</v>
      </c>
      <c r="E44" s="108" t="str">
        <f>E43</f>
        <v>Debito 14/01</v>
      </c>
    </row>
    <row r="45" spans="1:8" ht="15" customHeight="1" thickBot="1" x14ac:dyDescent="0.35">
      <c r="A45" s="23" t="s">
        <v>26</v>
      </c>
      <c r="B45" s="24"/>
      <c r="C45" s="24"/>
      <c r="D45" s="127"/>
      <c r="E45" s="86">
        <f>SUM(D41:D44)</f>
        <v>874083.34</v>
      </c>
    </row>
    <row r="46" spans="1:8" x14ac:dyDescent="0.3">
      <c r="A46" s="32" t="s">
        <v>27</v>
      </c>
      <c r="B46" s="24"/>
      <c r="C46" s="24"/>
      <c r="D46" s="126"/>
      <c r="E46" s="87"/>
    </row>
    <row r="47" spans="1:8" ht="14.25" customHeight="1" x14ac:dyDescent="0.3">
      <c r="A47" s="53" t="s">
        <v>159</v>
      </c>
      <c r="B47" s="5"/>
      <c r="C47" s="5"/>
      <c r="D47" s="125">
        <v>0</v>
      </c>
      <c r="E47" s="90"/>
      <c r="G47" s="111"/>
    </row>
    <row r="48" spans="1:8" ht="14.25" customHeight="1" x14ac:dyDescent="0.3">
      <c r="A48" s="5" t="s">
        <v>28</v>
      </c>
      <c r="B48" s="5"/>
      <c r="C48" s="5"/>
      <c r="D48" s="125">
        <v>125135.24</v>
      </c>
      <c r="E48" s="90" t="s">
        <v>156</v>
      </c>
    </row>
    <row r="49" spans="1:5" ht="14.25" customHeight="1" x14ac:dyDescent="0.3">
      <c r="A49" s="5" t="s">
        <v>29</v>
      </c>
      <c r="B49" s="5"/>
      <c r="C49" s="5"/>
      <c r="D49" s="125">
        <v>4294</v>
      </c>
      <c r="E49" s="90" t="s">
        <v>160</v>
      </c>
    </row>
    <row r="50" spans="1:5" x14ac:dyDescent="0.3">
      <c r="A50" s="5" t="s">
        <v>144</v>
      </c>
      <c r="B50" s="5"/>
      <c r="C50" s="5"/>
      <c r="D50" s="125">
        <v>0</v>
      </c>
      <c r="E50" s="90"/>
    </row>
    <row r="51" spans="1:5" x14ac:dyDescent="0.3">
      <c r="A51" s="5" t="s">
        <v>136</v>
      </c>
      <c r="B51" s="5"/>
      <c r="C51" s="5"/>
      <c r="D51" s="125">
        <v>45000</v>
      </c>
      <c r="E51" s="90" t="s">
        <v>156</v>
      </c>
    </row>
    <row r="52" spans="1:5" x14ac:dyDescent="0.3">
      <c r="A52" s="5"/>
      <c r="B52" s="159"/>
      <c r="C52" s="5"/>
      <c r="D52" s="158">
        <v>0</v>
      </c>
      <c r="E52" s="90"/>
    </row>
    <row r="53" spans="1:5" ht="15.75" customHeight="1" x14ac:dyDescent="0.3">
      <c r="A53" s="180"/>
      <c r="B53" s="181"/>
      <c r="C53" s="56"/>
      <c r="D53" s="158"/>
      <c r="E53" s="90"/>
    </row>
    <row r="54" spans="1:5" ht="15.75" customHeight="1" thickBot="1" x14ac:dyDescent="0.35">
      <c r="A54" s="23" t="s">
        <v>30</v>
      </c>
      <c r="B54" s="23"/>
      <c r="C54" s="23"/>
      <c r="D54" s="123"/>
      <c r="E54" s="86">
        <f>SUM(D47:D53)</f>
        <v>174429.24</v>
      </c>
    </row>
    <row r="55" spans="1:5" ht="15.75" customHeight="1" thickBot="1" x14ac:dyDescent="0.35">
      <c r="A55" s="32" t="s">
        <v>31</v>
      </c>
      <c r="B55" s="23"/>
      <c r="C55" s="23"/>
      <c r="D55" s="123"/>
      <c r="E55" s="89"/>
    </row>
    <row r="56" spans="1:5" x14ac:dyDescent="0.3">
      <c r="A56" s="53" t="s">
        <v>149</v>
      </c>
      <c r="B56" s="5"/>
      <c r="C56" s="5"/>
      <c r="D56" s="34">
        <v>150000</v>
      </c>
      <c r="E56" s="88"/>
    </row>
    <row r="57" spans="1:5" ht="33" customHeight="1" x14ac:dyDescent="0.3">
      <c r="A57" s="188" t="s">
        <v>155</v>
      </c>
      <c r="B57" s="189"/>
      <c r="C57" s="5"/>
      <c r="D57" s="34">
        <v>75000</v>
      </c>
      <c r="E57" s="175" t="s">
        <v>157</v>
      </c>
    </row>
    <row r="58" spans="1:5" ht="15.75" customHeight="1" thickBot="1" x14ac:dyDescent="0.35">
      <c r="A58" s="23" t="s">
        <v>32</v>
      </c>
      <c r="B58" s="32"/>
      <c r="C58" s="32"/>
      <c r="D58" s="30"/>
      <c r="E58" s="92">
        <f>SUM(D56:D57)</f>
        <v>225000</v>
      </c>
    </row>
    <row r="59" spans="1:5" ht="15.75" customHeight="1" thickBot="1" x14ac:dyDescent="0.35">
      <c r="A59" s="32" t="s">
        <v>33</v>
      </c>
      <c r="B59" s="65"/>
      <c r="C59" s="23"/>
      <c r="D59" s="121"/>
      <c r="E59" s="89"/>
    </row>
    <row r="60" spans="1:5" x14ac:dyDescent="0.3">
      <c r="A60" s="5" t="s">
        <v>33</v>
      </c>
      <c r="B60" s="5"/>
      <c r="C60" s="5"/>
      <c r="D60" s="125">
        <v>48713.599999999999</v>
      </c>
      <c r="E60" s="93"/>
    </row>
    <row r="61" spans="1:5" x14ac:dyDescent="0.3">
      <c r="A61" s="5" t="s">
        <v>34</v>
      </c>
      <c r="B61" s="5"/>
      <c r="C61" s="5"/>
      <c r="D61" s="125">
        <v>61600</v>
      </c>
      <c r="E61" s="91"/>
    </row>
    <row r="62" spans="1:5" ht="15.75" customHeight="1" thickBot="1" x14ac:dyDescent="0.35">
      <c r="A62" s="52" t="s">
        <v>16</v>
      </c>
      <c r="B62" s="52"/>
      <c r="C62" s="52"/>
      <c r="D62" s="94"/>
      <c r="E62" s="86">
        <f>SUM(D60:D61)</f>
        <v>110313.60000000001</v>
      </c>
    </row>
    <row r="63" spans="1:5" ht="15.75" customHeight="1" thickBot="1" x14ac:dyDescent="0.35">
      <c r="A63" s="5"/>
      <c r="B63" s="5"/>
      <c r="C63" s="5"/>
      <c r="D63" s="80"/>
      <c r="E63" s="95"/>
    </row>
    <row r="64" spans="1:5" ht="15.75" customHeight="1" thickBot="1" x14ac:dyDescent="0.35">
      <c r="A64" s="25" t="s">
        <v>35</v>
      </c>
      <c r="B64" s="25"/>
      <c r="C64" s="25"/>
      <c r="D64" s="96"/>
      <c r="E64" s="97"/>
    </row>
    <row r="65" spans="1:7" ht="15.75" customHeight="1" thickBot="1" x14ac:dyDescent="0.35">
      <c r="A65" s="1"/>
      <c r="D65" s="98"/>
      <c r="E65" s="99"/>
      <c r="F65" s="43"/>
    </row>
    <row r="66" spans="1:7" ht="15.75" customHeight="1" thickBot="1" x14ac:dyDescent="0.35">
      <c r="A66" s="3" t="s">
        <v>36</v>
      </c>
      <c r="B66" s="10"/>
      <c r="C66" s="4"/>
      <c r="D66" s="100"/>
      <c r="E66" s="101">
        <f>(SUM(E31:E64))</f>
        <v>2320482.79</v>
      </c>
      <c r="F66" s="43"/>
      <c r="G66" s="111"/>
    </row>
    <row r="67" spans="1:7" x14ac:dyDescent="0.3">
      <c r="D67" s="98"/>
      <c r="E67" s="98"/>
      <c r="G67" s="111"/>
    </row>
    <row r="68" spans="1:7" ht="15.75" customHeight="1" thickBot="1" x14ac:dyDescent="0.35">
      <c r="D68" s="98"/>
      <c r="E68" s="98"/>
    </row>
    <row r="69" spans="1:7" ht="14.25" customHeight="1" x14ac:dyDescent="0.3">
      <c r="A69" s="11" t="s">
        <v>37</v>
      </c>
      <c r="B69" s="12"/>
      <c r="C69" s="13"/>
      <c r="D69" s="102"/>
      <c r="E69" s="103"/>
    </row>
    <row r="70" spans="1:7" x14ac:dyDescent="0.3">
      <c r="A70" s="180"/>
      <c r="B70" s="181"/>
      <c r="C70" s="53"/>
      <c r="D70" s="34"/>
      <c r="E70" s="129"/>
    </row>
    <row r="71" spans="1:7" x14ac:dyDescent="0.3">
      <c r="A71" s="50"/>
      <c r="B71" s="49"/>
      <c r="C71" s="49"/>
      <c r="D71" s="58"/>
      <c r="E71" s="151">
        <f>SUM(D70:D70)</f>
        <v>0</v>
      </c>
    </row>
    <row r="73" spans="1:7" x14ac:dyDescent="0.3">
      <c r="A73" s="25" t="s">
        <v>38</v>
      </c>
      <c r="B73" s="25"/>
      <c r="C73" s="25"/>
      <c r="D73" s="26"/>
      <c r="E73" s="112"/>
    </row>
    <row r="74" spans="1:7" ht="15.75" customHeight="1" thickBot="1" x14ac:dyDescent="0.35"/>
    <row r="75" spans="1:7" ht="15.75" customHeight="1" thickBot="1" x14ac:dyDescent="0.35">
      <c r="A75" s="3" t="s">
        <v>39</v>
      </c>
      <c r="B75" s="10"/>
      <c r="C75" s="4"/>
      <c r="D75" s="4"/>
      <c r="E75" s="67">
        <f>E71+E73</f>
        <v>0</v>
      </c>
    </row>
    <row r="76" spans="1:7" ht="15.75" customHeight="1" thickBot="1" x14ac:dyDescent="0.35"/>
    <row r="77" spans="1:7" ht="15.75" customHeight="1" thickBot="1" x14ac:dyDescent="0.35">
      <c r="A77" s="78" t="s">
        <v>40</v>
      </c>
      <c r="B77" s="79">
        <f>E66</f>
        <v>2320482.79</v>
      </c>
      <c r="D77" s="43"/>
    </row>
    <row r="78" spans="1:7" ht="15.75" customHeight="1" thickBot="1" x14ac:dyDescent="0.35">
      <c r="A78" s="78" t="s">
        <v>41</v>
      </c>
      <c r="B78" s="79">
        <f>E66-E64</f>
        <v>2320482.79</v>
      </c>
    </row>
    <row r="79" spans="1:7" ht="15.75" customHeight="1" thickBot="1" x14ac:dyDescent="0.35">
      <c r="A79" s="78" t="s">
        <v>42</v>
      </c>
      <c r="B79" s="79">
        <f>E75-E73</f>
        <v>0</v>
      </c>
    </row>
    <row r="80" spans="1:7" ht="15.75" customHeight="1" thickBot="1" x14ac:dyDescent="0.35">
      <c r="A80" s="78" t="s">
        <v>43</v>
      </c>
      <c r="B80" s="79">
        <f>E75</f>
        <v>0</v>
      </c>
    </row>
    <row r="81" spans="1:5" ht="14.25" customHeight="1" x14ac:dyDescent="0.3"/>
    <row r="82" spans="1:5" hidden="1" x14ac:dyDescent="0.3"/>
    <row r="83" spans="1:5" hidden="1" x14ac:dyDescent="0.3">
      <c r="A83" s="177"/>
      <c r="B83" s="178"/>
      <c r="C83" s="178"/>
      <c r="D83" s="178"/>
      <c r="E83" s="178"/>
    </row>
    <row r="84" spans="1:5" hidden="1" x14ac:dyDescent="0.3">
      <c r="A84" s="178"/>
      <c r="B84" s="178"/>
      <c r="C84" s="178"/>
      <c r="D84" s="178"/>
      <c r="E84" s="178"/>
    </row>
    <row r="85" spans="1:5" ht="38.25" hidden="1" customHeight="1" x14ac:dyDescent="0.3">
      <c r="A85" s="178"/>
      <c r="B85" s="178"/>
      <c r="C85" s="178"/>
      <c r="D85" s="178"/>
      <c r="E85" s="178"/>
    </row>
    <row r="87" spans="1:5" x14ac:dyDescent="0.3">
      <c r="A87" s="16" t="s">
        <v>44</v>
      </c>
      <c r="B87" s="38"/>
      <c r="C87" s="17"/>
    </row>
    <row r="88" spans="1:5" ht="18" customHeight="1" x14ac:dyDescent="0.3">
      <c r="A88" s="28" t="s">
        <v>45</v>
      </c>
      <c r="B88" s="110">
        <v>7522932.2424999997</v>
      </c>
      <c r="C88" s="19"/>
    </row>
    <row r="89" spans="1:5" ht="14.25" customHeight="1" x14ac:dyDescent="0.3">
      <c r="A89" s="18" t="s">
        <v>46</v>
      </c>
      <c r="B89" s="39">
        <f>PRORRATEO!H25</f>
        <v>2595321.7399999998</v>
      </c>
      <c r="C89" s="17"/>
    </row>
    <row r="90" spans="1:5" ht="17.25" customHeight="1" x14ac:dyDescent="0.3">
      <c r="A90" s="149" t="s">
        <v>138</v>
      </c>
      <c r="B90" s="47"/>
      <c r="C90" s="17"/>
    </row>
    <row r="91" spans="1:5" x14ac:dyDescent="0.3">
      <c r="A91" s="171" t="s">
        <v>47</v>
      </c>
      <c r="B91" s="91">
        <f>B113</f>
        <v>0</v>
      </c>
      <c r="C91" s="17"/>
    </row>
    <row r="92" spans="1:5" ht="34.799999999999997" customHeight="1" x14ac:dyDescent="0.3">
      <c r="A92" s="21" t="s">
        <v>165</v>
      </c>
      <c r="B92" s="47">
        <v>311500.37</v>
      </c>
      <c r="C92" s="17"/>
      <c r="E92" s="176"/>
    </row>
    <row r="93" spans="1:5" ht="34.799999999999997" customHeight="1" x14ac:dyDescent="0.3">
      <c r="A93" s="21" t="s">
        <v>166</v>
      </c>
      <c r="B93" s="91">
        <v>128020</v>
      </c>
      <c r="C93" s="17"/>
      <c r="E93" s="176"/>
    </row>
    <row r="94" spans="1:5" ht="28.2" customHeight="1" x14ac:dyDescent="0.3">
      <c r="A94" s="21" t="s">
        <v>164</v>
      </c>
      <c r="B94" s="47">
        <f>-470000-250000</f>
        <v>-720000</v>
      </c>
      <c r="C94" s="17"/>
    </row>
    <row r="95" spans="1:5" x14ac:dyDescent="0.3">
      <c r="A95" s="37" t="s">
        <v>48</v>
      </c>
      <c r="B95" s="47">
        <f>-B78</f>
        <v>-2320482.79</v>
      </c>
      <c r="C95" s="17"/>
      <c r="E95" s="43"/>
    </row>
    <row r="96" spans="1:5" x14ac:dyDescent="0.3">
      <c r="A96" s="21" t="s">
        <v>49</v>
      </c>
      <c r="B96" s="47">
        <f>-(B79)</f>
        <v>0</v>
      </c>
      <c r="C96" s="17"/>
      <c r="E96" s="19"/>
    </row>
    <row r="97" spans="1:4" x14ac:dyDescent="0.3">
      <c r="A97" s="27" t="s">
        <v>32</v>
      </c>
      <c r="B97" s="109">
        <f>SUM(B88:B96)</f>
        <v>7517291.5624999991</v>
      </c>
      <c r="C97" s="20"/>
    </row>
    <row r="98" spans="1:4" ht="34.5" customHeight="1" x14ac:dyDescent="0.3">
      <c r="B98" s="40"/>
      <c r="C98" s="20"/>
      <c r="D98" s="43"/>
    </row>
    <row r="99" spans="1:4" ht="14.25" hidden="1" customHeight="1" x14ac:dyDescent="0.3">
      <c r="B99" s="41"/>
      <c r="C99" s="20"/>
    </row>
    <row r="100" spans="1:4" s="36" customFormat="1" ht="27" hidden="1" customHeight="1" x14ac:dyDescent="0.3">
      <c r="B100" s="40"/>
      <c r="C100" s="35"/>
    </row>
    <row r="101" spans="1:4" s="36" customFormat="1" ht="27" hidden="1" customHeight="1" x14ac:dyDescent="0.3">
      <c r="A101" s="29" t="s">
        <v>50</v>
      </c>
      <c r="B101" s="33"/>
      <c r="C101" s="35"/>
      <c r="D101" s="46"/>
    </row>
    <row r="102" spans="1:4" s="36" customFormat="1" ht="27" hidden="1" customHeight="1" x14ac:dyDescent="0.3">
      <c r="A102" s="5" t="s">
        <v>45</v>
      </c>
      <c r="B102" s="34">
        <v>0</v>
      </c>
      <c r="C102" s="35"/>
    </row>
    <row r="103" spans="1:4" ht="14.25" hidden="1" customHeight="1" x14ac:dyDescent="0.3">
      <c r="A103" s="5" t="s">
        <v>51</v>
      </c>
      <c r="B103" s="33">
        <v>0</v>
      </c>
      <c r="C103" s="20"/>
      <c r="D103" s="43"/>
    </row>
    <row r="104" spans="1:4" hidden="1" x14ac:dyDescent="0.3">
      <c r="A104" s="5" t="s">
        <v>48</v>
      </c>
      <c r="B104" s="33">
        <v>0</v>
      </c>
      <c r="C104" s="20"/>
    </row>
    <row r="105" spans="1:4" hidden="1" x14ac:dyDescent="0.3">
      <c r="A105" s="5" t="s">
        <v>49</v>
      </c>
      <c r="B105" s="33">
        <v>0</v>
      </c>
      <c r="C105" s="22"/>
    </row>
    <row r="106" spans="1:4" hidden="1" x14ac:dyDescent="0.3">
      <c r="A106" s="29" t="s">
        <v>52</v>
      </c>
      <c r="B106" s="48">
        <f>SUM(B102:B105)</f>
        <v>0</v>
      </c>
      <c r="C106" s="17"/>
    </row>
    <row r="107" spans="1:4" hidden="1" x14ac:dyDescent="0.3"/>
    <row r="108" spans="1:4" ht="60.75" hidden="1" customHeight="1" x14ac:dyDescent="0.3"/>
    <row r="109" spans="1:4" x14ac:dyDescent="0.3">
      <c r="A109" s="179" t="s">
        <v>53</v>
      </c>
      <c r="B109" s="178"/>
      <c r="C109" s="178"/>
    </row>
    <row r="110" spans="1:4" x14ac:dyDescent="0.3">
      <c r="A110" s="178"/>
      <c r="B110" s="178"/>
      <c r="C110" s="178"/>
    </row>
    <row r="111" spans="1:4" ht="30.75" customHeight="1" x14ac:dyDescent="0.3">
      <c r="A111" s="55"/>
      <c r="B111" s="33"/>
      <c r="C111" s="33">
        <v>40000</v>
      </c>
    </row>
    <row r="112" spans="1:4" ht="15.75" customHeight="1" x14ac:dyDescent="0.3">
      <c r="A112" s="55"/>
      <c r="B112" s="33"/>
      <c r="C112" s="40"/>
    </row>
    <row r="113" spans="1:13" x14ac:dyDescent="0.3">
      <c r="A113" s="44" t="s">
        <v>32</v>
      </c>
      <c r="B113" s="105">
        <f>SUM(B111:B112)</f>
        <v>0</v>
      </c>
      <c r="C113" s="45"/>
    </row>
    <row r="114" spans="1:13" x14ac:dyDescent="0.3">
      <c r="M114" s="8"/>
    </row>
    <row r="115" spans="1:13" ht="15" hidden="1" customHeight="1" x14ac:dyDescent="0.3">
      <c r="A115" s="182"/>
      <c r="B115" s="178"/>
      <c r="C115" s="178"/>
      <c r="D115" s="178"/>
      <c r="E115" s="178"/>
    </row>
    <row r="116" spans="1:13" hidden="1" x14ac:dyDescent="0.3">
      <c r="A116" s="178"/>
      <c r="B116" s="178"/>
      <c r="C116" s="178"/>
      <c r="D116" s="178"/>
      <c r="E116" s="178"/>
    </row>
    <row r="117" spans="1:13" hidden="1" x14ac:dyDescent="0.3">
      <c r="A117" s="178"/>
      <c r="B117" s="178"/>
      <c r="C117" s="178"/>
      <c r="D117" s="178"/>
      <c r="E117" s="178"/>
    </row>
    <row r="118" spans="1:13" hidden="1" x14ac:dyDescent="0.3">
      <c r="A118" s="178"/>
      <c r="B118" s="178"/>
      <c r="C118" s="178"/>
      <c r="D118" s="178"/>
      <c r="E118" s="178"/>
    </row>
  </sheetData>
  <mergeCells count="11">
    <mergeCell ref="A83:E85"/>
    <mergeCell ref="A109:C110"/>
    <mergeCell ref="A70:B70"/>
    <mergeCell ref="A115:E118"/>
    <mergeCell ref="B9:C11"/>
    <mergeCell ref="A53:B53"/>
    <mergeCell ref="A14:E17"/>
    <mergeCell ref="A37:B37"/>
    <mergeCell ref="A38:B38"/>
    <mergeCell ref="A23:B23"/>
    <mergeCell ref="A57:B5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topLeftCell="B4" zoomScaleNormal="100" workbookViewId="0">
      <selection activeCell="M4" sqref="M4:M5"/>
    </sheetView>
  </sheetViews>
  <sheetFormatPr baseColWidth="10" defaultRowHeight="14.4" x14ac:dyDescent="0.3"/>
  <cols>
    <col min="1" max="1" width="5" hidden="1" customWidth="1"/>
    <col min="2" max="2" width="5.5546875" customWidth="1"/>
    <col min="3" max="3" width="6.88671875" customWidth="1"/>
    <col min="4" max="4" width="18.5546875" customWidth="1"/>
    <col min="5" max="5" width="9.109375" bestFit="1" customWidth="1"/>
    <col min="6" max="6" width="5.109375" customWidth="1"/>
    <col min="7" max="7" width="14.109375" customWidth="1"/>
    <col min="8" max="8" width="15.33203125" customWidth="1"/>
    <col min="9" max="9" width="7.6640625" hidden="1" customWidth="1"/>
    <col min="10" max="10" width="10.5546875" customWidth="1"/>
    <col min="11" max="11" width="9.88671875" customWidth="1"/>
    <col min="12" max="12" width="11.33203125" customWidth="1"/>
    <col min="13" max="13" width="10.5546875" customWidth="1"/>
    <col min="14" max="14" width="10.5546875" hidden="1" customWidth="1"/>
    <col min="15" max="15" width="14" customWidth="1"/>
    <col min="16" max="16" width="13.5546875" customWidth="1"/>
    <col min="17" max="17" width="4.44140625" hidden="1" customWidth="1"/>
    <col min="18" max="18" width="12" bestFit="1" customWidth="1"/>
    <col min="19" max="19" width="13" bestFit="1" customWidth="1"/>
  </cols>
  <sheetData>
    <row r="1" spans="1:20" ht="12.9" customHeight="1" x14ac:dyDescent="0.3">
      <c r="A1" s="6"/>
      <c r="B1" s="6"/>
      <c r="C1" s="6"/>
      <c r="D1" s="6" t="s">
        <v>54</v>
      </c>
      <c r="E1" s="6"/>
      <c r="F1" s="194" t="s">
        <v>55</v>
      </c>
      <c r="G1" s="178"/>
      <c r="H1" s="178"/>
      <c r="I1" s="178"/>
      <c r="J1" s="178"/>
      <c r="K1" s="178"/>
      <c r="L1" s="178"/>
      <c r="M1" s="178"/>
      <c r="N1" s="178"/>
      <c r="O1" s="178"/>
      <c r="P1" s="6"/>
    </row>
    <row r="2" spans="1:20" ht="12.9" customHeight="1" x14ac:dyDescent="0.3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56</v>
      </c>
      <c r="M2" s="6"/>
      <c r="N2" s="6"/>
      <c r="O2" s="199">
        <f>T4</f>
        <v>2320482.79</v>
      </c>
      <c r="P2" s="178"/>
      <c r="Q2" s="15"/>
    </row>
    <row r="3" spans="1:20" ht="12.9" customHeight="1" thickBot="1" x14ac:dyDescent="0.35">
      <c r="A3" s="6"/>
      <c r="B3" s="6"/>
      <c r="C3" s="6"/>
      <c r="D3" s="6" t="s">
        <v>57</v>
      </c>
      <c r="E3" s="6"/>
      <c r="F3" s="6"/>
      <c r="G3" s="6"/>
      <c r="H3" s="6"/>
      <c r="I3" s="6"/>
      <c r="J3" s="6"/>
      <c r="K3" s="6"/>
      <c r="L3" s="7" t="s">
        <v>58</v>
      </c>
      <c r="M3" s="6"/>
      <c r="N3" s="6"/>
      <c r="O3" s="203">
        <f>S6</f>
        <v>0</v>
      </c>
      <c r="P3" s="204"/>
    </row>
    <row r="4" spans="1:20" x14ac:dyDescent="0.3">
      <c r="A4" s="197" t="s">
        <v>59</v>
      </c>
      <c r="B4" s="200" t="s">
        <v>60</v>
      </c>
      <c r="C4" s="190" t="s">
        <v>61</v>
      </c>
      <c r="D4" s="190" t="s">
        <v>62</v>
      </c>
      <c r="E4" s="192" t="s">
        <v>63</v>
      </c>
      <c r="F4" s="190" t="s">
        <v>64</v>
      </c>
      <c r="G4" s="190" t="s">
        <v>65</v>
      </c>
      <c r="H4" s="190" t="s">
        <v>66</v>
      </c>
      <c r="I4" s="192" t="s">
        <v>67</v>
      </c>
      <c r="J4" s="195" t="s">
        <v>68</v>
      </c>
      <c r="K4" s="198" t="s">
        <v>69</v>
      </c>
      <c r="L4" s="196" t="s">
        <v>70</v>
      </c>
      <c r="M4" s="198" t="s">
        <v>71</v>
      </c>
      <c r="N4" s="198" t="s">
        <v>72</v>
      </c>
      <c r="O4" s="61" t="s">
        <v>73</v>
      </c>
      <c r="P4" s="202" t="s">
        <v>74</v>
      </c>
      <c r="S4" s="43"/>
      <c r="T4">
        <v>2320482.79</v>
      </c>
    </row>
    <row r="5" spans="1:20" ht="15.75" customHeight="1" x14ac:dyDescent="0.3">
      <c r="A5" s="191"/>
      <c r="B5" s="201"/>
      <c r="C5" s="191"/>
      <c r="D5" s="191"/>
      <c r="E5" s="193"/>
      <c r="F5" s="191"/>
      <c r="G5" s="191"/>
      <c r="H5" s="191"/>
      <c r="I5" s="193"/>
      <c r="J5" s="193"/>
      <c r="K5" s="193"/>
      <c r="L5" s="191"/>
      <c r="M5" s="193"/>
      <c r="N5" s="193"/>
      <c r="O5" s="59" t="str">
        <f>RESUMEN!B9</f>
        <v>VTO 16/02</v>
      </c>
      <c r="P5" s="191"/>
      <c r="T5" t="s">
        <v>141</v>
      </c>
    </row>
    <row r="6" spans="1:20" ht="17.100000000000001" customHeight="1" x14ac:dyDescent="0.3">
      <c r="A6" s="5" t="s">
        <v>75</v>
      </c>
      <c r="B6" s="62">
        <v>1</v>
      </c>
      <c r="C6" s="62" t="s">
        <v>76</v>
      </c>
      <c r="D6" s="62" t="s">
        <v>77</v>
      </c>
      <c r="E6" s="62" t="s">
        <v>78</v>
      </c>
      <c r="F6" s="68">
        <v>3</v>
      </c>
      <c r="G6" s="132">
        <v>65559.100000000006</v>
      </c>
      <c r="H6" s="69">
        <f>G6</f>
        <v>65559.100000000006</v>
      </c>
      <c r="I6" s="70"/>
      <c r="J6" s="116">
        <f t="shared" ref="J6:J24" si="0">G6-H6</f>
        <v>0</v>
      </c>
      <c r="K6" s="71">
        <f t="shared" ref="K6:K24" si="1">IF(J6&gt;0,J6*5%,0)</f>
        <v>0</v>
      </c>
      <c r="L6" s="72">
        <f t="shared" ref="L6:L24" si="2">O$3*F6%</f>
        <v>0</v>
      </c>
      <c r="M6" s="72">
        <f t="shared" ref="M6:M24" si="3">O$2*F6%</f>
        <v>69614.483699999997</v>
      </c>
      <c r="N6" s="113">
        <f t="shared" ref="N6:N24" si="4">SUM(J6:M6)</f>
        <v>69614.483699999997</v>
      </c>
      <c r="O6" s="117" t="str">
        <f t="shared" ref="O6:O24" si="5">CONCATENATE("$",ROUND(N6,0), ",", Q6)</f>
        <v>$69614,1</v>
      </c>
      <c r="P6" s="118" t="str">
        <f t="shared" ref="P6:P24" si="6">CONCATENATE("$",ROUND(N6*3%+ N6,0), ",", Q6)</f>
        <v>$71703,1</v>
      </c>
      <c r="Q6" s="43" t="str">
        <f t="shared" ref="Q6:Q24" si="7">CONCATENATE(B6)</f>
        <v>1</v>
      </c>
    </row>
    <row r="7" spans="1:20" ht="17.100000000000001" customHeight="1" x14ac:dyDescent="0.3">
      <c r="A7" s="5" t="s">
        <v>79</v>
      </c>
      <c r="B7" s="62">
        <v>2</v>
      </c>
      <c r="C7" s="62" t="s">
        <v>80</v>
      </c>
      <c r="D7" s="62" t="s">
        <v>81</v>
      </c>
      <c r="E7" s="62" t="s">
        <v>82</v>
      </c>
      <c r="F7" s="68">
        <v>3.8</v>
      </c>
      <c r="G7" s="132">
        <v>82622.2</v>
      </c>
      <c r="H7" s="128">
        <v>85101.02</v>
      </c>
      <c r="I7" s="70"/>
      <c r="J7" s="116">
        <f t="shared" si="0"/>
        <v>-2478.820000000007</v>
      </c>
      <c r="K7" s="71">
        <f t="shared" si="1"/>
        <v>0</v>
      </c>
      <c r="L7" s="72">
        <f t="shared" si="2"/>
        <v>0</v>
      </c>
      <c r="M7" s="72">
        <f t="shared" si="3"/>
        <v>88178.346019999997</v>
      </c>
      <c r="N7" s="113">
        <f t="shared" si="4"/>
        <v>85699.52601999999</v>
      </c>
      <c r="O7" s="115" t="str">
        <f t="shared" si="5"/>
        <v>$85700,2</v>
      </c>
      <c r="P7" s="118" t="str">
        <f t="shared" si="6"/>
        <v>$88271,2</v>
      </c>
      <c r="Q7" s="43" t="str">
        <f t="shared" si="7"/>
        <v>2</v>
      </c>
      <c r="R7" s="43"/>
    </row>
    <row r="8" spans="1:20" ht="17.100000000000001" customHeight="1" x14ac:dyDescent="0.3">
      <c r="A8" s="5" t="s">
        <v>79</v>
      </c>
      <c r="B8" s="62">
        <v>3</v>
      </c>
      <c r="C8" s="62" t="s">
        <v>83</v>
      </c>
      <c r="D8" s="62" t="s">
        <v>84</v>
      </c>
      <c r="E8" s="62" t="s">
        <v>85</v>
      </c>
      <c r="F8" s="68">
        <v>3</v>
      </c>
      <c r="G8" s="132">
        <v>308531.3</v>
      </c>
      <c r="H8" s="128">
        <v>299545.3</v>
      </c>
      <c r="I8" s="70"/>
      <c r="J8" s="116">
        <f t="shared" si="0"/>
        <v>8986</v>
      </c>
      <c r="K8" s="71">
        <f t="shared" si="1"/>
        <v>449.3</v>
      </c>
      <c r="L8" s="72">
        <f t="shared" si="2"/>
        <v>0</v>
      </c>
      <c r="M8" s="72">
        <f t="shared" si="3"/>
        <v>69614.483699999997</v>
      </c>
      <c r="N8" s="113">
        <f t="shared" si="4"/>
        <v>79049.7837</v>
      </c>
      <c r="O8" s="115" t="str">
        <f t="shared" si="5"/>
        <v>$79050,3</v>
      </c>
      <c r="P8" s="118" t="str">
        <f t="shared" si="6"/>
        <v>$81421,3</v>
      </c>
      <c r="Q8" s="43" t="str">
        <f t="shared" si="7"/>
        <v>3</v>
      </c>
    </row>
    <row r="9" spans="1:20" ht="17.100000000000001" customHeight="1" x14ac:dyDescent="0.3">
      <c r="A9" s="5" t="s">
        <v>86</v>
      </c>
      <c r="B9" s="62">
        <v>4</v>
      </c>
      <c r="C9" s="62" t="s">
        <v>87</v>
      </c>
      <c r="D9" s="62" t="s">
        <v>88</v>
      </c>
      <c r="E9" s="62" t="s">
        <v>89</v>
      </c>
      <c r="F9" s="68">
        <v>3.1</v>
      </c>
      <c r="G9" s="132">
        <v>73561.399999999994</v>
      </c>
      <c r="H9" s="128">
        <v>71420.399999999994</v>
      </c>
      <c r="I9" s="70"/>
      <c r="J9" s="116">
        <f t="shared" si="0"/>
        <v>2141</v>
      </c>
      <c r="K9" s="71">
        <f t="shared" si="1"/>
        <v>107.05000000000001</v>
      </c>
      <c r="L9" s="72">
        <f t="shared" si="2"/>
        <v>0</v>
      </c>
      <c r="M9" s="72">
        <f t="shared" si="3"/>
        <v>71934.966490000006</v>
      </c>
      <c r="N9" s="113">
        <f t="shared" si="4"/>
        <v>74183.016490000009</v>
      </c>
      <c r="O9" s="115" t="str">
        <f t="shared" si="5"/>
        <v>$74183,4</v>
      </c>
      <c r="P9" s="118" t="str">
        <f t="shared" si="6"/>
        <v>$76409,4</v>
      </c>
      <c r="Q9" s="43" t="str">
        <f t="shared" si="7"/>
        <v>4</v>
      </c>
      <c r="S9" s="43"/>
      <c r="T9" t="s">
        <v>142</v>
      </c>
    </row>
    <row r="10" spans="1:20" ht="17.100000000000001" customHeight="1" x14ac:dyDescent="0.3">
      <c r="A10" s="5" t="s">
        <v>86</v>
      </c>
      <c r="B10" s="62">
        <v>5</v>
      </c>
      <c r="C10" s="62" t="s">
        <v>90</v>
      </c>
      <c r="D10" s="62" t="s">
        <v>91</v>
      </c>
      <c r="E10" s="62" t="s">
        <v>92</v>
      </c>
      <c r="F10" s="68">
        <v>3.1</v>
      </c>
      <c r="G10" s="128">
        <v>67745.5</v>
      </c>
      <c r="H10" s="128">
        <v>0</v>
      </c>
      <c r="I10" s="70"/>
      <c r="J10" s="116">
        <f t="shared" si="0"/>
        <v>67745.5</v>
      </c>
      <c r="K10" s="71">
        <f t="shared" si="1"/>
        <v>3387.2750000000001</v>
      </c>
      <c r="L10" s="72">
        <f t="shared" si="2"/>
        <v>0</v>
      </c>
      <c r="M10" s="72">
        <f t="shared" si="3"/>
        <v>71934.966490000006</v>
      </c>
      <c r="N10" s="113">
        <f t="shared" si="4"/>
        <v>143067.74148999999</v>
      </c>
      <c r="O10" s="115" t="str">
        <f t="shared" si="5"/>
        <v>$143068,5</v>
      </c>
      <c r="P10" s="118" t="str">
        <f t="shared" si="6"/>
        <v>$147360,5</v>
      </c>
      <c r="Q10" s="43" t="str">
        <f t="shared" si="7"/>
        <v>5</v>
      </c>
      <c r="S10" s="43"/>
    </row>
    <row r="11" spans="1:20" ht="17.100000000000001" customHeight="1" x14ac:dyDescent="0.3">
      <c r="A11" s="5" t="s">
        <v>93</v>
      </c>
      <c r="B11" s="62">
        <v>6</v>
      </c>
      <c r="C11" s="62" t="s">
        <v>94</v>
      </c>
      <c r="D11" s="62" t="s">
        <v>95</v>
      </c>
      <c r="E11" s="62"/>
      <c r="F11" s="68">
        <v>3.2</v>
      </c>
      <c r="G11" s="132">
        <v>69930.600000000006</v>
      </c>
      <c r="H11" s="69">
        <f>G11</f>
        <v>69930.600000000006</v>
      </c>
      <c r="I11" s="70"/>
      <c r="J11" s="116">
        <f t="shared" si="0"/>
        <v>0</v>
      </c>
      <c r="K11" s="71">
        <f t="shared" si="1"/>
        <v>0</v>
      </c>
      <c r="L11" s="72">
        <f t="shared" si="2"/>
        <v>0</v>
      </c>
      <c r="M11" s="72">
        <f t="shared" si="3"/>
        <v>74255.449280000001</v>
      </c>
      <c r="N11" s="113">
        <f t="shared" si="4"/>
        <v>74255.449280000001</v>
      </c>
      <c r="O11" s="115" t="str">
        <f t="shared" si="5"/>
        <v>$74255,6</v>
      </c>
      <c r="P11" s="118" t="str">
        <f t="shared" si="6"/>
        <v>$76483,6</v>
      </c>
      <c r="Q11" s="43" t="str">
        <f t="shared" si="7"/>
        <v>6</v>
      </c>
    </row>
    <row r="12" spans="1:20" ht="17.100000000000001" customHeight="1" x14ac:dyDescent="0.3">
      <c r="A12" s="5" t="s">
        <v>93</v>
      </c>
      <c r="B12" s="62">
        <v>7</v>
      </c>
      <c r="C12" s="62" t="s">
        <v>96</v>
      </c>
      <c r="D12" s="62" t="s">
        <v>97</v>
      </c>
      <c r="E12" s="62" t="s">
        <v>98</v>
      </c>
      <c r="F12" s="68">
        <v>3.3</v>
      </c>
      <c r="G12" s="132">
        <v>72115.7</v>
      </c>
      <c r="H12" s="69">
        <f>G12</f>
        <v>72115.7</v>
      </c>
      <c r="I12" s="70"/>
      <c r="J12" s="116">
        <f t="shared" si="0"/>
        <v>0</v>
      </c>
      <c r="K12" s="71">
        <f t="shared" si="1"/>
        <v>0</v>
      </c>
      <c r="L12" s="72">
        <f t="shared" si="2"/>
        <v>0</v>
      </c>
      <c r="M12" s="72">
        <f t="shared" si="3"/>
        <v>76575.93207000001</v>
      </c>
      <c r="N12" s="113">
        <f t="shared" si="4"/>
        <v>76575.93207000001</v>
      </c>
      <c r="O12" s="115" t="str">
        <f t="shared" si="5"/>
        <v>$76576,7</v>
      </c>
      <c r="P12" s="118" t="str">
        <f t="shared" si="6"/>
        <v>$78873,7</v>
      </c>
      <c r="Q12" s="43" t="str">
        <f t="shared" si="7"/>
        <v>7</v>
      </c>
    </row>
    <row r="13" spans="1:20" ht="17.100000000000001" customHeight="1" x14ac:dyDescent="0.3">
      <c r="A13" s="5" t="s">
        <v>99</v>
      </c>
      <c r="B13" s="62">
        <v>23</v>
      </c>
      <c r="C13" s="62" t="s">
        <v>100</v>
      </c>
      <c r="D13" s="62" t="s">
        <v>101</v>
      </c>
      <c r="E13" s="62" t="s">
        <v>102</v>
      </c>
      <c r="F13" s="68">
        <v>6.3</v>
      </c>
      <c r="G13" s="132">
        <v>157945.23000000001</v>
      </c>
      <c r="H13" s="69">
        <f>G13</f>
        <v>157945.23000000001</v>
      </c>
      <c r="I13" s="70"/>
      <c r="J13" s="116">
        <f t="shared" si="0"/>
        <v>0</v>
      </c>
      <c r="K13" s="71">
        <f t="shared" si="1"/>
        <v>0</v>
      </c>
      <c r="L13" s="72">
        <f t="shared" si="2"/>
        <v>0</v>
      </c>
      <c r="M13" s="72">
        <f t="shared" si="3"/>
        <v>146190.41576999999</v>
      </c>
      <c r="N13" s="113">
        <f t="shared" si="4"/>
        <v>146190.41576999999</v>
      </c>
      <c r="O13" s="115" t="str">
        <f t="shared" si="5"/>
        <v>$146190,23</v>
      </c>
      <c r="P13" s="118" t="str">
        <f t="shared" si="6"/>
        <v>$150576,23</v>
      </c>
      <c r="Q13" s="43" t="str">
        <f t="shared" si="7"/>
        <v>23</v>
      </c>
      <c r="S13" t="s">
        <v>143</v>
      </c>
    </row>
    <row r="14" spans="1:20" ht="17.100000000000001" customHeight="1" x14ac:dyDescent="0.3">
      <c r="A14" s="5" t="s">
        <v>99</v>
      </c>
      <c r="B14" s="150">
        <v>22</v>
      </c>
      <c r="C14" s="150" t="s">
        <v>103</v>
      </c>
      <c r="D14" s="150" t="s">
        <v>104</v>
      </c>
      <c r="E14" s="150" t="s">
        <v>105</v>
      </c>
      <c r="F14" s="153">
        <v>5.0999999999999996</v>
      </c>
      <c r="G14" s="133">
        <v>111451.22</v>
      </c>
      <c r="H14" s="69">
        <f t="shared" ref="H14" si="8">G14</f>
        <v>111451.22</v>
      </c>
      <c r="I14" s="70"/>
      <c r="J14" s="116">
        <f t="shared" si="0"/>
        <v>0</v>
      </c>
      <c r="K14" s="116">
        <f t="shared" si="1"/>
        <v>0</v>
      </c>
      <c r="L14" s="154">
        <f t="shared" si="2"/>
        <v>0</v>
      </c>
      <c r="M14" s="154">
        <f t="shared" si="3"/>
        <v>118344.62229</v>
      </c>
      <c r="N14" s="155">
        <f t="shared" si="4"/>
        <v>118344.62229</v>
      </c>
      <c r="O14" s="156" t="str">
        <f t="shared" si="5"/>
        <v>$118345,22</v>
      </c>
      <c r="P14" s="157" t="str">
        <f t="shared" si="6"/>
        <v>$121895,22</v>
      </c>
      <c r="Q14" s="43" t="str">
        <f t="shared" si="7"/>
        <v>22</v>
      </c>
    </row>
    <row r="15" spans="1:20" ht="17.100000000000001" customHeight="1" x14ac:dyDescent="0.3">
      <c r="A15" s="5" t="s">
        <v>106</v>
      </c>
      <c r="B15" s="62">
        <v>21</v>
      </c>
      <c r="C15" s="62" t="s">
        <v>107</v>
      </c>
      <c r="D15" s="62" t="s">
        <v>108</v>
      </c>
      <c r="E15" s="63"/>
      <c r="F15" s="68">
        <v>8.1999999999999993</v>
      </c>
      <c r="G15" s="132">
        <v>539180.21</v>
      </c>
      <c r="H15" s="69">
        <f>G15</f>
        <v>539180.21</v>
      </c>
      <c r="I15" s="70"/>
      <c r="J15" s="116">
        <f t="shared" si="0"/>
        <v>0</v>
      </c>
      <c r="K15" s="71">
        <f t="shared" si="1"/>
        <v>0</v>
      </c>
      <c r="L15" s="72">
        <f t="shared" si="2"/>
        <v>0</v>
      </c>
      <c r="M15" s="72">
        <f t="shared" si="3"/>
        <v>190279.58877999999</v>
      </c>
      <c r="N15" s="113">
        <f t="shared" si="4"/>
        <v>190279.58877999999</v>
      </c>
      <c r="O15" s="115" t="str">
        <f t="shared" si="5"/>
        <v>$190280,21</v>
      </c>
      <c r="P15" s="118" t="str">
        <f t="shared" si="6"/>
        <v>$195988,21</v>
      </c>
      <c r="Q15" s="43" t="str">
        <f t="shared" si="7"/>
        <v>21</v>
      </c>
    </row>
    <row r="16" spans="1:20" ht="17.100000000000001" customHeight="1" x14ac:dyDescent="0.3">
      <c r="A16" s="5" t="s">
        <v>106</v>
      </c>
      <c r="B16" s="62">
        <v>14</v>
      </c>
      <c r="C16" s="62" t="s">
        <v>109</v>
      </c>
      <c r="D16" s="62" t="s">
        <v>110</v>
      </c>
      <c r="E16" s="62" t="s">
        <v>111</v>
      </c>
      <c r="F16" s="68">
        <v>6.1</v>
      </c>
      <c r="G16" s="132">
        <v>125653.14</v>
      </c>
      <c r="H16" s="69">
        <f>G16</f>
        <v>125653.14</v>
      </c>
      <c r="I16" s="70"/>
      <c r="J16" s="116">
        <f t="shared" si="0"/>
        <v>0</v>
      </c>
      <c r="K16" s="71">
        <f t="shared" si="1"/>
        <v>0</v>
      </c>
      <c r="L16" s="72">
        <f t="shared" si="2"/>
        <v>0</v>
      </c>
      <c r="M16" s="72">
        <f t="shared" si="3"/>
        <v>141549.45019</v>
      </c>
      <c r="N16" s="113">
        <f t="shared" si="4"/>
        <v>141549.45019</v>
      </c>
      <c r="O16" s="115" t="str">
        <f t="shared" si="5"/>
        <v>$141549,14</v>
      </c>
      <c r="P16" s="118" t="str">
        <f t="shared" si="6"/>
        <v>$145796,14</v>
      </c>
      <c r="Q16" s="43" t="str">
        <f t="shared" si="7"/>
        <v>14</v>
      </c>
    </row>
    <row r="17" spans="1:20" ht="17.100000000000001" customHeight="1" x14ac:dyDescent="0.3">
      <c r="A17" s="5" t="s">
        <v>112</v>
      </c>
      <c r="B17" s="150">
        <v>13</v>
      </c>
      <c r="C17" s="150" t="s">
        <v>113</v>
      </c>
      <c r="D17" s="150" t="s">
        <v>114</v>
      </c>
      <c r="E17" s="160"/>
      <c r="F17" s="153">
        <v>5</v>
      </c>
      <c r="G17" s="133">
        <v>109265.13</v>
      </c>
      <c r="H17" s="69">
        <f>G17</f>
        <v>109265.13</v>
      </c>
      <c r="I17" s="70"/>
      <c r="J17" s="116">
        <f t="shared" si="0"/>
        <v>0</v>
      </c>
      <c r="K17" s="116">
        <f t="shared" si="1"/>
        <v>0</v>
      </c>
      <c r="L17" s="154">
        <f t="shared" si="2"/>
        <v>0</v>
      </c>
      <c r="M17" s="154">
        <f t="shared" si="3"/>
        <v>116024.1395</v>
      </c>
      <c r="N17" s="155">
        <f t="shared" si="4"/>
        <v>116024.1395</v>
      </c>
      <c r="O17" s="156" t="str">
        <f t="shared" si="5"/>
        <v>$116024,13</v>
      </c>
      <c r="P17" s="157" t="str">
        <f t="shared" si="6"/>
        <v>$119505,13</v>
      </c>
      <c r="Q17" s="43" t="str">
        <f t="shared" si="7"/>
        <v>13</v>
      </c>
      <c r="S17" s="104"/>
    </row>
    <row r="18" spans="1:20" ht="17.100000000000001" customHeight="1" x14ac:dyDescent="0.3">
      <c r="A18" s="205" t="s">
        <v>112</v>
      </c>
      <c r="B18" s="206">
        <v>12</v>
      </c>
      <c r="C18" s="206" t="s">
        <v>115</v>
      </c>
      <c r="D18" s="206" t="s">
        <v>116</v>
      </c>
      <c r="E18" s="206" t="s">
        <v>117</v>
      </c>
      <c r="F18" s="207">
        <v>8.1999999999999993</v>
      </c>
      <c r="G18" s="208">
        <v>184571.12</v>
      </c>
      <c r="H18" s="209">
        <v>179195</v>
      </c>
      <c r="I18" s="210"/>
      <c r="J18" s="211">
        <f t="shared" si="0"/>
        <v>5376.1199999999953</v>
      </c>
      <c r="K18" s="211">
        <f t="shared" si="1"/>
        <v>268.80599999999976</v>
      </c>
      <c r="L18" s="212">
        <f t="shared" si="2"/>
        <v>0</v>
      </c>
      <c r="M18" s="212">
        <f t="shared" si="3"/>
        <v>190279.58877999999</v>
      </c>
      <c r="N18" s="213">
        <f t="shared" si="4"/>
        <v>195924.51478</v>
      </c>
      <c r="O18" s="214" t="str">
        <f t="shared" si="5"/>
        <v>$195925,12</v>
      </c>
      <c r="P18" s="215" t="str">
        <f t="shared" si="6"/>
        <v>$201802,12</v>
      </c>
      <c r="Q18" s="216" t="str">
        <f t="shared" si="7"/>
        <v>12</v>
      </c>
      <c r="R18" s="217" t="s">
        <v>168</v>
      </c>
      <c r="S18" s="216">
        <f>O18-J18</f>
        <v>190549</v>
      </c>
    </row>
    <row r="19" spans="1:20" ht="17.100000000000001" customHeight="1" x14ac:dyDescent="0.3">
      <c r="A19" s="5" t="s">
        <v>118</v>
      </c>
      <c r="B19" s="161">
        <v>17</v>
      </c>
      <c r="C19" s="161" t="s">
        <v>119</v>
      </c>
      <c r="D19" s="161" t="s">
        <v>116</v>
      </c>
      <c r="E19" s="162"/>
      <c r="F19" s="163">
        <v>6.1</v>
      </c>
      <c r="G19" s="164">
        <v>133304.17000000001</v>
      </c>
      <c r="H19" s="172">
        <f>G19</f>
        <v>133304.17000000001</v>
      </c>
      <c r="I19" s="165"/>
      <c r="J19" s="166">
        <f t="shared" si="0"/>
        <v>0</v>
      </c>
      <c r="K19" s="166">
        <f t="shared" si="1"/>
        <v>0</v>
      </c>
      <c r="L19" s="167">
        <f t="shared" si="2"/>
        <v>0</v>
      </c>
      <c r="M19" s="167">
        <f t="shared" si="3"/>
        <v>141549.45019</v>
      </c>
      <c r="N19" s="168">
        <f t="shared" si="4"/>
        <v>141549.45019</v>
      </c>
      <c r="O19" s="169" t="str">
        <f t="shared" si="5"/>
        <v>$141549,17</v>
      </c>
      <c r="P19" s="170" t="str">
        <f t="shared" si="6"/>
        <v>$145796,17</v>
      </c>
      <c r="Q19" s="43" t="str">
        <f t="shared" si="7"/>
        <v>17</v>
      </c>
      <c r="R19" s="43"/>
    </row>
    <row r="20" spans="1:20" ht="17.100000000000001" customHeight="1" x14ac:dyDescent="0.3">
      <c r="A20" s="5" t="s">
        <v>118</v>
      </c>
      <c r="B20" s="62">
        <v>16</v>
      </c>
      <c r="C20" s="62" t="s">
        <v>120</v>
      </c>
      <c r="D20" s="62" t="s">
        <v>121</v>
      </c>
      <c r="E20" s="63" t="s">
        <v>122</v>
      </c>
      <c r="F20" s="68">
        <v>5</v>
      </c>
      <c r="G20" s="133">
        <v>111117.16</v>
      </c>
      <c r="H20" s="128">
        <v>108000</v>
      </c>
      <c r="I20" s="70"/>
      <c r="J20" s="116">
        <f t="shared" si="0"/>
        <v>3117.1600000000035</v>
      </c>
      <c r="K20" s="71">
        <f t="shared" si="1"/>
        <v>155.85800000000017</v>
      </c>
      <c r="L20" s="72">
        <f t="shared" si="2"/>
        <v>0</v>
      </c>
      <c r="M20" s="72">
        <f t="shared" si="3"/>
        <v>116024.1395</v>
      </c>
      <c r="N20" s="113">
        <f t="shared" si="4"/>
        <v>119297.1575</v>
      </c>
      <c r="O20" s="115" t="str">
        <f t="shared" si="5"/>
        <v>$119297,16</v>
      </c>
      <c r="P20" s="118" t="str">
        <f t="shared" si="6"/>
        <v>$122876,16</v>
      </c>
      <c r="Q20" s="43" t="str">
        <f t="shared" si="7"/>
        <v>16</v>
      </c>
      <c r="S20" t="s">
        <v>137</v>
      </c>
    </row>
    <row r="21" spans="1:20" ht="17.100000000000001" customHeight="1" x14ac:dyDescent="0.3">
      <c r="A21" s="5" t="s">
        <v>123</v>
      </c>
      <c r="B21" s="62">
        <v>15</v>
      </c>
      <c r="C21" s="62" t="s">
        <v>124</v>
      </c>
      <c r="D21" s="62" t="s">
        <v>125</v>
      </c>
      <c r="E21" s="62"/>
      <c r="F21" s="68">
        <v>8.1999999999999993</v>
      </c>
      <c r="G21" s="132">
        <v>179195.15</v>
      </c>
      <c r="H21" s="69">
        <f>G21</f>
        <v>179195.15</v>
      </c>
      <c r="I21" s="70"/>
      <c r="J21" s="116">
        <f t="shared" si="0"/>
        <v>0</v>
      </c>
      <c r="K21" s="71">
        <f t="shared" si="1"/>
        <v>0</v>
      </c>
      <c r="L21" s="72">
        <f t="shared" si="2"/>
        <v>0</v>
      </c>
      <c r="M21" s="72">
        <f t="shared" si="3"/>
        <v>190279.58877999999</v>
      </c>
      <c r="N21" s="113">
        <f t="shared" si="4"/>
        <v>190279.58877999999</v>
      </c>
      <c r="O21" s="115" t="str">
        <f t="shared" si="5"/>
        <v>$190280,15</v>
      </c>
      <c r="P21" s="118" t="str">
        <f t="shared" si="6"/>
        <v>$195988,15</v>
      </c>
      <c r="Q21" s="43" t="str">
        <f t="shared" si="7"/>
        <v>15</v>
      </c>
      <c r="S21" s="42"/>
    </row>
    <row r="22" spans="1:20" ht="17.100000000000001" customHeight="1" x14ac:dyDescent="0.3">
      <c r="A22" s="5" t="s">
        <v>123</v>
      </c>
      <c r="B22" s="62">
        <v>20</v>
      </c>
      <c r="C22" s="62" t="s">
        <v>126</v>
      </c>
      <c r="D22" s="62" t="s">
        <v>127</v>
      </c>
      <c r="E22" s="63"/>
      <c r="F22" s="68">
        <v>6.1</v>
      </c>
      <c r="G22" s="133">
        <v>401097.2</v>
      </c>
      <c r="H22" s="69"/>
      <c r="I22" s="70"/>
      <c r="J22" s="71">
        <f t="shared" si="0"/>
        <v>401097.2</v>
      </c>
      <c r="K22" s="71">
        <f t="shared" si="1"/>
        <v>20054.86</v>
      </c>
      <c r="L22" s="72">
        <f t="shared" si="2"/>
        <v>0</v>
      </c>
      <c r="M22" s="72">
        <f t="shared" si="3"/>
        <v>141549.45019</v>
      </c>
      <c r="N22" s="113">
        <f t="shared" si="4"/>
        <v>562701.51019000006</v>
      </c>
      <c r="O22" s="115" t="str">
        <f t="shared" si="5"/>
        <v>$562702,20</v>
      </c>
      <c r="P22" s="118" t="str">
        <f t="shared" si="6"/>
        <v>$579583,20</v>
      </c>
      <c r="Q22" s="43" t="str">
        <f t="shared" si="7"/>
        <v>20</v>
      </c>
      <c r="T22" t="s">
        <v>128</v>
      </c>
    </row>
    <row r="23" spans="1:20" ht="17.100000000000001" customHeight="1" x14ac:dyDescent="0.3">
      <c r="A23" s="5" t="s">
        <v>129</v>
      </c>
      <c r="B23" s="62">
        <v>19</v>
      </c>
      <c r="C23" s="62" t="s">
        <v>130</v>
      </c>
      <c r="D23" s="62" t="s">
        <v>131</v>
      </c>
      <c r="E23" s="62" t="s">
        <v>139</v>
      </c>
      <c r="F23" s="68">
        <v>5</v>
      </c>
      <c r="G23" s="132">
        <v>109265.19</v>
      </c>
      <c r="H23" s="69">
        <f>G23</f>
        <v>109265.19</v>
      </c>
      <c r="I23" s="70"/>
      <c r="J23" s="71">
        <f t="shared" si="0"/>
        <v>0</v>
      </c>
      <c r="K23" s="71">
        <f t="shared" si="1"/>
        <v>0</v>
      </c>
      <c r="L23" s="72">
        <f t="shared" si="2"/>
        <v>0</v>
      </c>
      <c r="M23" s="72">
        <f t="shared" si="3"/>
        <v>116024.1395</v>
      </c>
      <c r="N23" s="113">
        <f t="shared" si="4"/>
        <v>116024.1395</v>
      </c>
      <c r="O23" s="115" t="str">
        <f t="shared" si="5"/>
        <v>$116024,19</v>
      </c>
      <c r="P23" s="118" t="str">
        <f t="shared" si="6"/>
        <v>$119505,19</v>
      </c>
      <c r="Q23" s="43" t="str">
        <f t="shared" si="7"/>
        <v>19</v>
      </c>
      <c r="S23" t="s">
        <v>140</v>
      </c>
    </row>
    <row r="24" spans="1:20" ht="17.100000000000001" customHeight="1" thickBot="1" x14ac:dyDescent="0.35">
      <c r="A24" s="5" t="s">
        <v>129</v>
      </c>
      <c r="B24" s="62">
        <v>18</v>
      </c>
      <c r="C24" s="62" t="s">
        <v>132</v>
      </c>
      <c r="D24" s="150" t="s">
        <v>133</v>
      </c>
      <c r="E24" s="63"/>
      <c r="F24" s="68">
        <v>8.1999999999999993</v>
      </c>
      <c r="G24" s="132">
        <v>179195.18</v>
      </c>
      <c r="H24" s="69">
        <f>G24</f>
        <v>179195.18</v>
      </c>
      <c r="I24" s="70"/>
      <c r="J24" s="71">
        <f t="shared" si="0"/>
        <v>0</v>
      </c>
      <c r="K24" s="71">
        <f t="shared" si="1"/>
        <v>0</v>
      </c>
      <c r="L24" s="72">
        <f t="shared" si="2"/>
        <v>0</v>
      </c>
      <c r="M24" s="72">
        <f t="shared" si="3"/>
        <v>190279.58877999999</v>
      </c>
      <c r="N24" s="113">
        <f t="shared" si="4"/>
        <v>190279.58877999999</v>
      </c>
      <c r="O24" s="115" t="str">
        <f t="shared" si="5"/>
        <v>$190280,18</v>
      </c>
      <c r="P24" s="118" t="str">
        <f t="shared" si="6"/>
        <v>$195988,18</v>
      </c>
      <c r="Q24" s="43" t="str">
        <f t="shared" si="7"/>
        <v>18</v>
      </c>
      <c r="T24" t="s">
        <v>134</v>
      </c>
    </row>
    <row r="25" spans="1:20" ht="17.100000000000001" customHeight="1" thickBot="1" x14ac:dyDescent="0.35">
      <c r="B25" s="73"/>
      <c r="C25" s="74"/>
      <c r="D25" s="75"/>
      <c r="E25" s="75"/>
      <c r="F25" s="76">
        <f t="shared" ref="F25:M25" si="9">SUM(F6:F24)</f>
        <v>99.999999999999986</v>
      </c>
      <c r="G25" s="54">
        <f t="shared" si="9"/>
        <v>3081305.9000000004</v>
      </c>
      <c r="H25" s="60">
        <f t="shared" si="9"/>
        <v>2595321.7399999998</v>
      </c>
      <c r="I25" s="54">
        <f t="shared" si="9"/>
        <v>0</v>
      </c>
      <c r="J25" s="60">
        <f t="shared" si="9"/>
        <v>485984.16000000003</v>
      </c>
      <c r="K25" s="60">
        <f t="shared" si="9"/>
        <v>24423.149000000001</v>
      </c>
      <c r="L25" s="60">
        <f t="shared" si="9"/>
        <v>0</v>
      </c>
      <c r="M25" s="60">
        <f t="shared" si="9"/>
        <v>2320482.7899999996</v>
      </c>
      <c r="N25" s="114"/>
      <c r="O25" s="77">
        <f>SUM(O6:O24)</f>
        <v>0</v>
      </c>
      <c r="P25" s="77">
        <f>SUM(P6:P24)</f>
        <v>0</v>
      </c>
    </row>
    <row r="26" spans="1:20" ht="12.75" customHeight="1" x14ac:dyDescent="0.3">
      <c r="D26" s="51"/>
      <c r="E26" s="51"/>
      <c r="R26" s="104"/>
    </row>
    <row r="27" spans="1:20" hidden="1" x14ac:dyDescent="0.3"/>
    <row r="28" spans="1:20" ht="9" customHeight="1" x14ac:dyDescent="0.3">
      <c r="D28" s="182" t="s">
        <v>135</v>
      </c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</row>
    <row r="29" spans="1:20" ht="12" hidden="1" customHeight="1" x14ac:dyDescent="0.3"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</row>
    <row r="30" spans="1:20" ht="12" hidden="1" customHeight="1" x14ac:dyDescent="0.3"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</row>
    <row r="31" spans="1:20" ht="12" hidden="1" customHeight="1" x14ac:dyDescent="0.3"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</row>
    <row r="32" spans="1:20" ht="12" hidden="1" customHeight="1" x14ac:dyDescent="0.3"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</row>
    <row r="33" spans="4:21" ht="65.25" customHeight="1" x14ac:dyDescent="0.3"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R33" s="104"/>
      <c r="S33" s="104"/>
      <c r="T33" s="104"/>
      <c r="U33" s="104"/>
    </row>
  </sheetData>
  <mergeCells count="19"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  <mergeCell ref="D28:O33"/>
    <mergeCell ref="C4:C5"/>
    <mergeCell ref="E4:E5"/>
    <mergeCell ref="F1:O1"/>
    <mergeCell ref="D4:D5"/>
    <mergeCell ref="J4:J5"/>
    <mergeCell ref="L4:L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2026-02-08T18:05:49Z</cp:lastPrinted>
  <dcterms:created xsi:type="dcterms:W3CDTF">2023-09-17T12:29:07Z</dcterms:created>
  <dcterms:modified xsi:type="dcterms:W3CDTF">2026-02-18T14:23:37Z</dcterms:modified>
</cp:coreProperties>
</file>