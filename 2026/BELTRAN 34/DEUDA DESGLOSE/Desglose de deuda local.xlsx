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DEUDA DESGLOSE\"/>
    </mc:Choice>
  </mc:AlternateContent>
  <xr:revisionPtr revIDLastSave="0" documentId="13_ncr:1_{153F5591-65EA-4E75-B7DA-23D2F4792431}" xr6:coauthVersionLast="47" xr6:coauthVersionMax="47" xr10:uidLastSave="{00000000-0000-0000-0000-000000000000}"/>
  <bookViews>
    <workbookView xWindow="-108" yWindow="-108" windowWidth="23256" windowHeight="12576" xr2:uid="{40F7CB68-AA62-4B90-B02B-2F8168283C84}"/>
  </bookViews>
  <sheets>
    <sheet name="Hoja1" sheetId="1" r:id="rId1"/>
  </sheets>
  <definedNames>
    <definedName name="_xlnm.Print_Area" localSheetId="0">Hoja1!$E$4:$K$95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9" i="1" l="1"/>
  <c r="G95" i="1" s="1"/>
  <c r="K83" i="1"/>
  <c r="K79" i="1"/>
  <c r="K75" i="1"/>
  <c r="F71" i="1"/>
  <c r="K67" i="1"/>
  <c r="K63" i="1"/>
  <c r="K71" i="1" l="1"/>
  <c r="K55" i="1"/>
  <c r="K59" i="1" l="1"/>
  <c r="K51" i="1"/>
  <c r="K47" i="1"/>
  <c r="K43" i="1"/>
  <c r="K39" i="1"/>
  <c r="K35" i="1"/>
  <c r="K31" i="1"/>
  <c r="K27" i="1"/>
  <c r="K23" i="1"/>
  <c r="K19" i="1"/>
  <c r="K15" i="1"/>
  <c r="K11" i="1"/>
  <c r="K7" i="1"/>
  <c r="E11" i="1"/>
  <c r="E15" i="1" s="1"/>
  <c r="E19" i="1" s="1"/>
  <c r="E23" i="1" s="1"/>
  <c r="E27" i="1" s="1"/>
  <c r="E31" i="1" s="1"/>
  <c r="E35" i="1" s="1"/>
  <c r="E39" i="1" s="1"/>
  <c r="E43" i="1" s="1"/>
  <c r="E47" i="1" s="1"/>
  <c r="E51" i="1" s="1"/>
  <c r="E55" i="1" s="1"/>
  <c r="E59" i="1" s="1"/>
  <c r="E63" i="1" s="1"/>
  <c r="E67" i="1" s="1"/>
  <c r="E71" i="1" s="1"/>
  <c r="E75" i="1" s="1"/>
  <c r="E79" i="1" s="1"/>
  <c r="E83" i="1" s="1"/>
</calcChain>
</file>

<file path=xl/sharedStrings.xml><?xml version="1.0" encoding="utf-8"?>
<sst xmlns="http://schemas.openxmlformats.org/spreadsheetml/2006/main" count="84" uniqueCount="8">
  <si>
    <t>DESGLOSE DEUDA - UF 1 - Local 1/ Entrep. - BELTRAN 34</t>
  </si>
  <si>
    <t>Mes - Año:</t>
  </si>
  <si>
    <t>Expensa ordinaria</t>
  </si>
  <si>
    <t>Expensas Extraord.</t>
  </si>
  <si>
    <t>Interes</t>
  </si>
  <si>
    <t>TOTAL:</t>
  </si>
  <si>
    <t>Intereses punitorios (Cláusula Décima) al 15/09/2026</t>
  </si>
  <si>
    <t>Capital (expensas ordinarias y extraordinarias)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</si>
</sst>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7" fontId="0" fillId="0" borderId="0" xfId="0" applyNumberFormat="1"/>
    <xf numFmtId="0" fontId="0" fillId="3" borderId="0" xfId="0" applyFill="1"/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0" borderId="0" xfId="0" applyNumberFormat="1" applyAlignment="1"/>
    <xf numFmtId="44" fontId="0" fillId="0" borderId="0" xfId="0" applyNumberFormat="1" applyAlignment="1">
      <alignment horizontal="center"/>
    </xf>
    <xf numFmtId="0" fontId="0" fillId="0" borderId="0" xfId="0" applyAlignment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44" fontId="3" fillId="4" borderId="4" xfId="0" applyNumberFormat="1" applyFont="1" applyFill="1" applyBorder="1" applyAlignment="1">
      <alignment horizontal="center"/>
    </xf>
    <xf numFmtId="44" fontId="3" fillId="4" borderId="5" xfId="0" applyNumberFormat="1" applyFont="1" applyFill="1" applyBorder="1" applyAlignment="1">
      <alignment horizontal="center"/>
    </xf>
    <xf numFmtId="44" fontId="3" fillId="4" borderId="6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868C-F56B-4272-A7E5-AB78808DF362}">
  <dimension ref="C4:K95"/>
  <sheetViews>
    <sheetView tabSelected="1" workbookViewId="0">
      <selection activeCell="L86" sqref="L86"/>
    </sheetView>
  </sheetViews>
  <sheetFormatPr baseColWidth="10" defaultRowHeight="14.4" x14ac:dyDescent="0.3"/>
  <cols>
    <col min="2" max="2" width="4.5546875" customWidth="1"/>
    <col min="3" max="4" width="11.5546875" hidden="1" customWidth="1"/>
    <col min="5" max="5" width="12.77734375" bestFit="1" customWidth="1"/>
    <col min="7" max="7" width="12.77734375" bestFit="1" customWidth="1"/>
    <col min="11" max="11" width="12.77734375" bestFit="1" customWidth="1"/>
  </cols>
  <sheetData>
    <row r="4" spans="5:11" x14ac:dyDescent="0.3">
      <c r="E4" s="9" t="s">
        <v>0</v>
      </c>
      <c r="F4" s="9"/>
      <c r="G4" s="9"/>
      <c r="H4" s="9"/>
      <c r="I4" s="9"/>
      <c r="J4" s="9"/>
      <c r="K4" s="9"/>
    </row>
    <row r="6" spans="5:11" x14ac:dyDescent="0.3">
      <c r="E6" t="s">
        <v>1</v>
      </c>
      <c r="F6" s="7" t="s">
        <v>2</v>
      </c>
      <c r="G6" s="7"/>
      <c r="H6" s="7" t="s">
        <v>3</v>
      </c>
      <c r="I6" s="7"/>
      <c r="K6" t="s">
        <v>4</v>
      </c>
    </row>
    <row r="7" spans="5:11" x14ac:dyDescent="0.3">
      <c r="E7" s="1">
        <v>45658</v>
      </c>
      <c r="F7" s="6">
        <v>43440</v>
      </c>
      <c r="G7" s="6"/>
      <c r="H7" s="6">
        <v>23892</v>
      </c>
      <c r="I7" s="6"/>
      <c r="K7" s="3">
        <f>(F7+H7)*3%</f>
        <v>2019.96</v>
      </c>
    </row>
    <row r="10" spans="5:11" x14ac:dyDescent="0.3">
      <c r="E10" t="s">
        <v>1</v>
      </c>
      <c r="F10" s="7" t="s">
        <v>2</v>
      </c>
      <c r="G10" s="7"/>
      <c r="H10" s="7" t="s">
        <v>3</v>
      </c>
      <c r="I10" s="7"/>
      <c r="K10" t="s">
        <v>4</v>
      </c>
    </row>
    <row r="11" spans="5:11" x14ac:dyDescent="0.3">
      <c r="E11" s="1">
        <f>E7+31</f>
        <v>45689</v>
      </c>
      <c r="F11" s="6">
        <v>54300</v>
      </c>
      <c r="G11" s="6"/>
      <c r="H11" s="6">
        <v>23892</v>
      </c>
      <c r="I11" s="6"/>
      <c r="K11" s="3">
        <f>(F11+H11)*3%</f>
        <v>2345.7599999999998</v>
      </c>
    </row>
    <row r="14" spans="5:11" x14ac:dyDescent="0.3">
      <c r="E14" t="s">
        <v>1</v>
      </c>
      <c r="F14" s="7" t="s">
        <v>2</v>
      </c>
      <c r="G14" s="7"/>
      <c r="H14" s="7" t="s">
        <v>3</v>
      </c>
      <c r="I14" s="7"/>
      <c r="K14" t="s">
        <v>4</v>
      </c>
    </row>
    <row r="15" spans="5:11" x14ac:dyDescent="0.3">
      <c r="E15" s="1">
        <f>E11+31</f>
        <v>45720</v>
      </c>
      <c r="F15" s="6">
        <v>70590</v>
      </c>
      <c r="G15" s="6"/>
      <c r="H15" s="6">
        <v>23892</v>
      </c>
      <c r="I15" s="6"/>
      <c r="K15" s="3">
        <f>(F15+H15)*3%</f>
        <v>2834.46</v>
      </c>
    </row>
    <row r="18" spans="5:11" x14ac:dyDescent="0.3">
      <c r="E18" t="s">
        <v>1</v>
      </c>
      <c r="F18" s="7" t="s">
        <v>2</v>
      </c>
      <c r="G18" s="7"/>
      <c r="H18" s="7" t="s">
        <v>3</v>
      </c>
      <c r="I18" s="7"/>
      <c r="K18" t="s">
        <v>4</v>
      </c>
    </row>
    <row r="19" spans="5:11" x14ac:dyDescent="0.3">
      <c r="E19" s="1">
        <f>E15+31</f>
        <v>45751</v>
      </c>
      <c r="F19" s="6">
        <v>86880</v>
      </c>
      <c r="G19" s="6"/>
      <c r="H19" s="7"/>
      <c r="I19" s="7"/>
      <c r="K19" s="3">
        <f>(F19+H19)*3%</f>
        <v>2606.4</v>
      </c>
    </row>
    <row r="22" spans="5:11" x14ac:dyDescent="0.3">
      <c r="E22" t="s">
        <v>1</v>
      </c>
      <c r="F22" s="7" t="s">
        <v>2</v>
      </c>
      <c r="G22" s="7"/>
      <c r="H22" s="7" t="s">
        <v>3</v>
      </c>
      <c r="I22" s="7"/>
      <c r="K22" t="s">
        <v>4</v>
      </c>
    </row>
    <row r="23" spans="5:11" x14ac:dyDescent="0.3">
      <c r="E23" s="1">
        <f>E19+31</f>
        <v>45782</v>
      </c>
      <c r="F23" s="6">
        <v>86880</v>
      </c>
      <c r="G23" s="6"/>
      <c r="H23" s="7"/>
      <c r="I23" s="7"/>
      <c r="K23" s="3">
        <f>(F23+H23)*3%</f>
        <v>2606.4</v>
      </c>
    </row>
    <row r="26" spans="5:11" x14ac:dyDescent="0.3">
      <c r="E26" t="s">
        <v>1</v>
      </c>
      <c r="F26" s="8" t="s">
        <v>2</v>
      </c>
      <c r="G26" s="8"/>
      <c r="H26" s="8" t="s">
        <v>3</v>
      </c>
      <c r="I26" s="8"/>
      <c r="K26" t="s">
        <v>4</v>
      </c>
    </row>
    <row r="27" spans="5:11" x14ac:dyDescent="0.3">
      <c r="E27" s="1">
        <f>E23+31</f>
        <v>45813</v>
      </c>
      <c r="F27" s="10">
        <v>97740</v>
      </c>
      <c r="G27" s="10"/>
      <c r="H27" s="8"/>
      <c r="I27" s="8"/>
      <c r="K27" s="3">
        <f>(F27+H27)*3%</f>
        <v>2932.2</v>
      </c>
    </row>
    <row r="30" spans="5:11" x14ac:dyDescent="0.3">
      <c r="E30" t="s">
        <v>1</v>
      </c>
      <c r="F30" s="7" t="s">
        <v>2</v>
      </c>
      <c r="G30" s="7"/>
      <c r="H30" s="7" t="s">
        <v>3</v>
      </c>
      <c r="I30" s="7"/>
      <c r="K30" t="s">
        <v>4</v>
      </c>
    </row>
    <row r="31" spans="5:11" x14ac:dyDescent="0.3">
      <c r="E31" s="1">
        <f>E27+31</f>
        <v>45844</v>
      </c>
      <c r="F31" s="6">
        <v>55903.81</v>
      </c>
      <c r="G31" s="6"/>
      <c r="H31" s="7"/>
      <c r="I31" s="7"/>
      <c r="K31" s="3">
        <f>(F31+H31)*3%</f>
        <v>1677.1143</v>
      </c>
    </row>
    <row r="33" spans="5:11" x14ac:dyDescent="0.3">
      <c r="F33" s="2"/>
      <c r="G33" s="2"/>
      <c r="H33" s="2"/>
      <c r="I33" s="2"/>
    </row>
    <row r="34" spans="5:11" x14ac:dyDescent="0.3">
      <c r="E34" t="s">
        <v>1</v>
      </c>
      <c r="F34" s="8" t="s">
        <v>2</v>
      </c>
      <c r="G34" s="8"/>
      <c r="H34" s="8" t="s">
        <v>3</v>
      </c>
      <c r="I34" s="8"/>
      <c r="K34" t="s">
        <v>4</v>
      </c>
    </row>
    <row r="35" spans="5:11" x14ac:dyDescent="0.3">
      <c r="E35" s="1">
        <f>E31+31</f>
        <v>45875</v>
      </c>
      <c r="F35" s="10">
        <v>124890</v>
      </c>
      <c r="G35" s="10"/>
      <c r="H35" s="8"/>
      <c r="I35" s="8"/>
      <c r="K35" s="3">
        <f>(F35+H35)*3%</f>
        <v>3746.7</v>
      </c>
    </row>
    <row r="38" spans="5:11" x14ac:dyDescent="0.3">
      <c r="E38" t="s">
        <v>1</v>
      </c>
      <c r="F38" s="8" t="s">
        <v>2</v>
      </c>
      <c r="G38" s="8"/>
      <c r="H38" s="8" t="s">
        <v>3</v>
      </c>
      <c r="I38" s="8"/>
      <c r="K38" t="s">
        <v>4</v>
      </c>
    </row>
    <row r="39" spans="5:11" x14ac:dyDescent="0.3">
      <c r="E39" s="1">
        <f>E35+31</f>
        <v>45906</v>
      </c>
      <c r="F39" s="10"/>
      <c r="G39" s="10"/>
      <c r="H39" s="8"/>
      <c r="I39" s="8"/>
      <c r="K39" s="3">
        <f>(F39+H39)*3%</f>
        <v>0</v>
      </c>
    </row>
    <row r="42" spans="5:11" x14ac:dyDescent="0.3">
      <c r="E42" t="s">
        <v>1</v>
      </c>
      <c r="F42" s="7" t="s">
        <v>2</v>
      </c>
      <c r="G42" s="7"/>
      <c r="H42" s="7" t="s">
        <v>3</v>
      </c>
      <c r="I42" s="7"/>
      <c r="K42" t="s">
        <v>4</v>
      </c>
    </row>
    <row r="43" spans="5:11" x14ac:dyDescent="0.3">
      <c r="E43" s="1">
        <f>E39+31</f>
        <v>45937</v>
      </c>
      <c r="F43" s="6">
        <v>106428</v>
      </c>
      <c r="G43" s="6"/>
      <c r="H43" s="7"/>
      <c r="I43" s="7"/>
      <c r="K43" s="3">
        <f>(F43+H43)*3%</f>
        <v>3192.8399999999997</v>
      </c>
    </row>
    <row r="46" spans="5:11" x14ac:dyDescent="0.3">
      <c r="E46" t="s">
        <v>1</v>
      </c>
      <c r="F46" s="7" t="s">
        <v>2</v>
      </c>
      <c r="G46" s="7"/>
      <c r="H46" s="7" t="s">
        <v>3</v>
      </c>
      <c r="I46" s="7"/>
      <c r="K46" t="s">
        <v>4</v>
      </c>
    </row>
    <row r="47" spans="5:11" x14ac:dyDescent="0.3">
      <c r="E47" s="1">
        <f>E43+31</f>
        <v>45968</v>
      </c>
      <c r="F47" s="6">
        <v>157470</v>
      </c>
      <c r="G47" s="6"/>
      <c r="H47" s="7"/>
      <c r="I47" s="7"/>
      <c r="K47" s="3">
        <f>(F47+H47)*3%</f>
        <v>4724.0999999999995</v>
      </c>
    </row>
    <row r="50" spans="5:11" x14ac:dyDescent="0.3">
      <c r="E50" t="s">
        <v>1</v>
      </c>
      <c r="F50" s="7" t="s">
        <v>2</v>
      </c>
      <c r="G50" s="7"/>
      <c r="H50" s="7" t="s">
        <v>3</v>
      </c>
      <c r="I50" s="7"/>
      <c r="K50" t="s">
        <v>4</v>
      </c>
    </row>
    <row r="51" spans="5:11" x14ac:dyDescent="0.3">
      <c r="E51" s="1">
        <f>E47+31</f>
        <v>45999</v>
      </c>
      <c r="F51" s="6">
        <v>195480</v>
      </c>
      <c r="G51" s="6"/>
      <c r="H51" s="7"/>
      <c r="I51" s="7"/>
      <c r="K51" s="3">
        <f>(F51+H51)*3%</f>
        <v>5864.4</v>
      </c>
    </row>
    <row r="54" spans="5:11" x14ac:dyDescent="0.3">
      <c r="E54" t="s">
        <v>1</v>
      </c>
      <c r="F54" s="7" t="s">
        <v>2</v>
      </c>
      <c r="G54" s="7"/>
      <c r="H54" s="7" t="s">
        <v>3</v>
      </c>
      <c r="I54" s="7"/>
      <c r="K54" t="s">
        <v>4</v>
      </c>
    </row>
    <row r="55" spans="5:11" x14ac:dyDescent="0.3">
      <c r="E55" s="1">
        <f>E51+31</f>
        <v>46030</v>
      </c>
      <c r="F55" s="6">
        <v>152730.859986</v>
      </c>
      <c r="G55" s="6"/>
      <c r="H55" s="6">
        <v>1194.5999999999999</v>
      </c>
      <c r="I55" s="6"/>
      <c r="K55" s="3">
        <f>(F55+H55)*3%</f>
        <v>4617.7637995799996</v>
      </c>
    </row>
    <row r="56" spans="5:11" x14ac:dyDescent="0.3">
      <c r="E56" s="1"/>
      <c r="F56" s="5"/>
      <c r="G56" s="5"/>
      <c r="H56" s="4"/>
      <c r="I56" s="4"/>
      <c r="K56" s="3"/>
    </row>
    <row r="57" spans="5:11" x14ac:dyDescent="0.3">
      <c r="E57" s="1"/>
      <c r="F57" s="5"/>
      <c r="G57" s="5"/>
      <c r="H57" s="4"/>
      <c r="I57" s="4"/>
      <c r="K57" s="3"/>
    </row>
    <row r="58" spans="5:11" x14ac:dyDescent="0.3">
      <c r="E58" t="s">
        <v>1</v>
      </c>
      <c r="F58" s="7" t="s">
        <v>2</v>
      </c>
      <c r="G58" s="7"/>
      <c r="H58" s="7" t="s">
        <v>3</v>
      </c>
      <c r="I58" s="7"/>
      <c r="K58" t="s">
        <v>4</v>
      </c>
    </row>
    <row r="59" spans="5:11" x14ac:dyDescent="0.3">
      <c r="E59" s="1">
        <f>E55+31</f>
        <v>46061</v>
      </c>
      <c r="F59" s="6">
        <v>184619.99999999997</v>
      </c>
      <c r="G59" s="6"/>
      <c r="H59" s="6">
        <v>2280.6</v>
      </c>
      <c r="I59" s="6"/>
      <c r="K59" s="3">
        <f>(F59+H59)*3%</f>
        <v>5607.0179999999991</v>
      </c>
    </row>
    <row r="60" spans="5:11" x14ac:dyDescent="0.3">
      <c r="E60" s="1"/>
      <c r="F60" s="5"/>
      <c r="G60" s="5"/>
      <c r="H60" s="4"/>
      <c r="I60" s="4"/>
      <c r="K60" s="3"/>
    </row>
    <row r="61" spans="5:11" x14ac:dyDescent="0.3">
      <c r="E61" s="1"/>
      <c r="F61" s="5"/>
      <c r="G61" s="5"/>
      <c r="H61" s="4"/>
      <c r="I61" s="4"/>
      <c r="K61" s="3"/>
    </row>
    <row r="62" spans="5:11" x14ac:dyDescent="0.3">
      <c r="E62" t="s">
        <v>1</v>
      </c>
      <c r="F62" s="7" t="s">
        <v>2</v>
      </c>
      <c r="G62" s="7"/>
      <c r="H62" s="7" t="s">
        <v>3</v>
      </c>
      <c r="I62" s="7"/>
      <c r="K62" t="s">
        <v>4</v>
      </c>
    </row>
    <row r="63" spans="5:11" x14ac:dyDescent="0.3">
      <c r="E63" s="1">
        <f>E59+31</f>
        <v>46092</v>
      </c>
      <c r="F63" s="6">
        <v>212312.99999999997</v>
      </c>
      <c r="G63" s="6"/>
      <c r="H63" s="6">
        <v>3257.9999999999995</v>
      </c>
      <c r="I63" s="6"/>
      <c r="K63" s="3">
        <f>(F63+H63)*3%</f>
        <v>6467.1299999999992</v>
      </c>
    </row>
    <row r="64" spans="5:11" x14ac:dyDescent="0.3">
      <c r="E64" s="1"/>
      <c r="F64" s="5"/>
      <c r="G64" s="5"/>
      <c r="H64" s="5"/>
      <c r="I64" s="5"/>
      <c r="K64" s="3"/>
    </row>
    <row r="65" spans="5:11" x14ac:dyDescent="0.3">
      <c r="E65" s="1"/>
      <c r="F65" s="5"/>
      <c r="G65" s="5"/>
      <c r="H65" s="5"/>
      <c r="I65" s="5"/>
      <c r="K65" s="3"/>
    </row>
    <row r="66" spans="5:11" x14ac:dyDescent="0.3">
      <c r="E66" t="s">
        <v>1</v>
      </c>
      <c r="F66" s="7" t="s">
        <v>2</v>
      </c>
      <c r="G66" s="7"/>
      <c r="H66" s="7" t="s">
        <v>3</v>
      </c>
      <c r="I66" s="7"/>
      <c r="K66" t="s">
        <v>4</v>
      </c>
    </row>
    <row r="67" spans="5:11" x14ac:dyDescent="0.3">
      <c r="E67" s="1">
        <f>E63+31</f>
        <v>46123</v>
      </c>
      <c r="F67" s="6">
        <v>212313</v>
      </c>
      <c r="G67" s="6"/>
      <c r="H67" s="6">
        <v>0</v>
      </c>
      <c r="I67" s="6"/>
      <c r="K67" s="3">
        <f>(F67+H67)*3%</f>
        <v>6369.3899999999994</v>
      </c>
    </row>
    <row r="68" spans="5:11" x14ac:dyDescent="0.3">
      <c r="E68" s="1"/>
      <c r="F68" s="5"/>
      <c r="G68" s="5"/>
      <c r="H68" s="5"/>
      <c r="I68" s="5"/>
      <c r="K68" s="3"/>
    </row>
    <row r="69" spans="5:11" x14ac:dyDescent="0.3">
      <c r="E69" s="1"/>
      <c r="F69" s="5"/>
      <c r="G69" s="5"/>
      <c r="H69" s="5"/>
      <c r="I69" s="5"/>
      <c r="K69" s="3"/>
    </row>
    <row r="70" spans="5:11" x14ac:dyDescent="0.3">
      <c r="E70" t="s">
        <v>1</v>
      </c>
      <c r="F70" s="7" t="s">
        <v>2</v>
      </c>
      <c r="G70" s="7"/>
      <c r="H70" s="7" t="s">
        <v>3</v>
      </c>
      <c r="I70" s="7"/>
      <c r="K70" t="s">
        <v>4</v>
      </c>
    </row>
    <row r="71" spans="5:11" x14ac:dyDescent="0.3">
      <c r="E71" s="1">
        <f>E67+31</f>
        <v>46154</v>
      </c>
      <c r="F71" s="6">
        <f>F67</f>
        <v>212313</v>
      </c>
      <c r="G71" s="6"/>
      <c r="H71" s="6">
        <v>61359</v>
      </c>
      <c r="I71" s="6"/>
      <c r="K71" s="3">
        <f>(F71+H71)*3%</f>
        <v>8210.16</v>
      </c>
    </row>
    <row r="72" spans="5:11" x14ac:dyDescent="0.3">
      <c r="E72" s="1"/>
      <c r="F72" s="5"/>
      <c r="G72" s="5"/>
      <c r="H72" s="5"/>
      <c r="I72" s="5"/>
      <c r="K72" s="3"/>
    </row>
    <row r="73" spans="5:11" x14ac:dyDescent="0.3">
      <c r="E73" s="1"/>
      <c r="F73" s="5"/>
      <c r="G73" s="5"/>
      <c r="H73" s="5"/>
      <c r="I73" s="5"/>
      <c r="K73" s="3"/>
    </row>
    <row r="74" spans="5:11" x14ac:dyDescent="0.3">
      <c r="E74" t="s">
        <v>1</v>
      </c>
      <c r="F74" s="7" t="s">
        <v>2</v>
      </c>
      <c r="G74" s="7"/>
      <c r="H74" s="7" t="s">
        <v>3</v>
      </c>
      <c r="I74" s="7"/>
      <c r="K74" t="s">
        <v>4</v>
      </c>
    </row>
    <row r="75" spans="5:11" x14ac:dyDescent="0.3">
      <c r="E75" s="1">
        <f>E71+31</f>
        <v>46185</v>
      </c>
      <c r="F75" s="6">
        <v>178848</v>
      </c>
      <c r="G75" s="6"/>
      <c r="H75" s="6">
        <v>148000</v>
      </c>
      <c r="I75" s="6"/>
      <c r="K75" s="3">
        <f>(F75+H75)*3%</f>
        <v>9805.44</v>
      </c>
    </row>
    <row r="76" spans="5:11" x14ac:dyDescent="0.3">
      <c r="E76" s="1"/>
      <c r="F76" s="5"/>
      <c r="G76" s="5"/>
      <c r="H76" s="5"/>
      <c r="I76" s="5"/>
      <c r="K76" s="3"/>
    </row>
    <row r="77" spans="5:11" x14ac:dyDescent="0.3">
      <c r="E77" s="1"/>
      <c r="F77" s="5"/>
      <c r="G77" s="5"/>
      <c r="H77" s="5"/>
      <c r="I77" s="5"/>
      <c r="K77" s="3"/>
    </row>
    <row r="78" spans="5:11" x14ac:dyDescent="0.3">
      <c r="E78" t="s">
        <v>1</v>
      </c>
      <c r="F78" s="7" t="s">
        <v>2</v>
      </c>
      <c r="G78" s="7"/>
      <c r="H78" s="7" t="s">
        <v>3</v>
      </c>
      <c r="I78" s="7"/>
      <c r="K78" t="s">
        <v>4</v>
      </c>
    </row>
    <row r="79" spans="5:11" x14ac:dyDescent="0.3">
      <c r="E79" s="1">
        <f>E75+31</f>
        <v>46216</v>
      </c>
      <c r="F79" s="6">
        <v>178848</v>
      </c>
      <c r="G79" s="6"/>
      <c r="H79" s="6">
        <v>75000</v>
      </c>
      <c r="I79" s="6"/>
      <c r="K79" s="3">
        <f>(F79+H79)*3%</f>
        <v>7615.44</v>
      </c>
    </row>
    <row r="80" spans="5:11" x14ac:dyDescent="0.3">
      <c r="E80" s="1"/>
      <c r="F80" s="5"/>
      <c r="G80" s="5"/>
      <c r="H80" s="5"/>
      <c r="I80" s="5"/>
      <c r="K80" s="3"/>
    </row>
    <row r="81" spans="5:11" x14ac:dyDescent="0.3">
      <c r="E81" s="1"/>
      <c r="F81" s="5"/>
      <c r="G81" s="5"/>
      <c r="H81" s="5"/>
      <c r="I81" s="5"/>
      <c r="K81" s="3"/>
    </row>
    <row r="82" spans="5:11" x14ac:dyDescent="0.3">
      <c r="E82" t="s">
        <v>1</v>
      </c>
      <c r="F82" s="7" t="s">
        <v>2</v>
      </c>
      <c r="G82" s="7"/>
      <c r="H82" s="7" t="s">
        <v>3</v>
      </c>
      <c r="I82" s="7"/>
      <c r="K82" t="s">
        <v>4</v>
      </c>
    </row>
    <row r="83" spans="5:11" x14ac:dyDescent="0.3">
      <c r="E83" s="1">
        <f>E79+31</f>
        <v>46247</v>
      </c>
      <c r="F83" s="6">
        <v>163831.62075599999</v>
      </c>
      <c r="G83" s="6"/>
      <c r="H83" s="6">
        <v>75000</v>
      </c>
      <c r="I83" s="6"/>
      <c r="K83" s="3">
        <f>(F83+H83)*3%</f>
        <v>7164.9486226799991</v>
      </c>
    </row>
    <row r="84" spans="5:11" x14ac:dyDescent="0.3">
      <c r="E84" s="1"/>
      <c r="F84" s="5"/>
      <c r="G84" s="5"/>
      <c r="H84" s="5"/>
      <c r="I84" s="5"/>
      <c r="K84" s="3"/>
    </row>
    <row r="85" spans="5:11" x14ac:dyDescent="0.3">
      <c r="E85" s="1"/>
      <c r="F85" s="5"/>
      <c r="G85" s="5"/>
      <c r="H85" s="5"/>
      <c r="I85" s="5"/>
      <c r="K85" s="3"/>
    </row>
    <row r="86" spans="5:11" x14ac:dyDescent="0.3">
      <c r="E86" s="1"/>
      <c r="F86" s="5"/>
      <c r="G86" s="5"/>
      <c r="H86" s="5"/>
      <c r="I86" s="5"/>
      <c r="K86" s="3"/>
    </row>
    <row r="87" spans="5:11" x14ac:dyDescent="0.3">
      <c r="E87" s="1"/>
      <c r="F87" s="5"/>
      <c r="G87" s="5"/>
      <c r="H87" s="5"/>
      <c r="I87" s="5"/>
      <c r="K87" s="3"/>
    </row>
    <row r="88" spans="5:11" ht="13.8" customHeight="1" x14ac:dyDescent="0.3"/>
    <row r="89" spans="5:11" x14ac:dyDescent="0.3">
      <c r="E89" t="s">
        <v>7</v>
      </c>
      <c r="H89" s="11"/>
      <c r="I89" s="12">
        <f>F7+H7+H11+F11+F15+H15+H19+F19+F23+H23+H27+F27+F31+H35+F35+H32+H31+H39+F39+F43+H43+H47+F47+F51+H51+F55+H55+F59+H59+F63+H63+F67+H67+F71+H71+F75+F79+H79+H75+F83+H83</f>
        <v>3013587.4907420003</v>
      </c>
      <c r="J89" s="7"/>
      <c r="K89" s="13"/>
    </row>
    <row r="91" spans="5:11" x14ac:dyDescent="0.3">
      <c r="E91" t="s">
        <v>6</v>
      </c>
      <c r="I91" s="6">
        <v>639779.91</v>
      </c>
      <c r="J91" s="6"/>
    </row>
    <row r="93" spans="5:11" ht="15" thickBot="1" x14ac:dyDescent="0.35"/>
    <row r="94" spans="5:11" x14ac:dyDescent="0.3">
      <c r="G94" s="14" t="s">
        <v>5</v>
      </c>
      <c r="H94" s="15"/>
      <c r="I94" s="16"/>
    </row>
    <row r="95" spans="5:11" ht="15" thickBot="1" x14ac:dyDescent="0.35">
      <c r="G95" s="17">
        <f>+I89+I91</f>
        <v>3653367.4007420004</v>
      </c>
      <c r="H95" s="18"/>
      <c r="I95" s="19"/>
    </row>
  </sheetData>
  <mergeCells count="85">
    <mergeCell ref="I91:J91"/>
    <mergeCell ref="I89:J89"/>
    <mergeCell ref="G94:I94"/>
    <mergeCell ref="F70:G70"/>
    <mergeCell ref="H70:I70"/>
    <mergeCell ref="F71:G71"/>
    <mergeCell ref="H71:I71"/>
    <mergeCell ref="F66:G66"/>
    <mergeCell ref="H66:I66"/>
    <mergeCell ref="F67:G67"/>
    <mergeCell ref="H67:I67"/>
    <mergeCell ref="F59:G59"/>
    <mergeCell ref="H59:I59"/>
    <mergeCell ref="F62:G62"/>
    <mergeCell ref="H62:I62"/>
    <mergeCell ref="F63:G63"/>
    <mergeCell ref="H63:I63"/>
    <mergeCell ref="F54:G54"/>
    <mergeCell ref="H54:I54"/>
    <mergeCell ref="F55:G55"/>
    <mergeCell ref="H55:I55"/>
    <mergeCell ref="F58:G58"/>
    <mergeCell ref="H58:I58"/>
    <mergeCell ref="G95:I95"/>
    <mergeCell ref="E4:K4"/>
    <mergeCell ref="F38:G38"/>
    <mergeCell ref="F42:G42"/>
    <mergeCell ref="F39:G39"/>
    <mergeCell ref="F6:G6"/>
    <mergeCell ref="F10:G10"/>
    <mergeCell ref="F14:G14"/>
    <mergeCell ref="F18:G18"/>
    <mergeCell ref="F23:G23"/>
    <mergeCell ref="F27:G27"/>
    <mergeCell ref="F31:G31"/>
    <mergeCell ref="F35:G35"/>
    <mergeCell ref="F22:G22"/>
    <mergeCell ref="F26:G26"/>
    <mergeCell ref="F30:G30"/>
    <mergeCell ref="F34:G34"/>
    <mergeCell ref="F43:G43"/>
    <mergeCell ref="F47:G47"/>
    <mergeCell ref="F51:G51"/>
    <mergeCell ref="H6:I6"/>
    <mergeCell ref="H7:I7"/>
    <mergeCell ref="H10:I10"/>
    <mergeCell ref="H11:I11"/>
    <mergeCell ref="H14:I14"/>
    <mergeCell ref="H15:I15"/>
    <mergeCell ref="H18:I18"/>
    <mergeCell ref="F46:G46"/>
    <mergeCell ref="F50:G50"/>
    <mergeCell ref="F7:G7"/>
    <mergeCell ref="F11:G11"/>
    <mergeCell ref="F15:G15"/>
    <mergeCell ref="F19:G19"/>
    <mergeCell ref="H42:I42"/>
    <mergeCell ref="H19:I19"/>
    <mergeCell ref="H22:I22"/>
    <mergeCell ref="H23:I23"/>
    <mergeCell ref="H26:I26"/>
    <mergeCell ref="H27:I27"/>
    <mergeCell ref="H30:I30"/>
    <mergeCell ref="H31:I31"/>
    <mergeCell ref="H34:I34"/>
    <mergeCell ref="H35:I35"/>
    <mergeCell ref="H38:I38"/>
    <mergeCell ref="H51:I51"/>
    <mergeCell ref="H39:I39"/>
    <mergeCell ref="H43:I43"/>
    <mergeCell ref="H46:I46"/>
    <mergeCell ref="H47:I47"/>
    <mergeCell ref="H50:I50"/>
    <mergeCell ref="F74:G74"/>
    <mergeCell ref="H74:I74"/>
    <mergeCell ref="F75:G75"/>
    <mergeCell ref="H75:I75"/>
    <mergeCell ref="F78:G78"/>
    <mergeCell ref="H78:I78"/>
    <mergeCell ref="F83:G83"/>
    <mergeCell ref="H83:I83"/>
    <mergeCell ref="F79:G79"/>
    <mergeCell ref="H79:I79"/>
    <mergeCell ref="F82:G82"/>
    <mergeCell ref="H82:I8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2026-04-19T22:52:01Z</cp:lastPrinted>
  <dcterms:created xsi:type="dcterms:W3CDTF">2026-01-02T23:15:29Z</dcterms:created>
  <dcterms:modified xsi:type="dcterms:W3CDTF">2026-09-29T15:26:29Z</dcterms:modified>
</cp:coreProperties>
</file>