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Abril\"/>
    </mc:Choice>
  </mc:AlternateContent>
  <xr:revisionPtr revIDLastSave="0" documentId="13_ncr:1_{3351C7E9-2BA8-4305-8017-4D213DEC9A9D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PRORRATEO!$A$1:$P$33</definedName>
    <definedName name="_xlnm.Print_Area" localSheetId="0">RESUMEN!$A$1:$D$95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H15" i="2" l="1"/>
  <c r="H10" i="2"/>
  <c r="H16" i="2"/>
  <c r="H11" i="2"/>
  <c r="H17" i="2"/>
  <c r="D53" i="1" l="1"/>
  <c r="H13" i="2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20" i="2"/>
  <c r="B1" i="2"/>
  <c r="D46" i="1" l="1"/>
  <c r="D33" i="1" l="1"/>
  <c r="D57" i="1"/>
  <c r="D36" i="1"/>
  <c r="J15" i="2" l="1"/>
  <c r="D42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94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8" i="1" l="1"/>
  <c r="D73" i="1" s="1"/>
  <c r="B77" i="1" s="1"/>
  <c r="B87" i="1" s="1"/>
  <c r="B85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4" i="1" s="1"/>
  <c r="F24" i="2"/>
  <c r="G24" i="2"/>
  <c r="J7" i="2" l="1"/>
  <c r="K7" i="2" l="1"/>
  <c r="O7" i="2" s="1"/>
  <c r="B78" i="1"/>
  <c r="L24" i="2"/>
  <c r="B76" i="1" l="1"/>
  <c r="B86" i="1" s="1"/>
  <c r="B88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5" i="1" l="1"/>
  <c r="N24" i="2" l="1"/>
</calcChain>
</file>

<file path=xl/sharedStrings.xml><?xml version="1.0" encoding="utf-8"?>
<sst xmlns="http://schemas.openxmlformats.org/spreadsheetml/2006/main" count="158" uniqueCount="135">
  <si>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</si>
  <si>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</si>
  <si>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</si>
  <si>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</si>
  <si>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</si>
  <si>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</si>
  <si>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</si>
  <si>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</si>
  <si>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</si>
  <si>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</si>
  <si>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</si>
  <si>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</si>
  <si>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</si>
  <si>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</si>
  <si>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</si>
  <si>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</si>
  <si>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</si>
  <si>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</si>
  <si>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</si>
  <si>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</si>
  <si>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</si>
  <si>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</si>
  <si>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</si>
  <si>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</si>
  <si>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</si>
  <si>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</si>
  <si>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</si>
  <si>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</si>
  <si>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</si>
  <si>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</si>
  <si>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</si>
  <si>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</si>
  <si>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</si>
  <si>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</si>
  <si>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</si>
  <si>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</si>
  <si>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</si>
  <si>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</si>
  <si>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</si>
  <si>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</si>
  <si>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</si>
  <si>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</si>
  <si>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</si>
  <si>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</si>
  <si>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</si>
  <si>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</si>
  <si>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</si>
  <si>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</si>
  <si>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</si>
  <si>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</si>
  <si>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</si>
  <si>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</si>
  <si>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</si>
  <si>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</si>
  <si>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</si>
  <si>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</si>
  <si>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</si>
  <si>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</si>
  <si>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</si>
  <si>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</si>
  <si>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</si>
  <si>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</si>
  <si>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</si>
  <si>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</si>
  <si>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</si>
  <si>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</si>
  <si>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</si>
  <si>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</si>
  <si>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</si>
  <si>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</si>
  <si>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</si>
  <si>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</si>
  <si>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</si>
  <si>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</si>
  <si>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</si>
  <si>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</si>
  <si>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</si>
  <si>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</si>
  <si>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</si>
  <si>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</si>
  <si>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</si>
  <si>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</si>
  <si>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</si>
  <si>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</si>
  <si>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</si>
  <si>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</si>
  <si>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</si>
  <si>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</si>
  <si>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</si>
  <si>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</si>
  <si>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</si>
  <si>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</si>
  <si>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</si>
  <si>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</si>
  <si>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</si>
  <si>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</si>
  <si>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</si>
  <si>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</si>
  <si>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</si>
  <si>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</si>
  <si>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</si>
  <si>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</si>
  <si>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</si>
  <si>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</si>
  <si>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</si>
  <si>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</si>
  <si>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</si>
  <si>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</si>
  <si>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</si>
  <si>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</si>
  <si>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 xml:space="preserve">Celestino Soledad - Servicio de limpieza </t>
  </si>
  <si>
    <t>Ivan Aguirre - Lucia daniela Toledo</t>
  </si>
  <si>
    <t>Yamila</t>
  </si>
  <si>
    <t>VTO 15/05</t>
  </si>
  <si>
    <t>Honorarios administracion - MARZO</t>
  </si>
  <si>
    <t>Cerrajeria EF ELE Emergencia - Copias de llaves</t>
  </si>
  <si>
    <t>Galvan Zaffalon - Adelanto de reparacion de bomba 1HP</t>
  </si>
  <si>
    <t>Transf 25/04</t>
  </si>
  <si>
    <t>Transf 21/04</t>
  </si>
  <si>
    <t>Ascensores Contessi - Mantenimiento de ascensores</t>
  </si>
  <si>
    <t>Transf 06/04</t>
  </si>
  <si>
    <t>Transf 08/04</t>
  </si>
  <si>
    <t>Ascensores Contessi - Provision y colocacion de dos barreras multihaz a la cabina de asc</t>
  </si>
  <si>
    <t>Transf 10/04</t>
  </si>
  <si>
    <t>Debito 07/04</t>
  </si>
  <si>
    <t>Transf 13/04</t>
  </si>
  <si>
    <t xml:space="preserve">Efec. </t>
  </si>
  <si>
    <t>Distribuidora Barbiero -  compra de materiales arreglo tablero de bomba</t>
  </si>
  <si>
    <t>Facundo adelanto mano de obra</t>
  </si>
  <si>
    <t>Cerrajeria EF ELE Emergencia - Cambio de cerradura</t>
  </si>
  <si>
    <t>Transf</t>
  </si>
  <si>
    <t>Mariana Hebe Romeo</t>
  </si>
  <si>
    <t>Claudio Martuccio - Cristian Badoza</t>
  </si>
  <si>
    <t>AREZZI Vicenta Ester.</t>
  </si>
  <si>
    <t>PREVISION 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</si>
</sst>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25" fillId="12" borderId="0" applyBorder="0" applyProtection="0"/>
    <xf numFmtId="0" fontId="25" fillId="13" borderId="0" applyBorder="0" applyProtection="0"/>
    <xf numFmtId="0" fontId="25" fillId="14" borderId="0" applyBorder="0" applyProtection="0"/>
    <xf numFmtId="0" fontId="25" fillId="15" borderId="0" applyBorder="0" applyProtection="0"/>
    <xf numFmtId="0" fontId="25" fillId="16" borderId="0" applyBorder="0" applyProtection="0"/>
    <xf numFmtId="0" fontId="25" fillId="17" borderId="0" applyBorder="0" applyProtection="0"/>
    <xf numFmtId="0" fontId="25" fillId="18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15" borderId="0" applyBorder="0" applyProtection="0"/>
    <xf numFmtId="0" fontId="25" fillId="18" borderId="0" applyBorder="0" applyProtection="0"/>
    <xf numFmtId="0" fontId="25" fillId="21" borderId="0" applyBorder="0" applyProtection="0"/>
    <xf numFmtId="0" fontId="26" fillId="22" borderId="0" applyBorder="0" applyProtection="0"/>
    <xf numFmtId="0" fontId="26" fillId="19" borderId="0" applyBorder="0" applyProtection="0"/>
    <xf numFmtId="0" fontId="26" fillId="2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25" borderId="0" applyBorder="0" applyProtection="0"/>
    <xf numFmtId="0" fontId="29" fillId="26" borderId="29" applyProtection="0"/>
    <xf numFmtId="0" fontId="27" fillId="27" borderId="30" applyProtection="0"/>
    <xf numFmtId="0" fontId="28" fillId="0" borderId="31" applyProtection="0"/>
    <xf numFmtId="0" fontId="30" fillId="0" borderId="0" applyBorder="0" applyProtection="0"/>
    <xf numFmtId="0" fontId="26" fillId="28" borderId="0" applyBorder="0" applyProtection="0"/>
    <xf numFmtId="0" fontId="26" fillId="29" borderId="0" applyBorder="0" applyProtection="0"/>
    <xf numFmtId="0" fontId="26" fillId="30" borderId="0" applyBorder="0" applyProtection="0"/>
    <xf numFmtId="0" fontId="26" fillId="23" borderId="0" applyBorder="0" applyProtection="0"/>
    <xf numFmtId="0" fontId="26" fillId="24" borderId="0" applyBorder="0" applyProtection="0"/>
    <xf numFmtId="0" fontId="26" fillId="31" borderId="0" applyBorder="0" applyProtection="0"/>
    <xf numFmtId="0" fontId="31" fillId="17" borderId="29" applyProtection="0"/>
    <xf numFmtId="0" fontId="32" fillId="13" borderId="0" applyBorder="0" applyProtection="0"/>
    <xf numFmtId="166" fontId="24" fillId="0" borderId="0" applyFill="0" applyBorder="0" applyAlignment="0" applyProtection="0"/>
    <xf numFmtId="0" fontId="33" fillId="32" borderId="0" applyBorder="0" applyProtection="0"/>
    <xf numFmtId="0" fontId="34" fillId="33" borderId="32" applyProtection="0"/>
    <xf numFmtId="0" fontId="35" fillId="26" borderId="33" applyProtection="0"/>
    <xf numFmtId="0" fontId="36" fillId="0" borderId="0" applyBorder="0" applyProtection="0"/>
    <xf numFmtId="0" fontId="37" fillId="0" borderId="0" applyBorder="0" applyProtection="0"/>
    <xf numFmtId="0" fontId="39" fillId="0" borderId="0" applyBorder="0" applyProtection="0"/>
    <xf numFmtId="0" fontId="40" fillId="0" borderId="34" applyProtection="0"/>
    <xf numFmtId="0" fontId="30" fillId="0" borderId="35" applyProtection="0"/>
    <xf numFmtId="0" fontId="38" fillId="0" borderId="36" applyProtection="0"/>
  </cellStyleXfs>
  <cellXfs count="181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8" fontId="17" fillId="11" borderId="6" xfId="0" applyNumberFormat="1" applyFont="1" applyFill="1" applyBorder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44" fontId="19" fillId="0" borderId="1" xfId="1" applyFont="1" applyBorder="1"/>
    <xf numFmtId="165" fontId="19" fillId="2" borderId="1" xfId="1" applyNumberFormat="1" applyFont="1" applyFill="1" applyBorder="1"/>
    <xf numFmtId="165" fontId="19" fillId="0" borderId="1" xfId="0" applyNumberFormat="1" applyFont="1" applyBorder="1"/>
    <xf numFmtId="165" fontId="19" fillId="0" borderId="1" xfId="1" applyNumberFormat="1" applyFont="1" applyBorder="1"/>
    <xf numFmtId="44" fontId="19" fillId="0" borderId="6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6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8" fontId="17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4" fillId="2" borderId="1" xfId="1" applyNumberFormat="1" applyFont="1" applyFill="1" applyBorder="1" applyAlignment="1">
      <alignment wrapText="1"/>
    </xf>
    <xf numFmtId="0" fontId="13" fillId="2" borderId="1" xfId="0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4" fillId="3" borderId="19" xfId="0" applyFont="1" applyFill="1" applyBorder="1" applyAlignment="1">
      <alignment horizontal="center" vertical="center" wrapText="1"/>
    </xf>
    <xf numFmtId="44" fontId="22" fillId="0" borderId="1" xfId="1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18" fillId="2" borderId="1" xfId="0" applyNumberFormat="1" applyFont="1" applyFill="1" applyBorder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7" fillId="11" borderId="1" xfId="0" applyFont="1" applyFill="1" applyBorder="1"/>
    <xf numFmtId="0" fontId="17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3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42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1" fillId="8" borderId="6" xfId="0" applyFont="1" applyFill="1" applyBorder="1" applyAlignment="1">
      <alignment horizontal="left" vertical="center" wrapText="1"/>
    </xf>
    <xf numFmtId="0" fontId="41" fillId="8" borderId="24" xfId="0" applyFont="1" applyFill="1" applyBorder="1" applyAlignment="1">
      <alignment horizontal="left" vertical="center" wrapText="1"/>
    </xf>
    <xf numFmtId="0" fontId="41" fillId="8" borderId="28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topLeftCell="A56" workbookViewId="0">
      <selection activeCell="D59" sqref="D59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2" t="s">
        <v>58</v>
      </c>
      <c r="B1" s="78"/>
      <c r="C1" s="3"/>
      <c r="D1" s="3"/>
    </row>
    <row r="2" spans="1:4">
      <c r="A2" s="79" t="s">
        <v>95</v>
      </c>
      <c r="B2" s="79"/>
      <c r="C2" s="79"/>
      <c r="D2" s="79"/>
    </row>
    <row r="3" spans="1:4" ht="16.899999999999999" customHeight="1">
      <c r="A3" s="79" t="s">
        <v>64</v>
      </c>
      <c r="B3" s="79"/>
      <c r="C3" s="79"/>
      <c r="D3" s="79"/>
    </row>
    <row r="4" spans="1:4" ht="32.25" customHeight="1">
      <c r="A4" s="153" t="s">
        <v>105</v>
      </c>
      <c r="B4" s="153"/>
      <c r="C4" s="80"/>
      <c r="D4" s="80"/>
    </row>
    <row r="5" spans="1:4">
      <c r="A5" s="153"/>
      <c r="B5" s="153"/>
      <c r="C5" s="80"/>
      <c r="D5" s="80"/>
    </row>
    <row r="6" spans="1:4">
      <c r="A6" s="153"/>
      <c r="B6" s="153"/>
      <c r="C6" s="80"/>
      <c r="D6" s="80"/>
    </row>
    <row r="7" spans="1:4" ht="13.5" customHeight="1">
      <c r="A7" s="153"/>
      <c r="B7" s="153"/>
      <c r="C7" s="80"/>
      <c r="D7" s="80"/>
    </row>
    <row r="9" spans="1:4">
      <c r="B9" s="161" t="s">
        <v>113</v>
      </c>
    </row>
    <row r="10" spans="1:4">
      <c r="B10" s="161"/>
    </row>
    <row r="11" spans="1:4">
      <c r="B11" s="161"/>
    </row>
    <row r="13" spans="1:4" hidden="1"/>
    <row r="14" spans="1:4" ht="15" customHeight="1">
      <c r="A14" s="156" t="s">
        <v>98</v>
      </c>
      <c r="B14" s="156"/>
      <c r="C14" s="156"/>
      <c r="D14" s="156"/>
    </row>
    <row r="15" spans="1:4" ht="15" customHeight="1">
      <c r="A15" s="156"/>
      <c r="B15" s="156"/>
      <c r="C15" s="156"/>
      <c r="D15" s="156"/>
    </row>
    <row r="16" spans="1:4" ht="15" customHeight="1">
      <c r="A16" s="156"/>
      <c r="B16" s="156"/>
      <c r="C16" s="156"/>
      <c r="D16" s="156"/>
    </row>
    <row r="17" spans="1:7" ht="53.25" customHeight="1">
      <c r="A17" s="156"/>
      <c r="B17" s="156"/>
      <c r="C17" s="156"/>
      <c r="D17" s="156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21</v>
      </c>
      <c r="B21" s="7"/>
      <c r="C21" s="5"/>
      <c r="D21" s="8"/>
    </row>
    <row r="22" spans="1:7">
      <c r="A22" s="15" t="s">
        <v>100</v>
      </c>
      <c r="B22" s="15"/>
      <c r="C22" s="13"/>
      <c r="D22" s="13"/>
      <c r="G22" s="22"/>
    </row>
    <row r="23" spans="1:7" ht="14.25" customHeight="1">
      <c r="A23" s="55" t="s">
        <v>110</v>
      </c>
      <c r="B23" s="55"/>
      <c r="C23" s="123">
        <v>0</v>
      </c>
      <c r="D23" s="55"/>
    </row>
    <row r="24" spans="1:7">
      <c r="A24" s="124" t="s">
        <v>48</v>
      </c>
      <c r="B24" s="124"/>
      <c r="C24" s="77">
        <f>SUM(C23:C23)</f>
        <v>0</v>
      </c>
      <c r="D24" s="56"/>
    </row>
    <row r="25" spans="1:7" ht="0.6" customHeight="1">
      <c r="A25" s="55"/>
      <c r="B25" s="55"/>
      <c r="C25" s="92"/>
      <c r="D25" s="81"/>
    </row>
    <row r="26" spans="1:7" hidden="1">
      <c r="A26" s="55"/>
      <c r="B26" s="55"/>
      <c r="C26" s="92"/>
      <c r="D26" s="81"/>
    </row>
    <row r="27" spans="1:7" hidden="1">
      <c r="A27" s="55"/>
      <c r="B27" s="55"/>
      <c r="C27" s="92"/>
      <c r="D27" s="81"/>
    </row>
    <row r="28" spans="1:7" hidden="1">
      <c r="A28" s="55"/>
      <c r="B28" s="55"/>
      <c r="C28" s="93"/>
      <c r="D28" s="81"/>
    </row>
    <row r="29" spans="1:7" hidden="1">
      <c r="A29" s="124" t="s">
        <v>48</v>
      </c>
      <c r="B29" s="125"/>
      <c r="C29" s="28">
        <f>SUM(C25:C28)</f>
        <v>0</v>
      </c>
      <c r="D29" s="56"/>
    </row>
    <row r="30" spans="1:7" ht="14.25" customHeight="1" thickBot="1">
      <c r="A30" s="14" t="s">
        <v>0</v>
      </c>
      <c r="B30" s="14"/>
      <c r="C30" s="10"/>
      <c r="D30" s="57">
        <f>C24+C29</f>
        <v>0</v>
      </c>
      <c r="E30" s="9"/>
      <c r="F30" s="9"/>
    </row>
    <row r="31" spans="1:7">
      <c r="A31" s="13" t="s">
        <v>33</v>
      </c>
      <c r="B31" s="13"/>
      <c r="C31" s="16"/>
      <c r="D31" s="58"/>
      <c r="F31" s="9"/>
    </row>
    <row r="32" spans="1:7" ht="22.5" customHeight="1">
      <c r="A32" s="107" t="s">
        <v>114</v>
      </c>
      <c r="B32" s="126"/>
      <c r="C32" s="92">
        <v>73700</v>
      </c>
      <c r="D32" s="90" t="s">
        <v>125</v>
      </c>
      <c r="F32" s="22"/>
      <c r="G32" s="9"/>
    </row>
    <row r="33" spans="1:6" ht="15.75" thickBot="1">
      <c r="A33" s="14" t="s">
        <v>29</v>
      </c>
      <c r="B33" s="14"/>
      <c r="C33" s="19"/>
      <c r="D33" s="57">
        <f>SUM(C32:C32)</f>
        <v>73700</v>
      </c>
    </row>
    <row r="34" spans="1:6" ht="16.5" customHeight="1">
      <c r="A34" s="13" t="s">
        <v>45</v>
      </c>
      <c r="B34" s="14"/>
      <c r="C34" s="17"/>
      <c r="D34" s="34"/>
    </row>
    <row r="35" spans="1:6" ht="22.5" customHeight="1">
      <c r="A35" s="154" t="s">
        <v>65</v>
      </c>
      <c r="B35" s="155"/>
      <c r="C35" s="94">
        <v>168183</v>
      </c>
      <c r="D35" s="89" t="s">
        <v>124</v>
      </c>
    </row>
    <row r="36" spans="1:6" ht="15.75" thickBot="1">
      <c r="A36" s="14" t="s">
        <v>1</v>
      </c>
      <c r="B36" s="14"/>
      <c r="C36" s="19"/>
      <c r="D36" s="59">
        <f>SUM(C35:C35)</f>
        <v>168183</v>
      </c>
    </row>
    <row r="37" spans="1:6" hidden="1">
      <c r="A37" s="13" t="s">
        <v>30</v>
      </c>
      <c r="B37" s="127"/>
      <c r="C37" s="20"/>
      <c r="D37" s="60"/>
    </row>
    <row r="38" spans="1:6" hidden="1">
      <c r="A38" s="55" t="s">
        <v>59</v>
      </c>
      <c r="B38" s="55" t="s">
        <v>106</v>
      </c>
      <c r="C38" s="95"/>
      <c r="D38" s="89"/>
      <c r="F38" s="83"/>
    </row>
    <row r="39" spans="1:6" hidden="1">
      <c r="A39" s="55" t="s">
        <v>60</v>
      </c>
      <c r="B39" s="55" t="s">
        <v>106</v>
      </c>
      <c r="C39" s="96"/>
      <c r="D39" s="89"/>
    </row>
    <row r="40" spans="1:6" hidden="1">
      <c r="A40" s="55" t="s">
        <v>61</v>
      </c>
      <c r="B40" s="55" t="s">
        <v>106</v>
      </c>
      <c r="C40" s="96"/>
      <c r="D40" s="89"/>
    </row>
    <row r="41" spans="1:6" hidden="1">
      <c r="A41" s="55" t="s">
        <v>62</v>
      </c>
      <c r="B41" s="55" t="s">
        <v>106</v>
      </c>
      <c r="C41" s="96"/>
      <c r="D41" s="88"/>
    </row>
    <row r="42" spans="1:6" ht="15" hidden="1" customHeight="1" thickBot="1">
      <c r="A42" s="14" t="s">
        <v>2</v>
      </c>
      <c r="B42" s="127"/>
      <c r="C42" s="21"/>
      <c r="D42" s="59">
        <f>SUM(C38:C41)</f>
        <v>0</v>
      </c>
    </row>
    <row r="43" spans="1:6">
      <c r="A43" s="13" t="s">
        <v>32</v>
      </c>
      <c r="B43" s="127"/>
      <c r="C43" s="20"/>
      <c r="D43" s="60"/>
    </row>
    <row r="44" spans="1:6" ht="14.25" customHeight="1">
      <c r="A44" s="69" t="s">
        <v>96</v>
      </c>
      <c r="B44" s="55"/>
      <c r="C44" s="96">
        <v>110379.92</v>
      </c>
      <c r="D44" s="87" t="s">
        <v>121</v>
      </c>
    </row>
    <row r="45" spans="1:6" ht="14.25" customHeight="1">
      <c r="A45" s="55" t="s">
        <v>97</v>
      </c>
      <c r="B45" s="55"/>
      <c r="C45" s="96">
        <v>365695.44</v>
      </c>
      <c r="D45" s="87" t="s">
        <v>120</v>
      </c>
    </row>
    <row r="46" spans="1:6" ht="15.75" thickBot="1">
      <c r="A46" s="14" t="s">
        <v>3</v>
      </c>
      <c r="B46" s="14"/>
      <c r="C46" s="19"/>
      <c r="D46" s="59">
        <f>SUM(C44:C45)</f>
        <v>476075.36</v>
      </c>
    </row>
    <row r="47" spans="1:6" ht="15.75" thickBot="1">
      <c r="A47" s="13" t="s">
        <v>31</v>
      </c>
      <c r="B47" s="14"/>
      <c r="C47" s="19"/>
      <c r="D47" s="62"/>
    </row>
    <row r="48" spans="1:6" ht="19.899999999999999" customHeight="1">
      <c r="A48" s="154" t="s">
        <v>119</v>
      </c>
      <c r="B48" s="155"/>
      <c r="C48" s="96">
        <v>105000</v>
      </c>
      <c r="D48" s="85" t="s">
        <v>118</v>
      </c>
    </row>
    <row r="49" spans="1:6" ht="30" customHeight="1">
      <c r="A49" s="154" t="s">
        <v>122</v>
      </c>
      <c r="B49" s="155"/>
      <c r="C49" s="96">
        <v>387000</v>
      </c>
      <c r="D49" s="85" t="s">
        <v>123</v>
      </c>
    </row>
    <row r="50" spans="1:6" ht="19.899999999999999" customHeight="1">
      <c r="A50" s="154" t="s">
        <v>116</v>
      </c>
      <c r="B50" s="155"/>
      <c r="C50" s="96">
        <v>108000</v>
      </c>
      <c r="D50" s="85" t="s">
        <v>117</v>
      </c>
    </row>
    <row r="51" spans="1:6" ht="19.899999999999999" customHeight="1">
      <c r="A51" s="154" t="s">
        <v>129</v>
      </c>
      <c r="B51" s="155"/>
      <c r="C51" s="96">
        <v>281000</v>
      </c>
      <c r="D51" s="85" t="s">
        <v>130</v>
      </c>
    </row>
    <row r="52" spans="1:6" ht="19.899999999999999" customHeight="1">
      <c r="A52" s="154" t="s">
        <v>115</v>
      </c>
      <c r="B52" s="155"/>
      <c r="C52" s="96">
        <v>20000</v>
      </c>
      <c r="D52" s="85" t="s">
        <v>126</v>
      </c>
    </row>
    <row r="53" spans="1:6" ht="15.75" thickBot="1">
      <c r="A53" s="14" t="s">
        <v>11</v>
      </c>
      <c r="B53" s="13"/>
      <c r="C53" s="13"/>
      <c r="D53" s="64">
        <f>SUM(C48:C52)</f>
        <v>901000</v>
      </c>
    </row>
    <row r="54" spans="1:6" ht="15.75" thickBot="1">
      <c r="A54" s="13" t="s">
        <v>24</v>
      </c>
      <c r="B54" s="128"/>
      <c r="C54" s="10"/>
      <c r="D54" s="62"/>
    </row>
    <row r="55" spans="1:6">
      <c r="A55" s="55" t="s">
        <v>66</v>
      </c>
      <c r="B55" s="55"/>
      <c r="C55" s="98"/>
      <c r="D55" s="65"/>
    </row>
    <row r="56" spans="1:6">
      <c r="A56" s="55" t="s">
        <v>104</v>
      </c>
      <c r="B56" s="55"/>
      <c r="C56" s="96">
        <v>25055.13</v>
      </c>
      <c r="D56" s="63"/>
    </row>
    <row r="57" spans="1:6" ht="15.75" thickBot="1">
      <c r="A57" s="129" t="s">
        <v>29</v>
      </c>
      <c r="B57" s="129"/>
      <c r="C57" s="66"/>
      <c r="D57" s="59">
        <f>SUM(C55:C56)</f>
        <v>25055.13</v>
      </c>
    </row>
    <row r="58" spans="1:6" ht="15.75" thickBot="1">
      <c r="A58" s="55"/>
      <c r="B58" s="55"/>
      <c r="C58" s="55"/>
      <c r="D58" s="67"/>
    </row>
    <row r="59" spans="1:6" ht="20.25" customHeight="1" thickBot="1">
      <c r="A59" s="158" t="s">
        <v>134</v>
      </c>
      <c r="B59" s="159"/>
      <c r="C59" s="160"/>
      <c r="D59" s="68">
        <f>1955000-1644013.49</f>
        <v>310986.51</v>
      </c>
    </row>
    <row r="60" spans="1:6" ht="15.75" thickBot="1">
      <c r="A60" s="130"/>
      <c r="B60" s="69"/>
      <c r="C60" s="69"/>
      <c r="D60" s="70"/>
      <c r="E60" s="24"/>
    </row>
    <row r="61" spans="1:6" ht="15.75" thickBot="1">
      <c r="A61" s="131" t="s">
        <v>25</v>
      </c>
      <c r="B61" s="132"/>
      <c r="C61" s="71"/>
      <c r="D61" s="72">
        <f>(SUM(D25:D59))</f>
        <v>1954999.9999999998</v>
      </c>
      <c r="E61" s="24"/>
      <c r="F61" s="24"/>
    </row>
    <row r="62" spans="1:6">
      <c r="A62" s="69"/>
      <c r="B62" s="69"/>
      <c r="C62" s="69"/>
      <c r="D62" s="69"/>
      <c r="F62" s="84"/>
    </row>
    <row r="63" spans="1:6" ht="15.75" thickBot="1">
      <c r="A63" s="69"/>
      <c r="B63" s="69"/>
      <c r="C63" s="69"/>
      <c r="D63" s="69"/>
    </row>
    <row r="64" spans="1:6">
      <c r="A64" s="133" t="s">
        <v>34</v>
      </c>
      <c r="B64" s="134"/>
      <c r="C64" s="73"/>
      <c r="D64" s="74"/>
    </row>
    <row r="65" spans="1:4">
      <c r="A65" s="154" t="s">
        <v>127</v>
      </c>
      <c r="B65" s="155"/>
      <c r="C65" s="96">
        <v>187647</v>
      </c>
      <c r="D65" s="85"/>
    </row>
    <row r="66" spans="1:4">
      <c r="A66" s="154" t="s">
        <v>128</v>
      </c>
      <c r="B66" s="155"/>
      <c r="C66" s="96">
        <v>112353</v>
      </c>
      <c r="D66" s="61"/>
    </row>
    <row r="67" spans="1:4">
      <c r="A67" s="137"/>
      <c r="B67" s="138"/>
      <c r="C67" s="96"/>
      <c r="D67" s="61"/>
    </row>
    <row r="68" spans="1:4">
      <c r="A68" s="139"/>
      <c r="B68" s="140"/>
      <c r="C68" s="141"/>
      <c r="D68" s="29">
        <f>SUM(C65:C67)</f>
        <v>300000</v>
      </c>
    </row>
    <row r="69" spans="1:4" ht="15" customHeight="1">
      <c r="A69" s="69"/>
      <c r="B69" s="69"/>
      <c r="C69" s="69"/>
    </row>
    <row r="70" spans="1:4" hidden="1">
      <c r="A70" s="69"/>
      <c r="B70" s="69"/>
      <c r="C70" s="69"/>
    </row>
    <row r="71" spans="1:4">
      <c r="A71" s="142" t="s">
        <v>35</v>
      </c>
      <c r="B71" s="142"/>
      <c r="C71" s="143"/>
      <c r="D71" s="91">
        <v>0</v>
      </c>
    </row>
    <row r="72" spans="1:4" ht="15.75" thickBot="1">
      <c r="A72" s="69"/>
      <c r="B72" s="69"/>
      <c r="C72" s="69"/>
    </row>
    <row r="73" spans="1:4" ht="15.75" thickBot="1">
      <c r="A73" s="131" t="s">
        <v>36</v>
      </c>
      <c r="B73" s="132"/>
      <c r="C73" s="71"/>
      <c r="D73" s="35">
        <f>D68+D71</f>
        <v>300000</v>
      </c>
    </row>
    <row r="74" spans="1:4" ht="15.75" thickBot="1">
      <c r="A74" s="69"/>
      <c r="B74" s="69"/>
      <c r="C74" s="69"/>
    </row>
    <row r="75" spans="1:4" ht="15.75" thickBot="1">
      <c r="A75" s="144" t="s">
        <v>26</v>
      </c>
      <c r="B75" s="145">
        <f>D61</f>
        <v>1954999.9999999998</v>
      </c>
      <c r="C75" s="146"/>
    </row>
    <row r="76" spans="1:4" ht="15.75" thickBot="1">
      <c r="A76" s="144" t="s">
        <v>27</v>
      </c>
      <c r="B76" s="145">
        <f>D61-D59</f>
        <v>1644013.4899999998</v>
      </c>
      <c r="C76" s="69"/>
    </row>
    <row r="77" spans="1:4" ht="15.75" thickBot="1">
      <c r="A77" s="144" t="s">
        <v>37</v>
      </c>
      <c r="B77" s="145">
        <f>D73-D71</f>
        <v>300000</v>
      </c>
      <c r="C77" s="69"/>
    </row>
    <row r="78" spans="1:4" ht="15.75" thickBot="1">
      <c r="A78" s="144" t="s">
        <v>52</v>
      </c>
      <c r="B78" s="145">
        <f>D73</f>
        <v>300000</v>
      </c>
      <c r="C78" s="69"/>
    </row>
    <row r="79" spans="1:4">
      <c r="A79" s="69"/>
      <c r="B79" s="69"/>
      <c r="C79" s="69"/>
    </row>
    <row r="80" spans="1:4">
      <c r="A80" s="69"/>
      <c r="B80" s="69"/>
      <c r="C80" s="69"/>
    </row>
    <row r="81" spans="1:12">
      <c r="A81" s="69"/>
      <c r="B81" s="69"/>
      <c r="C81" s="69"/>
    </row>
    <row r="82" spans="1:12" ht="15.75" thickBot="1">
      <c r="A82" s="147" t="s">
        <v>47</v>
      </c>
      <c r="B82" s="148"/>
      <c r="C82" s="69"/>
    </row>
    <row r="83" spans="1:12" ht="25.5" customHeight="1" thickBot="1">
      <c r="A83" s="12" t="s">
        <v>28</v>
      </c>
      <c r="B83" s="149">
        <v>420429.50999999978</v>
      </c>
      <c r="C83" s="69"/>
    </row>
    <row r="84" spans="1:12" ht="14.25" customHeight="1">
      <c r="A84" s="150" t="s">
        <v>55</v>
      </c>
      <c r="B84" s="63">
        <f>PRORRATEO!H24</f>
        <v>1987753.0199999998</v>
      </c>
      <c r="C84" s="69"/>
    </row>
    <row r="85" spans="1:12" ht="14.25" customHeight="1">
      <c r="A85" s="150" t="s">
        <v>54</v>
      </c>
      <c r="B85" s="63">
        <f>B94</f>
        <v>0</v>
      </c>
      <c r="C85" s="69"/>
    </row>
    <row r="86" spans="1:12">
      <c r="A86" s="152" t="s">
        <v>38</v>
      </c>
      <c r="B86" s="63">
        <f>-B76</f>
        <v>-1644013.4899999998</v>
      </c>
      <c r="C86" s="69"/>
    </row>
    <row r="87" spans="1:12">
      <c r="A87" s="151" t="s">
        <v>39</v>
      </c>
      <c r="B87" s="63">
        <f>-(B77)</f>
        <v>-300000</v>
      </c>
      <c r="C87" s="69"/>
    </row>
    <row r="88" spans="1:12">
      <c r="A88" s="11" t="s">
        <v>11</v>
      </c>
      <c r="B88" s="108">
        <f>SUM(B83:B87)</f>
        <v>464169.03999999957</v>
      </c>
      <c r="C88" s="136"/>
    </row>
    <row r="89" spans="1:12" ht="34.5" customHeight="1">
      <c r="B89" s="22"/>
      <c r="C89" s="24"/>
      <c r="D89" s="136"/>
    </row>
    <row r="90" spans="1:12">
      <c r="A90" s="157" t="s">
        <v>46</v>
      </c>
      <c r="B90" s="157"/>
    </row>
    <row r="91" spans="1:12" ht="27.75" customHeight="1">
      <c r="A91" s="157"/>
      <c r="B91" s="157"/>
    </row>
    <row r="92" spans="1:12" ht="32.25" customHeight="1">
      <c r="A92" s="75"/>
      <c r="B92" s="18"/>
    </row>
    <row r="93" spans="1:12" ht="32.25" customHeight="1">
      <c r="A93" s="75"/>
      <c r="B93" s="18"/>
    </row>
    <row r="94" spans="1:12">
      <c r="A94" s="25" t="s">
        <v>11</v>
      </c>
      <c r="B94" s="76">
        <f>SUM(B92:B93)</f>
        <v>0</v>
      </c>
    </row>
    <row r="95" spans="1:12">
      <c r="L95" s="4"/>
    </row>
  </sheetData>
  <mergeCells count="13">
    <mergeCell ref="A4:B7"/>
    <mergeCell ref="A35:B35"/>
    <mergeCell ref="A14:D17"/>
    <mergeCell ref="A90:B91"/>
    <mergeCell ref="A66:B66"/>
    <mergeCell ref="A59:C59"/>
    <mergeCell ref="B9:B11"/>
    <mergeCell ref="A50:B50"/>
    <mergeCell ref="A48:B48"/>
    <mergeCell ref="A52:B52"/>
    <mergeCell ref="A49:B49"/>
    <mergeCell ref="A51:B51"/>
    <mergeCell ref="A65:B6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1" zoomScaleNormal="100" workbookViewId="0">
      <selection activeCell="B4" sqref="B4:P4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9"/>
      <c r="B1" s="166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6"/>
      <c r="D1" s="166"/>
      <c r="E1" s="166"/>
      <c r="F1" s="166"/>
      <c r="G1" s="166"/>
      <c r="H1" s="166"/>
      <c r="I1" s="166"/>
      <c r="J1" s="166"/>
      <c r="K1" s="166"/>
      <c r="L1" s="110"/>
      <c r="M1" s="110"/>
      <c r="N1" s="110"/>
      <c r="O1" s="110"/>
      <c r="P1" s="111"/>
    </row>
    <row r="2" spans="1:21" ht="33.75" customHeight="1">
      <c r="A2" s="112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13"/>
      <c r="M2" s="113" t="s">
        <v>4</v>
      </c>
      <c r="N2" s="3"/>
      <c r="O2" s="121">
        <v>1955000</v>
      </c>
      <c r="P2" s="114"/>
      <c r="Q2" s="9"/>
      <c r="R2">
        <v>1406361.51</v>
      </c>
    </row>
    <row r="3" spans="1:21" ht="46.5" customHeight="1" thickBot="1">
      <c r="A3" s="115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16"/>
      <c r="M3" s="116" t="s">
        <v>56</v>
      </c>
      <c r="N3" s="117"/>
      <c r="O3" s="122">
        <v>0</v>
      </c>
      <c r="P3" s="118"/>
    </row>
    <row r="4" spans="1:21" ht="30.6" customHeight="1" thickBot="1">
      <c r="A4" s="3"/>
      <c r="B4" s="178" t="s">
        <v>99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80"/>
    </row>
    <row r="5" spans="1:21">
      <c r="A5" s="162" t="s">
        <v>5</v>
      </c>
      <c r="B5" s="164" t="s">
        <v>6</v>
      </c>
      <c r="C5" s="165" t="s">
        <v>7</v>
      </c>
      <c r="D5" s="165" t="s">
        <v>8</v>
      </c>
      <c r="E5" s="165" t="s">
        <v>42</v>
      </c>
      <c r="F5" s="165" t="s">
        <v>23</v>
      </c>
      <c r="G5" s="165" t="s">
        <v>53</v>
      </c>
      <c r="H5" s="165" t="s">
        <v>9</v>
      </c>
      <c r="I5" s="165" t="s">
        <v>43</v>
      </c>
      <c r="J5" s="174" t="s">
        <v>44</v>
      </c>
      <c r="K5" s="172" t="s">
        <v>41</v>
      </c>
      <c r="L5" s="172" t="s">
        <v>10</v>
      </c>
      <c r="M5" s="172" t="s">
        <v>40</v>
      </c>
      <c r="N5" s="176" t="s">
        <v>51</v>
      </c>
      <c r="O5" s="97" t="s">
        <v>50</v>
      </c>
      <c r="P5" s="169" t="s">
        <v>49</v>
      </c>
      <c r="S5" s="24"/>
      <c r="T5" s="22"/>
    </row>
    <row r="6" spans="1:21" ht="15.75" customHeight="1">
      <c r="A6" s="163"/>
      <c r="B6" s="164"/>
      <c r="C6" s="165"/>
      <c r="D6" s="165"/>
      <c r="E6" s="171"/>
      <c r="F6" s="165"/>
      <c r="G6" s="165"/>
      <c r="H6" s="165"/>
      <c r="I6" s="171"/>
      <c r="J6" s="175"/>
      <c r="K6" s="173"/>
      <c r="L6" s="172"/>
      <c r="M6" s="173"/>
      <c r="N6" s="177"/>
      <c r="O6" s="30" t="str">
        <f>RESUMEN!B9</f>
        <v>VTO 15/05</v>
      </c>
      <c r="P6" s="169"/>
      <c r="S6" s="22">
        <v>65160</v>
      </c>
      <c r="T6" s="22">
        <v>157470</v>
      </c>
      <c r="U6" s="24">
        <f>T6+S6</f>
        <v>222630</v>
      </c>
    </row>
    <row r="7" spans="1:21" ht="17.100000000000001" customHeight="1">
      <c r="A7" s="2" t="s">
        <v>12</v>
      </c>
      <c r="B7" s="32">
        <v>1</v>
      </c>
      <c r="C7" s="32" t="s">
        <v>68</v>
      </c>
      <c r="D7" s="32" t="s">
        <v>84</v>
      </c>
      <c r="E7" s="32"/>
      <c r="F7" s="36">
        <v>10.86</v>
      </c>
      <c r="G7" s="37">
        <v>3846496.01</v>
      </c>
      <c r="H7" s="38"/>
      <c r="I7" s="39"/>
      <c r="J7" s="40">
        <f>G7-H7</f>
        <v>3846496.01</v>
      </c>
      <c r="K7" s="40">
        <f>IF(J7&gt;0,J7*3%,0)</f>
        <v>115394.88029999999</v>
      </c>
      <c r="L7" s="41">
        <f>O$3*F7%</f>
        <v>0</v>
      </c>
      <c r="M7" s="41">
        <f>O$2*F7%</f>
        <v>212312.99999999997</v>
      </c>
      <c r="N7" s="42">
        <v>0</v>
      </c>
      <c r="O7" s="43">
        <f>ROUND(SUM(J7:N7),0) + Q7</f>
        <v>4174204.01</v>
      </c>
      <c r="P7" s="44">
        <f t="shared" ref="P7:P23" si="0">ROUND(O7*3%,0) + O7</f>
        <v>4299430.01</v>
      </c>
      <c r="Q7" s="24">
        <v>0.01</v>
      </c>
      <c r="S7" s="22">
        <v>66960</v>
      </c>
      <c r="T7" s="22">
        <v>161820</v>
      </c>
      <c r="U7" s="24">
        <f t="shared" ref="U7:U21" si="1">T7+S7</f>
        <v>228780</v>
      </c>
    </row>
    <row r="8" spans="1:21" ht="17.100000000000001" customHeight="1">
      <c r="A8" s="2" t="s">
        <v>13</v>
      </c>
      <c r="B8" s="32">
        <v>2</v>
      </c>
      <c r="C8" s="32" t="s">
        <v>69</v>
      </c>
      <c r="D8" s="32" t="s">
        <v>85</v>
      </c>
      <c r="E8" s="33"/>
      <c r="F8" s="36">
        <v>11.16</v>
      </c>
      <c r="G8" s="37">
        <v>215470.02</v>
      </c>
      <c r="H8" s="38">
        <v>0</v>
      </c>
      <c r="I8" s="39"/>
      <c r="J8" s="40">
        <f t="shared" ref="J8:J22" si="2">G8-H8</f>
        <v>215470.02</v>
      </c>
      <c r="K8" s="40">
        <f t="shared" ref="K8:K22" si="3">IF(J8&gt;0,J8*3%,0)</f>
        <v>6464.1005999999998</v>
      </c>
      <c r="L8" s="41">
        <f t="shared" ref="L8:L23" si="4">O$3*F8%</f>
        <v>0</v>
      </c>
      <c r="M8" s="41">
        <f t="shared" ref="M8:M23" si="5">O$2*F8%</f>
        <v>218178</v>
      </c>
      <c r="N8" s="42">
        <v>0</v>
      </c>
      <c r="O8" s="43">
        <f>ROUND(SUM(J8:N8),0) + Q8</f>
        <v>440112.02</v>
      </c>
      <c r="P8" s="44">
        <f t="shared" si="0"/>
        <v>453315.02</v>
      </c>
      <c r="Q8" s="24">
        <f>Q7+0.01</f>
        <v>0.02</v>
      </c>
      <c r="R8" s="24"/>
      <c r="S8" s="22">
        <v>41700</v>
      </c>
      <c r="T8" s="22">
        <v>100775</v>
      </c>
      <c r="U8" s="24">
        <f t="shared" si="1"/>
        <v>142475</v>
      </c>
    </row>
    <row r="9" spans="1:21" ht="17.100000000000001" customHeight="1">
      <c r="A9" s="2" t="s">
        <v>13</v>
      </c>
      <c r="B9" s="86">
        <v>4</v>
      </c>
      <c r="C9" s="86" t="s">
        <v>70</v>
      </c>
      <c r="D9" s="99" t="s">
        <v>86</v>
      </c>
      <c r="E9" s="86" t="s">
        <v>108</v>
      </c>
      <c r="F9" s="101">
        <v>6.95</v>
      </c>
      <c r="G9" s="38">
        <v>261156.03</v>
      </c>
      <c r="H9" s="38">
        <v>85873</v>
      </c>
      <c r="I9" s="39"/>
      <c r="J9" s="102">
        <f t="shared" si="2"/>
        <v>175283.03</v>
      </c>
      <c r="K9" s="40">
        <f t="shared" si="3"/>
        <v>5258.4908999999998</v>
      </c>
      <c r="L9" s="103">
        <f t="shared" si="4"/>
        <v>0</v>
      </c>
      <c r="M9" s="103">
        <f t="shared" si="5"/>
        <v>135872.5</v>
      </c>
      <c r="N9" s="104">
        <v>0</v>
      </c>
      <c r="O9" s="105">
        <f t="shared" ref="O9:O23" si="6">ROUND(SUM(J9:N9),0) + Q9</f>
        <v>316414.03000000003</v>
      </c>
      <c r="P9" s="106">
        <f t="shared" si="0"/>
        <v>325906.03000000003</v>
      </c>
      <c r="Q9" s="24">
        <f t="shared" ref="Q9:Q22" si="7">Q8+0.01</f>
        <v>0.03</v>
      </c>
      <c r="S9" s="22">
        <v>44220</v>
      </c>
      <c r="T9" s="22">
        <v>106865</v>
      </c>
      <c r="U9" s="24">
        <f t="shared" si="1"/>
        <v>151085</v>
      </c>
    </row>
    <row r="10" spans="1:21" ht="17.100000000000001" customHeight="1">
      <c r="A10" s="2" t="s">
        <v>14</v>
      </c>
      <c r="B10" s="32">
        <v>3</v>
      </c>
      <c r="C10" s="32" t="s">
        <v>71</v>
      </c>
      <c r="D10" s="32" t="s">
        <v>87</v>
      </c>
      <c r="E10" s="32" t="s">
        <v>132</v>
      </c>
      <c r="F10" s="36">
        <v>7.37</v>
      </c>
      <c r="G10" s="37">
        <v>148624.04</v>
      </c>
      <c r="H10" s="38">
        <f>2211-H20+155000</f>
        <v>146888.85999999999</v>
      </c>
      <c r="I10" s="39"/>
      <c r="J10" s="40">
        <f t="shared" si="2"/>
        <v>1735.1800000000221</v>
      </c>
      <c r="K10" s="40">
        <f t="shared" si="3"/>
        <v>52.05540000000066</v>
      </c>
      <c r="L10" s="41">
        <f t="shared" si="4"/>
        <v>0</v>
      </c>
      <c r="M10" s="41">
        <f t="shared" si="5"/>
        <v>144083.5</v>
      </c>
      <c r="N10" s="42">
        <v>0</v>
      </c>
      <c r="O10" s="43">
        <f t="shared" si="6"/>
        <v>145871.04000000001</v>
      </c>
      <c r="P10" s="44">
        <f t="shared" si="0"/>
        <v>150247.04000000001</v>
      </c>
      <c r="Q10" s="24">
        <f t="shared" si="7"/>
        <v>0.04</v>
      </c>
      <c r="S10" s="22">
        <v>64080</v>
      </c>
      <c r="T10" s="22">
        <v>154860</v>
      </c>
      <c r="U10" s="24">
        <f t="shared" si="1"/>
        <v>218940</v>
      </c>
    </row>
    <row r="11" spans="1:21" ht="17.100000000000001" customHeight="1">
      <c r="A11" s="2" t="s">
        <v>14</v>
      </c>
      <c r="B11" s="32">
        <v>5</v>
      </c>
      <c r="C11" s="32" t="s">
        <v>72</v>
      </c>
      <c r="D11" s="32" t="s">
        <v>88</v>
      </c>
      <c r="E11" s="33" t="s">
        <v>111</v>
      </c>
      <c r="F11" s="36">
        <v>10.68</v>
      </c>
      <c r="G11" s="37">
        <v>214308.05</v>
      </c>
      <c r="H11" s="38">
        <f>G11</f>
        <v>214308.05</v>
      </c>
      <c r="I11" s="39"/>
      <c r="J11" s="40">
        <f t="shared" si="2"/>
        <v>0</v>
      </c>
      <c r="K11" s="40">
        <f t="shared" si="3"/>
        <v>0</v>
      </c>
      <c r="L11" s="41">
        <f t="shared" si="4"/>
        <v>0</v>
      </c>
      <c r="M11" s="41">
        <f t="shared" si="5"/>
        <v>208793.99999999997</v>
      </c>
      <c r="N11" s="42">
        <v>0</v>
      </c>
      <c r="O11" s="43">
        <f t="shared" si="6"/>
        <v>208794.05</v>
      </c>
      <c r="P11" s="44">
        <f t="shared" si="0"/>
        <v>215058.05</v>
      </c>
      <c r="Q11" s="24">
        <f t="shared" si="7"/>
        <v>0.05</v>
      </c>
      <c r="S11" s="22">
        <v>41700</v>
      </c>
      <c r="T11" s="22">
        <v>100775</v>
      </c>
      <c r="U11" s="24">
        <f t="shared" si="1"/>
        <v>142475</v>
      </c>
    </row>
    <row r="12" spans="1:21" ht="17.100000000000001" customHeight="1">
      <c r="A12" s="2" t="s">
        <v>15</v>
      </c>
      <c r="B12" s="32">
        <v>7</v>
      </c>
      <c r="C12" s="32" t="s">
        <v>73</v>
      </c>
      <c r="D12" s="32" t="s">
        <v>89</v>
      </c>
      <c r="E12" s="32" t="s">
        <v>109</v>
      </c>
      <c r="F12" s="36">
        <v>6.95</v>
      </c>
      <c r="G12" s="37">
        <v>137958.06</v>
      </c>
      <c r="H12" s="38">
        <v>150069</v>
      </c>
      <c r="I12" s="39"/>
      <c r="J12" s="40">
        <f t="shared" si="2"/>
        <v>-12110.940000000002</v>
      </c>
      <c r="K12" s="40">
        <f t="shared" si="3"/>
        <v>0</v>
      </c>
      <c r="L12" s="41">
        <f t="shared" si="4"/>
        <v>0</v>
      </c>
      <c r="M12" s="41">
        <f t="shared" si="5"/>
        <v>135872.5</v>
      </c>
      <c r="N12" s="135">
        <v>0</v>
      </c>
      <c r="O12" s="43">
        <f>ROUND(SUM(J12:N12),0) + Q12</f>
        <v>123762.06</v>
      </c>
      <c r="P12" s="44">
        <f t="shared" si="0"/>
        <v>127475.06</v>
      </c>
      <c r="Q12" s="24">
        <f t="shared" si="7"/>
        <v>6.0000000000000005E-2</v>
      </c>
      <c r="S12" s="22">
        <v>41340</v>
      </c>
      <c r="T12" s="22">
        <v>99905</v>
      </c>
      <c r="U12" s="24">
        <f t="shared" si="1"/>
        <v>141245</v>
      </c>
    </row>
    <row r="13" spans="1:21" ht="17.100000000000001" customHeight="1">
      <c r="A13" s="2" t="s">
        <v>15</v>
      </c>
      <c r="B13" s="32">
        <v>6</v>
      </c>
      <c r="C13" s="86" t="s">
        <v>74</v>
      </c>
      <c r="D13" s="86" t="s">
        <v>90</v>
      </c>
      <c r="E13" s="32" t="s">
        <v>103</v>
      </c>
      <c r="F13" s="36">
        <v>6.89</v>
      </c>
      <c r="G13" s="37">
        <v>136767.07</v>
      </c>
      <c r="H13" s="38">
        <f>G13</f>
        <v>136767.07</v>
      </c>
      <c r="I13" s="39"/>
      <c r="J13" s="40">
        <f t="shared" si="2"/>
        <v>0</v>
      </c>
      <c r="K13" s="40">
        <f t="shared" si="3"/>
        <v>0</v>
      </c>
      <c r="L13" s="41">
        <f t="shared" si="4"/>
        <v>0</v>
      </c>
      <c r="M13" s="41">
        <f t="shared" si="5"/>
        <v>134699.5</v>
      </c>
      <c r="N13" s="42">
        <v>0</v>
      </c>
      <c r="O13" s="43">
        <f t="shared" si="6"/>
        <v>134700.07</v>
      </c>
      <c r="P13" s="44">
        <f t="shared" si="0"/>
        <v>138741.07</v>
      </c>
      <c r="Q13" s="24">
        <f t="shared" si="7"/>
        <v>7.0000000000000007E-2</v>
      </c>
      <c r="R13" s="84"/>
      <c r="S13" s="119">
        <v>64080</v>
      </c>
      <c r="T13" s="22">
        <v>154860</v>
      </c>
      <c r="U13" s="24">
        <f t="shared" si="1"/>
        <v>218940</v>
      </c>
    </row>
    <row r="14" spans="1:21" ht="17.100000000000001" customHeight="1">
      <c r="A14" s="2" t="s">
        <v>16</v>
      </c>
      <c r="B14" s="32">
        <v>8</v>
      </c>
      <c r="C14" s="32" t="s">
        <v>75</v>
      </c>
      <c r="D14" s="32" t="s">
        <v>90</v>
      </c>
      <c r="E14" s="32" t="s">
        <v>102</v>
      </c>
      <c r="F14" s="36">
        <v>10.68</v>
      </c>
      <c r="G14" s="37">
        <v>211998.07999999999</v>
      </c>
      <c r="H14" s="38">
        <v>218358.08</v>
      </c>
      <c r="I14" s="39"/>
      <c r="J14" s="40">
        <f t="shared" si="2"/>
        <v>-6360</v>
      </c>
      <c r="K14" s="40">
        <f t="shared" si="3"/>
        <v>0</v>
      </c>
      <c r="L14" s="41">
        <f t="shared" si="4"/>
        <v>0</v>
      </c>
      <c r="M14" s="41">
        <f t="shared" si="5"/>
        <v>208793.99999999997</v>
      </c>
      <c r="N14" s="42">
        <v>0</v>
      </c>
      <c r="O14" s="43">
        <f t="shared" si="6"/>
        <v>202434.08</v>
      </c>
      <c r="P14" s="44">
        <f t="shared" si="0"/>
        <v>208507.08</v>
      </c>
      <c r="Q14" s="24">
        <f t="shared" si="7"/>
        <v>0.08</v>
      </c>
      <c r="S14" s="22">
        <v>41700</v>
      </c>
      <c r="T14" s="22">
        <v>100775</v>
      </c>
      <c r="U14" s="24">
        <f t="shared" si="1"/>
        <v>142475</v>
      </c>
    </row>
    <row r="15" spans="1:21" ht="17.100000000000001" customHeight="1">
      <c r="A15" s="2" t="s">
        <v>16</v>
      </c>
      <c r="B15" s="86">
        <v>10</v>
      </c>
      <c r="C15" s="86" t="s">
        <v>76</v>
      </c>
      <c r="D15" s="86" t="s">
        <v>91</v>
      </c>
      <c r="E15" s="100" t="s">
        <v>112</v>
      </c>
      <c r="F15" s="101">
        <v>6.95</v>
      </c>
      <c r="G15" s="38">
        <v>1026398.09</v>
      </c>
      <c r="H15" s="120">
        <f>135873+500000</f>
        <v>635873</v>
      </c>
      <c r="I15" s="39"/>
      <c r="J15" s="102">
        <f t="shared" si="2"/>
        <v>390525.08999999997</v>
      </c>
      <c r="K15" s="102">
        <v>0</v>
      </c>
      <c r="L15" s="103">
        <f t="shared" si="4"/>
        <v>0</v>
      </c>
      <c r="M15" s="103">
        <f t="shared" si="5"/>
        <v>135872.5</v>
      </c>
      <c r="N15" s="104">
        <v>0</v>
      </c>
      <c r="O15" s="105">
        <f t="shared" si="6"/>
        <v>526398.09</v>
      </c>
      <c r="P15" s="106">
        <f t="shared" si="0"/>
        <v>542190.09</v>
      </c>
      <c r="Q15" s="24">
        <f t="shared" si="7"/>
        <v>0.09</v>
      </c>
      <c r="S15" s="22">
        <v>41340</v>
      </c>
      <c r="T15" s="22">
        <v>99905</v>
      </c>
      <c r="U15" s="24">
        <f t="shared" si="1"/>
        <v>141245</v>
      </c>
    </row>
    <row r="16" spans="1:21" ht="17.100000000000001" customHeight="1">
      <c r="A16" s="2" t="s">
        <v>17</v>
      </c>
      <c r="B16" s="32">
        <v>9</v>
      </c>
      <c r="C16" s="32" t="s">
        <v>77</v>
      </c>
      <c r="D16" s="32" t="s">
        <v>92</v>
      </c>
      <c r="E16" s="33" t="s">
        <v>101</v>
      </c>
      <c r="F16" s="36">
        <v>6.89</v>
      </c>
      <c r="G16" s="37">
        <v>136767.1</v>
      </c>
      <c r="H16" s="38">
        <f>2067+134700</f>
        <v>136767</v>
      </c>
      <c r="I16" s="39"/>
      <c r="J16" s="40">
        <f t="shared" si="2"/>
        <v>0.10000000000582077</v>
      </c>
      <c r="K16" s="40">
        <f t="shared" si="3"/>
        <v>3.000000000174623E-3</v>
      </c>
      <c r="L16" s="41">
        <f t="shared" si="4"/>
        <v>0</v>
      </c>
      <c r="M16" s="41">
        <f t="shared" si="5"/>
        <v>134699.5</v>
      </c>
      <c r="N16" s="42">
        <v>0</v>
      </c>
      <c r="O16" s="43">
        <f t="shared" si="6"/>
        <v>134700.1</v>
      </c>
      <c r="P16" s="44">
        <f t="shared" si="0"/>
        <v>138741.1</v>
      </c>
      <c r="Q16" s="24">
        <f t="shared" si="7"/>
        <v>9.9999999999999992E-2</v>
      </c>
      <c r="R16" t="s">
        <v>133</v>
      </c>
      <c r="S16" s="22">
        <v>71280</v>
      </c>
      <c r="T16" s="22">
        <v>172260</v>
      </c>
      <c r="U16" s="24">
        <f t="shared" si="1"/>
        <v>243540</v>
      </c>
    </row>
    <row r="17" spans="1:21" ht="17.100000000000001" customHeight="1">
      <c r="A17" s="2" t="s">
        <v>17</v>
      </c>
      <c r="B17" s="32">
        <v>11</v>
      </c>
      <c r="C17" s="32" t="s">
        <v>78</v>
      </c>
      <c r="D17" s="32" t="s">
        <v>93</v>
      </c>
      <c r="E17" s="33"/>
      <c r="F17" s="36">
        <v>11.88</v>
      </c>
      <c r="G17" s="37">
        <v>229836.11</v>
      </c>
      <c r="H17" s="38">
        <f>162510.69+77386</f>
        <v>239896.69</v>
      </c>
      <c r="I17" s="39"/>
      <c r="J17" s="40">
        <f t="shared" si="2"/>
        <v>-10060.580000000016</v>
      </c>
      <c r="K17" s="40">
        <f t="shared" si="3"/>
        <v>0</v>
      </c>
      <c r="L17" s="41">
        <f t="shared" si="4"/>
        <v>0</v>
      </c>
      <c r="M17" s="41">
        <f t="shared" si="5"/>
        <v>232254</v>
      </c>
      <c r="N17" s="42">
        <v>0</v>
      </c>
      <c r="O17" s="43">
        <f t="shared" si="6"/>
        <v>222193.11</v>
      </c>
      <c r="P17" s="44">
        <f t="shared" si="0"/>
        <v>228859.11</v>
      </c>
      <c r="Q17" s="24">
        <f t="shared" si="7"/>
        <v>0.10999999999999999</v>
      </c>
      <c r="R17" t="s">
        <v>131</v>
      </c>
      <c r="S17" s="22">
        <v>3420</v>
      </c>
      <c r="T17" s="22">
        <v>8265</v>
      </c>
      <c r="U17" s="24">
        <f t="shared" si="1"/>
        <v>11685</v>
      </c>
    </row>
    <row r="18" spans="1:21" ht="17.100000000000001" customHeight="1">
      <c r="A18" s="2" t="s">
        <v>18</v>
      </c>
      <c r="B18" s="32" t="s">
        <v>67</v>
      </c>
      <c r="C18" s="32" t="s">
        <v>79</v>
      </c>
      <c r="D18" s="32" t="s">
        <v>85</v>
      </c>
      <c r="E18" s="33"/>
      <c r="F18" s="36">
        <v>0.56999999999999995</v>
      </c>
      <c r="G18" s="37">
        <v>11315.12</v>
      </c>
      <c r="H18" s="38">
        <v>0</v>
      </c>
      <c r="I18" s="39"/>
      <c r="J18" s="40">
        <f t="shared" si="2"/>
        <v>11315.12</v>
      </c>
      <c r="K18" s="40">
        <f t="shared" si="3"/>
        <v>339.45359999999999</v>
      </c>
      <c r="L18" s="41">
        <f t="shared" si="4"/>
        <v>0</v>
      </c>
      <c r="M18" s="41">
        <f t="shared" si="5"/>
        <v>11143.499999999998</v>
      </c>
      <c r="N18" s="42">
        <v>0</v>
      </c>
      <c r="O18" s="43">
        <f t="shared" si="6"/>
        <v>22798.12</v>
      </c>
      <c r="P18" s="44">
        <f t="shared" si="0"/>
        <v>23482.12</v>
      </c>
      <c r="Q18" s="24">
        <f t="shared" si="7"/>
        <v>0.11999999999999998</v>
      </c>
      <c r="S18" s="22">
        <v>3120</v>
      </c>
      <c r="T18" s="22">
        <v>7540</v>
      </c>
      <c r="U18" s="24">
        <f t="shared" si="1"/>
        <v>10660</v>
      </c>
    </row>
    <row r="19" spans="1:21" ht="17.100000000000001" customHeight="1">
      <c r="A19" s="2" t="s">
        <v>18</v>
      </c>
      <c r="B19" s="32" t="s">
        <v>67</v>
      </c>
      <c r="C19" s="32" t="s">
        <v>80</v>
      </c>
      <c r="D19" s="32" t="s">
        <v>94</v>
      </c>
      <c r="E19" s="33"/>
      <c r="F19" s="36">
        <v>0.52</v>
      </c>
      <c r="G19" s="37">
        <v>10060.129999999999</v>
      </c>
      <c r="H19" s="38">
        <v>10362.129999999999</v>
      </c>
      <c r="I19" s="39"/>
      <c r="J19" s="40">
        <f t="shared" si="2"/>
        <v>-302</v>
      </c>
      <c r="K19" s="40">
        <f t="shared" si="3"/>
        <v>0</v>
      </c>
      <c r="L19" s="41">
        <f t="shared" si="4"/>
        <v>0</v>
      </c>
      <c r="M19" s="41">
        <f t="shared" si="5"/>
        <v>10166</v>
      </c>
      <c r="N19" s="42">
        <v>0</v>
      </c>
      <c r="O19" s="43">
        <f t="shared" si="6"/>
        <v>9864.1299999999992</v>
      </c>
      <c r="P19" s="44">
        <f t="shared" si="0"/>
        <v>10160.129999999999</v>
      </c>
      <c r="Q19" s="24">
        <f t="shared" si="7"/>
        <v>0.12999999999999998</v>
      </c>
      <c r="S19" s="22">
        <v>3120</v>
      </c>
      <c r="T19" s="22">
        <v>7540</v>
      </c>
      <c r="U19" s="24">
        <f t="shared" si="1"/>
        <v>10660</v>
      </c>
    </row>
    <row r="20" spans="1:21" ht="17.100000000000001" customHeight="1">
      <c r="A20" s="2" t="s">
        <v>19</v>
      </c>
      <c r="B20" s="32" t="s">
        <v>67</v>
      </c>
      <c r="C20" s="32" t="s">
        <v>81</v>
      </c>
      <c r="D20" s="32" t="s">
        <v>94</v>
      </c>
      <c r="E20" s="32" t="s">
        <v>107</v>
      </c>
      <c r="F20" s="36">
        <v>0.52</v>
      </c>
      <c r="G20" s="37">
        <v>10322.14</v>
      </c>
      <c r="H20" s="38">
        <f>G20</f>
        <v>10322.14</v>
      </c>
      <c r="I20" s="39"/>
      <c r="J20" s="40">
        <f t="shared" si="2"/>
        <v>0</v>
      </c>
      <c r="K20" s="40">
        <f t="shared" si="3"/>
        <v>0</v>
      </c>
      <c r="L20" s="41">
        <f t="shared" si="4"/>
        <v>0</v>
      </c>
      <c r="M20" s="41">
        <f t="shared" si="5"/>
        <v>10166</v>
      </c>
      <c r="N20" s="42">
        <v>0</v>
      </c>
      <c r="O20" s="43">
        <f t="shared" si="6"/>
        <v>10166.14</v>
      </c>
      <c r="P20" s="44">
        <f t="shared" si="0"/>
        <v>10471.14</v>
      </c>
      <c r="Q20" s="24">
        <f t="shared" si="7"/>
        <v>0.13999999999999999</v>
      </c>
      <c r="S20" s="22">
        <v>3120</v>
      </c>
      <c r="T20" s="22">
        <v>7540</v>
      </c>
      <c r="U20" s="24">
        <f t="shared" si="1"/>
        <v>10660</v>
      </c>
    </row>
    <row r="21" spans="1:21" ht="17.100000000000001" customHeight="1">
      <c r="A21" s="2" t="s">
        <v>19</v>
      </c>
      <c r="B21" s="32" t="s">
        <v>67</v>
      </c>
      <c r="C21" s="32" t="s">
        <v>82</v>
      </c>
      <c r="D21" s="32" t="s">
        <v>93</v>
      </c>
      <c r="E21" s="33"/>
      <c r="F21" s="36">
        <v>0.52</v>
      </c>
      <c r="G21" s="37">
        <v>10060.15</v>
      </c>
      <c r="H21" s="38">
        <v>0</v>
      </c>
      <c r="I21" s="39"/>
      <c r="J21" s="40">
        <f t="shared" si="2"/>
        <v>10060.15</v>
      </c>
      <c r="K21" s="40">
        <f t="shared" si="3"/>
        <v>301.80449999999996</v>
      </c>
      <c r="L21" s="41">
        <f t="shared" si="4"/>
        <v>0</v>
      </c>
      <c r="M21" s="41">
        <f t="shared" si="5"/>
        <v>10166</v>
      </c>
      <c r="N21" s="42">
        <v>0</v>
      </c>
      <c r="O21" s="43">
        <f t="shared" si="6"/>
        <v>20528.150000000001</v>
      </c>
      <c r="P21" s="44">
        <f t="shared" si="0"/>
        <v>21144.15</v>
      </c>
      <c r="Q21" s="24">
        <f t="shared" si="7"/>
        <v>0.15</v>
      </c>
      <c r="S21" s="22">
        <v>3660</v>
      </c>
      <c r="T21" s="22">
        <v>8845</v>
      </c>
      <c r="U21" s="24">
        <f t="shared" si="1"/>
        <v>12505</v>
      </c>
    </row>
    <row r="22" spans="1:21" ht="17.100000000000001" customHeight="1" thickBot="1">
      <c r="A22" s="2" t="s">
        <v>20</v>
      </c>
      <c r="B22" s="32" t="s">
        <v>67</v>
      </c>
      <c r="C22" s="32" t="s">
        <v>83</v>
      </c>
      <c r="D22" s="32" t="s">
        <v>89</v>
      </c>
      <c r="E22" s="32"/>
      <c r="F22" s="36">
        <v>0.61</v>
      </c>
      <c r="G22" s="37">
        <v>12109.16</v>
      </c>
      <c r="H22" s="38">
        <v>2268</v>
      </c>
      <c r="I22" s="39"/>
      <c r="J22" s="40">
        <f t="shared" si="2"/>
        <v>9841.16</v>
      </c>
      <c r="K22" s="40">
        <f t="shared" si="3"/>
        <v>295.23480000000001</v>
      </c>
      <c r="L22" s="41">
        <f t="shared" si="4"/>
        <v>0</v>
      </c>
      <c r="M22" s="41">
        <f t="shared" si="5"/>
        <v>11925.499999999998</v>
      </c>
      <c r="N22" s="42">
        <v>0</v>
      </c>
      <c r="O22" s="43">
        <f t="shared" si="6"/>
        <v>22062.16</v>
      </c>
      <c r="P22" s="44">
        <f t="shared" si="0"/>
        <v>22724.16</v>
      </c>
      <c r="Q22" s="24">
        <f t="shared" si="7"/>
        <v>0.16</v>
      </c>
      <c r="S22" s="23"/>
    </row>
    <row r="23" spans="1:21" ht="15.75" hidden="1" customHeight="1" thickBot="1">
      <c r="A23" s="2" t="s">
        <v>22</v>
      </c>
      <c r="B23" s="32"/>
      <c r="C23" s="32"/>
      <c r="D23" s="32"/>
      <c r="E23" s="32"/>
      <c r="F23" s="36"/>
      <c r="G23" s="45" t="s">
        <v>57</v>
      </c>
      <c r="H23" s="38" t="str">
        <f t="shared" ref="H23" si="8">G23</f>
        <v>162450.31</v>
      </c>
      <c r="I23" s="46"/>
      <c r="J23" s="47" t="e">
        <f t="shared" ref="J23" si="9">G23-H23</f>
        <v>#VALUE!</v>
      </c>
      <c r="K23" s="40" t="e">
        <f t="shared" ref="K23" si="10">IF(J23&gt;0,J23*3%,0)</f>
        <v>#VALUE!</v>
      </c>
      <c r="L23" s="41">
        <f t="shared" si="4"/>
        <v>0</v>
      </c>
      <c r="M23" s="48">
        <f t="shared" si="5"/>
        <v>0</v>
      </c>
      <c r="N23" s="49">
        <v>0</v>
      </c>
      <c r="O23" s="43" t="e">
        <f t="shared" si="6"/>
        <v>#VALUE!</v>
      </c>
      <c r="P23" s="44" t="e">
        <f t="shared" si="0"/>
        <v>#VALUE!</v>
      </c>
      <c r="Q23" s="24"/>
    </row>
    <row r="24" spans="1:21" ht="17.100000000000001" customHeight="1" thickBot="1">
      <c r="B24" s="50"/>
      <c r="C24" s="51"/>
      <c r="D24" s="52"/>
      <c r="E24" s="52"/>
      <c r="F24" s="53">
        <f>SUM(F7:F23)</f>
        <v>99.999999999999972</v>
      </c>
      <c r="G24" s="27">
        <f>SUM(G7:G23)</f>
        <v>6619645.3599999994</v>
      </c>
      <c r="H24" s="31">
        <f>SUM(H7:H23)</f>
        <v>1987753.0199999998</v>
      </c>
      <c r="I24" s="31">
        <f>SUM(I7:I23)</f>
        <v>0</v>
      </c>
      <c r="J24" s="31"/>
      <c r="K24" s="31"/>
      <c r="L24" s="31">
        <f>SUM(L7:L23)</f>
        <v>0</v>
      </c>
      <c r="M24" s="31">
        <f>SUM(M7:M23)</f>
        <v>1955000</v>
      </c>
      <c r="N24" s="31">
        <f>SUM(N7:N23)</f>
        <v>0</v>
      </c>
      <c r="O24" s="54">
        <f>SUM(O7:O22)</f>
        <v>6715001.3599999994</v>
      </c>
      <c r="P24" s="54">
        <f>SUM(P7:P22)</f>
        <v>6916451.3599999994</v>
      </c>
    </row>
    <row r="25" spans="1:21" ht="12.75" customHeight="1">
      <c r="D25" s="26"/>
      <c r="E25" s="26"/>
    </row>
    <row r="26" spans="1:21" ht="15" hidden="1" customHeight="1"/>
    <row r="27" spans="1:21" ht="9" customHeight="1">
      <c r="D27" s="170" t="s">
        <v>63</v>
      </c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</row>
    <row r="28" spans="1:21" ht="12" hidden="1" customHeight="1"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</row>
    <row r="29" spans="1:21" ht="12" hidden="1" customHeight="1"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</row>
    <row r="30" spans="1:21" ht="12" hidden="1" customHeight="1"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</row>
    <row r="31" spans="1:21" ht="12" hidden="1" customHeight="1"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</row>
    <row r="32" spans="1:21" ht="65.25" customHeight="1"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2026-04-03T21:39:03Z</cp:lastPrinted>
  <dcterms:created xsi:type="dcterms:W3CDTF">2023-09-17T12:29:07Z</dcterms:created>
  <dcterms:modified xsi:type="dcterms:W3CDTF">2026-05-01T14:18:43Z</dcterms:modified>
</cp:coreProperties>
</file>