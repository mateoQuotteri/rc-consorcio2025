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Febrero\"/>
    </mc:Choice>
  </mc:AlternateContent>
  <xr:revisionPtr revIDLastSave="0" documentId="13_ncr:1_{71E9C5FE-ED19-4B13-9DEA-319784E63DE0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PRORRATEO!$A$1:$P$33</definedName>
    <definedName name="_xlnm.Print_Area" localSheetId="0">RESUMEN!$A$1:$D$97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H9" i="2"/>
  <c r="H12" i="2"/>
  <c r="H10" i="2"/>
  <c r="H11" i="2"/>
  <c r="H15" i="2"/>
  <c r="B87" i="1"/>
  <c r="F35" i="1" l="1"/>
  <c r="H18" i="2"/>
  <c r="H8" i="2" s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14" i="2"/>
  <c r="H16" i="2"/>
  <c r="H20" i="2"/>
  <c r="B1" i="2"/>
  <c r="D53" i="1" l="1"/>
  <c r="D47" i="1"/>
  <c r="D33" i="1" l="1"/>
  <c r="D57" i="1"/>
  <c r="D37" i="1"/>
  <c r="J15" i="2" l="1"/>
  <c r="K15" i="2" s="1"/>
  <c r="D43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96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8" i="1" l="1"/>
  <c r="D73" i="1" s="1"/>
  <c r="B77" i="1" s="1"/>
  <c r="B89" i="1" s="1"/>
  <c r="B85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4" i="1" s="1"/>
  <c r="F24" i="2"/>
  <c r="G24" i="2"/>
  <c r="J7" i="2" l="1"/>
  <c r="K7" i="2" l="1"/>
  <c r="O7" i="2" s="1"/>
  <c r="B78" i="1"/>
  <c r="L24" i="2"/>
  <c r="B76" i="1" l="1"/>
  <c r="B88" i="1" s="1"/>
  <c r="B90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5" i="1" l="1"/>
  <c r="N24" i="2" l="1"/>
</calcChain>
</file>

<file path=xl/sharedStrings.xml><?xml version="1.0" encoding="utf-8"?>
<sst xmlns="http://schemas.openxmlformats.org/spreadsheetml/2006/main" count="157" uniqueCount="132">
  <si>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</si>
  <si>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</si>
  <si>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</si>
  <si>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</si>
  <si>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</si>
  <si>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</si>
  <si>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</si>
  <si>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</si>
  <si>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</si>
  <si>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</si>
  <si>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</si>
  <si>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</si>
  <si>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</si>
  <si>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</si>
  <si>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</si>
  <si>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</si>
  <si>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</si>
  <si>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</si>
  <si>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</si>
  <si>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</si>
  <si>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</si>
  <si>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</si>
  <si>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</si>
  <si>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</si>
  <si>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</si>
  <si>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</si>
  <si>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</si>
  <si>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</si>
  <si>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</si>
  <si>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</si>
  <si>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</si>
  <si>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</si>
  <si>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</si>
  <si>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</si>
  <si>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</si>
  <si>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</si>
  <si>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</si>
  <si>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</si>
  <si>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</si>
  <si>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</si>
  <si>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</si>
  <si>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</si>
  <si>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</si>
  <si>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</si>
  <si>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</si>
  <si>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</si>
  <si>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</si>
  <si>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</si>
  <si>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</si>
  <si>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</si>
  <si>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</si>
  <si>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</si>
  <si>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</si>
  <si>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</si>
  <si>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</si>
  <si>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</si>
  <si>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</si>
  <si>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</si>
  <si>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</si>
  <si>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</si>
  <si>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</si>
  <si>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</si>
  <si>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</si>
  <si>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</si>
  <si>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</si>
  <si>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</si>
  <si>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Seguro de accidentes personales - Sancor Seguro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</si>
  <si>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</si>
  <si>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</si>
  <si>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</si>
  <si>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</si>
  <si>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</si>
  <si>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</si>
  <si>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</si>
  <si>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</si>
  <si>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</si>
  <si>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</si>
  <si>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</si>
  <si>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</si>
  <si>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</si>
  <si>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</si>
  <si>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</si>
  <si>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</si>
  <si>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</si>
  <si>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</si>
  <si>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</si>
  <si>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</si>
  <si>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</si>
  <si>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</si>
  <si>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</si>
  <si>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</si>
  <si>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</si>
  <si>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</si>
  <si>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</si>
  <si>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</si>
  <si>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</si>
  <si>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</si>
  <si>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</si>
  <si>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</si>
  <si>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</si>
  <si>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</si>
  <si>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</si>
  <si>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</si>
  <si>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</si>
  <si>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</si>
  <si>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>Ivan Aguirre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</si>
  <si>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</si>
  <si>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</si>
  <si>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</si>
  <si>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</si>
  <si>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Ef.</t>
  </si>
  <si>
    <t>PREVISION ORDINARIA</t>
  </si>
  <si>
    <t>Claudio Martuccio</t>
  </si>
  <si>
    <t>Carla Fabiana Silva</t>
  </si>
  <si>
    <t>Bonificaciones banco santander</t>
  </si>
  <si>
    <t>VTO 13/03</t>
  </si>
  <si>
    <t>Transf 04/02</t>
  </si>
  <si>
    <t>Ascensores Contessi - Servicio de conservacion y mantenimiento de un ascensor con servicio tecnico profesional</t>
  </si>
  <si>
    <t>Ascensores Contessi - Provision y colocacion comando de techo en la cabina de ascensor CUOTA 2 DE 3 + Provision y colocacion de traba mecanica en las contactoras de subida y bajada de control</t>
  </si>
  <si>
    <t>Debito 03/02</t>
  </si>
  <si>
    <t>Transf 09/02</t>
  </si>
  <si>
    <t>Transf 11/02</t>
  </si>
  <si>
    <t>Transf 14/02</t>
  </si>
  <si>
    <t>Honorarios administracion - Diciembre y Enero</t>
  </si>
  <si>
    <t>Transf 18/02</t>
  </si>
  <si>
    <t>Recarga anual de matafuegos - Valiente Sergio</t>
  </si>
  <si>
    <t>Transf 23/02</t>
  </si>
  <si>
    <t>Dra. Carina - Informe judicial</t>
  </si>
  <si>
    <t>Transf 20/02</t>
  </si>
  <si>
    <t>Celestino Soledad - Servicio de limpieza - No se abona por falta de caja</t>
  </si>
  <si>
    <t>Matias Jose Medina Gonzalez</t>
  </si>
  <si>
    <t>Ascensores Contessi -Adelanto arreglo según informe despues de apertura de bomberos 09/02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</si>
</sst>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0"/>
      <color indexed="8"/>
      <name val="Arial1"/>
    </font>
    <font>
      <b/>
      <sz val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12" borderId="0" applyBorder="0" applyProtection="0"/>
    <xf numFmtId="0" fontId="27" fillId="13" borderId="0" applyBorder="0" applyProtection="0"/>
    <xf numFmtId="0" fontId="27" fillId="14" borderId="0" applyBorder="0" applyProtection="0"/>
    <xf numFmtId="0" fontId="27" fillId="15" borderId="0" applyBorder="0" applyProtection="0"/>
    <xf numFmtId="0" fontId="27" fillId="16" borderId="0" applyBorder="0" applyProtection="0"/>
    <xf numFmtId="0" fontId="27" fillId="17" borderId="0" applyBorder="0" applyProtection="0"/>
    <xf numFmtId="0" fontId="27" fillId="18" borderId="0" applyBorder="0" applyProtection="0"/>
    <xf numFmtId="0" fontId="27" fillId="19" borderId="0" applyBorder="0" applyProtection="0"/>
    <xf numFmtId="0" fontId="27" fillId="20" borderId="0" applyBorder="0" applyProtection="0"/>
    <xf numFmtId="0" fontId="27" fillId="15" borderId="0" applyBorder="0" applyProtection="0"/>
    <xf numFmtId="0" fontId="27" fillId="18" borderId="0" applyBorder="0" applyProtection="0"/>
    <xf numFmtId="0" fontId="27" fillId="21" borderId="0" applyBorder="0" applyProtection="0"/>
    <xf numFmtId="0" fontId="28" fillId="22" borderId="0" applyBorder="0" applyProtection="0"/>
    <xf numFmtId="0" fontId="28" fillId="19" borderId="0" applyBorder="0" applyProtection="0"/>
    <xf numFmtId="0" fontId="28" fillId="2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25" borderId="0" applyBorder="0" applyProtection="0"/>
    <xf numFmtId="0" fontId="31" fillId="26" borderId="29" applyProtection="0"/>
    <xf numFmtId="0" fontId="29" fillId="27" borderId="30" applyProtection="0"/>
    <xf numFmtId="0" fontId="30" fillId="0" borderId="31" applyProtection="0"/>
    <xf numFmtId="0" fontId="32" fillId="0" borderId="0" applyBorder="0" applyProtection="0"/>
    <xf numFmtId="0" fontId="28" fillId="28" borderId="0" applyBorder="0" applyProtection="0"/>
    <xf numFmtId="0" fontId="28" fillId="29" borderId="0" applyBorder="0" applyProtection="0"/>
    <xf numFmtId="0" fontId="28" fillId="3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31" borderId="0" applyBorder="0" applyProtection="0"/>
    <xf numFmtId="0" fontId="33" fillId="17" borderId="29" applyProtection="0"/>
    <xf numFmtId="0" fontId="34" fillId="13" borderId="0" applyBorder="0" applyProtection="0"/>
    <xf numFmtId="166" fontId="26" fillId="0" borderId="0" applyFill="0" applyBorder="0" applyAlignment="0" applyProtection="0"/>
    <xf numFmtId="0" fontId="35" fillId="32" borderId="0" applyBorder="0" applyProtection="0"/>
    <xf numFmtId="0" fontId="36" fillId="33" borderId="32" applyProtection="0"/>
    <xf numFmtId="0" fontId="37" fillId="26" borderId="33" applyProtection="0"/>
    <xf numFmtId="0" fontId="38" fillId="0" borderId="0" applyBorder="0" applyProtection="0"/>
    <xf numFmtId="0" fontId="39" fillId="0" borderId="0" applyBorder="0" applyProtection="0"/>
    <xf numFmtId="0" fontId="41" fillId="0" borderId="0" applyBorder="0" applyProtection="0"/>
    <xf numFmtId="0" fontId="42" fillId="0" borderId="34" applyProtection="0"/>
    <xf numFmtId="0" fontId="32" fillId="0" borderId="35" applyProtection="0"/>
    <xf numFmtId="0" fontId="40" fillId="0" borderId="36" applyProtection="0"/>
  </cellStyleXfs>
  <cellXfs count="190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44" fontId="14" fillId="4" borderId="13" xfId="0" applyNumberFormat="1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44" fontId="20" fillId="0" borderId="1" xfId="1" applyFont="1" applyBorder="1"/>
    <xf numFmtId="165" fontId="20" fillId="2" borderId="1" xfId="1" applyNumberFormat="1" applyFont="1" applyFill="1" applyBorder="1"/>
    <xf numFmtId="165" fontId="20" fillId="0" borderId="1" xfId="0" applyNumberFormat="1" applyFont="1" applyBorder="1"/>
    <xf numFmtId="165" fontId="20" fillId="0" borderId="1" xfId="1" applyNumberFormat="1" applyFont="1" applyBorder="1"/>
    <xf numFmtId="44" fontId="20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1" fillId="4" borderId="3" xfId="1" applyFont="1" applyFill="1" applyBorder="1"/>
    <xf numFmtId="44" fontId="10" fillId="4" borderId="21" xfId="1" applyFont="1" applyFill="1" applyBorder="1"/>
    <xf numFmtId="44" fontId="22" fillId="4" borderId="3" xfId="1" applyFont="1" applyFill="1" applyBorder="1"/>
    <xf numFmtId="0" fontId="22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2" fillId="2" borderId="1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18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3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5" fillId="3" borderId="19" xfId="0" applyFont="1" applyFill="1" applyBorder="1" applyAlignment="1">
      <alignment horizontal="center" vertical="center" wrapText="1"/>
    </xf>
    <xf numFmtId="44" fontId="24" fillId="0" borderId="1" xfId="1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44" fontId="6" fillId="6" borderId="1" xfId="1" applyFont="1" applyFill="1" applyBorder="1"/>
    <xf numFmtId="0" fontId="4" fillId="0" borderId="1" xfId="0" applyFont="1" applyBorder="1" applyAlignment="1">
      <alignment horizontal="left" vertical="center"/>
    </xf>
    <xf numFmtId="167" fontId="7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19" fillId="2" borderId="1" xfId="0" applyNumberFormat="1" applyFont="1" applyFill="1" applyBorder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8" fillId="11" borderId="1" xfId="0" applyFont="1" applyFill="1" applyBorder="1"/>
    <xf numFmtId="0" fontId="18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/>
    <xf numFmtId="0" fontId="4" fillId="0" borderId="16" xfId="0" applyFont="1" applyBorder="1"/>
    <xf numFmtId="0" fontId="7" fillId="5" borderId="9" xfId="0" applyFont="1" applyFill="1" applyBorder="1"/>
    <xf numFmtId="10" fontId="7" fillId="5" borderId="10" xfId="0" applyNumberFormat="1" applyFont="1" applyFill="1" applyBorder="1"/>
    <xf numFmtId="0" fontId="7" fillId="5" borderId="14" xfId="0" applyFont="1" applyFill="1" applyBorder="1"/>
    <xf numFmtId="0" fontId="7" fillId="5" borderId="12" xfId="0" applyFont="1" applyFill="1" applyBorder="1"/>
    <xf numFmtId="165" fontId="14" fillId="0" borderId="6" xfId="1" applyNumberFormat="1" applyFont="1" applyBorder="1"/>
    <xf numFmtId="167" fontId="0" fillId="0" borderId="0" xfId="0" applyNumberFormat="1"/>
    <xf numFmtId="167" fontId="43" fillId="2" borderId="13" xfId="3" applyNumberFormat="1" applyFont="1" applyFill="1" applyBorder="1"/>
    <xf numFmtId="44" fontId="0" fillId="0" borderId="0" xfId="0" applyNumberFormat="1" applyAlignment="1">
      <alignment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44" fillId="8" borderId="6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28" xfId="0" applyFont="1" applyFill="1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56" workbookViewId="0">
      <selection activeCell="D59" sqref="D59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100" t="s">
        <v>58</v>
      </c>
      <c r="B1" s="96"/>
      <c r="C1" s="5"/>
      <c r="D1" s="5"/>
    </row>
    <row r="2" spans="1:4">
      <c r="A2" s="97" t="s">
        <v>97</v>
      </c>
      <c r="B2" s="97"/>
      <c r="C2" s="97"/>
      <c r="D2" s="97"/>
    </row>
    <row r="3" spans="1:4" ht="16.899999999999999" customHeight="1">
      <c r="A3" s="97" t="s">
        <v>65</v>
      </c>
      <c r="B3" s="97"/>
      <c r="C3" s="97"/>
      <c r="D3" s="97"/>
    </row>
    <row r="4" spans="1:4" ht="32.25" customHeight="1">
      <c r="A4" s="162" t="s">
        <v>108</v>
      </c>
      <c r="B4" s="162"/>
      <c r="C4" s="98"/>
      <c r="D4" s="98"/>
    </row>
    <row r="5" spans="1:4">
      <c r="A5" s="162"/>
      <c r="B5" s="162"/>
      <c r="C5" s="98"/>
      <c r="D5" s="98"/>
    </row>
    <row r="6" spans="1:4">
      <c r="A6" s="162"/>
      <c r="B6" s="162"/>
      <c r="C6" s="98"/>
      <c r="D6" s="98"/>
    </row>
    <row r="7" spans="1:4" ht="13.5" customHeight="1">
      <c r="A7" s="162"/>
      <c r="B7" s="162"/>
      <c r="C7" s="98"/>
      <c r="D7" s="98"/>
    </row>
    <row r="9" spans="1:4">
      <c r="B9" s="170" t="s">
        <v>115</v>
      </c>
    </row>
    <row r="10" spans="1:4">
      <c r="B10" s="170"/>
    </row>
    <row r="11" spans="1:4">
      <c r="B11" s="170"/>
    </row>
    <row r="13" spans="1:4" hidden="1"/>
    <row r="14" spans="1:4" ht="15" customHeight="1">
      <c r="A14" s="165" t="s">
        <v>100</v>
      </c>
      <c r="B14" s="165"/>
      <c r="C14" s="165"/>
      <c r="D14" s="165"/>
    </row>
    <row r="15" spans="1:4" ht="15" customHeight="1">
      <c r="A15" s="165"/>
      <c r="B15" s="165"/>
      <c r="C15" s="165"/>
      <c r="D15" s="165"/>
    </row>
    <row r="16" spans="1:4" ht="15" customHeight="1">
      <c r="A16" s="165"/>
      <c r="B16" s="165"/>
      <c r="C16" s="165"/>
      <c r="D16" s="165"/>
    </row>
    <row r="17" spans="1:7" ht="53.25" customHeight="1">
      <c r="A17" s="165"/>
      <c r="B17" s="165"/>
      <c r="C17" s="165"/>
      <c r="D17" s="165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9" t="s">
        <v>21</v>
      </c>
      <c r="B21" s="10"/>
      <c r="C21" s="7"/>
      <c r="D21" s="11"/>
    </row>
    <row r="22" spans="1:7">
      <c r="A22" s="23" t="s">
        <v>102</v>
      </c>
      <c r="B22" s="23"/>
      <c r="C22" s="21"/>
      <c r="D22" s="21"/>
      <c r="G22" s="33"/>
    </row>
    <row r="23" spans="1:7" ht="14.25" customHeight="1">
      <c r="A23" s="70" t="s">
        <v>129</v>
      </c>
      <c r="B23" s="70"/>
      <c r="C23" s="144"/>
      <c r="D23" s="70"/>
    </row>
    <row r="24" spans="1:7">
      <c r="A24" s="145" t="s">
        <v>48</v>
      </c>
      <c r="B24" s="145"/>
      <c r="C24" s="95">
        <f>SUM(C23:C23)</f>
        <v>0</v>
      </c>
      <c r="D24" s="71"/>
    </row>
    <row r="25" spans="1:7" ht="0.6" customHeight="1">
      <c r="A25" s="70"/>
      <c r="B25" s="70"/>
      <c r="C25" s="111"/>
      <c r="D25" s="99"/>
    </row>
    <row r="26" spans="1:7" hidden="1">
      <c r="A26" s="70"/>
      <c r="B26" s="70"/>
      <c r="C26" s="111"/>
      <c r="D26" s="99"/>
    </row>
    <row r="27" spans="1:7" hidden="1">
      <c r="A27" s="70"/>
      <c r="B27" s="70"/>
      <c r="C27" s="111"/>
      <c r="D27" s="99"/>
    </row>
    <row r="28" spans="1:7" hidden="1">
      <c r="A28" s="70"/>
      <c r="B28" s="70"/>
      <c r="C28" s="112"/>
      <c r="D28" s="99"/>
    </row>
    <row r="29" spans="1:7" hidden="1">
      <c r="A29" s="145" t="s">
        <v>48</v>
      </c>
      <c r="B29" s="146"/>
      <c r="C29" s="41">
        <f>SUM(C25:C28)</f>
        <v>0</v>
      </c>
      <c r="D29" s="71"/>
    </row>
    <row r="30" spans="1:7" ht="14.25" customHeight="1" thickBot="1">
      <c r="A30" s="22" t="s">
        <v>0</v>
      </c>
      <c r="B30" s="22"/>
      <c r="C30" s="16"/>
      <c r="D30" s="72">
        <f>C24+C29</f>
        <v>0</v>
      </c>
      <c r="E30" s="12"/>
      <c r="F30" s="12"/>
    </row>
    <row r="31" spans="1:7">
      <c r="A31" s="21" t="s">
        <v>33</v>
      </c>
      <c r="B31" s="21"/>
      <c r="C31" s="24"/>
      <c r="D31" s="73"/>
      <c r="F31" s="12"/>
    </row>
    <row r="32" spans="1:7" ht="22.5" customHeight="1">
      <c r="A32" s="128" t="s">
        <v>123</v>
      </c>
      <c r="B32" s="147"/>
      <c r="C32" s="111">
        <f>147400</f>
        <v>147400</v>
      </c>
      <c r="D32" s="109" t="s">
        <v>124</v>
      </c>
      <c r="F32" s="33">
        <v>73700</v>
      </c>
      <c r="G32" s="12"/>
    </row>
    <row r="33" spans="1:6" ht="15.75" thickBot="1">
      <c r="A33" s="22" t="s">
        <v>29</v>
      </c>
      <c r="B33" s="22"/>
      <c r="C33" s="27"/>
      <c r="D33" s="72">
        <f>SUM(C32:C32)</f>
        <v>147400</v>
      </c>
    </row>
    <row r="34" spans="1:6" ht="16.5" customHeight="1">
      <c r="A34" s="21" t="s">
        <v>45</v>
      </c>
      <c r="B34" s="22"/>
      <c r="C34" s="25"/>
      <c r="D34" s="47"/>
    </row>
    <row r="35" spans="1:6" s="30" customFormat="1" ht="25.5" customHeight="1">
      <c r="A35" s="163" t="s">
        <v>66</v>
      </c>
      <c r="B35" s="164"/>
      <c r="C35" s="113">
        <v>23077</v>
      </c>
      <c r="D35" s="108" t="s">
        <v>110</v>
      </c>
      <c r="F35" s="159">
        <f>C35*2</f>
        <v>46154</v>
      </c>
    </row>
    <row r="36" spans="1:6" ht="22.5" customHeight="1">
      <c r="A36" s="163" t="s">
        <v>67</v>
      </c>
      <c r="B36" s="164"/>
      <c r="C36" s="114">
        <v>152897</v>
      </c>
      <c r="D36" s="108" t="s">
        <v>119</v>
      </c>
    </row>
    <row r="37" spans="1:6" ht="15.75" thickBot="1">
      <c r="A37" s="22" t="s">
        <v>1</v>
      </c>
      <c r="B37" s="22"/>
      <c r="C37" s="27"/>
      <c r="D37" s="74">
        <f>SUM(C35:C36)</f>
        <v>175974</v>
      </c>
    </row>
    <row r="38" spans="1:6" hidden="1">
      <c r="A38" s="21" t="s">
        <v>30</v>
      </c>
      <c r="B38" s="148"/>
      <c r="C38" s="28"/>
      <c r="D38" s="75"/>
    </row>
    <row r="39" spans="1:6" hidden="1">
      <c r="A39" s="70" t="s">
        <v>59</v>
      </c>
      <c r="B39" s="70" t="s">
        <v>109</v>
      </c>
      <c r="C39" s="115"/>
      <c r="D39" s="108"/>
      <c r="F39" s="101"/>
    </row>
    <row r="40" spans="1:6" hidden="1">
      <c r="A40" s="70" t="s">
        <v>60</v>
      </c>
      <c r="B40" s="70" t="s">
        <v>109</v>
      </c>
      <c r="C40" s="116"/>
      <c r="D40" s="108"/>
    </row>
    <row r="41" spans="1:6" hidden="1">
      <c r="A41" s="70" t="s">
        <v>61</v>
      </c>
      <c r="B41" s="70" t="s">
        <v>109</v>
      </c>
      <c r="C41" s="116"/>
      <c r="D41" s="108"/>
    </row>
    <row r="42" spans="1:6" hidden="1">
      <c r="A42" s="70" t="s">
        <v>62</v>
      </c>
      <c r="B42" s="70" t="s">
        <v>109</v>
      </c>
      <c r="C42" s="116"/>
      <c r="D42" s="107"/>
    </row>
    <row r="43" spans="1:6" ht="15" hidden="1" customHeight="1" thickBot="1">
      <c r="A43" s="22" t="s">
        <v>2</v>
      </c>
      <c r="B43" s="148"/>
      <c r="C43" s="29"/>
      <c r="D43" s="74">
        <f>SUM(C39:C42)</f>
        <v>0</v>
      </c>
    </row>
    <row r="44" spans="1:6">
      <c r="A44" s="21" t="s">
        <v>32</v>
      </c>
      <c r="B44" s="148"/>
      <c r="C44" s="28"/>
      <c r="D44" s="75"/>
    </row>
    <row r="45" spans="1:6" ht="14.25" customHeight="1">
      <c r="A45" s="85" t="s">
        <v>98</v>
      </c>
      <c r="B45" s="70"/>
      <c r="C45" s="116">
        <v>104732.54</v>
      </c>
      <c r="D45" s="106" t="s">
        <v>116</v>
      </c>
    </row>
    <row r="46" spans="1:6" ht="14.25" customHeight="1">
      <c r="A46" s="70" t="s">
        <v>99</v>
      </c>
      <c r="B46" s="70"/>
      <c r="C46" s="116">
        <v>354392.42</v>
      </c>
      <c r="D46" s="106" t="s">
        <v>116</v>
      </c>
    </row>
    <row r="47" spans="1:6" ht="15.75" thickBot="1">
      <c r="A47" s="22" t="s">
        <v>3</v>
      </c>
      <c r="B47" s="22"/>
      <c r="C47" s="27"/>
      <c r="D47" s="74">
        <f>SUM(C45:C46)</f>
        <v>459124.95999999996</v>
      </c>
    </row>
    <row r="48" spans="1:6" ht="15.75" thickBot="1">
      <c r="A48" s="21" t="s">
        <v>31</v>
      </c>
      <c r="B48" s="22"/>
      <c r="C48" s="27"/>
      <c r="D48" s="77"/>
    </row>
    <row r="49" spans="1:6" ht="50.25" customHeight="1">
      <c r="A49" s="163" t="s">
        <v>118</v>
      </c>
      <c r="B49" s="164"/>
      <c r="C49" s="116">
        <v>370000</v>
      </c>
      <c r="D49" s="103" t="s">
        <v>121</v>
      </c>
    </row>
    <row r="50" spans="1:6" ht="50.25" customHeight="1">
      <c r="A50" s="163" t="s">
        <v>131</v>
      </c>
      <c r="B50" s="164"/>
      <c r="C50" s="116">
        <v>400000</v>
      </c>
      <c r="D50" s="103" t="s">
        <v>122</v>
      </c>
    </row>
    <row r="51" spans="1:6" ht="50.25" customHeight="1">
      <c r="A51" s="163" t="s">
        <v>117</v>
      </c>
      <c r="B51" s="164"/>
      <c r="C51" s="116">
        <v>105000</v>
      </c>
      <c r="D51" s="103" t="s">
        <v>120</v>
      </c>
    </row>
    <row r="52" spans="1:6" ht="50.25" customHeight="1">
      <c r="A52" s="163" t="s">
        <v>125</v>
      </c>
      <c r="B52" s="164"/>
      <c r="C52" s="116">
        <v>110000</v>
      </c>
      <c r="D52" s="103" t="s">
        <v>126</v>
      </c>
    </row>
    <row r="53" spans="1:6" ht="15.75" thickBot="1">
      <c r="A53" s="22" t="s">
        <v>11</v>
      </c>
      <c r="B53" s="21"/>
      <c r="C53" s="21"/>
      <c r="D53" s="80">
        <f>SUM(C49:C52)</f>
        <v>985000</v>
      </c>
    </row>
    <row r="54" spans="1:6" ht="15.75" thickBot="1">
      <c r="A54" s="21" t="s">
        <v>24</v>
      </c>
      <c r="B54" s="149"/>
      <c r="C54" s="16"/>
      <c r="D54" s="77"/>
    </row>
    <row r="55" spans="1:6">
      <c r="A55" s="70" t="s">
        <v>68</v>
      </c>
      <c r="B55" s="70"/>
      <c r="C55" s="118"/>
      <c r="D55" s="81"/>
    </row>
    <row r="56" spans="1:6">
      <c r="A56" s="70" t="s">
        <v>107</v>
      </c>
      <c r="B56" s="70"/>
      <c r="C56" s="116">
        <v>26007.360000000001</v>
      </c>
      <c r="D56" s="79"/>
    </row>
    <row r="57" spans="1:6" ht="15.75" thickBot="1">
      <c r="A57" s="150" t="s">
        <v>29</v>
      </c>
      <c r="B57" s="150"/>
      <c r="C57" s="82"/>
      <c r="D57" s="74">
        <f>SUM(C55:C56)</f>
        <v>26007.360000000001</v>
      </c>
    </row>
    <row r="58" spans="1:6" ht="15.75" thickBot="1">
      <c r="A58" s="70"/>
      <c r="B58" s="70"/>
      <c r="C58" s="70"/>
      <c r="D58" s="83"/>
    </row>
    <row r="59" spans="1:6" ht="20.25" customHeight="1" thickBot="1">
      <c r="A59" s="167" t="s">
        <v>111</v>
      </c>
      <c r="B59" s="168"/>
      <c r="C59" s="169"/>
      <c r="D59" s="84"/>
    </row>
    <row r="60" spans="1:6" ht="15.75" thickBot="1">
      <c r="A60" s="151"/>
      <c r="B60" s="85"/>
      <c r="C60" s="85"/>
      <c r="D60" s="86"/>
      <c r="E60" s="35"/>
    </row>
    <row r="61" spans="1:6" ht="15.75" thickBot="1">
      <c r="A61" s="152" t="s">
        <v>25</v>
      </c>
      <c r="B61" s="153"/>
      <c r="C61" s="87"/>
      <c r="D61" s="88">
        <f>(SUM(D25:D59))</f>
        <v>1793506.32</v>
      </c>
      <c r="E61" s="35"/>
      <c r="F61" s="35"/>
    </row>
    <row r="62" spans="1:6">
      <c r="A62" s="85"/>
      <c r="B62" s="85"/>
      <c r="C62" s="85"/>
      <c r="D62" s="85"/>
      <c r="F62" s="102"/>
    </row>
    <row r="63" spans="1:6" ht="15.75" thickBot="1">
      <c r="A63" s="85"/>
      <c r="B63" s="85"/>
      <c r="C63" s="85"/>
      <c r="D63" s="85"/>
    </row>
    <row r="64" spans="1:6">
      <c r="A64" s="154" t="s">
        <v>34</v>
      </c>
      <c r="B64" s="155"/>
      <c r="C64" s="89"/>
      <c r="D64" s="90"/>
    </row>
    <row r="65" spans="1:4">
      <c r="A65" s="160" t="s">
        <v>127</v>
      </c>
      <c r="B65" s="161"/>
      <c r="C65" s="116">
        <v>21000</v>
      </c>
      <c r="D65" s="103" t="s">
        <v>128</v>
      </c>
    </row>
    <row r="66" spans="1:4">
      <c r="A66" s="163"/>
      <c r="B66" s="164"/>
      <c r="C66" s="78"/>
      <c r="D66" s="76"/>
    </row>
    <row r="67" spans="1:4">
      <c r="A67" s="93"/>
      <c r="B67" s="94"/>
      <c r="C67" s="78"/>
      <c r="D67" s="76"/>
    </row>
    <row r="68" spans="1:4">
      <c r="A68" s="38"/>
      <c r="B68" s="37"/>
      <c r="C68" s="42"/>
      <c r="D68" s="42">
        <f>SUM(C65:C67)</f>
        <v>21000</v>
      </c>
    </row>
    <row r="69" spans="1:4" ht="15" customHeight="1"/>
    <row r="70" spans="1:4" hidden="1"/>
    <row r="71" spans="1:4">
      <c r="A71" s="17" t="s">
        <v>35</v>
      </c>
      <c r="B71" s="17"/>
      <c r="C71" s="18"/>
      <c r="D71" s="110">
        <v>0</v>
      </c>
    </row>
    <row r="72" spans="1:4" ht="15.75" thickBot="1"/>
    <row r="73" spans="1:4" ht="15.75" thickBot="1">
      <c r="A73" s="2" t="s">
        <v>36</v>
      </c>
      <c r="B73" s="8"/>
      <c r="C73" s="3"/>
      <c r="D73" s="48">
        <f>D68+D71</f>
        <v>21000</v>
      </c>
    </row>
    <row r="74" spans="1:4" ht="15.75" thickBot="1"/>
    <row r="75" spans="1:4" ht="15.75" thickBot="1">
      <c r="A75" s="68" t="s">
        <v>26</v>
      </c>
      <c r="B75" s="69">
        <f>D61</f>
        <v>1793506.32</v>
      </c>
      <c r="C75" s="35"/>
    </row>
    <row r="76" spans="1:4" ht="15.75" thickBot="1">
      <c r="A76" s="68" t="s">
        <v>27</v>
      </c>
      <c r="B76" s="69">
        <f>D61-D59</f>
        <v>1793506.32</v>
      </c>
    </row>
    <row r="77" spans="1:4" ht="15.75" thickBot="1">
      <c r="A77" s="68" t="s">
        <v>37</v>
      </c>
      <c r="B77" s="69">
        <f>D73-D71</f>
        <v>21000</v>
      </c>
    </row>
    <row r="78" spans="1:4" ht="15.75" thickBot="1">
      <c r="A78" s="68" t="s">
        <v>52</v>
      </c>
      <c r="B78" s="69">
        <f>D73</f>
        <v>21000</v>
      </c>
    </row>
    <row r="82" spans="1:4" ht="15.75" thickBot="1">
      <c r="A82" s="13" t="s">
        <v>47</v>
      </c>
      <c r="B82" s="127"/>
    </row>
    <row r="83" spans="1:4" ht="25.5" customHeight="1" thickBot="1">
      <c r="A83" s="20" t="s">
        <v>28</v>
      </c>
      <c r="B83" s="158">
        <v>487362.16999999993</v>
      </c>
    </row>
    <row r="84" spans="1:4" ht="14.25" customHeight="1">
      <c r="A84" s="14" t="s">
        <v>55</v>
      </c>
      <c r="B84" s="32">
        <f>PRORRATEO!H24</f>
        <v>1320859.99</v>
      </c>
    </row>
    <row r="85" spans="1:4" ht="14.25" customHeight="1">
      <c r="A85" s="14" t="s">
        <v>54</v>
      </c>
      <c r="B85" s="79">
        <f>B96</f>
        <v>0</v>
      </c>
    </row>
    <row r="86" spans="1:4" ht="13.9" customHeight="1">
      <c r="A86" s="15" t="s">
        <v>63</v>
      </c>
      <c r="B86" s="105"/>
    </row>
    <row r="87" spans="1:4" ht="13.9" customHeight="1">
      <c r="A87" s="15" t="s">
        <v>114</v>
      </c>
      <c r="B87" s="79">
        <f>52366.67+144594.47</f>
        <v>196961.14</v>
      </c>
    </row>
    <row r="88" spans="1:4">
      <c r="A88" s="31" t="s">
        <v>38</v>
      </c>
      <c r="B88" s="105">
        <f>-B76</f>
        <v>-1793506.32</v>
      </c>
    </row>
    <row r="89" spans="1:4">
      <c r="A89" s="15" t="s">
        <v>39</v>
      </c>
      <c r="B89" s="105">
        <f>-(B77)</f>
        <v>-21000</v>
      </c>
    </row>
    <row r="90" spans="1:4">
      <c r="A90" s="19" t="s">
        <v>11</v>
      </c>
      <c r="B90" s="129">
        <f>SUM(B83:B89)</f>
        <v>190676.97999999975</v>
      </c>
      <c r="C90" s="157"/>
    </row>
    <row r="91" spans="1:4" ht="34.5" customHeight="1">
      <c r="B91" s="33"/>
      <c r="C91" s="35"/>
      <c r="D91" s="157"/>
    </row>
    <row r="92" spans="1:4">
      <c r="A92" s="166" t="s">
        <v>46</v>
      </c>
      <c r="B92" s="166"/>
    </row>
    <row r="93" spans="1:4" ht="27.75" customHeight="1">
      <c r="A93" s="166"/>
      <c r="B93" s="166"/>
    </row>
    <row r="94" spans="1:4" ht="32.25" customHeight="1">
      <c r="A94" s="91"/>
      <c r="B94" s="26"/>
    </row>
    <row r="95" spans="1:4" ht="32.25" customHeight="1">
      <c r="A95" s="91"/>
      <c r="B95" s="26"/>
    </row>
    <row r="96" spans="1:4">
      <c r="A96" s="36" t="s">
        <v>11</v>
      </c>
      <c r="B96" s="92">
        <f>SUM(B94:B95)</f>
        <v>0</v>
      </c>
    </row>
    <row r="97" spans="12:12">
      <c r="L97" s="6"/>
    </row>
  </sheetData>
  <mergeCells count="12">
    <mergeCell ref="A4:B7"/>
    <mergeCell ref="A36:B36"/>
    <mergeCell ref="A14:D17"/>
    <mergeCell ref="A92:B93"/>
    <mergeCell ref="A66:B66"/>
    <mergeCell ref="A59:C59"/>
    <mergeCell ref="B9:B11"/>
    <mergeCell ref="A35:B35"/>
    <mergeCell ref="A51:B51"/>
    <mergeCell ref="A49:B49"/>
    <mergeCell ref="A52:B52"/>
    <mergeCell ref="A50:B5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1" zoomScaleNormal="100" workbookViewId="0">
      <selection activeCell="O2" sqref="O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30"/>
      <c r="B1" s="175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75"/>
      <c r="D1" s="175"/>
      <c r="E1" s="175"/>
      <c r="F1" s="175"/>
      <c r="G1" s="175"/>
      <c r="H1" s="175"/>
      <c r="I1" s="175"/>
      <c r="J1" s="175"/>
      <c r="K1" s="175"/>
      <c r="L1" s="131"/>
      <c r="M1" s="131"/>
      <c r="N1" s="131"/>
      <c r="O1" s="131"/>
      <c r="P1" s="132"/>
    </row>
    <row r="2" spans="1:21" ht="33.75" customHeight="1">
      <c r="A2" s="133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34"/>
      <c r="M2" s="134" t="s">
        <v>4</v>
      </c>
      <c r="N2" s="5"/>
      <c r="O2" s="142">
        <v>1700000</v>
      </c>
      <c r="P2" s="135"/>
      <c r="Q2" s="12"/>
      <c r="R2">
        <v>1406361.51</v>
      </c>
    </row>
    <row r="3" spans="1:21" ht="46.5" customHeight="1" thickBot="1">
      <c r="A3" s="136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37"/>
      <c r="M3" s="137" t="s">
        <v>56</v>
      </c>
      <c r="N3" s="138"/>
      <c r="O3" s="143">
        <v>21000</v>
      </c>
      <c r="P3" s="139"/>
    </row>
    <row r="4" spans="1:21" ht="30.6" customHeight="1" thickBot="1">
      <c r="A4" s="5"/>
      <c r="B4" s="187" t="s">
        <v>101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</row>
    <row r="5" spans="1:21">
      <c r="A5" s="171" t="s">
        <v>5</v>
      </c>
      <c r="B5" s="173" t="s">
        <v>6</v>
      </c>
      <c r="C5" s="174" t="s">
        <v>7</v>
      </c>
      <c r="D5" s="174" t="s">
        <v>8</v>
      </c>
      <c r="E5" s="174" t="s">
        <v>42</v>
      </c>
      <c r="F5" s="174" t="s">
        <v>23</v>
      </c>
      <c r="G5" s="174" t="s">
        <v>53</v>
      </c>
      <c r="H5" s="174" t="s">
        <v>9</v>
      </c>
      <c r="I5" s="174" t="s">
        <v>43</v>
      </c>
      <c r="J5" s="183" t="s">
        <v>44</v>
      </c>
      <c r="K5" s="181" t="s">
        <v>41</v>
      </c>
      <c r="L5" s="181" t="s">
        <v>10</v>
      </c>
      <c r="M5" s="181" t="s">
        <v>40</v>
      </c>
      <c r="N5" s="185" t="s">
        <v>51</v>
      </c>
      <c r="O5" s="117" t="s">
        <v>50</v>
      </c>
      <c r="P5" s="178" t="s">
        <v>49</v>
      </c>
      <c r="S5" s="35"/>
      <c r="T5" s="33"/>
    </row>
    <row r="6" spans="1:21" ht="15.75" customHeight="1">
      <c r="A6" s="172"/>
      <c r="B6" s="173"/>
      <c r="C6" s="174"/>
      <c r="D6" s="174"/>
      <c r="E6" s="180"/>
      <c r="F6" s="174"/>
      <c r="G6" s="174"/>
      <c r="H6" s="174"/>
      <c r="I6" s="180"/>
      <c r="J6" s="184"/>
      <c r="K6" s="182"/>
      <c r="L6" s="181"/>
      <c r="M6" s="182"/>
      <c r="N6" s="186"/>
      <c r="O6" s="43" t="str">
        <f>RESUMEN!B9</f>
        <v>VTO 13/03</v>
      </c>
      <c r="P6" s="178"/>
      <c r="S6" s="33">
        <v>65160</v>
      </c>
      <c r="T6" s="33">
        <v>157470</v>
      </c>
      <c r="U6" s="35">
        <f>T6+S6</f>
        <v>222630</v>
      </c>
    </row>
    <row r="7" spans="1:21" ht="17.100000000000001" customHeight="1">
      <c r="A7" s="4" t="s">
        <v>12</v>
      </c>
      <c r="B7" s="45">
        <v>1</v>
      </c>
      <c r="C7" s="45" t="s">
        <v>70</v>
      </c>
      <c r="D7" s="45" t="s">
        <v>86</v>
      </c>
      <c r="E7" s="45"/>
      <c r="F7" s="49">
        <v>10.86</v>
      </c>
      <c r="G7" s="50">
        <v>3241038.01</v>
      </c>
      <c r="H7" s="51"/>
      <c r="I7" s="52"/>
      <c r="J7" s="53">
        <f>G7-H7</f>
        <v>3241038.01</v>
      </c>
      <c r="K7" s="53">
        <f>IF(J7&gt;0,J7*3%,0)</f>
        <v>97231.140299999985</v>
      </c>
      <c r="L7" s="54">
        <f>O$3*F7%</f>
        <v>2280.6</v>
      </c>
      <c r="M7" s="54">
        <f>O$2*F7%</f>
        <v>184619.99999999997</v>
      </c>
      <c r="N7" s="55">
        <v>0</v>
      </c>
      <c r="O7" s="56">
        <f>ROUND(SUM(J7:N7),0) + Q7</f>
        <v>3525170.01</v>
      </c>
      <c r="P7" s="57">
        <f t="shared" ref="P7:P23" si="0">ROUND(O7*3%,0) + O7</f>
        <v>3630925.01</v>
      </c>
      <c r="Q7" s="35">
        <v>0.01</v>
      </c>
      <c r="S7" s="33">
        <v>66960</v>
      </c>
      <c r="T7" s="33">
        <v>161820</v>
      </c>
      <c r="U7" s="35">
        <f t="shared" ref="U7:U21" si="1">T7+S7</f>
        <v>228780</v>
      </c>
    </row>
    <row r="8" spans="1:21" ht="17.100000000000001" customHeight="1">
      <c r="A8" s="4" t="s">
        <v>13</v>
      </c>
      <c r="B8" s="45">
        <v>2</v>
      </c>
      <c r="C8" s="45" t="s">
        <v>71</v>
      </c>
      <c r="D8" s="45" t="s">
        <v>87</v>
      </c>
      <c r="E8" s="46"/>
      <c r="F8" s="49">
        <v>11.16</v>
      </c>
      <c r="G8" s="50">
        <v>162923.01999999999</v>
      </c>
      <c r="H8" s="51">
        <f>171244.14-H18</f>
        <v>162923.02000000002</v>
      </c>
      <c r="I8" s="52"/>
      <c r="J8" s="53">
        <f t="shared" ref="J8:J22" si="2">G8-H8</f>
        <v>0</v>
      </c>
      <c r="K8" s="53">
        <f t="shared" ref="K8:K22" si="3">IF(J8&gt;0,J8*3%,0)</f>
        <v>0</v>
      </c>
      <c r="L8" s="54">
        <f t="shared" ref="L8:L23" si="4">O$3*F8%</f>
        <v>2343.6</v>
      </c>
      <c r="M8" s="54">
        <f t="shared" ref="M8:M23" si="5">O$2*F8%</f>
        <v>189720</v>
      </c>
      <c r="N8" s="55">
        <v>0</v>
      </c>
      <c r="O8" s="56">
        <f>ROUND(SUM(J8:N8),0) + Q8</f>
        <v>192064.02</v>
      </c>
      <c r="P8" s="57">
        <f t="shared" si="0"/>
        <v>197826.02</v>
      </c>
      <c r="Q8" s="35">
        <f>Q7+0.01</f>
        <v>0.02</v>
      </c>
      <c r="R8" s="35"/>
      <c r="S8" s="33">
        <v>41700</v>
      </c>
      <c r="T8" s="33">
        <v>100775</v>
      </c>
      <c r="U8" s="35">
        <f t="shared" si="1"/>
        <v>142475</v>
      </c>
    </row>
    <row r="9" spans="1:21" ht="17.100000000000001" customHeight="1">
      <c r="A9" s="4" t="s">
        <v>13</v>
      </c>
      <c r="B9" s="104">
        <v>4</v>
      </c>
      <c r="C9" s="104" t="s">
        <v>72</v>
      </c>
      <c r="D9" s="119" t="s">
        <v>88</v>
      </c>
      <c r="E9" s="104" t="s">
        <v>113</v>
      </c>
      <c r="F9" s="121">
        <v>6.95</v>
      </c>
      <c r="G9" s="51">
        <v>150722.03</v>
      </c>
      <c r="H9" s="51">
        <f>G9</f>
        <v>150722.03</v>
      </c>
      <c r="I9" s="52"/>
      <c r="J9" s="122">
        <f t="shared" si="2"/>
        <v>0</v>
      </c>
      <c r="K9" s="53">
        <f t="shared" si="3"/>
        <v>0</v>
      </c>
      <c r="L9" s="123">
        <f t="shared" si="4"/>
        <v>1459.5000000000002</v>
      </c>
      <c r="M9" s="123">
        <f t="shared" si="5"/>
        <v>118150.00000000001</v>
      </c>
      <c r="N9" s="124">
        <v>0</v>
      </c>
      <c r="O9" s="125">
        <f t="shared" ref="O9:O23" si="6">ROUND(SUM(J9:N9),0) + Q9</f>
        <v>119610.03</v>
      </c>
      <c r="P9" s="126">
        <f t="shared" si="0"/>
        <v>123198.03</v>
      </c>
      <c r="Q9" s="35">
        <f t="shared" ref="Q9:Q22" si="7">Q8+0.01</f>
        <v>0.03</v>
      </c>
      <c r="S9" s="33">
        <v>44220</v>
      </c>
      <c r="T9" s="33">
        <v>106865</v>
      </c>
      <c r="U9" s="35">
        <f t="shared" si="1"/>
        <v>151085</v>
      </c>
    </row>
    <row r="10" spans="1:21" ht="17.100000000000001" customHeight="1">
      <c r="A10" s="4" t="s">
        <v>14</v>
      </c>
      <c r="B10" s="45">
        <v>3</v>
      </c>
      <c r="C10" s="45" t="s">
        <v>73</v>
      </c>
      <c r="D10" s="45" t="s">
        <v>89</v>
      </c>
      <c r="E10" s="45" t="s">
        <v>112</v>
      </c>
      <c r="F10" s="49">
        <v>7.37</v>
      </c>
      <c r="G10" s="50">
        <v>104179.04</v>
      </c>
      <c r="H10" s="51">
        <f>110962-H20</f>
        <v>103591.86</v>
      </c>
      <c r="I10" s="52"/>
      <c r="J10" s="53">
        <f t="shared" si="2"/>
        <v>587.17999999999302</v>
      </c>
      <c r="K10" s="53">
        <f t="shared" si="3"/>
        <v>17.615399999999791</v>
      </c>
      <c r="L10" s="54">
        <f t="shared" si="4"/>
        <v>1547.7</v>
      </c>
      <c r="M10" s="54">
        <f t="shared" si="5"/>
        <v>125290</v>
      </c>
      <c r="N10" s="55">
        <v>0</v>
      </c>
      <c r="O10" s="56">
        <f t="shared" si="6"/>
        <v>127442.04</v>
      </c>
      <c r="P10" s="57">
        <f t="shared" si="0"/>
        <v>131265.03999999998</v>
      </c>
      <c r="Q10" s="35">
        <f t="shared" si="7"/>
        <v>0.04</v>
      </c>
      <c r="S10" s="33">
        <v>64080</v>
      </c>
      <c r="T10" s="33">
        <v>154860</v>
      </c>
      <c r="U10" s="35">
        <f t="shared" si="1"/>
        <v>218940</v>
      </c>
    </row>
    <row r="11" spans="1:21" ht="17.100000000000001" customHeight="1">
      <c r="A11" s="4" t="s">
        <v>14</v>
      </c>
      <c r="B11" s="45">
        <v>5</v>
      </c>
      <c r="C11" s="45" t="s">
        <v>74</v>
      </c>
      <c r="D11" s="45" t="s">
        <v>90</v>
      </c>
      <c r="E11" s="46" t="s">
        <v>105</v>
      </c>
      <c r="F11" s="49">
        <v>10.68</v>
      </c>
      <c r="G11" s="50">
        <v>151374.04999999999</v>
      </c>
      <c r="H11" s="51">
        <f>1175+150199</f>
        <v>151374</v>
      </c>
      <c r="I11" s="52"/>
      <c r="J11" s="53">
        <f t="shared" si="2"/>
        <v>4.9999999988358468E-2</v>
      </c>
      <c r="K11" s="53">
        <f t="shared" si="3"/>
        <v>1.499999999650754E-3</v>
      </c>
      <c r="L11" s="54">
        <f t="shared" si="4"/>
        <v>2242.7999999999997</v>
      </c>
      <c r="M11" s="54">
        <f t="shared" si="5"/>
        <v>181560</v>
      </c>
      <c r="N11" s="55">
        <v>0</v>
      </c>
      <c r="O11" s="56">
        <f t="shared" si="6"/>
        <v>183803.05</v>
      </c>
      <c r="P11" s="57">
        <f t="shared" si="0"/>
        <v>189317.05</v>
      </c>
      <c r="Q11" s="35">
        <f t="shared" si="7"/>
        <v>0.05</v>
      </c>
      <c r="S11" s="33">
        <v>41700</v>
      </c>
      <c r="T11" s="33">
        <v>100775</v>
      </c>
      <c r="U11" s="35">
        <f t="shared" si="1"/>
        <v>142475</v>
      </c>
    </row>
    <row r="12" spans="1:21" ht="17.100000000000001" customHeight="1">
      <c r="A12" s="4" t="s">
        <v>15</v>
      </c>
      <c r="B12" s="45">
        <v>7</v>
      </c>
      <c r="C12" s="45" t="s">
        <v>75</v>
      </c>
      <c r="D12" s="45" t="s">
        <v>91</v>
      </c>
      <c r="E12" s="45" t="s">
        <v>130</v>
      </c>
      <c r="F12" s="49">
        <v>6.95</v>
      </c>
      <c r="G12" s="50">
        <v>578507.06000000006</v>
      </c>
      <c r="H12" s="51">
        <f>832+98510</f>
        <v>99342</v>
      </c>
      <c r="I12" s="52"/>
      <c r="J12" s="53">
        <f t="shared" si="2"/>
        <v>479165.06000000006</v>
      </c>
      <c r="K12" s="53">
        <f t="shared" si="3"/>
        <v>14374.951800000001</v>
      </c>
      <c r="L12" s="54">
        <f t="shared" si="4"/>
        <v>1459.5000000000002</v>
      </c>
      <c r="M12" s="54">
        <f t="shared" si="5"/>
        <v>118150.00000000001</v>
      </c>
      <c r="N12" s="156">
        <v>0</v>
      </c>
      <c r="O12" s="56">
        <f>ROUND(SUM(J12:N12),0) + Q12</f>
        <v>613150.06000000006</v>
      </c>
      <c r="P12" s="57">
        <f t="shared" si="0"/>
        <v>631545.06000000006</v>
      </c>
      <c r="Q12" s="35">
        <f t="shared" si="7"/>
        <v>6.0000000000000005E-2</v>
      </c>
      <c r="S12" s="33">
        <v>41340</v>
      </c>
      <c r="T12" s="33">
        <v>99905</v>
      </c>
      <c r="U12" s="35">
        <f t="shared" si="1"/>
        <v>141245</v>
      </c>
    </row>
    <row r="13" spans="1:21" ht="17.100000000000001" customHeight="1">
      <c r="A13" s="4" t="s">
        <v>15</v>
      </c>
      <c r="B13" s="45">
        <v>6</v>
      </c>
      <c r="C13" s="104" t="s">
        <v>76</v>
      </c>
      <c r="D13" s="104" t="s">
        <v>92</v>
      </c>
      <c r="E13" s="45" t="s">
        <v>106</v>
      </c>
      <c r="F13" s="49">
        <v>6.89</v>
      </c>
      <c r="G13" s="50">
        <v>97656.07</v>
      </c>
      <c r="H13" s="51">
        <v>100586.07</v>
      </c>
      <c r="I13" s="52"/>
      <c r="J13" s="53">
        <f t="shared" si="2"/>
        <v>-2930</v>
      </c>
      <c r="K13" s="53">
        <f t="shared" si="3"/>
        <v>0</v>
      </c>
      <c r="L13" s="54">
        <f t="shared" si="4"/>
        <v>1446.9</v>
      </c>
      <c r="M13" s="54">
        <f t="shared" si="5"/>
        <v>117130</v>
      </c>
      <c r="N13" s="55">
        <v>0</v>
      </c>
      <c r="O13" s="56">
        <f t="shared" si="6"/>
        <v>115647.07</v>
      </c>
      <c r="P13" s="57">
        <f t="shared" si="0"/>
        <v>119116.07</v>
      </c>
      <c r="Q13" s="35">
        <f t="shared" si="7"/>
        <v>7.0000000000000007E-2</v>
      </c>
      <c r="R13" s="102"/>
      <c r="S13" s="140">
        <v>64080</v>
      </c>
      <c r="T13" s="33">
        <v>154860</v>
      </c>
      <c r="U13" s="35">
        <f t="shared" si="1"/>
        <v>218940</v>
      </c>
    </row>
    <row r="14" spans="1:21" ht="17.100000000000001" customHeight="1">
      <c r="A14" s="4" t="s">
        <v>16</v>
      </c>
      <c r="B14" s="45">
        <v>8</v>
      </c>
      <c r="C14" s="45" t="s">
        <v>77</v>
      </c>
      <c r="D14" s="45" t="s">
        <v>92</v>
      </c>
      <c r="E14" s="45" t="s">
        <v>104</v>
      </c>
      <c r="F14" s="49">
        <v>10.68</v>
      </c>
      <c r="G14" s="50">
        <v>151374.07999999999</v>
      </c>
      <c r="H14" s="51">
        <f t="shared" ref="H14:H18" si="8">G14</f>
        <v>151374.07999999999</v>
      </c>
      <c r="I14" s="52"/>
      <c r="J14" s="53">
        <f t="shared" si="2"/>
        <v>0</v>
      </c>
      <c r="K14" s="53">
        <f t="shared" si="3"/>
        <v>0</v>
      </c>
      <c r="L14" s="54">
        <f t="shared" si="4"/>
        <v>2242.7999999999997</v>
      </c>
      <c r="M14" s="54">
        <f t="shared" si="5"/>
        <v>181560</v>
      </c>
      <c r="N14" s="55">
        <v>0</v>
      </c>
      <c r="O14" s="56">
        <f t="shared" si="6"/>
        <v>183803.08</v>
      </c>
      <c r="P14" s="57">
        <f t="shared" si="0"/>
        <v>189317.08</v>
      </c>
      <c r="Q14" s="35">
        <f t="shared" si="7"/>
        <v>0.08</v>
      </c>
      <c r="S14" s="33">
        <v>41700</v>
      </c>
      <c r="T14" s="33">
        <v>100775</v>
      </c>
      <c r="U14" s="35">
        <f t="shared" si="1"/>
        <v>142475</v>
      </c>
    </row>
    <row r="15" spans="1:21" ht="17.100000000000001" customHeight="1">
      <c r="A15" s="4" t="s">
        <v>16</v>
      </c>
      <c r="B15" s="104">
        <v>10</v>
      </c>
      <c r="C15" s="104" t="s">
        <v>78</v>
      </c>
      <c r="D15" s="104" t="s">
        <v>93</v>
      </c>
      <c r="E15" s="120"/>
      <c r="F15" s="121">
        <v>6.95</v>
      </c>
      <c r="G15" s="51">
        <v>98507.09</v>
      </c>
      <c r="H15" s="141">
        <f>98507.09+765.09</f>
        <v>99272.18</v>
      </c>
      <c r="I15" s="52"/>
      <c r="J15" s="122">
        <f t="shared" si="2"/>
        <v>-765.08999999999651</v>
      </c>
      <c r="K15" s="122">
        <f t="shared" si="3"/>
        <v>0</v>
      </c>
      <c r="L15" s="123">
        <f t="shared" si="4"/>
        <v>1459.5000000000002</v>
      </c>
      <c r="M15" s="123">
        <f t="shared" si="5"/>
        <v>118150.00000000001</v>
      </c>
      <c r="N15" s="124">
        <v>0</v>
      </c>
      <c r="O15" s="125">
        <f t="shared" si="6"/>
        <v>118844.09</v>
      </c>
      <c r="P15" s="126">
        <f t="shared" si="0"/>
        <v>122409.09</v>
      </c>
      <c r="Q15" s="35">
        <f t="shared" si="7"/>
        <v>0.09</v>
      </c>
      <c r="S15" s="33">
        <v>41340</v>
      </c>
      <c r="T15" s="33">
        <v>99905</v>
      </c>
      <c r="U15" s="35">
        <f t="shared" si="1"/>
        <v>141245</v>
      </c>
    </row>
    <row r="16" spans="1:21" ht="17.100000000000001" customHeight="1">
      <c r="A16" s="4" t="s">
        <v>17</v>
      </c>
      <c r="B16" s="45">
        <v>9</v>
      </c>
      <c r="C16" s="45" t="s">
        <v>79</v>
      </c>
      <c r="D16" s="45" t="s">
        <v>94</v>
      </c>
      <c r="E16" s="46" t="s">
        <v>103</v>
      </c>
      <c r="F16" s="49">
        <v>6.89</v>
      </c>
      <c r="G16" s="50">
        <v>97656.1</v>
      </c>
      <c r="H16" s="51">
        <f t="shared" si="8"/>
        <v>97656.1</v>
      </c>
      <c r="I16" s="52"/>
      <c r="J16" s="53">
        <f t="shared" si="2"/>
        <v>0</v>
      </c>
      <c r="K16" s="53">
        <f t="shared" si="3"/>
        <v>0</v>
      </c>
      <c r="L16" s="54">
        <f t="shared" si="4"/>
        <v>1446.9</v>
      </c>
      <c r="M16" s="54">
        <f t="shared" si="5"/>
        <v>117130</v>
      </c>
      <c r="N16" s="55">
        <v>0</v>
      </c>
      <c r="O16" s="56">
        <f t="shared" si="6"/>
        <v>118577.1</v>
      </c>
      <c r="P16" s="57">
        <f t="shared" si="0"/>
        <v>122134.1</v>
      </c>
      <c r="Q16" s="35">
        <f t="shared" si="7"/>
        <v>9.9999999999999992E-2</v>
      </c>
      <c r="S16" s="33">
        <v>71280</v>
      </c>
      <c r="T16" s="33">
        <v>172260</v>
      </c>
      <c r="U16" s="35">
        <f t="shared" si="1"/>
        <v>243540</v>
      </c>
    </row>
    <row r="17" spans="1:21" ht="17.100000000000001" customHeight="1">
      <c r="A17" s="4" t="s">
        <v>17</v>
      </c>
      <c r="B17" s="45">
        <v>11</v>
      </c>
      <c r="C17" s="45" t="s">
        <v>80</v>
      </c>
      <c r="D17" s="45" t="s">
        <v>95</v>
      </c>
      <c r="E17" s="46"/>
      <c r="F17" s="49">
        <v>11.88</v>
      </c>
      <c r="G17" s="50">
        <v>168383.11</v>
      </c>
      <c r="H17" s="51">
        <v>173434.11</v>
      </c>
      <c r="I17" s="52"/>
      <c r="J17" s="53">
        <f t="shared" si="2"/>
        <v>-5051</v>
      </c>
      <c r="K17" s="53">
        <f t="shared" si="3"/>
        <v>0</v>
      </c>
      <c r="L17" s="54">
        <f t="shared" si="4"/>
        <v>2494.8000000000002</v>
      </c>
      <c r="M17" s="54">
        <f t="shared" si="5"/>
        <v>201960</v>
      </c>
      <c r="N17" s="55">
        <v>0</v>
      </c>
      <c r="O17" s="56">
        <f t="shared" si="6"/>
        <v>199404.11</v>
      </c>
      <c r="P17" s="57">
        <f t="shared" si="0"/>
        <v>205386.11</v>
      </c>
      <c r="Q17" s="35">
        <f t="shared" si="7"/>
        <v>0.10999999999999999</v>
      </c>
      <c r="S17" s="33">
        <v>3420</v>
      </c>
      <c r="T17" s="33">
        <v>8265</v>
      </c>
      <c r="U17" s="35">
        <f t="shared" si="1"/>
        <v>11685</v>
      </c>
    </row>
    <row r="18" spans="1:21" ht="17.100000000000001" customHeight="1">
      <c r="A18" s="4" t="s">
        <v>18</v>
      </c>
      <c r="B18" s="45" t="s">
        <v>69</v>
      </c>
      <c r="C18" s="45" t="s">
        <v>81</v>
      </c>
      <c r="D18" s="45" t="s">
        <v>87</v>
      </c>
      <c r="E18" s="46"/>
      <c r="F18" s="49">
        <v>0.56999999999999995</v>
      </c>
      <c r="G18" s="50">
        <v>8321.119999999999</v>
      </c>
      <c r="H18" s="51">
        <f t="shared" si="8"/>
        <v>8321.119999999999</v>
      </c>
      <c r="I18" s="52"/>
      <c r="J18" s="53">
        <f t="shared" si="2"/>
        <v>0</v>
      </c>
      <c r="K18" s="53">
        <f t="shared" si="3"/>
        <v>0</v>
      </c>
      <c r="L18" s="54">
        <f t="shared" si="4"/>
        <v>119.69999999999999</v>
      </c>
      <c r="M18" s="54">
        <f t="shared" si="5"/>
        <v>9689.9999999999982</v>
      </c>
      <c r="N18" s="55">
        <v>0</v>
      </c>
      <c r="O18" s="56">
        <f t="shared" si="6"/>
        <v>9810.1200000000008</v>
      </c>
      <c r="P18" s="57">
        <f t="shared" si="0"/>
        <v>10104.120000000001</v>
      </c>
      <c r="Q18" s="35">
        <f t="shared" si="7"/>
        <v>0.11999999999999998</v>
      </c>
      <c r="S18" s="33">
        <v>3120</v>
      </c>
      <c r="T18" s="33">
        <v>7540</v>
      </c>
      <c r="U18" s="35">
        <f t="shared" si="1"/>
        <v>10660</v>
      </c>
    </row>
    <row r="19" spans="1:21" ht="17.100000000000001" customHeight="1">
      <c r="A19" s="4" t="s">
        <v>18</v>
      </c>
      <c r="B19" s="45" t="s">
        <v>69</v>
      </c>
      <c r="C19" s="45" t="s">
        <v>82</v>
      </c>
      <c r="D19" s="45" t="s">
        <v>96</v>
      </c>
      <c r="E19" s="46"/>
      <c r="F19" s="49">
        <v>0.52</v>
      </c>
      <c r="G19" s="50">
        <v>7089.13</v>
      </c>
      <c r="H19" s="51">
        <v>7302.13</v>
      </c>
      <c r="I19" s="52"/>
      <c r="J19" s="53">
        <f t="shared" si="2"/>
        <v>-213</v>
      </c>
      <c r="K19" s="53">
        <f t="shared" si="3"/>
        <v>0</v>
      </c>
      <c r="L19" s="54">
        <f t="shared" si="4"/>
        <v>109.19999999999999</v>
      </c>
      <c r="M19" s="54">
        <f t="shared" si="5"/>
        <v>8840</v>
      </c>
      <c r="N19" s="55">
        <v>0</v>
      </c>
      <c r="O19" s="56">
        <f t="shared" si="6"/>
        <v>8736.1299999999992</v>
      </c>
      <c r="P19" s="57">
        <f t="shared" si="0"/>
        <v>8998.1299999999992</v>
      </c>
      <c r="Q19" s="35">
        <f t="shared" si="7"/>
        <v>0.12999999999999998</v>
      </c>
      <c r="S19" s="33">
        <v>3120</v>
      </c>
      <c r="T19" s="33">
        <v>7540</v>
      </c>
      <c r="U19" s="35">
        <f t="shared" si="1"/>
        <v>10660</v>
      </c>
    </row>
    <row r="20" spans="1:21" ht="17.100000000000001" customHeight="1">
      <c r="A20" s="4" t="s">
        <v>19</v>
      </c>
      <c r="B20" s="45" t="s">
        <v>69</v>
      </c>
      <c r="C20" s="45" t="s">
        <v>83</v>
      </c>
      <c r="D20" s="45" t="s">
        <v>96</v>
      </c>
      <c r="E20" s="45" t="s">
        <v>112</v>
      </c>
      <c r="F20" s="49">
        <v>0.52</v>
      </c>
      <c r="G20" s="50">
        <v>7370.14</v>
      </c>
      <c r="H20" s="51">
        <f>G20</f>
        <v>7370.14</v>
      </c>
      <c r="I20" s="52"/>
      <c r="J20" s="53">
        <f t="shared" si="2"/>
        <v>0</v>
      </c>
      <c r="K20" s="53">
        <f t="shared" si="3"/>
        <v>0</v>
      </c>
      <c r="L20" s="54">
        <f t="shared" si="4"/>
        <v>109.19999999999999</v>
      </c>
      <c r="M20" s="54">
        <f t="shared" si="5"/>
        <v>8840</v>
      </c>
      <c r="N20" s="55">
        <v>0</v>
      </c>
      <c r="O20" s="56">
        <f t="shared" si="6"/>
        <v>8949.14</v>
      </c>
      <c r="P20" s="57">
        <f t="shared" si="0"/>
        <v>9217.14</v>
      </c>
      <c r="Q20" s="35">
        <f t="shared" si="7"/>
        <v>0.13999999999999999</v>
      </c>
      <c r="S20" s="33">
        <v>3120</v>
      </c>
      <c r="T20" s="33">
        <v>7540</v>
      </c>
      <c r="U20" s="35">
        <f t="shared" si="1"/>
        <v>10660</v>
      </c>
    </row>
    <row r="21" spans="1:21" ht="17.100000000000001" customHeight="1">
      <c r="A21" s="4" t="s">
        <v>19</v>
      </c>
      <c r="B21" s="45" t="s">
        <v>69</v>
      </c>
      <c r="C21" s="45" t="s">
        <v>84</v>
      </c>
      <c r="D21" s="45" t="s">
        <v>95</v>
      </c>
      <c r="E21" s="46"/>
      <c r="F21" s="49">
        <v>0.52</v>
      </c>
      <c r="G21" s="50">
        <v>7370.15</v>
      </c>
      <c r="H21" s="51">
        <v>7591.15</v>
      </c>
      <c r="I21" s="52"/>
      <c r="J21" s="53">
        <f t="shared" si="2"/>
        <v>-221</v>
      </c>
      <c r="K21" s="53">
        <f t="shared" si="3"/>
        <v>0</v>
      </c>
      <c r="L21" s="54">
        <f t="shared" si="4"/>
        <v>109.19999999999999</v>
      </c>
      <c r="M21" s="54">
        <f t="shared" si="5"/>
        <v>8840</v>
      </c>
      <c r="N21" s="55">
        <v>0</v>
      </c>
      <c r="O21" s="56">
        <f t="shared" si="6"/>
        <v>8728.15</v>
      </c>
      <c r="P21" s="57">
        <f t="shared" si="0"/>
        <v>8990.15</v>
      </c>
      <c r="Q21" s="35">
        <f t="shared" si="7"/>
        <v>0.15</v>
      </c>
      <c r="S21" s="33">
        <v>3660</v>
      </c>
      <c r="T21" s="33">
        <v>8845</v>
      </c>
      <c r="U21" s="35">
        <f t="shared" si="1"/>
        <v>12505</v>
      </c>
    </row>
    <row r="22" spans="1:21" ht="17.100000000000001" customHeight="1" thickBot="1">
      <c r="A22" s="4" t="s">
        <v>20</v>
      </c>
      <c r="B22" s="45" t="s">
        <v>69</v>
      </c>
      <c r="C22" s="45" t="s">
        <v>85</v>
      </c>
      <c r="D22" s="45" t="s">
        <v>91</v>
      </c>
      <c r="E22" s="45"/>
      <c r="F22" s="49">
        <v>0.61</v>
      </c>
      <c r="G22" s="50">
        <v>8646.16</v>
      </c>
      <c r="H22" s="51"/>
      <c r="I22" s="52"/>
      <c r="J22" s="53">
        <f t="shared" si="2"/>
        <v>8646.16</v>
      </c>
      <c r="K22" s="53">
        <f t="shared" si="3"/>
        <v>259.38479999999998</v>
      </c>
      <c r="L22" s="54">
        <f t="shared" si="4"/>
        <v>128.1</v>
      </c>
      <c r="M22" s="54">
        <f t="shared" si="5"/>
        <v>10370</v>
      </c>
      <c r="N22" s="55">
        <v>0</v>
      </c>
      <c r="O22" s="56">
        <f t="shared" si="6"/>
        <v>19404.16</v>
      </c>
      <c r="P22" s="57">
        <f t="shared" si="0"/>
        <v>19986.16</v>
      </c>
      <c r="Q22" s="35">
        <f t="shared" si="7"/>
        <v>0.16</v>
      </c>
      <c r="S22" s="34"/>
    </row>
    <row r="23" spans="1:21" ht="15.75" hidden="1" customHeight="1" thickBot="1">
      <c r="A23" s="4" t="s">
        <v>22</v>
      </c>
      <c r="B23" s="45"/>
      <c r="C23" s="45"/>
      <c r="D23" s="45"/>
      <c r="E23" s="45"/>
      <c r="F23" s="49"/>
      <c r="G23" s="58" t="s">
        <v>57</v>
      </c>
      <c r="H23" s="51" t="str">
        <f t="shared" ref="H23" si="9">G23</f>
        <v>162450.31</v>
      </c>
      <c r="I23" s="59"/>
      <c r="J23" s="60" t="e">
        <f t="shared" ref="J23" si="10">G23-H23</f>
        <v>#VALUE!</v>
      </c>
      <c r="K23" s="53" t="e">
        <f t="shared" ref="K23" si="11">IF(J23&gt;0,J23*3%,0)</f>
        <v>#VALUE!</v>
      </c>
      <c r="L23" s="54">
        <f t="shared" si="4"/>
        <v>0</v>
      </c>
      <c r="M23" s="61">
        <f t="shared" si="5"/>
        <v>0</v>
      </c>
      <c r="N23" s="62">
        <v>0</v>
      </c>
      <c r="O23" s="56" t="e">
        <f t="shared" si="6"/>
        <v>#VALUE!</v>
      </c>
      <c r="P23" s="57" t="e">
        <f t="shared" si="0"/>
        <v>#VALUE!</v>
      </c>
      <c r="Q23" s="35"/>
    </row>
    <row r="24" spans="1:21" ht="17.100000000000001" customHeight="1" thickBot="1">
      <c r="B24" s="63"/>
      <c r="C24" s="64"/>
      <c r="D24" s="65"/>
      <c r="E24" s="65"/>
      <c r="F24" s="66">
        <f>SUM(F7:F23)</f>
        <v>99.999999999999972</v>
      </c>
      <c r="G24" s="40">
        <f>SUM(G7:G23)</f>
        <v>5041116.3599999994</v>
      </c>
      <c r="H24" s="44">
        <f>SUM(H7:H23)</f>
        <v>1320859.99</v>
      </c>
      <c r="I24" s="44">
        <f>SUM(I7:I23)</f>
        <v>0</v>
      </c>
      <c r="J24" s="44"/>
      <c r="K24" s="44"/>
      <c r="L24" s="44">
        <f>SUM(L7:L23)</f>
        <v>21000</v>
      </c>
      <c r="M24" s="44">
        <f>SUM(M7:M23)</f>
        <v>1700000</v>
      </c>
      <c r="N24" s="44">
        <f>SUM(N7:N23)</f>
        <v>0</v>
      </c>
      <c r="O24" s="67">
        <f>SUM(O7:O22)</f>
        <v>5553142.3599999994</v>
      </c>
      <c r="P24" s="67">
        <f>SUM(P7:P22)</f>
        <v>5719734.3599999994</v>
      </c>
    </row>
    <row r="25" spans="1:21" ht="12.75" customHeight="1">
      <c r="D25" s="39"/>
      <c r="E25" s="39"/>
    </row>
    <row r="26" spans="1:21" ht="15" hidden="1" customHeight="1"/>
    <row r="27" spans="1:21" ht="9" customHeight="1">
      <c r="D27" s="179" t="s">
        <v>64</v>
      </c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</row>
    <row r="28" spans="1:21" ht="12" hidden="1" customHeight="1"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</row>
    <row r="29" spans="1:21" ht="12" hidden="1" customHeight="1"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</row>
    <row r="30" spans="1:21" ht="12" hidden="1" customHeight="1"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</row>
    <row r="31" spans="1:21" ht="12" hidden="1" customHeight="1"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</row>
    <row r="32" spans="1:21" ht="65.25" customHeight="1"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2026-03-04T17:52:54Z</cp:lastPrinted>
  <dcterms:created xsi:type="dcterms:W3CDTF">2023-09-17T12:29:07Z</dcterms:created>
  <dcterms:modified xsi:type="dcterms:W3CDTF">2026-03-04T17:53:14Z</dcterms:modified>
</cp:coreProperties>
</file>