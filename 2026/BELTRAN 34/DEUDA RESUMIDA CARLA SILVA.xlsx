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\Desktop\rc-consorcio2025\2026\BELTRAN 34\"/>
    </mc:Choice>
  </mc:AlternateContent>
  <xr:revisionPtr revIDLastSave="0" documentId="13_ncr:1_{90208DED-8AAD-467C-85CB-53B2273DABF8}" xr6:coauthVersionLast="47" xr6:coauthVersionMax="47" xr10:uidLastSave="{00000000-0000-0000-0000-000000000000}"/>
  <bookViews>
    <workbookView xWindow="-108" yWindow="-108" windowWidth="23256" windowHeight="12576" xr2:uid="{0FD93F5D-1800-452F-970B-FB33DE0F9B8B}"/>
  </bookViews>
  <sheets>
    <sheet name="Hoja1" sheetId="1" r:id="rId1"/>
  </sheets>
  <definedNames>
    <definedName name="_xlnm.Print_Area" localSheetId="0">Hoja1!$D$2:$G$28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11" i="1" s="1"/>
  <c r="G13" i="1" s="1"/>
  <c r="G18" i="1" s="1"/>
  <c r="G21" i="1" s="1"/>
  <c r="G23" i="1" s="1"/>
  <c r="G28" i="1" s="1"/>
  <c r="G4" i="1"/>
  <c r="G5" i="1" s="1"/>
</calcChain>
</file>

<file path=xl/sharedStrings.xml><?xml version="1.0" encoding="utf-8"?>
<sst xmlns="http://schemas.openxmlformats.org/spreadsheetml/2006/main" count="21" uniqueCount="14">
  <si>
    <t>En el mes de febrero se debia abonar:</t>
  </si>
  <si>
    <t>UF 1B</t>
  </si>
  <si>
    <t>Se abona:</t>
  </si>
  <si>
    <t>Deuda:</t>
  </si>
  <si>
    <t>Expensas extraordinarias a pagar en marzo:</t>
  </si>
  <si>
    <t>Expensas ordinarias a pagar en marzo:</t>
  </si>
  <si>
    <t>TOTAL:</t>
  </si>
  <si>
    <t>En el mes de Marzo se debia abonar:</t>
  </si>
  <si>
    <t>Punitorios</t>
  </si>
  <si>
    <t>Expensas extraordinarias a pagar en Abril:</t>
  </si>
  <si>
    <t>Expensas ordinarias a pagar en Abril:</t>
  </si>
  <si>
    <t>En el mes de Abril se debia abonar:</t>
  </si>
  <si>
    <t>Expensas ordinarias a pagar en Mayo:</t>
  </si>
  <si>
    <t>Expensas extraordinarias a pagar en Mayo: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</si>
</sst>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4" fontId="0" fillId="0" borderId="0" xfId="0" applyNumberFormat="1"/>
    <xf numFmtId="0" fontId="2" fillId="0" borderId="0" xfId="0" applyFont="1"/>
    <xf numFmtId="44" fontId="2" fillId="0" borderId="0" xfId="1" applyFont="1"/>
    <xf numFmtId="44" fontId="2" fillId="2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8042-D69C-459E-AC12-664FAA51E243}">
  <dimension ref="D1:G28"/>
  <sheetViews>
    <sheetView tabSelected="1" topLeftCell="A16" workbookViewId="0">
      <selection activeCell="G28" sqref="D2:G28"/>
    </sheetView>
  </sheetViews>
  <sheetFormatPr baseColWidth="10" defaultRowHeight="14.4" x14ac:dyDescent="0.3"/>
  <cols>
    <col min="6" max="6" width="16.33203125" customWidth="1"/>
    <col min="7" max="7" width="12.77734375" bestFit="1" customWidth="1"/>
  </cols>
  <sheetData>
    <row r="1" spans="4:7" ht="15" thickBot="1" x14ac:dyDescent="0.35"/>
    <row r="2" spans="4:7" ht="15" thickBot="1" x14ac:dyDescent="0.35">
      <c r="D2" s="3" t="s">
        <v>1</v>
      </c>
      <c r="E2" s="4"/>
      <c r="F2" s="4"/>
      <c r="G2" s="5"/>
    </row>
    <row r="3" spans="4:7" x14ac:dyDescent="0.3">
      <c r="D3" t="s">
        <v>0</v>
      </c>
      <c r="G3" s="1">
        <v>150722.03</v>
      </c>
    </row>
    <row r="4" spans="4:7" x14ac:dyDescent="0.3">
      <c r="D4" t="s">
        <v>2</v>
      </c>
      <c r="G4" s="6">
        <f>G3</f>
        <v>150722.03</v>
      </c>
    </row>
    <row r="5" spans="4:7" x14ac:dyDescent="0.3">
      <c r="D5" t="s">
        <v>3</v>
      </c>
      <c r="G5" s="6">
        <f>G3-G4</f>
        <v>0</v>
      </c>
    </row>
    <row r="6" spans="4:7" x14ac:dyDescent="0.3">
      <c r="D6" t="s">
        <v>4</v>
      </c>
      <c r="G6" s="1">
        <v>1459.5000000000002</v>
      </c>
    </row>
    <row r="7" spans="4:7" x14ac:dyDescent="0.3">
      <c r="D7" t="s">
        <v>5</v>
      </c>
      <c r="G7" s="1">
        <v>118150.00000000001</v>
      </c>
    </row>
    <row r="9" spans="4:7" x14ac:dyDescent="0.3">
      <c r="D9" s="7" t="s">
        <v>6</v>
      </c>
      <c r="E9" s="7"/>
      <c r="F9" s="7"/>
      <c r="G9" s="8">
        <f>G6+G7</f>
        <v>119609.50000000001</v>
      </c>
    </row>
    <row r="11" spans="4:7" x14ac:dyDescent="0.3">
      <c r="D11" t="s">
        <v>7</v>
      </c>
      <c r="G11" s="1">
        <f>G9</f>
        <v>119609.50000000001</v>
      </c>
    </row>
    <row r="12" spans="4:7" x14ac:dyDescent="0.3">
      <c r="D12" t="s">
        <v>2</v>
      </c>
      <c r="G12" s="6">
        <v>0</v>
      </c>
    </row>
    <row r="13" spans="4:7" x14ac:dyDescent="0.3">
      <c r="D13" t="s">
        <v>3</v>
      </c>
      <c r="G13" s="6">
        <f>G11-G12</f>
        <v>119609.50000000001</v>
      </c>
    </row>
    <row r="14" spans="4:7" x14ac:dyDescent="0.3">
      <c r="D14" t="s">
        <v>8</v>
      </c>
      <c r="G14" s="6">
        <v>3588.3008999999997</v>
      </c>
    </row>
    <row r="15" spans="4:7" x14ac:dyDescent="0.3">
      <c r="D15" t="s">
        <v>9</v>
      </c>
      <c r="G15" s="1">
        <v>2085</v>
      </c>
    </row>
    <row r="16" spans="4:7" x14ac:dyDescent="0.3">
      <c r="D16" t="s">
        <v>10</v>
      </c>
      <c r="G16" s="1">
        <v>135872.5</v>
      </c>
    </row>
    <row r="18" spans="4:7" x14ac:dyDescent="0.3">
      <c r="D18" s="7" t="s">
        <v>6</v>
      </c>
      <c r="E18" s="7"/>
      <c r="F18" s="7"/>
      <c r="G18" s="8">
        <f>G15+G16+G14+G13</f>
        <v>261155.30090000003</v>
      </c>
    </row>
    <row r="21" spans="4:7" x14ac:dyDescent="0.3">
      <c r="D21" t="s">
        <v>11</v>
      </c>
      <c r="G21" s="1">
        <f>G18</f>
        <v>261155.30090000003</v>
      </c>
    </row>
    <row r="22" spans="4:7" x14ac:dyDescent="0.3">
      <c r="D22" t="s">
        <v>2</v>
      </c>
      <c r="G22" s="6">
        <v>85873</v>
      </c>
    </row>
    <row r="23" spans="4:7" x14ac:dyDescent="0.3">
      <c r="D23" t="s">
        <v>3</v>
      </c>
      <c r="G23" s="6">
        <f>G21-G22</f>
        <v>175282.30090000003</v>
      </c>
    </row>
    <row r="24" spans="4:7" x14ac:dyDescent="0.3">
      <c r="D24" t="s">
        <v>8</v>
      </c>
      <c r="G24" s="6">
        <v>5258.4908999999998</v>
      </c>
    </row>
    <row r="25" spans="4:7" x14ac:dyDescent="0.3">
      <c r="D25" t="s">
        <v>13</v>
      </c>
      <c r="G25" s="1">
        <v>0</v>
      </c>
    </row>
    <row r="26" spans="4:7" x14ac:dyDescent="0.3">
      <c r="D26" t="s">
        <v>12</v>
      </c>
      <c r="G26" s="1">
        <v>135872.5</v>
      </c>
    </row>
    <row r="28" spans="4:7" x14ac:dyDescent="0.3">
      <c r="D28" s="2" t="s">
        <v>6</v>
      </c>
      <c r="E28" s="2"/>
      <c r="F28" s="2"/>
      <c r="G28" s="9">
        <f>G25+G26+G24+G23</f>
        <v>316413.29180000001</v>
      </c>
    </row>
  </sheetData>
  <mergeCells count="1">
    <mergeCell ref="D2:G2"/>
  </mergeCells>
  <pageMargins left="0.70866141732283472" right="0.70866141732283472" top="0.74803149606299213" bottom="0.74803149606299213" header="0.31496062992125984" footer="0.31496062992125984"/>
  <pageSetup paperSize="9" scale="1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Quotteri</dc:creator>
  <cp:lastModifiedBy>Mateo Quotteri</cp:lastModifiedBy>
  <cp:lastPrinted>2026-05-22T14:35:00Z</cp:lastPrinted>
  <dcterms:created xsi:type="dcterms:W3CDTF">2026-05-22T14:29:00Z</dcterms:created>
  <dcterms:modified xsi:type="dcterms:W3CDTF">2026-05-22T14:36:09Z</dcterms:modified>
</cp:coreProperties>
</file>