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Septiembre\"/>
    </mc:Choice>
  </mc:AlternateContent>
  <xr:revisionPtr revIDLastSave="0" documentId="13_ncr:1_{7370E4F1-32CC-4CDC-B1CD-63A192F7B3FC}" xr6:coauthVersionLast="47" xr6:coauthVersionMax="47" xr10:uidLastSave="{00000000-0000-0000-0000-000000000000}"/>
  <bookViews>
    <workbookView xWindow="-120" yWindow="-120" windowWidth="20730" windowHeight="1104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PRORRATEO!$A$1:$P$33</definedName>
    <definedName name="_xlnm.Print_Area" localSheetId="0">RESUMEN!$A$1:$D$94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H10" i="2"/>
  <c r="H11" i="2"/>
  <c r="H13" i="2"/>
  <c r="H21" i="2"/>
  <c r="H19" i="2"/>
  <c r="D53" i="1"/>
  <c r="H18" i="2"/>
  <c r="H8" i="2" s="1"/>
  <c r="D38" i="1" l="1"/>
  <c r="H17" i="2"/>
  <c r="H14" i="2"/>
  <c r="H20" i="2" l="1"/>
  <c r="C25" i="1" l="1"/>
  <c r="H22" i="2" l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B1" i="2"/>
  <c r="D48" i="1" l="1"/>
  <c r="D34" i="1" l="1"/>
  <c r="D57" i="1"/>
  <c r="J15" i="2" l="1"/>
  <c r="D44" i="1"/>
  <c r="C30" i="1" l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1" i="1"/>
  <c r="I24" i="2"/>
  <c r="H23" i="2" l="1"/>
  <c r="J23" i="2" s="1"/>
  <c r="O23" i="2" s="1"/>
  <c r="L23" i="2"/>
  <c r="M23" i="2"/>
  <c r="P23" i="2" l="1"/>
  <c r="K23" i="2"/>
  <c r="B93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6" i="1" l="1"/>
  <c r="D71" i="1" s="1"/>
  <c r="B75" i="1" s="1"/>
  <c r="B86" i="1" s="1"/>
  <c r="B83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2" i="1" s="1"/>
  <c r="F24" i="2"/>
  <c r="G24" i="2"/>
  <c r="J7" i="2" l="1"/>
  <c r="K7" i="2" l="1"/>
  <c r="O7" i="2" s="1"/>
  <c r="B76" i="1"/>
  <c r="L24" i="2"/>
  <c r="B74" i="1" l="1"/>
  <c r="B85" i="1" s="1"/>
  <c r="B87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3" i="1" l="1"/>
  <c r="N24" i="2" l="1"/>
</calcChain>
</file>

<file path=xl/sharedStrings.xml><?xml version="1.0" encoding="utf-8"?>
<sst xmlns="http://schemas.openxmlformats.org/spreadsheetml/2006/main" count="161" uniqueCount="133">
  <si>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</si>
  <si>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</si>
  <si>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</si>
  <si>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</si>
  <si>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</si>
  <si>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</si>
  <si>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</si>
  <si>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</si>
  <si>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</si>
  <si>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</si>
  <si>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</si>
  <si>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</si>
  <si>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</si>
  <si>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</si>
  <si>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</si>
  <si>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</si>
  <si>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</si>
  <si>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</si>
  <si>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</si>
  <si>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</si>
  <si>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</si>
  <si>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</si>
  <si>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</si>
  <si>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</si>
  <si>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</si>
  <si>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</si>
  <si>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</si>
  <si>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</si>
  <si>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</si>
  <si>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</si>
  <si>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</si>
  <si>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</si>
  <si>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</si>
  <si>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</si>
  <si>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</si>
  <si>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</si>
  <si>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</si>
  <si>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</si>
  <si>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</si>
  <si>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</si>
  <si>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</si>
  <si>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</si>
  <si>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</si>
  <si>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</si>
  <si>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</si>
  <si>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</si>
  <si>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</si>
  <si>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</si>
  <si>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</si>
  <si>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</si>
  <si>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</si>
  <si>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</si>
  <si>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</si>
  <si>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</si>
  <si>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</si>
  <si>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</si>
  <si>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</si>
  <si>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</si>
  <si>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</si>
  <si>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</si>
  <si>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</si>
  <si>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</si>
  <si>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</si>
  <si>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</si>
  <si>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</si>
  <si>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</si>
  <si>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</si>
  <si>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</si>
  <si>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</si>
  <si>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</si>
  <si>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</si>
  <si>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</si>
  <si>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</si>
  <si>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</si>
  <si>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</si>
  <si>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</si>
  <si>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</si>
  <si>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</si>
  <si>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</si>
  <si>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</si>
  <si>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</si>
  <si>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</si>
  <si>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</si>
  <si>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</si>
  <si>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</si>
  <si>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</si>
  <si>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</si>
  <si>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</si>
  <si>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</si>
  <si>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</si>
  <si>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</si>
  <si>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</si>
  <si>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</si>
  <si>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</si>
  <si>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</si>
  <si>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</si>
  <si>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</si>
  <si>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</si>
  <si>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</si>
  <si>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</si>
  <si>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</si>
  <si>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</si>
  <si>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</si>
  <si>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</si>
  <si>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</si>
  <si>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</si>
  <si>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</si>
  <si>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</si>
  <si>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</si>
  <si>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</si>
  <si>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</si>
  <si>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</si>
  <si>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</si>
  <si>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 xml:space="preserve">  </t>
  </si>
  <si>
    <t>Pendiente para el cierre de Juni0 poner un AYSA de 418.590,24</t>
  </si>
  <si>
    <t>Mantenimiento de cuenta</t>
  </si>
  <si>
    <t>$157.200 transfririo el 1° C. + Cochera C</t>
  </si>
  <si>
    <t>Subido en Juli0 a $91.000</t>
  </si>
  <si>
    <t>Federacion patronal - Seguro integral de consorcio</t>
  </si>
  <si>
    <t>Seguro - Sra. Soledad - La Holando - Poliza nro. 690173-2</t>
  </si>
  <si>
    <t>Hay una diferencia de caja correspondiente a un gasto de AYSA a solucionar en S3ptiembr3</t>
  </si>
  <si>
    <t>VTO 16/10</t>
  </si>
  <si>
    <t>Transf 07/09</t>
  </si>
  <si>
    <t>Gasto particular: Desglose deuda para presentar en juzgado</t>
  </si>
  <si>
    <t>Kromacolor pinturerias - Compra de recuplast, venda y rodillos para trabajo en terraza</t>
  </si>
  <si>
    <t>Transf 16/09</t>
  </si>
  <si>
    <t>Adelanto Mano de obra - Sr. Facundo Heredia</t>
  </si>
  <si>
    <t>Transf  23/09</t>
  </si>
  <si>
    <t>Debito 28/09</t>
  </si>
  <si>
    <t>Honorarios administracion -  Se adeuda Septiembre</t>
  </si>
  <si>
    <t>Celestino Soledad - Servicio de limpieza - No se abona por falta de fondos</t>
  </si>
  <si>
    <t>PREVISION EXTRAORDINARIA - Monto de inicio de demanda $144.411</t>
  </si>
  <si>
    <t xml:space="preserve">Belen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</si>
</sst>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88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5" fillId="11" borderId="6" xfId="0" applyNumberFormat="1" applyFont="1" applyFill="1" applyBorder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6" fillId="0" borderId="1" xfId="1" applyFont="1" applyBorder="1"/>
    <xf numFmtId="44" fontId="16" fillId="2" borderId="1" xfId="1" applyFont="1" applyFill="1" applyBorder="1"/>
    <xf numFmtId="165" fontId="16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6" fillId="0" borderId="25" xfId="1" applyFont="1" applyBorder="1"/>
    <xf numFmtId="44" fontId="16" fillId="0" borderId="27" xfId="1" applyFont="1" applyBorder="1"/>
    <xf numFmtId="44" fontId="17" fillId="0" borderId="1" xfId="1" applyFont="1" applyBorder="1"/>
    <xf numFmtId="165" fontId="17" fillId="2" borderId="1" xfId="1" applyNumberFormat="1" applyFont="1" applyFill="1" applyBorder="1"/>
    <xf numFmtId="165" fontId="17" fillId="0" borderId="1" xfId="0" applyNumberFormat="1" applyFont="1" applyBorder="1"/>
    <xf numFmtId="165" fontId="17" fillId="0" borderId="1" xfId="1" applyNumberFormat="1" applyFont="1" applyBorder="1"/>
    <xf numFmtId="44" fontId="17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18" fillId="4" borderId="3" xfId="1" applyFont="1" applyFill="1" applyBorder="1"/>
    <xf numFmtId="44" fontId="9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19" fillId="2" borderId="1" xfId="1" applyFont="1" applyFill="1" applyBorder="1"/>
    <xf numFmtId="44" fontId="9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6" fillId="2" borderId="25" xfId="1" applyFont="1" applyFill="1" applyBorder="1"/>
    <xf numFmtId="44" fontId="16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5" fillId="11" borderId="1" xfId="0" applyFont="1" applyFill="1" applyBorder="1"/>
    <xf numFmtId="0" fontId="15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39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44" fontId="2" fillId="4" borderId="0" xfId="1" applyFont="1" applyFill="1"/>
    <xf numFmtId="44" fontId="0" fillId="3" borderId="8" xfId="1" applyFont="1" applyFill="1" applyBorder="1" applyAlignment="1"/>
    <xf numFmtId="0" fontId="0" fillId="34" borderId="0" xfId="0" applyFill="1"/>
    <xf numFmtId="44" fontId="15" fillId="11" borderId="1" xfId="0" applyNumberFormat="1" applyFont="1" applyFill="1" applyBorder="1"/>
    <xf numFmtId="44" fontId="6" fillId="4" borderId="22" xfId="1" applyFont="1" applyFill="1" applyBorder="1"/>
    <xf numFmtId="44" fontId="40" fillId="2" borderId="1" xfId="1" applyFont="1" applyFill="1" applyBorder="1"/>
    <xf numFmtId="0" fontId="0" fillId="2" borderId="1" xfId="0" applyFill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0" xfId="0" applyFont="1"/>
    <xf numFmtId="0" fontId="9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1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4" fillId="9" borderId="0" xfId="0" applyFont="1" applyFill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44" fontId="4" fillId="0" borderId="2" xfId="1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44" fontId="4" fillId="2" borderId="1" xfId="1" applyFont="1" applyFill="1" applyBorder="1" applyAlignment="1"/>
    <xf numFmtId="44" fontId="4" fillId="2" borderId="6" xfId="1" applyFont="1" applyFill="1" applyBorder="1" applyAlignment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topLeftCell="A21" workbookViewId="0">
      <selection activeCell="F47" sqref="F47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74" t="s">
        <v>57</v>
      </c>
      <c r="B1" s="70"/>
      <c r="C1" s="2"/>
      <c r="D1" s="2"/>
    </row>
    <row r="2" spans="1:4">
      <c r="A2" s="71" t="s">
        <v>92</v>
      </c>
      <c r="B2" s="71"/>
      <c r="C2" s="71"/>
      <c r="D2" s="71"/>
    </row>
    <row r="3" spans="1:4" ht="16.899999999999999" customHeight="1">
      <c r="A3" s="71" t="s">
        <v>63</v>
      </c>
      <c r="B3" s="71"/>
      <c r="C3" s="71"/>
      <c r="D3" s="71"/>
    </row>
    <row r="4" spans="1:4" ht="32.25" customHeight="1">
      <c r="A4" s="151" t="s">
        <v>102</v>
      </c>
      <c r="B4" s="151"/>
      <c r="C4" s="72"/>
      <c r="D4" s="72"/>
    </row>
    <row r="5" spans="1:4">
      <c r="A5" s="151"/>
      <c r="B5" s="151"/>
      <c r="C5" s="72"/>
      <c r="D5" s="72"/>
    </row>
    <row r="6" spans="1:4">
      <c r="A6" s="151"/>
      <c r="B6" s="151"/>
      <c r="C6" s="72"/>
      <c r="D6" s="72"/>
    </row>
    <row r="7" spans="1:4" ht="13.5" customHeight="1">
      <c r="A7" s="151"/>
      <c r="B7" s="151"/>
      <c r="C7" s="72"/>
      <c r="D7" s="72"/>
    </row>
    <row r="9" spans="1:4">
      <c r="B9" s="159" t="s">
        <v>121</v>
      </c>
    </row>
    <row r="10" spans="1:4">
      <c r="B10" s="159"/>
    </row>
    <row r="11" spans="1:4">
      <c r="B11" s="159"/>
    </row>
    <row r="12" spans="1:4">
      <c r="A12" s="62"/>
      <c r="B12" s="62"/>
      <c r="C12" s="62"/>
      <c r="D12" s="62"/>
    </row>
    <row r="13" spans="1:4" hidden="1">
      <c r="A13" s="62"/>
      <c r="B13" s="62"/>
      <c r="C13" s="62"/>
      <c r="D13" s="62"/>
    </row>
    <row r="14" spans="1:4" ht="15" customHeight="1">
      <c r="A14" s="154" t="s">
        <v>95</v>
      </c>
      <c r="B14" s="154"/>
      <c r="C14" s="154"/>
      <c r="D14" s="154"/>
    </row>
    <row r="15" spans="1:4" ht="15" customHeight="1">
      <c r="A15" s="154"/>
      <c r="B15" s="154"/>
      <c r="C15" s="154"/>
      <c r="D15" s="154"/>
    </row>
    <row r="16" spans="1:4" ht="15" customHeight="1">
      <c r="A16" s="154"/>
      <c r="B16" s="154"/>
      <c r="C16" s="154"/>
      <c r="D16" s="154"/>
    </row>
    <row r="17" spans="1:7" ht="53.25" customHeight="1">
      <c r="A17" s="154"/>
      <c r="B17" s="154"/>
      <c r="C17" s="154"/>
      <c r="D17" s="154"/>
    </row>
    <row r="18" spans="1:7" ht="14.25" customHeight="1" thickBot="1">
      <c r="A18" s="62"/>
      <c r="B18" s="62"/>
      <c r="C18" s="62"/>
      <c r="D18" s="62"/>
    </row>
    <row r="19" spans="1:7" ht="15.75" hidden="1" thickBot="1">
      <c r="A19" s="149"/>
      <c r="B19" s="62"/>
      <c r="C19" s="62"/>
      <c r="D19" s="62"/>
    </row>
    <row r="20" spans="1:7" ht="15.75" hidden="1" thickBot="1">
      <c r="A20" s="62"/>
      <c r="B20" s="62"/>
      <c r="C20" s="62"/>
      <c r="D20" s="62"/>
    </row>
    <row r="21" spans="1:7">
      <c r="A21" s="120" t="s">
        <v>21</v>
      </c>
      <c r="B21" s="121"/>
      <c r="C21" s="66"/>
      <c r="D21" s="67"/>
    </row>
    <row r="22" spans="1:7">
      <c r="A22" s="8" t="s">
        <v>97</v>
      </c>
      <c r="B22" s="8"/>
      <c r="C22" s="8"/>
      <c r="D22" s="8"/>
      <c r="G22" s="16"/>
    </row>
    <row r="23" spans="1:7" ht="14.25" customHeight="1">
      <c r="A23" s="160" t="s">
        <v>130</v>
      </c>
      <c r="B23" s="161"/>
      <c r="C23" s="164">
        <v>0</v>
      </c>
      <c r="D23" s="48"/>
    </row>
    <row r="24" spans="1:7" ht="21.75" customHeight="1">
      <c r="A24" s="162"/>
      <c r="B24" s="163"/>
      <c r="C24" s="165"/>
      <c r="D24" s="48"/>
    </row>
    <row r="25" spans="1:7">
      <c r="A25" s="111" t="s">
        <v>47</v>
      </c>
      <c r="B25" s="111"/>
      <c r="C25" s="142">
        <f>SUM(C23:C24)</f>
        <v>0</v>
      </c>
      <c r="D25" s="49"/>
    </row>
    <row r="26" spans="1:7" ht="0.6" customHeight="1">
      <c r="A26" s="48"/>
      <c r="B26" s="48"/>
      <c r="C26" s="84"/>
      <c r="D26" s="73"/>
    </row>
    <row r="27" spans="1:7" hidden="1">
      <c r="A27" s="48"/>
      <c r="B27" s="48"/>
      <c r="C27" s="84"/>
      <c r="D27" s="73"/>
    </row>
    <row r="28" spans="1:7" hidden="1">
      <c r="A28" s="48"/>
      <c r="B28" s="48"/>
      <c r="C28" s="84"/>
      <c r="D28" s="73"/>
    </row>
    <row r="29" spans="1:7" hidden="1">
      <c r="A29" s="48"/>
      <c r="B29" s="48"/>
      <c r="C29" s="85"/>
      <c r="D29" s="73"/>
    </row>
    <row r="30" spans="1:7" hidden="1">
      <c r="A30" s="111" t="s">
        <v>47</v>
      </c>
      <c r="B30" s="112"/>
      <c r="C30" s="22">
        <f>SUM(C26:C29)</f>
        <v>0</v>
      </c>
      <c r="D30" s="49"/>
    </row>
    <row r="31" spans="1:7" ht="14.25" customHeight="1" thickBot="1">
      <c r="A31" s="9" t="s">
        <v>0</v>
      </c>
      <c r="B31" s="9"/>
      <c r="C31" s="5"/>
      <c r="D31" s="50">
        <f>C25+C30</f>
        <v>0</v>
      </c>
      <c r="E31" s="4"/>
      <c r="F31" s="4"/>
    </row>
    <row r="32" spans="1:7">
      <c r="A32" s="8" t="s">
        <v>33</v>
      </c>
      <c r="B32" s="8"/>
      <c r="C32" s="10"/>
      <c r="D32" s="51"/>
      <c r="F32" s="4"/>
    </row>
    <row r="33" spans="1:7" ht="22.5" customHeight="1">
      <c r="A33" s="97" t="s">
        <v>129</v>
      </c>
      <c r="B33" s="113"/>
      <c r="C33" s="84">
        <v>0</v>
      </c>
      <c r="D33" s="82"/>
      <c r="F33" s="16" t="s">
        <v>117</v>
      </c>
      <c r="G33" s="4"/>
    </row>
    <row r="34" spans="1:7" ht="15.75" thickBot="1">
      <c r="A34" s="9" t="s">
        <v>29</v>
      </c>
      <c r="B34" s="9"/>
      <c r="C34" s="143"/>
      <c r="D34" s="50">
        <f>SUM(C33:C33)</f>
        <v>0</v>
      </c>
    </row>
    <row r="35" spans="1:7" ht="16.5" customHeight="1">
      <c r="A35" s="8" t="s">
        <v>44</v>
      </c>
      <c r="B35" s="9"/>
      <c r="C35" s="11"/>
      <c r="D35" s="27"/>
    </row>
    <row r="36" spans="1:7" ht="22.5" customHeight="1">
      <c r="A36" s="152" t="s">
        <v>118</v>
      </c>
      <c r="B36" s="153"/>
      <c r="C36" s="186">
        <v>89533</v>
      </c>
      <c r="D36" s="81" t="s">
        <v>128</v>
      </c>
    </row>
    <row r="37" spans="1:7" ht="22.5" customHeight="1">
      <c r="A37" s="146" t="s">
        <v>119</v>
      </c>
      <c r="B37" s="147"/>
      <c r="C37" s="187">
        <v>5587.48</v>
      </c>
      <c r="D37" s="81" t="s">
        <v>128</v>
      </c>
    </row>
    <row r="38" spans="1:7" ht="15.75" thickBot="1">
      <c r="A38" s="9" t="s">
        <v>1</v>
      </c>
      <c r="B38" s="9"/>
      <c r="C38" s="13"/>
      <c r="D38" s="52">
        <f>SUM(C36:C37)</f>
        <v>95120.48</v>
      </c>
    </row>
    <row r="39" spans="1:7" hidden="1">
      <c r="A39" s="8" t="s">
        <v>30</v>
      </c>
      <c r="B39" s="114"/>
      <c r="C39" s="14"/>
      <c r="D39" s="53"/>
    </row>
    <row r="40" spans="1:7" hidden="1">
      <c r="A40" s="48" t="s">
        <v>58</v>
      </c>
      <c r="B40" s="48" t="s">
        <v>103</v>
      </c>
      <c r="C40" s="86"/>
      <c r="D40" s="81"/>
      <c r="F40" s="75"/>
    </row>
    <row r="41" spans="1:7" hidden="1">
      <c r="A41" s="48" t="s">
        <v>59</v>
      </c>
      <c r="B41" s="48" t="s">
        <v>103</v>
      </c>
      <c r="C41" s="87"/>
      <c r="D41" s="81"/>
    </row>
    <row r="42" spans="1:7" hidden="1">
      <c r="A42" s="48" t="s">
        <v>60</v>
      </c>
      <c r="B42" s="48" t="s">
        <v>103</v>
      </c>
      <c r="C42" s="87"/>
      <c r="D42" s="81"/>
    </row>
    <row r="43" spans="1:7" hidden="1">
      <c r="A43" s="48" t="s">
        <v>61</v>
      </c>
      <c r="B43" s="48" t="s">
        <v>103</v>
      </c>
      <c r="C43" s="87"/>
      <c r="D43" s="80"/>
    </row>
    <row r="44" spans="1:7" ht="15" hidden="1" customHeight="1" thickBot="1">
      <c r="A44" s="9" t="s">
        <v>2</v>
      </c>
      <c r="B44" s="114"/>
      <c r="C44" s="15"/>
      <c r="D44" s="52">
        <f>SUM(C40:C43)</f>
        <v>0</v>
      </c>
    </row>
    <row r="45" spans="1:7">
      <c r="A45" s="8" t="s">
        <v>32</v>
      </c>
      <c r="B45" s="114"/>
      <c r="C45" s="14"/>
      <c r="D45" s="53"/>
    </row>
    <row r="46" spans="1:7" ht="14.25" customHeight="1">
      <c r="A46" s="62" t="s">
        <v>93</v>
      </c>
      <c r="B46" s="48"/>
      <c r="C46" s="87">
        <v>66626.53</v>
      </c>
      <c r="D46" s="79" t="s">
        <v>122</v>
      </c>
    </row>
    <row r="47" spans="1:7" ht="14.25" customHeight="1">
      <c r="A47" s="48" t="s">
        <v>94</v>
      </c>
      <c r="B47" s="48"/>
      <c r="C47" s="87">
        <v>502776.73</v>
      </c>
      <c r="D47" s="79" t="s">
        <v>122</v>
      </c>
      <c r="F47" t="s">
        <v>114</v>
      </c>
    </row>
    <row r="48" spans="1:7" ht="15.75" thickBot="1">
      <c r="A48" s="9" t="s">
        <v>3</v>
      </c>
      <c r="B48" s="9"/>
      <c r="C48" s="13"/>
      <c r="D48" s="52">
        <f>SUM(C46:C47)</f>
        <v>569403.26</v>
      </c>
    </row>
    <row r="49" spans="1:6" ht="15.75" thickBot="1">
      <c r="A49" s="8" t="s">
        <v>31</v>
      </c>
      <c r="B49" s="9"/>
      <c r="C49" s="13"/>
      <c r="D49" s="55"/>
    </row>
    <row r="50" spans="1:6" ht="19.899999999999999" customHeight="1">
      <c r="A50" s="152" t="s">
        <v>108</v>
      </c>
      <c r="B50" s="153"/>
      <c r="C50" s="87">
        <v>126000</v>
      </c>
      <c r="D50" s="79" t="s">
        <v>122</v>
      </c>
    </row>
    <row r="51" spans="1:6" ht="19.899999999999999" customHeight="1">
      <c r="A51" s="146" t="s">
        <v>126</v>
      </c>
      <c r="B51" s="148"/>
      <c r="C51" s="87">
        <v>300000</v>
      </c>
      <c r="D51" s="77" t="s">
        <v>127</v>
      </c>
    </row>
    <row r="52" spans="1:6" ht="41.25" customHeight="1">
      <c r="A52" s="152" t="s">
        <v>124</v>
      </c>
      <c r="B52" s="153"/>
      <c r="C52" s="87">
        <v>580730.54</v>
      </c>
      <c r="D52" s="77" t="s">
        <v>125</v>
      </c>
    </row>
    <row r="53" spans="1:6" ht="15.75" thickBot="1">
      <c r="A53" s="9" t="s">
        <v>11</v>
      </c>
      <c r="B53" s="8"/>
      <c r="C53" s="8"/>
      <c r="D53" s="57">
        <f>SUM(C50:C52)</f>
        <v>1006730.54</v>
      </c>
    </row>
    <row r="54" spans="1:6" ht="15.75" thickBot="1">
      <c r="A54" s="8" t="s">
        <v>24</v>
      </c>
      <c r="B54" s="115"/>
      <c r="C54" s="5"/>
      <c r="D54" s="55"/>
    </row>
    <row r="55" spans="1:6">
      <c r="A55" s="48" t="s">
        <v>115</v>
      </c>
      <c r="B55" s="48"/>
      <c r="C55" s="87">
        <v>69000</v>
      </c>
      <c r="D55" s="58"/>
    </row>
    <row r="56" spans="1:6">
      <c r="A56" s="48" t="s">
        <v>101</v>
      </c>
      <c r="B56" s="48"/>
      <c r="C56" s="87">
        <v>39863.769999999997</v>
      </c>
      <c r="D56" s="56"/>
    </row>
    <row r="57" spans="1:6" ht="15.75" thickBot="1">
      <c r="A57" s="116" t="s">
        <v>29</v>
      </c>
      <c r="B57" s="116"/>
      <c r="C57" s="59"/>
      <c r="D57" s="52">
        <f>SUM(C55:C56)</f>
        <v>108863.76999999999</v>
      </c>
    </row>
    <row r="58" spans="1:6" ht="15.75" thickBot="1">
      <c r="A58" s="48"/>
      <c r="B58" s="48"/>
      <c r="C58" s="48"/>
      <c r="D58" s="60"/>
    </row>
    <row r="59" spans="1:6" ht="20.25" customHeight="1" thickBot="1">
      <c r="A59" s="156" t="s">
        <v>112</v>
      </c>
      <c r="B59" s="157"/>
      <c r="C59" s="158"/>
      <c r="D59" s="61">
        <v>0</v>
      </c>
    </row>
    <row r="60" spans="1:6" ht="15.75" thickBot="1">
      <c r="A60" s="117"/>
      <c r="B60" s="62"/>
      <c r="C60" s="62"/>
      <c r="D60" s="63"/>
      <c r="E60" s="18"/>
    </row>
    <row r="61" spans="1:6" ht="15.75" thickBot="1">
      <c r="A61" s="118" t="s">
        <v>25</v>
      </c>
      <c r="B61" s="119"/>
      <c r="C61" s="64"/>
      <c r="D61" s="65">
        <f>(SUM(D26:D59))</f>
        <v>1780118.05</v>
      </c>
      <c r="E61" s="18"/>
      <c r="F61" s="18"/>
    </row>
    <row r="62" spans="1:6">
      <c r="A62" s="62"/>
      <c r="B62" s="62"/>
      <c r="C62" s="62"/>
      <c r="D62" s="62"/>
      <c r="F62" s="76"/>
    </row>
    <row r="63" spans="1:6" ht="15.75" thickBot="1">
      <c r="A63" s="62"/>
      <c r="B63" s="62"/>
      <c r="C63" s="62"/>
      <c r="D63" s="62"/>
    </row>
    <row r="64" spans="1:6">
      <c r="A64" s="120" t="s">
        <v>34</v>
      </c>
      <c r="B64" s="121"/>
      <c r="C64" s="66"/>
      <c r="D64" s="67"/>
    </row>
    <row r="65" spans="1:4">
      <c r="A65" s="124"/>
      <c r="B65" s="125"/>
      <c r="C65" s="87"/>
      <c r="D65" s="54"/>
    </row>
    <row r="66" spans="1:4">
      <c r="A66" s="116" t="s">
        <v>29</v>
      </c>
      <c r="B66" s="126"/>
      <c r="C66" s="127"/>
      <c r="D66" s="139">
        <f>SUM(C65:C65)</f>
        <v>0</v>
      </c>
    </row>
    <row r="67" spans="1:4" ht="15" customHeight="1">
      <c r="A67" s="62"/>
      <c r="B67" s="62"/>
      <c r="C67" s="62"/>
    </row>
    <row r="68" spans="1:4" hidden="1">
      <c r="A68" s="62"/>
      <c r="B68" s="62"/>
      <c r="C68" s="62"/>
    </row>
    <row r="69" spans="1:4">
      <c r="A69" s="128" t="s">
        <v>131</v>
      </c>
      <c r="B69" s="128"/>
      <c r="C69" s="129"/>
      <c r="D69" s="83">
        <v>144411</v>
      </c>
    </row>
    <row r="70" spans="1:4" ht="15.75" thickBot="1">
      <c r="A70" s="62"/>
      <c r="B70" s="62"/>
      <c r="C70" s="62"/>
    </row>
    <row r="71" spans="1:4" ht="15.75" thickBot="1">
      <c r="A71" s="118" t="s">
        <v>35</v>
      </c>
      <c r="B71" s="119"/>
      <c r="C71" s="64"/>
      <c r="D71" s="28">
        <f>D66+D69</f>
        <v>144411</v>
      </c>
    </row>
    <row r="72" spans="1:4" ht="15.75" thickBot="1">
      <c r="A72" s="62"/>
      <c r="B72" s="62"/>
      <c r="C72" s="62"/>
    </row>
    <row r="73" spans="1:4" ht="15.75" thickBot="1">
      <c r="A73" s="130" t="s">
        <v>26</v>
      </c>
      <c r="B73" s="131">
        <f>D61</f>
        <v>1780118.05</v>
      </c>
      <c r="C73" s="132"/>
    </row>
    <row r="74" spans="1:4" ht="15.75" thickBot="1">
      <c r="A74" s="130" t="s">
        <v>27</v>
      </c>
      <c r="B74" s="131">
        <f>D61-D59</f>
        <v>1780118.05</v>
      </c>
      <c r="C74" s="62"/>
    </row>
    <row r="75" spans="1:4" ht="15.75" thickBot="1">
      <c r="A75" s="130" t="s">
        <v>36</v>
      </c>
      <c r="B75" s="131">
        <f>D71-D69</f>
        <v>0</v>
      </c>
      <c r="C75" s="62"/>
    </row>
    <row r="76" spans="1:4" ht="15.75" thickBot="1">
      <c r="A76" s="130" t="s">
        <v>51</v>
      </c>
      <c r="B76" s="131">
        <f>D71</f>
        <v>144411</v>
      </c>
      <c r="C76" s="62"/>
    </row>
    <row r="77" spans="1:4">
      <c r="A77" s="62"/>
      <c r="B77" s="62"/>
      <c r="C77" s="62"/>
      <c r="D77" t="s">
        <v>113</v>
      </c>
    </row>
    <row r="78" spans="1:4">
      <c r="A78" s="62"/>
      <c r="B78" s="62"/>
      <c r="C78" s="62"/>
    </row>
    <row r="79" spans="1:4">
      <c r="A79" s="62"/>
      <c r="B79" s="62"/>
      <c r="C79" s="62"/>
    </row>
    <row r="80" spans="1:4" ht="15.75" thickBot="1">
      <c r="A80" s="133" t="s">
        <v>46</v>
      </c>
      <c r="B80" s="134"/>
      <c r="C80" s="62"/>
    </row>
    <row r="81" spans="1:12" ht="25.5" customHeight="1" thickBot="1">
      <c r="A81" s="7" t="s">
        <v>28</v>
      </c>
      <c r="B81" s="135">
        <v>1003717.69</v>
      </c>
      <c r="C81" s="62"/>
    </row>
    <row r="82" spans="1:12" ht="14.25" customHeight="1">
      <c r="A82" s="136" t="s">
        <v>54</v>
      </c>
      <c r="B82" s="56">
        <f>PRORRATEO!H24</f>
        <v>1248334.8199999998</v>
      </c>
      <c r="C82" s="62"/>
    </row>
    <row r="83" spans="1:12" ht="14.25" customHeight="1">
      <c r="A83" s="136" t="s">
        <v>53</v>
      </c>
      <c r="B83" s="56">
        <f>B93</f>
        <v>0</v>
      </c>
      <c r="C83" s="62"/>
      <c r="F83" t="s">
        <v>120</v>
      </c>
    </row>
    <row r="84" spans="1:12" ht="39.75" customHeight="1">
      <c r="A84" s="150" t="s">
        <v>123</v>
      </c>
      <c r="B84" s="144">
        <v>-50000</v>
      </c>
      <c r="C84" s="62"/>
    </row>
    <row r="85" spans="1:12">
      <c r="A85" s="138" t="s">
        <v>37</v>
      </c>
      <c r="B85" s="144">
        <f>-B74</f>
        <v>-1780118.05</v>
      </c>
      <c r="C85" s="62"/>
    </row>
    <row r="86" spans="1:12">
      <c r="A86" s="137" t="s">
        <v>38</v>
      </c>
      <c r="B86" s="56">
        <f>-(B75)</f>
        <v>0</v>
      </c>
      <c r="C86" s="62"/>
    </row>
    <row r="87" spans="1:12">
      <c r="A87" s="6" t="s">
        <v>11</v>
      </c>
      <c r="B87" s="98">
        <f>SUM(B81:B86)</f>
        <v>421934.45999999973</v>
      </c>
      <c r="C87" s="123"/>
    </row>
    <row r="88" spans="1:12" ht="34.5" customHeight="1">
      <c r="B88" s="16"/>
      <c r="C88" s="18"/>
      <c r="D88" s="123"/>
    </row>
    <row r="89" spans="1:12">
      <c r="A89" s="155" t="s">
        <v>45</v>
      </c>
      <c r="B89" s="155"/>
    </row>
    <row r="90" spans="1:12" ht="27.75" customHeight="1">
      <c r="A90" s="155"/>
      <c r="B90" s="155"/>
    </row>
    <row r="91" spans="1:12" ht="32.25" customHeight="1">
      <c r="A91" s="68"/>
      <c r="B91" s="12"/>
    </row>
    <row r="92" spans="1:12" ht="32.25" customHeight="1">
      <c r="A92" s="68"/>
      <c r="B92" s="12"/>
    </row>
    <row r="93" spans="1:12">
      <c r="A93" s="19" t="s">
        <v>11</v>
      </c>
      <c r="B93" s="69">
        <f>SUM(B91:B92)</f>
        <v>0</v>
      </c>
    </row>
    <row r="94" spans="1:12">
      <c r="L94" s="3"/>
    </row>
  </sheetData>
  <mergeCells count="10">
    <mergeCell ref="A4:B7"/>
    <mergeCell ref="A36:B36"/>
    <mergeCell ref="A14:D17"/>
    <mergeCell ref="A89:B90"/>
    <mergeCell ref="A59:C59"/>
    <mergeCell ref="B9:B11"/>
    <mergeCell ref="A50:B50"/>
    <mergeCell ref="A23:B24"/>
    <mergeCell ref="C23:C24"/>
    <mergeCell ref="A52:B5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5" zoomScaleNormal="100" workbookViewId="0">
      <selection activeCell="H8" sqref="H8:H24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3.8554687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99"/>
      <c r="B1" s="170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70"/>
      <c r="D1" s="170"/>
      <c r="E1" s="170"/>
      <c r="F1" s="170"/>
      <c r="G1" s="170"/>
      <c r="H1" s="170"/>
      <c r="I1" s="170"/>
      <c r="J1" s="170"/>
      <c r="K1" s="170"/>
      <c r="L1" s="100"/>
      <c r="M1" s="100"/>
      <c r="N1" s="100"/>
      <c r="O1" s="100"/>
      <c r="P1" s="101"/>
    </row>
    <row r="2" spans="1:21" ht="33.75" customHeight="1">
      <c r="A2" s="102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03"/>
      <c r="M2" s="103" t="s">
        <v>4</v>
      </c>
      <c r="N2" s="2"/>
      <c r="O2" s="110">
        <v>1780118.05</v>
      </c>
      <c r="P2" s="104"/>
      <c r="Q2" s="4"/>
      <c r="R2">
        <v>1646848.23</v>
      </c>
    </row>
    <row r="3" spans="1:21" ht="46.5" customHeight="1" thickBot="1">
      <c r="A3" s="105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06"/>
      <c r="M3" s="106" t="s">
        <v>55</v>
      </c>
      <c r="N3" s="107"/>
      <c r="O3" s="140">
        <v>144411</v>
      </c>
      <c r="P3" s="108"/>
    </row>
    <row r="4" spans="1:21" ht="30.6" customHeight="1" thickBot="1">
      <c r="A4" s="2"/>
      <c r="B4" s="182" t="s">
        <v>96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4"/>
    </row>
    <row r="5" spans="1:21">
      <c r="A5" s="166" t="s">
        <v>5</v>
      </c>
      <c r="B5" s="168" t="s">
        <v>6</v>
      </c>
      <c r="C5" s="169" t="s">
        <v>7</v>
      </c>
      <c r="D5" s="169" t="s">
        <v>8</v>
      </c>
      <c r="E5" s="169" t="s">
        <v>41</v>
      </c>
      <c r="F5" s="169" t="s">
        <v>23</v>
      </c>
      <c r="G5" s="169" t="s">
        <v>52</v>
      </c>
      <c r="H5" s="169" t="s">
        <v>9</v>
      </c>
      <c r="I5" s="169" t="s">
        <v>42</v>
      </c>
      <c r="J5" s="178" t="s">
        <v>43</v>
      </c>
      <c r="K5" s="176" t="s">
        <v>40</v>
      </c>
      <c r="L5" s="176" t="s">
        <v>10</v>
      </c>
      <c r="M5" s="176" t="s">
        <v>39</v>
      </c>
      <c r="N5" s="180" t="s">
        <v>50</v>
      </c>
      <c r="O5" s="88" t="s">
        <v>49</v>
      </c>
      <c r="P5" s="173" t="s">
        <v>48</v>
      </c>
      <c r="S5" s="18"/>
      <c r="T5" s="16"/>
    </row>
    <row r="6" spans="1:21" ht="15.75" customHeight="1">
      <c r="A6" s="167"/>
      <c r="B6" s="168"/>
      <c r="C6" s="169"/>
      <c r="D6" s="169"/>
      <c r="E6" s="175"/>
      <c r="F6" s="169"/>
      <c r="G6" s="169"/>
      <c r="H6" s="169"/>
      <c r="I6" s="175"/>
      <c r="J6" s="179"/>
      <c r="K6" s="177"/>
      <c r="L6" s="176"/>
      <c r="M6" s="177"/>
      <c r="N6" s="181"/>
      <c r="O6" s="23" t="str">
        <f>RESUMEN!B9</f>
        <v>VTO 16/10</v>
      </c>
      <c r="P6" s="173"/>
      <c r="S6" s="16">
        <v>65160</v>
      </c>
      <c r="T6" s="16">
        <v>157470</v>
      </c>
      <c r="U6" s="18">
        <f>T6+S6</f>
        <v>222630</v>
      </c>
    </row>
    <row r="7" spans="1:21" ht="17.100000000000001" customHeight="1">
      <c r="A7" s="1" t="s">
        <v>12</v>
      </c>
      <c r="B7" s="25">
        <v>1</v>
      </c>
      <c r="C7" s="25" t="s">
        <v>65</v>
      </c>
      <c r="D7" s="25" t="s">
        <v>81</v>
      </c>
      <c r="E7" s="25"/>
      <c r="F7" s="29">
        <v>10.86</v>
      </c>
      <c r="G7" s="30">
        <v>5844200.0099999998</v>
      </c>
      <c r="H7" s="31"/>
      <c r="I7" s="32"/>
      <c r="J7" s="33">
        <f>G7-H7</f>
        <v>5844200.0099999998</v>
      </c>
      <c r="K7" s="33">
        <f>IF(J7&gt;0,J7*3%,0)</f>
        <v>175326.00029999999</v>
      </c>
      <c r="L7" s="34">
        <f>O$3*F7%</f>
        <v>15683.034599999999</v>
      </c>
      <c r="M7" s="34">
        <f>O$2*F7%</f>
        <v>193320.82022999998</v>
      </c>
      <c r="N7" s="35">
        <v>50000</v>
      </c>
      <c r="O7" s="36">
        <f>ROUND(SUM(J7:N7),0) + Q7</f>
        <v>6278530.0099999998</v>
      </c>
      <c r="P7" s="37">
        <f t="shared" ref="P7:P23" si="0">ROUND(O7*3%,0) + O7</f>
        <v>6466886.0099999998</v>
      </c>
      <c r="Q7" s="18">
        <v>0.01</v>
      </c>
      <c r="S7" s="16">
        <v>66960</v>
      </c>
      <c r="T7" s="16">
        <v>161820</v>
      </c>
      <c r="U7" s="18">
        <f t="shared" ref="U7:U21" si="1">T7+S7</f>
        <v>228780</v>
      </c>
    </row>
    <row r="8" spans="1:21" ht="17.100000000000001" customHeight="1">
      <c r="A8" s="145" t="s">
        <v>13</v>
      </c>
      <c r="B8" s="78">
        <v>2</v>
      </c>
      <c r="C8" s="78" t="s">
        <v>66</v>
      </c>
      <c r="D8" s="78" t="s">
        <v>82</v>
      </c>
      <c r="E8" s="90"/>
      <c r="F8" s="29">
        <v>11.16</v>
      </c>
      <c r="G8" s="30">
        <v>173409.02</v>
      </c>
      <c r="H8" s="31">
        <f>182266.14-H18</f>
        <v>173409.02000000002</v>
      </c>
      <c r="I8" s="32"/>
      <c r="J8" s="33">
        <f t="shared" ref="J8:J22" si="2">G8-H8</f>
        <v>0</v>
      </c>
      <c r="K8" s="33">
        <f t="shared" ref="K8:K22" si="3">IF(J8&gt;0,J8*3%,0)</f>
        <v>0</v>
      </c>
      <c r="L8" s="34">
        <f t="shared" ref="L8:L23" si="4">O$3*F8%</f>
        <v>16116.267600000001</v>
      </c>
      <c r="M8" s="34">
        <f t="shared" ref="M8:M23" si="5">O$2*F8%</f>
        <v>198661.17438000001</v>
      </c>
      <c r="N8" s="35">
        <v>0</v>
      </c>
      <c r="O8" s="36">
        <f>ROUND(SUM(J8:N8),0) + Q8</f>
        <v>214777.02</v>
      </c>
      <c r="P8" s="37">
        <f t="shared" si="0"/>
        <v>221220.02</v>
      </c>
      <c r="Q8" s="18">
        <f>Q7+0.01</f>
        <v>0.02</v>
      </c>
      <c r="R8" s="18"/>
      <c r="S8" s="16">
        <v>41700</v>
      </c>
      <c r="T8" s="16">
        <v>100775</v>
      </c>
      <c r="U8" s="18">
        <f t="shared" si="1"/>
        <v>142475</v>
      </c>
    </row>
    <row r="9" spans="1:21" ht="17.100000000000001" customHeight="1">
      <c r="A9" s="1" t="s">
        <v>13</v>
      </c>
      <c r="B9" s="78">
        <v>4</v>
      </c>
      <c r="C9" s="78" t="s">
        <v>67</v>
      </c>
      <c r="D9" s="89" t="s">
        <v>83</v>
      </c>
      <c r="E9" s="78" t="s">
        <v>105</v>
      </c>
      <c r="F9" s="91">
        <v>6.95</v>
      </c>
      <c r="G9" s="31">
        <v>226272.03</v>
      </c>
      <c r="H9" s="31">
        <v>0</v>
      </c>
      <c r="I9" s="32"/>
      <c r="J9" s="92">
        <f t="shared" si="2"/>
        <v>226272.03</v>
      </c>
      <c r="K9" s="33">
        <f t="shared" si="3"/>
        <v>6788.1608999999999</v>
      </c>
      <c r="L9" s="93">
        <f t="shared" si="4"/>
        <v>10036.5645</v>
      </c>
      <c r="M9" s="93">
        <f t="shared" si="5"/>
        <v>123718.20447500002</v>
      </c>
      <c r="N9" s="94">
        <v>0</v>
      </c>
      <c r="O9" s="95">
        <f t="shared" ref="O9:O23" si="6">ROUND(SUM(J9:N9),0) + Q9</f>
        <v>366815.03</v>
      </c>
      <c r="P9" s="96">
        <f t="shared" si="0"/>
        <v>377819.03</v>
      </c>
      <c r="Q9" s="18">
        <f t="shared" ref="Q9:Q22" si="7">Q8+0.01</f>
        <v>0.03</v>
      </c>
      <c r="S9" s="16">
        <v>44220</v>
      </c>
      <c r="T9" s="16">
        <v>106865</v>
      </c>
      <c r="U9" s="18">
        <f t="shared" si="1"/>
        <v>151085</v>
      </c>
    </row>
    <row r="10" spans="1:21" ht="17.100000000000001" customHeight="1">
      <c r="A10" s="1" t="s">
        <v>14</v>
      </c>
      <c r="B10" s="78">
        <v>3</v>
      </c>
      <c r="C10" s="78" t="s">
        <v>68</v>
      </c>
      <c r="D10" s="78" t="s">
        <v>84</v>
      </c>
      <c r="E10" s="78" t="s">
        <v>110</v>
      </c>
      <c r="F10" s="29">
        <v>7.37</v>
      </c>
      <c r="G10" s="30">
        <v>159529.04</v>
      </c>
      <c r="H10" s="31">
        <f>119027-H20</f>
        <v>111181.86</v>
      </c>
      <c r="I10" s="32"/>
      <c r="J10" s="33">
        <f t="shared" si="2"/>
        <v>48347.180000000008</v>
      </c>
      <c r="K10" s="33">
        <f t="shared" si="3"/>
        <v>1450.4154000000001</v>
      </c>
      <c r="L10" s="34">
        <f t="shared" si="4"/>
        <v>10643.090700000001</v>
      </c>
      <c r="M10" s="34">
        <f t="shared" si="5"/>
        <v>131194.700285</v>
      </c>
      <c r="N10" s="35">
        <v>0</v>
      </c>
      <c r="O10" s="36">
        <f t="shared" si="6"/>
        <v>191635.04</v>
      </c>
      <c r="P10" s="37">
        <f t="shared" si="0"/>
        <v>197384.04</v>
      </c>
      <c r="Q10" s="18">
        <f t="shared" si="7"/>
        <v>0.04</v>
      </c>
      <c r="S10" s="16">
        <v>64080</v>
      </c>
      <c r="T10" s="16">
        <v>154860</v>
      </c>
      <c r="U10" s="18">
        <f t="shared" si="1"/>
        <v>218940</v>
      </c>
    </row>
    <row r="11" spans="1:21" ht="27" customHeight="1">
      <c r="A11" s="1" t="s">
        <v>14</v>
      </c>
      <c r="B11" s="25">
        <v>5</v>
      </c>
      <c r="C11" s="25" t="s">
        <v>69</v>
      </c>
      <c r="D11" s="25" t="s">
        <v>85</v>
      </c>
      <c r="E11" s="26" t="s">
        <v>106</v>
      </c>
      <c r="F11" s="29">
        <v>10.68</v>
      </c>
      <c r="G11" s="30">
        <v>161116.04999999999</v>
      </c>
      <c r="H11" s="31">
        <f>G11</f>
        <v>161116.04999999999</v>
      </c>
      <c r="I11" s="32"/>
      <c r="J11" s="33">
        <f t="shared" si="2"/>
        <v>0</v>
      </c>
      <c r="K11" s="33">
        <f t="shared" si="3"/>
        <v>0</v>
      </c>
      <c r="L11" s="34">
        <f t="shared" si="4"/>
        <v>15423.094799999999</v>
      </c>
      <c r="M11" s="34">
        <f t="shared" si="5"/>
        <v>190116.60773999998</v>
      </c>
      <c r="N11" s="35">
        <v>0</v>
      </c>
      <c r="O11" s="36">
        <f t="shared" si="6"/>
        <v>205540.05</v>
      </c>
      <c r="P11" s="37">
        <f t="shared" si="0"/>
        <v>211706.05</v>
      </c>
      <c r="Q11" s="18">
        <f t="shared" si="7"/>
        <v>0.05</v>
      </c>
      <c r="S11" s="16">
        <v>41700</v>
      </c>
      <c r="T11" s="16">
        <v>100775</v>
      </c>
      <c r="U11" s="18">
        <f t="shared" si="1"/>
        <v>142475</v>
      </c>
    </row>
    <row r="12" spans="1:21" ht="17.100000000000001" customHeight="1">
      <c r="A12" s="1" t="s">
        <v>15</v>
      </c>
      <c r="B12" s="25">
        <v>7</v>
      </c>
      <c r="C12" s="25" t="s">
        <v>70</v>
      </c>
      <c r="D12" s="25" t="s">
        <v>86</v>
      </c>
      <c r="E12" s="25" t="s">
        <v>132</v>
      </c>
      <c r="F12" s="29">
        <v>6.95</v>
      </c>
      <c r="G12" s="30">
        <v>104846.06</v>
      </c>
      <c r="H12" s="31">
        <f>114048-H22</f>
        <v>104845.84</v>
      </c>
      <c r="I12" s="32"/>
      <c r="J12" s="33">
        <f t="shared" si="2"/>
        <v>0.22000000000116415</v>
      </c>
      <c r="K12" s="33">
        <f t="shared" si="3"/>
        <v>6.6000000000349243E-3</v>
      </c>
      <c r="L12" s="34">
        <f t="shared" si="4"/>
        <v>10036.5645</v>
      </c>
      <c r="M12" s="34">
        <f t="shared" si="5"/>
        <v>123718.20447500002</v>
      </c>
      <c r="N12" s="122">
        <v>0</v>
      </c>
      <c r="O12" s="36">
        <f>ROUND(SUM(J12:N12),0) + Q12</f>
        <v>133755.06</v>
      </c>
      <c r="P12" s="37">
        <f t="shared" si="0"/>
        <v>137768.06</v>
      </c>
      <c r="Q12" s="18">
        <f t="shared" si="7"/>
        <v>6.0000000000000005E-2</v>
      </c>
      <c r="S12" s="16">
        <v>41340</v>
      </c>
      <c r="T12" s="16">
        <v>99905</v>
      </c>
      <c r="U12" s="18">
        <f t="shared" si="1"/>
        <v>141245</v>
      </c>
    </row>
    <row r="13" spans="1:21" ht="17.100000000000001" customHeight="1">
      <c r="A13" s="1" t="s">
        <v>15</v>
      </c>
      <c r="B13" s="25">
        <v>6</v>
      </c>
      <c r="C13" s="78" t="s">
        <v>71</v>
      </c>
      <c r="D13" s="78" t="s">
        <v>87</v>
      </c>
      <c r="E13" s="25" t="s">
        <v>100</v>
      </c>
      <c r="F13" s="29">
        <v>6.89</v>
      </c>
      <c r="G13" s="30">
        <v>103941.07</v>
      </c>
      <c r="H13" s="31">
        <f>G13</f>
        <v>103941.07</v>
      </c>
      <c r="I13" s="32"/>
      <c r="J13" s="33">
        <f t="shared" si="2"/>
        <v>0</v>
      </c>
      <c r="K13" s="33">
        <f t="shared" si="3"/>
        <v>0</v>
      </c>
      <c r="L13" s="34">
        <f t="shared" si="4"/>
        <v>9949.9179000000004</v>
      </c>
      <c r="M13" s="34">
        <f t="shared" si="5"/>
        <v>122650.13364500001</v>
      </c>
      <c r="N13" s="35">
        <v>0</v>
      </c>
      <c r="O13" s="36">
        <f t="shared" si="6"/>
        <v>132600.07</v>
      </c>
      <c r="P13" s="37">
        <f t="shared" si="0"/>
        <v>136578.07</v>
      </c>
      <c r="Q13" s="18">
        <f t="shared" si="7"/>
        <v>7.0000000000000007E-2</v>
      </c>
      <c r="R13" s="76"/>
      <c r="S13" s="109">
        <v>64080</v>
      </c>
      <c r="T13" s="16">
        <v>154860</v>
      </c>
      <c r="U13" s="18">
        <f t="shared" si="1"/>
        <v>218940</v>
      </c>
    </row>
    <row r="14" spans="1:21" ht="17.100000000000001" customHeight="1">
      <c r="A14" s="1" t="s">
        <v>16</v>
      </c>
      <c r="B14" s="25">
        <v>8</v>
      </c>
      <c r="C14" s="25" t="s">
        <v>72</v>
      </c>
      <c r="D14" s="25" t="s">
        <v>87</v>
      </c>
      <c r="E14" s="25" t="s">
        <v>99</v>
      </c>
      <c r="F14" s="29">
        <v>10.68</v>
      </c>
      <c r="G14" s="30">
        <v>161116.07999999999</v>
      </c>
      <c r="H14" s="31">
        <f>G14</f>
        <v>161116.07999999999</v>
      </c>
      <c r="I14" s="32"/>
      <c r="J14" s="33">
        <f t="shared" si="2"/>
        <v>0</v>
      </c>
      <c r="K14" s="33">
        <f t="shared" si="3"/>
        <v>0</v>
      </c>
      <c r="L14" s="34">
        <f t="shared" si="4"/>
        <v>15423.094799999999</v>
      </c>
      <c r="M14" s="34">
        <f t="shared" si="5"/>
        <v>190116.60773999998</v>
      </c>
      <c r="N14" s="35">
        <v>0</v>
      </c>
      <c r="O14" s="36">
        <f t="shared" si="6"/>
        <v>205540.08</v>
      </c>
      <c r="P14" s="37">
        <f t="shared" si="0"/>
        <v>211706.08</v>
      </c>
      <c r="Q14" s="18">
        <f t="shared" si="7"/>
        <v>0.08</v>
      </c>
      <c r="S14" s="16">
        <v>41700</v>
      </c>
      <c r="T14" s="16">
        <v>100775</v>
      </c>
      <c r="U14" s="18">
        <f t="shared" si="1"/>
        <v>142475</v>
      </c>
    </row>
    <row r="15" spans="1:21" ht="17.100000000000001" customHeight="1">
      <c r="A15" s="1" t="s">
        <v>16</v>
      </c>
      <c r="B15" s="78">
        <v>10</v>
      </c>
      <c r="C15" s="78" t="s">
        <v>73</v>
      </c>
      <c r="D15" s="78" t="s">
        <v>88</v>
      </c>
      <c r="E15" s="90" t="s">
        <v>107</v>
      </c>
      <c r="F15" s="91">
        <v>6.95</v>
      </c>
      <c r="G15" s="31">
        <v>104846.09</v>
      </c>
      <c r="H15" s="31">
        <v>107991.09</v>
      </c>
      <c r="I15" s="32"/>
      <c r="J15" s="92">
        <f t="shared" si="2"/>
        <v>-3145</v>
      </c>
      <c r="K15" s="92">
        <v>0</v>
      </c>
      <c r="L15" s="93">
        <f t="shared" si="4"/>
        <v>10036.5645</v>
      </c>
      <c r="M15" s="93">
        <f t="shared" si="5"/>
        <v>123718.20447500002</v>
      </c>
      <c r="N15" s="94">
        <v>0</v>
      </c>
      <c r="O15" s="95">
        <f t="shared" si="6"/>
        <v>130610.09</v>
      </c>
      <c r="P15" s="96">
        <f t="shared" si="0"/>
        <v>134528.09</v>
      </c>
      <c r="Q15" s="18">
        <f t="shared" si="7"/>
        <v>0.09</v>
      </c>
      <c r="S15" s="16">
        <v>41340</v>
      </c>
      <c r="T15" s="16">
        <v>99905</v>
      </c>
      <c r="U15" s="18">
        <f t="shared" si="1"/>
        <v>141245</v>
      </c>
    </row>
    <row r="16" spans="1:21" ht="17.100000000000001" customHeight="1">
      <c r="A16" s="1" t="s">
        <v>17</v>
      </c>
      <c r="B16" s="25">
        <v>9</v>
      </c>
      <c r="C16" s="25" t="s">
        <v>74</v>
      </c>
      <c r="D16" s="25" t="s">
        <v>89</v>
      </c>
      <c r="E16" s="26" t="s">
        <v>98</v>
      </c>
      <c r="F16" s="29">
        <v>6.89</v>
      </c>
      <c r="G16" s="30">
        <v>146479.1</v>
      </c>
      <c r="H16" s="31">
        <v>103941</v>
      </c>
      <c r="I16" s="32"/>
      <c r="J16" s="33">
        <f t="shared" si="2"/>
        <v>42538.100000000006</v>
      </c>
      <c r="K16" s="33">
        <f t="shared" si="3"/>
        <v>1276.143</v>
      </c>
      <c r="L16" s="34">
        <f t="shared" si="4"/>
        <v>9949.9179000000004</v>
      </c>
      <c r="M16" s="34">
        <f t="shared" si="5"/>
        <v>122650.13364500001</v>
      </c>
      <c r="N16" s="35">
        <v>0</v>
      </c>
      <c r="O16" s="36">
        <f t="shared" si="6"/>
        <v>176414.1</v>
      </c>
      <c r="P16" s="37">
        <f t="shared" si="0"/>
        <v>181706.1</v>
      </c>
      <c r="Q16" s="18">
        <f t="shared" si="7"/>
        <v>9.9999999999999992E-2</v>
      </c>
      <c r="R16" t="s">
        <v>111</v>
      </c>
      <c r="S16" s="16">
        <v>71280</v>
      </c>
      <c r="T16" s="16">
        <v>172260</v>
      </c>
      <c r="U16" s="18">
        <f t="shared" si="1"/>
        <v>243540</v>
      </c>
    </row>
    <row r="17" spans="1:21" ht="17.100000000000001" customHeight="1">
      <c r="A17" s="1" t="s">
        <v>17</v>
      </c>
      <c r="B17" s="25">
        <v>11</v>
      </c>
      <c r="C17" s="25" t="s">
        <v>75</v>
      </c>
      <c r="D17" s="25" t="s">
        <v>90</v>
      </c>
      <c r="E17" s="26"/>
      <c r="F17" s="29">
        <v>11.88</v>
      </c>
      <c r="G17" s="30">
        <v>179219.11</v>
      </c>
      <c r="H17" s="31">
        <f>G17</f>
        <v>179219.11</v>
      </c>
      <c r="I17" s="32"/>
      <c r="J17" s="33">
        <f t="shared" si="2"/>
        <v>0</v>
      </c>
      <c r="K17" s="33">
        <f t="shared" si="3"/>
        <v>0</v>
      </c>
      <c r="L17" s="34">
        <f t="shared" si="4"/>
        <v>17156.0268</v>
      </c>
      <c r="M17" s="34">
        <f t="shared" si="5"/>
        <v>211478.02434</v>
      </c>
      <c r="N17" s="35">
        <v>0</v>
      </c>
      <c r="O17" s="36">
        <f t="shared" si="6"/>
        <v>228634.11</v>
      </c>
      <c r="P17" s="37">
        <f t="shared" si="0"/>
        <v>235493.11</v>
      </c>
      <c r="Q17" s="18">
        <f t="shared" si="7"/>
        <v>0.10999999999999999</v>
      </c>
      <c r="R17" t="s">
        <v>109</v>
      </c>
      <c r="S17" s="16">
        <v>3420</v>
      </c>
      <c r="T17" s="16">
        <v>8265</v>
      </c>
      <c r="U17" s="18">
        <f t="shared" si="1"/>
        <v>11685</v>
      </c>
    </row>
    <row r="18" spans="1:21" ht="17.100000000000001" customHeight="1">
      <c r="A18" s="1" t="s">
        <v>18</v>
      </c>
      <c r="B18" s="25" t="s">
        <v>64</v>
      </c>
      <c r="C18" s="25" t="s">
        <v>76</v>
      </c>
      <c r="D18" s="25" t="s">
        <v>82</v>
      </c>
      <c r="E18" s="26"/>
      <c r="F18" s="29">
        <v>0.56999999999999995</v>
      </c>
      <c r="G18" s="30">
        <v>8857.1200000000008</v>
      </c>
      <c r="H18" s="31">
        <f>G18</f>
        <v>8857.1200000000008</v>
      </c>
      <c r="I18" s="32"/>
      <c r="J18" s="33">
        <f t="shared" si="2"/>
        <v>0</v>
      </c>
      <c r="K18" s="33">
        <f t="shared" si="3"/>
        <v>0</v>
      </c>
      <c r="L18" s="34">
        <f t="shared" si="4"/>
        <v>823.14269999999988</v>
      </c>
      <c r="M18" s="34">
        <f t="shared" si="5"/>
        <v>10146.672885</v>
      </c>
      <c r="N18" s="35">
        <v>0</v>
      </c>
      <c r="O18" s="36">
        <f t="shared" si="6"/>
        <v>10970.12</v>
      </c>
      <c r="P18" s="37">
        <f t="shared" si="0"/>
        <v>11299.12</v>
      </c>
      <c r="Q18" s="18">
        <f t="shared" si="7"/>
        <v>0.11999999999999998</v>
      </c>
      <c r="S18" s="16">
        <v>3120</v>
      </c>
      <c r="T18" s="16">
        <v>7540</v>
      </c>
      <c r="U18" s="18">
        <f t="shared" si="1"/>
        <v>10660</v>
      </c>
    </row>
    <row r="19" spans="1:21" ht="17.100000000000001" customHeight="1">
      <c r="A19" s="1" t="s">
        <v>18</v>
      </c>
      <c r="B19" s="25" t="s">
        <v>64</v>
      </c>
      <c r="C19" s="25" t="s">
        <v>77</v>
      </c>
      <c r="D19" s="25" t="s">
        <v>91</v>
      </c>
      <c r="E19" s="26"/>
      <c r="F19" s="29">
        <v>0.52</v>
      </c>
      <c r="G19" s="30">
        <v>7596.13</v>
      </c>
      <c r="H19" s="31">
        <f>7824.13</f>
        <v>7824.13</v>
      </c>
      <c r="I19" s="32"/>
      <c r="J19" s="33">
        <f t="shared" si="2"/>
        <v>-228</v>
      </c>
      <c r="K19" s="33">
        <f t="shared" si="3"/>
        <v>0</v>
      </c>
      <c r="L19" s="34">
        <f t="shared" si="4"/>
        <v>750.93719999999996</v>
      </c>
      <c r="M19" s="34">
        <f t="shared" si="5"/>
        <v>9256.6138599999995</v>
      </c>
      <c r="N19" s="35">
        <v>0</v>
      </c>
      <c r="O19" s="36">
        <f t="shared" si="6"/>
        <v>9780.1299999999992</v>
      </c>
      <c r="P19" s="37">
        <f t="shared" si="0"/>
        <v>10073.129999999999</v>
      </c>
      <c r="Q19" s="18">
        <f t="shared" si="7"/>
        <v>0.12999999999999998</v>
      </c>
      <c r="S19" s="16">
        <v>3120</v>
      </c>
      <c r="T19" s="16">
        <v>7540</v>
      </c>
      <c r="U19" s="18">
        <f t="shared" si="1"/>
        <v>10660</v>
      </c>
    </row>
    <row r="20" spans="1:21" ht="17.100000000000001" customHeight="1">
      <c r="A20" s="1" t="s">
        <v>19</v>
      </c>
      <c r="B20" s="25" t="s">
        <v>64</v>
      </c>
      <c r="C20" s="25" t="s">
        <v>78</v>
      </c>
      <c r="D20" s="25" t="s">
        <v>91</v>
      </c>
      <c r="E20" s="25" t="s">
        <v>104</v>
      </c>
      <c r="F20" s="29">
        <v>0.52</v>
      </c>
      <c r="G20" s="30">
        <v>7845.14</v>
      </c>
      <c r="H20" s="31">
        <f>G20</f>
        <v>7845.14</v>
      </c>
      <c r="I20" s="32"/>
      <c r="J20" s="33">
        <f t="shared" si="2"/>
        <v>0</v>
      </c>
      <c r="K20" s="33">
        <f t="shared" si="3"/>
        <v>0</v>
      </c>
      <c r="L20" s="34">
        <f t="shared" si="4"/>
        <v>750.93719999999996</v>
      </c>
      <c r="M20" s="34">
        <f t="shared" si="5"/>
        <v>9256.6138599999995</v>
      </c>
      <c r="N20" s="35">
        <v>0</v>
      </c>
      <c r="O20" s="36">
        <f t="shared" si="6"/>
        <v>10008.14</v>
      </c>
      <c r="P20" s="37">
        <f t="shared" si="0"/>
        <v>10308.14</v>
      </c>
      <c r="Q20" s="18">
        <f t="shared" si="7"/>
        <v>0.13999999999999999</v>
      </c>
      <c r="S20" s="16">
        <v>3120</v>
      </c>
      <c r="T20" s="16">
        <v>7540</v>
      </c>
      <c r="U20" s="18">
        <f t="shared" si="1"/>
        <v>10660</v>
      </c>
    </row>
    <row r="21" spans="1:21" ht="17.100000000000001" customHeight="1">
      <c r="A21" s="1" t="s">
        <v>19</v>
      </c>
      <c r="B21" s="25" t="s">
        <v>64</v>
      </c>
      <c r="C21" s="25" t="s">
        <v>79</v>
      </c>
      <c r="D21" s="25" t="s">
        <v>90</v>
      </c>
      <c r="E21" s="26"/>
      <c r="F21" s="29">
        <v>0.52</v>
      </c>
      <c r="G21" s="30">
        <v>7845.15</v>
      </c>
      <c r="H21" s="31">
        <f>G21</f>
        <v>7845.15</v>
      </c>
      <c r="I21" s="32"/>
      <c r="J21" s="33">
        <f t="shared" si="2"/>
        <v>0</v>
      </c>
      <c r="K21" s="33">
        <f t="shared" si="3"/>
        <v>0</v>
      </c>
      <c r="L21" s="34">
        <f t="shared" si="4"/>
        <v>750.93719999999996</v>
      </c>
      <c r="M21" s="34">
        <f t="shared" si="5"/>
        <v>9256.6138599999995</v>
      </c>
      <c r="N21" s="35">
        <v>0</v>
      </c>
      <c r="O21" s="36">
        <f t="shared" si="6"/>
        <v>10008.15</v>
      </c>
      <c r="P21" s="37">
        <f t="shared" si="0"/>
        <v>10308.15</v>
      </c>
      <c r="Q21" s="18">
        <f t="shared" si="7"/>
        <v>0.15</v>
      </c>
      <c r="S21" s="16">
        <v>3660</v>
      </c>
      <c r="T21" s="16">
        <v>8845</v>
      </c>
      <c r="U21" s="18">
        <f t="shared" si="1"/>
        <v>12505</v>
      </c>
    </row>
    <row r="22" spans="1:21" ht="17.100000000000001" customHeight="1" thickBot="1">
      <c r="A22" s="1" t="s">
        <v>20</v>
      </c>
      <c r="B22" s="25" t="s">
        <v>64</v>
      </c>
      <c r="C22" s="25" t="s">
        <v>80</v>
      </c>
      <c r="D22" s="25" t="s">
        <v>86</v>
      </c>
      <c r="E22" s="25" t="s">
        <v>132</v>
      </c>
      <c r="F22" s="29">
        <v>0.61</v>
      </c>
      <c r="G22" s="30">
        <v>9202.16</v>
      </c>
      <c r="H22" s="31">
        <f>G22</f>
        <v>9202.16</v>
      </c>
      <c r="I22" s="32"/>
      <c r="J22" s="33">
        <f t="shared" si="2"/>
        <v>0</v>
      </c>
      <c r="K22" s="33">
        <f t="shared" si="3"/>
        <v>0</v>
      </c>
      <c r="L22" s="34">
        <f t="shared" si="4"/>
        <v>880.9070999999999</v>
      </c>
      <c r="M22" s="34">
        <f t="shared" si="5"/>
        <v>10858.720105</v>
      </c>
      <c r="N22" s="35">
        <v>0</v>
      </c>
      <c r="O22" s="36">
        <f t="shared" si="6"/>
        <v>11740.16</v>
      </c>
      <c r="P22" s="37">
        <f t="shared" si="0"/>
        <v>12092.16</v>
      </c>
      <c r="Q22" s="18">
        <f t="shared" si="7"/>
        <v>0.16</v>
      </c>
      <c r="S22" s="17"/>
    </row>
    <row r="23" spans="1:21" ht="15.75" hidden="1" customHeight="1" thickBot="1">
      <c r="A23" s="1" t="s">
        <v>22</v>
      </c>
      <c r="B23" s="25"/>
      <c r="C23" s="25"/>
      <c r="D23" s="25"/>
      <c r="E23" s="25"/>
      <c r="F23" s="29"/>
      <c r="G23" s="38" t="s">
        <v>56</v>
      </c>
      <c r="H23" s="31" t="str">
        <f t="shared" ref="H23" si="8">G23</f>
        <v>162450.31</v>
      </c>
      <c r="I23" s="39"/>
      <c r="J23" s="40" t="e">
        <f t="shared" ref="J23" si="9">G23-H23</f>
        <v>#VALUE!</v>
      </c>
      <c r="K23" s="33" t="e">
        <f t="shared" ref="K23" si="10">IF(J23&gt;0,J23*3%,0)</f>
        <v>#VALUE!</v>
      </c>
      <c r="L23" s="34">
        <f t="shared" si="4"/>
        <v>0</v>
      </c>
      <c r="M23" s="41">
        <f t="shared" si="5"/>
        <v>0</v>
      </c>
      <c r="N23" s="42">
        <v>0</v>
      </c>
      <c r="O23" s="36" t="e">
        <f t="shared" si="6"/>
        <v>#VALUE!</v>
      </c>
      <c r="P23" s="37" t="e">
        <f t="shared" si="0"/>
        <v>#VALUE!</v>
      </c>
      <c r="Q23" s="18"/>
    </row>
    <row r="24" spans="1:21" ht="17.100000000000001" customHeight="1" thickBot="1">
      <c r="B24" s="43"/>
      <c r="C24" s="44"/>
      <c r="D24" s="45"/>
      <c r="E24" s="45"/>
      <c r="F24" s="46">
        <f>SUM(F7:F23)</f>
        <v>99.999999999999972</v>
      </c>
      <c r="G24" s="21">
        <f>SUM(G7:G23)</f>
        <v>7406319.3599999994</v>
      </c>
      <c r="H24" s="185">
        <f>SUM(H7:H23)</f>
        <v>1248334.8199999998</v>
      </c>
      <c r="I24" s="24">
        <f>SUM(I7:I23)</f>
        <v>0</v>
      </c>
      <c r="J24" s="24"/>
      <c r="K24" s="24"/>
      <c r="L24" s="24">
        <f>SUM(L7:L23)</f>
        <v>144410.99999999997</v>
      </c>
      <c r="M24" s="24">
        <f>SUM(M7:M23)</f>
        <v>1780118.0499999998</v>
      </c>
      <c r="N24" s="24">
        <f>SUM(N7:N23)</f>
        <v>50000</v>
      </c>
      <c r="O24" s="47">
        <f>SUM(O7:O22)</f>
        <v>8317357.3599999994</v>
      </c>
      <c r="P24" s="47">
        <f>SUM(P7:P22)</f>
        <v>8566875.3599999994</v>
      </c>
    </row>
    <row r="25" spans="1:21" ht="12.75" customHeight="1">
      <c r="D25" s="20"/>
      <c r="E25" s="20"/>
      <c r="S25" s="18"/>
    </row>
    <row r="26" spans="1:21" ht="15" hidden="1" customHeight="1"/>
    <row r="27" spans="1:21" ht="15" customHeight="1">
      <c r="D27" s="174" t="s">
        <v>62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S27" s="16"/>
    </row>
    <row r="28" spans="1:21" ht="12" hidden="1" customHeight="1"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</row>
    <row r="29" spans="1:21" ht="12" hidden="1" customHeight="1"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</row>
    <row r="30" spans="1:21" ht="12" hidden="1" customHeight="1"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</row>
    <row r="31" spans="1:21" ht="12" hidden="1" customHeight="1"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</row>
    <row r="32" spans="1:21" ht="65.25" customHeight="1"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</row>
  </sheetData>
  <mergeCells count="18"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C01E-5816-4D6D-A47C-EE31C4411A86}">
  <dimension ref="C3"/>
  <sheetViews>
    <sheetView workbookViewId="0">
      <selection activeCell="C3" sqref="C3"/>
    </sheetView>
  </sheetViews>
  <sheetFormatPr baseColWidth="10" defaultRowHeight="15"/>
  <sheetData>
    <row r="3" spans="3:3">
      <c r="C3" s="14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2026-09-02T12:23:23Z</cp:lastPrinted>
  <dcterms:created xsi:type="dcterms:W3CDTF">2023-09-17T12:29:07Z</dcterms:created>
  <dcterms:modified xsi:type="dcterms:W3CDTF">2026-10-03T18:43:56Z</dcterms:modified>
</cp:coreProperties>
</file>