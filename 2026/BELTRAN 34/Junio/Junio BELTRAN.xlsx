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Junio\"/>
    </mc:Choice>
  </mc:AlternateContent>
  <xr:revisionPtr revIDLastSave="0" documentId="13_ncr:1_{3182D7C3-A703-46BB-B40C-226BB92A13BF}" xr6:coauthVersionLast="47" xr6:coauthVersionMax="47" xr10:uidLastSave="{00000000-0000-0000-0000-000000000000}"/>
  <bookViews>
    <workbookView xWindow="-108" yWindow="-108" windowWidth="23256" windowHeight="12576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PRORRATEO!$A$1:$P$33</definedName>
    <definedName name="_xlnm.Print_Area" localSheetId="0">RESUMEN!$A$1:$D$93</definedName>
  </definedNames>
  <calcPr calcId="181029"/>
</workbook>
</file>

<file path=xl/calcChain.xml><?xml version="1.0" encoding="utf-8"?>
<calcChain xmlns="http://schemas.openxmlformats.org/spreadsheetml/2006/main">
  <c r="H8" i="2" l="1"/>
  <c r="H18" i="2"/>
  <c r="H15" i="2"/>
  <c r="H12" i="2"/>
  <c r="H11" i="2"/>
  <c r="H13" i="2"/>
  <c r="H14" i="2"/>
  <c r="H19" i="2"/>
  <c r="H17" i="2"/>
  <c r="B83" i="1"/>
  <c r="C25" i="1"/>
  <c r="H21" i="2" l="1"/>
  <c r="H22" i="2"/>
  <c r="D51" i="1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B1" i="2"/>
  <c r="D47" i="1" l="1"/>
  <c r="D34" i="1" l="1"/>
  <c r="D55" i="1"/>
  <c r="D37" i="1"/>
  <c r="J15" i="2" l="1"/>
  <c r="D43" i="1"/>
  <c r="C30" i="1" l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1" i="1"/>
  <c r="I24" i="2"/>
  <c r="H23" i="2" l="1"/>
  <c r="J23" i="2" s="1"/>
  <c r="O23" i="2" s="1"/>
  <c r="L23" i="2"/>
  <c r="M23" i="2"/>
  <c r="P23" i="2" l="1"/>
  <c r="K23" i="2"/>
  <c r="B92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4" i="1" l="1"/>
  <c r="D69" i="1" s="1"/>
  <c r="B73" i="1" s="1"/>
  <c r="B85" i="1" s="1"/>
  <c r="B81" i="1" l="1"/>
  <c r="D59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0" i="1" s="1"/>
  <c r="F24" i="2"/>
  <c r="G24" i="2"/>
  <c r="J7" i="2" l="1"/>
  <c r="K7" i="2" l="1"/>
  <c r="O7" i="2" s="1"/>
  <c r="B74" i="1"/>
  <c r="L24" i="2"/>
  <c r="B72" i="1" l="1"/>
  <c r="B84" i="1" s="1"/>
  <c r="B86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1" i="1" l="1"/>
  <c r="N24" i="2" l="1"/>
</calcChain>
</file>

<file path=xl/sharedStrings.xml><?xml version="1.0" encoding="utf-8"?>
<sst xmlns="http://schemas.openxmlformats.org/spreadsheetml/2006/main" count="159" uniqueCount="133">
  <si>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</si>
  <si>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</si>
  <si>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</si>
  <si>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</si>
  <si>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</si>
  <si>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</si>
  <si>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</si>
  <si>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</si>
  <si>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</si>
  <si>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</si>
  <si>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</si>
  <si>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</si>
  <si>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</si>
  <si>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</si>
  <si>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</si>
  <si>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</si>
  <si>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</si>
  <si>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</si>
  <si>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</si>
  <si>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</si>
  <si>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</si>
  <si>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</si>
  <si>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</si>
  <si>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</si>
  <si>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</si>
  <si>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</si>
  <si>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</si>
  <si>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</si>
  <si>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</si>
  <si>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</si>
  <si>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</si>
  <si>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</si>
  <si>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</si>
  <si>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</si>
  <si>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</si>
  <si>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</si>
  <si>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</si>
  <si>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</si>
  <si>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</si>
  <si>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</si>
  <si>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</si>
  <si>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</si>
  <si>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</si>
  <si>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</si>
  <si>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</si>
  <si>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</si>
  <si>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</si>
  <si>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</si>
  <si>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</si>
  <si>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</si>
  <si>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</si>
  <si>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</si>
  <si>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</si>
  <si>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</si>
  <si>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</si>
  <si>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</si>
  <si>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</si>
  <si>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</si>
  <si>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</si>
  <si>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</si>
  <si>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</si>
  <si>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</si>
  <si>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</si>
  <si>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</si>
  <si>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</si>
  <si>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</si>
  <si>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</si>
  <si>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</si>
  <si>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</si>
  <si>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</si>
  <si>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</si>
  <si>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</si>
  <si>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</si>
  <si>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</si>
  <si>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</si>
  <si>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</si>
  <si>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</si>
  <si>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</si>
  <si>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</si>
  <si>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</si>
  <si>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</si>
  <si>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</si>
  <si>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</si>
  <si>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</si>
  <si>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</si>
  <si>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</si>
  <si>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</si>
  <si>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</si>
  <si>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</si>
  <si>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</si>
  <si>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</si>
  <si>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</si>
  <si>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</si>
  <si>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</si>
  <si>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</si>
  <si>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</si>
  <si>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</si>
  <si>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</si>
  <si>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</si>
  <si>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</si>
  <si>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</si>
  <si>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</si>
  <si>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</si>
  <si>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</si>
  <si>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</si>
  <si>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</si>
  <si>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</si>
  <si>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</si>
  <si>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</si>
  <si>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 xml:space="preserve">Celestino Soledad - Servicio de limpieza 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</si>
  <si>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</si>
  <si>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</si>
  <si>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</si>
  <si>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</si>
  <si>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</si>
  <si>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</si>
  <si>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</si>
  <si>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 xml:space="preserve">  </t>
  </si>
  <si>
    <t>Pendiente para el cierre de Juni0 poner un AYSA de 418.590,24</t>
  </si>
  <si>
    <t>VTO 17/07</t>
  </si>
  <si>
    <t>Mes de MAYO</t>
  </si>
  <si>
    <t>Debito 03/06</t>
  </si>
  <si>
    <t>Transf 05/06</t>
  </si>
  <si>
    <t>Honorarios administracion - ABRIL Y MAYO - SE ADEUDA JUNIO</t>
  </si>
  <si>
    <t>A SUBIR EN JUL10 - ESTAMOS COBRANDO $85,000 X MES</t>
  </si>
  <si>
    <t>Transf 16/06</t>
  </si>
  <si>
    <t>Ascensores Contessi - Provision y cambio de contacto de puerta pb</t>
  </si>
  <si>
    <t>Transf 18/06</t>
  </si>
  <si>
    <t>Mes de JUNIO</t>
  </si>
  <si>
    <t>Envio cartas de documento correo argentino</t>
  </si>
  <si>
    <t>Sra abogada Carina Gabriela Iconomopulos Cartas documento</t>
  </si>
  <si>
    <t>Mantenimiento de cuenta</t>
  </si>
  <si>
    <t>$157.200 transfririo el 1° C. + Cochera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</si>
</sst>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2" fillId="0" borderId="0"/>
    <xf numFmtId="0" fontId="24" fillId="12" borderId="0" applyBorder="0" applyProtection="0"/>
    <xf numFmtId="0" fontId="24" fillId="13" borderId="0" applyBorder="0" applyProtection="0"/>
    <xf numFmtId="0" fontId="24" fillId="14" borderId="0" applyBorder="0" applyProtection="0"/>
    <xf numFmtId="0" fontId="24" fillId="15" borderId="0" applyBorder="0" applyProtection="0"/>
    <xf numFmtId="0" fontId="24" fillId="16" borderId="0" applyBorder="0" applyProtection="0"/>
    <xf numFmtId="0" fontId="24" fillId="17" borderId="0" applyBorder="0" applyProtection="0"/>
    <xf numFmtId="0" fontId="24" fillId="18" borderId="0" applyBorder="0" applyProtection="0"/>
    <xf numFmtId="0" fontId="24" fillId="19" borderId="0" applyBorder="0" applyProtection="0"/>
    <xf numFmtId="0" fontId="24" fillId="20" borderId="0" applyBorder="0" applyProtection="0"/>
    <xf numFmtId="0" fontId="24" fillId="15" borderId="0" applyBorder="0" applyProtection="0"/>
    <xf numFmtId="0" fontId="24" fillId="18" borderId="0" applyBorder="0" applyProtection="0"/>
    <xf numFmtId="0" fontId="24" fillId="21" borderId="0" applyBorder="0" applyProtection="0"/>
    <xf numFmtId="0" fontId="25" fillId="22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25" borderId="0" applyBorder="0" applyProtection="0"/>
    <xf numFmtId="0" fontId="28" fillId="26" borderId="29" applyProtection="0"/>
    <xf numFmtId="0" fontId="26" fillId="27" borderId="30" applyProtection="0"/>
    <xf numFmtId="0" fontId="27" fillId="0" borderId="31" applyProtection="0"/>
    <xf numFmtId="0" fontId="29" fillId="0" borderId="0" applyBorder="0" applyProtection="0"/>
    <xf numFmtId="0" fontId="25" fillId="28" borderId="0" applyBorder="0" applyProtection="0"/>
    <xf numFmtId="0" fontId="25" fillId="29" borderId="0" applyBorder="0" applyProtection="0"/>
    <xf numFmtId="0" fontId="25" fillId="3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31" borderId="0" applyBorder="0" applyProtection="0"/>
    <xf numFmtId="0" fontId="30" fillId="17" borderId="29" applyProtection="0"/>
    <xf numFmtId="0" fontId="31" fillId="13" borderId="0" applyBorder="0" applyProtection="0"/>
    <xf numFmtId="166" fontId="23" fillId="0" borderId="0" applyFill="0" applyBorder="0" applyAlignment="0" applyProtection="0"/>
    <xf numFmtId="0" fontId="32" fillId="32" borderId="0" applyBorder="0" applyProtection="0"/>
    <xf numFmtId="0" fontId="33" fillId="33" borderId="32" applyProtection="0"/>
    <xf numFmtId="0" fontId="34" fillId="26" borderId="33" applyProtection="0"/>
    <xf numFmtId="0" fontId="35" fillId="0" borderId="0" applyBorder="0" applyProtection="0"/>
    <xf numFmtId="0" fontId="36" fillId="0" borderId="0" applyBorder="0" applyProtection="0"/>
    <xf numFmtId="0" fontId="38" fillId="0" borderId="0" applyBorder="0" applyProtection="0"/>
    <xf numFmtId="0" fontId="39" fillId="0" borderId="34" applyProtection="0"/>
    <xf numFmtId="0" fontId="29" fillId="0" borderId="35" applyProtection="0"/>
    <xf numFmtId="0" fontId="37" fillId="0" borderId="36" applyProtection="0"/>
  </cellStyleXfs>
  <cellXfs count="185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1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44" fontId="2" fillId="4" borderId="0" xfId="1" applyFont="1" applyFill="1"/>
    <xf numFmtId="44" fontId="18" fillId="2" borderId="1" xfId="0" applyNumberFormat="1" applyFont="1" applyFill="1" applyBorder="1"/>
    <xf numFmtId="44" fontId="4" fillId="0" borderId="37" xfId="1" applyFont="1" applyBorder="1"/>
    <xf numFmtId="44" fontId="4" fillId="2" borderId="1" xfId="1" applyFont="1" applyFill="1" applyBorder="1" applyAlignment="1"/>
    <xf numFmtId="44" fontId="0" fillId="3" borderId="8" xfId="1" applyFont="1" applyFill="1" applyBorder="1" applyAlignment="1"/>
    <xf numFmtId="0" fontId="0" fillId="34" borderId="0" xfId="0" applyFill="1"/>
    <xf numFmtId="44" fontId="17" fillId="11" borderId="1" xfId="0" applyNumberFormat="1" applyFont="1" applyFill="1" applyBorder="1"/>
    <xf numFmtId="44" fontId="6" fillId="4" borderId="22" xfId="1" applyFont="1" applyFill="1" applyBorder="1"/>
    <xf numFmtId="44" fontId="42" fillId="2" borderId="1" xfId="1" applyFont="1" applyFill="1" applyBorder="1"/>
    <xf numFmtId="44" fontId="43" fillId="2" borderId="1" xfId="1" applyFont="1" applyFill="1" applyBorder="1"/>
    <xf numFmtId="0" fontId="0" fillId="2" borderId="1" xfId="0" applyFill="1" applyBorder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0" fillId="8" borderId="6" xfId="0" applyFont="1" applyFill="1" applyBorder="1" applyAlignment="1">
      <alignment horizontal="left" vertical="center" wrapText="1"/>
    </xf>
    <xf numFmtId="0" fontId="40" fillId="8" borderId="24" xfId="0" applyFont="1" applyFill="1" applyBorder="1" applyAlignment="1">
      <alignment horizontal="left" vertical="center" wrapText="1"/>
    </xf>
    <xf numFmtId="0" fontId="40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3" fillId="35" borderId="1" xfId="0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3"/>
  <sheetViews>
    <sheetView topLeftCell="A51" workbookViewId="0">
      <selection activeCell="A71" sqref="A71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80" t="s">
        <v>58</v>
      </c>
      <c r="B1" s="76"/>
      <c r="C1" s="3"/>
      <c r="D1" s="3"/>
    </row>
    <row r="2" spans="1:4">
      <c r="A2" s="77" t="s">
        <v>94</v>
      </c>
      <c r="B2" s="77"/>
      <c r="C2" s="77"/>
      <c r="D2" s="77"/>
    </row>
    <row r="3" spans="1:4" ht="16.95" customHeight="1">
      <c r="A3" s="77" t="s">
        <v>64</v>
      </c>
      <c r="B3" s="77"/>
      <c r="C3" s="77"/>
      <c r="D3" s="77"/>
    </row>
    <row r="4" spans="1:4" ht="32.25" customHeight="1">
      <c r="A4" s="156" t="s">
        <v>104</v>
      </c>
      <c r="B4" s="156"/>
      <c r="C4" s="78"/>
      <c r="D4" s="78"/>
    </row>
    <row r="5" spans="1:4">
      <c r="A5" s="156"/>
      <c r="B5" s="156"/>
      <c r="C5" s="78"/>
      <c r="D5" s="78"/>
    </row>
    <row r="6" spans="1:4">
      <c r="A6" s="156"/>
      <c r="B6" s="156"/>
      <c r="C6" s="78"/>
      <c r="D6" s="78"/>
    </row>
    <row r="7" spans="1:4" ht="13.5" customHeight="1">
      <c r="A7" s="156"/>
      <c r="B7" s="156"/>
      <c r="C7" s="78"/>
      <c r="D7" s="78"/>
    </row>
    <row r="9" spans="1:4">
      <c r="B9" s="164" t="s">
        <v>119</v>
      </c>
    </row>
    <row r="10" spans="1:4">
      <c r="B10" s="164"/>
    </row>
    <row r="11" spans="1:4">
      <c r="B11" s="164"/>
    </row>
    <row r="13" spans="1:4" hidden="1"/>
    <row r="14" spans="1:4" ht="15" customHeight="1">
      <c r="A14" s="159" t="s">
        <v>97</v>
      </c>
      <c r="B14" s="159"/>
      <c r="C14" s="159"/>
      <c r="D14" s="159"/>
    </row>
    <row r="15" spans="1:4" ht="15" customHeight="1">
      <c r="A15" s="159"/>
      <c r="B15" s="159"/>
      <c r="C15" s="159"/>
      <c r="D15" s="159"/>
    </row>
    <row r="16" spans="1:4" ht="15" customHeight="1">
      <c r="A16" s="159"/>
      <c r="B16" s="159"/>
      <c r="C16" s="159"/>
      <c r="D16" s="159"/>
    </row>
    <row r="17" spans="1:7" ht="53.25" customHeight="1">
      <c r="A17" s="159"/>
      <c r="B17" s="159"/>
      <c r="C17" s="159"/>
      <c r="D17" s="159"/>
    </row>
    <row r="18" spans="1:7" ht="14.25" customHeight="1" thickBot="1"/>
    <row r="19" spans="1:7" ht="15" hidden="1" thickBot="1">
      <c r="A19" s="1"/>
    </row>
    <row r="20" spans="1:7" ht="15" hidden="1" thickBot="1"/>
    <row r="21" spans="1:7">
      <c r="A21" s="6" t="s">
        <v>21</v>
      </c>
      <c r="B21" s="7"/>
      <c r="C21" s="5"/>
      <c r="D21" s="8"/>
    </row>
    <row r="22" spans="1:7">
      <c r="A22" s="15" t="s">
        <v>99</v>
      </c>
      <c r="B22" s="15"/>
      <c r="C22" s="13"/>
      <c r="D22" s="13"/>
      <c r="G22" s="22"/>
    </row>
    <row r="23" spans="1:7" ht="14.25" customHeight="1">
      <c r="A23" s="54" t="s">
        <v>109</v>
      </c>
      <c r="B23" s="54" t="s">
        <v>120</v>
      </c>
      <c r="C23" s="147">
        <v>270000</v>
      </c>
      <c r="D23" s="54"/>
    </row>
    <row r="24" spans="1:7" ht="14.25" customHeight="1">
      <c r="A24" s="54" t="s">
        <v>109</v>
      </c>
      <c r="B24" s="54" t="s">
        <v>128</v>
      </c>
      <c r="C24" s="147">
        <v>261800</v>
      </c>
      <c r="D24" s="54"/>
    </row>
    <row r="25" spans="1:7">
      <c r="A25" s="117" t="s">
        <v>48</v>
      </c>
      <c r="B25" s="117"/>
      <c r="C25" s="151">
        <f>SUM(C23:C24)</f>
        <v>531800</v>
      </c>
      <c r="D25" s="55"/>
    </row>
    <row r="26" spans="1:7" ht="0.6" customHeight="1">
      <c r="A26" s="54"/>
      <c r="B26" s="54"/>
      <c r="C26" s="90"/>
      <c r="D26" s="79"/>
    </row>
    <row r="27" spans="1:7" hidden="1">
      <c r="A27" s="54"/>
      <c r="B27" s="54"/>
      <c r="C27" s="90"/>
      <c r="D27" s="79"/>
    </row>
    <row r="28" spans="1:7" hidden="1">
      <c r="A28" s="54"/>
      <c r="B28" s="54"/>
      <c r="C28" s="90"/>
      <c r="D28" s="79"/>
    </row>
    <row r="29" spans="1:7" hidden="1">
      <c r="A29" s="54"/>
      <c r="B29" s="54"/>
      <c r="C29" s="91"/>
      <c r="D29" s="79"/>
    </row>
    <row r="30" spans="1:7" hidden="1">
      <c r="A30" s="117" t="s">
        <v>48</v>
      </c>
      <c r="B30" s="118"/>
      <c r="C30" s="28">
        <f>SUM(C26:C29)</f>
        <v>0</v>
      </c>
      <c r="D30" s="55"/>
    </row>
    <row r="31" spans="1:7" ht="14.25" customHeight="1" thickBot="1">
      <c r="A31" s="14" t="s">
        <v>0</v>
      </c>
      <c r="B31" s="14"/>
      <c r="C31" s="10"/>
      <c r="D31" s="56">
        <f>C25+C30</f>
        <v>531800</v>
      </c>
      <c r="E31" s="9"/>
      <c r="F31" s="9"/>
    </row>
    <row r="32" spans="1:7">
      <c r="A32" s="13" t="s">
        <v>33</v>
      </c>
      <c r="B32" s="13"/>
      <c r="C32" s="16"/>
      <c r="D32" s="57"/>
      <c r="F32" s="9"/>
    </row>
    <row r="33" spans="1:7" ht="22.5" customHeight="1">
      <c r="A33" s="103" t="s">
        <v>123</v>
      </c>
      <c r="B33" s="119"/>
      <c r="C33" s="90">
        <v>170000</v>
      </c>
      <c r="D33" s="88"/>
      <c r="F33" s="22" t="s">
        <v>124</v>
      </c>
      <c r="G33" s="9"/>
    </row>
    <row r="34" spans="1:7" ht="15" thickBot="1">
      <c r="A34" s="14" t="s">
        <v>29</v>
      </c>
      <c r="B34" s="14"/>
      <c r="C34" s="152"/>
      <c r="D34" s="56">
        <f>SUM(C33:C33)</f>
        <v>170000</v>
      </c>
    </row>
    <row r="35" spans="1:7" ht="16.5" customHeight="1">
      <c r="A35" s="13" t="s">
        <v>45</v>
      </c>
      <c r="B35" s="14"/>
      <c r="C35" s="17"/>
      <c r="D35" s="33"/>
    </row>
    <row r="36" spans="1:7" ht="22.5" customHeight="1">
      <c r="A36" s="157" t="s">
        <v>65</v>
      </c>
      <c r="B36" s="158"/>
      <c r="C36" s="148">
        <v>168183</v>
      </c>
      <c r="D36" s="87" t="s">
        <v>121</v>
      </c>
    </row>
    <row r="37" spans="1:7" ht="15" thickBot="1">
      <c r="A37" s="14" t="s">
        <v>1</v>
      </c>
      <c r="B37" s="14"/>
      <c r="C37" s="19"/>
      <c r="D37" s="58">
        <f>SUM(C36:C36)</f>
        <v>168183</v>
      </c>
    </row>
    <row r="38" spans="1:7" hidden="1">
      <c r="A38" s="13" t="s">
        <v>30</v>
      </c>
      <c r="B38" s="120"/>
      <c r="C38" s="20"/>
      <c r="D38" s="59"/>
    </row>
    <row r="39" spans="1:7" hidden="1">
      <c r="A39" s="54" t="s">
        <v>59</v>
      </c>
      <c r="B39" s="54" t="s">
        <v>105</v>
      </c>
      <c r="C39" s="92"/>
      <c r="D39" s="87"/>
      <c r="F39" s="81"/>
    </row>
    <row r="40" spans="1:7" hidden="1">
      <c r="A40" s="54" t="s">
        <v>60</v>
      </c>
      <c r="B40" s="54" t="s">
        <v>105</v>
      </c>
      <c r="C40" s="93"/>
      <c r="D40" s="87"/>
    </row>
    <row r="41" spans="1:7" hidden="1">
      <c r="A41" s="54" t="s">
        <v>61</v>
      </c>
      <c r="B41" s="54" t="s">
        <v>105</v>
      </c>
      <c r="C41" s="93"/>
      <c r="D41" s="87"/>
    </row>
    <row r="42" spans="1:7" hidden="1">
      <c r="A42" s="54" t="s">
        <v>62</v>
      </c>
      <c r="B42" s="54" t="s">
        <v>105</v>
      </c>
      <c r="C42" s="93"/>
      <c r="D42" s="86"/>
    </row>
    <row r="43" spans="1:7" ht="15" hidden="1" customHeight="1" thickBot="1">
      <c r="A43" s="14" t="s">
        <v>2</v>
      </c>
      <c r="B43" s="120"/>
      <c r="C43" s="21"/>
      <c r="D43" s="58">
        <f>SUM(C39:C42)</f>
        <v>0</v>
      </c>
    </row>
    <row r="44" spans="1:7">
      <c r="A44" s="13" t="s">
        <v>32</v>
      </c>
      <c r="B44" s="120"/>
      <c r="C44" s="20"/>
      <c r="D44" s="59"/>
    </row>
    <row r="45" spans="1:7" ht="14.25" customHeight="1">
      <c r="A45" s="68" t="s">
        <v>95</v>
      </c>
      <c r="B45" s="54"/>
      <c r="C45" s="93">
        <v>51605.26</v>
      </c>
      <c r="D45" s="85" t="s">
        <v>122</v>
      </c>
    </row>
    <row r="46" spans="1:7" ht="14.25" customHeight="1">
      <c r="A46" s="54" t="s">
        <v>96</v>
      </c>
      <c r="B46" s="54"/>
      <c r="C46" s="93">
        <v>396294.49</v>
      </c>
      <c r="D46" s="85" t="s">
        <v>122</v>
      </c>
      <c r="F46" t="s">
        <v>118</v>
      </c>
    </row>
    <row r="47" spans="1:7" ht="15" thickBot="1">
      <c r="A47" s="14" t="s">
        <v>3</v>
      </c>
      <c r="B47" s="14"/>
      <c r="C47" s="19"/>
      <c r="D47" s="58">
        <f>SUM(C45:C46)</f>
        <v>447899.75</v>
      </c>
    </row>
    <row r="48" spans="1:7" ht="15" thickBot="1">
      <c r="A48" s="13" t="s">
        <v>31</v>
      </c>
      <c r="B48" s="14"/>
      <c r="C48" s="19"/>
      <c r="D48" s="61"/>
    </row>
    <row r="49" spans="1:6" ht="19.95" customHeight="1">
      <c r="A49" s="157" t="s">
        <v>112</v>
      </c>
      <c r="B49" s="158"/>
      <c r="C49" s="93">
        <v>114547</v>
      </c>
      <c r="D49" s="83" t="s">
        <v>125</v>
      </c>
    </row>
    <row r="50" spans="1:6" ht="30" customHeight="1">
      <c r="A50" s="157" t="s">
        <v>126</v>
      </c>
      <c r="B50" s="158"/>
      <c r="C50" s="93">
        <v>95000</v>
      </c>
      <c r="D50" s="83" t="s">
        <v>127</v>
      </c>
    </row>
    <row r="51" spans="1:6" ht="15" thickBot="1">
      <c r="A51" s="14" t="s">
        <v>11</v>
      </c>
      <c r="B51" s="13"/>
      <c r="C51" s="13"/>
      <c r="D51" s="63">
        <f>SUM(C49:C50)</f>
        <v>209547</v>
      </c>
    </row>
    <row r="52" spans="1:6" ht="15" thickBot="1">
      <c r="A52" s="13" t="s">
        <v>24</v>
      </c>
      <c r="B52" s="121"/>
      <c r="C52" s="10"/>
      <c r="D52" s="61"/>
    </row>
    <row r="53" spans="1:6">
      <c r="A53" s="54" t="s">
        <v>131</v>
      </c>
      <c r="B53" s="54"/>
      <c r="C53" s="93">
        <v>69000</v>
      </c>
      <c r="D53" s="64"/>
    </row>
    <row r="54" spans="1:6">
      <c r="A54" s="54" t="s">
        <v>103</v>
      </c>
      <c r="B54" s="54"/>
      <c r="C54" s="93">
        <v>50418.48</v>
      </c>
      <c r="D54" s="62"/>
    </row>
    <row r="55" spans="1:6" ht="15" thickBot="1">
      <c r="A55" s="122" t="s">
        <v>29</v>
      </c>
      <c r="B55" s="122"/>
      <c r="C55" s="65"/>
      <c r="D55" s="58">
        <f>SUM(C53:C54)</f>
        <v>119418.48000000001</v>
      </c>
    </row>
    <row r="56" spans="1:6" ht="15" thickBot="1">
      <c r="A56" s="54"/>
      <c r="B56" s="54"/>
      <c r="C56" s="54"/>
      <c r="D56" s="66"/>
    </row>
    <row r="57" spans="1:6" ht="20.25" customHeight="1" thickBot="1">
      <c r="A57" s="161" t="s">
        <v>116</v>
      </c>
      <c r="B57" s="162"/>
      <c r="C57" s="163"/>
      <c r="D57" s="67"/>
    </row>
    <row r="58" spans="1:6" ht="15" thickBot="1">
      <c r="A58" s="123"/>
      <c r="B58" s="68"/>
      <c r="C58" s="68"/>
      <c r="D58" s="69"/>
      <c r="E58" s="24"/>
    </row>
    <row r="59" spans="1:6" ht="15" thickBot="1">
      <c r="A59" s="124" t="s">
        <v>25</v>
      </c>
      <c r="B59" s="125"/>
      <c r="C59" s="70"/>
      <c r="D59" s="71">
        <f>(SUM(D26:D57))</f>
        <v>1646848.23</v>
      </c>
      <c r="E59" s="24"/>
      <c r="F59" s="24"/>
    </row>
    <row r="60" spans="1:6">
      <c r="A60" s="68"/>
      <c r="B60" s="68"/>
      <c r="C60" s="68"/>
      <c r="D60" s="68"/>
      <c r="F60" s="82"/>
    </row>
    <row r="61" spans="1:6" ht="15" thickBot="1">
      <c r="A61" s="68"/>
      <c r="B61" s="68"/>
      <c r="C61" s="68"/>
      <c r="D61" s="68"/>
    </row>
    <row r="62" spans="1:6">
      <c r="A62" s="126" t="s">
        <v>34</v>
      </c>
      <c r="B62" s="127"/>
      <c r="C62" s="72"/>
      <c r="D62" s="73"/>
    </row>
    <row r="63" spans="1:6">
      <c r="A63" s="130"/>
      <c r="B63" s="131"/>
      <c r="C63" s="93"/>
      <c r="D63" s="60"/>
    </row>
    <row r="64" spans="1:6">
      <c r="A64" s="122" t="s">
        <v>29</v>
      </c>
      <c r="B64" s="132"/>
      <c r="C64" s="133"/>
      <c r="D64" s="145">
        <f>SUM(C63:C63)</f>
        <v>0</v>
      </c>
    </row>
    <row r="65" spans="1:4" ht="15" customHeight="1">
      <c r="A65" s="68"/>
      <c r="B65" s="68"/>
      <c r="C65" s="68"/>
    </row>
    <row r="66" spans="1:4" hidden="1">
      <c r="A66" s="68"/>
      <c r="B66" s="68"/>
      <c r="C66" s="68"/>
    </row>
    <row r="67" spans="1:4">
      <c r="A67" s="134" t="s">
        <v>35</v>
      </c>
      <c r="B67" s="134"/>
      <c r="C67" s="135"/>
      <c r="D67" s="89">
        <v>0</v>
      </c>
    </row>
    <row r="68" spans="1:4" ht="15" thickBot="1">
      <c r="A68" s="68"/>
      <c r="B68" s="68"/>
      <c r="C68" s="68"/>
    </row>
    <row r="69" spans="1:4" ht="15" thickBot="1">
      <c r="A69" s="124" t="s">
        <v>36</v>
      </c>
      <c r="B69" s="125"/>
      <c r="C69" s="70"/>
      <c r="D69" s="34">
        <f>D64+D67</f>
        <v>0</v>
      </c>
    </row>
    <row r="70" spans="1:4" ht="15" thickBot="1">
      <c r="A70" s="68"/>
      <c r="B70" s="68"/>
      <c r="C70" s="68"/>
    </row>
    <row r="71" spans="1:4" ht="15" thickBot="1">
      <c r="A71" s="136" t="s">
        <v>26</v>
      </c>
      <c r="B71" s="137">
        <f>D59</f>
        <v>1646848.23</v>
      </c>
      <c r="C71" s="138"/>
    </row>
    <row r="72" spans="1:4" ht="15" thickBot="1">
      <c r="A72" s="136" t="s">
        <v>27</v>
      </c>
      <c r="B72" s="137">
        <f>D59-D57</f>
        <v>1646848.23</v>
      </c>
      <c r="C72" s="68"/>
    </row>
    <row r="73" spans="1:4" ht="15" thickBot="1">
      <c r="A73" s="136" t="s">
        <v>37</v>
      </c>
      <c r="B73" s="137">
        <f>D69-D67</f>
        <v>0</v>
      </c>
      <c r="C73" s="68"/>
    </row>
    <row r="74" spans="1:4" ht="15" thickBot="1">
      <c r="A74" s="136" t="s">
        <v>52</v>
      </c>
      <c r="B74" s="137">
        <f>D69</f>
        <v>0</v>
      </c>
      <c r="C74" s="68"/>
    </row>
    <row r="75" spans="1:4">
      <c r="A75" s="68"/>
      <c r="B75" s="68"/>
      <c r="C75" s="68"/>
      <c r="D75" t="s">
        <v>117</v>
      </c>
    </row>
    <row r="76" spans="1:4">
      <c r="A76" s="68"/>
      <c r="B76" s="68"/>
      <c r="C76" s="68"/>
    </row>
    <row r="77" spans="1:4">
      <c r="A77" s="68"/>
      <c r="B77" s="68"/>
      <c r="C77" s="68"/>
    </row>
    <row r="78" spans="1:4" ht="15" thickBot="1">
      <c r="A78" s="139" t="s">
        <v>47</v>
      </c>
      <c r="B78" s="140"/>
      <c r="C78" s="68"/>
    </row>
    <row r="79" spans="1:4" ht="25.5" customHeight="1" thickBot="1">
      <c r="A79" s="12" t="s">
        <v>28</v>
      </c>
      <c r="B79" s="141">
        <v>253747.32999999938</v>
      </c>
      <c r="C79" s="68"/>
    </row>
    <row r="80" spans="1:4" ht="14.25" customHeight="1">
      <c r="A80" s="142" t="s">
        <v>55</v>
      </c>
      <c r="B80" s="62">
        <f>PRORRATEO!H24</f>
        <v>2668586.7200000002</v>
      </c>
      <c r="C80" s="68"/>
    </row>
    <row r="81" spans="1:12" ht="14.25" customHeight="1">
      <c r="A81" s="142" t="s">
        <v>54</v>
      </c>
      <c r="B81" s="62">
        <f>B92</f>
        <v>0</v>
      </c>
      <c r="C81" s="68"/>
    </row>
    <row r="82" spans="1:12" ht="33.75" customHeight="1">
      <c r="A82" s="143" t="s">
        <v>130</v>
      </c>
      <c r="B82" s="153">
        <v>-100000</v>
      </c>
      <c r="C82" s="68"/>
    </row>
    <row r="83" spans="1:12" ht="14.25" customHeight="1">
      <c r="A83" s="142" t="s">
        <v>129</v>
      </c>
      <c r="B83" s="153">
        <f>--24000*2</f>
        <v>48000</v>
      </c>
      <c r="C83" s="68"/>
    </row>
    <row r="84" spans="1:12">
      <c r="A84" s="144" t="s">
        <v>38</v>
      </c>
      <c r="B84" s="153">
        <f>-B72</f>
        <v>-1646848.23</v>
      </c>
      <c r="C84" s="68"/>
    </row>
    <row r="85" spans="1:12">
      <c r="A85" s="143" t="s">
        <v>39</v>
      </c>
      <c r="B85" s="62">
        <f>-(B73)</f>
        <v>0</v>
      </c>
      <c r="C85" s="68"/>
    </row>
    <row r="86" spans="1:12">
      <c r="A86" s="11" t="s">
        <v>11</v>
      </c>
      <c r="B86" s="104">
        <f>SUM(B79:B85)</f>
        <v>1223485.8199999998</v>
      </c>
      <c r="C86" s="129"/>
    </row>
    <row r="87" spans="1:12" ht="34.5" customHeight="1">
      <c r="B87" s="22"/>
      <c r="C87" s="24"/>
      <c r="D87" s="129"/>
    </row>
    <row r="88" spans="1:12">
      <c r="A88" s="160" t="s">
        <v>46</v>
      </c>
      <c r="B88" s="160"/>
    </row>
    <row r="89" spans="1:12" ht="27.75" customHeight="1">
      <c r="A89" s="160"/>
      <c r="B89" s="160"/>
    </row>
    <row r="90" spans="1:12" ht="32.25" customHeight="1">
      <c r="A90" s="74"/>
      <c r="B90" s="18"/>
    </row>
    <row r="91" spans="1:12" ht="32.25" customHeight="1">
      <c r="A91" s="74"/>
      <c r="B91" s="18"/>
    </row>
    <row r="92" spans="1:12">
      <c r="A92" s="25" t="s">
        <v>11</v>
      </c>
      <c r="B92" s="75">
        <f>SUM(B90:B91)</f>
        <v>0</v>
      </c>
    </row>
    <row r="93" spans="1:12">
      <c r="L93" s="4"/>
    </row>
  </sheetData>
  <mergeCells count="8">
    <mergeCell ref="A4:B7"/>
    <mergeCell ref="A36:B36"/>
    <mergeCell ref="A14:D17"/>
    <mergeCell ref="A88:B89"/>
    <mergeCell ref="A57:C57"/>
    <mergeCell ref="B9:B11"/>
    <mergeCell ref="A49:B49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abSelected="1" topLeftCell="B1" zoomScaleNormal="100" workbookViewId="0">
      <selection activeCell="B10" sqref="B10:E10"/>
    </sheetView>
  </sheetViews>
  <sheetFormatPr baseColWidth="10" defaultRowHeight="14.4"/>
  <cols>
    <col min="1" max="1" width="5" hidden="1" customWidth="1"/>
    <col min="2" max="2" width="5.5546875" customWidth="1"/>
    <col min="3" max="3" width="4.33203125" customWidth="1"/>
    <col min="4" max="4" width="18.44140625" customWidth="1"/>
    <col min="5" max="5" width="11.55468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1.554687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105"/>
      <c r="B1" s="165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5"/>
      <c r="D1" s="165"/>
      <c r="E1" s="165"/>
      <c r="F1" s="165"/>
      <c r="G1" s="165"/>
      <c r="H1" s="165"/>
      <c r="I1" s="165"/>
      <c r="J1" s="165"/>
      <c r="K1" s="165"/>
      <c r="L1" s="106"/>
      <c r="M1" s="106"/>
      <c r="N1" s="106"/>
      <c r="O1" s="106"/>
      <c r="P1" s="107"/>
    </row>
    <row r="2" spans="1:21" ht="33.75" customHeight="1">
      <c r="A2" s="108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09"/>
      <c r="M2" s="109" t="s">
        <v>4</v>
      </c>
      <c r="N2" s="3"/>
      <c r="O2" s="116">
        <v>1646848.23</v>
      </c>
      <c r="P2" s="110"/>
      <c r="Q2" s="9"/>
      <c r="R2">
        <v>1646848.23</v>
      </c>
    </row>
    <row r="3" spans="1:21" ht="46.5" customHeight="1" thickBot="1">
      <c r="A3" s="111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12"/>
      <c r="M3" s="112" t="s">
        <v>56</v>
      </c>
      <c r="N3" s="113"/>
      <c r="O3" s="149">
        <v>0</v>
      </c>
      <c r="P3" s="114"/>
    </row>
    <row r="4" spans="1:21" ht="30.6" customHeight="1" thickBot="1">
      <c r="A4" s="3"/>
      <c r="B4" s="178" t="s">
        <v>98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80"/>
    </row>
    <row r="5" spans="1:21">
      <c r="A5" s="181" t="s">
        <v>5</v>
      </c>
      <c r="B5" s="183" t="s">
        <v>6</v>
      </c>
      <c r="C5" s="170" t="s">
        <v>7</v>
      </c>
      <c r="D5" s="170" t="s">
        <v>8</v>
      </c>
      <c r="E5" s="170" t="s">
        <v>42</v>
      </c>
      <c r="F5" s="170" t="s">
        <v>23</v>
      </c>
      <c r="G5" s="170" t="s">
        <v>53</v>
      </c>
      <c r="H5" s="170" t="s">
        <v>9</v>
      </c>
      <c r="I5" s="170" t="s">
        <v>43</v>
      </c>
      <c r="J5" s="174" t="s">
        <v>44</v>
      </c>
      <c r="K5" s="172" t="s">
        <v>41</v>
      </c>
      <c r="L5" s="172" t="s">
        <v>10</v>
      </c>
      <c r="M5" s="172" t="s">
        <v>40</v>
      </c>
      <c r="N5" s="176" t="s">
        <v>51</v>
      </c>
      <c r="O5" s="94" t="s">
        <v>50</v>
      </c>
      <c r="P5" s="168" t="s">
        <v>49</v>
      </c>
      <c r="S5" s="24"/>
      <c r="T5" s="22"/>
    </row>
    <row r="6" spans="1:21" ht="15.75" customHeight="1">
      <c r="A6" s="182"/>
      <c r="B6" s="183"/>
      <c r="C6" s="170"/>
      <c r="D6" s="170"/>
      <c r="E6" s="171"/>
      <c r="F6" s="170"/>
      <c r="G6" s="170"/>
      <c r="H6" s="170"/>
      <c r="I6" s="171"/>
      <c r="J6" s="175"/>
      <c r="K6" s="173"/>
      <c r="L6" s="172"/>
      <c r="M6" s="173"/>
      <c r="N6" s="177"/>
      <c r="O6" s="29" t="str">
        <f>RESUMEN!B9</f>
        <v>VTO 17/07</v>
      </c>
      <c r="P6" s="168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67</v>
      </c>
      <c r="D7" s="31" t="s">
        <v>83</v>
      </c>
      <c r="E7" s="31"/>
      <c r="F7" s="35">
        <v>10.86</v>
      </c>
      <c r="G7" s="36">
        <v>4573102.01</v>
      </c>
      <c r="H7" s="37"/>
      <c r="I7" s="38"/>
      <c r="J7" s="39">
        <f>G7-H7</f>
        <v>4573102.01</v>
      </c>
      <c r="K7" s="39">
        <f>IF(J7&gt;0,J7*3%,0)</f>
        <v>137193.06029999998</v>
      </c>
      <c r="L7" s="40">
        <f>O$3*F7%</f>
        <v>0</v>
      </c>
      <c r="M7" s="40">
        <f>O$2*F7%</f>
        <v>178847.71777799999</v>
      </c>
      <c r="N7" s="41">
        <v>148000</v>
      </c>
      <c r="O7" s="42">
        <f>ROUND(SUM(J7:N7),0) + Q7</f>
        <v>5037143.01</v>
      </c>
      <c r="P7" s="43">
        <f t="shared" ref="P7:P23" si="0">ROUND(O7*3%,0) + O7</f>
        <v>5188257.01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155" t="s">
        <v>13</v>
      </c>
      <c r="B8" s="84">
        <v>2</v>
      </c>
      <c r="C8" s="84" t="s">
        <v>68</v>
      </c>
      <c r="D8" s="84" t="s">
        <v>84</v>
      </c>
      <c r="E8" s="96"/>
      <c r="F8" s="35">
        <v>11.16</v>
      </c>
      <c r="G8" s="36">
        <v>493952.02</v>
      </c>
      <c r="H8" s="37">
        <f>304543+243209-H18</f>
        <v>509905.88</v>
      </c>
      <c r="I8" s="38"/>
      <c r="J8" s="39">
        <f t="shared" ref="J8:J22" si="2">G8-H8</f>
        <v>-15953.859999999986</v>
      </c>
      <c r="K8" s="39">
        <f t="shared" ref="K8:K22" si="3">IF(J8&gt;0,J8*3%,0)</f>
        <v>0</v>
      </c>
      <c r="L8" s="40">
        <f t="shared" ref="L8:L23" si="4">O$3*F8%</f>
        <v>0</v>
      </c>
      <c r="M8" s="40">
        <f t="shared" ref="M8:M23" si="5">O$2*F8%</f>
        <v>183788.262468</v>
      </c>
      <c r="N8" s="41">
        <v>0</v>
      </c>
      <c r="O8" s="42">
        <f>ROUND(SUM(J8:N8),0) + Q8</f>
        <v>167834.02</v>
      </c>
      <c r="P8" s="43">
        <f t="shared" si="0"/>
        <v>172869.02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4">
        <v>4</v>
      </c>
      <c r="C9" s="84" t="s">
        <v>69</v>
      </c>
      <c r="D9" s="95" t="s">
        <v>85</v>
      </c>
      <c r="E9" s="84" t="s">
        <v>107</v>
      </c>
      <c r="F9" s="97">
        <v>6.95</v>
      </c>
      <c r="G9" s="37">
        <v>501046.03</v>
      </c>
      <c r="H9" s="37">
        <v>501000</v>
      </c>
      <c r="I9" s="38"/>
      <c r="J9" s="98">
        <f t="shared" si="2"/>
        <v>46.03000000002794</v>
      </c>
      <c r="K9" s="39">
        <f t="shared" si="3"/>
        <v>1.3809000000008382</v>
      </c>
      <c r="L9" s="99">
        <f t="shared" si="4"/>
        <v>0</v>
      </c>
      <c r="M9" s="99">
        <f t="shared" si="5"/>
        <v>114455.95198500001</v>
      </c>
      <c r="N9" s="100">
        <v>0</v>
      </c>
      <c r="O9" s="101">
        <f t="shared" ref="O9:O23" si="6">ROUND(SUM(J9:N9),0) + Q9</f>
        <v>114503.03</v>
      </c>
      <c r="P9" s="102">
        <f t="shared" si="0"/>
        <v>117938.03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184">
        <v>3</v>
      </c>
      <c r="C10" s="184" t="s">
        <v>70</v>
      </c>
      <c r="D10" s="184" t="s">
        <v>86</v>
      </c>
      <c r="E10" s="184" t="s">
        <v>114</v>
      </c>
      <c r="F10" s="35">
        <v>7.37</v>
      </c>
      <c r="G10" s="36">
        <v>183761.04</v>
      </c>
      <c r="H10" s="37"/>
      <c r="I10" s="38"/>
      <c r="J10" s="39">
        <f t="shared" si="2"/>
        <v>183761.04</v>
      </c>
      <c r="K10" s="39">
        <f t="shared" si="3"/>
        <v>5512.8311999999996</v>
      </c>
      <c r="L10" s="40">
        <f t="shared" si="4"/>
        <v>0</v>
      </c>
      <c r="M10" s="40">
        <f t="shared" si="5"/>
        <v>121372.714551</v>
      </c>
      <c r="N10" s="41">
        <v>0</v>
      </c>
      <c r="O10" s="42">
        <f t="shared" si="6"/>
        <v>310647.03999999998</v>
      </c>
      <c r="P10" s="43">
        <f t="shared" si="0"/>
        <v>319966.03999999998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1">
        <v>5</v>
      </c>
      <c r="C11" s="31" t="s">
        <v>71</v>
      </c>
      <c r="D11" s="31" t="s">
        <v>87</v>
      </c>
      <c r="E11" s="32" t="s">
        <v>110</v>
      </c>
      <c r="F11" s="35">
        <v>10.68</v>
      </c>
      <c r="G11" s="36">
        <v>269136.05</v>
      </c>
      <c r="H11" s="37">
        <f>208794+60342</f>
        <v>269136</v>
      </c>
      <c r="I11" s="38"/>
      <c r="J11" s="39">
        <f t="shared" si="2"/>
        <v>4.9999999988358468E-2</v>
      </c>
      <c r="K11" s="39">
        <f t="shared" si="3"/>
        <v>1.499999999650754E-3</v>
      </c>
      <c r="L11" s="40">
        <f t="shared" si="4"/>
        <v>0</v>
      </c>
      <c r="M11" s="40">
        <f t="shared" si="5"/>
        <v>175883.39096399999</v>
      </c>
      <c r="N11" s="41">
        <v>0</v>
      </c>
      <c r="O11" s="42">
        <f t="shared" si="6"/>
        <v>175883.05</v>
      </c>
      <c r="P11" s="43">
        <f t="shared" si="0"/>
        <v>181159.05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1">
        <v>7</v>
      </c>
      <c r="C12" s="31" t="s">
        <v>72</v>
      </c>
      <c r="D12" s="31" t="s">
        <v>88</v>
      </c>
      <c r="E12" s="31" t="s">
        <v>108</v>
      </c>
      <c r="F12" s="35">
        <v>6.95</v>
      </c>
      <c r="G12" s="36">
        <v>175139.06</v>
      </c>
      <c r="H12" s="37">
        <f>190513-H22+42715</f>
        <v>217855.84</v>
      </c>
      <c r="I12" s="38"/>
      <c r="J12" s="39">
        <f t="shared" si="2"/>
        <v>-42716.78</v>
      </c>
      <c r="K12" s="39">
        <f t="shared" si="3"/>
        <v>0</v>
      </c>
      <c r="L12" s="40">
        <f t="shared" si="4"/>
        <v>0</v>
      </c>
      <c r="M12" s="40">
        <f t="shared" si="5"/>
        <v>114455.95198500001</v>
      </c>
      <c r="N12" s="128">
        <v>0</v>
      </c>
      <c r="O12" s="42">
        <f>ROUND(SUM(J12:N12),0) + Q12</f>
        <v>71739.06</v>
      </c>
      <c r="P12" s="43">
        <f t="shared" si="0"/>
        <v>73891.06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1">
        <v>6</v>
      </c>
      <c r="C13" s="84" t="s">
        <v>73</v>
      </c>
      <c r="D13" s="84" t="s">
        <v>89</v>
      </c>
      <c r="E13" s="31" t="s">
        <v>102</v>
      </c>
      <c r="F13" s="35">
        <v>6.89</v>
      </c>
      <c r="G13" s="36">
        <v>173628.07</v>
      </c>
      <c r="H13" s="37">
        <f>G13</f>
        <v>173628.07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113467.843047</v>
      </c>
      <c r="N13" s="41">
        <v>0</v>
      </c>
      <c r="O13" s="42">
        <f t="shared" si="6"/>
        <v>113468.07</v>
      </c>
      <c r="P13" s="43">
        <f t="shared" si="0"/>
        <v>116872.07</v>
      </c>
      <c r="Q13" s="24">
        <f t="shared" si="7"/>
        <v>7.0000000000000007E-2</v>
      </c>
      <c r="R13" s="82"/>
      <c r="S13" s="115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74</v>
      </c>
      <c r="D14" s="31" t="s">
        <v>89</v>
      </c>
      <c r="E14" s="31" t="s">
        <v>101</v>
      </c>
      <c r="F14" s="35">
        <v>10.68</v>
      </c>
      <c r="G14" s="36">
        <v>269136.08</v>
      </c>
      <c r="H14" s="37">
        <f>G14</f>
        <v>269136.08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175883.39096399999</v>
      </c>
      <c r="N14" s="41">
        <v>0</v>
      </c>
      <c r="O14" s="42">
        <f t="shared" si="6"/>
        <v>175883.08</v>
      </c>
      <c r="P14" s="43">
        <f t="shared" si="0"/>
        <v>181159.08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4">
        <v>10</v>
      </c>
      <c r="C15" s="84" t="s">
        <v>75</v>
      </c>
      <c r="D15" s="84" t="s">
        <v>90</v>
      </c>
      <c r="E15" s="96" t="s">
        <v>111</v>
      </c>
      <c r="F15" s="97">
        <v>6.95</v>
      </c>
      <c r="G15" s="37">
        <v>175140.09</v>
      </c>
      <c r="H15" s="146">
        <f>175140.09+39268.09</f>
        <v>214408.18</v>
      </c>
      <c r="I15" s="38"/>
      <c r="J15" s="98">
        <f t="shared" si="2"/>
        <v>-39268.089999999997</v>
      </c>
      <c r="K15" s="98">
        <v>0</v>
      </c>
      <c r="L15" s="99">
        <f t="shared" si="4"/>
        <v>0</v>
      </c>
      <c r="M15" s="99">
        <f t="shared" si="5"/>
        <v>114455.95198500001</v>
      </c>
      <c r="N15" s="100">
        <v>0</v>
      </c>
      <c r="O15" s="101">
        <f t="shared" si="6"/>
        <v>75188.09</v>
      </c>
      <c r="P15" s="102">
        <f t="shared" si="0"/>
        <v>77444.09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1">
        <v>9</v>
      </c>
      <c r="C16" s="31" t="s">
        <v>76</v>
      </c>
      <c r="D16" s="31" t="s">
        <v>91</v>
      </c>
      <c r="E16" s="32" t="s">
        <v>100</v>
      </c>
      <c r="F16" s="35">
        <v>6.89</v>
      </c>
      <c r="G16" s="36">
        <v>173628.1</v>
      </c>
      <c r="H16" s="37">
        <v>134700</v>
      </c>
      <c r="I16" s="38"/>
      <c r="J16" s="39">
        <f t="shared" si="2"/>
        <v>38928.100000000006</v>
      </c>
      <c r="K16" s="39">
        <f t="shared" si="3"/>
        <v>1167.8430000000001</v>
      </c>
      <c r="L16" s="40">
        <f t="shared" si="4"/>
        <v>0</v>
      </c>
      <c r="M16" s="40">
        <f t="shared" si="5"/>
        <v>113467.843047</v>
      </c>
      <c r="N16" s="41">
        <v>0</v>
      </c>
      <c r="O16" s="42">
        <f t="shared" si="6"/>
        <v>153564.1</v>
      </c>
      <c r="P16" s="43">
        <f t="shared" si="0"/>
        <v>158171.1</v>
      </c>
      <c r="Q16" s="24">
        <f t="shared" si="7"/>
        <v>9.9999999999999992E-2</v>
      </c>
      <c r="R16" t="s">
        <v>115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1">
        <v>11</v>
      </c>
      <c r="C17" s="31" t="s">
        <v>77</v>
      </c>
      <c r="D17" s="31" t="s">
        <v>92</v>
      </c>
      <c r="E17" s="32"/>
      <c r="F17" s="35">
        <v>11.88</v>
      </c>
      <c r="G17" s="36">
        <v>299686.11</v>
      </c>
      <c r="H17" s="37">
        <f>G17</f>
        <v>299686.11</v>
      </c>
      <c r="I17" s="38"/>
      <c r="J17" s="39">
        <f t="shared" si="2"/>
        <v>0</v>
      </c>
      <c r="K17" s="39">
        <f t="shared" si="3"/>
        <v>0</v>
      </c>
      <c r="L17" s="40">
        <f t="shared" si="4"/>
        <v>0</v>
      </c>
      <c r="M17" s="40">
        <f t="shared" si="5"/>
        <v>195645.569724</v>
      </c>
      <c r="N17" s="41">
        <v>0</v>
      </c>
      <c r="O17" s="42">
        <f t="shared" si="6"/>
        <v>195646.11</v>
      </c>
      <c r="P17" s="43">
        <f t="shared" si="0"/>
        <v>201515.11</v>
      </c>
      <c r="Q17" s="24">
        <f t="shared" si="7"/>
        <v>0.10999999999999999</v>
      </c>
      <c r="R17" t="s">
        <v>113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1" t="s">
        <v>66</v>
      </c>
      <c r="C18" s="31" t="s">
        <v>78</v>
      </c>
      <c r="D18" s="31" t="s">
        <v>84</v>
      </c>
      <c r="E18" s="32"/>
      <c r="F18" s="35">
        <v>0.56999999999999995</v>
      </c>
      <c r="G18" s="36">
        <v>37846.120000000003</v>
      </c>
      <c r="H18" s="37">
        <f>G18</f>
        <v>37846.120000000003</v>
      </c>
      <c r="I18" s="38"/>
      <c r="J18" s="39">
        <f t="shared" si="2"/>
        <v>0</v>
      </c>
      <c r="K18" s="39">
        <f t="shared" si="3"/>
        <v>0</v>
      </c>
      <c r="L18" s="40">
        <f t="shared" si="4"/>
        <v>0</v>
      </c>
      <c r="M18" s="40">
        <f t="shared" si="5"/>
        <v>9387.0349109999988</v>
      </c>
      <c r="N18" s="41">
        <v>0</v>
      </c>
      <c r="O18" s="42">
        <f t="shared" si="6"/>
        <v>9387.1200000000008</v>
      </c>
      <c r="P18" s="43">
        <f t="shared" si="0"/>
        <v>9669.1200000000008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1" t="s">
        <v>66</v>
      </c>
      <c r="C19" s="31" t="s">
        <v>79</v>
      </c>
      <c r="D19" s="31" t="s">
        <v>93</v>
      </c>
      <c r="E19" s="32"/>
      <c r="F19" s="35">
        <v>0.52</v>
      </c>
      <c r="G19" s="36">
        <v>12808.13</v>
      </c>
      <c r="H19" s="37">
        <f>G19</f>
        <v>12808.13</v>
      </c>
      <c r="I19" s="38"/>
      <c r="J19" s="39">
        <f t="shared" si="2"/>
        <v>0</v>
      </c>
      <c r="K19" s="39">
        <f t="shared" si="3"/>
        <v>0</v>
      </c>
      <c r="L19" s="40">
        <f t="shared" si="4"/>
        <v>0</v>
      </c>
      <c r="M19" s="40">
        <f t="shared" si="5"/>
        <v>8563.610795999999</v>
      </c>
      <c r="N19" s="41">
        <v>0</v>
      </c>
      <c r="O19" s="42">
        <f t="shared" si="6"/>
        <v>8564.1299999999992</v>
      </c>
      <c r="P19" s="43">
        <f t="shared" si="0"/>
        <v>8821.1299999999992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1" t="s">
        <v>66</v>
      </c>
      <c r="C20" s="31" t="s">
        <v>80</v>
      </c>
      <c r="D20" s="31" t="s">
        <v>93</v>
      </c>
      <c r="E20" s="31" t="s">
        <v>106</v>
      </c>
      <c r="F20" s="35">
        <v>0.52</v>
      </c>
      <c r="G20" s="36">
        <v>13104.14</v>
      </c>
      <c r="H20" s="37"/>
      <c r="I20" s="38"/>
      <c r="J20" s="39">
        <f t="shared" si="2"/>
        <v>13104.14</v>
      </c>
      <c r="K20" s="39">
        <f t="shared" si="3"/>
        <v>393.12419999999997</v>
      </c>
      <c r="L20" s="40">
        <f t="shared" si="4"/>
        <v>0</v>
      </c>
      <c r="M20" s="40">
        <f t="shared" si="5"/>
        <v>8563.610795999999</v>
      </c>
      <c r="N20" s="41">
        <v>0</v>
      </c>
      <c r="O20" s="42">
        <f t="shared" si="6"/>
        <v>22061.14</v>
      </c>
      <c r="P20" s="43">
        <f t="shared" si="0"/>
        <v>22723.14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1" t="s">
        <v>66</v>
      </c>
      <c r="C21" s="31" t="s">
        <v>81</v>
      </c>
      <c r="D21" s="31" t="s">
        <v>92</v>
      </c>
      <c r="E21" s="32"/>
      <c r="F21" s="35">
        <v>0.52</v>
      </c>
      <c r="G21" s="36">
        <v>13104.15</v>
      </c>
      <c r="H21" s="37">
        <f>G21</f>
        <v>13104.15</v>
      </c>
      <c r="I21" s="38"/>
      <c r="J21" s="39">
        <f t="shared" si="2"/>
        <v>0</v>
      </c>
      <c r="K21" s="39">
        <f t="shared" si="3"/>
        <v>0</v>
      </c>
      <c r="L21" s="40">
        <f t="shared" si="4"/>
        <v>0</v>
      </c>
      <c r="M21" s="40">
        <f t="shared" si="5"/>
        <v>8563.610795999999</v>
      </c>
      <c r="N21" s="41">
        <v>0</v>
      </c>
      <c r="O21" s="42">
        <f t="shared" si="6"/>
        <v>8564.15</v>
      </c>
      <c r="P21" s="43">
        <f t="shared" si="0"/>
        <v>8821.15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1" t="s">
        <v>66</v>
      </c>
      <c r="C22" s="31" t="s">
        <v>82</v>
      </c>
      <c r="D22" s="31" t="s">
        <v>88</v>
      </c>
      <c r="E22" s="31"/>
      <c r="F22" s="35">
        <v>0.61</v>
      </c>
      <c r="G22" s="36">
        <v>15372.16</v>
      </c>
      <c r="H22" s="154">
        <f>G22</f>
        <v>15372.16</v>
      </c>
      <c r="I22" s="38"/>
      <c r="J22" s="39">
        <f t="shared" si="2"/>
        <v>0</v>
      </c>
      <c r="K22" s="39">
        <f t="shared" si="3"/>
        <v>0</v>
      </c>
      <c r="L22" s="40">
        <f t="shared" si="4"/>
        <v>0</v>
      </c>
      <c r="M22" s="40">
        <f t="shared" si="5"/>
        <v>10045.774202999999</v>
      </c>
      <c r="N22" s="41">
        <v>0</v>
      </c>
      <c r="O22" s="42">
        <f t="shared" si="6"/>
        <v>10046.16</v>
      </c>
      <c r="P22" s="43">
        <f t="shared" si="0"/>
        <v>10347.16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1"/>
      <c r="C23" s="31"/>
      <c r="D23" s="31"/>
      <c r="E23" s="31"/>
      <c r="F23" s="35"/>
      <c r="G23" s="44" t="s">
        <v>57</v>
      </c>
      <c r="H23" s="37" t="str">
        <f t="shared" ref="H23" si="8">G23</f>
        <v>162450.31</v>
      </c>
      <c r="I23" s="45"/>
      <c r="J23" s="46" t="e">
        <f t="shared" ref="J23" si="9">G23-H23</f>
        <v>#VALUE!</v>
      </c>
      <c r="K23" s="39" t="e">
        <f t="shared" ref="K23" si="10">IF(J23&gt;0,J23*3%,0)</f>
        <v>#VALUE!</v>
      </c>
      <c r="L23" s="40">
        <f t="shared" si="4"/>
        <v>0</v>
      </c>
      <c r="M23" s="47">
        <f t="shared" si="5"/>
        <v>0</v>
      </c>
      <c r="N23" s="48">
        <v>0</v>
      </c>
      <c r="O23" s="42" t="e">
        <f t="shared" si="6"/>
        <v>#VALUE!</v>
      </c>
      <c r="P23" s="43" t="e">
        <f t="shared" si="0"/>
        <v>#VALUE!</v>
      </c>
      <c r="Q23" s="24"/>
    </row>
    <row r="24" spans="1:21" ht="17.100000000000001" customHeight="1" thickBot="1">
      <c r="B24" s="49"/>
      <c r="C24" s="50"/>
      <c r="D24" s="51"/>
      <c r="E24" s="51"/>
      <c r="F24" s="52">
        <f>SUM(F7:F23)</f>
        <v>99.999999999999972</v>
      </c>
      <c r="G24" s="27">
        <f>SUM(G7:G23)</f>
        <v>7379589.3599999994</v>
      </c>
      <c r="H24" s="30">
        <f>SUM(H7:H23)</f>
        <v>2668586.7200000002</v>
      </c>
      <c r="I24" s="30">
        <f>SUM(I7:I23)</f>
        <v>0</v>
      </c>
      <c r="J24" s="30"/>
      <c r="K24" s="30"/>
      <c r="L24" s="30">
        <f>SUM(L7:L23)</f>
        <v>0</v>
      </c>
      <c r="M24" s="30">
        <f>SUM(M7:M23)</f>
        <v>1646848.2300000002</v>
      </c>
      <c r="N24" s="30">
        <f>SUM(N7:N23)</f>
        <v>148000</v>
      </c>
      <c r="O24" s="53">
        <f>SUM(O7:O22)</f>
        <v>6650121.3599999994</v>
      </c>
      <c r="P24" s="53">
        <f>SUM(P7:P22)</f>
        <v>6849623.3599999994</v>
      </c>
    </row>
    <row r="25" spans="1:21" ht="12.75" customHeight="1">
      <c r="D25" s="26"/>
      <c r="E25" s="26"/>
      <c r="S25" s="24"/>
    </row>
    <row r="26" spans="1:21" ht="15" hidden="1" customHeight="1"/>
    <row r="27" spans="1:21" ht="15" customHeight="1">
      <c r="D27" s="169" t="s">
        <v>63</v>
      </c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S27" s="22"/>
    </row>
    <row r="28" spans="1:21" ht="12" hidden="1" customHeight="1"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</row>
    <row r="29" spans="1:21" ht="12" hidden="1" customHeight="1"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</row>
    <row r="30" spans="1:21" ht="12" hidden="1" customHeight="1"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</row>
    <row r="31" spans="1:21" ht="12" hidden="1" customHeight="1"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</row>
    <row r="32" spans="1:21" ht="65.25" customHeight="1"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C01E-5816-4D6D-A47C-EE31C4411A86}">
  <dimension ref="C3"/>
  <sheetViews>
    <sheetView workbookViewId="0">
      <selection activeCell="C4" sqref="C4"/>
    </sheetView>
  </sheetViews>
  <sheetFormatPr baseColWidth="10" defaultRowHeight="14.4"/>
  <sheetData>
    <row r="3" spans="3:3">
      <c r="C3" s="150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2026-07-01T22:37:01Z</cp:lastPrinted>
  <dcterms:created xsi:type="dcterms:W3CDTF">2023-09-17T12:29:07Z</dcterms:created>
  <dcterms:modified xsi:type="dcterms:W3CDTF">2026-07-08T22:39:47Z</dcterms:modified>
</cp:coreProperties>
</file>