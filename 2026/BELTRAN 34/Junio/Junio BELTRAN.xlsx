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2026\BELTRAN 34\Mayo\"/>
    </mc:Choice>
  </mc:AlternateContent>
  <xr:revisionPtr revIDLastSave="0" documentId="13_ncr:1_{D761957C-3AC9-44DD-B7A9-D825172A2E46}" xr6:coauthVersionLast="47" xr6:coauthVersionMax="47" xr10:uidLastSave="{00000000-0000-0000-0000-000000000000}"/>
  <bookViews>
    <workbookView xWindow="-108" yWindow="-108" windowWidth="23256" windowHeight="12576" tabRatio="793" activeTab="2" xr2:uid="{00000000-000D-0000-FFFF-FFFF00000000}"/>
  </bookViews>
  <sheets>
    <sheet name="RESUMEN" sheetId="1" r:id="rId1"/>
    <sheet name="PRORRATEO" sheetId="2" r:id="rId2"/>
    <sheet name="Anotaciones" sheetId="3" r:id="rId3"/>
  </sheets>
  <definedNames>
    <definedName name="_xlnm.Print_Area" localSheetId="1">PRORRATEO!$A$1:$P$33</definedName>
    <definedName name="_xlnm.Print_Area" localSheetId="0">RESUMEN!$A$1:$D$98</definedName>
  </definedNames>
  <calcPr calcId="181029"/>
</workbook>
</file>

<file path=xl/calcChain.xml><?xml version="1.0" encoding="utf-8"?>
<calcChain xmlns="http://schemas.openxmlformats.org/spreadsheetml/2006/main">
  <c r="H15" i="2" l="1"/>
  <c r="D61" i="1" l="1"/>
  <c r="H11" i="2"/>
  <c r="H10" i="2"/>
  <c r="H14" i="2"/>
  <c r="H17" i="2"/>
  <c r="H21" i="2"/>
  <c r="H16" i="2"/>
  <c r="H22" i="2"/>
  <c r="H12" i="2" s="1"/>
  <c r="C48" i="1" l="1"/>
  <c r="D55" i="1" l="1"/>
  <c r="H13" i="2"/>
  <c r="M7" i="2" l="1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6" i="2"/>
  <c r="H20" i="2"/>
  <c r="B1" i="2"/>
  <c r="D46" i="1" l="1"/>
  <c r="D33" i="1" l="1"/>
  <c r="D59" i="1"/>
  <c r="D36" i="1"/>
  <c r="J15" i="2" l="1"/>
  <c r="D42" i="1"/>
  <c r="C24" i="1" l="1"/>
  <c r="C29" i="1"/>
  <c r="J8" i="2"/>
  <c r="J20" i="2"/>
  <c r="K20" i="2" s="1"/>
  <c r="J19" i="2"/>
  <c r="K19" i="2" s="1"/>
  <c r="J22" i="2"/>
  <c r="K22" i="2" s="1"/>
  <c r="J17" i="2"/>
  <c r="K17" i="2" s="1"/>
  <c r="J12" i="2"/>
  <c r="J9" i="2"/>
  <c r="K9" i="2" s="1"/>
  <c r="J10" i="2"/>
  <c r="K10" i="2" s="1"/>
  <c r="J11" i="2"/>
  <c r="K11" i="2" s="1"/>
  <c r="J13" i="2"/>
  <c r="K13" i="2" s="1"/>
  <c r="J14" i="2"/>
  <c r="K14" i="2" s="1"/>
  <c r="J16" i="2"/>
  <c r="K16" i="2" s="1"/>
  <c r="J18" i="2"/>
  <c r="K18" i="2" s="1"/>
  <c r="J21" i="2"/>
  <c r="K21" i="2" s="1"/>
  <c r="K12" i="2" l="1"/>
  <c r="K8" i="2"/>
  <c r="D30" i="1"/>
  <c r="I24" i="2"/>
  <c r="H23" i="2" l="1"/>
  <c r="J23" i="2" s="1"/>
  <c r="O23" i="2" s="1"/>
  <c r="L23" i="2"/>
  <c r="M23" i="2"/>
  <c r="P23" i="2" l="1"/>
  <c r="K23" i="2"/>
  <c r="B97" i="1" l="1"/>
  <c r="L8" i="2" l="1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7" i="2"/>
  <c r="D70" i="1" l="1"/>
  <c r="D75" i="1" s="1"/>
  <c r="B79" i="1" s="1"/>
  <c r="B90" i="1" s="1"/>
  <c r="B87" i="1" l="1"/>
  <c r="D63" i="1" l="1"/>
  <c r="O6" i="2" l="1"/>
  <c r="Q8" i="2" l="1"/>
  <c r="Q9" i="2" s="1"/>
  <c r="Q10" i="2" s="1"/>
  <c r="Q11" i="2" s="1"/>
  <c r="Q12" i="2" s="1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H24" i="2" l="1"/>
  <c r="B86" i="1" s="1"/>
  <c r="F24" i="2"/>
  <c r="G24" i="2"/>
  <c r="J7" i="2" l="1"/>
  <c r="K7" i="2" l="1"/>
  <c r="O7" i="2" s="1"/>
  <c r="B80" i="1"/>
  <c r="L24" i="2"/>
  <c r="B78" i="1" l="1"/>
  <c r="B89" i="1" s="1"/>
  <c r="B91" i="1" s="1"/>
  <c r="M8" i="2"/>
  <c r="O8" i="2" s="1"/>
  <c r="M9" i="2"/>
  <c r="O9" i="2" s="1"/>
  <c r="M10" i="2"/>
  <c r="O10" i="2" s="1"/>
  <c r="M11" i="2"/>
  <c r="O11" i="2" s="1"/>
  <c r="M12" i="2"/>
  <c r="O12" i="2" s="1"/>
  <c r="M13" i="2"/>
  <c r="O13" i="2" s="1"/>
  <c r="M14" i="2"/>
  <c r="O14" i="2" s="1"/>
  <c r="M15" i="2"/>
  <c r="O15" i="2" s="1"/>
  <c r="M16" i="2"/>
  <c r="O16" i="2" s="1"/>
  <c r="M17" i="2"/>
  <c r="O17" i="2" s="1"/>
  <c r="M18" i="2"/>
  <c r="O18" i="2" s="1"/>
  <c r="M19" i="2"/>
  <c r="O19" i="2" s="1"/>
  <c r="M20" i="2"/>
  <c r="O20" i="2" s="1"/>
  <c r="M21" i="2"/>
  <c r="O21" i="2" s="1"/>
  <c r="M22" i="2"/>
  <c r="O22" i="2" s="1"/>
  <c r="P8" i="2" l="1"/>
  <c r="M24" i="2"/>
  <c r="P20" i="2"/>
  <c r="P16" i="2"/>
  <c r="P12" i="2"/>
  <c r="P7" i="2"/>
  <c r="P19" i="2"/>
  <c r="P15" i="2"/>
  <c r="P11" i="2"/>
  <c r="P22" i="2"/>
  <c r="P18" i="2"/>
  <c r="P14" i="2"/>
  <c r="P10" i="2"/>
  <c r="P21" i="2"/>
  <c r="P17" i="2"/>
  <c r="P13" i="2"/>
  <c r="P9" i="2"/>
  <c r="P24" i="2" l="1"/>
  <c r="O24" i="2"/>
  <c r="B77" i="1" l="1"/>
  <c r="N24" i="2" l="1"/>
</calcChain>
</file>

<file path=xl/sharedStrings.xml><?xml version="1.0" encoding="utf-8"?>
<sst xmlns="http://schemas.openxmlformats.org/spreadsheetml/2006/main" count="165" uniqueCount="136">
  <si>
    <t>TOTAL SUELDO</t>
  </si>
  <si>
    <t>TOTAL IMPUESTO</t>
  </si>
  <si>
    <t>TOTAL Aportes y Contribuciones - Sindicato</t>
  </si>
  <si>
    <t>TOTAL ABONOS Y SERVICIOS</t>
  </si>
  <si>
    <t>Gastos Ordinarios:</t>
  </si>
  <si>
    <t>Piso</t>
  </si>
  <si>
    <t>Dpto.</t>
  </si>
  <si>
    <t>UF</t>
  </si>
  <si>
    <t>Propietario</t>
  </si>
  <si>
    <t xml:space="preserve">Ingreso </t>
  </si>
  <si>
    <t>Expensas extraor.</t>
  </si>
  <si>
    <t>TOTAL</t>
  </si>
  <si>
    <t>PB</t>
  </si>
  <si>
    <t>3º</t>
  </si>
  <si>
    <t>4º</t>
  </si>
  <si>
    <t>5º</t>
  </si>
  <si>
    <t>6º</t>
  </si>
  <si>
    <t>7º</t>
  </si>
  <si>
    <t>8º</t>
  </si>
  <si>
    <t>9º</t>
  </si>
  <si>
    <t>10º</t>
  </si>
  <si>
    <t>GASTOS ORDINARIOS UNIDADES FUNCIONALES:</t>
  </si>
  <si>
    <t>COC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</si>
  <si>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</si>
  <si>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</si>
  <si>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</si>
  <si>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</si>
  <si>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</si>
  <si>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>Saldo anterior</t>
  </si>
  <si>
    <t xml:space="preserve">TOTAL </t>
  </si>
  <si>
    <t>APORTES Y CONTRIBUCIONES</t>
  </si>
  <si>
    <t>GASTOS GENERALES / MANTENIMIENTO</t>
  </si>
  <si>
    <t>ABONOS Y SERVICIOS</t>
  </si>
  <si>
    <t>HONORARIOS</t>
  </si>
  <si>
    <t>GASTOS EXTRAORDINARIOS UNIDADES FUNCIONALES: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</si>
  <si>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</si>
  <si>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</si>
  <si>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</si>
  <si>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</si>
  <si>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</si>
  <si>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Expensas ord.</t>
  </si>
  <si>
    <t>Interes</t>
  </si>
  <si>
    <t>Inquilinos</t>
  </si>
  <si>
    <t>Pago por</t>
  </si>
  <si>
    <t>Deuda o Saldo a favor</t>
  </si>
  <si>
    <t xml:space="preserve">SEGUROS </t>
  </si>
  <si>
    <t>DEPOSITOS NO IDENTIFICADOS</t>
  </si>
  <si>
    <t>RESUMEN</t>
  </si>
  <si>
    <t>Neto</t>
  </si>
  <si>
    <t>Total 2do Vto</t>
  </si>
  <si>
    <t>Total 1er Vto</t>
  </si>
  <si>
    <t>Gastos part.</t>
  </si>
  <si>
    <t>GASTOS EXTRAORDINARIOS CON PREVISION:</t>
  </si>
  <si>
    <t>Saldo Ord</t>
  </si>
  <si>
    <t xml:space="preserve">Deposito sin identificar </t>
  </si>
  <si>
    <t>Ingreso Ordinarias</t>
  </si>
  <si>
    <t>Gastos Extraordinarios:</t>
  </si>
  <si>
    <t>162450.31</t>
  </si>
  <si>
    <t>ADMINISTRADORA: CAROLINA CANCIANI MP:1148 - CUIT ADMINISTRACION: 27231256879</t>
  </si>
  <si>
    <t>Arca931</t>
  </si>
  <si>
    <t>Sindicatos :  Seracarh</t>
  </si>
  <si>
    <t>Sindicatos :  Suther</t>
  </si>
  <si>
    <t>Sindicatos :  Fatherhy</t>
  </si>
  <si>
    <t>SI EN LA COLUMNA LLAMADA DEUDA O SALDO A FAVOR FIGURA UN NUMERO EN NEGATIVO SIGNIFICA QUE LA UF POSEE DINERO A FAVOR (ES DECIR PAGO DE MAS)</t>
  </si>
  <si>
    <t>HORARIOS DE ATENCION: 10 A 15HS - LUNES A VIERNES</t>
  </si>
  <si>
    <t>Seguro integral de consorcio - Sancor Seguro</t>
  </si>
  <si>
    <t>Abono mantenimiento de cuenta e impuestos</t>
  </si>
  <si>
    <t>UC</t>
  </si>
  <si>
    <t>Local 1/ Entrep.</t>
  </si>
  <si>
    <t>1° A</t>
  </si>
  <si>
    <t>1° B</t>
  </si>
  <si>
    <t>1° C</t>
  </si>
  <si>
    <t>2° A</t>
  </si>
  <si>
    <t>2° B</t>
  </si>
  <si>
    <t>2° C</t>
  </si>
  <si>
    <t xml:space="preserve">3° A </t>
  </si>
  <si>
    <t>3° B</t>
  </si>
  <si>
    <t>3° C</t>
  </si>
  <si>
    <t>4° A</t>
  </si>
  <si>
    <t>A</t>
  </si>
  <si>
    <t>B</t>
  </si>
  <si>
    <t>C</t>
  </si>
  <si>
    <t>D</t>
  </si>
  <si>
    <t>E</t>
  </si>
  <si>
    <t>Carlos</t>
  </si>
  <si>
    <t>Fernando Rivero/Sole</t>
  </si>
  <si>
    <t>Santino Panaccio</t>
  </si>
  <si>
    <t>Susana Barral</t>
  </si>
  <si>
    <t>Norma Rivero</t>
  </si>
  <si>
    <t>Daniel Izzo</t>
  </si>
  <si>
    <t>Monica Tonelli</t>
  </si>
  <si>
    <t>Andres y Gisela Patané</t>
  </si>
  <si>
    <t>Vicenta Ester Arezzi</t>
  </si>
  <si>
    <t>Mario Sagaria</t>
  </si>
  <si>
    <t>Tonelli Monica</t>
  </si>
  <si>
    <t>TELEFONO : 11-5320-2676 - MAIL: coronelbeltran34rc@gmail.com - OFICINA CON CITA PREVIA - DR MELO 2958 8° PISO</t>
  </si>
  <si>
    <t>EDESUR - Nro. De cliente 04238360</t>
  </si>
  <si>
    <t>AySA - Nro. de cliente 302726</t>
  </si>
  <si>
    <t>ESTIMADOS PROPIETARIOS E INQUILINOS: POR FAVOR LOS QUE ABONAN EN PRIMER VENCIMIENTO ABONEN EL MONTO DE PRIMER VENCIMIENTO, ASI AGILIZAN LA LIQUIDACION, RESPETEN LOS CENTAVOS CORRESPONDIENTES A LA UNIDAD FUNCIONAL. SOLICITAMOS RESPETAR LOS CENTAVOS AL ABONAR.</t>
  </si>
  <si>
    <t>SOLICITAMOS RESPETAR LOS CENTAVOS AL ABONAR.</t>
  </si>
  <si>
    <t>SERVICIO DE LIMPIEZA</t>
  </si>
  <si>
    <t>Levy Lara</t>
  </si>
  <si>
    <t>Darío Fortunato</t>
  </si>
  <si>
    <t xml:space="preserve">Nayla Jimena </t>
  </si>
  <si>
    <t>Gastos bancarios</t>
  </si>
  <si>
    <t xml:space="preserve">Titular: CONSORCIO DE PROPIETARIOS CORONEL BELTRAN 34
Banco Santander: Cta Corriente en Pesos 533-030591/4
Cuit del consorcio: 30-71897608-8
CBU: 0720533020000003059140 - Alias: SALMON.ARMADA.FOCO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</si>
  <si>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Mes de DICIEMBRE</t>
  </si>
  <si>
    <t>Claudio Martuccio</t>
  </si>
  <si>
    <t>Carla Fabiana Silva</t>
  </si>
  <si>
    <t>Matias Jose Medina Gonzalez</t>
  </si>
  <si>
    <t xml:space="preserve">Celestino Soledad - Servicio de limpieza </t>
  </si>
  <si>
    <t>Ivan Aguirre - Lucia daniela Toledo</t>
  </si>
  <si>
    <t>Yamila</t>
  </si>
  <si>
    <t>Ascensores Contessi - Mantenimiento de ascensores</t>
  </si>
  <si>
    <t>Mariana Hebe Romeo</t>
  </si>
  <si>
    <t>Claudio Martuccio - Cristian Badoza</t>
  </si>
  <si>
    <t>AREZZI Vicenta Ester.</t>
  </si>
  <si>
    <t>PREVISION ORDINARIA</t>
  </si>
  <si>
    <t>VTO 18/06</t>
  </si>
  <si>
    <t>Transf 06/05</t>
  </si>
  <si>
    <t>Articulos de limpieza</t>
  </si>
  <si>
    <t>Transf 08/05</t>
  </si>
  <si>
    <t>Transf 12/05</t>
  </si>
  <si>
    <t>Ascensores Contessi - Provision y cambio de contacto de puerta exterior del 2do piso</t>
  </si>
  <si>
    <t>Copias de llaves - Cerrajeria EFE ELE</t>
  </si>
  <si>
    <t>Debito 04/05</t>
  </si>
  <si>
    <t>Sra. Abogada - Karina Iconomopulos - Envio de notificaciones deuda</t>
  </si>
  <si>
    <t>Mes de Abril</t>
  </si>
  <si>
    <t>Reparaciones heredia - Instalacion electrica de la sala de maquinas - 4 termicas (una para cada bomba) e instalacion de tomas para bombas - Adicional para bomba de succion, luz de emergencia y tomas. Dicha instalacion se hizo de forma exterior y a una altura segura debido a que la sala suele inundarse. Su utilizaron materiales de PVC. Se coloco una puesta a tierra individual para tablero y disyuntor idividual en el tablero principal para la sala de maquinas y alimencacion.</t>
  </si>
  <si>
    <t>Destapacion Aysa Pago en efectivo - 18/5</t>
  </si>
  <si>
    <t>Ascensores Contessi - Cuota 3/3 de provision y colocacion de dos barreras multihaz a la cabina del ascensor</t>
  </si>
  <si>
    <t>Honorarios administracion - Se adueda Abril y Mayo ($170.000)</t>
  </si>
  <si>
    <t xml:space="preserve">  </t>
  </si>
  <si>
    <t>Pendiente para el cierre de Juni0 poner un AYSA de 418.590,24</t>
  </si>
  <si>
    <t>Cobro erroneo arreglo de ascensor</t>
  </si>
  <si>
    <t>1A: pide reveer su situacion, adjunta sus comprobantes ( mariascosentino@gmail.com)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</si>
</sst>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_ * #,##0.00_ ;_ * \-#,##0.00_ ;_ * &quot;-&quot;??_ ;_ @_ "/>
    <numFmt numFmtId="167" formatCode="&quot;$&quot;\ #,##0.00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b/>
      <i/>
      <u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Arial1"/>
    </font>
    <font>
      <sz val="11"/>
      <color indexed="8"/>
      <name val="Arial1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color indexed="8"/>
      <name val="Arial1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b/>
      <sz val="18"/>
      <color indexed="56"/>
      <name val="Cambria"/>
      <family val="1"/>
    </font>
    <font>
      <b/>
      <sz val="13"/>
      <color indexed="56"/>
      <name val="Calibri"/>
      <family val="2"/>
    </font>
    <font>
      <b/>
      <sz val="9"/>
      <name val="Calibri"/>
      <family val="2"/>
      <scheme val="minor"/>
    </font>
    <font>
      <b/>
      <sz val="10"/>
      <name val="Arial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8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indexed="63"/>
      </left>
      <right style="hair">
        <color indexed="63"/>
      </right>
      <top style="hair">
        <color indexed="63"/>
      </top>
      <bottom style="hair">
        <color indexed="63"/>
      </bottom>
      <diagonal/>
    </border>
    <border>
      <left/>
      <right/>
      <top/>
      <bottom style="hair">
        <color indexed="22"/>
      </bottom>
      <diagonal/>
    </border>
    <border>
      <left/>
      <right/>
      <top/>
      <bottom style="hair">
        <color indexed="30"/>
      </bottom>
      <diagonal/>
    </border>
    <border>
      <left/>
      <right/>
      <top style="hair">
        <color indexed="62"/>
      </top>
      <bottom style="double">
        <color indexed="6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3" fillId="0" borderId="0"/>
    <xf numFmtId="0" fontId="25" fillId="12" borderId="0" applyBorder="0" applyProtection="0"/>
    <xf numFmtId="0" fontId="25" fillId="13" borderId="0" applyBorder="0" applyProtection="0"/>
    <xf numFmtId="0" fontId="25" fillId="14" borderId="0" applyBorder="0" applyProtection="0"/>
    <xf numFmtId="0" fontId="25" fillId="15" borderId="0" applyBorder="0" applyProtection="0"/>
    <xf numFmtId="0" fontId="25" fillId="16" borderId="0" applyBorder="0" applyProtection="0"/>
    <xf numFmtId="0" fontId="25" fillId="17" borderId="0" applyBorder="0" applyProtection="0"/>
    <xf numFmtId="0" fontId="25" fillId="18" borderId="0" applyBorder="0" applyProtection="0"/>
    <xf numFmtId="0" fontId="25" fillId="19" borderId="0" applyBorder="0" applyProtection="0"/>
    <xf numFmtId="0" fontId="25" fillId="20" borderId="0" applyBorder="0" applyProtection="0"/>
    <xf numFmtId="0" fontId="25" fillId="15" borderId="0" applyBorder="0" applyProtection="0"/>
    <xf numFmtId="0" fontId="25" fillId="18" borderId="0" applyBorder="0" applyProtection="0"/>
    <xf numFmtId="0" fontId="25" fillId="21" borderId="0" applyBorder="0" applyProtection="0"/>
    <xf numFmtId="0" fontId="26" fillId="22" borderId="0" applyBorder="0" applyProtection="0"/>
    <xf numFmtId="0" fontId="26" fillId="19" borderId="0" applyBorder="0" applyProtection="0"/>
    <xf numFmtId="0" fontId="26" fillId="20" borderId="0" applyBorder="0" applyProtection="0"/>
    <xf numFmtId="0" fontId="26" fillId="23" borderId="0" applyBorder="0" applyProtection="0"/>
    <xf numFmtId="0" fontId="26" fillId="24" borderId="0" applyBorder="0" applyProtection="0"/>
    <xf numFmtId="0" fontId="26" fillId="25" borderId="0" applyBorder="0" applyProtection="0"/>
    <xf numFmtId="0" fontId="29" fillId="26" borderId="29" applyProtection="0"/>
    <xf numFmtId="0" fontId="27" fillId="27" borderId="30" applyProtection="0"/>
    <xf numFmtId="0" fontId="28" fillId="0" borderId="31" applyProtection="0"/>
    <xf numFmtId="0" fontId="30" fillId="0" borderId="0" applyBorder="0" applyProtection="0"/>
    <xf numFmtId="0" fontId="26" fillId="28" borderId="0" applyBorder="0" applyProtection="0"/>
    <xf numFmtId="0" fontId="26" fillId="29" borderId="0" applyBorder="0" applyProtection="0"/>
    <xf numFmtId="0" fontId="26" fillId="30" borderId="0" applyBorder="0" applyProtection="0"/>
    <xf numFmtId="0" fontId="26" fillId="23" borderId="0" applyBorder="0" applyProtection="0"/>
    <xf numFmtId="0" fontId="26" fillId="24" borderId="0" applyBorder="0" applyProtection="0"/>
    <xf numFmtId="0" fontId="26" fillId="31" borderId="0" applyBorder="0" applyProtection="0"/>
    <xf numFmtId="0" fontId="31" fillId="17" borderId="29" applyProtection="0"/>
    <xf numFmtId="0" fontId="32" fillId="13" borderId="0" applyBorder="0" applyProtection="0"/>
    <xf numFmtId="166" fontId="24" fillId="0" borderId="0" applyFill="0" applyBorder="0" applyAlignment="0" applyProtection="0"/>
    <xf numFmtId="0" fontId="33" fillId="32" borderId="0" applyBorder="0" applyProtection="0"/>
    <xf numFmtId="0" fontId="34" fillId="33" borderId="32" applyProtection="0"/>
    <xf numFmtId="0" fontId="35" fillId="26" borderId="33" applyProtection="0"/>
    <xf numFmtId="0" fontId="36" fillId="0" borderId="0" applyBorder="0" applyProtection="0"/>
    <xf numFmtId="0" fontId="37" fillId="0" borderId="0" applyBorder="0" applyProtection="0"/>
    <xf numFmtId="0" fontId="39" fillId="0" borderId="0" applyBorder="0" applyProtection="0"/>
    <xf numFmtId="0" fontId="40" fillId="0" borderId="34" applyProtection="0"/>
    <xf numFmtId="0" fontId="30" fillId="0" borderId="35" applyProtection="0"/>
    <xf numFmtId="0" fontId="38" fillId="0" borderId="36" applyProtection="0"/>
  </cellStyleXfs>
  <cellXfs count="185">
    <xf numFmtId="0" fontId="0" fillId="0" borderId="0" xfId="0"/>
    <xf numFmtId="0" fontId="2" fillId="0" borderId="0" xfId="0" applyFont="1"/>
    <xf numFmtId="0" fontId="0" fillId="0" borderId="1" xfId="0" applyBorder="1"/>
    <xf numFmtId="0" fontId="0" fillId="3" borderId="0" xfId="0" applyFill="1"/>
    <xf numFmtId="0" fontId="0" fillId="0" borderId="5" xfId="0" applyBorder="1"/>
    <xf numFmtId="0" fontId="0" fillId="5" borderId="12" xfId="0" applyFill="1" applyBorder="1"/>
    <xf numFmtId="0" fontId="2" fillId="5" borderId="14" xfId="0" applyFont="1" applyFill="1" applyBorder="1"/>
    <xf numFmtId="0" fontId="2" fillId="5" borderId="12" xfId="0" applyFont="1" applyFill="1" applyBorder="1"/>
    <xf numFmtId="0" fontId="0" fillId="5" borderId="15" xfId="0" applyFill="1" applyBorder="1"/>
    <xf numFmtId="8" fontId="0" fillId="0" borderId="0" xfId="0" applyNumberFormat="1"/>
    <xf numFmtId="8" fontId="6" fillId="4" borderId="6" xfId="0" applyNumberFormat="1" applyFont="1" applyFill="1" applyBorder="1"/>
    <xf numFmtId="0" fontId="2" fillId="0" borderId="1" xfId="0" applyFont="1" applyBorder="1"/>
    <xf numFmtId="0" fontId="9" fillId="2" borderId="0" xfId="0" applyFont="1" applyFill="1"/>
    <xf numFmtId="0" fontId="10" fillId="4" borderId="1" xfId="0" applyFont="1" applyFill="1" applyBorder="1"/>
    <xf numFmtId="0" fontId="6" fillId="4" borderId="1" xfId="0" applyFont="1" applyFill="1" applyBorder="1"/>
    <xf numFmtId="0" fontId="11" fillId="4" borderId="1" xfId="0" applyFont="1" applyFill="1" applyBorder="1"/>
    <xf numFmtId="8" fontId="10" fillId="4" borderId="1" xfId="0" applyNumberFormat="1" applyFont="1" applyFill="1" applyBorder="1"/>
    <xf numFmtId="44" fontId="6" fillId="4" borderId="1" xfId="1" applyFont="1" applyFill="1" applyBorder="1"/>
    <xf numFmtId="44" fontId="0" fillId="0" borderId="1" xfId="1" applyFont="1" applyBorder="1"/>
    <xf numFmtId="44" fontId="6" fillId="4" borderId="6" xfId="1" applyFont="1" applyFill="1" applyBorder="1"/>
    <xf numFmtId="44" fontId="4" fillId="4" borderId="1" xfId="1" applyFont="1" applyFill="1" applyBorder="1"/>
    <xf numFmtId="44" fontId="4" fillId="4" borderId="6" xfId="1" applyFont="1" applyFill="1" applyBorder="1"/>
    <xf numFmtId="44" fontId="0" fillId="0" borderId="0" xfId="1" applyFont="1"/>
    <xf numFmtId="0" fontId="7" fillId="2" borderId="0" xfId="0" applyFont="1" applyFill="1"/>
    <xf numFmtId="44" fontId="0" fillId="0" borderId="0" xfId="0" applyNumberFormat="1"/>
    <xf numFmtId="0" fontId="8" fillId="6" borderId="0" xfId="0" applyFont="1" applyFill="1"/>
    <xf numFmtId="0" fontId="12" fillId="0" borderId="0" xfId="0" applyFont="1"/>
    <xf numFmtId="44" fontId="13" fillId="4" borderId="13" xfId="0" applyNumberFormat="1" applyFont="1" applyFill="1" applyBorder="1"/>
    <xf numFmtId="8" fontId="17" fillId="11" borderId="6" xfId="0" applyNumberFormat="1" applyFont="1" applyFill="1" applyBorder="1"/>
    <xf numFmtId="0" fontId="14" fillId="3" borderId="20" xfId="0" applyFont="1" applyFill="1" applyBorder="1" applyAlignment="1">
      <alignment horizontal="center" vertical="center" wrapText="1"/>
    </xf>
    <xf numFmtId="165" fontId="13" fillId="4" borderId="13" xfId="0" applyNumberFormat="1" applyFont="1" applyFill="1" applyBorder="1"/>
    <xf numFmtId="0" fontId="13" fillId="0" borderId="1" xfId="0" applyFont="1" applyBorder="1"/>
    <xf numFmtId="0" fontId="13" fillId="0" borderId="1" xfId="0" applyFont="1" applyBorder="1" applyAlignment="1">
      <alignment wrapText="1"/>
    </xf>
    <xf numFmtId="44" fontId="9" fillId="4" borderId="1" xfId="1" applyFont="1" applyFill="1" applyBorder="1"/>
    <xf numFmtId="44" fontId="5" fillId="5" borderId="11" xfId="0" applyNumberFormat="1" applyFont="1" applyFill="1" applyBorder="1"/>
    <xf numFmtId="0" fontId="13" fillId="0" borderId="1" xfId="0" applyFont="1" applyBorder="1" applyAlignment="1">
      <alignment horizontal="center"/>
    </xf>
    <xf numFmtId="44" fontId="18" fillId="0" borderId="1" xfId="1" applyFont="1" applyBorder="1"/>
    <xf numFmtId="44" fontId="18" fillId="2" borderId="1" xfId="1" applyFont="1" applyFill="1" applyBorder="1"/>
    <xf numFmtId="165" fontId="18" fillId="2" borderId="1" xfId="1" applyNumberFormat="1" applyFont="1" applyFill="1" applyBorder="1"/>
    <xf numFmtId="165" fontId="13" fillId="0" borderId="1" xfId="0" applyNumberFormat="1" applyFont="1" applyBorder="1"/>
    <xf numFmtId="165" fontId="13" fillId="0" borderId="1" xfId="1" applyNumberFormat="1" applyFont="1" applyBorder="1"/>
    <xf numFmtId="44" fontId="13" fillId="0" borderId="6" xfId="1" applyFont="1" applyBorder="1"/>
    <xf numFmtId="44" fontId="18" fillId="0" borderId="25" xfId="1" applyFont="1" applyBorder="1"/>
    <xf numFmtId="44" fontId="18" fillId="0" borderId="27" xfId="1" applyFont="1" applyBorder="1"/>
    <xf numFmtId="44" fontId="19" fillId="0" borderId="1" xfId="1" applyFont="1" applyBorder="1"/>
    <xf numFmtId="165" fontId="19" fillId="2" borderId="1" xfId="1" applyNumberFormat="1" applyFont="1" applyFill="1" applyBorder="1"/>
    <xf numFmtId="165" fontId="19" fillId="0" borderId="1" xfId="0" applyNumberFormat="1" applyFont="1" applyBorder="1"/>
    <xf numFmtId="165" fontId="19" fillId="0" borderId="1" xfId="1" applyNumberFormat="1" applyFont="1" applyBorder="1"/>
    <xf numFmtId="44" fontId="19" fillId="0" borderId="6" xfId="1" applyFont="1" applyBorder="1"/>
    <xf numFmtId="0" fontId="13" fillId="10" borderId="21" xfId="0" applyFont="1" applyFill="1" applyBorder="1"/>
    <xf numFmtId="0" fontId="13" fillId="4" borderId="26" xfId="0" applyFont="1" applyFill="1" applyBorder="1"/>
    <xf numFmtId="0" fontId="13" fillId="4" borderId="13" xfId="0" applyFont="1" applyFill="1" applyBorder="1"/>
    <xf numFmtId="0" fontId="13" fillId="4" borderId="13" xfId="0" applyFont="1" applyFill="1" applyBorder="1" applyAlignment="1">
      <alignment horizontal="center"/>
    </xf>
    <xf numFmtId="44" fontId="13" fillId="4" borderId="21" xfId="0" applyNumberFormat="1" applyFont="1" applyFill="1" applyBorder="1"/>
    <xf numFmtId="0" fontId="4" fillId="0" borderId="1" xfId="0" applyFont="1" applyBorder="1"/>
    <xf numFmtId="0" fontId="4" fillId="11" borderId="1" xfId="0" applyFont="1" applyFill="1" applyBorder="1"/>
    <xf numFmtId="8" fontId="9" fillId="4" borderId="21" xfId="1" applyNumberFormat="1" applyFont="1" applyFill="1" applyBorder="1"/>
    <xf numFmtId="44" fontId="20" fillId="4" borderId="3" xfId="1" applyFont="1" applyFill="1" applyBorder="1"/>
    <xf numFmtId="44" fontId="9" fillId="4" borderId="21" xfId="1" applyFont="1" applyFill="1" applyBorder="1"/>
    <xf numFmtId="44" fontId="21" fillId="4" borderId="3" xfId="1" applyFont="1" applyFill="1" applyBorder="1"/>
    <xf numFmtId="0" fontId="21" fillId="0" borderId="1" xfId="1" applyNumberFormat="1" applyFont="1" applyBorder="1" applyAlignment="1">
      <alignment horizontal="left"/>
    </xf>
    <xf numFmtId="44" fontId="9" fillId="4" borderId="13" xfId="1" applyFont="1" applyFill="1" applyBorder="1"/>
    <xf numFmtId="44" fontId="21" fillId="2" borderId="1" xfId="1" applyFont="1" applyFill="1" applyBorder="1"/>
    <xf numFmtId="44" fontId="9" fillId="4" borderId="2" xfId="1" applyFont="1" applyFill="1" applyBorder="1"/>
    <xf numFmtId="44" fontId="21" fillId="2" borderId="3" xfId="1" applyFont="1" applyFill="1" applyBorder="1"/>
    <xf numFmtId="8" fontId="6" fillId="4" borderId="22" xfId="0" applyNumberFormat="1" applyFont="1" applyFill="1" applyBorder="1"/>
    <xf numFmtId="0" fontId="21" fillId="0" borderId="4" xfId="0" applyFont="1" applyBorder="1"/>
    <xf numFmtId="44" fontId="9" fillId="8" borderId="13" xfId="1" applyFont="1" applyFill="1" applyBorder="1"/>
    <xf numFmtId="0" fontId="4" fillId="0" borderId="0" xfId="0" applyFont="1"/>
    <xf numFmtId="0" fontId="21" fillId="0" borderId="17" xfId="0" applyFont="1" applyBorder="1"/>
    <xf numFmtId="0" fontId="6" fillId="5" borderId="10" xfId="0" applyFont="1" applyFill="1" applyBorder="1"/>
    <xf numFmtId="44" fontId="9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0" fontId="3" fillId="0" borderId="1" xfId="0" applyFont="1" applyBorder="1" applyAlignment="1">
      <alignment vertical="center" wrapText="1"/>
    </xf>
    <xf numFmtId="44" fontId="8" fillId="6" borderId="0" xfId="0" applyNumberFormat="1" applyFont="1" applyFill="1"/>
    <xf numFmtId="8" fontId="17" fillId="11" borderId="1" xfId="0" applyNumberFormat="1" applyFont="1" applyFill="1" applyBorder="1"/>
    <xf numFmtId="0" fontId="2" fillId="3" borderId="0" xfId="0" applyFont="1" applyFill="1" applyAlignment="1">
      <alignment horizontal="left"/>
    </xf>
    <xf numFmtId="0" fontId="5" fillId="3" borderId="0" xfId="0" applyFont="1" applyFill="1"/>
    <xf numFmtId="0" fontId="2" fillId="3" borderId="0" xfId="0" applyFont="1" applyFill="1" applyAlignment="1">
      <alignment vertical="center" wrapText="1"/>
    </xf>
    <xf numFmtId="0" fontId="4" fillId="2" borderId="1" xfId="0" applyFont="1" applyFill="1" applyBorder="1"/>
    <xf numFmtId="0" fontId="5" fillId="3" borderId="0" xfId="0" applyFont="1" applyFill="1" applyAlignment="1">
      <alignment horizontal="left"/>
    </xf>
    <xf numFmtId="0" fontId="0" fillId="2" borderId="0" xfId="0" applyFill="1"/>
    <xf numFmtId="43" fontId="0" fillId="0" borderId="0" xfId="0" applyNumberFormat="1"/>
    <xf numFmtId="0" fontId="14" fillId="2" borderId="1" xfId="1" applyNumberFormat="1" applyFont="1" applyFill="1" applyBorder="1" applyAlignment="1">
      <alignment wrapText="1"/>
    </xf>
    <xf numFmtId="0" fontId="13" fillId="2" borderId="1" xfId="0" applyFont="1" applyFill="1" applyBorder="1"/>
    <xf numFmtId="0" fontId="14" fillId="2" borderId="1" xfId="1" applyNumberFormat="1" applyFont="1" applyFill="1" applyBorder="1" applyAlignment="1">
      <alignment horizontal="left"/>
    </xf>
    <xf numFmtId="0" fontId="14" fillId="2" borderId="2" xfId="1" applyNumberFormat="1" applyFont="1" applyFill="1" applyBorder="1" applyAlignment="1"/>
    <xf numFmtId="0" fontId="14" fillId="2" borderId="1" xfId="1" applyNumberFormat="1" applyFont="1" applyFill="1" applyBorder="1" applyAlignment="1"/>
    <xf numFmtId="44" fontId="14" fillId="0" borderId="1" xfId="1" applyFont="1" applyBorder="1"/>
    <xf numFmtId="44" fontId="5" fillId="8" borderId="1" xfId="1" applyFont="1" applyFill="1" applyBorder="1" applyAlignment="1">
      <alignment vertical="center"/>
    </xf>
    <xf numFmtId="8" fontId="4" fillId="2" borderId="1" xfId="0" applyNumberFormat="1" applyFont="1" applyFill="1" applyBorder="1"/>
    <xf numFmtId="8" fontId="4" fillId="2" borderId="6" xfId="0" applyNumberFormat="1" applyFont="1" applyFill="1" applyBorder="1"/>
    <xf numFmtId="44" fontId="4" fillId="0" borderId="1" xfId="1" applyFont="1" applyBorder="1"/>
    <xf numFmtId="44" fontId="4" fillId="2" borderId="1" xfId="1" applyFont="1" applyFill="1" applyBorder="1"/>
    <xf numFmtId="0" fontId="14" fillId="3" borderId="19" xfId="0" applyFont="1" applyFill="1" applyBorder="1" applyAlignment="1">
      <alignment horizontal="center" vertical="center" wrapText="1"/>
    </xf>
    <xf numFmtId="44" fontId="22" fillId="0" borderId="1" xfId="1" applyFont="1" applyBorder="1"/>
    <xf numFmtId="0" fontId="13" fillId="2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wrapText="1"/>
    </xf>
    <xf numFmtId="0" fontId="13" fillId="2" borderId="1" xfId="0" applyFont="1" applyFill="1" applyBorder="1" applyAlignment="1">
      <alignment horizontal="center"/>
    </xf>
    <xf numFmtId="165" fontId="13" fillId="2" borderId="1" xfId="0" applyNumberFormat="1" applyFont="1" applyFill="1" applyBorder="1"/>
    <xf numFmtId="165" fontId="13" fillId="2" borderId="1" xfId="1" applyNumberFormat="1" applyFont="1" applyFill="1" applyBorder="1"/>
    <xf numFmtId="44" fontId="13" fillId="2" borderId="6" xfId="1" applyFont="1" applyFill="1" applyBorder="1"/>
    <xf numFmtId="44" fontId="18" fillId="2" borderId="25" xfId="1" applyFont="1" applyFill="1" applyBorder="1"/>
    <xf numFmtId="44" fontId="18" fillId="2" borderId="27" xfId="1" applyFont="1" applyFill="1" applyBorder="1"/>
    <xf numFmtId="0" fontId="4" fillId="0" borderId="1" xfId="0" applyFont="1" applyBorder="1" applyAlignment="1">
      <alignment horizontal="left" vertical="center"/>
    </xf>
    <xf numFmtId="167" fontId="6" fillId="0" borderId="1" xfId="1" applyNumberFormat="1" applyFont="1" applyBorder="1"/>
    <xf numFmtId="0" fontId="0" fillId="3" borderId="14" xfId="0" applyFill="1" applyBorder="1"/>
    <xf numFmtId="0" fontId="0" fillId="3" borderId="12" xfId="0" applyFill="1" applyBorder="1"/>
    <xf numFmtId="0" fontId="0" fillId="3" borderId="15" xfId="0" applyFill="1" applyBorder="1"/>
    <xf numFmtId="0" fontId="0" fillId="3" borderId="16" xfId="0" applyFill="1" applyBorder="1"/>
    <xf numFmtId="8" fontId="0" fillId="3" borderId="0" xfId="0" applyNumberFormat="1" applyFill="1"/>
    <xf numFmtId="44" fontId="0" fillId="3" borderId="17" xfId="1" applyFont="1" applyFill="1" applyBorder="1" applyAlignment="1"/>
    <xf numFmtId="0" fontId="0" fillId="3" borderId="38" xfId="0" applyFill="1" applyBorder="1"/>
    <xf numFmtId="8" fontId="0" fillId="3" borderId="8" xfId="0" applyNumberFormat="1" applyFill="1" applyBorder="1"/>
    <xf numFmtId="0" fontId="0" fillId="3" borderId="8" xfId="0" applyFill="1" applyBorder="1"/>
    <xf numFmtId="44" fontId="0" fillId="3" borderId="26" xfId="1" applyFont="1" applyFill="1" applyBorder="1" applyAlignment="1">
      <alignment vertical="center"/>
    </xf>
    <xf numFmtId="44" fontId="0" fillId="2" borderId="0" xfId="1" applyFont="1" applyFill="1"/>
    <xf numFmtId="44" fontId="0" fillId="3" borderId="0" xfId="1" applyFont="1" applyFill="1" applyBorder="1" applyAlignment="1"/>
    <xf numFmtId="0" fontId="17" fillId="11" borderId="1" xfId="0" applyFont="1" applyFill="1" applyBorder="1"/>
    <xf numFmtId="0" fontId="17" fillId="11" borderId="3" xfId="0" applyFont="1" applyFill="1" applyBorder="1"/>
    <xf numFmtId="0" fontId="4" fillId="0" borderId="7" xfId="0" applyFont="1" applyBorder="1"/>
    <xf numFmtId="0" fontId="4" fillId="4" borderId="1" xfId="0" applyFont="1" applyFill="1" applyBorder="1"/>
    <xf numFmtId="0" fontId="6" fillId="4" borderId="1" xfId="0" applyFont="1" applyFill="1" applyBorder="1" applyAlignment="1">
      <alignment wrapText="1"/>
    </xf>
    <xf numFmtId="0" fontId="6" fillId="4" borderId="3" xfId="0" applyFont="1" applyFill="1" applyBorder="1"/>
    <xf numFmtId="0" fontId="4" fillId="0" borderId="16" xfId="0" applyFont="1" applyBorder="1"/>
    <xf numFmtId="0" fontId="6" fillId="5" borderId="9" xfId="0" applyFont="1" applyFill="1" applyBorder="1"/>
    <xf numFmtId="10" fontId="6" fillId="5" borderId="10" xfId="0" applyNumberFormat="1" applyFont="1" applyFill="1" applyBorder="1"/>
    <xf numFmtId="0" fontId="6" fillId="5" borderId="14" xfId="0" applyFont="1" applyFill="1" applyBorder="1"/>
    <xf numFmtId="0" fontId="6" fillId="5" borderId="12" xfId="0" applyFont="1" applyFill="1" applyBorder="1"/>
    <xf numFmtId="165" fontId="13" fillId="0" borderId="6" xfId="1" applyNumberFormat="1" applyFont="1" applyBorder="1"/>
    <xf numFmtId="167" fontId="0" fillId="0" borderId="0" xfId="0" applyNumberFormat="1"/>
    <xf numFmtId="0" fontId="4" fillId="2" borderId="6" xfId="0" applyFont="1" applyFill="1" applyBorder="1" applyAlignment="1">
      <alignment horizontal="left" vertical="center" wrapText="1"/>
    </xf>
    <xf numFmtId="0" fontId="4" fillId="2" borderId="24" xfId="0" applyFont="1" applyFill="1" applyBorder="1" applyAlignment="1">
      <alignment horizontal="left" vertical="center" wrapText="1"/>
    </xf>
    <xf numFmtId="0" fontId="4" fillId="4" borderId="0" xfId="0" applyFont="1" applyFill="1"/>
    <xf numFmtId="44" fontId="4" fillId="4" borderId="0" xfId="1" applyFont="1" applyFill="1"/>
    <xf numFmtId="0" fontId="6" fillId="8" borderId="1" xfId="0" applyFont="1" applyFill="1" applyBorder="1"/>
    <xf numFmtId="0" fontId="6" fillId="8" borderId="6" xfId="0" applyFont="1" applyFill="1" applyBorder="1"/>
    <xf numFmtId="0" fontId="9" fillId="7" borderId="9" xfId="0" applyFont="1" applyFill="1" applyBorder="1"/>
    <xf numFmtId="44" fontId="9" fillId="7" borderId="11" xfId="0" applyNumberFormat="1" applyFont="1" applyFill="1" applyBorder="1"/>
    <xf numFmtId="44" fontId="4" fillId="0" borderId="0" xfId="0" applyNumberFormat="1" applyFont="1"/>
    <xf numFmtId="0" fontId="9" fillId="6" borderId="0" xfId="0" applyFont="1" applyFill="1"/>
    <xf numFmtId="44" fontId="9" fillId="6" borderId="1" xfId="1" applyFont="1" applyFill="1" applyBorder="1"/>
    <xf numFmtId="167" fontId="42" fillId="2" borderId="13" xfId="3" applyNumberFormat="1" applyFont="1" applyFill="1" applyBorder="1"/>
    <xf numFmtId="0" fontId="9" fillId="0" borderId="1" xfId="0" applyFont="1" applyBorder="1"/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top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44" fontId="2" fillId="4" borderId="0" xfId="1" applyFont="1" applyFill="1"/>
    <xf numFmtId="44" fontId="18" fillId="2" borderId="1" xfId="0" applyNumberFormat="1" applyFont="1" applyFill="1" applyBorder="1"/>
    <xf numFmtId="44" fontId="4" fillId="0" borderId="37" xfId="1" applyFont="1" applyBorder="1"/>
    <xf numFmtId="44" fontId="4" fillId="2" borderId="1" xfId="1" applyFont="1" applyFill="1" applyBorder="1" applyAlignment="1"/>
    <xf numFmtId="44" fontId="0" fillId="3" borderId="8" xfId="1" applyFont="1" applyFill="1" applyBorder="1" applyAlignment="1"/>
    <xf numFmtId="0" fontId="5" fillId="3" borderId="0" xfId="0" applyFont="1" applyFill="1" applyAlignment="1">
      <alignment horizontal="left" vertical="top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15" fillId="3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/>
    </xf>
    <xf numFmtId="0" fontId="41" fillId="8" borderId="6" xfId="0" applyFont="1" applyFill="1" applyBorder="1" applyAlignment="1">
      <alignment horizontal="left" vertical="center" wrapText="1"/>
    </xf>
    <xf numFmtId="0" fontId="41" fillId="8" borderId="24" xfId="0" applyFont="1" applyFill="1" applyBorder="1" applyAlignment="1">
      <alignment horizontal="left" vertical="center" wrapText="1"/>
    </xf>
    <xf numFmtId="0" fontId="41" fillId="8" borderId="28" xfId="0" applyFont="1" applyFill="1" applyBorder="1" applyAlignment="1">
      <alignment horizontal="left" vertical="center" wrapText="1"/>
    </xf>
    <xf numFmtId="0" fontId="16" fillId="9" borderId="0" xfId="0" applyFont="1" applyFill="1" applyAlignment="1">
      <alignment horizontal="center" vertical="center"/>
    </xf>
    <xf numFmtId="0" fontId="2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14" fillId="3" borderId="19" xfId="0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12" fillId="3" borderId="19" xfId="0" applyFont="1" applyFill="1" applyBorder="1" applyAlignment="1">
      <alignment horizontal="center" vertical="center"/>
    </xf>
    <xf numFmtId="0" fontId="12" fillId="3" borderId="20" xfId="0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 wrapText="1"/>
    </xf>
    <xf numFmtId="0" fontId="12" fillId="3" borderId="20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2" fillId="9" borderId="11" xfId="0" applyFont="1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13" fillId="34" borderId="1" xfId="0" applyFont="1" applyFill="1" applyBorder="1"/>
    <xf numFmtId="0" fontId="13" fillId="34" borderId="1" xfId="0" applyFont="1" applyFill="1" applyBorder="1" applyAlignment="1">
      <alignment wrapText="1"/>
    </xf>
    <xf numFmtId="0" fontId="0" fillId="34" borderId="0" xfId="0" applyFill="1"/>
  </cellXfs>
  <cellStyles count="44">
    <cellStyle name="20% - Énfasis1 2" xfId="4" xr:uid="{E13FD6FD-4381-40A3-9669-15D4AFB54255}"/>
    <cellStyle name="20% - Énfasis2 2" xfId="5" xr:uid="{FB1D3088-3BD5-4614-AE97-665886B25C3F}"/>
    <cellStyle name="20% - Énfasis3 2" xfId="6" xr:uid="{2048DE1C-600D-4DF9-B14A-EB161A4BCEE4}"/>
    <cellStyle name="20% - Énfasis4 2" xfId="7" xr:uid="{3681032A-EADB-401C-A2B4-5D06020EBAE5}"/>
    <cellStyle name="20% - Énfasis5 2" xfId="8" xr:uid="{8B574127-04AD-4FF2-B127-9FF990AA5A86}"/>
    <cellStyle name="20% - Énfasis6 2" xfId="9" xr:uid="{FBD85523-B7B4-4D60-A059-34D397324412}"/>
    <cellStyle name="40% - Énfasis1 2" xfId="10" xr:uid="{658F8453-5CE7-4F34-88F2-F3B9080DFD3A}"/>
    <cellStyle name="40% - Énfasis2 2" xfId="11" xr:uid="{3062A6E4-64FE-43FC-BE1C-583AC9BE0B2C}"/>
    <cellStyle name="40% - Énfasis3 2" xfId="12" xr:uid="{CD07ACDD-9725-44C1-8E02-8EA2AE2897AA}"/>
    <cellStyle name="40% - Énfasis4 2" xfId="13" xr:uid="{0D2D23E3-A8C9-4E78-BDA8-02FFEB767B52}"/>
    <cellStyle name="40% - Énfasis5 2" xfId="14" xr:uid="{0326C29A-C787-4894-BBAF-2E8EF6E297E3}"/>
    <cellStyle name="40% - Énfasis6 2" xfId="15" xr:uid="{8626AB17-A835-4825-835C-2281808C7F0E}"/>
    <cellStyle name="60% - Énfasis1 2" xfId="16" xr:uid="{4BC6C3A3-6C19-4E97-BCAE-463134ACFDEA}"/>
    <cellStyle name="60% - Énfasis2 2" xfId="17" xr:uid="{1E1D01E8-8CCD-4B90-91B3-E1432951D070}"/>
    <cellStyle name="60% - Énfasis3 2" xfId="18" xr:uid="{0C250BA9-8CA1-4CCA-B02A-2A7A1A57AE8B}"/>
    <cellStyle name="60% - Énfasis4 2" xfId="19" xr:uid="{D550B637-078A-47F2-9984-EF83F74DA830}"/>
    <cellStyle name="60% - Énfasis5 2" xfId="20" xr:uid="{924A9EE7-38EA-4EE8-B43F-6FCB71B4E03F}"/>
    <cellStyle name="60% - Énfasis6 2" xfId="21" xr:uid="{5EEACD1B-EAE9-47BD-B901-8070AAAC05DE}"/>
    <cellStyle name="Cálculo 2" xfId="22" xr:uid="{5DDC7345-2013-4BA0-B393-D7F50017E39C}"/>
    <cellStyle name="Celda de comprobación 2" xfId="23" xr:uid="{32660078-FEED-4771-A8AC-AFB2B89D5E4D}"/>
    <cellStyle name="Celda vinculada 2" xfId="24" xr:uid="{B998DEB6-DE70-4D45-A62B-FA28EF37E632}"/>
    <cellStyle name="Encabezado 4 2" xfId="25" xr:uid="{B1AB0FED-13EA-453A-9B9C-4CA09E699B8F}"/>
    <cellStyle name="Énfasis1 2" xfId="26" xr:uid="{04F50100-4954-4998-B09B-2CC7AE2484A8}"/>
    <cellStyle name="Énfasis2 2" xfId="27" xr:uid="{5CC356DF-1E7E-442C-8384-E18E84D3E28E}"/>
    <cellStyle name="Énfasis3 2" xfId="28" xr:uid="{F459F5FB-44F3-4616-AFB6-4523314A16A9}"/>
    <cellStyle name="Énfasis4 2" xfId="29" xr:uid="{EC77ACE5-ECD3-4460-9513-E26FD4C82F90}"/>
    <cellStyle name="Énfasis5 2" xfId="30" xr:uid="{C134D331-9BC5-4D1D-8F7C-90096BD0884D}"/>
    <cellStyle name="Énfasis6 2" xfId="31" xr:uid="{D8A672FE-588F-4CC0-AC9E-6E19AECAA293}"/>
    <cellStyle name="Entrada 2" xfId="32" xr:uid="{9FA1A61F-E6A2-461E-AFCD-08B9FCB59845}"/>
    <cellStyle name="Incorrecto 2" xfId="33" xr:uid="{8B71B7CD-8A40-4418-BF71-2C8879BA2658}"/>
    <cellStyle name="Millares 2" xfId="34" xr:uid="{56C01B94-F339-40C9-90E0-200DBE88D06C}"/>
    <cellStyle name="Moneda" xfId="1" builtinId="4"/>
    <cellStyle name="Moneda 2" xfId="2" xr:uid="{00000000-0005-0000-0000-000002000000}"/>
    <cellStyle name="Neutral 2" xfId="35" xr:uid="{A17FD7D2-4FF9-4847-828E-484B55F91644}"/>
    <cellStyle name="Normal" xfId="0" builtinId="0"/>
    <cellStyle name="Normal 2" xfId="3" xr:uid="{10D858FA-29AC-46A1-9D21-691759CBFBB0}"/>
    <cellStyle name="Notas 2" xfId="36" xr:uid="{9B3F8274-62A1-4A83-B3F3-83B0D17525D0}"/>
    <cellStyle name="Salida 2" xfId="37" xr:uid="{29C48C4C-8C3D-49E2-A29D-14BA2A5064B4}"/>
    <cellStyle name="Texto de advertencia 2" xfId="38" xr:uid="{B402005B-EA21-45C4-8F56-9C5997EBB0BE}"/>
    <cellStyle name="Texto explicativo 2" xfId="39" xr:uid="{8AF87B15-0749-48F8-89F6-9680A62EEFCD}"/>
    <cellStyle name="Título 2 2" xfId="41" xr:uid="{5F7D13ED-B241-4AEA-8791-859662F13FF9}"/>
    <cellStyle name="Título 3 2" xfId="42" xr:uid="{0B6C3E3C-D932-4C69-B3F8-8D5AA55A22FC}"/>
    <cellStyle name="Título 4" xfId="40" xr:uid="{671D0A88-9964-49B2-A583-2C0C4CBDE76E}"/>
    <cellStyle name="Total 2" xfId="43" xr:uid="{B518079A-4044-4E88-8FD9-85854A264D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1567815</xdr:colOff>
      <xdr:row>2</xdr:row>
      <xdr:rowOff>38100</xdr:rowOff>
    </xdr:from>
    <xdr:ext cx="2314575" cy="1038225"/>
    <xdr:pic>
      <xdr:nvPicPr>
        <xdr:cNvPr id="2" name="image1.jpg">
          <a:extLst>
            <a:ext uri="{FF2B5EF4-FFF2-40B4-BE49-F238E27FC236}">
              <a16:creationId xmlns:a16="http://schemas.microsoft.com/office/drawing/2014/main" id="{78213757-0993-4C8E-8FA0-24F832C0FCA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72890" y="419100"/>
          <a:ext cx="2314575" cy="103822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8"/>
  <sheetViews>
    <sheetView topLeftCell="A68" workbookViewId="0">
      <selection activeCell="D75" sqref="D75"/>
    </sheetView>
  </sheetViews>
  <sheetFormatPr baseColWidth="10" defaultRowHeight="14.4"/>
  <cols>
    <col min="1" max="1" width="37.5546875" customWidth="1"/>
    <col min="2" max="2" width="24.6640625" customWidth="1"/>
    <col min="3" max="3" width="18.44140625" customWidth="1"/>
    <col min="4" max="4" width="15.6640625" customWidth="1"/>
    <col min="5" max="5" width="14.5546875" bestFit="1" customWidth="1"/>
    <col min="6" max="7" width="13.109375" bestFit="1" customWidth="1"/>
    <col min="10" max="10" width="18" customWidth="1"/>
    <col min="11" max="11" width="18.33203125" customWidth="1"/>
  </cols>
  <sheetData>
    <row r="1" spans="1:4">
      <c r="A1" s="81" t="s">
        <v>58</v>
      </c>
      <c r="B1" s="77"/>
      <c r="C1" s="3"/>
      <c r="D1" s="3"/>
    </row>
    <row r="2" spans="1:4">
      <c r="A2" s="78" t="s">
        <v>95</v>
      </c>
      <c r="B2" s="78"/>
      <c r="C2" s="78"/>
      <c r="D2" s="78"/>
    </row>
    <row r="3" spans="1:4" ht="16.95" customHeight="1">
      <c r="A3" s="78" t="s">
        <v>64</v>
      </c>
      <c r="B3" s="78"/>
      <c r="C3" s="78"/>
      <c r="D3" s="78"/>
    </row>
    <row r="4" spans="1:4" ht="32.25" customHeight="1">
      <c r="A4" s="154" t="s">
        <v>105</v>
      </c>
      <c r="B4" s="154"/>
      <c r="C4" s="79"/>
      <c r="D4" s="79"/>
    </row>
    <row r="5" spans="1:4">
      <c r="A5" s="154"/>
      <c r="B5" s="154"/>
      <c r="C5" s="79"/>
      <c r="D5" s="79"/>
    </row>
    <row r="6" spans="1:4">
      <c r="A6" s="154"/>
      <c r="B6" s="154"/>
      <c r="C6" s="79"/>
      <c r="D6" s="79"/>
    </row>
    <row r="7" spans="1:4" ht="13.5" customHeight="1">
      <c r="A7" s="154"/>
      <c r="B7" s="154"/>
      <c r="C7" s="79"/>
      <c r="D7" s="79"/>
    </row>
    <row r="9" spans="1:4">
      <c r="B9" s="162" t="s">
        <v>118</v>
      </c>
    </row>
    <row r="10" spans="1:4">
      <c r="B10" s="162"/>
    </row>
    <row r="11" spans="1:4">
      <c r="B11" s="162"/>
    </row>
    <row r="13" spans="1:4" hidden="1"/>
    <row r="14" spans="1:4" ht="15" customHeight="1">
      <c r="A14" s="157" t="s">
        <v>98</v>
      </c>
      <c r="B14" s="157"/>
      <c r="C14" s="157"/>
      <c r="D14" s="157"/>
    </row>
    <row r="15" spans="1:4" ht="15" customHeight="1">
      <c r="A15" s="157"/>
      <c r="B15" s="157"/>
      <c r="C15" s="157"/>
      <c r="D15" s="157"/>
    </row>
    <row r="16" spans="1:4" ht="15" customHeight="1">
      <c r="A16" s="157"/>
      <c r="B16" s="157"/>
      <c r="C16" s="157"/>
      <c r="D16" s="157"/>
    </row>
    <row r="17" spans="1:7" ht="53.25" customHeight="1">
      <c r="A17" s="157"/>
      <c r="B17" s="157"/>
      <c r="C17" s="157"/>
      <c r="D17" s="157"/>
    </row>
    <row r="18" spans="1:7" ht="14.25" customHeight="1" thickBot="1"/>
    <row r="19" spans="1:7" ht="15" hidden="1" thickBot="1">
      <c r="A19" s="1"/>
    </row>
    <row r="20" spans="1:7" ht="15" hidden="1" thickBot="1"/>
    <row r="21" spans="1:7">
      <c r="A21" s="6" t="s">
        <v>21</v>
      </c>
      <c r="B21" s="7"/>
      <c r="C21" s="5"/>
      <c r="D21" s="8"/>
    </row>
    <row r="22" spans="1:7">
      <c r="A22" s="15" t="s">
        <v>100</v>
      </c>
      <c r="B22" s="15"/>
      <c r="C22" s="13"/>
      <c r="D22" s="13"/>
      <c r="G22" s="22"/>
    </row>
    <row r="23" spans="1:7" ht="14.25" customHeight="1">
      <c r="A23" s="54" t="s">
        <v>110</v>
      </c>
      <c r="B23" s="54" t="s">
        <v>127</v>
      </c>
      <c r="C23" s="151">
        <v>192000</v>
      </c>
      <c r="D23" s="54"/>
    </row>
    <row r="24" spans="1:7">
      <c r="A24" s="119" t="s">
        <v>48</v>
      </c>
      <c r="B24" s="119"/>
      <c r="C24" s="76">
        <f>SUM(C23:C23)</f>
        <v>192000</v>
      </c>
      <c r="D24" s="55"/>
    </row>
    <row r="25" spans="1:7" ht="0.6" customHeight="1">
      <c r="A25" s="54"/>
      <c r="B25" s="54"/>
      <c r="C25" s="91"/>
      <c r="D25" s="80"/>
    </row>
    <row r="26" spans="1:7" hidden="1">
      <c r="A26" s="54"/>
      <c r="B26" s="54"/>
      <c r="C26" s="91"/>
      <c r="D26" s="80"/>
    </row>
    <row r="27" spans="1:7" hidden="1">
      <c r="A27" s="54"/>
      <c r="B27" s="54"/>
      <c r="C27" s="91"/>
      <c r="D27" s="80"/>
    </row>
    <row r="28" spans="1:7" hidden="1">
      <c r="A28" s="54"/>
      <c r="B28" s="54"/>
      <c r="C28" s="92"/>
      <c r="D28" s="80"/>
    </row>
    <row r="29" spans="1:7" hidden="1">
      <c r="A29" s="119" t="s">
        <v>48</v>
      </c>
      <c r="B29" s="120"/>
      <c r="C29" s="28">
        <f>SUM(C25:C28)</f>
        <v>0</v>
      </c>
      <c r="D29" s="55"/>
    </row>
    <row r="30" spans="1:7" ht="14.25" customHeight="1" thickBot="1">
      <c r="A30" s="14" t="s">
        <v>0</v>
      </c>
      <c r="B30" s="14"/>
      <c r="C30" s="10"/>
      <c r="D30" s="56">
        <f>C24+C29</f>
        <v>192000</v>
      </c>
      <c r="E30" s="9"/>
      <c r="F30" s="9"/>
    </row>
    <row r="31" spans="1:7">
      <c r="A31" s="13" t="s">
        <v>33</v>
      </c>
      <c r="B31" s="13"/>
      <c r="C31" s="16"/>
      <c r="D31" s="57"/>
      <c r="F31" s="9"/>
    </row>
    <row r="32" spans="1:7" ht="22.5" customHeight="1">
      <c r="A32" s="105" t="s">
        <v>131</v>
      </c>
      <c r="B32" s="121"/>
      <c r="C32" s="91">
        <v>0</v>
      </c>
      <c r="D32" s="89"/>
      <c r="F32" s="22"/>
      <c r="G32" s="9"/>
    </row>
    <row r="33" spans="1:6" ht="15" thickBot="1">
      <c r="A33" s="14" t="s">
        <v>29</v>
      </c>
      <c r="B33" s="14"/>
      <c r="C33" s="19"/>
      <c r="D33" s="56">
        <f>SUM(C32:C32)</f>
        <v>0</v>
      </c>
    </row>
    <row r="34" spans="1:6" ht="16.5" customHeight="1">
      <c r="A34" s="13" t="s">
        <v>45</v>
      </c>
      <c r="B34" s="14"/>
      <c r="C34" s="17"/>
      <c r="D34" s="33"/>
    </row>
    <row r="35" spans="1:6" ht="22.5" customHeight="1">
      <c r="A35" s="155" t="s">
        <v>65</v>
      </c>
      <c r="B35" s="156"/>
      <c r="C35" s="152">
        <v>168183</v>
      </c>
      <c r="D35" s="88" t="s">
        <v>125</v>
      </c>
    </row>
    <row r="36" spans="1:6" ht="15" thickBot="1">
      <c r="A36" s="14" t="s">
        <v>1</v>
      </c>
      <c r="B36" s="14"/>
      <c r="C36" s="19"/>
      <c r="D36" s="58">
        <f>SUM(C35:C35)</f>
        <v>168183</v>
      </c>
    </row>
    <row r="37" spans="1:6" hidden="1">
      <c r="A37" s="13" t="s">
        <v>30</v>
      </c>
      <c r="B37" s="122"/>
      <c r="C37" s="20"/>
      <c r="D37" s="59"/>
    </row>
    <row r="38" spans="1:6" hidden="1">
      <c r="A38" s="54" t="s">
        <v>59</v>
      </c>
      <c r="B38" s="54" t="s">
        <v>106</v>
      </c>
      <c r="C38" s="93"/>
      <c r="D38" s="88"/>
      <c r="F38" s="82"/>
    </row>
    <row r="39" spans="1:6" hidden="1">
      <c r="A39" s="54" t="s">
        <v>60</v>
      </c>
      <c r="B39" s="54" t="s">
        <v>106</v>
      </c>
      <c r="C39" s="94"/>
      <c r="D39" s="88"/>
    </row>
    <row r="40" spans="1:6" hidden="1">
      <c r="A40" s="54" t="s">
        <v>61</v>
      </c>
      <c r="B40" s="54" t="s">
        <v>106</v>
      </c>
      <c r="C40" s="94"/>
      <c r="D40" s="88"/>
    </row>
    <row r="41" spans="1:6" hidden="1">
      <c r="A41" s="54" t="s">
        <v>62</v>
      </c>
      <c r="B41" s="54" t="s">
        <v>106</v>
      </c>
      <c r="C41" s="94"/>
      <c r="D41" s="87"/>
    </row>
    <row r="42" spans="1:6" ht="15" hidden="1" customHeight="1" thickBot="1">
      <c r="A42" s="14" t="s">
        <v>2</v>
      </c>
      <c r="B42" s="122"/>
      <c r="C42" s="21"/>
      <c r="D42" s="58">
        <f>SUM(C38:C41)</f>
        <v>0</v>
      </c>
    </row>
    <row r="43" spans="1:6">
      <c r="A43" s="13" t="s">
        <v>32</v>
      </c>
      <c r="B43" s="122"/>
      <c r="C43" s="20"/>
      <c r="D43" s="59"/>
    </row>
    <row r="44" spans="1:6" ht="14.25" customHeight="1">
      <c r="A44" s="68" t="s">
        <v>96</v>
      </c>
      <c r="B44" s="54"/>
      <c r="C44" s="94">
        <v>61000.42</v>
      </c>
      <c r="D44" s="86" t="s">
        <v>122</v>
      </c>
    </row>
    <row r="45" spans="1:6" ht="14.25" customHeight="1">
      <c r="A45" s="54" t="s">
        <v>97</v>
      </c>
      <c r="B45" s="54"/>
      <c r="C45" s="94">
        <v>396294.49</v>
      </c>
      <c r="D45" s="86" t="s">
        <v>119</v>
      </c>
      <c r="F45" t="s">
        <v>133</v>
      </c>
    </row>
    <row r="46" spans="1:6" ht="15" thickBot="1">
      <c r="A46" s="14" t="s">
        <v>3</v>
      </c>
      <c r="B46" s="14"/>
      <c r="C46" s="19"/>
      <c r="D46" s="58">
        <f>SUM(C44:C45)</f>
        <v>457294.91</v>
      </c>
    </row>
    <row r="47" spans="1:6" ht="15" thickBot="1">
      <c r="A47" s="13" t="s">
        <v>31</v>
      </c>
      <c r="B47" s="14"/>
      <c r="C47" s="19"/>
      <c r="D47" s="61"/>
    </row>
    <row r="48" spans="1:6" ht="19.95" customHeight="1">
      <c r="A48" s="155" t="s">
        <v>113</v>
      </c>
      <c r="B48" s="156"/>
      <c r="C48" s="94">
        <f>105000+3547.5</f>
        <v>108547.5</v>
      </c>
      <c r="D48" s="84" t="s">
        <v>122</v>
      </c>
    </row>
    <row r="49" spans="1:6" ht="30" customHeight="1">
      <c r="A49" s="155" t="s">
        <v>123</v>
      </c>
      <c r="B49" s="156"/>
      <c r="C49" s="94">
        <v>90000</v>
      </c>
      <c r="D49" s="84" t="s">
        <v>122</v>
      </c>
    </row>
    <row r="50" spans="1:6" ht="30" customHeight="1">
      <c r="A50" s="155" t="s">
        <v>130</v>
      </c>
      <c r="B50" s="156"/>
      <c r="C50" s="94">
        <v>387000</v>
      </c>
      <c r="D50" s="84" t="s">
        <v>122</v>
      </c>
    </row>
    <row r="51" spans="1:6" ht="19.95" customHeight="1">
      <c r="A51" s="147" t="s">
        <v>124</v>
      </c>
      <c r="B51" s="148"/>
      <c r="C51" s="94">
        <v>20000</v>
      </c>
      <c r="D51" s="84"/>
    </row>
    <row r="52" spans="1:6" ht="19.95" customHeight="1">
      <c r="A52" s="147" t="s">
        <v>129</v>
      </c>
      <c r="B52" s="148"/>
      <c r="C52" s="94">
        <v>60000</v>
      </c>
      <c r="D52" s="84"/>
    </row>
    <row r="53" spans="1:6" ht="19.95" customHeight="1">
      <c r="A53" s="147" t="s">
        <v>120</v>
      </c>
      <c r="B53" s="148"/>
      <c r="C53" s="94">
        <v>43200</v>
      </c>
      <c r="D53" s="84" t="s">
        <v>121</v>
      </c>
    </row>
    <row r="54" spans="1:6" ht="19.95" customHeight="1">
      <c r="A54" s="147" t="s">
        <v>120</v>
      </c>
      <c r="B54" s="148"/>
      <c r="C54" s="94">
        <v>36900</v>
      </c>
      <c r="D54" s="84" t="s">
        <v>122</v>
      </c>
    </row>
    <row r="55" spans="1:6" ht="15" thickBot="1">
      <c r="A55" s="14" t="s">
        <v>11</v>
      </c>
      <c r="B55" s="13"/>
      <c r="C55" s="13"/>
      <c r="D55" s="63">
        <f>SUM(C48:C54)</f>
        <v>745647.5</v>
      </c>
    </row>
    <row r="56" spans="1:6" ht="15" thickBot="1">
      <c r="A56" s="13" t="s">
        <v>24</v>
      </c>
      <c r="B56" s="123"/>
      <c r="C56" s="10"/>
      <c r="D56" s="61"/>
    </row>
    <row r="57" spans="1:6">
      <c r="A57" s="54" t="s">
        <v>66</v>
      </c>
      <c r="B57" s="54"/>
      <c r="C57" s="96"/>
      <c r="D57" s="64"/>
    </row>
    <row r="58" spans="1:6">
      <c r="A58" s="54" t="s">
        <v>104</v>
      </c>
      <c r="B58" s="54"/>
      <c r="C58" s="94">
        <v>25055.13</v>
      </c>
      <c r="D58" s="62"/>
    </row>
    <row r="59" spans="1:6" ht="15" thickBot="1">
      <c r="A59" s="124" t="s">
        <v>29</v>
      </c>
      <c r="B59" s="124"/>
      <c r="C59" s="65"/>
      <c r="D59" s="58">
        <f>SUM(C57:C58)</f>
        <v>25055.13</v>
      </c>
    </row>
    <row r="60" spans="1:6" ht="15" thickBot="1">
      <c r="A60" s="54"/>
      <c r="B60" s="54"/>
      <c r="C60" s="54"/>
      <c r="D60" s="66"/>
    </row>
    <row r="61" spans="1:6" ht="20.25" customHeight="1" thickBot="1">
      <c r="A61" s="159" t="s">
        <v>117</v>
      </c>
      <c r="B61" s="160"/>
      <c r="C61" s="161"/>
      <c r="D61" s="67">
        <f>1955000-1588180.54</f>
        <v>366819.45999999996</v>
      </c>
    </row>
    <row r="62" spans="1:6" ht="15" thickBot="1">
      <c r="A62" s="125"/>
      <c r="B62" s="68"/>
      <c r="C62" s="68"/>
      <c r="D62" s="69"/>
      <c r="E62" s="24"/>
    </row>
    <row r="63" spans="1:6" ht="15" thickBot="1">
      <c r="A63" s="126" t="s">
        <v>25</v>
      </c>
      <c r="B63" s="127"/>
      <c r="C63" s="70"/>
      <c r="D63" s="71">
        <f>(SUM(D25:D61))</f>
        <v>1954999.9999999998</v>
      </c>
      <c r="E63" s="24"/>
      <c r="F63" s="24"/>
    </row>
    <row r="64" spans="1:6">
      <c r="A64" s="68"/>
      <c r="B64" s="68"/>
      <c r="C64" s="68"/>
      <c r="D64" s="68"/>
      <c r="F64" s="83"/>
    </row>
    <row r="65" spans="1:4" ht="15" thickBot="1">
      <c r="A65" s="68"/>
      <c r="B65" s="68"/>
      <c r="C65" s="68"/>
      <c r="D65" s="68"/>
    </row>
    <row r="66" spans="1:4">
      <c r="A66" s="128" t="s">
        <v>34</v>
      </c>
      <c r="B66" s="129"/>
      <c r="C66" s="72"/>
      <c r="D66" s="73"/>
    </row>
    <row r="67" spans="1:4" ht="123.75" customHeight="1">
      <c r="A67" s="155" t="s">
        <v>128</v>
      </c>
      <c r="B67" s="156"/>
      <c r="C67" s="94">
        <v>460000</v>
      </c>
      <c r="D67" s="84"/>
    </row>
    <row r="68" spans="1:4">
      <c r="A68" s="155" t="s">
        <v>126</v>
      </c>
      <c r="B68" s="156"/>
      <c r="C68" s="94">
        <v>105000</v>
      </c>
      <c r="D68" s="60"/>
    </row>
    <row r="69" spans="1:4">
      <c r="A69" s="132"/>
      <c r="B69" s="133"/>
      <c r="C69" s="94"/>
      <c r="D69" s="60"/>
    </row>
    <row r="70" spans="1:4">
      <c r="A70" s="124" t="s">
        <v>29</v>
      </c>
      <c r="B70" s="134"/>
      <c r="C70" s="135"/>
      <c r="D70" s="149">
        <f>SUM(C67:C69)</f>
        <v>565000</v>
      </c>
    </row>
    <row r="71" spans="1:4" ht="15" customHeight="1">
      <c r="A71" s="68"/>
      <c r="B71" s="68"/>
      <c r="C71" s="68"/>
    </row>
    <row r="72" spans="1:4" hidden="1">
      <c r="A72" s="68"/>
      <c r="B72" s="68"/>
      <c r="C72" s="68"/>
    </row>
    <row r="73" spans="1:4">
      <c r="A73" s="136" t="s">
        <v>35</v>
      </c>
      <c r="B73" s="136"/>
      <c r="C73" s="137"/>
      <c r="D73" s="90">
        <v>0</v>
      </c>
    </row>
    <row r="74" spans="1:4" ht="15" thickBot="1">
      <c r="A74" s="68"/>
      <c r="B74" s="68"/>
      <c r="C74" s="68"/>
    </row>
    <row r="75" spans="1:4" ht="15" thickBot="1">
      <c r="A75" s="126" t="s">
        <v>36</v>
      </c>
      <c r="B75" s="127"/>
      <c r="C75" s="70"/>
      <c r="D75" s="34">
        <f>D70+D73</f>
        <v>565000</v>
      </c>
    </row>
    <row r="76" spans="1:4" ht="15" thickBot="1">
      <c r="A76" s="68"/>
      <c r="B76" s="68"/>
      <c r="C76" s="68"/>
    </row>
    <row r="77" spans="1:4" ht="15" thickBot="1">
      <c r="A77" s="138" t="s">
        <v>26</v>
      </c>
      <c r="B77" s="139">
        <f>D63</f>
        <v>1954999.9999999998</v>
      </c>
      <c r="C77" s="140"/>
    </row>
    <row r="78" spans="1:4" ht="15" thickBot="1">
      <c r="A78" s="138" t="s">
        <v>27</v>
      </c>
      <c r="B78" s="139">
        <f>D63-D61</f>
        <v>1588180.5399999998</v>
      </c>
      <c r="C78" s="68"/>
    </row>
    <row r="79" spans="1:4" ht="15" thickBot="1">
      <c r="A79" s="138" t="s">
        <v>37</v>
      </c>
      <c r="B79" s="139">
        <f>D75-D73</f>
        <v>565000</v>
      </c>
      <c r="C79" s="68"/>
    </row>
    <row r="80" spans="1:4" ht="15" thickBot="1">
      <c r="A80" s="138" t="s">
        <v>52</v>
      </c>
      <c r="B80" s="139">
        <f>D75</f>
        <v>565000</v>
      </c>
      <c r="C80" s="68"/>
    </row>
    <row r="81" spans="1:4">
      <c r="A81" s="68"/>
      <c r="B81" s="68"/>
      <c r="C81" s="68"/>
      <c r="D81" t="s">
        <v>132</v>
      </c>
    </row>
    <row r="82" spans="1:4">
      <c r="A82" s="68"/>
      <c r="B82" s="68"/>
      <c r="C82" s="68"/>
    </row>
    <row r="83" spans="1:4">
      <c r="A83" s="68"/>
      <c r="B83" s="68"/>
      <c r="C83" s="68"/>
    </row>
    <row r="84" spans="1:4" ht="15" thickBot="1">
      <c r="A84" s="141" t="s">
        <v>47</v>
      </c>
      <c r="B84" s="142"/>
      <c r="C84" s="68"/>
    </row>
    <row r="85" spans="1:4" ht="25.5" customHeight="1" thickBot="1">
      <c r="A85" s="12" t="s">
        <v>28</v>
      </c>
      <c r="B85" s="143">
        <v>464169.03999999957</v>
      </c>
      <c r="C85" s="68"/>
    </row>
    <row r="86" spans="1:4" ht="14.25" customHeight="1">
      <c r="A86" s="144" t="s">
        <v>55</v>
      </c>
      <c r="B86" s="62">
        <f>PRORRATEO!H24</f>
        <v>2003283.8299999996</v>
      </c>
      <c r="C86" s="68"/>
    </row>
    <row r="87" spans="1:4" ht="14.25" customHeight="1">
      <c r="A87" s="144" t="s">
        <v>54</v>
      </c>
      <c r="B87" s="62">
        <f>B97</f>
        <v>0</v>
      </c>
      <c r="C87" s="68"/>
    </row>
    <row r="88" spans="1:4" ht="14.25" customHeight="1">
      <c r="A88" s="144" t="s">
        <v>134</v>
      </c>
      <c r="B88" s="62">
        <v>-60525</v>
      </c>
      <c r="C88" s="68"/>
    </row>
    <row r="89" spans="1:4">
      <c r="A89" s="146" t="s">
        <v>38</v>
      </c>
      <c r="B89" s="62">
        <f>-B78</f>
        <v>-1588180.5399999998</v>
      </c>
      <c r="C89" s="68"/>
    </row>
    <row r="90" spans="1:4">
      <c r="A90" s="145" t="s">
        <v>39</v>
      </c>
      <c r="B90" s="62">
        <f>-(B79)</f>
        <v>-565000</v>
      </c>
      <c r="C90" s="68"/>
    </row>
    <row r="91" spans="1:4">
      <c r="A91" s="11" t="s">
        <v>11</v>
      </c>
      <c r="B91" s="106">
        <f>SUM(B85:B90)</f>
        <v>253747.32999999938</v>
      </c>
      <c r="C91" s="131"/>
    </row>
    <row r="92" spans="1:4" ht="34.5" customHeight="1">
      <c r="B92" s="22"/>
      <c r="C92" s="24"/>
      <c r="D92" s="131"/>
    </row>
    <row r="93" spans="1:4">
      <c r="A93" s="158" t="s">
        <v>46</v>
      </c>
      <c r="B93" s="158"/>
    </row>
    <row r="94" spans="1:4" ht="27.75" customHeight="1">
      <c r="A94" s="158"/>
      <c r="B94" s="158"/>
    </row>
    <row r="95" spans="1:4" ht="32.25" customHeight="1">
      <c r="A95" s="74"/>
      <c r="B95" s="18"/>
    </row>
    <row r="96" spans="1:4" ht="32.25" customHeight="1">
      <c r="A96" s="74"/>
      <c r="B96" s="18"/>
    </row>
    <row r="97" spans="1:12">
      <c r="A97" s="25" t="s">
        <v>11</v>
      </c>
      <c r="B97" s="75">
        <f>SUM(B95:B96)</f>
        <v>0</v>
      </c>
    </row>
    <row r="98" spans="1:12">
      <c r="L98" s="4"/>
    </row>
  </sheetData>
  <mergeCells count="11">
    <mergeCell ref="A4:B7"/>
    <mergeCell ref="A35:B35"/>
    <mergeCell ref="A14:D17"/>
    <mergeCell ref="A93:B94"/>
    <mergeCell ref="A68:B68"/>
    <mergeCell ref="A61:C61"/>
    <mergeCell ref="B9:B11"/>
    <mergeCell ref="A50:B50"/>
    <mergeCell ref="A48:B48"/>
    <mergeCell ref="A49:B49"/>
    <mergeCell ref="A67:B67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2"/>
  <sheetViews>
    <sheetView topLeftCell="B1" zoomScaleNormal="100" workbookViewId="0">
      <selection activeCell="B8" sqref="B8:E8"/>
    </sheetView>
  </sheetViews>
  <sheetFormatPr baseColWidth="10" defaultRowHeight="14.4"/>
  <cols>
    <col min="1" max="1" width="5" hidden="1" customWidth="1"/>
    <col min="2" max="2" width="5.5546875" customWidth="1"/>
    <col min="3" max="3" width="4.33203125" customWidth="1"/>
    <col min="4" max="4" width="18.44140625" customWidth="1"/>
    <col min="5" max="5" width="11.5546875" customWidth="1"/>
    <col min="6" max="6" width="5.109375" customWidth="1"/>
    <col min="7" max="7" width="14.109375" customWidth="1"/>
    <col min="8" max="8" width="14" customWidth="1"/>
    <col min="9" max="9" width="7.6640625" hidden="1" customWidth="1"/>
    <col min="10" max="10" width="10.5546875" customWidth="1"/>
    <col min="11" max="11" width="11.109375" customWidth="1"/>
    <col min="12" max="12" width="14.44140625" customWidth="1"/>
    <col min="13" max="13" width="12.44140625" customWidth="1"/>
    <col min="14" max="14" width="11.5546875" bestFit="1" customWidth="1"/>
    <col min="15" max="15" width="15.33203125" customWidth="1"/>
    <col min="16" max="16" width="14.109375" customWidth="1"/>
    <col min="17" max="17" width="7.44140625" bestFit="1" customWidth="1"/>
    <col min="18" max="18" width="12" bestFit="1" customWidth="1"/>
    <col min="19" max="20" width="14.5546875" bestFit="1" customWidth="1"/>
    <col min="21" max="21" width="13" bestFit="1" customWidth="1"/>
  </cols>
  <sheetData>
    <row r="1" spans="1:21" ht="12.9" customHeight="1">
      <c r="A1" s="107"/>
      <c r="B1" s="163" t="str">
        <f>RESUMEN!A4</f>
        <v xml:space="preserve">Titular: CONSORCIO DE PROPIETARIOS CORONEL BELTRAN 34
Banco Santander: Cta Corriente en Pesos 533-030591/4
Cuit del consorcio: 30-71897608-8
CBU: 0720533020000003059140 - Alias: SALMON.ARMADA.FOCO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C1" s="163"/>
      <c r="D1" s="163"/>
      <c r="E1" s="163"/>
      <c r="F1" s="163"/>
      <c r="G1" s="163"/>
      <c r="H1" s="163"/>
      <c r="I1" s="163"/>
      <c r="J1" s="163"/>
      <c r="K1" s="163"/>
      <c r="L1" s="108"/>
      <c r="M1" s="108"/>
      <c r="N1" s="108"/>
      <c r="O1" s="108"/>
      <c r="P1" s="109"/>
    </row>
    <row r="2" spans="1:21" ht="33.75" customHeight="1">
      <c r="A2" s="110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11"/>
      <c r="M2" s="111" t="s">
        <v>4</v>
      </c>
      <c r="N2" s="3"/>
      <c r="O2" s="118">
        <v>1955000</v>
      </c>
      <c r="P2" s="112"/>
      <c r="Q2" s="9"/>
      <c r="R2">
        <v>1406361.51</v>
      </c>
    </row>
    <row r="3" spans="1:21" ht="46.5" customHeight="1" thickBot="1">
      <c r="A3" s="113"/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14"/>
      <c r="M3" s="114" t="s">
        <v>56</v>
      </c>
      <c r="N3" s="115"/>
      <c r="O3" s="153">
        <v>565000</v>
      </c>
      <c r="P3" s="116"/>
    </row>
    <row r="4" spans="1:21" ht="30.6" customHeight="1" thickBot="1">
      <c r="A4" s="3"/>
      <c r="B4" s="176" t="s">
        <v>99</v>
      </c>
      <c r="C4" s="177"/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177"/>
      <c r="O4" s="177"/>
      <c r="P4" s="178"/>
    </row>
    <row r="5" spans="1:21">
      <c r="A5" s="179" t="s">
        <v>5</v>
      </c>
      <c r="B5" s="181" t="s">
        <v>6</v>
      </c>
      <c r="C5" s="168" t="s">
        <v>7</v>
      </c>
      <c r="D5" s="168" t="s">
        <v>8</v>
      </c>
      <c r="E5" s="168" t="s">
        <v>42</v>
      </c>
      <c r="F5" s="168" t="s">
        <v>23</v>
      </c>
      <c r="G5" s="168" t="s">
        <v>53</v>
      </c>
      <c r="H5" s="168" t="s">
        <v>9</v>
      </c>
      <c r="I5" s="168" t="s">
        <v>43</v>
      </c>
      <c r="J5" s="172" t="s">
        <v>44</v>
      </c>
      <c r="K5" s="170" t="s">
        <v>41</v>
      </c>
      <c r="L5" s="170" t="s">
        <v>10</v>
      </c>
      <c r="M5" s="170" t="s">
        <v>40</v>
      </c>
      <c r="N5" s="174" t="s">
        <v>51</v>
      </c>
      <c r="O5" s="95" t="s">
        <v>50</v>
      </c>
      <c r="P5" s="166" t="s">
        <v>49</v>
      </c>
      <c r="S5" s="24"/>
      <c r="T5" s="22"/>
    </row>
    <row r="6" spans="1:21" ht="15.75" customHeight="1">
      <c r="A6" s="180"/>
      <c r="B6" s="181"/>
      <c r="C6" s="168"/>
      <c r="D6" s="168"/>
      <c r="E6" s="169"/>
      <c r="F6" s="168"/>
      <c r="G6" s="168"/>
      <c r="H6" s="168"/>
      <c r="I6" s="169"/>
      <c r="J6" s="173"/>
      <c r="K6" s="171"/>
      <c r="L6" s="170"/>
      <c r="M6" s="171"/>
      <c r="N6" s="175"/>
      <c r="O6" s="29" t="str">
        <f>RESUMEN!B9</f>
        <v>VTO 18/06</v>
      </c>
      <c r="P6" s="166"/>
      <c r="S6" s="22">
        <v>65160</v>
      </c>
      <c r="T6" s="22">
        <v>157470</v>
      </c>
      <c r="U6" s="24">
        <f>T6+S6</f>
        <v>222630</v>
      </c>
    </row>
    <row r="7" spans="1:21" ht="17.100000000000001" customHeight="1">
      <c r="A7" s="2" t="s">
        <v>12</v>
      </c>
      <c r="B7" s="31">
        <v>1</v>
      </c>
      <c r="C7" s="31" t="s">
        <v>68</v>
      </c>
      <c r="D7" s="31" t="s">
        <v>84</v>
      </c>
      <c r="E7" s="31"/>
      <c r="F7" s="35">
        <v>10.86</v>
      </c>
      <c r="G7" s="36">
        <v>4174204.01</v>
      </c>
      <c r="H7" s="37"/>
      <c r="I7" s="38"/>
      <c r="J7" s="39">
        <f>G7-H7</f>
        <v>4174204.01</v>
      </c>
      <c r="K7" s="39">
        <f>IF(J7&gt;0,J7*3%,0)</f>
        <v>125226.1203</v>
      </c>
      <c r="L7" s="40">
        <f>O$3*F7%</f>
        <v>61358.999999999993</v>
      </c>
      <c r="M7" s="40">
        <f>O$2*F7%</f>
        <v>212312.99999999997</v>
      </c>
      <c r="N7" s="41">
        <v>0</v>
      </c>
      <c r="O7" s="42">
        <f>ROUND(SUM(J7:N7),0) + Q7</f>
        <v>4573102.01</v>
      </c>
      <c r="P7" s="43">
        <f t="shared" ref="P7:P23" si="0">ROUND(O7*3%,0) + O7</f>
        <v>4710295.01</v>
      </c>
      <c r="Q7" s="24">
        <v>0.01</v>
      </c>
      <c r="S7" s="22">
        <v>66960</v>
      </c>
      <c r="T7" s="22">
        <v>161820</v>
      </c>
      <c r="U7" s="24">
        <f t="shared" ref="U7:U21" si="1">T7+S7</f>
        <v>228780</v>
      </c>
    </row>
    <row r="8" spans="1:21" ht="17.100000000000001" customHeight="1">
      <c r="A8" s="2" t="s">
        <v>13</v>
      </c>
      <c r="B8" s="182">
        <v>2</v>
      </c>
      <c r="C8" s="182" t="s">
        <v>69</v>
      </c>
      <c r="D8" s="182" t="s">
        <v>85</v>
      </c>
      <c r="E8" s="183"/>
      <c r="F8" s="35">
        <v>11.16</v>
      </c>
      <c r="G8" s="36">
        <v>440112.02</v>
      </c>
      <c r="H8" s="37">
        <v>233588.14</v>
      </c>
      <c r="I8" s="38"/>
      <c r="J8" s="39">
        <f t="shared" ref="J8:J22" si="2">G8-H8</f>
        <v>206523.88</v>
      </c>
      <c r="K8" s="39">
        <f t="shared" ref="K8:K22" si="3">IF(J8&gt;0,J8*3%,0)</f>
        <v>6195.7164000000002</v>
      </c>
      <c r="L8" s="40">
        <f t="shared" ref="L8:L23" si="4">O$3*F8%</f>
        <v>63054</v>
      </c>
      <c r="M8" s="40">
        <f t="shared" ref="M8:M23" si="5">O$2*F8%</f>
        <v>218178</v>
      </c>
      <c r="N8" s="41">
        <v>0</v>
      </c>
      <c r="O8" s="42">
        <f>ROUND(SUM(J8:N8),0) + Q8</f>
        <v>493952.02</v>
      </c>
      <c r="P8" s="43">
        <f t="shared" si="0"/>
        <v>508771.02</v>
      </c>
      <c r="Q8" s="24">
        <f>Q7+0.01</f>
        <v>0.02</v>
      </c>
      <c r="R8" s="24"/>
      <c r="S8" s="22">
        <v>41700</v>
      </c>
      <c r="T8" s="22">
        <v>100775</v>
      </c>
      <c r="U8" s="24">
        <f t="shared" si="1"/>
        <v>142475</v>
      </c>
    </row>
    <row r="9" spans="1:21" ht="17.100000000000001" customHeight="1">
      <c r="A9" s="2" t="s">
        <v>13</v>
      </c>
      <c r="B9" s="85">
        <v>4</v>
      </c>
      <c r="C9" s="85" t="s">
        <v>70</v>
      </c>
      <c r="D9" s="97" t="s">
        <v>86</v>
      </c>
      <c r="E9" s="85" t="s">
        <v>108</v>
      </c>
      <c r="F9" s="99">
        <v>6.95</v>
      </c>
      <c r="G9" s="37">
        <v>316414.03000000003</v>
      </c>
      <c r="H9" s="37">
        <v>0</v>
      </c>
      <c r="I9" s="38"/>
      <c r="J9" s="100">
        <f t="shared" si="2"/>
        <v>316414.03000000003</v>
      </c>
      <c r="K9" s="39">
        <f t="shared" si="3"/>
        <v>9492.420900000001</v>
      </c>
      <c r="L9" s="101">
        <f t="shared" si="4"/>
        <v>39267.5</v>
      </c>
      <c r="M9" s="101">
        <f t="shared" si="5"/>
        <v>135872.5</v>
      </c>
      <c r="N9" s="102">
        <v>0</v>
      </c>
      <c r="O9" s="103">
        <f t="shared" ref="O9:O23" si="6">ROUND(SUM(J9:N9),0) + Q9</f>
        <v>501046.03</v>
      </c>
      <c r="P9" s="104">
        <f t="shared" si="0"/>
        <v>516077.03</v>
      </c>
      <c r="Q9" s="24">
        <f t="shared" ref="Q9:Q22" si="7">Q8+0.01</f>
        <v>0.03</v>
      </c>
      <c r="S9" s="22">
        <v>44220</v>
      </c>
      <c r="T9" s="22">
        <v>106865</v>
      </c>
      <c r="U9" s="24">
        <f t="shared" si="1"/>
        <v>151085</v>
      </c>
    </row>
    <row r="10" spans="1:21" ht="17.100000000000001" customHeight="1">
      <c r="A10" s="2" t="s">
        <v>14</v>
      </c>
      <c r="B10" s="31">
        <v>3</v>
      </c>
      <c r="C10" s="31" t="s">
        <v>71</v>
      </c>
      <c r="D10" s="31" t="s">
        <v>87</v>
      </c>
      <c r="E10" s="31" t="s">
        <v>115</v>
      </c>
      <c r="F10" s="35">
        <v>7.37</v>
      </c>
      <c r="G10" s="36">
        <v>145871.04000000001</v>
      </c>
      <c r="H10" s="37">
        <f>-H20+158000</f>
        <v>147833.85999999999</v>
      </c>
      <c r="I10" s="38"/>
      <c r="J10" s="39">
        <f t="shared" si="2"/>
        <v>-1962.8199999999779</v>
      </c>
      <c r="K10" s="39">
        <f t="shared" si="3"/>
        <v>0</v>
      </c>
      <c r="L10" s="40">
        <f t="shared" si="4"/>
        <v>41640.5</v>
      </c>
      <c r="M10" s="40">
        <f t="shared" si="5"/>
        <v>144083.5</v>
      </c>
      <c r="N10" s="41">
        <v>0</v>
      </c>
      <c r="O10" s="42">
        <f t="shared" si="6"/>
        <v>183761.04</v>
      </c>
      <c r="P10" s="43">
        <f t="shared" si="0"/>
        <v>189274.04</v>
      </c>
      <c r="Q10" s="24">
        <f t="shared" si="7"/>
        <v>0.04</v>
      </c>
      <c r="S10" s="22">
        <v>64080</v>
      </c>
      <c r="T10" s="22">
        <v>154860</v>
      </c>
      <c r="U10" s="24">
        <f t="shared" si="1"/>
        <v>218940</v>
      </c>
    </row>
    <row r="11" spans="1:21" ht="17.100000000000001" customHeight="1">
      <c r="A11" s="2" t="s">
        <v>14</v>
      </c>
      <c r="B11" s="31">
        <v>5</v>
      </c>
      <c r="C11" s="31" t="s">
        <v>72</v>
      </c>
      <c r="D11" s="31" t="s">
        <v>88</v>
      </c>
      <c r="E11" s="32" t="s">
        <v>111</v>
      </c>
      <c r="F11" s="35">
        <v>10.68</v>
      </c>
      <c r="G11" s="36">
        <v>215058.05</v>
      </c>
      <c r="H11" s="37">
        <f>G11</f>
        <v>215058.05</v>
      </c>
      <c r="I11" s="38"/>
      <c r="J11" s="39">
        <f t="shared" si="2"/>
        <v>0</v>
      </c>
      <c r="K11" s="39">
        <f t="shared" si="3"/>
        <v>0</v>
      </c>
      <c r="L11" s="40">
        <f t="shared" si="4"/>
        <v>60341.999999999993</v>
      </c>
      <c r="M11" s="40">
        <f t="shared" si="5"/>
        <v>208793.99999999997</v>
      </c>
      <c r="N11" s="41">
        <v>0</v>
      </c>
      <c r="O11" s="42">
        <f t="shared" si="6"/>
        <v>269136.05</v>
      </c>
      <c r="P11" s="43">
        <f t="shared" si="0"/>
        <v>277210.05</v>
      </c>
      <c r="Q11" s="24">
        <f t="shared" si="7"/>
        <v>0.05</v>
      </c>
      <c r="S11" s="22">
        <v>41700</v>
      </c>
      <c r="T11" s="22">
        <v>100775</v>
      </c>
      <c r="U11" s="24">
        <f t="shared" si="1"/>
        <v>142475</v>
      </c>
    </row>
    <row r="12" spans="1:21" ht="17.100000000000001" customHeight="1">
      <c r="A12" s="2" t="s">
        <v>15</v>
      </c>
      <c r="B12" s="31">
        <v>7</v>
      </c>
      <c r="C12" s="31" t="s">
        <v>73</v>
      </c>
      <c r="D12" s="31" t="s">
        <v>89</v>
      </c>
      <c r="E12" s="31" t="s">
        <v>109</v>
      </c>
      <c r="F12" s="35">
        <v>6.95</v>
      </c>
      <c r="G12" s="36">
        <v>123762.06</v>
      </c>
      <c r="H12" s="37">
        <f>145825-H22</f>
        <v>123762.84</v>
      </c>
      <c r="I12" s="38"/>
      <c r="J12" s="39">
        <f t="shared" si="2"/>
        <v>-0.77999999999883585</v>
      </c>
      <c r="K12" s="39">
        <f t="shared" si="3"/>
        <v>0</v>
      </c>
      <c r="L12" s="40">
        <f t="shared" si="4"/>
        <v>39267.5</v>
      </c>
      <c r="M12" s="40">
        <f t="shared" si="5"/>
        <v>135872.5</v>
      </c>
      <c r="N12" s="130">
        <v>0</v>
      </c>
      <c r="O12" s="42">
        <f>ROUND(SUM(J12:N12),0) + Q12</f>
        <v>175139.06</v>
      </c>
      <c r="P12" s="43">
        <f t="shared" si="0"/>
        <v>180393.06</v>
      </c>
      <c r="Q12" s="24">
        <f t="shared" si="7"/>
        <v>6.0000000000000005E-2</v>
      </c>
      <c r="S12" s="22">
        <v>41340</v>
      </c>
      <c r="T12" s="22">
        <v>99905</v>
      </c>
      <c r="U12" s="24">
        <f t="shared" si="1"/>
        <v>141245</v>
      </c>
    </row>
    <row r="13" spans="1:21" ht="17.100000000000001" customHeight="1">
      <c r="A13" s="2" t="s">
        <v>15</v>
      </c>
      <c r="B13" s="31">
        <v>6</v>
      </c>
      <c r="C13" s="85" t="s">
        <v>74</v>
      </c>
      <c r="D13" s="85" t="s">
        <v>90</v>
      </c>
      <c r="E13" s="31" t="s">
        <v>103</v>
      </c>
      <c r="F13" s="35">
        <v>6.89</v>
      </c>
      <c r="G13" s="36">
        <v>134700.07</v>
      </c>
      <c r="H13" s="37">
        <f>G13</f>
        <v>134700.07</v>
      </c>
      <c r="I13" s="38"/>
      <c r="J13" s="39">
        <f t="shared" si="2"/>
        <v>0</v>
      </c>
      <c r="K13" s="39">
        <f t="shared" si="3"/>
        <v>0</v>
      </c>
      <c r="L13" s="40">
        <f t="shared" si="4"/>
        <v>38928.5</v>
      </c>
      <c r="M13" s="40">
        <f t="shared" si="5"/>
        <v>134699.5</v>
      </c>
      <c r="N13" s="41">
        <v>0</v>
      </c>
      <c r="O13" s="42">
        <f t="shared" si="6"/>
        <v>173628.07</v>
      </c>
      <c r="P13" s="43">
        <f t="shared" si="0"/>
        <v>178837.07</v>
      </c>
      <c r="Q13" s="24">
        <f t="shared" si="7"/>
        <v>7.0000000000000007E-2</v>
      </c>
      <c r="R13" s="83"/>
      <c r="S13" s="117">
        <v>64080</v>
      </c>
      <c r="T13" s="22">
        <v>154860</v>
      </c>
      <c r="U13" s="24">
        <f t="shared" si="1"/>
        <v>218940</v>
      </c>
    </row>
    <row r="14" spans="1:21" ht="17.100000000000001" customHeight="1">
      <c r="A14" s="2" t="s">
        <v>16</v>
      </c>
      <c r="B14" s="31">
        <v>8</v>
      </c>
      <c r="C14" s="31" t="s">
        <v>75</v>
      </c>
      <c r="D14" s="31" t="s">
        <v>90</v>
      </c>
      <c r="E14" s="31" t="s">
        <v>102</v>
      </c>
      <c r="F14" s="35">
        <v>10.68</v>
      </c>
      <c r="G14" s="36">
        <v>202434.08</v>
      </c>
      <c r="H14" s="37">
        <f>G14</f>
        <v>202434.08</v>
      </c>
      <c r="I14" s="38"/>
      <c r="J14" s="39">
        <f t="shared" si="2"/>
        <v>0</v>
      </c>
      <c r="K14" s="39">
        <f t="shared" si="3"/>
        <v>0</v>
      </c>
      <c r="L14" s="40">
        <f t="shared" si="4"/>
        <v>60341.999999999993</v>
      </c>
      <c r="M14" s="40">
        <f t="shared" si="5"/>
        <v>208793.99999999997</v>
      </c>
      <c r="N14" s="41">
        <v>0</v>
      </c>
      <c r="O14" s="42">
        <f t="shared" si="6"/>
        <v>269136.08</v>
      </c>
      <c r="P14" s="43">
        <f t="shared" si="0"/>
        <v>277210.08</v>
      </c>
      <c r="Q14" s="24">
        <f t="shared" si="7"/>
        <v>0.08</v>
      </c>
      <c r="S14" s="22">
        <v>41700</v>
      </c>
      <c r="T14" s="22">
        <v>100775</v>
      </c>
      <c r="U14" s="24">
        <f t="shared" si="1"/>
        <v>142475</v>
      </c>
    </row>
    <row r="15" spans="1:21" ht="17.100000000000001" customHeight="1">
      <c r="A15" s="2" t="s">
        <v>16</v>
      </c>
      <c r="B15" s="85">
        <v>10</v>
      </c>
      <c r="C15" s="85" t="s">
        <v>76</v>
      </c>
      <c r="D15" s="85" t="s">
        <v>91</v>
      </c>
      <c r="E15" s="98" t="s">
        <v>112</v>
      </c>
      <c r="F15" s="99">
        <v>6.95</v>
      </c>
      <c r="G15" s="37">
        <v>526398.09</v>
      </c>
      <c r="H15" s="150">
        <f>135873+330000+60525</f>
        <v>526398</v>
      </c>
      <c r="I15" s="38"/>
      <c r="J15" s="100">
        <f t="shared" si="2"/>
        <v>8.999999996740371E-2</v>
      </c>
      <c r="K15" s="100">
        <v>0</v>
      </c>
      <c r="L15" s="101">
        <f t="shared" si="4"/>
        <v>39267.5</v>
      </c>
      <c r="M15" s="101">
        <f t="shared" si="5"/>
        <v>135872.5</v>
      </c>
      <c r="N15" s="102">
        <v>0</v>
      </c>
      <c r="O15" s="103">
        <f t="shared" si="6"/>
        <v>175140.09</v>
      </c>
      <c r="P15" s="104">
        <f t="shared" si="0"/>
        <v>180394.09</v>
      </c>
      <c r="Q15" s="24">
        <f t="shared" si="7"/>
        <v>0.09</v>
      </c>
      <c r="S15" s="22">
        <v>41340</v>
      </c>
      <c r="T15" s="22">
        <v>99905</v>
      </c>
      <c r="U15" s="24">
        <f t="shared" si="1"/>
        <v>141245</v>
      </c>
    </row>
    <row r="16" spans="1:21" ht="17.100000000000001" customHeight="1">
      <c r="A16" s="2" t="s">
        <v>17</v>
      </c>
      <c r="B16" s="31">
        <v>9</v>
      </c>
      <c r="C16" s="31" t="s">
        <v>77</v>
      </c>
      <c r="D16" s="31" t="s">
        <v>92</v>
      </c>
      <c r="E16" s="32" t="s">
        <v>101</v>
      </c>
      <c r="F16" s="35">
        <v>6.89</v>
      </c>
      <c r="G16" s="36">
        <v>134700.1</v>
      </c>
      <c r="H16" s="37">
        <f>134700.1</f>
        <v>134700.1</v>
      </c>
      <c r="I16" s="38"/>
      <c r="J16" s="39">
        <f t="shared" si="2"/>
        <v>0</v>
      </c>
      <c r="K16" s="39">
        <f t="shared" si="3"/>
        <v>0</v>
      </c>
      <c r="L16" s="40">
        <f t="shared" si="4"/>
        <v>38928.5</v>
      </c>
      <c r="M16" s="40">
        <f t="shared" si="5"/>
        <v>134699.5</v>
      </c>
      <c r="N16" s="41">
        <v>0</v>
      </c>
      <c r="O16" s="42">
        <f t="shared" si="6"/>
        <v>173628.1</v>
      </c>
      <c r="P16" s="43">
        <f t="shared" si="0"/>
        <v>178837.1</v>
      </c>
      <c r="Q16" s="24">
        <f t="shared" si="7"/>
        <v>9.9999999999999992E-2</v>
      </c>
      <c r="R16" t="s">
        <v>116</v>
      </c>
      <c r="S16" s="22">
        <v>71280</v>
      </c>
      <c r="T16" s="22">
        <v>172260</v>
      </c>
      <c r="U16" s="24">
        <f t="shared" si="1"/>
        <v>243540</v>
      </c>
    </row>
    <row r="17" spans="1:21" ht="17.100000000000001" customHeight="1">
      <c r="A17" s="2" t="s">
        <v>17</v>
      </c>
      <c r="B17" s="31">
        <v>11</v>
      </c>
      <c r="C17" s="31" t="s">
        <v>78</v>
      </c>
      <c r="D17" s="31" t="s">
        <v>93</v>
      </c>
      <c r="E17" s="32"/>
      <c r="F17" s="35">
        <v>11.88</v>
      </c>
      <c r="G17" s="36">
        <v>222193.11</v>
      </c>
      <c r="H17" s="37">
        <f>232254.11-H21+10166.15</f>
        <v>221892.11</v>
      </c>
      <c r="I17" s="38"/>
      <c r="J17" s="39">
        <f t="shared" si="2"/>
        <v>301</v>
      </c>
      <c r="K17" s="39">
        <f t="shared" si="3"/>
        <v>9.0299999999999994</v>
      </c>
      <c r="L17" s="40">
        <f t="shared" si="4"/>
        <v>67122</v>
      </c>
      <c r="M17" s="40">
        <f t="shared" si="5"/>
        <v>232254</v>
      </c>
      <c r="N17" s="41">
        <v>0</v>
      </c>
      <c r="O17" s="42">
        <f t="shared" si="6"/>
        <v>299686.11</v>
      </c>
      <c r="P17" s="43">
        <f t="shared" si="0"/>
        <v>308677.11</v>
      </c>
      <c r="Q17" s="24">
        <f t="shared" si="7"/>
        <v>0.10999999999999999</v>
      </c>
      <c r="R17" t="s">
        <v>114</v>
      </c>
      <c r="S17" s="22">
        <v>3420</v>
      </c>
      <c r="T17" s="22">
        <v>8265</v>
      </c>
      <c r="U17" s="24">
        <f t="shared" si="1"/>
        <v>11685</v>
      </c>
    </row>
    <row r="18" spans="1:21" ht="17.100000000000001" customHeight="1">
      <c r="A18" s="2" t="s">
        <v>18</v>
      </c>
      <c r="B18" s="31" t="s">
        <v>67</v>
      </c>
      <c r="C18" s="31" t="s">
        <v>79</v>
      </c>
      <c r="D18" s="31" t="s">
        <v>85</v>
      </c>
      <c r="E18" s="32"/>
      <c r="F18" s="35">
        <v>0.56999999999999995</v>
      </c>
      <c r="G18" s="36">
        <v>22798.12</v>
      </c>
      <c r="H18" s="37">
        <v>0</v>
      </c>
      <c r="I18" s="38"/>
      <c r="J18" s="39">
        <f t="shared" si="2"/>
        <v>22798.12</v>
      </c>
      <c r="K18" s="39">
        <f t="shared" si="3"/>
        <v>683.94359999999995</v>
      </c>
      <c r="L18" s="40">
        <f t="shared" si="4"/>
        <v>3220.4999999999995</v>
      </c>
      <c r="M18" s="40">
        <f t="shared" si="5"/>
        <v>11143.499999999998</v>
      </c>
      <c r="N18" s="41">
        <v>0</v>
      </c>
      <c r="O18" s="42">
        <f t="shared" si="6"/>
        <v>37846.120000000003</v>
      </c>
      <c r="P18" s="43">
        <f t="shared" si="0"/>
        <v>38981.120000000003</v>
      </c>
      <c r="Q18" s="24">
        <f t="shared" si="7"/>
        <v>0.11999999999999998</v>
      </c>
      <c r="S18" s="22">
        <v>3120</v>
      </c>
      <c r="T18" s="22">
        <v>7540</v>
      </c>
      <c r="U18" s="24">
        <f t="shared" si="1"/>
        <v>10660</v>
      </c>
    </row>
    <row r="19" spans="1:21" ht="17.100000000000001" customHeight="1">
      <c r="A19" s="2" t="s">
        <v>18</v>
      </c>
      <c r="B19" s="31" t="s">
        <v>67</v>
      </c>
      <c r="C19" s="31" t="s">
        <v>80</v>
      </c>
      <c r="D19" s="31" t="s">
        <v>94</v>
      </c>
      <c r="E19" s="32"/>
      <c r="F19" s="35">
        <v>0.52</v>
      </c>
      <c r="G19" s="36">
        <v>9864.1299999999992</v>
      </c>
      <c r="H19" s="37">
        <v>10160.129999999999</v>
      </c>
      <c r="I19" s="38"/>
      <c r="J19" s="39">
        <f t="shared" si="2"/>
        <v>-296</v>
      </c>
      <c r="K19" s="39">
        <f t="shared" si="3"/>
        <v>0</v>
      </c>
      <c r="L19" s="40">
        <f t="shared" si="4"/>
        <v>2938</v>
      </c>
      <c r="M19" s="40">
        <f t="shared" si="5"/>
        <v>10166</v>
      </c>
      <c r="N19" s="41">
        <v>0</v>
      </c>
      <c r="O19" s="42">
        <f t="shared" si="6"/>
        <v>12808.13</v>
      </c>
      <c r="P19" s="43">
        <f t="shared" si="0"/>
        <v>13192.13</v>
      </c>
      <c r="Q19" s="24">
        <f t="shared" si="7"/>
        <v>0.12999999999999998</v>
      </c>
      <c r="S19" s="22">
        <v>3120</v>
      </c>
      <c r="T19" s="22">
        <v>7540</v>
      </c>
      <c r="U19" s="24">
        <f t="shared" si="1"/>
        <v>10660</v>
      </c>
    </row>
    <row r="20" spans="1:21" ht="17.100000000000001" customHeight="1">
      <c r="A20" s="2" t="s">
        <v>19</v>
      </c>
      <c r="B20" s="31" t="s">
        <v>67</v>
      </c>
      <c r="C20" s="31" t="s">
        <v>81</v>
      </c>
      <c r="D20" s="31" t="s">
        <v>94</v>
      </c>
      <c r="E20" s="31" t="s">
        <v>107</v>
      </c>
      <c r="F20" s="35">
        <v>0.52</v>
      </c>
      <c r="G20" s="36">
        <v>10166.14</v>
      </c>
      <c r="H20" s="37">
        <f>G20</f>
        <v>10166.14</v>
      </c>
      <c r="I20" s="38"/>
      <c r="J20" s="39">
        <f t="shared" si="2"/>
        <v>0</v>
      </c>
      <c r="K20" s="39">
        <f t="shared" si="3"/>
        <v>0</v>
      </c>
      <c r="L20" s="40">
        <f t="shared" si="4"/>
        <v>2938</v>
      </c>
      <c r="M20" s="40">
        <f t="shared" si="5"/>
        <v>10166</v>
      </c>
      <c r="N20" s="41">
        <v>0</v>
      </c>
      <c r="O20" s="42">
        <f t="shared" si="6"/>
        <v>13104.14</v>
      </c>
      <c r="P20" s="43">
        <f t="shared" si="0"/>
        <v>13497.14</v>
      </c>
      <c r="Q20" s="24">
        <f t="shared" si="7"/>
        <v>0.13999999999999999</v>
      </c>
      <c r="S20" s="22">
        <v>3120</v>
      </c>
      <c r="T20" s="22">
        <v>7540</v>
      </c>
      <c r="U20" s="24">
        <f t="shared" si="1"/>
        <v>10660</v>
      </c>
    </row>
    <row r="21" spans="1:21" ht="17.100000000000001" customHeight="1">
      <c r="A21" s="2" t="s">
        <v>19</v>
      </c>
      <c r="B21" s="31" t="s">
        <v>67</v>
      </c>
      <c r="C21" s="31" t="s">
        <v>82</v>
      </c>
      <c r="D21" s="31" t="s">
        <v>93</v>
      </c>
      <c r="E21" s="32"/>
      <c r="F21" s="35">
        <v>0.52</v>
      </c>
      <c r="G21" s="36">
        <v>20528.150000000001</v>
      </c>
      <c r="H21" s="37">
        <f>G21</f>
        <v>20528.150000000001</v>
      </c>
      <c r="I21" s="38"/>
      <c r="J21" s="39">
        <f t="shared" si="2"/>
        <v>0</v>
      </c>
      <c r="K21" s="39">
        <f t="shared" si="3"/>
        <v>0</v>
      </c>
      <c r="L21" s="40">
        <f t="shared" si="4"/>
        <v>2938</v>
      </c>
      <c r="M21" s="40">
        <f t="shared" si="5"/>
        <v>10166</v>
      </c>
      <c r="N21" s="41">
        <v>0</v>
      </c>
      <c r="O21" s="42">
        <f t="shared" si="6"/>
        <v>13104.15</v>
      </c>
      <c r="P21" s="43">
        <f t="shared" si="0"/>
        <v>13497.15</v>
      </c>
      <c r="Q21" s="24">
        <f t="shared" si="7"/>
        <v>0.15</v>
      </c>
      <c r="S21" s="22">
        <v>3660</v>
      </c>
      <c r="T21" s="22">
        <v>8845</v>
      </c>
      <c r="U21" s="24">
        <f t="shared" si="1"/>
        <v>12505</v>
      </c>
    </row>
    <row r="22" spans="1:21" ht="17.100000000000001" customHeight="1" thickBot="1">
      <c r="A22" s="2" t="s">
        <v>20</v>
      </c>
      <c r="B22" s="31" t="s">
        <v>67</v>
      </c>
      <c r="C22" s="31" t="s">
        <v>83</v>
      </c>
      <c r="D22" s="31" t="s">
        <v>89</v>
      </c>
      <c r="E22" s="31"/>
      <c r="F22" s="35">
        <v>0.61</v>
      </c>
      <c r="G22" s="36">
        <v>22062.16</v>
      </c>
      <c r="H22" s="37">
        <f>G22</f>
        <v>22062.16</v>
      </c>
      <c r="I22" s="38"/>
      <c r="J22" s="39">
        <f t="shared" si="2"/>
        <v>0</v>
      </c>
      <c r="K22" s="39">
        <f t="shared" si="3"/>
        <v>0</v>
      </c>
      <c r="L22" s="40">
        <f t="shared" si="4"/>
        <v>3446.4999999999995</v>
      </c>
      <c r="M22" s="40">
        <f t="shared" si="5"/>
        <v>11925.499999999998</v>
      </c>
      <c r="N22" s="41">
        <v>0</v>
      </c>
      <c r="O22" s="42">
        <f t="shared" si="6"/>
        <v>15372.16</v>
      </c>
      <c r="P22" s="43">
        <f t="shared" si="0"/>
        <v>15833.16</v>
      </c>
      <c r="Q22" s="24">
        <f t="shared" si="7"/>
        <v>0.16</v>
      </c>
      <c r="S22" s="23"/>
    </row>
    <row r="23" spans="1:21" ht="15.75" hidden="1" customHeight="1" thickBot="1">
      <c r="A23" s="2" t="s">
        <v>22</v>
      </c>
      <c r="B23" s="31"/>
      <c r="C23" s="31"/>
      <c r="D23" s="31"/>
      <c r="E23" s="31"/>
      <c r="F23" s="35"/>
      <c r="G23" s="44" t="s">
        <v>57</v>
      </c>
      <c r="H23" s="37" t="str">
        <f t="shared" ref="H23" si="8">G23</f>
        <v>162450.31</v>
      </c>
      <c r="I23" s="45"/>
      <c r="J23" s="46" t="e">
        <f t="shared" ref="J23" si="9">G23-H23</f>
        <v>#VALUE!</v>
      </c>
      <c r="K23" s="39" t="e">
        <f t="shared" ref="K23" si="10">IF(J23&gt;0,J23*3%,0)</f>
        <v>#VALUE!</v>
      </c>
      <c r="L23" s="40">
        <f t="shared" si="4"/>
        <v>0</v>
      </c>
      <c r="M23" s="47">
        <f t="shared" si="5"/>
        <v>0</v>
      </c>
      <c r="N23" s="48">
        <v>0</v>
      </c>
      <c r="O23" s="42" t="e">
        <f t="shared" si="6"/>
        <v>#VALUE!</v>
      </c>
      <c r="P23" s="43" t="e">
        <f t="shared" si="0"/>
        <v>#VALUE!</v>
      </c>
      <c r="Q23" s="24"/>
    </row>
    <row r="24" spans="1:21" ht="17.100000000000001" customHeight="1" thickBot="1">
      <c r="B24" s="49"/>
      <c r="C24" s="50"/>
      <c r="D24" s="51"/>
      <c r="E24" s="51"/>
      <c r="F24" s="52">
        <f>SUM(F7:F23)</f>
        <v>99.999999999999972</v>
      </c>
      <c r="G24" s="27">
        <f>SUM(G7:G23)</f>
        <v>6721265.3599999994</v>
      </c>
      <c r="H24" s="30">
        <f>SUM(H7:H23)</f>
        <v>2003283.8299999996</v>
      </c>
      <c r="I24" s="30">
        <f>SUM(I7:I23)</f>
        <v>0</v>
      </c>
      <c r="J24" s="30"/>
      <c r="K24" s="30"/>
      <c r="L24" s="30">
        <f>SUM(L7:L23)</f>
        <v>565000</v>
      </c>
      <c r="M24" s="30">
        <f>SUM(M7:M23)</f>
        <v>1955000</v>
      </c>
      <c r="N24" s="30">
        <f>SUM(N7:N23)</f>
        <v>0</v>
      </c>
      <c r="O24" s="53">
        <f>SUM(O7:O22)</f>
        <v>7379589.3599999994</v>
      </c>
      <c r="P24" s="53">
        <f>SUM(P7:P22)</f>
        <v>7600976.3599999994</v>
      </c>
    </row>
    <row r="25" spans="1:21" ht="12.75" customHeight="1">
      <c r="D25" s="26"/>
      <c r="E25" s="26"/>
      <c r="S25" s="24"/>
    </row>
    <row r="26" spans="1:21" ht="15" hidden="1" customHeight="1"/>
    <row r="27" spans="1:21" ht="15" customHeight="1">
      <c r="D27" s="167" t="s">
        <v>63</v>
      </c>
      <c r="E27" s="167"/>
      <c r="F27" s="167"/>
      <c r="G27" s="167"/>
      <c r="H27" s="167"/>
      <c r="I27" s="167"/>
      <c r="J27" s="167"/>
      <c r="K27" s="167"/>
      <c r="L27" s="167"/>
      <c r="M27" s="167"/>
      <c r="N27" s="167"/>
      <c r="O27" s="167"/>
      <c r="S27" s="22"/>
    </row>
    <row r="28" spans="1:21" ht="12" hidden="1" customHeight="1">
      <c r="D28" s="167"/>
      <c r="E28" s="167"/>
      <c r="F28" s="167"/>
      <c r="G28" s="167"/>
      <c r="H28" s="167"/>
      <c r="I28" s="167"/>
      <c r="J28" s="167"/>
      <c r="K28" s="167"/>
      <c r="L28" s="167"/>
      <c r="M28" s="167"/>
      <c r="N28" s="167"/>
      <c r="O28" s="167"/>
    </row>
    <row r="29" spans="1:21" ht="12" hidden="1" customHeight="1">
      <c r="D29" s="167"/>
      <c r="E29" s="167"/>
      <c r="F29" s="167"/>
      <c r="G29" s="167"/>
      <c r="H29" s="167"/>
      <c r="I29" s="167"/>
      <c r="J29" s="167"/>
      <c r="K29" s="167"/>
      <c r="L29" s="167"/>
      <c r="M29" s="167"/>
      <c r="N29" s="167"/>
      <c r="O29" s="167"/>
    </row>
    <row r="30" spans="1:21" ht="12" hidden="1" customHeight="1">
      <c r="D30" s="167"/>
      <c r="E30" s="167"/>
      <c r="F30" s="167"/>
      <c r="G30" s="167"/>
      <c r="H30" s="167"/>
      <c r="I30" s="167"/>
      <c r="J30" s="167"/>
      <c r="K30" s="167"/>
      <c r="L30" s="167"/>
      <c r="M30" s="167"/>
      <c r="N30" s="167"/>
      <c r="O30" s="167"/>
    </row>
    <row r="31" spans="1:21" ht="12" hidden="1" customHeight="1">
      <c r="D31" s="167"/>
      <c r="E31" s="167"/>
      <c r="F31" s="167"/>
      <c r="G31" s="167"/>
      <c r="H31" s="167"/>
      <c r="I31" s="167"/>
      <c r="J31" s="167"/>
      <c r="K31" s="167"/>
      <c r="L31" s="167"/>
      <c r="M31" s="167"/>
      <c r="N31" s="167"/>
      <c r="O31" s="167"/>
    </row>
    <row r="32" spans="1:21" ht="65.25" customHeight="1">
      <c r="D32" s="167"/>
      <c r="E32" s="167"/>
      <c r="F32" s="167"/>
      <c r="G32" s="167"/>
      <c r="H32" s="167"/>
      <c r="I32" s="167"/>
      <c r="J32" s="167"/>
      <c r="K32" s="167"/>
      <c r="L32" s="167"/>
      <c r="M32" s="167"/>
      <c r="N32" s="167"/>
      <c r="O32" s="167"/>
    </row>
  </sheetData>
  <mergeCells count="18">
    <mergeCell ref="A5:A6"/>
    <mergeCell ref="B5:B6"/>
    <mergeCell ref="C5:C6"/>
    <mergeCell ref="D5:D6"/>
    <mergeCell ref="F5:F6"/>
    <mergeCell ref="B1:K3"/>
    <mergeCell ref="P5:P6"/>
    <mergeCell ref="D27:O32"/>
    <mergeCell ref="E5:E6"/>
    <mergeCell ref="I5:I6"/>
    <mergeCell ref="K5:K6"/>
    <mergeCell ref="G5:G6"/>
    <mergeCell ref="H5:H6"/>
    <mergeCell ref="J5:J6"/>
    <mergeCell ref="L5:L6"/>
    <mergeCell ref="M5:M6"/>
    <mergeCell ref="N5:N6"/>
    <mergeCell ref="B4:P4"/>
  </mergeCells>
  <pageMargins left="0.25" right="0.25" top="0.75" bottom="0.75" header="0.3" footer="0.3"/>
  <pageSetup paperSize="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CC01E-5816-4D6D-A47C-EE31C4411A86}">
  <dimension ref="C3"/>
  <sheetViews>
    <sheetView tabSelected="1" workbookViewId="0">
      <selection activeCell="C4" sqref="C4"/>
    </sheetView>
  </sheetViews>
  <sheetFormatPr baseColWidth="10" defaultRowHeight="14.4"/>
  <sheetData>
    <row r="3" spans="3:3">
      <c r="C3" s="18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RESUMEN</vt:lpstr>
      <vt:lpstr>PRORRATEO</vt:lpstr>
      <vt:lpstr>Anotaciones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Mateo Quotteri</cp:lastModifiedBy>
  <cp:lastPrinted>2026-06-04T13:36:44Z</cp:lastPrinted>
  <dcterms:created xsi:type="dcterms:W3CDTF">2023-09-17T12:29:07Z</dcterms:created>
  <dcterms:modified xsi:type="dcterms:W3CDTF">2026-06-08T12:07:49Z</dcterms:modified>
</cp:coreProperties>
</file>