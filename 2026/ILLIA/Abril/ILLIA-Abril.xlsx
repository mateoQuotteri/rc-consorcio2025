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ILLIA\Abril\"/>
    </mc:Choice>
  </mc:AlternateContent>
  <xr:revisionPtr revIDLastSave="0" documentId="13_ncr:1_{BDA81380-9FE8-4ADA-9C64-B21A03A0023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9" i="1" l="1"/>
  <c r="D37" i="1"/>
  <c r="D38" i="1"/>
  <c r="H33" i="2" l="1"/>
  <c r="H25" i="2"/>
  <c r="H24" i="2"/>
  <c r="H29" i="2"/>
  <c r="H15" i="2"/>
  <c r="D78" i="1"/>
  <c r="H10" i="2" l="1"/>
  <c r="H20" i="2"/>
  <c r="H28" i="2"/>
  <c r="H23" i="2"/>
  <c r="H34" i="2"/>
  <c r="H12" i="2"/>
  <c r="H27" i="2"/>
  <c r="E80" i="1" l="1"/>
  <c r="E76" i="1" l="1"/>
  <c r="H30" i="2"/>
  <c r="H8" i="2" l="1"/>
  <c r="D29" i="1"/>
  <c r="B116" i="1" l="1"/>
  <c r="H13" i="2" s="1"/>
  <c r="H16" i="2" l="1"/>
  <c r="H6" i="2"/>
  <c r="H26" i="2" s="1"/>
  <c r="E50" i="1" l="1"/>
  <c r="E71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N37" i="2" l="1"/>
  <c r="I37" i="2"/>
  <c r="G37" i="2"/>
  <c r="F37" i="2"/>
  <c r="L36" i="2"/>
  <c r="J36" i="2"/>
  <c r="K36" i="2" s="1"/>
  <c r="Q35" i="2"/>
  <c r="J35" i="2"/>
  <c r="K35" i="2" s="1"/>
  <c r="L34" i="2"/>
  <c r="J34" i="2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H14" i="2" s="1"/>
  <c r="L8" i="2"/>
  <c r="J8" i="2"/>
  <c r="K8" i="2" s="1"/>
  <c r="R7" i="2"/>
  <c r="R8" i="2" s="1"/>
  <c r="R9" i="2" s="1"/>
  <c r="L7" i="2"/>
  <c r="J7" i="2"/>
  <c r="K7" i="2" s="1"/>
  <c r="O5" i="2"/>
  <c r="D2" i="2"/>
  <c r="B135" i="1"/>
  <c r="B113" i="1" s="1"/>
  <c r="B126" i="1"/>
  <c r="E90" i="1"/>
  <c r="E95" i="1" s="1"/>
  <c r="B100" i="1" s="1"/>
  <c r="E47" i="1"/>
  <c r="A47" i="1"/>
  <c r="A49" i="1" s="1"/>
  <c r="E42" i="1"/>
  <c r="D32" i="1"/>
  <c r="E33" i="1" s="1"/>
  <c r="E49" i="1" l="1"/>
  <c r="H37" i="2"/>
  <c r="J6" i="2"/>
  <c r="J26" i="2"/>
  <c r="K26" i="2" s="1"/>
  <c r="J9" i="2"/>
  <c r="K9" i="2" s="1"/>
  <c r="J14" i="2"/>
  <c r="K14" i="2" s="1"/>
  <c r="O8" i="2"/>
  <c r="B99" i="1"/>
  <c r="R10" i="2"/>
  <c r="O7" i="2"/>
  <c r="L37" i="2"/>
  <c r="M36" i="2" l="1"/>
  <c r="O36" i="2" s="1"/>
  <c r="P36" i="2" s="1"/>
  <c r="E84" i="1"/>
  <c r="B98" i="1" s="1"/>
  <c r="B114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1" i="1"/>
  <c r="Q9" i="2" l="1"/>
  <c r="M37" i="2"/>
  <c r="Q36" i="2"/>
  <c r="B97" i="1"/>
  <c r="B117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<sst xmlns="http://schemas.openxmlformats.org/spreadsheetml/2006/main" count="227" uniqueCount="196">
  <si>
    <t>TELEFONO: 11 5320-2676</t>
  </si>
  <si>
    <t>MAIL: consorcioillia1554@gmail.com</t>
  </si>
  <si>
    <t>LIQUIDACION DE EXPENSAS</t>
  </si>
  <si>
    <t>ADMINISTRADORA: CAROLINA CANCIANI MP:1148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</si>
  <si>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</si>
  <si>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</si>
  <si>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</si>
  <si>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</si>
  <si>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</si>
  <si>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</si>
  <si>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</si>
  <si>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</si>
  <si>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</si>
  <si>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</si>
  <si>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</si>
  <si>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</si>
  <si>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</si>
  <si>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</si>
  <si>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</si>
  <si>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</si>
  <si>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</si>
  <si>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</si>
  <si>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</si>
  <si>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</si>
  <si>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</si>
  <si>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</si>
  <si>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</si>
  <si>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</si>
  <si>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</si>
  <si>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</si>
  <si>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</si>
  <si>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</si>
  <si>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</si>
  <si>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</si>
  <si>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</si>
  <si>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</si>
  <si>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</si>
  <si>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</si>
  <si>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</si>
  <si>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</si>
  <si>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</si>
  <si>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</si>
  <si>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</si>
  <si>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</si>
  <si>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</si>
  <si>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</si>
  <si>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</si>
  <si>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</si>
  <si>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</si>
  <si>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</si>
  <si>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</si>
  <si>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</si>
  <si>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</si>
  <si>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</si>
  <si>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</si>
  <si>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</si>
  <si>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</si>
  <si>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</si>
  <si>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</si>
  <si>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</si>
  <si>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</si>
  <si>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</si>
  <si>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</si>
  <si>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</si>
  <si>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</si>
  <si>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</si>
  <si>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</si>
  <si>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</si>
  <si>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</si>
  <si>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</si>
  <si>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</si>
  <si>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</si>
  <si>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</si>
  <si>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</si>
  <si>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</si>
  <si>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</si>
  <si>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</si>
  <si>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</si>
  <si>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</si>
  <si>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</si>
  <si>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</si>
  <si>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</si>
  <si>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</si>
  <si>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5º</t>
  </si>
  <si>
    <t>F</t>
  </si>
  <si>
    <t>G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</si>
  <si>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</si>
  <si>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</si>
  <si>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</si>
  <si>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</si>
  <si>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</si>
  <si>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</si>
  <si>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</si>
  <si>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</si>
  <si>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</si>
  <si>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</si>
  <si>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</si>
  <si>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</si>
  <si>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</si>
  <si>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</si>
  <si>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</si>
  <si>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</si>
  <si>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</si>
  <si>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</si>
  <si>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</si>
  <si>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</si>
  <si>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</si>
  <si>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</si>
  <si>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</si>
  <si>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</si>
  <si>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</si>
  <si>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</si>
  <si>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</si>
  <si>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</si>
  <si>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</si>
  <si>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</si>
  <si>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</si>
  <si>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</si>
  <si>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</si>
  <si>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</si>
  <si>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</si>
  <si>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</si>
  <si>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</si>
  <si>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</si>
  <si>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</si>
  <si>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</si>
  <si>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</si>
  <si>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</si>
  <si>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</si>
  <si>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</si>
  <si>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</si>
  <si>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</si>
  <si>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</si>
  <si>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</si>
  <si>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</si>
  <si>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</si>
  <si>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</si>
  <si>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</si>
  <si>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</si>
  <si>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</si>
  <si>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</si>
  <si>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</si>
  <si>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</si>
  <si>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</si>
  <si>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</si>
  <si>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</si>
  <si>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</si>
  <si>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</si>
  <si>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</si>
  <si>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</si>
  <si>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</si>
  <si>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</si>
  <si>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</si>
  <si>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</si>
  <si>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COPELLO MONICA</t>
  </si>
  <si>
    <t xml:space="preserve">CONVENIO DE PAGO 1A: 12 CUOTAS MENSUALES DE $96.000 MAS EXPESAS EN CURSO. </t>
  </si>
  <si>
    <t>JUAN MANUEL PAL</t>
  </si>
  <si>
    <t>Agostina Alonso</t>
  </si>
  <si>
    <t>Aumentados EN3RO</t>
  </si>
  <si>
    <t>Serachar cuota convenio</t>
  </si>
  <si>
    <t>Matias</t>
  </si>
  <si>
    <t>Juan 4B</t>
  </si>
  <si>
    <t>Pablo o laura 4c</t>
  </si>
  <si>
    <t>Sra. Fernanda Suplencia de Sra. Ana - Diferencia</t>
  </si>
  <si>
    <t>No se debito</t>
  </si>
  <si>
    <t xml:space="preserve"> </t>
  </si>
  <si>
    <t>Punitorios mal cobrados 5D</t>
  </si>
  <si>
    <t>CUIT: 30-71612269-3 - PERÍODO: ABRIL - HORARIOS DE ATENCION: LUNES A VIERNES 10 a 15HS</t>
  </si>
  <si>
    <t>Sueldo Ana encargada ABRIL</t>
  </si>
  <si>
    <t>ABRIL</t>
  </si>
  <si>
    <t>Sindicatos mes de ABRIL</t>
  </si>
  <si>
    <t>Ascensores ADS - Mantenimiento de ascensor (Período ABRIL)</t>
  </si>
  <si>
    <t>AYSA - Mes de ABRIL</t>
  </si>
  <si>
    <t xml:space="preserve">GASTOS BANCARIOS ABRIL </t>
  </si>
  <si>
    <t>Transf 22/04</t>
  </si>
  <si>
    <t>Doartero Julio - Visita</t>
  </si>
  <si>
    <t>Transf 16/04</t>
  </si>
  <si>
    <t>Debito 06/04</t>
  </si>
  <si>
    <t>Bazar Los nenes - Articulos de limpieza</t>
  </si>
  <si>
    <t>Transf 06/04</t>
  </si>
  <si>
    <t>Transf 08/04</t>
  </si>
  <si>
    <t>VTO 15/05</t>
  </si>
  <si>
    <t>Transf 07/04</t>
  </si>
  <si>
    <t>Debito 10/04</t>
  </si>
  <si>
    <t>Debito 13/04</t>
  </si>
  <si>
    <t>Debito 15/04</t>
  </si>
  <si>
    <t>Debito 20/04</t>
  </si>
  <si>
    <t>Cittadino Jazmin - Cerrajeria - Ajuste y lubricacion de cilindros con cierre defectuoso</t>
  </si>
  <si>
    <t>Transf 24/04</t>
  </si>
  <si>
    <t>7ta cuota convenio de pago 1A</t>
  </si>
  <si>
    <t>8tava cuota convenio de pago 6C</t>
  </si>
  <si>
    <t>CONVENIO DE PAGO 6c: FINALIZO PLAN DE PAGOS</t>
  </si>
  <si>
    <t>Mes de Marzo</t>
  </si>
  <si>
    <t>Mes de Abril</t>
  </si>
  <si>
    <t>Honorarios administracion RC</t>
  </si>
  <si>
    <t>Honorarios administracion RC - Traspaso administracion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</si>
</sst>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11"/>
      <name val="Calibri"/>
      <family val="2"/>
      <scheme val="minor"/>
    </font>
    <font>
      <b/>
      <sz val="12"/>
      <name val="Calibri"/>
      <family val="2"/>
    </font>
    <font>
      <b/>
      <sz val="10"/>
      <name val="Calibri"/>
      <family val="2"/>
    </font>
    <font>
      <b/>
      <i/>
      <u/>
      <sz val="10"/>
      <name val="Calibri"/>
      <family val="2"/>
    </font>
    <font>
      <sz val="8"/>
      <name val="Calibri"/>
      <family val="2"/>
      <scheme val="minor"/>
    </font>
    <font>
      <sz val="9"/>
      <name val="Calibri"/>
      <family val="2"/>
    </font>
    <font>
      <sz val="11"/>
      <color theme="1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27"/>
    <xf numFmtId="9" fontId="21" fillId="0" borderId="27"/>
    <xf numFmtId="44" fontId="30" fillId="0" borderId="0" applyFont="0" applyFill="0" applyBorder="0" applyAlignment="0" applyProtection="0"/>
  </cellStyleXfs>
  <cellXfs count="270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5" fillId="0" borderId="10" xfId="0" applyFont="1" applyBorder="1"/>
    <xf numFmtId="8" fontId="5" fillId="0" borderId="0" xfId="0" applyNumberFormat="1" applyFont="1" applyBorder="1"/>
    <xf numFmtId="0" fontId="5" fillId="0" borderId="0" xfId="0" applyFont="1" applyBorder="1" applyAlignment="1">
      <alignment wrapText="1"/>
    </xf>
    <xf numFmtId="164" fontId="5" fillId="0" borderId="0" xfId="0" applyNumberFormat="1" applyFont="1" applyBorder="1"/>
    <xf numFmtId="0" fontId="12" fillId="10" borderId="4" xfId="0" applyFont="1" applyFill="1" applyBorder="1"/>
    <xf numFmtId="164" fontId="12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13" fillId="0" borderId="10" xfId="0" applyFont="1" applyBorder="1"/>
    <xf numFmtId="0" fontId="13" fillId="0" borderId="10" xfId="0" applyFont="1" applyBorder="1" applyAlignment="1">
      <alignment horizontal="center"/>
    </xf>
    <xf numFmtId="164" fontId="13" fillId="0" borderId="10" xfId="0" applyNumberFormat="1" applyFont="1" applyBorder="1"/>
    <xf numFmtId="164" fontId="13" fillId="7" borderId="10" xfId="0" applyNumberFormat="1" applyFont="1" applyFill="1" applyBorder="1"/>
    <xf numFmtId="166" fontId="13" fillId="7" borderId="10" xfId="0" applyNumberFormat="1" applyFont="1" applyFill="1" applyBorder="1"/>
    <xf numFmtId="166" fontId="13" fillId="0" borderId="10" xfId="0" applyNumberFormat="1" applyFont="1" applyBorder="1"/>
    <xf numFmtId="164" fontId="13" fillId="0" borderId="16" xfId="0" applyNumberFormat="1" applyFont="1" applyBorder="1"/>
    <xf numFmtId="164" fontId="13" fillId="0" borderId="34" xfId="0" applyNumberFormat="1" applyFont="1" applyBorder="1"/>
    <xf numFmtId="164" fontId="13" fillId="0" borderId="35" xfId="0" applyNumberFormat="1" applyFont="1" applyBorder="1"/>
    <xf numFmtId="0" fontId="13" fillId="0" borderId="10" xfId="0" applyFont="1" applyBorder="1" applyAlignment="1">
      <alignment wrapText="1"/>
    </xf>
    <xf numFmtId="0" fontId="10" fillId="7" borderId="4" xfId="0" applyFont="1" applyFill="1" applyBorder="1"/>
    <xf numFmtId="164" fontId="14" fillId="0" borderId="10" xfId="0" applyNumberFormat="1" applyFont="1" applyBorder="1"/>
    <xf numFmtId="166" fontId="14" fillId="7" borderId="10" xfId="0" applyNumberFormat="1" applyFont="1" applyFill="1" applyBorder="1"/>
    <xf numFmtId="166" fontId="14" fillId="0" borderId="10" xfId="0" applyNumberFormat="1" applyFont="1" applyBorder="1"/>
    <xf numFmtId="164" fontId="14" fillId="0" borderId="16" xfId="0" applyNumberFormat="1" applyFont="1" applyBorder="1"/>
    <xf numFmtId="0" fontId="13" fillId="11" borderId="12" xfId="0" applyFont="1" applyFill="1" applyBorder="1"/>
    <xf numFmtId="0" fontId="13" fillId="6" borderId="36" xfId="0" applyFont="1" applyFill="1" applyBorder="1"/>
    <xf numFmtId="0" fontId="13" fillId="6" borderId="15" xfId="0" applyFont="1" applyFill="1" applyBorder="1"/>
    <xf numFmtId="164" fontId="13" fillId="6" borderId="15" xfId="0" applyNumberFormat="1" applyFont="1" applyFill="1" applyBorder="1"/>
    <xf numFmtId="166" fontId="13" fillId="6" borderId="15" xfId="0" applyNumberFormat="1" applyFont="1" applyFill="1" applyBorder="1"/>
    <xf numFmtId="164" fontId="13" fillId="6" borderId="12" xfId="0" applyNumberFormat="1" applyFont="1" applyFill="1" applyBorder="1"/>
    <xf numFmtId="0" fontId="11" fillId="0" borderId="0" xfId="0" applyFont="1" applyBorder="1"/>
    <xf numFmtId="1" fontId="15" fillId="0" borderId="10" xfId="0" applyNumberFormat="1" applyFont="1" applyBorder="1" applyAlignment="1">
      <alignment horizontal="left" vertical="top" shrinkToFit="1"/>
    </xf>
    <xf numFmtId="0" fontId="16" fillId="0" borderId="10" xfId="0" applyFont="1" applyBorder="1" applyAlignment="1">
      <alignment horizontal="left" vertical="top" wrapText="1"/>
    </xf>
    <xf numFmtId="0" fontId="17" fillId="0" borderId="10" xfId="0" applyFont="1" applyBorder="1"/>
    <xf numFmtId="167" fontId="13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19" fillId="7" borderId="10" xfId="0" applyNumberFormat="1" applyFont="1" applyFill="1" applyBorder="1"/>
    <xf numFmtId="8" fontId="18" fillId="6" borderId="21" xfId="0" applyNumberFormat="1" applyFont="1" applyFill="1" applyBorder="1"/>
    <xf numFmtId="164" fontId="13" fillId="14" borderId="10" xfId="0" applyNumberFormat="1" applyFont="1" applyFill="1" applyBorder="1"/>
    <xf numFmtId="166" fontId="13" fillId="14" borderId="10" xfId="0" applyNumberFormat="1" applyFont="1" applyFill="1" applyBorder="1"/>
    <xf numFmtId="164" fontId="13" fillId="14" borderId="16" xfId="0" applyNumberFormat="1" applyFont="1" applyFill="1" applyBorder="1"/>
    <xf numFmtId="0" fontId="0" fillId="15" borderId="0" xfId="0" applyFill="1" applyBorder="1"/>
    <xf numFmtId="0" fontId="4" fillId="0" borderId="0" xfId="0" applyFont="1" applyBorder="1"/>
    <xf numFmtId="169" fontId="12" fillId="10" borderId="4" xfId="1" applyNumberFormat="1" applyFont="1" applyFill="1" applyBorder="1"/>
    <xf numFmtId="8" fontId="22" fillId="8" borderId="10" xfId="0" applyNumberFormat="1" applyFont="1" applyFill="1" applyBorder="1"/>
    <xf numFmtId="8" fontId="8" fillId="7" borderId="11" xfId="0" applyNumberFormat="1" applyFont="1" applyFill="1" applyBorder="1"/>
    <xf numFmtId="8" fontId="22" fillId="8" borderId="11" xfId="0" applyNumberFormat="1" applyFont="1" applyFill="1" applyBorder="1"/>
    <xf numFmtId="8" fontId="18" fillId="6" borderId="11" xfId="0" applyNumberFormat="1" applyFont="1" applyFill="1" applyBorder="1"/>
    <xf numFmtId="8" fontId="23" fillId="6" borderId="10" xfId="0" applyNumberFormat="1" applyFont="1" applyFill="1" applyBorder="1"/>
    <xf numFmtId="164" fontId="18" fillId="6" borderId="11" xfId="0" applyNumberFormat="1" applyFont="1" applyFill="1" applyBorder="1"/>
    <xf numFmtId="164" fontId="18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23" fillId="6" borderId="10" xfId="0" applyFont="1" applyFill="1" applyBorder="1"/>
    <xf numFmtId="0" fontId="3" fillId="0" borderId="0" xfId="0" applyFont="1" applyBorder="1"/>
    <xf numFmtId="1" fontId="15" fillId="14" borderId="10" xfId="0" applyNumberFormat="1" applyFont="1" applyFill="1" applyBorder="1" applyAlignment="1">
      <alignment horizontal="left" vertical="top" shrinkToFit="1"/>
    </xf>
    <xf numFmtId="0" fontId="16" fillId="14" borderId="10" xfId="0" applyFont="1" applyFill="1" applyBorder="1" applyAlignment="1">
      <alignment horizontal="left" vertical="top" wrapText="1"/>
    </xf>
    <xf numFmtId="0" fontId="13" fillId="14" borderId="10" xfId="0" applyFont="1" applyFill="1" applyBorder="1" applyAlignment="1">
      <alignment wrapText="1"/>
    </xf>
    <xf numFmtId="0" fontId="13" fillId="14" borderId="10" xfId="0" applyFont="1" applyFill="1" applyBorder="1" applyAlignment="1">
      <alignment horizontal="center"/>
    </xf>
    <xf numFmtId="0" fontId="13" fillId="14" borderId="10" xfId="0" applyFont="1" applyFill="1" applyBorder="1"/>
    <xf numFmtId="0" fontId="2" fillId="0" borderId="0" xfId="0" applyFont="1" applyBorder="1"/>
    <xf numFmtId="169" fontId="0" fillId="16" borderId="0" xfId="0" applyNumberFormat="1" applyFill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1" fontId="15" fillId="17" borderId="10" xfId="0" applyNumberFormat="1" applyFont="1" applyFill="1" applyBorder="1" applyAlignment="1">
      <alignment horizontal="left" vertical="top" shrinkToFit="1"/>
    </xf>
    <xf numFmtId="0" fontId="16" fillId="17" borderId="10" xfId="0" applyFont="1" applyFill="1" applyBorder="1" applyAlignment="1">
      <alignment horizontal="left" vertical="top" wrapText="1"/>
    </xf>
    <xf numFmtId="0" fontId="13" fillId="17" borderId="10" xfId="0" applyFont="1" applyFill="1" applyBorder="1" applyAlignment="1">
      <alignment wrapText="1"/>
    </xf>
    <xf numFmtId="0" fontId="13" fillId="17" borderId="10" xfId="0" applyFont="1" applyFill="1" applyBorder="1" applyAlignment="1">
      <alignment horizontal="center"/>
    </xf>
    <xf numFmtId="164" fontId="13" fillId="17" borderId="10" xfId="0" applyNumberFormat="1" applyFont="1" applyFill="1" applyBorder="1"/>
    <xf numFmtId="166" fontId="13" fillId="18" borderId="10" xfId="0" applyNumberFormat="1" applyFont="1" applyFill="1" applyBorder="1"/>
    <xf numFmtId="166" fontId="13" fillId="17" borderId="10" xfId="0" applyNumberFormat="1" applyFont="1" applyFill="1" applyBorder="1"/>
    <xf numFmtId="164" fontId="13" fillId="17" borderId="16" xfId="0" applyNumberFormat="1" applyFont="1" applyFill="1" applyBorder="1"/>
    <xf numFmtId="164" fontId="20" fillId="7" borderId="10" xfId="0" applyNumberFormat="1" applyFont="1" applyFill="1" applyBorder="1"/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0" fillId="0" borderId="10" xfId="1" applyNumberFormat="1" applyFont="1" applyBorder="1"/>
    <xf numFmtId="164" fontId="8" fillId="7" borderId="20" xfId="0" applyNumberFormat="1" applyFont="1" applyFill="1" applyBorder="1"/>
    <xf numFmtId="164" fontId="13" fillId="14" borderId="34" xfId="0" applyNumberFormat="1" applyFont="1" applyFill="1" applyBorder="1"/>
    <xf numFmtId="164" fontId="13" fillId="14" borderId="35" xfId="0" applyNumberFormat="1" applyFont="1" applyFill="1" applyBorder="1"/>
    <xf numFmtId="164" fontId="13" fillId="17" borderId="34" xfId="0" applyNumberFormat="1" applyFont="1" applyFill="1" applyBorder="1"/>
    <xf numFmtId="164" fontId="13" fillId="17" borderId="35" xfId="0" applyNumberFormat="1" applyFont="1" applyFill="1" applyBorder="1"/>
    <xf numFmtId="8" fontId="8" fillId="7" borderId="10" xfId="0" applyNumberFormat="1" applyFont="1" applyFill="1" applyBorder="1"/>
    <xf numFmtId="0" fontId="24" fillId="0" borderId="0" xfId="0" applyFont="1" applyBorder="1"/>
    <xf numFmtId="0" fontId="8" fillId="0" borderId="0" xfId="0" applyFont="1" applyBorder="1"/>
    <xf numFmtId="0" fontId="18" fillId="0" borderId="0" xfId="0" applyFont="1" applyBorder="1"/>
    <xf numFmtId="0" fontId="18" fillId="5" borderId="1" xfId="0" applyFont="1" applyFill="1" applyBorder="1"/>
    <xf numFmtId="0" fontId="18" fillId="5" borderId="2" xfId="0" applyFont="1" applyFill="1" applyBorder="1"/>
    <xf numFmtId="10" fontId="18" fillId="5" borderId="2" xfId="0" applyNumberFormat="1" applyFont="1" applyFill="1" applyBorder="1"/>
    <xf numFmtId="0" fontId="8" fillId="5" borderId="2" xfId="0" applyFont="1" applyFill="1" applyBorder="1"/>
    <xf numFmtId="0" fontId="8" fillId="5" borderId="3" xfId="0" applyFont="1" applyFill="1" applyBorder="1"/>
    <xf numFmtId="0" fontId="8" fillId="0" borderId="10" xfId="0" applyFont="1" applyBorder="1"/>
    <xf numFmtId="0" fontId="8" fillId="0" borderId="27" xfId="0" applyFont="1"/>
    <xf numFmtId="0" fontId="22" fillId="8" borderId="10" xfId="0" applyFont="1" applyFill="1" applyBorder="1"/>
    <xf numFmtId="0" fontId="8" fillId="8" borderId="10" xfId="0" applyFont="1" applyFill="1" applyBorder="1"/>
    <xf numFmtId="0" fontId="18" fillId="6" borderId="10" xfId="0" applyFont="1" applyFill="1" applyBorder="1"/>
    <xf numFmtId="8" fontId="26" fillId="6" borderId="12" xfId="0" applyNumberFormat="1" applyFont="1" applyFill="1" applyBorder="1"/>
    <xf numFmtId="8" fontId="8" fillId="0" borderId="0" xfId="0" applyNumberFormat="1" applyFont="1" applyBorder="1"/>
    <xf numFmtId="164" fontId="27" fillId="6" borderId="13" xfId="0" applyNumberFormat="1" applyFont="1" applyFill="1" applyBorder="1"/>
    <xf numFmtId="0" fontId="8" fillId="0" borderId="10" xfId="0" applyFont="1" applyBorder="1" applyAlignment="1">
      <alignment horizontal="left" vertical="center"/>
    </xf>
    <xf numFmtId="0" fontId="8" fillId="14" borderId="10" xfId="0" applyFont="1" applyFill="1" applyBorder="1" applyAlignment="1">
      <alignment wrapText="1"/>
    </xf>
    <xf numFmtId="8" fontId="8" fillId="14" borderId="10" xfId="0" applyNumberFormat="1" applyFont="1" applyFill="1" applyBorder="1"/>
    <xf numFmtId="164" fontId="20" fillId="0" borderId="14" xfId="0" applyNumberFormat="1" applyFont="1" applyBorder="1"/>
    <xf numFmtId="0" fontId="8" fillId="0" borderId="10" xfId="0" applyFont="1" applyBorder="1" applyAlignment="1">
      <alignment vertical="center"/>
    </xf>
    <xf numFmtId="8" fontId="26" fillId="6" borderId="15" xfId="0" applyNumberFormat="1" applyFont="1" applyFill="1" applyBorder="1"/>
    <xf numFmtId="164" fontId="26" fillId="6" borderId="10" xfId="0" applyNumberFormat="1" applyFont="1" applyFill="1" applyBorder="1"/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 applyAlignment="1">
      <alignment vertical="center" wrapText="1"/>
    </xf>
    <xf numFmtId="0" fontId="20" fillId="0" borderId="10" xfId="0" applyFont="1" applyBorder="1"/>
    <xf numFmtId="164" fontId="26" fillId="6" borderId="12" xfId="0" applyNumberFormat="1" applyFont="1" applyFill="1" applyBorder="1"/>
    <xf numFmtId="0" fontId="8" fillId="6" borderId="10" xfId="0" applyFont="1" applyFill="1" applyBorder="1"/>
    <xf numFmtId="164" fontId="20" fillId="6" borderId="13" xfId="0" applyNumberFormat="1" applyFont="1" applyFill="1" applyBorder="1"/>
    <xf numFmtId="0" fontId="8" fillId="7" borderId="10" xfId="0" applyFont="1" applyFill="1" applyBorder="1"/>
    <xf numFmtId="0" fontId="20" fillId="7" borderId="10" xfId="0" applyFont="1" applyFill="1" applyBorder="1"/>
    <xf numFmtId="0" fontId="8" fillId="0" borderId="20" xfId="0" applyFont="1" applyBorder="1"/>
    <xf numFmtId="0" fontId="20" fillId="0" borderId="20" xfId="0" applyFont="1" applyBorder="1"/>
    <xf numFmtId="0" fontId="24" fillId="0" borderId="27" xfId="0" applyFont="1"/>
    <xf numFmtId="0" fontId="20" fillId="0" borderId="17" xfId="0" applyFont="1" applyBorder="1"/>
    <xf numFmtId="0" fontId="18" fillId="6" borderId="14" xfId="0" applyFont="1" applyFill="1" applyBorder="1"/>
    <xf numFmtId="0" fontId="8" fillId="6" borderId="14" xfId="0" applyFont="1" applyFill="1" applyBorder="1"/>
    <xf numFmtId="16" fontId="20" fillId="7" borderId="10" xfId="0" applyNumberFormat="1" applyFont="1" applyFill="1" applyBorder="1" applyAlignment="1">
      <alignment horizontal="left" wrapText="1"/>
    </xf>
    <xf numFmtId="0" fontId="8" fillId="0" borderId="16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164" fontId="8" fillId="7" borderId="10" xfId="0" applyNumberFormat="1" applyFont="1" applyFill="1" applyBorder="1" applyAlignment="1">
      <alignment horizontal="left" wrapText="1"/>
    </xf>
    <xf numFmtId="0" fontId="8" fillId="0" borderId="0" xfId="0" applyFont="1" applyBorder="1" applyAlignment="1">
      <alignment horizontal="left" vertical="center" wrapText="1"/>
    </xf>
    <xf numFmtId="0" fontId="8" fillId="0" borderId="10" xfId="0" applyFont="1" applyBorder="1" applyAlignment="1">
      <alignment wrapText="1"/>
    </xf>
    <xf numFmtId="164" fontId="8" fillId="7" borderId="10" xfId="0" applyNumberFormat="1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0" fontId="20" fillId="0" borderId="10" xfId="0" applyFont="1" applyBorder="1" applyAlignment="1">
      <alignment horizontal="left"/>
    </xf>
    <xf numFmtId="0" fontId="8" fillId="0" borderId="16" xfId="0" applyFont="1" applyBorder="1"/>
    <xf numFmtId="0" fontId="20" fillId="0" borderId="17" xfId="0" applyFont="1" applyBorder="1" applyAlignment="1">
      <alignment horizontal="left"/>
    </xf>
    <xf numFmtId="16" fontId="8" fillId="0" borderId="16" xfId="0" applyNumberFormat="1" applyFont="1" applyBorder="1" applyAlignment="1">
      <alignment vertical="center" wrapText="1"/>
    </xf>
    <xf numFmtId="16" fontId="8" fillId="0" borderId="8" xfId="0" applyNumberFormat="1" applyFont="1" applyBorder="1" applyAlignment="1">
      <alignment vertical="center" wrapText="1"/>
    </xf>
    <xf numFmtId="164" fontId="20" fillId="0" borderId="10" xfId="0" applyNumberFormat="1" applyFont="1" applyBorder="1"/>
    <xf numFmtId="16" fontId="8" fillId="0" borderId="10" xfId="0" applyNumberFormat="1" applyFont="1" applyBorder="1" applyAlignment="1">
      <alignment vertical="center" wrapText="1"/>
    </xf>
    <xf numFmtId="164" fontId="26" fillId="6" borderId="15" xfId="0" applyNumberFormat="1" applyFont="1" applyFill="1" applyBorder="1"/>
    <xf numFmtId="164" fontId="26" fillId="6" borderId="20" xfId="0" applyNumberFormat="1" applyFont="1" applyFill="1" applyBorder="1"/>
    <xf numFmtId="0" fontId="18" fillId="6" borderId="10" xfId="0" applyFont="1" applyFill="1" applyBorder="1" applyAlignment="1">
      <alignment wrapText="1"/>
    </xf>
    <xf numFmtId="164" fontId="8" fillId="7" borderId="13" xfId="0" applyNumberFormat="1" applyFont="1" applyFill="1" applyBorder="1"/>
    <xf numFmtId="164" fontId="20" fillId="7" borderId="13" xfId="0" applyNumberFormat="1" applyFont="1" applyFill="1" applyBorder="1"/>
    <xf numFmtId="0" fontId="18" fillId="6" borderId="13" xfId="0" applyFont="1" applyFill="1" applyBorder="1"/>
    <xf numFmtId="0" fontId="20" fillId="0" borderId="22" xfId="0" applyFont="1" applyBorder="1"/>
    <xf numFmtId="0" fontId="18" fillId="9" borderId="10" xfId="0" applyFont="1" applyFill="1" applyBorder="1"/>
    <xf numFmtId="0" fontId="18" fillId="9" borderId="11" xfId="0" applyFont="1" applyFill="1" applyBorder="1"/>
    <xf numFmtId="164" fontId="26" fillId="9" borderId="15" xfId="0" applyNumberFormat="1" applyFont="1" applyFill="1" applyBorder="1"/>
    <xf numFmtId="0" fontId="8" fillId="0" borderId="23" xfId="0" applyFont="1" applyBorder="1"/>
    <xf numFmtId="0" fontId="20" fillId="0" borderId="24" xfId="0" applyFont="1" applyBorder="1"/>
    <xf numFmtId="164" fontId="8" fillId="0" borderId="0" xfId="0" applyNumberFormat="1" applyFont="1" applyBorder="1"/>
    <xf numFmtId="0" fontId="24" fillId="14" borderId="0" xfId="0" applyFont="1" applyFill="1" applyBorder="1"/>
    <xf numFmtId="0" fontId="18" fillId="5" borderId="5" xfId="0" applyFont="1" applyFill="1" applyBorder="1"/>
    <xf numFmtId="10" fontId="18" fillId="5" borderId="6" xfId="0" applyNumberFormat="1" applyFont="1" applyFill="1" applyBorder="1"/>
    <xf numFmtId="0" fontId="18" fillId="5" borderId="6" xfId="0" applyFont="1" applyFill="1" applyBorder="1"/>
    <xf numFmtId="164" fontId="26" fillId="5" borderId="7" xfId="0" applyNumberFormat="1" applyFont="1" applyFill="1" applyBorder="1"/>
    <xf numFmtId="43" fontId="28" fillId="0" borderId="0" xfId="0" applyNumberFormat="1" applyFont="1" applyBorder="1"/>
    <xf numFmtId="170" fontId="8" fillId="19" borderId="4" xfId="0" applyNumberFormat="1" applyFont="1" applyFill="1" applyBorder="1"/>
    <xf numFmtId="0" fontId="8" fillId="14" borderId="0" xfId="0" applyFont="1" applyFill="1" applyBorder="1"/>
    <xf numFmtId="0" fontId="8" fillId="0" borderId="37" xfId="0" applyFont="1" applyBorder="1" applyAlignment="1">
      <alignment wrapText="1"/>
    </xf>
    <xf numFmtId="0" fontId="29" fillId="0" borderId="10" xfId="0" applyFont="1" applyBorder="1"/>
    <xf numFmtId="0" fontId="18" fillId="6" borderId="4" xfId="0" applyFont="1" applyFill="1" applyBorder="1"/>
    <xf numFmtId="0" fontId="8" fillId="6" borderId="4" xfId="0" applyFont="1" applyFill="1" applyBorder="1"/>
    <xf numFmtId="164" fontId="8" fillId="6" borderId="4" xfId="0" applyNumberFormat="1" applyFont="1" applyFill="1" applyBorder="1"/>
    <xf numFmtId="0" fontId="18" fillId="9" borderId="37" xfId="0" applyFont="1" applyFill="1" applyBorder="1"/>
    <xf numFmtId="164" fontId="29" fillId="9" borderId="37" xfId="0" applyNumberFormat="1" applyFont="1" applyFill="1" applyBorder="1" applyAlignment="1">
      <alignment vertical="center"/>
    </xf>
    <xf numFmtId="0" fontId="26" fillId="4" borderId="5" xfId="0" applyFont="1" applyFill="1" applyBorder="1"/>
    <xf numFmtId="164" fontId="26" fillId="4" borderId="7" xfId="0" applyNumberFormat="1" applyFont="1" applyFill="1" applyBorder="1"/>
    <xf numFmtId="0" fontId="26" fillId="10" borderId="27" xfId="0" applyFont="1" applyFill="1"/>
    <xf numFmtId="164" fontId="26" fillId="7" borderId="20" xfId="0" applyNumberFormat="1" applyFont="1" applyFill="1" applyBorder="1"/>
    <xf numFmtId="165" fontId="20" fillId="0" borderId="0" xfId="0" applyNumberFormat="1" applyFont="1" applyBorder="1"/>
    <xf numFmtId="0" fontId="26" fillId="7" borderId="37" xfId="0" applyFont="1" applyFill="1" applyBorder="1" applyAlignment="1">
      <alignment vertical="center" wrapText="1"/>
    </xf>
    <xf numFmtId="4" fontId="18" fillId="0" borderId="37" xfId="0" applyNumberFormat="1" applyFont="1" applyBorder="1"/>
    <xf numFmtId="4" fontId="8" fillId="0" borderId="0" xfId="0" applyNumberFormat="1" applyFont="1" applyBorder="1"/>
    <xf numFmtId="0" fontId="26" fillId="0" borderId="14" xfId="0" applyFont="1" applyBorder="1"/>
    <xf numFmtId="164" fontId="20" fillId="7" borderId="14" xfId="0" applyNumberFormat="1" applyFont="1" applyFill="1" applyBorder="1"/>
    <xf numFmtId="165" fontId="20" fillId="0" borderId="27" xfId="0" applyNumberFormat="1" applyFont="1"/>
    <xf numFmtId="0" fontId="26" fillId="0" borderId="10" xfId="0" applyFont="1" applyBorder="1"/>
    <xf numFmtId="0" fontId="26" fillId="0" borderId="10" xfId="0" applyFont="1" applyBorder="1" applyAlignment="1">
      <alignment vertical="top" wrapText="1"/>
    </xf>
    <xf numFmtId="0" fontId="26" fillId="0" borderId="10" xfId="0" applyFont="1" applyBorder="1" applyAlignment="1">
      <alignment vertical="center" wrapText="1"/>
    </xf>
    <xf numFmtId="0" fontId="18" fillId="0" borderId="10" xfId="0" applyFont="1" applyBorder="1"/>
    <xf numFmtId="164" fontId="18" fillId="0" borderId="10" xfId="0" applyNumberFormat="1" applyFont="1" applyBorder="1"/>
    <xf numFmtId="4" fontId="26" fillId="0" borderId="0" xfId="0" applyNumberFormat="1" applyFont="1" applyBorder="1"/>
    <xf numFmtId="164" fontId="20" fillId="0" borderId="0" xfId="0" applyNumberFormat="1" applyFont="1" applyBorder="1"/>
    <xf numFmtId="4" fontId="26" fillId="0" borderId="0" xfId="0" applyNumberFormat="1" applyFont="1" applyBorder="1" applyAlignment="1">
      <alignment wrapText="1"/>
    </xf>
    <xf numFmtId="0" fontId="18" fillId="10" borderId="10" xfId="0" applyFont="1" applyFill="1" applyBorder="1"/>
    <xf numFmtId="164" fontId="8" fillId="0" borderId="0" xfId="0" applyNumberFormat="1" applyFont="1" applyBorder="1" applyAlignment="1">
      <alignment wrapText="1"/>
    </xf>
    <xf numFmtId="165" fontId="8" fillId="0" borderId="0" xfId="0" applyNumberFormat="1" applyFont="1" applyBorder="1"/>
    <xf numFmtId="169" fontId="8" fillId="0" borderId="10" xfId="1" applyNumberFormat="1" applyFont="1" applyBorder="1"/>
    <xf numFmtId="14" fontId="8" fillId="0" borderId="10" xfId="0" applyNumberFormat="1" applyFont="1" applyBorder="1"/>
    <xf numFmtId="164" fontId="19" fillId="18" borderId="10" xfId="0" applyNumberFormat="1" applyFont="1" applyFill="1" applyBorder="1"/>
    <xf numFmtId="164" fontId="19" fillId="12" borderId="10" xfId="0" applyNumberFormat="1" applyFont="1" applyFill="1" applyBorder="1"/>
    <xf numFmtId="0" fontId="24" fillId="0" borderId="0" xfId="0" applyFont="1" applyBorder="1"/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8" fillId="0" borderId="10" xfId="0" applyFont="1" applyBorder="1" applyAlignment="1">
      <alignment horizontal="left" vertical="center" wrapText="1"/>
    </xf>
    <xf numFmtId="0" fontId="24" fillId="0" borderId="18" xfId="0" applyFont="1" applyBorder="1"/>
    <xf numFmtId="0" fontId="24" fillId="0" borderId="21" xfId="0" applyFont="1" applyBorder="1"/>
    <xf numFmtId="0" fontId="24" fillId="0" borderId="19" xfId="0" applyFont="1" applyBorder="1"/>
    <xf numFmtId="0" fontId="9" fillId="3" borderId="27" xfId="0" applyFont="1" applyFill="1" applyAlignment="1">
      <alignment horizontal="center" vertical="center"/>
    </xf>
    <xf numFmtId="0" fontId="0" fillId="0" borderId="0" xfId="0" applyBorder="1"/>
    <xf numFmtId="0" fontId="24" fillId="0" borderId="9" xfId="0" applyFont="1" applyBorder="1"/>
    <xf numFmtId="0" fontId="24" fillId="0" borderId="9" xfId="0" applyFont="1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25" fillId="4" borderId="27" xfId="0" applyFont="1" applyFill="1" applyAlignment="1">
      <alignment horizontal="center" vertical="center" wrapText="1"/>
    </xf>
    <xf numFmtId="0" fontId="24" fillId="0" borderId="0" xfId="0" applyFont="1" applyBorder="1"/>
    <xf numFmtId="0" fontId="20" fillId="7" borderId="10" xfId="0" applyFont="1" applyFill="1" applyBorder="1" applyAlignment="1">
      <alignment horizontal="left"/>
    </xf>
    <xf numFmtId="0" fontId="24" fillId="0" borderId="14" xfId="0" applyFont="1" applyBorder="1"/>
    <xf numFmtId="0" fontId="8" fillId="0" borderId="16" xfId="0" applyFont="1" applyBorder="1" applyAlignment="1">
      <alignment horizontal="left" wrapText="1"/>
    </xf>
    <xf numFmtId="0" fontId="8" fillId="0" borderId="9" xfId="0" applyFont="1" applyBorder="1" applyAlignment="1">
      <alignment horizontal="left" wrapText="1"/>
    </xf>
    <xf numFmtId="0" fontId="18" fillId="10" borderId="27" xfId="0" applyFont="1" applyFill="1" applyAlignment="1">
      <alignment horizontal="center" vertical="center"/>
    </xf>
    <xf numFmtId="164" fontId="8" fillId="7" borderId="10" xfId="0" applyNumberFormat="1" applyFont="1" applyFill="1" applyBorder="1" applyAlignment="1">
      <alignment horizontal="center"/>
    </xf>
    <xf numFmtId="0" fontId="8" fillId="0" borderId="10" xfId="0" applyFont="1" applyBorder="1" applyAlignment="1">
      <alignment horizontal="left" wrapText="1"/>
    </xf>
    <xf numFmtId="0" fontId="8" fillId="7" borderId="10" xfId="0" applyFont="1" applyFill="1" applyBorder="1" applyAlignment="1">
      <alignment horizontal="left" vertical="center" wrapText="1"/>
    </xf>
    <xf numFmtId="0" fontId="18" fillId="17" borderId="27" xfId="0" applyFont="1" applyFill="1" applyAlignment="1">
      <alignment horizontal="left" vertical="center" wrapText="1"/>
    </xf>
    <xf numFmtId="0" fontId="5" fillId="2" borderId="29" xfId="0" applyFont="1" applyFill="1" applyBorder="1" applyAlignment="1">
      <alignment horizontal="center" vertical="center"/>
    </xf>
    <xf numFmtId="0" fontId="0" fillId="0" borderId="30" xfId="0" applyBorder="1"/>
    <xf numFmtId="0" fontId="11" fillId="2" borderId="29" xfId="0" applyFont="1" applyFill="1" applyBorder="1" applyAlignment="1">
      <alignment horizontal="center" vertical="center"/>
    </xf>
    <xf numFmtId="0" fontId="11" fillId="2" borderId="38" xfId="0" applyFont="1" applyFill="1" applyBorder="1" applyAlignment="1">
      <alignment horizontal="center" vertical="center"/>
    </xf>
    <xf numFmtId="0" fontId="0" fillId="0" borderId="33" xfId="0" applyBorder="1"/>
    <xf numFmtId="0" fontId="6" fillId="3" borderId="27" xfId="0" applyFont="1" applyFill="1" applyAlignment="1">
      <alignment horizontal="center" vertical="center" wrapText="1"/>
    </xf>
    <xf numFmtId="0" fontId="11" fillId="2" borderId="38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1" fillId="2" borderId="29" xfId="0" applyFont="1" applyFill="1" applyBorder="1" applyAlignment="1">
      <alignment horizontal="center" vertical="center" wrapText="1"/>
    </xf>
    <xf numFmtId="0" fontId="5" fillId="2" borderId="27" xfId="0" applyFont="1" applyFill="1" applyAlignment="1">
      <alignment horizontal="left"/>
    </xf>
    <xf numFmtId="0" fontId="11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1" fillId="2" borderId="28" xfId="0" applyFont="1" applyFill="1" applyBorder="1" applyAlignment="1">
      <alignment horizontal="center" vertical="center" wrapText="1"/>
    </xf>
    <xf numFmtId="0" fontId="13" fillId="2" borderId="38" xfId="0" applyFont="1" applyFill="1" applyBorder="1" applyAlignment="1">
      <alignment horizontal="center" vertical="center" wrapText="1"/>
    </xf>
    <xf numFmtId="0" fontId="24" fillId="0" borderId="27" xfId="0" applyFont="1" applyBorder="1"/>
    <xf numFmtId="0" fontId="0" fillId="0" borderId="27" xfId="0" applyBorder="1"/>
    <xf numFmtId="0" fontId="8" fillId="0" borderId="16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166" fontId="13" fillId="14" borderId="16" xfId="0" applyNumberFormat="1" applyFont="1" applyFill="1" applyBorder="1"/>
    <xf numFmtId="164" fontId="8" fillId="14" borderId="10" xfId="0" applyNumberFormat="1" applyFont="1" applyFill="1" applyBorder="1"/>
    <xf numFmtId="164" fontId="8" fillId="7" borderId="10" xfId="0" applyNumberFormat="1" applyFont="1" applyFill="1" applyBorder="1" applyAlignment="1">
      <alignment horizontal="right"/>
    </xf>
    <xf numFmtId="0" fontId="8" fillId="0" borderId="27" xfId="0" applyFont="1" applyBorder="1"/>
    <xf numFmtId="0" fontId="5" fillId="0" borderId="27" xfId="0" applyFont="1" applyBorder="1"/>
    <xf numFmtId="44" fontId="24" fillId="0" borderId="0" xfId="2" applyFont="1" applyBorder="1"/>
    <xf numFmtId="44" fontId="24" fillId="0" borderId="0" xfId="0" applyNumberFormat="1" applyFont="1" applyBorder="1"/>
  </cellXfs>
  <cellStyles count="3">
    <cellStyle name="Moneda" xfId="2" builtinId="4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opLeftCell="A72" workbookViewId="0">
      <selection activeCell="H116" sqref="F73:H116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11" ht="15.75" customHeight="1" x14ac:dyDescent="0.25">
      <c r="A1" s="80"/>
      <c r="B1" s="81"/>
      <c r="C1" s="82"/>
      <c r="D1" s="82"/>
      <c r="E1" s="83"/>
      <c r="F1" s="1"/>
      <c r="G1" s="1"/>
      <c r="H1" s="1"/>
    </row>
    <row r="2" spans="1:11" x14ac:dyDescent="0.25">
      <c r="A2" s="84"/>
      <c r="B2" s="85" t="s">
        <v>0</v>
      </c>
      <c r="C2" s="79"/>
      <c r="D2" s="79"/>
      <c r="E2" s="86"/>
      <c r="F2" s="1"/>
      <c r="G2" s="1"/>
      <c r="H2" s="1"/>
    </row>
    <row r="3" spans="1:11" ht="15.75" customHeight="1" thickBot="1" x14ac:dyDescent="0.3">
      <c r="A3" s="84"/>
      <c r="B3" s="219" t="s">
        <v>1</v>
      </c>
      <c r="C3" s="220"/>
      <c r="D3" s="220"/>
      <c r="E3" s="86"/>
      <c r="F3" s="1"/>
      <c r="G3" s="1"/>
      <c r="H3" s="1"/>
    </row>
    <row r="4" spans="1:11" ht="32.25" customHeight="1" thickBot="1" x14ac:dyDescent="0.3">
      <c r="A4" s="84"/>
      <c r="B4" s="221"/>
      <c r="C4" s="221"/>
      <c r="D4" s="221"/>
      <c r="E4" s="86"/>
      <c r="F4" s="1"/>
      <c r="G4" s="1"/>
      <c r="H4" s="1"/>
    </row>
    <row r="5" spans="1:11" ht="15.75" customHeight="1" thickBot="1" x14ac:dyDescent="0.3">
      <c r="A5" s="87" t="s">
        <v>2</v>
      </c>
      <c r="B5" s="2" t="s">
        <v>3</v>
      </c>
      <c r="C5" s="3"/>
      <c r="D5" s="3"/>
      <c r="E5" s="88"/>
      <c r="F5" s="1"/>
      <c r="G5" s="1"/>
      <c r="H5" s="1"/>
    </row>
    <row r="6" spans="1:11" x14ac:dyDescent="0.25">
      <c r="A6" s="89" t="s">
        <v>167</v>
      </c>
      <c r="B6" s="4"/>
      <c r="C6" s="90"/>
      <c r="D6" s="90"/>
      <c r="E6" s="91"/>
      <c r="F6" s="1"/>
      <c r="G6" s="47"/>
      <c r="H6" s="47"/>
      <c r="I6" s="48"/>
    </row>
    <row r="7" spans="1:11" ht="15" customHeight="1" thickBot="1" x14ac:dyDescent="0.3">
      <c r="A7" s="230" t="s">
        <v>4</v>
      </c>
      <c r="B7" s="231"/>
      <c r="C7" s="231"/>
      <c r="D7" s="231"/>
      <c r="E7" s="232"/>
      <c r="F7" s="5"/>
      <c r="G7" s="49"/>
      <c r="H7" s="49"/>
      <c r="I7" s="48"/>
    </row>
    <row r="8" spans="1:11" ht="15" customHeight="1" x14ac:dyDescent="0.25">
      <c r="G8" s="48"/>
      <c r="H8" s="48"/>
      <c r="I8" s="48"/>
    </row>
    <row r="9" spans="1:11" x14ac:dyDescent="0.25">
      <c r="A9" s="1"/>
      <c r="B9" s="226" t="s">
        <v>181</v>
      </c>
      <c r="C9" s="227"/>
      <c r="D9" s="1"/>
      <c r="E9" s="1"/>
      <c r="F9" s="1"/>
      <c r="G9" s="1"/>
      <c r="H9" s="1"/>
    </row>
    <row r="10" spans="1:11" x14ac:dyDescent="0.25">
      <c r="A10" s="1"/>
      <c r="B10" s="227"/>
      <c r="C10" s="227"/>
      <c r="D10" s="1"/>
      <c r="E10" s="1"/>
      <c r="F10" s="1"/>
      <c r="G10" s="1"/>
      <c r="H10" s="1"/>
    </row>
    <row r="11" spans="1:11" x14ac:dyDescent="0.25">
      <c r="A11" s="1"/>
      <c r="B11" s="227"/>
      <c r="C11" s="227"/>
      <c r="D11" s="1"/>
      <c r="E11" s="1"/>
      <c r="F11" s="1"/>
      <c r="G11" s="1"/>
      <c r="H11" s="1"/>
    </row>
    <row r="12" spans="1:11" x14ac:dyDescent="0.25">
      <c r="B12" t="s">
        <v>165</v>
      </c>
    </row>
    <row r="13" spans="1:11" hidden="1" x14ac:dyDescent="0.25">
      <c r="A13" s="1"/>
      <c r="B13" s="1"/>
      <c r="C13" s="1"/>
      <c r="D13" s="1"/>
      <c r="E13" s="1"/>
      <c r="F13" s="1"/>
      <c r="G13" s="1"/>
      <c r="H13" s="1"/>
    </row>
    <row r="14" spans="1:11" ht="15" customHeight="1" x14ac:dyDescent="0.25">
      <c r="A14" s="233" t="s">
        <v>5</v>
      </c>
      <c r="B14" s="234"/>
      <c r="C14" s="234"/>
      <c r="D14" s="234"/>
      <c r="E14" s="234"/>
      <c r="F14" s="113"/>
      <c r="G14" s="113"/>
      <c r="H14" s="113"/>
      <c r="I14" s="112"/>
      <c r="J14" s="112"/>
      <c r="K14" s="112"/>
    </row>
    <row r="15" spans="1:11" ht="15" customHeight="1" x14ac:dyDescent="0.25">
      <c r="A15" s="234"/>
      <c r="B15" s="234"/>
      <c r="C15" s="234"/>
      <c r="D15" s="234"/>
      <c r="E15" s="234"/>
      <c r="F15" s="113"/>
      <c r="G15" s="113"/>
      <c r="H15" s="113"/>
      <c r="I15" s="112"/>
      <c r="J15" s="112"/>
      <c r="K15" s="112"/>
    </row>
    <row r="16" spans="1:11" ht="15" customHeight="1" x14ac:dyDescent="0.25">
      <c r="A16" s="234"/>
      <c r="B16" s="234"/>
      <c r="C16" s="234"/>
      <c r="D16" s="234"/>
      <c r="E16" s="234"/>
      <c r="F16" s="113"/>
      <c r="G16" s="113"/>
      <c r="H16" s="113"/>
      <c r="I16" s="112"/>
      <c r="J16" s="112"/>
      <c r="K16" s="112"/>
    </row>
    <row r="17" spans="1:26" ht="39" customHeight="1" x14ac:dyDescent="0.25">
      <c r="A17" s="234"/>
      <c r="B17" s="234"/>
      <c r="C17" s="234"/>
      <c r="D17" s="234"/>
      <c r="E17" s="234"/>
      <c r="F17" s="112"/>
      <c r="G17" s="112"/>
      <c r="H17" s="112"/>
      <c r="I17" s="112"/>
      <c r="J17" s="112"/>
      <c r="K17" s="112"/>
    </row>
    <row r="18" spans="1:26" ht="14.25" customHeight="1" thickBot="1" x14ac:dyDescent="0.3">
      <c r="A18" s="113"/>
      <c r="B18" s="113"/>
      <c r="C18" s="113"/>
      <c r="D18" s="113"/>
      <c r="E18" s="113"/>
      <c r="F18" s="112"/>
      <c r="G18" s="112"/>
      <c r="H18" s="112"/>
      <c r="I18" s="112"/>
      <c r="J18" s="112"/>
      <c r="K18" s="112"/>
    </row>
    <row r="19" spans="1:26" hidden="1" x14ac:dyDescent="0.25">
      <c r="A19" s="114"/>
      <c r="B19" s="113"/>
      <c r="C19" s="113"/>
      <c r="D19" s="113"/>
      <c r="E19" s="113"/>
      <c r="F19" s="112"/>
      <c r="G19" s="112"/>
      <c r="H19" s="112"/>
      <c r="I19" s="112"/>
      <c r="J19" s="112"/>
      <c r="K19" s="112"/>
    </row>
    <row r="20" spans="1:26" hidden="1" x14ac:dyDescent="0.25">
      <c r="A20" s="113"/>
      <c r="B20" s="113"/>
      <c r="C20" s="113"/>
      <c r="D20" s="113"/>
      <c r="E20" s="113"/>
      <c r="F20" s="112"/>
      <c r="G20" s="112"/>
      <c r="H20" s="112"/>
      <c r="I20" s="112"/>
      <c r="J20" s="112"/>
      <c r="K20" s="112"/>
    </row>
    <row r="21" spans="1:26" ht="15.75" customHeight="1" x14ac:dyDescent="0.25">
      <c r="A21" s="115" t="s">
        <v>6</v>
      </c>
      <c r="B21" s="116"/>
      <c r="C21" s="117"/>
      <c r="D21" s="118"/>
      <c r="E21" s="119"/>
      <c r="F21" s="112"/>
      <c r="G21" s="112"/>
      <c r="H21" s="112"/>
      <c r="I21" s="112"/>
      <c r="J21" s="112"/>
      <c r="K21" s="112"/>
    </row>
    <row r="22" spans="1:26" ht="15.75" customHeight="1" x14ac:dyDescent="0.25">
      <c r="A22" s="70" t="s">
        <v>7</v>
      </c>
      <c r="B22" s="70"/>
      <c r="C22" s="70"/>
      <c r="D22" s="70"/>
      <c r="E22" s="70"/>
      <c r="F22" s="112"/>
      <c r="G22" s="112"/>
      <c r="H22" s="112"/>
      <c r="I22" s="112"/>
      <c r="J22" s="112"/>
      <c r="K22" s="112"/>
    </row>
    <row r="23" spans="1:26" ht="14.25" customHeight="1" x14ac:dyDescent="0.25">
      <c r="A23" s="120" t="s">
        <v>168</v>
      </c>
      <c r="B23" s="120"/>
      <c r="C23" s="120"/>
      <c r="D23" s="111">
        <v>908984.43</v>
      </c>
      <c r="E23" s="120"/>
      <c r="F23" s="112"/>
      <c r="G23" s="112"/>
      <c r="H23" s="112"/>
      <c r="I23" s="112"/>
      <c r="J23" s="112"/>
      <c r="K23" s="112"/>
    </row>
    <row r="24" spans="1:26" ht="15.75" hidden="1" customHeight="1" x14ac:dyDescent="0.25">
      <c r="A24" s="120"/>
      <c r="B24" s="120"/>
      <c r="C24" s="120"/>
      <c r="D24" s="111"/>
      <c r="E24" s="120"/>
      <c r="F24" s="113"/>
      <c r="G24" s="113"/>
      <c r="H24" s="113"/>
      <c r="I24" s="113"/>
      <c r="J24" s="113"/>
      <c r="K24" s="11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20"/>
      <c r="B25" s="120"/>
      <c r="C25" s="120"/>
      <c r="D25" s="111"/>
      <c r="E25" s="120"/>
      <c r="F25" s="113"/>
      <c r="G25" s="113"/>
      <c r="H25" s="113"/>
      <c r="I25" s="113"/>
      <c r="J25" s="113"/>
      <c r="K25" s="113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20" t="s">
        <v>8</v>
      </c>
      <c r="B26" s="120"/>
      <c r="C26" s="120"/>
      <c r="D26" s="111">
        <v>-224973.63</v>
      </c>
      <c r="E26" s="120"/>
      <c r="F26" s="112"/>
      <c r="G26" s="112"/>
      <c r="H26" s="112"/>
      <c r="I26" s="112"/>
      <c r="J26" s="112"/>
      <c r="K26" s="112"/>
    </row>
    <row r="27" spans="1:26" ht="15.75" customHeight="1" x14ac:dyDescent="0.25">
      <c r="A27" s="120" t="s">
        <v>9</v>
      </c>
      <c r="B27" s="120"/>
      <c r="C27" s="120"/>
      <c r="D27" s="111">
        <v>0.2</v>
      </c>
      <c r="E27" s="120"/>
      <c r="F27" s="113"/>
      <c r="G27" s="113"/>
      <c r="H27" s="113"/>
      <c r="I27" s="113"/>
      <c r="J27" s="113"/>
      <c r="K27" s="11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48" customFormat="1" ht="15.75" customHeight="1" x14ac:dyDescent="0.25">
      <c r="A28" s="120"/>
      <c r="B28" s="120"/>
      <c r="C28" s="120"/>
      <c r="D28" s="111"/>
      <c r="E28" s="120"/>
      <c r="F28" s="121"/>
      <c r="G28" s="121"/>
      <c r="H28" s="121"/>
      <c r="I28" s="121"/>
      <c r="J28" s="121"/>
      <c r="K28" s="121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x14ac:dyDescent="0.25">
      <c r="A29" s="122" t="s">
        <v>10</v>
      </c>
      <c r="B29" s="122"/>
      <c r="C29" s="122"/>
      <c r="D29" s="58">
        <f>SUM(D23:D28)</f>
        <v>684011</v>
      </c>
      <c r="E29" s="123"/>
      <c r="F29" s="113"/>
      <c r="G29" s="113"/>
      <c r="H29" s="113"/>
      <c r="I29" s="113"/>
      <c r="J29" s="113"/>
      <c r="K29" s="113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5">
      <c r="A30" s="237" t="s">
        <v>163</v>
      </c>
      <c r="B30" s="238"/>
      <c r="C30" s="120"/>
      <c r="D30" s="59">
        <v>93600</v>
      </c>
      <c r="E30" s="120"/>
      <c r="F30" s="113"/>
      <c r="G30" s="112"/>
      <c r="H30" s="112"/>
      <c r="I30" s="112"/>
      <c r="J30" s="112"/>
      <c r="K30" s="112"/>
    </row>
    <row r="31" spans="1:26" x14ac:dyDescent="0.25">
      <c r="A31" s="120"/>
      <c r="B31" s="120"/>
      <c r="C31" s="120"/>
      <c r="D31" s="59"/>
      <c r="E31" s="120"/>
      <c r="F31" s="113"/>
      <c r="G31" s="113"/>
      <c r="H31" s="113"/>
      <c r="I31" s="113"/>
      <c r="J31" s="113"/>
      <c r="K31" s="1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5">
      <c r="A32" s="122" t="s">
        <v>10</v>
      </c>
      <c r="B32" s="122"/>
      <c r="C32" s="122"/>
      <c r="D32" s="60">
        <f>SUM(D30:D31)</f>
        <v>93600</v>
      </c>
      <c r="E32" s="123"/>
      <c r="F32" s="113"/>
      <c r="G32" s="113"/>
      <c r="H32" s="113"/>
      <c r="I32" s="113"/>
      <c r="J32" s="113"/>
      <c r="K32" s="1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">
      <c r="A33" s="124" t="s">
        <v>11</v>
      </c>
      <c r="B33" s="124"/>
      <c r="C33" s="124"/>
      <c r="D33" s="61"/>
      <c r="E33" s="125">
        <f>D29+D32</f>
        <v>777611</v>
      </c>
      <c r="F33" s="126"/>
      <c r="G33" s="112"/>
      <c r="H33" s="112"/>
      <c r="I33" s="112"/>
      <c r="J33" s="112"/>
      <c r="K33" s="112"/>
    </row>
    <row r="34" spans="1:26" ht="15.75" customHeight="1" x14ac:dyDescent="0.25">
      <c r="A34" s="70" t="s">
        <v>12</v>
      </c>
      <c r="B34" s="70"/>
      <c r="C34" s="70"/>
      <c r="D34" s="62"/>
      <c r="E34" s="127"/>
      <c r="F34" s="113"/>
      <c r="G34" s="113"/>
      <c r="H34" s="113"/>
      <c r="I34" s="113"/>
      <c r="J34" s="113"/>
      <c r="K34" s="1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 x14ac:dyDescent="0.25">
      <c r="A35" s="128" t="s">
        <v>13</v>
      </c>
      <c r="B35" s="129" t="s">
        <v>169</v>
      </c>
      <c r="C35" s="120"/>
      <c r="D35" s="130">
        <v>45000</v>
      </c>
      <c r="E35" s="131"/>
      <c r="F35" s="113"/>
      <c r="G35" s="113"/>
      <c r="H35" s="113"/>
      <c r="I35" s="113"/>
      <c r="J35" s="113"/>
      <c r="K35" s="1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s="260" customFormat="1" ht="18.75" customHeight="1" x14ac:dyDescent="0.25">
      <c r="A36" s="132" t="s">
        <v>195</v>
      </c>
      <c r="B36" s="129"/>
      <c r="C36" s="120"/>
      <c r="D36" s="130">
        <v>235000</v>
      </c>
      <c r="E36" s="131"/>
      <c r="F36" s="266"/>
      <c r="G36" s="266"/>
      <c r="H36" s="266"/>
      <c r="I36" s="266"/>
      <c r="J36" s="266"/>
      <c r="K36" s="266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  <c r="Y36" s="267"/>
      <c r="Z36" s="267"/>
    </row>
    <row r="37" spans="1:26" s="260" customFormat="1" ht="18.75" customHeight="1" x14ac:dyDescent="0.25">
      <c r="A37" s="132" t="s">
        <v>194</v>
      </c>
      <c r="B37" s="129" t="s">
        <v>193</v>
      </c>
      <c r="C37" s="120"/>
      <c r="D37" s="111">
        <f>143100</f>
        <v>143100</v>
      </c>
      <c r="E37" s="131"/>
      <c r="F37" s="266"/>
      <c r="G37" s="266"/>
      <c r="H37" s="266"/>
      <c r="I37" s="266"/>
      <c r="J37" s="266"/>
      <c r="K37" s="266"/>
      <c r="L37" s="267"/>
      <c r="M37" s="267"/>
      <c r="N37" s="267"/>
      <c r="O37" s="267"/>
      <c r="P37" s="267"/>
      <c r="Q37" s="267"/>
      <c r="R37" s="267"/>
      <c r="S37" s="267"/>
      <c r="T37" s="267"/>
      <c r="U37" s="267"/>
      <c r="V37" s="267"/>
      <c r="W37" s="267"/>
      <c r="X37" s="267"/>
      <c r="Y37" s="267"/>
      <c r="Z37" s="267"/>
    </row>
    <row r="38" spans="1:26" ht="19.899999999999999" customHeight="1" thickBot="1" x14ac:dyDescent="0.3">
      <c r="A38" s="132" t="s">
        <v>194</v>
      </c>
      <c r="B38" s="129" t="s">
        <v>192</v>
      </c>
      <c r="C38" s="120"/>
      <c r="D38" s="111">
        <f>143100</f>
        <v>143100</v>
      </c>
      <c r="E38" s="131"/>
      <c r="F38" s="113"/>
      <c r="G38" s="113"/>
      <c r="H38" s="113" t="s">
        <v>158</v>
      </c>
      <c r="I38" s="113"/>
      <c r="J38" s="113"/>
      <c r="K38" s="1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thickBot="1" x14ac:dyDescent="0.3">
      <c r="A39" s="124" t="s">
        <v>14</v>
      </c>
      <c r="B39" s="124"/>
      <c r="C39" s="124"/>
      <c r="D39" s="63"/>
      <c r="E39" s="133">
        <f>SUM(D35:D38)</f>
        <v>566200</v>
      </c>
      <c r="F39" s="113"/>
      <c r="G39" s="113"/>
      <c r="H39" s="113"/>
      <c r="I39" s="113"/>
      <c r="J39" s="113"/>
      <c r="K39" s="1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0" t="s">
        <v>15</v>
      </c>
      <c r="B40" s="124"/>
      <c r="C40" s="124"/>
      <c r="D40" s="64"/>
      <c r="E40" s="134"/>
      <c r="F40" s="113"/>
      <c r="G40" s="112"/>
      <c r="H40" s="112"/>
      <c r="I40" s="112"/>
      <c r="J40" s="112"/>
      <c r="K40" s="112"/>
    </row>
    <row r="41" spans="1:26" ht="30" customHeight="1" x14ac:dyDescent="0.25">
      <c r="A41" s="222" t="s">
        <v>16</v>
      </c>
      <c r="B41" s="228"/>
      <c r="C41" s="136"/>
      <c r="D41" s="65">
        <v>63658.9</v>
      </c>
      <c r="E41" s="137" t="s">
        <v>185</v>
      </c>
      <c r="F41" s="113"/>
      <c r="G41" s="112"/>
      <c r="H41" s="112"/>
      <c r="I41" s="112"/>
      <c r="J41" s="112"/>
      <c r="K41" s="112"/>
    </row>
    <row r="42" spans="1:26" ht="15.75" customHeight="1" x14ac:dyDescent="0.25">
      <c r="A42" s="124" t="s">
        <v>17</v>
      </c>
      <c r="B42" s="124"/>
      <c r="C42" s="124"/>
      <c r="D42" s="63"/>
      <c r="E42" s="138">
        <f>SUM(D41:D41)</f>
        <v>63658.9</v>
      </c>
      <c r="F42" s="113"/>
      <c r="G42" s="112"/>
      <c r="H42" s="112"/>
      <c r="I42" s="112"/>
      <c r="J42" s="112"/>
      <c r="K42" s="112"/>
    </row>
    <row r="43" spans="1:26" ht="15.75" customHeight="1" x14ac:dyDescent="0.25">
      <c r="A43" s="70" t="s">
        <v>18</v>
      </c>
      <c r="B43" s="139"/>
      <c r="C43" s="139"/>
      <c r="D43" s="66"/>
      <c r="E43" s="140"/>
      <c r="F43" s="113"/>
      <c r="G43" s="113"/>
      <c r="H43" s="113"/>
      <c r="I43" s="113"/>
      <c r="J43" s="113"/>
      <c r="K43" s="1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0.75" customHeight="1" x14ac:dyDescent="0.25">
      <c r="A44" s="120"/>
      <c r="B44" s="120"/>
      <c r="C44" s="141"/>
      <c r="D44" s="67"/>
      <c r="E44" s="142"/>
      <c r="F44" s="113"/>
      <c r="G44" s="112"/>
      <c r="H44" s="112"/>
      <c r="I44" s="112"/>
      <c r="J44" s="112"/>
      <c r="K44" s="112"/>
    </row>
    <row r="45" spans="1:26" ht="15.75" customHeight="1" x14ac:dyDescent="0.25">
      <c r="A45" s="120" t="s">
        <v>19</v>
      </c>
      <c r="B45" s="120"/>
      <c r="C45" s="141"/>
      <c r="D45" s="264">
        <v>486497.4</v>
      </c>
      <c r="E45" s="137" t="s">
        <v>186</v>
      </c>
      <c r="F45" s="113"/>
      <c r="G45" s="112"/>
      <c r="H45" s="112"/>
      <c r="I45" s="112"/>
      <c r="J45" s="112"/>
      <c r="K45" s="112"/>
    </row>
    <row r="46" spans="1:26" ht="15.75" customHeight="1" x14ac:dyDescent="0.25">
      <c r="A46" s="120" t="s">
        <v>170</v>
      </c>
      <c r="B46" s="120" t="s">
        <v>20</v>
      </c>
      <c r="C46" s="120"/>
      <c r="D46" s="67">
        <v>37446.75</v>
      </c>
      <c r="E46" s="137" t="s">
        <v>184</v>
      </c>
      <c r="F46" s="113"/>
      <c r="G46" s="113"/>
      <c r="H46" s="113"/>
      <c r="I46" s="113"/>
      <c r="J46" s="113"/>
      <c r="K46" s="1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20" t="str">
        <f>A46</f>
        <v>Sindicatos mes de ABRIL</v>
      </c>
      <c r="B47" s="120" t="s">
        <v>21</v>
      </c>
      <c r="C47" s="120"/>
      <c r="D47" s="65">
        <v>95501.77</v>
      </c>
      <c r="E47" s="137" t="str">
        <f>E46</f>
        <v>Debito 13/04</v>
      </c>
      <c r="F47" s="113"/>
      <c r="G47" s="113"/>
      <c r="H47" s="113"/>
      <c r="I47" s="112"/>
      <c r="J47" s="112"/>
      <c r="K47" s="112"/>
    </row>
    <row r="48" spans="1:26" s="48" customFormat="1" ht="15.75" customHeight="1" x14ac:dyDescent="0.25">
      <c r="A48" s="143" t="s">
        <v>159</v>
      </c>
      <c r="B48" s="143"/>
      <c r="C48" s="143"/>
      <c r="D48" s="106" t="s">
        <v>164</v>
      </c>
      <c r="E48" s="144"/>
      <c r="F48" s="121"/>
      <c r="G48" s="121"/>
      <c r="H48" s="121"/>
      <c r="I48" s="145"/>
      <c r="J48" s="145"/>
      <c r="K48" s="145"/>
    </row>
    <row r="49" spans="1:26" ht="15.75" customHeight="1" x14ac:dyDescent="0.25">
      <c r="A49" s="143" t="str">
        <f>A47</f>
        <v>Sindicatos mes de ABRIL</v>
      </c>
      <c r="B49" s="143" t="s">
        <v>22</v>
      </c>
      <c r="C49" s="143"/>
      <c r="D49" s="106">
        <v>4160.75</v>
      </c>
      <c r="E49" s="146" t="str">
        <f>E47</f>
        <v>Debito 13/04</v>
      </c>
      <c r="F49" s="113"/>
      <c r="G49" s="113"/>
      <c r="H49" s="113"/>
      <c r="I49" s="112"/>
      <c r="J49" s="112"/>
      <c r="K49" s="112"/>
    </row>
    <row r="50" spans="1:26" ht="15" customHeight="1" thickBot="1" x14ac:dyDescent="0.3">
      <c r="A50" s="147" t="s">
        <v>23</v>
      </c>
      <c r="B50" s="148"/>
      <c r="C50" s="148"/>
      <c r="D50" s="68"/>
      <c r="E50" s="138">
        <f>SUM(D44:D49)</f>
        <v>623606.67000000004</v>
      </c>
      <c r="F50" s="113"/>
      <c r="G50" s="113"/>
      <c r="H50" s="113"/>
      <c r="I50" s="112"/>
      <c r="J50" s="112"/>
      <c r="K50" s="112"/>
    </row>
    <row r="51" spans="1:26" ht="13.5" customHeight="1" x14ac:dyDescent="0.25">
      <c r="A51" s="70" t="s">
        <v>24</v>
      </c>
      <c r="B51" s="139"/>
      <c r="C51" s="139"/>
      <c r="D51" s="66"/>
      <c r="E51" s="140"/>
      <c r="F51" s="113"/>
      <c r="G51" s="113"/>
      <c r="H51" s="113"/>
      <c r="I51" s="113"/>
      <c r="J51" s="113"/>
      <c r="K51" s="11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.45" customHeight="1" x14ac:dyDescent="0.25">
      <c r="A52" s="222" t="s">
        <v>171</v>
      </c>
      <c r="B52" s="229"/>
      <c r="C52" s="120"/>
      <c r="D52" s="265">
        <v>125300</v>
      </c>
      <c r="E52" s="149" t="s">
        <v>174</v>
      </c>
      <c r="F52" s="113"/>
      <c r="G52" s="113"/>
      <c r="H52" s="113"/>
      <c r="I52" s="113"/>
      <c r="J52" s="113"/>
      <c r="K52" s="11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 x14ac:dyDescent="0.25">
      <c r="A53" s="150" t="s">
        <v>25</v>
      </c>
      <c r="B53" s="151"/>
      <c r="C53" s="120"/>
      <c r="D53" s="265">
        <v>55000</v>
      </c>
      <c r="E53" s="149" t="s">
        <v>180</v>
      </c>
      <c r="F53" s="113"/>
      <c r="G53" s="113"/>
      <c r="H53" s="113"/>
      <c r="I53" s="113"/>
      <c r="J53" s="113"/>
      <c r="K53" s="11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25">
      <c r="A54" s="150" t="s">
        <v>26</v>
      </c>
      <c r="B54" s="46"/>
      <c r="C54" s="135"/>
      <c r="D54" s="152">
        <v>29204.11</v>
      </c>
      <c r="E54" s="149" t="s">
        <v>183</v>
      </c>
      <c r="F54" s="153"/>
      <c r="G54" s="153"/>
      <c r="H54" s="153"/>
      <c r="I54" s="112"/>
      <c r="J54" s="112"/>
      <c r="K54" s="112"/>
    </row>
    <row r="55" spans="1:26" ht="18" customHeight="1" x14ac:dyDescent="0.25">
      <c r="A55" s="222" t="s">
        <v>172</v>
      </c>
      <c r="B55" s="228"/>
      <c r="C55" s="154"/>
      <c r="D55" s="155">
        <v>20286.48</v>
      </c>
      <c r="E55" s="149" t="s">
        <v>177</v>
      </c>
      <c r="F55" s="156"/>
      <c r="G55" s="156"/>
      <c r="H55" s="156"/>
      <c r="I55" s="113"/>
      <c r="J55" s="113"/>
      <c r="K55" s="11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222" t="s">
        <v>152</v>
      </c>
      <c r="B56" s="228"/>
      <c r="C56" s="154"/>
      <c r="D56" s="155">
        <v>152028.37</v>
      </c>
      <c r="E56" s="149" t="s">
        <v>182</v>
      </c>
      <c r="F56" s="156"/>
      <c r="G56" s="156"/>
      <c r="H56" s="156"/>
      <c r="I56" s="112"/>
      <c r="J56" s="112"/>
      <c r="K56" s="112"/>
    </row>
    <row r="57" spans="1:26" ht="14.25" hidden="1" customHeight="1" x14ac:dyDescent="0.25">
      <c r="A57" s="120"/>
      <c r="B57" s="120"/>
      <c r="C57" s="120"/>
      <c r="D57" s="65"/>
      <c r="E57" s="157"/>
      <c r="F57" s="113"/>
      <c r="G57" s="113"/>
      <c r="H57" s="113"/>
      <c r="I57" s="112"/>
      <c r="J57" s="112"/>
      <c r="K57" s="112"/>
    </row>
    <row r="58" spans="1:26" ht="14.25" hidden="1" customHeight="1" x14ac:dyDescent="0.25">
      <c r="A58" s="241"/>
      <c r="B58" s="228"/>
      <c r="C58" s="120"/>
      <c r="D58" s="65"/>
      <c r="E58" s="157"/>
      <c r="F58" s="113"/>
      <c r="G58" s="113"/>
      <c r="H58" s="113"/>
      <c r="I58" s="113"/>
      <c r="J58" s="113"/>
      <c r="K58" s="11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hidden="1" customHeight="1" x14ac:dyDescent="0.25">
      <c r="A59" s="120"/>
      <c r="B59" s="158"/>
      <c r="C59" s="120"/>
      <c r="D59" s="65"/>
      <c r="E59" s="159"/>
      <c r="F59" s="113"/>
      <c r="G59" s="113"/>
      <c r="H59" s="113"/>
      <c r="I59" s="113"/>
      <c r="J59" s="113"/>
      <c r="K59" s="11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hidden="1" customHeight="1" x14ac:dyDescent="0.25">
      <c r="A60" s="222"/>
      <c r="B60" s="223"/>
      <c r="C60" s="120"/>
      <c r="D60" s="240"/>
      <c r="E60" s="235"/>
      <c r="F60" s="113"/>
      <c r="G60" s="113"/>
      <c r="H60" s="113"/>
      <c r="I60" s="113"/>
      <c r="J60" s="113"/>
      <c r="K60" s="11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hidden="1" customHeight="1" x14ac:dyDescent="0.25">
      <c r="A61" s="224"/>
      <c r="B61" s="225"/>
      <c r="C61" s="120"/>
      <c r="D61" s="236"/>
      <c r="E61" s="236"/>
      <c r="F61" s="113"/>
      <c r="G61" s="113"/>
      <c r="H61" s="113"/>
      <c r="I61" s="113"/>
      <c r="J61" s="113"/>
      <c r="K61" s="11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hidden="1" customHeight="1" x14ac:dyDescent="0.25">
      <c r="A62" s="222"/>
      <c r="B62" s="228"/>
      <c r="C62" s="120"/>
      <c r="D62" s="69"/>
      <c r="E62" s="100"/>
      <c r="F62" s="113"/>
      <c r="G62" s="113"/>
      <c r="H62" s="113"/>
      <c r="I62" s="113"/>
      <c r="J62" s="113"/>
      <c r="K62" s="11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4.5" hidden="1" customHeight="1" x14ac:dyDescent="0.25">
      <c r="A63" s="222"/>
      <c r="B63" s="228"/>
      <c r="C63" s="120"/>
      <c r="D63" s="69"/>
      <c r="E63" s="100"/>
      <c r="F63" s="113"/>
      <c r="G63" s="113"/>
      <c r="H63" s="113"/>
      <c r="I63" s="113"/>
      <c r="J63" s="113"/>
      <c r="K63" s="113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.75" hidden="1" customHeight="1" x14ac:dyDescent="0.25">
      <c r="A64" s="222"/>
      <c r="B64" s="228"/>
      <c r="C64" s="120"/>
      <c r="D64" s="69"/>
      <c r="E64" s="157"/>
      <c r="F64" s="112"/>
      <c r="G64" s="112"/>
      <c r="H64" s="112"/>
      <c r="I64" s="112"/>
      <c r="J64" s="112"/>
      <c r="K64" s="112"/>
    </row>
    <row r="65" spans="1:26" ht="15.75" hidden="1" customHeight="1" x14ac:dyDescent="0.25">
      <c r="A65" s="120"/>
      <c r="B65" s="160"/>
      <c r="C65" s="120"/>
      <c r="D65" s="69"/>
      <c r="E65" s="157"/>
      <c r="F65" s="113"/>
      <c r="G65" s="113"/>
      <c r="H65" s="113"/>
      <c r="I65" s="113"/>
      <c r="J65" s="113"/>
      <c r="K65" s="113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4.5" hidden="1" customHeight="1" x14ac:dyDescent="0.25">
      <c r="A66" s="222"/>
      <c r="B66" s="228"/>
      <c r="C66" s="120"/>
      <c r="D66" s="69"/>
      <c r="E66" s="157"/>
      <c r="F66" s="113"/>
      <c r="G66" s="113"/>
      <c r="H66" s="113"/>
      <c r="I66" s="113"/>
      <c r="J66" s="113"/>
      <c r="K66" s="113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 x14ac:dyDescent="0.25">
      <c r="A67" s="158"/>
      <c r="B67" s="161"/>
      <c r="C67" s="120"/>
      <c r="D67" s="69"/>
      <c r="E67" s="157"/>
      <c r="F67" s="113"/>
      <c r="G67" s="113"/>
      <c r="H67" s="113"/>
      <c r="I67" s="113"/>
      <c r="J67" s="113"/>
      <c r="K67" s="113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25">
      <c r="A68" s="222"/>
      <c r="B68" s="228"/>
      <c r="C68" s="120"/>
      <c r="D68" s="69"/>
      <c r="E68" s="162"/>
      <c r="F68" s="113"/>
      <c r="G68" s="113"/>
      <c r="H68" s="113"/>
      <c r="I68" s="113"/>
      <c r="J68" s="113"/>
      <c r="K68" s="113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0" hidden="1" customHeight="1" x14ac:dyDescent="0.25">
      <c r="A69" s="222"/>
      <c r="B69" s="228"/>
      <c r="C69" s="120"/>
      <c r="D69" s="69"/>
      <c r="E69" s="162"/>
      <c r="F69" s="113"/>
      <c r="G69" s="113"/>
      <c r="H69" s="113"/>
      <c r="I69" s="113"/>
      <c r="J69" s="113"/>
      <c r="K69" s="113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.75" hidden="1" customHeight="1" x14ac:dyDescent="0.25">
      <c r="A70" s="242"/>
      <c r="B70" s="228"/>
      <c r="C70" s="163"/>
      <c r="D70" s="69"/>
      <c r="E70" s="162"/>
      <c r="F70" s="113"/>
      <c r="G70" s="113"/>
      <c r="H70" s="113"/>
      <c r="I70" s="113"/>
      <c r="J70" s="113"/>
      <c r="K70" s="113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thickBot="1" x14ac:dyDescent="0.3">
      <c r="A71" s="124" t="s">
        <v>27</v>
      </c>
      <c r="B71" s="124"/>
      <c r="C71" s="124"/>
      <c r="D71" s="63"/>
      <c r="E71" s="138">
        <f>SUM(D52:D56)</f>
        <v>381818.95999999996</v>
      </c>
      <c r="F71" s="112"/>
      <c r="G71" s="112"/>
      <c r="H71" s="112"/>
      <c r="I71" s="112"/>
      <c r="J71" s="112"/>
      <c r="K71" s="112"/>
    </row>
    <row r="72" spans="1:26" ht="15.75" customHeight="1" thickBot="1" x14ac:dyDescent="0.3">
      <c r="A72" s="70" t="s">
        <v>28</v>
      </c>
      <c r="B72" s="124"/>
      <c r="C72" s="124"/>
      <c r="D72" s="63"/>
      <c r="E72" s="164"/>
      <c r="F72" s="112"/>
      <c r="G72" s="112"/>
      <c r="H72" s="112"/>
      <c r="I72" s="112"/>
      <c r="J72" s="112"/>
      <c r="K72" s="112"/>
    </row>
    <row r="73" spans="1:26" ht="19.899999999999999" customHeight="1" x14ac:dyDescent="0.25">
      <c r="A73" s="132" t="s">
        <v>175</v>
      </c>
      <c r="B73" s="120"/>
      <c r="C73" s="120"/>
      <c r="D73" s="67">
        <v>35000</v>
      </c>
      <c r="E73" s="149" t="s">
        <v>176</v>
      </c>
      <c r="F73" s="112"/>
      <c r="G73" s="112"/>
      <c r="H73" s="112"/>
      <c r="I73" s="112"/>
      <c r="J73" s="112"/>
      <c r="K73" s="112"/>
    </row>
    <row r="74" spans="1:26" s="260" customFormat="1" ht="35.25" customHeight="1" x14ac:dyDescent="0.25">
      <c r="A74" s="261" t="s">
        <v>187</v>
      </c>
      <c r="B74" s="262"/>
      <c r="C74" s="120"/>
      <c r="D74" s="67">
        <v>65000</v>
      </c>
      <c r="E74" s="149" t="s">
        <v>188</v>
      </c>
      <c r="F74" s="259"/>
      <c r="G74" s="259"/>
      <c r="H74" s="259"/>
      <c r="I74" s="259"/>
      <c r="J74" s="259"/>
      <c r="K74" s="259"/>
    </row>
    <row r="75" spans="1:26" s="48" customFormat="1" ht="19.899999999999999" customHeight="1" x14ac:dyDescent="0.25">
      <c r="A75" s="120" t="s">
        <v>178</v>
      </c>
      <c r="B75" s="120"/>
      <c r="C75" s="120"/>
      <c r="D75" s="67">
        <v>44200</v>
      </c>
      <c r="E75" s="149" t="s">
        <v>179</v>
      </c>
      <c r="F75" s="145"/>
      <c r="G75" s="145"/>
      <c r="H75" s="145"/>
      <c r="I75" s="145"/>
      <c r="J75" s="145"/>
      <c r="K75" s="145"/>
    </row>
    <row r="76" spans="1:26" ht="15.75" customHeight="1" thickBot="1" x14ac:dyDescent="0.3">
      <c r="A76" s="124" t="s">
        <v>29</v>
      </c>
      <c r="B76" s="70"/>
      <c r="C76" s="70"/>
      <c r="D76" s="70"/>
      <c r="E76" s="165">
        <f>SUM(D73:D75)</f>
        <v>144200</v>
      </c>
      <c r="F76" s="113"/>
      <c r="G76" s="113"/>
      <c r="H76" s="113"/>
      <c r="I76" s="113"/>
      <c r="J76" s="113"/>
      <c r="K76" s="113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thickBot="1" x14ac:dyDescent="0.3">
      <c r="A77" s="70" t="s">
        <v>173</v>
      </c>
      <c r="B77" s="166"/>
      <c r="C77" s="124"/>
      <c r="D77" s="61"/>
      <c r="E77" s="164"/>
      <c r="F77" s="113"/>
      <c r="G77" s="113"/>
      <c r="H77" s="113"/>
      <c r="I77" s="113"/>
      <c r="J77" s="113"/>
      <c r="K77" s="113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20" t="s">
        <v>30</v>
      </c>
      <c r="B78" s="120"/>
      <c r="C78" s="120"/>
      <c r="D78" s="167">
        <f>46417.71-12.17</f>
        <v>46405.54</v>
      </c>
      <c r="E78" s="168"/>
      <c r="F78" s="113"/>
      <c r="G78" s="113"/>
      <c r="H78" s="113"/>
      <c r="I78" s="113"/>
      <c r="J78" s="113"/>
      <c r="K78" s="113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20" t="s">
        <v>31</v>
      </c>
      <c r="B79" s="120"/>
      <c r="C79" s="120"/>
      <c r="D79" s="65">
        <v>52000</v>
      </c>
      <c r="E79" s="100"/>
      <c r="F79" s="113"/>
      <c r="G79" s="113"/>
      <c r="H79" s="113"/>
      <c r="I79" s="113"/>
      <c r="J79" s="113"/>
      <c r="K79" s="113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69" t="s">
        <v>14</v>
      </c>
      <c r="B80" s="169"/>
      <c r="C80" s="169"/>
      <c r="D80" s="51"/>
      <c r="E80" s="138">
        <f>SUM(D78:D79)</f>
        <v>98405.540000000008</v>
      </c>
      <c r="F80" s="113"/>
      <c r="G80" s="112"/>
      <c r="H80" s="112"/>
      <c r="I80" s="112"/>
      <c r="J80" s="112"/>
      <c r="K80" s="112"/>
    </row>
    <row r="81" spans="1:26" ht="15.75" customHeight="1" x14ac:dyDescent="0.25">
      <c r="A81" s="120"/>
      <c r="B81" s="120"/>
      <c r="C81" s="120"/>
      <c r="D81" s="120"/>
      <c r="E81" s="170"/>
      <c r="F81" s="113"/>
      <c r="G81" s="112"/>
      <c r="H81" s="112"/>
      <c r="I81" s="112"/>
      <c r="J81" s="112"/>
      <c r="K81" s="112"/>
    </row>
    <row r="82" spans="1:26" ht="15.75" customHeight="1" x14ac:dyDescent="0.25">
      <c r="A82" s="171" t="s">
        <v>150</v>
      </c>
      <c r="B82" s="171"/>
      <c r="C82" s="171"/>
      <c r="D82" s="172"/>
      <c r="E82" s="173"/>
      <c r="F82" s="113"/>
      <c r="G82" s="112"/>
      <c r="H82" s="112"/>
      <c r="I82" s="112"/>
      <c r="J82" s="112"/>
      <c r="K82" s="112"/>
    </row>
    <row r="83" spans="1:26" ht="15.75" customHeight="1" thickBot="1" x14ac:dyDescent="0.3">
      <c r="A83" s="174"/>
      <c r="B83" s="113"/>
      <c r="C83" s="113"/>
      <c r="D83" s="113"/>
      <c r="E83" s="175"/>
      <c r="F83" s="176"/>
      <c r="G83" s="112"/>
      <c r="H83" s="177"/>
      <c r="I83" s="112"/>
      <c r="J83" s="112"/>
      <c r="K83" s="112"/>
    </row>
    <row r="84" spans="1:26" ht="15.75" customHeight="1" thickBot="1" x14ac:dyDescent="0.3">
      <c r="A84" s="178" t="s">
        <v>32</v>
      </c>
      <c r="B84" s="179"/>
      <c r="C84" s="180"/>
      <c r="D84" s="180"/>
      <c r="E84" s="181">
        <f>(SUM(E30:E82))</f>
        <v>2655501.0699999998</v>
      </c>
      <c r="F84" s="113"/>
      <c r="G84" s="182"/>
      <c r="H84" s="183"/>
      <c r="I84" s="112"/>
      <c r="J84" s="112"/>
      <c r="K84" s="112"/>
    </row>
    <row r="85" spans="1:26" ht="15.75" customHeight="1" x14ac:dyDescent="0.25">
      <c r="A85" s="112"/>
      <c r="B85" s="112"/>
      <c r="C85" s="112"/>
      <c r="D85" s="218"/>
      <c r="E85" s="218"/>
      <c r="F85" s="112"/>
      <c r="G85" s="112"/>
      <c r="H85" s="177"/>
      <c r="I85" s="112"/>
      <c r="J85" s="112"/>
      <c r="K85" s="112"/>
    </row>
    <row r="86" spans="1:26" ht="15.75" customHeight="1" x14ac:dyDescent="0.25">
      <c r="A86" s="113"/>
      <c r="B86" s="113"/>
      <c r="C86" s="113"/>
      <c r="D86" s="113"/>
      <c r="E86" s="113"/>
      <c r="F86" s="113"/>
      <c r="G86" s="113"/>
      <c r="H86" s="184"/>
      <c r="I86" s="113"/>
      <c r="J86" s="113"/>
      <c r="K86" s="113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15" t="s">
        <v>33</v>
      </c>
      <c r="B87" s="116"/>
      <c r="C87" s="117"/>
      <c r="D87" s="118"/>
      <c r="E87" s="119"/>
      <c r="F87" s="113"/>
      <c r="G87" s="113"/>
      <c r="H87" s="113"/>
      <c r="I87" s="113"/>
      <c r="J87" s="113"/>
      <c r="K87" s="113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85"/>
      <c r="B88" s="185"/>
      <c r="C88" s="46"/>
      <c r="D88" s="67"/>
      <c r="E88" s="186"/>
      <c r="F88" s="113"/>
      <c r="G88" s="113"/>
      <c r="H88" s="113"/>
      <c r="I88" s="113"/>
      <c r="J88" s="113"/>
      <c r="K88" s="113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85"/>
      <c r="B89" s="185"/>
      <c r="C89" s="46"/>
      <c r="D89" s="67">
        <v>0</v>
      </c>
      <c r="E89" s="67"/>
      <c r="F89" s="113"/>
      <c r="G89" s="113"/>
      <c r="H89" s="113"/>
      <c r="I89" s="113"/>
      <c r="J89" s="113"/>
      <c r="K89" s="113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87" t="s">
        <v>29</v>
      </c>
      <c r="B90" s="188"/>
      <c r="C90" s="188"/>
      <c r="D90" s="189"/>
      <c r="E90" s="189">
        <f>SUM(D88:D89)</f>
        <v>0</v>
      </c>
      <c r="F90" s="113"/>
      <c r="G90" s="113"/>
      <c r="H90" s="113"/>
      <c r="I90" s="113"/>
      <c r="J90" s="113"/>
      <c r="K90" s="113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customHeight="1" x14ac:dyDescent="0.2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 x14ac:dyDescent="0.2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90" t="s">
        <v>34</v>
      </c>
      <c r="B93" s="190"/>
      <c r="C93" s="190"/>
      <c r="D93" s="190"/>
      <c r="E93" s="191"/>
      <c r="F93" s="113"/>
      <c r="G93" s="113"/>
      <c r="H93" s="113"/>
      <c r="I93" s="113"/>
      <c r="J93" s="113"/>
      <c r="K93" s="113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thickBot="1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78" t="s">
        <v>35</v>
      </c>
      <c r="B95" s="179"/>
      <c r="C95" s="180"/>
      <c r="D95" s="180"/>
      <c r="E95" s="181">
        <f>E90+E93</f>
        <v>0</v>
      </c>
      <c r="F95" s="113"/>
      <c r="G95" s="113"/>
      <c r="H95" s="113"/>
      <c r="I95" s="113"/>
      <c r="J95" s="113"/>
      <c r="K95" s="113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92" t="s">
        <v>36</v>
      </c>
      <c r="B97" s="193">
        <f>E84</f>
        <v>2655501.0699999998</v>
      </c>
      <c r="C97" s="113"/>
      <c r="D97" s="113"/>
      <c r="E97" s="113"/>
      <c r="F97" s="113"/>
      <c r="G97" s="113"/>
      <c r="H97" s="113"/>
      <c r="I97" s="113"/>
      <c r="J97" s="113"/>
      <c r="K97" s="113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92" t="s">
        <v>37</v>
      </c>
      <c r="B98" s="193">
        <f>E84-E82</f>
        <v>2655501.0699999998</v>
      </c>
      <c r="C98" s="112"/>
      <c r="D98" s="218"/>
      <c r="E98" s="218"/>
      <c r="F98" s="112"/>
      <c r="G98" s="112"/>
      <c r="H98" s="112"/>
      <c r="I98" s="112"/>
      <c r="J98" s="112"/>
      <c r="K98" s="112"/>
    </row>
    <row r="99" spans="1:26" ht="15.75" customHeight="1" x14ac:dyDescent="0.25">
      <c r="A99" s="192" t="s">
        <v>38</v>
      </c>
      <c r="B99" s="193">
        <f>E95-E93</f>
        <v>0</v>
      </c>
      <c r="C99" s="113"/>
      <c r="D99" s="113"/>
      <c r="E99" s="113"/>
      <c r="F99" s="113"/>
      <c r="G99" s="113"/>
      <c r="H99" s="113"/>
      <c r="I99" s="113"/>
      <c r="J99" s="113"/>
      <c r="K99" s="113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92" t="s">
        <v>39</v>
      </c>
      <c r="B100" s="193">
        <f>E95</f>
        <v>0</v>
      </c>
      <c r="C100" s="113"/>
      <c r="D100" s="113"/>
      <c r="E100" s="113"/>
      <c r="F100" s="113"/>
      <c r="G100" s="113"/>
      <c r="H100" s="113"/>
      <c r="I100" s="113"/>
      <c r="J100" s="113"/>
      <c r="K100" s="113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13"/>
      <c r="B101" s="113"/>
      <c r="C101" s="113"/>
      <c r="D101" s="113"/>
      <c r="E101" s="113"/>
      <c r="F101" s="112"/>
      <c r="G101" s="112"/>
      <c r="H101" s="112"/>
      <c r="I101" s="112"/>
      <c r="J101" s="112"/>
      <c r="K101" s="112"/>
    </row>
    <row r="102" spans="1:26" s="48" customFormat="1" ht="15.75" customHeight="1" x14ac:dyDescent="0.25">
      <c r="A102" s="121"/>
      <c r="B102" s="121"/>
      <c r="C102" s="121"/>
      <c r="D102" s="121"/>
      <c r="E102" s="121"/>
      <c r="F102" s="145"/>
      <c r="G102" s="145"/>
      <c r="H102" s="145"/>
      <c r="I102" s="145"/>
      <c r="J102" s="145"/>
      <c r="K102" s="145"/>
    </row>
    <row r="103" spans="1:26" s="48" customFormat="1" ht="15.75" customHeight="1" x14ac:dyDescent="0.25">
      <c r="A103" s="243" t="s">
        <v>155</v>
      </c>
      <c r="B103" s="243"/>
      <c r="C103" s="121"/>
      <c r="D103" s="121"/>
      <c r="E103" s="121"/>
      <c r="F103" s="145"/>
      <c r="G103" s="145"/>
      <c r="H103" s="145"/>
      <c r="I103" s="145"/>
      <c r="J103" s="145"/>
      <c r="K103" s="145"/>
    </row>
    <row r="104" spans="1:26" s="48" customFormat="1" ht="25.5" customHeight="1" x14ac:dyDescent="0.25">
      <c r="A104" s="243"/>
      <c r="B104" s="243"/>
      <c r="C104" s="121"/>
      <c r="D104" s="121"/>
      <c r="E104" s="121"/>
      <c r="F104" s="145"/>
      <c r="G104" s="145"/>
      <c r="H104" s="145"/>
      <c r="I104" s="145"/>
      <c r="J104" s="145"/>
      <c r="K104" s="145"/>
    </row>
    <row r="105" spans="1:26" ht="15.75" customHeight="1" x14ac:dyDescent="0.25">
      <c r="A105" s="113"/>
      <c r="B105" s="113"/>
      <c r="C105" s="113"/>
      <c r="D105" s="113"/>
      <c r="E105" s="113"/>
      <c r="F105" s="112"/>
      <c r="G105" s="112"/>
      <c r="H105" s="112"/>
      <c r="I105" s="112"/>
      <c r="J105" s="112"/>
      <c r="K105" s="112"/>
    </row>
    <row r="106" spans="1:26" s="48" customFormat="1" ht="15.75" customHeight="1" x14ac:dyDescent="0.25">
      <c r="A106" s="243" t="s">
        <v>191</v>
      </c>
      <c r="B106" s="243"/>
      <c r="C106" s="121"/>
      <c r="D106" s="121"/>
      <c r="E106" s="121"/>
      <c r="F106" s="145"/>
      <c r="G106" s="145"/>
      <c r="H106" s="145"/>
      <c r="I106" s="145"/>
      <c r="J106" s="145"/>
      <c r="K106" s="145"/>
    </row>
    <row r="107" spans="1:26" ht="30.75" customHeight="1" x14ac:dyDescent="0.25">
      <c r="A107" s="243"/>
      <c r="B107" s="243"/>
      <c r="C107" s="113"/>
      <c r="D107" s="113"/>
      <c r="E107" s="113"/>
      <c r="F107" s="112"/>
      <c r="G107" s="112"/>
      <c r="H107" s="112"/>
      <c r="I107" s="112"/>
      <c r="J107" s="112"/>
      <c r="K107" s="112"/>
    </row>
    <row r="108" spans="1:26" ht="15.75" customHeight="1" x14ac:dyDescent="0.25">
      <c r="A108" s="113"/>
      <c r="B108" s="113"/>
      <c r="C108" s="113"/>
      <c r="D108" s="113"/>
      <c r="E108" s="113"/>
      <c r="F108" s="112"/>
      <c r="G108" s="112"/>
      <c r="H108" s="112"/>
      <c r="I108" s="112"/>
      <c r="J108" s="112"/>
      <c r="K108" s="112"/>
    </row>
    <row r="109" spans="1:26" ht="15.75" customHeight="1" x14ac:dyDescent="0.25">
      <c r="A109" s="194" t="s">
        <v>40</v>
      </c>
      <c r="B109" s="195"/>
      <c r="C109" s="196"/>
      <c r="D109" s="112"/>
      <c r="E109" s="112"/>
      <c r="F109" s="112"/>
      <c r="G109" s="112"/>
      <c r="H109" s="112"/>
      <c r="I109" s="112"/>
      <c r="J109" s="112"/>
      <c r="K109" s="112"/>
    </row>
    <row r="110" spans="1:26" ht="19.5" customHeight="1" x14ac:dyDescent="0.25">
      <c r="A110" s="197" t="s">
        <v>41</v>
      </c>
      <c r="B110" s="198">
        <v>6956998.0599999968</v>
      </c>
      <c r="C110" s="199"/>
      <c r="D110" s="112"/>
      <c r="E110" s="112"/>
      <c r="F110" s="112"/>
      <c r="G110" s="112"/>
      <c r="H110" s="112"/>
      <c r="I110" s="112"/>
      <c r="J110" s="112"/>
      <c r="K110" s="112"/>
    </row>
    <row r="111" spans="1:26" ht="15" customHeight="1" x14ac:dyDescent="0.25">
      <c r="A111" s="200" t="s">
        <v>42</v>
      </c>
      <c r="B111" s="201">
        <f>'Copia de PRORRATEO'!H37</f>
        <v>2328467.1899999995</v>
      </c>
      <c r="C111" s="196"/>
      <c r="D111" s="112"/>
      <c r="E111" s="112"/>
      <c r="F111" s="112"/>
      <c r="G111" s="112"/>
      <c r="H111" s="112"/>
      <c r="I111" s="112"/>
      <c r="J111" s="112"/>
      <c r="K111" s="112"/>
    </row>
    <row r="112" spans="1:26" s="48" customFormat="1" ht="15" customHeight="1" x14ac:dyDescent="0.25">
      <c r="A112" s="200" t="s">
        <v>166</v>
      </c>
      <c r="B112" s="201">
        <v>0</v>
      </c>
      <c r="C112" s="202"/>
      <c r="D112" s="145"/>
      <c r="E112" s="145"/>
      <c r="F112" s="145"/>
      <c r="G112" s="145"/>
      <c r="H112" s="145"/>
      <c r="I112" s="145"/>
      <c r="J112" s="145"/>
      <c r="K112" s="145"/>
    </row>
    <row r="113" spans="1:26" ht="15.75" customHeight="1" x14ac:dyDescent="0.25">
      <c r="A113" s="203" t="s">
        <v>43</v>
      </c>
      <c r="B113" s="100">
        <f>B135</f>
        <v>0</v>
      </c>
      <c r="C113" s="196"/>
      <c r="D113" s="113"/>
      <c r="E113" s="113"/>
      <c r="F113" s="113"/>
      <c r="G113" s="113"/>
      <c r="H113" s="113"/>
      <c r="I113" s="113"/>
      <c r="J113" s="113"/>
      <c r="K113" s="113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04" t="s">
        <v>44</v>
      </c>
      <c r="B114" s="100">
        <f>-B98</f>
        <v>-2655501.0699999998</v>
      </c>
      <c r="C114" s="196"/>
      <c r="D114" s="113"/>
      <c r="E114" s="113"/>
      <c r="F114" s="113"/>
      <c r="G114" s="113"/>
      <c r="H114" s="113"/>
      <c r="I114" s="113"/>
      <c r="J114" s="113"/>
      <c r="K114" s="113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s="48" customFormat="1" ht="15.75" customHeight="1" x14ac:dyDescent="0.25">
      <c r="A115" s="205" t="s">
        <v>190</v>
      </c>
      <c r="B115" s="100">
        <v>90000</v>
      </c>
      <c r="C115" s="202"/>
      <c r="D115" s="145"/>
      <c r="E115" s="145"/>
      <c r="F115" s="145"/>
      <c r="G115" s="145"/>
      <c r="H115" s="145"/>
      <c r="I115" s="145"/>
      <c r="J115" s="145"/>
      <c r="K115" s="145"/>
    </row>
    <row r="116" spans="1:26" s="48" customFormat="1" ht="15.75" customHeight="1" x14ac:dyDescent="0.25">
      <c r="A116" s="205" t="s">
        <v>189</v>
      </c>
      <c r="B116" s="100">
        <f>228000-132000</f>
        <v>96000</v>
      </c>
      <c r="C116" s="202"/>
      <c r="D116" s="145"/>
      <c r="E116" s="145"/>
      <c r="F116" s="145"/>
      <c r="G116" s="145"/>
      <c r="H116" s="145"/>
      <c r="I116" s="145"/>
      <c r="J116" s="145"/>
      <c r="K116" s="145"/>
    </row>
    <row r="117" spans="1:26" ht="15.75" customHeight="1" x14ac:dyDescent="0.25">
      <c r="A117" s="206" t="s">
        <v>29</v>
      </c>
      <c r="B117" s="207">
        <f>SUM(B110:B116)</f>
        <v>6815964.179999996</v>
      </c>
      <c r="C117" s="208"/>
      <c r="D117" s="268"/>
      <c r="E117" s="269"/>
      <c r="F117" s="112"/>
      <c r="G117" s="112"/>
      <c r="H117" s="112"/>
      <c r="I117" s="112"/>
      <c r="J117" s="112"/>
      <c r="K117" s="112"/>
    </row>
    <row r="118" spans="1:26" ht="15.75" customHeight="1" x14ac:dyDescent="0.25">
      <c r="A118" s="113"/>
      <c r="B118" s="176"/>
      <c r="C118" s="208"/>
      <c r="D118" s="176"/>
      <c r="E118" s="113"/>
      <c r="F118" s="113"/>
      <c r="G118" s="113"/>
      <c r="H118" s="113"/>
      <c r="I118" s="113"/>
      <c r="J118" s="113"/>
      <c r="K118" s="113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hidden="1" customHeight="1" x14ac:dyDescent="0.25">
      <c r="A119" s="113"/>
      <c r="B119" s="209"/>
      <c r="C119" s="208"/>
      <c r="D119" s="112"/>
      <c r="E119" s="112"/>
      <c r="F119" s="112"/>
      <c r="G119" s="112"/>
      <c r="H119" s="112"/>
      <c r="I119" s="112"/>
      <c r="J119" s="112"/>
      <c r="K119" s="112"/>
    </row>
    <row r="120" spans="1:26" ht="27" hidden="1" customHeight="1" x14ac:dyDescent="0.25">
      <c r="A120" s="112"/>
      <c r="B120" s="176"/>
      <c r="C120" s="210"/>
      <c r="D120" s="156"/>
      <c r="E120" s="156"/>
      <c r="F120" s="156"/>
      <c r="G120" s="156"/>
      <c r="H120" s="156"/>
      <c r="I120" s="156"/>
      <c r="J120" s="156"/>
      <c r="K120" s="156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27" hidden="1" customHeight="1" x14ac:dyDescent="0.25">
      <c r="A121" s="211" t="s">
        <v>46</v>
      </c>
      <c r="B121" s="67"/>
      <c r="C121" s="210"/>
      <c r="D121" s="212"/>
      <c r="E121" s="156"/>
      <c r="F121" s="156"/>
      <c r="G121" s="156"/>
      <c r="H121" s="156"/>
      <c r="I121" s="156"/>
      <c r="J121" s="156"/>
      <c r="K121" s="156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27" hidden="1" customHeight="1" x14ac:dyDescent="0.25">
      <c r="A122" s="120" t="s">
        <v>47</v>
      </c>
      <c r="B122" s="67">
        <v>0</v>
      </c>
      <c r="C122" s="210"/>
      <c r="D122" s="156"/>
      <c r="E122" s="156"/>
      <c r="F122" s="156"/>
      <c r="G122" s="156"/>
      <c r="H122" s="156"/>
      <c r="I122" s="156"/>
      <c r="J122" s="156"/>
      <c r="K122" s="156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4.25" hidden="1" customHeight="1" x14ac:dyDescent="0.25">
      <c r="A123" s="120" t="s">
        <v>48</v>
      </c>
      <c r="B123" s="67">
        <v>0</v>
      </c>
      <c r="C123" s="208"/>
      <c r="D123" s="176"/>
      <c r="E123" s="112"/>
      <c r="F123" s="112"/>
      <c r="G123" s="112"/>
      <c r="H123" s="112"/>
      <c r="I123" s="112"/>
      <c r="J123" s="112"/>
      <c r="K123" s="112"/>
    </row>
    <row r="124" spans="1:26" ht="15.75" hidden="1" customHeight="1" x14ac:dyDescent="0.25">
      <c r="A124" s="120" t="s">
        <v>44</v>
      </c>
      <c r="B124" s="67">
        <v>0</v>
      </c>
      <c r="C124" s="208"/>
      <c r="D124" s="112"/>
      <c r="E124" s="112"/>
      <c r="F124" s="112"/>
      <c r="G124" s="112"/>
      <c r="H124" s="112"/>
      <c r="I124" s="112"/>
      <c r="J124" s="112"/>
      <c r="K124" s="112"/>
    </row>
    <row r="125" spans="1:26" ht="15.75" hidden="1" customHeight="1" x14ac:dyDescent="0.25">
      <c r="A125" s="120" t="s">
        <v>45</v>
      </c>
      <c r="B125" s="67">
        <v>0</v>
      </c>
      <c r="C125" s="213"/>
      <c r="D125" s="112"/>
      <c r="E125" s="112"/>
      <c r="F125" s="112"/>
      <c r="G125" s="112"/>
      <c r="H125" s="112"/>
      <c r="I125" s="112"/>
      <c r="J125" s="112"/>
      <c r="K125" s="112"/>
    </row>
    <row r="126" spans="1:26" ht="15.75" hidden="1" customHeight="1" x14ac:dyDescent="0.25">
      <c r="A126" s="211" t="s">
        <v>49</v>
      </c>
      <c r="B126" s="207">
        <f>SUM(B122:B125)</f>
        <v>0</v>
      </c>
      <c r="C126" s="196"/>
      <c r="D126" s="112"/>
      <c r="E126" s="112"/>
      <c r="F126" s="112"/>
      <c r="G126" s="112"/>
      <c r="H126" s="112"/>
      <c r="I126" s="112"/>
      <c r="J126" s="112"/>
      <c r="K126" s="112"/>
    </row>
    <row r="127" spans="1:26" ht="15.75" hidden="1" customHeight="1" x14ac:dyDescent="0.2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</row>
    <row r="128" spans="1:26" ht="60.75" hidden="1" customHeight="1" x14ac:dyDescent="0.2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</row>
    <row r="129" spans="1:26" ht="15.75" customHeight="1" x14ac:dyDescent="0.25">
      <c r="A129" s="239" t="s">
        <v>50</v>
      </c>
      <c r="B129" s="234"/>
      <c r="C129" s="234"/>
      <c r="D129" s="112"/>
      <c r="E129" s="112"/>
      <c r="F129" s="112"/>
      <c r="G129" s="112"/>
      <c r="H129" s="112"/>
      <c r="I129" s="112"/>
      <c r="J129" s="112"/>
      <c r="K129" s="112"/>
    </row>
    <row r="130" spans="1:26" ht="15.75" customHeight="1" x14ac:dyDescent="0.25">
      <c r="A130" s="234"/>
      <c r="B130" s="234"/>
      <c r="C130" s="234"/>
      <c r="D130" s="112"/>
      <c r="E130" s="112"/>
      <c r="F130" s="112"/>
      <c r="G130" s="112"/>
      <c r="H130" s="112"/>
      <c r="I130" s="112"/>
      <c r="J130" s="112"/>
      <c r="K130" s="112"/>
    </row>
    <row r="131" spans="1:26" ht="15.75" customHeight="1" x14ac:dyDescent="0.25">
      <c r="A131" s="120"/>
      <c r="B131" s="105"/>
      <c r="C131" s="67">
        <v>11948.17</v>
      </c>
      <c r="D131" s="112"/>
      <c r="E131" s="112"/>
      <c r="F131" s="112"/>
      <c r="G131" s="112"/>
      <c r="H131" s="112"/>
      <c r="I131" s="112"/>
      <c r="J131" s="112"/>
      <c r="K131" s="112"/>
    </row>
    <row r="132" spans="1:26" ht="15.75" customHeight="1" x14ac:dyDescent="0.25">
      <c r="A132" s="120"/>
      <c r="B132" s="214"/>
      <c r="C132" s="67">
        <v>52000</v>
      </c>
      <c r="D132" s="112"/>
      <c r="E132" s="112"/>
      <c r="F132" s="112"/>
      <c r="G132" s="112"/>
      <c r="H132" s="112"/>
      <c r="I132" s="112"/>
      <c r="J132" s="112"/>
      <c r="K132" s="112"/>
    </row>
    <row r="133" spans="1:26" ht="15.75" customHeight="1" x14ac:dyDescent="0.25">
      <c r="A133" s="215"/>
      <c r="B133" s="214"/>
      <c r="C133" s="67">
        <v>61209</v>
      </c>
      <c r="D133" s="113"/>
      <c r="E133" s="113"/>
      <c r="F133" s="113"/>
      <c r="G133" s="113"/>
      <c r="H133" s="113"/>
      <c r="I133" s="113"/>
      <c r="J133" s="113"/>
      <c r="K133" s="11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03"/>
      <c r="B134" s="214"/>
      <c r="C134" s="67">
        <v>40000</v>
      </c>
      <c r="D134" s="113"/>
      <c r="E134" s="113"/>
      <c r="F134" s="113"/>
      <c r="G134" s="113"/>
      <c r="H134" s="113"/>
      <c r="I134" s="113"/>
      <c r="J134" s="113"/>
      <c r="K134" s="11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0" t="s">
        <v>29</v>
      </c>
      <c r="B135" s="57">
        <f>SUM(B131:B134)</f>
        <v>0</v>
      </c>
      <c r="C135" s="11"/>
    </row>
    <row r="136" spans="1:26" ht="15.75" customHeight="1" x14ac:dyDescent="0.25">
      <c r="M136" s="12"/>
    </row>
    <row r="137" spans="1:26" ht="15.75" customHeight="1" x14ac:dyDescent="0.25"/>
    <row r="138" spans="1:26" ht="15.75" customHeight="1" x14ac:dyDescent="0.25"/>
    <row r="139" spans="1:26" ht="15.75" customHeight="1" x14ac:dyDescent="0.25"/>
    <row r="140" spans="1:26" ht="15.75" customHeight="1" x14ac:dyDescent="0.25"/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sortState xmlns:xlrd2="http://schemas.microsoft.com/office/spreadsheetml/2017/richdata2" ref="D42:E42">
    <sortCondition ref="E41:E42"/>
  </sortState>
  <mergeCells count="24">
    <mergeCell ref="A129:C130"/>
    <mergeCell ref="D60:D61"/>
    <mergeCell ref="A58:B58"/>
    <mergeCell ref="A68:B68"/>
    <mergeCell ref="A64:B64"/>
    <mergeCell ref="A63:B63"/>
    <mergeCell ref="A66:B66"/>
    <mergeCell ref="A62:B62"/>
    <mergeCell ref="A70:B70"/>
    <mergeCell ref="A69:B69"/>
    <mergeCell ref="A103:B104"/>
    <mergeCell ref="A106:B107"/>
    <mergeCell ref="A74:B74"/>
    <mergeCell ref="B3:D4"/>
    <mergeCell ref="A60:B61"/>
    <mergeCell ref="B9:C11"/>
    <mergeCell ref="A41:B41"/>
    <mergeCell ref="A52:B52"/>
    <mergeCell ref="A7:E7"/>
    <mergeCell ref="A14:E17"/>
    <mergeCell ref="E60:E61"/>
    <mergeCell ref="A55:B55"/>
    <mergeCell ref="A56:B56"/>
    <mergeCell ref="A30:B3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1" workbookViewId="0">
      <selection activeCell="H6" sqref="H6:H34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13"/>
      <c r="B1" s="13"/>
      <c r="C1" s="13"/>
      <c r="D1" s="13"/>
      <c r="E1" s="13"/>
      <c r="F1" s="254"/>
      <c r="G1" s="227"/>
      <c r="H1" s="227"/>
      <c r="I1" s="227"/>
      <c r="J1" s="227"/>
      <c r="K1" s="227"/>
      <c r="L1" s="227"/>
      <c r="M1" s="227"/>
      <c r="N1" s="227"/>
      <c r="O1" s="227"/>
      <c r="P1" s="13"/>
      <c r="Q1" s="13"/>
    </row>
    <row r="2" spans="1:21" ht="12.75" customHeight="1" x14ac:dyDescent="0.25">
      <c r="A2" s="13"/>
      <c r="B2" s="13"/>
      <c r="C2" s="13"/>
      <c r="D2" s="13" t="str">
        <f>RESUMEN!B3</f>
        <v>MAIL: consorcioillia1554@gmail.com</v>
      </c>
      <c r="E2" s="13"/>
      <c r="F2" s="13"/>
      <c r="G2" s="13"/>
      <c r="H2" s="13"/>
      <c r="I2" s="13"/>
      <c r="J2" s="13"/>
      <c r="K2" s="13"/>
      <c r="L2" s="14" t="s">
        <v>51</v>
      </c>
      <c r="M2" s="13"/>
      <c r="N2" s="13"/>
      <c r="O2" s="78">
        <v>2139520.9700000002</v>
      </c>
      <c r="P2" s="15"/>
      <c r="Q2" s="15"/>
      <c r="R2" s="7"/>
    </row>
    <row r="3" spans="1:21" ht="12.75" customHeight="1" thickBot="1" x14ac:dyDescent="0.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 t="s">
        <v>52</v>
      </c>
      <c r="M3" s="13"/>
      <c r="N3" s="13"/>
      <c r="O3" s="16"/>
      <c r="P3" s="16"/>
      <c r="Q3" s="17"/>
    </row>
    <row r="4" spans="1:21" x14ac:dyDescent="0.25">
      <c r="A4" s="244" t="s">
        <v>53</v>
      </c>
      <c r="B4" s="251" t="s">
        <v>54</v>
      </c>
      <c r="C4" s="246" t="s">
        <v>55</v>
      </c>
      <c r="D4" s="246" t="s">
        <v>56</v>
      </c>
      <c r="E4" s="247" t="s">
        <v>57</v>
      </c>
      <c r="F4" s="246" t="s">
        <v>58</v>
      </c>
      <c r="G4" s="246" t="s">
        <v>59</v>
      </c>
      <c r="H4" s="246" t="s">
        <v>60</v>
      </c>
      <c r="I4" s="247" t="s">
        <v>61</v>
      </c>
      <c r="J4" s="258" t="s">
        <v>62</v>
      </c>
      <c r="K4" s="250" t="s">
        <v>63</v>
      </c>
      <c r="L4" s="253" t="s">
        <v>64</v>
      </c>
      <c r="M4" s="250" t="s">
        <v>65</v>
      </c>
      <c r="N4" s="255" t="s">
        <v>66</v>
      </c>
      <c r="O4" s="18" t="s">
        <v>67</v>
      </c>
      <c r="P4" s="257" t="s">
        <v>68</v>
      </c>
      <c r="Q4" s="253" t="s">
        <v>69</v>
      </c>
      <c r="R4" s="1"/>
    </row>
    <row r="5" spans="1:21" ht="15.75" customHeight="1" x14ac:dyDescent="0.25">
      <c r="A5" s="245"/>
      <c r="B5" s="252"/>
      <c r="C5" s="245"/>
      <c r="D5" s="245"/>
      <c r="E5" s="248"/>
      <c r="F5" s="245"/>
      <c r="G5" s="245"/>
      <c r="H5" s="245"/>
      <c r="I5" s="248"/>
      <c r="J5" s="248"/>
      <c r="K5" s="248"/>
      <c r="L5" s="245"/>
      <c r="M5" s="248"/>
      <c r="N5" s="256"/>
      <c r="O5" s="19" t="str">
        <f>RESUMEN!B9</f>
        <v>VTO 15/05</v>
      </c>
      <c r="P5" s="252"/>
      <c r="Q5" s="245"/>
    </row>
    <row r="6" spans="1:21" ht="16.5" customHeight="1" x14ac:dyDescent="0.25">
      <c r="A6" s="6" t="s">
        <v>70</v>
      </c>
      <c r="B6" s="42">
        <v>1</v>
      </c>
      <c r="C6" s="43" t="s">
        <v>71</v>
      </c>
      <c r="D6" s="43" t="s">
        <v>72</v>
      </c>
      <c r="E6" s="20" t="s">
        <v>161</v>
      </c>
      <c r="F6" s="21">
        <v>1.1000000000000001</v>
      </c>
      <c r="G6" s="22">
        <v>23535.01</v>
      </c>
      <c r="H6" s="50">
        <f t="shared" ref="H6:H11" si="0">G6</f>
        <v>23535.01</v>
      </c>
      <c r="I6" s="24"/>
      <c r="J6" s="25">
        <f t="shared" ref="J6:J36" si="1">G6-H6</f>
        <v>0</v>
      </c>
      <c r="K6" s="25">
        <f t="shared" ref="K6:K36" si="2">IF(J6&gt;0,J6*3%,0)</f>
        <v>0</v>
      </c>
      <c r="L6" s="22">
        <f>O$3*F6%</f>
        <v>0</v>
      </c>
      <c r="M6" s="25">
        <f>O$2*F6%</f>
        <v>23534.730670000004</v>
      </c>
      <c r="N6" s="26">
        <v>0</v>
      </c>
      <c r="O6" s="27">
        <f>ROUND(SUM(J6:N6),0) + R6</f>
        <v>23535.01</v>
      </c>
      <c r="P6" s="26">
        <f t="shared" ref="P6:P36" si="3">ROUND(O6*6% + O6,0) + R6</f>
        <v>24947.01</v>
      </c>
      <c r="Q6" s="28">
        <f t="shared" ref="Q6:Q36" si="4">ROUND(O6*3%,0) + O6</f>
        <v>24241.01</v>
      </c>
      <c r="R6" s="9">
        <v>0.01</v>
      </c>
    </row>
    <row r="7" spans="1:21" ht="16.5" customHeight="1" x14ac:dyDescent="0.25">
      <c r="A7" s="6" t="s">
        <v>73</v>
      </c>
      <c r="B7" s="72">
        <v>2</v>
      </c>
      <c r="C7" s="73" t="s">
        <v>74</v>
      </c>
      <c r="D7" s="73" t="s">
        <v>75</v>
      </c>
      <c r="E7" s="74"/>
      <c r="F7" s="75">
        <v>0.9</v>
      </c>
      <c r="G7" s="52">
        <v>18506.02</v>
      </c>
      <c r="H7" s="50">
        <v>20000</v>
      </c>
      <c r="I7" s="24"/>
      <c r="J7" s="53">
        <f t="shared" si="1"/>
        <v>-1493.9799999999996</v>
      </c>
      <c r="K7" s="53">
        <f t="shared" si="2"/>
        <v>0</v>
      </c>
      <c r="L7" s="52">
        <f t="shared" ref="L7:L34" si="5">O$3*F7%</f>
        <v>0</v>
      </c>
      <c r="M7" s="25">
        <f t="shared" ref="M7:M34" si="6">O$2*F7%</f>
        <v>19255.688730000005</v>
      </c>
      <c r="N7" s="54">
        <v>0</v>
      </c>
      <c r="O7" s="107">
        <f t="shared" ref="O7:O34" si="7">ROUND(SUM(J7:N7),0) + R7</f>
        <v>17762.02</v>
      </c>
      <c r="P7" s="54">
        <f t="shared" si="3"/>
        <v>18828.02</v>
      </c>
      <c r="Q7" s="108">
        <f t="shared" si="4"/>
        <v>18295.02</v>
      </c>
      <c r="R7" s="9">
        <f t="shared" ref="R7:R35" si="8">R6+0.01</f>
        <v>0.02</v>
      </c>
      <c r="S7" s="9"/>
    </row>
    <row r="8" spans="1:21" ht="16.5" customHeight="1" x14ac:dyDescent="0.25">
      <c r="A8" s="6" t="s">
        <v>73</v>
      </c>
      <c r="B8" s="72">
        <v>3</v>
      </c>
      <c r="C8" s="73" t="s">
        <v>76</v>
      </c>
      <c r="D8" s="73" t="s">
        <v>77</v>
      </c>
      <c r="E8" s="74" t="s">
        <v>78</v>
      </c>
      <c r="F8" s="75">
        <v>0.8</v>
      </c>
      <c r="G8" s="52">
        <v>17116.03</v>
      </c>
      <c r="H8" s="50">
        <f>G8</f>
        <v>17116.03</v>
      </c>
      <c r="I8" s="24"/>
      <c r="J8" s="53">
        <f t="shared" si="1"/>
        <v>0</v>
      </c>
      <c r="K8" s="53">
        <f t="shared" si="2"/>
        <v>0</v>
      </c>
      <c r="L8" s="52">
        <f t="shared" si="5"/>
        <v>0</v>
      </c>
      <c r="M8" s="25">
        <f t="shared" si="6"/>
        <v>17116.16776</v>
      </c>
      <c r="N8" s="54">
        <v>0</v>
      </c>
      <c r="O8" s="107">
        <f t="shared" si="7"/>
        <v>17116.03</v>
      </c>
      <c r="P8" s="54">
        <f t="shared" si="3"/>
        <v>18143.03</v>
      </c>
      <c r="Q8" s="108">
        <f t="shared" si="4"/>
        <v>17629.03</v>
      </c>
      <c r="R8" s="9">
        <f t="shared" si="8"/>
        <v>0.03</v>
      </c>
    </row>
    <row r="9" spans="1:21" ht="16.5" customHeight="1" x14ac:dyDescent="0.25">
      <c r="A9" s="6" t="s">
        <v>79</v>
      </c>
      <c r="B9" s="72">
        <v>4</v>
      </c>
      <c r="C9" s="73" t="s">
        <v>80</v>
      </c>
      <c r="D9" s="73" t="s">
        <v>81</v>
      </c>
      <c r="E9" s="74"/>
      <c r="F9" s="75">
        <v>0.8</v>
      </c>
      <c r="G9" s="52">
        <v>17116.04</v>
      </c>
      <c r="H9" s="50">
        <f t="shared" si="0"/>
        <v>17116.04</v>
      </c>
      <c r="I9" s="24"/>
      <c r="J9" s="53">
        <f t="shared" si="1"/>
        <v>0</v>
      </c>
      <c r="K9" s="53">
        <f t="shared" si="2"/>
        <v>0</v>
      </c>
      <c r="L9" s="52">
        <f t="shared" si="5"/>
        <v>0</v>
      </c>
      <c r="M9" s="25">
        <f t="shared" si="6"/>
        <v>17116.16776</v>
      </c>
      <c r="N9" s="54">
        <v>0</v>
      </c>
      <c r="O9" s="107">
        <f t="shared" si="7"/>
        <v>17116.04</v>
      </c>
      <c r="P9" s="54">
        <f t="shared" si="3"/>
        <v>18143.04</v>
      </c>
      <c r="Q9" s="108">
        <f t="shared" si="4"/>
        <v>17629.04</v>
      </c>
      <c r="R9" s="9">
        <f t="shared" si="8"/>
        <v>0.04</v>
      </c>
    </row>
    <row r="10" spans="1:21" ht="16.5" customHeight="1" x14ac:dyDescent="0.25">
      <c r="A10" s="6" t="s">
        <v>79</v>
      </c>
      <c r="B10" s="72">
        <v>5</v>
      </c>
      <c r="C10" s="73" t="s">
        <v>82</v>
      </c>
      <c r="D10" s="73" t="s">
        <v>75</v>
      </c>
      <c r="E10" s="74" t="s">
        <v>160</v>
      </c>
      <c r="F10" s="75">
        <v>0.5</v>
      </c>
      <c r="G10" s="52">
        <v>10698.05</v>
      </c>
      <c r="H10" s="50">
        <f>G10</f>
        <v>10698.05</v>
      </c>
      <c r="I10" s="24"/>
      <c r="J10" s="53">
        <f t="shared" si="1"/>
        <v>0</v>
      </c>
      <c r="K10" s="53">
        <f t="shared" si="2"/>
        <v>0</v>
      </c>
      <c r="L10" s="52">
        <f t="shared" si="5"/>
        <v>0</v>
      </c>
      <c r="M10" s="25">
        <f t="shared" si="6"/>
        <v>10697.604850000002</v>
      </c>
      <c r="N10" s="54">
        <v>0</v>
      </c>
      <c r="O10" s="107">
        <f t="shared" si="7"/>
        <v>10698.05</v>
      </c>
      <c r="P10" s="54">
        <f t="shared" si="3"/>
        <v>11340.05</v>
      </c>
      <c r="Q10" s="108">
        <f t="shared" si="4"/>
        <v>11019.05</v>
      </c>
      <c r="R10" s="9">
        <f t="shared" si="8"/>
        <v>0.05</v>
      </c>
    </row>
    <row r="11" spans="1:21" ht="16.5" customHeight="1" x14ac:dyDescent="0.25">
      <c r="A11" s="6" t="s">
        <v>83</v>
      </c>
      <c r="B11" s="72">
        <v>6</v>
      </c>
      <c r="C11" s="73" t="s">
        <v>84</v>
      </c>
      <c r="D11" s="73" t="s">
        <v>156</v>
      </c>
      <c r="E11" s="76"/>
      <c r="F11" s="75">
        <v>0.5</v>
      </c>
      <c r="G11" s="52">
        <v>10698.06</v>
      </c>
      <c r="H11" s="50">
        <f t="shared" si="0"/>
        <v>10698.06</v>
      </c>
      <c r="I11" s="24"/>
      <c r="J11" s="53">
        <f t="shared" si="1"/>
        <v>0</v>
      </c>
      <c r="K11" s="53">
        <f t="shared" si="2"/>
        <v>0</v>
      </c>
      <c r="L11" s="52">
        <f t="shared" si="5"/>
        <v>0</v>
      </c>
      <c r="M11" s="25">
        <f t="shared" si="6"/>
        <v>10697.604850000002</v>
      </c>
      <c r="N11" s="54">
        <v>0</v>
      </c>
      <c r="O11" s="107">
        <f t="shared" si="7"/>
        <v>10698.06</v>
      </c>
      <c r="P11" s="54">
        <f t="shared" si="3"/>
        <v>11340.06</v>
      </c>
      <c r="Q11" s="108">
        <f t="shared" si="4"/>
        <v>11019.06</v>
      </c>
      <c r="R11" s="9">
        <f t="shared" si="8"/>
        <v>6.0000000000000005E-2</v>
      </c>
    </row>
    <row r="12" spans="1:21" ht="24" customHeight="1" x14ac:dyDescent="0.25">
      <c r="A12" s="6" t="s">
        <v>83</v>
      </c>
      <c r="B12" s="72">
        <v>7</v>
      </c>
      <c r="C12" s="73" t="s">
        <v>85</v>
      </c>
      <c r="D12" s="73" t="s">
        <v>75</v>
      </c>
      <c r="E12" s="74" t="s">
        <v>162</v>
      </c>
      <c r="F12" s="75">
        <v>0.5</v>
      </c>
      <c r="G12" s="52">
        <v>10698.07</v>
      </c>
      <c r="H12" s="50">
        <f>G12</f>
        <v>10698.07</v>
      </c>
      <c r="I12" s="24"/>
      <c r="J12" s="53">
        <f t="shared" si="1"/>
        <v>0</v>
      </c>
      <c r="K12" s="53">
        <f t="shared" si="2"/>
        <v>0</v>
      </c>
      <c r="L12" s="52">
        <f t="shared" si="5"/>
        <v>0</v>
      </c>
      <c r="M12" s="25">
        <f t="shared" si="6"/>
        <v>10697.604850000002</v>
      </c>
      <c r="N12" s="54">
        <v>0</v>
      </c>
      <c r="O12" s="107">
        <f t="shared" si="7"/>
        <v>10698.07</v>
      </c>
      <c r="P12" s="54">
        <f t="shared" si="3"/>
        <v>11340.07</v>
      </c>
      <c r="Q12" s="108">
        <f t="shared" si="4"/>
        <v>11019.07</v>
      </c>
      <c r="R12" s="9">
        <f t="shared" si="8"/>
        <v>7.0000000000000007E-2</v>
      </c>
    </row>
    <row r="13" spans="1:21" ht="16.5" customHeight="1" x14ac:dyDescent="0.25">
      <c r="A13" s="6" t="s">
        <v>86</v>
      </c>
      <c r="B13" s="92" t="s">
        <v>87</v>
      </c>
      <c r="C13" s="93">
        <v>1</v>
      </c>
      <c r="D13" s="93" t="s">
        <v>88</v>
      </c>
      <c r="E13" s="94" t="s">
        <v>89</v>
      </c>
      <c r="F13" s="95">
        <v>4.4000000000000004</v>
      </c>
      <c r="G13" s="96">
        <v>94139.08</v>
      </c>
      <c r="H13" s="216">
        <f>190139.08-RESUMEN!B116</f>
        <v>94139.079999999987</v>
      </c>
      <c r="I13" s="97"/>
      <c r="J13" s="98">
        <f t="shared" si="1"/>
        <v>0</v>
      </c>
      <c r="K13" s="98">
        <f t="shared" si="2"/>
        <v>0</v>
      </c>
      <c r="L13" s="96">
        <f t="shared" si="5"/>
        <v>0</v>
      </c>
      <c r="M13" s="98">
        <f t="shared" si="6"/>
        <v>94138.922680000018</v>
      </c>
      <c r="N13" s="99"/>
      <c r="O13" s="109">
        <f t="shared" si="7"/>
        <v>94139.08</v>
      </c>
      <c r="P13" s="99">
        <f t="shared" si="3"/>
        <v>99787.08</v>
      </c>
      <c r="Q13" s="110">
        <f t="shared" si="4"/>
        <v>96963.08</v>
      </c>
      <c r="R13" s="9">
        <f t="shared" si="8"/>
        <v>0.08</v>
      </c>
    </row>
    <row r="14" spans="1:21" ht="16.5" customHeight="1" x14ac:dyDescent="0.25">
      <c r="A14" s="6" t="s">
        <v>86</v>
      </c>
      <c r="B14" s="42" t="s">
        <v>90</v>
      </c>
      <c r="C14" s="43">
        <f t="shared" ref="C14:C34" si="9">C13+1</f>
        <v>2</v>
      </c>
      <c r="D14" s="43" t="s">
        <v>81</v>
      </c>
      <c r="E14" s="29"/>
      <c r="F14" s="21">
        <v>4.5</v>
      </c>
      <c r="G14" s="22">
        <v>96278.09</v>
      </c>
      <c r="H14" s="50">
        <f>113395.13-H9</f>
        <v>96279.09</v>
      </c>
      <c r="I14" s="24"/>
      <c r="J14" s="25">
        <f t="shared" si="1"/>
        <v>-1</v>
      </c>
      <c r="K14" s="25">
        <f t="shared" si="2"/>
        <v>0</v>
      </c>
      <c r="L14" s="22">
        <f t="shared" si="5"/>
        <v>0</v>
      </c>
      <c r="M14" s="25">
        <f t="shared" si="6"/>
        <v>96278.443650000001</v>
      </c>
      <c r="N14" s="26">
        <v>0</v>
      </c>
      <c r="O14" s="27">
        <f t="shared" si="7"/>
        <v>96277.09</v>
      </c>
      <c r="P14" s="26">
        <f t="shared" si="3"/>
        <v>102054.09</v>
      </c>
      <c r="Q14" s="28">
        <f t="shared" si="4"/>
        <v>99165.09</v>
      </c>
      <c r="R14" s="9">
        <f t="shared" si="8"/>
        <v>0.09</v>
      </c>
      <c r="U14" s="56" t="s">
        <v>91</v>
      </c>
    </row>
    <row r="15" spans="1:21" ht="26.25" customHeight="1" x14ac:dyDescent="0.25">
      <c r="A15" s="6" t="s">
        <v>92</v>
      </c>
      <c r="B15" s="42" t="s">
        <v>93</v>
      </c>
      <c r="C15" s="43">
        <f t="shared" si="9"/>
        <v>3</v>
      </c>
      <c r="D15" s="43" t="s">
        <v>94</v>
      </c>
      <c r="E15" s="29" t="s">
        <v>95</v>
      </c>
      <c r="F15" s="21">
        <v>4.5</v>
      </c>
      <c r="G15" s="22">
        <v>96278.1</v>
      </c>
      <c r="H15" s="217">
        <f>110185.14-H10</f>
        <v>99487.09</v>
      </c>
      <c r="I15" s="24"/>
      <c r="J15" s="25">
        <f t="shared" si="1"/>
        <v>-3208.9899999999907</v>
      </c>
      <c r="K15" s="25">
        <f t="shared" si="2"/>
        <v>0</v>
      </c>
      <c r="L15" s="22">
        <f t="shared" si="5"/>
        <v>0</v>
      </c>
      <c r="M15" s="25">
        <f t="shared" si="6"/>
        <v>96278.443650000001</v>
      </c>
      <c r="N15" s="26">
        <v>0</v>
      </c>
      <c r="O15" s="27">
        <f t="shared" si="7"/>
        <v>93069.1</v>
      </c>
      <c r="P15" s="26">
        <f t="shared" si="3"/>
        <v>98653.1</v>
      </c>
      <c r="Q15" s="28">
        <f t="shared" si="4"/>
        <v>95861.1</v>
      </c>
      <c r="R15" s="9">
        <f t="shared" si="8"/>
        <v>9.9999999999999992E-2</v>
      </c>
    </row>
    <row r="16" spans="1:21" ht="16.5" customHeight="1" x14ac:dyDescent="0.25">
      <c r="A16" s="6" t="s">
        <v>92</v>
      </c>
      <c r="B16" s="42" t="s">
        <v>96</v>
      </c>
      <c r="C16" s="43">
        <f t="shared" si="9"/>
        <v>4</v>
      </c>
      <c r="D16" s="43" t="s">
        <v>97</v>
      </c>
      <c r="E16" s="29" t="s">
        <v>98</v>
      </c>
      <c r="F16" s="21">
        <v>3.1</v>
      </c>
      <c r="G16" s="22">
        <v>66325.11</v>
      </c>
      <c r="H16" s="50">
        <f>G16</f>
        <v>66325.11</v>
      </c>
      <c r="I16" s="24"/>
      <c r="J16" s="25">
        <f t="shared" si="1"/>
        <v>0</v>
      </c>
      <c r="K16" s="25">
        <f t="shared" si="2"/>
        <v>0</v>
      </c>
      <c r="L16" s="22">
        <f t="shared" si="5"/>
        <v>0</v>
      </c>
      <c r="M16" s="25">
        <f t="shared" si="6"/>
        <v>66325.150070000003</v>
      </c>
      <c r="N16" s="26">
        <v>0</v>
      </c>
      <c r="O16" s="27">
        <f t="shared" si="7"/>
        <v>66325.11</v>
      </c>
      <c r="P16" s="26">
        <f t="shared" si="3"/>
        <v>70305.11</v>
      </c>
      <c r="Q16" s="28">
        <f t="shared" si="4"/>
        <v>68315.11</v>
      </c>
      <c r="R16" s="9">
        <f t="shared" si="8"/>
        <v>0.10999999999999999</v>
      </c>
    </row>
    <row r="17" spans="1:22" ht="16.5" customHeight="1" x14ac:dyDescent="0.25">
      <c r="A17" s="6" t="s">
        <v>99</v>
      </c>
      <c r="B17" s="72" t="s">
        <v>100</v>
      </c>
      <c r="C17" s="73">
        <f t="shared" si="9"/>
        <v>5</v>
      </c>
      <c r="D17" s="73" t="s">
        <v>101</v>
      </c>
      <c r="E17" s="74" t="s">
        <v>102</v>
      </c>
      <c r="F17" s="75">
        <v>4.4000000000000004</v>
      </c>
      <c r="G17" s="52">
        <v>874298.12</v>
      </c>
      <c r="H17" s="50">
        <v>300000</v>
      </c>
      <c r="I17" s="24"/>
      <c r="J17" s="53">
        <f t="shared" si="1"/>
        <v>574298.12</v>
      </c>
      <c r="K17" s="53">
        <f t="shared" si="2"/>
        <v>17228.943599999999</v>
      </c>
      <c r="L17" s="52">
        <f t="shared" si="5"/>
        <v>0</v>
      </c>
      <c r="M17" s="53">
        <f t="shared" si="6"/>
        <v>94138.922680000018</v>
      </c>
      <c r="N17" s="54">
        <v>0</v>
      </c>
      <c r="O17" s="107">
        <f t="shared" si="7"/>
        <v>685666.12</v>
      </c>
      <c r="P17" s="54">
        <f t="shared" si="3"/>
        <v>726806.12</v>
      </c>
      <c r="Q17" s="108">
        <f t="shared" si="4"/>
        <v>706236.12</v>
      </c>
      <c r="R17" s="9">
        <f t="shared" si="8"/>
        <v>0.11999999999999998</v>
      </c>
    </row>
    <row r="18" spans="1:22" ht="16.5" customHeight="1" x14ac:dyDescent="0.25">
      <c r="A18" s="6" t="s">
        <v>99</v>
      </c>
      <c r="B18" s="72" t="s">
        <v>103</v>
      </c>
      <c r="C18" s="73">
        <f t="shared" si="9"/>
        <v>6</v>
      </c>
      <c r="D18" s="73" t="s">
        <v>104</v>
      </c>
      <c r="E18" s="74" t="s">
        <v>157</v>
      </c>
      <c r="F18" s="75">
        <v>4.5</v>
      </c>
      <c r="G18" s="52">
        <v>57558.13</v>
      </c>
      <c r="H18" s="50">
        <v>135000</v>
      </c>
      <c r="I18" s="24"/>
      <c r="J18" s="53">
        <f t="shared" si="1"/>
        <v>-77441.87</v>
      </c>
      <c r="K18" s="53">
        <f t="shared" si="2"/>
        <v>0</v>
      </c>
      <c r="L18" s="52">
        <f t="shared" si="5"/>
        <v>0</v>
      </c>
      <c r="M18" s="53">
        <f t="shared" si="6"/>
        <v>96278.443650000001</v>
      </c>
      <c r="N18" s="54">
        <v>0</v>
      </c>
      <c r="O18" s="107">
        <f t="shared" si="7"/>
        <v>18837.13</v>
      </c>
      <c r="P18" s="54">
        <f t="shared" si="3"/>
        <v>19967.13</v>
      </c>
      <c r="Q18" s="108">
        <f t="shared" si="4"/>
        <v>19402.13</v>
      </c>
      <c r="R18" s="9">
        <f t="shared" si="8"/>
        <v>0.12999999999999998</v>
      </c>
      <c r="T18" s="104" t="s">
        <v>153</v>
      </c>
    </row>
    <row r="19" spans="1:22" ht="16.5" customHeight="1" x14ac:dyDescent="0.25">
      <c r="A19" s="6" t="s">
        <v>105</v>
      </c>
      <c r="B19" s="42" t="s">
        <v>106</v>
      </c>
      <c r="C19" s="43">
        <f t="shared" si="9"/>
        <v>7</v>
      </c>
      <c r="D19" s="43" t="s">
        <v>107</v>
      </c>
      <c r="E19" s="29"/>
      <c r="F19" s="21">
        <v>4.5</v>
      </c>
      <c r="G19" s="22">
        <v>96278.14</v>
      </c>
      <c r="H19" s="50">
        <f>G19</f>
        <v>96278.14</v>
      </c>
      <c r="I19" s="24"/>
      <c r="J19" s="25">
        <f t="shared" si="1"/>
        <v>0</v>
      </c>
      <c r="K19" s="25">
        <f t="shared" si="2"/>
        <v>0</v>
      </c>
      <c r="L19" s="22">
        <f t="shared" si="5"/>
        <v>0</v>
      </c>
      <c r="M19" s="25">
        <f t="shared" si="6"/>
        <v>96278.443650000001</v>
      </c>
      <c r="N19" s="26">
        <v>0</v>
      </c>
      <c r="O19" s="27">
        <f t="shared" si="7"/>
        <v>96278.14</v>
      </c>
      <c r="P19" s="26">
        <f t="shared" si="3"/>
        <v>102055.14</v>
      </c>
      <c r="Q19" s="28">
        <f t="shared" si="4"/>
        <v>99166.14</v>
      </c>
      <c r="R19" s="9">
        <f t="shared" si="8"/>
        <v>0.13999999999999999</v>
      </c>
    </row>
    <row r="20" spans="1:22" ht="16.5" customHeight="1" x14ac:dyDescent="0.25">
      <c r="A20" s="6" t="s">
        <v>105</v>
      </c>
      <c r="B20" s="42" t="s">
        <v>108</v>
      </c>
      <c r="C20" s="43">
        <f t="shared" si="9"/>
        <v>8</v>
      </c>
      <c r="D20" s="43" t="s">
        <v>109</v>
      </c>
      <c r="E20" s="29"/>
      <c r="F20" s="21">
        <v>3.1</v>
      </c>
      <c r="G20" s="22">
        <v>66325.149999999994</v>
      </c>
      <c r="H20" s="50">
        <f>G20</f>
        <v>66325.149999999994</v>
      </c>
      <c r="I20" s="24"/>
      <c r="J20" s="25">
        <f t="shared" si="1"/>
        <v>0</v>
      </c>
      <c r="K20" s="25">
        <f t="shared" si="2"/>
        <v>0</v>
      </c>
      <c r="L20" s="22">
        <f t="shared" si="5"/>
        <v>0</v>
      </c>
      <c r="M20" s="25">
        <f t="shared" si="6"/>
        <v>66325.150070000003</v>
      </c>
      <c r="N20" s="26">
        <v>0</v>
      </c>
      <c r="O20" s="27">
        <f t="shared" si="7"/>
        <v>66325.149999999994</v>
      </c>
      <c r="P20" s="26">
        <f t="shared" si="3"/>
        <v>70305.149999999994</v>
      </c>
      <c r="Q20" s="28">
        <f t="shared" si="4"/>
        <v>68315.149999999994</v>
      </c>
      <c r="R20" s="9">
        <f t="shared" si="8"/>
        <v>0.15</v>
      </c>
    </row>
    <row r="21" spans="1:22" ht="16.5" customHeight="1" x14ac:dyDescent="0.25">
      <c r="A21" s="6" t="s">
        <v>110</v>
      </c>
      <c r="B21" s="42" t="s">
        <v>111</v>
      </c>
      <c r="C21" s="43">
        <f t="shared" si="9"/>
        <v>9</v>
      </c>
      <c r="D21" s="43" t="s">
        <v>112</v>
      </c>
      <c r="E21" s="20" t="s">
        <v>113</v>
      </c>
      <c r="F21" s="21">
        <v>4.4000000000000004</v>
      </c>
      <c r="G21" s="22">
        <v>94139.16</v>
      </c>
      <c r="H21" s="50">
        <f>G21</f>
        <v>94139.16</v>
      </c>
      <c r="I21" s="24"/>
      <c r="J21" s="25">
        <f t="shared" si="1"/>
        <v>0</v>
      </c>
      <c r="K21" s="25">
        <f t="shared" si="2"/>
        <v>0</v>
      </c>
      <c r="L21" s="22">
        <f t="shared" si="5"/>
        <v>0</v>
      </c>
      <c r="M21" s="25">
        <f t="shared" si="6"/>
        <v>94138.922680000018</v>
      </c>
      <c r="N21" s="26">
        <v>0</v>
      </c>
      <c r="O21" s="27">
        <f t="shared" si="7"/>
        <v>94139.16</v>
      </c>
      <c r="P21" s="26">
        <f t="shared" si="3"/>
        <v>99788.160000000003</v>
      </c>
      <c r="Q21" s="28">
        <f t="shared" si="4"/>
        <v>96963.16</v>
      </c>
      <c r="R21" s="9">
        <f t="shared" si="8"/>
        <v>0.16</v>
      </c>
      <c r="T21" s="30"/>
    </row>
    <row r="22" spans="1:22" ht="16.5" customHeight="1" x14ac:dyDescent="0.25">
      <c r="A22" s="6" t="s">
        <v>110</v>
      </c>
      <c r="B22" s="42" t="s">
        <v>114</v>
      </c>
      <c r="C22" s="43">
        <f t="shared" si="9"/>
        <v>10</v>
      </c>
      <c r="D22" s="43" t="s">
        <v>72</v>
      </c>
      <c r="E22" s="29" t="s">
        <v>115</v>
      </c>
      <c r="F22" s="21">
        <v>4.5</v>
      </c>
      <c r="G22" s="23">
        <v>195445.17</v>
      </c>
      <c r="H22" s="50">
        <v>99166</v>
      </c>
      <c r="I22" s="24"/>
      <c r="J22" s="25">
        <f t="shared" si="1"/>
        <v>96279.170000000013</v>
      </c>
      <c r="K22" s="25">
        <f t="shared" si="2"/>
        <v>2888.3751000000002</v>
      </c>
      <c r="L22" s="22">
        <f t="shared" si="5"/>
        <v>0</v>
      </c>
      <c r="M22" s="25">
        <f t="shared" si="6"/>
        <v>96278.443650000001</v>
      </c>
      <c r="N22" s="26">
        <v>0</v>
      </c>
      <c r="O22" s="27">
        <f t="shared" si="7"/>
        <v>195446.17</v>
      </c>
      <c r="P22" s="26">
        <f t="shared" si="3"/>
        <v>207173.17</v>
      </c>
      <c r="Q22" s="28">
        <f t="shared" si="4"/>
        <v>201309.17</v>
      </c>
      <c r="R22" s="9">
        <f t="shared" si="8"/>
        <v>0.17</v>
      </c>
      <c r="T22" s="55"/>
      <c r="U22" s="77" t="s">
        <v>116</v>
      </c>
    </row>
    <row r="23" spans="1:22" ht="16.5" customHeight="1" x14ac:dyDescent="0.25">
      <c r="A23" s="6" t="s">
        <v>117</v>
      </c>
      <c r="B23" s="42" t="s">
        <v>118</v>
      </c>
      <c r="C23" s="43">
        <f t="shared" si="9"/>
        <v>11</v>
      </c>
      <c r="D23" s="43" t="s">
        <v>119</v>
      </c>
      <c r="E23" s="20"/>
      <c r="F23" s="21">
        <v>4.5</v>
      </c>
      <c r="G23" s="52">
        <v>96278.18</v>
      </c>
      <c r="H23" s="50">
        <f>G23</f>
        <v>96278.18</v>
      </c>
      <c r="I23" s="24"/>
      <c r="J23" s="53">
        <f t="shared" si="1"/>
        <v>0</v>
      </c>
      <c r="K23" s="53">
        <f t="shared" si="2"/>
        <v>0</v>
      </c>
      <c r="L23" s="52">
        <f t="shared" si="5"/>
        <v>0</v>
      </c>
      <c r="M23" s="25">
        <f t="shared" si="6"/>
        <v>96278.443650000001</v>
      </c>
      <c r="N23" s="54">
        <v>0</v>
      </c>
      <c r="O23" s="107">
        <f t="shared" si="7"/>
        <v>96278.18</v>
      </c>
      <c r="P23" s="54">
        <f t="shared" si="3"/>
        <v>102055.18</v>
      </c>
      <c r="Q23" s="108">
        <f t="shared" si="4"/>
        <v>99166.18</v>
      </c>
      <c r="R23" s="9">
        <f t="shared" si="8"/>
        <v>0.18000000000000002</v>
      </c>
      <c r="T23" s="55"/>
    </row>
    <row r="24" spans="1:22" ht="16.5" customHeight="1" x14ac:dyDescent="0.25">
      <c r="A24" s="6" t="s">
        <v>117</v>
      </c>
      <c r="B24" s="42" t="s">
        <v>120</v>
      </c>
      <c r="C24" s="43">
        <f t="shared" si="9"/>
        <v>12</v>
      </c>
      <c r="D24" s="43" t="s">
        <v>77</v>
      </c>
      <c r="E24" s="29" t="s">
        <v>78</v>
      </c>
      <c r="F24" s="21">
        <v>3.1</v>
      </c>
      <c r="G24" s="22">
        <v>65452.19</v>
      </c>
      <c r="H24" s="50">
        <f>83500-H8</f>
        <v>66383.97</v>
      </c>
      <c r="I24" s="24"/>
      <c r="J24" s="25">
        <f t="shared" si="1"/>
        <v>-931.77999999999884</v>
      </c>
      <c r="K24" s="25">
        <f t="shared" si="2"/>
        <v>0</v>
      </c>
      <c r="L24" s="22">
        <f t="shared" si="5"/>
        <v>0</v>
      </c>
      <c r="M24" s="25">
        <f t="shared" si="6"/>
        <v>66325.150070000003</v>
      </c>
      <c r="N24" s="26">
        <v>0</v>
      </c>
      <c r="O24" s="27">
        <f t="shared" si="7"/>
        <v>65393.19</v>
      </c>
      <c r="P24" s="26">
        <f t="shared" si="3"/>
        <v>69317.19</v>
      </c>
      <c r="Q24" s="28">
        <f t="shared" si="4"/>
        <v>67355.19</v>
      </c>
      <c r="R24" s="9">
        <f t="shared" si="8"/>
        <v>0.19000000000000003</v>
      </c>
      <c r="T24" s="55"/>
    </row>
    <row r="25" spans="1:22" ht="16.5" customHeight="1" x14ac:dyDescent="0.25">
      <c r="A25" s="6" t="s">
        <v>121</v>
      </c>
      <c r="B25" s="72" t="s">
        <v>122</v>
      </c>
      <c r="C25" s="73">
        <f t="shared" si="9"/>
        <v>13</v>
      </c>
      <c r="D25" s="73" t="s">
        <v>123</v>
      </c>
      <c r="E25" s="76"/>
      <c r="F25" s="75">
        <v>4.4000000000000004</v>
      </c>
      <c r="G25" s="52">
        <v>94128.2</v>
      </c>
      <c r="H25" s="50">
        <f>G25</f>
        <v>94128.2</v>
      </c>
      <c r="I25" s="24"/>
      <c r="J25" s="24">
        <f t="shared" si="1"/>
        <v>0</v>
      </c>
      <c r="K25" s="53">
        <f t="shared" si="2"/>
        <v>0</v>
      </c>
      <c r="L25" s="52">
        <f t="shared" si="5"/>
        <v>0</v>
      </c>
      <c r="M25" s="25">
        <f t="shared" si="6"/>
        <v>94138.922680000018</v>
      </c>
      <c r="N25" s="54">
        <v>0</v>
      </c>
      <c r="O25" s="107">
        <f t="shared" si="7"/>
        <v>94139.199999999997</v>
      </c>
      <c r="P25" s="54">
        <f t="shared" si="3"/>
        <v>99788.2</v>
      </c>
      <c r="Q25" s="108">
        <f t="shared" si="4"/>
        <v>96963.199999999997</v>
      </c>
      <c r="R25" s="9">
        <f t="shared" si="8"/>
        <v>0.20000000000000004</v>
      </c>
      <c r="T25" s="56" t="s">
        <v>124</v>
      </c>
      <c r="U25" s="71"/>
      <c r="V25" s="56"/>
    </row>
    <row r="26" spans="1:22" ht="27.75" customHeight="1" x14ac:dyDescent="0.25">
      <c r="A26" s="6" t="s">
        <v>125</v>
      </c>
      <c r="B26" s="42" t="s">
        <v>126</v>
      </c>
      <c r="C26" s="43">
        <f t="shared" si="9"/>
        <v>14</v>
      </c>
      <c r="D26" s="43" t="s">
        <v>72</v>
      </c>
      <c r="E26" s="29" t="s">
        <v>127</v>
      </c>
      <c r="F26" s="21">
        <v>4.5</v>
      </c>
      <c r="G26" s="22">
        <v>96280.21</v>
      </c>
      <c r="H26" s="50">
        <f>119813-H6</f>
        <v>96277.99</v>
      </c>
      <c r="I26" s="24"/>
      <c r="J26" s="25">
        <f t="shared" si="1"/>
        <v>2.2200000000011642</v>
      </c>
      <c r="K26" s="25">
        <f t="shared" si="2"/>
        <v>6.6600000000034923E-2</v>
      </c>
      <c r="L26" s="22">
        <f t="shared" si="5"/>
        <v>0</v>
      </c>
      <c r="M26" s="25">
        <f t="shared" si="6"/>
        <v>96278.443650000001</v>
      </c>
      <c r="N26" s="26">
        <v>0</v>
      </c>
      <c r="O26" s="27">
        <f t="shared" si="7"/>
        <v>96281.21</v>
      </c>
      <c r="P26" s="26">
        <f t="shared" si="3"/>
        <v>102058.21</v>
      </c>
      <c r="Q26" s="28">
        <f t="shared" si="4"/>
        <v>99169.21</v>
      </c>
      <c r="R26" s="9">
        <f t="shared" si="8"/>
        <v>0.21000000000000005</v>
      </c>
      <c r="T26" s="55"/>
    </row>
    <row r="27" spans="1:22" ht="24" customHeight="1" x14ac:dyDescent="0.25">
      <c r="A27" s="6" t="s">
        <v>128</v>
      </c>
      <c r="B27" s="42" t="s">
        <v>129</v>
      </c>
      <c r="C27" s="43">
        <f t="shared" si="9"/>
        <v>15</v>
      </c>
      <c r="D27" s="43" t="s">
        <v>130</v>
      </c>
      <c r="E27" s="29" t="s">
        <v>131</v>
      </c>
      <c r="F27" s="21">
        <v>4.5</v>
      </c>
      <c r="G27" s="22">
        <v>96278.22</v>
      </c>
      <c r="H27" s="50">
        <f>G27</f>
        <v>96278.22</v>
      </c>
      <c r="I27" s="24"/>
      <c r="J27" s="25">
        <f t="shared" si="1"/>
        <v>0</v>
      </c>
      <c r="K27" s="25">
        <f t="shared" si="2"/>
        <v>0</v>
      </c>
      <c r="L27" s="22">
        <f t="shared" si="5"/>
        <v>0</v>
      </c>
      <c r="M27" s="25">
        <f t="shared" si="6"/>
        <v>96278.443650000001</v>
      </c>
      <c r="N27" s="26">
        <v>0</v>
      </c>
      <c r="O27" s="27">
        <f t="shared" si="7"/>
        <v>96278.22</v>
      </c>
      <c r="P27" s="26">
        <f t="shared" si="3"/>
        <v>102055.22</v>
      </c>
      <c r="Q27" s="28">
        <f t="shared" si="4"/>
        <v>99166.22</v>
      </c>
      <c r="R27" s="9">
        <f t="shared" si="8"/>
        <v>0.22000000000000006</v>
      </c>
      <c r="T27" s="101"/>
    </row>
    <row r="28" spans="1:22" ht="16.5" customHeight="1" x14ac:dyDescent="0.25">
      <c r="A28" s="6" t="s">
        <v>132</v>
      </c>
      <c r="B28" s="72" t="s">
        <v>133</v>
      </c>
      <c r="C28" s="73">
        <f t="shared" si="9"/>
        <v>16</v>
      </c>
      <c r="D28" s="73" t="s">
        <v>154</v>
      </c>
      <c r="E28" s="74" t="s">
        <v>134</v>
      </c>
      <c r="F28" s="75">
        <v>3.1</v>
      </c>
      <c r="G28" s="52">
        <v>66325.23</v>
      </c>
      <c r="H28" s="50">
        <f>G28</f>
        <v>66325.23</v>
      </c>
      <c r="I28" s="24"/>
      <c r="J28" s="53">
        <f t="shared" si="1"/>
        <v>0</v>
      </c>
      <c r="K28" s="53">
        <f t="shared" si="2"/>
        <v>0</v>
      </c>
      <c r="L28" s="52">
        <f t="shared" si="5"/>
        <v>0</v>
      </c>
      <c r="M28" s="53">
        <f t="shared" si="6"/>
        <v>66325.150070000003</v>
      </c>
      <c r="N28" s="54">
        <v>0</v>
      </c>
      <c r="O28" s="107">
        <f t="shared" si="7"/>
        <v>66325.23</v>
      </c>
      <c r="P28" s="54">
        <f t="shared" si="3"/>
        <v>70305.23</v>
      </c>
      <c r="Q28" s="108">
        <f t="shared" si="4"/>
        <v>68315.23</v>
      </c>
      <c r="R28" s="9">
        <f t="shared" si="8"/>
        <v>0.23000000000000007</v>
      </c>
    </row>
    <row r="29" spans="1:22" ht="16.5" customHeight="1" x14ac:dyDescent="0.25">
      <c r="A29" s="6" t="s">
        <v>135</v>
      </c>
      <c r="B29" s="42" t="s">
        <v>136</v>
      </c>
      <c r="C29" s="43">
        <f t="shared" si="9"/>
        <v>17</v>
      </c>
      <c r="D29" s="43" t="s">
        <v>156</v>
      </c>
      <c r="E29" s="29"/>
      <c r="F29" s="21">
        <v>6.8</v>
      </c>
      <c r="G29" s="22">
        <v>144857.24</v>
      </c>
      <c r="H29" s="50">
        <f>G29</f>
        <v>144857.24</v>
      </c>
      <c r="I29" s="24"/>
      <c r="J29" s="25">
        <f t="shared" si="1"/>
        <v>0</v>
      </c>
      <c r="K29" s="25">
        <f t="shared" si="2"/>
        <v>0</v>
      </c>
      <c r="L29" s="22">
        <f t="shared" si="5"/>
        <v>0</v>
      </c>
      <c r="M29" s="25">
        <f t="shared" si="6"/>
        <v>145487.42596000002</v>
      </c>
      <c r="N29" s="26">
        <v>0</v>
      </c>
      <c r="O29" s="27">
        <f t="shared" si="7"/>
        <v>145487.24</v>
      </c>
      <c r="P29" s="26">
        <f t="shared" si="3"/>
        <v>154216.24</v>
      </c>
      <c r="Q29" s="28">
        <f t="shared" si="4"/>
        <v>149852.24</v>
      </c>
      <c r="R29" s="9">
        <f t="shared" si="8"/>
        <v>0.24000000000000007</v>
      </c>
    </row>
    <row r="30" spans="1:22" ht="16.5" customHeight="1" x14ac:dyDescent="0.25">
      <c r="A30" s="6" t="s">
        <v>135</v>
      </c>
      <c r="B30" s="72" t="s">
        <v>137</v>
      </c>
      <c r="C30" s="73">
        <f t="shared" si="9"/>
        <v>18</v>
      </c>
      <c r="D30" s="73" t="s">
        <v>138</v>
      </c>
      <c r="E30" s="76"/>
      <c r="F30" s="75">
        <v>6.9</v>
      </c>
      <c r="G30" s="52">
        <v>152056.25</v>
      </c>
      <c r="H30" s="50">
        <f>G30</f>
        <v>152056.25</v>
      </c>
      <c r="I30" s="24"/>
      <c r="J30" s="53">
        <f t="shared" si="1"/>
        <v>0</v>
      </c>
      <c r="K30" s="53">
        <f t="shared" si="2"/>
        <v>0</v>
      </c>
      <c r="L30" s="52">
        <f t="shared" si="5"/>
        <v>0</v>
      </c>
      <c r="M30" s="53">
        <f t="shared" si="6"/>
        <v>147626.94693000003</v>
      </c>
      <c r="N30" s="54"/>
      <c r="O30" s="107">
        <f t="shared" si="7"/>
        <v>147627.25</v>
      </c>
      <c r="P30" s="54">
        <f t="shared" si="3"/>
        <v>156485.25</v>
      </c>
      <c r="Q30" s="108">
        <f t="shared" si="4"/>
        <v>152056.25</v>
      </c>
      <c r="R30" s="102">
        <f t="shared" si="8"/>
        <v>0.25000000000000006</v>
      </c>
      <c r="S30" s="101"/>
      <c r="T30" s="103"/>
    </row>
    <row r="31" spans="1:22" ht="16.5" customHeight="1" x14ac:dyDescent="0.25">
      <c r="A31" s="6" t="s">
        <v>135</v>
      </c>
      <c r="B31" s="42" t="s">
        <v>139</v>
      </c>
      <c r="C31" s="43">
        <f t="shared" si="9"/>
        <v>19</v>
      </c>
      <c r="D31" s="43" t="s">
        <v>140</v>
      </c>
      <c r="E31" s="20" t="s">
        <v>141</v>
      </c>
      <c r="F31" s="21">
        <v>4.5</v>
      </c>
      <c r="G31" s="22">
        <v>96278.26</v>
      </c>
      <c r="H31" s="50">
        <f>G31</f>
        <v>96278.26</v>
      </c>
      <c r="I31" s="24"/>
      <c r="J31" s="25">
        <f t="shared" si="1"/>
        <v>0</v>
      </c>
      <c r="K31" s="25">
        <f t="shared" si="2"/>
        <v>0</v>
      </c>
      <c r="L31" s="22">
        <f t="shared" si="5"/>
        <v>0</v>
      </c>
      <c r="M31" s="25">
        <f t="shared" si="6"/>
        <v>96278.443650000001</v>
      </c>
      <c r="N31" s="26">
        <v>0</v>
      </c>
      <c r="O31" s="27">
        <f t="shared" si="7"/>
        <v>96278.26</v>
      </c>
      <c r="P31" s="26">
        <f t="shared" si="3"/>
        <v>102055.26</v>
      </c>
      <c r="Q31" s="28">
        <f t="shared" si="4"/>
        <v>99166.26</v>
      </c>
      <c r="R31" s="9">
        <f t="shared" si="8"/>
        <v>0.26000000000000006</v>
      </c>
    </row>
    <row r="32" spans="1:22" ht="16.5" customHeight="1" x14ac:dyDescent="0.25">
      <c r="A32" s="6" t="s">
        <v>135</v>
      </c>
      <c r="B32" s="72" t="s">
        <v>142</v>
      </c>
      <c r="C32" s="73">
        <f t="shared" si="9"/>
        <v>20</v>
      </c>
      <c r="D32" s="73" t="s">
        <v>143</v>
      </c>
      <c r="E32" s="74" t="s">
        <v>144</v>
      </c>
      <c r="F32" s="75">
        <v>3.1</v>
      </c>
      <c r="G32" s="52">
        <v>66325.27</v>
      </c>
      <c r="H32" s="50"/>
      <c r="I32" s="24"/>
      <c r="J32" s="25">
        <f t="shared" si="1"/>
        <v>66325.27</v>
      </c>
      <c r="K32" s="25">
        <f t="shared" si="2"/>
        <v>1989.7581</v>
      </c>
      <c r="L32" s="22">
        <f t="shared" si="5"/>
        <v>0</v>
      </c>
      <c r="M32" s="25">
        <f t="shared" si="6"/>
        <v>66325.150070000003</v>
      </c>
      <c r="N32" s="26">
        <v>0</v>
      </c>
      <c r="O32" s="27">
        <f t="shared" si="7"/>
        <v>134640.26999999999</v>
      </c>
      <c r="P32" s="26">
        <f t="shared" si="3"/>
        <v>142719.26999999999</v>
      </c>
      <c r="Q32" s="28">
        <f t="shared" si="4"/>
        <v>138679.26999999999</v>
      </c>
      <c r="R32" s="9">
        <f t="shared" si="8"/>
        <v>0.27000000000000007</v>
      </c>
    </row>
    <row r="33" spans="1:18" ht="16.5" customHeight="1" x14ac:dyDescent="0.25">
      <c r="A33" s="6" t="s">
        <v>135</v>
      </c>
      <c r="B33" s="72" t="s">
        <v>145</v>
      </c>
      <c r="C33" s="73">
        <f t="shared" si="9"/>
        <v>21</v>
      </c>
      <c r="D33" s="73" t="s">
        <v>146</v>
      </c>
      <c r="E33" s="76" t="s">
        <v>147</v>
      </c>
      <c r="F33" s="75">
        <v>4.5</v>
      </c>
      <c r="G33" s="52">
        <v>96278.28</v>
      </c>
      <c r="H33" s="50">
        <f>186278.28-RESUMEN!B115</f>
        <v>96278.28</v>
      </c>
      <c r="I33" s="24"/>
      <c r="J33" s="53">
        <f t="shared" si="1"/>
        <v>0</v>
      </c>
      <c r="K33" s="53"/>
      <c r="L33" s="52">
        <f t="shared" si="5"/>
        <v>0</v>
      </c>
      <c r="M33" s="53">
        <f t="shared" si="6"/>
        <v>96278.443650000001</v>
      </c>
      <c r="N33" s="263"/>
      <c r="O33" s="107">
        <f t="shared" si="7"/>
        <v>96278.28</v>
      </c>
      <c r="P33" s="54">
        <f t="shared" si="3"/>
        <v>102055.28</v>
      </c>
      <c r="Q33" s="108">
        <f t="shared" si="4"/>
        <v>99166.28</v>
      </c>
      <c r="R33" s="9">
        <f t="shared" si="8"/>
        <v>0.28000000000000008</v>
      </c>
    </row>
    <row r="34" spans="1:18" ht="16.5" customHeight="1" x14ac:dyDescent="0.25">
      <c r="A34" s="6" t="s">
        <v>135</v>
      </c>
      <c r="B34" s="42" t="s">
        <v>148</v>
      </c>
      <c r="C34" s="43">
        <f t="shared" si="9"/>
        <v>22</v>
      </c>
      <c r="D34" s="43" t="s">
        <v>149</v>
      </c>
      <c r="E34" s="20"/>
      <c r="F34" s="21">
        <v>3.1</v>
      </c>
      <c r="G34" s="22">
        <v>66325.289999999994</v>
      </c>
      <c r="H34" s="50">
        <f>G34</f>
        <v>66325.289999999994</v>
      </c>
      <c r="I34" s="24"/>
      <c r="J34" s="25">
        <f t="shared" si="1"/>
        <v>0</v>
      </c>
      <c r="K34" s="25">
        <f t="shared" si="2"/>
        <v>0</v>
      </c>
      <c r="L34" s="22">
        <f t="shared" si="5"/>
        <v>0</v>
      </c>
      <c r="M34" s="25">
        <f t="shared" si="6"/>
        <v>66325.150070000003</v>
      </c>
      <c r="N34" s="26">
        <v>0</v>
      </c>
      <c r="O34" s="27">
        <f t="shared" si="7"/>
        <v>66325.289999999994</v>
      </c>
      <c r="P34" s="26">
        <f t="shared" si="3"/>
        <v>70305.289999999994</v>
      </c>
      <c r="Q34" s="28">
        <f t="shared" si="4"/>
        <v>68315.289999999994</v>
      </c>
      <c r="R34" s="9">
        <f t="shared" si="8"/>
        <v>0.29000000000000009</v>
      </c>
    </row>
    <row r="35" spans="1:18" ht="17.25" customHeight="1" x14ac:dyDescent="0.25">
      <c r="A35" s="6" t="s">
        <v>135</v>
      </c>
      <c r="B35" s="44"/>
      <c r="C35" s="44"/>
      <c r="D35" s="44"/>
      <c r="E35" s="29"/>
      <c r="F35" s="21"/>
      <c r="G35" s="22"/>
      <c r="H35" s="50"/>
      <c r="I35" s="24"/>
      <c r="J35" s="25">
        <f t="shared" si="1"/>
        <v>0</v>
      </c>
      <c r="K35" s="25">
        <f t="shared" si="2"/>
        <v>0</v>
      </c>
      <c r="L35" s="22"/>
      <c r="M35" s="25"/>
      <c r="N35" s="26">
        <v>0</v>
      </c>
      <c r="O35" s="27"/>
      <c r="P35" s="26">
        <f t="shared" si="3"/>
        <v>0.3000000000000001</v>
      </c>
      <c r="Q35" s="28">
        <f t="shared" si="4"/>
        <v>0</v>
      </c>
      <c r="R35" s="9">
        <f t="shared" si="8"/>
        <v>0.3000000000000001</v>
      </c>
    </row>
    <row r="36" spans="1:18" ht="0.75" customHeight="1" x14ac:dyDescent="0.25">
      <c r="A36" s="6" t="s">
        <v>135</v>
      </c>
      <c r="B36" s="20"/>
      <c r="C36" s="20"/>
      <c r="D36" s="20"/>
      <c r="E36" s="20"/>
      <c r="F36" s="21"/>
      <c r="G36" s="31"/>
      <c r="H36" s="23"/>
      <c r="I36" s="32"/>
      <c r="J36" s="33">
        <f t="shared" si="1"/>
        <v>0</v>
      </c>
      <c r="K36" s="25">
        <f t="shared" si="2"/>
        <v>0</v>
      </c>
      <c r="L36" s="31">
        <f>O$3*F36%</f>
        <v>0</v>
      </c>
      <c r="M36" s="33">
        <f>RESUMEN!H$84*F36%</f>
        <v>0</v>
      </c>
      <c r="N36" s="34">
        <v>0</v>
      </c>
      <c r="O36" s="27">
        <f>ROUND(SUM(J36:N36),0) + R36</f>
        <v>0</v>
      </c>
      <c r="P36" s="26">
        <f t="shared" si="3"/>
        <v>0</v>
      </c>
      <c r="Q36" s="28">
        <f t="shared" si="4"/>
        <v>0</v>
      </c>
      <c r="R36" s="9"/>
    </row>
    <row r="37" spans="1:18" ht="16.5" customHeight="1" x14ac:dyDescent="0.25">
      <c r="B37" s="35"/>
      <c r="C37" s="36"/>
      <c r="D37" s="37"/>
      <c r="E37" s="37"/>
      <c r="F37" s="45">
        <f t="shared" ref="F37:Q37" si="10">SUM(F6:F36)</f>
        <v>99.999999999999986</v>
      </c>
      <c r="G37" s="38">
        <f t="shared" si="10"/>
        <v>2982294.3499999987</v>
      </c>
      <c r="H37" s="39">
        <f>SUM(H6:H36)</f>
        <v>2328467.1899999995</v>
      </c>
      <c r="I37" s="38">
        <f t="shared" si="10"/>
        <v>0</v>
      </c>
      <c r="J37" s="39">
        <f t="shared" si="10"/>
        <v>653827.16</v>
      </c>
      <c r="K37" s="38">
        <f t="shared" si="10"/>
        <v>22107.143399999997</v>
      </c>
      <c r="L37" s="39">
        <f t="shared" si="10"/>
        <v>0</v>
      </c>
      <c r="M37" s="38">
        <f t="shared" si="10"/>
        <v>2139520.9700000002</v>
      </c>
      <c r="N37" s="39">
        <f t="shared" si="10"/>
        <v>0</v>
      </c>
      <c r="O37" s="40">
        <f t="shared" si="10"/>
        <v>2815457.3499999987</v>
      </c>
      <c r="P37" s="40">
        <f t="shared" si="10"/>
        <v>2984391.6499999985</v>
      </c>
      <c r="Q37" s="40">
        <f t="shared" si="10"/>
        <v>2899918.3499999987</v>
      </c>
    </row>
    <row r="38" spans="1:18" ht="12.75" customHeight="1" x14ac:dyDescent="0.25">
      <c r="D38" s="41"/>
      <c r="E38" s="41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49" t="s">
        <v>151</v>
      </c>
      <c r="E40" s="227"/>
      <c r="F40" s="227"/>
      <c r="G40" s="227"/>
      <c r="H40" s="227"/>
      <c r="I40" s="227"/>
      <c r="J40" s="227"/>
      <c r="K40" s="227"/>
      <c r="L40" s="227"/>
      <c r="M40" s="227"/>
      <c r="N40" s="227"/>
      <c r="O40" s="227"/>
      <c r="Q40" s="1"/>
    </row>
    <row r="41" spans="1:18" ht="12" hidden="1" customHeight="1" x14ac:dyDescent="0.25">
      <c r="D41" s="227"/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Q41" s="1"/>
    </row>
    <row r="42" spans="1:18" ht="12" hidden="1" customHeight="1" x14ac:dyDescent="0.25">
      <c r="D42" s="227"/>
      <c r="E42" s="227"/>
      <c r="F42" s="227"/>
      <c r="G42" s="227"/>
      <c r="H42" s="227"/>
      <c r="I42" s="227"/>
      <c r="J42" s="227"/>
      <c r="K42" s="227"/>
      <c r="L42" s="227"/>
      <c r="M42" s="227"/>
      <c r="N42" s="227"/>
      <c r="O42" s="227"/>
      <c r="Q42" s="1"/>
    </row>
    <row r="43" spans="1:18" ht="12" hidden="1" customHeight="1" x14ac:dyDescent="0.25">
      <c r="D43" s="227"/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Q43" s="1"/>
    </row>
    <row r="44" spans="1:18" ht="12" hidden="1" customHeight="1" x14ac:dyDescent="0.25">
      <c r="D44" s="227"/>
      <c r="E44" s="227"/>
      <c r="F44" s="227"/>
      <c r="G44" s="227"/>
      <c r="H44" s="227"/>
      <c r="I44" s="227"/>
      <c r="J44" s="227"/>
      <c r="K44" s="227"/>
      <c r="L44" s="227"/>
      <c r="M44" s="227"/>
      <c r="N44" s="227"/>
      <c r="O44" s="227"/>
      <c r="Q44" s="1"/>
    </row>
    <row r="45" spans="1:18" ht="108" customHeight="1" x14ac:dyDescent="0.25">
      <c r="D45" s="227"/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2026-05-06T15:01:00Z</cp:lastPrinted>
  <dcterms:created xsi:type="dcterms:W3CDTF">2024-11-03T18:47:30Z</dcterms:created>
  <dcterms:modified xsi:type="dcterms:W3CDTF">2026-05-06T15:01:11Z</dcterms:modified>
</cp:coreProperties>
</file>