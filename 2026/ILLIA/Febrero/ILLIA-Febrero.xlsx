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2026\ILLIA\Febrero\"/>
    </mc:Choice>
  </mc:AlternateContent>
  <xr:revisionPtr revIDLastSave="0" documentId="13_ncr:1_{93C80C76-C962-4CD1-BAFA-EC7D645B18D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RESUMEN!$A$1:$E$135</definedName>
  </definedNames>
  <calcPr calcId="181029"/>
</workbook>
</file>

<file path=xl/calcChain.xml><?xml version="1.0" encoding="utf-8"?>
<calcChain xmlns="http://schemas.openxmlformats.org/spreadsheetml/2006/main">
  <c r="H25" i="2" l="1"/>
  <c r="H27" i="2"/>
  <c r="H15" i="2"/>
  <c r="H29" i="2"/>
  <c r="H24" i="2"/>
  <c r="H14" i="2"/>
  <c r="H26" i="2"/>
  <c r="E79" i="1"/>
  <c r="E81" i="1" l="1"/>
  <c r="E75" i="1"/>
  <c r="H30" i="2"/>
  <c r="H28" i="2"/>
  <c r="H22" i="2" l="1"/>
  <c r="H8" i="2"/>
  <c r="D29" i="1"/>
  <c r="H33" i="2" l="1"/>
  <c r="B115" i="1" l="1"/>
  <c r="H13" i="2" s="1"/>
  <c r="H20" i="2"/>
  <c r="H16" i="2" l="1"/>
  <c r="H6" i="2"/>
  <c r="E37" i="1" l="1"/>
  <c r="E48" i="1"/>
  <c r="E71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4" i="1"/>
  <c r="B112" i="1" s="1"/>
  <c r="B125" i="1"/>
  <c r="E89" i="1"/>
  <c r="E94" i="1" s="1"/>
  <c r="B99" i="1" s="1"/>
  <c r="E45" i="1"/>
  <c r="A45" i="1"/>
  <c r="A47" i="1" s="1"/>
  <c r="E40" i="1"/>
  <c r="D32" i="1"/>
  <c r="E33" i="1" s="1"/>
  <c r="E47" i="1" l="1"/>
  <c r="E46" i="1"/>
  <c r="H37" i="2"/>
  <c r="J6" i="2"/>
  <c r="J26" i="2"/>
  <c r="K26" i="2" s="1"/>
  <c r="J9" i="2"/>
  <c r="K9" i="2" s="1"/>
  <c r="J14" i="2"/>
  <c r="K14" i="2" s="1"/>
  <c r="O8" i="2"/>
  <c r="B98" i="1"/>
  <c r="R10" i="2"/>
  <c r="O7" i="2"/>
  <c r="L37" i="2"/>
  <c r="M36" i="2" l="1"/>
  <c r="O36" i="2" s="1"/>
  <c r="P36" i="2" s="1"/>
  <c r="E83" i="1"/>
  <c r="B97" i="1" s="1"/>
  <c r="B113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0" i="1"/>
  <c r="Q9" i="2" l="1"/>
  <c r="M37" i="2"/>
  <c r="Q36" i="2"/>
  <c r="B96" i="1"/>
  <c r="B116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<sst xmlns="http://schemas.openxmlformats.org/spreadsheetml/2006/main" count="225" uniqueCount="190">
  <si>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</si>
  <si>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</si>
  <si>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</si>
  <si>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</si>
  <si>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</si>
  <si>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</si>
  <si>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</si>
  <si>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</si>
  <si>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</si>
  <si>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</si>
  <si>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</si>
  <si>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</si>
  <si>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</si>
  <si>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</si>
  <si>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</si>
  <si>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</si>
  <si>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</si>
  <si>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</si>
  <si>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</si>
  <si>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</si>
  <si>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</si>
  <si>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</si>
  <si>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</si>
  <si>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</si>
  <si>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</si>
  <si>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</si>
  <si>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</si>
  <si>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</si>
  <si>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</si>
  <si>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</si>
  <si>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</si>
  <si>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</si>
  <si>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</si>
  <si>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</si>
  <si>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</si>
  <si>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</si>
  <si>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</si>
  <si>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</si>
  <si>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</si>
  <si>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</si>
  <si>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</si>
  <si>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</si>
  <si>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</si>
  <si>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</si>
  <si>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</si>
  <si>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</si>
  <si>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</si>
  <si>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</si>
  <si>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</si>
  <si>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</si>
  <si>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</si>
  <si>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</si>
  <si>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</si>
  <si>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</si>
  <si>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</si>
  <si>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</si>
  <si>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</si>
  <si>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</si>
  <si>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</si>
  <si>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</si>
  <si>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</si>
  <si>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</si>
  <si>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</si>
  <si>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</si>
  <si>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</si>
  <si>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</si>
  <si>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</si>
  <si>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</si>
  <si>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</si>
  <si>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</si>
  <si>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</si>
  <si>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</si>
  <si>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</si>
  <si>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</si>
  <si>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</si>
  <si>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</si>
  <si>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</si>
  <si>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</si>
  <si>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</si>
  <si>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</si>
  <si>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</si>
  <si>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</si>
  <si>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</si>
  <si>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</si>
  <si>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</si>
  <si>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</si>
  <si>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5º</t>
  </si>
  <si>
    <t>F</t>
  </si>
  <si>
    <t>G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</si>
  <si>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</si>
  <si>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</si>
  <si>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</si>
  <si>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</si>
  <si>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</si>
  <si>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</si>
  <si>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</si>
  <si>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</si>
  <si>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</si>
  <si>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</si>
  <si>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</si>
  <si>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</si>
  <si>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</si>
  <si>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</si>
  <si>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</si>
  <si>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</si>
  <si>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</si>
  <si>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</si>
  <si>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</si>
  <si>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</si>
  <si>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</si>
  <si>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</si>
  <si>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</si>
  <si>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</si>
  <si>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</si>
  <si>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</si>
  <si>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</si>
  <si>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</si>
  <si>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</si>
  <si>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</si>
  <si>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</si>
  <si>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</si>
  <si>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</si>
  <si>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</si>
  <si>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</si>
  <si>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</si>
  <si>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</si>
  <si>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</si>
  <si>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</si>
  <si>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</si>
  <si>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</si>
  <si>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</si>
  <si>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</si>
  <si>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</si>
  <si>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</si>
  <si>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</si>
  <si>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</si>
  <si>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</si>
  <si>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</si>
  <si>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</si>
  <si>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</si>
  <si>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</si>
  <si>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</si>
  <si>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</si>
  <si>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</si>
  <si>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</si>
  <si>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</si>
  <si>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</si>
  <si>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</si>
  <si>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</si>
  <si>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</si>
  <si>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</si>
  <si>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</si>
  <si>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</si>
  <si>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</si>
  <si>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</si>
  <si>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</si>
  <si>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</si>
  <si>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</si>
  <si>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COPELLO MONICA</t>
  </si>
  <si>
    <t xml:space="preserve">CONVENIO DE PAGO 1A: 12 CUOTAS MENSUALES DE $96.000 MAS EXPESAS EN CURSO. </t>
  </si>
  <si>
    <t>JUAN MANUEL PAL</t>
  </si>
  <si>
    <t>Agostina Alonso</t>
  </si>
  <si>
    <t>Aumentados EN3RO</t>
  </si>
  <si>
    <t>Serachar cuota convenio</t>
  </si>
  <si>
    <t>Articulos de limpieza</t>
  </si>
  <si>
    <t>CONVENIO DE PAGO 6c: 8 CUOTAS MENSUALES DE $90.000 MAS EXPESAS EN CURSO.</t>
  </si>
  <si>
    <t>Matias</t>
  </si>
  <si>
    <t>Juan 4B</t>
  </si>
  <si>
    <t>Pablo o laura 4c</t>
  </si>
  <si>
    <t>Sra. Fernanda Suplencia de Sra. Ana - Diferencia</t>
  </si>
  <si>
    <t>VTO 13/03</t>
  </si>
  <si>
    <t>PERÍODO: FEBRERO</t>
  </si>
  <si>
    <t>Sueldo Ana encargada FEBRERO</t>
  </si>
  <si>
    <t>FEBRERO</t>
  </si>
  <si>
    <t>Sindicatos mes de FEBRERO</t>
  </si>
  <si>
    <t>Ascensores ADS - Mantenimiento de ascensor (Período FEBRERO)</t>
  </si>
  <si>
    <t>AYSA - Mes de FEBRERO</t>
  </si>
  <si>
    <t xml:space="preserve">GASTOS BANCARIOS FEBRERO </t>
  </si>
  <si>
    <t>Debito 10/02</t>
  </si>
  <si>
    <t>Transf 11/02</t>
  </si>
  <si>
    <t>Ascensores ADS - Suministro y colocacion de un nuevo modulo completo de boton exterior</t>
  </si>
  <si>
    <t>Ascensores ADS - Suministro y colocacion de un nuevo modulo completo de boton exterior - 5to piso</t>
  </si>
  <si>
    <t>Debito 06/02</t>
  </si>
  <si>
    <t>Debito 11/02</t>
  </si>
  <si>
    <t>Debito 12/02</t>
  </si>
  <si>
    <t>Transf 24/01</t>
  </si>
  <si>
    <t>Julio Doartero - Cambio de canilla en garage</t>
  </si>
  <si>
    <t>Transf 22/02</t>
  </si>
  <si>
    <t>5ta cuota convenio de pago 1A</t>
  </si>
  <si>
    <t>6ta cuota convenio de pago 6C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</si>
</sst>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  <fill>
      <patternFill patternType="solid">
        <fgColor rgb="FFFFFF00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1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3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4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6" fillId="0" borderId="10" xfId="0" applyFont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6" fillId="6" borderId="13" xfId="0" applyFont="1" applyFill="1" applyBorder="1"/>
    <xf numFmtId="0" fontId="14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4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4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8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4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0" fillId="0" borderId="10" xfId="0" applyNumberFormat="1" applyFont="1" applyBorder="1"/>
    <xf numFmtId="14" fontId="5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0" fontId="17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4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19" fillId="10" borderId="4" xfId="1" applyNumberFormat="1" applyFont="1" applyFill="1" applyBorder="1"/>
    <xf numFmtId="8" fontId="31" fillId="8" borderId="10" xfId="0" applyNumberFormat="1" applyFont="1" applyFill="1" applyBorder="1"/>
    <xf numFmtId="8" fontId="8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2" fillId="6" borderId="10" xfId="0" applyFont="1" applyFill="1" applyBorder="1"/>
    <xf numFmtId="0" fontId="3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7" borderId="0" xfId="0" applyNumberFormat="1" applyFill="1" applyBorder="1"/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/>
    <xf numFmtId="0" fontId="21" fillId="18" borderId="10" xfId="0" applyFont="1" applyFill="1" applyBorder="1" applyAlignment="1">
      <alignment horizontal="center"/>
    </xf>
    <xf numFmtId="164" fontId="21" fillId="18" borderId="10" xfId="0" applyNumberFormat="1" applyFont="1" applyFill="1" applyBorder="1"/>
    <xf numFmtId="166" fontId="21" fillId="19" borderId="10" xfId="0" applyNumberFormat="1" applyFont="1" applyFill="1" applyBorder="1"/>
    <xf numFmtId="166" fontId="21" fillId="18" borderId="10" xfId="0" applyNumberFormat="1" applyFont="1" applyFill="1" applyBorder="1"/>
    <xf numFmtId="166" fontId="21" fillId="18" borderId="16" xfId="0" applyNumberFormat="1" applyFont="1" applyFill="1" applyBorder="1"/>
    <xf numFmtId="0" fontId="6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1" fontId="23" fillId="20" borderId="10" xfId="0" applyNumberFormat="1" applyFont="1" applyFill="1" applyBorder="1" applyAlignment="1">
      <alignment horizontal="left" vertical="top" shrinkToFit="1"/>
    </xf>
    <xf numFmtId="0" fontId="24" fillId="20" borderId="10" xfId="0" applyFont="1" applyFill="1" applyBorder="1" applyAlignment="1">
      <alignment horizontal="left" vertical="top" wrapText="1"/>
    </xf>
    <xf numFmtId="0" fontId="21" fillId="20" borderId="10" xfId="0" applyFont="1" applyFill="1" applyBorder="1" applyAlignment="1">
      <alignment wrapText="1"/>
    </xf>
    <xf numFmtId="0" fontId="21" fillId="20" borderId="10" xfId="0" applyFont="1" applyFill="1" applyBorder="1" applyAlignment="1">
      <alignment horizontal="center"/>
    </xf>
    <xf numFmtId="164" fontId="21" fillId="20" borderId="10" xfId="0" applyNumberFormat="1" applyFont="1" applyFill="1" applyBorder="1"/>
    <xf numFmtId="166" fontId="21" fillId="21" borderId="10" xfId="0" applyNumberFormat="1" applyFont="1" applyFill="1" applyBorder="1"/>
    <xf numFmtId="166" fontId="21" fillId="20" borderId="10" xfId="0" applyNumberFormat="1" applyFont="1" applyFill="1" applyBorder="1"/>
    <xf numFmtId="164" fontId="21" fillId="20" borderId="16" xfId="0" applyNumberFormat="1" applyFont="1" applyFill="1" applyBorder="1"/>
    <xf numFmtId="164" fontId="29" fillId="7" borderId="10" xfId="0" applyNumberFormat="1" applyFont="1" applyFill="1" applyBorder="1"/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9" fillId="0" borderId="10" xfId="1" applyNumberFormat="1" applyFont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0" fontId="14" fillId="0" borderId="20" xfId="0" applyFont="1" applyBorder="1"/>
    <xf numFmtId="164" fontId="8" fillId="7" borderId="20" xfId="0" applyNumberFormat="1" applyFont="1" applyFill="1" applyBorder="1"/>
    <xf numFmtId="164" fontId="15" fillId="0" borderId="10" xfId="0" applyNumberFormat="1" applyFont="1" applyBorder="1"/>
    <xf numFmtId="164" fontId="15" fillId="7" borderId="10" xfId="0" applyNumberFormat="1" applyFont="1" applyFill="1" applyBorder="1"/>
    <xf numFmtId="164" fontId="15" fillId="14" borderId="10" xfId="0" applyNumberFormat="1" applyFont="1" applyFill="1" applyBorder="1"/>
    <xf numFmtId="164" fontId="15" fillId="7" borderId="20" xfId="0" applyNumberFormat="1" applyFont="1" applyFill="1" applyBorder="1"/>
    <xf numFmtId="164" fontId="15" fillId="7" borderId="10" xfId="0" applyNumberFormat="1" applyFont="1" applyFill="1" applyBorder="1" applyAlignment="1">
      <alignment wrapText="1"/>
    </xf>
    <xf numFmtId="164" fontId="15" fillId="7" borderId="10" xfId="0" applyNumberFormat="1" applyFont="1" applyFill="1" applyBorder="1" applyAlignment="1">
      <alignment horizontal="right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5" fillId="0" borderId="10" xfId="0" applyFont="1" applyBorder="1" applyAlignment="1">
      <alignment horizontal="left" vertical="center" wrapText="1"/>
    </xf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0" fillId="0" borderId="0" xfId="0" applyBorder="1"/>
    <xf numFmtId="0" fontId="26" fillId="0" borderId="10" xfId="0" applyFont="1" applyBorder="1" applyAlignment="1">
      <alignment horizontal="left" vertical="center" wrapText="1"/>
    </xf>
    <xf numFmtId="0" fontId="0" fillId="0" borderId="9" xfId="0" applyBorder="1"/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0" borderId="16" xfId="0" applyFont="1" applyBorder="1" applyAlignment="1">
      <alignment horizontal="left" wrapText="1"/>
    </xf>
    <xf numFmtId="0" fontId="5" fillId="0" borderId="9" xfId="0" applyFont="1" applyBorder="1" applyAlignment="1">
      <alignment horizontal="left" wrapText="1"/>
    </xf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19" fillId="10" borderId="27" xfId="0" applyFont="1" applyFill="1" applyAlignment="1">
      <alignment horizontal="center" vertical="center"/>
    </xf>
    <xf numFmtId="164" fontId="8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5" fillId="0" borderId="10" xfId="0" applyFont="1" applyBorder="1" applyAlignment="1">
      <alignment horizontal="left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5" fillId="2" borderId="29" xfId="0" applyFont="1" applyFill="1" applyBorder="1" applyAlignment="1">
      <alignment horizontal="center" vertical="center"/>
    </xf>
    <xf numFmtId="0" fontId="0" fillId="0" borderId="30" xfId="0" applyBorder="1"/>
    <xf numFmtId="0" fontId="16" fillId="2" borderId="29" xfId="0" applyFont="1" applyFill="1" applyBorder="1" applyAlignment="1">
      <alignment horizontal="center" vertical="center"/>
    </xf>
    <xf numFmtId="0" fontId="16" fillId="2" borderId="38" xfId="0" applyFont="1" applyFill="1" applyBorder="1" applyAlignment="1">
      <alignment horizontal="center" vertical="center"/>
    </xf>
    <xf numFmtId="0" fontId="0" fillId="0" borderId="33" xfId="0" applyBorder="1"/>
    <xf numFmtId="0" fontId="6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5" fillId="2" borderId="27" xfId="0" applyFont="1" applyFill="1" applyAlignment="1">
      <alignment horizontal="left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21" fillId="2" borderId="38" xfId="0" applyFont="1" applyFill="1" applyBorder="1" applyAlignment="1">
      <alignment horizontal="center" vertical="center" wrapText="1"/>
    </xf>
    <xf numFmtId="8" fontId="8" fillId="23" borderId="10" xfId="0" applyNumberFormat="1" applyFont="1" applyFill="1" applyBorder="1"/>
    <xf numFmtId="8" fontId="15" fillId="14" borderId="10" xfId="0" applyNumberFormat="1" applyFont="1" applyFill="1" applyBorder="1"/>
    <xf numFmtId="8" fontId="15" fillId="7" borderId="10" xfId="0" applyNumberFormat="1" applyFont="1" applyFill="1" applyBorder="1"/>
    <xf numFmtId="164" fontId="15" fillId="7" borderId="10" xfId="0" applyNumberFormat="1" applyFont="1" applyFill="1" applyBorder="1" applyAlignment="1">
      <alignment horizontal="left" wrapText="1"/>
    </xf>
    <xf numFmtId="44" fontId="5" fillId="0" borderId="27" xfId="0" applyNumberFormat="1" applyFont="1"/>
    <xf numFmtId="164" fontId="21" fillId="14" borderId="34" xfId="0" applyNumberFormat="1" applyFont="1" applyFill="1" applyBorder="1"/>
    <xf numFmtId="164" fontId="21" fillId="14" borderId="35" xfId="0" applyNumberFormat="1" applyFont="1" applyFill="1" applyBorder="1"/>
    <xf numFmtId="164" fontId="21" fillId="20" borderId="34" xfId="0" applyNumberFormat="1" applyFont="1" applyFill="1" applyBorder="1"/>
    <xf numFmtId="164" fontId="21" fillId="20" borderId="35" xfId="0" applyNumberFormat="1" applyFont="1" applyFill="1" applyBorder="1"/>
    <xf numFmtId="164" fontId="21" fillId="18" borderId="34" xfId="0" applyNumberFormat="1" applyFont="1" applyFill="1" applyBorder="1"/>
    <xf numFmtId="164" fontId="21" fillId="18" borderId="16" xfId="0" applyNumberFormat="1" applyFont="1" applyFill="1" applyBorder="1"/>
    <xf numFmtId="164" fontId="21" fillId="18" borderId="35" xfId="0" applyNumberFormat="1" applyFont="1" applyFill="1" applyBorder="1"/>
    <xf numFmtId="164" fontId="35" fillId="7" borderId="10" xfId="0" applyNumberFormat="1" applyFont="1" applyFill="1" applyBorder="1"/>
    <xf numFmtId="164" fontId="35" fillId="15" borderId="10" xfId="0" applyNumberFormat="1" applyFont="1" applyFill="1" applyBorder="1"/>
    <xf numFmtId="164" fontId="35" fillId="21" borderId="10" xfId="0" applyNumberFormat="1" applyFont="1" applyFill="1" applyBorder="1"/>
    <xf numFmtId="164" fontId="35" fillId="12" borderId="10" xfId="0" applyNumberFormat="1" applyFont="1" applyFill="1" applyBorder="1"/>
    <xf numFmtId="164" fontId="15" fillId="7" borderId="13" xfId="0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workbookViewId="0">
      <selection activeCell="F81" sqref="A2:F81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184"/>
      <c r="B1" s="185"/>
      <c r="C1" s="186"/>
      <c r="D1" s="186"/>
      <c r="E1" s="187"/>
      <c r="F1" s="1"/>
      <c r="G1" s="1"/>
      <c r="H1" s="1"/>
    </row>
    <row r="2" spans="1:9" x14ac:dyDescent="0.25">
      <c r="A2" s="188"/>
      <c r="B2" s="189" t="s">
        <v>0</v>
      </c>
      <c r="C2" s="183"/>
      <c r="D2" s="183"/>
      <c r="E2" s="190"/>
      <c r="F2" s="1"/>
      <c r="G2" s="1"/>
      <c r="H2" s="1"/>
    </row>
    <row r="3" spans="1:9" ht="15.75" customHeight="1" thickBot="1" x14ac:dyDescent="0.3">
      <c r="A3" s="188"/>
      <c r="B3" s="221" t="s">
        <v>1</v>
      </c>
      <c r="C3" s="222"/>
      <c r="D3" s="222"/>
      <c r="E3" s="190"/>
      <c r="F3" s="1"/>
      <c r="G3" s="1"/>
      <c r="H3" s="1"/>
    </row>
    <row r="4" spans="1:9" ht="32.25" customHeight="1" thickBot="1" x14ac:dyDescent="0.3">
      <c r="A4" s="188"/>
      <c r="B4" s="223"/>
      <c r="C4" s="223"/>
      <c r="D4" s="223"/>
      <c r="E4" s="190"/>
      <c r="F4" s="1"/>
      <c r="G4" s="1"/>
      <c r="H4" s="1"/>
    </row>
    <row r="5" spans="1:9" ht="15.75" customHeight="1" thickBot="1" x14ac:dyDescent="0.3">
      <c r="A5" s="191" t="s">
        <v>2</v>
      </c>
      <c r="B5" s="2" t="s">
        <v>3</v>
      </c>
      <c r="C5" s="3"/>
      <c r="D5" s="3"/>
      <c r="E5" s="192"/>
      <c r="F5" s="1"/>
      <c r="G5" s="1"/>
      <c r="H5" s="1"/>
    </row>
    <row r="6" spans="1:9" x14ac:dyDescent="0.25">
      <c r="A6" s="193" t="s">
        <v>4</v>
      </c>
      <c r="B6" s="4" t="s">
        <v>171</v>
      </c>
      <c r="C6" s="194"/>
      <c r="D6" s="194" t="s">
        <v>5</v>
      </c>
      <c r="E6" s="195"/>
      <c r="F6" s="1"/>
      <c r="G6" s="129"/>
      <c r="H6" s="129"/>
      <c r="I6" s="130"/>
    </row>
    <row r="7" spans="1:9" ht="15" customHeight="1" thickBot="1" x14ac:dyDescent="0.3">
      <c r="A7" s="233" t="s">
        <v>6</v>
      </c>
      <c r="B7" s="234"/>
      <c r="C7" s="234"/>
      <c r="D7" s="234"/>
      <c r="E7" s="235"/>
      <c r="F7" s="5"/>
      <c r="G7" s="131"/>
      <c r="H7" s="131"/>
      <c r="I7" s="130"/>
    </row>
    <row r="8" spans="1:9" ht="15" customHeight="1" x14ac:dyDescent="0.25">
      <c r="G8" s="130"/>
      <c r="H8" s="130"/>
      <c r="I8" s="130"/>
    </row>
    <row r="9" spans="1:9" x14ac:dyDescent="0.25">
      <c r="A9" s="1"/>
      <c r="B9" s="228" t="s">
        <v>170</v>
      </c>
      <c r="C9" s="229"/>
      <c r="D9" s="1"/>
      <c r="E9" s="1"/>
      <c r="F9" s="1"/>
      <c r="G9" s="1"/>
      <c r="H9" s="1"/>
    </row>
    <row r="10" spans="1:9" x14ac:dyDescent="0.25">
      <c r="A10" s="1"/>
      <c r="B10" s="229"/>
      <c r="C10" s="229"/>
      <c r="D10" s="1"/>
      <c r="E10" s="1"/>
      <c r="F10" s="1"/>
      <c r="G10" s="1"/>
      <c r="H10" s="1"/>
    </row>
    <row r="11" spans="1:9" x14ac:dyDescent="0.25">
      <c r="A11" s="1"/>
      <c r="B11" s="229"/>
      <c r="C11" s="229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36" t="s">
        <v>7</v>
      </c>
      <c r="B14" s="229"/>
      <c r="C14" s="229"/>
      <c r="D14" s="229"/>
      <c r="E14" s="229"/>
      <c r="F14" s="1"/>
      <c r="G14" s="1"/>
      <c r="H14" s="1"/>
    </row>
    <row r="15" spans="1:9" ht="15" customHeight="1" x14ac:dyDescent="0.25">
      <c r="A15" s="229"/>
      <c r="B15" s="229"/>
      <c r="C15" s="229"/>
      <c r="D15" s="229"/>
      <c r="E15" s="229"/>
      <c r="F15" s="1"/>
      <c r="G15" s="1"/>
      <c r="H15" s="1"/>
    </row>
    <row r="16" spans="1:9" ht="15" customHeight="1" x14ac:dyDescent="0.25">
      <c r="A16" s="229"/>
      <c r="B16" s="229"/>
      <c r="C16" s="229"/>
      <c r="D16" s="229"/>
      <c r="E16" s="229"/>
      <c r="F16" s="1"/>
      <c r="G16" s="1"/>
      <c r="H16" s="1"/>
    </row>
    <row r="17" spans="1:26" ht="39" customHeight="1" x14ac:dyDescent="0.25">
      <c r="A17" s="229"/>
      <c r="B17" s="229"/>
      <c r="C17" s="229"/>
      <c r="D17" s="229"/>
      <c r="E17" s="229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172</v>
      </c>
      <c r="B23" s="13"/>
      <c r="C23" s="13"/>
      <c r="D23" s="264">
        <v>805818.6</v>
      </c>
      <c r="E23" s="13"/>
    </row>
    <row r="24" spans="1:26" ht="15.75" hidden="1" customHeight="1" x14ac:dyDescent="0.25">
      <c r="A24" s="13"/>
      <c r="B24" s="13"/>
      <c r="C24" s="13"/>
      <c r="D24" s="264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264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264">
        <v>-199940.12</v>
      </c>
      <c r="E26" s="13"/>
    </row>
    <row r="27" spans="1:26" ht="15.75" customHeight="1" x14ac:dyDescent="0.25">
      <c r="A27" s="13" t="s">
        <v>11</v>
      </c>
      <c r="B27" s="13"/>
      <c r="C27" s="13"/>
      <c r="D27" s="264">
        <v>0.52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130" customFormat="1" ht="15.75" customHeight="1" x14ac:dyDescent="0.25">
      <c r="A28" s="13"/>
      <c r="B28" s="13"/>
      <c r="C28" s="13"/>
      <c r="D28" s="264"/>
      <c r="E28" s="13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</row>
    <row r="29" spans="1:26" x14ac:dyDescent="0.25">
      <c r="A29" s="14" t="s">
        <v>12</v>
      </c>
      <c r="B29" s="14"/>
      <c r="C29" s="14"/>
      <c r="D29" s="147">
        <f>SUM(D23:D28)</f>
        <v>605879</v>
      </c>
      <c r="E29" s="1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.75" hidden="1" customHeight="1" x14ac:dyDescent="0.25">
      <c r="A30" s="239" t="s">
        <v>169</v>
      </c>
      <c r="B30" s="240"/>
      <c r="C30" s="13"/>
      <c r="D30" s="148"/>
      <c r="E30" s="13"/>
      <c r="F30" s="1"/>
    </row>
    <row r="31" spans="1:26" hidden="1" x14ac:dyDescent="0.25">
      <c r="A31" s="13"/>
      <c r="B31" s="13"/>
      <c r="C31" s="13"/>
      <c r="D31" s="148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idden="1" x14ac:dyDescent="0.25">
      <c r="A32" s="14" t="s">
        <v>12</v>
      </c>
      <c r="B32" s="14"/>
      <c r="C32" s="14"/>
      <c r="D32" s="149">
        <f>SUM(D30:D31)</f>
        <v>0</v>
      </c>
      <c r="E32" s="1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">
      <c r="A33" s="16" t="s">
        <v>13</v>
      </c>
      <c r="B33" s="16"/>
      <c r="C33" s="16"/>
      <c r="D33" s="150"/>
      <c r="E33" s="17">
        <f>D29+D32</f>
        <v>605879</v>
      </c>
      <c r="F33" s="18"/>
    </row>
    <row r="34" spans="1:26" ht="15.75" customHeight="1" x14ac:dyDescent="0.25">
      <c r="A34" s="12" t="s">
        <v>14</v>
      </c>
      <c r="B34" s="12"/>
      <c r="C34" s="12"/>
      <c r="D34" s="151"/>
      <c r="E34" s="1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899999999999999" customHeight="1" x14ac:dyDescent="0.25">
      <c r="A35" s="121" t="s">
        <v>15</v>
      </c>
      <c r="B35" s="167" t="s">
        <v>173</v>
      </c>
      <c r="C35" s="13"/>
      <c r="D35" s="265">
        <v>45000</v>
      </c>
      <c r="E35" s="2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899999999999999" customHeight="1" thickBot="1" x14ac:dyDescent="0.3">
      <c r="A36" s="196" t="s">
        <v>16</v>
      </c>
      <c r="B36" s="167" t="s">
        <v>173</v>
      </c>
      <c r="C36" s="13"/>
      <c r="D36" s="266">
        <v>143100</v>
      </c>
      <c r="E36" s="21"/>
      <c r="F36" s="1"/>
      <c r="G36" s="1"/>
      <c r="H36" s="1" t="s">
        <v>162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thickBot="1" x14ac:dyDescent="0.3">
      <c r="A37" s="16" t="s">
        <v>17</v>
      </c>
      <c r="B37" s="16"/>
      <c r="C37" s="16"/>
      <c r="D37" s="152"/>
      <c r="E37" s="22">
        <f>SUM(D35:D36)</f>
        <v>188100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2" t="s">
        <v>18</v>
      </c>
      <c r="B38" s="16"/>
      <c r="C38" s="16"/>
      <c r="D38" s="153"/>
      <c r="E38" s="23"/>
      <c r="F38" s="1"/>
    </row>
    <row r="39" spans="1:26" ht="30" customHeight="1" x14ac:dyDescent="0.25">
      <c r="A39" s="230" t="s">
        <v>19</v>
      </c>
      <c r="B39" s="231"/>
      <c r="C39" s="24"/>
      <c r="D39" s="216">
        <v>63658.9</v>
      </c>
      <c r="E39" s="32" t="s">
        <v>184</v>
      </c>
      <c r="F39" s="1"/>
    </row>
    <row r="40" spans="1:26" ht="15.75" customHeight="1" x14ac:dyDescent="0.25">
      <c r="A40" s="16" t="s">
        <v>20</v>
      </c>
      <c r="B40" s="16"/>
      <c r="C40" s="16"/>
      <c r="D40" s="152"/>
      <c r="E40" s="26">
        <f>SUM(D39:D39)</f>
        <v>63658.9</v>
      </c>
      <c r="F40" s="1"/>
    </row>
    <row r="41" spans="1:26" ht="15.75" customHeight="1" x14ac:dyDescent="0.25">
      <c r="A41" s="12" t="s">
        <v>21</v>
      </c>
      <c r="B41" s="27"/>
      <c r="C41" s="27"/>
      <c r="D41" s="155"/>
      <c r="E41" s="28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0.75" customHeight="1" x14ac:dyDescent="0.25">
      <c r="A42" s="13"/>
      <c r="B42" s="13"/>
      <c r="C42" s="29"/>
      <c r="D42" s="156"/>
      <c r="E42" s="31"/>
      <c r="F42" s="1"/>
    </row>
    <row r="43" spans="1:26" ht="15.75" customHeight="1" x14ac:dyDescent="0.25">
      <c r="A43" s="13" t="s">
        <v>22</v>
      </c>
      <c r="B43" s="13"/>
      <c r="C43" s="29"/>
      <c r="D43" s="217">
        <v>449693.05</v>
      </c>
      <c r="E43" s="32" t="s">
        <v>182</v>
      </c>
      <c r="F43" s="1"/>
    </row>
    <row r="44" spans="1:26" ht="15.75" customHeight="1" x14ac:dyDescent="0.25">
      <c r="A44" s="13" t="s">
        <v>174</v>
      </c>
      <c r="B44" s="13" t="s">
        <v>23</v>
      </c>
      <c r="C44" s="13"/>
      <c r="D44" s="215">
        <v>36261.839999999997</v>
      </c>
      <c r="E44" s="32" t="s">
        <v>184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3" t="str">
        <f>A44</f>
        <v>Sindicatos mes de FEBRERO</v>
      </c>
      <c r="B45" s="13" t="s">
        <v>24</v>
      </c>
      <c r="C45" s="13"/>
      <c r="D45" s="216">
        <v>108494.58</v>
      </c>
      <c r="E45" s="32" t="str">
        <f>E44</f>
        <v>Debito 12/02</v>
      </c>
      <c r="F45" s="1"/>
      <c r="G45" s="1"/>
      <c r="H45" s="1"/>
    </row>
    <row r="46" spans="1:26" s="130" customFormat="1" ht="15.75" customHeight="1" x14ac:dyDescent="0.25">
      <c r="A46" s="134" t="s">
        <v>163</v>
      </c>
      <c r="B46" s="134"/>
      <c r="C46" s="134"/>
      <c r="D46" s="214">
        <v>180000</v>
      </c>
      <c r="E46" s="213" t="str">
        <f>E45</f>
        <v>Debito 12/02</v>
      </c>
      <c r="F46" s="129"/>
      <c r="G46" s="129"/>
      <c r="H46" s="129"/>
    </row>
    <row r="47" spans="1:26" ht="15.75" customHeight="1" x14ac:dyDescent="0.25">
      <c r="A47" s="134" t="str">
        <f>A45</f>
        <v>Sindicatos mes de FEBRERO</v>
      </c>
      <c r="B47" s="134" t="s">
        <v>25</v>
      </c>
      <c r="C47" s="134"/>
      <c r="D47" s="218">
        <v>4029.09</v>
      </c>
      <c r="E47" s="33" t="str">
        <f>E45</f>
        <v>Debito 12/02</v>
      </c>
      <c r="F47" s="1"/>
      <c r="G47" s="1"/>
      <c r="H47" s="1"/>
    </row>
    <row r="48" spans="1:26" ht="15" customHeight="1" thickBot="1" x14ac:dyDescent="0.3">
      <c r="A48" s="135" t="s">
        <v>26</v>
      </c>
      <c r="B48" s="136"/>
      <c r="C48" s="136"/>
      <c r="D48" s="157"/>
      <c r="E48" s="26">
        <f>SUM(D42:D47)</f>
        <v>778478.55999999994</v>
      </c>
      <c r="F48" s="1"/>
      <c r="G48" s="1"/>
      <c r="H48" s="1"/>
    </row>
    <row r="49" spans="1:26" ht="13.5" customHeight="1" x14ac:dyDescent="0.25">
      <c r="A49" s="12" t="s">
        <v>27</v>
      </c>
      <c r="B49" s="27"/>
      <c r="C49" s="27"/>
      <c r="D49" s="155"/>
      <c r="E49" s="28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40.5" customHeight="1" x14ac:dyDescent="0.25">
      <c r="A50" s="224" t="s">
        <v>175</v>
      </c>
      <c r="B50" s="232"/>
      <c r="C50" s="13"/>
      <c r="D50" s="220">
        <v>125300</v>
      </c>
      <c r="E50" s="137" t="s">
        <v>179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s="130" customFormat="1" ht="34.9" customHeight="1" x14ac:dyDescent="0.25">
      <c r="A51" s="241" t="s">
        <v>180</v>
      </c>
      <c r="B51" s="242"/>
      <c r="C51" s="13"/>
      <c r="D51" s="220">
        <v>53249.08</v>
      </c>
      <c r="E51" s="137" t="s">
        <v>179</v>
      </c>
      <c r="F51" s="268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spans="1:26" s="130" customFormat="1" ht="34.9" customHeight="1" x14ac:dyDescent="0.25">
      <c r="A52" s="241" t="s">
        <v>181</v>
      </c>
      <c r="B52" s="242"/>
      <c r="C52" s="13"/>
      <c r="D52" s="220">
        <v>53249.08</v>
      </c>
      <c r="E52" s="137" t="s">
        <v>179</v>
      </c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</row>
    <row r="53" spans="1:26" ht="18" customHeight="1" x14ac:dyDescent="0.25">
      <c r="A53" s="141" t="s">
        <v>28</v>
      </c>
      <c r="B53" s="142"/>
      <c r="C53" s="13"/>
      <c r="D53" s="220">
        <v>50000</v>
      </c>
      <c r="E53" s="137" t="s">
        <v>185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25">
      <c r="A54" s="120" t="s">
        <v>29</v>
      </c>
      <c r="B54" s="119"/>
      <c r="C54" s="35"/>
      <c r="D54" s="267">
        <v>27403.45</v>
      </c>
      <c r="E54" s="137" t="s">
        <v>183</v>
      </c>
      <c r="F54" s="36"/>
      <c r="G54" s="36"/>
      <c r="H54" s="36"/>
    </row>
    <row r="55" spans="1:26" ht="18" customHeight="1" x14ac:dyDescent="0.25">
      <c r="A55" s="224" t="s">
        <v>176</v>
      </c>
      <c r="B55" s="231"/>
      <c r="C55" s="20"/>
      <c r="D55" s="219">
        <v>18355.59</v>
      </c>
      <c r="E55" s="137" t="s">
        <v>178</v>
      </c>
      <c r="F55" s="25"/>
      <c r="G55" s="25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224" t="s">
        <v>156</v>
      </c>
      <c r="B56" s="231"/>
      <c r="C56" s="20"/>
      <c r="D56" s="219">
        <v>180652.41</v>
      </c>
      <c r="E56" s="137"/>
      <c r="F56" s="25"/>
      <c r="G56" s="25"/>
      <c r="H56" s="25"/>
    </row>
    <row r="57" spans="1:26" ht="14.25" hidden="1" customHeight="1" x14ac:dyDescent="0.25">
      <c r="A57" s="13"/>
      <c r="B57" s="13"/>
      <c r="C57" s="13"/>
      <c r="D57" s="154"/>
      <c r="E57" s="34"/>
      <c r="F57" s="1"/>
      <c r="G57" s="1"/>
      <c r="H57" s="1"/>
    </row>
    <row r="58" spans="1:26" ht="14.25" hidden="1" customHeight="1" x14ac:dyDescent="0.25">
      <c r="A58" s="246"/>
      <c r="B58" s="231"/>
      <c r="C58" s="13"/>
      <c r="D58" s="154"/>
      <c r="E58" s="34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hidden="1" customHeight="1" x14ac:dyDescent="0.25">
      <c r="A59" s="13"/>
      <c r="B59" s="37"/>
      <c r="C59" s="13"/>
      <c r="D59" s="154"/>
      <c r="E59" s="3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hidden="1" customHeight="1" x14ac:dyDescent="0.25">
      <c r="A60" s="224"/>
      <c r="B60" s="225"/>
      <c r="C60" s="39"/>
      <c r="D60" s="244"/>
      <c r="E60" s="237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hidden="1" customHeight="1" x14ac:dyDescent="0.25">
      <c r="A61" s="226"/>
      <c r="B61" s="227"/>
      <c r="C61" s="39"/>
      <c r="D61" s="245"/>
      <c r="E61" s="238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hidden="1" customHeight="1" x14ac:dyDescent="0.25">
      <c r="A62" s="224"/>
      <c r="B62" s="231"/>
      <c r="C62" s="13"/>
      <c r="D62" s="158"/>
      <c r="E62" s="40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4.5" hidden="1" customHeight="1" x14ac:dyDescent="0.25">
      <c r="A63" s="224"/>
      <c r="B63" s="231"/>
      <c r="C63" s="13"/>
      <c r="D63" s="158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.75" hidden="1" customHeight="1" x14ac:dyDescent="0.25">
      <c r="A64" s="224"/>
      <c r="B64" s="231"/>
      <c r="C64" s="13"/>
      <c r="D64" s="158"/>
      <c r="E64" s="34"/>
    </row>
    <row r="65" spans="1:26" ht="15.75" hidden="1" customHeight="1" x14ac:dyDescent="0.25">
      <c r="A65" s="13"/>
      <c r="B65" s="41"/>
      <c r="C65" s="13"/>
      <c r="D65" s="158"/>
      <c r="E65" s="34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4.5" hidden="1" customHeight="1" x14ac:dyDescent="0.25">
      <c r="A66" s="224"/>
      <c r="B66" s="231"/>
      <c r="C66" s="13"/>
      <c r="D66" s="158"/>
      <c r="E66" s="34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 x14ac:dyDescent="0.25">
      <c r="A67" s="37"/>
      <c r="B67" s="42"/>
      <c r="C67" s="13"/>
      <c r="D67" s="158"/>
      <c r="E67" s="34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25">
      <c r="A68" s="224"/>
      <c r="B68" s="231"/>
      <c r="C68" s="13"/>
      <c r="D68" s="158"/>
      <c r="E68" s="4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0" hidden="1" customHeight="1" x14ac:dyDescent="0.25">
      <c r="A69" s="224"/>
      <c r="B69" s="231"/>
      <c r="C69" s="13"/>
      <c r="D69" s="158"/>
      <c r="E69" s="4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.75" hidden="1" customHeight="1" x14ac:dyDescent="0.25">
      <c r="A70" s="247"/>
      <c r="B70" s="231"/>
      <c r="C70" s="44"/>
      <c r="D70" s="158"/>
      <c r="E70" s="4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thickBot="1" x14ac:dyDescent="0.3">
      <c r="A71" s="16" t="s">
        <v>30</v>
      </c>
      <c r="B71" s="16"/>
      <c r="C71" s="16"/>
      <c r="D71" s="152"/>
      <c r="E71" s="26">
        <f>SUM(D50:D56)</f>
        <v>508209.6100000001</v>
      </c>
    </row>
    <row r="72" spans="1:26" ht="15.75" customHeight="1" thickBot="1" x14ac:dyDescent="0.3">
      <c r="A72" s="12" t="s">
        <v>31</v>
      </c>
      <c r="B72" s="16"/>
      <c r="C72" s="16"/>
      <c r="D72" s="152"/>
      <c r="E72" s="45"/>
    </row>
    <row r="73" spans="1:26" ht="19.899999999999999" customHeight="1" x14ac:dyDescent="0.25">
      <c r="A73" s="13" t="s">
        <v>164</v>
      </c>
      <c r="B73" s="13"/>
      <c r="C73" s="13"/>
      <c r="D73" s="215">
        <v>29100</v>
      </c>
      <c r="E73" s="137" t="s">
        <v>185</v>
      </c>
    </row>
    <row r="74" spans="1:26" s="130" customFormat="1" ht="19.899999999999999" customHeight="1" x14ac:dyDescent="0.25">
      <c r="A74" s="13" t="s">
        <v>186</v>
      </c>
      <c r="B74" s="13"/>
      <c r="C74" s="13"/>
      <c r="D74" s="215">
        <v>55000</v>
      </c>
      <c r="E74" s="137" t="s">
        <v>187</v>
      </c>
    </row>
    <row r="75" spans="1:26" ht="15.75" customHeight="1" thickBot="1" x14ac:dyDescent="0.3">
      <c r="A75" s="16" t="s">
        <v>32</v>
      </c>
      <c r="B75" s="12"/>
      <c r="C75" s="12"/>
      <c r="D75" s="159"/>
      <c r="E75" s="47">
        <f>SUM(D73:D74)</f>
        <v>84100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thickBot="1" x14ac:dyDescent="0.3">
      <c r="A76" s="12" t="s">
        <v>177</v>
      </c>
      <c r="B76" s="48"/>
      <c r="C76" s="16"/>
      <c r="D76" s="150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3" t="s">
        <v>33</v>
      </c>
      <c r="B77" s="13"/>
      <c r="C77" s="13"/>
      <c r="D77" s="280">
        <v>35494.9</v>
      </c>
      <c r="E77" s="49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3" t="s">
        <v>34</v>
      </c>
      <c r="B78" s="13"/>
      <c r="C78" s="13"/>
      <c r="D78" s="216">
        <v>45000</v>
      </c>
      <c r="E78" s="40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50" t="s">
        <v>17</v>
      </c>
      <c r="B79" s="50"/>
      <c r="C79" s="50"/>
      <c r="D79" s="133"/>
      <c r="E79" s="26">
        <f>SUM(D77:D78)</f>
        <v>80494.899999999994</v>
      </c>
      <c r="F79" s="1"/>
    </row>
    <row r="80" spans="1:26" ht="15.75" customHeight="1" x14ac:dyDescent="0.25">
      <c r="A80" s="13"/>
      <c r="B80" s="13"/>
      <c r="C80" s="13"/>
      <c r="D80" s="13"/>
      <c r="E80" s="51"/>
      <c r="F80" s="1"/>
    </row>
    <row r="81" spans="1:26" ht="15.75" customHeight="1" x14ac:dyDescent="0.25">
      <c r="A81" s="52" t="s">
        <v>153</v>
      </c>
      <c r="B81" s="52"/>
      <c r="C81" s="52"/>
      <c r="D81" s="53"/>
      <c r="E81" s="54">
        <f>3000000-2327529.53</f>
        <v>672470.4700000002</v>
      </c>
      <c r="F81" s="1"/>
    </row>
    <row r="82" spans="1:26" ht="15.75" customHeight="1" thickBot="1" x14ac:dyDescent="0.3">
      <c r="A82" s="55"/>
      <c r="B82" s="1"/>
      <c r="C82" s="1"/>
      <c r="D82" s="1"/>
      <c r="E82" s="56"/>
      <c r="F82" s="57"/>
      <c r="H82" s="206"/>
    </row>
    <row r="83" spans="1:26" ht="15.75" customHeight="1" thickBot="1" x14ac:dyDescent="0.3">
      <c r="A83" s="58" t="s">
        <v>35</v>
      </c>
      <c r="B83" s="59"/>
      <c r="C83" s="60"/>
      <c r="D83" s="60"/>
      <c r="E83" s="61">
        <f>(SUM(E30:E81))</f>
        <v>2981391.4400000004</v>
      </c>
      <c r="F83" s="1"/>
      <c r="G83" s="170"/>
      <c r="H83" s="211"/>
    </row>
    <row r="84" spans="1:26" ht="15.75" customHeight="1" x14ac:dyDescent="0.25">
      <c r="H84" s="206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21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7" t="s">
        <v>36</v>
      </c>
      <c r="B86" s="8"/>
      <c r="C86" s="9"/>
      <c r="D86" s="10"/>
      <c r="E86" s="1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28"/>
      <c r="B87" s="128"/>
      <c r="C87" s="127"/>
      <c r="D87" s="30"/>
      <c r="E87" s="46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28"/>
      <c r="B88" s="128"/>
      <c r="C88" s="127"/>
      <c r="D88" s="30">
        <v>0</v>
      </c>
      <c r="E88" s="30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62" t="s">
        <v>32</v>
      </c>
      <c r="B89" s="63"/>
      <c r="C89" s="63"/>
      <c r="D89" s="64"/>
      <c r="E89" s="64">
        <f>SUM(D87:D88)</f>
        <v>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80" t="s">
        <v>37</v>
      </c>
      <c r="B92" s="180"/>
      <c r="C92" s="180"/>
      <c r="D92" s="180"/>
      <c r="E92" s="18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thickBo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58" t="s">
        <v>38</v>
      </c>
      <c r="B94" s="59"/>
      <c r="C94" s="60"/>
      <c r="D94" s="60"/>
      <c r="E94" s="61">
        <f>E89+E92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65" t="s">
        <v>39</v>
      </c>
      <c r="B96" s="66">
        <f>E83</f>
        <v>2981391.4400000004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65" t="s">
        <v>40</v>
      </c>
      <c r="B97" s="66">
        <f>E83-E81</f>
        <v>2308920.9700000002</v>
      </c>
    </row>
    <row r="98" spans="1:26" ht="15.75" customHeight="1" x14ac:dyDescent="0.25">
      <c r="A98" s="65" t="s">
        <v>41</v>
      </c>
      <c r="B98" s="66">
        <f>E94-E92</f>
        <v>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65" t="s">
        <v>42</v>
      </c>
      <c r="B99" s="66">
        <f>E94</f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</row>
    <row r="101" spans="1:26" s="130" customFormat="1" ht="15.75" customHeight="1" x14ac:dyDescent="0.25">
      <c r="A101" s="129"/>
      <c r="B101" s="129"/>
      <c r="C101" s="129"/>
      <c r="D101" s="129"/>
      <c r="E101" s="129"/>
    </row>
    <row r="102" spans="1:26" s="130" customFormat="1" ht="15.75" customHeight="1" x14ac:dyDescent="0.25">
      <c r="A102" s="248" t="s">
        <v>159</v>
      </c>
      <c r="B102" s="248"/>
      <c r="C102" s="129"/>
      <c r="D102" s="129"/>
      <c r="E102" s="129"/>
    </row>
    <row r="103" spans="1:26" s="130" customFormat="1" ht="25.5" customHeight="1" x14ac:dyDescent="0.25">
      <c r="A103" s="248"/>
      <c r="B103" s="248"/>
      <c r="C103" s="129"/>
      <c r="D103" s="129"/>
      <c r="E103" s="129"/>
    </row>
    <row r="104" spans="1:26" ht="15.75" customHeight="1" x14ac:dyDescent="0.25">
      <c r="A104" s="1"/>
      <c r="B104" s="1"/>
      <c r="C104" s="1"/>
      <c r="D104" s="1"/>
      <c r="E104" s="1"/>
    </row>
    <row r="105" spans="1:26" s="130" customFormat="1" ht="15.75" customHeight="1" x14ac:dyDescent="0.25">
      <c r="A105" s="248" t="s">
        <v>165</v>
      </c>
      <c r="B105" s="248"/>
      <c r="C105" s="129"/>
      <c r="D105" s="129"/>
      <c r="E105" s="129"/>
    </row>
    <row r="106" spans="1:26" ht="30.75" customHeight="1" x14ac:dyDescent="0.25">
      <c r="A106" s="248"/>
      <c r="B106" s="248"/>
      <c r="C106" s="1"/>
      <c r="D106" s="1"/>
      <c r="E106" s="1"/>
    </row>
    <row r="107" spans="1:26" ht="15.75" customHeight="1" x14ac:dyDescent="0.25">
      <c r="A107" s="1"/>
      <c r="B107" s="1"/>
      <c r="C107" s="1"/>
      <c r="D107" s="1"/>
      <c r="E107" s="1"/>
    </row>
    <row r="108" spans="1:26" ht="15.75" customHeight="1" x14ac:dyDescent="0.25">
      <c r="A108" s="122" t="s">
        <v>43</v>
      </c>
      <c r="B108" s="123"/>
      <c r="C108" s="67"/>
    </row>
    <row r="109" spans="1:26" ht="19.5" customHeight="1" x14ac:dyDescent="0.25">
      <c r="A109" s="126" t="s">
        <v>44</v>
      </c>
      <c r="B109" s="182">
        <v>4590921.2899999991</v>
      </c>
      <c r="C109" s="68"/>
    </row>
    <row r="110" spans="1:26" ht="15" customHeight="1" x14ac:dyDescent="0.25">
      <c r="A110" s="124" t="s">
        <v>45</v>
      </c>
      <c r="B110" s="125">
        <f>'Copia de PRORRATEO'!H37</f>
        <v>3109514.8600000003</v>
      </c>
      <c r="C110" s="67"/>
    </row>
    <row r="111" spans="1:26" s="130" customFormat="1" ht="15" customHeight="1" x14ac:dyDescent="0.25">
      <c r="A111" s="124" t="s">
        <v>154</v>
      </c>
      <c r="B111" s="169"/>
      <c r="C111" s="168"/>
    </row>
    <row r="112" spans="1:26" ht="15.75" customHeight="1" x14ac:dyDescent="0.25">
      <c r="A112" s="69" t="s">
        <v>46</v>
      </c>
      <c r="B112" s="70">
        <f>B134</f>
        <v>0</v>
      </c>
      <c r="C112" s="67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71" t="s">
        <v>47</v>
      </c>
      <c r="B113" s="70">
        <f>-B97</f>
        <v>-2308920.9700000002</v>
      </c>
      <c r="C113" s="67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s="130" customFormat="1" ht="15.75" customHeight="1" x14ac:dyDescent="0.25">
      <c r="A114" s="72" t="s">
        <v>189</v>
      </c>
      <c r="B114" s="205">
        <v>90000</v>
      </c>
      <c r="C114" s="168"/>
    </row>
    <row r="115" spans="1:26" s="130" customFormat="1" ht="15.75" customHeight="1" x14ac:dyDescent="0.25">
      <c r="A115" s="72" t="s">
        <v>188</v>
      </c>
      <c r="B115" s="205">
        <f>228000-132000</f>
        <v>96000</v>
      </c>
      <c r="C115" s="168"/>
    </row>
    <row r="116" spans="1:26" ht="15.75" customHeight="1" x14ac:dyDescent="0.25">
      <c r="A116" s="73" t="s">
        <v>32</v>
      </c>
      <c r="B116" s="74">
        <f>SUM(B109:B115)</f>
        <v>5577515.1799999997</v>
      </c>
      <c r="C116" s="75"/>
    </row>
    <row r="117" spans="1:26" ht="15.75" customHeight="1" x14ac:dyDescent="0.25">
      <c r="A117" s="1"/>
      <c r="B117" s="57"/>
      <c r="C117" s="75"/>
      <c r="D117" s="57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hidden="1" customHeight="1" x14ac:dyDescent="0.25">
      <c r="A118" s="1"/>
      <c r="B118" s="76"/>
      <c r="C118" s="75"/>
    </row>
    <row r="119" spans="1:26" ht="27" hidden="1" customHeight="1" x14ac:dyDescent="0.25">
      <c r="B119" s="57"/>
      <c r="C119" s="7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27" hidden="1" customHeight="1" x14ac:dyDescent="0.25">
      <c r="A120" s="78" t="s">
        <v>49</v>
      </c>
      <c r="B120" s="30"/>
      <c r="C120" s="77"/>
      <c r="D120" s="79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27" hidden="1" customHeight="1" x14ac:dyDescent="0.25">
      <c r="A121" s="13" t="s">
        <v>50</v>
      </c>
      <c r="B121" s="30">
        <v>0</v>
      </c>
      <c r="C121" s="77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4.25" hidden="1" customHeight="1" x14ac:dyDescent="0.25">
      <c r="A122" s="13" t="s">
        <v>51</v>
      </c>
      <c r="B122" s="30">
        <v>0</v>
      </c>
      <c r="C122" s="75"/>
      <c r="D122" s="57"/>
    </row>
    <row r="123" spans="1:26" ht="15.75" hidden="1" customHeight="1" x14ac:dyDescent="0.25">
      <c r="A123" s="13" t="s">
        <v>47</v>
      </c>
      <c r="B123" s="30">
        <v>0</v>
      </c>
      <c r="C123" s="75"/>
    </row>
    <row r="124" spans="1:26" ht="15.75" hidden="1" customHeight="1" x14ac:dyDescent="0.25">
      <c r="A124" s="13" t="s">
        <v>48</v>
      </c>
      <c r="B124" s="30">
        <v>0</v>
      </c>
      <c r="C124" s="80"/>
    </row>
    <row r="125" spans="1:26" ht="15.75" hidden="1" customHeight="1" x14ac:dyDescent="0.25">
      <c r="A125" s="78" t="s">
        <v>52</v>
      </c>
      <c r="B125" s="81">
        <f>SUM(B121:B124)</f>
        <v>0</v>
      </c>
      <c r="C125" s="67"/>
    </row>
    <row r="126" spans="1:26" ht="15.75" hidden="1" customHeight="1" x14ac:dyDescent="0.25"/>
    <row r="127" spans="1:26" ht="60.75" hidden="1" customHeight="1" x14ac:dyDescent="0.25"/>
    <row r="128" spans="1:26" ht="15.75" customHeight="1" x14ac:dyDescent="0.25">
      <c r="A128" s="243" t="s">
        <v>53</v>
      </c>
      <c r="B128" s="229"/>
      <c r="C128" s="229"/>
    </row>
    <row r="129" spans="1:26" ht="15.75" customHeight="1" x14ac:dyDescent="0.25">
      <c r="A129" s="229"/>
      <c r="B129" s="229"/>
      <c r="C129" s="229"/>
    </row>
    <row r="130" spans="1:26" ht="15.75" customHeight="1" x14ac:dyDescent="0.25">
      <c r="A130" s="13"/>
      <c r="B130" s="210"/>
      <c r="C130" s="30">
        <v>11948.17</v>
      </c>
    </row>
    <row r="131" spans="1:26" ht="15.75" customHeight="1" x14ac:dyDescent="0.25">
      <c r="A131" s="13"/>
      <c r="B131" s="145"/>
      <c r="C131" s="30">
        <v>52000</v>
      </c>
    </row>
    <row r="132" spans="1:26" ht="15.75" customHeight="1" x14ac:dyDescent="0.25">
      <c r="A132" s="82"/>
      <c r="B132" s="145"/>
      <c r="C132" s="30">
        <v>61209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69"/>
      <c r="B133" s="145"/>
      <c r="C133" s="30">
        <v>40000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83" t="s">
        <v>32</v>
      </c>
      <c r="B134" s="146">
        <f>SUM(B130:B133)</f>
        <v>0</v>
      </c>
      <c r="C134" s="84"/>
    </row>
    <row r="135" spans="1:26" ht="15.75" customHeight="1" x14ac:dyDescent="0.25">
      <c r="M135" s="85"/>
    </row>
    <row r="136" spans="1:26" ht="15.75" customHeight="1" x14ac:dyDescent="0.25"/>
    <row r="137" spans="1:26" ht="15.75" customHeight="1" x14ac:dyDescent="0.25"/>
    <row r="138" spans="1:26" ht="15.75" customHeight="1" x14ac:dyDescent="0.25"/>
    <row r="139" spans="1:26" ht="15.75" customHeight="1" x14ac:dyDescent="0.25"/>
    <row r="140" spans="1:26" ht="15.75" customHeight="1" x14ac:dyDescent="0.25"/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sortState xmlns:xlrd2="http://schemas.microsoft.com/office/spreadsheetml/2017/richdata2" ref="D40:E40">
    <sortCondition ref="E39:E40"/>
  </sortState>
  <mergeCells count="25">
    <mergeCell ref="A128:C129"/>
    <mergeCell ref="D60:D61"/>
    <mergeCell ref="A58:B58"/>
    <mergeCell ref="A68:B68"/>
    <mergeCell ref="A64:B64"/>
    <mergeCell ref="A63:B63"/>
    <mergeCell ref="A66:B66"/>
    <mergeCell ref="A62:B62"/>
    <mergeCell ref="A70:B70"/>
    <mergeCell ref="A69:B69"/>
    <mergeCell ref="A102:B103"/>
    <mergeCell ref="A105:B106"/>
    <mergeCell ref="B3:D4"/>
    <mergeCell ref="A60:B61"/>
    <mergeCell ref="B9:C11"/>
    <mergeCell ref="A39:B39"/>
    <mergeCell ref="A50:B50"/>
    <mergeCell ref="A7:E7"/>
    <mergeCell ref="A14:E17"/>
    <mergeCell ref="E60:E61"/>
    <mergeCell ref="A55:B55"/>
    <mergeCell ref="A56:B56"/>
    <mergeCell ref="A30:B30"/>
    <mergeCell ref="A51:B51"/>
    <mergeCell ref="A52:B5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abSelected="1" topLeftCell="B16" workbookViewId="0">
      <selection activeCell="H22" sqref="H22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86"/>
      <c r="B1" s="86"/>
      <c r="C1" s="86"/>
      <c r="D1" s="86"/>
      <c r="E1" s="86"/>
      <c r="F1" s="259"/>
      <c r="G1" s="229"/>
      <c r="H1" s="229"/>
      <c r="I1" s="229"/>
      <c r="J1" s="229"/>
      <c r="K1" s="229"/>
      <c r="L1" s="229"/>
      <c r="M1" s="229"/>
      <c r="N1" s="229"/>
      <c r="O1" s="229"/>
      <c r="P1" s="86"/>
      <c r="Q1" s="86"/>
    </row>
    <row r="2" spans="1:21" ht="12.75" customHeight="1" x14ac:dyDescent="0.25">
      <c r="A2" s="86"/>
      <c r="B2" s="86"/>
      <c r="C2" s="86"/>
      <c r="D2" s="86" t="str">
        <f>RESUMEN!B3</f>
        <v>MAIL: consorcioillia1554@gmail.com</v>
      </c>
      <c r="E2" s="86"/>
      <c r="F2" s="86"/>
      <c r="G2" s="86"/>
      <c r="H2" s="86"/>
      <c r="I2" s="86"/>
      <c r="J2" s="86"/>
      <c r="K2" s="86"/>
      <c r="L2" s="87" t="s">
        <v>54</v>
      </c>
      <c r="M2" s="86"/>
      <c r="N2" s="86"/>
      <c r="O2" s="171">
        <v>3000000</v>
      </c>
      <c r="P2" s="88"/>
      <c r="Q2" s="88"/>
      <c r="R2" s="18"/>
    </row>
    <row r="3" spans="1:21" ht="12.75" customHeight="1" thickBot="1" x14ac:dyDescent="0.3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 t="s">
        <v>55</v>
      </c>
      <c r="M3" s="86"/>
      <c r="N3" s="86"/>
      <c r="O3" s="89"/>
      <c r="P3" s="89"/>
      <c r="Q3" s="90"/>
    </row>
    <row r="4" spans="1:21" x14ac:dyDescent="0.25">
      <c r="A4" s="249" t="s">
        <v>56</v>
      </c>
      <c r="B4" s="256" t="s">
        <v>57</v>
      </c>
      <c r="C4" s="251" t="s">
        <v>58</v>
      </c>
      <c r="D4" s="251" t="s">
        <v>59</v>
      </c>
      <c r="E4" s="252" t="s">
        <v>60</v>
      </c>
      <c r="F4" s="251" t="s">
        <v>61</v>
      </c>
      <c r="G4" s="251" t="s">
        <v>62</v>
      </c>
      <c r="H4" s="251" t="s">
        <v>63</v>
      </c>
      <c r="I4" s="252" t="s">
        <v>64</v>
      </c>
      <c r="J4" s="263" t="s">
        <v>65</v>
      </c>
      <c r="K4" s="255" t="s">
        <v>66</v>
      </c>
      <c r="L4" s="258" t="s">
        <v>67</v>
      </c>
      <c r="M4" s="255" t="s">
        <v>68</v>
      </c>
      <c r="N4" s="260" t="s">
        <v>69</v>
      </c>
      <c r="O4" s="91" t="s">
        <v>70</v>
      </c>
      <c r="P4" s="262" t="s">
        <v>71</v>
      </c>
      <c r="Q4" s="258" t="s">
        <v>72</v>
      </c>
      <c r="R4" s="1"/>
    </row>
    <row r="5" spans="1:21" ht="15.75" customHeight="1" x14ac:dyDescent="0.25">
      <c r="A5" s="250"/>
      <c r="B5" s="257"/>
      <c r="C5" s="250"/>
      <c r="D5" s="250"/>
      <c r="E5" s="253"/>
      <c r="F5" s="250"/>
      <c r="G5" s="250"/>
      <c r="H5" s="250"/>
      <c r="I5" s="253"/>
      <c r="J5" s="253"/>
      <c r="K5" s="253"/>
      <c r="L5" s="250"/>
      <c r="M5" s="253"/>
      <c r="N5" s="261"/>
      <c r="O5" s="92" t="str">
        <f>RESUMEN!B9</f>
        <v>VTO 13/03</v>
      </c>
      <c r="P5" s="257"/>
      <c r="Q5" s="250"/>
    </row>
    <row r="6" spans="1:21" ht="16.5" customHeight="1" x14ac:dyDescent="0.25">
      <c r="A6" s="13" t="s">
        <v>73</v>
      </c>
      <c r="B6" s="115">
        <v>1</v>
      </c>
      <c r="C6" s="116" t="s">
        <v>74</v>
      </c>
      <c r="D6" s="116" t="s">
        <v>75</v>
      </c>
      <c r="E6" s="93" t="s">
        <v>167</v>
      </c>
      <c r="F6" s="94">
        <v>1.1000000000000001</v>
      </c>
      <c r="G6" s="95">
        <v>33000.01</v>
      </c>
      <c r="H6" s="276">
        <f t="shared" ref="H6:H12" si="0">G6</f>
        <v>33000.01</v>
      </c>
      <c r="I6" s="97"/>
      <c r="J6" s="98">
        <f t="shared" ref="J6:J36" si="1">G6-H6</f>
        <v>0</v>
      </c>
      <c r="K6" s="98">
        <f t="shared" ref="K6:K36" si="2">IF(J6&gt;0,J6*3%,0)</f>
        <v>0</v>
      </c>
      <c r="L6" s="95">
        <f>O$3*F6%</f>
        <v>0</v>
      </c>
      <c r="M6" s="98">
        <f>O$2*F6%</f>
        <v>33000</v>
      </c>
      <c r="N6" s="99">
        <v>0</v>
      </c>
      <c r="O6" s="100">
        <f>ROUND(SUM(J6:N6),0) + R6</f>
        <v>33000.01</v>
      </c>
      <c r="P6" s="99">
        <f t="shared" ref="P6:P36" si="3">ROUND(O6*6% + O6,0) + R6</f>
        <v>34980.01</v>
      </c>
      <c r="Q6" s="101">
        <f t="shared" ref="Q6:Q36" si="4">ROUND(O6*3%,0) + O6</f>
        <v>33990.01</v>
      </c>
      <c r="R6" s="57">
        <v>0.01</v>
      </c>
    </row>
    <row r="7" spans="1:21" ht="16.5" customHeight="1" x14ac:dyDescent="0.25">
      <c r="A7" s="13" t="s">
        <v>76</v>
      </c>
      <c r="B7" s="161">
        <v>2</v>
      </c>
      <c r="C7" s="162" t="s">
        <v>77</v>
      </c>
      <c r="D7" s="162" t="s">
        <v>78</v>
      </c>
      <c r="E7" s="163"/>
      <c r="F7" s="164">
        <v>0.9</v>
      </c>
      <c r="G7" s="138">
        <v>40194.019999999997</v>
      </c>
      <c r="H7" s="276">
        <v>40200</v>
      </c>
      <c r="I7" s="97"/>
      <c r="J7" s="139">
        <f t="shared" si="1"/>
        <v>-5.9800000000032014</v>
      </c>
      <c r="K7" s="139">
        <f t="shared" si="2"/>
        <v>0</v>
      </c>
      <c r="L7" s="138">
        <f t="shared" ref="L7:L34" si="5">O$3*F7%</f>
        <v>0</v>
      </c>
      <c r="M7" s="98">
        <f t="shared" ref="M7:M34" si="6">O$2*F7%</f>
        <v>27000.000000000004</v>
      </c>
      <c r="N7" s="140">
        <v>0</v>
      </c>
      <c r="O7" s="269">
        <f t="shared" ref="O7:O34" si="7">ROUND(SUM(J7:N7),0) + R7</f>
        <v>26994.02</v>
      </c>
      <c r="P7" s="140">
        <f t="shared" si="3"/>
        <v>28614.02</v>
      </c>
      <c r="Q7" s="270">
        <f t="shared" si="4"/>
        <v>27804.02</v>
      </c>
      <c r="R7" s="57">
        <f t="shared" ref="R7:R35" si="8">R6+0.01</f>
        <v>0.02</v>
      </c>
      <c r="S7" s="57"/>
    </row>
    <row r="8" spans="1:21" ht="16.5" customHeight="1" x14ac:dyDescent="0.25">
      <c r="A8" s="13" t="s">
        <v>76</v>
      </c>
      <c r="B8" s="161">
        <v>3</v>
      </c>
      <c r="C8" s="162" t="s">
        <v>79</v>
      </c>
      <c r="D8" s="162" t="s">
        <v>80</v>
      </c>
      <c r="E8" s="163" t="s">
        <v>81</v>
      </c>
      <c r="F8" s="164">
        <v>0.8</v>
      </c>
      <c r="G8" s="138">
        <v>24000.03</v>
      </c>
      <c r="H8" s="276">
        <f>G8</f>
        <v>24000.03</v>
      </c>
      <c r="I8" s="97"/>
      <c r="J8" s="139">
        <f t="shared" si="1"/>
        <v>0</v>
      </c>
      <c r="K8" s="139">
        <f t="shared" si="2"/>
        <v>0</v>
      </c>
      <c r="L8" s="138">
        <f t="shared" si="5"/>
        <v>0</v>
      </c>
      <c r="M8" s="98">
        <f t="shared" si="6"/>
        <v>24000</v>
      </c>
      <c r="N8" s="140">
        <v>0</v>
      </c>
      <c r="O8" s="269">
        <f t="shared" si="7"/>
        <v>24000.03</v>
      </c>
      <c r="P8" s="140">
        <f t="shared" si="3"/>
        <v>25440.03</v>
      </c>
      <c r="Q8" s="270">
        <f t="shared" si="4"/>
        <v>24720.03</v>
      </c>
      <c r="R8" s="57">
        <f t="shared" si="8"/>
        <v>0.03</v>
      </c>
    </row>
    <row r="9" spans="1:21" ht="16.5" customHeight="1" x14ac:dyDescent="0.25">
      <c r="A9" s="13" t="s">
        <v>82</v>
      </c>
      <c r="B9" s="161">
        <v>4</v>
      </c>
      <c r="C9" s="162" t="s">
        <v>83</v>
      </c>
      <c r="D9" s="162" t="s">
        <v>84</v>
      </c>
      <c r="E9" s="163"/>
      <c r="F9" s="164">
        <v>0.8</v>
      </c>
      <c r="G9" s="138">
        <v>24000.04</v>
      </c>
      <c r="H9" s="276">
        <f t="shared" si="0"/>
        <v>24000.04</v>
      </c>
      <c r="I9" s="97"/>
      <c r="J9" s="139">
        <f t="shared" si="1"/>
        <v>0</v>
      </c>
      <c r="K9" s="139">
        <f t="shared" si="2"/>
        <v>0</v>
      </c>
      <c r="L9" s="138">
        <f t="shared" si="5"/>
        <v>0</v>
      </c>
      <c r="M9" s="98">
        <f t="shared" si="6"/>
        <v>24000</v>
      </c>
      <c r="N9" s="140">
        <v>0</v>
      </c>
      <c r="O9" s="269">
        <f t="shared" si="7"/>
        <v>24000.04</v>
      </c>
      <c r="P9" s="140">
        <f t="shared" si="3"/>
        <v>25440.04</v>
      </c>
      <c r="Q9" s="270">
        <f t="shared" si="4"/>
        <v>24720.04</v>
      </c>
      <c r="R9" s="57">
        <f t="shared" si="8"/>
        <v>0.04</v>
      </c>
    </row>
    <row r="10" spans="1:21" ht="16.5" customHeight="1" x14ac:dyDescent="0.25">
      <c r="A10" s="13" t="s">
        <v>82</v>
      </c>
      <c r="B10" s="161">
        <v>5</v>
      </c>
      <c r="C10" s="162" t="s">
        <v>85</v>
      </c>
      <c r="D10" s="162" t="s">
        <v>78</v>
      </c>
      <c r="E10" s="163" t="s">
        <v>166</v>
      </c>
      <c r="F10" s="164">
        <v>0.5</v>
      </c>
      <c r="G10" s="138">
        <v>30450.05</v>
      </c>
      <c r="H10" s="132"/>
      <c r="I10" s="97"/>
      <c r="J10" s="139">
        <f t="shared" si="1"/>
        <v>30450.05</v>
      </c>
      <c r="K10" s="139">
        <f t="shared" si="2"/>
        <v>913.50149999999996</v>
      </c>
      <c r="L10" s="138">
        <f t="shared" si="5"/>
        <v>0</v>
      </c>
      <c r="M10" s="98">
        <f t="shared" si="6"/>
        <v>15000</v>
      </c>
      <c r="N10" s="140">
        <v>0</v>
      </c>
      <c r="O10" s="269">
        <f t="shared" si="7"/>
        <v>46364.05</v>
      </c>
      <c r="P10" s="140">
        <f t="shared" si="3"/>
        <v>49146.05</v>
      </c>
      <c r="Q10" s="270">
        <f t="shared" si="4"/>
        <v>47755.05</v>
      </c>
      <c r="R10" s="57">
        <f t="shared" si="8"/>
        <v>0.05</v>
      </c>
    </row>
    <row r="11" spans="1:21" ht="16.5" customHeight="1" x14ac:dyDescent="0.25">
      <c r="A11" s="13" t="s">
        <v>86</v>
      </c>
      <c r="B11" s="161">
        <v>6</v>
      </c>
      <c r="C11" s="162" t="s">
        <v>87</v>
      </c>
      <c r="D11" s="162" t="s">
        <v>160</v>
      </c>
      <c r="E11" s="165"/>
      <c r="F11" s="164">
        <v>0.5</v>
      </c>
      <c r="G11" s="138">
        <v>15000.06</v>
      </c>
      <c r="H11" s="276">
        <f t="shared" si="0"/>
        <v>15000.06</v>
      </c>
      <c r="I11" s="97"/>
      <c r="J11" s="139">
        <f t="shared" si="1"/>
        <v>0</v>
      </c>
      <c r="K11" s="139">
        <f t="shared" si="2"/>
        <v>0</v>
      </c>
      <c r="L11" s="138">
        <f t="shared" si="5"/>
        <v>0</v>
      </c>
      <c r="M11" s="98">
        <f t="shared" si="6"/>
        <v>15000</v>
      </c>
      <c r="N11" s="140">
        <v>0</v>
      </c>
      <c r="O11" s="269">
        <f t="shared" si="7"/>
        <v>15000.06</v>
      </c>
      <c r="P11" s="140">
        <f t="shared" si="3"/>
        <v>15900.06</v>
      </c>
      <c r="Q11" s="270">
        <f t="shared" si="4"/>
        <v>15450.06</v>
      </c>
      <c r="R11" s="57">
        <f t="shared" si="8"/>
        <v>6.0000000000000005E-2</v>
      </c>
    </row>
    <row r="12" spans="1:21" ht="24" customHeight="1" x14ac:dyDescent="0.25">
      <c r="A12" s="13" t="s">
        <v>86</v>
      </c>
      <c r="B12" s="161">
        <v>7</v>
      </c>
      <c r="C12" s="162" t="s">
        <v>88</v>
      </c>
      <c r="D12" s="162" t="s">
        <v>78</v>
      </c>
      <c r="E12" s="163" t="s">
        <v>168</v>
      </c>
      <c r="F12" s="164">
        <v>0.5</v>
      </c>
      <c r="G12" s="138">
        <v>15000.07</v>
      </c>
      <c r="H12" s="276">
        <f t="shared" si="0"/>
        <v>15000.07</v>
      </c>
      <c r="I12" s="97"/>
      <c r="J12" s="139">
        <f t="shared" si="1"/>
        <v>0</v>
      </c>
      <c r="K12" s="139">
        <f t="shared" si="2"/>
        <v>0</v>
      </c>
      <c r="L12" s="138">
        <f t="shared" si="5"/>
        <v>0</v>
      </c>
      <c r="M12" s="98">
        <f t="shared" si="6"/>
        <v>15000</v>
      </c>
      <c r="N12" s="140">
        <v>0</v>
      </c>
      <c r="O12" s="269">
        <f t="shared" si="7"/>
        <v>15000.07</v>
      </c>
      <c r="P12" s="140">
        <f t="shared" si="3"/>
        <v>15900.07</v>
      </c>
      <c r="Q12" s="270">
        <f t="shared" si="4"/>
        <v>15450.07</v>
      </c>
      <c r="R12" s="57">
        <f t="shared" si="8"/>
        <v>7.0000000000000007E-2</v>
      </c>
    </row>
    <row r="13" spans="1:21" ht="16.5" customHeight="1" x14ac:dyDescent="0.25">
      <c r="A13" s="13" t="s">
        <v>89</v>
      </c>
      <c r="B13" s="197" t="s">
        <v>90</v>
      </c>
      <c r="C13" s="198">
        <v>1</v>
      </c>
      <c r="D13" s="198" t="s">
        <v>91</v>
      </c>
      <c r="E13" s="199" t="s">
        <v>92</v>
      </c>
      <c r="F13" s="200">
        <v>4.4000000000000004</v>
      </c>
      <c r="G13" s="201">
        <v>132000.07999999999</v>
      </c>
      <c r="H13" s="278">
        <f>228000-RESUMEN!B115</f>
        <v>132000</v>
      </c>
      <c r="I13" s="202"/>
      <c r="J13" s="203">
        <f t="shared" si="1"/>
        <v>7.9999999987194315E-2</v>
      </c>
      <c r="K13" s="203">
        <f t="shared" si="2"/>
        <v>2.3999999996158292E-3</v>
      </c>
      <c r="L13" s="201">
        <f t="shared" si="5"/>
        <v>0</v>
      </c>
      <c r="M13" s="203">
        <f t="shared" si="6"/>
        <v>132000</v>
      </c>
      <c r="N13" s="204"/>
      <c r="O13" s="271">
        <f t="shared" si="7"/>
        <v>132000.07999999999</v>
      </c>
      <c r="P13" s="204">
        <f t="shared" si="3"/>
        <v>139920.07999999999</v>
      </c>
      <c r="Q13" s="272">
        <f t="shared" si="4"/>
        <v>135960.07999999999</v>
      </c>
      <c r="R13" s="57">
        <f t="shared" si="8"/>
        <v>0.08</v>
      </c>
    </row>
    <row r="14" spans="1:21" ht="16.5" customHeight="1" x14ac:dyDescent="0.25">
      <c r="A14" s="13" t="s">
        <v>89</v>
      </c>
      <c r="B14" s="115" t="s">
        <v>93</v>
      </c>
      <c r="C14" s="116">
        <f t="shared" ref="C14:C34" si="9">C13+1</f>
        <v>2</v>
      </c>
      <c r="D14" s="116" t="s">
        <v>84</v>
      </c>
      <c r="E14" s="102"/>
      <c r="F14" s="94">
        <v>4.5</v>
      </c>
      <c r="G14" s="95">
        <v>135000.09</v>
      </c>
      <c r="H14" s="276">
        <f>159000-H9</f>
        <v>134999.96</v>
      </c>
      <c r="I14" s="97"/>
      <c r="J14" s="98">
        <f t="shared" si="1"/>
        <v>0.13000000000465661</v>
      </c>
      <c r="K14" s="98">
        <f t="shared" si="2"/>
        <v>3.9000000001396984E-3</v>
      </c>
      <c r="L14" s="95">
        <f t="shared" si="5"/>
        <v>0</v>
      </c>
      <c r="M14" s="98">
        <f t="shared" si="6"/>
        <v>135000</v>
      </c>
      <c r="N14" s="99">
        <v>0</v>
      </c>
      <c r="O14" s="100">
        <f t="shared" si="7"/>
        <v>135000.09</v>
      </c>
      <c r="P14" s="99">
        <f t="shared" si="3"/>
        <v>143100.09</v>
      </c>
      <c r="Q14" s="101">
        <f t="shared" si="4"/>
        <v>139050.09</v>
      </c>
      <c r="R14" s="57">
        <f t="shared" si="8"/>
        <v>0.09</v>
      </c>
      <c r="U14" s="144" t="s">
        <v>94</v>
      </c>
    </row>
    <row r="15" spans="1:21" ht="26.25" customHeight="1" x14ac:dyDescent="0.25">
      <c r="A15" s="13" t="s">
        <v>95</v>
      </c>
      <c r="B15" s="115" t="s">
        <v>96</v>
      </c>
      <c r="C15" s="116">
        <f t="shared" si="9"/>
        <v>3</v>
      </c>
      <c r="D15" s="116" t="s">
        <v>97</v>
      </c>
      <c r="E15" s="102" t="s">
        <v>98</v>
      </c>
      <c r="F15" s="94">
        <v>4.5</v>
      </c>
      <c r="G15" s="95">
        <v>143469.1</v>
      </c>
      <c r="H15" s="279">
        <f>G15</f>
        <v>143469.1</v>
      </c>
      <c r="I15" s="97"/>
      <c r="J15" s="98">
        <f t="shared" si="1"/>
        <v>0</v>
      </c>
      <c r="K15" s="98">
        <f t="shared" si="2"/>
        <v>0</v>
      </c>
      <c r="L15" s="95">
        <f t="shared" si="5"/>
        <v>0</v>
      </c>
      <c r="M15" s="98">
        <f t="shared" si="6"/>
        <v>135000</v>
      </c>
      <c r="N15" s="99">
        <v>0</v>
      </c>
      <c r="O15" s="100">
        <f t="shared" si="7"/>
        <v>135000.1</v>
      </c>
      <c r="P15" s="99">
        <f t="shared" si="3"/>
        <v>143100.1</v>
      </c>
      <c r="Q15" s="101">
        <f t="shared" si="4"/>
        <v>139050.1</v>
      </c>
      <c r="R15" s="57">
        <f t="shared" si="8"/>
        <v>9.9999999999999992E-2</v>
      </c>
    </row>
    <row r="16" spans="1:21" ht="16.5" customHeight="1" x14ac:dyDescent="0.25">
      <c r="A16" s="13" t="s">
        <v>95</v>
      </c>
      <c r="B16" s="115" t="s">
        <v>99</v>
      </c>
      <c r="C16" s="116">
        <f t="shared" si="9"/>
        <v>4</v>
      </c>
      <c r="D16" s="116" t="s">
        <v>100</v>
      </c>
      <c r="E16" s="102" t="s">
        <v>101</v>
      </c>
      <c r="F16" s="94">
        <v>3.1</v>
      </c>
      <c r="G16" s="95">
        <v>93000.11</v>
      </c>
      <c r="H16" s="276">
        <f>G16</f>
        <v>93000.11</v>
      </c>
      <c r="I16" s="97"/>
      <c r="J16" s="98">
        <f t="shared" si="1"/>
        <v>0</v>
      </c>
      <c r="K16" s="98">
        <f t="shared" si="2"/>
        <v>0</v>
      </c>
      <c r="L16" s="95">
        <f t="shared" si="5"/>
        <v>0</v>
      </c>
      <c r="M16" s="98">
        <f t="shared" si="6"/>
        <v>93000</v>
      </c>
      <c r="N16" s="99">
        <v>0</v>
      </c>
      <c r="O16" s="100">
        <f t="shared" si="7"/>
        <v>93000.11</v>
      </c>
      <c r="P16" s="99">
        <f t="shared" si="3"/>
        <v>98580.11</v>
      </c>
      <c r="Q16" s="101">
        <f t="shared" si="4"/>
        <v>95790.11</v>
      </c>
      <c r="R16" s="57">
        <f t="shared" si="8"/>
        <v>0.10999999999999999</v>
      </c>
    </row>
    <row r="17" spans="1:22" ht="16.5" customHeight="1" x14ac:dyDescent="0.25">
      <c r="A17" s="13" t="s">
        <v>102</v>
      </c>
      <c r="B17" s="161" t="s">
        <v>103</v>
      </c>
      <c r="C17" s="162">
        <f t="shared" si="9"/>
        <v>5</v>
      </c>
      <c r="D17" s="162" t="s">
        <v>104</v>
      </c>
      <c r="E17" s="163" t="s">
        <v>105</v>
      </c>
      <c r="F17" s="164">
        <v>4.4000000000000004</v>
      </c>
      <c r="G17" s="138">
        <v>643978.12</v>
      </c>
      <c r="H17" s="132"/>
      <c r="I17" s="97"/>
      <c r="J17" s="139">
        <f t="shared" si="1"/>
        <v>643978.12</v>
      </c>
      <c r="K17" s="139">
        <f t="shared" si="2"/>
        <v>19319.3436</v>
      </c>
      <c r="L17" s="138">
        <f t="shared" si="5"/>
        <v>0</v>
      </c>
      <c r="M17" s="139">
        <f t="shared" si="6"/>
        <v>132000</v>
      </c>
      <c r="N17" s="140">
        <v>0</v>
      </c>
      <c r="O17" s="269">
        <f t="shared" si="7"/>
        <v>795297.12</v>
      </c>
      <c r="P17" s="140">
        <f t="shared" si="3"/>
        <v>843015.12</v>
      </c>
      <c r="Q17" s="270">
        <f t="shared" si="4"/>
        <v>819156.12</v>
      </c>
      <c r="R17" s="57">
        <f t="shared" si="8"/>
        <v>0.11999999999999998</v>
      </c>
    </row>
    <row r="18" spans="1:22" ht="16.5" customHeight="1" x14ac:dyDescent="0.25">
      <c r="A18" s="13" t="s">
        <v>102</v>
      </c>
      <c r="B18" s="161" t="s">
        <v>106</v>
      </c>
      <c r="C18" s="162">
        <f t="shared" si="9"/>
        <v>6</v>
      </c>
      <c r="D18" s="162" t="s">
        <v>107</v>
      </c>
      <c r="E18" s="163" t="s">
        <v>161</v>
      </c>
      <c r="F18" s="164">
        <v>4.5</v>
      </c>
      <c r="G18" s="138">
        <v>131068.13</v>
      </c>
      <c r="H18" s="276">
        <v>135000</v>
      </c>
      <c r="I18" s="97"/>
      <c r="J18" s="139">
        <f t="shared" si="1"/>
        <v>-3931.8699999999953</v>
      </c>
      <c r="K18" s="139">
        <f t="shared" si="2"/>
        <v>0</v>
      </c>
      <c r="L18" s="138">
        <f t="shared" si="5"/>
        <v>0</v>
      </c>
      <c r="M18" s="139">
        <f t="shared" si="6"/>
        <v>135000</v>
      </c>
      <c r="N18" s="140">
        <v>0</v>
      </c>
      <c r="O18" s="269">
        <f t="shared" si="7"/>
        <v>131068.13</v>
      </c>
      <c r="P18" s="140">
        <f t="shared" si="3"/>
        <v>138932.13</v>
      </c>
      <c r="Q18" s="270">
        <f t="shared" si="4"/>
        <v>135000.13</v>
      </c>
      <c r="R18" s="57">
        <f t="shared" si="8"/>
        <v>0.12999999999999998</v>
      </c>
      <c r="T18" s="209" t="s">
        <v>157</v>
      </c>
    </row>
    <row r="19" spans="1:22" ht="16.5" customHeight="1" x14ac:dyDescent="0.25">
      <c r="A19" s="13" t="s">
        <v>108</v>
      </c>
      <c r="B19" s="115" t="s">
        <v>109</v>
      </c>
      <c r="C19" s="116">
        <f t="shared" si="9"/>
        <v>7</v>
      </c>
      <c r="D19" s="116" t="s">
        <v>110</v>
      </c>
      <c r="E19" s="102"/>
      <c r="F19" s="94">
        <v>4.5</v>
      </c>
      <c r="G19" s="95">
        <v>135000.14000000001</v>
      </c>
      <c r="H19" s="276">
        <f>G19</f>
        <v>135000.14000000001</v>
      </c>
      <c r="I19" s="97"/>
      <c r="J19" s="98">
        <f t="shared" si="1"/>
        <v>0</v>
      </c>
      <c r="K19" s="98">
        <f t="shared" si="2"/>
        <v>0</v>
      </c>
      <c r="L19" s="95">
        <f t="shared" si="5"/>
        <v>0</v>
      </c>
      <c r="M19" s="98">
        <f t="shared" si="6"/>
        <v>135000</v>
      </c>
      <c r="N19" s="99">
        <v>0</v>
      </c>
      <c r="O19" s="100">
        <f t="shared" si="7"/>
        <v>135000.14000000001</v>
      </c>
      <c r="P19" s="99">
        <f t="shared" si="3"/>
        <v>143100.14000000001</v>
      </c>
      <c r="Q19" s="101">
        <f t="shared" si="4"/>
        <v>139050.14000000001</v>
      </c>
      <c r="R19" s="57">
        <f t="shared" si="8"/>
        <v>0.13999999999999999</v>
      </c>
    </row>
    <row r="20" spans="1:22" ht="16.5" customHeight="1" x14ac:dyDescent="0.25">
      <c r="A20" s="13" t="s">
        <v>108</v>
      </c>
      <c r="B20" s="115" t="s">
        <v>111</v>
      </c>
      <c r="C20" s="116">
        <f t="shared" si="9"/>
        <v>8</v>
      </c>
      <c r="D20" s="116" t="s">
        <v>112</v>
      </c>
      <c r="E20" s="102"/>
      <c r="F20" s="94">
        <v>3.1</v>
      </c>
      <c r="G20" s="95">
        <v>93000.15</v>
      </c>
      <c r="H20" s="276">
        <f>G20</f>
        <v>93000.15</v>
      </c>
      <c r="I20" s="97"/>
      <c r="J20" s="98">
        <f t="shared" si="1"/>
        <v>0</v>
      </c>
      <c r="K20" s="98">
        <f t="shared" si="2"/>
        <v>0</v>
      </c>
      <c r="L20" s="95">
        <f t="shared" si="5"/>
        <v>0</v>
      </c>
      <c r="M20" s="98">
        <f t="shared" si="6"/>
        <v>93000</v>
      </c>
      <c r="N20" s="99">
        <v>0</v>
      </c>
      <c r="O20" s="100">
        <f t="shared" si="7"/>
        <v>93000.15</v>
      </c>
      <c r="P20" s="99">
        <f t="shared" si="3"/>
        <v>98580.15</v>
      </c>
      <c r="Q20" s="101">
        <f t="shared" si="4"/>
        <v>95790.15</v>
      </c>
      <c r="R20" s="57">
        <f t="shared" si="8"/>
        <v>0.15</v>
      </c>
    </row>
    <row r="21" spans="1:22" ht="16.5" customHeight="1" x14ac:dyDescent="0.25">
      <c r="A21" s="13" t="s">
        <v>113</v>
      </c>
      <c r="B21" s="115" t="s">
        <v>114</v>
      </c>
      <c r="C21" s="116">
        <f t="shared" si="9"/>
        <v>9</v>
      </c>
      <c r="D21" s="116" t="s">
        <v>115</v>
      </c>
      <c r="E21" s="93" t="s">
        <v>116</v>
      </c>
      <c r="F21" s="94">
        <v>4.4000000000000004</v>
      </c>
      <c r="G21" s="95">
        <v>132000.16</v>
      </c>
      <c r="H21" s="276">
        <f>G21</f>
        <v>132000.16</v>
      </c>
      <c r="I21" s="97"/>
      <c r="J21" s="98">
        <f t="shared" si="1"/>
        <v>0</v>
      </c>
      <c r="K21" s="98">
        <f t="shared" si="2"/>
        <v>0</v>
      </c>
      <c r="L21" s="95">
        <f t="shared" si="5"/>
        <v>0</v>
      </c>
      <c r="M21" s="98">
        <f t="shared" si="6"/>
        <v>132000</v>
      </c>
      <c r="N21" s="99">
        <v>0</v>
      </c>
      <c r="O21" s="100">
        <f t="shared" si="7"/>
        <v>132000.16</v>
      </c>
      <c r="P21" s="99">
        <f t="shared" si="3"/>
        <v>139920.16</v>
      </c>
      <c r="Q21" s="101">
        <f t="shared" si="4"/>
        <v>135960.16</v>
      </c>
      <c r="R21" s="57">
        <f t="shared" si="8"/>
        <v>0.16</v>
      </c>
      <c r="T21" s="103"/>
    </row>
    <row r="22" spans="1:22" ht="16.5" customHeight="1" x14ac:dyDescent="0.25">
      <c r="A22" s="13" t="s">
        <v>113</v>
      </c>
      <c r="B22" s="115" t="s">
        <v>117</v>
      </c>
      <c r="C22" s="116">
        <f t="shared" si="9"/>
        <v>10</v>
      </c>
      <c r="D22" s="116" t="s">
        <v>75</v>
      </c>
      <c r="E22" s="102" t="s">
        <v>118</v>
      </c>
      <c r="F22" s="94">
        <v>4.5</v>
      </c>
      <c r="G22" s="96">
        <v>139050.17000000001</v>
      </c>
      <c r="H22" s="276">
        <f>G22</f>
        <v>139050.17000000001</v>
      </c>
      <c r="I22" s="97"/>
      <c r="J22" s="98">
        <f t="shared" si="1"/>
        <v>0</v>
      </c>
      <c r="K22" s="98">
        <f t="shared" si="2"/>
        <v>0</v>
      </c>
      <c r="L22" s="95">
        <f t="shared" si="5"/>
        <v>0</v>
      </c>
      <c r="M22" s="98">
        <f t="shared" si="6"/>
        <v>135000</v>
      </c>
      <c r="N22" s="99">
        <v>0</v>
      </c>
      <c r="O22" s="100">
        <f t="shared" si="7"/>
        <v>135000.17000000001</v>
      </c>
      <c r="P22" s="99">
        <f t="shared" si="3"/>
        <v>143100.17000000001</v>
      </c>
      <c r="Q22" s="101">
        <f t="shared" si="4"/>
        <v>139050.17000000001</v>
      </c>
      <c r="R22" s="57">
        <f t="shared" si="8"/>
        <v>0.17</v>
      </c>
      <c r="T22" s="143"/>
      <c r="U22" s="166" t="s">
        <v>119</v>
      </c>
    </row>
    <row r="23" spans="1:22" ht="16.5" customHeight="1" x14ac:dyDescent="0.25">
      <c r="A23" s="13" t="s">
        <v>120</v>
      </c>
      <c r="B23" s="115" t="s">
        <v>121</v>
      </c>
      <c r="C23" s="116">
        <f t="shared" si="9"/>
        <v>11</v>
      </c>
      <c r="D23" s="116" t="s">
        <v>122</v>
      </c>
      <c r="E23" s="93"/>
      <c r="F23" s="94">
        <v>4.5</v>
      </c>
      <c r="G23" s="138">
        <v>135000.18</v>
      </c>
      <c r="H23" s="276">
        <v>139050</v>
      </c>
      <c r="I23" s="97"/>
      <c r="J23" s="139">
        <f t="shared" si="1"/>
        <v>-4049.820000000007</v>
      </c>
      <c r="K23" s="139">
        <f t="shared" si="2"/>
        <v>0</v>
      </c>
      <c r="L23" s="138">
        <f t="shared" si="5"/>
        <v>0</v>
      </c>
      <c r="M23" s="98">
        <f t="shared" si="6"/>
        <v>135000</v>
      </c>
      <c r="N23" s="140">
        <v>0</v>
      </c>
      <c r="O23" s="269">
        <f t="shared" si="7"/>
        <v>130950.18</v>
      </c>
      <c r="P23" s="140">
        <f t="shared" si="3"/>
        <v>138807.18</v>
      </c>
      <c r="Q23" s="270">
        <f t="shared" si="4"/>
        <v>134879.18</v>
      </c>
      <c r="R23" s="57">
        <f t="shared" si="8"/>
        <v>0.18000000000000002</v>
      </c>
      <c r="T23" s="143"/>
    </row>
    <row r="24" spans="1:22" ht="16.5" customHeight="1" x14ac:dyDescent="0.25">
      <c r="A24" s="13" t="s">
        <v>120</v>
      </c>
      <c r="B24" s="115" t="s">
        <v>123</v>
      </c>
      <c r="C24" s="116">
        <f t="shared" si="9"/>
        <v>12</v>
      </c>
      <c r="D24" s="116" t="s">
        <v>80</v>
      </c>
      <c r="E24" s="102" t="s">
        <v>81</v>
      </c>
      <c r="F24" s="94">
        <v>3.1</v>
      </c>
      <c r="G24" s="95">
        <v>92986.19</v>
      </c>
      <c r="H24" s="276">
        <f>117000-H8</f>
        <v>92999.97</v>
      </c>
      <c r="I24" s="97"/>
      <c r="J24" s="98">
        <f t="shared" si="1"/>
        <v>-13.779999999998836</v>
      </c>
      <c r="K24" s="98">
        <f t="shared" si="2"/>
        <v>0</v>
      </c>
      <c r="L24" s="95">
        <f t="shared" si="5"/>
        <v>0</v>
      </c>
      <c r="M24" s="98">
        <f t="shared" si="6"/>
        <v>93000</v>
      </c>
      <c r="N24" s="99">
        <v>0</v>
      </c>
      <c r="O24" s="100">
        <f t="shared" si="7"/>
        <v>92986.19</v>
      </c>
      <c r="P24" s="99">
        <f t="shared" si="3"/>
        <v>98565.19</v>
      </c>
      <c r="Q24" s="101">
        <f t="shared" si="4"/>
        <v>95776.19</v>
      </c>
      <c r="R24" s="57">
        <f t="shared" si="8"/>
        <v>0.19000000000000003</v>
      </c>
      <c r="T24" s="143"/>
    </row>
    <row r="25" spans="1:22" ht="16.5" customHeight="1" x14ac:dyDescent="0.25">
      <c r="A25" s="13" t="s">
        <v>124</v>
      </c>
      <c r="B25" s="161" t="s">
        <v>125</v>
      </c>
      <c r="C25" s="162">
        <f t="shared" si="9"/>
        <v>13</v>
      </c>
      <c r="D25" s="162" t="s">
        <v>126</v>
      </c>
      <c r="E25" s="165"/>
      <c r="F25" s="164">
        <v>4.4000000000000004</v>
      </c>
      <c r="G25" s="138">
        <v>132000.20000000001</v>
      </c>
      <c r="H25" s="276">
        <f>135000</f>
        <v>135000</v>
      </c>
      <c r="I25" s="97"/>
      <c r="J25" s="97">
        <f t="shared" si="1"/>
        <v>-2999.7999999999884</v>
      </c>
      <c r="K25" s="139">
        <f t="shared" si="2"/>
        <v>0</v>
      </c>
      <c r="L25" s="138">
        <f t="shared" si="5"/>
        <v>0</v>
      </c>
      <c r="M25" s="98">
        <f t="shared" si="6"/>
        <v>132000</v>
      </c>
      <c r="N25" s="140">
        <v>0</v>
      </c>
      <c r="O25" s="269">
        <f t="shared" si="7"/>
        <v>129000.2</v>
      </c>
      <c r="P25" s="140">
        <f t="shared" si="3"/>
        <v>136740.20000000001</v>
      </c>
      <c r="Q25" s="270">
        <f t="shared" si="4"/>
        <v>132870.20000000001</v>
      </c>
      <c r="R25" s="57">
        <f t="shared" si="8"/>
        <v>0.20000000000000004</v>
      </c>
      <c r="T25" s="144" t="s">
        <v>127</v>
      </c>
      <c r="U25" s="160"/>
      <c r="V25" s="144"/>
    </row>
    <row r="26" spans="1:22" ht="27.75" customHeight="1" x14ac:dyDescent="0.25">
      <c r="A26" s="13" t="s">
        <v>128</v>
      </c>
      <c r="B26" s="115" t="s">
        <v>129</v>
      </c>
      <c r="C26" s="116">
        <f t="shared" si="9"/>
        <v>14</v>
      </c>
      <c r="D26" s="116" t="s">
        <v>75</v>
      </c>
      <c r="E26" s="102" t="s">
        <v>130</v>
      </c>
      <c r="F26" s="94">
        <v>4.5</v>
      </c>
      <c r="G26" s="95">
        <v>135000.21</v>
      </c>
      <c r="H26" s="276">
        <f>168000-H6</f>
        <v>134999.99</v>
      </c>
      <c r="I26" s="97"/>
      <c r="J26" s="98">
        <f t="shared" si="1"/>
        <v>0.22000000000116415</v>
      </c>
      <c r="K26" s="98">
        <f t="shared" si="2"/>
        <v>6.6000000000349243E-3</v>
      </c>
      <c r="L26" s="95">
        <f t="shared" si="5"/>
        <v>0</v>
      </c>
      <c r="M26" s="98">
        <f t="shared" si="6"/>
        <v>135000</v>
      </c>
      <c r="N26" s="99">
        <v>0</v>
      </c>
      <c r="O26" s="100">
        <f t="shared" si="7"/>
        <v>135000.21</v>
      </c>
      <c r="P26" s="99">
        <f t="shared" si="3"/>
        <v>143100.21</v>
      </c>
      <c r="Q26" s="101">
        <f t="shared" si="4"/>
        <v>139050.21</v>
      </c>
      <c r="R26" s="57">
        <f t="shared" si="8"/>
        <v>0.21000000000000005</v>
      </c>
      <c r="T26" s="143"/>
    </row>
    <row r="27" spans="1:22" ht="24" customHeight="1" x14ac:dyDescent="0.25">
      <c r="A27" s="13" t="s">
        <v>131</v>
      </c>
      <c r="B27" s="115" t="s">
        <v>132</v>
      </c>
      <c r="C27" s="116">
        <f t="shared" si="9"/>
        <v>15</v>
      </c>
      <c r="D27" s="116" t="s">
        <v>133</v>
      </c>
      <c r="E27" s="102" t="s">
        <v>134</v>
      </c>
      <c r="F27" s="94">
        <v>4.5</v>
      </c>
      <c r="G27" s="95">
        <v>352538.22</v>
      </c>
      <c r="H27" s="276">
        <f>352538+15000-H12</f>
        <v>352537.93</v>
      </c>
      <c r="I27" s="97"/>
      <c r="J27" s="98">
        <f t="shared" si="1"/>
        <v>0.28999999997904524</v>
      </c>
      <c r="K27" s="98">
        <f t="shared" si="2"/>
        <v>8.6999999993713564E-3</v>
      </c>
      <c r="L27" s="95">
        <f t="shared" si="5"/>
        <v>0</v>
      </c>
      <c r="M27" s="98">
        <f t="shared" si="6"/>
        <v>135000</v>
      </c>
      <c r="N27" s="99">
        <v>0</v>
      </c>
      <c r="O27" s="100">
        <f t="shared" si="7"/>
        <v>135000.22</v>
      </c>
      <c r="P27" s="99">
        <f t="shared" si="3"/>
        <v>143100.22</v>
      </c>
      <c r="Q27" s="101">
        <f t="shared" si="4"/>
        <v>139050.22</v>
      </c>
      <c r="R27" s="57">
        <f t="shared" si="8"/>
        <v>0.22000000000000006</v>
      </c>
      <c r="T27" s="206"/>
    </row>
    <row r="28" spans="1:22" ht="16.5" customHeight="1" x14ac:dyDescent="0.25">
      <c r="A28" s="13" t="s">
        <v>135</v>
      </c>
      <c r="B28" s="161" t="s">
        <v>136</v>
      </c>
      <c r="C28" s="162">
        <f t="shared" si="9"/>
        <v>16</v>
      </c>
      <c r="D28" s="162" t="s">
        <v>158</v>
      </c>
      <c r="E28" s="163" t="s">
        <v>137</v>
      </c>
      <c r="F28" s="164">
        <v>3.1</v>
      </c>
      <c r="G28" s="138">
        <v>93000.23</v>
      </c>
      <c r="H28" s="276">
        <f>G28</f>
        <v>93000.23</v>
      </c>
      <c r="I28" s="97"/>
      <c r="J28" s="139">
        <f t="shared" si="1"/>
        <v>0</v>
      </c>
      <c r="K28" s="139">
        <f t="shared" si="2"/>
        <v>0</v>
      </c>
      <c r="L28" s="138">
        <f t="shared" si="5"/>
        <v>0</v>
      </c>
      <c r="M28" s="139">
        <f t="shared" si="6"/>
        <v>93000</v>
      </c>
      <c r="N28" s="140">
        <v>0</v>
      </c>
      <c r="O28" s="269">
        <f t="shared" si="7"/>
        <v>93000.23</v>
      </c>
      <c r="P28" s="140">
        <f t="shared" si="3"/>
        <v>98580.23</v>
      </c>
      <c r="Q28" s="270">
        <f t="shared" si="4"/>
        <v>95790.23</v>
      </c>
      <c r="R28" s="57">
        <f t="shared" si="8"/>
        <v>0.23000000000000007</v>
      </c>
    </row>
    <row r="29" spans="1:22" ht="16.5" customHeight="1" x14ac:dyDescent="0.25">
      <c r="A29" s="13" t="s">
        <v>138</v>
      </c>
      <c r="B29" s="115" t="s">
        <v>139</v>
      </c>
      <c r="C29" s="116">
        <f t="shared" si="9"/>
        <v>17</v>
      </c>
      <c r="D29" s="116" t="s">
        <v>160</v>
      </c>
      <c r="E29" s="102"/>
      <c r="F29" s="94">
        <v>6.8</v>
      </c>
      <c r="G29" s="95">
        <v>203996.24</v>
      </c>
      <c r="H29" s="276">
        <f>218996-H11</f>
        <v>203995.94</v>
      </c>
      <c r="I29" s="97"/>
      <c r="J29" s="98">
        <f t="shared" si="1"/>
        <v>0.29999999998835847</v>
      </c>
      <c r="K29" s="98">
        <f t="shared" si="2"/>
        <v>8.9999999996507544E-3</v>
      </c>
      <c r="L29" s="95">
        <f t="shared" si="5"/>
        <v>0</v>
      </c>
      <c r="M29" s="98">
        <f t="shared" si="6"/>
        <v>204000.00000000003</v>
      </c>
      <c r="N29" s="99">
        <v>0</v>
      </c>
      <c r="O29" s="100">
        <f t="shared" si="7"/>
        <v>204000.24</v>
      </c>
      <c r="P29" s="99">
        <f t="shared" si="3"/>
        <v>216240.24</v>
      </c>
      <c r="Q29" s="101">
        <f t="shared" si="4"/>
        <v>210120.24</v>
      </c>
      <c r="R29" s="57">
        <f t="shared" si="8"/>
        <v>0.24000000000000007</v>
      </c>
    </row>
    <row r="30" spans="1:22" ht="16.5" customHeight="1" x14ac:dyDescent="0.25">
      <c r="A30" s="13" t="s">
        <v>138</v>
      </c>
      <c r="B30" s="161" t="s">
        <v>140</v>
      </c>
      <c r="C30" s="162">
        <f t="shared" si="9"/>
        <v>18</v>
      </c>
      <c r="D30" s="162" t="s">
        <v>141</v>
      </c>
      <c r="E30" s="165"/>
      <c r="F30" s="164">
        <v>6.9</v>
      </c>
      <c r="G30" s="138">
        <v>213210.25</v>
      </c>
      <c r="H30" s="276">
        <f>G30</f>
        <v>213210.25</v>
      </c>
      <c r="I30" s="97"/>
      <c r="J30" s="139">
        <f t="shared" si="1"/>
        <v>0</v>
      </c>
      <c r="K30" s="139">
        <f t="shared" si="2"/>
        <v>0</v>
      </c>
      <c r="L30" s="138">
        <f t="shared" si="5"/>
        <v>0</v>
      </c>
      <c r="M30" s="139">
        <f t="shared" si="6"/>
        <v>207000.00000000003</v>
      </c>
      <c r="N30" s="140"/>
      <c r="O30" s="269">
        <f t="shared" si="7"/>
        <v>207000.25</v>
      </c>
      <c r="P30" s="140">
        <f t="shared" si="3"/>
        <v>219420.25</v>
      </c>
      <c r="Q30" s="270">
        <f t="shared" si="4"/>
        <v>213210.25</v>
      </c>
      <c r="R30" s="207">
        <f t="shared" si="8"/>
        <v>0.25000000000000006</v>
      </c>
      <c r="S30" s="206"/>
      <c r="T30" s="208"/>
    </row>
    <row r="31" spans="1:22" ht="16.5" customHeight="1" x14ac:dyDescent="0.25">
      <c r="A31" s="13" t="s">
        <v>138</v>
      </c>
      <c r="B31" s="115" t="s">
        <v>142</v>
      </c>
      <c r="C31" s="116">
        <f t="shared" si="9"/>
        <v>19</v>
      </c>
      <c r="D31" s="116" t="s">
        <v>143</v>
      </c>
      <c r="E31" s="93" t="s">
        <v>144</v>
      </c>
      <c r="F31" s="94">
        <v>4.5</v>
      </c>
      <c r="G31" s="95">
        <v>135000.26</v>
      </c>
      <c r="H31" s="276">
        <f>G31</f>
        <v>135000.26</v>
      </c>
      <c r="I31" s="97"/>
      <c r="J31" s="98">
        <f t="shared" si="1"/>
        <v>0</v>
      </c>
      <c r="K31" s="98">
        <f t="shared" si="2"/>
        <v>0</v>
      </c>
      <c r="L31" s="95">
        <f t="shared" si="5"/>
        <v>0</v>
      </c>
      <c r="M31" s="98">
        <f t="shared" si="6"/>
        <v>135000</v>
      </c>
      <c r="N31" s="99">
        <v>0</v>
      </c>
      <c r="O31" s="100">
        <f t="shared" si="7"/>
        <v>135000.26</v>
      </c>
      <c r="P31" s="99">
        <f t="shared" si="3"/>
        <v>143100.26</v>
      </c>
      <c r="Q31" s="101">
        <f t="shared" si="4"/>
        <v>139050.26</v>
      </c>
      <c r="R31" s="57">
        <f t="shared" si="8"/>
        <v>0.26000000000000006</v>
      </c>
    </row>
    <row r="32" spans="1:22" ht="16.5" customHeight="1" x14ac:dyDescent="0.25">
      <c r="A32" s="13" t="s">
        <v>138</v>
      </c>
      <c r="B32" s="115" t="s">
        <v>145</v>
      </c>
      <c r="C32" s="116">
        <f t="shared" si="9"/>
        <v>20</v>
      </c>
      <c r="D32" s="116" t="s">
        <v>146</v>
      </c>
      <c r="E32" s="102" t="s">
        <v>147</v>
      </c>
      <c r="F32" s="94">
        <v>3.1</v>
      </c>
      <c r="G32" s="95">
        <v>200444.27</v>
      </c>
      <c r="H32" s="277">
        <v>93000</v>
      </c>
      <c r="I32" s="97"/>
      <c r="J32" s="98">
        <f t="shared" si="1"/>
        <v>107444.26999999999</v>
      </c>
      <c r="K32" s="98">
        <f t="shared" si="2"/>
        <v>3223.3280999999997</v>
      </c>
      <c r="L32" s="95">
        <f t="shared" si="5"/>
        <v>0</v>
      </c>
      <c r="M32" s="98">
        <f t="shared" si="6"/>
        <v>93000</v>
      </c>
      <c r="N32" s="99">
        <v>0</v>
      </c>
      <c r="O32" s="100">
        <f t="shared" si="7"/>
        <v>203668.27</v>
      </c>
      <c r="P32" s="99">
        <f t="shared" si="3"/>
        <v>215888.27</v>
      </c>
      <c r="Q32" s="101">
        <f t="shared" si="4"/>
        <v>209778.27</v>
      </c>
      <c r="R32" s="57">
        <f t="shared" si="8"/>
        <v>0.27000000000000007</v>
      </c>
    </row>
    <row r="33" spans="1:18" ht="16.5" customHeight="1" x14ac:dyDescent="0.25">
      <c r="A33" s="13" t="s">
        <v>138</v>
      </c>
      <c r="B33" s="172" t="s">
        <v>148</v>
      </c>
      <c r="C33" s="173">
        <f t="shared" si="9"/>
        <v>21</v>
      </c>
      <c r="D33" s="173" t="s">
        <v>149</v>
      </c>
      <c r="E33" s="174" t="s">
        <v>150</v>
      </c>
      <c r="F33" s="175">
        <v>4.5</v>
      </c>
      <c r="G33" s="176">
        <v>135000.28</v>
      </c>
      <c r="H33" s="278">
        <f>225000-RESUMEN!B114</f>
        <v>135000</v>
      </c>
      <c r="I33" s="177"/>
      <c r="J33" s="178">
        <f t="shared" si="1"/>
        <v>0.27999999999883585</v>
      </c>
      <c r="K33" s="178"/>
      <c r="L33" s="176">
        <f t="shared" si="5"/>
        <v>0</v>
      </c>
      <c r="M33" s="178">
        <f t="shared" si="6"/>
        <v>135000</v>
      </c>
      <c r="N33" s="179"/>
      <c r="O33" s="273">
        <f t="shared" si="7"/>
        <v>135000.28</v>
      </c>
      <c r="P33" s="274">
        <f t="shared" si="3"/>
        <v>143100.28</v>
      </c>
      <c r="Q33" s="275">
        <f t="shared" si="4"/>
        <v>139050.28</v>
      </c>
      <c r="R33" s="57">
        <f t="shared" si="8"/>
        <v>0.28000000000000008</v>
      </c>
    </row>
    <row r="34" spans="1:18" ht="16.5" customHeight="1" x14ac:dyDescent="0.25">
      <c r="A34" s="13" t="s">
        <v>138</v>
      </c>
      <c r="B34" s="115" t="s">
        <v>151</v>
      </c>
      <c r="C34" s="116">
        <f t="shared" si="9"/>
        <v>22</v>
      </c>
      <c r="D34" s="116" t="s">
        <v>152</v>
      </c>
      <c r="E34" s="93"/>
      <c r="F34" s="94">
        <v>3.1</v>
      </c>
      <c r="G34" s="95">
        <v>93000.29</v>
      </c>
      <c r="H34" s="276">
        <f>G34</f>
        <v>93000.29</v>
      </c>
      <c r="I34" s="97"/>
      <c r="J34" s="98">
        <f t="shared" si="1"/>
        <v>0</v>
      </c>
      <c r="K34" s="98">
        <f t="shared" si="2"/>
        <v>0</v>
      </c>
      <c r="L34" s="95">
        <f t="shared" si="5"/>
        <v>0</v>
      </c>
      <c r="M34" s="98">
        <f t="shared" si="6"/>
        <v>93000</v>
      </c>
      <c r="N34" s="99">
        <v>0</v>
      </c>
      <c r="O34" s="100">
        <f t="shared" si="7"/>
        <v>93000.29</v>
      </c>
      <c r="P34" s="99">
        <f t="shared" si="3"/>
        <v>98580.29</v>
      </c>
      <c r="Q34" s="101">
        <f t="shared" si="4"/>
        <v>95790.29</v>
      </c>
      <c r="R34" s="57">
        <f t="shared" si="8"/>
        <v>0.29000000000000009</v>
      </c>
    </row>
    <row r="35" spans="1:18" ht="17.25" customHeight="1" x14ac:dyDescent="0.25">
      <c r="A35" s="13" t="s">
        <v>138</v>
      </c>
      <c r="B35" s="117"/>
      <c r="C35" s="117"/>
      <c r="D35" s="117"/>
      <c r="E35" s="102"/>
      <c r="F35" s="94"/>
      <c r="G35" s="95"/>
      <c r="H35" s="132"/>
      <c r="I35" s="97"/>
      <c r="J35" s="98">
        <f t="shared" si="1"/>
        <v>0</v>
      </c>
      <c r="K35" s="98">
        <f t="shared" si="2"/>
        <v>0</v>
      </c>
      <c r="L35" s="95"/>
      <c r="M35" s="98"/>
      <c r="N35" s="99">
        <v>0</v>
      </c>
      <c r="O35" s="100"/>
      <c r="P35" s="99">
        <f t="shared" si="3"/>
        <v>0.3000000000000001</v>
      </c>
      <c r="Q35" s="101">
        <f t="shared" si="4"/>
        <v>0</v>
      </c>
      <c r="R35" s="57">
        <f t="shared" si="8"/>
        <v>0.3000000000000001</v>
      </c>
    </row>
    <row r="36" spans="1:18" ht="0.75" customHeight="1" x14ac:dyDescent="0.25">
      <c r="A36" s="13" t="s">
        <v>138</v>
      </c>
      <c r="B36" s="93"/>
      <c r="C36" s="93"/>
      <c r="D36" s="93"/>
      <c r="E36" s="93"/>
      <c r="F36" s="94"/>
      <c r="G36" s="104"/>
      <c r="H36" s="96"/>
      <c r="I36" s="105"/>
      <c r="J36" s="106">
        <f t="shared" si="1"/>
        <v>0</v>
      </c>
      <c r="K36" s="98">
        <f t="shared" si="2"/>
        <v>0</v>
      </c>
      <c r="L36" s="104">
        <f>O$3*F36%</f>
        <v>0</v>
      </c>
      <c r="M36" s="106">
        <f>RESUMEN!H$83*F36%</f>
        <v>0</v>
      </c>
      <c r="N36" s="107">
        <v>0</v>
      </c>
      <c r="O36" s="100">
        <f>ROUND(SUM(J36:N36),0) + R36</f>
        <v>0</v>
      </c>
      <c r="P36" s="99">
        <f t="shared" si="3"/>
        <v>0</v>
      </c>
      <c r="Q36" s="101">
        <f t="shared" si="4"/>
        <v>0</v>
      </c>
      <c r="R36" s="57"/>
    </row>
    <row r="37" spans="1:18" ht="16.5" customHeight="1" x14ac:dyDescent="0.25">
      <c r="B37" s="108"/>
      <c r="C37" s="109"/>
      <c r="D37" s="110"/>
      <c r="E37" s="110"/>
      <c r="F37" s="118">
        <f t="shared" ref="F37:Q37" si="10">SUM(F6:F36)</f>
        <v>99.999999999999986</v>
      </c>
      <c r="G37" s="111">
        <f t="shared" si="10"/>
        <v>3880387.3499999987</v>
      </c>
      <c r="H37" s="112">
        <f>SUM(H6:H36)</f>
        <v>3109514.8600000003</v>
      </c>
      <c r="I37" s="111">
        <f t="shared" si="10"/>
        <v>0</v>
      </c>
      <c r="J37" s="112">
        <f t="shared" si="10"/>
        <v>770872.49</v>
      </c>
      <c r="K37" s="111">
        <f t="shared" si="10"/>
        <v>23456.203799999996</v>
      </c>
      <c r="L37" s="112">
        <f t="shared" si="10"/>
        <v>0</v>
      </c>
      <c r="M37" s="111">
        <f t="shared" si="10"/>
        <v>3000000</v>
      </c>
      <c r="N37" s="112">
        <f t="shared" si="10"/>
        <v>0</v>
      </c>
      <c r="O37" s="113">
        <f t="shared" si="10"/>
        <v>3794331.3499999996</v>
      </c>
      <c r="P37" s="113">
        <f t="shared" si="10"/>
        <v>4021991.6499999994</v>
      </c>
      <c r="Q37" s="113">
        <f t="shared" si="10"/>
        <v>3908162.3499999996</v>
      </c>
    </row>
    <row r="38" spans="1:18" ht="12.75" customHeight="1" x14ac:dyDescent="0.25">
      <c r="D38" s="114"/>
      <c r="E38" s="114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54" t="s">
        <v>155</v>
      </c>
      <c r="E40" s="229"/>
      <c r="F40" s="229"/>
      <c r="G40" s="229"/>
      <c r="H40" s="229"/>
      <c r="I40" s="229"/>
      <c r="J40" s="229"/>
      <c r="K40" s="229"/>
      <c r="L40" s="229"/>
      <c r="M40" s="229"/>
      <c r="N40" s="229"/>
      <c r="O40" s="229"/>
      <c r="Q40" s="1"/>
    </row>
    <row r="41" spans="1:18" ht="12" hidden="1" customHeight="1" x14ac:dyDescent="0.25">
      <c r="D41" s="229"/>
      <c r="E41" s="229"/>
      <c r="F41" s="229"/>
      <c r="G41" s="229"/>
      <c r="H41" s="229"/>
      <c r="I41" s="229"/>
      <c r="J41" s="229"/>
      <c r="K41" s="229"/>
      <c r="L41" s="229"/>
      <c r="M41" s="229"/>
      <c r="N41" s="229"/>
      <c r="O41" s="229"/>
      <c r="Q41" s="1"/>
    </row>
    <row r="42" spans="1:18" ht="12" hidden="1" customHeight="1" x14ac:dyDescent="0.25">
      <c r="D42" s="229"/>
      <c r="E42" s="229"/>
      <c r="F42" s="229"/>
      <c r="G42" s="229"/>
      <c r="H42" s="229"/>
      <c r="I42" s="229"/>
      <c r="J42" s="229"/>
      <c r="K42" s="229"/>
      <c r="L42" s="229"/>
      <c r="M42" s="229"/>
      <c r="N42" s="229"/>
      <c r="O42" s="229"/>
      <c r="Q42" s="1"/>
    </row>
    <row r="43" spans="1:18" ht="12" hidden="1" customHeight="1" x14ac:dyDescent="0.25">
      <c r="D43" s="229"/>
      <c r="E43" s="229"/>
      <c r="F43" s="229"/>
      <c r="G43" s="229"/>
      <c r="H43" s="229"/>
      <c r="I43" s="229"/>
      <c r="J43" s="229"/>
      <c r="K43" s="229"/>
      <c r="L43" s="229"/>
      <c r="M43" s="229"/>
      <c r="N43" s="229"/>
      <c r="O43" s="229"/>
      <c r="Q43" s="1"/>
    </row>
    <row r="44" spans="1:18" ht="12" hidden="1" customHeight="1" x14ac:dyDescent="0.25">
      <c r="D44" s="229"/>
      <c r="E44" s="229"/>
      <c r="F44" s="229"/>
      <c r="G44" s="229"/>
      <c r="H44" s="229"/>
      <c r="I44" s="229"/>
      <c r="J44" s="229"/>
      <c r="K44" s="229"/>
      <c r="L44" s="229"/>
      <c r="M44" s="229"/>
      <c r="N44" s="229"/>
      <c r="O44" s="229"/>
      <c r="Q44" s="1"/>
    </row>
    <row r="45" spans="1:18" ht="108" customHeight="1" x14ac:dyDescent="0.25"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29"/>
      <c r="O45" s="229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  <mergeCell ref="A4:A5"/>
    <mergeCell ref="F4:F5"/>
    <mergeCell ref="D4:D5"/>
    <mergeCell ref="E4:E5"/>
    <mergeCell ref="G4:G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2026-02-01T17:56:29Z</cp:lastPrinted>
  <dcterms:created xsi:type="dcterms:W3CDTF">2024-11-03T18:47:30Z</dcterms:created>
  <dcterms:modified xsi:type="dcterms:W3CDTF">2026-02-25T17:33:42Z</dcterms:modified>
</cp:coreProperties>
</file>