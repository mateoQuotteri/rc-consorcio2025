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24226"/>
  <mc:AlternateContent xmlns:mc="http://schemas.openxmlformats.org/markup-compatibility/2006">
    <mc:Choice Requires="x15">
      <x15ac:absPath xmlns:x15ac="http://schemas.microsoft.com/office/spreadsheetml/2010/11/ac" url="C:\Users\Sistemax\Desktop\rc-consorcio2025\2026\EL MIRADOR\Abril\"/>
    </mc:Choice>
  </mc:AlternateContent>
  <xr:revisionPtr revIDLastSave="0" documentId="13_ncr:1_{6321215C-6B87-4CD0-866C-EF015505E084}" xr6:coauthVersionLast="47" xr6:coauthVersionMax="47" xr10:uidLastSave="{00000000-0000-0000-0000-000000000000}"/>
  <bookViews>
    <workbookView xWindow="-120" yWindow="-120" windowWidth="20730" windowHeight="11160" xr2:uid="{00000000-000D-0000-FFFF-FFFF00000000}"/>
  </bookViews>
  <sheets>
    <sheet name="RESUMEN" sheetId="1" r:id="rId1"/>
    <sheet name="PRORRATEO" sheetId="2" r:id="rId2"/>
    <sheet name="ARBA" sheetId="4" r:id="rId3"/>
    <sheet name="ANOTACIONES" sheetId="3" r:id="rId4"/>
  </sheets>
  <definedNames>
    <definedName name="_xlnm.Print_Area" localSheetId="2">ARBA!$A$1:$O$82</definedName>
    <definedName name="_xlnm.Print_Area" localSheetId="1">PRORRATEO!$A$1:$O$155</definedName>
    <definedName name="_xlnm.Print_Area" localSheetId="0">RESUMEN!$A$1:$J$129</definedName>
  </definedNames>
  <calcPr calcId="181029"/>
  <extLs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57" i="4" l="1"/>
  <c r="D74" i="1"/>
  <c r="H16" i="2"/>
  <c r="L16" i="4"/>
  <c r="L40" i="4"/>
  <c r="L58" i="4"/>
  <c r="L7" i="4"/>
  <c r="H18" i="2"/>
  <c r="C84" i="1"/>
  <c r="C85" i="1"/>
  <c r="L62" i="4"/>
  <c r="H75" i="2"/>
  <c r="H59" i="2"/>
  <c r="L52" i="4"/>
  <c r="H65" i="2"/>
  <c r="H99" i="2"/>
  <c r="C86" i="1" l="1"/>
  <c r="E64" i="1" l="1"/>
  <c r="L64" i="1" s="1"/>
  <c r="K64" i="1"/>
  <c r="K63" i="1"/>
  <c r="K62" i="1"/>
  <c r="K61" i="1"/>
  <c r="K60" i="1"/>
  <c r="K59" i="1"/>
  <c r="H78" i="2"/>
  <c r="L71" i="4"/>
  <c r="L37" i="4"/>
  <c r="H126" i="2"/>
  <c r="H125" i="2"/>
  <c r="H124" i="2"/>
  <c r="H122" i="2"/>
  <c r="H121" i="2"/>
  <c r="H117" i="2"/>
  <c r="H116" i="2"/>
  <c r="H27" i="2"/>
  <c r="H25" i="2"/>
  <c r="H24" i="2"/>
  <c r="H22" i="2"/>
  <c r="L20" i="4"/>
  <c r="L18" i="4"/>
  <c r="L17" i="4"/>
  <c r="L15" i="4"/>
  <c r="L47" i="4"/>
  <c r="L22" i="4"/>
  <c r="H31" i="2"/>
  <c r="L24" i="4"/>
  <c r="H91" i="2"/>
  <c r="H58" i="2"/>
  <c r="L25" i="4"/>
  <c r="H82" i="2"/>
  <c r="H107" i="2"/>
  <c r="N54" i="4"/>
  <c r="L21" i="4"/>
  <c r="M77" i="4"/>
  <c r="H14" i="2"/>
  <c r="I38" i="2"/>
  <c r="L31" i="4"/>
  <c r="H28" i="2"/>
  <c r="H48" i="2" l="1"/>
  <c r="H43" i="2"/>
  <c r="D36" i="1"/>
  <c r="C35" i="1"/>
  <c r="E60" i="1" l="1"/>
  <c r="L60" i="1" s="1"/>
  <c r="D48" i="3"/>
  <c r="D39" i="3"/>
  <c r="D30" i="3"/>
  <c r="D21" i="3"/>
  <c r="D12" i="3"/>
  <c r="E53" i="1"/>
  <c r="E59" i="1"/>
  <c r="L59" i="1" s="1"/>
  <c r="J62" i="1"/>
  <c r="I62" i="1"/>
  <c r="H62" i="1"/>
  <c r="G62" i="1"/>
  <c r="F62" i="1"/>
  <c r="E62" i="1"/>
  <c r="E54" i="1"/>
  <c r="J61" i="1"/>
  <c r="I61" i="1"/>
  <c r="H61" i="1"/>
  <c r="G61" i="1"/>
  <c r="F61" i="1"/>
  <c r="E61" i="1"/>
  <c r="H105" i="2"/>
  <c r="H89" i="2"/>
  <c r="L62" i="1" l="1"/>
  <c r="L61" i="1"/>
  <c r="H88" i="2" l="1"/>
  <c r="H21" i="2"/>
  <c r="B116" i="1"/>
  <c r="H128" i="2"/>
  <c r="H74" i="2"/>
  <c r="H108" i="2"/>
  <c r="H95" i="2"/>
  <c r="H94" i="2"/>
  <c r="H55" i="2"/>
  <c r="H49" i="2"/>
  <c r="H113" i="2"/>
  <c r="H62" i="2"/>
  <c r="H61" i="2"/>
  <c r="H103" i="2"/>
  <c r="H81" i="2"/>
  <c r="H84" i="2"/>
  <c r="H37" i="2"/>
  <c r="N12" i="4"/>
  <c r="H98" i="2"/>
  <c r="M68" i="4"/>
  <c r="H131" i="2"/>
  <c r="H112" i="2"/>
  <c r="H19" i="2"/>
  <c r="N7" i="4"/>
  <c r="D55" i="1"/>
  <c r="J44" i="1"/>
  <c r="I44" i="1"/>
  <c r="H44" i="1"/>
  <c r="G44" i="1"/>
  <c r="F44" i="1"/>
  <c r="E44" i="1"/>
  <c r="J71" i="1"/>
  <c r="I71" i="1"/>
  <c r="H71" i="1"/>
  <c r="G71" i="1"/>
  <c r="F71" i="1"/>
  <c r="E71" i="1"/>
  <c r="J12" i="4" l="1"/>
  <c r="K14" i="2"/>
  <c r="K29" i="2"/>
  <c r="K33" i="2"/>
  <c r="K37" i="2"/>
  <c r="K41" i="2"/>
  <c r="K45" i="2"/>
  <c r="K49" i="2"/>
  <c r="K53" i="2"/>
  <c r="K57" i="2"/>
  <c r="K61" i="2"/>
  <c r="K63" i="2"/>
  <c r="K65" i="2"/>
  <c r="K67" i="2"/>
  <c r="K69" i="2"/>
  <c r="K71" i="2"/>
  <c r="K73" i="2"/>
  <c r="K75" i="2"/>
  <c r="K77" i="2"/>
  <c r="K79" i="2"/>
  <c r="K81" i="2"/>
  <c r="K83" i="2"/>
  <c r="K85" i="2"/>
  <c r="K87" i="2"/>
  <c r="K89" i="2"/>
  <c r="K91" i="2"/>
  <c r="K93" i="2"/>
  <c r="K95" i="2"/>
  <c r="K97" i="2"/>
  <c r="K99" i="2"/>
  <c r="K101" i="2"/>
  <c r="K103" i="2"/>
  <c r="K105" i="2"/>
  <c r="K107" i="2"/>
  <c r="K109" i="2"/>
  <c r="K111" i="2"/>
  <c r="K113" i="2"/>
  <c r="K115" i="2"/>
  <c r="K117" i="2"/>
  <c r="K119" i="2"/>
  <c r="K121" i="2"/>
  <c r="K123" i="2"/>
  <c r="K125" i="2"/>
  <c r="K127" i="2"/>
  <c r="K129" i="2"/>
  <c r="K131" i="2"/>
  <c r="K21" i="2" l="1"/>
  <c r="K17" i="2"/>
  <c r="K25" i="2"/>
  <c r="H12" i="4"/>
  <c r="I12" i="4" s="1"/>
  <c r="K128" i="2"/>
  <c r="K124" i="2"/>
  <c r="K120" i="2"/>
  <c r="K116" i="2"/>
  <c r="K112" i="2"/>
  <c r="K108" i="2"/>
  <c r="K104" i="2"/>
  <c r="K100" i="2"/>
  <c r="K96" i="2"/>
  <c r="K92" i="2"/>
  <c r="K88" i="2"/>
  <c r="K84" i="2"/>
  <c r="K80" i="2"/>
  <c r="K76" i="2"/>
  <c r="K72" i="2"/>
  <c r="K68" i="2"/>
  <c r="K64" i="2"/>
  <c r="K60" i="2"/>
  <c r="K56" i="2"/>
  <c r="K52" i="2"/>
  <c r="K48" i="2"/>
  <c r="K44" i="2"/>
  <c r="K40" i="2"/>
  <c r="K36" i="2"/>
  <c r="K32" i="2"/>
  <c r="K28" i="2"/>
  <c r="K24" i="2"/>
  <c r="K20" i="2"/>
  <c r="K16" i="2"/>
  <c r="K59" i="2"/>
  <c r="K55" i="2"/>
  <c r="K51" i="2"/>
  <c r="K47" i="2"/>
  <c r="K43" i="2"/>
  <c r="K39" i="2"/>
  <c r="K35" i="2"/>
  <c r="K31" i="2"/>
  <c r="K27" i="2"/>
  <c r="K23" i="2"/>
  <c r="K19" i="2"/>
  <c r="K15" i="2"/>
  <c r="K130" i="2"/>
  <c r="K126" i="2"/>
  <c r="K122" i="2"/>
  <c r="K118" i="2"/>
  <c r="K114" i="2"/>
  <c r="K110" i="2"/>
  <c r="K106" i="2"/>
  <c r="K102" i="2"/>
  <c r="K98" i="2"/>
  <c r="K94" i="2"/>
  <c r="K90" i="2"/>
  <c r="K86" i="2"/>
  <c r="K82" i="2"/>
  <c r="K78" i="2"/>
  <c r="K74" i="2"/>
  <c r="K70" i="2"/>
  <c r="K66" i="2"/>
  <c r="K62" i="2"/>
  <c r="K58" i="2"/>
  <c r="K54" i="2"/>
  <c r="K50" i="2"/>
  <c r="K46" i="2"/>
  <c r="K42" i="2"/>
  <c r="K38" i="2"/>
  <c r="K34" i="2"/>
  <c r="K30" i="2"/>
  <c r="K26" i="2"/>
  <c r="K22" i="2"/>
  <c r="K18" i="2"/>
  <c r="H68" i="2" l="1"/>
  <c r="H23" i="2"/>
  <c r="H85" i="2"/>
  <c r="H96" i="2"/>
  <c r="H111" i="2"/>
  <c r="H51" i="2"/>
  <c r="H44" i="2"/>
  <c r="H100" i="2"/>
  <c r="H66" i="2"/>
  <c r="H130" i="2"/>
  <c r="H63" i="2"/>
  <c r="H92" i="2"/>
  <c r="H60" i="2"/>
  <c r="H115" i="2"/>
  <c r="H90" i="2"/>
  <c r="H53" i="2"/>
  <c r="H32" i="2"/>
  <c r="H52" i="2"/>
  <c r="H33" i="2"/>
  <c r="H102" i="2"/>
  <c r="D66" i="1"/>
  <c r="J65" i="1"/>
  <c r="I65" i="1"/>
  <c r="H65" i="1"/>
  <c r="G65" i="1"/>
  <c r="F65" i="1"/>
  <c r="E65" i="1"/>
  <c r="J63" i="1"/>
  <c r="I63" i="1"/>
  <c r="H63" i="1"/>
  <c r="G63" i="1"/>
  <c r="F63" i="1"/>
  <c r="E63" i="1"/>
  <c r="L63" i="1" l="1"/>
  <c r="J7" i="4"/>
  <c r="H7" i="4" l="1"/>
  <c r="P8" i="4"/>
  <c r="J8" i="4" s="1"/>
  <c r="O7" i="4"/>
  <c r="N8"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5" i="4"/>
  <c r="N56" i="4"/>
  <c r="N57" i="4"/>
  <c r="N58" i="4"/>
  <c r="N59" i="4"/>
  <c r="N60" i="4"/>
  <c r="N61" i="4"/>
  <c r="N62" i="4"/>
  <c r="N63" i="4"/>
  <c r="N64" i="4"/>
  <c r="N65" i="4"/>
  <c r="N66" i="4"/>
  <c r="N67" i="4"/>
  <c r="N68" i="4"/>
  <c r="N69" i="4"/>
  <c r="N70" i="4"/>
  <c r="N71" i="4"/>
  <c r="N72" i="4"/>
  <c r="N73" i="4"/>
  <c r="N74" i="4"/>
  <c r="N75" i="4"/>
  <c r="N76" i="4"/>
  <c r="N77" i="4"/>
  <c r="N78" i="4"/>
  <c r="N79" i="4"/>
  <c r="N80" i="4"/>
  <c r="O12" i="4"/>
  <c r="N9" i="4"/>
  <c r="N10" i="4"/>
  <c r="N11" i="4"/>
  <c r="D82" i="4"/>
  <c r="E82" i="4"/>
  <c r="F82" i="4"/>
  <c r="G82" i="4"/>
  <c r="P13" i="4"/>
  <c r="H129" i="2"/>
  <c r="H29" i="2"/>
  <c r="H20" i="2"/>
  <c r="H79" i="2"/>
  <c r="H120" i="2"/>
  <c r="H45" i="2"/>
  <c r="H73" i="2"/>
  <c r="H56" i="2"/>
  <c r="H119" i="2"/>
  <c r="H50" i="2"/>
  <c r="H83" i="2"/>
  <c r="H67" i="2"/>
  <c r="D41" i="1"/>
  <c r="I7" i="4" l="1"/>
  <c r="O8" i="4"/>
  <c r="H8" i="4"/>
  <c r="P9" i="4"/>
  <c r="P10" i="4" s="1"/>
  <c r="P14" i="4"/>
  <c r="J13" i="4"/>
  <c r="I8" i="4" l="1"/>
  <c r="M8" i="4"/>
  <c r="J9" i="4"/>
  <c r="O9" i="4" s="1"/>
  <c r="O13" i="4"/>
  <c r="H13" i="4"/>
  <c r="L13" i="4" s="1"/>
  <c r="H9" i="4"/>
  <c r="P11" i="4"/>
  <c r="J11" i="4" s="1"/>
  <c r="J10" i="4"/>
  <c r="P15" i="4"/>
  <c r="J14" i="4"/>
  <c r="D30" i="1"/>
  <c r="I9" i="4" l="1"/>
  <c r="M9" i="4"/>
  <c r="I13" i="4"/>
  <c r="O14" i="4"/>
  <c r="H14" i="4"/>
  <c r="L14" i="4" s="1"/>
  <c r="O10" i="4"/>
  <c r="H10" i="4"/>
  <c r="O11" i="4"/>
  <c r="H11" i="4"/>
  <c r="P16" i="4"/>
  <c r="J15" i="4"/>
  <c r="D27" i="1"/>
  <c r="D45" i="1"/>
  <c r="H71" i="2"/>
  <c r="I10" i="4" l="1"/>
  <c r="M10" i="4"/>
  <c r="I14" i="4"/>
  <c r="I11" i="4"/>
  <c r="O15" i="4"/>
  <c r="H15" i="4"/>
  <c r="P17" i="4"/>
  <c r="J16" i="4"/>
  <c r="H127" i="2"/>
  <c r="H118" i="2"/>
  <c r="H109" i="2"/>
  <c r="H104" i="2"/>
  <c r="H69" i="2"/>
  <c r="I15" i="4" l="1"/>
  <c r="O16" i="4"/>
  <c r="H16" i="4"/>
  <c r="P18" i="4"/>
  <c r="J17" i="4"/>
  <c r="I16" i="4" l="1"/>
  <c r="O17" i="4"/>
  <c r="H17" i="4"/>
  <c r="P19" i="4"/>
  <c r="J18" i="4"/>
  <c r="I17" i="4" l="1"/>
  <c r="O18" i="4"/>
  <c r="H18" i="4"/>
  <c r="P20" i="4"/>
  <c r="J19" i="4"/>
  <c r="H38" i="2"/>
  <c r="H114" i="2"/>
  <c r="K47" i="1"/>
  <c r="K48" i="1"/>
  <c r="J48" i="1"/>
  <c r="I48" i="1"/>
  <c r="H48" i="1"/>
  <c r="G48" i="1"/>
  <c r="F48" i="1"/>
  <c r="E48" i="1"/>
  <c r="J47" i="1"/>
  <c r="I47" i="1"/>
  <c r="H47" i="1"/>
  <c r="G47" i="1"/>
  <c r="F47" i="1"/>
  <c r="E47" i="1"/>
  <c r="I18" i="4" l="1"/>
  <c r="O19" i="4"/>
  <c r="H19" i="4"/>
  <c r="L19" i="4" s="1"/>
  <c r="P21" i="4"/>
  <c r="J20" i="4"/>
  <c r="L47" i="1"/>
  <c r="L48" i="1"/>
  <c r="I19" i="4" l="1"/>
  <c r="O20" i="4"/>
  <c r="H20" i="4"/>
  <c r="P22" i="4"/>
  <c r="J21" i="4"/>
  <c r="D73" i="1"/>
  <c r="I20" i="4" l="1"/>
  <c r="O21" i="4"/>
  <c r="H21" i="4"/>
  <c r="P23" i="4"/>
  <c r="J22" i="4"/>
  <c r="H86" i="2"/>
  <c r="H41" i="2"/>
  <c r="H87" i="2"/>
  <c r="I21" i="4" l="1"/>
  <c r="O22" i="4"/>
  <c r="H22" i="4"/>
  <c r="P24" i="4"/>
  <c r="J23" i="4"/>
  <c r="K51" i="1"/>
  <c r="B107" i="1"/>
  <c r="I22" i="4" l="1"/>
  <c r="O23" i="4"/>
  <c r="H23" i="4"/>
  <c r="P25" i="4"/>
  <c r="J24" i="4"/>
  <c r="H26" i="2"/>
  <c r="N13" i="2"/>
  <c r="O13" i="2"/>
  <c r="E51" i="1"/>
  <c r="L51" i="1" s="1"/>
  <c r="M51" i="1" s="1"/>
  <c r="N51" i="1"/>
  <c r="E52" i="1"/>
  <c r="J52" i="1"/>
  <c r="I52" i="1"/>
  <c r="H52" i="1"/>
  <c r="G52" i="1"/>
  <c r="F52" i="1"/>
  <c r="K53" i="1"/>
  <c r="N53" i="1" s="1"/>
  <c r="I23" i="4" l="1"/>
  <c r="M23" i="4"/>
  <c r="O24" i="4"/>
  <c r="H24" i="4"/>
  <c r="P26" i="4"/>
  <c r="J25" i="4"/>
  <c r="L53" i="1"/>
  <c r="M53" i="1" s="1"/>
  <c r="I24" i="4" l="1"/>
  <c r="O25" i="4"/>
  <c r="H25" i="4"/>
  <c r="P27" i="4"/>
  <c r="J26" i="4"/>
  <c r="L19" i="2"/>
  <c r="I25" i="4" l="1"/>
  <c r="M25" i="4"/>
  <c r="O26" i="4"/>
  <c r="H26" i="4"/>
  <c r="P28" i="4"/>
  <c r="J27" i="4"/>
  <c r="P20" i="2"/>
  <c r="P21" i="2" s="1"/>
  <c r="P22" i="2" s="1"/>
  <c r="P23" i="2" s="1"/>
  <c r="P24" i="2" s="1"/>
  <c r="P25" i="2" s="1"/>
  <c r="P26" i="2" s="1"/>
  <c r="P27" i="2" s="1"/>
  <c r="P28" i="2" s="1"/>
  <c r="P29" i="2" s="1"/>
  <c r="P30" i="2" s="1"/>
  <c r="P31" i="2" s="1"/>
  <c r="P32" i="2" s="1"/>
  <c r="P33" i="2" s="1"/>
  <c r="P34" i="2" s="1"/>
  <c r="P35" i="2" s="1"/>
  <c r="P36" i="2" s="1"/>
  <c r="P37" i="2" s="1"/>
  <c r="P38" i="2" s="1"/>
  <c r="P39" i="2" s="1"/>
  <c r="P40" i="2" s="1"/>
  <c r="P41" i="2" s="1"/>
  <c r="P42" i="2" s="1"/>
  <c r="P43" i="2" s="1"/>
  <c r="P44" i="2" s="1"/>
  <c r="P45" i="2" s="1"/>
  <c r="P46" i="2" s="1"/>
  <c r="P47" i="2" s="1"/>
  <c r="P48" i="2" s="1"/>
  <c r="P49" i="2" s="1"/>
  <c r="P50" i="2" s="1"/>
  <c r="P51" i="2" s="1"/>
  <c r="P52" i="2" s="1"/>
  <c r="P53" i="2" s="1"/>
  <c r="P54" i="2" s="1"/>
  <c r="P55" i="2" s="1"/>
  <c r="P56" i="2" s="1"/>
  <c r="P57" i="2" s="1"/>
  <c r="P58" i="2" s="1"/>
  <c r="P59" i="2" s="1"/>
  <c r="P60" i="2" s="1"/>
  <c r="P61" i="2" s="1"/>
  <c r="P62" i="2" s="1"/>
  <c r="P63" i="2" s="1"/>
  <c r="P64" i="2" s="1"/>
  <c r="P65" i="2" s="1"/>
  <c r="P66" i="2" s="1"/>
  <c r="P67" i="2" s="1"/>
  <c r="P68" i="2" s="1"/>
  <c r="P69" i="2" s="1"/>
  <c r="P70" i="2" s="1"/>
  <c r="P71" i="2" s="1"/>
  <c r="P72" i="2" s="1"/>
  <c r="P73" i="2" s="1"/>
  <c r="P74" i="2" s="1"/>
  <c r="P75" i="2" s="1"/>
  <c r="P76" i="2" s="1"/>
  <c r="P77" i="2" s="1"/>
  <c r="P78" i="2" s="1"/>
  <c r="P79" i="2" s="1"/>
  <c r="P80" i="2" s="1"/>
  <c r="P81" i="2" s="1"/>
  <c r="P82" i="2" s="1"/>
  <c r="P83" i="2" s="1"/>
  <c r="P84" i="2" s="1"/>
  <c r="P85" i="2" s="1"/>
  <c r="P86" i="2" s="1"/>
  <c r="P87" i="2" s="1"/>
  <c r="P88" i="2" s="1"/>
  <c r="P89" i="2" s="1"/>
  <c r="P90" i="2" s="1"/>
  <c r="P91" i="2" s="1"/>
  <c r="P92" i="2" s="1"/>
  <c r="P93" i="2" s="1"/>
  <c r="P94" i="2" s="1"/>
  <c r="P95" i="2" s="1"/>
  <c r="P96" i="2" s="1"/>
  <c r="P97" i="2" s="1"/>
  <c r="P98" i="2" s="1"/>
  <c r="P99" i="2" s="1"/>
  <c r="P100" i="2" s="1"/>
  <c r="P101" i="2" s="1"/>
  <c r="P102" i="2" s="1"/>
  <c r="P103" i="2" s="1"/>
  <c r="P104" i="2" s="1"/>
  <c r="P105" i="2" s="1"/>
  <c r="P106" i="2" s="1"/>
  <c r="P107" i="2" s="1"/>
  <c r="P108" i="2" s="1"/>
  <c r="P109" i="2" s="1"/>
  <c r="P110" i="2" s="1"/>
  <c r="P111" i="2" s="1"/>
  <c r="P112" i="2" s="1"/>
  <c r="P113" i="2" s="1"/>
  <c r="P114" i="2" s="1"/>
  <c r="P115" i="2" s="1"/>
  <c r="P116" i="2" s="1"/>
  <c r="P117" i="2" s="1"/>
  <c r="P118" i="2" s="1"/>
  <c r="P119" i="2" s="1"/>
  <c r="P120" i="2" s="1"/>
  <c r="P121" i="2" s="1"/>
  <c r="P122" i="2" s="1"/>
  <c r="P123" i="2" s="1"/>
  <c r="P124" i="2" s="1"/>
  <c r="P125" i="2" s="1"/>
  <c r="P126" i="2" s="1"/>
  <c r="P127" i="2" s="1"/>
  <c r="P128" i="2" s="1"/>
  <c r="P129" i="2" s="1"/>
  <c r="P130" i="2" s="1"/>
  <c r="P131" i="2" s="1"/>
  <c r="E78" i="1"/>
  <c r="J78" i="1"/>
  <c r="I78" i="1"/>
  <c r="H78" i="1"/>
  <c r="G78" i="1"/>
  <c r="F78" i="1"/>
  <c r="F133" i="2"/>
  <c r="E49" i="1"/>
  <c r="G36" i="1"/>
  <c r="E41" i="1"/>
  <c r="I26" i="4" l="1"/>
  <c r="L26" i="4"/>
  <c r="O27" i="4"/>
  <c r="H27" i="4"/>
  <c r="P29" i="4"/>
  <c r="J28" i="4"/>
  <c r="K78" i="1"/>
  <c r="L78" i="1" s="1"/>
  <c r="I41" i="1"/>
  <c r="J41" i="1"/>
  <c r="F41" i="1"/>
  <c r="G41" i="1"/>
  <c r="H41" i="1"/>
  <c r="E36" i="1"/>
  <c r="I36" i="1"/>
  <c r="F36" i="1"/>
  <c r="J36" i="1"/>
  <c r="H36" i="1"/>
  <c r="K50" i="1"/>
  <c r="E50" i="1"/>
  <c r="L50" i="1" s="1"/>
  <c r="J75" i="1"/>
  <c r="I75" i="1"/>
  <c r="H75" i="1"/>
  <c r="G75" i="1"/>
  <c r="F75" i="1"/>
  <c r="J74" i="1"/>
  <c r="I74" i="1"/>
  <c r="H74" i="1"/>
  <c r="G74" i="1"/>
  <c r="F74" i="1"/>
  <c r="J70" i="1"/>
  <c r="I70" i="1"/>
  <c r="I73" i="1" s="1"/>
  <c r="H70" i="1"/>
  <c r="H73" i="1" s="1"/>
  <c r="G70" i="1"/>
  <c r="G73" i="1" s="1"/>
  <c r="F70" i="1"/>
  <c r="F73" i="1" s="1"/>
  <c r="H66" i="1"/>
  <c r="G66" i="1"/>
  <c r="K49" i="1"/>
  <c r="I43" i="1"/>
  <c r="H43" i="1"/>
  <c r="G43" i="1"/>
  <c r="F43" i="1"/>
  <c r="J43" i="1"/>
  <c r="J30" i="2"/>
  <c r="E90" i="1"/>
  <c r="L52" i="1"/>
  <c r="M52" i="1" s="1"/>
  <c r="K52" i="1"/>
  <c r="N52" i="1" s="1"/>
  <c r="E75" i="1"/>
  <c r="E74" i="1"/>
  <c r="E70" i="1"/>
  <c r="E43" i="1"/>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51" i="2"/>
  <c r="I19" i="2"/>
  <c r="I21" i="2"/>
  <c r="I22" i="2"/>
  <c r="I23" i="2"/>
  <c r="I25" i="2"/>
  <c r="I28" i="2"/>
  <c r="I29" i="2"/>
  <c r="I30" i="2"/>
  <c r="I32" i="2"/>
  <c r="I34" i="2"/>
  <c r="I35" i="2"/>
  <c r="I36" i="2"/>
  <c r="I37" i="2"/>
  <c r="I39" i="2"/>
  <c r="I40" i="2"/>
  <c r="I41" i="2"/>
  <c r="I42" i="2"/>
  <c r="I43" i="2"/>
  <c r="I31" i="2"/>
  <c r="I27" i="2"/>
  <c r="I46" i="2"/>
  <c r="I26" i="2"/>
  <c r="I48" i="2"/>
  <c r="I49" i="2"/>
  <c r="I50" i="2"/>
  <c r="I52" i="2"/>
  <c r="I53" i="2"/>
  <c r="I54" i="2"/>
  <c r="I24" i="2"/>
  <c r="I56" i="2"/>
  <c r="D76" i="1"/>
  <c r="D80" i="1" s="1"/>
  <c r="M1" i="2" s="1"/>
  <c r="B123" i="1"/>
  <c r="I27" i="4" l="1"/>
  <c r="M27" i="4"/>
  <c r="O28" i="4"/>
  <c r="H28" i="4"/>
  <c r="L28" i="4" s="1"/>
  <c r="J29" i="4"/>
  <c r="P30" i="4"/>
  <c r="E66" i="1"/>
  <c r="I66" i="1"/>
  <c r="F66" i="1"/>
  <c r="K41" i="1"/>
  <c r="L41" i="1" s="1"/>
  <c r="K36" i="1"/>
  <c r="L36" i="1" s="1"/>
  <c r="G55" i="1"/>
  <c r="K43" i="1"/>
  <c r="H76" i="1"/>
  <c r="G76" i="1"/>
  <c r="F76" i="1"/>
  <c r="I76" i="1"/>
  <c r="I45" i="1"/>
  <c r="F55" i="1"/>
  <c r="I55" i="1"/>
  <c r="H55" i="1"/>
  <c r="F45" i="1"/>
  <c r="G45" i="1"/>
  <c r="H45" i="1"/>
  <c r="L49" i="1"/>
  <c r="J45" i="1"/>
  <c r="J19" i="2"/>
  <c r="N19" i="2" s="1"/>
  <c r="J122" i="2"/>
  <c r="J106" i="2"/>
  <c r="J90" i="2"/>
  <c r="J74" i="2"/>
  <c r="J58" i="2"/>
  <c r="J42" i="2"/>
  <c r="J26" i="2"/>
  <c r="J118" i="2"/>
  <c r="J102" i="2"/>
  <c r="J86" i="2"/>
  <c r="J70" i="2"/>
  <c r="J54" i="2"/>
  <c r="J38" i="2"/>
  <c r="J22" i="2"/>
  <c r="J130" i="2"/>
  <c r="J114" i="2"/>
  <c r="J98" i="2"/>
  <c r="J82" i="2"/>
  <c r="J66" i="2"/>
  <c r="J50" i="2"/>
  <c r="J34" i="2"/>
  <c r="J126" i="2"/>
  <c r="J110" i="2"/>
  <c r="J94" i="2"/>
  <c r="J78" i="2"/>
  <c r="J62" i="2"/>
  <c r="J46" i="2"/>
  <c r="J129" i="2"/>
  <c r="J125" i="2"/>
  <c r="J121" i="2"/>
  <c r="J117" i="2"/>
  <c r="J113" i="2"/>
  <c r="J109" i="2"/>
  <c r="J105" i="2"/>
  <c r="J101" i="2"/>
  <c r="J97" i="2"/>
  <c r="J93" i="2"/>
  <c r="J89" i="2"/>
  <c r="J85" i="2"/>
  <c r="J81" i="2"/>
  <c r="J77" i="2"/>
  <c r="J73" i="2"/>
  <c r="J69" i="2"/>
  <c r="J65" i="2"/>
  <c r="J61" i="2"/>
  <c r="J57" i="2"/>
  <c r="J53" i="2"/>
  <c r="J49" i="2"/>
  <c r="J45" i="2"/>
  <c r="J41" i="2"/>
  <c r="J37" i="2"/>
  <c r="J33" i="2"/>
  <c r="J29" i="2"/>
  <c r="J25" i="2"/>
  <c r="J21" i="2"/>
  <c r="J128" i="2"/>
  <c r="J124" i="2"/>
  <c r="J120" i="2"/>
  <c r="J116" i="2"/>
  <c r="J112" i="2"/>
  <c r="J108" i="2"/>
  <c r="J104" i="2"/>
  <c r="J100" i="2"/>
  <c r="J96" i="2"/>
  <c r="J92" i="2"/>
  <c r="J88" i="2"/>
  <c r="J84" i="2"/>
  <c r="J80" i="2"/>
  <c r="J76" i="2"/>
  <c r="J72" i="2"/>
  <c r="J68" i="2"/>
  <c r="J64" i="2"/>
  <c r="J60" i="2"/>
  <c r="J56" i="2"/>
  <c r="J52" i="2"/>
  <c r="J48" i="2"/>
  <c r="J44" i="2"/>
  <c r="J40" i="2"/>
  <c r="J36" i="2"/>
  <c r="J32" i="2"/>
  <c r="J28" i="2"/>
  <c r="J24" i="2"/>
  <c r="J20" i="2"/>
  <c r="J131" i="2"/>
  <c r="J127" i="2"/>
  <c r="J123" i="2"/>
  <c r="J119" i="2"/>
  <c r="J115" i="2"/>
  <c r="J111" i="2"/>
  <c r="J107" i="2"/>
  <c r="J103" i="2"/>
  <c r="J99" i="2"/>
  <c r="J95" i="2"/>
  <c r="J91" i="2"/>
  <c r="J87" i="2"/>
  <c r="J83" i="2"/>
  <c r="J79" i="2"/>
  <c r="J75" i="2"/>
  <c r="J71" i="2"/>
  <c r="J67" i="2"/>
  <c r="J63" i="2"/>
  <c r="J59" i="2"/>
  <c r="J55" i="2"/>
  <c r="J51" i="2"/>
  <c r="J47" i="2"/>
  <c r="J43" i="2"/>
  <c r="J39" i="2"/>
  <c r="J35" i="2"/>
  <c r="J31" i="2"/>
  <c r="J27" i="2"/>
  <c r="J23" i="2"/>
  <c r="L120" i="2"/>
  <c r="N120" i="2" s="1"/>
  <c r="L56" i="2"/>
  <c r="N56" i="2" s="1"/>
  <c r="L104" i="2"/>
  <c r="N104" i="2" s="1"/>
  <c r="L88" i="2"/>
  <c r="N88" i="2" s="1"/>
  <c r="L24" i="2"/>
  <c r="N24" i="2" s="1"/>
  <c r="L40" i="2"/>
  <c r="L72" i="2"/>
  <c r="N72" i="2" s="1"/>
  <c r="L116" i="2"/>
  <c r="N116" i="2" s="1"/>
  <c r="L100" i="2"/>
  <c r="N100" i="2" s="1"/>
  <c r="L84" i="2"/>
  <c r="N84" i="2" s="1"/>
  <c r="L68" i="2"/>
  <c r="N68" i="2" s="1"/>
  <c r="L52" i="2"/>
  <c r="N52" i="2" s="1"/>
  <c r="L36" i="2"/>
  <c r="N36" i="2" s="1"/>
  <c r="L20" i="2"/>
  <c r="L128" i="2"/>
  <c r="N128" i="2" s="1"/>
  <c r="L112" i="2"/>
  <c r="N112" i="2" s="1"/>
  <c r="L96" i="2"/>
  <c r="N96" i="2" s="1"/>
  <c r="L80" i="2"/>
  <c r="N80" i="2" s="1"/>
  <c r="L64" i="2"/>
  <c r="N64" i="2" s="1"/>
  <c r="L48" i="2"/>
  <c r="N48" i="2" s="1"/>
  <c r="L32" i="2"/>
  <c r="N32" i="2" s="1"/>
  <c r="L124" i="2"/>
  <c r="N124" i="2" s="1"/>
  <c r="L108" i="2"/>
  <c r="N108" i="2" s="1"/>
  <c r="L92" i="2"/>
  <c r="N92" i="2" s="1"/>
  <c r="L76" i="2"/>
  <c r="N76" i="2" s="1"/>
  <c r="L60" i="2"/>
  <c r="N60" i="2" s="1"/>
  <c r="L44" i="2"/>
  <c r="L28" i="2"/>
  <c r="N28" i="2" s="1"/>
  <c r="L131" i="2"/>
  <c r="L127" i="2"/>
  <c r="N127" i="2" s="1"/>
  <c r="L123" i="2"/>
  <c r="N123" i="2" s="1"/>
  <c r="L119" i="2"/>
  <c r="N119" i="2" s="1"/>
  <c r="L115" i="2"/>
  <c r="N115" i="2" s="1"/>
  <c r="L111" i="2"/>
  <c r="N111" i="2" s="1"/>
  <c r="L107" i="2"/>
  <c r="N107" i="2" s="1"/>
  <c r="L103" i="2"/>
  <c r="N103" i="2" s="1"/>
  <c r="L99" i="2"/>
  <c r="N99" i="2" s="1"/>
  <c r="L95" i="2"/>
  <c r="N95" i="2" s="1"/>
  <c r="L91" i="2"/>
  <c r="N91" i="2" s="1"/>
  <c r="L87" i="2"/>
  <c r="N87" i="2" s="1"/>
  <c r="L83" i="2"/>
  <c r="N83" i="2" s="1"/>
  <c r="L79" i="2"/>
  <c r="N79" i="2" s="1"/>
  <c r="L75" i="2"/>
  <c r="N75" i="2" s="1"/>
  <c r="L71" i="2"/>
  <c r="N71" i="2" s="1"/>
  <c r="L67" i="2"/>
  <c r="N67" i="2" s="1"/>
  <c r="L63" i="2"/>
  <c r="N63" i="2" s="1"/>
  <c r="L59" i="2"/>
  <c r="N59" i="2" s="1"/>
  <c r="L55" i="2"/>
  <c r="L51" i="2"/>
  <c r="N51" i="2" s="1"/>
  <c r="L47" i="2"/>
  <c r="L43" i="2"/>
  <c r="N43" i="2" s="1"/>
  <c r="L39" i="2"/>
  <c r="N39" i="2" s="1"/>
  <c r="L35" i="2"/>
  <c r="N35" i="2" s="1"/>
  <c r="L31" i="2"/>
  <c r="N31" i="2" s="1"/>
  <c r="L27" i="2"/>
  <c r="N27" i="2" s="1"/>
  <c r="L23" i="2"/>
  <c r="N23" i="2" s="1"/>
  <c r="L130" i="2"/>
  <c r="L126" i="2"/>
  <c r="N126" i="2" s="1"/>
  <c r="L122" i="2"/>
  <c r="N122" i="2" s="1"/>
  <c r="L118" i="2"/>
  <c r="N118" i="2" s="1"/>
  <c r="L114" i="2"/>
  <c r="N114" i="2" s="1"/>
  <c r="L110" i="2"/>
  <c r="N110" i="2" s="1"/>
  <c r="L106" i="2"/>
  <c r="N106" i="2" s="1"/>
  <c r="L102" i="2"/>
  <c r="N102" i="2" s="1"/>
  <c r="L98" i="2"/>
  <c r="N98" i="2" s="1"/>
  <c r="L94" i="2"/>
  <c r="N94" i="2" s="1"/>
  <c r="L90" i="2"/>
  <c r="N90" i="2" s="1"/>
  <c r="L86" i="2"/>
  <c r="N86" i="2" s="1"/>
  <c r="L82" i="2"/>
  <c r="N82" i="2" s="1"/>
  <c r="L78" i="2"/>
  <c r="N78" i="2" s="1"/>
  <c r="L74" i="2"/>
  <c r="N74" i="2" s="1"/>
  <c r="L70" i="2"/>
  <c r="N70" i="2" s="1"/>
  <c r="L66" i="2"/>
  <c r="N66" i="2" s="1"/>
  <c r="L62" i="2"/>
  <c r="N62" i="2" s="1"/>
  <c r="L58" i="2"/>
  <c r="N58" i="2" s="1"/>
  <c r="L54" i="2"/>
  <c r="N54" i="2" s="1"/>
  <c r="L50" i="2"/>
  <c r="N50" i="2" s="1"/>
  <c r="L46" i="2"/>
  <c r="N46" i="2" s="1"/>
  <c r="L42" i="2"/>
  <c r="N42" i="2" s="1"/>
  <c r="L38" i="2"/>
  <c r="N38" i="2" s="1"/>
  <c r="L34" i="2"/>
  <c r="N34" i="2" s="1"/>
  <c r="L30" i="2"/>
  <c r="N30" i="2" s="1"/>
  <c r="L26" i="2"/>
  <c r="N26" i="2" s="1"/>
  <c r="L22" i="2"/>
  <c r="N22" i="2" s="1"/>
  <c r="L129" i="2"/>
  <c r="N129" i="2" s="1"/>
  <c r="L125" i="2"/>
  <c r="N125" i="2" s="1"/>
  <c r="L121" i="2"/>
  <c r="N121" i="2" s="1"/>
  <c r="L117" i="2"/>
  <c r="N117" i="2" s="1"/>
  <c r="L113" i="2"/>
  <c r="N113" i="2" s="1"/>
  <c r="L109" i="2"/>
  <c r="N109" i="2" s="1"/>
  <c r="L105" i="2"/>
  <c r="N105" i="2" s="1"/>
  <c r="L101" i="2"/>
  <c r="N101" i="2" s="1"/>
  <c r="L97" i="2"/>
  <c r="N97" i="2" s="1"/>
  <c r="L93" i="2"/>
  <c r="N93" i="2" s="1"/>
  <c r="L89" i="2"/>
  <c r="N89" i="2" s="1"/>
  <c r="L85" i="2"/>
  <c r="N85" i="2" s="1"/>
  <c r="L81" i="2"/>
  <c r="N81" i="2" s="1"/>
  <c r="L77" i="2"/>
  <c r="N77" i="2" s="1"/>
  <c r="L73" i="2"/>
  <c r="N73" i="2" s="1"/>
  <c r="L69" i="2"/>
  <c r="N69" i="2" s="1"/>
  <c r="L65" i="2"/>
  <c r="N65" i="2" s="1"/>
  <c r="L61" i="2"/>
  <c r="N61" i="2" s="1"/>
  <c r="L57" i="2"/>
  <c r="N57" i="2" s="1"/>
  <c r="L53" i="2"/>
  <c r="N53" i="2" s="1"/>
  <c r="L49" i="2"/>
  <c r="N49" i="2" s="1"/>
  <c r="L45" i="2"/>
  <c r="L41" i="2"/>
  <c r="N41" i="2" s="1"/>
  <c r="L37" i="2"/>
  <c r="N37" i="2" s="1"/>
  <c r="L33" i="2"/>
  <c r="L29" i="2"/>
  <c r="N29" i="2" s="1"/>
  <c r="L25" i="2"/>
  <c r="N25" i="2" s="1"/>
  <c r="L21" i="2"/>
  <c r="N21" i="2" s="1"/>
  <c r="I33" i="2"/>
  <c r="I44" i="2"/>
  <c r="I55" i="2"/>
  <c r="I45" i="2"/>
  <c r="I28" i="4" l="1"/>
  <c r="N55" i="2"/>
  <c r="N44" i="2"/>
  <c r="N45" i="2"/>
  <c r="N33" i="2"/>
  <c r="O29" i="4"/>
  <c r="H29" i="4"/>
  <c r="M133" i="2"/>
  <c r="N40" i="2"/>
  <c r="P31" i="4"/>
  <c r="J30" i="4"/>
  <c r="L133" i="2"/>
  <c r="J133" i="2"/>
  <c r="I29" i="4" l="1"/>
  <c r="M29" i="4"/>
  <c r="O30" i="4"/>
  <c r="H30" i="4"/>
  <c r="L30" i="4" s="1"/>
  <c r="P32" i="4"/>
  <c r="J31" i="4"/>
  <c r="I130" i="2"/>
  <c r="N130" i="2" s="1"/>
  <c r="I30" i="4" l="1"/>
  <c r="O31" i="4"/>
  <c r="H31" i="4"/>
  <c r="J32" i="4"/>
  <c r="P33" i="4"/>
  <c r="N49" i="1"/>
  <c r="I31" i="4" l="1"/>
  <c r="O32" i="4"/>
  <c r="H32" i="4"/>
  <c r="J33" i="4"/>
  <c r="P34" i="4"/>
  <c r="M49" i="1"/>
  <c r="L54" i="1"/>
  <c r="I32" i="4" l="1"/>
  <c r="M32" i="4"/>
  <c r="O33" i="4"/>
  <c r="H33" i="4"/>
  <c r="J34" i="4"/>
  <c r="P35" i="4"/>
  <c r="D92" i="1"/>
  <c r="I33" i="4" l="1"/>
  <c r="M33" i="4"/>
  <c r="O34" i="4"/>
  <c r="H34" i="4"/>
  <c r="J35" i="4"/>
  <c r="P36" i="4"/>
  <c r="B105" i="1"/>
  <c r="E92" i="1"/>
  <c r="J92" i="1"/>
  <c r="I34" i="4" l="1"/>
  <c r="O35" i="4"/>
  <c r="H35" i="4"/>
  <c r="J36" i="4"/>
  <c r="P37" i="4"/>
  <c r="L92" i="1"/>
  <c r="M92" i="1" s="1"/>
  <c r="I35" i="4" l="1"/>
  <c r="M35" i="4"/>
  <c r="O36" i="4"/>
  <c r="H36" i="4"/>
  <c r="L36" i="4" s="1"/>
  <c r="J37" i="4"/>
  <c r="P38" i="4"/>
  <c r="E28" i="1"/>
  <c r="I36" i="4" l="1"/>
  <c r="O37" i="4"/>
  <c r="H37" i="4"/>
  <c r="J38" i="4"/>
  <c r="P39" i="4"/>
  <c r="K54" i="1"/>
  <c r="N54" i="1" s="1"/>
  <c r="I37" i="4" l="1"/>
  <c r="O38" i="4"/>
  <c r="H38" i="4"/>
  <c r="L38" i="4" s="1"/>
  <c r="J39" i="4"/>
  <c r="P40" i="4"/>
  <c r="M54" i="1"/>
  <c r="I38" i="4" l="1"/>
  <c r="O39" i="4"/>
  <c r="H39" i="4"/>
  <c r="J40" i="4"/>
  <c r="P41" i="4"/>
  <c r="J55" i="1"/>
  <c r="E55" i="1"/>
  <c r="J76" i="1"/>
  <c r="E76" i="1"/>
  <c r="E73" i="1"/>
  <c r="J73" i="1"/>
  <c r="J66" i="1"/>
  <c r="K66" i="1" s="1"/>
  <c r="I39" i="4" l="1"/>
  <c r="O40" i="4"/>
  <c r="H40" i="4"/>
  <c r="J41" i="4"/>
  <c r="P42" i="4"/>
  <c r="K55" i="1"/>
  <c r="L55" i="1" s="1"/>
  <c r="K76" i="1"/>
  <c r="K73" i="1"/>
  <c r="I40" i="4" l="1"/>
  <c r="O41" i="4"/>
  <c r="H41" i="4"/>
  <c r="J42" i="4"/>
  <c r="P43" i="4"/>
  <c r="J27" i="1"/>
  <c r="H27" i="1"/>
  <c r="G27" i="1"/>
  <c r="F27" i="1"/>
  <c r="E27" i="1"/>
  <c r="I27" i="1"/>
  <c r="M55" i="1"/>
  <c r="L66" i="1"/>
  <c r="L76" i="1"/>
  <c r="L73" i="1"/>
  <c r="B109" i="1"/>
  <c r="I80" i="1" l="1"/>
  <c r="R12" i="2" s="1"/>
  <c r="H80" i="1"/>
  <c r="R11" i="2" s="1"/>
  <c r="J80" i="1"/>
  <c r="R13" i="2" s="1"/>
  <c r="F80" i="1"/>
  <c r="R9" i="2" s="1"/>
  <c r="G80" i="1"/>
  <c r="R10" i="2" s="1"/>
  <c r="I41" i="4"/>
  <c r="L41" i="4"/>
  <c r="O42" i="4"/>
  <c r="H42" i="4"/>
  <c r="L42" i="4" s="1"/>
  <c r="J43" i="4"/>
  <c r="P44" i="4"/>
  <c r="E30" i="1"/>
  <c r="K27" i="1"/>
  <c r="L27" i="1" s="1"/>
  <c r="E45" i="1"/>
  <c r="K30" i="1" l="1"/>
  <c r="L30" i="1" s="1"/>
  <c r="E80" i="1"/>
  <c r="K80" i="1" s="1"/>
  <c r="L80" i="1" s="1"/>
  <c r="I42" i="4"/>
  <c r="O43" i="4"/>
  <c r="H43" i="4"/>
  <c r="L43" i="4" s="1"/>
  <c r="J44" i="4"/>
  <c r="P45" i="4"/>
  <c r="B96" i="1"/>
  <c r="B104" i="1" s="1"/>
  <c r="K45" i="1"/>
  <c r="L45" i="1" s="1"/>
  <c r="B95" i="1"/>
  <c r="I43" i="4" l="1"/>
  <c r="O44" i="4"/>
  <c r="H44" i="4"/>
  <c r="L44" i="4" s="1"/>
  <c r="J45" i="4"/>
  <c r="P46" i="4"/>
  <c r="Q150" i="2"/>
  <c r="I44" i="4" l="1"/>
  <c r="O45" i="4"/>
  <c r="H45" i="4"/>
  <c r="J46" i="4"/>
  <c r="P47" i="4"/>
  <c r="L134" i="2"/>
  <c r="B108" i="1"/>
  <c r="I45" i="4" l="1"/>
  <c r="M45" i="4"/>
  <c r="O46" i="4"/>
  <c r="H46" i="4"/>
  <c r="J47" i="4"/>
  <c r="P48" i="4"/>
  <c r="O21" i="2"/>
  <c r="O26" i="2"/>
  <c r="O30" i="2"/>
  <c r="O43" i="2"/>
  <c r="O51" i="2"/>
  <c r="O55" i="2"/>
  <c r="O59" i="2"/>
  <c r="O63" i="2"/>
  <c r="O71" i="2"/>
  <c r="O75" i="2"/>
  <c r="O79" i="2"/>
  <c r="O84" i="2"/>
  <c r="O89" i="2"/>
  <c r="O93" i="2"/>
  <c r="O97" i="2"/>
  <c r="O105" i="2"/>
  <c r="O109" i="2"/>
  <c r="O113" i="2"/>
  <c r="O117" i="2"/>
  <c r="O121" i="2"/>
  <c r="O129" i="2"/>
  <c r="O23" i="2"/>
  <c r="O27" i="2"/>
  <c r="O31" i="2"/>
  <c r="O36" i="2"/>
  <c r="O40" i="2"/>
  <c r="O44" i="2"/>
  <c r="O48" i="2"/>
  <c r="O52" i="2"/>
  <c r="O56" i="2"/>
  <c r="O60" i="2"/>
  <c r="O64" i="2"/>
  <c r="O68" i="2"/>
  <c r="O72" i="2"/>
  <c r="O76" i="2"/>
  <c r="O81" i="2"/>
  <c r="O85" i="2"/>
  <c r="O90" i="2"/>
  <c r="O94" i="2"/>
  <c r="O98" i="2"/>
  <c r="O102" i="2"/>
  <c r="O106" i="2"/>
  <c r="O110" i="2"/>
  <c r="O114" i="2"/>
  <c r="O118" i="2"/>
  <c r="O122" i="2"/>
  <c r="O126" i="2"/>
  <c r="O130" i="2"/>
  <c r="O19" i="2"/>
  <c r="O24" i="2"/>
  <c r="O28" i="2"/>
  <c r="O32" i="2"/>
  <c r="O37" i="2"/>
  <c r="O41" i="2"/>
  <c r="O45" i="2"/>
  <c r="O49" i="2"/>
  <c r="O53" i="2"/>
  <c r="O57" i="2"/>
  <c r="O61" i="2"/>
  <c r="O65" i="2"/>
  <c r="O69" i="2"/>
  <c r="O73" i="2"/>
  <c r="O77" i="2"/>
  <c r="O82" i="2"/>
  <c r="O86" i="2"/>
  <c r="O91" i="2"/>
  <c r="O95" i="2"/>
  <c r="O99" i="2"/>
  <c r="O103" i="2"/>
  <c r="O107" i="2"/>
  <c r="O111" i="2"/>
  <c r="O115" i="2"/>
  <c r="O119" i="2"/>
  <c r="O25" i="2"/>
  <c r="O42" i="2"/>
  <c r="O58" i="2"/>
  <c r="O74" i="2"/>
  <c r="O92" i="2"/>
  <c r="O108" i="2"/>
  <c r="O123" i="2"/>
  <c r="O29" i="2"/>
  <c r="O46" i="2"/>
  <c r="O62" i="2"/>
  <c r="O78" i="2"/>
  <c r="O96" i="2"/>
  <c r="O112" i="2"/>
  <c r="O124" i="2"/>
  <c r="O50" i="2"/>
  <c r="O66" i="2"/>
  <c r="O83" i="2"/>
  <c r="O100" i="2"/>
  <c r="O116" i="2"/>
  <c r="O127" i="2"/>
  <c r="O38" i="2"/>
  <c r="O54" i="2"/>
  <c r="O70" i="2"/>
  <c r="O88" i="2"/>
  <c r="O104" i="2"/>
  <c r="O120" i="2"/>
  <c r="O128" i="2"/>
  <c r="O33" i="2"/>
  <c r="O125" i="2"/>
  <c r="O34" i="2"/>
  <c r="O35" i="2"/>
  <c r="O80" i="2"/>
  <c r="O67" i="2"/>
  <c r="O87" i="2"/>
  <c r="O22" i="2"/>
  <c r="O101" i="2"/>
  <c r="O39" i="2"/>
  <c r="I46" i="4" l="1"/>
  <c r="L46" i="4"/>
  <c r="O47" i="4"/>
  <c r="H47" i="4"/>
  <c r="J48" i="4"/>
  <c r="P49" i="4"/>
  <c r="I131" i="2"/>
  <c r="I47" i="4" l="1"/>
  <c r="N131" i="2"/>
  <c r="O131" i="2" s="1"/>
  <c r="O48" i="4"/>
  <c r="H48" i="4"/>
  <c r="L48" i="4" s="1"/>
  <c r="J49" i="4"/>
  <c r="P50" i="4"/>
  <c r="I17" i="2"/>
  <c r="N17" i="2" s="1"/>
  <c r="I15" i="2"/>
  <c r="N15" i="2" s="1"/>
  <c r="I18" i="2"/>
  <c r="N18" i="2" s="1"/>
  <c r="I14" i="2"/>
  <c r="N14" i="2" s="1"/>
  <c r="I48" i="4" l="1"/>
  <c r="O49" i="4"/>
  <c r="H49" i="4"/>
  <c r="L49" i="4" s="1"/>
  <c r="J50" i="4"/>
  <c r="P51" i="4"/>
  <c r="I16" i="2"/>
  <c r="O14" i="2"/>
  <c r="O18" i="2"/>
  <c r="O17" i="2"/>
  <c r="I49" i="4" l="1"/>
  <c r="N16" i="2"/>
  <c r="O16" i="2" s="1"/>
  <c r="O50" i="4"/>
  <c r="H50" i="4"/>
  <c r="J51" i="4"/>
  <c r="P52" i="4"/>
  <c r="O15" i="2"/>
  <c r="I50" i="4" l="1"/>
  <c r="M50" i="4"/>
  <c r="O51" i="4"/>
  <c r="H51" i="4"/>
  <c r="L51" i="4" s="1"/>
  <c r="J52" i="4"/>
  <c r="P53" i="4"/>
  <c r="M80" i="1"/>
  <c r="I20" i="2"/>
  <c r="N20" i="2" s="1"/>
  <c r="I51" i="4" l="1"/>
  <c r="O52" i="4"/>
  <c r="H52" i="4"/>
  <c r="J53" i="4"/>
  <c r="P54" i="4"/>
  <c r="O20" i="2"/>
  <c r="G133" i="2"/>
  <c r="H133" i="2"/>
  <c r="B101" i="1" s="1"/>
  <c r="I52" i="4" l="1"/>
  <c r="O53" i="4"/>
  <c r="H53" i="4"/>
  <c r="L53" i="4" s="1"/>
  <c r="J54" i="4"/>
  <c r="P55" i="4"/>
  <c r="I47" i="2"/>
  <c r="N47" i="2" s="1"/>
  <c r="I53" i="4" l="1"/>
  <c r="O54" i="4"/>
  <c r="H54" i="4"/>
  <c r="L54" i="4" s="1"/>
  <c r="J55" i="4"/>
  <c r="P56" i="4"/>
  <c r="N133" i="2"/>
  <c r="O47" i="2"/>
  <c r="O133" i="2" s="1"/>
  <c r="I54" i="4" l="1"/>
  <c r="O55" i="4"/>
  <c r="H55" i="4"/>
  <c r="L55" i="4" s="1"/>
  <c r="J56" i="4"/>
  <c r="P57" i="4"/>
  <c r="I55" i="4" l="1"/>
  <c r="O56" i="4"/>
  <c r="H56" i="4"/>
  <c r="L56" i="4" s="1"/>
  <c r="J57" i="4"/>
  <c r="P58" i="4"/>
  <c r="I56" i="4" l="1"/>
  <c r="O57" i="4"/>
  <c r="H57" i="4"/>
  <c r="J58" i="4"/>
  <c r="P59" i="4"/>
  <c r="I57" i="4" l="1"/>
  <c r="M82" i="4"/>
  <c r="O58" i="4"/>
  <c r="H58" i="4"/>
  <c r="J59" i="4"/>
  <c r="P60" i="4"/>
  <c r="I58" i="4" l="1"/>
  <c r="O59" i="4"/>
  <c r="H59" i="4"/>
  <c r="J60" i="4"/>
  <c r="P61" i="4"/>
  <c r="J61" i="4" s="1"/>
  <c r="I59" i="4" l="1"/>
  <c r="M59" i="4"/>
  <c r="O60" i="4"/>
  <c r="H60" i="4"/>
  <c r="P62" i="4"/>
  <c r="I60" i="4" l="1"/>
  <c r="L60" i="4"/>
  <c r="O61" i="4"/>
  <c r="H61" i="4"/>
  <c r="J62" i="4"/>
  <c r="P63" i="4"/>
  <c r="I61" i="4" l="1"/>
  <c r="O62" i="4"/>
  <c r="H62" i="4"/>
  <c r="J63" i="4"/>
  <c r="P64" i="4"/>
  <c r="I62" i="4" l="1"/>
  <c r="O63" i="4"/>
  <c r="H63" i="4"/>
  <c r="J64" i="4"/>
  <c r="P65" i="4"/>
  <c r="I63" i="4" l="1"/>
  <c r="O64" i="4"/>
  <c r="H64" i="4"/>
  <c r="L64" i="4" s="1"/>
  <c r="J65" i="4"/>
  <c r="P66" i="4"/>
  <c r="I64" i="4" l="1"/>
  <c r="O65" i="4"/>
  <c r="H65" i="4"/>
  <c r="J66" i="4"/>
  <c r="P67" i="4"/>
  <c r="I65" i="4" l="1"/>
  <c r="M65" i="4"/>
  <c r="O66" i="4"/>
  <c r="H66" i="4"/>
  <c r="L66" i="4" s="1"/>
  <c r="J67" i="4"/>
  <c r="P68" i="4"/>
  <c r="I66" i="4" l="1"/>
  <c r="O67" i="4"/>
  <c r="H67" i="4"/>
  <c r="L67" i="4" s="1"/>
  <c r="O68" i="4"/>
  <c r="P69" i="4"/>
  <c r="I67" i="4" l="1"/>
  <c r="J69" i="4"/>
  <c r="P70" i="4"/>
  <c r="O69" i="4" l="1"/>
  <c r="H69" i="4"/>
  <c r="J70" i="4"/>
  <c r="P71" i="4"/>
  <c r="I69" i="4" l="1"/>
  <c r="M69" i="4"/>
  <c r="O70" i="4"/>
  <c r="H70" i="4"/>
  <c r="J71" i="4"/>
  <c r="P72" i="4"/>
  <c r="I70" i="4" l="1"/>
  <c r="O71" i="4"/>
  <c r="H71" i="4"/>
  <c r="J72" i="4"/>
  <c r="P73" i="4"/>
  <c r="I71" i="4" l="1"/>
  <c r="O72" i="4"/>
  <c r="H72" i="4"/>
  <c r="L72" i="4" s="1"/>
  <c r="J73" i="4"/>
  <c r="P74" i="4"/>
  <c r="I72" i="4" l="1"/>
  <c r="O73" i="4"/>
  <c r="H73" i="4"/>
  <c r="J74" i="4"/>
  <c r="P75" i="4"/>
  <c r="I73" i="4" l="1"/>
  <c r="M73" i="4"/>
  <c r="O74" i="4"/>
  <c r="H74" i="4"/>
  <c r="J75" i="4"/>
  <c r="P76" i="4"/>
  <c r="I74" i="4" l="1"/>
  <c r="O75" i="4"/>
  <c r="H75" i="4"/>
  <c r="J76" i="4"/>
  <c r="P77" i="4"/>
  <c r="I75" i="4" l="1"/>
  <c r="O76" i="4"/>
  <c r="H76" i="4"/>
  <c r="J77" i="4"/>
  <c r="P78" i="4"/>
  <c r="I76" i="4" l="1"/>
  <c r="L76" i="4"/>
  <c r="O77" i="4"/>
  <c r="H77" i="4"/>
  <c r="J78" i="4"/>
  <c r="P79" i="4"/>
  <c r="I77" i="4" l="1"/>
  <c r="O78" i="4"/>
  <c r="H78" i="4"/>
  <c r="L78" i="4" s="1"/>
  <c r="J79" i="4"/>
  <c r="P80" i="4"/>
  <c r="J80" i="4" s="1"/>
  <c r="I78" i="4" l="1"/>
  <c r="O79" i="4"/>
  <c r="H79" i="4"/>
  <c r="L79" i="4" s="1"/>
  <c r="L82" i="4" s="1"/>
  <c r="B102" i="1" s="1"/>
  <c r="B112" i="1" s="1"/>
  <c r="B125" i="1" s="1"/>
  <c r="O80" i="4"/>
  <c r="O82" i="4" s="1"/>
  <c r="H80" i="4"/>
  <c r="I79" i="4" l="1"/>
  <c r="I80" i="4"/>
  <c r="M80" i="4"/>
</calcChain>
</file>

<file path=xl/sharedStrings.xml><?xml version="1.0" encoding="utf-8"?>
<sst xmlns="http://schemas.openxmlformats.org/spreadsheetml/2006/main" count="747" uniqueCount="413">
  <si>
    <t>LIQUIDACION DE EXPENSAS</t>
  </si>
  <si>
    <t>APORTES Y CONTRIBUCIONES</t>
  </si>
  <si>
    <t>TOTAL Aportes y Contribuciones - Sindicato</t>
  </si>
  <si>
    <t>ABONOS Y SERVICIOS</t>
  </si>
  <si>
    <t>TOTAL ABONOS Y SERVICIOS</t>
  </si>
  <si>
    <t xml:space="preserve">GASTOS DE ADMINISTRACION </t>
  </si>
  <si>
    <t>RC Adm Cons. CANCIANI, Carolina</t>
  </si>
  <si>
    <t>TOTAL GASTOS DE ADMINISTRACION</t>
  </si>
  <si>
    <t>Piso</t>
  </si>
  <si>
    <t>Dpto.</t>
  </si>
  <si>
    <t>UF</t>
  </si>
  <si>
    <t>Propietario</t>
  </si>
  <si>
    <t xml:space="preserve">Saldo </t>
  </si>
  <si>
    <t xml:space="preserve">Ingreso </t>
  </si>
  <si>
    <t>SALDO</t>
  </si>
  <si>
    <t>Expensas extraor.</t>
  </si>
  <si>
    <t>TOTAL</t>
  </si>
  <si>
    <t>Expensas ord</t>
  </si>
  <si>
    <t>GASTOS ORDINARIOS UNIDADES FUNCIONALES:</t>
  </si>
  <si>
    <t>CAJA EFECTIVO $ (pesos)</t>
  </si>
  <si>
    <t xml:space="preserve">Saldo anterior </t>
  </si>
  <si>
    <t>Ingresos</t>
  </si>
  <si>
    <t xml:space="preserve">  </t>
  </si>
  <si>
    <t>Saldo al cierre</t>
  </si>
  <si>
    <t>COC</t>
  </si>
  <si>
    <t xml:space="preserve"> (%)</t>
  </si>
  <si>
    <t>Gastos bancarios</t>
  </si>
  <si>
    <t>Mantenimiento de cuenta</t>
  </si>
  <si>
    <t xml:space="preserve">TOTAL ORDINARIOS </t>
  </si>
  <si>
    <t>GASTOS ORDINARIOS + PREVISION :</t>
  </si>
  <si>
    <t>Dinero ingreso SUM</t>
  </si>
  <si>
    <t>GASTOS ORDINARIOS SIN PREVISION:</t>
  </si>
  <si>
    <t>GASTOS EXTRAORDINARIOS</t>
  </si>
  <si>
    <t>Egresos Extraordinarios</t>
  </si>
  <si>
    <t>Egresos Ordinarios</t>
  </si>
  <si>
    <t>MP:1148</t>
  </si>
  <si>
    <t xml:space="preserve">TOTAL </t>
  </si>
  <si>
    <t>Gastos particulares</t>
  </si>
  <si>
    <t>SUM/ GASTOS PART</t>
  </si>
  <si>
    <t>SE GASTO:</t>
  </si>
  <si>
    <t>SE PRORRATEA EN LAS UF:</t>
  </si>
  <si>
    <t>2ºA</t>
  </si>
  <si>
    <t>2ºB</t>
  </si>
  <si>
    <t>2ºC</t>
  </si>
  <si>
    <t>2ºD</t>
  </si>
  <si>
    <t>2ºE</t>
  </si>
  <si>
    <t>2ºF</t>
  </si>
  <si>
    <t>3ºA</t>
  </si>
  <si>
    <t>3ºB</t>
  </si>
  <si>
    <t>3ºC</t>
  </si>
  <si>
    <t>3ºD</t>
  </si>
  <si>
    <t>3ºE</t>
  </si>
  <si>
    <t>3ºF</t>
  </si>
  <si>
    <t>4ºA</t>
  </si>
  <si>
    <t>4ºB</t>
  </si>
  <si>
    <t>4ºC</t>
  </si>
  <si>
    <t>4ºD</t>
  </si>
  <si>
    <t>4ºE</t>
  </si>
  <si>
    <t>4ºF</t>
  </si>
  <si>
    <t>5ºA</t>
  </si>
  <si>
    <t>5ºB</t>
  </si>
  <si>
    <t>5ºC</t>
  </si>
  <si>
    <t>5ºD</t>
  </si>
  <si>
    <t>5ºE</t>
  </si>
  <si>
    <t>5ºF</t>
  </si>
  <si>
    <t>6ºA</t>
  </si>
  <si>
    <t>6ºB</t>
  </si>
  <si>
    <t>6ºC</t>
  </si>
  <si>
    <t>6ºD</t>
  </si>
  <si>
    <t>6ºE</t>
  </si>
  <si>
    <t>6ºF</t>
  </si>
  <si>
    <t>7ºA</t>
  </si>
  <si>
    <t>7ºB</t>
  </si>
  <si>
    <t>7ºC</t>
  </si>
  <si>
    <t>7ºD</t>
  </si>
  <si>
    <t>7ºE</t>
  </si>
  <si>
    <t>7ºF</t>
  </si>
  <si>
    <t>8ºA</t>
  </si>
  <si>
    <t>8ºB</t>
  </si>
  <si>
    <t>8ºC</t>
  </si>
  <si>
    <t>8ºD</t>
  </si>
  <si>
    <t>8ºE</t>
  </si>
  <si>
    <t>8ºF</t>
  </si>
  <si>
    <t>9ºA</t>
  </si>
  <si>
    <t>9ºB</t>
  </si>
  <si>
    <t>9ºC</t>
  </si>
  <si>
    <t>9ºD</t>
  </si>
  <si>
    <t>9ºE</t>
  </si>
  <si>
    <t>9ºF</t>
  </si>
  <si>
    <t>10ºA</t>
  </si>
  <si>
    <t>10ºB</t>
  </si>
  <si>
    <t>10ºC</t>
  </si>
  <si>
    <t>10ºD</t>
  </si>
  <si>
    <t>10ºE</t>
  </si>
  <si>
    <t>10ºF</t>
  </si>
  <si>
    <t>11ºA/B</t>
  </si>
  <si>
    <t>11ºC</t>
  </si>
  <si>
    <t>11ºD</t>
  </si>
  <si>
    <t>11ºE</t>
  </si>
  <si>
    <t>11ºF</t>
  </si>
  <si>
    <t>12ºA/B</t>
  </si>
  <si>
    <t>12ºC</t>
  </si>
  <si>
    <t>12ºD</t>
  </si>
  <si>
    <t>12ºE</t>
  </si>
  <si>
    <t>12ºF</t>
  </si>
  <si>
    <t>13ºA/B</t>
  </si>
  <si>
    <t>13ºC</t>
  </si>
  <si>
    <t>13ºD</t>
  </si>
  <si>
    <t>13ºE</t>
  </si>
  <si>
    <t>13ºF</t>
  </si>
  <si>
    <t>LOC 1</t>
  </si>
  <si>
    <t>LOC 3</t>
  </si>
  <si>
    <t>LOC 4</t>
  </si>
  <si>
    <t>LOC 5</t>
  </si>
  <si>
    <t>LOC 2</t>
  </si>
  <si>
    <t>conf sup</t>
  </si>
  <si>
    <t>Sr propietario</t>
  </si>
  <si>
    <t>3 amb</t>
  </si>
  <si>
    <t>1 amb</t>
  </si>
  <si>
    <t>2 amb</t>
  </si>
  <si>
    <t>4 amb</t>
  </si>
  <si>
    <t>COCH 1</t>
  </si>
  <si>
    <t>COCH 2</t>
  </si>
  <si>
    <t>COCH 3</t>
  </si>
  <si>
    <t>COCH 4</t>
  </si>
  <si>
    <t>COCH 5</t>
  </si>
  <si>
    <t>COCH 6</t>
  </si>
  <si>
    <t>COCH 7</t>
  </si>
  <si>
    <t>COCH 8</t>
  </si>
  <si>
    <t>COCH 9</t>
  </si>
  <si>
    <t>COCH 10</t>
  </si>
  <si>
    <t>COCH 11</t>
  </si>
  <si>
    <t>COCH 12</t>
  </si>
  <si>
    <t>COCH 13</t>
  </si>
  <si>
    <t>COCH 14</t>
  </si>
  <si>
    <t>COCH 15</t>
  </si>
  <si>
    <t>COCH 16</t>
  </si>
  <si>
    <t>COCH 17</t>
  </si>
  <si>
    <t>COCH 18</t>
  </si>
  <si>
    <t>COCH 19</t>
  </si>
  <si>
    <t>COCH 20</t>
  </si>
  <si>
    <t>COCH 21</t>
  </si>
  <si>
    <t>COCH 22</t>
  </si>
  <si>
    <t>COCH 23</t>
  </si>
  <si>
    <t>COCH 24</t>
  </si>
  <si>
    <t>COCH 25</t>
  </si>
  <si>
    <t>COCH 26</t>
  </si>
  <si>
    <t>COCH 27</t>
  </si>
  <si>
    <t>COCH 28</t>
  </si>
  <si>
    <t>COCH 29</t>
  </si>
  <si>
    <t>COCH 30</t>
  </si>
  <si>
    <t>COCH 31</t>
  </si>
  <si>
    <t>COCH 32</t>
  </si>
  <si>
    <t>COCH 33</t>
  </si>
  <si>
    <t>COCH 34</t>
  </si>
  <si>
    <t>COCH 35</t>
  </si>
  <si>
    <t>COCH 36</t>
  </si>
  <si>
    <t>COCH 37</t>
  </si>
  <si>
    <t>COCH 38</t>
  </si>
  <si>
    <t>COCH 39</t>
  </si>
  <si>
    <t>COCH 40</t>
  </si>
  <si>
    <t>COCH 41</t>
  </si>
  <si>
    <t>COCH 42</t>
  </si>
  <si>
    <t>COCH 43</t>
  </si>
  <si>
    <t>COCH 44</t>
  </si>
  <si>
    <t>UF 93,20%</t>
  </si>
  <si>
    <t>LOCAL 1 (1,08%)</t>
  </si>
  <si>
    <t>LOCAL 2 (1,28%)</t>
  </si>
  <si>
    <t>LOCAL 3 (1,21%)</t>
  </si>
  <si>
    <t>LOCAL 4 (1,49%)</t>
  </si>
  <si>
    <t>LOCAL 5 (1,74%)</t>
  </si>
  <si>
    <t>Fernandez, Cristian</t>
  </si>
  <si>
    <t>Cordero, Leandro Emanuel - Orona, Victoria</t>
  </si>
  <si>
    <t>Franco, Lucas Fabián</t>
  </si>
  <si>
    <t>Martinez, Diego</t>
  </si>
  <si>
    <t>Rodriguez, Carlos Alberto Miguel</t>
  </si>
  <si>
    <t xml:space="preserve">Ferraro, José </t>
  </si>
  <si>
    <t>Dieci, Matias Orlando</t>
  </si>
  <si>
    <t xml:space="preserve">Ferraro, Jose </t>
  </si>
  <si>
    <t>Ayala, Roberto Adrian</t>
  </si>
  <si>
    <t>Barral, Carlos Daniel</t>
  </si>
  <si>
    <t>Osipowicz, Ariel Marcelo</t>
  </si>
  <si>
    <t>Chehab, Gabriel Adrian</t>
  </si>
  <si>
    <t>Di Mito, Vicente Argentino - Serantes, Mabel</t>
  </si>
  <si>
    <t>Morandi, Victoria Ayelen | Calvo, Luciano Ezequiel</t>
  </si>
  <si>
    <t>Grizak Ruben</t>
  </si>
  <si>
    <t>Nuñez Leonel - Corrieri Giuliana</t>
  </si>
  <si>
    <t>Mazzia Alexia</t>
  </si>
  <si>
    <t>Campelo, Mariano</t>
  </si>
  <si>
    <t>Paes, Yazmin Luciana</t>
  </si>
  <si>
    <t>Gonzalez Fedullo, Roxana y Valeria</t>
  </si>
  <si>
    <t xml:space="preserve">Puente, Matias </t>
  </si>
  <si>
    <t>Morvillo, Mariana Yanil</t>
  </si>
  <si>
    <t xml:space="preserve">Frontale, Federico Carlos | Celentano, Alejandra Verónica </t>
  </si>
  <si>
    <t>Argul, Sergio Walter - Taboada, María Paz</t>
  </si>
  <si>
    <t>Arias, Mariana Laura</t>
  </si>
  <si>
    <t>Fanjul, Alejandro Rubén Marcelo</t>
  </si>
  <si>
    <t>Franchino, Mauro</t>
  </si>
  <si>
    <t>Cerra, Antonio Osvaldo</t>
  </si>
  <si>
    <t>Rosales, Rubén Darío</t>
  </si>
  <si>
    <t xml:space="preserve">Puisys Guillermo Antonio </t>
  </si>
  <si>
    <t>Lange, Gustavo Daniel</t>
  </si>
  <si>
    <t>Espósito, Franco Ezequiel</t>
  </si>
  <si>
    <t xml:space="preserve">Lobato, Lorena - Vega, Maximiliano  </t>
  </si>
  <si>
    <t>Ramos, Sergio Eugenio</t>
  </si>
  <si>
    <t>Mosquera, Julio Rodolfo | Cuzzolino, Daniela Carol</t>
  </si>
  <si>
    <t>Silvestre Villarruel Eduardo</t>
  </si>
  <si>
    <t>Argúl, Adrián Norberto</t>
  </si>
  <si>
    <t>Lobato, Lorena - Vega, Maximiliano</t>
  </si>
  <si>
    <t>Luciano, Carmen Veronica - Rey, Javier Pablo</t>
  </si>
  <si>
    <t>Hernandez, Marisa Beatriz - Hernandez, Adrian Jose</t>
  </si>
  <si>
    <t>Morini, Micaela</t>
  </si>
  <si>
    <t>Armerding, Jorge</t>
  </si>
  <si>
    <t>Bilyj, Josefa Catalina</t>
  </si>
  <si>
    <t>Argentino, Javier Leonardo</t>
  </si>
  <si>
    <t>Scardigno, Gabriela Susana - Ripoll, Luis Alberto</t>
  </si>
  <si>
    <t xml:space="preserve">Quiñones, Carlos Eduardo </t>
  </si>
  <si>
    <t>Mosquera, José Elias</t>
  </si>
  <si>
    <t>Mesa, Mariano</t>
  </si>
  <si>
    <t>Leyes, Javier</t>
  </si>
  <si>
    <t>Dimito, Vicente Argentino - Cerantes , Mabel</t>
  </si>
  <si>
    <t>Fontale Federico Carlos - Celentano Alejandra Veronica</t>
  </si>
  <si>
    <t>Lobalo Lorena - Vega Maximiliano</t>
  </si>
  <si>
    <t xml:space="preserve">SEGUROS </t>
  </si>
  <si>
    <t>GASTOS VARIOS</t>
  </si>
  <si>
    <t>TOTAL GASTOS VARIOS</t>
  </si>
  <si>
    <t>TOTAL GASTOS BANCARIOS</t>
  </si>
  <si>
    <t>Federacion patronal - Poliza integral para consorcios nro. 2152393</t>
  </si>
  <si>
    <t>Aysa - Cuenta 249011</t>
  </si>
  <si>
    <t>Edesur - Cliente 01291636</t>
  </si>
  <si>
    <t>Telecentro - Zona coworking - Cliente 7725479</t>
  </si>
  <si>
    <t>IMPUESTOS</t>
  </si>
  <si>
    <t>TOTAL APORTES Y CONTRIBUCIONES</t>
  </si>
  <si>
    <t xml:space="preserve">TOTAL IMPUESTOS </t>
  </si>
  <si>
    <t>TSG - Partida 197229000</t>
  </si>
  <si>
    <t>COMBUSTIBLE PARA GRUPO ELECTROGENO</t>
  </si>
  <si>
    <t>LOCAL 1</t>
  </si>
  <si>
    <t>LOCAL 2</t>
  </si>
  <si>
    <t>LOCAL 3</t>
  </si>
  <si>
    <t>LOCAL 4</t>
  </si>
  <si>
    <t>LOCAL 5</t>
  </si>
  <si>
    <t>Ingreso</t>
  </si>
  <si>
    <t>Sr. Propietario</t>
  </si>
  <si>
    <t>el de sergio</t>
  </si>
  <si>
    <t>mariano hecimovic</t>
  </si>
  <si>
    <t>El monto que se prorratea entre las unidades funcionales resulta mayor al gasto efectivamente realizado. Esto se debe a que, al prorratear únicamente el monto gastado, no se logra recaudar el total necesario para cubrir el 100% de los gastos. La razón principal es que los locales no abonan estrictamente el porcentaje que les corresponde según la liquidación; en algunos casos, aportan solo el 6,8% de ciertos gastos y en otros no realizan abonos ya que segun reglamento, los mismos se encuentran excentos de abonar gastos de los cuales no participaran en el uso (ej: pileta). Por esta razón, es necesario prorratear un monto superior al gasto real, con el objetivo de que, al finalizar el período, se pueda recaudar en su totalidad el importe correspondiente a los gastos realizados.</t>
  </si>
  <si>
    <t>Importante para dueños o inquilinos de departamentos o coheras: Queremos recordarles una cuestión importante respecto a los pagos de expensas que ayuda a evitar errores en la imputación de los mismos. El sistema que utilizamos asigna centavos únicos a cada Unidad Funcional (UF), lo cual nos permite identificar automáticamente a qué unidad corresponde cada transferencia. Es decir, cada UF tiene un número específico de centavos que actúa como "identificador". Por ejemplo, si tu UF es la 45, el importe a abonar debería terminar en $...,45. Si tenés más de una unidad (por ejemplo, un departamento y una cochera), cada una tiene su propio código de centavos. En esos casos, te pedimos por favor que realices una transferencia por cada UF, respetando el importe con sus centavos correspondientes. Sabemos que a veces por comodidad se suele enviar todo junto en una sola transferencia, pero esto puede generar confusión o errores en la imputación automática. Realizar los pagos por separado nos permite asegurar que cada importe se asigne correctamente. Agradecemos muchísimo la colaboración para seguir manteniendo todo ordenado. Saludos cordiales.</t>
  </si>
  <si>
    <t>CUIT ADMINISTRACION: 27231256879</t>
  </si>
  <si>
    <t>TELEFONO: 11 5320-2676</t>
  </si>
  <si>
    <t>ADMINISTRADORA: CAROLINA CANCIANI MP:1148</t>
  </si>
  <si>
    <t xml:space="preserve">MAIL: elmiradorconsorcios@gmail.com
</t>
  </si>
  <si>
    <t>COCHERA 33</t>
  </si>
  <si>
    <t>Orsi, Jose Luis - Fernandez, Cristian Gabriel</t>
  </si>
  <si>
    <t>Inquilinos</t>
  </si>
  <si>
    <t>Balduzzi, Stella Maris</t>
  </si>
  <si>
    <t>Liria</t>
  </si>
  <si>
    <t>Christian</t>
  </si>
  <si>
    <t xml:space="preserve">Aylen </t>
  </si>
  <si>
    <t>Adrian</t>
  </si>
  <si>
    <t>Agustina</t>
  </si>
  <si>
    <t>Loschi Mantenimiento grupo electrogeno - Abono bimestral</t>
  </si>
  <si>
    <t>Metrogas - Cliente nro. 40000496339</t>
  </si>
  <si>
    <t>Metrogas - Cliente nro. 40000497007</t>
  </si>
  <si>
    <t>TOTAL A ABONAR 2DO VTO - DESDE EL</t>
  </si>
  <si>
    <t>TOTAL A ABONAR HASTA</t>
  </si>
  <si>
    <t>Ayala, Agustin</t>
  </si>
  <si>
    <t>alonso sabrina eugenia</t>
  </si>
  <si>
    <t xml:space="preserve"> Laura Quintas Perez</t>
  </si>
  <si>
    <t>Gazzaneo, Francisco</t>
  </si>
  <si>
    <t>Solleiro, Carolina Mabel</t>
  </si>
  <si>
    <t>Dallorso, Maria Ines - Dallorso, Ana Paula</t>
  </si>
  <si>
    <t>Matias Cuevas</t>
  </si>
  <si>
    <t>Santiago Rodriguez</t>
  </si>
  <si>
    <t>Lara</t>
  </si>
  <si>
    <t>Iara</t>
  </si>
  <si>
    <t>TRANSFERENCIAS SIN IDENTIFICAR</t>
  </si>
  <si>
    <t>Dinero sin identificar</t>
  </si>
  <si>
    <t xml:space="preserve">CBU: 0720039720000002171436 </t>
  </si>
  <si>
    <t>Banco Santander Rio.</t>
  </si>
  <si>
    <t>CTA CTE $   0039  - 21714/3    FIDEICOMISO 25 DE MAYO 837 LAN  30716676737</t>
  </si>
  <si>
    <t>Scardigno, Gabriela Susana - Ripoli, Luis Alberto</t>
  </si>
  <si>
    <t>COCHERA 31</t>
  </si>
  <si>
    <t>CECILIA DEL 5E</t>
  </si>
  <si>
    <t>Carolina Massa</t>
  </si>
  <si>
    <t>Gladys ojeda Britez - Exequiel alexis giuliani</t>
  </si>
  <si>
    <t>Walter Javier Dimiziunas</t>
  </si>
  <si>
    <t>Se recuerda a todos los propietarios que, en caso de producirse la venta o transferencia de una unidad funcional, es obligatorio informar a la Administración los datos de los nuevos titulares.
Dicha notificación resulta indispensable para actualizar los registros del consorcio, emitir correctamente las expensas y garantizar que toda comunicación formal llegue a quienes correspondan.
La información a presentar deberá incluir al menos:
* Nombre y apellido de los nuevos propietarios.
* Domicilio de contacto (en caso de ser distinto de la unidad funcional).
* Correo electrónico y/o teléfono de contacto.
* Copia de la escritura, acta notarial o documentación que acredite la transferencia.
Hasta tanto no se reciba la notificación formal, toda comunicación y responsabilidad respecto de la unidad seguirá dirigida al propietario anterior.</t>
  </si>
  <si>
    <t>Ruiz, Juana Del Valle</t>
  </si>
  <si>
    <t>Gaston Smith</t>
  </si>
  <si>
    <t>Julieta Damiano/Damiani</t>
  </si>
  <si>
    <t>Matias alejandro ezequiel</t>
  </si>
  <si>
    <t>IMPORTANTE: Quienes estan en violeta NO ha respetado los centavos al abonar. Para la proxima oportunidad, solicitamos que los respeten.</t>
  </si>
  <si>
    <t>Walter Gabriel Ledesma</t>
  </si>
  <si>
    <t>IMPORTANTE: Las personas marcadas en color naranja abonaron de forma incorrecta mediante Mercado Pago.
A partir de ahora (incluso desde hace meses), ya se encuentra habilitada la cuenta bancaria correspondiente, por lo que todos los pagos deben realizarse exclusivamente a través de dicha cuenta. Los datos de la misma se encuentran justo arriba de este aviso. Quienes abonen por Mercado Pago corren el riesgo de que su pago no sea imputado correctamente.</t>
  </si>
  <si>
    <t>Debito autom.</t>
  </si>
  <si>
    <t xml:space="preserve">FONDO DE GASTOS ORDINARIOS </t>
  </si>
  <si>
    <t>Cochera 38</t>
  </si>
  <si>
    <t>Ayala paga 5D, 5F y 4F</t>
  </si>
  <si>
    <t>Pablo Amarilla</t>
  </si>
  <si>
    <t>Pablo amarilla</t>
  </si>
  <si>
    <t>Anchipi, Gaston Nicolas</t>
  </si>
  <si>
    <t xml:space="preserve">Nahuel </t>
  </si>
  <si>
    <t>Cristina andrea Massa</t>
  </si>
  <si>
    <t>Fridgi, Guillermo Ariel</t>
  </si>
  <si>
    <t>Gustavo Oscar Fernandez</t>
  </si>
  <si>
    <t>Las casillas coloreadas en la columna Gastos Par/SUM de color rojo corresponden a multas aplicadas por el uso del SUM. En consecuencia, la unidad funcional involucrada no podrá acceder al uso del mismo por tiempo indeterminado. Por otro lado, las casillas coloreadas en amarillo, corresponden a llaves y las verdes corresponden al mal uso del coworking.</t>
  </si>
  <si>
    <t>Lorenzo, Sergio</t>
  </si>
  <si>
    <t>IMPORTANTE: RESPETAR CENTAVOS AL ABONAR.</t>
  </si>
  <si>
    <t>DPTOS</t>
  </si>
  <si>
    <t>COCH</t>
  </si>
  <si>
    <t>29-30</t>
  </si>
  <si>
    <t>34-39</t>
  </si>
  <si>
    <t>37-38</t>
  </si>
  <si>
    <t>1-11</t>
  </si>
  <si>
    <t>13-32</t>
  </si>
  <si>
    <t xml:space="preserve"> LOC 2 </t>
  </si>
  <si>
    <t>Frigidi Guillermo Ariel</t>
  </si>
  <si>
    <t xml:space="preserve">Orsi, José Luis - Fernández, Cristián Gabriel </t>
  </si>
  <si>
    <t>Ferraro, Jose -  ------ALEJANDRO</t>
  </si>
  <si>
    <t>Ayala, Roberto Adrian/BALDUZZI</t>
  </si>
  <si>
    <t>Ayala, Roberto Adrian /CALZETTA</t>
  </si>
  <si>
    <t>Calzetta, Gabriel Andrés Felipe</t>
  </si>
  <si>
    <t>Ayala, Roberto Adrian/SKARLATIUK</t>
  </si>
  <si>
    <t>Ayala, Roberto Adrian/CALZETTA/ BASAEZ ROGELIO</t>
  </si>
  <si>
    <t>GRIZEK RUBEN EDUARDO (ex Orellano)</t>
  </si>
  <si>
    <t>ANCHIPI GASTON (Cedido x Hecimovic)Hecimovic, Mariano Hernán (Cedido x Lopez Malara, Ramiro Alejandro)</t>
  </si>
  <si>
    <t>ALEXIA JOANA MAZZIA</t>
  </si>
  <si>
    <t>Nuñez Leyes Javier Damian</t>
  </si>
  <si>
    <t>Guillermo Antonio PUISYS (EX Fernández, Marcela Fabiana)</t>
  </si>
  <si>
    <t>Hecimovic, Mariano Hernán</t>
  </si>
  <si>
    <t>Silvestre Villarruel Eduardo (EX De Mieri, Fernando Emanuel</t>
  </si>
  <si>
    <t>Yudchak, Carlos Alberto</t>
  </si>
  <si>
    <t>Gazzaneo Francisco</t>
  </si>
  <si>
    <t>ARBA REVALUO</t>
  </si>
  <si>
    <t>POSESION</t>
  </si>
  <si>
    <t>A PAGAR PROPIETARIO</t>
  </si>
  <si>
    <t>A PAGAR CONSTRUCTORA</t>
  </si>
  <si>
    <t>HORARIOS DE ATENCION: LUNES A VIERNES - 10 A 15HS - EMERGENCIAS 24HS</t>
  </si>
  <si>
    <t>Fernandez, Christian Norberto</t>
  </si>
  <si>
    <t>TOTAL A ABONAR 1ERA CUOTA - VTO. 31/03</t>
  </si>
  <si>
    <t xml:space="preserve">Patricia Mainieri </t>
  </si>
  <si>
    <t>Articulos de limpieza</t>
  </si>
  <si>
    <t>Fumigacion - Silva Nicolas</t>
  </si>
  <si>
    <t>Salvati - Servicios de limpieza</t>
  </si>
  <si>
    <t xml:space="preserve">ARBA - Impuesto inmobiliario partida 025024270-0 </t>
  </si>
  <si>
    <t>M4rz0</t>
  </si>
  <si>
    <t>ABONADO POR PROPIETARIO</t>
  </si>
  <si>
    <t>AL PROPIETARIO LE RESTA ABONAR</t>
  </si>
  <si>
    <t>Ingreso por pago de ARBA</t>
  </si>
  <si>
    <t>TOTAL A ABONAR 2DA CUOTA - VTO. 30/04</t>
  </si>
  <si>
    <t>Savino Cecilia</t>
  </si>
  <si>
    <t>Lucas Rocha</t>
  </si>
  <si>
    <t>Bezzo Jorge</t>
  </si>
  <si>
    <t xml:space="preserve">ANOTACION </t>
  </si>
  <si>
    <t>FECHA DE LA ANOTACION:</t>
  </si>
  <si>
    <t>NOMBRE:</t>
  </si>
  <si>
    <t>QUEJA VIA:</t>
  </si>
  <si>
    <t>WHATSAPP</t>
  </si>
  <si>
    <t>MAIL</t>
  </si>
  <si>
    <t>LOTE:</t>
  </si>
  <si>
    <t>MOTIVO DE LA QUEJA:</t>
  </si>
  <si>
    <t>6D</t>
  </si>
  <si>
    <t>Anchipi</t>
  </si>
  <si>
    <t>El mes pasado en la planilla ARBA el pago $39.000 y no se le restaron de la columna "saldo total" para abonar - El adjudica que lo debe abonar el propietario anterior el restante.</t>
  </si>
  <si>
    <t>Local 1</t>
  </si>
  <si>
    <t>$269.608 el 08/04</t>
  </si>
  <si>
    <t>Local 2</t>
  </si>
  <si>
    <t>$148.104 el 17/04</t>
  </si>
  <si>
    <t>Deposito $300.000 y $30.000 23/04</t>
  </si>
  <si>
    <t>No sabemos</t>
  </si>
  <si>
    <t>Veronica(?)</t>
  </si>
  <si>
    <t xml:space="preserve"> 2E, 6E, 9E y cochera 12</t>
  </si>
  <si>
    <t>Deposito $673.000 el 16/04</t>
  </si>
  <si>
    <t>VTO 15/05</t>
  </si>
  <si>
    <t>PERÍODO: ABRIL</t>
  </si>
  <si>
    <t>Mes de ABRIL</t>
  </si>
  <si>
    <t>ADS - Abono de mantenimiento ascensores ABRIL del 2025</t>
  </si>
  <si>
    <t>Se adeuda ABRIL</t>
  </si>
  <si>
    <t>Transf 24/04</t>
  </si>
  <si>
    <t>Cuello natalia - Desobstruccion de columna baño 5D</t>
  </si>
  <si>
    <t>Transf 21/04</t>
  </si>
  <si>
    <t>Transf 20/04</t>
  </si>
  <si>
    <t>Transf 15/04</t>
  </si>
  <si>
    <t>7D</t>
  </si>
  <si>
    <t>Cambiar titularidad x Walter nose</t>
  </si>
  <si>
    <t>Transf 06/04</t>
  </si>
  <si>
    <t>SGP Reparacion de perdidas de agua y gas en termotanques</t>
  </si>
  <si>
    <t>Transf 08/04</t>
  </si>
  <si>
    <t>Transf 13/4</t>
  </si>
  <si>
    <t>Transferencia a la desarrolladora (15/04) - ARBA pago parcial</t>
  </si>
  <si>
    <t>Victor Martinez - Abono mantenimiento control de accesos - 2 Meses</t>
  </si>
  <si>
    <t>Galvan Zaffalon Micaela - Plan Canje Rowa bomba recilculadora</t>
  </si>
  <si>
    <t>TSG - Partida 197227000</t>
  </si>
  <si>
    <t>Mes de Marzo</t>
  </si>
  <si>
    <t>Transf 29/04</t>
  </si>
  <si>
    <t>Galvan Zaffalon Micaela - Instalacion Bomba</t>
  </si>
  <si>
    <t>Transf 30/04</t>
  </si>
  <si>
    <t xml:space="preserve"> Gustavo Fernández </t>
  </si>
  <si>
    <t>Matias Puente</t>
  </si>
  <si>
    <t>Lorenzo, Sergio Ariel</t>
  </si>
  <si>
    <t>Control para porton - 6C</t>
  </si>
  <si>
    <t>Control para porton - 13C</t>
  </si>
  <si>
    <t xml:space="preserve">Control para porton - 6D </t>
  </si>
  <si>
    <t>Deposito ya identificado mes anterior</t>
  </si>
  <si>
    <t>CAJA SUM $ (pesos)</t>
  </si>
  <si>
    <t>Efectivo 07/04</t>
  </si>
  <si>
    <t>Dinero en efectivo</t>
  </si>
  <si>
    <t>Caja Real -Banco - SUM + Ordinaria</t>
  </si>
  <si>
    <t>IMPORTANTE: SE LE DEBE A LA DESARROLLADORA EL MONTO DE $10.094.910,3 (INGRESO DE ARBA) - LA CAJA REAL : -$4.707.925,49</t>
  </si>
  <si>
    <t>Cuota 2/2026 ARBA</t>
  </si>
  <si>
    <t>ARBA:</t>
  </si>
  <si>
    <t>UF 46 Transfiere ARBA directo a la constructora</t>
  </si>
  <si>
    <t>Quienes adeudan ARBA deben abonar el monto coloreado en ROSADO si es que en el trancurso del mes 3 y 4 del 2026 no abonaron ninguna cuota.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</si>
</sst>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 #,##0;[Red]\-&quot;$&quot;\ #,##0"/>
    <numFmt numFmtId="8" formatCode="&quot;$&quot;\ #,##0.00;[Red]\-&quot;$&quot;\ #,##0.00"/>
    <numFmt numFmtId="44" formatCode="_-&quot;$&quot;\ * #,##0.00_-;\-&quot;$&quot;\ * #,##0.00_-;_-&quot;$&quot;\ * &quot;-&quot;??_-;_-@_-"/>
    <numFmt numFmtId="43" formatCode="_-* #,##0.00_-;\-* #,##0.00_-;_-* &quot;-&quot;??_-;_-@_-"/>
    <numFmt numFmtId="164" formatCode="_ &quot;$&quot;\ * #,##0.00_ ;_ &quot;$&quot;\ * \-#,##0.00_ ;_ &quot;$&quot;\ * &quot;-&quot;??_ ;_ @_ "/>
    <numFmt numFmtId="165" formatCode="_-&quot;$&quot;\ * #,##0_-;\-&quot;$&quot;\ * #,##0_-;_-&quot;$&quot;\ * &quot;-&quot;??_-;_-@_-"/>
    <numFmt numFmtId="166" formatCode="0.000"/>
    <numFmt numFmtId="167" formatCode="_-&quot;$&quot;\ * #,##0.000_-;\-&quot;$&quot;\ * #,##0.000_-;_-&quot;$&quot;\ * &quot;-&quot;??_-;_-@_-"/>
  </numFmts>
  <fonts count="29" x14ac:knownFonts="1">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sz val="11"/>
      <name val="Calibri"/>
      <family val="2"/>
      <scheme val="minor"/>
    </font>
    <font>
      <b/>
      <sz val="10"/>
      <color theme="0"/>
      <name val="Calibri"/>
      <family val="2"/>
      <scheme val="minor"/>
    </font>
    <font>
      <b/>
      <sz val="10"/>
      <color theme="1"/>
      <name val="Calibri"/>
      <family val="2"/>
      <scheme val="minor"/>
    </font>
    <font>
      <sz val="10"/>
      <name val="Calibri"/>
      <family val="2"/>
      <scheme val="minor"/>
    </font>
    <font>
      <i/>
      <u/>
      <sz val="11"/>
      <color theme="1"/>
      <name val="Calibri"/>
      <family val="2"/>
      <scheme val="minor"/>
    </font>
    <font>
      <b/>
      <sz val="14"/>
      <color theme="1"/>
      <name val="Calibri"/>
      <family val="2"/>
      <scheme val="minor"/>
    </font>
    <font>
      <b/>
      <sz val="11"/>
      <name val="Calibri"/>
      <family val="2"/>
      <scheme val="minor"/>
    </font>
    <font>
      <sz val="9"/>
      <color theme="1"/>
      <name val="Calibri"/>
      <family val="2"/>
      <scheme val="minor"/>
    </font>
    <font>
      <u/>
      <sz val="11"/>
      <color theme="1"/>
      <name val="Calibri"/>
      <family val="2"/>
      <scheme val="minor"/>
    </font>
    <font>
      <sz val="8"/>
      <color theme="1"/>
      <name val="Calibri"/>
      <family val="2"/>
      <scheme val="minor"/>
    </font>
    <font>
      <sz val="11"/>
      <color rgb="FFFF0000"/>
      <name val="Calibri"/>
      <family val="2"/>
      <scheme val="minor"/>
    </font>
    <font>
      <sz val="10"/>
      <color rgb="FFFF0000"/>
      <name val="Calibri"/>
      <family val="2"/>
      <scheme val="minor"/>
    </font>
    <font>
      <sz val="14"/>
      <color theme="1"/>
      <name val="Calibri"/>
      <family val="2"/>
      <scheme val="minor"/>
    </font>
    <font>
      <sz val="8"/>
      <name val="Calibri"/>
      <family val="2"/>
      <scheme val="minor"/>
    </font>
    <font>
      <b/>
      <sz val="20"/>
      <color theme="1"/>
      <name val="Calibri"/>
      <family val="2"/>
      <scheme val="minor"/>
    </font>
    <font>
      <b/>
      <sz val="12"/>
      <color theme="1"/>
      <name val="Calibri"/>
      <family val="2"/>
      <scheme val="minor"/>
    </font>
    <font>
      <sz val="9"/>
      <name val="Calibri"/>
      <family val="2"/>
      <scheme val="minor"/>
    </font>
    <font>
      <b/>
      <sz val="12"/>
      <color theme="0"/>
      <name val="Calibri"/>
      <family val="2"/>
      <scheme val="minor"/>
    </font>
    <font>
      <b/>
      <sz val="20"/>
      <name val="Calibri"/>
      <family val="2"/>
      <scheme val="minor"/>
    </font>
    <font>
      <sz val="10"/>
      <name val="Arial"/>
      <family val="2"/>
    </font>
    <font>
      <b/>
      <sz val="10"/>
      <name val="Arial"/>
      <family val="2"/>
    </font>
    <font>
      <i/>
      <u/>
      <sz val="12"/>
      <color theme="1"/>
      <name val="Calibri"/>
      <family val="2"/>
      <scheme val="minor"/>
    </font>
    <font>
      <u/>
      <sz val="11"/>
      <color theme="10"/>
      <name val="Calibri"/>
      <family val="2"/>
      <scheme val="minor"/>
    </font>
    <font>
      <b/>
      <sz val="14"/>
      <color theme="0"/>
      <name val="Calibri"/>
      <family val="2"/>
      <scheme val="minor"/>
    </font>
    <font>
      <b/>
      <sz val="18"/>
      <name val="Calibri"/>
      <family val="2"/>
      <scheme val="minor"/>
    </font>
  </fonts>
  <fills count="20">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3" tint="0.39997558519241921"/>
        <bgColor indexed="64"/>
      </patternFill>
    </fill>
    <fill>
      <patternFill patternType="solid">
        <fgColor rgb="FFFFC000"/>
        <bgColor indexed="64"/>
      </patternFill>
    </fill>
    <fill>
      <patternFill patternType="solid">
        <fgColor theme="1"/>
        <bgColor indexed="64"/>
      </patternFill>
    </fill>
    <fill>
      <patternFill patternType="solid">
        <fgColor theme="4" tint="0.39997558519241921"/>
        <bgColor indexed="64"/>
      </patternFill>
    </fill>
    <fill>
      <patternFill patternType="solid">
        <fgColor theme="2" tint="-0.249977111117893"/>
        <bgColor indexed="64"/>
      </patternFill>
    </fill>
    <fill>
      <patternFill patternType="solid">
        <fgColor rgb="FFFFFF00"/>
        <bgColor indexed="64"/>
      </patternFill>
    </fill>
    <fill>
      <patternFill patternType="solid">
        <fgColor theme="3" tint="0.59999389629810485"/>
        <bgColor indexed="64"/>
      </patternFill>
    </fill>
    <fill>
      <patternFill patternType="solid">
        <fgColor theme="9" tint="0.39997558519241921"/>
        <bgColor indexed="64"/>
      </patternFill>
    </fill>
    <fill>
      <patternFill patternType="solid">
        <fgColor theme="7" tint="-0.249977111117893"/>
        <bgColor indexed="64"/>
      </patternFill>
    </fill>
    <fill>
      <patternFill patternType="solid">
        <fgColor rgb="FF7030A0"/>
        <bgColor indexed="64"/>
      </patternFill>
    </fill>
    <fill>
      <patternFill patternType="solid">
        <fgColor rgb="FF00B0F0"/>
        <bgColor indexed="64"/>
      </patternFill>
    </fill>
    <fill>
      <patternFill patternType="solid">
        <fgColor theme="5"/>
        <bgColor indexed="64"/>
      </patternFill>
    </fill>
    <fill>
      <patternFill patternType="solid">
        <fgColor rgb="FF00B050"/>
        <bgColor indexed="64"/>
      </patternFill>
    </fill>
    <fill>
      <patternFill patternType="solid">
        <fgColor theme="9"/>
        <bgColor indexed="64"/>
      </patternFill>
    </fill>
    <fill>
      <patternFill patternType="solid">
        <fgColor rgb="FF92D050"/>
        <bgColor indexed="64"/>
      </patternFill>
    </fill>
    <fill>
      <patternFill patternType="solid">
        <fgColor rgb="FFFF0000"/>
        <bgColor indexed="64"/>
      </patternFill>
    </fill>
  </fills>
  <borders count="3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bottom style="medium">
        <color indexed="64"/>
      </bottom>
      <diagonal/>
    </border>
  </borders>
  <cellStyleXfs count="6">
    <xf numFmtId="0" fontId="0" fillId="0" borderId="0"/>
    <xf numFmtId="4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0" fontId="23" fillId="0" borderId="0"/>
    <xf numFmtId="0" fontId="26" fillId="0" borderId="0" applyNumberFormat="0" applyFill="0" applyBorder="0" applyAlignment="0" applyProtection="0"/>
  </cellStyleXfs>
  <cellXfs count="368">
    <xf numFmtId="0" fontId="0" fillId="0" borderId="0" xfId="0"/>
    <xf numFmtId="0" fontId="2" fillId="0" borderId="0" xfId="0" applyFont="1"/>
    <xf numFmtId="0" fontId="2" fillId="5" borderId="11" xfId="0" applyFont="1" applyFill="1" applyBorder="1"/>
    <xf numFmtId="0" fontId="2" fillId="5" borderId="12" xfId="0" applyFont="1" applyFill="1" applyBorder="1"/>
    <xf numFmtId="3" fontId="0" fillId="0" borderId="1" xfId="0" applyNumberFormat="1" applyBorder="1"/>
    <xf numFmtId="0" fontId="0" fillId="0" borderId="1" xfId="0" applyBorder="1"/>
    <xf numFmtId="0" fontId="0" fillId="3" borderId="0" xfId="0" applyFill="1"/>
    <xf numFmtId="4" fontId="0" fillId="0" borderId="1" xfId="0" applyNumberFormat="1" applyBorder="1"/>
    <xf numFmtId="0" fontId="0" fillId="0" borderId="5" xfId="0" applyBorder="1"/>
    <xf numFmtId="0" fontId="0" fillId="5" borderId="14" xfId="0" applyFill="1" applyBorder="1"/>
    <xf numFmtId="10" fontId="2" fillId="5" borderId="12" xfId="0" applyNumberFormat="1" applyFont="1" applyFill="1" applyBorder="1"/>
    <xf numFmtId="0" fontId="2" fillId="5" borderId="16" xfId="0" applyFont="1" applyFill="1" applyBorder="1"/>
    <xf numFmtId="0" fontId="2" fillId="5" borderId="14" xfId="0" applyFont="1" applyFill="1" applyBorder="1"/>
    <xf numFmtId="10" fontId="2" fillId="5" borderId="14" xfId="0" applyNumberFormat="1" applyFont="1" applyFill="1" applyBorder="1"/>
    <xf numFmtId="8" fontId="0" fillId="0" borderId="0" xfId="0" applyNumberFormat="1"/>
    <xf numFmtId="0" fontId="5" fillId="6" borderId="0" xfId="0" applyFont="1" applyFill="1"/>
    <xf numFmtId="164" fontId="6" fillId="0" borderId="1" xfId="2" applyFont="1" applyBorder="1"/>
    <xf numFmtId="164" fontId="3" fillId="0" borderId="0" xfId="0" applyNumberFormat="1" applyFont="1"/>
    <xf numFmtId="0" fontId="6" fillId="0" borderId="1" xfId="0" applyFont="1" applyBorder="1"/>
    <xf numFmtId="4" fontId="0" fillId="0" borderId="0" xfId="0" applyNumberFormat="1"/>
    <xf numFmtId="0" fontId="3" fillId="0" borderId="1" xfId="0" applyFont="1" applyBorder="1"/>
    <xf numFmtId="0" fontId="3" fillId="0" borderId="0" xfId="0" applyFont="1"/>
    <xf numFmtId="164" fontId="3" fillId="0" borderId="1" xfId="0" applyNumberFormat="1" applyFont="1" applyBorder="1"/>
    <xf numFmtId="4" fontId="6" fillId="0" borderId="0" xfId="0" applyNumberFormat="1" applyFont="1"/>
    <xf numFmtId="164" fontId="0" fillId="0" borderId="0" xfId="0" applyNumberFormat="1"/>
    <xf numFmtId="165" fontId="0" fillId="0" borderId="1" xfId="1" applyNumberFormat="1" applyFont="1" applyBorder="1"/>
    <xf numFmtId="0" fontId="0" fillId="7" borderId="1" xfId="0" applyFill="1" applyBorder="1"/>
    <xf numFmtId="165" fontId="0" fillId="7" borderId="1" xfId="0" applyNumberFormat="1" applyFill="1" applyBorder="1"/>
    <xf numFmtId="3" fontId="0" fillId="7" borderId="1" xfId="0" applyNumberFormat="1" applyFill="1" applyBorder="1"/>
    <xf numFmtId="164" fontId="7" fillId="2" borderId="1" xfId="2" applyFont="1" applyFill="1" applyBorder="1"/>
    <xf numFmtId="164" fontId="3" fillId="2" borderId="1" xfId="2" applyFont="1" applyFill="1" applyBorder="1"/>
    <xf numFmtId="0" fontId="8" fillId="0" borderId="1" xfId="0" applyFont="1" applyBorder="1"/>
    <xf numFmtId="0" fontId="2" fillId="4" borderId="1" xfId="0" applyFont="1" applyFill="1" applyBorder="1"/>
    <xf numFmtId="0" fontId="0" fillId="4" borderId="1" xfId="0" applyFill="1" applyBorder="1"/>
    <xf numFmtId="0" fontId="0" fillId="2" borderId="1" xfId="0" applyFill="1" applyBorder="1"/>
    <xf numFmtId="0" fontId="2" fillId="0" borderId="1" xfId="0" applyFont="1" applyBorder="1"/>
    <xf numFmtId="164" fontId="2" fillId="0" borderId="1" xfId="2" applyFont="1" applyBorder="1"/>
    <xf numFmtId="0" fontId="2" fillId="7" borderId="11" xfId="0" applyFont="1" applyFill="1" applyBorder="1"/>
    <xf numFmtId="44" fontId="2" fillId="7" borderId="13" xfId="0" applyNumberFormat="1" applyFont="1" applyFill="1" applyBorder="1"/>
    <xf numFmtId="0" fontId="2" fillId="7" borderId="23" xfId="0" applyFont="1" applyFill="1" applyBorder="1"/>
    <xf numFmtId="44" fontId="2" fillId="7" borderId="10" xfId="0" applyNumberFormat="1" applyFont="1" applyFill="1" applyBorder="1"/>
    <xf numFmtId="44" fontId="10" fillId="4" borderId="6" xfId="1" applyFont="1" applyFill="1" applyBorder="1"/>
    <xf numFmtId="44" fontId="0" fillId="0" borderId="0" xfId="0" applyNumberFormat="1"/>
    <xf numFmtId="44" fontId="4" fillId="2" borderId="1" xfId="1" applyFont="1" applyFill="1" applyBorder="1"/>
    <xf numFmtId="0" fontId="0" fillId="0" borderId="6" xfId="0" applyBorder="1"/>
    <xf numFmtId="0" fontId="0" fillId="0" borderId="24" xfId="0" applyBorder="1"/>
    <xf numFmtId="0" fontId="0" fillId="2" borderId="2" xfId="0" applyFill="1" applyBorder="1"/>
    <xf numFmtId="8" fontId="2" fillId="4" borderId="1" xfId="0" applyNumberFormat="1" applyFont="1" applyFill="1" applyBorder="1"/>
    <xf numFmtId="8" fontId="2" fillId="2" borderId="1" xfId="0" applyNumberFormat="1" applyFont="1" applyFill="1" applyBorder="1"/>
    <xf numFmtId="0" fontId="12" fillId="0" borderId="1" xfId="0" applyFont="1" applyBorder="1"/>
    <xf numFmtId="0" fontId="0" fillId="0" borderId="1" xfId="0" applyBorder="1" applyAlignment="1">
      <alignment horizontal="center"/>
    </xf>
    <xf numFmtId="44" fontId="4" fillId="2" borderId="0" xfId="1" applyFont="1" applyFill="1" applyBorder="1"/>
    <xf numFmtId="0" fontId="13" fillId="0" borderId="1" xfId="0" applyFont="1" applyBorder="1"/>
    <xf numFmtId="165" fontId="0" fillId="7" borderId="1" xfId="1" applyNumberFormat="1" applyFont="1" applyFill="1" applyBorder="1"/>
    <xf numFmtId="165" fontId="11" fillId="0" borderId="1" xfId="0" applyNumberFormat="1" applyFont="1" applyBorder="1"/>
    <xf numFmtId="0" fontId="11" fillId="0" borderId="1" xfId="0" applyFont="1" applyBorder="1"/>
    <xf numFmtId="44" fontId="0" fillId="0" borderId="1" xfId="0" applyNumberFormat="1" applyBorder="1"/>
    <xf numFmtId="6" fontId="0" fillId="0" borderId="0" xfId="0" applyNumberFormat="1"/>
    <xf numFmtId="6" fontId="0" fillId="2" borderId="0" xfId="0" applyNumberFormat="1" applyFill="1" applyAlignment="1">
      <alignment horizontal="right" wrapText="1"/>
    </xf>
    <xf numFmtId="165" fontId="0" fillId="0" borderId="0" xfId="0" applyNumberFormat="1"/>
    <xf numFmtId="44" fontId="0" fillId="0" borderId="15" xfId="1" applyFont="1" applyBorder="1"/>
    <xf numFmtId="0" fontId="0" fillId="9" borderId="15" xfId="0" applyFill="1" applyBorder="1"/>
    <xf numFmtId="0" fontId="0" fillId="9" borderId="11" xfId="0" applyFill="1" applyBorder="1"/>
    <xf numFmtId="0" fontId="0" fillId="0" borderId="11" xfId="0" applyBorder="1"/>
    <xf numFmtId="0" fontId="0" fillId="0" borderId="13" xfId="0" applyBorder="1"/>
    <xf numFmtId="44" fontId="2" fillId="4" borderId="6" xfId="0" applyNumberFormat="1" applyFont="1" applyFill="1" applyBorder="1"/>
    <xf numFmtId="44" fontId="0" fillId="0" borderId="6" xfId="0" applyNumberFormat="1" applyBorder="1"/>
    <xf numFmtId="0" fontId="14" fillId="0" borderId="0" xfId="0" applyFont="1"/>
    <xf numFmtId="44" fontId="3" fillId="0" borderId="0" xfId="0" applyNumberFormat="1" applyFont="1"/>
    <xf numFmtId="0" fontId="0" fillId="0" borderId="1" xfId="0" applyBorder="1" applyAlignment="1">
      <alignment vertical="center"/>
    </xf>
    <xf numFmtId="44" fontId="10" fillId="4" borderId="6" xfId="0" applyNumberFormat="1" applyFont="1" applyFill="1" applyBorder="1"/>
    <xf numFmtId="0" fontId="0" fillId="2" borderId="0" xfId="0" applyFill="1"/>
    <xf numFmtId="44" fontId="14" fillId="0" borderId="0" xfId="0" applyNumberFormat="1" applyFont="1"/>
    <xf numFmtId="44" fontId="0" fillId="0" borderId="2" xfId="0" applyNumberFormat="1" applyBorder="1"/>
    <xf numFmtId="6" fontId="11" fillId="2" borderId="1" xfId="0" applyNumberFormat="1" applyFont="1" applyFill="1" applyBorder="1"/>
    <xf numFmtId="0" fontId="2" fillId="2" borderId="0" xfId="0" applyFont="1" applyFill="1" applyAlignment="1">
      <alignment vertical="center" wrapText="1"/>
    </xf>
    <xf numFmtId="44" fontId="2" fillId="4" borderId="1" xfId="0" applyNumberFormat="1" applyFont="1" applyFill="1" applyBorder="1"/>
    <xf numFmtId="44" fontId="2" fillId="4" borderId="1" xfId="1" applyFont="1" applyFill="1" applyBorder="1"/>
    <xf numFmtId="44" fontId="10" fillId="4" borderId="1" xfId="1" applyFont="1" applyFill="1" applyBorder="1" applyAlignment="1">
      <alignment horizontal="center"/>
    </xf>
    <xf numFmtId="0" fontId="2" fillId="4" borderId="1" xfId="0" applyFont="1" applyFill="1" applyBorder="1" applyAlignment="1">
      <alignment horizontal="center"/>
    </xf>
    <xf numFmtId="0" fontId="0" fillId="2" borderId="8" xfId="0" applyFill="1" applyBorder="1" applyAlignment="1">
      <alignment horizontal="left" vertical="center" wrapText="1"/>
    </xf>
    <xf numFmtId="164" fontId="15" fillId="2" borderId="1" xfId="2" applyFont="1" applyFill="1" applyBorder="1"/>
    <xf numFmtId="43" fontId="0" fillId="0" borderId="0" xfId="0" applyNumberFormat="1"/>
    <xf numFmtId="0" fontId="4" fillId="0" borderId="0" xfId="0" applyFont="1"/>
    <xf numFmtId="44" fontId="10" fillId="5" borderId="12" xfId="0" applyNumberFormat="1" applyFont="1" applyFill="1" applyBorder="1"/>
    <xf numFmtId="165" fontId="4" fillId="0" borderId="1" xfId="1" applyNumberFormat="1" applyFont="1" applyBorder="1"/>
    <xf numFmtId="44" fontId="0" fillId="0" borderId="0" xfId="0" applyNumberFormat="1" applyAlignment="1">
      <alignment horizontal="left"/>
    </xf>
    <xf numFmtId="10" fontId="0" fillId="0" borderId="1" xfId="0" applyNumberFormat="1" applyBorder="1"/>
    <xf numFmtId="0" fontId="0" fillId="2" borderId="0" xfId="0" applyFill="1" applyAlignment="1">
      <alignment horizontal="center" vertical="center" wrapText="1"/>
    </xf>
    <xf numFmtId="10" fontId="0" fillId="0" borderId="0" xfId="0" applyNumberFormat="1"/>
    <xf numFmtId="10" fontId="2" fillId="5" borderId="15" xfId="0" applyNumberFormat="1" applyFont="1" applyFill="1" applyBorder="1" applyAlignment="1">
      <alignment horizontal="center" vertical="center"/>
    </xf>
    <xf numFmtId="0" fontId="2" fillId="5" borderId="15" xfId="0" applyFont="1" applyFill="1" applyBorder="1" applyAlignment="1">
      <alignment horizontal="center" vertical="center"/>
    </xf>
    <xf numFmtId="0" fontId="0" fillId="0" borderId="3" xfId="0" applyBorder="1"/>
    <xf numFmtId="0" fontId="4" fillId="0" borderId="3" xfId="0" applyFont="1" applyBorder="1"/>
    <xf numFmtId="0" fontId="2" fillId="8" borderId="25" xfId="0" applyFont="1" applyFill="1" applyBorder="1"/>
    <xf numFmtId="0" fontId="2" fillId="8" borderId="26" xfId="0" applyFont="1" applyFill="1" applyBorder="1"/>
    <xf numFmtId="44" fontId="10" fillId="8" borderId="27" xfId="1" applyFont="1" applyFill="1" applyBorder="1"/>
    <xf numFmtId="0" fontId="2" fillId="2" borderId="18" xfId="0" applyFont="1" applyFill="1" applyBorder="1"/>
    <xf numFmtId="0" fontId="2" fillId="2" borderId="0" xfId="0" applyFont="1" applyFill="1"/>
    <xf numFmtId="44" fontId="10" fillId="2" borderId="0" xfId="1" applyFont="1" applyFill="1" applyBorder="1"/>
    <xf numFmtId="44" fontId="2" fillId="2" borderId="0" xfId="1" applyFont="1" applyFill="1" applyBorder="1"/>
    <xf numFmtId="44" fontId="2" fillId="2" borderId="19" xfId="0" applyNumberFormat="1" applyFont="1" applyFill="1" applyBorder="1"/>
    <xf numFmtId="0" fontId="11" fillId="2" borderId="1" xfId="0" applyFont="1" applyFill="1" applyBorder="1"/>
    <xf numFmtId="0" fontId="0" fillId="10" borderId="19" xfId="0" applyFill="1" applyBorder="1"/>
    <xf numFmtId="0" fontId="0" fillId="10" borderId="14" xfId="0" applyFill="1" applyBorder="1"/>
    <xf numFmtId="0" fontId="0" fillId="10" borderId="17" xfId="0" applyFill="1" applyBorder="1"/>
    <xf numFmtId="0" fontId="0" fillId="10" borderId="16" xfId="0" applyFill="1" applyBorder="1"/>
    <xf numFmtId="0" fontId="2" fillId="10" borderId="18" xfId="0" applyFont="1" applyFill="1" applyBorder="1"/>
    <xf numFmtId="0" fontId="0" fillId="0" borderId="2" xfId="0" applyBorder="1"/>
    <xf numFmtId="166" fontId="0" fillId="0" borderId="0" xfId="0" applyNumberFormat="1"/>
    <xf numFmtId="9" fontId="0" fillId="7" borderId="1" xfId="0" applyNumberFormat="1" applyFill="1" applyBorder="1"/>
    <xf numFmtId="0" fontId="9" fillId="10" borderId="18" xfId="0" applyFont="1" applyFill="1" applyBorder="1"/>
    <xf numFmtId="0" fontId="16" fillId="10" borderId="19" xfId="0" applyFont="1" applyFill="1" applyBorder="1"/>
    <xf numFmtId="0" fontId="9" fillId="10" borderId="23" xfId="0" applyFont="1" applyFill="1" applyBorder="1"/>
    <xf numFmtId="0" fontId="9" fillId="10" borderId="9" xfId="0" applyFont="1" applyFill="1" applyBorder="1"/>
    <xf numFmtId="43" fontId="9" fillId="10" borderId="14" xfId="3" applyFont="1" applyFill="1" applyBorder="1" applyAlignment="1">
      <alignment horizontal="left"/>
    </xf>
    <xf numFmtId="0" fontId="9" fillId="10" borderId="0" xfId="0" applyFont="1" applyFill="1"/>
    <xf numFmtId="0" fontId="2" fillId="10" borderId="0" xfId="0" applyFont="1" applyFill="1"/>
    <xf numFmtId="0" fontId="9" fillId="10" borderId="10" xfId="0" applyFont="1" applyFill="1" applyBorder="1"/>
    <xf numFmtId="44" fontId="2" fillId="8" borderId="15" xfId="1" applyFont="1" applyFill="1" applyBorder="1"/>
    <xf numFmtId="44" fontId="2" fillId="8" borderId="13" xfId="0" applyNumberFormat="1" applyFont="1" applyFill="1" applyBorder="1"/>
    <xf numFmtId="0" fontId="13" fillId="2" borderId="1" xfId="0" applyFont="1" applyFill="1" applyBorder="1"/>
    <xf numFmtId="0" fontId="9" fillId="10" borderId="14" xfId="0" applyFont="1" applyFill="1" applyBorder="1"/>
    <xf numFmtId="0" fontId="2" fillId="10" borderId="14" xfId="0" applyFont="1" applyFill="1" applyBorder="1"/>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2" fontId="0" fillId="0" borderId="0" xfId="0" applyNumberFormat="1"/>
    <xf numFmtId="44" fontId="0" fillId="0" borderId="1" xfId="1" applyFont="1" applyBorder="1"/>
    <xf numFmtId="0" fontId="11" fillId="2" borderId="4" xfId="0" applyFont="1" applyFill="1" applyBorder="1"/>
    <xf numFmtId="10" fontId="0" fillId="2" borderId="4" xfId="0" applyNumberFormat="1" applyFill="1" applyBorder="1"/>
    <xf numFmtId="44" fontId="0" fillId="2" borderId="1" xfId="1" applyFont="1" applyFill="1" applyBorder="1"/>
    <xf numFmtId="0" fontId="0" fillId="11" borderId="1" xfId="0" applyFill="1" applyBorder="1"/>
    <xf numFmtId="0" fontId="11" fillId="11" borderId="1" xfId="0" applyFont="1" applyFill="1" applyBorder="1"/>
    <xf numFmtId="0" fontId="0" fillId="11" borderId="0" xfId="0" applyFill="1"/>
    <xf numFmtId="0" fontId="0" fillId="2" borderId="1" xfId="0" applyFill="1" applyBorder="1" applyAlignment="1">
      <alignment vertical="center" wrapText="1"/>
    </xf>
    <xf numFmtId="0" fontId="0" fillId="2" borderId="1" xfId="0" applyFill="1" applyBorder="1" applyAlignment="1">
      <alignment vertical="center"/>
    </xf>
    <xf numFmtId="10" fontId="0" fillId="2" borderId="1" xfId="0" applyNumberFormat="1" applyFill="1" applyBorder="1"/>
    <xf numFmtId="165" fontId="11" fillId="2" borderId="1" xfId="0" applyNumberFormat="1" applyFont="1" applyFill="1" applyBorder="1"/>
    <xf numFmtId="165" fontId="0" fillId="2" borderId="1" xfId="1" applyNumberFormat="1" applyFont="1" applyFill="1" applyBorder="1"/>
    <xf numFmtId="3" fontId="0" fillId="2" borderId="1" xfId="0" applyNumberFormat="1" applyFill="1" applyBorder="1"/>
    <xf numFmtId="4" fontId="0" fillId="2" borderId="1" xfId="0" applyNumberFormat="1" applyFill="1" applyBorder="1"/>
    <xf numFmtId="0" fontId="0" fillId="2" borderId="28" xfId="0" applyFill="1" applyBorder="1"/>
    <xf numFmtId="0" fontId="11" fillId="2" borderId="28" xfId="0" applyFont="1" applyFill="1" applyBorder="1"/>
    <xf numFmtId="10" fontId="0" fillId="2" borderId="28" xfId="0" applyNumberFormat="1" applyFill="1" applyBorder="1"/>
    <xf numFmtId="44" fontId="0" fillId="2" borderId="28" xfId="1" applyFont="1" applyFill="1" applyBorder="1"/>
    <xf numFmtId="165" fontId="11" fillId="2" borderId="28" xfId="0" applyNumberFormat="1" applyFont="1" applyFill="1" applyBorder="1"/>
    <xf numFmtId="165" fontId="0" fillId="2" borderId="28" xfId="1" applyNumberFormat="1" applyFont="1" applyFill="1" applyBorder="1"/>
    <xf numFmtId="3" fontId="0" fillId="2" borderId="28" xfId="0" applyNumberFormat="1" applyFill="1" applyBorder="1"/>
    <xf numFmtId="4" fontId="0" fillId="2" borderId="28" xfId="0" applyNumberFormat="1" applyFill="1" applyBorder="1"/>
    <xf numFmtId="165" fontId="13" fillId="2" borderId="1" xfId="0" applyNumberFormat="1" applyFont="1" applyFill="1" applyBorder="1"/>
    <xf numFmtId="44" fontId="0" fillId="2" borderId="1" xfId="0" applyNumberFormat="1" applyFill="1" applyBorder="1"/>
    <xf numFmtId="0" fontId="0" fillId="3" borderId="14" xfId="0" applyFill="1" applyBorder="1"/>
    <xf numFmtId="44" fontId="4" fillId="3" borderId="17" xfId="0" applyNumberFormat="1" applyFont="1" applyFill="1" applyBorder="1"/>
    <xf numFmtId="6" fontId="4" fillId="3" borderId="19" xfId="0" applyNumberFormat="1" applyFont="1" applyFill="1" applyBorder="1"/>
    <xf numFmtId="8" fontId="0" fillId="3" borderId="0" xfId="0" applyNumberFormat="1" applyFill="1"/>
    <xf numFmtId="6" fontId="4" fillId="3" borderId="19" xfId="0" applyNumberFormat="1" applyFont="1" applyFill="1" applyBorder="1" applyAlignment="1">
      <alignment horizontal="right" wrapText="1"/>
    </xf>
    <xf numFmtId="0" fontId="0" fillId="3" borderId="9" xfId="0" applyFill="1" applyBorder="1"/>
    <xf numFmtId="8" fontId="0" fillId="3" borderId="9" xfId="0" applyNumberFormat="1" applyFill="1" applyBorder="1"/>
    <xf numFmtId="6" fontId="0" fillId="3" borderId="9" xfId="0" applyNumberFormat="1" applyFill="1" applyBorder="1" applyAlignment="1">
      <alignment horizontal="right" wrapText="1"/>
    </xf>
    <xf numFmtId="6" fontId="4" fillId="3" borderId="10" xfId="0" applyNumberFormat="1" applyFont="1" applyFill="1" applyBorder="1" applyAlignment="1">
      <alignment horizontal="right" wrapText="1"/>
    </xf>
    <xf numFmtId="44" fontId="11" fillId="2" borderId="1" xfId="1" applyFont="1" applyFill="1" applyBorder="1"/>
    <xf numFmtId="0" fontId="0" fillId="12" borderId="1" xfId="0" applyFill="1" applyBorder="1"/>
    <xf numFmtId="0" fontId="0" fillId="5" borderId="1" xfId="0" applyFill="1" applyBorder="1"/>
    <xf numFmtId="0" fontId="11" fillId="5" borderId="1" xfId="0" applyFont="1" applyFill="1" applyBorder="1"/>
    <xf numFmtId="2" fontId="0" fillId="2" borderId="0" xfId="0" applyNumberFormat="1" applyFill="1"/>
    <xf numFmtId="165" fontId="11" fillId="7" borderId="1" xfId="1" applyNumberFormat="1" applyFont="1" applyFill="1" applyBorder="1"/>
    <xf numFmtId="0" fontId="13" fillId="12" borderId="1" xfId="0" applyFont="1" applyFill="1" applyBorder="1"/>
    <xf numFmtId="0" fontId="4" fillId="2" borderId="1" xfId="0" applyFont="1" applyFill="1" applyBorder="1"/>
    <xf numFmtId="0" fontId="20" fillId="2" borderId="1" xfId="0" applyFont="1" applyFill="1" applyBorder="1"/>
    <xf numFmtId="10" fontId="4" fillId="2" borderId="1" xfId="0" applyNumberFormat="1" applyFont="1" applyFill="1" applyBorder="1"/>
    <xf numFmtId="165" fontId="20" fillId="2" borderId="1" xfId="0" applyNumberFormat="1" applyFont="1" applyFill="1" applyBorder="1"/>
    <xf numFmtId="165" fontId="4" fillId="2" borderId="1" xfId="1" applyNumberFormat="1" applyFont="1" applyFill="1" applyBorder="1"/>
    <xf numFmtId="4" fontId="4" fillId="2" borderId="1" xfId="0" applyNumberFormat="1" applyFont="1" applyFill="1" applyBorder="1"/>
    <xf numFmtId="44" fontId="0" fillId="0" borderId="0" xfId="1" applyFont="1"/>
    <xf numFmtId="0" fontId="0" fillId="0" borderId="1" xfId="0" applyBorder="1" applyAlignment="1">
      <alignment vertical="center" wrapText="1"/>
    </xf>
    <xf numFmtId="0" fontId="0" fillId="2" borderId="4" xfId="0" applyFill="1" applyBorder="1"/>
    <xf numFmtId="44" fontId="0" fillId="2" borderId="4" xfId="1" applyFont="1" applyFill="1" applyBorder="1"/>
    <xf numFmtId="165" fontId="11" fillId="2" borderId="4" xfId="0" applyNumberFormat="1" applyFont="1" applyFill="1" applyBorder="1"/>
    <xf numFmtId="165" fontId="0" fillId="2" borderId="4" xfId="1" applyNumberFormat="1" applyFont="1" applyFill="1" applyBorder="1"/>
    <xf numFmtId="4" fontId="0" fillId="2" borderId="4" xfId="0" applyNumberFormat="1" applyFill="1" applyBorder="1"/>
    <xf numFmtId="167" fontId="11" fillId="2" borderId="1" xfId="0" applyNumberFormat="1" applyFont="1" applyFill="1" applyBorder="1"/>
    <xf numFmtId="0" fontId="2" fillId="3" borderId="14" xfId="0" applyFont="1" applyFill="1" applyBorder="1"/>
    <xf numFmtId="0" fontId="2" fillId="3" borderId="0" xfId="0" applyFont="1" applyFill="1"/>
    <xf numFmtId="44" fontId="10" fillId="3" borderId="0" xfId="0" applyNumberFormat="1" applyFont="1" applyFill="1"/>
    <xf numFmtId="0" fontId="0" fillId="2" borderId="8" xfId="0" applyFill="1" applyBorder="1"/>
    <xf numFmtId="0" fontId="0" fillId="13" borderId="1" xfId="0" applyFill="1" applyBorder="1"/>
    <xf numFmtId="0" fontId="11" fillId="13" borderId="1" xfId="0" applyFont="1" applyFill="1" applyBorder="1"/>
    <xf numFmtId="0" fontId="11" fillId="13" borderId="4" xfId="0" applyFont="1" applyFill="1" applyBorder="1"/>
    <xf numFmtId="10" fontId="0" fillId="13" borderId="4" xfId="0" applyNumberFormat="1" applyFill="1" applyBorder="1"/>
    <xf numFmtId="44" fontId="0" fillId="13" borderId="1" xfId="1" applyFont="1" applyFill="1" applyBorder="1"/>
    <xf numFmtId="165" fontId="11" fillId="13" borderId="1" xfId="0" applyNumberFormat="1" applyFont="1" applyFill="1" applyBorder="1"/>
    <xf numFmtId="165" fontId="0" fillId="13" borderId="1" xfId="1" applyNumberFormat="1" applyFont="1" applyFill="1" applyBorder="1"/>
    <xf numFmtId="44" fontId="11" fillId="13" borderId="1" xfId="1" applyFont="1" applyFill="1" applyBorder="1"/>
    <xf numFmtId="4" fontId="0" fillId="13" borderId="1" xfId="0" applyNumberFormat="1" applyFill="1" applyBorder="1"/>
    <xf numFmtId="44" fontId="1" fillId="2" borderId="1" xfId="1" applyFont="1" applyFill="1" applyBorder="1"/>
    <xf numFmtId="44" fontId="11" fillId="2" borderId="4" xfId="1" applyFont="1" applyFill="1" applyBorder="1"/>
    <xf numFmtId="44" fontId="11" fillId="2" borderId="28" xfId="1" applyFont="1" applyFill="1" applyBorder="1"/>
    <xf numFmtId="0" fontId="0" fillId="3" borderId="29" xfId="0" applyFill="1" applyBorder="1" applyAlignment="1">
      <alignment horizontal="center" vertical="center" wrapText="1"/>
    </xf>
    <xf numFmtId="0" fontId="23" fillId="2" borderId="1" xfId="0" applyFont="1" applyFill="1" applyBorder="1" applyAlignment="1">
      <alignment horizontal="center"/>
    </xf>
    <xf numFmtId="0" fontId="0" fillId="2" borderId="1" xfId="0" applyFill="1" applyBorder="1" applyAlignment="1">
      <alignment horizontal="center"/>
    </xf>
    <xf numFmtId="0" fontId="23" fillId="2" borderId="1" xfId="0" applyFont="1" applyFill="1" applyBorder="1"/>
    <xf numFmtId="0" fontId="23" fillId="2" borderId="1" xfId="0" applyFont="1" applyFill="1" applyBorder="1" applyAlignment="1">
      <alignment horizontal="left" vertical="center"/>
    </xf>
    <xf numFmtId="0" fontId="23" fillId="2" borderId="28" xfId="0" applyFont="1" applyFill="1" applyBorder="1" applyAlignment="1">
      <alignment horizontal="center"/>
    </xf>
    <xf numFmtId="0" fontId="0" fillId="2" borderId="28" xfId="0" applyFill="1" applyBorder="1" applyAlignment="1">
      <alignment horizontal="center"/>
    </xf>
    <xf numFmtId="0" fontId="23" fillId="2" borderId="28" xfId="0" applyFont="1" applyFill="1" applyBorder="1" applyAlignment="1">
      <alignment horizontal="left" vertical="center"/>
    </xf>
    <xf numFmtId="0" fontId="23" fillId="2" borderId="4" xfId="0" applyFont="1" applyFill="1" applyBorder="1" applyAlignment="1">
      <alignment horizontal="center"/>
    </xf>
    <xf numFmtId="0" fontId="0" fillId="2" borderId="4" xfId="0" applyFill="1" applyBorder="1" applyAlignment="1">
      <alignment horizontal="center"/>
    </xf>
    <xf numFmtId="49" fontId="23" fillId="2" borderId="1" xfId="0" applyNumberFormat="1" applyFont="1" applyFill="1" applyBorder="1" applyAlignment="1">
      <alignment horizontal="center"/>
    </xf>
    <xf numFmtId="0" fontId="24" fillId="2" borderId="1" xfId="0" applyFont="1" applyFill="1" applyBorder="1" applyAlignment="1">
      <alignment horizontal="center"/>
    </xf>
    <xf numFmtId="0" fontId="0" fillId="2" borderId="1" xfId="0" applyFill="1" applyBorder="1" applyAlignment="1">
      <alignment horizontal="center" vertical="center"/>
    </xf>
    <xf numFmtId="14" fontId="0" fillId="2" borderId="1" xfId="0" applyNumberFormat="1" applyFill="1" applyBorder="1"/>
    <xf numFmtId="14" fontId="0" fillId="2" borderId="28" xfId="0" applyNumberFormat="1" applyFill="1" applyBorder="1"/>
    <xf numFmtId="14" fontId="0" fillId="2" borderId="4" xfId="0" applyNumberFormat="1" applyFill="1" applyBorder="1"/>
    <xf numFmtId="3" fontId="0" fillId="2" borderId="4" xfId="0" applyNumberFormat="1" applyFill="1" applyBorder="1"/>
    <xf numFmtId="4" fontId="2" fillId="11" borderId="4" xfId="0" applyNumberFormat="1" applyFont="1" applyFill="1" applyBorder="1"/>
    <xf numFmtId="4" fontId="2" fillId="11" borderId="28" xfId="0" applyNumberFormat="1" applyFont="1" applyFill="1" applyBorder="1"/>
    <xf numFmtId="44" fontId="4" fillId="2" borderId="6" xfId="1" applyFont="1" applyFill="1" applyBorder="1"/>
    <xf numFmtId="44" fontId="4" fillId="0" borderId="6" xfId="1" applyFont="1" applyBorder="1"/>
    <xf numFmtId="44" fontId="10" fillId="4" borderId="0" xfId="0" applyNumberFormat="1" applyFont="1" applyFill="1"/>
    <xf numFmtId="0" fontId="4" fillId="0" borderId="1" xfId="0" applyFont="1" applyBorder="1"/>
    <xf numFmtId="44" fontId="4" fillId="0" borderId="1" xfId="1" applyFont="1" applyBorder="1"/>
    <xf numFmtId="165" fontId="0" fillId="13" borderId="4" xfId="1" applyNumberFormat="1" applyFont="1" applyFill="1" applyBorder="1"/>
    <xf numFmtId="4" fontId="0" fillId="13" borderId="4" xfId="0" applyNumberFormat="1" applyFill="1" applyBorder="1"/>
    <xf numFmtId="8" fontId="2" fillId="3" borderId="0" xfId="0" applyNumberFormat="1" applyFont="1" applyFill="1" applyAlignment="1">
      <alignment horizontal="right" wrapText="1"/>
    </xf>
    <xf numFmtId="3" fontId="0" fillId="14" borderId="4" xfId="0" applyNumberFormat="1" applyFill="1" applyBorder="1"/>
    <xf numFmtId="3" fontId="0" fillId="14" borderId="28" xfId="0" applyNumberFormat="1" applyFill="1" applyBorder="1"/>
    <xf numFmtId="4" fontId="0" fillId="14" borderId="4" xfId="0" applyNumberFormat="1" applyFill="1" applyBorder="1"/>
    <xf numFmtId="3" fontId="0" fillId="5" borderId="4" xfId="0" applyNumberFormat="1" applyFill="1" applyBorder="1"/>
    <xf numFmtId="3" fontId="0" fillId="5" borderId="28" xfId="0" applyNumberFormat="1" applyFill="1" applyBorder="1"/>
    <xf numFmtId="4" fontId="0" fillId="5" borderId="4" xfId="0" applyNumberFormat="1" applyFill="1" applyBorder="1"/>
    <xf numFmtId="1" fontId="22" fillId="5" borderId="12" xfId="0" applyNumberFormat="1" applyFont="1" applyFill="1" applyBorder="1" applyAlignment="1">
      <alignment vertical="center"/>
    </xf>
    <xf numFmtId="1" fontId="22" fillId="2" borderId="12" xfId="0" applyNumberFormat="1" applyFont="1" applyFill="1" applyBorder="1" applyAlignment="1">
      <alignment vertical="center"/>
    </xf>
    <xf numFmtId="0" fontId="25" fillId="0" borderId="1" xfId="0" applyFont="1" applyBorder="1"/>
    <xf numFmtId="0" fontId="0" fillId="2" borderId="18" xfId="0" applyFill="1" applyBorder="1"/>
    <xf numFmtId="44" fontId="0" fillId="7" borderId="1" xfId="1" applyFont="1" applyFill="1" applyBorder="1"/>
    <xf numFmtId="0" fontId="3" fillId="0" borderId="1" xfId="0" applyFont="1" applyBorder="1" applyAlignment="1">
      <alignment vertical="center" wrapText="1"/>
    </xf>
    <xf numFmtId="44" fontId="4" fillId="13" borderId="1" xfId="1" applyFont="1" applyFill="1" applyBorder="1"/>
    <xf numFmtId="0" fontId="0" fillId="15" borderId="16" xfId="0" applyFill="1" applyBorder="1"/>
    <xf numFmtId="0" fontId="0" fillId="15" borderId="14" xfId="0" applyFill="1" applyBorder="1"/>
    <xf numFmtId="0" fontId="0" fillId="2" borderId="14" xfId="0" applyFill="1" applyBorder="1"/>
    <xf numFmtId="0" fontId="0" fillId="2" borderId="17" xfId="0" applyFill="1" applyBorder="1"/>
    <xf numFmtId="0" fontId="0" fillId="15" borderId="18" xfId="0" applyFill="1" applyBorder="1"/>
    <xf numFmtId="0" fontId="0" fillId="15" borderId="0" xfId="0" applyFill="1"/>
    <xf numFmtId="16" fontId="0" fillId="15" borderId="0" xfId="0" applyNumberFormat="1" applyFill="1"/>
    <xf numFmtId="0" fontId="26" fillId="2" borderId="0" xfId="5" applyFill="1" applyAlignment="1">
      <alignment horizontal="center"/>
    </xf>
    <xf numFmtId="0" fontId="0" fillId="2" borderId="0" xfId="0" applyFill="1" applyAlignment="1">
      <alignment horizontal="center"/>
    </xf>
    <xf numFmtId="0" fontId="0" fillId="2" borderId="19" xfId="0" applyFill="1" applyBorder="1" applyAlignment="1">
      <alignment horizontal="center"/>
    </xf>
    <xf numFmtId="0" fontId="0" fillId="2" borderId="19" xfId="0" applyFill="1" applyBorder="1"/>
    <xf numFmtId="0" fontId="0" fillId="16" borderId="16" xfId="0" applyFill="1" applyBorder="1"/>
    <xf numFmtId="0" fontId="0" fillId="16" borderId="14" xfId="0" applyFill="1" applyBorder="1"/>
    <xf numFmtId="0" fontId="0" fillId="16" borderId="18" xfId="0" applyFill="1" applyBorder="1"/>
    <xf numFmtId="0" fontId="0" fillId="16" borderId="0" xfId="0" applyFill="1"/>
    <xf numFmtId="16" fontId="0" fillId="16" borderId="0" xfId="0" applyNumberFormat="1" applyFill="1"/>
    <xf numFmtId="0" fontId="0" fillId="16" borderId="1" xfId="0" applyFill="1" applyBorder="1"/>
    <xf numFmtId="0" fontId="0" fillId="17" borderId="16" xfId="0" applyFill="1" applyBorder="1"/>
    <xf numFmtId="0" fontId="0" fillId="17" borderId="14" xfId="0" applyFill="1" applyBorder="1"/>
    <xf numFmtId="0" fontId="0" fillId="17" borderId="18" xfId="0" applyFill="1" applyBorder="1"/>
    <xf numFmtId="0" fontId="0" fillId="17" borderId="0" xfId="0" applyFill="1"/>
    <xf numFmtId="16" fontId="0" fillId="17" borderId="0" xfId="0" applyNumberFormat="1" applyFill="1"/>
    <xf numFmtId="0" fontId="0" fillId="10" borderId="18" xfId="0" applyFill="1" applyBorder="1"/>
    <xf numFmtId="0" fontId="0" fillId="10" borderId="0" xfId="0" applyFill="1"/>
    <xf numFmtId="16" fontId="0" fillId="10" borderId="0" xfId="0" applyNumberFormat="1" applyFill="1"/>
    <xf numFmtId="0" fontId="0" fillId="9" borderId="16" xfId="0" applyFill="1" applyBorder="1"/>
    <xf numFmtId="0" fontId="0" fillId="9" borderId="14" xfId="0" applyFill="1" applyBorder="1"/>
    <xf numFmtId="0" fontId="0" fillId="9" borderId="18" xfId="0" applyFill="1" applyBorder="1"/>
    <xf numFmtId="0" fontId="0" fillId="9" borderId="0" xfId="0" applyFill="1"/>
    <xf numFmtId="16" fontId="0" fillId="9" borderId="0" xfId="0" applyNumberFormat="1" applyFill="1"/>
    <xf numFmtId="16" fontId="0" fillId="2" borderId="1" xfId="0" applyNumberFormat="1" applyFill="1" applyBorder="1"/>
    <xf numFmtId="0" fontId="0" fillId="18" borderId="16" xfId="0" applyFill="1" applyBorder="1"/>
    <xf numFmtId="0" fontId="0" fillId="18" borderId="14" xfId="0" applyFill="1" applyBorder="1"/>
    <xf numFmtId="0" fontId="0" fillId="18" borderId="18" xfId="0" applyFill="1" applyBorder="1"/>
    <xf numFmtId="0" fontId="0" fillId="18" borderId="0" xfId="0" applyFill="1"/>
    <xf numFmtId="16" fontId="0" fillId="18" borderId="0" xfId="0" applyNumberFormat="1" applyFill="1"/>
    <xf numFmtId="164" fontId="15" fillId="0" borderId="1" xfId="2" applyFont="1" applyBorder="1"/>
    <xf numFmtId="0" fontId="6" fillId="0" borderId="1" xfId="0" applyFont="1" applyBorder="1" applyAlignment="1">
      <alignment wrapText="1"/>
    </xf>
    <xf numFmtId="0" fontId="0" fillId="9" borderId="0" xfId="0" applyFill="1" applyAlignment="1">
      <alignment horizontal="left" vertical="center" wrapText="1"/>
    </xf>
    <xf numFmtId="0" fontId="0" fillId="2" borderId="0" xfId="0" applyFill="1" applyAlignment="1">
      <alignment horizontal="center" vertical="center" wrapText="1"/>
    </xf>
    <xf numFmtId="0" fontId="2" fillId="4" borderId="6" xfId="0" applyFont="1" applyFill="1" applyBorder="1" applyAlignment="1">
      <alignment horizontal="left"/>
    </xf>
    <xf numFmtId="0" fontId="2" fillId="4" borderId="7" xfId="0" applyFont="1" applyFill="1" applyBorder="1" applyAlignment="1">
      <alignment horizontal="left"/>
    </xf>
    <xf numFmtId="0" fontId="2" fillId="4" borderId="8" xfId="0" applyFont="1" applyFill="1" applyBorder="1" applyAlignment="1">
      <alignment horizontal="left"/>
    </xf>
    <xf numFmtId="0" fontId="2" fillId="4" borderId="6" xfId="0" applyFont="1" applyFill="1" applyBorder="1" applyAlignment="1">
      <alignment horizontal="center"/>
    </xf>
    <xf numFmtId="0" fontId="2" fillId="4" borderId="7" xfId="0" applyFont="1" applyFill="1" applyBorder="1" applyAlignment="1">
      <alignment horizontal="center"/>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18" fillId="10" borderId="0" xfId="0" applyFont="1" applyFill="1" applyAlignment="1">
      <alignment horizontal="center" vertical="center"/>
    </xf>
    <xf numFmtId="0" fontId="19" fillId="9" borderId="0" xfId="0" applyFont="1" applyFill="1" applyAlignment="1">
      <alignment horizontal="left" vertical="center" wrapText="1"/>
    </xf>
    <xf numFmtId="0" fontId="0" fillId="0" borderId="6" xfId="0" applyBorder="1" applyAlignment="1">
      <alignment horizontal="left" vertical="center" wrapText="1"/>
    </xf>
    <xf numFmtId="0" fontId="0" fillId="0" borderId="8" xfId="0" applyBorder="1" applyAlignment="1">
      <alignment horizontal="left" vertical="center" wrapText="1"/>
    </xf>
    <xf numFmtId="0" fontId="0" fillId="2" borderId="8" xfId="0" applyFill="1" applyBorder="1" applyAlignment="1">
      <alignment horizontal="left" vertical="center" wrapText="1"/>
    </xf>
    <xf numFmtId="0" fontId="0" fillId="3" borderId="20" xfId="0" applyFill="1" applyBorder="1" applyAlignment="1">
      <alignment horizontal="center" vertical="center" wrapText="1"/>
    </xf>
    <xf numFmtId="0" fontId="0" fillId="3" borderId="21" xfId="0" applyFill="1" applyBorder="1" applyAlignment="1">
      <alignment horizontal="center" vertical="center" wrapText="1"/>
    </xf>
    <xf numFmtId="0" fontId="0" fillId="3" borderId="22" xfId="0" applyFill="1" applyBorder="1" applyAlignment="1">
      <alignment horizontal="center" vertical="center" wrapText="1"/>
    </xf>
    <xf numFmtId="0" fontId="0" fillId="3" borderId="20" xfId="0" applyFill="1" applyBorder="1" applyAlignment="1">
      <alignment horizontal="center" vertical="center"/>
    </xf>
    <xf numFmtId="0" fontId="0" fillId="3" borderId="21" xfId="0" applyFill="1" applyBorder="1" applyAlignment="1">
      <alignment horizontal="center" vertical="center"/>
    </xf>
    <xf numFmtId="0" fontId="0" fillId="3" borderId="16" xfId="0" applyFill="1" applyBorder="1" applyAlignment="1">
      <alignment horizontal="center" vertical="center"/>
    </xf>
    <xf numFmtId="0" fontId="0" fillId="3" borderId="18" xfId="0" applyFill="1" applyBorder="1" applyAlignment="1">
      <alignment horizontal="center" vertical="center"/>
    </xf>
    <xf numFmtId="0" fontId="11" fillId="3" borderId="20" xfId="0" applyFont="1" applyFill="1" applyBorder="1" applyAlignment="1">
      <alignment horizontal="center" vertical="center"/>
    </xf>
    <xf numFmtId="0" fontId="11" fillId="3" borderId="21" xfId="0" applyFont="1" applyFill="1" applyBorder="1" applyAlignment="1">
      <alignment horizontal="center" vertical="center"/>
    </xf>
    <xf numFmtId="0" fontId="0" fillId="0" borderId="0" xfId="0" applyAlignment="1">
      <alignment horizontal="center" wrapText="1"/>
    </xf>
    <xf numFmtId="0" fontId="6" fillId="9" borderId="0" xfId="0" applyFont="1" applyFill="1" applyAlignment="1">
      <alignment horizontal="left" vertical="center" wrapText="1"/>
    </xf>
    <xf numFmtId="0" fontId="2" fillId="9" borderId="0" xfId="0" applyFont="1" applyFill="1" applyAlignment="1">
      <alignment horizontal="center" vertical="center" wrapText="1"/>
    </xf>
    <xf numFmtId="44" fontId="2" fillId="3" borderId="14" xfId="0" applyNumberFormat="1" applyFont="1" applyFill="1" applyBorder="1" applyAlignment="1">
      <alignment horizontal="center" wrapText="1"/>
    </xf>
    <xf numFmtId="6" fontId="2" fillId="3" borderId="14" xfId="0" applyNumberFormat="1" applyFont="1" applyFill="1" applyBorder="1" applyAlignment="1">
      <alignment horizontal="center" wrapText="1"/>
    </xf>
    <xf numFmtId="0" fontId="11" fillId="3" borderId="16" xfId="0" applyFont="1" applyFill="1" applyBorder="1" applyAlignment="1">
      <alignment horizontal="center" vertical="center"/>
    </xf>
    <xf numFmtId="0" fontId="11" fillId="3" borderId="18" xfId="0" applyFont="1" applyFill="1" applyBorder="1" applyAlignment="1">
      <alignment horizontal="center" vertical="center"/>
    </xf>
    <xf numFmtId="0" fontId="13" fillId="3" borderId="20" xfId="0" applyFont="1" applyFill="1" applyBorder="1" applyAlignment="1">
      <alignment horizontal="center" vertical="center" wrapText="1"/>
    </xf>
    <xf numFmtId="0" fontId="13" fillId="3" borderId="21" xfId="0" applyFont="1" applyFill="1" applyBorder="1" applyAlignment="1">
      <alignment horizontal="center" vertical="center" wrapText="1"/>
    </xf>
    <xf numFmtId="0" fontId="2" fillId="9" borderId="0" xfId="0" applyFont="1" applyFill="1" applyAlignment="1">
      <alignment horizontal="left" vertical="center" wrapText="1"/>
    </xf>
    <xf numFmtId="1" fontId="19" fillId="5" borderId="16" xfId="0" applyNumberFormat="1" applyFont="1" applyFill="1" applyBorder="1" applyAlignment="1">
      <alignment horizontal="left" vertical="center" wrapText="1"/>
    </xf>
    <xf numFmtId="1" fontId="19" fillId="5" borderId="14" xfId="0" applyNumberFormat="1" applyFont="1" applyFill="1" applyBorder="1" applyAlignment="1">
      <alignment horizontal="left" vertical="center"/>
    </xf>
    <xf numFmtId="1" fontId="19" fillId="5" borderId="17" xfId="0" applyNumberFormat="1" applyFont="1" applyFill="1" applyBorder="1" applyAlignment="1">
      <alignment horizontal="left" vertical="center"/>
    </xf>
    <xf numFmtId="1" fontId="19" fillId="5" borderId="18" xfId="0" applyNumberFormat="1" applyFont="1" applyFill="1" applyBorder="1" applyAlignment="1">
      <alignment horizontal="left" vertical="center"/>
    </xf>
    <xf numFmtId="1" fontId="19" fillId="5" borderId="0" xfId="0" applyNumberFormat="1" applyFont="1" applyFill="1" applyAlignment="1">
      <alignment horizontal="left" vertical="center"/>
    </xf>
    <xf numFmtId="1" fontId="19" fillId="5" borderId="19" xfId="0" applyNumberFormat="1" applyFont="1" applyFill="1" applyBorder="1" applyAlignment="1">
      <alignment horizontal="left" vertical="center"/>
    </xf>
    <xf numFmtId="1" fontId="19" fillId="5" borderId="23" xfId="0" applyNumberFormat="1" applyFont="1" applyFill="1" applyBorder="1" applyAlignment="1">
      <alignment horizontal="left" vertical="center"/>
    </xf>
    <xf numFmtId="1" fontId="19" fillId="5" borderId="9" xfId="0" applyNumberFormat="1" applyFont="1" applyFill="1" applyBorder="1" applyAlignment="1">
      <alignment horizontal="left" vertical="center"/>
    </xf>
    <xf numFmtId="1" fontId="19" fillId="5" borderId="10" xfId="0" applyNumberFormat="1" applyFont="1" applyFill="1" applyBorder="1" applyAlignment="1">
      <alignment horizontal="left" vertical="center"/>
    </xf>
    <xf numFmtId="1" fontId="21" fillId="12" borderId="16" xfId="0" applyNumberFormat="1" applyFont="1" applyFill="1" applyBorder="1" applyAlignment="1">
      <alignment horizontal="left" vertical="center"/>
    </xf>
    <xf numFmtId="1" fontId="21" fillId="12" borderId="14" xfId="0" applyNumberFormat="1" applyFont="1" applyFill="1" applyBorder="1" applyAlignment="1">
      <alignment horizontal="left" vertical="center"/>
    </xf>
    <xf numFmtId="1" fontId="21" fillId="12" borderId="17" xfId="0" applyNumberFormat="1" applyFont="1" applyFill="1" applyBorder="1" applyAlignment="1">
      <alignment horizontal="left" vertical="center"/>
    </xf>
    <xf numFmtId="1" fontId="21" fillId="12" borderId="23" xfId="0" applyNumberFormat="1" applyFont="1" applyFill="1" applyBorder="1" applyAlignment="1">
      <alignment horizontal="left" vertical="center"/>
    </xf>
    <xf numFmtId="1" fontId="21" fillId="12" borderId="9" xfId="0" applyNumberFormat="1" applyFont="1" applyFill="1" applyBorder="1" applyAlignment="1">
      <alignment horizontal="left" vertical="center"/>
    </xf>
    <xf numFmtId="1" fontId="21" fillId="12" borderId="10" xfId="0" applyNumberFormat="1" applyFont="1" applyFill="1" applyBorder="1" applyAlignment="1">
      <alignment horizontal="left" vertical="center"/>
    </xf>
    <xf numFmtId="0" fontId="2" fillId="3" borderId="16" xfId="0" applyFont="1" applyFill="1" applyBorder="1" applyAlignment="1">
      <alignment horizontal="left" vertical="center" wrapText="1"/>
    </xf>
    <xf numFmtId="0" fontId="2" fillId="3" borderId="14" xfId="0" applyFont="1" applyFill="1" applyBorder="1" applyAlignment="1">
      <alignment horizontal="left" vertical="center"/>
    </xf>
    <xf numFmtId="0" fontId="2" fillId="3" borderId="18" xfId="0" applyFont="1" applyFill="1" applyBorder="1" applyAlignment="1">
      <alignment horizontal="left" vertical="center"/>
    </xf>
    <xf numFmtId="0" fontId="2" fillId="3" borderId="0" xfId="0" applyFont="1" applyFill="1" applyAlignment="1">
      <alignment horizontal="left" vertical="center"/>
    </xf>
    <xf numFmtId="0" fontId="2" fillId="3" borderId="23" xfId="0" applyFont="1" applyFill="1" applyBorder="1" applyAlignment="1">
      <alignment horizontal="left" vertical="center"/>
    </xf>
    <xf numFmtId="0" fontId="2" fillId="3" borderId="9" xfId="0" applyFont="1" applyFill="1" applyBorder="1" applyAlignment="1">
      <alignment horizontal="left" vertical="center"/>
    </xf>
    <xf numFmtId="1" fontId="22" fillId="9" borderId="0" xfId="0" applyNumberFormat="1" applyFont="1" applyFill="1" applyAlignment="1">
      <alignment horizontal="center" vertical="center"/>
    </xf>
    <xf numFmtId="1" fontId="22" fillId="9" borderId="19" xfId="0" applyNumberFormat="1" applyFont="1" applyFill="1" applyBorder="1" applyAlignment="1">
      <alignment horizontal="center" vertical="center"/>
    </xf>
    <xf numFmtId="1" fontId="22" fillId="9" borderId="9" xfId="0" applyNumberFormat="1" applyFont="1" applyFill="1" applyBorder="1" applyAlignment="1">
      <alignment horizontal="center" vertical="center"/>
    </xf>
    <xf numFmtId="1" fontId="22" fillId="9" borderId="10" xfId="0" applyNumberFormat="1" applyFont="1" applyFill="1" applyBorder="1" applyAlignment="1">
      <alignment horizontal="center" vertical="center"/>
    </xf>
    <xf numFmtId="0" fontId="2" fillId="11" borderId="20" xfId="0" applyFont="1" applyFill="1" applyBorder="1" applyAlignment="1">
      <alignment horizontal="center" vertical="center" wrapText="1"/>
    </xf>
    <xf numFmtId="0" fontId="2" fillId="11" borderId="21" xfId="0" applyFont="1" applyFill="1" applyBorder="1" applyAlignment="1">
      <alignment horizontal="center" vertical="center" wrapText="1"/>
    </xf>
    <xf numFmtId="0" fontId="2" fillId="11" borderId="29" xfId="0" applyFont="1" applyFill="1" applyBorder="1" applyAlignment="1">
      <alignment horizontal="center" vertical="center" wrapText="1"/>
    </xf>
    <xf numFmtId="0" fontId="0" fillId="3" borderId="29" xfId="0" applyFill="1" applyBorder="1" applyAlignment="1">
      <alignment horizontal="center" vertical="center" wrapText="1"/>
    </xf>
    <xf numFmtId="0" fontId="0" fillId="3" borderId="29" xfId="0" applyFill="1" applyBorder="1" applyAlignment="1">
      <alignment horizontal="center" vertical="center"/>
    </xf>
    <xf numFmtId="6" fontId="0" fillId="2" borderId="16" xfId="0" applyNumberFormat="1" applyFill="1" applyBorder="1" applyAlignment="1">
      <alignment horizontal="center" vertical="center" wrapText="1"/>
    </xf>
    <xf numFmtId="6" fontId="0" fillId="2" borderId="14" xfId="0" applyNumberFormat="1" applyFill="1" applyBorder="1" applyAlignment="1">
      <alignment horizontal="center" vertical="center" wrapText="1"/>
    </xf>
    <xf numFmtId="6" fontId="0" fillId="2" borderId="17" xfId="0" applyNumberFormat="1" applyFill="1" applyBorder="1" applyAlignment="1">
      <alignment horizontal="center" vertical="center" wrapText="1"/>
    </xf>
    <xf numFmtId="6" fontId="0" fillId="2" borderId="18" xfId="0" applyNumberFormat="1" applyFill="1" applyBorder="1" applyAlignment="1">
      <alignment horizontal="center" vertical="center" wrapText="1"/>
    </xf>
    <xf numFmtId="6" fontId="0" fillId="2" borderId="0" xfId="0" applyNumberFormat="1" applyFill="1" applyAlignment="1">
      <alignment horizontal="center" vertical="center" wrapText="1"/>
    </xf>
    <xf numFmtId="6" fontId="0" fillId="2" borderId="19" xfId="0" applyNumberFormat="1" applyFill="1" applyBorder="1" applyAlignment="1">
      <alignment horizontal="center" vertical="center" wrapText="1"/>
    </xf>
    <xf numFmtId="6" fontId="0" fillId="2" borderId="23" xfId="0" applyNumberFormat="1" applyFill="1" applyBorder="1" applyAlignment="1">
      <alignment horizontal="center" vertical="center" wrapText="1"/>
    </xf>
    <xf numFmtId="6" fontId="0" fillId="2" borderId="9" xfId="0" applyNumberFormat="1" applyFill="1" applyBorder="1" applyAlignment="1">
      <alignment horizontal="center" vertical="center" wrapText="1"/>
    </xf>
    <xf numFmtId="6" fontId="0" fillId="2" borderId="10" xfId="0" applyNumberFormat="1" applyFill="1" applyBorder="1" applyAlignment="1">
      <alignment horizontal="center" vertical="center" wrapText="1"/>
    </xf>
    <xf numFmtId="0" fontId="2" fillId="17" borderId="20" xfId="0" applyFont="1" applyFill="1" applyBorder="1" applyAlignment="1">
      <alignment horizontal="left" vertical="center" wrapText="1"/>
    </xf>
    <xf numFmtId="0" fontId="2" fillId="17" borderId="29" xfId="0" applyFont="1" applyFill="1" applyBorder="1" applyAlignment="1">
      <alignment horizontal="left" vertical="center" wrapText="1"/>
    </xf>
    <xf numFmtId="44" fontId="4" fillId="2" borderId="28" xfId="1" applyFont="1" applyFill="1" applyBorder="1"/>
    <xf numFmtId="44" fontId="4" fillId="2" borderId="4" xfId="1" applyFont="1" applyFill="1" applyBorder="1"/>
    <xf numFmtId="44" fontId="4" fillId="2" borderId="6" xfId="0" applyNumberFormat="1" applyFont="1" applyFill="1" applyBorder="1"/>
    <xf numFmtId="44" fontId="4" fillId="2" borderId="19" xfId="1" applyFont="1" applyFill="1" applyBorder="1"/>
    <xf numFmtId="44" fontId="19" fillId="17" borderId="17" xfId="0" applyNumberFormat="1" applyFont="1" applyFill="1" applyBorder="1" applyAlignment="1">
      <alignment horizontal="center" vertical="center"/>
    </xf>
    <xf numFmtId="0" fontId="19" fillId="17" borderId="10" xfId="0" applyFont="1" applyFill="1" applyBorder="1" applyAlignment="1">
      <alignment horizontal="center" vertical="center"/>
    </xf>
    <xf numFmtId="0" fontId="4" fillId="3" borderId="20" xfId="0" applyFont="1" applyFill="1" applyBorder="1" applyAlignment="1">
      <alignment horizontal="center" vertical="center" wrapText="1"/>
    </xf>
    <xf numFmtId="0" fontId="4" fillId="3" borderId="21" xfId="0" applyFont="1" applyFill="1" applyBorder="1" applyAlignment="1">
      <alignment horizontal="center" vertical="center" wrapText="1"/>
    </xf>
    <xf numFmtId="0" fontId="4" fillId="3" borderId="29" xfId="0" applyFont="1" applyFill="1" applyBorder="1" applyAlignment="1">
      <alignment horizontal="center" vertical="center" wrapText="1"/>
    </xf>
    <xf numFmtId="0" fontId="3" fillId="0" borderId="1" xfId="0" applyFont="1" applyBorder="1" applyAlignment="1">
      <alignment horizontal="left" wrapText="1"/>
    </xf>
    <xf numFmtId="0" fontId="27" fillId="19" borderId="16" xfId="0" applyFont="1" applyFill="1" applyBorder="1" applyAlignment="1">
      <alignment horizontal="left" vertical="center" wrapText="1"/>
    </xf>
    <xf numFmtId="0" fontId="27" fillId="19" borderId="17" xfId="0" applyFont="1" applyFill="1" applyBorder="1" applyAlignment="1">
      <alignment horizontal="left" vertical="center" wrapText="1"/>
    </xf>
    <xf numFmtId="0" fontId="27" fillId="19" borderId="18" xfId="0" applyFont="1" applyFill="1" applyBorder="1" applyAlignment="1">
      <alignment horizontal="left" vertical="center" wrapText="1"/>
    </xf>
    <xf numFmtId="0" fontId="27" fillId="19" borderId="19" xfId="0" applyFont="1" applyFill="1" applyBorder="1" applyAlignment="1">
      <alignment horizontal="left" vertical="center" wrapText="1"/>
    </xf>
    <xf numFmtId="0" fontId="27" fillId="19" borderId="23" xfId="0" applyFont="1" applyFill="1" applyBorder="1" applyAlignment="1">
      <alignment horizontal="left" vertical="center" wrapText="1"/>
    </xf>
    <xf numFmtId="0" fontId="27" fillId="19" borderId="10" xfId="0" applyFont="1" applyFill="1" applyBorder="1" applyAlignment="1">
      <alignment horizontal="left" vertical="center" wrapText="1"/>
    </xf>
    <xf numFmtId="1" fontId="28" fillId="11" borderId="11" xfId="0" applyNumberFormat="1" applyFont="1" applyFill="1" applyBorder="1" applyAlignment="1">
      <alignment horizontal="left" vertical="center" wrapText="1"/>
    </xf>
    <xf numFmtId="1" fontId="28" fillId="11" borderId="12" xfId="0" applyNumberFormat="1" applyFont="1" applyFill="1" applyBorder="1" applyAlignment="1">
      <alignment horizontal="left" vertical="center" wrapText="1"/>
    </xf>
    <xf numFmtId="1" fontId="28" fillId="11" borderId="13" xfId="0" applyNumberFormat="1" applyFont="1" applyFill="1" applyBorder="1" applyAlignment="1">
      <alignment horizontal="left" vertical="center" wrapText="1"/>
    </xf>
  </cellXfs>
  <cellStyles count="6">
    <cellStyle name="Hipervínculo" xfId="5" builtinId="8"/>
    <cellStyle name="Millares" xfId="3" builtinId="3"/>
    <cellStyle name="Moneda" xfId="1" builtinId="4"/>
    <cellStyle name="Moneda 2" xfId="2" xr:uid="{00000000-0005-0000-0000-000002000000}"/>
    <cellStyle name="Normal" xfId="0" builtinId="0"/>
    <cellStyle name="Normal 2" xfId="4" xr:uid="{F448D45D-4768-48C8-A208-BDCED71CF0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92074</xdr:colOff>
      <xdr:row>0</xdr:row>
      <xdr:rowOff>86782</xdr:rowOff>
    </xdr:from>
    <xdr:to>
      <xdr:col>1</xdr:col>
      <xdr:colOff>1238250</xdr:colOff>
      <xdr:row>6</xdr:row>
      <xdr:rowOff>148166</xdr:rowOff>
    </xdr:to>
    <xdr:pic>
      <xdr:nvPicPr>
        <xdr:cNvPr id="4" name="1 Imagen" descr="C:\Users\Particular\Desktop\NATI\CONSORCIOS RC\WhatsApp Image 2020-12-10 at 14.53.20.jpe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074" y="86782"/>
          <a:ext cx="3379259" cy="1511301"/>
        </a:xfrm>
        <a:prstGeom prst="rect">
          <a:avLst/>
        </a:prstGeom>
        <a:noFill/>
        <a:ln>
          <a:noFill/>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34"/>
  <sheetViews>
    <sheetView tabSelected="1" zoomScale="80" zoomScaleNormal="80" workbookViewId="0">
      <selection activeCell="A127" sqref="A127:B129"/>
    </sheetView>
  </sheetViews>
  <sheetFormatPr baseColWidth="10" defaultRowHeight="15" x14ac:dyDescent="0.25"/>
  <cols>
    <col min="1" max="1" width="33.42578125" customWidth="1"/>
    <col min="2" max="2" width="36.85546875" customWidth="1"/>
    <col min="3" max="3" width="17.42578125" customWidth="1"/>
    <col min="4" max="4" width="21.7109375" customWidth="1"/>
    <col min="5" max="5" width="18" customWidth="1"/>
    <col min="6" max="9" width="15.7109375" customWidth="1"/>
    <col min="10" max="10" width="14.7109375" customWidth="1"/>
    <col min="11" max="11" width="18.140625" customWidth="1"/>
    <col min="12" max="12" width="16.140625" customWidth="1"/>
    <col min="13" max="13" width="13" bestFit="1" customWidth="1"/>
    <col min="14" max="14" width="14.5703125" bestFit="1" customWidth="1"/>
    <col min="16" max="16" width="18" customWidth="1"/>
    <col min="17" max="17" width="18.28515625" customWidth="1"/>
  </cols>
  <sheetData>
    <row r="1" spans="1:10" ht="18.75" x14ac:dyDescent="0.3">
      <c r="A1" s="106"/>
      <c r="B1" s="115"/>
      <c r="C1" s="122" t="s">
        <v>250</v>
      </c>
      <c r="D1" s="122"/>
      <c r="E1" s="123"/>
      <c r="F1" s="123"/>
      <c r="G1" s="104"/>
      <c r="H1" s="104"/>
      <c r="I1" s="104"/>
      <c r="J1" s="105"/>
    </row>
    <row r="2" spans="1:10" ht="18.75" x14ac:dyDescent="0.3">
      <c r="A2" s="107"/>
      <c r="B2" s="116"/>
      <c r="C2" s="116" t="s">
        <v>247</v>
      </c>
      <c r="D2" s="116"/>
      <c r="E2" s="117"/>
      <c r="F2" s="117"/>
      <c r="G2" s="117"/>
      <c r="H2" s="117"/>
      <c r="I2" s="117"/>
      <c r="J2" s="103"/>
    </row>
    <row r="3" spans="1:10" ht="18.75" x14ac:dyDescent="0.3">
      <c r="A3" s="107"/>
      <c r="B3" s="116"/>
      <c r="C3" s="116" t="s">
        <v>277</v>
      </c>
      <c r="D3" s="116"/>
      <c r="E3" s="116" t="s">
        <v>248</v>
      </c>
      <c r="F3" s="117"/>
      <c r="G3" s="117"/>
      <c r="H3" s="117"/>
      <c r="I3" s="117"/>
      <c r="J3" s="103"/>
    </row>
    <row r="4" spans="1:10" ht="18" customHeight="1" x14ac:dyDescent="0.3">
      <c r="A4" s="107"/>
      <c r="B4" s="116"/>
      <c r="C4" s="116" t="s">
        <v>249</v>
      </c>
      <c r="D4" s="117"/>
      <c r="E4" s="117"/>
      <c r="F4" s="117"/>
      <c r="G4" s="117"/>
      <c r="H4" s="117"/>
      <c r="I4" s="117"/>
      <c r="J4" s="103"/>
    </row>
    <row r="5" spans="1:10" ht="18.75" x14ac:dyDescent="0.3">
      <c r="A5" s="111"/>
      <c r="B5" s="116"/>
      <c r="C5" s="116" t="s">
        <v>374</v>
      </c>
      <c r="D5" s="116"/>
      <c r="E5" s="116" t="s">
        <v>337</v>
      </c>
      <c r="F5" s="116"/>
      <c r="G5" s="116"/>
      <c r="H5" s="116"/>
      <c r="I5" s="116"/>
      <c r="J5" s="112"/>
    </row>
    <row r="6" spans="1:10" ht="18.75" x14ac:dyDescent="0.3">
      <c r="A6" s="111"/>
      <c r="B6" s="116"/>
      <c r="C6" s="116" t="s">
        <v>0</v>
      </c>
      <c r="D6" s="116"/>
      <c r="E6" s="116"/>
      <c r="F6" s="116"/>
      <c r="G6" s="116"/>
      <c r="H6" s="116"/>
      <c r="I6" s="116"/>
      <c r="J6" s="112"/>
    </row>
    <row r="7" spans="1:10" ht="19.5" thickBot="1" x14ac:dyDescent="0.35">
      <c r="A7" s="113"/>
      <c r="B7" s="114"/>
      <c r="C7" s="114"/>
      <c r="D7" s="114"/>
      <c r="E7" s="114"/>
      <c r="F7" s="114"/>
      <c r="G7" s="114"/>
      <c r="H7" s="114"/>
      <c r="I7" s="114"/>
      <c r="J7" s="118"/>
    </row>
    <row r="9" spans="1:10" hidden="1" x14ac:dyDescent="0.25"/>
    <row r="10" spans="1:10" hidden="1" x14ac:dyDescent="0.25"/>
    <row r="11" spans="1:10" hidden="1" x14ac:dyDescent="0.25"/>
    <row r="12" spans="1:10" hidden="1" x14ac:dyDescent="0.25"/>
    <row r="14" spans="1:10" ht="15" customHeight="1" x14ac:dyDescent="0.25">
      <c r="A14" s="275" t="s">
        <v>246</v>
      </c>
      <c r="B14" s="275"/>
      <c r="C14" s="275"/>
      <c r="D14" s="275"/>
      <c r="E14" s="275"/>
      <c r="F14" s="275"/>
      <c r="G14" s="275"/>
      <c r="H14" s="275"/>
      <c r="I14" s="275"/>
      <c r="J14" s="275"/>
    </row>
    <row r="15" spans="1:10" ht="15" customHeight="1" x14ac:dyDescent="0.25">
      <c r="A15" s="275"/>
      <c r="B15" s="275"/>
      <c r="C15" s="275"/>
      <c r="D15" s="275"/>
      <c r="E15" s="275"/>
      <c r="F15" s="275"/>
      <c r="G15" s="275"/>
      <c r="H15" s="275"/>
      <c r="I15" s="275"/>
      <c r="J15" s="275"/>
    </row>
    <row r="16" spans="1:10" ht="15" customHeight="1" x14ac:dyDescent="0.25">
      <c r="A16" s="275"/>
      <c r="B16" s="275"/>
      <c r="C16" s="275"/>
      <c r="D16" s="275"/>
      <c r="E16" s="275"/>
      <c r="F16" s="275"/>
      <c r="G16" s="275"/>
      <c r="H16" s="275"/>
      <c r="I16" s="275"/>
      <c r="J16" s="275"/>
    </row>
    <row r="17" spans="1:12" ht="25.15" customHeight="1" x14ac:dyDescent="0.25">
      <c r="A17" s="275"/>
      <c r="B17" s="275"/>
      <c r="C17" s="275"/>
      <c r="D17" s="275"/>
      <c r="E17" s="275"/>
      <c r="F17" s="275"/>
      <c r="G17" s="275"/>
      <c r="H17" s="275"/>
      <c r="I17" s="275"/>
      <c r="J17" s="275"/>
    </row>
    <row r="18" spans="1:12" ht="47.45" customHeight="1" x14ac:dyDescent="0.25">
      <c r="A18" s="275"/>
      <c r="B18" s="275"/>
      <c r="C18" s="275"/>
      <c r="D18" s="275"/>
      <c r="E18" s="275"/>
      <c r="F18" s="275"/>
      <c r="G18" s="275"/>
      <c r="H18" s="275"/>
      <c r="I18" s="275"/>
      <c r="J18" s="275"/>
    </row>
    <row r="19" spans="1:12" x14ac:dyDescent="0.25">
      <c r="A19" s="1"/>
      <c r="H19" s="89"/>
    </row>
    <row r="20" spans="1:12" x14ac:dyDescent="0.25">
      <c r="A20" s="284" t="s">
        <v>373</v>
      </c>
      <c r="B20" s="284"/>
      <c r="C20" s="284"/>
      <c r="D20" s="284"/>
      <c r="E20" s="284"/>
      <c r="F20" s="284"/>
      <c r="G20" s="284"/>
      <c r="H20" s="284"/>
      <c r="I20" s="284"/>
      <c r="J20" s="284"/>
    </row>
    <row r="21" spans="1:12" x14ac:dyDescent="0.25">
      <c r="A21" s="284"/>
      <c r="B21" s="284"/>
      <c r="C21" s="284"/>
      <c r="D21" s="284"/>
      <c r="E21" s="284"/>
      <c r="F21" s="284"/>
      <c r="G21" s="284"/>
      <c r="H21" s="284"/>
      <c r="I21" s="284"/>
      <c r="J21" s="284"/>
    </row>
    <row r="22" spans="1:12" x14ac:dyDescent="0.25">
      <c r="A22" s="284"/>
      <c r="B22" s="284"/>
      <c r="C22" s="284"/>
      <c r="D22" s="284"/>
      <c r="E22" s="284"/>
      <c r="F22" s="284"/>
      <c r="G22" s="284"/>
      <c r="H22" s="284"/>
      <c r="I22" s="284"/>
      <c r="J22" s="284"/>
    </row>
    <row r="23" spans="1:12" ht="15.75" thickBot="1" x14ac:dyDescent="0.3">
      <c r="H23" s="89"/>
    </row>
    <row r="24" spans="1:12" ht="15.75" thickBot="1" x14ac:dyDescent="0.3">
      <c r="A24" s="11" t="s">
        <v>18</v>
      </c>
      <c r="B24" s="12"/>
      <c r="C24" s="13"/>
      <c r="D24" s="9"/>
      <c r="E24" s="90" t="s">
        <v>165</v>
      </c>
      <c r="F24" s="90" t="s">
        <v>166</v>
      </c>
      <c r="G24" s="90" t="s">
        <v>167</v>
      </c>
      <c r="H24" s="90" t="s">
        <v>168</v>
      </c>
      <c r="I24" s="90" t="s">
        <v>169</v>
      </c>
      <c r="J24" s="91" t="s">
        <v>170</v>
      </c>
    </row>
    <row r="25" spans="1:12" ht="15.75" x14ac:dyDescent="0.25">
      <c r="A25" s="232" t="s">
        <v>343</v>
      </c>
      <c r="B25" s="5"/>
      <c r="C25" s="5"/>
      <c r="D25" s="216"/>
      <c r="E25" s="56"/>
      <c r="F25" s="56"/>
      <c r="G25" s="56"/>
      <c r="H25" s="56"/>
      <c r="I25" s="56"/>
      <c r="J25" s="56"/>
      <c r="L25" s="67"/>
    </row>
    <row r="26" spans="1:12" x14ac:dyDescent="0.25">
      <c r="A26" s="31"/>
      <c r="B26" s="5"/>
      <c r="C26" s="5"/>
      <c r="D26" s="216"/>
      <c r="E26" s="5"/>
      <c r="F26" s="5"/>
      <c r="G26" s="5"/>
      <c r="H26" s="5"/>
      <c r="I26" s="5"/>
      <c r="J26" s="5"/>
      <c r="L26" s="67"/>
    </row>
    <row r="27" spans="1:12" x14ac:dyDescent="0.25">
      <c r="A27" s="32" t="s">
        <v>36</v>
      </c>
      <c r="B27" s="32"/>
      <c r="C27" s="32"/>
      <c r="D27" s="41">
        <f>SUM(D25:D25)</f>
        <v>0</v>
      </c>
      <c r="E27" s="41">
        <f>D27*93.2%</f>
        <v>0</v>
      </c>
      <c r="F27" s="76">
        <f>$D27*1.08%</f>
        <v>0</v>
      </c>
      <c r="G27" s="76">
        <f>$D27*1.28%</f>
        <v>0</v>
      </c>
      <c r="H27" s="76">
        <f>$D27*1.21%</f>
        <v>0</v>
      </c>
      <c r="I27" s="76">
        <f>$D27*1.49%</f>
        <v>0</v>
      </c>
      <c r="J27" s="76">
        <f>D27*1.74%</f>
        <v>0</v>
      </c>
      <c r="K27" s="42">
        <f>E27+J27+F27+G27+H27+I27</f>
        <v>0</v>
      </c>
      <c r="L27" s="67" t="str">
        <f>IF(D27=K27, "", "Error")</f>
        <v/>
      </c>
    </row>
    <row r="28" spans="1:12" x14ac:dyDescent="0.25">
      <c r="A28" s="31" t="s">
        <v>235</v>
      </c>
      <c r="B28" s="5"/>
      <c r="C28" s="5"/>
      <c r="D28" s="217"/>
      <c r="E28" s="56">
        <f>D28*91.91%</f>
        <v>0</v>
      </c>
      <c r="F28" s="56"/>
      <c r="G28" s="56"/>
      <c r="H28" s="56"/>
      <c r="I28" s="56"/>
      <c r="J28" s="56"/>
      <c r="L28" s="67"/>
    </row>
    <row r="29" spans="1:12" x14ac:dyDescent="0.25">
      <c r="A29" s="5"/>
      <c r="B29" s="5"/>
      <c r="C29" s="5"/>
      <c r="D29" s="216"/>
      <c r="E29" s="56"/>
      <c r="F29" s="56"/>
      <c r="G29" s="56"/>
      <c r="H29" s="56"/>
      <c r="I29" s="56"/>
      <c r="J29" s="56"/>
      <c r="L29" s="67"/>
    </row>
    <row r="30" spans="1:12" x14ac:dyDescent="0.25">
      <c r="A30" s="32" t="s">
        <v>16</v>
      </c>
      <c r="B30" s="32"/>
      <c r="C30" s="32"/>
      <c r="D30" s="41">
        <f>SUM(D29:D29)</f>
        <v>0</v>
      </c>
      <c r="E30" s="41">
        <f>D30</f>
        <v>0</v>
      </c>
      <c r="F30" s="41"/>
      <c r="G30" s="41"/>
      <c r="H30" s="41"/>
      <c r="I30" s="41"/>
      <c r="J30" s="47"/>
      <c r="K30" s="42">
        <f>E30+J30+F30+G30+H30+I30</f>
        <v>0</v>
      </c>
      <c r="L30" s="67" t="str">
        <f>IF(D30=K30, "", "Error")</f>
        <v/>
      </c>
    </row>
    <row r="31" spans="1:12" x14ac:dyDescent="0.25">
      <c r="A31" s="31" t="s">
        <v>231</v>
      </c>
      <c r="B31" s="34"/>
      <c r="C31" s="34"/>
      <c r="D31" s="216"/>
      <c r="E31" s="48"/>
      <c r="F31" s="48"/>
      <c r="G31" s="48"/>
      <c r="H31" s="48"/>
      <c r="I31" s="48"/>
      <c r="J31" s="48"/>
      <c r="L31" s="67"/>
    </row>
    <row r="32" spans="1:12" x14ac:dyDescent="0.25">
      <c r="A32" s="34" t="s">
        <v>344</v>
      </c>
      <c r="B32" s="34"/>
      <c r="C32" s="267" t="s">
        <v>388</v>
      </c>
      <c r="D32" s="216">
        <v>5686514.7000000002</v>
      </c>
      <c r="E32" s="48"/>
      <c r="F32" s="48"/>
      <c r="G32" s="48"/>
      <c r="H32" s="48"/>
      <c r="I32" s="48"/>
      <c r="J32" s="48"/>
      <c r="L32" s="67"/>
    </row>
    <row r="33" spans="1:14" x14ac:dyDescent="0.25">
      <c r="A33" s="34" t="s">
        <v>392</v>
      </c>
      <c r="B33" s="34" t="s">
        <v>375</v>
      </c>
      <c r="C33" s="34" t="s">
        <v>394</v>
      </c>
      <c r="D33" s="216">
        <v>1609398</v>
      </c>
      <c r="E33" s="48"/>
      <c r="F33" s="48"/>
      <c r="G33" s="48"/>
      <c r="H33" s="48"/>
      <c r="I33" s="48"/>
      <c r="J33" s="48"/>
      <c r="L33" s="67"/>
    </row>
    <row r="34" spans="1:14" x14ac:dyDescent="0.25">
      <c r="A34" s="34" t="s">
        <v>234</v>
      </c>
      <c r="B34" s="34" t="s">
        <v>393</v>
      </c>
      <c r="C34" s="34" t="s">
        <v>405</v>
      </c>
      <c r="D34" s="216">
        <v>1609398</v>
      </c>
      <c r="E34" s="48"/>
      <c r="F34" s="48"/>
      <c r="G34" s="48"/>
      <c r="H34" s="48"/>
      <c r="I34" s="48"/>
      <c r="J34" s="48"/>
      <c r="L34" s="67"/>
    </row>
    <row r="35" spans="1:14" x14ac:dyDescent="0.25">
      <c r="A35" s="34" t="s">
        <v>234</v>
      </c>
      <c r="B35" s="34" t="s">
        <v>375</v>
      </c>
      <c r="C35" s="34" t="str">
        <f>C33</f>
        <v>Transf 29/04</v>
      </c>
      <c r="D35" s="216">
        <v>1609398</v>
      </c>
      <c r="E35" s="48"/>
      <c r="F35" s="48"/>
      <c r="G35" s="48"/>
      <c r="H35" s="48"/>
      <c r="I35" s="48"/>
      <c r="J35" s="48"/>
      <c r="L35" s="67"/>
    </row>
    <row r="36" spans="1:14" x14ac:dyDescent="0.25">
      <c r="A36" s="32" t="s">
        <v>233</v>
      </c>
      <c r="B36" s="32"/>
      <c r="C36" s="32"/>
      <c r="D36" s="218">
        <f>SUM(D32:D35)</f>
        <v>10514708.699999999</v>
      </c>
      <c r="E36" s="41">
        <f>D36*93.2%</f>
        <v>9799708.5084000006</v>
      </c>
      <c r="F36" s="76">
        <f>$D36*1.08%</f>
        <v>113558.85395999999</v>
      </c>
      <c r="G36" s="76">
        <f>$D36*1.28%</f>
        <v>134588.27135999998</v>
      </c>
      <c r="H36" s="76">
        <f>$D36*1.21%</f>
        <v>127227.97526999998</v>
      </c>
      <c r="I36" s="76">
        <f>$D36*1.49%</f>
        <v>156669.15962999998</v>
      </c>
      <c r="J36" s="76">
        <f>D36*1.74%</f>
        <v>182955.93137999997</v>
      </c>
      <c r="K36" s="42">
        <f>E36+J36+F36+G36+H36+I36</f>
        <v>10514708.700000001</v>
      </c>
      <c r="L36" s="67" t="str">
        <f>IF(D36=K36, "", "Error")</f>
        <v/>
      </c>
    </row>
    <row r="37" spans="1:14" x14ac:dyDescent="0.25">
      <c r="A37" s="31" t="s">
        <v>1</v>
      </c>
      <c r="B37" s="5"/>
      <c r="C37" s="5"/>
      <c r="D37" s="43"/>
      <c r="E37" s="44"/>
      <c r="F37" s="44"/>
      <c r="G37" s="44"/>
      <c r="H37" s="44"/>
      <c r="I37" s="44"/>
      <c r="J37" s="5"/>
      <c r="L37" s="67"/>
    </row>
    <row r="38" spans="1:14" x14ac:dyDescent="0.25">
      <c r="A38" s="5"/>
      <c r="B38" s="5"/>
      <c r="C38" s="5"/>
      <c r="D38" s="43"/>
      <c r="E38" s="108"/>
      <c r="F38" s="108"/>
      <c r="G38" s="108"/>
      <c r="H38" s="108"/>
      <c r="I38" s="108"/>
      <c r="J38" s="5"/>
      <c r="L38" s="67"/>
    </row>
    <row r="39" spans="1:14" x14ac:dyDescent="0.25">
      <c r="A39" s="5"/>
      <c r="B39" s="5"/>
      <c r="C39" s="5"/>
      <c r="D39" s="43"/>
      <c r="E39" s="108"/>
      <c r="F39" s="108"/>
      <c r="G39" s="108"/>
      <c r="H39" s="108"/>
      <c r="I39" s="108"/>
      <c r="J39" s="5"/>
      <c r="L39" s="67"/>
    </row>
    <row r="40" spans="1:14" x14ac:dyDescent="0.25">
      <c r="A40" s="5"/>
      <c r="B40" s="5"/>
      <c r="C40" s="174"/>
      <c r="D40" s="43"/>
      <c r="E40" s="73"/>
      <c r="F40" s="73"/>
      <c r="G40" s="73"/>
      <c r="H40" s="73"/>
      <c r="I40" s="73"/>
      <c r="J40" s="5"/>
      <c r="L40" s="67"/>
    </row>
    <row r="41" spans="1:14" x14ac:dyDescent="0.25">
      <c r="A41" s="32" t="s">
        <v>232</v>
      </c>
      <c r="B41" s="32"/>
      <c r="C41" s="32"/>
      <c r="D41" s="41">
        <f>SUM(D37:D40)</f>
        <v>0</v>
      </c>
      <c r="E41" s="41">
        <f>D41*93.2%</f>
        <v>0</v>
      </c>
      <c r="F41" s="76">
        <f>$D41*1.08%</f>
        <v>0</v>
      </c>
      <c r="G41" s="76">
        <f>$D41*1.28%</f>
        <v>0</v>
      </c>
      <c r="H41" s="76">
        <f>$D41*1.21%</f>
        <v>0</v>
      </c>
      <c r="I41" s="76">
        <f>$D41*1.49%</f>
        <v>0</v>
      </c>
      <c r="J41" s="76">
        <f>D41*1.74%</f>
        <v>0</v>
      </c>
      <c r="K41" s="42">
        <f>E41+J41+F41+G41+H41+I41</f>
        <v>0</v>
      </c>
      <c r="L41" s="67" t="str">
        <f>IF(D41=K41, "", "Error")</f>
        <v/>
      </c>
    </row>
    <row r="42" spans="1:14" x14ac:dyDescent="0.25">
      <c r="A42" s="31" t="s">
        <v>223</v>
      </c>
      <c r="B42" s="5"/>
      <c r="C42" s="5"/>
      <c r="D42" s="219"/>
      <c r="E42" s="45"/>
      <c r="F42" s="45"/>
      <c r="G42" s="45"/>
      <c r="H42" s="45"/>
      <c r="I42" s="45"/>
      <c r="J42" s="35"/>
      <c r="L42" s="67"/>
    </row>
    <row r="43" spans="1:14" x14ac:dyDescent="0.25">
      <c r="A43" s="5" t="s">
        <v>227</v>
      </c>
      <c r="B43" s="5"/>
      <c r="C43" s="5" t="s">
        <v>294</v>
      </c>
      <c r="D43" s="43">
        <v>160913</v>
      </c>
      <c r="E43" s="56">
        <f>D43*93.2%</f>
        <v>149970.916</v>
      </c>
      <c r="F43" s="56">
        <f>$D43*1.08%</f>
        <v>1737.8604</v>
      </c>
      <c r="G43" s="56">
        <f>$D43*1.28%</f>
        <v>2059.6864</v>
      </c>
      <c r="H43" s="56">
        <f>$D43*1.21%</f>
        <v>1947.0473</v>
      </c>
      <c r="I43" s="56">
        <f>$D43*1.49%</f>
        <v>2397.6037000000001</v>
      </c>
      <c r="J43" s="56">
        <f>D43*1.74%</f>
        <v>2799.8861999999999</v>
      </c>
      <c r="K43" s="42">
        <f>SUM(E43:J43)</f>
        <v>160913.00000000003</v>
      </c>
      <c r="L43" s="67"/>
    </row>
    <row r="44" spans="1:14" ht="15.75" customHeight="1" x14ac:dyDescent="0.25">
      <c r="A44" s="286" t="s">
        <v>227</v>
      </c>
      <c r="B44" s="287"/>
      <c r="C44" s="5" t="s">
        <v>294</v>
      </c>
      <c r="D44" s="43">
        <v>160913</v>
      </c>
      <c r="E44" s="56">
        <f t="shared" ref="E44" si="0">D44*93.2%</f>
        <v>149970.916</v>
      </c>
      <c r="F44" s="56">
        <f>$D44*1.08%</f>
        <v>1737.8604</v>
      </c>
      <c r="G44" s="56">
        <f>$D44*1.28%</f>
        <v>2059.6864</v>
      </c>
      <c r="H44" s="56">
        <f>$D44*1.21%</f>
        <v>1947.0473</v>
      </c>
      <c r="I44" s="56">
        <f>$D44*1.49%</f>
        <v>2397.6037000000001</v>
      </c>
      <c r="J44" s="56">
        <f>D44*1.74%</f>
        <v>2799.8861999999999</v>
      </c>
      <c r="K44" s="42"/>
      <c r="L44" s="67"/>
    </row>
    <row r="45" spans="1:14" x14ac:dyDescent="0.25">
      <c r="A45" s="32" t="s">
        <v>2</v>
      </c>
      <c r="B45" s="33"/>
      <c r="C45" s="33"/>
      <c r="D45" s="41">
        <f t="shared" ref="D45:J45" si="1">SUM(D43:D44)</f>
        <v>321826</v>
      </c>
      <c r="E45" s="41">
        <f t="shared" si="1"/>
        <v>299941.83199999999</v>
      </c>
      <c r="F45" s="41">
        <f t="shared" si="1"/>
        <v>3475.7208000000001</v>
      </c>
      <c r="G45" s="41">
        <f t="shared" si="1"/>
        <v>4119.3728000000001</v>
      </c>
      <c r="H45" s="41">
        <f t="shared" si="1"/>
        <v>3894.0945999999999</v>
      </c>
      <c r="I45" s="41">
        <f t="shared" si="1"/>
        <v>4795.2074000000002</v>
      </c>
      <c r="J45" s="41">
        <f t="shared" si="1"/>
        <v>5599.7723999999998</v>
      </c>
      <c r="K45" s="42">
        <f>E45+J45+F45+G45+H45+I45</f>
        <v>321826.00000000006</v>
      </c>
      <c r="L45" s="67" t="str">
        <f>IF(D45=K45, "", "Error")</f>
        <v/>
      </c>
    </row>
    <row r="46" spans="1:14" x14ac:dyDescent="0.25">
      <c r="A46" s="31" t="s">
        <v>3</v>
      </c>
      <c r="B46" s="5"/>
      <c r="C46" s="5"/>
      <c r="D46" s="220"/>
      <c r="E46" s="45"/>
      <c r="F46" s="45"/>
      <c r="G46" s="45"/>
      <c r="H46" s="45"/>
      <c r="I46" s="45"/>
      <c r="J46" s="5"/>
      <c r="L46" s="67"/>
    </row>
    <row r="47" spans="1:14" ht="16.5" customHeight="1" x14ac:dyDescent="0.25">
      <c r="A47" s="69" t="s">
        <v>228</v>
      </c>
      <c r="B47" s="5"/>
      <c r="C47" s="174" t="s">
        <v>385</v>
      </c>
      <c r="D47" s="351">
        <v>1095070.23</v>
      </c>
      <c r="E47" s="66">
        <f>D47*93.2%</f>
        <v>1020605.4543600001</v>
      </c>
      <c r="F47" s="56">
        <f>$D47*1.08%</f>
        <v>11826.758484</v>
      </c>
      <c r="G47" s="56">
        <f>$D47*1.28%</f>
        <v>14016.898944</v>
      </c>
      <c r="H47" s="56">
        <f>$D47*1.21%</f>
        <v>13250.349783</v>
      </c>
      <c r="I47" s="56">
        <f>$D47*1.49%</f>
        <v>16316.546426999999</v>
      </c>
      <c r="J47" s="56">
        <f>D47*1.74%</f>
        <v>19054.222001999999</v>
      </c>
      <c r="K47" s="42">
        <f>D47</f>
        <v>1095070.23</v>
      </c>
      <c r="L47" s="72">
        <f>SUM(E47:J47)</f>
        <v>1095070.2300000002</v>
      </c>
      <c r="M47" s="82"/>
      <c r="N47" s="82"/>
    </row>
    <row r="48" spans="1:14" x14ac:dyDescent="0.25">
      <c r="A48" s="5" t="s">
        <v>229</v>
      </c>
      <c r="B48" s="5"/>
      <c r="C48" s="174" t="s">
        <v>382</v>
      </c>
      <c r="D48" s="351">
        <v>3904854.38</v>
      </c>
      <c r="E48" s="66">
        <f t="shared" ref="E48" si="2">D48*93.2%</f>
        <v>3639324.2821599999</v>
      </c>
      <c r="F48" s="56">
        <f t="shared" ref="F48" si="3">$D48*1.08%</f>
        <v>42172.427304000004</v>
      </c>
      <c r="G48" s="56">
        <f t="shared" ref="G48" si="4">$D48*1.28%</f>
        <v>49982.136063999998</v>
      </c>
      <c r="H48" s="56">
        <f t="shared" ref="H48" si="5">$D48*1.21%</f>
        <v>47248.737997999997</v>
      </c>
      <c r="I48" s="56">
        <f t="shared" ref="I48" si="6">$D48*1.49%</f>
        <v>58182.330261999996</v>
      </c>
      <c r="J48" s="56">
        <f t="shared" ref="J48" si="7">D48*1.74%</f>
        <v>67944.466211999999</v>
      </c>
      <c r="K48" s="42">
        <f t="shared" ref="K48:K54" si="8">D48</f>
        <v>3904854.38</v>
      </c>
      <c r="L48" s="72">
        <f t="shared" ref="L48" si="9">E48+J48+I48+H48+G48+F48</f>
        <v>3904854.38</v>
      </c>
      <c r="M48" s="82"/>
      <c r="N48" s="82"/>
    </row>
    <row r="49" spans="1:14" x14ac:dyDescent="0.25">
      <c r="A49" s="5" t="s">
        <v>230</v>
      </c>
      <c r="B49" s="5"/>
      <c r="C49" s="5" t="s">
        <v>294</v>
      </c>
      <c r="D49" s="43">
        <v>144486.39999999999</v>
      </c>
      <c r="E49" s="66">
        <f>D49</f>
        <v>144486.39999999999</v>
      </c>
      <c r="F49" s="56"/>
      <c r="G49" s="56"/>
      <c r="H49" s="56"/>
      <c r="I49" s="56"/>
      <c r="J49" s="56"/>
      <c r="K49" s="42">
        <f t="shared" si="8"/>
        <v>144486.39999999999</v>
      </c>
      <c r="L49" s="72">
        <f>E49+J49+I49+H49+G49+F49</f>
        <v>144486.39999999999</v>
      </c>
      <c r="M49" s="82">
        <f>L49-D49</f>
        <v>0</v>
      </c>
      <c r="N49" s="82">
        <f>K49-D49</f>
        <v>0</v>
      </c>
    </row>
    <row r="50" spans="1:14" x14ac:dyDescent="0.25">
      <c r="A50" s="5" t="s">
        <v>376</v>
      </c>
      <c r="B50" s="5"/>
      <c r="C50" s="174" t="s">
        <v>387</v>
      </c>
      <c r="D50" s="43">
        <v>359504.14</v>
      </c>
      <c r="E50" s="66">
        <f>D50</f>
        <v>359504.14</v>
      </c>
      <c r="F50" s="56"/>
      <c r="G50" s="56"/>
      <c r="H50" s="56"/>
      <c r="I50" s="56"/>
      <c r="J50" s="56"/>
      <c r="K50" s="42">
        <f t="shared" si="8"/>
        <v>359504.14</v>
      </c>
      <c r="L50" s="72">
        <f>E50+J50+I50+H50+G50+F50</f>
        <v>359504.14</v>
      </c>
      <c r="M50" s="82"/>
      <c r="N50" s="82"/>
    </row>
    <row r="51" spans="1:14" ht="16.149999999999999" customHeight="1" x14ac:dyDescent="0.25">
      <c r="A51" s="282" t="s">
        <v>390</v>
      </c>
      <c r="B51" s="288"/>
      <c r="C51" s="34" t="s">
        <v>381</v>
      </c>
      <c r="D51" s="43">
        <v>90000</v>
      </c>
      <c r="E51" s="66">
        <f>D51</f>
        <v>90000</v>
      </c>
      <c r="F51" s="56"/>
      <c r="G51" s="56"/>
      <c r="H51" s="56"/>
      <c r="I51" s="56"/>
      <c r="J51" s="56"/>
      <c r="K51" s="42">
        <f>D51</f>
        <v>90000</v>
      </c>
      <c r="L51" s="72">
        <f>E51+J51+I51+H51+G51+F51</f>
        <v>90000</v>
      </c>
      <c r="M51" s="82">
        <f>L51-D51</f>
        <v>0</v>
      </c>
      <c r="N51" s="82">
        <f>K51-D51</f>
        <v>0</v>
      </c>
    </row>
    <row r="52" spans="1:14" x14ac:dyDescent="0.25">
      <c r="A52" s="34" t="s">
        <v>261</v>
      </c>
      <c r="B52" s="34"/>
      <c r="C52" s="174" t="s">
        <v>385</v>
      </c>
      <c r="D52" s="43">
        <v>6132.87</v>
      </c>
      <c r="E52" s="66">
        <f>D52*93.2%</f>
        <v>5715.8348400000004</v>
      </c>
      <c r="F52" s="56">
        <f>$D52*1.08%</f>
        <v>66.234995999999995</v>
      </c>
      <c r="G52" s="56">
        <f>$D52*1.28%</f>
        <v>78.500736000000003</v>
      </c>
      <c r="H52" s="56">
        <f>$D52*1.21%</f>
        <v>74.207726999999991</v>
      </c>
      <c r="I52" s="56">
        <f>$D52*1.49%</f>
        <v>91.379762999999997</v>
      </c>
      <c r="J52" s="56">
        <f>D52*1.74%</f>
        <v>106.71193799999999</v>
      </c>
      <c r="K52" s="42">
        <f t="shared" si="8"/>
        <v>6132.87</v>
      </c>
      <c r="L52" s="72">
        <f t="shared" ref="L52:L54" si="10">E52+J52+I52+H52+G52+F52</f>
        <v>6132.8700000000008</v>
      </c>
      <c r="M52" s="82">
        <f>L52-D52</f>
        <v>0</v>
      </c>
      <c r="N52" s="82">
        <f t="shared" ref="N52:N54" si="11">K52-D52</f>
        <v>0</v>
      </c>
    </row>
    <row r="53" spans="1:14" x14ac:dyDescent="0.25">
      <c r="A53" s="34" t="s">
        <v>262</v>
      </c>
      <c r="B53" s="34"/>
      <c r="C53" s="174" t="s">
        <v>385</v>
      </c>
      <c r="D53" s="43">
        <v>910081.41</v>
      </c>
      <c r="E53" s="66">
        <f>D53</f>
        <v>910081.41</v>
      </c>
      <c r="F53" s="56"/>
      <c r="G53" s="56"/>
      <c r="H53" s="56"/>
      <c r="I53" s="56"/>
      <c r="J53" s="56"/>
      <c r="K53" s="42">
        <f t="shared" si="8"/>
        <v>910081.41</v>
      </c>
      <c r="L53" s="72">
        <f t="shared" si="10"/>
        <v>910081.41</v>
      </c>
      <c r="M53" s="82">
        <f>L53-D53</f>
        <v>0</v>
      </c>
      <c r="N53" s="82">
        <f t="shared" si="11"/>
        <v>0</v>
      </c>
    </row>
    <row r="54" spans="1:14" x14ac:dyDescent="0.25">
      <c r="A54" s="135" t="s">
        <v>260</v>
      </c>
      <c r="B54" s="134"/>
      <c r="C54" s="5"/>
      <c r="D54" s="43"/>
      <c r="E54" s="66">
        <f>D54</f>
        <v>0</v>
      </c>
      <c r="F54" s="66"/>
      <c r="G54" s="66"/>
      <c r="H54" s="66"/>
      <c r="I54" s="66"/>
      <c r="J54" s="56"/>
      <c r="K54" s="42">
        <f t="shared" si="8"/>
        <v>0</v>
      </c>
      <c r="L54" s="72">
        <f t="shared" si="10"/>
        <v>0</v>
      </c>
      <c r="M54" s="82">
        <f>L54-D54</f>
        <v>0</v>
      </c>
      <c r="N54" s="82">
        <f t="shared" si="11"/>
        <v>0</v>
      </c>
    </row>
    <row r="55" spans="1:14" ht="14.25" customHeight="1" x14ac:dyDescent="0.25">
      <c r="A55" s="32" t="s">
        <v>4</v>
      </c>
      <c r="B55" s="33"/>
      <c r="C55" s="33"/>
      <c r="D55" s="41">
        <f>SUM(D47:D54)</f>
        <v>6510129.4299999997</v>
      </c>
      <c r="E55" s="41">
        <f t="shared" ref="E55:J55" si="12">SUM(E47:E54)</f>
        <v>6169717.5213599997</v>
      </c>
      <c r="F55" s="41">
        <f t="shared" si="12"/>
        <v>54065.420784000002</v>
      </c>
      <c r="G55" s="41">
        <f t="shared" si="12"/>
        <v>64077.535744000001</v>
      </c>
      <c r="H55" s="41">
        <f t="shared" si="12"/>
        <v>60573.295507999996</v>
      </c>
      <c r="I55" s="41">
        <f t="shared" si="12"/>
        <v>74590.256452000001</v>
      </c>
      <c r="J55" s="41">
        <f t="shared" si="12"/>
        <v>87105.400151999987</v>
      </c>
      <c r="K55" s="42">
        <f>E55+J55+F55+G55+H55+I55</f>
        <v>6510129.4299999997</v>
      </c>
      <c r="L55" s="67" t="str">
        <f>IF(D55=K55, "", "Error")</f>
        <v/>
      </c>
      <c r="M55" s="82">
        <f>D55-K55</f>
        <v>0</v>
      </c>
    </row>
    <row r="56" spans="1:14" hidden="1" x14ac:dyDescent="0.25">
      <c r="A56" s="5"/>
      <c r="B56" s="5"/>
      <c r="C56" s="5"/>
      <c r="D56" s="220"/>
      <c r="E56" s="45"/>
      <c r="F56" s="45"/>
      <c r="G56" s="45"/>
      <c r="H56" s="45"/>
      <c r="I56" s="45"/>
      <c r="J56" s="5"/>
      <c r="L56" s="67"/>
    </row>
    <row r="57" spans="1:14" hidden="1" x14ac:dyDescent="0.25">
      <c r="A57" s="5"/>
      <c r="B57" s="5"/>
      <c r="C57" s="5"/>
      <c r="D57" s="220"/>
      <c r="E57" s="44"/>
      <c r="F57" s="44"/>
      <c r="G57" s="44"/>
      <c r="H57" s="44"/>
      <c r="I57" s="44"/>
      <c r="J57" s="5"/>
      <c r="L57" s="67"/>
    </row>
    <row r="58" spans="1:14" x14ac:dyDescent="0.25">
      <c r="A58" s="31" t="s">
        <v>224</v>
      </c>
      <c r="B58" s="5"/>
      <c r="C58" s="5"/>
      <c r="D58" s="220"/>
      <c r="E58" s="44"/>
      <c r="F58" s="44"/>
      <c r="G58" s="44"/>
      <c r="H58" s="44"/>
      <c r="I58" s="44"/>
      <c r="J58" s="5"/>
      <c r="L58" s="67"/>
    </row>
    <row r="59" spans="1:14" x14ac:dyDescent="0.25">
      <c r="A59" s="44" t="s">
        <v>342</v>
      </c>
      <c r="B59" s="184"/>
      <c r="C59" s="34" t="s">
        <v>380</v>
      </c>
      <c r="D59" s="43">
        <v>200000</v>
      </c>
      <c r="E59" s="66">
        <f t="shared" ref="E59:E60" si="13">D59</f>
        <v>200000</v>
      </c>
      <c r="F59" s="73"/>
      <c r="G59" s="73"/>
      <c r="H59" s="73"/>
      <c r="I59" s="73"/>
      <c r="J59" s="56"/>
      <c r="K59" s="42">
        <f t="shared" ref="K59:K64" si="14">D59</f>
        <v>200000</v>
      </c>
      <c r="L59" s="72">
        <f t="shared" ref="L59:L64" si="15">SUM(E59:J59)</f>
        <v>200000</v>
      </c>
    </row>
    <row r="60" spans="1:14" x14ac:dyDescent="0.25">
      <c r="A60" s="44" t="s">
        <v>342</v>
      </c>
      <c r="B60" s="184"/>
      <c r="C60" s="34" t="s">
        <v>385</v>
      </c>
      <c r="D60" s="43">
        <v>200000</v>
      </c>
      <c r="E60" s="66">
        <f t="shared" si="13"/>
        <v>200000</v>
      </c>
      <c r="F60" s="73"/>
      <c r="G60" s="73"/>
      <c r="H60" s="73"/>
      <c r="I60" s="73"/>
      <c r="J60" s="56"/>
      <c r="K60" s="42">
        <f t="shared" si="14"/>
        <v>200000</v>
      </c>
      <c r="L60" s="72">
        <f t="shared" si="15"/>
        <v>200000</v>
      </c>
    </row>
    <row r="61" spans="1:14" x14ac:dyDescent="0.25">
      <c r="A61" s="44" t="s">
        <v>386</v>
      </c>
      <c r="B61" s="184"/>
      <c r="C61" s="34" t="s">
        <v>387</v>
      </c>
      <c r="D61" s="43">
        <v>180000</v>
      </c>
      <c r="E61" s="66">
        <f>D61*93.2%</f>
        <v>167760</v>
      </c>
      <c r="F61" s="56">
        <f>$D61*1.08%</f>
        <v>1944</v>
      </c>
      <c r="G61" s="56">
        <f>$D61*1.28%</f>
        <v>2304</v>
      </c>
      <c r="H61" s="56">
        <f>$D61*1.21%</f>
        <v>2178</v>
      </c>
      <c r="I61" s="56">
        <f>$D61*1.49%</f>
        <v>2682</v>
      </c>
      <c r="J61" s="56">
        <f>D61*1.74%</f>
        <v>3132</v>
      </c>
      <c r="K61" s="42">
        <f t="shared" si="14"/>
        <v>180000</v>
      </c>
      <c r="L61" s="72">
        <f t="shared" si="15"/>
        <v>180000</v>
      </c>
    </row>
    <row r="62" spans="1:14" ht="15.75" customHeight="1" x14ac:dyDescent="0.25">
      <c r="A62" s="286" t="s">
        <v>341</v>
      </c>
      <c r="B62" s="287"/>
      <c r="C62" s="130" t="s">
        <v>382</v>
      </c>
      <c r="D62" s="43">
        <v>228448</v>
      </c>
      <c r="E62" s="66">
        <f>D62*93.2%</f>
        <v>212913.53600000002</v>
      </c>
      <c r="F62" s="56">
        <f>$D62*1.08%</f>
        <v>2467.2384000000002</v>
      </c>
      <c r="G62" s="56">
        <f>$D62*1.28%</f>
        <v>2924.1343999999999</v>
      </c>
      <c r="H62" s="56">
        <f>$D62*1.21%</f>
        <v>2764.2208000000001</v>
      </c>
      <c r="I62" s="56">
        <f>$D62*1.49%</f>
        <v>3403.8751999999999</v>
      </c>
      <c r="J62" s="56">
        <f>D62*1.74%</f>
        <v>3974.9951999999998</v>
      </c>
      <c r="K62" s="42">
        <f t="shared" si="14"/>
        <v>228448</v>
      </c>
      <c r="L62" s="72">
        <f t="shared" si="15"/>
        <v>228448.00000000006</v>
      </c>
    </row>
    <row r="63" spans="1:14" ht="17.25" customHeight="1" x14ac:dyDescent="0.25">
      <c r="A63" s="286" t="s">
        <v>391</v>
      </c>
      <c r="B63" s="287"/>
      <c r="C63" s="130" t="s">
        <v>378</v>
      </c>
      <c r="D63" s="43">
        <v>1471770</v>
      </c>
      <c r="E63" s="66">
        <f>D63*93.2%</f>
        <v>1371689.6400000001</v>
      </c>
      <c r="F63" s="56">
        <f>$D63*1.08%</f>
        <v>15895.116</v>
      </c>
      <c r="G63" s="56">
        <f>$D63*1.28%</f>
        <v>18838.656000000003</v>
      </c>
      <c r="H63" s="56">
        <f>$D63*1.21%</f>
        <v>17808.417000000001</v>
      </c>
      <c r="I63" s="56">
        <f>$D63*1.49%</f>
        <v>21929.373</v>
      </c>
      <c r="J63" s="56">
        <f>D63*1.74%</f>
        <v>25608.797999999999</v>
      </c>
      <c r="K63" s="42">
        <f t="shared" si="14"/>
        <v>1471770</v>
      </c>
      <c r="L63" s="72">
        <f t="shared" si="15"/>
        <v>1471769.9999999998</v>
      </c>
    </row>
    <row r="64" spans="1:14" ht="17.25" customHeight="1" x14ac:dyDescent="0.25">
      <c r="A64" s="286" t="s">
        <v>395</v>
      </c>
      <c r="B64" s="287"/>
      <c r="C64" s="130" t="s">
        <v>396</v>
      </c>
      <c r="D64" s="43">
        <v>250000</v>
      </c>
      <c r="E64" s="66">
        <f>D64</f>
        <v>250000</v>
      </c>
      <c r="F64" s="56"/>
      <c r="G64" s="56"/>
      <c r="H64" s="56"/>
      <c r="I64" s="56"/>
      <c r="J64" s="56"/>
      <c r="K64" s="42">
        <f t="shared" si="14"/>
        <v>250000</v>
      </c>
      <c r="L64" s="72">
        <f t="shared" si="15"/>
        <v>250000</v>
      </c>
    </row>
    <row r="65" spans="1:14" ht="18.600000000000001" customHeight="1" x14ac:dyDescent="0.25">
      <c r="A65" s="286" t="s">
        <v>379</v>
      </c>
      <c r="B65" s="287"/>
      <c r="C65" s="130" t="s">
        <v>378</v>
      </c>
      <c r="D65" s="43">
        <v>46200</v>
      </c>
      <c r="E65" s="66">
        <f>D65*93.2%</f>
        <v>43058.400000000001</v>
      </c>
      <c r="F65" s="56">
        <f>$D65*1.08%</f>
        <v>498.96000000000004</v>
      </c>
      <c r="G65" s="56">
        <f>$D65*1.28%</f>
        <v>591.36</v>
      </c>
      <c r="H65" s="56">
        <f>$D65*1.21%</f>
        <v>559.02</v>
      </c>
      <c r="I65" s="56">
        <f>$D65*1.49%</f>
        <v>688.38</v>
      </c>
      <c r="J65" s="56">
        <f>D65*1.74%</f>
        <v>803.88</v>
      </c>
      <c r="L65" s="67"/>
      <c r="M65" s="42"/>
    </row>
    <row r="66" spans="1:14" ht="13.5" customHeight="1" x14ac:dyDescent="0.25">
      <c r="A66" s="32" t="s">
        <v>225</v>
      </c>
      <c r="B66" s="32"/>
      <c r="C66" s="32"/>
      <c r="D66" s="41">
        <f t="shared" ref="D66:J66" si="16">SUM(D59:D65)</f>
        <v>2576418</v>
      </c>
      <c r="E66" s="41">
        <f t="shared" si="16"/>
        <v>2445421.5759999999</v>
      </c>
      <c r="F66" s="41">
        <f t="shared" si="16"/>
        <v>20805.314399999999</v>
      </c>
      <c r="G66" s="41">
        <f t="shared" si="16"/>
        <v>24658.150400000002</v>
      </c>
      <c r="H66" s="41">
        <f t="shared" si="16"/>
        <v>23309.657800000001</v>
      </c>
      <c r="I66" s="41">
        <f t="shared" si="16"/>
        <v>28703.628200000003</v>
      </c>
      <c r="J66" s="41">
        <f t="shared" si="16"/>
        <v>33519.673199999997</v>
      </c>
      <c r="K66" s="42">
        <f>E66+J66+F66+G66+H66+I66</f>
        <v>2576418.0000000005</v>
      </c>
      <c r="L66" s="67" t="str">
        <f>IF(D66=K66, "", "Error")</f>
        <v/>
      </c>
      <c r="N66" s="42"/>
    </row>
    <row r="67" spans="1:14" hidden="1" x14ac:dyDescent="0.25">
      <c r="A67" s="5"/>
      <c r="B67" s="5"/>
      <c r="C67" s="5"/>
      <c r="D67" s="220"/>
      <c r="E67" s="45"/>
      <c r="F67" s="45"/>
      <c r="G67" s="45"/>
      <c r="H67" s="45"/>
      <c r="I67" s="45"/>
      <c r="J67" s="5"/>
      <c r="L67" s="67"/>
    </row>
    <row r="68" spans="1:14" hidden="1" x14ac:dyDescent="0.25">
      <c r="A68" s="5"/>
      <c r="B68" s="5"/>
      <c r="C68" s="5"/>
      <c r="D68" s="220"/>
      <c r="E68" s="44"/>
      <c r="F68" s="44"/>
      <c r="G68" s="44"/>
      <c r="H68" s="44"/>
      <c r="I68" s="44"/>
      <c r="J68" s="5"/>
      <c r="L68" s="67"/>
    </row>
    <row r="69" spans="1:14" x14ac:dyDescent="0.25">
      <c r="A69" s="31" t="s">
        <v>5</v>
      </c>
      <c r="B69" s="5"/>
      <c r="C69" s="5"/>
      <c r="D69" s="220"/>
      <c r="E69" s="44"/>
      <c r="F69" s="44"/>
      <c r="G69" s="44"/>
      <c r="H69" s="44"/>
      <c r="I69" s="44"/>
      <c r="J69" s="5"/>
      <c r="L69" s="67"/>
    </row>
    <row r="70" spans="1:14" ht="14.25" customHeight="1" x14ac:dyDescent="0.25">
      <c r="A70" s="49" t="s">
        <v>6</v>
      </c>
      <c r="B70" s="5" t="s">
        <v>35</v>
      </c>
      <c r="C70" s="5" t="s">
        <v>377</v>
      </c>
      <c r="D70" s="43">
        <v>860560</v>
      </c>
      <c r="E70" s="66">
        <f>D70*93.2%</f>
        <v>802041.92</v>
      </c>
      <c r="F70" s="56">
        <f>$D70*1.08%</f>
        <v>9294.0480000000007</v>
      </c>
      <c r="G70" s="56">
        <f>$D70*1.28%</f>
        <v>11015.168</v>
      </c>
      <c r="H70" s="56">
        <f>$D70*1.21%</f>
        <v>10412.776</v>
      </c>
      <c r="I70" s="56">
        <f>$D70*1.49%</f>
        <v>12822.343999999999</v>
      </c>
      <c r="J70" s="56">
        <f>D70*1.74%</f>
        <v>14973.743999999999</v>
      </c>
      <c r="L70" s="67" t="s">
        <v>345</v>
      </c>
    </row>
    <row r="71" spans="1:14" x14ac:dyDescent="0.25">
      <c r="A71" s="31"/>
      <c r="B71" s="5"/>
      <c r="C71" s="5"/>
      <c r="D71" s="43"/>
      <c r="E71" s="66">
        <f>D71*93.2%</f>
        <v>0</v>
      </c>
      <c r="F71" s="56">
        <f>$D71*1.08%</f>
        <v>0</v>
      </c>
      <c r="G71" s="56">
        <f>$D71*1.28%</f>
        <v>0</v>
      </c>
      <c r="H71" s="56">
        <f>$D71*1.21%</f>
        <v>0</v>
      </c>
      <c r="I71" s="56">
        <f>$D71*1.49%</f>
        <v>0</v>
      </c>
      <c r="J71" s="56">
        <f>D71*1.74%</f>
        <v>0</v>
      </c>
      <c r="L71" s="67"/>
      <c r="N71" s="43"/>
    </row>
    <row r="72" spans="1:14" x14ac:dyDescent="0.25">
      <c r="A72" s="5"/>
      <c r="B72" s="5"/>
      <c r="C72" s="5"/>
      <c r="D72" s="220"/>
      <c r="E72" s="46"/>
      <c r="F72" s="46"/>
      <c r="G72" s="46"/>
      <c r="H72" s="46"/>
      <c r="I72" s="46"/>
      <c r="J72" s="5"/>
      <c r="L72" s="67"/>
      <c r="N72" s="42"/>
    </row>
    <row r="73" spans="1:14" x14ac:dyDescent="0.25">
      <c r="A73" s="32" t="s">
        <v>7</v>
      </c>
      <c r="B73" s="32"/>
      <c r="C73" s="32"/>
      <c r="D73" s="41">
        <f>SUM(D70:D72)</f>
        <v>860560</v>
      </c>
      <c r="E73" s="41">
        <f>SUM(E70:E72)</f>
        <v>802041.92</v>
      </c>
      <c r="F73" s="41">
        <f t="shared" ref="F73:I73" si="17">SUM(F70:F72)</f>
        <v>9294.0480000000007</v>
      </c>
      <c r="G73" s="41">
        <f t="shared" si="17"/>
        <v>11015.168</v>
      </c>
      <c r="H73" s="41">
        <f t="shared" si="17"/>
        <v>10412.776</v>
      </c>
      <c r="I73" s="41">
        <f t="shared" si="17"/>
        <v>12822.343999999999</v>
      </c>
      <c r="J73" s="41">
        <f>SUM(J70:J72)</f>
        <v>14973.743999999999</v>
      </c>
      <c r="K73" s="42">
        <f>E73+J73+F73+G73+H73+I73</f>
        <v>860559.99999999988</v>
      </c>
      <c r="L73" s="67" t="str">
        <f>IF(D73=K73, "", "Error")</f>
        <v/>
      </c>
      <c r="N73" s="42"/>
    </row>
    <row r="74" spans="1:14" x14ac:dyDescent="0.25">
      <c r="A74" s="5" t="s">
        <v>26</v>
      </c>
      <c r="B74" s="5"/>
      <c r="C74" s="5"/>
      <c r="D74" s="43">
        <f>411981-1818</f>
        <v>410163</v>
      </c>
      <c r="E74" s="66">
        <f>D74*93.2%</f>
        <v>382271.91600000003</v>
      </c>
      <c r="F74" s="56">
        <f>$D74*1.08%</f>
        <v>4429.7604000000001</v>
      </c>
      <c r="G74" s="56">
        <f>$D74*1.28%</f>
        <v>5250.0864000000001</v>
      </c>
      <c r="H74" s="56">
        <f>$D74*1.21%</f>
        <v>4962.9722999999994</v>
      </c>
      <c r="I74" s="56">
        <f>$D74*1.49%</f>
        <v>6111.4287000000004</v>
      </c>
      <c r="J74" s="56">
        <f>D74*1.74%</f>
        <v>7136.8361999999997</v>
      </c>
      <c r="L74" s="67"/>
    </row>
    <row r="75" spans="1:14" x14ac:dyDescent="0.25">
      <c r="A75" s="5" t="s">
        <v>27</v>
      </c>
      <c r="B75" s="5"/>
      <c r="C75" s="50"/>
      <c r="D75" s="43">
        <v>57500</v>
      </c>
      <c r="E75" s="66">
        <f>D75*93.2%</f>
        <v>53590</v>
      </c>
      <c r="F75" s="56">
        <f>$D75*1.08%</f>
        <v>621</v>
      </c>
      <c r="G75" s="56">
        <f>$D75*1.28%</f>
        <v>736</v>
      </c>
      <c r="H75" s="56">
        <f>$D75*1.21%</f>
        <v>695.75</v>
      </c>
      <c r="I75" s="56">
        <f>$D75*1.49%</f>
        <v>856.75</v>
      </c>
      <c r="J75" s="56">
        <f>D75*1.74%</f>
        <v>1000.4999999999999</v>
      </c>
      <c r="L75" s="67"/>
    </row>
    <row r="76" spans="1:14" x14ac:dyDescent="0.25">
      <c r="A76" s="32" t="s">
        <v>226</v>
      </c>
      <c r="B76" s="32"/>
      <c r="C76" s="32"/>
      <c r="D76" s="70">
        <f>SUM(D74:D75)</f>
        <v>467663</v>
      </c>
      <c r="E76" s="65">
        <f t="shared" ref="E76:J76" si="18">SUM(E74:E75)</f>
        <v>435861.91600000003</v>
      </c>
      <c r="F76" s="65">
        <f t="shared" si="18"/>
        <v>5050.7604000000001</v>
      </c>
      <c r="G76" s="65">
        <f t="shared" si="18"/>
        <v>5986.0864000000001</v>
      </c>
      <c r="H76" s="65">
        <f t="shared" si="18"/>
        <v>5658.7222999999994</v>
      </c>
      <c r="I76" s="65">
        <f t="shared" si="18"/>
        <v>6968.1787000000004</v>
      </c>
      <c r="J76" s="65">
        <f t="shared" si="18"/>
        <v>8137.3361999999997</v>
      </c>
      <c r="K76" s="42">
        <f>E76+J76+F76+G76+H76+I76</f>
        <v>467663.00000000006</v>
      </c>
      <c r="L76" s="67" t="str">
        <f>IF(D76=K76, "", "Error")</f>
        <v/>
      </c>
    </row>
    <row r="77" spans="1:14" ht="15.75" thickBot="1" x14ac:dyDescent="0.3">
      <c r="A77" s="92"/>
      <c r="B77" s="92"/>
      <c r="C77" s="92"/>
      <c r="D77" s="93"/>
      <c r="E77" s="8"/>
      <c r="F77" s="8"/>
      <c r="G77" s="8"/>
      <c r="H77" s="8"/>
      <c r="I77" s="8"/>
      <c r="J77" s="92"/>
      <c r="L77" s="67"/>
    </row>
    <row r="78" spans="1:14" ht="15.75" thickBot="1" x14ac:dyDescent="0.3">
      <c r="A78" s="94" t="s">
        <v>295</v>
      </c>
      <c r="B78" s="95"/>
      <c r="C78" s="95"/>
      <c r="D78" s="96"/>
      <c r="E78" s="119">
        <f>D78*93.2%</f>
        <v>0</v>
      </c>
      <c r="F78" s="119">
        <f>$D78*1.08%</f>
        <v>0</v>
      </c>
      <c r="G78" s="119">
        <f>$D78*1.28%</f>
        <v>0</v>
      </c>
      <c r="H78" s="119">
        <f>$D78*1.21%</f>
        <v>0</v>
      </c>
      <c r="I78" s="119">
        <f>$D78*1.49%</f>
        <v>0</v>
      </c>
      <c r="J78" s="120">
        <f>D78*1.74%</f>
        <v>0</v>
      </c>
      <c r="K78" s="42">
        <f>E78+J78+F78+G78+H78+I78</f>
        <v>0</v>
      </c>
      <c r="L78" s="67" t="str">
        <f>IF(D78=K78, "", "Error")</f>
        <v/>
      </c>
    </row>
    <row r="79" spans="1:14" ht="15.75" thickBot="1" x14ac:dyDescent="0.3">
      <c r="A79" s="97"/>
      <c r="B79" s="98"/>
      <c r="C79" s="98"/>
      <c r="D79" s="99"/>
      <c r="E79" s="100"/>
      <c r="F79" s="100"/>
      <c r="G79" s="100"/>
      <c r="H79" s="100"/>
      <c r="I79" s="100"/>
      <c r="J79" s="101"/>
      <c r="K79" s="42"/>
      <c r="L79" s="67"/>
    </row>
    <row r="80" spans="1:14" ht="15.75" thickBot="1" x14ac:dyDescent="0.3">
      <c r="A80" s="2" t="s">
        <v>28</v>
      </c>
      <c r="B80" s="10"/>
      <c r="C80" s="3"/>
      <c r="D80" s="84">
        <f t="shared" ref="D80:J80" si="19">SUM(D78+D36+D30+D76+D73+D66+D55+D45+D27++D41)</f>
        <v>21251305.129999999</v>
      </c>
      <c r="E80" s="84">
        <f t="shared" si="19"/>
        <v>19952693.273759998</v>
      </c>
      <c r="F80" s="84">
        <f t="shared" si="19"/>
        <v>206250.11834400002</v>
      </c>
      <c r="G80" s="84">
        <f t="shared" si="19"/>
        <v>244444.58470400001</v>
      </c>
      <c r="H80" s="84">
        <f t="shared" si="19"/>
        <v>231076.52147800004</v>
      </c>
      <c r="I80" s="84">
        <f t="shared" si="19"/>
        <v>284548.77438200003</v>
      </c>
      <c r="J80" s="84">
        <f t="shared" si="19"/>
        <v>332291.85733199993</v>
      </c>
      <c r="K80" s="59">
        <f>E80+J80+F80+G80+H80+I80</f>
        <v>21251305.129999999</v>
      </c>
      <c r="L80" s="67" t="str">
        <f>IF(D80=K80, "", "Error")</f>
        <v/>
      </c>
      <c r="M80" s="82">
        <f>D80-K80</f>
        <v>0</v>
      </c>
    </row>
    <row r="81" spans="1:13" ht="15.75" thickBot="1" x14ac:dyDescent="0.3">
      <c r="D81" s="83"/>
      <c r="E81" s="42"/>
      <c r="F81" s="42"/>
      <c r="G81" s="42"/>
      <c r="H81" s="42"/>
      <c r="I81" s="42"/>
    </row>
    <row r="82" spans="1:13" ht="15.75" thickBot="1" x14ac:dyDescent="0.3">
      <c r="A82" s="62" t="s">
        <v>37</v>
      </c>
      <c r="B82" s="61"/>
      <c r="C82" s="61"/>
      <c r="D82" s="83"/>
      <c r="E82" s="42"/>
      <c r="F82" s="42"/>
      <c r="G82" s="42"/>
      <c r="H82" s="42"/>
      <c r="I82" s="42"/>
    </row>
    <row r="83" spans="1:13" x14ac:dyDescent="0.25">
      <c r="A83" s="233" t="s">
        <v>400</v>
      </c>
      <c r="C83" s="352">
        <v>24200</v>
      </c>
      <c r="D83" s="83"/>
      <c r="E83" s="42"/>
      <c r="F83" s="42"/>
      <c r="G83" s="42"/>
      <c r="H83" s="42"/>
      <c r="I83" s="42"/>
    </row>
    <row r="84" spans="1:13" x14ac:dyDescent="0.25">
      <c r="A84" s="233" t="s">
        <v>401</v>
      </c>
      <c r="C84" s="352">
        <f>90750/2</f>
        <v>45375</v>
      </c>
      <c r="D84" s="83"/>
      <c r="E84" s="42"/>
      <c r="F84" s="42"/>
      <c r="G84" s="42"/>
      <c r="H84" s="42"/>
      <c r="I84" s="42"/>
    </row>
    <row r="85" spans="1:13" ht="17.25" customHeight="1" thickBot="1" x14ac:dyDescent="0.3">
      <c r="A85" s="233" t="s">
        <v>402</v>
      </c>
      <c r="C85" s="352">
        <f>90750/2</f>
        <v>45375</v>
      </c>
      <c r="D85" s="83"/>
      <c r="E85" s="42"/>
      <c r="F85" s="42"/>
      <c r="G85" s="42"/>
      <c r="H85" s="42"/>
      <c r="I85" s="42"/>
    </row>
    <row r="86" spans="1:13" ht="15.75" thickBot="1" x14ac:dyDescent="0.3">
      <c r="A86" s="63" t="s">
        <v>16</v>
      </c>
      <c r="B86" s="64"/>
      <c r="C86" s="60">
        <f>SUM(C83:C85)</f>
        <v>114950</v>
      </c>
      <c r="D86" s="83"/>
      <c r="E86" s="42"/>
      <c r="F86" s="42"/>
      <c r="G86" s="42"/>
      <c r="H86" s="42"/>
      <c r="I86" s="42"/>
    </row>
    <row r="87" spans="1:13" x14ac:dyDescent="0.25">
      <c r="E87" s="42"/>
      <c r="F87" s="42"/>
      <c r="G87" s="42"/>
      <c r="H87" s="42"/>
      <c r="I87" s="42"/>
    </row>
    <row r="88" spans="1:13" x14ac:dyDescent="0.25">
      <c r="E88" s="58"/>
      <c r="F88" s="58"/>
      <c r="G88" s="58"/>
      <c r="H88" s="58"/>
      <c r="I88" s="58"/>
    </row>
    <row r="89" spans="1:13" x14ac:dyDescent="0.25">
      <c r="A89" s="280" t="s">
        <v>32</v>
      </c>
      <c r="B89" s="281"/>
      <c r="C89" s="281"/>
      <c r="D89" s="281"/>
      <c r="E89" s="78" t="s">
        <v>10</v>
      </c>
      <c r="F89" s="78" t="s">
        <v>166</v>
      </c>
      <c r="G89" s="78" t="s">
        <v>167</v>
      </c>
      <c r="H89" s="78" t="s">
        <v>168</v>
      </c>
      <c r="I89" s="78" t="s">
        <v>169</v>
      </c>
      <c r="J89" s="79" t="s">
        <v>170</v>
      </c>
    </row>
    <row r="90" spans="1:13" ht="22.5" customHeight="1" x14ac:dyDescent="0.25">
      <c r="A90" s="282"/>
      <c r="B90" s="283"/>
      <c r="C90" s="80"/>
      <c r="D90" s="43"/>
      <c r="E90" s="66">
        <f>D90</f>
        <v>0</v>
      </c>
      <c r="F90" s="66"/>
      <c r="G90" s="66"/>
      <c r="H90" s="66"/>
      <c r="I90" s="66"/>
      <c r="J90" s="56"/>
    </row>
    <row r="91" spans="1:13" ht="24.75" customHeight="1" x14ac:dyDescent="0.25">
      <c r="A91" s="282"/>
      <c r="B91" s="283"/>
      <c r="C91" s="80"/>
      <c r="D91" s="43"/>
      <c r="E91" s="66"/>
      <c r="F91" s="66"/>
      <c r="G91" s="66"/>
      <c r="H91" s="66"/>
      <c r="I91" s="66"/>
      <c r="J91" s="56"/>
    </row>
    <row r="92" spans="1:13" x14ac:dyDescent="0.25">
      <c r="A92" s="277" t="s">
        <v>16</v>
      </c>
      <c r="B92" s="278"/>
      <c r="C92" s="279"/>
      <c r="D92" s="77">
        <f>SUM(D90:D91)</f>
        <v>0</v>
      </c>
      <c r="E92" s="77">
        <f>SUM(E90:E91)</f>
        <v>0</v>
      </c>
      <c r="F92" s="77"/>
      <c r="G92" s="77"/>
      <c r="H92" s="77"/>
      <c r="I92" s="77"/>
      <c r="J92" s="77">
        <f>SUM(J90:J91)</f>
        <v>0</v>
      </c>
      <c r="L92" s="42">
        <f>E92+J92</f>
        <v>0</v>
      </c>
      <c r="M92" s="67" t="str">
        <f>IF(D92=L92, "", "Error")</f>
        <v/>
      </c>
    </row>
    <row r="94" spans="1:13" ht="15.75" thickBot="1" x14ac:dyDescent="0.3">
      <c r="E94" s="42"/>
      <c r="F94" s="42"/>
      <c r="G94" s="42"/>
      <c r="H94" s="42"/>
      <c r="I94" s="42"/>
    </row>
    <row r="95" spans="1:13" ht="19.5" customHeight="1" thickBot="1" x14ac:dyDescent="0.3">
      <c r="A95" s="37" t="s">
        <v>29</v>
      </c>
      <c r="B95" s="38">
        <f>D80</f>
        <v>21251305.129999999</v>
      </c>
    </row>
    <row r="96" spans="1:13" ht="18.75" customHeight="1" thickBot="1" x14ac:dyDescent="0.3">
      <c r="A96" s="39" t="s">
        <v>31</v>
      </c>
      <c r="B96" s="40">
        <f>D80-D78</f>
        <v>21251305.129999999</v>
      </c>
      <c r="D96" s="285" t="s">
        <v>286</v>
      </c>
      <c r="E96" s="285"/>
      <c r="F96" s="285"/>
      <c r="G96" s="285"/>
      <c r="H96" s="285"/>
      <c r="I96" s="285"/>
    </row>
    <row r="97" spans="1:11" x14ac:dyDescent="0.25">
      <c r="D97" s="285"/>
      <c r="E97" s="285"/>
      <c r="F97" s="285"/>
      <c r="G97" s="285"/>
      <c r="H97" s="285"/>
      <c r="I97" s="285"/>
    </row>
    <row r="98" spans="1:11" x14ac:dyDescent="0.25">
      <c r="D98" s="285"/>
      <c r="E98" s="285"/>
      <c r="F98" s="285"/>
      <c r="G98" s="285"/>
      <c r="H98" s="285"/>
      <c r="I98" s="285"/>
    </row>
    <row r="99" spans="1:11" x14ac:dyDescent="0.25">
      <c r="A99" s="15" t="s">
        <v>19</v>
      </c>
      <c r="B99" s="16"/>
      <c r="C99" s="17"/>
      <c r="D99" s="285"/>
      <c r="E99" s="285"/>
      <c r="F99" s="285"/>
      <c r="G99" s="285"/>
      <c r="H99" s="285"/>
      <c r="I99" s="285"/>
    </row>
    <row r="100" spans="1:11" x14ac:dyDescent="0.25">
      <c r="A100" s="18" t="s">
        <v>20</v>
      </c>
      <c r="B100" s="7">
        <v>12236086.148935104</v>
      </c>
      <c r="C100" s="19"/>
      <c r="D100" s="285"/>
      <c r="E100" s="285"/>
      <c r="F100" s="285"/>
      <c r="G100" s="285"/>
      <c r="H100" s="285"/>
      <c r="I100" s="285"/>
    </row>
    <row r="101" spans="1:11" x14ac:dyDescent="0.25">
      <c r="A101" s="20" t="s">
        <v>21</v>
      </c>
      <c r="B101" s="29">
        <f>PRORRATEO!H133</f>
        <v>12108632.490605</v>
      </c>
      <c r="C101" s="19" t="s">
        <v>22</v>
      </c>
      <c r="D101" s="285"/>
      <c r="E101" s="285"/>
      <c r="F101" s="285"/>
      <c r="G101" s="285"/>
      <c r="H101" s="285"/>
      <c r="I101" s="285"/>
    </row>
    <row r="102" spans="1:11" x14ac:dyDescent="0.25">
      <c r="A102" s="20" t="s">
        <v>348</v>
      </c>
      <c r="B102" s="29">
        <f>ARBA!L82</f>
        <v>10374974.76</v>
      </c>
      <c r="C102" s="19"/>
      <c r="D102" s="285"/>
      <c r="E102" s="285"/>
      <c r="F102" s="285"/>
      <c r="G102" s="285"/>
      <c r="H102" s="285"/>
      <c r="I102" s="285"/>
    </row>
    <row r="103" spans="1:11" ht="29.25" customHeight="1" x14ac:dyDescent="0.25">
      <c r="A103" s="358" t="s">
        <v>411</v>
      </c>
      <c r="B103" s="29">
        <v>-280064.46000000002</v>
      </c>
      <c r="C103" s="19"/>
      <c r="D103" s="285"/>
      <c r="E103" s="285"/>
      <c r="F103" s="285"/>
      <c r="G103" s="285"/>
      <c r="H103" s="285"/>
      <c r="I103" s="285"/>
    </row>
    <row r="104" spans="1:11" x14ac:dyDescent="0.25">
      <c r="A104" s="20" t="s">
        <v>34</v>
      </c>
      <c r="B104" s="81">
        <f>-B96</f>
        <v>-21251305.129999999</v>
      </c>
      <c r="C104" s="17"/>
      <c r="D104" s="285"/>
      <c r="E104" s="285"/>
      <c r="F104" s="285"/>
      <c r="G104" s="285"/>
      <c r="H104" s="285"/>
      <c r="I104" s="285"/>
      <c r="K104" s="43"/>
    </row>
    <row r="105" spans="1:11" x14ac:dyDescent="0.25">
      <c r="A105" s="20" t="s">
        <v>33</v>
      </c>
      <c r="B105" s="81">
        <f>-D92</f>
        <v>0</v>
      </c>
      <c r="C105" s="17"/>
      <c r="D105" s="285"/>
      <c r="E105" s="285"/>
      <c r="F105" s="285"/>
      <c r="G105" s="285"/>
      <c r="H105" s="285"/>
      <c r="I105" s="285"/>
      <c r="K105" s="51"/>
    </row>
    <row r="106" spans="1:11" x14ac:dyDescent="0.25">
      <c r="A106" s="20" t="s">
        <v>406</v>
      </c>
      <c r="B106" s="29">
        <v>90602</v>
      </c>
      <c r="C106" s="17"/>
      <c r="D106" s="285"/>
      <c r="E106" s="285"/>
      <c r="F106" s="285"/>
      <c r="G106" s="285"/>
      <c r="H106" s="285"/>
      <c r="I106" s="285"/>
      <c r="K106" s="51"/>
    </row>
    <row r="107" spans="1:11" x14ac:dyDescent="0.25">
      <c r="A107" s="20" t="s">
        <v>276</v>
      </c>
      <c r="B107" s="29">
        <f>B116</f>
        <v>0</v>
      </c>
      <c r="C107" s="17"/>
      <c r="D107" s="285"/>
      <c r="E107" s="285"/>
      <c r="F107" s="285"/>
      <c r="G107" s="285"/>
      <c r="H107" s="285"/>
      <c r="I107" s="285"/>
      <c r="K107" s="51"/>
    </row>
    <row r="108" spans="1:11" x14ac:dyDescent="0.25">
      <c r="A108" s="20" t="s">
        <v>30</v>
      </c>
      <c r="B108" s="81">
        <f>-B121</f>
        <v>-113840</v>
      </c>
      <c r="C108" s="21"/>
      <c r="D108" s="285"/>
      <c r="E108" s="285"/>
      <c r="F108" s="285"/>
      <c r="G108" s="285"/>
      <c r="H108" s="285"/>
      <c r="I108" s="285"/>
    </row>
    <row r="109" spans="1:11" x14ac:dyDescent="0.25">
      <c r="A109" s="20" t="s">
        <v>37</v>
      </c>
      <c r="B109" s="81">
        <f>-C86</f>
        <v>-114950</v>
      </c>
      <c r="C109" s="21"/>
      <c r="D109" s="285"/>
      <c r="E109" s="285"/>
      <c r="F109" s="285"/>
      <c r="G109" s="285"/>
      <c r="H109" s="285"/>
      <c r="I109" s="285"/>
    </row>
    <row r="110" spans="1:11" x14ac:dyDescent="0.25">
      <c r="A110" s="20" t="s">
        <v>403</v>
      </c>
      <c r="B110" s="81">
        <v>-673000</v>
      </c>
      <c r="C110" s="21"/>
      <c r="D110" s="285"/>
      <c r="E110" s="285"/>
      <c r="F110" s="285"/>
      <c r="G110" s="285"/>
      <c r="H110" s="285"/>
      <c r="I110" s="285"/>
    </row>
    <row r="111" spans="1:11" ht="45.75" customHeight="1" x14ac:dyDescent="0.25">
      <c r="A111" s="235" t="s">
        <v>389</v>
      </c>
      <c r="B111" s="273">
        <v>-7428991</v>
      </c>
      <c r="C111" s="21"/>
      <c r="D111" s="285"/>
      <c r="E111" s="285"/>
      <c r="F111" s="285"/>
      <c r="G111" s="285"/>
      <c r="H111" s="285"/>
      <c r="I111" s="285"/>
    </row>
    <row r="112" spans="1:11" x14ac:dyDescent="0.25">
      <c r="A112" s="18" t="s">
        <v>23</v>
      </c>
      <c r="B112" s="22">
        <f>SUM(B100:B111)</f>
        <v>4948144.8095401041</v>
      </c>
      <c r="C112" s="68"/>
      <c r="D112" s="285"/>
      <c r="E112" s="285"/>
      <c r="F112" s="285"/>
      <c r="G112" s="285"/>
      <c r="H112" s="285"/>
      <c r="I112" s="285"/>
    </row>
    <row r="113" spans="1:18" x14ac:dyDescent="0.25">
      <c r="A113" s="21"/>
      <c r="C113" s="17"/>
      <c r="D113" s="285"/>
      <c r="E113" s="285"/>
      <c r="F113" s="285"/>
      <c r="G113" s="285"/>
      <c r="H113" s="285"/>
      <c r="I113" s="285"/>
    </row>
    <row r="114" spans="1:18" x14ac:dyDescent="0.25">
      <c r="A114" s="15" t="s">
        <v>275</v>
      </c>
      <c r="B114" s="7"/>
      <c r="C114" s="17"/>
      <c r="D114" s="285"/>
      <c r="E114" s="285"/>
      <c r="F114" s="285"/>
      <c r="G114" s="285"/>
      <c r="H114" s="285"/>
      <c r="I114" s="285"/>
    </row>
    <row r="115" spans="1:18" ht="30.75" customHeight="1" x14ac:dyDescent="0.25">
      <c r="A115" s="274"/>
      <c r="B115" s="29"/>
      <c r="C115" s="17"/>
      <c r="D115" s="24"/>
      <c r="E115" s="24"/>
    </row>
    <row r="116" spans="1:18" x14ac:dyDescent="0.25">
      <c r="A116" s="35" t="s">
        <v>16</v>
      </c>
      <c r="B116" s="36">
        <f>SUM(B114:B115)</f>
        <v>0</v>
      </c>
      <c r="C116" s="17"/>
      <c r="E116" s="24"/>
    </row>
    <row r="117" spans="1:18" ht="9" customHeight="1" x14ac:dyDescent="0.25">
      <c r="A117" s="21"/>
      <c r="C117" s="17"/>
      <c r="D117" s="24"/>
    </row>
    <row r="118" spans="1:18" x14ac:dyDescent="0.25">
      <c r="A118" s="21"/>
      <c r="C118" s="17"/>
      <c r="D118" s="24"/>
    </row>
    <row r="119" spans="1:18" x14ac:dyDescent="0.25">
      <c r="C119" s="17"/>
      <c r="D119" s="42"/>
      <c r="E119" s="82"/>
      <c r="F119" s="82"/>
      <c r="G119" s="82"/>
      <c r="H119" s="82"/>
      <c r="I119" s="82"/>
    </row>
    <row r="120" spans="1:18" x14ac:dyDescent="0.25">
      <c r="A120" s="15" t="s">
        <v>404</v>
      </c>
      <c r="B120" s="7">
        <v>325000</v>
      </c>
      <c r="C120" s="23"/>
      <c r="D120" s="24"/>
      <c r="E120" s="82"/>
      <c r="F120" s="82"/>
      <c r="G120" s="82"/>
      <c r="H120" s="82"/>
      <c r="I120" s="82"/>
      <c r="J120" s="82"/>
    </row>
    <row r="121" spans="1:18" ht="15" customHeight="1" x14ac:dyDescent="0.25">
      <c r="A121" s="18" t="s">
        <v>241</v>
      </c>
      <c r="B121" s="30">
        <v>113840</v>
      </c>
      <c r="C121" s="23"/>
      <c r="D121" s="24"/>
      <c r="E121" s="86"/>
      <c r="F121" s="86"/>
      <c r="G121" s="86"/>
      <c r="H121" s="86"/>
      <c r="I121" s="86"/>
    </row>
    <row r="122" spans="1:18" x14ac:dyDescent="0.25">
      <c r="A122" s="18"/>
      <c r="B122" s="81"/>
      <c r="C122" s="23"/>
      <c r="D122" s="24"/>
      <c r="E122" s="42"/>
      <c r="F122" s="42"/>
      <c r="G122" s="42"/>
      <c r="H122" s="42"/>
      <c r="I122" s="42"/>
    </row>
    <row r="123" spans="1:18" x14ac:dyDescent="0.25">
      <c r="A123" s="35" t="s">
        <v>16</v>
      </c>
      <c r="B123" s="36">
        <f>SUM(B120:B122)</f>
        <v>438840</v>
      </c>
      <c r="C123" s="23"/>
      <c r="D123" s="82"/>
    </row>
    <row r="124" spans="1:18" ht="15.75" thickBot="1" x14ac:dyDescent="0.3">
      <c r="C124" s="24"/>
      <c r="D124" s="82"/>
    </row>
    <row r="125" spans="1:18" ht="18.75" customHeight="1" x14ac:dyDescent="0.25">
      <c r="A125" s="347" t="s">
        <v>407</v>
      </c>
      <c r="B125" s="353">
        <f>B123+B112</f>
        <v>5386984.8095401041</v>
      </c>
      <c r="C125" s="17"/>
    </row>
    <row r="126" spans="1:18" ht="19.5" customHeight="1" thickBot="1" x14ac:dyDescent="0.3">
      <c r="A126" s="348"/>
      <c r="B126" s="354"/>
    </row>
    <row r="127" spans="1:18" ht="60" customHeight="1" x14ac:dyDescent="0.25">
      <c r="A127" s="359" t="s">
        <v>408</v>
      </c>
      <c r="B127" s="360"/>
      <c r="R127" s="8"/>
    </row>
    <row r="128" spans="1:18" x14ac:dyDescent="0.25">
      <c r="A128" s="361"/>
      <c r="B128" s="362"/>
    </row>
    <row r="129" spans="1:9" ht="15.75" thickBot="1" x14ac:dyDescent="0.3">
      <c r="A129" s="363"/>
      <c r="B129" s="364"/>
    </row>
    <row r="130" spans="1:9" x14ac:dyDescent="0.25">
      <c r="B130" s="276"/>
      <c r="C130" s="276"/>
      <c r="D130" s="276"/>
      <c r="E130" s="276"/>
      <c r="F130" s="88"/>
      <c r="G130" s="88"/>
      <c r="H130" s="88"/>
      <c r="I130" s="88"/>
    </row>
    <row r="131" spans="1:9" x14ac:dyDescent="0.25">
      <c r="B131" s="276"/>
      <c r="C131" s="276"/>
      <c r="D131" s="276"/>
      <c r="E131" s="276"/>
      <c r="F131" s="88"/>
      <c r="G131" s="88"/>
      <c r="H131" s="88"/>
      <c r="I131" s="88"/>
    </row>
    <row r="132" spans="1:9" x14ac:dyDescent="0.25">
      <c r="B132" s="276"/>
      <c r="C132" s="276"/>
      <c r="D132" s="276"/>
      <c r="E132" s="276"/>
      <c r="F132" s="88"/>
      <c r="G132" s="88"/>
      <c r="H132" s="88"/>
      <c r="I132" s="88"/>
    </row>
    <row r="133" spans="1:9" x14ac:dyDescent="0.25">
      <c r="B133" s="276"/>
      <c r="C133" s="276"/>
      <c r="D133" s="276"/>
      <c r="E133" s="276"/>
      <c r="F133" s="88"/>
      <c r="G133" s="88"/>
      <c r="H133" s="88"/>
      <c r="I133" s="88"/>
    </row>
    <row r="134" spans="1:9" x14ac:dyDescent="0.25">
      <c r="B134" s="276"/>
      <c r="C134" s="276"/>
      <c r="D134" s="276"/>
      <c r="E134" s="276"/>
      <c r="F134" s="88"/>
      <c r="G134" s="88"/>
      <c r="H134" s="88"/>
      <c r="I134" s="88"/>
    </row>
  </sheetData>
  <mergeCells count="17">
    <mergeCell ref="B125:B126"/>
    <mergeCell ref="A127:B129"/>
    <mergeCell ref="A14:J18"/>
    <mergeCell ref="B130:E134"/>
    <mergeCell ref="A92:C92"/>
    <mergeCell ref="A89:D89"/>
    <mergeCell ref="A91:B91"/>
    <mergeCell ref="A90:B90"/>
    <mergeCell ref="A20:J22"/>
    <mergeCell ref="D96:I114"/>
    <mergeCell ref="A44:B44"/>
    <mergeCell ref="A51:B51"/>
    <mergeCell ref="A65:B65"/>
    <mergeCell ref="A62:B62"/>
    <mergeCell ref="A63:B63"/>
    <mergeCell ref="A64:B64"/>
    <mergeCell ref="A125:A126"/>
  </mergeCells>
  <pageMargins left="0.23622047244094491" right="0.23622047244094491" top="0.74803149606299213" bottom="0.74803149606299213" header="0.31496062992125984" footer="0.31496062992125984"/>
  <pageSetup paperSize="3" scale="9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J154"/>
  <sheetViews>
    <sheetView topLeftCell="C9" zoomScaleNormal="100" workbookViewId="0">
      <selection activeCell="H52" sqref="H52"/>
    </sheetView>
  </sheetViews>
  <sheetFormatPr baseColWidth="10" defaultRowHeight="15" x14ac:dyDescent="0.25"/>
  <cols>
    <col min="1" max="1" width="4.5703125" hidden="1" customWidth="1"/>
    <col min="2" max="2" width="5.85546875" hidden="1" customWidth="1"/>
    <col min="3" max="3" width="8.140625" customWidth="1"/>
    <col min="4" max="4" width="42.7109375" customWidth="1"/>
    <col min="5" max="5" width="25.5703125" customWidth="1"/>
    <col min="6" max="6" width="9.42578125" customWidth="1"/>
    <col min="7" max="7" width="15.85546875" customWidth="1"/>
    <col min="8" max="8" width="13" bestFit="1" customWidth="1"/>
    <col min="9" max="9" width="15.85546875" customWidth="1"/>
    <col min="10" max="10" width="13.5703125" customWidth="1"/>
    <col min="11" max="11" width="12.5703125" customWidth="1"/>
    <col min="12" max="12" width="13.28515625" customWidth="1"/>
    <col min="13" max="13" width="11.140625" customWidth="1"/>
    <col min="14" max="14" width="15.42578125" customWidth="1"/>
    <col min="15" max="15" width="13.7109375" customWidth="1"/>
    <col min="16" max="16" width="11.42578125" customWidth="1"/>
    <col min="17" max="17" width="14.5703125" bestFit="1" customWidth="1"/>
    <col min="18" max="18" width="13" bestFit="1" customWidth="1"/>
    <col min="19" max="19" width="14.5703125" bestFit="1" customWidth="1"/>
  </cols>
  <sheetData>
    <row r="1" spans="1:19" x14ac:dyDescent="0.25">
      <c r="A1" s="323" t="s">
        <v>305</v>
      </c>
      <c r="B1" s="324"/>
      <c r="C1" s="324"/>
      <c r="D1" s="324"/>
      <c r="E1" s="324"/>
      <c r="F1" s="151" t="s">
        <v>278</v>
      </c>
      <c r="G1" s="151"/>
      <c r="H1" s="151"/>
      <c r="I1" s="151"/>
      <c r="J1" s="151"/>
      <c r="K1" s="151"/>
      <c r="L1" s="181" t="s">
        <v>39</v>
      </c>
      <c r="M1" s="301">
        <f>RESUMEN!D80-N3</f>
        <v>15564790.43</v>
      </c>
      <c r="N1" s="302"/>
      <c r="O1" s="152"/>
      <c r="P1" s="57"/>
    </row>
    <row r="2" spans="1:19" ht="36" customHeight="1" x14ac:dyDescent="0.25">
      <c r="A2" s="325"/>
      <c r="B2" s="326"/>
      <c r="C2" s="326"/>
      <c r="D2" s="326"/>
      <c r="E2" s="326"/>
      <c r="F2" s="6" t="s">
        <v>277</v>
      </c>
      <c r="G2" s="6"/>
      <c r="H2" s="6"/>
      <c r="I2" s="6"/>
      <c r="J2" s="6"/>
      <c r="K2" s="6"/>
      <c r="L2" s="182" t="s">
        <v>40</v>
      </c>
      <c r="M2" s="182"/>
      <c r="N2" s="183">
        <v>15000000</v>
      </c>
      <c r="O2" s="153"/>
      <c r="P2" s="57"/>
    </row>
    <row r="3" spans="1:19" ht="36" customHeight="1" x14ac:dyDescent="0.25">
      <c r="A3" s="325"/>
      <c r="B3" s="326"/>
      <c r="C3" s="326"/>
      <c r="D3" s="326"/>
      <c r="E3" s="326"/>
      <c r="F3" s="6" t="s">
        <v>279</v>
      </c>
      <c r="G3" s="6"/>
      <c r="H3" s="6"/>
      <c r="I3" s="6"/>
      <c r="J3" s="154"/>
      <c r="K3" s="154"/>
      <c r="L3" s="182" t="s">
        <v>410</v>
      </c>
      <c r="M3" s="6"/>
      <c r="N3" s="223">
        <v>5686514.7000000002</v>
      </c>
      <c r="O3" s="155"/>
      <c r="P3" s="14"/>
    </row>
    <row r="4" spans="1:19" ht="2.25" customHeight="1" thickBot="1" x14ac:dyDescent="0.3">
      <c r="A4" s="327"/>
      <c r="B4" s="328"/>
      <c r="C4" s="328"/>
      <c r="D4" s="328"/>
      <c r="E4" s="328"/>
      <c r="F4" s="156"/>
      <c r="G4" s="156"/>
      <c r="H4" s="156"/>
      <c r="I4" s="156"/>
      <c r="J4" s="157"/>
      <c r="K4" s="157"/>
      <c r="L4" s="156"/>
      <c r="M4" s="156"/>
      <c r="N4" s="158"/>
      <c r="O4" s="159"/>
      <c r="P4" s="14"/>
    </row>
    <row r="5" spans="1:19" x14ac:dyDescent="0.25">
      <c r="A5" s="6"/>
      <c r="B5" s="6"/>
      <c r="C5" s="308" t="s">
        <v>293</v>
      </c>
      <c r="D5" s="309"/>
      <c r="E5" s="309"/>
      <c r="F5" s="309"/>
      <c r="G5" s="309"/>
      <c r="H5" s="309"/>
      <c r="I5" s="309"/>
      <c r="J5" s="309"/>
      <c r="K5" s="309"/>
      <c r="L5" s="309"/>
      <c r="M5" s="309"/>
      <c r="N5" s="309"/>
      <c r="O5" s="310"/>
      <c r="P5" s="14"/>
    </row>
    <row r="6" spans="1:19" x14ac:dyDescent="0.25">
      <c r="A6" s="6"/>
      <c r="B6" s="6"/>
      <c r="C6" s="311"/>
      <c r="D6" s="312"/>
      <c r="E6" s="312"/>
      <c r="F6" s="312"/>
      <c r="G6" s="312"/>
      <c r="H6" s="312"/>
      <c r="I6" s="312"/>
      <c r="J6" s="312"/>
      <c r="K6" s="312"/>
      <c r="L6" s="312"/>
      <c r="M6" s="312"/>
      <c r="N6" s="312"/>
      <c r="O6" s="313"/>
      <c r="P6" s="14"/>
    </row>
    <row r="7" spans="1:19" x14ac:dyDescent="0.25">
      <c r="A7" s="6"/>
      <c r="B7" s="6"/>
      <c r="C7" s="311"/>
      <c r="D7" s="312"/>
      <c r="E7" s="312"/>
      <c r="F7" s="312"/>
      <c r="G7" s="312"/>
      <c r="H7" s="312"/>
      <c r="I7" s="312"/>
      <c r="J7" s="312"/>
      <c r="K7" s="312"/>
      <c r="L7" s="312"/>
      <c r="M7" s="312"/>
      <c r="N7" s="312"/>
      <c r="O7" s="313"/>
      <c r="P7" s="14"/>
    </row>
    <row r="8" spans="1:19" ht="27.75" customHeight="1" thickBot="1" x14ac:dyDescent="0.3">
      <c r="A8" s="6"/>
      <c r="B8" s="6"/>
      <c r="C8" s="314"/>
      <c r="D8" s="315"/>
      <c r="E8" s="315"/>
      <c r="F8" s="315"/>
      <c r="G8" s="315"/>
      <c r="H8" s="315"/>
      <c r="I8" s="315"/>
      <c r="J8" s="315"/>
      <c r="K8" s="315"/>
      <c r="L8" s="315"/>
      <c r="M8" s="315"/>
      <c r="N8" s="315"/>
      <c r="O8" s="316"/>
      <c r="Q8" s="82"/>
    </row>
    <row r="9" spans="1:19" ht="27.75" customHeight="1" x14ac:dyDescent="0.25">
      <c r="A9" s="6"/>
      <c r="B9" s="6"/>
      <c r="C9" s="317" t="s">
        <v>291</v>
      </c>
      <c r="D9" s="318"/>
      <c r="E9" s="318"/>
      <c r="F9" s="318"/>
      <c r="G9" s="318"/>
      <c r="H9" s="318"/>
      <c r="I9" s="318"/>
      <c r="J9" s="318"/>
      <c r="K9" s="318"/>
      <c r="L9" s="318"/>
      <c r="M9" s="318"/>
      <c r="N9" s="318"/>
      <c r="O9" s="319"/>
      <c r="Q9" t="s">
        <v>236</v>
      </c>
      <c r="R9" s="42">
        <f>RESUMEN!F80</f>
        <v>206250.11834400002</v>
      </c>
    </row>
    <row r="10" spans="1:19" ht="27.75" customHeight="1" thickBot="1" x14ac:dyDescent="0.3">
      <c r="A10" s="6"/>
      <c r="B10" s="6"/>
      <c r="C10" s="320"/>
      <c r="D10" s="321"/>
      <c r="E10" s="321"/>
      <c r="F10" s="321"/>
      <c r="G10" s="321"/>
      <c r="H10" s="321"/>
      <c r="I10" s="321"/>
      <c r="J10" s="321"/>
      <c r="K10" s="321"/>
      <c r="L10" s="321"/>
      <c r="M10" s="321"/>
      <c r="N10" s="321"/>
      <c r="O10" s="322"/>
      <c r="Q10" t="s">
        <v>237</v>
      </c>
      <c r="R10" s="42">
        <f>RESUMEN!G80</f>
        <v>244444.58470400001</v>
      </c>
    </row>
    <row r="11" spans="1:19" ht="15" customHeight="1" x14ac:dyDescent="0.25">
      <c r="A11" s="292" t="s">
        <v>8</v>
      </c>
      <c r="B11" s="294" t="s">
        <v>9</v>
      </c>
      <c r="C11" s="292" t="s">
        <v>10</v>
      </c>
      <c r="D11" s="296" t="s">
        <v>11</v>
      </c>
      <c r="E11" s="296" t="s">
        <v>253</v>
      </c>
      <c r="F11" s="292" t="s">
        <v>25</v>
      </c>
      <c r="G11" s="292" t="s">
        <v>12</v>
      </c>
      <c r="H11" s="292" t="s">
        <v>13</v>
      </c>
      <c r="I11" s="303" t="s">
        <v>14</v>
      </c>
      <c r="J11" s="289" t="s">
        <v>15</v>
      </c>
      <c r="K11" s="289" t="s">
        <v>409</v>
      </c>
      <c r="L11" s="289" t="s">
        <v>17</v>
      </c>
      <c r="M11" s="305" t="s">
        <v>38</v>
      </c>
      <c r="N11" s="289" t="s">
        <v>264</v>
      </c>
      <c r="O11" s="289" t="s">
        <v>263</v>
      </c>
      <c r="Q11" t="s">
        <v>238</v>
      </c>
      <c r="R11" s="42">
        <f>RESUMEN!H80</f>
        <v>231076.52147800004</v>
      </c>
    </row>
    <row r="12" spans="1:19" ht="28.5" customHeight="1" x14ac:dyDescent="0.25">
      <c r="A12" s="293"/>
      <c r="B12" s="295"/>
      <c r="C12" s="293"/>
      <c r="D12" s="297"/>
      <c r="E12" s="297"/>
      <c r="F12" s="293"/>
      <c r="G12" s="293"/>
      <c r="H12" s="293"/>
      <c r="I12" s="304"/>
      <c r="J12" s="290"/>
      <c r="K12" s="290"/>
      <c r="L12" s="290"/>
      <c r="M12" s="306"/>
      <c r="N12" s="290"/>
      <c r="O12" s="290"/>
      <c r="Q12" t="s">
        <v>239</v>
      </c>
      <c r="R12" s="42">
        <f>RESUMEN!I80</f>
        <v>284548.77438200003</v>
      </c>
    </row>
    <row r="13" spans="1:19" ht="19.5" customHeight="1" x14ac:dyDescent="0.25">
      <c r="A13" s="293"/>
      <c r="B13" s="295"/>
      <c r="C13" s="293"/>
      <c r="D13" s="297"/>
      <c r="E13" s="297"/>
      <c r="F13" s="293"/>
      <c r="G13" s="293"/>
      <c r="H13" s="293"/>
      <c r="I13" s="304"/>
      <c r="J13" s="290"/>
      <c r="K13" s="291"/>
      <c r="L13" s="291"/>
      <c r="M13" s="306"/>
      <c r="N13" s="125" t="str">
        <f>RESUMEN!A20</f>
        <v>VTO 15/05</v>
      </c>
      <c r="O13" s="124" t="str">
        <f>RESUMEN!A20</f>
        <v>VTO 15/05</v>
      </c>
      <c r="Q13" t="s">
        <v>240</v>
      </c>
      <c r="R13" s="42">
        <f>RESUMEN!J80</f>
        <v>332291.85733199993</v>
      </c>
    </row>
    <row r="14" spans="1:19" x14ac:dyDescent="0.25">
      <c r="A14" s="253" t="s">
        <v>115</v>
      </c>
      <c r="B14" s="253"/>
      <c r="C14" s="34" t="s">
        <v>110</v>
      </c>
      <c r="D14" s="102" t="s">
        <v>171</v>
      </c>
      <c r="E14" s="102" t="s">
        <v>284</v>
      </c>
      <c r="F14" s="136">
        <v>1.0800000000000001E-2</v>
      </c>
      <c r="G14" s="130">
        <v>269607.95541200013</v>
      </c>
      <c r="H14" s="43">
        <f>G14</f>
        <v>269607.95541200013</v>
      </c>
      <c r="I14" s="137">
        <f>G14-H14</f>
        <v>0</v>
      </c>
      <c r="J14" s="138">
        <v>0</v>
      </c>
      <c r="K14" s="178">
        <f>N$3*F14</f>
        <v>61414.358760000003</v>
      </c>
      <c r="L14" s="138">
        <v>206250.11834400002</v>
      </c>
      <c r="M14" s="160">
        <v>0</v>
      </c>
      <c r="N14" s="139">
        <f>L14+J14+I14+M14+K14</f>
        <v>267664.47710400005</v>
      </c>
      <c r="O14" s="140">
        <f>N14*6% + N14</f>
        <v>283724.34573024005</v>
      </c>
      <c r="P14" s="109" t="s">
        <v>352</v>
      </c>
      <c r="R14" s="298"/>
      <c r="S14" s="298"/>
    </row>
    <row r="15" spans="1:19" x14ac:dyDescent="0.25">
      <c r="A15" s="5"/>
      <c r="B15" s="5"/>
      <c r="C15" s="34" t="s">
        <v>114</v>
      </c>
      <c r="D15" s="102" t="s">
        <v>303</v>
      </c>
      <c r="E15" s="180"/>
      <c r="F15" s="136">
        <v>1.2999999999999999E-2</v>
      </c>
      <c r="G15" s="130">
        <v>217781.12866400002</v>
      </c>
      <c r="H15" s="43">
        <v>148104</v>
      </c>
      <c r="I15" s="137">
        <f t="shared" ref="I15:I131" si="0">G15-H15</f>
        <v>69677.128664000018</v>
      </c>
      <c r="J15" s="138">
        <v>0</v>
      </c>
      <c r="K15" s="178">
        <f t="shared" ref="K15:K18" si="1">N$3*F15</f>
        <v>73924.691099999996</v>
      </c>
      <c r="L15" s="138">
        <v>244444.58470400001</v>
      </c>
      <c r="M15" s="160">
        <v>0</v>
      </c>
      <c r="N15" s="139">
        <f t="shared" ref="N15:N18" si="2">L15+J15+I15+M15+K15</f>
        <v>388046.40446799999</v>
      </c>
      <c r="O15" s="140">
        <f t="shared" ref="O15:O18" si="3">N15*6% + N15</f>
        <v>411329.18873608002</v>
      </c>
      <c r="P15" s="109" t="s">
        <v>351</v>
      </c>
      <c r="R15" s="298"/>
      <c r="S15" s="298"/>
    </row>
    <row r="16" spans="1:19" x14ac:dyDescent="0.25">
      <c r="A16" s="5" t="s">
        <v>115</v>
      </c>
      <c r="B16" s="5"/>
      <c r="C16" s="34" t="s">
        <v>111</v>
      </c>
      <c r="D16" s="102" t="s">
        <v>340</v>
      </c>
      <c r="E16" s="102" t="s">
        <v>302</v>
      </c>
      <c r="F16" s="136">
        <v>1.21E-2</v>
      </c>
      <c r="G16" s="194">
        <v>140004.55519299998</v>
      </c>
      <c r="H16" s="43">
        <f>G16</f>
        <v>140004.55519299998</v>
      </c>
      <c r="I16" s="137">
        <f t="shared" si="0"/>
        <v>0</v>
      </c>
      <c r="J16" s="138">
        <v>0</v>
      </c>
      <c r="K16" s="178">
        <f t="shared" si="1"/>
        <v>68806.827869999994</v>
      </c>
      <c r="L16" s="138">
        <v>231076.52147800004</v>
      </c>
      <c r="M16" s="160">
        <v>0</v>
      </c>
      <c r="N16" s="139">
        <f t="shared" si="2"/>
        <v>299883.34934800002</v>
      </c>
      <c r="O16" s="140">
        <f t="shared" si="3"/>
        <v>317876.35030888004</v>
      </c>
      <c r="P16" s="109"/>
      <c r="S16" s="42"/>
    </row>
    <row r="17" spans="1:19" x14ac:dyDescent="0.25">
      <c r="A17" s="5" t="s">
        <v>115</v>
      </c>
      <c r="B17" s="5"/>
      <c r="C17" s="34" t="s">
        <v>112</v>
      </c>
      <c r="D17" s="102" t="s">
        <v>172</v>
      </c>
      <c r="E17" s="102"/>
      <c r="F17" s="136">
        <v>1.49E-2</v>
      </c>
      <c r="G17" s="138">
        <v>1197773.1144109999</v>
      </c>
      <c r="H17" s="43"/>
      <c r="I17" s="137">
        <f t="shared" si="0"/>
        <v>1197773.1144109999</v>
      </c>
      <c r="J17" s="138">
        <v>0</v>
      </c>
      <c r="K17" s="178">
        <f t="shared" si="1"/>
        <v>84729.069029999999</v>
      </c>
      <c r="L17" s="138">
        <v>284548.77438200003</v>
      </c>
      <c r="M17" s="160">
        <v>0</v>
      </c>
      <c r="N17" s="139">
        <f t="shared" si="2"/>
        <v>1567050.9578229999</v>
      </c>
      <c r="O17" s="140">
        <f t="shared" si="3"/>
        <v>1661074.01529238</v>
      </c>
      <c r="P17" s="109"/>
      <c r="S17" s="42"/>
    </row>
    <row r="18" spans="1:19" ht="15.75" thickBot="1" x14ac:dyDescent="0.3">
      <c r="A18" s="5" t="s">
        <v>115</v>
      </c>
      <c r="B18" s="5"/>
      <c r="C18" s="141" t="s">
        <v>113</v>
      </c>
      <c r="D18" s="142" t="s">
        <v>252</v>
      </c>
      <c r="E18" s="142"/>
      <c r="F18" s="143">
        <v>1.7399999999999999E-2</v>
      </c>
      <c r="G18" s="144">
        <v>661969.29652199999</v>
      </c>
      <c r="H18" s="349">
        <f>701700</f>
        <v>701700</v>
      </c>
      <c r="I18" s="145">
        <f t="shared" si="0"/>
        <v>-39730.70347800001</v>
      </c>
      <c r="J18" s="146">
        <v>0</v>
      </c>
      <c r="K18" s="146">
        <f t="shared" si="1"/>
        <v>98945.355779999998</v>
      </c>
      <c r="L18" s="146">
        <v>332291.85733199993</v>
      </c>
      <c r="M18" s="196">
        <v>0</v>
      </c>
      <c r="N18" s="139">
        <f t="shared" si="2"/>
        <v>391506.5096339999</v>
      </c>
      <c r="O18" s="148">
        <f t="shared" si="3"/>
        <v>414996.90021203988</v>
      </c>
      <c r="P18" s="109"/>
      <c r="S18" s="42"/>
    </row>
    <row r="19" spans="1:19" x14ac:dyDescent="0.25">
      <c r="A19" s="55" t="s">
        <v>117</v>
      </c>
      <c r="B19" s="5"/>
      <c r="C19" s="175" t="s">
        <v>41</v>
      </c>
      <c r="D19" s="128" t="s">
        <v>173</v>
      </c>
      <c r="E19" s="128"/>
      <c r="F19" s="129">
        <v>1.8800000000000001E-2</v>
      </c>
      <c r="G19" s="176">
        <v>225600.01</v>
      </c>
      <c r="H19" s="350">
        <f>G19</f>
        <v>225600.01</v>
      </c>
      <c r="I19" s="177">
        <f>G19-H19</f>
        <v>0</v>
      </c>
      <c r="J19" s="178">
        <f t="shared" ref="J19:J50" si="4">N$8*F19</f>
        <v>0</v>
      </c>
      <c r="K19" s="178">
        <f>N$3*F19</f>
        <v>106906.47636</v>
      </c>
      <c r="L19" s="178">
        <f>N$2*F19</f>
        <v>282000</v>
      </c>
      <c r="M19" s="195">
        <v>0</v>
      </c>
      <c r="N19" s="179">
        <f>ROUND((L19+J19+I19+K19+M19),0) + P19</f>
        <v>388906.01</v>
      </c>
      <c r="O19" s="179">
        <f>ROUND((N19*6% + N19 ),0) + P19</f>
        <v>412240.01</v>
      </c>
      <c r="P19" s="126">
        <v>0.01</v>
      </c>
      <c r="S19" s="42"/>
    </row>
    <row r="20" spans="1:19" x14ac:dyDescent="0.25">
      <c r="A20" s="55" t="s">
        <v>118</v>
      </c>
      <c r="B20" s="5"/>
      <c r="C20" s="34" t="s">
        <v>42</v>
      </c>
      <c r="D20" s="102" t="s">
        <v>174</v>
      </c>
      <c r="E20" s="128"/>
      <c r="F20" s="129">
        <v>8.3999999999999995E-3</v>
      </c>
      <c r="G20" s="130">
        <v>100800.02</v>
      </c>
      <c r="H20" s="43">
        <f t="shared" ref="H20" si="5">G20</f>
        <v>100800.02</v>
      </c>
      <c r="I20" s="137">
        <f t="shared" si="0"/>
        <v>0</v>
      </c>
      <c r="J20" s="138">
        <f t="shared" si="4"/>
        <v>0</v>
      </c>
      <c r="K20" s="178">
        <f t="shared" ref="K20:K83" si="6">N$3*F20</f>
        <v>47766.723480000001</v>
      </c>
      <c r="L20" s="138">
        <f t="shared" ref="L20:L50" si="7">N$2*F20</f>
        <v>125999.99999999999</v>
      </c>
      <c r="M20" s="160">
        <v>0</v>
      </c>
      <c r="N20" s="179">
        <f t="shared" ref="N20:N83" si="8">ROUND((L20+J20+I20+K20+M20),0) + P20</f>
        <v>173767.02</v>
      </c>
      <c r="O20" s="140">
        <f t="shared" ref="O20:O83" si="9">ROUND((N20*6% + N20 ),0) + P20</f>
        <v>184193.02</v>
      </c>
      <c r="P20" s="126">
        <f>P19+0.01</f>
        <v>0.02</v>
      </c>
      <c r="S20" s="42"/>
    </row>
    <row r="21" spans="1:19" x14ac:dyDescent="0.25">
      <c r="A21" s="55" t="s">
        <v>117</v>
      </c>
      <c r="B21" s="5"/>
      <c r="C21" s="34" t="s">
        <v>43</v>
      </c>
      <c r="D21" s="102" t="s">
        <v>175</v>
      </c>
      <c r="E21" s="128"/>
      <c r="F21" s="129">
        <v>2.01E-2</v>
      </c>
      <c r="G21" s="130">
        <v>276872.03000000003</v>
      </c>
      <c r="H21" s="43">
        <f>G21</f>
        <v>276872.03000000003</v>
      </c>
      <c r="I21" s="137">
        <f t="shared" si="0"/>
        <v>0</v>
      </c>
      <c r="J21" s="138">
        <f t="shared" si="4"/>
        <v>0</v>
      </c>
      <c r="K21" s="178">
        <f t="shared" si="6"/>
        <v>114298.94547000001</v>
      </c>
      <c r="L21" s="138">
        <f t="shared" si="7"/>
        <v>301500</v>
      </c>
      <c r="M21" s="160">
        <v>0</v>
      </c>
      <c r="N21" s="179">
        <f t="shared" si="8"/>
        <v>415799.03</v>
      </c>
      <c r="O21" s="140">
        <f t="shared" si="9"/>
        <v>440747.03</v>
      </c>
      <c r="P21" s="126">
        <f t="shared" ref="P21:P84" si="10">P20+0.01</f>
        <v>0.03</v>
      </c>
    </row>
    <row r="22" spans="1:19" x14ac:dyDescent="0.25">
      <c r="A22" s="55" t="s">
        <v>119</v>
      </c>
      <c r="B22" s="5"/>
      <c r="C22" s="185" t="s">
        <v>44</v>
      </c>
      <c r="D22" s="186" t="s">
        <v>176</v>
      </c>
      <c r="E22" s="187" t="s">
        <v>271</v>
      </c>
      <c r="F22" s="188">
        <v>9.4000000000000004E-3</v>
      </c>
      <c r="G22" s="189">
        <v>112404.04</v>
      </c>
      <c r="H22" s="236">
        <f>50382+112800</f>
        <v>163182</v>
      </c>
      <c r="I22" s="190">
        <f t="shared" si="0"/>
        <v>-50777.960000000006</v>
      </c>
      <c r="J22" s="191">
        <f t="shared" si="4"/>
        <v>0</v>
      </c>
      <c r="K22" s="221">
        <f t="shared" si="6"/>
        <v>53453.23818</v>
      </c>
      <c r="L22" s="191">
        <f t="shared" si="7"/>
        <v>141000</v>
      </c>
      <c r="M22" s="192">
        <v>0</v>
      </c>
      <c r="N22" s="222">
        <f t="shared" si="8"/>
        <v>143675.04</v>
      </c>
      <c r="O22" s="193">
        <f t="shared" si="9"/>
        <v>152296.04</v>
      </c>
      <c r="P22" s="126">
        <f t="shared" si="10"/>
        <v>0.04</v>
      </c>
      <c r="Q22" t="s">
        <v>290</v>
      </c>
    </row>
    <row r="23" spans="1:19" x14ac:dyDescent="0.25">
      <c r="A23" s="55" t="s">
        <v>119</v>
      </c>
      <c r="B23" s="5"/>
      <c r="C23" s="34" t="s">
        <v>45</v>
      </c>
      <c r="D23" s="102" t="s">
        <v>177</v>
      </c>
      <c r="E23" s="128" t="s">
        <v>289</v>
      </c>
      <c r="F23" s="129">
        <v>8.6999999999999994E-3</v>
      </c>
      <c r="G23" s="130">
        <v>104400.05</v>
      </c>
      <c r="H23" s="43">
        <f>G23</f>
        <v>104400.05</v>
      </c>
      <c r="I23" s="137">
        <f t="shared" si="0"/>
        <v>0</v>
      </c>
      <c r="J23" s="138">
        <f t="shared" si="4"/>
        <v>0</v>
      </c>
      <c r="K23" s="178">
        <f t="shared" si="6"/>
        <v>49472.677889999999</v>
      </c>
      <c r="L23" s="138">
        <f t="shared" si="7"/>
        <v>130499.99999999999</v>
      </c>
      <c r="M23" s="160">
        <v>0</v>
      </c>
      <c r="N23" s="179">
        <f t="shared" si="8"/>
        <v>179973.05</v>
      </c>
      <c r="O23" s="140">
        <f t="shared" si="9"/>
        <v>190771.05</v>
      </c>
      <c r="P23" s="126">
        <f t="shared" si="10"/>
        <v>0.05</v>
      </c>
    </row>
    <row r="24" spans="1:19" x14ac:dyDescent="0.25">
      <c r="A24" s="55" t="s">
        <v>119</v>
      </c>
      <c r="B24" s="5"/>
      <c r="C24" s="34" t="s">
        <v>46</v>
      </c>
      <c r="D24" s="102" t="s">
        <v>178</v>
      </c>
      <c r="E24" s="128" t="s">
        <v>283</v>
      </c>
      <c r="F24" s="129">
        <v>9.4999999999999998E-3</v>
      </c>
      <c r="G24" s="130">
        <v>114000.06</v>
      </c>
      <c r="H24" s="43">
        <f>G24+50918</f>
        <v>164918.06</v>
      </c>
      <c r="I24" s="137">
        <f t="shared" si="0"/>
        <v>-50918</v>
      </c>
      <c r="J24" s="138">
        <f t="shared" si="4"/>
        <v>0</v>
      </c>
      <c r="K24" s="178">
        <f t="shared" si="6"/>
        <v>54021.889649999997</v>
      </c>
      <c r="L24" s="138">
        <f t="shared" si="7"/>
        <v>142500</v>
      </c>
      <c r="M24" s="160">
        <v>0</v>
      </c>
      <c r="N24" s="179">
        <f t="shared" si="8"/>
        <v>145604.06</v>
      </c>
      <c r="O24" s="140">
        <f t="shared" si="9"/>
        <v>154340.06</v>
      </c>
      <c r="P24" s="126">
        <f t="shared" si="10"/>
        <v>6.0000000000000005E-2</v>
      </c>
    </row>
    <row r="25" spans="1:19" x14ac:dyDescent="0.25">
      <c r="A25" s="55" t="s">
        <v>117</v>
      </c>
      <c r="B25" s="5"/>
      <c r="C25" s="34" t="s">
        <v>47</v>
      </c>
      <c r="D25" s="102" t="s">
        <v>178</v>
      </c>
      <c r="E25" s="128" t="s">
        <v>292</v>
      </c>
      <c r="F25" s="129">
        <v>1.6500000000000001E-2</v>
      </c>
      <c r="G25" s="130">
        <v>198000.07</v>
      </c>
      <c r="H25" s="43">
        <f>G25+88437</f>
        <v>286437.07</v>
      </c>
      <c r="I25" s="137">
        <f t="shared" si="0"/>
        <v>-88437</v>
      </c>
      <c r="J25" s="138">
        <f t="shared" si="4"/>
        <v>0</v>
      </c>
      <c r="K25" s="178">
        <f t="shared" si="6"/>
        <v>93827.49255000001</v>
      </c>
      <c r="L25" s="138">
        <f t="shared" si="7"/>
        <v>247500</v>
      </c>
      <c r="M25" s="160">
        <v>0</v>
      </c>
      <c r="N25" s="179">
        <f t="shared" si="8"/>
        <v>252890.07</v>
      </c>
      <c r="O25" s="140">
        <f t="shared" si="9"/>
        <v>268063.07</v>
      </c>
      <c r="P25" s="126">
        <f t="shared" si="10"/>
        <v>7.0000000000000007E-2</v>
      </c>
    </row>
    <row r="26" spans="1:19" x14ac:dyDescent="0.25">
      <c r="A26" s="55" t="s">
        <v>118</v>
      </c>
      <c r="B26" s="5"/>
      <c r="C26" s="34" t="s">
        <v>48</v>
      </c>
      <c r="D26" s="102" t="s">
        <v>254</v>
      </c>
      <c r="E26" s="128"/>
      <c r="F26" s="129">
        <v>7.3000000000000001E-3</v>
      </c>
      <c r="G26" s="130">
        <v>87600.08</v>
      </c>
      <c r="H26" s="43">
        <f>G26</f>
        <v>87600.08</v>
      </c>
      <c r="I26" s="137">
        <f t="shared" si="0"/>
        <v>0</v>
      </c>
      <c r="J26" s="138">
        <f t="shared" si="4"/>
        <v>0</v>
      </c>
      <c r="K26" s="178">
        <f t="shared" si="6"/>
        <v>41511.557310000004</v>
      </c>
      <c r="L26" s="138">
        <f t="shared" si="7"/>
        <v>109500</v>
      </c>
      <c r="M26" s="160">
        <v>0</v>
      </c>
      <c r="N26" s="179">
        <f t="shared" si="8"/>
        <v>151012.07999999999</v>
      </c>
      <c r="O26" s="140">
        <f t="shared" si="9"/>
        <v>160073.07999999999</v>
      </c>
      <c r="P26" s="126">
        <f t="shared" si="10"/>
        <v>0.08</v>
      </c>
    </row>
    <row r="27" spans="1:19" x14ac:dyDescent="0.25">
      <c r="A27" s="102" t="s">
        <v>117</v>
      </c>
      <c r="B27" s="34"/>
      <c r="C27" s="34" t="s">
        <v>49</v>
      </c>
      <c r="D27" s="102" t="s">
        <v>178</v>
      </c>
      <c r="E27" s="128" t="s">
        <v>304</v>
      </c>
      <c r="F27" s="129">
        <v>1.78E-2</v>
      </c>
      <c r="G27" s="130">
        <v>468030.09</v>
      </c>
      <c r="H27" s="43">
        <f>G27+95405</f>
        <v>563435.09000000008</v>
      </c>
      <c r="I27" s="137">
        <f t="shared" si="0"/>
        <v>-95405.000000000058</v>
      </c>
      <c r="J27" s="138">
        <f t="shared" si="4"/>
        <v>0</v>
      </c>
      <c r="K27" s="178">
        <f t="shared" si="6"/>
        <v>101219.96166</v>
      </c>
      <c r="L27" s="138">
        <f t="shared" si="7"/>
        <v>267000</v>
      </c>
      <c r="M27" s="160">
        <v>0</v>
      </c>
      <c r="N27" s="179">
        <f t="shared" si="8"/>
        <v>272815.09000000003</v>
      </c>
      <c r="O27" s="140">
        <f t="shared" si="9"/>
        <v>289184.09000000003</v>
      </c>
      <c r="P27" s="126">
        <f t="shared" si="10"/>
        <v>0.09</v>
      </c>
    </row>
    <row r="28" spans="1:19" x14ac:dyDescent="0.25">
      <c r="A28" s="102" t="s">
        <v>119</v>
      </c>
      <c r="B28" s="34"/>
      <c r="C28" s="34" t="s">
        <v>50</v>
      </c>
      <c r="D28" s="102" t="s">
        <v>338</v>
      </c>
      <c r="E28" s="128"/>
      <c r="F28" s="129">
        <v>9.4000000000000004E-3</v>
      </c>
      <c r="G28" s="43">
        <v>257182.1</v>
      </c>
      <c r="H28" s="43">
        <f>G28</f>
        <v>257182.1</v>
      </c>
      <c r="I28" s="137">
        <f t="shared" si="0"/>
        <v>0</v>
      </c>
      <c r="J28" s="138">
        <f t="shared" si="4"/>
        <v>0</v>
      </c>
      <c r="K28" s="178">
        <f t="shared" si="6"/>
        <v>53453.23818</v>
      </c>
      <c r="L28" s="138">
        <f t="shared" si="7"/>
        <v>141000</v>
      </c>
      <c r="M28" s="160">
        <v>0</v>
      </c>
      <c r="N28" s="179">
        <f t="shared" si="8"/>
        <v>194453.1</v>
      </c>
      <c r="O28" s="140">
        <f t="shared" si="9"/>
        <v>206120.1</v>
      </c>
      <c r="P28" s="126">
        <f t="shared" si="10"/>
        <v>9.9999999999999992E-2</v>
      </c>
    </row>
    <row r="29" spans="1:19" x14ac:dyDescent="0.25">
      <c r="A29" s="102" t="s">
        <v>119</v>
      </c>
      <c r="B29" s="34"/>
      <c r="C29" s="34" t="s">
        <v>51</v>
      </c>
      <c r="D29" s="102" t="s">
        <v>270</v>
      </c>
      <c r="E29" s="128"/>
      <c r="F29" s="129">
        <v>8.6999999999999994E-3</v>
      </c>
      <c r="G29" s="130">
        <v>104400.11</v>
      </c>
      <c r="H29" s="43">
        <f t="shared" ref="H29" si="11">G29</f>
        <v>104400.11</v>
      </c>
      <c r="I29" s="137">
        <f t="shared" si="0"/>
        <v>0</v>
      </c>
      <c r="J29" s="138">
        <f t="shared" si="4"/>
        <v>0</v>
      </c>
      <c r="K29" s="178">
        <f t="shared" si="6"/>
        <v>49472.677889999999</v>
      </c>
      <c r="L29" s="138">
        <f t="shared" si="7"/>
        <v>130499.99999999999</v>
      </c>
      <c r="M29" s="160">
        <v>0</v>
      </c>
      <c r="N29" s="179">
        <f t="shared" si="8"/>
        <v>179973.11</v>
      </c>
      <c r="O29" s="140">
        <f t="shared" si="9"/>
        <v>190771.11</v>
      </c>
      <c r="P29" s="126">
        <f t="shared" si="10"/>
        <v>0.10999999999999999</v>
      </c>
    </row>
    <row r="30" spans="1:19" x14ac:dyDescent="0.25">
      <c r="A30" s="102" t="s">
        <v>119</v>
      </c>
      <c r="B30" s="34"/>
      <c r="C30" s="34" t="s">
        <v>52</v>
      </c>
      <c r="D30" s="102" t="s">
        <v>179</v>
      </c>
      <c r="E30" s="128"/>
      <c r="F30" s="129">
        <v>9.4999999999999998E-3</v>
      </c>
      <c r="G30" s="130">
        <v>1075346.1200000001</v>
      </c>
      <c r="H30" s="43"/>
      <c r="I30" s="137">
        <f t="shared" si="0"/>
        <v>1075346.1200000001</v>
      </c>
      <c r="J30" s="138">
        <f t="shared" si="4"/>
        <v>0</v>
      </c>
      <c r="K30" s="178">
        <f t="shared" si="6"/>
        <v>54021.889649999997</v>
      </c>
      <c r="L30" s="138">
        <f t="shared" si="7"/>
        <v>142500</v>
      </c>
      <c r="M30" s="160">
        <v>0</v>
      </c>
      <c r="N30" s="179">
        <f t="shared" si="8"/>
        <v>1271868.1200000001</v>
      </c>
      <c r="O30" s="140">
        <f t="shared" si="9"/>
        <v>1348180.12</v>
      </c>
      <c r="P30" s="126">
        <f t="shared" si="10"/>
        <v>0.11999999999999998</v>
      </c>
    </row>
    <row r="31" spans="1:19" x14ac:dyDescent="0.25">
      <c r="A31" s="102" t="s">
        <v>117</v>
      </c>
      <c r="B31" s="34"/>
      <c r="C31" s="34" t="s">
        <v>53</v>
      </c>
      <c r="D31" s="102" t="s">
        <v>180</v>
      </c>
      <c r="E31" s="128"/>
      <c r="F31" s="129">
        <v>1.6400000000000001E-2</v>
      </c>
      <c r="G31" s="130">
        <v>231914.13</v>
      </c>
      <c r="H31" s="43">
        <f>G31</f>
        <v>231914.13</v>
      </c>
      <c r="I31" s="137">
        <f t="shared" si="0"/>
        <v>0</v>
      </c>
      <c r="J31" s="138">
        <f t="shared" si="4"/>
        <v>0</v>
      </c>
      <c r="K31" s="178">
        <f t="shared" si="6"/>
        <v>93258.841080000013</v>
      </c>
      <c r="L31" s="138">
        <f t="shared" si="7"/>
        <v>246000.00000000003</v>
      </c>
      <c r="M31" s="160">
        <v>0</v>
      </c>
      <c r="N31" s="179">
        <f t="shared" si="8"/>
        <v>339259.13</v>
      </c>
      <c r="O31" s="140">
        <f t="shared" si="9"/>
        <v>359615.13</v>
      </c>
      <c r="P31" s="126">
        <f t="shared" si="10"/>
        <v>0.12999999999999998</v>
      </c>
    </row>
    <row r="32" spans="1:19" x14ac:dyDescent="0.25">
      <c r="A32" s="55" t="s">
        <v>118</v>
      </c>
      <c r="B32" s="5"/>
      <c r="C32" s="34" t="s">
        <v>54</v>
      </c>
      <c r="D32" s="102" t="s">
        <v>242</v>
      </c>
      <c r="E32" s="128" t="s">
        <v>255</v>
      </c>
      <c r="F32" s="129">
        <v>7.1999999999999998E-3</v>
      </c>
      <c r="G32" s="130">
        <v>86400.14</v>
      </c>
      <c r="H32" s="43">
        <f t="shared" ref="H32:H33" si="12">G32</f>
        <v>86400.14</v>
      </c>
      <c r="I32" s="137">
        <f t="shared" si="0"/>
        <v>0</v>
      </c>
      <c r="J32" s="138">
        <f t="shared" si="4"/>
        <v>0</v>
      </c>
      <c r="K32" s="178">
        <f t="shared" si="6"/>
        <v>40942.905839999999</v>
      </c>
      <c r="L32" s="138">
        <f t="shared" si="7"/>
        <v>108000</v>
      </c>
      <c r="M32" s="160">
        <v>0</v>
      </c>
      <c r="N32" s="179">
        <f t="shared" si="8"/>
        <v>148943.14000000001</v>
      </c>
      <c r="O32" s="140">
        <f t="shared" si="9"/>
        <v>157880.14000000001</v>
      </c>
      <c r="P32" s="126">
        <f t="shared" si="10"/>
        <v>0.13999999999999999</v>
      </c>
    </row>
    <row r="33" spans="1:114" x14ac:dyDescent="0.25">
      <c r="A33" s="55" t="s">
        <v>117</v>
      </c>
      <c r="B33" s="5"/>
      <c r="C33" s="34" t="s">
        <v>55</v>
      </c>
      <c r="D33" s="102" t="s">
        <v>181</v>
      </c>
      <c r="E33" s="128"/>
      <c r="F33" s="129">
        <v>1.7299999999999999E-2</v>
      </c>
      <c r="G33" s="130">
        <v>207600.15</v>
      </c>
      <c r="H33" s="43">
        <f t="shared" si="12"/>
        <v>207600.15</v>
      </c>
      <c r="I33" s="149">
        <f t="shared" si="0"/>
        <v>0</v>
      </c>
      <c r="J33" s="138">
        <f t="shared" si="4"/>
        <v>0</v>
      </c>
      <c r="K33" s="178">
        <f t="shared" si="6"/>
        <v>98376.704310000001</v>
      </c>
      <c r="L33" s="138">
        <f t="shared" si="7"/>
        <v>259500</v>
      </c>
      <c r="M33" s="160">
        <v>0</v>
      </c>
      <c r="N33" s="179">
        <f t="shared" si="8"/>
        <v>357877.15</v>
      </c>
      <c r="O33" s="140">
        <f t="shared" si="9"/>
        <v>379350.15</v>
      </c>
      <c r="P33" s="126">
        <f t="shared" si="10"/>
        <v>0.15</v>
      </c>
    </row>
    <row r="34" spans="1:114" x14ac:dyDescent="0.25">
      <c r="A34" s="132" t="s">
        <v>119</v>
      </c>
      <c r="B34" s="131"/>
      <c r="C34" s="34" t="s">
        <v>56</v>
      </c>
      <c r="D34" s="102" t="s">
        <v>287</v>
      </c>
      <c r="E34" s="128"/>
      <c r="F34" s="129">
        <v>9.4000000000000004E-3</v>
      </c>
      <c r="G34" s="130">
        <v>112800.16</v>
      </c>
      <c r="H34" s="43">
        <v>119568.16</v>
      </c>
      <c r="I34" s="137">
        <f t="shared" si="0"/>
        <v>-6768</v>
      </c>
      <c r="J34" s="138">
        <f t="shared" si="4"/>
        <v>0</v>
      </c>
      <c r="K34" s="178">
        <f t="shared" si="6"/>
        <v>53453.23818</v>
      </c>
      <c r="L34" s="138">
        <f t="shared" si="7"/>
        <v>141000</v>
      </c>
      <c r="M34" s="160">
        <v>0</v>
      </c>
      <c r="N34" s="179">
        <f t="shared" si="8"/>
        <v>187685.16</v>
      </c>
      <c r="O34" s="140">
        <f t="shared" si="9"/>
        <v>198946.16</v>
      </c>
      <c r="P34" s="126">
        <f t="shared" si="10"/>
        <v>0.16</v>
      </c>
      <c r="Q34" t="s">
        <v>298</v>
      </c>
    </row>
    <row r="35" spans="1:114" x14ac:dyDescent="0.25">
      <c r="A35" s="55" t="s">
        <v>119</v>
      </c>
      <c r="B35" s="5"/>
      <c r="C35" s="34" t="s">
        <v>57</v>
      </c>
      <c r="D35" s="102" t="s">
        <v>179</v>
      </c>
      <c r="E35" s="128" t="s">
        <v>274</v>
      </c>
      <c r="F35" s="129">
        <v>8.6999999999999994E-3</v>
      </c>
      <c r="G35" s="130">
        <v>104400.17</v>
      </c>
      <c r="H35" s="43"/>
      <c r="I35" s="137">
        <f t="shared" si="0"/>
        <v>104400.17</v>
      </c>
      <c r="J35" s="138">
        <f t="shared" si="4"/>
        <v>0</v>
      </c>
      <c r="K35" s="178">
        <f t="shared" si="6"/>
        <v>49472.677889999999</v>
      </c>
      <c r="L35" s="138">
        <f t="shared" si="7"/>
        <v>130499.99999999999</v>
      </c>
      <c r="M35" s="160">
        <v>0</v>
      </c>
      <c r="N35" s="179">
        <f t="shared" si="8"/>
        <v>284373.17</v>
      </c>
      <c r="O35" s="140">
        <f t="shared" si="9"/>
        <v>301436.17</v>
      </c>
      <c r="P35" s="126">
        <f t="shared" si="10"/>
        <v>0.17</v>
      </c>
    </row>
    <row r="36" spans="1:114" x14ac:dyDescent="0.25">
      <c r="A36" s="55" t="s">
        <v>119</v>
      </c>
      <c r="B36" s="5"/>
      <c r="C36" s="34" t="s">
        <v>58</v>
      </c>
      <c r="D36" s="102" t="s">
        <v>179</v>
      </c>
      <c r="E36" s="128"/>
      <c r="F36" s="129">
        <v>9.4999999999999998E-3</v>
      </c>
      <c r="G36" s="130">
        <v>557595.18000000005</v>
      </c>
      <c r="H36" s="43"/>
      <c r="I36" s="149">
        <f t="shared" si="0"/>
        <v>557595.18000000005</v>
      </c>
      <c r="J36" s="138">
        <f t="shared" si="4"/>
        <v>0</v>
      </c>
      <c r="K36" s="178">
        <f t="shared" si="6"/>
        <v>54021.889649999997</v>
      </c>
      <c r="L36" s="138">
        <f t="shared" si="7"/>
        <v>142500</v>
      </c>
      <c r="M36" s="160">
        <v>0</v>
      </c>
      <c r="N36" s="179">
        <f t="shared" si="8"/>
        <v>754117.18</v>
      </c>
      <c r="O36" s="140">
        <f t="shared" si="9"/>
        <v>799364.18</v>
      </c>
      <c r="P36" s="126">
        <f t="shared" si="10"/>
        <v>0.18000000000000002</v>
      </c>
    </row>
    <row r="37" spans="1:114" x14ac:dyDescent="0.25">
      <c r="A37" s="55" t="s">
        <v>117</v>
      </c>
      <c r="B37" s="5"/>
      <c r="C37" s="34" t="s">
        <v>59</v>
      </c>
      <c r="D37" s="102" t="s">
        <v>182</v>
      </c>
      <c r="E37" s="128" t="s">
        <v>272</v>
      </c>
      <c r="F37" s="129">
        <v>1.6400000000000001E-2</v>
      </c>
      <c r="G37" s="130">
        <v>196800.19</v>
      </c>
      <c r="H37" s="43">
        <f>G37</f>
        <v>196800.19</v>
      </c>
      <c r="I37" s="137">
        <f t="shared" si="0"/>
        <v>0</v>
      </c>
      <c r="J37" s="138">
        <f t="shared" si="4"/>
        <v>0</v>
      </c>
      <c r="K37" s="178">
        <f t="shared" si="6"/>
        <v>93258.841080000013</v>
      </c>
      <c r="L37" s="138">
        <f t="shared" si="7"/>
        <v>246000.00000000003</v>
      </c>
      <c r="M37" s="160">
        <v>0</v>
      </c>
      <c r="N37" s="179">
        <f t="shared" si="8"/>
        <v>339259.19</v>
      </c>
      <c r="O37" s="140">
        <f t="shared" si="9"/>
        <v>359615.19</v>
      </c>
      <c r="P37" s="126">
        <f t="shared" si="10"/>
        <v>0.19000000000000003</v>
      </c>
      <c r="Q37" t="s">
        <v>296</v>
      </c>
    </row>
    <row r="38" spans="1:114" x14ac:dyDescent="0.25">
      <c r="A38" s="55" t="s">
        <v>118</v>
      </c>
      <c r="B38" s="5"/>
      <c r="C38" s="34" t="s">
        <v>60</v>
      </c>
      <c r="D38" s="102" t="s">
        <v>218</v>
      </c>
      <c r="E38" s="128"/>
      <c r="F38" s="129">
        <v>7.1999999999999998E-3</v>
      </c>
      <c r="G38" s="130">
        <v>86400.2</v>
      </c>
      <c r="H38" s="43">
        <f>G38</f>
        <v>86400.2</v>
      </c>
      <c r="I38" s="137">
        <f t="shared" si="0"/>
        <v>0</v>
      </c>
      <c r="J38" s="138">
        <f t="shared" si="4"/>
        <v>0</v>
      </c>
      <c r="K38" s="178">
        <f t="shared" si="6"/>
        <v>40942.905839999999</v>
      </c>
      <c r="L38" s="138">
        <f t="shared" si="7"/>
        <v>108000</v>
      </c>
      <c r="M38" s="160">
        <v>0</v>
      </c>
      <c r="N38" s="179">
        <f t="shared" si="8"/>
        <v>148943.20000000001</v>
      </c>
      <c r="O38" s="140">
        <f t="shared" si="9"/>
        <v>157880.20000000001</v>
      </c>
      <c r="P38" s="126">
        <f t="shared" si="10"/>
        <v>0.20000000000000004</v>
      </c>
    </row>
    <row r="39" spans="1:114" s="133" customFormat="1" x14ac:dyDescent="0.25">
      <c r="A39" s="102" t="s">
        <v>117</v>
      </c>
      <c r="B39" s="34"/>
      <c r="C39" s="34" t="s">
        <v>61</v>
      </c>
      <c r="D39" s="102" t="s">
        <v>183</v>
      </c>
      <c r="E39" s="128"/>
      <c r="F39" s="129">
        <v>1.7299999999999999E-2</v>
      </c>
      <c r="G39" s="130">
        <v>176369.21</v>
      </c>
      <c r="H39" s="43"/>
      <c r="I39" s="137">
        <f t="shared" si="0"/>
        <v>176369.21</v>
      </c>
      <c r="J39" s="138">
        <f t="shared" si="4"/>
        <v>0</v>
      </c>
      <c r="K39" s="178">
        <f t="shared" si="6"/>
        <v>98376.704310000001</v>
      </c>
      <c r="L39" s="138">
        <f t="shared" si="7"/>
        <v>259500</v>
      </c>
      <c r="M39" s="160">
        <v>0</v>
      </c>
      <c r="N39" s="179">
        <f t="shared" si="8"/>
        <v>534246.21</v>
      </c>
      <c r="O39" s="140">
        <f t="shared" si="9"/>
        <v>566301.21</v>
      </c>
      <c r="P39" s="164">
        <f t="shared" si="10"/>
        <v>0.21000000000000005</v>
      </c>
      <c r="Q39" s="71"/>
      <c r="R39" s="71"/>
      <c r="S39" s="71"/>
      <c r="T39" s="71"/>
      <c r="U39" s="71"/>
      <c r="V39" s="71"/>
      <c r="W39" s="71"/>
      <c r="X39" s="71"/>
      <c r="Y39" s="71"/>
      <c r="Z39" s="71"/>
      <c r="AA39" s="71"/>
      <c r="AB39" s="71"/>
      <c r="AC39" s="71"/>
      <c r="AD39" s="71"/>
      <c r="AE39" s="71"/>
      <c r="AF39" s="71"/>
      <c r="AG39" s="71"/>
      <c r="AH39" s="71"/>
      <c r="AI39" s="71"/>
      <c r="AJ39" s="71"/>
      <c r="AK39" s="71"/>
      <c r="AL39" s="71"/>
      <c r="AM39" s="71"/>
      <c r="AN39" s="71"/>
      <c r="AO39" s="71"/>
      <c r="AP39" s="71"/>
      <c r="AQ39" s="71"/>
      <c r="AR39" s="71"/>
      <c r="AS39" s="71"/>
      <c r="AT39" s="71"/>
      <c r="AU39" s="71"/>
      <c r="AV39" s="71"/>
      <c r="AW39" s="71"/>
      <c r="AX39" s="71"/>
      <c r="AY39" s="71"/>
      <c r="AZ39" s="71"/>
      <c r="BA39" s="71"/>
      <c r="BB39" s="71"/>
      <c r="BC39" s="71"/>
      <c r="BD39" s="71"/>
      <c r="BE39" s="71"/>
      <c r="BF39" s="71"/>
      <c r="BG39" s="71"/>
      <c r="BH39" s="71"/>
      <c r="BI39" s="71"/>
      <c r="BJ39" s="71"/>
      <c r="BK39" s="71"/>
      <c r="BL39" s="71"/>
      <c r="BM39" s="71"/>
      <c r="BN39" s="71"/>
      <c r="BO39" s="71"/>
      <c r="BP39" s="71"/>
      <c r="BQ39" s="71"/>
      <c r="BR39" s="71"/>
      <c r="BS39" s="71"/>
      <c r="BT39" s="71"/>
      <c r="BU39" s="71"/>
      <c r="BV39" s="71"/>
      <c r="BW39" s="71"/>
      <c r="BX39" s="71"/>
      <c r="BY39" s="71"/>
      <c r="BZ39" s="71"/>
      <c r="CA39" s="71"/>
      <c r="CB39" s="71"/>
      <c r="CC39" s="71"/>
      <c r="CD39" s="71"/>
      <c r="CE39" s="71"/>
      <c r="CF39" s="71"/>
      <c r="CG39" s="71"/>
      <c r="CH39" s="71"/>
      <c r="CI39" s="71"/>
      <c r="CJ39" s="71"/>
      <c r="CK39" s="71"/>
      <c r="CL39" s="71"/>
      <c r="CM39" s="71"/>
      <c r="CN39" s="71"/>
      <c r="CO39" s="71"/>
      <c r="CP39" s="71"/>
      <c r="CQ39" s="71"/>
      <c r="CR39" s="71"/>
      <c r="CS39" s="71"/>
      <c r="CT39" s="71"/>
      <c r="CU39" s="71"/>
      <c r="CV39" s="71"/>
      <c r="CW39" s="71"/>
      <c r="CX39" s="71"/>
      <c r="CY39" s="71"/>
      <c r="CZ39" s="71"/>
      <c r="DA39" s="71"/>
      <c r="DB39" s="71"/>
      <c r="DC39" s="71"/>
      <c r="DD39" s="71"/>
      <c r="DE39" s="71"/>
      <c r="DF39" s="71"/>
      <c r="DG39" s="71"/>
      <c r="DH39" s="71"/>
      <c r="DI39" s="71"/>
      <c r="DJ39" s="71"/>
    </row>
    <row r="40" spans="1:114" s="133" customFormat="1" x14ac:dyDescent="0.25">
      <c r="A40" s="102" t="s">
        <v>119</v>
      </c>
      <c r="B40" s="34"/>
      <c r="C40" s="34" t="s">
        <v>62</v>
      </c>
      <c r="D40" s="102" t="s">
        <v>265</v>
      </c>
      <c r="E40" s="128"/>
      <c r="F40" s="129">
        <v>9.4000000000000004E-3</v>
      </c>
      <c r="G40" s="43">
        <v>625361.22</v>
      </c>
      <c r="H40" s="43"/>
      <c r="I40" s="137">
        <f t="shared" si="0"/>
        <v>625361.22</v>
      </c>
      <c r="J40" s="138">
        <f t="shared" si="4"/>
        <v>0</v>
      </c>
      <c r="K40" s="178">
        <f t="shared" si="6"/>
        <v>53453.23818</v>
      </c>
      <c r="L40" s="138">
        <f t="shared" si="7"/>
        <v>141000</v>
      </c>
      <c r="M40" s="160">
        <v>0</v>
      </c>
      <c r="N40" s="179">
        <f t="shared" si="8"/>
        <v>819814.22</v>
      </c>
      <c r="O40" s="140">
        <f t="shared" si="9"/>
        <v>869003.22</v>
      </c>
      <c r="P40" s="164">
        <f t="shared" si="10"/>
        <v>0.22000000000000006</v>
      </c>
      <c r="Q40" s="71" t="s">
        <v>297</v>
      </c>
      <c r="R40" s="71"/>
      <c r="S40" s="71"/>
      <c r="T40" s="71"/>
      <c r="U40" s="71"/>
      <c r="V40" s="71"/>
      <c r="W40" s="71"/>
      <c r="X40" s="71"/>
      <c r="Y40" s="71"/>
      <c r="Z40" s="71"/>
      <c r="AA40" s="71"/>
      <c r="AB40" s="71"/>
      <c r="AC40" s="71"/>
      <c r="AD40" s="71"/>
      <c r="AE40" s="71"/>
      <c r="AF40" s="71"/>
      <c r="AG40" s="71"/>
      <c r="AH40" s="71"/>
      <c r="AI40" s="71"/>
      <c r="AJ40" s="71"/>
      <c r="AK40" s="71"/>
      <c r="AL40" s="71"/>
      <c r="AM40" s="71"/>
      <c r="AN40" s="71"/>
      <c r="AO40" s="71"/>
      <c r="AP40" s="71"/>
      <c r="AQ40" s="71"/>
      <c r="AR40" s="71"/>
      <c r="AS40" s="71"/>
      <c r="AT40" s="71"/>
      <c r="AU40" s="71"/>
      <c r="AV40" s="71"/>
      <c r="AW40" s="71"/>
      <c r="AX40" s="71"/>
      <c r="AY40" s="71"/>
      <c r="AZ40" s="71"/>
      <c r="BA40" s="71"/>
      <c r="BB40" s="71"/>
      <c r="BC40" s="71"/>
      <c r="BD40" s="71"/>
      <c r="BE40" s="71"/>
      <c r="BF40" s="71"/>
      <c r="BG40" s="71"/>
      <c r="BH40" s="71"/>
      <c r="BI40" s="71"/>
      <c r="BJ40" s="71"/>
      <c r="BK40" s="71"/>
      <c r="BL40" s="71"/>
      <c r="BM40" s="71"/>
      <c r="BN40" s="71"/>
      <c r="BO40" s="71"/>
      <c r="BP40" s="71"/>
      <c r="BQ40" s="71"/>
      <c r="BR40" s="71"/>
      <c r="BS40" s="71"/>
      <c r="BT40" s="71"/>
      <c r="BU40" s="71"/>
      <c r="BV40" s="71"/>
      <c r="BW40" s="71"/>
      <c r="BX40" s="71"/>
      <c r="BY40" s="71"/>
      <c r="BZ40" s="71"/>
      <c r="CA40" s="71"/>
      <c r="CB40" s="71"/>
      <c r="CC40" s="71"/>
      <c r="CD40" s="71"/>
      <c r="CE40" s="71"/>
      <c r="CF40" s="71"/>
      <c r="CG40" s="71"/>
      <c r="CH40" s="71"/>
      <c r="CI40" s="71"/>
      <c r="CJ40" s="71"/>
      <c r="CK40" s="71"/>
      <c r="CL40" s="71"/>
      <c r="CM40" s="71"/>
      <c r="CN40" s="71"/>
      <c r="CO40" s="71"/>
      <c r="CP40" s="71"/>
      <c r="CQ40" s="71"/>
      <c r="CR40" s="71"/>
      <c r="CS40" s="71"/>
      <c r="CT40" s="71"/>
      <c r="CU40" s="71"/>
      <c r="CV40" s="71"/>
      <c r="CW40" s="71"/>
      <c r="CX40" s="71"/>
      <c r="CY40" s="71"/>
      <c r="CZ40" s="71"/>
      <c r="DA40" s="71"/>
      <c r="DB40" s="71"/>
      <c r="DC40" s="71"/>
      <c r="DD40" s="71"/>
      <c r="DE40" s="71"/>
      <c r="DF40" s="71"/>
      <c r="DG40" s="71"/>
      <c r="DH40" s="71"/>
      <c r="DI40" s="71"/>
      <c r="DJ40" s="71"/>
    </row>
    <row r="41" spans="1:114" s="133" customFormat="1" x14ac:dyDescent="0.25">
      <c r="A41" s="102" t="s">
        <v>119</v>
      </c>
      <c r="B41" s="34"/>
      <c r="C41" s="34" t="s">
        <v>63</v>
      </c>
      <c r="D41" s="102" t="s">
        <v>179</v>
      </c>
      <c r="E41" s="128" t="s">
        <v>350</v>
      </c>
      <c r="F41" s="129">
        <v>8.6999999999999994E-3</v>
      </c>
      <c r="G41" s="130">
        <v>104400.23</v>
      </c>
      <c r="H41" s="43">
        <f>G41</f>
        <v>104400.23</v>
      </c>
      <c r="I41" s="137">
        <f t="shared" si="0"/>
        <v>0</v>
      </c>
      <c r="J41" s="138">
        <f t="shared" si="4"/>
        <v>0</v>
      </c>
      <c r="K41" s="178">
        <f t="shared" si="6"/>
        <v>49472.677889999999</v>
      </c>
      <c r="L41" s="138">
        <f t="shared" si="7"/>
        <v>130499.99999999999</v>
      </c>
      <c r="M41" s="160">
        <v>0</v>
      </c>
      <c r="N41" s="179">
        <f t="shared" si="8"/>
        <v>179973.23</v>
      </c>
      <c r="O41" s="140">
        <f t="shared" si="9"/>
        <v>190772.23</v>
      </c>
      <c r="P41" s="164">
        <f t="shared" si="10"/>
        <v>0.23000000000000007</v>
      </c>
      <c r="Q41" s="71" t="s">
        <v>281</v>
      </c>
      <c r="R41" s="71"/>
      <c r="S41" s="71"/>
      <c r="T41" s="71"/>
      <c r="U41" s="71"/>
      <c r="V41" s="71"/>
      <c r="W41" s="71"/>
      <c r="X41" s="71"/>
      <c r="Y41" s="71"/>
      <c r="Z41" s="71"/>
      <c r="AA41" s="71"/>
      <c r="AB41" s="71"/>
      <c r="AC41" s="71"/>
      <c r="AD41" s="71"/>
      <c r="AE41" s="71"/>
      <c r="AF41" s="71"/>
      <c r="AG41" s="71"/>
      <c r="AH41" s="71"/>
      <c r="AI41" s="71"/>
      <c r="AJ41" s="71"/>
      <c r="AK41" s="71"/>
      <c r="AL41" s="71"/>
      <c r="AM41" s="71"/>
      <c r="AN41" s="71"/>
      <c r="AO41" s="71"/>
      <c r="AP41" s="71"/>
      <c r="AQ41" s="71"/>
      <c r="AR41" s="71"/>
      <c r="AS41" s="71"/>
      <c r="AT41" s="71"/>
      <c r="AU41" s="71"/>
      <c r="AV41" s="71"/>
      <c r="AW41" s="71"/>
      <c r="AX41" s="71"/>
      <c r="AY41" s="71"/>
      <c r="AZ41" s="71"/>
      <c r="BA41" s="71"/>
      <c r="BB41" s="71"/>
      <c r="BC41" s="71"/>
      <c r="BD41" s="71"/>
      <c r="BE41" s="71"/>
      <c r="BF41" s="71"/>
      <c r="BG41" s="71"/>
      <c r="BH41" s="71"/>
      <c r="BI41" s="71"/>
      <c r="BJ41" s="71"/>
      <c r="BK41" s="71"/>
      <c r="BL41" s="71"/>
      <c r="BM41" s="71"/>
      <c r="BN41" s="71"/>
      <c r="BO41" s="71"/>
      <c r="BP41" s="71"/>
      <c r="BQ41" s="71"/>
      <c r="BR41" s="71"/>
      <c r="BS41" s="71"/>
      <c r="BT41" s="71"/>
      <c r="BU41" s="71"/>
      <c r="BV41" s="71"/>
      <c r="BW41" s="71"/>
      <c r="BX41" s="71"/>
      <c r="BY41" s="71"/>
      <c r="BZ41" s="71"/>
      <c r="CA41" s="71"/>
      <c r="CB41" s="71"/>
      <c r="CC41" s="71"/>
      <c r="CD41" s="71"/>
      <c r="CE41" s="71"/>
      <c r="CF41" s="71"/>
      <c r="CG41" s="71"/>
      <c r="CH41" s="71"/>
      <c r="CI41" s="71"/>
      <c r="CJ41" s="71"/>
      <c r="CK41" s="71"/>
      <c r="CL41" s="71"/>
      <c r="CM41" s="71"/>
      <c r="CN41" s="71"/>
      <c r="CO41" s="71"/>
      <c r="CP41" s="71"/>
      <c r="CQ41" s="71"/>
      <c r="CR41" s="71"/>
      <c r="CS41" s="71"/>
      <c r="CT41" s="71"/>
      <c r="CU41" s="71"/>
      <c r="CV41" s="71"/>
      <c r="CW41" s="71"/>
      <c r="CX41" s="71"/>
      <c r="CY41" s="71"/>
      <c r="CZ41" s="71"/>
      <c r="DA41" s="71"/>
      <c r="DB41" s="71"/>
      <c r="DC41" s="71"/>
      <c r="DD41" s="71"/>
      <c r="DE41" s="71"/>
      <c r="DF41" s="71"/>
      <c r="DG41" s="71"/>
      <c r="DH41" s="71"/>
      <c r="DI41" s="71"/>
      <c r="DJ41" s="71"/>
    </row>
    <row r="42" spans="1:114" s="133" customFormat="1" x14ac:dyDescent="0.25">
      <c r="A42" s="102" t="s">
        <v>119</v>
      </c>
      <c r="B42" s="34"/>
      <c r="C42" s="34" t="s">
        <v>64</v>
      </c>
      <c r="D42" s="102" t="s">
        <v>265</v>
      </c>
      <c r="E42" s="128"/>
      <c r="F42" s="129">
        <v>9.4999999999999998E-3</v>
      </c>
      <c r="G42" s="150">
        <v>302815.24</v>
      </c>
      <c r="H42" s="43">
        <v>0</v>
      </c>
      <c r="I42" s="137">
        <f t="shared" si="0"/>
        <v>302815.24</v>
      </c>
      <c r="J42" s="138">
        <f t="shared" si="4"/>
        <v>0</v>
      </c>
      <c r="K42" s="178">
        <f t="shared" si="6"/>
        <v>54021.889649999997</v>
      </c>
      <c r="L42" s="138">
        <f t="shared" si="7"/>
        <v>142500</v>
      </c>
      <c r="M42" s="160">
        <v>0</v>
      </c>
      <c r="N42" s="179">
        <f t="shared" si="8"/>
        <v>499337.24</v>
      </c>
      <c r="O42" s="140">
        <f t="shared" si="9"/>
        <v>529297.24</v>
      </c>
      <c r="P42" s="164">
        <f t="shared" si="10"/>
        <v>0.24000000000000007</v>
      </c>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c r="AV42" s="71"/>
      <c r="AW42" s="71"/>
      <c r="AX42" s="71"/>
      <c r="AY42" s="71"/>
      <c r="AZ42" s="71"/>
      <c r="BA42" s="71"/>
      <c r="BB42" s="71"/>
      <c r="BC42" s="71"/>
      <c r="BD42" s="71"/>
      <c r="BE42" s="71"/>
      <c r="BF42" s="71"/>
      <c r="BG42" s="71"/>
      <c r="BH42" s="71"/>
      <c r="BI42" s="71"/>
      <c r="BJ42" s="71"/>
      <c r="BK42" s="71"/>
      <c r="BL42" s="71"/>
      <c r="BM42" s="71"/>
      <c r="BN42" s="71"/>
      <c r="BO42" s="71"/>
      <c r="BP42" s="71"/>
      <c r="BQ42" s="71"/>
      <c r="BR42" s="71"/>
      <c r="BS42" s="71"/>
      <c r="BT42" s="71"/>
      <c r="BU42" s="71"/>
      <c r="BV42" s="71"/>
      <c r="BW42" s="71"/>
      <c r="BX42" s="71"/>
      <c r="BY42" s="71"/>
      <c r="BZ42" s="71"/>
      <c r="CA42" s="71"/>
      <c r="CB42" s="71"/>
      <c r="CC42" s="71"/>
      <c r="CD42" s="71"/>
      <c r="CE42" s="71"/>
      <c r="CF42" s="71"/>
      <c r="CG42" s="71"/>
      <c r="CH42" s="71"/>
      <c r="CI42" s="71"/>
      <c r="CJ42" s="71"/>
      <c r="CK42" s="71"/>
      <c r="CL42" s="71"/>
      <c r="CM42" s="71"/>
      <c r="CN42" s="71"/>
      <c r="CO42" s="71"/>
      <c r="CP42" s="71"/>
      <c r="CQ42" s="71"/>
      <c r="CR42" s="71"/>
      <c r="CS42" s="71"/>
      <c r="CT42" s="71"/>
      <c r="CU42" s="71"/>
      <c r="CV42" s="71"/>
      <c r="CW42" s="71"/>
      <c r="CX42" s="71"/>
      <c r="CY42" s="71"/>
      <c r="CZ42" s="71"/>
      <c r="DA42" s="71"/>
      <c r="DB42" s="71"/>
      <c r="DC42" s="71"/>
      <c r="DD42" s="71"/>
      <c r="DE42" s="71"/>
      <c r="DF42" s="71"/>
      <c r="DG42" s="71"/>
      <c r="DH42" s="71"/>
      <c r="DI42" s="71"/>
      <c r="DJ42" s="71"/>
    </row>
    <row r="43" spans="1:114" x14ac:dyDescent="0.25">
      <c r="A43" s="55" t="s">
        <v>117</v>
      </c>
      <c r="B43" s="5"/>
      <c r="C43" s="34" t="s">
        <v>65</v>
      </c>
      <c r="D43" s="102" t="s">
        <v>184</v>
      </c>
      <c r="E43" s="128"/>
      <c r="F43" s="129">
        <v>1.6400000000000001E-2</v>
      </c>
      <c r="G43" s="130">
        <v>196800.25</v>
      </c>
      <c r="H43" s="43">
        <f t="shared" ref="H43" si="13">G43</f>
        <v>196800.25</v>
      </c>
      <c r="I43" s="137">
        <f t="shared" si="0"/>
        <v>0</v>
      </c>
      <c r="J43" s="138">
        <f t="shared" si="4"/>
        <v>0</v>
      </c>
      <c r="K43" s="178">
        <f t="shared" si="6"/>
        <v>93258.841080000013</v>
      </c>
      <c r="L43" s="138">
        <f t="shared" si="7"/>
        <v>246000.00000000003</v>
      </c>
      <c r="M43" s="160">
        <v>0</v>
      </c>
      <c r="N43" s="179">
        <f t="shared" si="8"/>
        <v>339259.25</v>
      </c>
      <c r="O43" s="140">
        <f t="shared" si="9"/>
        <v>359615.25</v>
      </c>
      <c r="P43" s="126">
        <f t="shared" si="10"/>
        <v>0.25000000000000006</v>
      </c>
    </row>
    <row r="44" spans="1:114" x14ac:dyDescent="0.25">
      <c r="A44" s="55" t="s">
        <v>118</v>
      </c>
      <c r="B44" s="5"/>
      <c r="C44" s="34" t="s">
        <v>66</v>
      </c>
      <c r="D44" s="102" t="s">
        <v>185</v>
      </c>
      <c r="E44" s="128" t="s">
        <v>256</v>
      </c>
      <c r="F44" s="129">
        <v>7.1999999999999998E-3</v>
      </c>
      <c r="G44" s="130">
        <v>86400.26</v>
      </c>
      <c r="H44" s="43">
        <f t="shared" ref="H44" si="14">G44</f>
        <v>86400.26</v>
      </c>
      <c r="I44" s="137">
        <f t="shared" si="0"/>
        <v>0</v>
      </c>
      <c r="J44" s="138">
        <f t="shared" si="4"/>
        <v>0</v>
      </c>
      <c r="K44" s="178">
        <f t="shared" si="6"/>
        <v>40942.905839999999</v>
      </c>
      <c r="L44" s="138">
        <f t="shared" si="7"/>
        <v>108000</v>
      </c>
      <c r="M44" s="160">
        <v>0</v>
      </c>
      <c r="N44" s="179">
        <f t="shared" si="8"/>
        <v>148943.26</v>
      </c>
      <c r="O44" s="140">
        <f t="shared" si="9"/>
        <v>157880.26</v>
      </c>
      <c r="P44" s="126">
        <f t="shared" si="10"/>
        <v>0.26000000000000006</v>
      </c>
    </row>
    <row r="45" spans="1:114" x14ac:dyDescent="0.25">
      <c r="A45" s="55" t="s">
        <v>117</v>
      </c>
      <c r="B45" s="5"/>
      <c r="C45" s="34" t="s">
        <v>67</v>
      </c>
      <c r="D45" s="102" t="s">
        <v>186</v>
      </c>
      <c r="E45" s="128"/>
      <c r="F45" s="129">
        <v>1.7299999999999999E-2</v>
      </c>
      <c r="G45" s="130">
        <v>207600.27</v>
      </c>
      <c r="H45" s="43">
        <f t="shared" ref="H45" si="15">G45</f>
        <v>207600.27</v>
      </c>
      <c r="I45" s="137">
        <f t="shared" si="0"/>
        <v>0</v>
      </c>
      <c r="J45" s="138">
        <f t="shared" si="4"/>
        <v>0</v>
      </c>
      <c r="K45" s="178">
        <f t="shared" si="6"/>
        <v>98376.704310000001</v>
      </c>
      <c r="L45" s="138">
        <f t="shared" si="7"/>
        <v>259500</v>
      </c>
      <c r="M45" s="160">
        <v>24000</v>
      </c>
      <c r="N45" s="179">
        <f t="shared" si="8"/>
        <v>381877.27</v>
      </c>
      <c r="O45" s="140">
        <f t="shared" si="9"/>
        <v>404790.27</v>
      </c>
      <c r="P45" s="126">
        <f t="shared" si="10"/>
        <v>0.27000000000000007</v>
      </c>
      <c r="Q45" t="s">
        <v>251</v>
      </c>
      <c r="R45" t="s">
        <v>251</v>
      </c>
    </row>
    <row r="46" spans="1:114" x14ac:dyDescent="0.25">
      <c r="A46" s="163" t="s">
        <v>119</v>
      </c>
      <c r="B46" s="162"/>
      <c r="C46" s="34" t="s">
        <v>68</v>
      </c>
      <c r="D46" s="102" t="s">
        <v>300</v>
      </c>
      <c r="E46" s="128"/>
      <c r="F46" s="129">
        <v>9.4000000000000004E-3</v>
      </c>
      <c r="G46" s="130">
        <v>112800.28</v>
      </c>
      <c r="H46" s="43"/>
      <c r="I46" s="137">
        <f t="shared" si="0"/>
        <v>112800.28</v>
      </c>
      <c r="J46" s="138">
        <f t="shared" si="4"/>
        <v>0</v>
      </c>
      <c r="K46" s="178">
        <f t="shared" si="6"/>
        <v>53453.23818</v>
      </c>
      <c r="L46" s="138">
        <f t="shared" si="7"/>
        <v>141000</v>
      </c>
      <c r="M46" s="160">
        <v>45375</v>
      </c>
      <c r="N46" s="179">
        <f t="shared" si="8"/>
        <v>352629.28</v>
      </c>
      <c r="O46" s="140">
        <f t="shared" si="9"/>
        <v>373787.28</v>
      </c>
      <c r="P46" s="126">
        <f t="shared" si="10"/>
        <v>0.28000000000000008</v>
      </c>
    </row>
    <row r="47" spans="1:114" x14ac:dyDescent="0.25">
      <c r="A47" s="55" t="s">
        <v>119</v>
      </c>
      <c r="B47" s="5"/>
      <c r="C47" s="34" t="s">
        <v>69</v>
      </c>
      <c r="D47" s="102" t="s">
        <v>177</v>
      </c>
      <c r="E47" s="128" t="s">
        <v>288</v>
      </c>
      <c r="F47" s="129">
        <v>8.6999999999999994E-3</v>
      </c>
      <c r="G47" s="140">
        <v>96382.29</v>
      </c>
      <c r="H47" s="43"/>
      <c r="I47" s="137">
        <f t="shared" si="0"/>
        <v>96382.29</v>
      </c>
      <c r="J47" s="138">
        <f t="shared" si="4"/>
        <v>0</v>
      </c>
      <c r="K47" s="178">
        <f t="shared" si="6"/>
        <v>49472.677889999999</v>
      </c>
      <c r="L47" s="138">
        <f t="shared" si="7"/>
        <v>130499.99999999999</v>
      </c>
      <c r="M47" s="160">
        <v>20000</v>
      </c>
      <c r="N47" s="179">
        <f t="shared" si="8"/>
        <v>296355.28999999998</v>
      </c>
      <c r="O47" s="140">
        <f t="shared" si="9"/>
        <v>314137.28999999998</v>
      </c>
      <c r="P47" s="126">
        <f t="shared" si="10"/>
        <v>0.29000000000000009</v>
      </c>
    </row>
    <row r="48" spans="1:114" x14ac:dyDescent="0.25">
      <c r="A48" s="55" t="s">
        <v>119</v>
      </c>
      <c r="B48" s="5"/>
      <c r="C48" s="34" t="s">
        <v>70</v>
      </c>
      <c r="D48" s="102" t="s">
        <v>187</v>
      </c>
      <c r="E48" s="128"/>
      <c r="F48" s="129">
        <v>9.4999999999999998E-3</v>
      </c>
      <c r="G48" s="130">
        <v>114000.3</v>
      </c>
      <c r="H48" s="43">
        <f>G48</f>
        <v>114000.3</v>
      </c>
      <c r="I48" s="137">
        <f t="shared" si="0"/>
        <v>0</v>
      </c>
      <c r="J48" s="138">
        <f t="shared" si="4"/>
        <v>0</v>
      </c>
      <c r="K48" s="178">
        <f t="shared" si="6"/>
        <v>54021.889649999997</v>
      </c>
      <c r="L48" s="138">
        <f t="shared" si="7"/>
        <v>142500</v>
      </c>
      <c r="M48" s="160">
        <v>0</v>
      </c>
      <c r="N48" s="179">
        <f t="shared" si="8"/>
        <v>196522.3</v>
      </c>
      <c r="O48" s="140">
        <f t="shared" si="9"/>
        <v>208314.3</v>
      </c>
      <c r="P48" s="126">
        <f t="shared" si="10"/>
        <v>0.3000000000000001</v>
      </c>
    </row>
    <row r="49" spans="1:18" x14ac:dyDescent="0.25">
      <c r="A49" s="55" t="s">
        <v>117</v>
      </c>
      <c r="B49" s="5"/>
      <c r="C49" s="34" t="s">
        <v>71</v>
      </c>
      <c r="D49" s="102" t="s">
        <v>188</v>
      </c>
      <c r="E49" s="128"/>
      <c r="F49" s="129">
        <v>1.6400000000000001E-2</v>
      </c>
      <c r="G49" s="130">
        <v>196800.31</v>
      </c>
      <c r="H49" s="43">
        <f>G49</f>
        <v>196800.31</v>
      </c>
      <c r="I49" s="137">
        <f t="shared" si="0"/>
        <v>0</v>
      </c>
      <c r="J49" s="138">
        <f t="shared" si="4"/>
        <v>0</v>
      </c>
      <c r="K49" s="178">
        <f t="shared" si="6"/>
        <v>93258.841080000013</v>
      </c>
      <c r="L49" s="138">
        <f t="shared" si="7"/>
        <v>246000.00000000003</v>
      </c>
      <c r="M49" s="160">
        <v>0</v>
      </c>
      <c r="N49" s="179">
        <f t="shared" si="8"/>
        <v>339259.31</v>
      </c>
      <c r="O49" s="140">
        <f t="shared" si="9"/>
        <v>359615.31</v>
      </c>
      <c r="P49" s="126">
        <f t="shared" si="10"/>
        <v>0.31000000000000011</v>
      </c>
    </row>
    <row r="50" spans="1:18" x14ac:dyDescent="0.25">
      <c r="A50" s="55" t="s">
        <v>118</v>
      </c>
      <c r="B50" s="5"/>
      <c r="C50" s="34" t="s">
        <v>72</v>
      </c>
      <c r="D50" s="102" t="s">
        <v>189</v>
      </c>
      <c r="E50" s="128"/>
      <c r="F50" s="129">
        <v>7.1999999999999998E-3</v>
      </c>
      <c r="G50" s="130">
        <v>86400.320000000007</v>
      </c>
      <c r="H50" s="43">
        <f t="shared" ref="H50:H51" si="16">G50</f>
        <v>86400.320000000007</v>
      </c>
      <c r="I50" s="137">
        <f t="shared" si="0"/>
        <v>0</v>
      </c>
      <c r="J50" s="138">
        <f t="shared" si="4"/>
        <v>0</v>
      </c>
      <c r="K50" s="178">
        <f t="shared" si="6"/>
        <v>40942.905839999999</v>
      </c>
      <c r="L50" s="138">
        <f t="shared" si="7"/>
        <v>108000</v>
      </c>
      <c r="M50" s="160">
        <v>0</v>
      </c>
      <c r="N50" s="179">
        <f t="shared" si="8"/>
        <v>148943.32</v>
      </c>
      <c r="O50" s="140">
        <f t="shared" si="9"/>
        <v>157880.32000000001</v>
      </c>
      <c r="P50" s="126">
        <f t="shared" si="10"/>
        <v>0.32000000000000012</v>
      </c>
      <c r="Q50" s="42"/>
    </row>
    <row r="51" spans="1:18" x14ac:dyDescent="0.25">
      <c r="A51" s="55" t="s">
        <v>117</v>
      </c>
      <c r="B51" s="5"/>
      <c r="C51" s="34" t="s">
        <v>73</v>
      </c>
      <c r="D51" s="102" t="s">
        <v>190</v>
      </c>
      <c r="E51" s="128"/>
      <c r="F51" s="129">
        <v>1.7299999999999999E-2</v>
      </c>
      <c r="G51" s="130">
        <v>207600.33</v>
      </c>
      <c r="H51" s="43">
        <f t="shared" si="16"/>
        <v>207600.33</v>
      </c>
      <c r="I51" s="137">
        <f t="shared" si="0"/>
        <v>0</v>
      </c>
      <c r="J51" s="138">
        <f t="shared" ref="J51:J82" si="17">N$8*F51</f>
        <v>0</v>
      </c>
      <c r="K51" s="178">
        <f t="shared" si="6"/>
        <v>98376.704310000001</v>
      </c>
      <c r="L51" s="138">
        <f t="shared" ref="L51:L82" si="18">N$2*F51</f>
        <v>259500</v>
      </c>
      <c r="M51" s="160">
        <v>0</v>
      </c>
      <c r="N51" s="179">
        <f t="shared" si="8"/>
        <v>357877.33</v>
      </c>
      <c r="O51" s="140">
        <f t="shared" si="9"/>
        <v>379350.33</v>
      </c>
      <c r="P51" s="126">
        <f t="shared" si="10"/>
        <v>0.33000000000000013</v>
      </c>
      <c r="Q51" s="42"/>
    </row>
    <row r="52" spans="1:18" x14ac:dyDescent="0.25">
      <c r="A52" s="55" t="s">
        <v>119</v>
      </c>
      <c r="B52" s="5"/>
      <c r="C52" s="34" t="s">
        <v>74</v>
      </c>
      <c r="D52" s="102" t="s">
        <v>269</v>
      </c>
      <c r="E52" s="128"/>
      <c r="F52" s="129">
        <v>9.4000000000000004E-3</v>
      </c>
      <c r="G52" s="130">
        <v>112800.34</v>
      </c>
      <c r="H52" s="43">
        <f t="shared" ref="H52:H53" si="19">G52</f>
        <v>112800.34</v>
      </c>
      <c r="I52" s="137">
        <f t="shared" si="0"/>
        <v>0</v>
      </c>
      <c r="J52" s="138">
        <f t="shared" si="17"/>
        <v>0</v>
      </c>
      <c r="K52" s="178">
        <f t="shared" si="6"/>
        <v>53453.23818</v>
      </c>
      <c r="L52" s="138">
        <f t="shared" si="18"/>
        <v>141000</v>
      </c>
      <c r="M52" s="160">
        <v>0</v>
      </c>
      <c r="N52" s="179">
        <f t="shared" si="8"/>
        <v>194453.34</v>
      </c>
      <c r="O52" s="140">
        <f t="shared" si="9"/>
        <v>206121.34</v>
      </c>
      <c r="P52" s="126">
        <f t="shared" si="10"/>
        <v>0.34000000000000014</v>
      </c>
      <c r="Q52" t="s">
        <v>285</v>
      </c>
    </row>
    <row r="53" spans="1:18" x14ac:dyDescent="0.25">
      <c r="A53" s="55" t="s">
        <v>119</v>
      </c>
      <c r="B53" s="5"/>
      <c r="C53" s="34" t="s">
        <v>75</v>
      </c>
      <c r="D53" s="102" t="s">
        <v>219</v>
      </c>
      <c r="E53" s="128"/>
      <c r="F53" s="129">
        <v>8.6999999999999994E-3</v>
      </c>
      <c r="G53" s="130">
        <v>104400.35</v>
      </c>
      <c r="H53" s="43">
        <f t="shared" si="19"/>
        <v>104400.35</v>
      </c>
      <c r="I53" s="137">
        <f>G53-H53</f>
        <v>0</v>
      </c>
      <c r="J53" s="138">
        <f t="shared" si="17"/>
        <v>0</v>
      </c>
      <c r="K53" s="178">
        <f t="shared" si="6"/>
        <v>49472.677889999999</v>
      </c>
      <c r="L53" s="138">
        <f t="shared" si="18"/>
        <v>130499.99999999999</v>
      </c>
      <c r="M53" s="160">
        <v>0</v>
      </c>
      <c r="N53" s="179">
        <f t="shared" si="8"/>
        <v>179973.35</v>
      </c>
      <c r="O53" s="140">
        <f t="shared" si="9"/>
        <v>190772.35</v>
      </c>
      <c r="P53" s="126">
        <f t="shared" si="10"/>
        <v>0.35000000000000014</v>
      </c>
    </row>
    <row r="54" spans="1:18" x14ac:dyDescent="0.25">
      <c r="A54" s="55" t="s">
        <v>119</v>
      </c>
      <c r="B54" s="5"/>
      <c r="C54" s="34" t="s">
        <v>76</v>
      </c>
      <c r="D54" s="102" t="s">
        <v>191</v>
      </c>
      <c r="E54" s="128"/>
      <c r="F54" s="129">
        <v>9.4999999999999998E-3</v>
      </c>
      <c r="G54" s="130">
        <v>114000.36</v>
      </c>
      <c r="H54" s="43">
        <v>5947.36</v>
      </c>
      <c r="I54" s="137">
        <f>G54-H54</f>
        <v>108053</v>
      </c>
      <c r="J54" s="138">
        <f t="shared" si="17"/>
        <v>0</v>
      </c>
      <c r="K54" s="178">
        <f t="shared" si="6"/>
        <v>54021.889649999997</v>
      </c>
      <c r="L54" s="138">
        <f t="shared" si="18"/>
        <v>142500</v>
      </c>
      <c r="M54" s="160">
        <v>0</v>
      </c>
      <c r="N54" s="179">
        <f t="shared" si="8"/>
        <v>304575.35999999999</v>
      </c>
      <c r="O54" s="140">
        <f t="shared" si="9"/>
        <v>322850.36</v>
      </c>
      <c r="P54" s="126">
        <f t="shared" si="10"/>
        <v>0.36000000000000015</v>
      </c>
    </row>
    <row r="55" spans="1:18" x14ac:dyDescent="0.25">
      <c r="A55" s="55" t="s">
        <v>117</v>
      </c>
      <c r="B55" s="5"/>
      <c r="C55" s="34" t="s">
        <v>77</v>
      </c>
      <c r="D55" s="102" t="s">
        <v>188</v>
      </c>
      <c r="E55" s="128"/>
      <c r="F55" s="129">
        <v>1.6400000000000001E-2</v>
      </c>
      <c r="G55" s="130">
        <v>196800.37</v>
      </c>
      <c r="H55" s="43">
        <f>G55</f>
        <v>196800.37</v>
      </c>
      <c r="I55" s="137">
        <f t="shared" si="0"/>
        <v>0</v>
      </c>
      <c r="J55" s="138">
        <f t="shared" si="17"/>
        <v>0</v>
      </c>
      <c r="K55" s="178">
        <f t="shared" si="6"/>
        <v>93258.841080000013</v>
      </c>
      <c r="L55" s="138">
        <f t="shared" si="18"/>
        <v>246000.00000000003</v>
      </c>
      <c r="M55" s="160">
        <v>0</v>
      </c>
      <c r="N55" s="179">
        <f t="shared" si="8"/>
        <v>339259.37</v>
      </c>
      <c r="O55" s="140">
        <f t="shared" si="9"/>
        <v>359615.37</v>
      </c>
      <c r="P55" s="126">
        <f t="shared" si="10"/>
        <v>0.37000000000000016</v>
      </c>
      <c r="R55" s="57"/>
    </row>
    <row r="56" spans="1:18" x14ac:dyDescent="0.25">
      <c r="A56" s="55" t="s">
        <v>118</v>
      </c>
      <c r="B56" s="5"/>
      <c r="C56" s="34" t="s">
        <v>78</v>
      </c>
      <c r="D56" s="102" t="s">
        <v>192</v>
      </c>
      <c r="E56" s="128" t="s">
        <v>257</v>
      </c>
      <c r="F56" s="129">
        <v>7.1999999999999998E-3</v>
      </c>
      <c r="G56" s="130">
        <v>86400.38</v>
      </c>
      <c r="H56" s="43">
        <f t="shared" ref="H56" si="20">G56</f>
        <v>86400.38</v>
      </c>
      <c r="I56" s="137">
        <f t="shared" si="0"/>
        <v>0</v>
      </c>
      <c r="J56" s="138">
        <f t="shared" si="17"/>
        <v>0</v>
      </c>
      <c r="K56" s="178">
        <f t="shared" si="6"/>
        <v>40942.905839999999</v>
      </c>
      <c r="L56" s="138">
        <f t="shared" si="18"/>
        <v>108000</v>
      </c>
      <c r="M56" s="160">
        <v>0</v>
      </c>
      <c r="N56" s="179">
        <f t="shared" si="8"/>
        <v>148943.38</v>
      </c>
      <c r="O56" s="140">
        <f t="shared" si="9"/>
        <v>157880.38</v>
      </c>
      <c r="P56" s="126">
        <f t="shared" si="10"/>
        <v>0.38000000000000017</v>
      </c>
    </row>
    <row r="57" spans="1:18" x14ac:dyDescent="0.25">
      <c r="A57" s="55" t="s">
        <v>117</v>
      </c>
      <c r="B57" s="5"/>
      <c r="C57" s="185" t="s">
        <v>79</v>
      </c>
      <c r="D57" s="186" t="s">
        <v>193</v>
      </c>
      <c r="E57" s="187"/>
      <c r="F57" s="188">
        <v>1.7299999999999999E-2</v>
      </c>
      <c r="G57" s="189">
        <v>246758.39</v>
      </c>
      <c r="H57" s="236">
        <v>0</v>
      </c>
      <c r="I57" s="190">
        <f t="shared" si="0"/>
        <v>246758.39</v>
      </c>
      <c r="J57" s="191">
        <f t="shared" si="17"/>
        <v>0</v>
      </c>
      <c r="K57" s="221">
        <f t="shared" si="6"/>
        <v>98376.704310000001</v>
      </c>
      <c r="L57" s="191">
        <f t="shared" si="18"/>
        <v>259500</v>
      </c>
      <c r="M57" s="192">
        <v>0</v>
      </c>
      <c r="N57" s="222">
        <f t="shared" si="8"/>
        <v>604635.39</v>
      </c>
      <c r="O57" s="193">
        <f t="shared" si="9"/>
        <v>640914.39</v>
      </c>
      <c r="P57" s="126">
        <f t="shared" si="10"/>
        <v>0.39000000000000018</v>
      </c>
    </row>
    <row r="58" spans="1:18" x14ac:dyDescent="0.25">
      <c r="A58" s="55" t="s">
        <v>119</v>
      </c>
      <c r="B58" s="5"/>
      <c r="C58" s="34" t="s">
        <v>80</v>
      </c>
      <c r="D58" s="102" t="s">
        <v>194</v>
      </c>
      <c r="E58" s="128" t="s">
        <v>301</v>
      </c>
      <c r="F58" s="129">
        <v>9.4000000000000004E-3</v>
      </c>
      <c r="G58" s="130">
        <v>246785.4</v>
      </c>
      <c r="H58" s="43">
        <f>G58</f>
        <v>246785.4</v>
      </c>
      <c r="I58" s="137">
        <f t="shared" si="0"/>
        <v>0</v>
      </c>
      <c r="J58" s="138">
        <f t="shared" si="17"/>
        <v>0</v>
      </c>
      <c r="K58" s="178">
        <f t="shared" si="6"/>
        <v>53453.23818</v>
      </c>
      <c r="L58" s="138">
        <f t="shared" si="18"/>
        <v>141000</v>
      </c>
      <c r="M58" s="160">
        <v>0</v>
      </c>
      <c r="N58" s="179">
        <f t="shared" si="8"/>
        <v>194453.4</v>
      </c>
      <c r="O58" s="140">
        <f t="shared" si="9"/>
        <v>206121.4</v>
      </c>
      <c r="P58" s="126">
        <f t="shared" si="10"/>
        <v>0.40000000000000019</v>
      </c>
    </row>
    <row r="59" spans="1:18" x14ac:dyDescent="0.25">
      <c r="A59" s="102" t="s">
        <v>119</v>
      </c>
      <c r="B59" s="34"/>
      <c r="C59" s="34" t="s">
        <v>81</v>
      </c>
      <c r="D59" s="102" t="s">
        <v>306</v>
      </c>
      <c r="E59" s="128"/>
      <c r="F59" s="129">
        <v>8.6999999999999994E-3</v>
      </c>
      <c r="G59" s="43">
        <v>252312.41</v>
      </c>
      <c r="H59" s="43">
        <f>459281-206049.41</f>
        <v>253231.59</v>
      </c>
      <c r="I59" s="137">
        <f t="shared" si="0"/>
        <v>-919.17999999999302</v>
      </c>
      <c r="J59" s="138">
        <f t="shared" si="17"/>
        <v>0</v>
      </c>
      <c r="K59" s="178">
        <f t="shared" si="6"/>
        <v>49472.677889999999</v>
      </c>
      <c r="L59" s="138">
        <f t="shared" si="18"/>
        <v>130499.99999999999</v>
      </c>
      <c r="M59" s="160">
        <v>0</v>
      </c>
      <c r="N59" s="179">
        <f t="shared" si="8"/>
        <v>179053.41</v>
      </c>
      <c r="O59" s="140">
        <f t="shared" si="9"/>
        <v>189797.41</v>
      </c>
      <c r="P59" s="126">
        <f t="shared" si="10"/>
        <v>0.4100000000000002</v>
      </c>
      <c r="R59" t="s">
        <v>243</v>
      </c>
    </row>
    <row r="60" spans="1:18" x14ac:dyDescent="0.25">
      <c r="A60" s="102" t="s">
        <v>119</v>
      </c>
      <c r="B60" s="34"/>
      <c r="C60" s="34" t="s">
        <v>82</v>
      </c>
      <c r="D60" s="102" t="s">
        <v>195</v>
      </c>
      <c r="E60" s="128"/>
      <c r="F60" s="129">
        <v>9.4999999999999998E-3</v>
      </c>
      <c r="G60" s="130">
        <v>114000.42</v>
      </c>
      <c r="H60" s="43">
        <f>G60</f>
        <v>114000.42</v>
      </c>
      <c r="I60" s="137">
        <f t="shared" si="0"/>
        <v>0</v>
      </c>
      <c r="J60" s="138">
        <f t="shared" si="17"/>
        <v>0</v>
      </c>
      <c r="K60" s="178">
        <f t="shared" si="6"/>
        <v>54021.889649999997</v>
      </c>
      <c r="L60" s="138">
        <f t="shared" si="18"/>
        <v>142500</v>
      </c>
      <c r="M60" s="160">
        <v>0</v>
      </c>
      <c r="N60" s="179">
        <f t="shared" si="8"/>
        <v>196522.42</v>
      </c>
      <c r="O60" s="140">
        <f t="shared" si="9"/>
        <v>208314.42</v>
      </c>
      <c r="P60" s="126">
        <f t="shared" si="10"/>
        <v>0.42000000000000021</v>
      </c>
      <c r="Q60" t="s">
        <v>266</v>
      </c>
    </row>
    <row r="61" spans="1:18" x14ac:dyDescent="0.25">
      <c r="A61" s="102" t="s">
        <v>117</v>
      </c>
      <c r="B61" s="34"/>
      <c r="C61" s="34" t="s">
        <v>83</v>
      </c>
      <c r="D61" s="102" t="s">
        <v>196</v>
      </c>
      <c r="E61" s="128"/>
      <c r="F61" s="129">
        <v>1.6400000000000001E-2</v>
      </c>
      <c r="G61" s="130">
        <v>216800.43</v>
      </c>
      <c r="H61" s="43">
        <f>G61</f>
        <v>216800.43</v>
      </c>
      <c r="I61" s="137">
        <f t="shared" si="0"/>
        <v>0</v>
      </c>
      <c r="J61" s="138">
        <f t="shared" si="17"/>
        <v>0</v>
      </c>
      <c r="K61" s="178">
        <f t="shared" si="6"/>
        <v>93258.841080000013</v>
      </c>
      <c r="L61" s="138">
        <f t="shared" si="18"/>
        <v>246000.00000000003</v>
      </c>
      <c r="M61" s="160">
        <v>0</v>
      </c>
      <c r="N61" s="179">
        <f t="shared" si="8"/>
        <v>339259.43</v>
      </c>
      <c r="O61" s="140">
        <f t="shared" si="9"/>
        <v>359615.43</v>
      </c>
      <c r="P61" s="126">
        <f t="shared" si="10"/>
        <v>0.43000000000000022</v>
      </c>
    </row>
    <row r="62" spans="1:18" x14ac:dyDescent="0.25">
      <c r="A62" s="102" t="s">
        <v>118</v>
      </c>
      <c r="B62" s="34"/>
      <c r="C62" s="34" t="s">
        <v>84</v>
      </c>
      <c r="D62" s="102" t="s">
        <v>196</v>
      </c>
      <c r="E62" s="128"/>
      <c r="F62" s="129">
        <v>7.1999999999999998E-3</v>
      </c>
      <c r="G62" s="130">
        <v>86400.44</v>
      </c>
      <c r="H62" s="43">
        <f>G62</f>
        <v>86400.44</v>
      </c>
      <c r="I62" s="137">
        <f t="shared" si="0"/>
        <v>0</v>
      </c>
      <c r="J62" s="138">
        <f t="shared" si="17"/>
        <v>0</v>
      </c>
      <c r="K62" s="178">
        <f t="shared" si="6"/>
        <v>40942.905839999999</v>
      </c>
      <c r="L62" s="138">
        <f t="shared" si="18"/>
        <v>108000</v>
      </c>
      <c r="M62" s="160">
        <v>0</v>
      </c>
      <c r="N62" s="179">
        <f t="shared" si="8"/>
        <v>148943.44</v>
      </c>
      <c r="O62" s="140">
        <f t="shared" si="9"/>
        <v>157880.44</v>
      </c>
      <c r="P62" s="126">
        <f t="shared" si="10"/>
        <v>0.44000000000000022</v>
      </c>
    </row>
    <row r="63" spans="1:18" x14ac:dyDescent="0.25">
      <c r="A63" s="55" t="s">
        <v>117</v>
      </c>
      <c r="B63" s="5"/>
      <c r="C63" s="34" t="s">
        <v>85</v>
      </c>
      <c r="D63" s="102" t="s">
        <v>197</v>
      </c>
      <c r="E63" s="128"/>
      <c r="F63" s="129">
        <v>1.7299999999999999E-2</v>
      </c>
      <c r="G63" s="130">
        <v>207600.45</v>
      </c>
      <c r="H63" s="43">
        <f t="shared" ref="H63" si="21">G63</f>
        <v>207600.45</v>
      </c>
      <c r="I63" s="137">
        <f t="shared" si="0"/>
        <v>0</v>
      </c>
      <c r="J63" s="138">
        <f t="shared" si="17"/>
        <v>0</v>
      </c>
      <c r="K63" s="178">
        <f t="shared" si="6"/>
        <v>98376.704310000001</v>
      </c>
      <c r="L63" s="138">
        <f t="shared" si="18"/>
        <v>259500</v>
      </c>
      <c r="M63" s="160">
        <v>0</v>
      </c>
      <c r="N63" s="179">
        <f t="shared" si="8"/>
        <v>357877.45</v>
      </c>
      <c r="O63" s="140">
        <f t="shared" si="9"/>
        <v>379350.45</v>
      </c>
      <c r="P63" s="126">
        <f t="shared" si="10"/>
        <v>0.45000000000000023</v>
      </c>
    </row>
    <row r="64" spans="1:18" x14ac:dyDescent="0.25">
      <c r="A64" s="55" t="s">
        <v>119</v>
      </c>
      <c r="B64" s="5"/>
      <c r="C64" s="34" t="s">
        <v>86</v>
      </c>
      <c r="D64" s="102" t="s">
        <v>198</v>
      </c>
      <c r="E64" s="128" t="s">
        <v>258</v>
      </c>
      <c r="F64" s="129">
        <v>9.4000000000000004E-3</v>
      </c>
      <c r="G64" s="130">
        <v>112800.46</v>
      </c>
      <c r="H64" s="43">
        <v>144382.46</v>
      </c>
      <c r="I64" s="137">
        <f t="shared" si="0"/>
        <v>-31581.999999999985</v>
      </c>
      <c r="J64" s="138">
        <f t="shared" si="17"/>
        <v>0</v>
      </c>
      <c r="K64" s="178">
        <f t="shared" si="6"/>
        <v>53453.23818</v>
      </c>
      <c r="L64" s="138">
        <f t="shared" si="18"/>
        <v>141000</v>
      </c>
      <c r="M64" s="160">
        <v>0</v>
      </c>
      <c r="N64" s="179">
        <f t="shared" si="8"/>
        <v>162871.46</v>
      </c>
      <c r="O64" s="140">
        <f t="shared" si="9"/>
        <v>172644.46</v>
      </c>
      <c r="P64" s="164">
        <f t="shared" si="10"/>
        <v>0.46000000000000024</v>
      </c>
    </row>
    <row r="65" spans="1:19" x14ac:dyDescent="0.25">
      <c r="A65" s="55" t="s">
        <v>119</v>
      </c>
      <c r="B65" s="5"/>
      <c r="C65" s="34" t="s">
        <v>87</v>
      </c>
      <c r="D65" s="102" t="s">
        <v>177</v>
      </c>
      <c r="E65" s="128"/>
      <c r="F65" s="129">
        <v>8.6999999999999994E-3</v>
      </c>
      <c r="G65" s="130">
        <v>104400.47</v>
      </c>
      <c r="H65" s="43">
        <f>120841.48-G99</f>
        <v>95361.67</v>
      </c>
      <c r="I65" s="137">
        <f t="shared" si="0"/>
        <v>9038.8000000000029</v>
      </c>
      <c r="J65" s="138">
        <f t="shared" si="17"/>
        <v>0</v>
      </c>
      <c r="K65" s="178">
        <f t="shared" si="6"/>
        <v>49472.677889999999</v>
      </c>
      <c r="L65" s="138">
        <f t="shared" si="18"/>
        <v>130499.99999999999</v>
      </c>
      <c r="M65" s="160">
        <v>0</v>
      </c>
      <c r="N65" s="179">
        <f t="shared" si="8"/>
        <v>189011.47</v>
      </c>
      <c r="O65" s="140">
        <f t="shared" si="9"/>
        <v>200352.47</v>
      </c>
      <c r="P65" s="164">
        <f t="shared" si="10"/>
        <v>0.47000000000000025</v>
      </c>
    </row>
    <row r="66" spans="1:19" x14ac:dyDescent="0.25">
      <c r="A66" s="55" t="s">
        <v>119</v>
      </c>
      <c r="B66" s="5"/>
      <c r="C66" s="34" t="s">
        <v>88</v>
      </c>
      <c r="D66" s="102" t="s">
        <v>199</v>
      </c>
      <c r="E66" s="128"/>
      <c r="F66" s="129">
        <v>9.4999999999999998E-3</v>
      </c>
      <c r="G66" s="130">
        <v>114000.48</v>
      </c>
      <c r="H66" s="43">
        <f>G66</f>
        <v>114000.48</v>
      </c>
      <c r="I66" s="137">
        <f t="shared" si="0"/>
        <v>0</v>
      </c>
      <c r="J66" s="138">
        <f t="shared" si="17"/>
        <v>0</v>
      </c>
      <c r="K66" s="178">
        <f t="shared" si="6"/>
        <v>54021.889649999997</v>
      </c>
      <c r="L66" s="138">
        <f t="shared" si="18"/>
        <v>142500</v>
      </c>
      <c r="M66" s="160">
        <v>0</v>
      </c>
      <c r="N66" s="179">
        <f t="shared" si="8"/>
        <v>196522.48</v>
      </c>
      <c r="O66" s="140">
        <f t="shared" si="9"/>
        <v>208314.48</v>
      </c>
      <c r="P66" s="164">
        <f t="shared" si="10"/>
        <v>0.48000000000000026</v>
      </c>
      <c r="S66" s="173"/>
    </row>
    <row r="67" spans="1:19" x14ac:dyDescent="0.25">
      <c r="A67" s="55" t="s">
        <v>117</v>
      </c>
      <c r="B67" s="5"/>
      <c r="C67" s="34" t="s">
        <v>89</v>
      </c>
      <c r="D67" s="102" t="s">
        <v>200</v>
      </c>
      <c r="E67" s="128"/>
      <c r="F67" s="129">
        <v>1.6400000000000001E-2</v>
      </c>
      <c r="G67" s="130">
        <v>196800.49</v>
      </c>
      <c r="H67" s="43">
        <f t="shared" ref="H67" si="22">G67</f>
        <v>196800.49</v>
      </c>
      <c r="I67" s="137">
        <f t="shared" si="0"/>
        <v>0</v>
      </c>
      <c r="J67" s="138">
        <f t="shared" si="17"/>
        <v>0</v>
      </c>
      <c r="K67" s="178">
        <f t="shared" si="6"/>
        <v>93258.841080000013</v>
      </c>
      <c r="L67" s="138">
        <f t="shared" si="18"/>
        <v>246000.00000000003</v>
      </c>
      <c r="M67" s="160">
        <v>0</v>
      </c>
      <c r="N67" s="179">
        <f t="shared" si="8"/>
        <v>339259.49</v>
      </c>
      <c r="O67" s="140">
        <f t="shared" si="9"/>
        <v>359615.49</v>
      </c>
      <c r="P67" s="126">
        <f t="shared" si="10"/>
        <v>0.49000000000000027</v>
      </c>
      <c r="S67" s="42"/>
    </row>
    <row r="68" spans="1:19" x14ac:dyDescent="0.25">
      <c r="A68" s="132" t="s">
        <v>118</v>
      </c>
      <c r="B68" s="131"/>
      <c r="C68" s="34" t="s">
        <v>90</v>
      </c>
      <c r="D68" s="102" t="s">
        <v>201</v>
      </c>
      <c r="E68" s="128"/>
      <c r="F68" s="129">
        <v>7.1999999999999998E-3</v>
      </c>
      <c r="G68" s="130">
        <v>86400.5</v>
      </c>
      <c r="H68" s="43">
        <f>G68</f>
        <v>86400.5</v>
      </c>
      <c r="I68" s="137">
        <f t="shared" si="0"/>
        <v>0</v>
      </c>
      <c r="J68" s="138">
        <f t="shared" si="17"/>
        <v>0</v>
      </c>
      <c r="K68" s="178">
        <f t="shared" si="6"/>
        <v>40942.905839999999</v>
      </c>
      <c r="L68" s="138">
        <f t="shared" si="18"/>
        <v>108000</v>
      </c>
      <c r="M68" s="160">
        <v>0</v>
      </c>
      <c r="N68" s="179">
        <f t="shared" si="8"/>
        <v>148943.5</v>
      </c>
      <c r="O68" s="140">
        <f t="shared" si="9"/>
        <v>157880.5</v>
      </c>
      <c r="P68" s="126">
        <f t="shared" si="10"/>
        <v>0.50000000000000022</v>
      </c>
    </row>
    <row r="69" spans="1:19" x14ac:dyDescent="0.25">
      <c r="A69" s="55" t="s">
        <v>117</v>
      </c>
      <c r="B69" s="5"/>
      <c r="C69" s="34" t="s">
        <v>91</v>
      </c>
      <c r="D69" s="102" t="s">
        <v>202</v>
      </c>
      <c r="E69" s="128"/>
      <c r="F69" s="129">
        <v>1.7299999999999999E-2</v>
      </c>
      <c r="G69" s="130">
        <v>220057.51</v>
      </c>
      <c r="H69" s="43">
        <f t="shared" ref="H69" si="23">G69</f>
        <v>220057.51</v>
      </c>
      <c r="I69" s="137">
        <f t="shared" si="0"/>
        <v>0</v>
      </c>
      <c r="J69" s="138">
        <f t="shared" si="17"/>
        <v>0</v>
      </c>
      <c r="K69" s="178">
        <f t="shared" si="6"/>
        <v>98376.704310000001</v>
      </c>
      <c r="L69" s="138">
        <f t="shared" si="18"/>
        <v>259500</v>
      </c>
      <c r="M69" s="160">
        <v>20000</v>
      </c>
      <c r="N69" s="179">
        <f t="shared" si="8"/>
        <v>377877.51</v>
      </c>
      <c r="O69" s="140">
        <f t="shared" si="9"/>
        <v>400550.51</v>
      </c>
      <c r="P69" s="126">
        <f t="shared" si="10"/>
        <v>0.51000000000000023</v>
      </c>
    </row>
    <row r="70" spans="1:19" x14ac:dyDescent="0.25">
      <c r="A70" s="55" t="s">
        <v>119</v>
      </c>
      <c r="B70" s="5"/>
      <c r="C70" s="34" t="s">
        <v>92</v>
      </c>
      <c r="D70" s="102" t="s">
        <v>203</v>
      </c>
      <c r="E70" s="128"/>
      <c r="F70" s="129">
        <v>9.4000000000000004E-3</v>
      </c>
      <c r="G70" s="130">
        <v>112800.52</v>
      </c>
      <c r="H70" s="43"/>
      <c r="I70" s="137">
        <f t="shared" si="0"/>
        <v>112800.52</v>
      </c>
      <c r="J70" s="138">
        <f t="shared" si="17"/>
        <v>0</v>
      </c>
      <c r="K70" s="178">
        <f t="shared" si="6"/>
        <v>53453.23818</v>
      </c>
      <c r="L70" s="138">
        <f t="shared" si="18"/>
        <v>141000</v>
      </c>
      <c r="M70" s="160">
        <v>0</v>
      </c>
      <c r="N70" s="179">
        <f t="shared" si="8"/>
        <v>307254.52</v>
      </c>
      <c r="O70" s="140">
        <f t="shared" si="9"/>
        <v>325690.52</v>
      </c>
      <c r="P70" s="126">
        <f t="shared" si="10"/>
        <v>0.52000000000000024</v>
      </c>
    </row>
    <row r="71" spans="1:19" x14ac:dyDescent="0.25">
      <c r="A71" s="55" t="s">
        <v>119</v>
      </c>
      <c r="B71" s="5"/>
      <c r="C71" s="34" t="s">
        <v>93</v>
      </c>
      <c r="D71" s="102" t="s">
        <v>116</v>
      </c>
      <c r="E71" s="128"/>
      <c r="F71" s="129">
        <v>8.6999999999999994E-3</v>
      </c>
      <c r="G71" s="130">
        <v>104400.53</v>
      </c>
      <c r="H71" s="43">
        <f t="shared" ref="H71:H74" si="24">G71</f>
        <v>104400.53</v>
      </c>
      <c r="I71" s="137">
        <f t="shared" si="0"/>
        <v>0</v>
      </c>
      <c r="J71" s="138">
        <f t="shared" si="17"/>
        <v>0</v>
      </c>
      <c r="K71" s="178">
        <f t="shared" si="6"/>
        <v>49472.677889999999</v>
      </c>
      <c r="L71" s="138">
        <f t="shared" si="18"/>
        <v>130499.99999999999</v>
      </c>
      <c r="M71" s="160">
        <v>0</v>
      </c>
      <c r="N71" s="179">
        <f t="shared" si="8"/>
        <v>179973.53</v>
      </c>
      <c r="O71" s="140">
        <f t="shared" si="9"/>
        <v>190772.53</v>
      </c>
      <c r="P71" s="126">
        <f t="shared" si="10"/>
        <v>0.53000000000000025</v>
      </c>
      <c r="R71" t="s">
        <v>244</v>
      </c>
    </row>
    <row r="72" spans="1:19" x14ac:dyDescent="0.25">
      <c r="A72" s="55" t="s">
        <v>119</v>
      </c>
      <c r="B72" s="5"/>
      <c r="C72" s="34" t="s">
        <v>94</v>
      </c>
      <c r="D72" s="102" t="s">
        <v>204</v>
      </c>
      <c r="E72" s="128"/>
      <c r="F72" s="129">
        <v>9.4999999999999998E-3</v>
      </c>
      <c r="G72" s="130">
        <v>105244.54</v>
      </c>
      <c r="H72" s="43"/>
      <c r="I72" s="137">
        <f t="shared" si="0"/>
        <v>105244.54</v>
      </c>
      <c r="J72" s="138">
        <f t="shared" si="17"/>
        <v>0</v>
      </c>
      <c r="K72" s="178">
        <f t="shared" si="6"/>
        <v>54021.889649999997</v>
      </c>
      <c r="L72" s="138">
        <f t="shared" si="18"/>
        <v>142500</v>
      </c>
      <c r="M72" s="160">
        <v>0</v>
      </c>
      <c r="N72" s="179">
        <f t="shared" si="8"/>
        <v>301766.53999999998</v>
      </c>
      <c r="O72" s="140">
        <f t="shared" si="9"/>
        <v>319873.53999999998</v>
      </c>
      <c r="P72" s="126">
        <f t="shared" si="10"/>
        <v>0.54000000000000026</v>
      </c>
    </row>
    <row r="73" spans="1:19" x14ac:dyDescent="0.25">
      <c r="A73" s="55" t="s">
        <v>120</v>
      </c>
      <c r="B73" s="5"/>
      <c r="C73" s="34" t="s">
        <v>95</v>
      </c>
      <c r="D73" s="102" t="s">
        <v>205</v>
      </c>
      <c r="E73" s="128"/>
      <c r="F73" s="129">
        <v>2.35E-2</v>
      </c>
      <c r="G73" s="130">
        <v>302000.55</v>
      </c>
      <c r="H73" s="43">
        <f t="shared" si="24"/>
        <v>302000.55</v>
      </c>
      <c r="I73" s="137">
        <f t="shared" si="0"/>
        <v>0</v>
      </c>
      <c r="J73" s="138">
        <f t="shared" si="17"/>
        <v>0</v>
      </c>
      <c r="K73" s="178">
        <f t="shared" si="6"/>
        <v>133633.09544999999</v>
      </c>
      <c r="L73" s="138">
        <f t="shared" si="18"/>
        <v>352500</v>
      </c>
      <c r="M73" s="160">
        <v>0</v>
      </c>
      <c r="N73" s="179">
        <f t="shared" si="8"/>
        <v>486133.55</v>
      </c>
      <c r="O73" s="140">
        <f t="shared" si="9"/>
        <v>515302.55</v>
      </c>
      <c r="P73" s="126">
        <f t="shared" si="10"/>
        <v>0.55000000000000027</v>
      </c>
      <c r="Q73" s="71"/>
    </row>
    <row r="74" spans="1:19" x14ac:dyDescent="0.25">
      <c r="A74" s="55" t="s">
        <v>117</v>
      </c>
      <c r="B74" s="5"/>
      <c r="C74" s="34" t="s">
        <v>96</v>
      </c>
      <c r="D74" s="102" t="s">
        <v>206</v>
      </c>
      <c r="E74" s="128"/>
      <c r="F74" s="129">
        <v>1.7299999999999999E-2</v>
      </c>
      <c r="G74" s="130">
        <v>207600.56</v>
      </c>
      <c r="H74" s="43">
        <f t="shared" si="24"/>
        <v>207600.56</v>
      </c>
      <c r="I74" s="137">
        <f t="shared" si="0"/>
        <v>0</v>
      </c>
      <c r="J74" s="138">
        <f t="shared" si="17"/>
        <v>0</v>
      </c>
      <c r="K74" s="178">
        <f t="shared" si="6"/>
        <v>98376.704310000001</v>
      </c>
      <c r="L74" s="138">
        <f t="shared" si="18"/>
        <v>259500</v>
      </c>
      <c r="M74" s="160">
        <v>0</v>
      </c>
      <c r="N74" s="179">
        <f t="shared" si="8"/>
        <v>357877.56</v>
      </c>
      <c r="O74" s="140">
        <f t="shared" si="9"/>
        <v>379350.56</v>
      </c>
      <c r="P74" s="126">
        <f t="shared" si="10"/>
        <v>0.56000000000000028</v>
      </c>
    </row>
    <row r="75" spans="1:19" x14ac:dyDescent="0.25">
      <c r="A75" s="55" t="s">
        <v>119</v>
      </c>
      <c r="B75" s="5"/>
      <c r="C75" s="34" t="s">
        <v>97</v>
      </c>
      <c r="D75" s="102" t="s">
        <v>242</v>
      </c>
      <c r="E75" s="128"/>
      <c r="F75" s="129">
        <v>9.4000000000000004E-3</v>
      </c>
      <c r="G75" s="130">
        <v>112800.57</v>
      </c>
      <c r="H75" s="43">
        <f>168002.15-H89-H105</f>
        <v>112800.57</v>
      </c>
      <c r="I75" s="137">
        <f t="shared" si="0"/>
        <v>0</v>
      </c>
      <c r="J75" s="138">
        <f t="shared" si="17"/>
        <v>0</v>
      </c>
      <c r="K75" s="178">
        <f t="shared" si="6"/>
        <v>53453.23818</v>
      </c>
      <c r="L75" s="138">
        <f t="shared" si="18"/>
        <v>141000</v>
      </c>
      <c r="M75" s="160">
        <v>0</v>
      </c>
      <c r="N75" s="179">
        <f t="shared" si="8"/>
        <v>194453.57</v>
      </c>
      <c r="O75" s="140">
        <f t="shared" si="9"/>
        <v>206121.57</v>
      </c>
      <c r="P75" s="126">
        <f t="shared" si="10"/>
        <v>0.57000000000000028</v>
      </c>
    </row>
    <row r="76" spans="1:19" x14ac:dyDescent="0.25">
      <c r="A76" s="55" t="s">
        <v>119</v>
      </c>
      <c r="B76" s="5"/>
      <c r="C76" s="34" t="s">
        <v>98</v>
      </c>
      <c r="D76" s="102" t="s">
        <v>207</v>
      </c>
      <c r="E76" s="128" t="s">
        <v>273</v>
      </c>
      <c r="F76" s="129">
        <v>8.6999999999999994E-3</v>
      </c>
      <c r="G76" s="130">
        <v>510642.58</v>
      </c>
      <c r="H76" s="43">
        <v>230616.58</v>
      </c>
      <c r="I76" s="137">
        <f t="shared" si="0"/>
        <v>280026</v>
      </c>
      <c r="J76" s="138">
        <f t="shared" si="17"/>
        <v>0</v>
      </c>
      <c r="K76" s="178">
        <f t="shared" si="6"/>
        <v>49472.677889999999</v>
      </c>
      <c r="L76" s="138">
        <f t="shared" si="18"/>
        <v>130499.99999999999</v>
      </c>
      <c r="M76" s="160">
        <v>0</v>
      </c>
      <c r="N76" s="179">
        <f t="shared" si="8"/>
        <v>459999.58</v>
      </c>
      <c r="O76" s="140">
        <f t="shared" si="9"/>
        <v>487600.58</v>
      </c>
      <c r="P76" s="126">
        <f t="shared" si="10"/>
        <v>0.58000000000000029</v>
      </c>
    </row>
    <row r="77" spans="1:19" x14ac:dyDescent="0.25">
      <c r="A77" s="102" t="s">
        <v>119</v>
      </c>
      <c r="B77" s="34"/>
      <c r="C77" s="34" t="s">
        <v>99</v>
      </c>
      <c r="D77" s="102" t="s">
        <v>208</v>
      </c>
      <c r="E77" s="128"/>
      <c r="F77" s="129">
        <v>9.4999999999999998E-3</v>
      </c>
      <c r="G77" s="130">
        <v>114000.59</v>
      </c>
      <c r="H77" s="43"/>
      <c r="I77" s="137">
        <f t="shared" si="0"/>
        <v>114000.59</v>
      </c>
      <c r="J77" s="138">
        <f t="shared" si="17"/>
        <v>0</v>
      </c>
      <c r="K77" s="178">
        <f t="shared" si="6"/>
        <v>54021.889649999997</v>
      </c>
      <c r="L77" s="138">
        <f t="shared" si="18"/>
        <v>142500</v>
      </c>
      <c r="M77" s="160">
        <v>0</v>
      </c>
      <c r="N77" s="179">
        <f t="shared" si="8"/>
        <v>310522.59000000003</v>
      </c>
      <c r="O77" s="140">
        <f t="shared" si="9"/>
        <v>329154.59000000003</v>
      </c>
      <c r="P77" s="126">
        <f t="shared" si="10"/>
        <v>0.5900000000000003</v>
      </c>
    </row>
    <row r="78" spans="1:19" x14ac:dyDescent="0.25">
      <c r="A78" s="102" t="s">
        <v>120</v>
      </c>
      <c r="B78" s="34"/>
      <c r="C78" s="34" t="s">
        <v>100</v>
      </c>
      <c r="D78" s="102" t="s">
        <v>209</v>
      </c>
      <c r="E78" s="128"/>
      <c r="F78" s="129">
        <v>2.35E-2</v>
      </c>
      <c r="G78" s="130">
        <v>281957.59999999998</v>
      </c>
      <c r="H78" s="43">
        <f>191411.6*2-52822.6</f>
        <v>330000.60000000003</v>
      </c>
      <c r="I78" s="137">
        <f t="shared" si="0"/>
        <v>-48043.000000000058</v>
      </c>
      <c r="J78" s="138">
        <f t="shared" si="17"/>
        <v>0</v>
      </c>
      <c r="K78" s="178">
        <f t="shared" si="6"/>
        <v>133633.09544999999</v>
      </c>
      <c r="L78" s="138">
        <f t="shared" si="18"/>
        <v>352500</v>
      </c>
      <c r="M78" s="160">
        <v>0</v>
      </c>
      <c r="N78" s="179">
        <f t="shared" si="8"/>
        <v>438090.6</v>
      </c>
      <c r="O78" s="140">
        <f t="shared" si="9"/>
        <v>464376.6</v>
      </c>
      <c r="P78" s="126">
        <f t="shared" si="10"/>
        <v>0.60000000000000031</v>
      </c>
    </row>
    <row r="79" spans="1:19" x14ac:dyDescent="0.25">
      <c r="A79" s="55" t="s">
        <v>117</v>
      </c>
      <c r="B79" s="5"/>
      <c r="C79" s="34" t="s">
        <v>101</v>
      </c>
      <c r="D79" s="102" t="s">
        <v>210</v>
      </c>
      <c r="E79" s="128"/>
      <c r="F79" s="129">
        <v>1.7299999999999999E-2</v>
      </c>
      <c r="G79" s="130">
        <v>207600.61</v>
      </c>
      <c r="H79" s="43">
        <f>G79</f>
        <v>207600.61</v>
      </c>
      <c r="I79" s="137">
        <f>G79-H79</f>
        <v>0</v>
      </c>
      <c r="J79" s="138">
        <f t="shared" si="17"/>
        <v>0</v>
      </c>
      <c r="K79" s="178">
        <f t="shared" si="6"/>
        <v>98376.704310000001</v>
      </c>
      <c r="L79" s="138">
        <f t="shared" si="18"/>
        <v>259500</v>
      </c>
      <c r="M79" s="160">
        <v>0</v>
      </c>
      <c r="N79" s="179">
        <f t="shared" si="8"/>
        <v>357877.61</v>
      </c>
      <c r="O79" s="140">
        <f t="shared" si="9"/>
        <v>379350.61</v>
      </c>
      <c r="P79" s="126">
        <f t="shared" si="10"/>
        <v>0.61000000000000032</v>
      </c>
    </row>
    <row r="80" spans="1:19" x14ac:dyDescent="0.25">
      <c r="A80" s="55" t="s">
        <v>119</v>
      </c>
      <c r="B80" s="5"/>
      <c r="C80" s="34" t="s">
        <v>102</v>
      </c>
      <c r="D80" s="102" t="s">
        <v>211</v>
      </c>
      <c r="E80" s="128"/>
      <c r="F80" s="129">
        <v>9.4000000000000004E-3</v>
      </c>
      <c r="G80" s="130">
        <v>699395.62</v>
      </c>
      <c r="H80" s="43"/>
      <c r="I80" s="137">
        <f t="shared" si="0"/>
        <v>699395.62</v>
      </c>
      <c r="J80" s="138">
        <f t="shared" si="17"/>
        <v>0</v>
      </c>
      <c r="K80" s="178">
        <f t="shared" si="6"/>
        <v>53453.23818</v>
      </c>
      <c r="L80" s="138">
        <f t="shared" si="18"/>
        <v>141000</v>
      </c>
      <c r="M80" s="160">
        <v>20000</v>
      </c>
      <c r="N80" s="179">
        <f t="shared" si="8"/>
        <v>913849.62</v>
      </c>
      <c r="O80" s="140">
        <f t="shared" si="9"/>
        <v>968681.62</v>
      </c>
      <c r="P80" s="126">
        <f t="shared" si="10"/>
        <v>0.62000000000000033</v>
      </c>
    </row>
    <row r="81" spans="1:17" x14ac:dyDescent="0.25">
      <c r="A81" s="55" t="s">
        <v>119</v>
      </c>
      <c r="B81" s="5"/>
      <c r="C81" s="34" t="s">
        <v>103</v>
      </c>
      <c r="D81" s="102" t="s">
        <v>212</v>
      </c>
      <c r="E81" s="128" t="s">
        <v>259</v>
      </c>
      <c r="F81" s="129">
        <v>8.6999999999999994E-3</v>
      </c>
      <c r="G81" s="130">
        <v>104400.63</v>
      </c>
      <c r="H81" s="43">
        <f>G81</f>
        <v>104400.63</v>
      </c>
      <c r="I81" s="137">
        <f t="shared" si="0"/>
        <v>0</v>
      </c>
      <c r="J81" s="138">
        <f t="shared" si="17"/>
        <v>0</v>
      </c>
      <c r="K81" s="178">
        <f t="shared" si="6"/>
        <v>49472.677889999999</v>
      </c>
      <c r="L81" s="138">
        <f t="shared" si="18"/>
        <v>130499.99999999999</v>
      </c>
      <c r="M81" s="160">
        <v>0</v>
      </c>
      <c r="N81" s="179">
        <f t="shared" si="8"/>
        <v>179973.63</v>
      </c>
      <c r="O81" s="140">
        <f t="shared" si="9"/>
        <v>190772.63</v>
      </c>
      <c r="P81" s="126">
        <f t="shared" si="10"/>
        <v>0.63000000000000034</v>
      </c>
    </row>
    <row r="82" spans="1:17" x14ac:dyDescent="0.25">
      <c r="A82" s="55" t="s">
        <v>119</v>
      </c>
      <c r="B82" s="5"/>
      <c r="C82" s="34" t="s">
        <v>104</v>
      </c>
      <c r="D82" s="102" t="s">
        <v>213</v>
      </c>
      <c r="E82" s="128"/>
      <c r="F82" s="129">
        <v>9.4999999999999998E-3</v>
      </c>
      <c r="G82" s="130">
        <v>111080.64</v>
      </c>
      <c r="H82" s="43">
        <f>G82</f>
        <v>111080.64</v>
      </c>
      <c r="I82" s="137">
        <f t="shared" si="0"/>
        <v>0</v>
      </c>
      <c r="J82" s="138">
        <f t="shared" si="17"/>
        <v>0</v>
      </c>
      <c r="K82" s="178">
        <f t="shared" si="6"/>
        <v>54021.889649999997</v>
      </c>
      <c r="L82" s="138">
        <f t="shared" si="18"/>
        <v>142500</v>
      </c>
      <c r="M82" s="160">
        <v>0</v>
      </c>
      <c r="N82" s="179">
        <f t="shared" si="8"/>
        <v>196522.64</v>
      </c>
      <c r="O82" s="140">
        <f t="shared" si="9"/>
        <v>208314.64</v>
      </c>
      <c r="P82" s="126">
        <f t="shared" si="10"/>
        <v>0.64000000000000035</v>
      </c>
      <c r="Q82" t="s">
        <v>267</v>
      </c>
    </row>
    <row r="83" spans="1:17" x14ac:dyDescent="0.25">
      <c r="A83" s="55" t="s">
        <v>120</v>
      </c>
      <c r="B83" s="5"/>
      <c r="C83" s="34" t="s">
        <v>105</v>
      </c>
      <c r="D83" s="102" t="s">
        <v>268</v>
      </c>
      <c r="E83" s="128"/>
      <c r="F83" s="129">
        <v>2.35E-2</v>
      </c>
      <c r="G83" s="130">
        <v>282000.65000000002</v>
      </c>
      <c r="H83" s="43">
        <f t="shared" ref="H83:H98" si="25">G83</f>
        <v>282000.65000000002</v>
      </c>
      <c r="I83" s="137">
        <f t="shared" si="0"/>
        <v>0</v>
      </c>
      <c r="J83" s="138">
        <f t="shared" ref="J83:J114" si="26">N$8*F83</f>
        <v>0</v>
      </c>
      <c r="K83" s="178">
        <f t="shared" si="6"/>
        <v>133633.09544999999</v>
      </c>
      <c r="L83" s="138">
        <f t="shared" ref="L83:L114" si="27">N$2*F83</f>
        <v>352500</v>
      </c>
      <c r="M83" s="160">
        <v>0</v>
      </c>
      <c r="N83" s="179">
        <f t="shared" si="8"/>
        <v>486133.65</v>
      </c>
      <c r="O83" s="140">
        <f t="shared" si="9"/>
        <v>515302.65</v>
      </c>
      <c r="P83" s="126">
        <f t="shared" si="10"/>
        <v>0.65000000000000036</v>
      </c>
    </row>
    <row r="84" spans="1:17" x14ac:dyDescent="0.25">
      <c r="A84" s="55" t="s">
        <v>117</v>
      </c>
      <c r="B84" s="5"/>
      <c r="C84" s="34" t="s">
        <v>106</v>
      </c>
      <c r="D84" s="102" t="s">
        <v>214</v>
      </c>
      <c r="E84" s="128"/>
      <c r="F84" s="129">
        <v>1.7299999999999999E-2</v>
      </c>
      <c r="G84" s="130">
        <v>207600.66</v>
      </c>
      <c r="H84" s="43">
        <f>G84</f>
        <v>207600.66</v>
      </c>
      <c r="I84" s="137">
        <f t="shared" si="0"/>
        <v>0</v>
      </c>
      <c r="J84" s="138">
        <f t="shared" si="26"/>
        <v>0</v>
      </c>
      <c r="K84" s="178">
        <f t="shared" ref="K84:K131" si="28">N$3*F84</f>
        <v>98376.704310000001</v>
      </c>
      <c r="L84" s="138">
        <f t="shared" si="27"/>
        <v>259500</v>
      </c>
      <c r="M84" s="160">
        <v>45375</v>
      </c>
      <c r="N84" s="179">
        <f t="shared" ref="N84:N131" si="29">ROUND((L84+J84+I84+K84+M84),0) + P84</f>
        <v>403252.66</v>
      </c>
      <c r="O84" s="140">
        <f t="shared" ref="O84:O131" si="30">ROUND((N84*6% + N84 ),0) + P84</f>
        <v>427448.66</v>
      </c>
      <c r="P84" s="126">
        <f t="shared" si="10"/>
        <v>0.66000000000000036</v>
      </c>
    </row>
    <row r="85" spans="1:17" x14ac:dyDescent="0.25">
      <c r="A85" s="55" t="s">
        <v>119</v>
      </c>
      <c r="B85" s="5"/>
      <c r="C85" s="34" t="s">
        <v>107</v>
      </c>
      <c r="D85" s="102" t="s">
        <v>215</v>
      </c>
      <c r="E85" s="128"/>
      <c r="F85" s="129">
        <v>9.4000000000000004E-3</v>
      </c>
      <c r="G85" s="130">
        <v>112800.67</v>
      </c>
      <c r="H85" s="43">
        <f t="shared" si="25"/>
        <v>112800.67</v>
      </c>
      <c r="I85" s="137">
        <f t="shared" si="0"/>
        <v>0</v>
      </c>
      <c r="J85" s="138">
        <f t="shared" si="26"/>
        <v>0</v>
      </c>
      <c r="K85" s="178">
        <f t="shared" si="28"/>
        <v>53453.23818</v>
      </c>
      <c r="L85" s="138">
        <f t="shared" si="27"/>
        <v>141000</v>
      </c>
      <c r="M85" s="160">
        <v>0</v>
      </c>
      <c r="N85" s="179">
        <f t="shared" si="29"/>
        <v>194453.67</v>
      </c>
      <c r="O85" s="140">
        <f t="shared" si="30"/>
        <v>206121.67</v>
      </c>
      <c r="P85" s="126">
        <f t="shared" ref="P85:P131" si="31">P84+0.01</f>
        <v>0.67000000000000037</v>
      </c>
    </row>
    <row r="86" spans="1:17" x14ac:dyDescent="0.25">
      <c r="A86" s="55" t="s">
        <v>119</v>
      </c>
      <c r="B86" s="5"/>
      <c r="C86" s="34" t="s">
        <v>108</v>
      </c>
      <c r="D86" s="102" t="s">
        <v>216</v>
      </c>
      <c r="E86" s="128"/>
      <c r="F86" s="129">
        <v>8.6999999999999994E-3</v>
      </c>
      <c r="G86" s="130">
        <v>104400.68</v>
      </c>
      <c r="H86" s="43">
        <f>G86</f>
        <v>104400.68</v>
      </c>
      <c r="I86" s="137">
        <f t="shared" si="0"/>
        <v>0</v>
      </c>
      <c r="J86" s="138">
        <f t="shared" si="26"/>
        <v>0</v>
      </c>
      <c r="K86" s="178">
        <f t="shared" si="28"/>
        <v>49472.677889999999</v>
      </c>
      <c r="L86" s="138">
        <f t="shared" si="27"/>
        <v>130499.99999999999</v>
      </c>
      <c r="M86" s="160">
        <v>0</v>
      </c>
      <c r="N86" s="179">
        <f t="shared" si="29"/>
        <v>179973.68</v>
      </c>
      <c r="O86" s="140">
        <f t="shared" si="30"/>
        <v>190772.68</v>
      </c>
      <c r="P86" s="126">
        <f t="shared" si="31"/>
        <v>0.68000000000000038</v>
      </c>
    </row>
    <row r="87" spans="1:17" x14ac:dyDescent="0.25">
      <c r="A87" s="102" t="s">
        <v>119</v>
      </c>
      <c r="B87" s="34"/>
      <c r="C87" s="34" t="s">
        <v>109</v>
      </c>
      <c r="D87" s="102" t="s">
        <v>217</v>
      </c>
      <c r="E87" s="128"/>
      <c r="F87" s="129">
        <v>9.4999999999999998E-3</v>
      </c>
      <c r="G87" s="130">
        <v>114000.69</v>
      </c>
      <c r="H87" s="43">
        <f>G87</f>
        <v>114000.69</v>
      </c>
      <c r="I87" s="137">
        <f t="shared" si="0"/>
        <v>0</v>
      </c>
      <c r="J87" s="138">
        <f t="shared" si="26"/>
        <v>0</v>
      </c>
      <c r="K87" s="178">
        <f t="shared" si="28"/>
        <v>54021.889649999997</v>
      </c>
      <c r="L87" s="138">
        <f t="shared" si="27"/>
        <v>142500</v>
      </c>
      <c r="M87" s="160">
        <v>0</v>
      </c>
      <c r="N87" s="179">
        <f t="shared" si="29"/>
        <v>196522.69</v>
      </c>
      <c r="O87" s="140">
        <f t="shared" si="30"/>
        <v>208314.69</v>
      </c>
      <c r="P87" s="126">
        <f t="shared" si="31"/>
        <v>0.69000000000000039</v>
      </c>
    </row>
    <row r="88" spans="1:17" x14ac:dyDescent="0.25">
      <c r="A88" s="102"/>
      <c r="B88" s="34"/>
      <c r="C88" s="34" t="s">
        <v>121</v>
      </c>
      <c r="D88" s="102" t="s">
        <v>181</v>
      </c>
      <c r="E88" s="102"/>
      <c r="F88" s="136">
        <v>2.3E-3</v>
      </c>
      <c r="G88" s="130">
        <v>27600.7</v>
      </c>
      <c r="H88" s="43">
        <f t="shared" si="25"/>
        <v>27600.7</v>
      </c>
      <c r="I88" s="137">
        <f t="shared" si="0"/>
        <v>0</v>
      </c>
      <c r="J88" s="138">
        <f t="shared" si="26"/>
        <v>0</v>
      </c>
      <c r="K88" s="178">
        <f t="shared" si="28"/>
        <v>13078.98381</v>
      </c>
      <c r="L88" s="138">
        <f t="shared" si="27"/>
        <v>34500</v>
      </c>
      <c r="M88" s="160">
        <v>0</v>
      </c>
      <c r="N88" s="179">
        <f t="shared" si="29"/>
        <v>47579.7</v>
      </c>
      <c r="O88" s="140">
        <f t="shared" si="30"/>
        <v>50434.7</v>
      </c>
      <c r="P88" s="126">
        <f t="shared" si="31"/>
        <v>0.7000000000000004</v>
      </c>
    </row>
    <row r="89" spans="1:17" x14ac:dyDescent="0.25">
      <c r="A89" s="102"/>
      <c r="B89" s="34"/>
      <c r="C89" s="34" t="s">
        <v>122</v>
      </c>
      <c r="D89" s="102" t="s">
        <v>116</v>
      </c>
      <c r="E89" s="102"/>
      <c r="F89" s="136">
        <v>2.3E-3</v>
      </c>
      <c r="G89" s="130">
        <v>27600.71</v>
      </c>
      <c r="H89" s="43">
        <f>G89</f>
        <v>27600.71</v>
      </c>
      <c r="I89" s="137">
        <f t="shared" si="0"/>
        <v>0</v>
      </c>
      <c r="J89" s="138">
        <f t="shared" si="26"/>
        <v>0</v>
      </c>
      <c r="K89" s="178">
        <f t="shared" si="28"/>
        <v>13078.98381</v>
      </c>
      <c r="L89" s="138">
        <f t="shared" si="27"/>
        <v>34500</v>
      </c>
      <c r="M89" s="160">
        <v>0</v>
      </c>
      <c r="N89" s="179">
        <f t="shared" si="29"/>
        <v>47579.71</v>
      </c>
      <c r="O89" s="140">
        <f t="shared" si="30"/>
        <v>50434.71</v>
      </c>
      <c r="P89" s="126">
        <f t="shared" si="31"/>
        <v>0.71000000000000041</v>
      </c>
    </row>
    <row r="90" spans="1:17" x14ac:dyDescent="0.25">
      <c r="A90" s="102"/>
      <c r="B90" s="34"/>
      <c r="C90" s="34" t="s">
        <v>123</v>
      </c>
      <c r="D90" s="102" t="s">
        <v>189</v>
      </c>
      <c r="E90" s="102"/>
      <c r="F90" s="136">
        <v>2.3E-3</v>
      </c>
      <c r="G90" s="130">
        <v>27600.720000000001</v>
      </c>
      <c r="H90" s="43">
        <f t="shared" si="25"/>
        <v>27600.720000000001</v>
      </c>
      <c r="I90" s="137">
        <f t="shared" si="0"/>
        <v>0</v>
      </c>
      <c r="J90" s="138">
        <f t="shared" si="26"/>
        <v>0</v>
      </c>
      <c r="K90" s="178">
        <f t="shared" si="28"/>
        <v>13078.98381</v>
      </c>
      <c r="L90" s="138">
        <f t="shared" si="27"/>
        <v>34500</v>
      </c>
      <c r="M90" s="160">
        <v>0</v>
      </c>
      <c r="N90" s="179">
        <f t="shared" si="29"/>
        <v>47579.72</v>
      </c>
      <c r="O90" s="140">
        <f t="shared" si="30"/>
        <v>50435.72</v>
      </c>
      <c r="P90" s="126">
        <f t="shared" si="31"/>
        <v>0.72000000000000042</v>
      </c>
    </row>
    <row r="91" spans="1:17" x14ac:dyDescent="0.25">
      <c r="A91" s="102"/>
      <c r="B91" s="34"/>
      <c r="C91" s="34" t="s">
        <v>124</v>
      </c>
      <c r="D91" s="102" t="s">
        <v>200</v>
      </c>
      <c r="E91" s="102"/>
      <c r="F91" s="136">
        <v>2.3E-3</v>
      </c>
      <c r="G91" s="130">
        <v>27600.73</v>
      </c>
      <c r="H91" s="43">
        <f>G91</f>
        <v>27600.73</v>
      </c>
      <c r="I91" s="137">
        <f t="shared" si="0"/>
        <v>0</v>
      </c>
      <c r="J91" s="138">
        <f t="shared" si="26"/>
        <v>0</v>
      </c>
      <c r="K91" s="178">
        <f t="shared" si="28"/>
        <v>13078.98381</v>
      </c>
      <c r="L91" s="138">
        <f t="shared" si="27"/>
        <v>34500</v>
      </c>
      <c r="M91" s="160">
        <v>0</v>
      </c>
      <c r="N91" s="179">
        <f t="shared" si="29"/>
        <v>47579.73</v>
      </c>
      <c r="O91" s="140">
        <f t="shared" si="30"/>
        <v>50435.73</v>
      </c>
      <c r="P91" s="126">
        <f t="shared" si="31"/>
        <v>0.73000000000000043</v>
      </c>
    </row>
    <row r="92" spans="1:17" x14ac:dyDescent="0.25">
      <c r="A92" s="102"/>
      <c r="B92" s="34"/>
      <c r="C92" s="167" t="s">
        <v>125</v>
      </c>
      <c r="D92" s="168" t="s">
        <v>195</v>
      </c>
      <c r="E92" s="168"/>
      <c r="F92" s="169">
        <v>2.3E-3</v>
      </c>
      <c r="G92" s="43">
        <v>27600.74</v>
      </c>
      <c r="H92" s="43">
        <f t="shared" ref="H92" si="32">G92</f>
        <v>27600.74</v>
      </c>
      <c r="I92" s="170">
        <f t="shared" si="0"/>
        <v>0</v>
      </c>
      <c r="J92" s="171">
        <f t="shared" si="26"/>
        <v>0</v>
      </c>
      <c r="K92" s="178">
        <f t="shared" si="28"/>
        <v>13078.98381</v>
      </c>
      <c r="L92" s="171">
        <f t="shared" si="27"/>
        <v>34500</v>
      </c>
      <c r="M92" s="160">
        <v>0</v>
      </c>
      <c r="N92" s="179">
        <f t="shared" si="29"/>
        <v>47579.74</v>
      </c>
      <c r="O92" s="172">
        <f t="shared" si="30"/>
        <v>50435.74</v>
      </c>
      <c r="P92" s="126">
        <f t="shared" si="31"/>
        <v>0.74000000000000044</v>
      </c>
      <c r="Q92" t="s">
        <v>266</v>
      </c>
    </row>
    <row r="93" spans="1:17" x14ac:dyDescent="0.25">
      <c r="A93" s="102"/>
      <c r="B93" s="34"/>
      <c r="C93" s="34" t="s">
        <v>126</v>
      </c>
      <c r="D93" s="102" t="s">
        <v>220</v>
      </c>
      <c r="E93" s="102"/>
      <c r="F93" s="136">
        <v>2.3E-3</v>
      </c>
      <c r="G93" s="43">
        <v>25479.75</v>
      </c>
      <c r="H93" s="43"/>
      <c r="I93" s="137">
        <f t="shared" si="0"/>
        <v>25479.75</v>
      </c>
      <c r="J93" s="138">
        <f t="shared" si="26"/>
        <v>0</v>
      </c>
      <c r="K93" s="178">
        <f t="shared" si="28"/>
        <v>13078.98381</v>
      </c>
      <c r="L93" s="138">
        <f t="shared" si="27"/>
        <v>34500</v>
      </c>
      <c r="M93" s="160">
        <v>0</v>
      </c>
      <c r="N93" s="179">
        <f t="shared" si="29"/>
        <v>73059.75</v>
      </c>
      <c r="O93" s="140">
        <f t="shared" si="30"/>
        <v>77443.75</v>
      </c>
      <c r="P93" s="126">
        <f t="shared" si="31"/>
        <v>0.75000000000000044</v>
      </c>
    </row>
    <row r="94" spans="1:17" x14ac:dyDescent="0.25">
      <c r="A94" s="102"/>
      <c r="B94" s="34"/>
      <c r="C94" s="34" t="s">
        <v>127</v>
      </c>
      <c r="D94" s="102" t="s">
        <v>188</v>
      </c>
      <c r="E94" s="102"/>
      <c r="F94" s="136">
        <v>2.3E-3</v>
      </c>
      <c r="G94" s="130">
        <v>27600.76</v>
      </c>
      <c r="H94" s="43">
        <f>G94</f>
        <v>27600.76</v>
      </c>
      <c r="I94" s="137">
        <f t="shared" si="0"/>
        <v>0</v>
      </c>
      <c r="J94" s="138">
        <f t="shared" si="26"/>
        <v>0</v>
      </c>
      <c r="K94" s="178">
        <f t="shared" si="28"/>
        <v>13078.98381</v>
      </c>
      <c r="L94" s="138">
        <f t="shared" si="27"/>
        <v>34500</v>
      </c>
      <c r="M94" s="160">
        <v>0</v>
      </c>
      <c r="N94" s="179">
        <f t="shared" si="29"/>
        <v>47579.76</v>
      </c>
      <c r="O94" s="140">
        <f t="shared" si="30"/>
        <v>50435.76</v>
      </c>
      <c r="P94" s="126">
        <f t="shared" si="31"/>
        <v>0.76000000000000045</v>
      </c>
    </row>
    <row r="95" spans="1:17" x14ac:dyDescent="0.25">
      <c r="A95" s="102"/>
      <c r="B95" s="34"/>
      <c r="C95" s="34" t="s">
        <v>128</v>
      </c>
      <c r="D95" s="102" t="s">
        <v>188</v>
      </c>
      <c r="E95" s="102"/>
      <c r="F95" s="136">
        <v>2.3E-3</v>
      </c>
      <c r="G95" s="130">
        <v>27600.77</v>
      </c>
      <c r="H95" s="43">
        <f>G95</f>
        <v>27600.77</v>
      </c>
      <c r="I95" s="137">
        <f t="shared" si="0"/>
        <v>0</v>
      </c>
      <c r="J95" s="138">
        <f t="shared" si="26"/>
        <v>0</v>
      </c>
      <c r="K95" s="178">
        <f t="shared" si="28"/>
        <v>13078.98381</v>
      </c>
      <c r="L95" s="138">
        <f t="shared" si="27"/>
        <v>34500</v>
      </c>
      <c r="M95" s="160">
        <v>0</v>
      </c>
      <c r="N95" s="179">
        <f t="shared" si="29"/>
        <v>47579.77</v>
      </c>
      <c r="O95" s="140">
        <f t="shared" si="30"/>
        <v>50435.77</v>
      </c>
      <c r="P95" s="126">
        <f t="shared" si="31"/>
        <v>0.77000000000000046</v>
      </c>
    </row>
    <row r="96" spans="1:17" x14ac:dyDescent="0.25">
      <c r="A96" s="102"/>
      <c r="B96" s="34"/>
      <c r="C96" s="34" t="s">
        <v>129</v>
      </c>
      <c r="D96" s="102" t="s">
        <v>268</v>
      </c>
      <c r="E96" s="102"/>
      <c r="F96" s="136">
        <v>2.3E-3</v>
      </c>
      <c r="G96" s="130">
        <v>27600.78</v>
      </c>
      <c r="H96" s="43">
        <f t="shared" si="25"/>
        <v>27600.78</v>
      </c>
      <c r="I96" s="137">
        <f t="shared" si="0"/>
        <v>0</v>
      </c>
      <c r="J96" s="138">
        <f t="shared" si="26"/>
        <v>0</v>
      </c>
      <c r="K96" s="178">
        <f t="shared" si="28"/>
        <v>13078.98381</v>
      </c>
      <c r="L96" s="138">
        <f t="shared" si="27"/>
        <v>34500</v>
      </c>
      <c r="M96" s="160">
        <v>0</v>
      </c>
      <c r="N96" s="179">
        <f t="shared" si="29"/>
        <v>47579.78</v>
      </c>
      <c r="O96" s="140">
        <f t="shared" si="30"/>
        <v>50435.78</v>
      </c>
      <c r="P96" s="126">
        <f t="shared" si="31"/>
        <v>0.78000000000000047</v>
      </c>
    </row>
    <row r="97" spans="1:16" x14ac:dyDescent="0.25">
      <c r="A97" s="102"/>
      <c r="B97" s="34"/>
      <c r="C97" s="34" t="s">
        <v>130</v>
      </c>
      <c r="D97" s="102" t="s">
        <v>198</v>
      </c>
      <c r="E97" s="102"/>
      <c r="F97" s="136">
        <v>2.3E-3</v>
      </c>
      <c r="G97" s="130">
        <v>276782.78999999998</v>
      </c>
      <c r="H97" s="43"/>
      <c r="I97" s="137">
        <f>G97-H97</f>
        <v>276782.78999999998</v>
      </c>
      <c r="J97" s="138">
        <f t="shared" si="26"/>
        <v>0</v>
      </c>
      <c r="K97" s="178">
        <f t="shared" si="28"/>
        <v>13078.98381</v>
      </c>
      <c r="L97" s="138">
        <f t="shared" si="27"/>
        <v>34500</v>
      </c>
      <c r="M97" s="160">
        <v>0</v>
      </c>
      <c r="N97" s="179">
        <f t="shared" si="29"/>
        <v>324362.78999999998</v>
      </c>
      <c r="O97" s="140">
        <f t="shared" si="30"/>
        <v>343825.79</v>
      </c>
      <c r="P97" s="126">
        <f t="shared" si="31"/>
        <v>0.79000000000000048</v>
      </c>
    </row>
    <row r="98" spans="1:16" x14ac:dyDescent="0.25">
      <c r="A98" s="102"/>
      <c r="B98" s="34"/>
      <c r="C98" s="34" t="s">
        <v>131</v>
      </c>
      <c r="D98" s="102" t="s">
        <v>181</v>
      </c>
      <c r="E98" s="102"/>
      <c r="F98" s="136">
        <v>2.3E-3</v>
      </c>
      <c r="G98" s="130">
        <v>27600.799999999999</v>
      </c>
      <c r="H98" s="43">
        <f t="shared" si="25"/>
        <v>27600.799999999999</v>
      </c>
      <c r="I98" s="137">
        <f t="shared" si="0"/>
        <v>0</v>
      </c>
      <c r="J98" s="138">
        <f t="shared" si="26"/>
        <v>0</v>
      </c>
      <c r="K98" s="178">
        <f t="shared" si="28"/>
        <v>13078.98381</v>
      </c>
      <c r="L98" s="138">
        <f t="shared" si="27"/>
        <v>34500</v>
      </c>
      <c r="M98" s="160">
        <v>0</v>
      </c>
      <c r="N98" s="179">
        <f t="shared" si="29"/>
        <v>47579.8</v>
      </c>
      <c r="O98" s="140">
        <f t="shared" si="30"/>
        <v>50435.8</v>
      </c>
      <c r="P98" s="126">
        <f t="shared" si="31"/>
        <v>0.80000000000000049</v>
      </c>
    </row>
    <row r="99" spans="1:16" x14ac:dyDescent="0.25">
      <c r="A99" s="102"/>
      <c r="B99" s="34"/>
      <c r="C99" s="34" t="s">
        <v>132</v>
      </c>
      <c r="D99" s="102" t="s">
        <v>177</v>
      </c>
      <c r="E99" s="102"/>
      <c r="F99" s="87">
        <v>2.3E-3</v>
      </c>
      <c r="G99" s="127">
        <v>25479.81</v>
      </c>
      <c r="H99" s="43">
        <f>G99</f>
        <v>25479.81</v>
      </c>
      <c r="I99" s="54">
        <f t="shared" si="0"/>
        <v>0</v>
      </c>
      <c r="J99" s="25">
        <f t="shared" si="26"/>
        <v>0</v>
      </c>
      <c r="K99" s="178">
        <f t="shared" si="28"/>
        <v>13078.98381</v>
      </c>
      <c r="L99" s="25">
        <f t="shared" si="27"/>
        <v>34500</v>
      </c>
      <c r="M99" s="160">
        <v>0</v>
      </c>
      <c r="N99" s="179">
        <f t="shared" si="29"/>
        <v>47579.81</v>
      </c>
      <c r="O99" s="7">
        <f t="shared" si="30"/>
        <v>50435.81</v>
      </c>
      <c r="P99" s="126">
        <f t="shared" si="31"/>
        <v>0.8100000000000005</v>
      </c>
    </row>
    <row r="100" spans="1:16" x14ac:dyDescent="0.25">
      <c r="A100" s="102"/>
      <c r="B100" s="34"/>
      <c r="C100" s="34" t="s">
        <v>133</v>
      </c>
      <c r="D100" s="102" t="s">
        <v>280</v>
      </c>
      <c r="E100" s="102"/>
      <c r="F100" s="87">
        <v>2.3E-3</v>
      </c>
      <c r="G100" s="127">
        <v>27600.82</v>
      </c>
      <c r="H100" s="43">
        <f t="shared" ref="H100" si="33">G100</f>
        <v>27600.82</v>
      </c>
      <c r="I100" s="54">
        <f t="shared" si="0"/>
        <v>0</v>
      </c>
      <c r="J100" s="25">
        <f t="shared" si="26"/>
        <v>0</v>
      </c>
      <c r="K100" s="178">
        <f t="shared" si="28"/>
        <v>13078.98381</v>
      </c>
      <c r="L100" s="25">
        <f t="shared" si="27"/>
        <v>34500</v>
      </c>
      <c r="M100" s="160">
        <v>0</v>
      </c>
      <c r="N100" s="179">
        <f t="shared" si="29"/>
        <v>47579.82</v>
      </c>
      <c r="O100" s="7">
        <f t="shared" si="30"/>
        <v>50435.82</v>
      </c>
      <c r="P100" s="126">
        <f t="shared" si="31"/>
        <v>0.82000000000000051</v>
      </c>
    </row>
    <row r="101" spans="1:16" x14ac:dyDescent="0.25">
      <c r="A101" s="102"/>
      <c r="B101" s="34"/>
      <c r="C101" s="34" t="s">
        <v>134</v>
      </c>
      <c r="D101" s="102" t="s">
        <v>221</v>
      </c>
      <c r="E101" s="102"/>
      <c r="F101" s="136">
        <v>2.3E-3</v>
      </c>
      <c r="G101" s="130">
        <v>27600.83</v>
      </c>
      <c r="H101" s="43"/>
      <c r="I101" s="137">
        <f t="shared" si="0"/>
        <v>27600.83</v>
      </c>
      <c r="J101" s="138">
        <f t="shared" si="26"/>
        <v>0</v>
      </c>
      <c r="K101" s="178">
        <f t="shared" si="28"/>
        <v>13078.98381</v>
      </c>
      <c r="L101" s="138">
        <f t="shared" si="27"/>
        <v>34500</v>
      </c>
      <c r="M101" s="160">
        <v>0</v>
      </c>
      <c r="N101" s="179">
        <f t="shared" si="29"/>
        <v>75180.83</v>
      </c>
      <c r="O101" s="140">
        <f t="shared" si="30"/>
        <v>79692.83</v>
      </c>
      <c r="P101" s="126">
        <f t="shared" si="31"/>
        <v>0.83000000000000052</v>
      </c>
    </row>
    <row r="102" spans="1:16" ht="15.75" customHeight="1" x14ac:dyDescent="0.25">
      <c r="A102" s="102"/>
      <c r="B102" s="34"/>
      <c r="C102" s="34" t="s">
        <v>135</v>
      </c>
      <c r="D102" s="102" t="s">
        <v>210</v>
      </c>
      <c r="E102" s="102"/>
      <c r="F102" s="136">
        <v>2.3E-3</v>
      </c>
      <c r="G102" s="130">
        <v>27600.84</v>
      </c>
      <c r="H102" s="43">
        <f t="shared" ref="H102:H104" si="34">G102</f>
        <v>27600.84</v>
      </c>
      <c r="I102" s="137">
        <f t="shared" si="0"/>
        <v>0</v>
      </c>
      <c r="J102" s="138">
        <f t="shared" si="26"/>
        <v>0</v>
      </c>
      <c r="K102" s="178">
        <f t="shared" si="28"/>
        <v>13078.98381</v>
      </c>
      <c r="L102" s="138">
        <f t="shared" si="27"/>
        <v>34500</v>
      </c>
      <c r="M102" s="160">
        <v>0</v>
      </c>
      <c r="N102" s="179">
        <f t="shared" si="29"/>
        <v>47579.839999999997</v>
      </c>
      <c r="O102" s="140">
        <f t="shared" si="30"/>
        <v>50435.839999999997</v>
      </c>
      <c r="P102" s="126">
        <f t="shared" si="31"/>
        <v>0.84000000000000052</v>
      </c>
    </row>
    <row r="103" spans="1:16" ht="15.75" customHeight="1" x14ac:dyDescent="0.25">
      <c r="A103" s="102"/>
      <c r="B103" s="34"/>
      <c r="C103" s="34" t="s">
        <v>136</v>
      </c>
      <c r="D103" s="102" t="s">
        <v>218</v>
      </c>
      <c r="E103" s="102"/>
      <c r="F103" s="136">
        <v>2.3E-3</v>
      </c>
      <c r="G103" s="130">
        <v>27600.85</v>
      </c>
      <c r="H103" s="220">
        <f>G103</f>
        <v>27600.85</v>
      </c>
      <c r="I103" s="137">
        <f t="shared" si="0"/>
        <v>0</v>
      </c>
      <c r="J103" s="138">
        <f t="shared" si="26"/>
        <v>0</v>
      </c>
      <c r="K103" s="178">
        <f t="shared" si="28"/>
        <v>13078.98381</v>
      </c>
      <c r="L103" s="138">
        <f t="shared" si="27"/>
        <v>34500</v>
      </c>
      <c r="M103" s="160">
        <v>0</v>
      </c>
      <c r="N103" s="179">
        <f t="shared" si="29"/>
        <v>47579.85</v>
      </c>
      <c r="O103" s="140">
        <f t="shared" si="30"/>
        <v>50435.85</v>
      </c>
      <c r="P103" s="126">
        <f t="shared" si="31"/>
        <v>0.85000000000000053</v>
      </c>
    </row>
    <row r="104" spans="1:16" ht="15.75" customHeight="1" x14ac:dyDescent="0.25">
      <c r="A104" s="102"/>
      <c r="B104" s="34"/>
      <c r="C104" s="34" t="s">
        <v>137</v>
      </c>
      <c r="D104" s="102" t="s">
        <v>202</v>
      </c>
      <c r="E104" s="102"/>
      <c r="F104" s="87">
        <v>2.3E-3</v>
      </c>
      <c r="G104" s="127">
        <v>29257.86</v>
      </c>
      <c r="H104" s="43">
        <f t="shared" si="34"/>
        <v>29257.86</v>
      </c>
      <c r="I104" s="54">
        <f t="shared" si="0"/>
        <v>0</v>
      </c>
      <c r="J104" s="25">
        <f t="shared" si="26"/>
        <v>0</v>
      </c>
      <c r="K104" s="178">
        <f t="shared" si="28"/>
        <v>13078.98381</v>
      </c>
      <c r="L104" s="25">
        <f t="shared" si="27"/>
        <v>34500</v>
      </c>
      <c r="M104" s="160">
        <v>0</v>
      </c>
      <c r="N104" s="179">
        <f t="shared" si="29"/>
        <v>47579.86</v>
      </c>
      <c r="O104" s="7">
        <f t="shared" si="30"/>
        <v>50435.86</v>
      </c>
      <c r="P104" s="126">
        <f t="shared" si="31"/>
        <v>0.86000000000000054</v>
      </c>
    </row>
    <row r="105" spans="1:16" ht="15.75" customHeight="1" x14ac:dyDescent="0.25">
      <c r="A105" s="102"/>
      <c r="B105" s="34"/>
      <c r="C105" s="34" t="s">
        <v>138</v>
      </c>
      <c r="D105" s="102" t="s">
        <v>116</v>
      </c>
      <c r="E105" s="102"/>
      <c r="F105" s="87">
        <v>2.3E-3</v>
      </c>
      <c r="G105" s="127">
        <v>27600.87</v>
      </c>
      <c r="H105" s="220">
        <f>G105</f>
        <v>27600.87</v>
      </c>
      <c r="I105" s="54">
        <f t="shared" si="0"/>
        <v>0</v>
      </c>
      <c r="J105" s="25">
        <f t="shared" si="26"/>
        <v>0</v>
      </c>
      <c r="K105" s="178">
        <f t="shared" si="28"/>
        <v>13078.98381</v>
      </c>
      <c r="L105" s="25">
        <f t="shared" si="27"/>
        <v>34500</v>
      </c>
      <c r="M105" s="160">
        <v>0</v>
      </c>
      <c r="N105" s="179">
        <f t="shared" si="29"/>
        <v>47579.87</v>
      </c>
      <c r="O105" s="7">
        <f t="shared" si="30"/>
        <v>50435.87</v>
      </c>
      <c r="P105" s="126">
        <f t="shared" si="31"/>
        <v>0.87000000000000055</v>
      </c>
    </row>
    <row r="106" spans="1:16" ht="15.75" customHeight="1" x14ac:dyDescent="0.25">
      <c r="A106" s="102"/>
      <c r="B106" s="34"/>
      <c r="C106" s="34" t="s">
        <v>139</v>
      </c>
      <c r="D106" s="102" t="s">
        <v>222</v>
      </c>
      <c r="E106" s="102"/>
      <c r="F106" s="87">
        <v>2.3E-3</v>
      </c>
      <c r="G106" s="127">
        <v>27600.880000000001</v>
      </c>
      <c r="H106" s="220"/>
      <c r="I106" s="54">
        <f t="shared" si="0"/>
        <v>27600.880000000001</v>
      </c>
      <c r="J106" s="25">
        <f t="shared" si="26"/>
        <v>0</v>
      </c>
      <c r="K106" s="178">
        <f t="shared" si="28"/>
        <v>13078.98381</v>
      </c>
      <c r="L106" s="25">
        <f t="shared" si="27"/>
        <v>34500</v>
      </c>
      <c r="M106" s="160">
        <v>0</v>
      </c>
      <c r="N106" s="179">
        <f t="shared" si="29"/>
        <v>75180.88</v>
      </c>
      <c r="O106" s="7">
        <f t="shared" si="30"/>
        <v>79692.88</v>
      </c>
      <c r="P106" s="126">
        <f t="shared" si="31"/>
        <v>0.88000000000000056</v>
      </c>
    </row>
    <row r="107" spans="1:16" ht="15.75" customHeight="1" x14ac:dyDescent="0.25">
      <c r="A107" s="102"/>
      <c r="B107" s="34"/>
      <c r="C107" s="34" t="s">
        <v>140</v>
      </c>
      <c r="D107" s="102" t="s">
        <v>199</v>
      </c>
      <c r="E107" s="102"/>
      <c r="F107" s="87">
        <v>2.3E-3</v>
      </c>
      <c r="G107" s="127">
        <v>27600.89</v>
      </c>
      <c r="H107" s="220">
        <f>G107*2</f>
        <v>55201.78</v>
      </c>
      <c r="I107" s="54">
        <f t="shared" si="0"/>
        <v>-27600.89</v>
      </c>
      <c r="J107" s="25">
        <f t="shared" si="26"/>
        <v>0</v>
      </c>
      <c r="K107" s="178">
        <f t="shared" si="28"/>
        <v>13078.98381</v>
      </c>
      <c r="L107" s="25">
        <f t="shared" si="27"/>
        <v>34500</v>
      </c>
      <c r="M107" s="160">
        <v>0</v>
      </c>
      <c r="N107" s="179">
        <f t="shared" si="29"/>
        <v>19978.89</v>
      </c>
      <c r="O107" s="7">
        <f t="shared" si="30"/>
        <v>21178.89</v>
      </c>
      <c r="P107" s="126">
        <f t="shared" si="31"/>
        <v>0.89000000000000057</v>
      </c>
    </row>
    <row r="108" spans="1:16" ht="15.75" customHeight="1" x14ac:dyDescent="0.25">
      <c r="A108" s="102"/>
      <c r="B108" s="34"/>
      <c r="C108" s="34" t="s">
        <v>141</v>
      </c>
      <c r="D108" s="102" t="s">
        <v>205</v>
      </c>
      <c r="E108" s="102"/>
      <c r="F108" s="87">
        <v>2.3E-3</v>
      </c>
      <c r="G108" s="127">
        <v>27600.9</v>
      </c>
      <c r="H108" s="43">
        <f t="shared" ref="H108" si="35">G108</f>
        <v>27600.9</v>
      </c>
      <c r="I108" s="54">
        <f t="shared" si="0"/>
        <v>0</v>
      </c>
      <c r="J108" s="25">
        <f t="shared" si="26"/>
        <v>0</v>
      </c>
      <c r="K108" s="178">
        <f t="shared" si="28"/>
        <v>13078.98381</v>
      </c>
      <c r="L108" s="25">
        <f t="shared" si="27"/>
        <v>34500</v>
      </c>
      <c r="M108" s="160">
        <v>0</v>
      </c>
      <c r="N108" s="179">
        <f t="shared" si="29"/>
        <v>47579.9</v>
      </c>
      <c r="O108" s="7">
        <f t="shared" si="30"/>
        <v>50435.9</v>
      </c>
      <c r="P108" s="126">
        <f t="shared" si="31"/>
        <v>0.90000000000000058</v>
      </c>
    </row>
    <row r="109" spans="1:16" ht="15.75" customHeight="1" x14ac:dyDescent="0.25">
      <c r="A109" s="102"/>
      <c r="B109" s="34"/>
      <c r="C109" s="34" t="s">
        <v>142</v>
      </c>
      <c r="D109" s="102" t="s">
        <v>175</v>
      </c>
      <c r="E109" s="102"/>
      <c r="F109" s="87">
        <v>2.3E-3</v>
      </c>
      <c r="G109" s="127">
        <v>29257.91</v>
      </c>
      <c r="H109" s="43">
        <f t="shared" ref="H109:H111" si="36">G109</f>
        <v>29257.91</v>
      </c>
      <c r="I109" s="54">
        <f t="shared" si="0"/>
        <v>0</v>
      </c>
      <c r="J109" s="25">
        <f t="shared" si="26"/>
        <v>0</v>
      </c>
      <c r="K109" s="178">
        <f t="shared" si="28"/>
        <v>13078.98381</v>
      </c>
      <c r="L109" s="25">
        <f t="shared" si="27"/>
        <v>34500</v>
      </c>
      <c r="M109" s="160">
        <v>0</v>
      </c>
      <c r="N109" s="179">
        <f t="shared" si="29"/>
        <v>47579.91</v>
      </c>
      <c r="O109" s="7">
        <f t="shared" si="30"/>
        <v>50435.91</v>
      </c>
      <c r="P109" s="126">
        <f t="shared" si="31"/>
        <v>0.91000000000000059</v>
      </c>
    </row>
    <row r="110" spans="1:16" ht="15.75" customHeight="1" x14ac:dyDescent="0.25">
      <c r="A110" s="102"/>
      <c r="B110" s="34"/>
      <c r="C110" s="34" t="s">
        <v>143</v>
      </c>
      <c r="D110" s="102" t="s">
        <v>204</v>
      </c>
      <c r="E110" s="102"/>
      <c r="F110" s="136">
        <v>2.3E-3</v>
      </c>
      <c r="G110" s="130">
        <v>62929.919999999998</v>
      </c>
      <c r="H110" s="43">
        <v>0</v>
      </c>
      <c r="I110" s="137">
        <f t="shared" si="0"/>
        <v>62929.919999999998</v>
      </c>
      <c r="J110" s="138">
        <f t="shared" si="26"/>
        <v>0</v>
      </c>
      <c r="K110" s="178">
        <f t="shared" si="28"/>
        <v>13078.98381</v>
      </c>
      <c r="L110" s="138">
        <f t="shared" si="27"/>
        <v>34500</v>
      </c>
      <c r="M110" s="160">
        <v>0</v>
      </c>
      <c r="N110" s="179">
        <f t="shared" si="29"/>
        <v>110509.92</v>
      </c>
      <c r="O110" s="140">
        <f t="shared" si="30"/>
        <v>117141.92</v>
      </c>
      <c r="P110" s="126">
        <f t="shared" si="31"/>
        <v>0.9200000000000006</v>
      </c>
    </row>
    <row r="111" spans="1:16" ht="15.75" customHeight="1" x14ac:dyDescent="0.25">
      <c r="A111" s="102"/>
      <c r="B111" s="34"/>
      <c r="C111" s="34" t="s">
        <v>144</v>
      </c>
      <c r="D111" s="102" t="s">
        <v>190</v>
      </c>
      <c r="E111" s="102"/>
      <c r="F111" s="136">
        <v>2.3E-3</v>
      </c>
      <c r="G111" s="130">
        <v>27600.93</v>
      </c>
      <c r="H111" s="43">
        <f t="shared" si="36"/>
        <v>27600.93</v>
      </c>
      <c r="I111" s="137">
        <f t="shared" si="0"/>
        <v>0</v>
      </c>
      <c r="J111" s="138">
        <f t="shared" si="26"/>
        <v>0</v>
      </c>
      <c r="K111" s="178">
        <f t="shared" si="28"/>
        <v>13078.98381</v>
      </c>
      <c r="L111" s="138">
        <f t="shared" si="27"/>
        <v>34500</v>
      </c>
      <c r="M111" s="160">
        <v>0</v>
      </c>
      <c r="N111" s="179">
        <f t="shared" si="29"/>
        <v>47579.93</v>
      </c>
      <c r="O111" s="140">
        <f t="shared" si="30"/>
        <v>50435.93</v>
      </c>
      <c r="P111" s="126">
        <f t="shared" si="31"/>
        <v>0.9300000000000006</v>
      </c>
    </row>
    <row r="112" spans="1:16" x14ac:dyDescent="0.25">
      <c r="A112" s="102"/>
      <c r="B112" s="34"/>
      <c r="C112" s="34" t="s">
        <v>145</v>
      </c>
      <c r="D112" s="102" t="s">
        <v>173</v>
      </c>
      <c r="E112" s="102"/>
      <c r="F112" s="136">
        <v>2.3E-3</v>
      </c>
      <c r="G112" s="130">
        <v>27600.94</v>
      </c>
      <c r="H112" s="43">
        <f>G112</f>
        <v>27600.94</v>
      </c>
      <c r="I112" s="137">
        <f t="shared" si="0"/>
        <v>0</v>
      </c>
      <c r="J112" s="138">
        <f t="shared" si="26"/>
        <v>0</v>
      </c>
      <c r="K112" s="178">
        <f t="shared" si="28"/>
        <v>13078.98381</v>
      </c>
      <c r="L112" s="138">
        <f t="shared" si="27"/>
        <v>34500</v>
      </c>
      <c r="M112" s="160">
        <v>0</v>
      </c>
      <c r="N112" s="179">
        <f t="shared" si="29"/>
        <v>47579.94</v>
      </c>
      <c r="O112" s="140">
        <f t="shared" si="30"/>
        <v>50435.94</v>
      </c>
      <c r="P112" s="126">
        <f t="shared" si="31"/>
        <v>0.94000000000000061</v>
      </c>
    </row>
    <row r="113" spans="1:17" x14ac:dyDescent="0.25">
      <c r="A113" s="102"/>
      <c r="B113" s="34"/>
      <c r="C113" s="34" t="s">
        <v>146</v>
      </c>
      <c r="D113" s="102" t="s">
        <v>196</v>
      </c>
      <c r="E113" s="102"/>
      <c r="F113" s="136">
        <v>2.3E-3</v>
      </c>
      <c r="G113" s="130">
        <v>27600.95</v>
      </c>
      <c r="H113" s="43">
        <f>G113</f>
        <v>27600.95</v>
      </c>
      <c r="I113" s="137">
        <f t="shared" si="0"/>
        <v>0</v>
      </c>
      <c r="J113" s="138">
        <f t="shared" si="26"/>
        <v>0</v>
      </c>
      <c r="K113" s="178">
        <f t="shared" si="28"/>
        <v>13078.98381</v>
      </c>
      <c r="L113" s="138">
        <f t="shared" si="27"/>
        <v>34500</v>
      </c>
      <c r="M113" s="160">
        <v>0</v>
      </c>
      <c r="N113" s="179">
        <f t="shared" si="29"/>
        <v>47579.95</v>
      </c>
      <c r="O113" s="140">
        <f t="shared" si="30"/>
        <v>50435.95</v>
      </c>
      <c r="P113" s="126">
        <f t="shared" si="31"/>
        <v>0.95000000000000062</v>
      </c>
    </row>
    <row r="114" spans="1:17" x14ac:dyDescent="0.25">
      <c r="A114" s="102"/>
      <c r="B114" s="34"/>
      <c r="C114" s="34" t="s">
        <v>147</v>
      </c>
      <c r="D114" s="102" t="s">
        <v>217</v>
      </c>
      <c r="E114" s="102"/>
      <c r="F114" s="136">
        <v>2.3E-3</v>
      </c>
      <c r="G114" s="130">
        <v>27600.959999999999</v>
      </c>
      <c r="H114" s="43">
        <f>G114</f>
        <v>27600.959999999999</v>
      </c>
      <c r="I114" s="137">
        <f t="shared" si="0"/>
        <v>0</v>
      </c>
      <c r="J114" s="138">
        <f t="shared" si="26"/>
        <v>0</v>
      </c>
      <c r="K114" s="178">
        <f t="shared" si="28"/>
        <v>13078.98381</v>
      </c>
      <c r="L114" s="138">
        <f t="shared" si="27"/>
        <v>34500</v>
      </c>
      <c r="M114" s="160">
        <v>0</v>
      </c>
      <c r="N114" s="179">
        <f t="shared" si="29"/>
        <v>47579.96</v>
      </c>
      <c r="O114" s="140">
        <f t="shared" si="30"/>
        <v>50435.96</v>
      </c>
      <c r="P114" s="126">
        <f t="shared" si="31"/>
        <v>0.96000000000000063</v>
      </c>
    </row>
    <row r="115" spans="1:17" x14ac:dyDescent="0.25">
      <c r="A115" s="102"/>
      <c r="B115" s="34"/>
      <c r="C115" s="34" t="s">
        <v>148</v>
      </c>
      <c r="D115" s="102" t="s">
        <v>184</v>
      </c>
      <c r="E115" s="102"/>
      <c r="F115" s="136">
        <v>2.3E-3</v>
      </c>
      <c r="G115" s="130">
        <v>27600.97</v>
      </c>
      <c r="H115" s="43">
        <f t="shared" ref="H115" si="37">G115</f>
        <v>27600.97</v>
      </c>
      <c r="I115" s="137">
        <f t="shared" si="0"/>
        <v>0</v>
      </c>
      <c r="J115" s="138">
        <f t="shared" ref="J115:J131" si="38">N$8*F115</f>
        <v>0</v>
      </c>
      <c r="K115" s="178">
        <f t="shared" si="28"/>
        <v>13078.98381</v>
      </c>
      <c r="L115" s="138">
        <f t="shared" ref="L115:L131" si="39">N$2*F115</f>
        <v>34500</v>
      </c>
      <c r="M115" s="160">
        <v>0</v>
      </c>
      <c r="N115" s="179">
        <f t="shared" si="29"/>
        <v>47579.97</v>
      </c>
      <c r="O115" s="140">
        <f t="shared" si="30"/>
        <v>50435.97</v>
      </c>
      <c r="P115" s="126">
        <f t="shared" si="31"/>
        <v>0.97000000000000064</v>
      </c>
    </row>
    <row r="116" spans="1:17" x14ac:dyDescent="0.25">
      <c r="A116" s="102"/>
      <c r="B116" s="34"/>
      <c r="C116" s="34" t="s">
        <v>149</v>
      </c>
      <c r="D116" s="102" t="s">
        <v>178</v>
      </c>
      <c r="E116" s="102" t="s">
        <v>292</v>
      </c>
      <c r="F116" s="136">
        <v>2.3E-3</v>
      </c>
      <c r="G116" s="130">
        <v>98965.98</v>
      </c>
      <c r="H116" s="43">
        <f>G116+12328</f>
        <v>111293.98</v>
      </c>
      <c r="I116" s="137">
        <f t="shared" si="0"/>
        <v>-12328</v>
      </c>
      <c r="J116" s="138">
        <f t="shared" si="38"/>
        <v>0</v>
      </c>
      <c r="K116" s="178">
        <f t="shared" si="28"/>
        <v>13078.98381</v>
      </c>
      <c r="L116" s="138">
        <f t="shared" si="39"/>
        <v>34500</v>
      </c>
      <c r="M116" s="160">
        <v>0</v>
      </c>
      <c r="N116" s="179">
        <f t="shared" si="29"/>
        <v>35251.980000000003</v>
      </c>
      <c r="O116" s="140">
        <f t="shared" si="30"/>
        <v>37367.980000000003</v>
      </c>
      <c r="P116" s="126">
        <f t="shared" si="31"/>
        <v>0.98000000000000065</v>
      </c>
    </row>
    <row r="117" spans="1:17" x14ac:dyDescent="0.25">
      <c r="A117" s="102"/>
      <c r="B117" s="34"/>
      <c r="C117" s="34" t="s">
        <v>150</v>
      </c>
      <c r="D117" s="102" t="s">
        <v>178</v>
      </c>
      <c r="E117" s="102" t="s">
        <v>397</v>
      </c>
      <c r="F117" s="136">
        <v>2.3E-3</v>
      </c>
      <c r="G117" s="130">
        <v>168155.99</v>
      </c>
      <c r="H117" s="43">
        <f>G117+12328</f>
        <v>180483.99</v>
      </c>
      <c r="I117" s="137">
        <f t="shared" si="0"/>
        <v>-12328</v>
      </c>
      <c r="J117" s="138">
        <f t="shared" si="38"/>
        <v>0</v>
      </c>
      <c r="K117" s="178">
        <f t="shared" si="28"/>
        <v>13078.98381</v>
      </c>
      <c r="L117" s="138">
        <f t="shared" si="39"/>
        <v>34500</v>
      </c>
      <c r="M117" s="160">
        <v>0</v>
      </c>
      <c r="N117" s="179">
        <f t="shared" si="29"/>
        <v>35251.99</v>
      </c>
      <c r="O117" s="140">
        <f t="shared" si="30"/>
        <v>37367.99</v>
      </c>
      <c r="P117" s="126">
        <f t="shared" si="31"/>
        <v>0.99000000000000066</v>
      </c>
    </row>
    <row r="118" spans="1:17" x14ac:dyDescent="0.25">
      <c r="A118" s="102"/>
      <c r="B118" s="34"/>
      <c r="C118" s="34" t="s">
        <v>151</v>
      </c>
      <c r="D118" s="102" t="s">
        <v>179</v>
      </c>
      <c r="E118" s="128" t="s">
        <v>350</v>
      </c>
      <c r="F118" s="136">
        <v>2.3E-3</v>
      </c>
      <c r="G118" s="130">
        <v>27601</v>
      </c>
      <c r="H118" s="43">
        <f t="shared" ref="H118:H120" si="40">G118</f>
        <v>27601</v>
      </c>
      <c r="I118" s="137">
        <f t="shared" si="0"/>
        <v>0</v>
      </c>
      <c r="J118" s="138">
        <f t="shared" si="38"/>
        <v>0</v>
      </c>
      <c r="K118" s="178">
        <f t="shared" si="28"/>
        <v>13078.98381</v>
      </c>
      <c r="L118" s="138">
        <f t="shared" si="39"/>
        <v>34500</v>
      </c>
      <c r="M118" s="160">
        <v>0</v>
      </c>
      <c r="N118" s="179">
        <f t="shared" si="29"/>
        <v>47580</v>
      </c>
      <c r="O118" s="140">
        <f t="shared" si="30"/>
        <v>50436</v>
      </c>
      <c r="P118" s="126">
        <f t="shared" si="31"/>
        <v>1.0000000000000007</v>
      </c>
      <c r="Q118" t="s">
        <v>282</v>
      </c>
    </row>
    <row r="119" spans="1:17" x14ac:dyDescent="0.25">
      <c r="A119" s="121"/>
      <c r="B119" s="34"/>
      <c r="C119" s="34" t="s">
        <v>152</v>
      </c>
      <c r="D119" s="102" t="s">
        <v>280</v>
      </c>
      <c r="E119" s="102"/>
      <c r="F119" s="136">
        <v>2.3E-3</v>
      </c>
      <c r="G119" s="130">
        <v>27601.01</v>
      </c>
      <c r="H119" s="43">
        <f t="shared" si="40"/>
        <v>27601.01</v>
      </c>
      <c r="I119" s="137">
        <f t="shared" si="0"/>
        <v>0</v>
      </c>
      <c r="J119" s="138">
        <f t="shared" si="38"/>
        <v>0</v>
      </c>
      <c r="K119" s="178">
        <f t="shared" si="28"/>
        <v>13078.98381</v>
      </c>
      <c r="L119" s="138">
        <f t="shared" si="39"/>
        <v>34500</v>
      </c>
      <c r="M119" s="160">
        <v>0</v>
      </c>
      <c r="N119" s="179">
        <f t="shared" si="29"/>
        <v>47580.01</v>
      </c>
      <c r="O119" s="140">
        <f t="shared" si="30"/>
        <v>50436.01</v>
      </c>
      <c r="P119" s="126">
        <f t="shared" si="31"/>
        <v>1.0100000000000007</v>
      </c>
    </row>
    <row r="120" spans="1:17" x14ac:dyDescent="0.25">
      <c r="A120" s="121"/>
      <c r="B120" s="34"/>
      <c r="C120" s="34" t="s">
        <v>153</v>
      </c>
      <c r="D120" s="102" t="s">
        <v>186</v>
      </c>
      <c r="E120" s="102"/>
      <c r="F120" s="136">
        <v>2.3E-3</v>
      </c>
      <c r="G120" s="130">
        <v>27601.02</v>
      </c>
      <c r="H120" s="43">
        <f t="shared" si="40"/>
        <v>27601.02</v>
      </c>
      <c r="I120" s="137">
        <f t="shared" si="0"/>
        <v>0</v>
      </c>
      <c r="J120" s="138">
        <f t="shared" si="38"/>
        <v>0</v>
      </c>
      <c r="K120" s="178">
        <f t="shared" si="28"/>
        <v>13078.98381</v>
      </c>
      <c r="L120" s="138">
        <f t="shared" si="39"/>
        <v>34500</v>
      </c>
      <c r="M120" s="160">
        <v>0</v>
      </c>
      <c r="N120" s="179">
        <f t="shared" si="29"/>
        <v>47580.02</v>
      </c>
      <c r="O120" s="140">
        <f t="shared" si="30"/>
        <v>50436.02</v>
      </c>
      <c r="P120" s="126">
        <f t="shared" si="31"/>
        <v>1.0200000000000007</v>
      </c>
    </row>
    <row r="121" spans="1:17" x14ac:dyDescent="0.25">
      <c r="A121" s="121"/>
      <c r="B121" s="34"/>
      <c r="C121" s="34" t="s">
        <v>154</v>
      </c>
      <c r="D121" s="102" t="s">
        <v>178</v>
      </c>
      <c r="E121" s="102" t="s">
        <v>398</v>
      </c>
      <c r="F121" s="136">
        <v>2.3E-3</v>
      </c>
      <c r="G121" s="130">
        <v>29258.03</v>
      </c>
      <c r="H121" s="43">
        <f>G121+12328</f>
        <v>41586.03</v>
      </c>
      <c r="I121" s="137">
        <f t="shared" si="0"/>
        <v>-12328</v>
      </c>
      <c r="J121" s="138">
        <f t="shared" si="38"/>
        <v>0</v>
      </c>
      <c r="K121" s="178">
        <f t="shared" si="28"/>
        <v>13078.98381</v>
      </c>
      <c r="L121" s="138">
        <f t="shared" si="39"/>
        <v>34500</v>
      </c>
      <c r="M121" s="160">
        <v>0</v>
      </c>
      <c r="N121" s="179">
        <f t="shared" si="29"/>
        <v>35252.03</v>
      </c>
      <c r="O121" s="140">
        <f t="shared" si="30"/>
        <v>37368.03</v>
      </c>
      <c r="P121" s="126">
        <f t="shared" si="31"/>
        <v>1.0300000000000007</v>
      </c>
    </row>
    <row r="122" spans="1:17" x14ac:dyDescent="0.25">
      <c r="A122" s="121"/>
      <c r="B122" s="34"/>
      <c r="C122" s="34" t="s">
        <v>155</v>
      </c>
      <c r="D122" s="102" t="s">
        <v>214</v>
      </c>
      <c r="E122" s="102"/>
      <c r="F122" s="136">
        <v>2.3E-3</v>
      </c>
      <c r="G122" s="130">
        <v>27601.040000000001</v>
      </c>
      <c r="H122" s="43">
        <f>G122</f>
        <v>27601.040000000001</v>
      </c>
      <c r="I122" s="137">
        <f t="shared" si="0"/>
        <v>0</v>
      </c>
      <c r="J122" s="138">
        <f t="shared" si="38"/>
        <v>0</v>
      </c>
      <c r="K122" s="178">
        <f t="shared" si="28"/>
        <v>13078.98381</v>
      </c>
      <c r="L122" s="138">
        <f t="shared" si="39"/>
        <v>34500</v>
      </c>
      <c r="M122" s="160">
        <v>0</v>
      </c>
      <c r="N122" s="179">
        <f t="shared" si="29"/>
        <v>47580.04</v>
      </c>
      <c r="O122" s="140">
        <f t="shared" si="30"/>
        <v>50436.04</v>
      </c>
      <c r="P122" s="126">
        <f t="shared" si="31"/>
        <v>1.0400000000000007</v>
      </c>
    </row>
    <row r="123" spans="1:17" x14ac:dyDescent="0.25">
      <c r="A123" s="121"/>
      <c r="B123" s="34"/>
      <c r="C123" s="34" t="s">
        <v>156</v>
      </c>
      <c r="D123" s="102" t="s">
        <v>209</v>
      </c>
      <c r="E123" s="102"/>
      <c r="F123" s="136">
        <v>2.3E-3</v>
      </c>
      <c r="G123" s="130">
        <v>27430.05</v>
      </c>
      <c r="H123" s="43"/>
      <c r="I123" s="137">
        <f t="shared" si="0"/>
        <v>27430.05</v>
      </c>
      <c r="J123" s="138">
        <f t="shared" si="38"/>
        <v>0</v>
      </c>
      <c r="K123" s="178">
        <f t="shared" si="28"/>
        <v>13078.98381</v>
      </c>
      <c r="L123" s="138">
        <f t="shared" si="39"/>
        <v>34500</v>
      </c>
      <c r="M123" s="160">
        <v>0</v>
      </c>
      <c r="N123" s="179">
        <f t="shared" si="29"/>
        <v>75010.05</v>
      </c>
      <c r="O123" s="140">
        <f t="shared" si="30"/>
        <v>79512.05</v>
      </c>
      <c r="P123" s="126">
        <f t="shared" si="31"/>
        <v>1.0500000000000007</v>
      </c>
    </row>
    <row r="124" spans="1:17" x14ac:dyDescent="0.25">
      <c r="A124" s="121"/>
      <c r="B124" s="34"/>
      <c r="C124" s="34" t="s">
        <v>157</v>
      </c>
      <c r="D124" s="102" t="s">
        <v>178</v>
      </c>
      <c r="E124" s="102"/>
      <c r="F124" s="136">
        <v>2.3E-3</v>
      </c>
      <c r="G124" s="130">
        <v>27601.06</v>
      </c>
      <c r="H124" s="43">
        <f>29258.06+12328</f>
        <v>41586.06</v>
      </c>
      <c r="I124" s="137">
        <f t="shared" si="0"/>
        <v>-13984.999999999996</v>
      </c>
      <c r="J124" s="138">
        <f t="shared" si="38"/>
        <v>0</v>
      </c>
      <c r="K124" s="178">
        <f t="shared" si="28"/>
        <v>13078.98381</v>
      </c>
      <c r="L124" s="138">
        <f t="shared" si="39"/>
        <v>34500</v>
      </c>
      <c r="M124" s="160">
        <v>0</v>
      </c>
      <c r="N124" s="179">
        <f t="shared" si="29"/>
        <v>33595.06</v>
      </c>
      <c r="O124" s="140">
        <f t="shared" si="30"/>
        <v>35612.06</v>
      </c>
      <c r="P124" s="126">
        <f t="shared" si="31"/>
        <v>1.0600000000000007</v>
      </c>
      <c r="Q124" t="s">
        <v>299</v>
      </c>
    </row>
    <row r="125" spans="1:17" x14ac:dyDescent="0.25">
      <c r="A125" s="166"/>
      <c r="B125" s="161"/>
      <c r="C125" s="34" t="s">
        <v>158</v>
      </c>
      <c r="D125" s="102" t="s">
        <v>178</v>
      </c>
      <c r="E125" s="128" t="s">
        <v>272</v>
      </c>
      <c r="F125" s="136">
        <v>2.3E-3</v>
      </c>
      <c r="G125" s="130">
        <v>62936.07</v>
      </c>
      <c r="H125" s="43">
        <f>27600+12328</f>
        <v>39928</v>
      </c>
      <c r="I125" s="137">
        <f t="shared" si="0"/>
        <v>23008.07</v>
      </c>
      <c r="J125" s="138">
        <f t="shared" si="38"/>
        <v>0</v>
      </c>
      <c r="K125" s="178">
        <f t="shared" si="28"/>
        <v>13078.98381</v>
      </c>
      <c r="L125" s="138">
        <f t="shared" si="39"/>
        <v>34500</v>
      </c>
      <c r="M125" s="160">
        <v>0</v>
      </c>
      <c r="N125" s="179">
        <f t="shared" si="29"/>
        <v>70588.070000000007</v>
      </c>
      <c r="O125" s="140">
        <f t="shared" si="30"/>
        <v>74824.070000000007</v>
      </c>
      <c r="P125" s="126">
        <f t="shared" si="31"/>
        <v>1.0700000000000007</v>
      </c>
    </row>
    <row r="126" spans="1:17" x14ac:dyDescent="0.25">
      <c r="A126" s="166"/>
      <c r="B126" s="161"/>
      <c r="C126" s="34" t="s">
        <v>159</v>
      </c>
      <c r="D126" s="102" t="s">
        <v>178</v>
      </c>
      <c r="E126" s="102"/>
      <c r="F126" s="136">
        <v>2.3E-3</v>
      </c>
      <c r="G126" s="130">
        <v>62930.080000000002</v>
      </c>
      <c r="H126" s="43">
        <f>27000.08+12328</f>
        <v>39328.080000000002</v>
      </c>
      <c r="I126" s="137">
        <f t="shared" si="0"/>
        <v>23602</v>
      </c>
      <c r="J126" s="138">
        <f t="shared" si="38"/>
        <v>0</v>
      </c>
      <c r="K126" s="178">
        <f t="shared" si="28"/>
        <v>13078.98381</v>
      </c>
      <c r="L126" s="138">
        <f t="shared" si="39"/>
        <v>34500</v>
      </c>
      <c r="M126" s="160">
        <v>0</v>
      </c>
      <c r="N126" s="179">
        <f t="shared" si="29"/>
        <v>71182.080000000002</v>
      </c>
      <c r="O126" s="140">
        <f t="shared" si="30"/>
        <v>75454.080000000002</v>
      </c>
      <c r="P126" s="126">
        <f t="shared" si="31"/>
        <v>1.0800000000000007</v>
      </c>
    </row>
    <row r="127" spans="1:17" x14ac:dyDescent="0.25">
      <c r="A127" s="121"/>
      <c r="B127" s="34"/>
      <c r="C127" s="34" t="s">
        <v>160</v>
      </c>
      <c r="D127" s="102" t="s">
        <v>212</v>
      </c>
      <c r="E127" s="102"/>
      <c r="F127" s="136">
        <v>2.3E-3</v>
      </c>
      <c r="G127" s="130">
        <v>27601.09</v>
      </c>
      <c r="H127" s="43">
        <f t="shared" ref="H127:H128" si="41">G127</f>
        <v>27601.09</v>
      </c>
      <c r="I127" s="137">
        <f t="shared" si="0"/>
        <v>0</v>
      </c>
      <c r="J127" s="138">
        <f t="shared" si="38"/>
        <v>0</v>
      </c>
      <c r="K127" s="178">
        <f t="shared" si="28"/>
        <v>13078.98381</v>
      </c>
      <c r="L127" s="138">
        <f t="shared" si="39"/>
        <v>34500</v>
      </c>
      <c r="M127" s="160">
        <v>0</v>
      </c>
      <c r="N127" s="179">
        <f t="shared" si="29"/>
        <v>47580.09</v>
      </c>
      <c r="O127" s="140">
        <f t="shared" si="30"/>
        <v>50436.09</v>
      </c>
      <c r="P127" s="126">
        <f t="shared" si="31"/>
        <v>1.0900000000000007</v>
      </c>
    </row>
    <row r="128" spans="1:17" x14ac:dyDescent="0.25">
      <c r="A128" s="121"/>
      <c r="B128" s="34"/>
      <c r="C128" s="34" t="s">
        <v>161</v>
      </c>
      <c r="D128" s="102" t="s">
        <v>206</v>
      </c>
      <c r="E128" s="102"/>
      <c r="F128" s="87">
        <v>2.3E-3</v>
      </c>
      <c r="G128" s="127">
        <v>27601.1</v>
      </c>
      <c r="H128" s="43">
        <f t="shared" si="41"/>
        <v>27601.1</v>
      </c>
      <c r="I128" s="54">
        <f t="shared" si="0"/>
        <v>0</v>
      </c>
      <c r="J128" s="25">
        <f t="shared" si="38"/>
        <v>0</v>
      </c>
      <c r="K128" s="178">
        <f t="shared" si="28"/>
        <v>13078.98381</v>
      </c>
      <c r="L128" s="25">
        <f t="shared" si="39"/>
        <v>34500</v>
      </c>
      <c r="M128" s="160">
        <v>0</v>
      </c>
      <c r="N128" s="179">
        <f t="shared" si="29"/>
        <v>47580.1</v>
      </c>
      <c r="O128" s="7">
        <f t="shared" si="30"/>
        <v>50436.1</v>
      </c>
      <c r="P128" s="126">
        <f t="shared" si="31"/>
        <v>1.1000000000000008</v>
      </c>
    </row>
    <row r="129" spans="1:17" x14ac:dyDescent="0.25">
      <c r="A129" s="121"/>
      <c r="B129" s="34"/>
      <c r="C129" s="34" t="s">
        <v>162</v>
      </c>
      <c r="D129" s="102" t="s">
        <v>216</v>
      </c>
      <c r="E129" s="102"/>
      <c r="F129" s="87">
        <v>2.3E-3</v>
      </c>
      <c r="G129" s="127">
        <v>27601.11</v>
      </c>
      <c r="H129" s="43">
        <f>G129</f>
        <v>27601.11</v>
      </c>
      <c r="I129" s="54">
        <f t="shared" si="0"/>
        <v>0</v>
      </c>
      <c r="J129" s="25">
        <f t="shared" si="38"/>
        <v>0</v>
      </c>
      <c r="K129" s="178">
        <f t="shared" si="28"/>
        <v>13078.98381</v>
      </c>
      <c r="L129" s="25">
        <f t="shared" si="39"/>
        <v>34500</v>
      </c>
      <c r="M129" s="160">
        <v>0</v>
      </c>
      <c r="N129" s="179">
        <f t="shared" si="29"/>
        <v>47580.11</v>
      </c>
      <c r="O129" s="7">
        <f t="shared" si="30"/>
        <v>50436.11</v>
      </c>
      <c r="P129" s="126">
        <f t="shared" si="31"/>
        <v>1.1100000000000008</v>
      </c>
    </row>
    <row r="130" spans="1:17" x14ac:dyDescent="0.25">
      <c r="A130" s="121" t="s">
        <v>24</v>
      </c>
      <c r="B130" s="34"/>
      <c r="C130" s="34" t="s">
        <v>163</v>
      </c>
      <c r="D130" s="102" t="s">
        <v>197</v>
      </c>
      <c r="E130" s="102"/>
      <c r="F130" s="87">
        <v>2.3E-3</v>
      </c>
      <c r="G130" s="127">
        <v>27601.119999999999</v>
      </c>
      <c r="H130" s="43">
        <f>G130</f>
        <v>27601.119999999999</v>
      </c>
      <c r="I130" s="54">
        <f t="shared" si="0"/>
        <v>0</v>
      </c>
      <c r="J130" s="25">
        <f t="shared" si="38"/>
        <v>0</v>
      </c>
      <c r="K130" s="178">
        <f t="shared" si="28"/>
        <v>13078.98381</v>
      </c>
      <c r="L130" s="25">
        <f t="shared" si="39"/>
        <v>34500</v>
      </c>
      <c r="M130" s="160">
        <v>0</v>
      </c>
      <c r="N130" s="179">
        <f t="shared" si="29"/>
        <v>47580.12</v>
      </c>
      <c r="O130" s="7">
        <f t="shared" si="30"/>
        <v>50436.12</v>
      </c>
      <c r="P130" s="126">
        <f t="shared" si="31"/>
        <v>1.1200000000000008</v>
      </c>
    </row>
    <row r="131" spans="1:17" x14ac:dyDescent="0.25">
      <c r="A131" s="121" t="s">
        <v>24</v>
      </c>
      <c r="B131" s="34"/>
      <c r="C131" s="34" t="s">
        <v>164</v>
      </c>
      <c r="D131" s="102" t="s">
        <v>300</v>
      </c>
      <c r="E131" s="102"/>
      <c r="F131" s="87">
        <v>2.3E-3</v>
      </c>
      <c r="G131" s="127">
        <v>27601.13</v>
      </c>
      <c r="H131" s="43">
        <f t="shared" ref="H131" si="42">G131</f>
        <v>27601.13</v>
      </c>
      <c r="I131" s="54">
        <f t="shared" si="0"/>
        <v>0</v>
      </c>
      <c r="J131" s="25">
        <f t="shared" si="38"/>
        <v>0</v>
      </c>
      <c r="K131" s="178">
        <f t="shared" si="28"/>
        <v>13078.98381</v>
      </c>
      <c r="L131" s="25">
        <f t="shared" si="39"/>
        <v>34500</v>
      </c>
      <c r="M131" s="160">
        <v>0</v>
      </c>
      <c r="N131" s="179">
        <f t="shared" si="29"/>
        <v>47580.13</v>
      </c>
      <c r="O131" s="7">
        <f t="shared" si="30"/>
        <v>50436.13</v>
      </c>
      <c r="P131" s="126">
        <f t="shared" si="31"/>
        <v>1.1300000000000008</v>
      </c>
    </row>
    <row r="132" spans="1:17" x14ac:dyDescent="0.25">
      <c r="A132" s="52" t="s">
        <v>24</v>
      </c>
      <c r="B132" s="5"/>
      <c r="C132" s="5"/>
      <c r="D132" s="55"/>
      <c r="E132" s="55"/>
      <c r="F132" s="5"/>
      <c r="G132" s="25"/>
      <c r="H132" s="85"/>
      <c r="I132" s="54"/>
      <c r="J132" s="25"/>
      <c r="K132" s="25"/>
      <c r="L132" s="25"/>
      <c r="M132" s="74"/>
      <c r="N132" s="4"/>
      <c r="O132" s="7"/>
    </row>
    <row r="133" spans="1:17" ht="14.25" customHeight="1" x14ac:dyDescent="0.25">
      <c r="A133" s="26"/>
      <c r="B133" s="26"/>
      <c r="C133" s="26"/>
      <c r="D133" s="26"/>
      <c r="E133" s="26"/>
      <c r="F133" s="110">
        <f>SUM(F14:F132)</f>
        <v>0.99819999999999809</v>
      </c>
      <c r="G133" s="27">
        <f>SUM(G14:G132)</f>
        <v>18105753.460201997</v>
      </c>
      <c r="H133" s="27">
        <f>SUM(H14:H132)</f>
        <v>12108632.490605</v>
      </c>
      <c r="I133" s="26"/>
      <c r="J133" s="53">
        <f>SUM(J14:J132)</f>
        <v>0</v>
      </c>
      <c r="K133" s="53"/>
      <c r="L133" s="27">
        <f>SUM(L14:L132)</f>
        <v>15248611.856240001</v>
      </c>
      <c r="M133" s="165">
        <f>SUM(M14:M132)</f>
        <v>174750</v>
      </c>
      <c r="N133" s="28">
        <f>SUM(N14:N132)</f>
        <v>27096831.108376995</v>
      </c>
      <c r="O133" s="27">
        <f>SUM(O14:O132)</f>
        <v>28722719.210279621</v>
      </c>
      <c r="Q133" s="57"/>
    </row>
    <row r="134" spans="1:17" hidden="1" x14ac:dyDescent="0.25">
      <c r="L134" s="59">
        <f>L133-M1</f>
        <v>-316178.57375999913</v>
      </c>
    </row>
    <row r="135" spans="1:17" ht="15" hidden="1" customHeight="1" x14ac:dyDescent="0.25">
      <c r="C135" s="300"/>
      <c r="D135" s="300"/>
      <c r="E135" s="300"/>
      <c r="F135" s="300"/>
      <c r="G135" s="300"/>
      <c r="H135" s="300"/>
      <c r="I135" s="300"/>
      <c r="J135" s="300"/>
      <c r="K135" s="300"/>
      <c r="L135" s="300"/>
      <c r="M135" s="300"/>
      <c r="N135" s="300"/>
      <c r="O135" s="300"/>
    </row>
    <row r="136" spans="1:17" hidden="1" x14ac:dyDescent="0.25">
      <c r="C136" s="300"/>
      <c r="D136" s="300"/>
      <c r="E136" s="300"/>
      <c r="F136" s="300"/>
      <c r="G136" s="300"/>
      <c r="H136" s="300"/>
      <c r="I136" s="300"/>
      <c r="J136" s="300"/>
      <c r="K136" s="300"/>
      <c r="L136" s="300"/>
      <c r="M136" s="300"/>
      <c r="N136" s="300"/>
      <c r="O136" s="300"/>
    </row>
    <row r="137" spans="1:17" ht="8.25" customHeight="1" x14ac:dyDescent="0.25">
      <c r="C137" s="75"/>
      <c r="D137" s="75"/>
      <c r="E137" s="75"/>
      <c r="F137" s="75"/>
      <c r="G137" s="75"/>
      <c r="H137" s="75"/>
      <c r="I137" s="75"/>
      <c r="J137" s="75"/>
      <c r="K137" s="75"/>
      <c r="L137" s="75"/>
      <c r="M137" s="75"/>
      <c r="N137" s="75"/>
      <c r="O137" s="75"/>
    </row>
    <row r="138" spans="1:17" x14ac:dyDescent="0.25">
      <c r="C138" s="307" t="s">
        <v>246</v>
      </c>
      <c r="D138" s="307"/>
      <c r="E138" s="307"/>
      <c r="F138" s="307"/>
      <c r="G138" s="307"/>
      <c r="H138" s="307"/>
      <c r="I138" s="307"/>
      <c r="J138" s="307"/>
      <c r="K138" s="307"/>
      <c r="L138" s="307"/>
      <c r="M138" s="307"/>
      <c r="N138" s="307"/>
      <c r="O138" s="307"/>
    </row>
    <row r="139" spans="1:17" x14ac:dyDescent="0.25">
      <c r="C139" s="307"/>
      <c r="D139" s="307"/>
      <c r="E139" s="307"/>
      <c r="F139" s="307"/>
      <c r="G139" s="307"/>
      <c r="H139" s="307"/>
      <c r="I139" s="307"/>
      <c r="J139" s="307"/>
      <c r="K139" s="307"/>
      <c r="L139" s="307"/>
      <c r="M139" s="307"/>
      <c r="N139" s="307"/>
      <c r="O139" s="307"/>
    </row>
    <row r="140" spans="1:17" x14ac:dyDescent="0.25">
      <c r="C140" s="307"/>
      <c r="D140" s="307"/>
      <c r="E140" s="307"/>
      <c r="F140" s="307"/>
      <c r="G140" s="307"/>
      <c r="H140" s="307"/>
      <c r="I140" s="307"/>
      <c r="J140" s="307"/>
      <c r="K140" s="307"/>
      <c r="L140" s="307"/>
      <c r="M140" s="307"/>
      <c r="N140" s="307"/>
      <c r="O140" s="307"/>
    </row>
    <row r="141" spans="1:17" x14ac:dyDescent="0.25">
      <c r="C141" s="307"/>
      <c r="D141" s="307"/>
      <c r="E141" s="307"/>
      <c r="F141" s="307"/>
      <c r="G141" s="307"/>
      <c r="H141" s="307"/>
      <c r="I141" s="307"/>
      <c r="J141" s="307"/>
      <c r="K141" s="307"/>
      <c r="L141" s="307"/>
      <c r="M141" s="307"/>
      <c r="N141" s="307"/>
      <c r="O141" s="307"/>
    </row>
    <row r="142" spans="1:17" x14ac:dyDescent="0.25">
      <c r="C142" s="307"/>
      <c r="D142" s="307"/>
      <c r="E142" s="307"/>
      <c r="F142" s="307"/>
      <c r="G142" s="307"/>
      <c r="H142" s="307"/>
      <c r="I142" s="307"/>
      <c r="J142" s="307"/>
      <c r="K142" s="307"/>
      <c r="L142" s="307"/>
      <c r="M142" s="307"/>
      <c r="N142" s="307"/>
      <c r="O142" s="307"/>
    </row>
    <row r="143" spans="1:17" x14ac:dyDescent="0.25">
      <c r="C143" s="307"/>
      <c r="D143" s="307"/>
      <c r="E143" s="307"/>
      <c r="F143" s="307"/>
      <c r="G143" s="307"/>
      <c r="H143" s="307"/>
      <c r="I143" s="307"/>
      <c r="J143" s="307"/>
      <c r="K143" s="307"/>
      <c r="L143" s="307"/>
      <c r="M143" s="307"/>
      <c r="N143" s="307"/>
      <c r="O143" s="307"/>
    </row>
    <row r="144" spans="1:17" x14ac:dyDescent="0.25">
      <c r="C144" s="307"/>
      <c r="D144" s="307"/>
      <c r="E144" s="307"/>
      <c r="F144" s="307"/>
      <c r="G144" s="307"/>
      <c r="H144" s="307"/>
      <c r="I144" s="307"/>
      <c r="J144" s="307"/>
      <c r="K144" s="307"/>
      <c r="L144" s="307"/>
      <c r="M144" s="307"/>
      <c r="N144" s="307"/>
      <c r="O144" s="307"/>
    </row>
    <row r="145" spans="3:17" x14ac:dyDescent="0.25">
      <c r="C145" s="307"/>
      <c r="D145" s="307"/>
      <c r="E145" s="307"/>
      <c r="F145" s="307"/>
      <c r="G145" s="307"/>
      <c r="H145" s="307"/>
      <c r="I145" s="307"/>
      <c r="J145" s="307"/>
      <c r="K145" s="307"/>
      <c r="L145" s="307"/>
      <c r="M145" s="307"/>
      <c r="N145" s="307"/>
      <c r="O145" s="307"/>
    </row>
    <row r="146" spans="3:17" ht="6" customHeight="1" x14ac:dyDescent="0.25">
      <c r="C146" s="75"/>
      <c r="D146" s="75"/>
      <c r="E146" s="75"/>
      <c r="F146" s="75"/>
      <c r="G146" s="75"/>
      <c r="H146" s="75"/>
      <c r="I146" s="75"/>
      <c r="J146" s="75"/>
      <c r="K146" s="75"/>
      <c r="L146" s="75"/>
      <c r="M146" s="75"/>
      <c r="N146" s="75"/>
      <c r="O146" s="75"/>
    </row>
    <row r="147" spans="3:17" ht="45" hidden="1" customHeight="1" x14ac:dyDescent="0.25">
      <c r="C147" s="75"/>
      <c r="D147" s="75"/>
      <c r="E147" s="75"/>
      <c r="F147" s="75"/>
      <c r="G147" s="75"/>
      <c r="H147" s="75"/>
      <c r="I147" s="75"/>
      <c r="J147" s="75"/>
      <c r="K147" s="75"/>
      <c r="L147" s="75"/>
      <c r="M147" s="75"/>
      <c r="N147" s="75"/>
      <c r="O147" s="75"/>
    </row>
    <row r="148" spans="3:17" x14ac:dyDescent="0.25">
      <c r="C148" s="299" t="s">
        <v>245</v>
      </c>
      <c r="D148" s="299"/>
      <c r="E148" s="299"/>
      <c r="F148" s="299"/>
      <c r="G148" s="299"/>
      <c r="H148" s="299"/>
      <c r="I148" s="299"/>
      <c r="J148" s="299"/>
      <c r="K148" s="299"/>
      <c r="L148" s="299"/>
      <c r="M148" s="299"/>
      <c r="N148" s="299"/>
      <c r="O148" s="299"/>
    </row>
    <row r="149" spans="3:17" x14ac:dyDescent="0.25">
      <c r="C149" s="299"/>
      <c r="D149" s="299"/>
      <c r="E149" s="299"/>
      <c r="F149" s="299"/>
      <c r="G149" s="299"/>
      <c r="H149" s="299"/>
      <c r="I149" s="299"/>
      <c r="J149" s="299"/>
      <c r="K149" s="299"/>
      <c r="L149" s="299"/>
      <c r="M149" s="299"/>
      <c r="N149" s="299"/>
      <c r="O149" s="299"/>
    </row>
    <row r="150" spans="3:17" x14ac:dyDescent="0.25">
      <c r="C150" s="299"/>
      <c r="D150" s="299"/>
      <c r="E150" s="299"/>
      <c r="F150" s="299"/>
      <c r="G150" s="299"/>
      <c r="H150" s="299"/>
      <c r="I150" s="299"/>
      <c r="J150" s="299"/>
      <c r="K150" s="299"/>
      <c r="L150" s="299"/>
      <c r="M150" s="299"/>
      <c r="N150" s="299"/>
      <c r="O150" s="299"/>
      <c r="Q150" s="82">
        <f>M1-L133</f>
        <v>316178.57375999913</v>
      </c>
    </row>
    <row r="151" spans="3:17" ht="22.5" customHeight="1" x14ac:dyDescent="0.25">
      <c r="C151" s="299"/>
      <c r="D151" s="299"/>
      <c r="E151" s="299"/>
      <c r="F151" s="299"/>
      <c r="G151" s="299"/>
      <c r="H151" s="299"/>
      <c r="I151" s="299"/>
      <c r="J151" s="299"/>
      <c r="K151" s="299"/>
      <c r="L151" s="299"/>
      <c r="M151" s="299"/>
      <c r="N151" s="299"/>
      <c r="O151" s="299"/>
    </row>
    <row r="152" spans="3:17" ht="5.25" customHeight="1" x14ac:dyDescent="0.25">
      <c r="C152" s="299"/>
      <c r="D152" s="299"/>
      <c r="E152" s="299"/>
      <c r="F152" s="299"/>
      <c r="G152" s="299"/>
      <c r="H152" s="299"/>
      <c r="I152" s="299"/>
      <c r="J152" s="299"/>
      <c r="K152" s="299"/>
      <c r="L152" s="299"/>
      <c r="M152" s="299"/>
      <c r="N152" s="299"/>
      <c r="O152" s="299"/>
    </row>
    <row r="153" spans="3:17" ht="15" hidden="1" customHeight="1" x14ac:dyDescent="0.25">
      <c r="C153" s="299"/>
      <c r="D153" s="299"/>
      <c r="E153" s="299"/>
      <c r="F153" s="299"/>
      <c r="G153" s="299"/>
      <c r="H153" s="299"/>
      <c r="I153" s="299"/>
      <c r="J153" s="299"/>
      <c r="K153" s="299"/>
      <c r="L153" s="299"/>
      <c r="M153" s="299"/>
      <c r="N153" s="299"/>
      <c r="O153" s="299"/>
    </row>
    <row r="154" spans="3:17" ht="15" hidden="1" customHeight="1" x14ac:dyDescent="0.25">
      <c r="C154" s="299"/>
      <c r="D154" s="299"/>
      <c r="E154" s="299"/>
      <c r="F154" s="299"/>
      <c r="G154" s="299"/>
      <c r="H154" s="299"/>
      <c r="I154" s="299"/>
      <c r="J154" s="299"/>
      <c r="K154" s="299"/>
      <c r="L154" s="299"/>
      <c r="M154" s="299"/>
      <c r="N154" s="299"/>
      <c r="O154" s="299"/>
    </row>
  </sheetData>
  <mergeCells count="23">
    <mergeCell ref="R14:S15"/>
    <mergeCell ref="G11:G13"/>
    <mergeCell ref="C148:O154"/>
    <mergeCell ref="C135:O136"/>
    <mergeCell ref="M1:N1"/>
    <mergeCell ref="H11:H13"/>
    <mergeCell ref="I11:I13"/>
    <mergeCell ref="J11:J13"/>
    <mergeCell ref="L11:L13"/>
    <mergeCell ref="M11:M13"/>
    <mergeCell ref="C138:O145"/>
    <mergeCell ref="N11:N12"/>
    <mergeCell ref="O11:O12"/>
    <mergeCell ref="C5:O8"/>
    <mergeCell ref="C9:O10"/>
    <mergeCell ref="A1:E4"/>
    <mergeCell ref="K11:K13"/>
    <mergeCell ref="A11:A13"/>
    <mergeCell ref="B11:B13"/>
    <mergeCell ref="C11:C13"/>
    <mergeCell ref="D11:D13"/>
    <mergeCell ref="F11:F13"/>
    <mergeCell ref="E11:E13"/>
  </mergeCells>
  <phoneticPr fontId="17" type="noConversion"/>
  <pageMargins left="0.23622047244094491" right="0.23622047244094491" top="0.74803149606299213" bottom="0.74803149606299213" header="0.31496062992125984" footer="0.31496062992125984"/>
  <pageSetup paperSize="3" scale="95"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B47CA-548A-40FB-AC1D-01E96423736C}">
  <dimension ref="A1:DJ82"/>
  <sheetViews>
    <sheetView topLeftCell="A25" zoomScale="80" zoomScaleNormal="80" workbookViewId="0">
      <selection activeCell="A3" sqref="A3:O3"/>
    </sheetView>
  </sheetViews>
  <sheetFormatPr baseColWidth="10" defaultRowHeight="15" x14ac:dyDescent="0.25"/>
  <cols>
    <col min="1" max="1" width="7.140625" customWidth="1"/>
    <col min="2" max="2" width="8.42578125" bestFit="1" customWidth="1"/>
    <col min="3" max="3" width="47.28515625" bestFit="1" customWidth="1"/>
    <col min="4" max="4" width="10.28515625" customWidth="1"/>
    <col min="5" max="5" width="14.140625" customWidth="1"/>
    <col min="6" max="6" width="13.28515625" customWidth="1"/>
    <col min="7" max="7" width="21.42578125" hidden="1" customWidth="1"/>
    <col min="8" max="9" width="17.28515625" customWidth="1"/>
    <col min="10" max="10" width="15" customWidth="1"/>
    <col min="11" max="11" width="0.140625" customWidth="1"/>
    <col min="12" max="12" width="16.28515625" customWidth="1"/>
    <col min="13" max="13" width="16.5703125" customWidth="1"/>
    <col min="14" max="14" width="15.140625" customWidth="1"/>
    <col min="15" max="15" width="19.5703125" customWidth="1"/>
    <col min="16" max="16" width="7.7109375" customWidth="1"/>
    <col min="17" max="17" width="43.28515625" bestFit="1" customWidth="1"/>
    <col min="18" max="18" width="17.85546875" bestFit="1" customWidth="1"/>
    <col min="19" max="19" width="14.5703125" bestFit="1" customWidth="1"/>
  </cols>
  <sheetData>
    <row r="1" spans="1:27" ht="27.75" customHeight="1" x14ac:dyDescent="0.25">
      <c r="A1" s="329" t="s">
        <v>307</v>
      </c>
      <c r="B1" s="329"/>
      <c r="C1" s="329"/>
      <c r="D1" s="329"/>
      <c r="E1" s="329"/>
      <c r="F1" s="329"/>
      <c r="G1" s="329"/>
      <c r="H1" s="329"/>
      <c r="I1" s="329"/>
      <c r="J1" s="329"/>
      <c r="K1" s="329"/>
      <c r="L1" s="329"/>
      <c r="M1" s="329"/>
      <c r="N1" s="329"/>
      <c r="O1" s="330"/>
      <c r="R1" s="42"/>
    </row>
    <row r="2" spans="1:27" ht="36.6" customHeight="1" thickBot="1" x14ac:dyDescent="0.3">
      <c r="A2" s="331"/>
      <c r="B2" s="331"/>
      <c r="C2" s="331"/>
      <c r="D2" s="331"/>
      <c r="E2" s="331"/>
      <c r="F2" s="331"/>
      <c r="G2" s="331"/>
      <c r="H2" s="331"/>
      <c r="I2" s="331"/>
      <c r="J2" s="331"/>
      <c r="K2" s="331"/>
      <c r="L2" s="331"/>
      <c r="M2" s="331"/>
      <c r="N2" s="331"/>
      <c r="O2" s="332"/>
      <c r="R2" s="42"/>
    </row>
    <row r="3" spans="1:27" s="230" customFormat="1" ht="79.5" customHeight="1" thickBot="1" x14ac:dyDescent="0.3">
      <c r="A3" s="365" t="s">
        <v>412</v>
      </c>
      <c r="B3" s="366"/>
      <c r="C3" s="366"/>
      <c r="D3" s="366"/>
      <c r="E3" s="366"/>
      <c r="F3" s="366"/>
      <c r="G3" s="366"/>
      <c r="H3" s="366"/>
      <c r="I3" s="366"/>
      <c r="J3" s="366"/>
      <c r="K3" s="366"/>
      <c r="L3" s="366"/>
      <c r="M3" s="366"/>
      <c r="N3" s="366"/>
      <c r="O3" s="367"/>
      <c r="P3" s="231"/>
      <c r="Q3" s="231"/>
      <c r="R3" s="231"/>
      <c r="S3" s="231"/>
      <c r="T3" s="231"/>
      <c r="U3" s="231"/>
      <c r="V3" s="231"/>
      <c r="W3" s="231"/>
      <c r="X3" s="231"/>
      <c r="Y3" s="231"/>
      <c r="Z3" s="231"/>
      <c r="AA3" s="231"/>
    </row>
    <row r="4" spans="1:27" ht="15" customHeight="1" x14ac:dyDescent="0.25">
      <c r="A4" s="292" t="s">
        <v>308</v>
      </c>
      <c r="B4" s="292" t="s">
        <v>309</v>
      </c>
      <c r="C4" s="292" t="s">
        <v>11</v>
      </c>
      <c r="D4" s="292" t="s">
        <v>25</v>
      </c>
      <c r="E4" s="289" t="s">
        <v>333</v>
      </c>
      <c r="F4" s="289" t="s">
        <v>334</v>
      </c>
      <c r="G4" s="289" t="s">
        <v>264</v>
      </c>
      <c r="H4" s="289" t="s">
        <v>339</v>
      </c>
      <c r="I4" s="289" t="s">
        <v>349</v>
      </c>
      <c r="J4" s="333" t="s">
        <v>335</v>
      </c>
      <c r="K4" s="124"/>
      <c r="L4" s="355" t="s">
        <v>346</v>
      </c>
      <c r="M4" s="289" t="s">
        <v>347</v>
      </c>
      <c r="N4" s="289" t="s">
        <v>336</v>
      </c>
      <c r="O4" s="289" t="s">
        <v>16</v>
      </c>
      <c r="R4" s="42"/>
    </row>
    <row r="5" spans="1:27" ht="28.5" customHeight="1" x14ac:dyDescent="0.25">
      <c r="A5" s="293"/>
      <c r="B5" s="293"/>
      <c r="C5" s="293"/>
      <c r="D5" s="293"/>
      <c r="E5" s="290"/>
      <c r="F5" s="290"/>
      <c r="G5" s="290"/>
      <c r="H5" s="290"/>
      <c r="I5" s="290"/>
      <c r="J5" s="334"/>
      <c r="K5" s="124"/>
      <c r="L5" s="356"/>
      <c r="M5" s="290"/>
      <c r="N5" s="290"/>
      <c r="O5" s="290"/>
      <c r="R5" s="42"/>
    </row>
    <row r="6" spans="1:27" ht="19.5" customHeight="1" thickBot="1" x14ac:dyDescent="0.3">
      <c r="A6" s="337"/>
      <c r="B6" s="337"/>
      <c r="C6" s="337"/>
      <c r="D6" s="337"/>
      <c r="E6" s="336"/>
      <c r="F6" s="336"/>
      <c r="G6" s="336"/>
      <c r="H6" s="336"/>
      <c r="I6" s="336"/>
      <c r="J6" s="335"/>
      <c r="K6" s="197"/>
      <c r="L6" s="357"/>
      <c r="M6" s="336"/>
      <c r="N6" s="336"/>
      <c r="O6" s="336"/>
      <c r="R6" s="42"/>
    </row>
    <row r="7" spans="1:27" x14ac:dyDescent="0.25">
      <c r="A7" s="198" t="s">
        <v>110</v>
      </c>
      <c r="B7" s="199"/>
      <c r="C7" s="200" t="s">
        <v>171</v>
      </c>
      <c r="D7" s="129">
        <v>1.0800000000000001E-2</v>
      </c>
      <c r="E7" s="178">
        <v>282914.37972000003</v>
      </c>
      <c r="F7" s="210">
        <v>45856</v>
      </c>
      <c r="G7" s="213">
        <v>-197064.48265741928</v>
      </c>
      <c r="H7" s="224">
        <f>J7/2</f>
        <v>98532.35</v>
      </c>
      <c r="I7" s="227">
        <f>H7</f>
        <v>98532.35</v>
      </c>
      <c r="J7" s="214">
        <f>ROUND((-G7),0)+P7</f>
        <v>197064.7</v>
      </c>
      <c r="K7" s="213">
        <v>-85849.897062580741</v>
      </c>
      <c r="L7" s="350">
        <f>H7</f>
        <v>98532.35</v>
      </c>
      <c r="M7" s="178">
        <v>98532.35</v>
      </c>
      <c r="N7" s="213">
        <f>-K7</f>
        <v>85849.897062580741</v>
      </c>
      <c r="O7" s="179">
        <f>ROUND((J7+N7),0) + P7</f>
        <v>282915.7</v>
      </c>
      <c r="P7" s="109">
        <v>0.7</v>
      </c>
      <c r="R7" s="298"/>
      <c r="S7" s="298"/>
    </row>
    <row r="8" spans="1:27" x14ac:dyDescent="0.25">
      <c r="A8" s="198" t="s">
        <v>315</v>
      </c>
      <c r="B8" s="199"/>
      <c r="C8" s="34" t="s">
        <v>316</v>
      </c>
      <c r="D8" s="136">
        <v>1.2800000000000001E-2</v>
      </c>
      <c r="E8" s="138">
        <v>335305.93151999998</v>
      </c>
      <c r="F8" s="210">
        <v>46001</v>
      </c>
      <c r="G8" s="139">
        <v>-34751.379392876712</v>
      </c>
      <c r="H8" s="224">
        <f t="shared" ref="H8:H11" si="0">J8/2</f>
        <v>17375.855</v>
      </c>
      <c r="I8" s="227">
        <f t="shared" ref="I8:I11" si="1">H8</f>
        <v>17375.855</v>
      </c>
      <c r="J8" s="214">
        <f t="shared" ref="J8:J71" si="2">ROUND((-G8),0)+P8</f>
        <v>34751.71</v>
      </c>
      <c r="K8" s="139">
        <v>-300554.55212712329</v>
      </c>
      <c r="L8" s="350"/>
      <c r="M8" s="178">
        <f t="shared" ref="M8:M69" si="3">IF(L8=H8,I8,J8)</f>
        <v>34751.71</v>
      </c>
      <c r="N8" s="213">
        <f t="shared" ref="N8:N11" si="4">-K8</f>
        <v>300554.55212712329</v>
      </c>
      <c r="O8" s="179">
        <f t="shared" ref="O8:O11" si="5">ROUND((J8+N8),0) + P8</f>
        <v>335306.71000000002</v>
      </c>
      <c r="P8" s="109">
        <f>P7+0.01</f>
        <v>0.71</v>
      </c>
      <c r="R8" s="298"/>
      <c r="S8" s="298"/>
    </row>
    <row r="9" spans="1:27" x14ac:dyDescent="0.25">
      <c r="A9" s="198" t="s">
        <v>111</v>
      </c>
      <c r="B9" s="199"/>
      <c r="C9" s="201" t="s">
        <v>340</v>
      </c>
      <c r="D9" s="136">
        <v>1.21E-2</v>
      </c>
      <c r="E9" s="138">
        <v>316968.88838999998</v>
      </c>
      <c r="F9" s="210">
        <v>45856</v>
      </c>
      <c r="G9" s="139">
        <v>-220785.20742173825</v>
      </c>
      <c r="H9" s="224">
        <f t="shared" si="0"/>
        <v>110392.86</v>
      </c>
      <c r="I9" s="227">
        <f t="shared" si="1"/>
        <v>110392.86</v>
      </c>
      <c r="J9" s="214">
        <f t="shared" si="2"/>
        <v>220785.72</v>
      </c>
      <c r="K9" s="139">
        <v>-96183.680968261731</v>
      </c>
      <c r="L9" s="350"/>
      <c r="M9" s="178">
        <f t="shared" si="3"/>
        <v>220785.72</v>
      </c>
      <c r="N9" s="213">
        <f t="shared" si="4"/>
        <v>96183.680968261731</v>
      </c>
      <c r="O9" s="179">
        <f t="shared" si="5"/>
        <v>316969.71999999997</v>
      </c>
      <c r="P9" s="109">
        <f t="shared" ref="P9:P11" si="6">P8+0.01</f>
        <v>0.72</v>
      </c>
      <c r="S9" s="42"/>
    </row>
    <row r="10" spans="1:27" x14ac:dyDescent="0.25">
      <c r="A10" s="198" t="s">
        <v>112</v>
      </c>
      <c r="B10" s="199"/>
      <c r="C10" s="200" t="s">
        <v>172</v>
      </c>
      <c r="D10" s="136">
        <v>1.49E-2</v>
      </c>
      <c r="E10" s="138">
        <v>390317.06091</v>
      </c>
      <c r="F10" s="210">
        <v>45856</v>
      </c>
      <c r="G10" s="139">
        <v>-271875.99922180991</v>
      </c>
      <c r="H10" s="224">
        <f t="shared" si="0"/>
        <v>135938.36499999999</v>
      </c>
      <c r="I10" s="227">
        <f t="shared" si="1"/>
        <v>135938.36499999999</v>
      </c>
      <c r="J10" s="214">
        <f t="shared" si="2"/>
        <v>271876.73</v>
      </c>
      <c r="K10" s="139">
        <v>-118441.06168819009</v>
      </c>
      <c r="L10" s="350"/>
      <c r="M10" s="178">
        <f t="shared" si="3"/>
        <v>271876.73</v>
      </c>
      <c r="N10" s="213">
        <f t="shared" si="4"/>
        <v>118441.06168819009</v>
      </c>
      <c r="O10" s="179">
        <f t="shared" si="5"/>
        <v>390318.73</v>
      </c>
      <c r="P10" s="109">
        <f t="shared" si="6"/>
        <v>0.73</v>
      </c>
      <c r="S10" s="42"/>
    </row>
    <row r="11" spans="1:27" ht="15.75" thickBot="1" x14ac:dyDescent="0.3">
      <c r="A11" s="202" t="s">
        <v>113</v>
      </c>
      <c r="B11" s="203"/>
      <c r="C11" s="204" t="s">
        <v>317</v>
      </c>
      <c r="D11" s="143">
        <v>1.7500000000000002E-2</v>
      </c>
      <c r="E11" s="146">
        <v>458426.07825000002</v>
      </c>
      <c r="F11" s="211">
        <v>45856</v>
      </c>
      <c r="G11" s="147">
        <v>-319317.44875044789</v>
      </c>
      <c r="H11" s="225">
        <f t="shared" si="0"/>
        <v>159658.87</v>
      </c>
      <c r="I11" s="228">
        <f t="shared" si="1"/>
        <v>159658.87</v>
      </c>
      <c r="J11" s="215">
        <f t="shared" si="2"/>
        <v>319317.74</v>
      </c>
      <c r="K11" s="147">
        <v>-139108.62949955213</v>
      </c>
      <c r="L11" s="349">
        <v>159659</v>
      </c>
      <c r="M11" s="178">
        <v>159658.87</v>
      </c>
      <c r="N11" s="147">
        <f t="shared" si="4"/>
        <v>139108.62949955213</v>
      </c>
      <c r="O11" s="148">
        <f t="shared" si="5"/>
        <v>458426.74</v>
      </c>
      <c r="P11" s="109">
        <f t="shared" si="6"/>
        <v>0.74</v>
      </c>
      <c r="S11" s="42"/>
    </row>
    <row r="12" spans="1:27" x14ac:dyDescent="0.25">
      <c r="A12" s="205" t="s">
        <v>41</v>
      </c>
      <c r="B12" s="206">
        <v>25</v>
      </c>
      <c r="C12" s="128" t="s">
        <v>173</v>
      </c>
      <c r="D12" s="129">
        <v>2.12E-2</v>
      </c>
      <c r="E12" s="178">
        <v>555350.44907999993</v>
      </c>
      <c r="F12" s="212">
        <v>45777</v>
      </c>
      <c r="G12" s="179">
        <v>-519626.96981144731</v>
      </c>
      <c r="H12" s="226">
        <f>ROUND((J12/2),0)+P12</f>
        <v>259814.01</v>
      </c>
      <c r="I12" s="229">
        <f>H12</f>
        <v>259814.01</v>
      </c>
      <c r="J12" s="214">
        <f>ROUND((-G12),0)+P12</f>
        <v>519627.01</v>
      </c>
      <c r="K12" s="179">
        <v>-35723.479268552619</v>
      </c>
      <c r="L12" s="350"/>
      <c r="M12" s="176">
        <v>0</v>
      </c>
      <c r="N12" s="179">
        <f>-K12</f>
        <v>35723.479268552619</v>
      </c>
      <c r="O12" s="179">
        <f>ROUND((J12+N12),0) + P12</f>
        <v>555350.01</v>
      </c>
      <c r="P12" s="126">
        <v>0.01</v>
      </c>
      <c r="S12" s="42"/>
    </row>
    <row r="13" spans="1:27" x14ac:dyDescent="0.25">
      <c r="A13" s="198" t="s">
        <v>42</v>
      </c>
      <c r="B13" s="199"/>
      <c r="C13" s="102" t="s">
        <v>174</v>
      </c>
      <c r="D13" s="129">
        <v>8.3999999999999995E-3</v>
      </c>
      <c r="E13" s="138">
        <v>220044.51755999998</v>
      </c>
      <c r="F13" s="210">
        <v>45775</v>
      </c>
      <c r="G13" s="140">
        <v>-206492.25424856588</v>
      </c>
      <c r="H13" s="226">
        <f t="shared" ref="H13:H76" si="7">ROUND((J13/2),0)+P13</f>
        <v>103246.02</v>
      </c>
      <c r="I13" s="229">
        <f t="shared" ref="I13:I76" si="8">H13</f>
        <v>103246.02</v>
      </c>
      <c r="J13" s="214">
        <f t="shared" si="2"/>
        <v>206492.02</v>
      </c>
      <c r="K13" s="140">
        <v>-13552.263311434101</v>
      </c>
      <c r="L13" s="350">
        <f>H13</f>
        <v>103246.02</v>
      </c>
      <c r="M13" s="176">
        <v>0</v>
      </c>
      <c r="N13" s="179">
        <f t="shared" ref="N13:N76" si="9">-K13</f>
        <v>13552.263311434101</v>
      </c>
      <c r="O13" s="179">
        <f t="shared" ref="O13:O76" si="10">ROUND((J13+N13),0) + P13</f>
        <v>220044.02</v>
      </c>
      <c r="P13" s="126">
        <f>P12+0.01</f>
        <v>0.02</v>
      </c>
      <c r="S13" s="42"/>
    </row>
    <row r="14" spans="1:27" x14ac:dyDescent="0.25">
      <c r="A14" s="198" t="s">
        <v>43</v>
      </c>
      <c r="B14" s="199">
        <v>22</v>
      </c>
      <c r="C14" s="102" t="s">
        <v>175</v>
      </c>
      <c r="D14" s="129">
        <v>2.2499999999999999E-2</v>
      </c>
      <c r="E14" s="138">
        <v>589404.95774999994</v>
      </c>
      <c r="F14" s="210">
        <v>45770</v>
      </c>
      <c r="G14" s="140">
        <v>-557137.66415134736</v>
      </c>
      <c r="H14" s="226">
        <f t="shared" si="7"/>
        <v>278569.03000000003</v>
      </c>
      <c r="I14" s="229">
        <f t="shared" si="8"/>
        <v>278569.03000000003</v>
      </c>
      <c r="J14" s="214">
        <f t="shared" si="2"/>
        <v>557138.03</v>
      </c>
      <c r="K14" s="140">
        <v>-32267.293598652584</v>
      </c>
      <c r="L14" s="350">
        <f>H14</f>
        <v>278569.03000000003</v>
      </c>
      <c r="M14" s="176">
        <v>0</v>
      </c>
      <c r="N14" s="179">
        <f t="shared" si="9"/>
        <v>32267.293598652584</v>
      </c>
      <c r="O14" s="179">
        <f t="shared" si="10"/>
        <v>589405.03</v>
      </c>
      <c r="P14" s="126">
        <f t="shared" ref="P14:P77" si="11">P13+0.01</f>
        <v>0.03</v>
      </c>
    </row>
    <row r="15" spans="1:27" x14ac:dyDescent="0.25">
      <c r="A15" s="198" t="s">
        <v>44</v>
      </c>
      <c r="B15" s="199" t="s">
        <v>310</v>
      </c>
      <c r="C15" s="102" t="s">
        <v>176</v>
      </c>
      <c r="D15" s="129">
        <v>1.4E-2</v>
      </c>
      <c r="E15" s="138">
        <v>366740.86259999999</v>
      </c>
      <c r="F15" s="210">
        <v>45805</v>
      </c>
      <c r="G15" s="140">
        <v>-327282.74303127197</v>
      </c>
      <c r="H15" s="226">
        <f t="shared" si="7"/>
        <v>163642.04</v>
      </c>
      <c r="I15" s="229">
        <f t="shared" si="8"/>
        <v>163642.04</v>
      </c>
      <c r="J15" s="214">
        <f t="shared" si="2"/>
        <v>327283.03999999998</v>
      </c>
      <c r="K15" s="140">
        <v>-39458.119568728027</v>
      </c>
      <c r="L15" s="350">
        <f>J15</f>
        <v>327283.03999999998</v>
      </c>
      <c r="M15" s="176">
        <v>0</v>
      </c>
      <c r="N15" s="179">
        <f t="shared" si="9"/>
        <v>39458.119568728027</v>
      </c>
      <c r="O15" s="179">
        <f t="shared" si="10"/>
        <v>366741.04</v>
      </c>
      <c r="P15" s="126">
        <f t="shared" si="11"/>
        <v>0.04</v>
      </c>
    </row>
    <row r="16" spans="1:27" x14ac:dyDescent="0.25">
      <c r="A16" s="198" t="s">
        <v>45</v>
      </c>
      <c r="B16" s="199"/>
      <c r="C16" s="102" t="s">
        <v>177</v>
      </c>
      <c r="D16" s="129">
        <v>8.6999999999999994E-3</v>
      </c>
      <c r="E16" s="138">
        <v>227903.25032999998</v>
      </c>
      <c r="F16" s="210">
        <v>45800</v>
      </c>
      <c r="G16" s="140">
        <v>-206069.04832824506</v>
      </c>
      <c r="H16" s="226">
        <f t="shared" si="7"/>
        <v>103035.05</v>
      </c>
      <c r="I16" s="229">
        <f t="shared" si="8"/>
        <v>103035.05</v>
      </c>
      <c r="J16" s="214">
        <f t="shared" si="2"/>
        <v>206069.05</v>
      </c>
      <c r="K16" s="140">
        <v>-21834.202001754922</v>
      </c>
      <c r="L16" s="350">
        <f>J16</f>
        <v>206069.05</v>
      </c>
      <c r="M16" s="176">
        <v>0</v>
      </c>
      <c r="N16" s="179">
        <f t="shared" si="9"/>
        <v>21834.202001754922</v>
      </c>
      <c r="O16" s="179">
        <f t="shared" si="10"/>
        <v>227903.05</v>
      </c>
      <c r="P16" s="126">
        <f t="shared" si="11"/>
        <v>0.05</v>
      </c>
    </row>
    <row r="17" spans="1:114" x14ac:dyDescent="0.25">
      <c r="A17" s="198" t="s">
        <v>46</v>
      </c>
      <c r="B17" s="199" t="s">
        <v>311</v>
      </c>
      <c r="C17" s="102" t="s">
        <v>178</v>
      </c>
      <c r="D17" s="129">
        <v>1.41E-2</v>
      </c>
      <c r="E17" s="138">
        <v>369360.44018999999</v>
      </c>
      <c r="F17" s="210">
        <v>45805</v>
      </c>
      <c r="G17" s="140">
        <v>-329620.47691006673</v>
      </c>
      <c r="H17" s="226">
        <f t="shared" si="7"/>
        <v>164810.06</v>
      </c>
      <c r="I17" s="229">
        <f t="shared" si="8"/>
        <v>164810.06</v>
      </c>
      <c r="J17" s="214">
        <f t="shared" si="2"/>
        <v>329620.06</v>
      </c>
      <c r="K17" s="140">
        <v>-39739.963279933261</v>
      </c>
      <c r="L17" s="350">
        <f>J17</f>
        <v>329620.06</v>
      </c>
      <c r="M17" s="176">
        <v>0</v>
      </c>
      <c r="N17" s="179">
        <f t="shared" si="9"/>
        <v>39739.963279933261</v>
      </c>
      <c r="O17" s="179">
        <f t="shared" si="10"/>
        <v>369360.06</v>
      </c>
      <c r="P17" s="126">
        <f t="shared" si="11"/>
        <v>6.0000000000000005E-2</v>
      </c>
    </row>
    <row r="18" spans="1:114" x14ac:dyDescent="0.25">
      <c r="A18" s="198" t="s">
        <v>47</v>
      </c>
      <c r="B18" s="199" t="s">
        <v>312</v>
      </c>
      <c r="C18" s="102" t="s">
        <v>318</v>
      </c>
      <c r="D18" s="129">
        <v>2.1100000000000001E-2</v>
      </c>
      <c r="E18" s="138">
        <v>552730.87148999993</v>
      </c>
      <c r="F18" s="210">
        <v>45805</v>
      </c>
      <c r="G18" s="140">
        <v>-493261.84842570277</v>
      </c>
      <c r="H18" s="226">
        <f t="shared" si="7"/>
        <v>246631.07</v>
      </c>
      <c r="I18" s="229">
        <f t="shared" si="8"/>
        <v>246631.07</v>
      </c>
      <c r="J18" s="214">
        <f t="shared" si="2"/>
        <v>493262.07</v>
      </c>
      <c r="K18" s="140">
        <v>-59469.023064297158</v>
      </c>
      <c r="L18" s="350">
        <f>J18</f>
        <v>493262.07</v>
      </c>
      <c r="M18" s="176">
        <v>0</v>
      </c>
      <c r="N18" s="179">
        <f t="shared" si="9"/>
        <v>59469.023064297158</v>
      </c>
      <c r="O18" s="179">
        <f t="shared" si="10"/>
        <v>552731.06999999995</v>
      </c>
      <c r="P18" s="126">
        <f t="shared" si="11"/>
        <v>7.0000000000000007E-2</v>
      </c>
    </row>
    <row r="19" spans="1:114" x14ac:dyDescent="0.25">
      <c r="A19" s="198" t="s">
        <v>48</v>
      </c>
      <c r="B19" s="199"/>
      <c r="C19" s="102" t="s">
        <v>319</v>
      </c>
      <c r="D19" s="129">
        <v>7.4000000000000003E-3</v>
      </c>
      <c r="E19" s="138">
        <v>193848.74166</v>
      </c>
      <c r="F19" s="210">
        <v>45839</v>
      </c>
      <c r="G19" s="140">
        <v>-147681.21170563609</v>
      </c>
      <c r="H19" s="226">
        <f t="shared" si="7"/>
        <v>73841.08</v>
      </c>
      <c r="I19" s="229">
        <f t="shared" si="8"/>
        <v>73841.08</v>
      </c>
      <c r="J19" s="214">
        <f t="shared" si="2"/>
        <v>147681.07999999999</v>
      </c>
      <c r="K19" s="140">
        <v>-46167.529954363912</v>
      </c>
      <c r="L19" s="350">
        <f>H19</f>
        <v>73841.08</v>
      </c>
      <c r="M19" s="176">
        <v>0</v>
      </c>
      <c r="N19" s="179">
        <f t="shared" si="9"/>
        <v>46167.529954363912</v>
      </c>
      <c r="O19" s="179">
        <f t="shared" si="10"/>
        <v>193849.08</v>
      </c>
      <c r="P19" s="126">
        <f t="shared" si="11"/>
        <v>0.08</v>
      </c>
    </row>
    <row r="20" spans="1:114" x14ac:dyDescent="0.25">
      <c r="A20" s="198" t="s">
        <v>49</v>
      </c>
      <c r="B20" s="199"/>
      <c r="C20" s="102" t="s">
        <v>178</v>
      </c>
      <c r="D20" s="129">
        <v>1.7899999999999999E-2</v>
      </c>
      <c r="E20" s="138">
        <v>468904.38860999997</v>
      </c>
      <c r="F20" s="210">
        <v>45805</v>
      </c>
      <c r="G20" s="140">
        <v>-418454.36430426914</v>
      </c>
      <c r="H20" s="226">
        <f t="shared" si="7"/>
        <v>209227.09</v>
      </c>
      <c r="I20" s="229">
        <f t="shared" si="8"/>
        <v>209227.09</v>
      </c>
      <c r="J20" s="214">
        <f t="shared" si="2"/>
        <v>418454.09</v>
      </c>
      <c r="K20" s="140">
        <v>-50450.024305730825</v>
      </c>
      <c r="L20" s="350">
        <f>J20</f>
        <v>418454.09</v>
      </c>
      <c r="M20" s="176">
        <v>0</v>
      </c>
      <c r="N20" s="179">
        <f t="shared" si="9"/>
        <v>50450.024305730825</v>
      </c>
      <c r="O20" s="179">
        <f t="shared" si="10"/>
        <v>468904.09</v>
      </c>
      <c r="P20" s="126">
        <f t="shared" si="11"/>
        <v>0.09</v>
      </c>
    </row>
    <row r="21" spans="1:114" x14ac:dyDescent="0.25">
      <c r="A21" s="198" t="s">
        <v>50</v>
      </c>
      <c r="B21" s="199"/>
      <c r="C21" s="102" t="s">
        <v>179</v>
      </c>
      <c r="D21" s="129">
        <v>9.4000000000000004E-3</v>
      </c>
      <c r="E21" s="138">
        <v>246240.29345999999</v>
      </c>
      <c r="F21" s="210">
        <v>45839</v>
      </c>
      <c r="G21" s="140">
        <v>-187595.05270715937</v>
      </c>
      <c r="H21" s="226">
        <f t="shared" si="7"/>
        <v>93798.1</v>
      </c>
      <c r="I21" s="229">
        <f t="shared" si="8"/>
        <v>93798.1</v>
      </c>
      <c r="J21" s="214">
        <f t="shared" si="2"/>
        <v>187595.1</v>
      </c>
      <c r="K21" s="140">
        <v>-58645.240752840618</v>
      </c>
      <c r="L21" s="350">
        <f>J21</f>
        <v>187595.1</v>
      </c>
      <c r="M21" s="176">
        <v>0</v>
      </c>
      <c r="N21" s="179">
        <f t="shared" si="9"/>
        <v>58645.240752840618</v>
      </c>
      <c r="O21" s="179">
        <f t="shared" si="10"/>
        <v>246240.1</v>
      </c>
      <c r="P21" s="126">
        <f t="shared" si="11"/>
        <v>9.9999999999999992E-2</v>
      </c>
    </row>
    <row r="22" spans="1:114" x14ac:dyDescent="0.25">
      <c r="A22" s="198" t="s">
        <v>51</v>
      </c>
      <c r="B22" s="199"/>
      <c r="C22" s="102" t="s">
        <v>320</v>
      </c>
      <c r="D22" s="129">
        <v>8.6999999999999994E-3</v>
      </c>
      <c r="E22" s="138">
        <v>227903.25032999998</v>
      </c>
      <c r="F22" s="210">
        <v>45839</v>
      </c>
      <c r="G22" s="140">
        <v>-173625.20835662619</v>
      </c>
      <c r="H22" s="226">
        <f t="shared" si="7"/>
        <v>86813.11</v>
      </c>
      <c r="I22" s="229">
        <f t="shared" si="8"/>
        <v>86813.11</v>
      </c>
      <c r="J22" s="214">
        <f t="shared" si="2"/>
        <v>173625.11</v>
      </c>
      <c r="K22" s="140">
        <v>-54278.041973373794</v>
      </c>
      <c r="L22" s="350">
        <f>J22</f>
        <v>173625.11</v>
      </c>
      <c r="M22" s="176">
        <v>0</v>
      </c>
      <c r="N22" s="179">
        <f t="shared" si="9"/>
        <v>54278.041973373794</v>
      </c>
      <c r="O22" s="179">
        <f t="shared" si="10"/>
        <v>227903.11</v>
      </c>
      <c r="P22" s="126">
        <f t="shared" si="11"/>
        <v>0.10999999999999999</v>
      </c>
    </row>
    <row r="23" spans="1:114" x14ac:dyDescent="0.25">
      <c r="A23" s="198" t="s">
        <v>52</v>
      </c>
      <c r="B23" s="199"/>
      <c r="C23" s="102" t="s">
        <v>179</v>
      </c>
      <c r="D23" s="129">
        <v>9.4999999999999998E-3</v>
      </c>
      <c r="E23" s="138">
        <v>248859.87104999999</v>
      </c>
      <c r="F23" s="210">
        <v>45839</v>
      </c>
      <c r="G23" s="140">
        <v>-189590.74475723552</v>
      </c>
      <c r="H23" s="226">
        <f t="shared" si="7"/>
        <v>94796.12</v>
      </c>
      <c r="I23" s="229">
        <f t="shared" si="8"/>
        <v>94796.12</v>
      </c>
      <c r="J23" s="214">
        <f t="shared" si="2"/>
        <v>189591.12</v>
      </c>
      <c r="K23" s="140">
        <v>-59269.126292764471</v>
      </c>
      <c r="L23" s="350"/>
      <c r="M23" s="176">
        <f t="shared" si="3"/>
        <v>189591.12</v>
      </c>
      <c r="N23" s="179">
        <f t="shared" si="9"/>
        <v>59269.126292764471</v>
      </c>
      <c r="O23" s="179">
        <f t="shared" si="10"/>
        <v>248860.12</v>
      </c>
      <c r="P23" s="126">
        <f t="shared" si="11"/>
        <v>0.11999999999999998</v>
      </c>
    </row>
    <row r="24" spans="1:114" x14ac:dyDescent="0.25">
      <c r="A24" s="198" t="s">
        <v>53</v>
      </c>
      <c r="B24" s="199"/>
      <c r="C24" s="102" t="s">
        <v>180</v>
      </c>
      <c r="D24" s="129">
        <v>1.6400000000000001E-2</v>
      </c>
      <c r="E24" s="138">
        <v>429610.72476000001</v>
      </c>
      <c r="F24" s="210">
        <v>45775</v>
      </c>
      <c r="G24" s="140">
        <v>-403151.54400910489</v>
      </c>
      <c r="H24" s="226">
        <f t="shared" si="7"/>
        <v>201576.13</v>
      </c>
      <c r="I24" s="229">
        <f t="shared" si="8"/>
        <v>201576.13</v>
      </c>
      <c r="J24" s="214">
        <f t="shared" si="2"/>
        <v>403152.13</v>
      </c>
      <c r="K24" s="140">
        <v>-26459.180750895117</v>
      </c>
      <c r="L24" s="350">
        <f>J24</f>
        <v>403152.13</v>
      </c>
      <c r="M24" s="176">
        <v>0</v>
      </c>
      <c r="N24" s="179">
        <f t="shared" si="9"/>
        <v>26459.180750895117</v>
      </c>
      <c r="O24" s="179">
        <f t="shared" si="10"/>
        <v>429611.13</v>
      </c>
      <c r="P24" s="126">
        <f t="shared" si="11"/>
        <v>0.12999999999999998</v>
      </c>
    </row>
    <row r="25" spans="1:114" x14ac:dyDescent="0.25">
      <c r="A25" s="198" t="s">
        <v>54</v>
      </c>
      <c r="B25" s="199"/>
      <c r="C25" s="102" t="s">
        <v>321</v>
      </c>
      <c r="D25" s="129">
        <v>7.3000000000000001E-3</v>
      </c>
      <c r="E25" s="138">
        <v>191229.16407</v>
      </c>
      <c r="F25" s="210">
        <v>45800</v>
      </c>
      <c r="G25" s="140">
        <v>-172908.51181565388</v>
      </c>
      <c r="H25" s="226">
        <f t="shared" si="7"/>
        <v>86455.14</v>
      </c>
      <c r="I25" s="229">
        <f t="shared" si="8"/>
        <v>86455.14</v>
      </c>
      <c r="J25" s="214">
        <f t="shared" si="2"/>
        <v>172909.14</v>
      </c>
      <c r="K25" s="140">
        <v>-18320.652254346118</v>
      </c>
      <c r="L25" s="350">
        <f>H25</f>
        <v>86455.14</v>
      </c>
      <c r="M25" s="176">
        <f t="shared" si="3"/>
        <v>86455.14</v>
      </c>
      <c r="N25" s="179">
        <f t="shared" si="9"/>
        <v>18320.652254346118</v>
      </c>
      <c r="O25" s="179">
        <f t="shared" si="10"/>
        <v>191230.14</v>
      </c>
      <c r="P25" s="126">
        <f t="shared" si="11"/>
        <v>0.13999999999999999</v>
      </c>
    </row>
    <row r="26" spans="1:114" x14ac:dyDescent="0.25">
      <c r="A26" s="198" t="s">
        <v>55</v>
      </c>
      <c r="B26" s="207" t="s">
        <v>313</v>
      </c>
      <c r="C26" s="102" t="s">
        <v>181</v>
      </c>
      <c r="D26" s="129">
        <v>2.1999999999999999E-2</v>
      </c>
      <c r="E26" s="138">
        <v>576307.06979999994</v>
      </c>
      <c r="F26" s="210">
        <v>45775</v>
      </c>
      <c r="G26" s="140">
        <v>-540813.04684148217</v>
      </c>
      <c r="H26" s="226">
        <f t="shared" si="7"/>
        <v>270407.15000000002</v>
      </c>
      <c r="I26" s="229">
        <f t="shared" si="8"/>
        <v>270407.15000000002</v>
      </c>
      <c r="J26" s="214">
        <f t="shared" si="2"/>
        <v>540813.15</v>
      </c>
      <c r="K26" s="140">
        <v>-35494.022958517773</v>
      </c>
      <c r="L26" s="350">
        <f>H26</f>
        <v>270407.15000000002</v>
      </c>
      <c r="M26" s="176">
        <v>0</v>
      </c>
      <c r="N26" s="179">
        <f t="shared" si="9"/>
        <v>35494.022958517773</v>
      </c>
      <c r="O26" s="179">
        <f t="shared" si="10"/>
        <v>576307.15</v>
      </c>
      <c r="P26" s="126">
        <f t="shared" si="11"/>
        <v>0.15</v>
      </c>
    </row>
    <row r="27" spans="1:114" x14ac:dyDescent="0.25">
      <c r="A27" s="198" t="s">
        <v>56</v>
      </c>
      <c r="B27" s="199"/>
      <c r="C27" s="102" t="s">
        <v>179</v>
      </c>
      <c r="D27" s="129">
        <v>9.4000000000000004E-3</v>
      </c>
      <c r="E27" s="138">
        <v>246240.29345999999</v>
      </c>
      <c r="F27" s="210">
        <v>45839</v>
      </c>
      <c r="G27" s="140">
        <v>-187595.05270715937</v>
      </c>
      <c r="H27" s="226">
        <f t="shared" si="7"/>
        <v>93798.16</v>
      </c>
      <c r="I27" s="229">
        <f t="shared" si="8"/>
        <v>93798.16</v>
      </c>
      <c r="J27" s="214">
        <f t="shared" si="2"/>
        <v>187595.16</v>
      </c>
      <c r="K27" s="140">
        <v>-58645.240752840618</v>
      </c>
      <c r="L27" s="350"/>
      <c r="M27" s="176">
        <f t="shared" si="3"/>
        <v>187595.16</v>
      </c>
      <c r="N27" s="179">
        <f t="shared" si="9"/>
        <v>58645.240752840618</v>
      </c>
      <c r="O27" s="179">
        <f t="shared" si="10"/>
        <v>246240.16</v>
      </c>
      <c r="P27" s="126">
        <f t="shared" si="11"/>
        <v>0.16</v>
      </c>
      <c r="Q27" t="s">
        <v>298</v>
      </c>
    </row>
    <row r="28" spans="1:114" x14ac:dyDescent="0.25">
      <c r="A28" s="198" t="s">
        <v>57</v>
      </c>
      <c r="B28" s="199"/>
      <c r="C28" s="102" t="s">
        <v>322</v>
      </c>
      <c r="D28" s="129">
        <v>8.6999999999999994E-3</v>
      </c>
      <c r="E28" s="138">
        <v>227903.25032999998</v>
      </c>
      <c r="F28" s="210">
        <v>45839</v>
      </c>
      <c r="G28" s="140">
        <v>-173625.20835662619</v>
      </c>
      <c r="H28" s="226">
        <f t="shared" si="7"/>
        <v>86813.17</v>
      </c>
      <c r="I28" s="229">
        <f t="shared" si="8"/>
        <v>86813.17</v>
      </c>
      <c r="J28" s="214">
        <f t="shared" si="2"/>
        <v>173625.17</v>
      </c>
      <c r="K28" s="140">
        <v>-54278.041973373794</v>
      </c>
      <c r="L28" s="350">
        <f>H28</f>
        <v>86813.17</v>
      </c>
      <c r="M28" s="176">
        <v>0</v>
      </c>
      <c r="N28" s="179">
        <f t="shared" si="9"/>
        <v>54278.041973373794</v>
      </c>
      <c r="O28" s="179">
        <f t="shared" si="10"/>
        <v>227903.17</v>
      </c>
      <c r="P28" s="126">
        <f t="shared" si="11"/>
        <v>0.17</v>
      </c>
    </row>
    <row r="29" spans="1:114" x14ac:dyDescent="0.25">
      <c r="A29" s="198" t="s">
        <v>58</v>
      </c>
      <c r="B29" s="199"/>
      <c r="C29" s="102" t="s">
        <v>179</v>
      </c>
      <c r="D29" s="129">
        <v>9.4999999999999998E-3</v>
      </c>
      <c r="E29" s="138">
        <v>248859.87104999999</v>
      </c>
      <c r="F29" s="210">
        <v>45839</v>
      </c>
      <c r="G29" s="140">
        <v>-189590.74475723552</v>
      </c>
      <c r="H29" s="226">
        <f t="shared" si="7"/>
        <v>94796.18</v>
      </c>
      <c r="I29" s="229">
        <f t="shared" si="8"/>
        <v>94796.18</v>
      </c>
      <c r="J29" s="214">
        <f t="shared" si="2"/>
        <v>189591.18</v>
      </c>
      <c r="K29" s="140">
        <v>-59269.126292764471</v>
      </c>
      <c r="L29" s="350"/>
      <c r="M29" s="176">
        <f t="shared" si="3"/>
        <v>189591.18</v>
      </c>
      <c r="N29" s="179">
        <f t="shared" si="9"/>
        <v>59269.126292764471</v>
      </c>
      <c r="O29" s="179">
        <f t="shared" si="10"/>
        <v>248860.18</v>
      </c>
      <c r="P29" s="126">
        <f t="shared" si="11"/>
        <v>0.18000000000000002</v>
      </c>
    </row>
    <row r="30" spans="1:114" x14ac:dyDescent="0.25">
      <c r="A30" s="198" t="s">
        <v>59</v>
      </c>
      <c r="B30" s="199"/>
      <c r="C30" s="102" t="s">
        <v>182</v>
      </c>
      <c r="D30" s="129">
        <v>1.6400000000000001E-2</v>
      </c>
      <c r="E30" s="138">
        <v>429610.72476000001</v>
      </c>
      <c r="F30" s="210">
        <v>45800</v>
      </c>
      <c r="G30" s="140">
        <v>-388451.99914749648</v>
      </c>
      <c r="H30" s="226">
        <f t="shared" si="7"/>
        <v>194226.19</v>
      </c>
      <c r="I30" s="229">
        <f t="shared" si="8"/>
        <v>194226.19</v>
      </c>
      <c r="J30" s="214">
        <f t="shared" si="2"/>
        <v>388452.19</v>
      </c>
      <c r="K30" s="140">
        <v>-41158.725612503535</v>
      </c>
      <c r="L30" s="350">
        <f>H30</f>
        <v>194226.19</v>
      </c>
      <c r="M30" s="176">
        <v>0</v>
      </c>
      <c r="N30" s="179">
        <f t="shared" si="9"/>
        <v>41158.725612503535</v>
      </c>
      <c r="O30" s="179">
        <f t="shared" si="10"/>
        <v>429611.19</v>
      </c>
      <c r="P30" s="126">
        <f t="shared" si="11"/>
        <v>0.19000000000000003</v>
      </c>
      <c r="Q30" t="s">
        <v>296</v>
      </c>
    </row>
    <row r="31" spans="1:114" x14ac:dyDescent="0.25">
      <c r="A31" s="198" t="s">
        <v>60</v>
      </c>
      <c r="B31" s="199">
        <v>16</v>
      </c>
      <c r="C31" s="102" t="s">
        <v>218</v>
      </c>
      <c r="D31" s="129">
        <v>9.6000000000000009E-3</v>
      </c>
      <c r="E31" s="138">
        <v>251479.44864000002</v>
      </c>
      <c r="F31" s="210">
        <v>45805</v>
      </c>
      <c r="G31" s="140">
        <v>-224422.45236430079</v>
      </c>
      <c r="H31" s="226">
        <f t="shared" si="7"/>
        <v>112211.2</v>
      </c>
      <c r="I31" s="229">
        <f t="shared" si="8"/>
        <v>112211.2</v>
      </c>
      <c r="J31" s="214">
        <f t="shared" si="2"/>
        <v>224422.2</v>
      </c>
      <c r="K31" s="140">
        <v>-27056.996275699232</v>
      </c>
      <c r="L31" s="350">
        <f>J31</f>
        <v>224422.2</v>
      </c>
      <c r="M31" s="176">
        <v>0</v>
      </c>
      <c r="N31" s="179">
        <f t="shared" si="9"/>
        <v>27056.996275699232</v>
      </c>
      <c r="O31" s="179">
        <f t="shared" si="10"/>
        <v>251479.2</v>
      </c>
      <c r="P31" s="126">
        <f t="shared" si="11"/>
        <v>0.20000000000000004</v>
      </c>
    </row>
    <row r="32" spans="1:114" s="133" customFormat="1" x14ac:dyDescent="0.25">
      <c r="A32" s="198" t="s">
        <v>61</v>
      </c>
      <c r="B32" s="199">
        <v>6</v>
      </c>
      <c r="C32" s="102" t="s">
        <v>183</v>
      </c>
      <c r="D32" s="129">
        <v>1.9699999999999999E-2</v>
      </c>
      <c r="E32" s="138">
        <v>516056.78522999992</v>
      </c>
      <c r="F32" s="210">
        <v>45805</v>
      </c>
      <c r="G32" s="140">
        <v>-460533.57412257558</v>
      </c>
      <c r="H32" s="226">
        <f t="shared" si="7"/>
        <v>230267.21</v>
      </c>
      <c r="I32" s="229">
        <f t="shared" si="8"/>
        <v>230267.21</v>
      </c>
      <c r="J32" s="214">
        <f t="shared" si="2"/>
        <v>460534.21</v>
      </c>
      <c r="K32" s="140">
        <v>-55523.211107424344</v>
      </c>
      <c r="L32" s="350"/>
      <c r="M32" s="176">
        <f t="shared" si="3"/>
        <v>460534.21</v>
      </c>
      <c r="N32" s="179">
        <f t="shared" si="9"/>
        <v>55523.211107424344</v>
      </c>
      <c r="O32" s="179">
        <f t="shared" si="10"/>
        <v>516057.21</v>
      </c>
      <c r="P32" s="164">
        <f t="shared" si="11"/>
        <v>0.21000000000000005</v>
      </c>
      <c r="Q32" s="71"/>
      <c r="R32" s="71"/>
      <c r="S32" s="71"/>
      <c r="T32" s="71"/>
      <c r="U32" s="71"/>
      <c r="V32" s="71"/>
      <c r="W32" s="71"/>
      <c r="X32" s="71"/>
      <c r="Y32" s="71"/>
      <c r="Z32" s="71"/>
      <c r="AA32" s="71"/>
      <c r="AB32" s="71"/>
      <c r="AC32" s="71"/>
      <c r="AD32" s="71"/>
      <c r="AE32" s="71"/>
      <c r="AF32" s="71"/>
      <c r="AG32" s="71"/>
      <c r="AH32" s="71"/>
      <c r="AI32" s="71"/>
      <c r="AJ32" s="71"/>
      <c r="AK32" s="71"/>
      <c r="AL32" s="71"/>
      <c r="AM32" s="71"/>
      <c r="AN32" s="71"/>
      <c r="AO32" s="71"/>
      <c r="AP32" s="71"/>
      <c r="AQ32" s="71"/>
      <c r="AR32" s="71"/>
      <c r="AS32" s="71"/>
      <c r="AT32" s="71"/>
      <c r="AU32" s="71"/>
      <c r="AV32" s="71"/>
      <c r="AW32" s="71"/>
      <c r="AX32" s="71"/>
      <c r="AY32" s="71"/>
      <c r="AZ32" s="71"/>
      <c r="BA32" s="71"/>
      <c r="BB32" s="71"/>
      <c r="BC32" s="71"/>
      <c r="BD32" s="71"/>
      <c r="BE32" s="71"/>
      <c r="BF32" s="71"/>
      <c r="BG32" s="71"/>
      <c r="BH32" s="71"/>
      <c r="BI32" s="71"/>
      <c r="BJ32" s="71"/>
      <c r="BK32" s="71"/>
      <c r="BL32" s="71"/>
      <c r="BM32" s="71"/>
      <c r="BN32" s="71"/>
      <c r="BO32" s="71"/>
      <c r="BP32" s="71"/>
      <c r="BQ32" s="71"/>
      <c r="BR32" s="71"/>
      <c r="BS32" s="71"/>
      <c r="BT32" s="71"/>
      <c r="BU32" s="71"/>
      <c r="BV32" s="71"/>
      <c r="BW32" s="71"/>
      <c r="BX32" s="71"/>
      <c r="BY32" s="71"/>
      <c r="BZ32" s="71"/>
      <c r="CA32" s="71"/>
      <c r="CB32" s="71"/>
      <c r="CC32" s="71"/>
      <c r="CD32" s="71"/>
      <c r="CE32" s="71"/>
      <c r="CF32" s="71"/>
      <c r="CG32" s="71"/>
      <c r="CH32" s="71"/>
      <c r="CI32" s="71"/>
      <c r="CJ32" s="71"/>
      <c r="CK32" s="71"/>
      <c r="CL32" s="71"/>
      <c r="CM32" s="71"/>
      <c r="CN32" s="71"/>
      <c r="CO32" s="71"/>
      <c r="CP32" s="71"/>
      <c r="CQ32" s="71"/>
      <c r="CR32" s="71"/>
      <c r="CS32" s="71"/>
      <c r="CT32" s="71"/>
      <c r="CU32" s="71"/>
      <c r="CV32" s="71"/>
      <c r="CW32" s="71"/>
      <c r="CX32" s="71"/>
      <c r="CY32" s="71"/>
      <c r="CZ32" s="71"/>
      <c r="DA32" s="71"/>
      <c r="DB32" s="71"/>
      <c r="DC32" s="71"/>
      <c r="DD32" s="71"/>
      <c r="DE32" s="71"/>
      <c r="DF32" s="71"/>
      <c r="DG32" s="71"/>
      <c r="DH32" s="71"/>
      <c r="DI32" s="71"/>
      <c r="DJ32" s="71"/>
    </row>
    <row r="33" spans="1:114" s="133" customFormat="1" x14ac:dyDescent="0.25">
      <c r="A33" s="198" t="s">
        <v>62</v>
      </c>
      <c r="B33" s="199"/>
      <c r="C33" s="102" t="s">
        <v>179</v>
      </c>
      <c r="D33" s="129">
        <v>9.4000000000000004E-3</v>
      </c>
      <c r="E33" s="138">
        <v>246240.29345999999</v>
      </c>
      <c r="F33" s="210">
        <v>45839</v>
      </c>
      <c r="G33" s="140">
        <v>-187595.05270715937</v>
      </c>
      <c r="H33" s="226">
        <f t="shared" si="7"/>
        <v>93798.22</v>
      </c>
      <c r="I33" s="229">
        <f t="shared" si="8"/>
        <v>93798.22</v>
      </c>
      <c r="J33" s="214">
        <f t="shared" si="2"/>
        <v>187595.22</v>
      </c>
      <c r="K33" s="140">
        <v>-58645.240752840618</v>
      </c>
      <c r="L33" s="350"/>
      <c r="M33" s="176">
        <f t="shared" si="3"/>
        <v>187595.22</v>
      </c>
      <c r="N33" s="179">
        <f t="shared" si="9"/>
        <v>58645.240752840618</v>
      </c>
      <c r="O33" s="179">
        <f t="shared" si="10"/>
        <v>246240.22</v>
      </c>
      <c r="P33" s="164">
        <f t="shared" si="11"/>
        <v>0.22000000000000006</v>
      </c>
      <c r="Q33" s="71" t="s">
        <v>297</v>
      </c>
      <c r="R33" s="71"/>
      <c r="S33" s="71"/>
      <c r="T33" s="71"/>
      <c r="U33" s="71"/>
      <c r="V33" s="71"/>
      <c r="W33" s="71"/>
      <c r="X33" s="71"/>
      <c r="Y33" s="71"/>
      <c r="Z33" s="71"/>
      <c r="AA33" s="71"/>
      <c r="AB33" s="71"/>
      <c r="AC33" s="71"/>
      <c r="AD33" s="71"/>
      <c r="AE33" s="71"/>
      <c r="AF33" s="71"/>
      <c r="AG33" s="71"/>
      <c r="AH33" s="71"/>
      <c r="AI33" s="71"/>
      <c r="AJ33" s="71"/>
      <c r="AK33" s="71"/>
      <c r="AL33" s="71"/>
      <c r="AM33" s="71"/>
      <c r="AN33" s="71"/>
      <c r="AO33" s="71"/>
      <c r="AP33" s="71"/>
      <c r="AQ33" s="71"/>
      <c r="AR33" s="71"/>
      <c r="AS33" s="71"/>
      <c r="AT33" s="71"/>
      <c r="AU33" s="71"/>
      <c r="AV33" s="71"/>
      <c r="AW33" s="71"/>
      <c r="AX33" s="71"/>
      <c r="AY33" s="71"/>
      <c r="AZ33" s="71"/>
      <c r="BA33" s="71"/>
      <c r="BB33" s="71"/>
      <c r="BC33" s="71"/>
      <c r="BD33" s="71"/>
      <c r="BE33" s="71"/>
      <c r="BF33" s="71"/>
      <c r="BG33" s="71"/>
      <c r="BH33" s="71"/>
      <c r="BI33" s="71"/>
      <c r="BJ33" s="71"/>
      <c r="BK33" s="71"/>
      <c r="BL33" s="71"/>
      <c r="BM33" s="71"/>
      <c r="BN33" s="71"/>
      <c r="BO33" s="71"/>
      <c r="BP33" s="71"/>
      <c r="BQ33" s="71"/>
      <c r="BR33" s="71"/>
      <c r="BS33" s="71"/>
      <c r="BT33" s="71"/>
      <c r="BU33" s="71"/>
      <c r="BV33" s="71"/>
      <c r="BW33" s="71"/>
      <c r="BX33" s="71"/>
      <c r="BY33" s="71"/>
      <c r="BZ33" s="71"/>
      <c r="CA33" s="71"/>
      <c r="CB33" s="71"/>
      <c r="CC33" s="71"/>
      <c r="CD33" s="71"/>
      <c r="CE33" s="71"/>
      <c r="CF33" s="71"/>
      <c r="CG33" s="71"/>
      <c r="CH33" s="71"/>
      <c r="CI33" s="71"/>
      <c r="CJ33" s="71"/>
      <c r="CK33" s="71"/>
      <c r="CL33" s="71"/>
      <c r="CM33" s="71"/>
      <c r="CN33" s="71"/>
      <c r="CO33" s="71"/>
      <c r="CP33" s="71"/>
      <c r="CQ33" s="71"/>
      <c r="CR33" s="71"/>
      <c r="CS33" s="71"/>
      <c r="CT33" s="71"/>
      <c r="CU33" s="71"/>
      <c r="CV33" s="71"/>
      <c r="CW33" s="71"/>
      <c r="CX33" s="71"/>
      <c r="CY33" s="71"/>
      <c r="CZ33" s="71"/>
      <c r="DA33" s="71"/>
      <c r="DB33" s="71"/>
      <c r="DC33" s="71"/>
      <c r="DD33" s="71"/>
      <c r="DE33" s="71"/>
      <c r="DF33" s="71"/>
      <c r="DG33" s="71"/>
      <c r="DH33" s="71"/>
      <c r="DI33" s="71"/>
      <c r="DJ33" s="71"/>
    </row>
    <row r="34" spans="1:114" s="133" customFormat="1" x14ac:dyDescent="0.25">
      <c r="A34" s="198" t="s">
        <v>63</v>
      </c>
      <c r="B34" s="199">
        <v>31</v>
      </c>
      <c r="C34" s="102" t="s">
        <v>323</v>
      </c>
      <c r="D34" s="129">
        <v>1.0999999999999999E-2</v>
      </c>
      <c r="E34" s="138">
        <v>288153.53489999997</v>
      </c>
      <c r="F34" s="210">
        <v>45839</v>
      </c>
      <c r="G34" s="140">
        <v>-219526.12550837794</v>
      </c>
      <c r="H34" s="226">
        <f t="shared" si="7"/>
        <v>109763.23</v>
      </c>
      <c r="I34" s="229">
        <f t="shared" si="8"/>
        <v>109763.23</v>
      </c>
      <c r="J34" s="214">
        <f t="shared" si="2"/>
        <v>219526.23</v>
      </c>
      <c r="K34" s="140">
        <v>-68627.40939162203</v>
      </c>
      <c r="L34" s="350"/>
      <c r="M34" s="176">
        <v>0</v>
      </c>
      <c r="N34" s="179">
        <f t="shared" si="9"/>
        <v>68627.40939162203</v>
      </c>
      <c r="O34" s="179">
        <f t="shared" si="10"/>
        <v>288154.23</v>
      </c>
      <c r="P34" s="164">
        <f t="shared" si="11"/>
        <v>0.23000000000000007</v>
      </c>
      <c r="Q34" s="71" t="s">
        <v>281</v>
      </c>
      <c r="R34" s="71"/>
      <c r="S34" s="71"/>
      <c r="T34" s="71"/>
      <c r="U34" s="71"/>
      <c r="V34" s="71"/>
      <c r="W34" s="71"/>
      <c r="X34" s="71"/>
      <c r="Y34" s="71"/>
      <c r="Z34" s="71"/>
      <c r="AA34" s="71"/>
      <c r="AB34" s="71"/>
      <c r="AC34" s="71"/>
      <c r="AD34" s="71"/>
      <c r="AE34" s="71"/>
      <c r="AF34" s="71"/>
      <c r="AG34" s="71"/>
      <c r="AH34" s="71"/>
      <c r="AI34" s="71"/>
      <c r="AJ34" s="71"/>
      <c r="AK34" s="71"/>
      <c r="AL34" s="71"/>
      <c r="AM34" s="71"/>
      <c r="AN34" s="71"/>
      <c r="AO34" s="71"/>
      <c r="AP34" s="71"/>
      <c r="AQ34" s="71"/>
      <c r="AR34" s="71"/>
      <c r="AS34" s="71"/>
      <c r="AT34" s="71"/>
      <c r="AU34" s="71"/>
      <c r="AV34" s="71"/>
      <c r="AW34" s="71"/>
      <c r="AX34" s="71"/>
      <c r="AY34" s="71"/>
      <c r="AZ34" s="71"/>
      <c r="BA34" s="71"/>
      <c r="BB34" s="71"/>
      <c r="BC34" s="71"/>
      <c r="BD34" s="71"/>
      <c r="BE34" s="71"/>
      <c r="BF34" s="71"/>
      <c r="BG34" s="71"/>
      <c r="BH34" s="71"/>
      <c r="BI34" s="71"/>
      <c r="BJ34" s="71"/>
      <c r="BK34" s="71"/>
      <c r="BL34" s="71"/>
      <c r="BM34" s="71"/>
      <c r="BN34" s="71"/>
      <c r="BO34" s="71"/>
      <c r="BP34" s="71"/>
      <c r="BQ34" s="71"/>
      <c r="BR34" s="71"/>
      <c r="BS34" s="71"/>
      <c r="BT34" s="71"/>
      <c r="BU34" s="71"/>
      <c r="BV34" s="71"/>
      <c r="BW34" s="71"/>
      <c r="BX34" s="71"/>
      <c r="BY34" s="71"/>
      <c r="BZ34" s="71"/>
      <c r="CA34" s="71"/>
      <c r="CB34" s="71"/>
      <c r="CC34" s="71"/>
      <c r="CD34" s="71"/>
      <c r="CE34" s="71"/>
      <c r="CF34" s="71"/>
      <c r="CG34" s="71"/>
      <c r="CH34" s="71"/>
      <c r="CI34" s="71"/>
      <c r="CJ34" s="71"/>
      <c r="CK34" s="71"/>
      <c r="CL34" s="71"/>
      <c r="CM34" s="71"/>
      <c r="CN34" s="71"/>
      <c r="CO34" s="71"/>
      <c r="CP34" s="71"/>
      <c r="CQ34" s="71"/>
      <c r="CR34" s="71"/>
      <c r="CS34" s="71"/>
      <c r="CT34" s="71"/>
      <c r="CU34" s="71"/>
      <c r="CV34" s="71"/>
      <c r="CW34" s="71"/>
      <c r="CX34" s="71"/>
      <c r="CY34" s="71"/>
      <c r="CZ34" s="71"/>
      <c r="DA34" s="71"/>
      <c r="DB34" s="71"/>
      <c r="DC34" s="71"/>
      <c r="DD34" s="71"/>
      <c r="DE34" s="71"/>
      <c r="DF34" s="71"/>
      <c r="DG34" s="71"/>
      <c r="DH34" s="71"/>
      <c r="DI34" s="71"/>
      <c r="DJ34" s="71"/>
    </row>
    <row r="35" spans="1:114" s="133" customFormat="1" x14ac:dyDescent="0.25">
      <c r="A35" s="198" t="s">
        <v>64</v>
      </c>
      <c r="B35" s="199"/>
      <c r="C35" s="102" t="s">
        <v>179</v>
      </c>
      <c r="D35" s="129">
        <v>9.4999999999999998E-3</v>
      </c>
      <c r="E35" s="138">
        <v>248859.87104999999</v>
      </c>
      <c r="F35" s="210">
        <v>45839</v>
      </c>
      <c r="G35" s="140">
        <v>-189590.74475723552</v>
      </c>
      <c r="H35" s="226">
        <f t="shared" si="7"/>
        <v>94796.24</v>
      </c>
      <c r="I35" s="229">
        <f t="shared" si="8"/>
        <v>94796.24</v>
      </c>
      <c r="J35" s="214">
        <f t="shared" si="2"/>
        <v>189591.24</v>
      </c>
      <c r="K35" s="140">
        <v>-59269.126292764471</v>
      </c>
      <c r="L35" s="350"/>
      <c r="M35" s="176">
        <f t="shared" si="3"/>
        <v>189591.24</v>
      </c>
      <c r="N35" s="179">
        <f t="shared" si="9"/>
        <v>59269.126292764471</v>
      </c>
      <c r="O35" s="179">
        <f t="shared" si="10"/>
        <v>248860.24</v>
      </c>
      <c r="P35" s="164">
        <f t="shared" si="11"/>
        <v>0.24000000000000007</v>
      </c>
      <c r="Q35" s="71"/>
      <c r="R35" s="71"/>
      <c r="S35" s="71"/>
      <c r="T35" s="71"/>
      <c r="U35" s="71"/>
      <c r="V35" s="71"/>
      <c r="W35" s="71"/>
      <c r="X35" s="71"/>
      <c r="Y35" s="71"/>
      <c r="Z35" s="71"/>
      <c r="AA35" s="71"/>
      <c r="AB35" s="71"/>
      <c r="AC35" s="71"/>
      <c r="AD35" s="71"/>
      <c r="AE35" s="71"/>
      <c r="AF35" s="71"/>
      <c r="AG35" s="71"/>
      <c r="AH35" s="71"/>
      <c r="AI35" s="71"/>
      <c r="AJ35" s="71"/>
      <c r="AK35" s="71"/>
      <c r="AL35" s="71"/>
      <c r="AM35" s="71"/>
      <c r="AN35" s="71"/>
      <c r="AO35" s="71"/>
      <c r="AP35" s="71"/>
      <c r="AQ35" s="71"/>
      <c r="AR35" s="71"/>
      <c r="AS35" s="71"/>
      <c r="AT35" s="71"/>
      <c r="AU35" s="71"/>
      <c r="AV35" s="71"/>
      <c r="AW35" s="71"/>
      <c r="AX35" s="71"/>
      <c r="AY35" s="71"/>
      <c r="AZ35" s="71"/>
      <c r="BA35" s="71"/>
      <c r="BB35" s="71"/>
      <c r="BC35" s="71"/>
      <c r="BD35" s="71"/>
      <c r="BE35" s="71"/>
      <c r="BF35" s="71"/>
      <c r="BG35" s="71"/>
      <c r="BH35" s="71"/>
      <c r="BI35" s="71"/>
      <c r="BJ35" s="71"/>
      <c r="BK35" s="71"/>
      <c r="BL35" s="71"/>
      <c r="BM35" s="71"/>
      <c r="BN35" s="71"/>
      <c r="BO35" s="71"/>
      <c r="BP35" s="71"/>
      <c r="BQ35" s="71"/>
      <c r="BR35" s="71"/>
      <c r="BS35" s="71"/>
      <c r="BT35" s="71"/>
      <c r="BU35" s="71"/>
      <c r="BV35" s="71"/>
      <c r="BW35" s="71"/>
      <c r="BX35" s="71"/>
      <c r="BY35" s="71"/>
      <c r="BZ35" s="71"/>
      <c r="CA35" s="71"/>
      <c r="CB35" s="71"/>
      <c r="CC35" s="71"/>
      <c r="CD35" s="71"/>
      <c r="CE35" s="71"/>
      <c r="CF35" s="71"/>
      <c r="CG35" s="71"/>
      <c r="CH35" s="71"/>
      <c r="CI35" s="71"/>
      <c r="CJ35" s="71"/>
      <c r="CK35" s="71"/>
      <c r="CL35" s="71"/>
      <c r="CM35" s="71"/>
      <c r="CN35" s="71"/>
      <c r="CO35" s="71"/>
      <c r="CP35" s="71"/>
      <c r="CQ35" s="71"/>
      <c r="CR35" s="71"/>
      <c r="CS35" s="71"/>
      <c r="CT35" s="71"/>
      <c r="CU35" s="71"/>
      <c r="CV35" s="71"/>
      <c r="CW35" s="71"/>
      <c r="CX35" s="71"/>
      <c r="CY35" s="71"/>
      <c r="CZ35" s="71"/>
      <c r="DA35" s="71"/>
      <c r="DB35" s="71"/>
      <c r="DC35" s="71"/>
      <c r="DD35" s="71"/>
      <c r="DE35" s="71"/>
      <c r="DF35" s="71"/>
      <c r="DG35" s="71"/>
      <c r="DH35" s="71"/>
      <c r="DI35" s="71"/>
      <c r="DJ35" s="71"/>
    </row>
    <row r="36" spans="1:114" x14ac:dyDescent="0.25">
      <c r="A36" s="198" t="s">
        <v>65</v>
      </c>
      <c r="B36" s="199">
        <v>28</v>
      </c>
      <c r="C36" s="102" t="s">
        <v>184</v>
      </c>
      <c r="D36" s="129">
        <v>1.8700000000000001E-2</v>
      </c>
      <c r="E36" s="138">
        <v>489861.00933000003</v>
      </c>
      <c r="F36" s="210">
        <v>45786</v>
      </c>
      <c r="G36" s="140">
        <v>-452316.22060054552</v>
      </c>
      <c r="H36" s="226">
        <f t="shared" si="7"/>
        <v>226158.25</v>
      </c>
      <c r="I36" s="229">
        <f t="shared" si="8"/>
        <v>226158.25</v>
      </c>
      <c r="J36" s="214">
        <f t="shared" si="2"/>
        <v>452316.25</v>
      </c>
      <c r="K36" s="140">
        <v>-37544.788729454507</v>
      </c>
      <c r="L36" s="350">
        <f>H36</f>
        <v>226158.25</v>
      </c>
      <c r="M36" s="176">
        <v>0</v>
      </c>
      <c r="N36" s="179">
        <f t="shared" si="9"/>
        <v>37544.788729454507</v>
      </c>
      <c r="O36" s="179">
        <f t="shared" si="10"/>
        <v>489861.25</v>
      </c>
      <c r="P36" s="126">
        <f t="shared" si="11"/>
        <v>0.25000000000000006</v>
      </c>
    </row>
    <row r="37" spans="1:114" x14ac:dyDescent="0.25">
      <c r="A37" s="198" t="s">
        <v>66</v>
      </c>
      <c r="B37" s="199"/>
      <c r="C37" s="102" t="s">
        <v>324</v>
      </c>
      <c r="D37" s="129">
        <v>7.3000000000000001E-3</v>
      </c>
      <c r="E37" s="138">
        <v>191229.16407</v>
      </c>
      <c r="F37" s="210">
        <v>45789</v>
      </c>
      <c r="G37" s="140">
        <v>-175787.47145562258</v>
      </c>
      <c r="H37" s="226">
        <f t="shared" si="7"/>
        <v>87894.26</v>
      </c>
      <c r="I37" s="229">
        <f t="shared" si="8"/>
        <v>87894.26</v>
      </c>
      <c r="J37" s="214">
        <f t="shared" si="2"/>
        <v>175787.26</v>
      </c>
      <c r="K37" s="140">
        <v>-15441.692614377418</v>
      </c>
      <c r="L37" s="350">
        <f>J37</f>
        <v>175787.26</v>
      </c>
      <c r="M37" s="176">
        <v>0</v>
      </c>
      <c r="N37" s="179">
        <f t="shared" si="9"/>
        <v>15441.692614377418</v>
      </c>
      <c r="O37" s="179">
        <f t="shared" si="10"/>
        <v>191229.26</v>
      </c>
      <c r="P37" s="126">
        <f t="shared" si="11"/>
        <v>0.26000000000000006</v>
      </c>
    </row>
    <row r="38" spans="1:114" x14ac:dyDescent="0.25">
      <c r="A38" s="198" t="s">
        <v>67</v>
      </c>
      <c r="B38" s="199">
        <v>33</v>
      </c>
      <c r="C38" s="102" t="s">
        <v>186</v>
      </c>
      <c r="D38" s="129">
        <v>1.9699999999999999E-2</v>
      </c>
      <c r="E38" s="138">
        <v>516056.78522999992</v>
      </c>
      <c r="F38" s="210">
        <v>45793</v>
      </c>
      <c r="G38" s="140">
        <v>-471560.18735745805</v>
      </c>
      <c r="H38" s="226">
        <f t="shared" si="7"/>
        <v>235780.27</v>
      </c>
      <c r="I38" s="229">
        <f t="shared" si="8"/>
        <v>235780.27</v>
      </c>
      <c r="J38" s="214">
        <f t="shared" si="2"/>
        <v>471560.27</v>
      </c>
      <c r="K38" s="140">
        <v>-44496.597872541868</v>
      </c>
      <c r="L38" s="350">
        <f>H38</f>
        <v>235780.27</v>
      </c>
      <c r="M38" s="176">
        <v>0</v>
      </c>
      <c r="N38" s="179">
        <f t="shared" si="9"/>
        <v>44496.597872541868</v>
      </c>
      <c r="O38" s="179">
        <f t="shared" si="10"/>
        <v>516057.27</v>
      </c>
      <c r="P38" s="126">
        <f t="shared" si="11"/>
        <v>0.27000000000000007</v>
      </c>
      <c r="Q38" t="s">
        <v>251</v>
      </c>
      <c r="R38" t="s">
        <v>251</v>
      </c>
    </row>
    <row r="39" spans="1:114" x14ac:dyDescent="0.25">
      <c r="A39" s="198" t="s">
        <v>68</v>
      </c>
      <c r="B39" s="199">
        <v>44</v>
      </c>
      <c r="C39" s="102" t="s">
        <v>325</v>
      </c>
      <c r="D39" s="129">
        <v>1.17E-2</v>
      </c>
      <c r="E39" s="138">
        <v>306490.57802999998</v>
      </c>
      <c r="F39" s="210">
        <v>45800</v>
      </c>
      <c r="G39" s="140">
        <v>-277127.3408552261</v>
      </c>
      <c r="H39" s="226">
        <f t="shared" si="7"/>
        <v>138564.28</v>
      </c>
      <c r="I39" s="229">
        <f t="shared" si="8"/>
        <v>138564.28</v>
      </c>
      <c r="J39" s="214">
        <f t="shared" si="2"/>
        <v>277127.28000000003</v>
      </c>
      <c r="K39" s="140">
        <v>-29363.23717477388</v>
      </c>
      <c r="L39" s="350"/>
      <c r="M39" s="176">
        <v>238127.28000000003</v>
      </c>
      <c r="N39" s="179">
        <f t="shared" si="9"/>
        <v>29363.23717477388</v>
      </c>
      <c r="O39" s="179">
        <f t="shared" si="10"/>
        <v>306491.28000000003</v>
      </c>
      <c r="P39" s="126">
        <f t="shared" si="11"/>
        <v>0.28000000000000008</v>
      </c>
    </row>
    <row r="40" spans="1:114" x14ac:dyDescent="0.25">
      <c r="A40" s="198" t="s">
        <v>69</v>
      </c>
      <c r="B40" s="199"/>
      <c r="C40" s="102" t="s">
        <v>177</v>
      </c>
      <c r="D40" s="129">
        <v>8.6999999999999994E-3</v>
      </c>
      <c r="E40" s="138">
        <v>227903.25032999998</v>
      </c>
      <c r="F40" s="210">
        <v>45800</v>
      </c>
      <c r="G40" s="140">
        <v>-206069.04832824506</v>
      </c>
      <c r="H40" s="226">
        <f t="shared" si="7"/>
        <v>103035.29</v>
      </c>
      <c r="I40" s="229">
        <f t="shared" si="8"/>
        <v>103035.29</v>
      </c>
      <c r="J40" s="214">
        <f t="shared" si="2"/>
        <v>206069.29</v>
      </c>
      <c r="K40" s="140">
        <v>-21834.202001754922</v>
      </c>
      <c r="L40" s="350">
        <f>J40</f>
        <v>206069.29</v>
      </c>
      <c r="M40" s="176">
        <v>0</v>
      </c>
      <c r="N40" s="179">
        <f t="shared" si="9"/>
        <v>21834.202001754922</v>
      </c>
      <c r="O40" s="179">
        <f t="shared" si="10"/>
        <v>227903.29</v>
      </c>
      <c r="P40" s="126">
        <f t="shared" si="11"/>
        <v>0.29000000000000009</v>
      </c>
    </row>
    <row r="41" spans="1:114" x14ac:dyDescent="0.25">
      <c r="A41" s="198" t="s">
        <v>70</v>
      </c>
      <c r="B41" s="199"/>
      <c r="C41" s="102" t="s">
        <v>326</v>
      </c>
      <c r="D41" s="129">
        <v>9.4999999999999998E-3</v>
      </c>
      <c r="E41" s="138">
        <v>248859.87104999999</v>
      </c>
      <c r="F41" s="210">
        <v>45800</v>
      </c>
      <c r="G41" s="140">
        <v>-225017.92633544002</v>
      </c>
      <c r="H41" s="226">
        <f t="shared" si="7"/>
        <v>112509.3</v>
      </c>
      <c r="I41" s="229">
        <f t="shared" si="8"/>
        <v>112509.3</v>
      </c>
      <c r="J41" s="214">
        <f t="shared" si="2"/>
        <v>225018.3</v>
      </c>
      <c r="K41" s="140">
        <v>-23841.94471455997</v>
      </c>
      <c r="L41" s="350">
        <f>H41</f>
        <v>112509.3</v>
      </c>
      <c r="M41" s="176">
        <v>0</v>
      </c>
      <c r="N41" s="179">
        <f t="shared" si="9"/>
        <v>23841.94471455997</v>
      </c>
      <c r="O41" s="179">
        <f t="shared" si="10"/>
        <v>248860.3</v>
      </c>
      <c r="P41" s="126">
        <f t="shared" si="11"/>
        <v>0.3000000000000001</v>
      </c>
    </row>
    <row r="42" spans="1:114" x14ac:dyDescent="0.25">
      <c r="A42" s="198" t="s">
        <v>71</v>
      </c>
      <c r="B42" s="199">
        <v>7</v>
      </c>
      <c r="C42" s="102" t="s">
        <v>188</v>
      </c>
      <c r="D42" s="129">
        <v>1.8700000000000001E-2</v>
      </c>
      <c r="E42" s="138">
        <v>489861.00933000003</v>
      </c>
      <c r="F42" s="210">
        <v>45806</v>
      </c>
      <c r="G42" s="140">
        <v>-435275.0052766751</v>
      </c>
      <c r="H42" s="226">
        <f t="shared" si="7"/>
        <v>217638.31</v>
      </c>
      <c r="I42" s="229">
        <f t="shared" si="8"/>
        <v>217638.31</v>
      </c>
      <c r="J42" s="214">
        <f t="shared" si="2"/>
        <v>435275.31</v>
      </c>
      <c r="K42" s="140">
        <v>-54586.004053324927</v>
      </c>
      <c r="L42" s="350">
        <f>H42</f>
        <v>217638.31</v>
      </c>
      <c r="M42" s="176">
        <v>0</v>
      </c>
      <c r="N42" s="179">
        <f t="shared" si="9"/>
        <v>54586.004053324927</v>
      </c>
      <c r="O42" s="179">
        <f t="shared" si="10"/>
        <v>489861.31</v>
      </c>
      <c r="P42" s="126">
        <f t="shared" si="11"/>
        <v>0.31000000000000011</v>
      </c>
    </row>
    <row r="43" spans="1:114" x14ac:dyDescent="0.25">
      <c r="A43" s="198" t="s">
        <v>72</v>
      </c>
      <c r="B43" s="199">
        <v>3</v>
      </c>
      <c r="C43" s="102" t="s">
        <v>189</v>
      </c>
      <c r="D43" s="129">
        <v>9.6000000000000009E-3</v>
      </c>
      <c r="E43" s="138">
        <v>251479.44864000002</v>
      </c>
      <c r="F43" s="210">
        <v>45775</v>
      </c>
      <c r="G43" s="140">
        <v>-235991.14771264675</v>
      </c>
      <c r="H43" s="226">
        <f t="shared" si="7"/>
        <v>117996.32</v>
      </c>
      <c r="I43" s="229">
        <f t="shared" si="8"/>
        <v>117996.32</v>
      </c>
      <c r="J43" s="214">
        <f t="shared" si="2"/>
        <v>235991.32</v>
      </c>
      <c r="K43" s="140">
        <v>-15488.300927353266</v>
      </c>
      <c r="L43" s="350">
        <f>H43</f>
        <v>117996.32</v>
      </c>
      <c r="M43" s="176">
        <v>0</v>
      </c>
      <c r="N43" s="179">
        <f t="shared" si="9"/>
        <v>15488.300927353266</v>
      </c>
      <c r="O43" s="179">
        <f t="shared" si="10"/>
        <v>251480.32000000001</v>
      </c>
      <c r="P43" s="126">
        <f t="shared" si="11"/>
        <v>0.32000000000000012</v>
      </c>
      <c r="Q43" s="42"/>
    </row>
    <row r="44" spans="1:114" x14ac:dyDescent="0.25">
      <c r="A44" s="198" t="s">
        <v>73</v>
      </c>
      <c r="B44" s="199">
        <v>24</v>
      </c>
      <c r="C44" s="102" t="s">
        <v>190</v>
      </c>
      <c r="D44" s="129">
        <v>1.9699999999999999E-2</v>
      </c>
      <c r="E44" s="138">
        <v>516056.78522999992</v>
      </c>
      <c r="F44" s="210">
        <v>45793</v>
      </c>
      <c r="G44" s="140">
        <v>-471560.18735745805</v>
      </c>
      <c r="H44" s="226">
        <f t="shared" si="7"/>
        <v>235780.33</v>
      </c>
      <c r="I44" s="229">
        <f t="shared" si="8"/>
        <v>235780.33</v>
      </c>
      <c r="J44" s="214">
        <f t="shared" si="2"/>
        <v>471560.33</v>
      </c>
      <c r="K44" s="140">
        <v>-44496.597872541868</v>
      </c>
      <c r="L44" s="350">
        <f>H44</f>
        <v>235780.33</v>
      </c>
      <c r="M44" s="176">
        <v>0</v>
      </c>
      <c r="N44" s="179">
        <f t="shared" si="9"/>
        <v>44496.597872541868</v>
      </c>
      <c r="O44" s="179">
        <f t="shared" si="10"/>
        <v>516057.33</v>
      </c>
      <c r="P44" s="126">
        <f t="shared" si="11"/>
        <v>0.33000000000000013</v>
      </c>
      <c r="Q44" s="42"/>
    </row>
    <row r="45" spans="1:114" x14ac:dyDescent="0.25">
      <c r="A45" s="198" t="s">
        <v>74</v>
      </c>
      <c r="B45" s="199"/>
      <c r="C45" s="102" t="s">
        <v>269</v>
      </c>
      <c r="D45" s="129">
        <v>9.4000000000000004E-3</v>
      </c>
      <c r="E45" s="138">
        <v>246240.29345999999</v>
      </c>
      <c r="F45" s="210">
        <v>45786</v>
      </c>
      <c r="G45" s="140">
        <v>-227367.51195963251</v>
      </c>
      <c r="H45" s="226">
        <f t="shared" si="7"/>
        <v>113684.34</v>
      </c>
      <c r="I45" s="229">
        <f t="shared" si="8"/>
        <v>113684.34</v>
      </c>
      <c r="J45" s="214">
        <f t="shared" si="2"/>
        <v>227368.34</v>
      </c>
      <c r="K45" s="140">
        <v>-18872.781500367477</v>
      </c>
      <c r="L45" s="350"/>
      <c r="M45" s="176">
        <f t="shared" si="3"/>
        <v>227368.34</v>
      </c>
      <c r="N45" s="179">
        <f t="shared" si="9"/>
        <v>18872.781500367477</v>
      </c>
      <c r="O45" s="179">
        <f t="shared" si="10"/>
        <v>246241.34</v>
      </c>
      <c r="P45" s="126">
        <f t="shared" si="11"/>
        <v>0.34000000000000014</v>
      </c>
      <c r="Q45" t="s">
        <v>285</v>
      </c>
    </row>
    <row r="46" spans="1:114" x14ac:dyDescent="0.25">
      <c r="A46" s="198" t="s">
        <v>75</v>
      </c>
      <c r="B46" s="199"/>
      <c r="C46" s="102" t="s">
        <v>327</v>
      </c>
      <c r="D46" s="129">
        <v>8.6999999999999994E-3</v>
      </c>
      <c r="E46" s="138">
        <v>227903.25032999998</v>
      </c>
      <c r="F46" s="210">
        <v>45807</v>
      </c>
      <c r="G46" s="140">
        <v>-201632.39809641102</v>
      </c>
      <c r="H46" s="226">
        <f t="shared" si="7"/>
        <v>100816.35</v>
      </c>
      <c r="I46" s="229">
        <f t="shared" si="8"/>
        <v>100816.35</v>
      </c>
      <c r="J46" s="214">
        <f t="shared" si="2"/>
        <v>201632.35</v>
      </c>
      <c r="K46" s="140">
        <v>-26270.852233588957</v>
      </c>
      <c r="L46" s="350">
        <f>H46</f>
        <v>100816.35</v>
      </c>
      <c r="M46" s="176">
        <v>0</v>
      </c>
      <c r="N46" s="179">
        <f t="shared" si="9"/>
        <v>26270.852233588957</v>
      </c>
      <c r="O46" s="179">
        <f t="shared" si="10"/>
        <v>227903.35</v>
      </c>
      <c r="P46" s="126">
        <f t="shared" si="11"/>
        <v>0.35000000000000014</v>
      </c>
    </row>
    <row r="47" spans="1:114" x14ac:dyDescent="0.25">
      <c r="A47" s="198" t="s">
        <v>76</v>
      </c>
      <c r="B47" s="199"/>
      <c r="C47" s="102" t="s">
        <v>191</v>
      </c>
      <c r="D47" s="129">
        <v>9.4999999999999998E-3</v>
      </c>
      <c r="E47" s="138">
        <v>248859.87104999999</v>
      </c>
      <c r="F47" s="210">
        <v>45786</v>
      </c>
      <c r="G47" s="140">
        <v>-229786.31527835201</v>
      </c>
      <c r="H47" s="226">
        <f t="shared" si="7"/>
        <v>114893.36</v>
      </c>
      <c r="I47" s="229">
        <f t="shared" si="8"/>
        <v>114893.36</v>
      </c>
      <c r="J47" s="214">
        <f t="shared" si="2"/>
        <v>229786.36</v>
      </c>
      <c r="K47" s="140">
        <v>-19073.555771647982</v>
      </c>
      <c r="L47" s="350">
        <f>J47</f>
        <v>229786.36</v>
      </c>
      <c r="M47" s="176">
        <v>0</v>
      </c>
      <c r="N47" s="179">
        <f t="shared" si="9"/>
        <v>19073.555771647982</v>
      </c>
      <c r="O47" s="179">
        <f t="shared" si="10"/>
        <v>248860.36</v>
      </c>
      <c r="P47" s="126">
        <f t="shared" si="11"/>
        <v>0.36000000000000015</v>
      </c>
    </row>
    <row r="48" spans="1:114" x14ac:dyDescent="0.25">
      <c r="A48" s="198" t="s">
        <v>77</v>
      </c>
      <c r="B48" s="199">
        <v>8</v>
      </c>
      <c r="C48" s="102" t="s">
        <v>188</v>
      </c>
      <c r="D48" s="129">
        <v>1.8700000000000001E-2</v>
      </c>
      <c r="E48" s="138">
        <v>489861.00933000003</v>
      </c>
      <c r="F48" s="210">
        <v>45793</v>
      </c>
      <c r="G48" s="140">
        <v>-447623.12200936372</v>
      </c>
      <c r="H48" s="226">
        <f t="shared" si="7"/>
        <v>223812.37</v>
      </c>
      <c r="I48" s="229">
        <f t="shared" si="8"/>
        <v>223812.37</v>
      </c>
      <c r="J48" s="214">
        <f t="shared" si="2"/>
        <v>447623.37</v>
      </c>
      <c r="K48" s="140">
        <v>-42237.887320636306</v>
      </c>
      <c r="L48" s="350">
        <f>H48</f>
        <v>223812.37</v>
      </c>
      <c r="M48" s="176">
        <v>0</v>
      </c>
      <c r="N48" s="179">
        <f t="shared" si="9"/>
        <v>42237.887320636306</v>
      </c>
      <c r="O48" s="179">
        <f t="shared" si="10"/>
        <v>489861.37</v>
      </c>
      <c r="P48" s="126">
        <f t="shared" si="11"/>
        <v>0.37000000000000016</v>
      </c>
      <c r="R48" s="57"/>
    </row>
    <row r="49" spans="1:19" x14ac:dyDescent="0.25">
      <c r="A49" s="198" t="s">
        <v>78</v>
      </c>
      <c r="B49" s="199"/>
      <c r="C49" s="102" t="s">
        <v>192</v>
      </c>
      <c r="D49" s="129">
        <v>7.3000000000000001E-3</v>
      </c>
      <c r="E49" s="138">
        <v>191229.16407</v>
      </c>
      <c r="F49" s="210">
        <v>45805</v>
      </c>
      <c r="G49" s="140">
        <v>-170654.57315202037</v>
      </c>
      <c r="H49" s="226">
        <f t="shared" si="7"/>
        <v>85328.38</v>
      </c>
      <c r="I49" s="229">
        <f t="shared" si="8"/>
        <v>85328.38</v>
      </c>
      <c r="J49" s="214">
        <f t="shared" si="2"/>
        <v>170655.38</v>
      </c>
      <c r="K49" s="140">
        <v>-20574.590917979629</v>
      </c>
      <c r="L49" s="350">
        <f>H49</f>
        <v>85328.38</v>
      </c>
      <c r="M49" s="176">
        <v>0</v>
      </c>
      <c r="N49" s="179">
        <f t="shared" si="9"/>
        <v>20574.590917979629</v>
      </c>
      <c r="O49" s="179">
        <f t="shared" si="10"/>
        <v>191230.38</v>
      </c>
      <c r="P49" s="126">
        <f t="shared" si="11"/>
        <v>0.38000000000000017</v>
      </c>
    </row>
    <row r="50" spans="1:19" x14ac:dyDescent="0.25">
      <c r="A50" s="198" t="s">
        <v>79</v>
      </c>
      <c r="B50" s="199">
        <v>14</v>
      </c>
      <c r="C50" s="102" t="s">
        <v>193</v>
      </c>
      <c r="D50" s="129">
        <v>1.9699999999999999E-2</v>
      </c>
      <c r="E50" s="138">
        <v>516056.78522999992</v>
      </c>
      <c r="F50" s="210">
        <v>45805</v>
      </c>
      <c r="G50" s="140">
        <v>-460533.57412257558</v>
      </c>
      <c r="H50" s="226">
        <f t="shared" si="7"/>
        <v>230267.39</v>
      </c>
      <c r="I50" s="229">
        <f t="shared" si="8"/>
        <v>230267.39</v>
      </c>
      <c r="J50" s="214">
        <f t="shared" si="2"/>
        <v>460534.39</v>
      </c>
      <c r="K50" s="140">
        <v>-55523.211107424344</v>
      </c>
      <c r="L50" s="350"/>
      <c r="M50" s="176">
        <f t="shared" si="3"/>
        <v>460534.39</v>
      </c>
      <c r="N50" s="179">
        <f t="shared" si="9"/>
        <v>55523.211107424344</v>
      </c>
      <c r="O50" s="179">
        <f t="shared" si="10"/>
        <v>516058.39</v>
      </c>
      <c r="P50" s="126">
        <f t="shared" si="11"/>
        <v>0.39000000000000018</v>
      </c>
    </row>
    <row r="51" spans="1:19" x14ac:dyDescent="0.25">
      <c r="A51" s="198" t="s">
        <v>80</v>
      </c>
      <c r="B51" s="199"/>
      <c r="C51" s="102" t="s">
        <v>194</v>
      </c>
      <c r="D51" s="129">
        <v>9.4000000000000004E-3</v>
      </c>
      <c r="E51" s="138">
        <v>246240.29345999999</v>
      </c>
      <c r="F51" s="210">
        <v>45793</v>
      </c>
      <c r="G51" s="140">
        <v>-225008.41427208658</v>
      </c>
      <c r="H51" s="226">
        <f t="shared" si="7"/>
        <v>112504.4</v>
      </c>
      <c r="I51" s="229">
        <f t="shared" si="8"/>
        <v>112504.4</v>
      </c>
      <c r="J51" s="214">
        <f t="shared" si="2"/>
        <v>225008.4</v>
      </c>
      <c r="K51" s="140">
        <v>-21231.879187913408</v>
      </c>
      <c r="L51" s="350">
        <f>H51</f>
        <v>112504.4</v>
      </c>
      <c r="M51" s="176">
        <v>0</v>
      </c>
      <c r="N51" s="179">
        <f t="shared" si="9"/>
        <v>21231.879187913408</v>
      </c>
      <c r="O51" s="179">
        <f t="shared" si="10"/>
        <v>246240.4</v>
      </c>
      <c r="P51" s="126">
        <f t="shared" si="11"/>
        <v>0.40000000000000019</v>
      </c>
    </row>
    <row r="52" spans="1:19" x14ac:dyDescent="0.25">
      <c r="A52" s="198" t="s">
        <v>81</v>
      </c>
      <c r="B52" s="199"/>
      <c r="C52" s="102" t="s">
        <v>399</v>
      </c>
      <c r="D52" s="129">
        <v>8.6999999999999994E-3</v>
      </c>
      <c r="E52" s="138">
        <v>227903.25032999998</v>
      </c>
      <c r="F52" s="210">
        <v>45800</v>
      </c>
      <c r="G52" s="140">
        <v>-206069.04832824506</v>
      </c>
      <c r="H52" s="226">
        <f t="shared" si="7"/>
        <v>103035.41</v>
      </c>
      <c r="I52" s="229">
        <f t="shared" si="8"/>
        <v>103035.41</v>
      </c>
      <c r="J52" s="214">
        <f t="shared" si="2"/>
        <v>206069.41</v>
      </c>
      <c r="K52" s="140">
        <v>-21834.202001754922</v>
      </c>
      <c r="L52" s="350">
        <f>J52</f>
        <v>206069.41</v>
      </c>
      <c r="M52" s="176">
        <v>0</v>
      </c>
      <c r="N52" s="179">
        <f t="shared" si="9"/>
        <v>21834.202001754922</v>
      </c>
      <c r="O52" s="179">
        <f t="shared" si="10"/>
        <v>227904.41</v>
      </c>
      <c r="P52" s="126">
        <f t="shared" si="11"/>
        <v>0.4100000000000002</v>
      </c>
      <c r="R52" t="s">
        <v>243</v>
      </c>
    </row>
    <row r="53" spans="1:19" x14ac:dyDescent="0.25">
      <c r="A53" s="198" t="s">
        <v>82</v>
      </c>
      <c r="B53" s="208">
        <v>5</v>
      </c>
      <c r="C53" s="102" t="s">
        <v>195</v>
      </c>
      <c r="D53" s="129">
        <v>1.18E-2</v>
      </c>
      <c r="E53" s="138">
        <v>309110.15561999998</v>
      </c>
      <c r="F53" s="210">
        <v>45793</v>
      </c>
      <c r="G53" s="140">
        <v>-282457.37110751297</v>
      </c>
      <c r="H53" s="226">
        <f t="shared" si="7"/>
        <v>141229.42000000001</v>
      </c>
      <c r="I53" s="229">
        <f t="shared" si="8"/>
        <v>141229.42000000001</v>
      </c>
      <c r="J53" s="214">
        <f t="shared" si="2"/>
        <v>282457.42</v>
      </c>
      <c r="K53" s="140">
        <v>-26652.784512487007</v>
      </c>
      <c r="L53" s="350">
        <f>H53</f>
        <v>141229.42000000001</v>
      </c>
      <c r="M53" s="176">
        <v>0</v>
      </c>
      <c r="N53" s="179">
        <f t="shared" si="9"/>
        <v>26652.784512487007</v>
      </c>
      <c r="O53" s="179">
        <f t="shared" si="10"/>
        <v>309110.42</v>
      </c>
      <c r="P53" s="126">
        <f t="shared" si="11"/>
        <v>0.42000000000000021</v>
      </c>
      <c r="Q53" t="s">
        <v>266</v>
      </c>
    </row>
    <row r="54" spans="1:19" x14ac:dyDescent="0.25">
      <c r="A54" s="198" t="s">
        <v>83</v>
      </c>
      <c r="B54" s="199">
        <v>26</v>
      </c>
      <c r="C54" s="102" t="s">
        <v>196</v>
      </c>
      <c r="D54" s="129">
        <v>1.8700000000000001E-2</v>
      </c>
      <c r="E54" s="138">
        <v>489861.00933000003</v>
      </c>
      <c r="F54" s="210">
        <v>45793</v>
      </c>
      <c r="G54" s="140">
        <v>-447623.12200936372</v>
      </c>
      <c r="H54" s="226">
        <f t="shared" si="7"/>
        <v>223812.43</v>
      </c>
      <c r="I54" s="229">
        <f t="shared" si="8"/>
        <v>223812.43</v>
      </c>
      <c r="J54" s="214">
        <f t="shared" si="2"/>
        <v>447623.43</v>
      </c>
      <c r="K54" s="140">
        <v>-42237.887320636306</v>
      </c>
      <c r="L54" s="350">
        <f>H54</f>
        <v>223812.43</v>
      </c>
      <c r="M54" s="176">
        <v>0</v>
      </c>
      <c r="N54" s="179">
        <f>-K54</f>
        <v>42237.887320636306</v>
      </c>
      <c r="O54" s="179">
        <f t="shared" si="10"/>
        <v>489861.43</v>
      </c>
      <c r="P54" s="126">
        <f t="shared" si="11"/>
        <v>0.43000000000000022</v>
      </c>
    </row>
    <row r="55" spans="1:19" x14ac:dyDescent="0.25">
      <c r="A55" s="198" t="s">
        <v>84</v>
      </c>
      <c r="B55" s="199"/>
      <c r="C55" s="102" t="s">
        <v>196</v>
      </c>
      <c r="D55" s="129">
        <v>7.3000000000000001E-3</v>
      </c>
      <c r="E55" s="138">
        <v>191229.16407</v>
      </c>
      <c r="F55" s="210">
        <v>45793</v>
      </c>
      <c r="G55" s="140">
        <v>-174740.57704108849</v>
      </c>
      <c r="H55" s="226">
        <f t="shared" si="7"/>
        <v>87371.44</v>
      </c>
      <c r="I55" s="229">
        <f t="shared" si="8"/>
        <v>87371.44</v>
      </c>
      <c r="J55" s="214">
        <f t="shared" si="2"/>
        <v>174741.44</v>
      </c>
      <c r="K55" s="140">
        <v>-16488.587028911512</v>
      </c>
      <c r="L55" s="350">
        <f>H55</f>
        <v>87371.44</v>
      </c>
      <c r="M55" s="176">
        <v>0</v>
      </c>
      <c r="N55" s="179">
        <f t="shared" si="9"/>
        <v>16488.587028911512</v>
      </c>
      <c r="O55" s="179">
        <f t="shared" si="10"/>
        <v>191230.44</v>
      </c>
      <c r="P55" s="126">
        <f t="shared" si="11"/>
        <v>0.44000000000000022</v>
      </c>
    </row>
    <row r="56" spans="1:19" x14ac:dyDescent="0.25">
      <c r="A56" s="198" t="s">
        <v>85</v>
      </c>
      <c r="B56" s="199">
        <v>43</v>
      </c>
      <c r="C56" s="102" t="s">
        <v>197</v>
      </c>
      <c r="D56" s="129">
        <v>1.9699999999999999E-2</v>
      </c>
      <c r="E56" s="138">
        <v>516056.78522999992</v>
      </c>
      <c r="F56" s="210">
        <v>45770</v>
      </c>
      <c r="G56" s="140">
        <v>-487804.97705695755</v>
      </c>
      <c r="H56" s="226">
        <f t="shared" si="7"/>
        <v>243903.45</v>
      </c>
      <c r="I56" s="229">
        <f t="shared" si="8"/>
        <v>243903.45</v>
      </c>
      <c r="J56" s="214">
        <f t="shared" si="2"/>
        <v>487805.45</v>
      </c>
      <c r="K56" s="140">
        <v>-28251.808173042373</v>
      </c>
      <c r="L56" s="350">
        <f>H56</f>
        <v>243903.45</v>
      </c>
      <c r="M56" s="176">
        <v>0</v>
      </c>
      <c r="N56" s="179">
        <f t="shared" si="9"/>
        <v>28251.808173042373</v>
      </c>
      <c r="O56" s="179">
        <f t="shared" si="10"/>
        <v>516057.45</v>
      </c>
      <c r="P56" s="126">
        <f t="shared" si="11"/>
        <v>0.45000000000000023</v>
      </c>
    </row>
    <row r="57" spans="1:19" x14ac:dyDescent="0.25">
      <c r="A57" s="198" t="s">
        <v>86</v>
      </c>
      <c r="B57" s="199">
        <v>10</v>
      </c>
      <c r="C57" s="102" t="s">
        <v>198</v>
      </c>
      <c r="D57" s="129">
        <v>1.17E-2</v>
      </c>
      <c r="E57" s="138">
        <v>306490.57802999998</v>
      </c>
      <c r="F57" s="210">
        <v>45793</v>
      </c>
      <c r="G57" s="140">
        <v>-280063.66457270354</v>
      </c>
      <c r="H57" s="226">
        <f t="shared" si="7"/>
        <v>140032.46</v>
      </c>
      <c r="I57" s="229">
        <f t="shared" si="8"/>
        <v>140032.46</v>
      </c>
      <c r="J57" s="214">
        <f t="shared" si="2"/>
        <v>280064.46000000002</v>
      </c>
      <c r="K57" s="140">
        <v>-26426.913457296439</v>
      </c>
      <c r="L57" s="350">
        <f>J57</f>
        <v>280064.46000000002</v>
      </c>
      <c r="M57" s="176">
        <v>0</v>
      </c>
      <c r="N57" s="179">
        <f t="shared" si="9"/>
        <v>26426.913457296439</v>
      </c>
      <c r="O57" s="179">
        <f t="shared" si="10"/>
        <v>306491.46000000002</v>
      </c>
      <c r="P57" s="164">
        <f t="shared" si="11"/>
        <v>0.46000000000000024</v>
      </c>
    </row>
    <row r="58" spans="1:19" x14ac:dyDescent="0.25">
      <c r="A58" s="198" t="s">
        <v>87</v>
      </c>
      <c r="B58" s="208">
        <v>12</v>
      </c>
      <c r="C58" s="102" t="s">
        <v>177</v>
      </c>
      <c r="D58" s="129">
        <v>1.0999999999999999E-2</v>
      </c>
      <c r="E58" s="138">
        <v>288153.53489999997</v>
      </c>
      <c r="F58" s="210">
        <v>45800</v>
      </c>
      <c r="G58" s="140">
        <v>-260547.07259893051</v>
      </c>
      <c r="H58" s="226">
        <f t="shared" si="7"/>
        <v>130274.47</v>
      </c>
      <c r="I58" s="229">
        <f t="shared" si="8"/>
        <v>130274.47</v>
      </c>
      <c r="J58" s="214">
        <f t="shared" si="2"/>
        <v>260547.47</v>
      </c>
      <c r="K58" s="140">
        <v>-27606.462301069463</v>
      </c>
      <c r="L58" s="350">
        <f>J58</f>
        <v>260547.47</v>
      </c>
      <c r="M58" s="176">
        <v>0</v>
      </c>
      <c r="N58" s="179">
        <f t="shared" si="9"/>
        <v>27606.462301069463</v>
      </c>
      <c r="O58" s="179">
        <f t="shared" si="10"/>
        <v>288154.46999999997</v>
      </c>
      <c r="P58" s="164">
        <f t="shared" si="11"/>
        <v>0.47000000000000025</v>
      </c>
    </row>
    <row r="59" spans="1:19" x14ac:dyDescent="0.25">
      <c r="A59" s="198" t="s">
        <v>88</v>
      </c>
      <c r="B59" s="199">
        <v>20</v>
      </c>
      <c r="C59" s="102" t="s">
        <v>199</v>
      </c>
      <c r="D59" s="129">
        <v>1.18E-2</v>
      </c>
      <c r="E59" s="138">
        <v>309110.15561999998</v>
      </c>
      <c r="F59" s="210">
        <v>45805</v>
      </c>
      <c r="G59" s="140">
        <v>-275852.5976977864</v>
      </c>
      <c r="H59" s="226">
        <f t="shared" si="7"/>
        <v>137927.48000000001</v>
      </c>
      <c r="I59" s="229">
        <f t="shared" si="8"/>
        <v>137927.48000000001</v>
      </c>
      <c r="J59" s="214">
        <f t="shared" si="2"/>
        <v>275853.48</v>
      </c>
      <c r="K59" s="140">
        <v>-33257.557922213571</v>
      </c>
      <c r="L59" s="350"/>
      <c r="M59" s="176">
        <f t="shared" si="3"/>
        <v>275853.48</v>
      </c>
      <c r="N59" s="179">
        <f t="shared" si="9"/>
        <v>33257.557922213571</v>
      </c>
      <c r="O59" s="179">
        <f t="shared" si="10"/>
        <v>309111.48</v>
      </c>
      <c r="P59" s="164">
        <f t="shared" si="11"/>
        <v>0.48000000000000026</v>
      </c>
      <c r="S59" s="173"/>
    </row>
    <row r="60" spans="1:19" x14ac:dyDescent="0.25">
      <c r="A60" s="198" t="s">
        <v>89</v>
      </c>
      <c r="B60" s="199">
        <v>4</v>
      </c>
      <c r="C60" s="102" t="s">
        <v>328</v>
      </c>
      <c r="D60" s="129">
        <v>1.8700000000000001E-2</v>
      </c>
      <c r="E60" s="138">
        <v>489861.00933000003</v>
      </c>
      <c r="F60" s="210">
        <v>45793</v>
      </c>
      <c r="G60" s="140">
        <v>-447623.12200936372</v>
      </c>
      <c r="H60" s="226">
        <f t="shared" si="7"/>
        <v>223812.49</v>
      </c>
      <c r="I60" s="229">
        <f t="shared" si="8"/>
        <v>223812.49</v>
      </c>
      <c r="J60" s="214">
        <f t="shared" si="2"/>
        <v>447623.49</v>
      </c>
      <c r="K60" s="140">
        <v>-42237.887320636306</v>
      </c>
      <c r="L60" s="350">
        <f>H60</f>
        <v>223812.49</v>
      </c>
      <c r="M60" s="176">
        <v>0</v>
      </c>
      <c r="N60" s="179">
        <f t="shared" si="9"/>
        <v>42237.887320636306</v>
      </c>
      <c r="O60" s="179">
        <f t="shared" si="10"/>
        <v>489861.49</v>
      </c>
      <c r="P60" s="126">
        <f t="shared" si="11"/>
        <v>0.49000000000000027</v>
      </c>
      <c r="S60" s="42"/>
    </row>
    <row r="61" spans="1:19" x14ac:dyDescent="0.25">
      <c r="A61" s="198" t="s">
        <v>90</v>
      </c>
      <c r="B61" s="199"/>
      <c r="C61" s="102" t="s">
        <v>201</v>
      </c>
      <c r="D61" s="129">
        <v>7.3000000000000001E-3</v>
      </c>
      <c r="E61" s="138">
        <v>191229.16407</v>
      </c>
      <c r="F61" s="210">
        <v>45793</v>
      </c>
      <c r="G61" s="140">
        <v>-174740.57704108849</v>
      </c>
      <c r="H61" s="226">
        <f t="shared" si="7"/>
        <v>87371.5</v>
      </c>
      <c r="I61" s="229">
        <f t="shared" si="8"/>
        <v>87371.5</v>
      </c>
      <c r="J61" s="214">
        <f>ROUND((-G61),0)+P61</f>
        <v>174741.5</v>
      </c>
      <c r="K61" s="140">
        <v>-16488.587028911512</v>
      </c>
      <c r="L61" s="350"/>
      <c r="M61" s="176">
        <v>93370.5</v>
      </c>
      <c r="N61" s="179">
        <f t="shared" si="9"/>
        <v>16488.587028911512</v>
      </c>
      <c r="O61" s="179">
        <f t="shared" si="10"/>
        <v>191230.5</v>
      </c>
      <c r="P61" s="126">
        <f t="shared" si="11"/>
        <v>0.50000000000000022</v>
      </c>
    </row>
    <row r="62" spans="1:19" x14ac:dyDescent="0.25">
      <c r="A62" s="198" t="s">
        <v>91</v>
      </c>
      <c r="B62" s="199">
        <v>17</v>
      </c>
      <c r="C62" s="102" t="s">
        <v>202</v>
      </c>
      <c r="D62" s="129">
        <v>1.9699999999999999E-2</v>
      </c>
      <c r="E62" s="138">
        <v>516056.78522999992</v>
      </c>
      <c r="F62" s="210">
        <v>45796</v>
      </c>
      <c r="G62" s="140">
        <v>-469441.3017444798</v>
      </c>
      <c r="H62" s="226">
        <f t="shared" si="7"/>
        <v>234721.51</v>
      </c>
      <c r="I62" s="229">
        <f t="shared" si="8"/>
        <v>234721.51</v>
      </c>
      <c r="J62" s="214">
        <f t="shared" si="2"/>
        <v>469441.51</v>
      </c>
      <c r="K62" s="140">
        <v>-46615.483485520119</v>
      </c>
      <c r="L62" s="350">
        <f>H62</f>
        <v>234721.51</v>
      </c>
      <c r="M62" s="176">
        <v>0</v>
      </c>
      <c r="N62" s="179">
        <f t="shared" si="9"/>
        <v>46615.483485520119</v>
      </c>
      <c r="O62" s="179">
        <f t="shared" si="10"/>
        <v>516057.51</v>
      </c>
      <c r="P62" s="126">
        <f t="shared" si="11"/>
        <v>0.51000000000000023</v>
      </c>
    </row>
    <row r="63" spans="1:19" x14ac:dyDescent="0.25">
      <c r="A63" s="198" t="s">
        <v>92</v>
      </c>
      <c r="B63" s="199"/>
      <c r="C63" s="102" t="s">
        <v>203</v>
      </c>
      <c r="D63" s="129">
        <v>9.4000000000000004E-3</v>
      </c>
      <c r="E63" s="138">
        <v>246240.29345999999</v>
      </c>
      <c r="F63" s="210">
        <v>45863</v>
      </c>
      <c r="G63" s="140">
        <v>-164899.57136629923</v>
      </c>
      <c r="H63" s="226">
        <f t="shared" si="7"/>
        <v>82450.52</v>
      </c>
      <c r="I63" s="229">
        <f t="shared" si="8"/>
        <v>82450.52</v>
      </c>
      <c r="J63" s="214">
        <f t="shared" si="2"/>
        <v>164900.51999999999</v>
      </c>
      <c r="K63" s="140">
        <v>-81340.722093700751</v>
      </c>
      <c r="L63" s="350"/>
      <c r="M63" s="176">
        <v>0</v>
      </c>
      <c r="N63" s="179">
        <f t="shared" si="9"/>
        <v>81340.722093700751</v>
      </c>
      <c r="O63" s="179">
        <f t="shared" si="10"/>
        <v>246241.52</v>
      </c>
      <c r="P63" s="126">
        <f t="shared" si="11"/>
        <v>0.52000000000000024</v>
      </c>
    </row>
    <row r="64" spans="1:19" x14ac:dyDescent="0.25">
      <c r="A64" s="198" t="s">
        <v>93</v>
      </c>
      <c r="B64" s="199"/>
      <c r="C64" s="102" t="s">
        <v>329</v>
      </c>
      <c r="D64" s="129">
        <v>8.6999999999999994E-3</v>
      </c>
      <c r="E64" s="138">
        <v>227903.25032999998</v>
      </c>
      <c r="F64" s="210">
        <v>45800</v>
      </c>
      <c r="G64" s="140">
        <v>-206069.04832824506</v>
      </c>
      <c r="H64" s="226">
        <f t="shared" si="7"/>
        <v>103035.53</v>
      </c>
      <c r="I64" s="229">
        <f t="shared" si="8"/>
        <v>103035.53</v>
      </c>
      <c r="J64" s="214">
        <f t="shared" si="2"/>
        <v>206069.53</v>
      </c>
      <c r="K64" s="140">
        <v>-21834.202001754922</v>
      </c>
      <c r="L64" s="350">
        <f>H64</f>
        <v>103035.53</v>
      </c>
      <c r="M64" s="176">
        <v>0</v>
      </c>
      <c r="N64" s="179">
        <f t="shared" si="9"/>
        <v>21834.202001754922</v>
      </c>
      <c r="O64" s="179">
        <f t="shared" si="10"/>
        <v>227904.53</v>
      </c>
      <c r="P64" s="126">
        <f t="shared" si="11"/>
        <v>0.53000000000000025</v>
      </c>
      <c r="R64" t="s">
        <v>244</v>
      </c>
    </row>
    <row r="65" spans="1:17" x14ac:dyDescent="0.25">
      <c r="A65" s="198" t="s">
        <v>94</v>
      </c>
      <c r="B65" s="199">
        <v>23</v>
      </c>
      <c r="C65" s="102" t="s">
        <v>204</v>
      </c>
      <c r="D65" s="129">
        <v>1.18E-2</v>
      </c>
      <c r="E65" s="138">
        <v>309110.15561999998</v>
      </c>
      <c r="F65" s="210">
        <v>45786</v>
      </c>
      <c r="G65" s="140">
        <v>-285418.79160890041</v>
      </c>
      <c r="H65" s="226">
        <f t="shared" si="7"/>
        <v>142710.54</v>
      </c>
      <c r="I65" s="229">
        <f t="shared" si="8"/>
        <v>142710.54</v>
      </c>
      <c r="J65" s="214">
        <f t="shared" si="2"/>
        <v>285419.53999999998</v>
      </c>
      <c r="K65" s="140">
        <v>-23691.364011099562</v>
      </c>
      <c r="L65" s="350"/>
      <c r="M65" s="176">
        <f t="shared" si="3"/>
        <v>285419.53999999998</v>
      </c>
      <c r="N65" s="179">
        <f t="shared" si="9"/>
        <v>23691.364011099562</v>
      </c>
      <c r="O65" s="179">
        <f t="shared" si="10"/>
        <v>309111.53999999998</v>
      </c>
      <c r="P65" s="126">
        <f t="shared" si="11"/>
        <v>0.54000000000000026</v>
      </c>
    </row>
    <row r="66" spans="1:17" x14ac:dyDescent="0.25">
      <c r="A66" s="198" t="s">
        <v>95</v>
      </c>
      <c r="B66" s="209">
        <v>21</v>
      </c>
      <c r="C66" s="102" t="s">
        <v>205</v>
      </c>
      <c r="D66" s="129">
        <v>2.58E-2</v>
      </c>
      <c r="E66" s="138">
        <v>675851.01821999997</v>
      </c>
      <c r="F66" s="210">
        <v>45775</v>
      </c>
      <c r="G66" s="140">
        <v>-634226.20947773824</v>
      </c>
      <c r="H66" s="226">
        <f t="shared" si="7"/>
        <v>317113.55</v>
      </c>
      <c r="I66" s="229">
        <f t="shared" si="8"/>
        <v>317113.55</v>
      </c>
      <c r="J66" s="214">
        <f t="shared" si="2"/>
        <v>634226.55000000005</v>
      </c>
      <c r="K66" s="140">
        <v>-41624.808742261725</v>
      </c>
      <c r="L66" s="350">
        <f>H66</f>
        <v>317113.55</v>
      </c>
      <c r="M66" s="176">
        <v>0</v>
      </c>
      <c r="N66" s="179">
        <f t="shared" si="9"/>
        <v>41624.808742261725</v>
      </c>
      <c r="O66" s="179">
        <f t="shared" si="10"/>
        <v>675851.55</v>
      </c>
      <c r="P66" s="126">
        <f t="shared" si="11"/>
        <v>0.55000000000000027</v>
      </c>
      <c r="Q66" s="71"/>
    </row>
    <row r="67" spans="1:17" x14ac:dyDescent="0.25">
      <c r="A67" s="198" t="s">
        <v>96</v>
      </c>
      <c r="B67" s="199">
        <v>41</v>
      </c>
      <c r="C67" s="102" t="s">
        <v>330</v>
      </c>
      <c r="D67" s="129">
        <v>1.9699999999999999E-2</v>
      </c>
      <c r="E67" s="138">
        <v>516056.78522999992</v>
      </c>
      <c r="F67" s="210">
        <v>45790</v>
      </c>
      <c r="G67" s="140">
        <v>-473679.07297043619</v>
      </c>
      <c r="H67" s="226">
        <f t="shared" si="7"/>
        <v>236840.56</v>
      </c>
      <c r="I67" s="229">
        <f t="shared" si="8"/>
        <v>236840.56</v>
      </c>
      <c r="J67" s="214">
        <f t="shared" si="2"/>
        <v>473679.56</v>
      </c>
      <c r="K67" s="140">
        <v>-42377.712259563734</v>
      </c>
      <c r="L67" s="350">
        <f>H67</f>
        <v>236840.56</v>
      </c>
      <c r="M67" s="176">
        <v>0</v>
      </c>
      <c r="N67" s="179">
        <f t="shared" si="9"/>
        <v>42377.712259563734</v>
      </c>
      <c r="O67" s="179">
        <f t="shared" si="10"/>
        <v>516057.56</v>
      </c>
      <c r="P67" s="126">
        <f t="shared" si="11"/>
        <v>0.56000000000000028</v>
      </c>
    </row>
    <row r="68" spans="1:17" x14ac:dyDescent="0.25">
      <c r="A68" s="198" t="s">
        <v>97</v>
      </c>
      <c r="B68" s="199">
        <v>2</v>
      </c>
      <c r="C68" s="102" t="s">
        <v>331</v>
      </c>
      <c r="D68" s="129">
        <v>1.17E-2</v>
      </c>
      <c r="E68" s="138">
        <v>306490.57802999998</v>
      </c>
      <c r="F68" s="210"/>
      <c r="G68" s="140">
        <v>0</v>
      </c>
      <c r="H68" s="226"/>
      <c r="I68" s="229"/>
      <c r="J68" s="214"/>
      <c r="K68" s="140">
        <v>-306490.57802999998</v>
      </c>
      <c r="L68" s="350"/>
      <c r="M68" s="176">
        <f t="shared" si="3"/>
        <v>0</v>
      </c>
      <c r="N68" s="179">
        <f t="shared" si="9"/>
        <v>306490.57802999998</v>
      </c>
      <c r="O68" s="179">
        <f t="shared" si="10"/>
        <v>306491.57</v>
      </c>
      <c r="P68" s="126">
        <f t="shared" si="11"/>
        <v>0.57000000000000028</v>
      </c>
    </row>
    <row r="69" spans="1:17" x14ac:dyDescent="0.25">
      <c r="A69" s="198" t="s">
        <v>98</v>
      </c>
      <c r="B69" s="199"/>
      <c r="C69" s="102" t="s">
        <v>207</v>
      </c>
      <c r="D69" s="129">
        <v>8.6999999999999994E-3</v>
      </c>
      <c r="E69" s="138">
        <v>227903.25032999998</v>
      </c>
      <c r="F69" s="210">
        <v>45775</v>
      </c>
      <c r="G69" s="140">
        <v>-213866.97761458607</v>
      </c>
      <c r="H69" s="226">
        <f t="shared" si="7"/>
        <v>106934.58</v>
      </c>
      <c r="I69" s="229">
        <f t="shared" si="8"/>
        <v>106934.58</v>
      </c>
      <c r="J69" s="214">
        <f t="shared" si="2"/>
        <v>213867.58</v>
      </c>
      <c r="K69" s="140">
        <v>-14036.272715413914</v>
      </c>
      <c r="L69" s="350"/>
      <c r="M69" s="176">
        <f t="shared" si="3"/>
        <v>213867.58</v>
      </c>
      <c r="N69" s="179">
        <f t="shared" si="9"/>
        <v>14036.272715413914</v>
      </c>
      <c r="O69" s="179">
        <f t="shared" si="10"/>
        <v>227904.58</v>
      </c>
      <c r="P69" s="126">
        <f t="shared" si="11"/>
        <v>0.58000000000000029</v>
      </c>
    </row>
    <row r="70" spans="1:17" x14ac:dyDescent="0.25">
      <c r="A70" s="198" t="s">
        <v>99</v>
      </c>
      <c r="B70" s="199">
        <v>19</v>
      </c>
      <c r="C70" s="102" t="s">
        <v>208</v>
      </c>
      <c r="D70" s="129">
        <v>1.18E-2</v>
      </c>
      <c r="E70" s="138">
        <v>309110.15561999998</v>
      </c>
      <c r="F70" s="210">
        <v>45821</v>
      </c>
      <c r="G70" s="140">
        <v>-256859.2161501162</v>
      </c>
      <c r="H70" s="226">
        <f t="shared" si="7"/>
        <v>128430.59</v>
      </c>
      <c r="I70" s="229">
        <f t="shared" si="8"/>
        <v>128430.59</v>
      </c>
      <c r="J70" s="214">
        <f t="shared" si="2"/>
        <v>256859.59</v>
      </c>
      <c r="K70" s="140">
        <v>-52250.939469883771</v>
      </c>
      <c r="L70" s="350"/>
      <c r="M70" s="176">
        <v>0</v>
      </c>
      <c r="N70" s="179">
        <f t="shared" si="9"/>
        <v>52250.939469883771</v>
      </c>
      <c r="O70" s="179">
        <f t="shared" si="10"/>
        <v>309111.59000000003</v>
      </c>
      <c r="P70" s="126">
        <f t="shared" si="11"/>
        <v>0.5900000000000003</v>
      </c>
    </row>
    <row r="71" spans="1:17" x14ac:dyDescent="0.25">
      <c r="A71" s="198" t="s">
        <v>100</v>
      </c>
      <c r="B71" s="199">
        <v>36</v>
      </c>
      <c r="C71" s="102" t="s">
        <v>209</v>
      </c>
      <c r="D71" s="129">
        <v>2.58E-2</v>
      </c>
      <c r="E71" s="138">
        <v>675851.01821999997</v>
      </c>
      <c r="F71" s="210">
        <v>45891</v>
      </c>
      <c r="G71" s="140">
        <v>-382821.80090465758</v>
      </c>
      <c r="H71" s="226">
        <f t="shared" si="7"/>
        <v>191411.6</v>
      </c>
      <c r="I71" s="229">
        <f t="shared" si="8"/>
        <v>191411.6</v>
      </c>
      <c r="J71" s="214">
        <f t="shared" si="2"/>
        <v>382822.6</v>
      </c>
      <c r="K71" s="140">
        <v>-293029.21731534239</v>
      </c>
      <c r="L71" s="350">
        <f>330000+52822.6</f>
        <v>382822.6</v>
      </c>
      <c r="M71" s="176">
        <v>0</v>
      </c>
      <c r="N71" s="179">
        <f t="shared" si="9"/>
        <v>293029.21731534239</v>
      </c>
      <c r="O71" s="179">
        <f t="shared" si="10"/>
        <v>675852.6</v>
      </c>
      <c r="P71" s="126">
        <f t="shared" si="11"/>
        <v>0.60000000000000031</v>
      </c>
    </row>
    <row r="72" spans="1:17" x14ac:dyDescent="0.25">
      <c r="A72" s="198" t="s">
        <v>101</v>
      </c>
      <c r="B72" s="199">
        <v>15</v>
      </c>
      <c r="C72" s="102" t="s">
        <v>210</v>
      </c>
      <c r="D72" s="129">
        <v>1.9699999999999999E-2</v>
      </c>
      <c r="E72" s="138">
        <v>516056.78522999992</v>
      </c>
      <c r="F72" s="210">
        <v>45800</v>
      </c>
      <c r="G72" s="140">
        <v>-466616.12092717562</v>
      </c>
      <c r="H72" s="226">
        <f t="shared" si="7"/>
        <v>233308.61</v>
      </c>
      <c r="I72" s="229">
        <f t="shared" si="8"/>
        <v>233308.61</v>
      </c>
      <c r="J72" s="214">
        <f t="shared" ref="J72:J80" si="12">ROUND((-G72),0)+P72</f>
        <v>466616.61</v>
      </c>
      <c r="K72" s="140">
        <v>-49440.664302824298</v>
      </c>
      <c r="L72" s="350">
        <f>H72</f>
        <v>233308.61</v>
      </c>
      <c r="M72" s="176">
        <v>0</v>
      </c>
      <c r="N72" s="179">
        <f t="shared" si="9"/>
        <v>49440.664302824298</v>
      </c>
      <c r="O72" s="179">
        <f t="shared" si="10"/>
        <v>516057.61</v>
      </c>
      <c r="P72" s="126">
        <f t="shared" si="11"/>
        <v>0.61000000000000032</v>
      </c>
    </row>
    <row r="73" spans="1:17" x14ac:dyDescent="0.25">
      <c r="A73" s="198" t="s">
        <v>102</v>
      </c>
      <c r="B73" s="199"/>
      <c r="C73" s="102" t="s">
        <v>211</v>
      </c>
      <c r="D73" s="129">
        <v>9.4000000000000004E-3</v>
      </c>
      <c r="E73" s="138">
        <v>246240.29345999999</v>
      </c>
      <c r="F73" s="210">
        <v>45784</v>
      </c>
      <c r="G73" s="140">
        <v>-228041.53987035993</v>
      </c>
      <c r="H73" s="226">
        <f t="shared" si="7"/>
        <v>114021.62</v>
      </c>
      <c r="I73" s="229">
        <f t="shared" si="8"/>
        <v>114021.62</v>
      </c>
      <c r="J73" s="214">
        <f t="shared" si="12"/>
        <v>228042.62</v>
      </c>
      <c r="K73" s="140">
        <v>-18198.753589640051</v>
      </c>
      <c r="L73" s="350"/>
      <c r="M73" s="176">
        <f t="shared" ref="M73:M80" si="13">IF(L73=H73,I73,J73)</f>
        <v>228042.62</v>
      </c>
      <c r="N73" s="179">
        <f t="shared" si="9"/>
        <v>18198.753589640051</v>
      </c>
      <c r="O73" s="179">
        <f t="shared" si="10"/>
        <v>246241.62</v>
      </c>
      <c r="P73" s="126">
        <f t="shared" si="11"/>
        <v>0.62000000000000033</v>
      </c>
    </row>
    <row r="74" spans="1:17" x14ac:dyDescent="0.25">
      <c r="A74" s="198" t="s">
        <v>103</v>
      </c>
      <c r="B74" s="199">
        <v>40</v>
      </c>
      <c r="C74" s="102" t="s">
        <v>212</v>
      </c>
      <c r="D74" s="129">
        <v>1.0999999999999999E-2</v>
      </c>
      <c r="E74" s="138">
        <v>288153.53489999997</v>
      </c>
      <c r="F74" s="210">
        <v>45784</v>
      </c>
      <c r="G74" s="140">
        <v>-266857.12112488924</v>
      </c>
      <c r="H74" s="226">
        <f t="shared" si="7"/>
        <v>133429.63</v>
      </c>
      <c r="I74" s="229">
        <f t="shared" si="8"/>
        <v>133429.63</v>
      </c>
      <c r="J74" s="214">
        <f t="shared" si="12"/>
        <v>266857.63</v>
      </c>
      <c r="K74" s="140">
        <v>-21296.413775110734</v>
      </c>
      <c r="L74" s="350"/>
      <c r="M74" s="176">
        <v>133429.63</v>
      </c>
      <c r="N74" s="179">
        <f t="shared" si="9"/>
        <v>21296.413775110734</v>
      </c>
      <c r="O74" s="179">
        <f t="shared" si="10"/>
        <v>288154.63</v>
      </c>
      <c r="P74" s="126">
        <f t="shared" si="11"/>
        <v>0.63000000000000034</v>
      </c>
    </row>
    <row r="75" spans="1:17" x14ac:dyDescent="0.25">
      <c r="A75" s="198" t="s">
        <v>104</v>
      </c>
      <c r="B75" s="199"/>
      <c r="C75" s="102" t="s">
        <v>213</v>
      </c>
      <c r="D75" s="129">
        <v>9.4999999999999998E-3</v>
      </c>
      <c r="E75" s="138">
        <v>248859.87104999999</v>
      </c>
      <c r="F75" s="210">
        <v>45786</v>
      </c>
      <c r="G75" s="140">
        <v>-229786.31527835201</v>
      </c>
      <c r="H75" s="226">
        <f t="shared" si="7"/>
        <v>114893.64</v>
      </c>
      <c r="I75" s="229">
        <f t="shared" si="8"/>
        <v>114893.64</v>
      </c>
      <c r="J75" s="214">
        <f t="shared" si="12"/>
        <v>229786.64</v>
      </c>
      <c r="K75" s="140">
        <v>-19073.555771647982</v>
      </c>
      <c r="L75" s="350"/>
      <c r="M75" s="176">
        <v>0</v>
      </c>
      <c r="N75" s="179">
        <f t="shared" si="9"/>
        <v>19073.555771647982</v>
      </c>
      <c r="O75" s="179">
        <f t="shared" si="10"/>
        <v>248860.64</v>
      </c>
      <c r="P75" s="126">
        <f t="shared" si="11"/>
        <v>0.64000000000000035</v>
      </c>
    </row>
    <row r="76" spans="1:17" x14ac:dyDescent="0.25">
      <c r="A76" s="198" t="s">
        <v>105</v>
      </c>
      <c r="B76" s="199">
        <v>9</v>
      </c>
      <c r="C76" s="102" t="s">
        <v>332</v>
      </c>
      <c r="D76" s="129">
        <v>2.58E-2</v>
      </c>
      <c r="E76" s="138">
        <v>675851.01821999997</v>
      </c>
      <c r="F76" s="210">
        <v>45835</v>
      </c>
      <c r="G76" s="140">
        <v>-525270.52442663931</v>
      </c>
      <c r="H76" s="226">
        <f t="shared" si="7"/>
        <v>262636.65000000002</v>
      </c>
      <c r="I76" s="229">
        <f t="shared" si="8"/>
        <v>262636.65000000002</v>
      </c>
      <c r="J76" s="214">
        <f t="shared" si="12"/>
        <v>525271.65</v>
      </c>
      <c r="K76" s="140">
        <v>-150580.49379336066</v>
      </c>
      <c r="L76" s="350">
        <f>H76</f>
        <v>262636.65000000002</v>
      </c>
      <c r="M76" s="176">
        <v>0</v>
      </c>
      <c r="N76" s="179">
        <f t="shared" si="9"/>
        <v>150580.49379336066</v>
      </c>
      <c r="O76" s="179">
        <f t="shared" si="10"/>
        <v>675852.65</v>
      </c>
      <c r="P76" s="126">
        <f t="shared" si="11"/>
        <v>0.65000000000000036</v>
      </c>
    </row>
    <row r="77" spans="1:17" x14ac:dyDescent="0.25">
      <c r="A77" s="198" t="s">
        <v>106</v>
      </c>
      <c r="B77" s="199">
        <v>35</v>
      </c>
      <c r="C77" s="102" t="s">
        <v>214</v>
      </c>
      <c r="D77" s="129">
        <v>1.9699999999999999E-2</v>
      </c>
      <c r="E77" s="138">
        <v>516056.78522999992</v>
      </c>
      <c r="F77" s="210">
        <v>45784</v>
      </c>
      <c r="G77" s="140">
        <v>-477916.84419639257</v>
      </c>
      <c r="H77" s="226">
        <f t="shared" ref="H77:H80" si="14">ROUND((J77/2),0)+P77</f>
        <v>238959.66</v>
      </c>
      <c r="I77" s="229">
        <f t="shared" ref="I77:I80" si="15">H77</f>
        <v>238959.66</v>
      </c>
      <c r="J77" s="214">
        <f t="shared" si="12"/>
        <v>477917.66</v>
      </c>
      <c r="K77" s="140">
        <v>-38139.941033607349</v>
      </c>
      <c r="L77" s="350">
        <v>238359.66</v>
      </c>
      <c r="M77" s="176">
        <f>I77-L77</f>
        <v>600</v>
      </c>
      <c r="N77" s="179">
        <f t="shared" ref="N77:N80" si="16">-K77</f>
        <v>38139.941033607349</v>
      </c>
      <c r="O77" s="179">
        <f t="shared" ref="O77:O80" si="17">ROUND((J77+N77),0) + P77</f>
        <v>516058.66</v>
      </c>
      <c r="P77" s="126">
        <f t="shared" si="11"/>
        <v>0.66000000000000036</v>
      </c>
    </row>
    <row r="78" spans="1:17" x14ac:dyDescent="0.25">
      <c r="A78" s="198" t="s">
        <v>107</v>
      </c>
      <c r="B78" s="199" t="s">
        <v>314</v>
      </c>
      <c r="C78" s="102" t="s">
        <v>215</v>
      </c>
      <c r="D78" s="129">
        <v>1.4E-2</v>
      </c>
      <c r="E78" s="138">
        <v>366740.86259999999</v>
      </c>
      <c r="F78" s="210">
        <v>45786</v>
      </c>
      <c r="G78" s="140">
        <v>-338632.46462072933</v>
      </c>
      <c r="H78" s="226">
        <f t="shared" si="14"/>
        <v>169316.67</v>
      </c>
      <c r="I78" s="229">
        <f t="shared" si="15"/>
        <v>169316.67</v>
      </c>
      <c r="J78" s="214">
        <f t="shared" si="12"/>
        <v>338632.67</v>
      </c>
      <c r="K78" s="140">
        <v>-28108.397979270667</v>
      </c>
      <c r="L78" s="350">
        <f>H78</f>
        <v>169316.67</v>
      </c>
      <c r="M78" s="176">
        <v>0</v>
      </c>
      <c r="N78" s="179">
        <f t="shared" si="16"/>
        <v>28108.397979270667</v>
      </c>
      <c r="O78" s="179">
        <f t="shared" si="17"/>
        <v>366741.67</v>
      </c>
      <c r="P78" s="126">
        <f t="shared" ref="P78:P80" si="18">P77+0.01</f>
        <v>0.67000000000000037</v>
      </c>
    </row>
    <row r="79" spans="1:17" x14ac:dyDescent="0.25">
      <c r="A79" s="198" t="s">
        <v>108</v>
      </c>
      <c r="B79" s="198">
        <v>42</v>
      </c>
      <c r="C79" s="102" t="s">
        <v>216</v>
      </c>
      <c r="D79" s="129">
        <v>1.0999999999999999E-2</v>
      </c>
      <c r="E79" s="138">
        <v>288153.53489999997</v>
      </c>
      <c r="F79" s="210">
        <v>45777</v>
      </c>
      <c r="G79" s="140">
        <v>-269617.76735499618</v>
      </c>
      <c r="H79" s="226">
        <f t="shared" si="14"/>
        <v>134809.68</v>
      </c>
      <c r="I79" s="229">
        <f t="shared" si="15"/>
        <v>134809.68</v>
      </c>
      <c r="J79" s="214">
        <f t="shared" si="12"/>
        <v>269618.68</v>
      </c>
      <c r="K79" s="140">
        <v>-18535.767545003793</v>
      </c>
      <c r="L79" s="350">
        <f>H79</f>
        <v>134809.68</v>
      </c>
      <c r="M79" s="176">
        <v>0</v>
      </c>
      <c r="N79" s="179">
        <f t="shared" si="16"/>
        <v>18535.767545003793</v>
      </c>
      <c r="O79" s="179">
        <f t="shared" si="17"/>
        <v>288154.68</v>
      </c>
      <c r="P79" s="126">
        <f t="shared" si="18"/>
        <v>0.68000000000000038</v>
      </c>
    </row>
    <row r="80" spans="1:17" x14ac:dyDescent="0.25">
      <c r="A80" s="198" t="s">
        <v>109</v>
      </c>
      <c r="B80" s="199">
        <v>27</v>
      </c>
      <c r="C80" s="102" t="s">
        <v>217</v>
      </c>
      <c r="D80" s="129">
        <v>1.18E-2</v>
      </c>
      <c r="E80" s="138">
        <v>309110.15561999998</v>
      </c>
      <c r="F80" s="210">
        <v>45800</v>
      </c>
      <c r="G80" s="140">
        <v>-279495.95060612552</v>
      </c>
      <c r="H80" s="226">
        <f t="shared" si="14"/>
        <v>139748.69</v>
      </c>
      <c r="I80" s="229">
        <f t="shared" si="15"/>
        <v>139748.69</v>
      </c>
      <c r="J80" s="214">
        <f t="shared" si="12"/>
        <v>279496.69</v>
      </c>
      <c r="K80" s="140">
        <v>-29614.205013874453</v>
      </c>
      <c r="L80" s="176"/>
      <c r="M80" s="176">
        <f t="shared" si="13"/>
        <v>279496.69</v>
      </c>
      <c r="N80" s="179">
        <f t="shared" si="16"/>
        <v>29614.205013874453</v>
      </c>
      <c r="O80" s="179">
        <f t="shared" si="17"/>
        <v>309111.69</v>
      </c>
      <c r="P80" s="126">
        <f t="shared" si="18"/>
        <v>0.69000000000000039</v>
      </c>
    </row>
    <row r="81" spans="1:17" x14ac:dyDescent="0.25">
      <c r="A81" s="34"/>
      <c r="B81" s="34"/>
      <c r="C81" s="102"/>
      <c r="D81" s="34"/>
      <c r="E81" s="138"/>
      <c r="F81" s="74"/>
      <c r="G81" s="139"/>
      <c r="H81" s="139"/>
      <c r="I81" s="139"/>
      <c r="J81" s="139"/>
      <c r="K81" s="139"/>
      <c r="L81" s="139"/>
      <c r="M81" s="139"/>
      <c r="N81" s="139"/>
      <c r="O81" s="140"/>
    </row>
    <row r="82" spans="1:17" x14ac:dyDescent="0.25">
      <c r="A82" s="26"/>
      <c r="B82" s="26"/>
      <c r="C82" s="26"/>
      <c r="D82" s="110">
        <f>SUM(D7:D81)</f>
        <v>0.99790000000000079</v>
      </c>
      <c r="E82" s="27">
        <f>SUM(E7:E81)</f>
        <v>26140764.770610008</v>
      </c>
      <c r="F82" s="165">
        <f>SUM(F7:F81)</f>
        <v>3344000</v>
      </c>
      <c r="G82" s="28">
        <f>SUM(G7:G81)</f>
        <v>-22258385.373480178</v>
      </c>
      <c r="H82" s="28"/>
      <c r="I82" s="28"/>
      <c r="J82" s="28"/>
      <c r="K82" s="28"/>
      <c r="L82" s="234">
        <f>SUM(L7:L80)</f>
        <v>10374974.76</v>
      </c>
      <c r="M82" s="234">
        <f>SUM(M7:M80)</f>
        <v>4712668.7</v>
      </c>
      <c r="N82" s="28"/>
      <c r="O82" s="27">
        <f>SUM(O7:O81)</f>
        <v>26140811.75</v>
      </c>
      <c r="Q82" s="57"/>
    </row>
  </sheetData>
  <mergeCells count="17">
    <mergeCell ref="M4:M6"/>
    <mergeCell ref="A3:O3"/>
    <mergeCell ref="A1:O2"/>
    <mergeCell ref="R7:S8"/>
    <mergeCell ref="J4:J6"/>
    <mergeCell ref="N4:N6"/>
    <mergeCell ref="A4:A6"/>
    <mergeCell ref="G4:G6"/>
    <mergeCell ref="O4:O6"/>
    <mergeCell ref="E4:E6"/>
    <mergeCell ref="F4:F6"/>
    <mergeCell ref="B4:B6"/>
    <mergeCell ref="C4:C6"/>
    <mergeCell ref="D4:D6"/>
    <mergeCell ref="H4:H6"/>
    <mergeCell ref="I4:I6"/>
    <mergeCell ref="L4:L6"/>
  </mergeCells>
  <pageMargins left="0.25" right="0.25" top="0.75" bottom="0.75" header="0.3" footer="0.3"/>
  <pageSetup paperSize="3" scale="11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5EFC1-5C09-4380-B9A2-A73102AE2F7A}">
  <dimension ref="C2:M54"/>
  <sheetViews>
    <sheetView topLeftCell="A46" workbookViewId="0">
      <selection activeCell="K30" sqref="K30:L35"/>
    </sheetView>
  </sheetViews>
  <sheetFormatPr baseColWidth="10" defaultRowHeight="15" x14ac:dyDescent="0.25"/>
  <sheetData>
    <row r="2" spans="3:13" ht="15.75" thickBot="1" x14ac:dyDescent="0.3"/>
    <row r="3" spans="3:13" x14ac:dyDescent="0.25">
      <c r="C3" s="237" t="s">
        <v>353</v>
      </c>
      <c r="D3" s="238">
        <v>1</v>
      </c>
      <c r="E3" s="238"/>
      <c r="F3" s="239"/>
      <c r="G3" s="239"/>
      <c r="H3" s="239"/>
      <c r="I3" s="239"/>
      <c r="J3" s="240"/>
    </row>
    <row r="4" spans="3:13" x14ac:dyDescent="0.25">
      <c r="C4" s="241" t="s">
        <v>354</v>
      </c>
      <c r="D4" s="242"/>
      <c r="E4" s="243">
        <v>0</v>
      </c>
      <c r="F4" s="71"/>
      <c r="G4" s="71" t="s">
        <v>355</v>
      </c>
      <c r="H4" s="244" t="s">
        <v>362</v>
      </c>
      <c r="I4" s="245"/>
      <c r="J4" s="246"/>
    </row>
    <row r="5" spans="3:13" x14ac:dyDescent="0.25">
      <c r="C5" s="241" t="s">
        <v>356</v>
      </c>
      <c r="D5" s="242" t="s">
        <v>357</v>
      </c>
      <c r="E5" s="242" t="s">
        <v>358</v>
      </c>
      <c r="F5" s="71"/>
      <c r="G5" s="71" t="s">
        <v>359</v>
      </c>
      <c r="H5" t="s">
        <v>361</v>
      </c>
      <c r="I5" s="245"/>
      <c r="J5" s="246"/>
    </row>
    <row r="6" spans="3:13" ht="15.75" thickBot="1" x14ac:dyDescent="0.3">
      <c r="C6" s="233" t="s">
        <v>360</v>
      </c>
      <c r="D6" s="71"/>
      <c r="E6" s="71"/>
      <c r="F6" s="71"/>
      <c r="G6" s="71"/>
      <c r="H6" s="71"/>
      <c r="I6" s="71"/>
      <c r="J6" s="247"/>
    </row>
    <row r="7" spans="3:13" x14ac:dyDescent="0.25">
      <c r="C7" s="338" t="s">
        <v>363</v>
      </c>
      <c r="D7" s="339"/>
      <c r="E7" s="339"/>
      <c r="F7" s="339"/>
      <c r="G7" s="339"/>
      <c r="H7" s="339"/>
      <c r="I7" s="339"/>
      <c r="J7" s="340"/>
    </row>
    <row r="8" spans="3:13" x14ac:dyDescent="0.25">
      <c r="C8" s="341"/>
      <c r="D8" s="342"/>
      <c r="E8" s="342"/>
      <c r="F8" s="342"/>
      <c r="G8" s="342"/>
      <c r="H8" s="342"/>
      <c r="I8" s="342"/>
      <c r="J8" s="343"/>
    </row>
    <row r="9" spans="3:13" ht="15.75" thickBot="1" x14ac:dyDescent="0.3">
      <c r="C9" s="344"/>
      <c r="D9" s="345"/>
      <c r="E9" s="345"/>
      <c r="F9" s="345"/>
      <c r="G9" s="345"/>
      <c r="H9" s="345"/>
      <c r="I9" s="345"/>
      <c r="J9" s="346"/>
    </row>
    <row r="11" spans="3:13" ht="15.75" thickBot="1" x14ac:dyDescent="0.3"/>
    <row r="12" spans="3:13" x14ac:dyDescent="0.25">
      <c r="C12" s="248" t="s">
        <v>353</v>
      </c>
      <c r="D12" s="249">
        <f>D3+1</f>
        <v>2</v>
      </c>
      <c r="E12" s="249"/>
      <c r="F12" s="239"/>
      <c r="G12" s="239"/>
      <c r="H12" s="239"/>
      <c r="I12" s="239"/>
      <c r="J12" s="240"/>
    </row>
    <row r="13" spans="3:13" ht="15.6" customHeight="1" x14ac:dyDescent="0.25">
      <c r="C13" s="250" t="s">
        <v>354</v>
      </c>
      <c r="D13" s="251"/>
      <c r="E13" s="252">
        <v>0</v>
      </c>
      <c r="F13" s="71"/>
      <c r="G13" s="71" t="s">
        <v>355</v>
      </c>
      <c r="H13" s="244"/>
      <c r="I13" s="245"/>
      <c r="J13" s="246"/>
      <c r="K13" s="265"/>
      <c r="L13" s="265"/>
      <c r="M13" s="265"/>
    </row>
    <row r="14" spans="3:13" x14ac:dyDescent="0.25">
      <c r="C14" s="250" t="s">
        <v>356</v>
      </c>
      <c r="D14" s="251" t="s">
        <v>357</v>
      </c>
      <c r="E14" s="251" t="s">
        <v>358</v>
      </c>
      <c r="F14" s="71"/>
      <c r="G14" s="71" t="s">
        <v>359</v>
      </c>
      <c r="H14" t="s">
        <v>364</v>
      </c>
      <c r="I14" s="245"/>
      <c r="J14" s="246"/>
      <c r="K14" s="265"/>
      <c r="L14" s="265"/>
      <c r="M14" s="265"/>
    </row>
    <row r="15" spans="3:13" ht="15.75" thickBot="1" x14ac:dyDescent="0.3">
      <c r="C15" s="233" t="s">
        <v>360</v>
      </c>
      <c r="D15" s="71"/>
      <c r="E15" s="71"/>
      <c r="F15" s="71"/>
      <c r="G15" s="71"/>
      <c r="H15" s="71"/>
      <c r="I15" s="71"/>
      <c r="J15" s="247"/>
      <c r="K15" s="265"/>
      <c r="L15" s="265"/>
      <c r="M15" s="265"/>
    </row>
    <row r="16" spans="3:13" x14ac:dyDescent="0.25">
      <c r="C16" s="338" t="s">
        <v>365</v>
      </c>
      <c r="D16" s="339"/>
      <c r="E16" s="339"/>
      <c r="F16" s="339"/>
      <c r="G16" s="339"/>
      <c r="H16" s="339"/>
      <c r="I16" s="339"/>
      <c r="J16" s="340"/>
      <c r="K16" s="265"/>
      <c r="L16" s="265"/>
      <c r="M16" s="265"/>
    </row>
    <row r="17" spans="3:13" x14ac:dyDescent="0.25">
      <c r="C17" s="341"/>
      <c r="D17" s="342"/>
      <c r="E17" s="342"/>
      <c r="F17" s="342"/>
      <c r="G17" s="342"/>
      <c r="H17" s="342"/>
      <c r="I17" s="342"/>
      <c r="J17" s="343"/>
      <c r="K17" s="265"/>
      <c r="L17" s="265"/>
      <c r="M17" s="265"/>
    </row>
    <row r="18" spans="3:13" ht="15.75" thickBot="1" x14ac:dyDescent="0.3">
      <c r="C18" s="344"/>
      <c r="D18" s="345"/>
      <c r="E18" s="345"/>
      <c r="F18" s="345"/>
      <c r="G18" s="345"/>
      <c r="H18" s="345"/>
      <c r="I18" s="345"/>
      <c r="J18" s="346"/>
      <c r="K18" s="265"/>
      <c r="L18" s="265"/>
      <c r="M18" s="265"/>
    </row>
    <row r="20" spans="3:13" ht="15.75" thickBot="1" x14ac:dyDescent="0.3"/>
    <row r="21" spans="3:13" x14ac:dyDescent="0.25">
      <c r="C21" s="254" t="s">
        <v>353</v>
      </c>
      <c r="D21" s="255">
        <f>D12+1</f>
        <v>3</v>
      </c>
      <c r="E21" s="255"/>
      <c r="F21" s="239"/>
      <c r="G21" s="239"/>
      <c r="H21" s="239"/>
      <c r="I21" s="239"/>
      <c r="J21" s="240"/>
    </row>
    <row r="22" spans="3:13" x14ac:dyDescent="0.25">
      <c r="C22" s="256" t="s">
        <v>354</v>
      </c>
      <c r="D22" s="257"/>
      <c r="E22" s="258">
        <v>0</v>
      </c>
      <c r="F22" s="71"/>
      <c r="G22" s="71" t="s">
        <v>355</v>
      </c>
      <c r="H22" s="244"/>
      <c r="I22" s="245"/>
      <c r="J22" s="246"/>
      <c r="K22" s="265"/>
      <c r="L22" s="265"/>
    </row>
    <row r="23" spans="3:13" x14ac:dyDescent="0.25">
      <c r="C23" s="256" t="s">
        <v>356</v>
      </c>
      <c r="D23" s="257" t="s">
        <v>357</v>
      </c>
      <c r="E23" s="257" t="s">
        <v>358</v>
      </c>
      <c r="F23" s="71"/>
      <c r="G23" s="71" t="s">
        <v>359</v>
      </c>
      <c r="H23" t="s">
        <v>366</v>
      </c>
      <c r="I23" s="245"/>
      <c r="J23" s="246"/>
      <c r="K23" s="265"/>
      <c r="L23" s="265"/>
    </row>
    <row r="24" spans="3:13" ht="15.75" thickBot="1" x14ac:dyDescent="0.3">
      <c r="C24" s="233" t="s">
        <v>360</v>
      </c>
      <c r="D24" s="71"/>
      <c r="E24" s="71"/>
      <c r="F24" s="71"/>
      <c r="G24" s="71"/>
      <c r="H24" s="71"/>
      <c r="I24" s="71"/>
      <c r="J24" s="247"/>
      <c r="K24" s="265"/>
      <c r="L24" s="265"/>
    </row>
    <row r="25" spans="3:13" x14ac:dyDescent="0.25">
      <c r="C25" s="338" t="s">
        <v>367</v>
      </c>
      <c r="D25" s="339"/>
      <c r="E25" s="339"/>
      <c r="F25" s="339"/>
      <c r="G25" s="339"/>
      <c r="H25" s="339"/>
      <c r="I25" s="339"/>
      <c r="J25" s="340"/>
      <c r="K25" s="265"/>
      <c r="L25" s="265"/>
    </row>
    <row r="26" spans="3:13" x14ac:dyDescent="0.25">
      <c r="C26" s="341"/>
      <c r="D26" s="342"/>
      <c r="E26" s="342"/>
      <c r="F26" s="342"/>
      <c r="G26" s="342"/>
      <c r="H26" s="342"/>
      <c r="I26" s="342"/>
      <c r="J26" s="343"/>
      <c r="K26" s="265"/>
      <c r="L26" s="265"/>
    </row>
    <row r="27" spans="3:13" ht="15.75" thickBot="1" x14ac:dyDescent="0.3">
      <c r="C27" s="344"/>
      <c r="D27" s="345"/>
      <c r="E27" s="345"/>
      <c r="F27" s="345"/>
      <c r="G27" s="345"/>
      <c r="H27" s="345"/>
      <c r="I27" s="345"/>
      <c r="J27" s="346"/>
    </row>
    <row r="29" spans="3:13" ht="15.75" thickBot="1" x14ac:dyDescent="0.3"/>
    <row r="30" spans="3:13" x14ac:dyDescent="0.25">
      <c r="C30" s="106" t="s">
        <v>353</v>
      </c>
      <c r="D30" s="104">
        <f>D21+1</f>
        <v>4</v>
      </c>
      <c r="E30" s="104"/>
      <c r="F30" s="239"/>
      <c r="G30" s="239"/>
      <c r="H30" s="239"/>
      <c r="I30" s="239"/>
      <c r="J30" s="240"/>
      <c r="K30" s="265"/>
      <c r="L30" s="265"/>
    </row>
    <row r="31" spans="3:13" x14ac:dyDescent="0.25">
      <c r="C31" s="259" t="s">
        <v>354</v>
      </c>
      <c r="D31" s="260"/>
      <c r="E31" s="261">
        <v>0</v>
      </c>
      <c r="F31" s="71"/>
      <c r="G31" s="71" t="s">
        <v>355</v>
      </c>
      <c r="H31" s="244" t="s">
        <v>370</v>
      </c>
      <c r="I31" s="245"/>
      <c r="J31" s="246"/>
      <c r="K31" s="265"/>
      <c r="L31" s="265"/>
    </row>
    <row r="32" spans="3:13" x14ac:dyDescent="0.25">
      <c r="C32" s="259" t="s">
        <v>356</v>
      </c>
      <c r="D32" s="260" t="s">
        <v>357</v>
      </c>
      <c r="E32" s="260" t="s">
        <v>358</v>
      </c>
      <c r="F32" s="71"/>
      <c r="G32" s="71" t="s">
        <v>359</v>
      </c>
      <c r="H32" t="s">
        <v>369</v>
      </c>
      <c r="I32" s="245"/>
      <c r="J32" s="246"/>
      <c r="K32" s="265"/>
      <c r="L32" s="265"/>
    </row>
    <row r="33" spans="3:12" ht="15.75" thickBot="1" x14ac:dyDescent="0.3">
      <c r="C33" s="233" t="s">
        <v>360</v>
      </c>
      <c r="D33" s="71"/>
      <c r="E33" s="71"/>
      <c r="F33" s="71"/>
      <c r="G33" s="71"/>
      <c r="H33" s="71"/>
      <c r="I33" s="71"/>
      <c r="J33" s="247"/>
      <c r="K33" s="265"/>
      <c r="L33" s="265"/>
    </row>
    <row r="34" spans="3:12" x14ac:dyDescent="0.25">
      <c r="C34" s="338" t="s">
        <v>368</v>
      </c>
      <c r="D34" s="339"/>
      <c r="E34" s="339"/>
      <c r="F34" s="339"/>
      <c r="G34" s="339"/>
      <c r="H34" s="339"/>
      <c r="I34" s="339"/>
      <c r="J34" s="340"/>
      <c r="K34" s="265"/>
      <c r="L34" s="265"/>
    </row>
    <row r="35" spans="3:12" x14ac:dyDescent="0.25">
      <c r="C35" s="341"/>
      <c r="D35" s="342"/>
      <c r="E35" s="342"/>
      <c r="F35" s="342"/>
      <c r="G35" s="342"/>
      <c r="H35" s="342"/>
      <c r="I35" s="342"/>
      <c r="J35" s="343"/>
      <c r="K35" s="265"/>
      <c r="L35" s="265"/>
    </row>
    <row r="36" spans="3:12" ht="15.75" thickBot="1" x14ac:dyDescent="0.3">
      <c r="C36" s="344"/>
      <c r="D36" s="345"/>
      <c r="E36" s="345"/>
      <c r="F36" s="345"/>
      <c r="G36" s="345"/>
      <c r="H36" s="345"/>
      <c r="I36" s="345"/>
      <c r="J36" s="346"/>
    </row>
    <row r="38" spans="3:12" ht="15.75" thickBot="1" x14ac:dyDescent="0.3"/>
    <row r="39" spans="3:12" x14ac:dyDescent="0.25">
      <c r="C39" s="262" t="s">
        <v>353</v>
      </c>
      <c r="D39" s="263">
        <f>D30+1</f>
        <v>5</v>
      </c>
      <c r="E39" s="263"/>
      <c r="F39" s="239"/>
      <c r="G39" s="239"/>
      <c r="H39" s="239"/>
      <c r="I39" s="239"/>
      <c r="J39" s="240"/>
      <c r="K39" s="265"/>
      <c r="L39" s="265"/>
    </row>
    <row r="40" spans="3:12" x14ac:dyDescent="0.25">
      <c r="C40" s="264" t="s">
        <v>354</v>
      </c>
      <c r="D40" s="265"/>
      <c r="E40" s="266">
        <v>0</v>
      </c>
      <c r="F40" s="71"/>
      <c r="G40" s="71" t="s">
        <v>355</v>
      </c>
      <c r="H40" s="244"/>
      <c r="I40" s="245"/>
      <c r="J40" s="246"/>
      <c r="K40" s="265"/>
      <c r="L40" s="265"/>
    </row>
    <row r="41" spans="3:12" x14ac:dyDescent="0.25">
      <c r="C41" s="264" t="s">
        <v>356</v>
      </c>
      <c r="D41" s="265" t="s">
        <v>357</v>
      </c>
      <c r="E41" s="265" t="s">
        <v>358</v>
      </c>
      <c r="F41" s="71"/>
      <c r="G41" s="71" t="s">
        <v>359</v>
      </c>
      <c r="H41" t="s">
        <v>371</v>
      </c>
      <c r="I41" s="245"/>
      <c r="J41" s="246"/>
      <c r="K41" s="265"/>
      <c r="L41" s="265"/>
    </row>
    <row r="42" spans="3:12" ht="15.75" thickBot="1" x14ac:dyDescent="0.3">
      <c r="C42" s="233" t="s">
        <v>360</v>
      </c>
      <c r="D42" s="71"/>
      <c r="E42" s="71"/>
      <c r="F42" s="71"/>
      <c r="G42" s="71"/>
      <c r="H42" s="71"/>
      <c r="I42" s="71"/>
      <c r="J42" s="247"/>
      <c r="K42" s="265"/>
      <c r="L42" s="265"/>
    </row>
    <row r="43" spans="3:12" x14ac:dyDescent="0.25">
      <c r="C43" s="338" t="s">
        <v>372</v>
      </c>
      <c r="D43" s="339"/>
      <c r="E43" s="339"/>
      <c r="F43" s="339"/>
      <c r="G43" s="339"/>
      <c r="H43" s="339"/>
      <c r="I43" s="339"/>
      <c r="J43" s="340"/>
      <c r="K43" s="265"/>
      <c r="L43" s="265"/>
    </row>
    <row r="44" spans="3:12" x14ac:dyDescent="0.25">
      <c r="C44" s="341"/>
      <c r="D44" s="342"/>
      <c r="E44" s="342"/>
      <c r="F44" s="342"/>
      <c r="G44" s="342"/>
      <c r="H44" s="342"/>
      <c r="I44" s="342"/>
      <c r="J44" s="343"/>
      <c r="K44" s="265"/>
      <c r="L44" s="265"/>
    </row>
    <row r="45" spans="3:12" ht="15.75" thickBot="1" x14ac:dyDescent="0.3">
      <c r="C45" s="344"/>
      <c r="D45" s="345"/>
      <c r="E45" s="345"/>
      <c r="F45" s="345"/>
      <c r="G45" s="345"/>
      <c r="H45" s="345"/>
      <c r="I45" s="345"/>
      <c r="J45" s="346"/>
      <c r="K45" s="265"/>
      <c r="L45" s="265"/>
    </row>
    <row r="47" spans="3:12" ht="15.75" thickBot="1" x14ac:dyDescent="0.3"/>
    <row r="48" spans="3:12" x14ac:dyDescent="0.25">
      <c r="C48" s="268" t="s">
        <v>353</v>
      </c>
      <c r="D48" s="269">
        <f>D39+1</f>
        <v>6</v>
      </c>
      <c r="E48" s="269"/>
      <c r="F48" s="239"/>
      <c r="G48" s="239"/>
      <c r="H48" s="239"/>
      <c r="I48" s="239"/>
      <c r="J48" s="240"/>
      <c r="K48" s="265"/>
      <c r="L48" s="265"/>
    </row>
    <row r="49" spans="3:12" x14ac:dyDescent="0.25">
      <c r="C49" s="270" t="s">
        <v>354</v>
      </c>
      <c r="D49" s="271"/>
      <c r="E49" s="272">
        <v>0</v>
      </c>
      <c r="F49" s="71"/>
      <c r="G49" s="71" t="s">
        <v>355</v>
      </c>
      <c r="H49" s="244"/>
      <c r="I49" s="245"/>
      <c r="J49" s="246"/>
      <c r="K49" s="265"/>
      <c r="L49" s="265"/>
    </row>
    <row r="50" spans="3:12" x14ac:dyDescent="0.25">
      <c r="C50" s="270" t="s">
        <v>356</v>
      </c>
      <c r="D50" s="271" t="s">
        <v>357</v>
      </c>
      <c r="E50" s="271" t="s">
        <v>358</v>
      </c>
      <c r="F50" s="71"/>
      <c r="G50" s="71" t="s">
        <v>359</v>
      </c>
      <c r="H50" t="s">
        <v>383</v>
      </c>
      <c r="I50" s="245"/>
      <c r="J50" s="246"/>
      <c r="K50" s="265"/>
      <c r="L50" s="265"/>
    </row>
    <row r="51" spans="3:12" ht="15.75" thickBot="1" x14ac:dyDescent="0.3">
      <c r="C51" s="233" t="s">
        <v>360</v>
      </c>
      <c r="D51" s="71"/>
      <c r="E51" s="71"/>
      <c r="F51" s="71"/>
      <c r="G51" s="71"/>
      <c r="H51" s="71"/>
      <c r="I51" s="71"/>
      <c r="J51" s="247"/>
      <c r="K51" s="265"/>
      <c r="L51" s="265"/>
    </row>
    <row r="52" spans="3:12" x14ac:dyDescent="0.25">
      <c r="C52" s="338" t="s">
        <v>384</v>
      </c>
      <c r="D52" s="339"/>
      <c r="E52" s="339"/>
      <c r="F52" s="339"/>
      <c r="G52" s="339"/>
      <c r="H52" s="339"/>
      <c r="I52" s="339"/>
      <c r="J52" s="340"/>
      <c r="K52" s="265"/>
      <c r="L52" s="265"/>
    </row>
    <row r="53" spans="3:12" x14ac:dyDescent="0.25">
      <c r="C53" s="341"/>
      <c r="D53" s="342"/>
      <c r="E53" s="342"/>
      <c r="F53" s="342"/>
      <c r="G53" s="342"/>
      <c r="H53" s="342"/>
      <c r="I53" s="342"/>
      <c r="J53" s="343"/>
      <c r="K53" s="265"/>
      <c r="L53" s="265"/>
    </row>
    <row r="54" spans="3:12" ht="15.75" thickBot="1" x14ac:dyDescent="0.3">
      <c r="C54" s="344"/>
      <c r="D54" s="345"/>
      <c r="E54" s="345"/>
      <c r="F54" s="345"/>
      <c r="G54" s="345"/>
      <c r="H54" s="345"/>
      <c r="I54" s="345"/>
      <c r="J54" s="346"/>
      <c r="K54" s="265"/>
      <c r="L54" s="265"/>
    </row>
  </sheetData>
  <mergeCells count="6">
    <mergeCell ref="C52:J54"/>
    <mergeCell ref="C7:J9"/>
    <mergeCell ref="C16:J18"/>
    <mergeCell ref="C25:J27"/>
    <mergeCell ref="C34:J36"/>
    <mergeCell ref="C43:J4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3</vt:i4>
      </vt:variant>
    </vt:vector>
  </HeadingPairs>
  <TitlesOfParts>
    <vt:vector size="7" baseType="lpstr">
      <vt:lpstr>RESUMEN</vt:lpstr>
      <vt:lpstr>PRORRATEO</vt:lpstr>
      <vt:lpstr>ARBA</vt:lpstr>
      <vt:lpstr>ANOTACIONES</vt:lpstr>
      <vt:lpstr>ARBA!Área_de_impresión</vt:lpstr>
      <vt:lpstr>PRORRATEO!Área_de_impresión</vt:lpstr>
      <vt:lpstr>RESUMEN!Área_de_impresión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Sistemax</dc:creator>
  <cp:lastModifiedBy>Sistemax</cp:lastModifiedBy>
  <cp:lastPrinted>2026-05-03T21:22:12Z</cp:lastPrinted>
  <dcterms:created xsi:type="dcterms:W3CDTF">2023-09-17T12:29:07Z</dcterms:created>
  <dcterms:modified xsi:type="dcterms:W3CDTF">2026-05-03T21:22:18Z</dcterms:modified>
</cp:coreProperties>
</file>