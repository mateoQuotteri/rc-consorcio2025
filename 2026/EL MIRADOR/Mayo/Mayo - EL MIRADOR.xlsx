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EL MIRADOR\Mayo\"/>
    </mc:Choice>
  </mc:AlternateContent>
  <xr:revisionPtr revIDLastSave="0" documentId="13_ncr:1_{12D7F07E-BAD5-4C78-96DA-2D34F32C80B5}" xr6:coauthVersionLast="47" xr6:coauthVersionMax="47" xr10:uidLastSave="{00000000-0000-0000-0000-000000000000}"/>
  <bookViews>
    <workbookView xWindow="-120" yWindow="-120" windowWidth="20730" windowHeight="11040" activeTab="1"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RESUMEN!$A$1:$J$143</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3" i="1" l="1"/>
  <c r="H46" i="2" l="1"/>
  <c r="B131" i="1"/>
  <c r="B115" i="1" s="1"/>
  <c r="B114" i="1"/>
  <c r="B130" i="1" s="1"/>
  <c r="H33" i="2"/>
  <c r="L80" i="4"/>
  <c r="H65" i="2"/>
  <c r="L33" i="4"/>
  <c r="H78" i="2"/>
  <c r="H17" i="2"/>
  <c r="L10" i="4"/>
  <c r="H116" i="2"/>
  <c r="H25" i="2"/>
  <c r="B132" i="1" l="1"/>
  <c r="H16" i="2"/>
  <c r="H20" i="2"/>
  <c r="H68" i="2"/>
  <c r="M61" i="4"/>
  <c r="H24" i="2"/>
  <c r="H47" i="2"/>
  <c r="H34" i="2"/>
  <c r="H22" i="2"/>
  <c r="H107" i="2"/>
  <c r="H66" i="2"/>
  <c r="H70" i="2"/>
  <c r="H75" i="2"/>
  <c r="H126" i="2"/>
  <c r="H125" i="2"/>
  <c r="H124" i="2"/>
  <c r="H121" i="2"/>
  <c r="H117" i="2"/>
  <c r="H27" i="2"/>
  <c r="H32" i="2"/>
  <c r="H59" i="2"/>
  <c r="H35" i="2"/>
  <c r="H52" i="2"/>
  <c r="H15" i="2"/>
  <c r="H39" i="2"/>
  <c r="H44" i="2"/>
  <c r="E67" i="1" l="1"/>
  <c r="D36" i="1"/>
  <c r="D42" i="1"/>
  <c r="D27" i="1"/>
  <c r="E73" i="1"/>
  <c r="E72" i="1"/>
  <c r="K73" i="1"/>
  <c r="K72" i="1"/>
  <c r="E71" i="1"/>
  <c r="E70" i="1"/>
  <c r="J68" i="1"/>
  <c r="I68" i="1"/>
  <c r="H68" i="1"/>
  <c r="G68" i="1"/>
  <c r="F68" i="1"/>
  <c r="E68" i="1"/>
  <c r="K68" i="1"/>
  <c r="K70" i="1"/>
  <c r="K71" i="1"/>
  <c r="D38" i="3"/>
  <c r="D29" i="3"/>
  <c r="D20" i="3"/>
  <c r="D11" i="3"/>
  <c r="H99" i="2"/>
  <c r="C95" i="1" l="1"/>
  <c r="B119" i="1" s="1"/>
  <c r="E69" i="1" l="1"/>
  <c r="L69" i="1" s="1"/>
  <c r="K69" i="1"/>
  <c r="K66" i="1"/>
  <c r="K65" i="1"/>
  <c r="H122" i="2"/>
  <c r="H31" i="2"/>
  <c r="H91" i="2"/>
  <c r="H82" i="2"/>
  <c r="N54" i="4"/>
  <c r="H28" i="2"/>
  <c r="H48" i="2" l="1"/>
  <c r="H43" i="2"/>
  <c r="E59" i="1" l="1"/>
  <c r="E65" i="1"/>
  <c r="L65" i="1" s="1"/>
  <c r="J66" i="1"/>
  <c r="I66" i="1"/>
  <c r="H66" i="1"/>
  <c r="G66" i="1"/>
  <c r="F66" i="1"/>
  <c r="E66" i="1"/>
  <c r="E60" i="1"/>
  <c r="H105" i="2"/>
  <c r="H89" i="2"/>
  <c r="L66" i="1" l="1"/>
  <c r="H88" i="2" l="1"/>
  <c r="H21" i="2"/>
  <c r="B126" i="1"/>
  <c r="H108" i="2"/>
  <c r="H95" i="2"/>
  <c r="H94" i="2"/>
  <c r="H55" i="2"/>
  <c r="H49" i="2"/>
  <c r="H113" i="2"/>
  <c r="H62" i="2"/>
  <c r="H61" i="2"/>
  <c r="H103" i="2"/>
  <c r="H81" i="2"/>
  <c r="H84" i="2"/>
  <c r="H37" i="2"/>
  <c r="N12" i="4"/>
  <c r="H98" i="2"/>
  <c r="M68" i="4"/>
  <c r="H131" i="2"/>
  <c r="H112" i="2"/>
  <c r="H19" i="2"/>
  <c r="N7" i="4"/>
  <c r="D61" i="1"/>
  <c r="J80" i="1"/>
  <c r="I80" i="1"/>
  <c r="H80" i="1"/>
  <c r="G80" i="1"/>
  <c r="F80" i="1"/>
  <c r="E80" i="1"/>
  <c r="J12" i="4" l="1"/>
  <c r="K14"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K21" i="2" l="1"/>
  <c r="K17" i="2"/>
  <c r="K25" i="2"/>
  <c r="H12" i="4"/>
  <c r="I12" i="4" s="1"/>
  <c r="K128"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23" i="2" l="1"/>
  <c r="H85" i="2"/>
  <c r="H96" i="2"/>
  <c r="H111" i="2"/>
  <c r="H51" i="2"/>
  <c r="H100" i="2"/>
  <c r="H92" i="2"/>
  <c r="H60" i="2"/>
  <c r="H115" i="2"/>
  <c r="H90" i="2"/>
  <c r="H53" i="2"/>
  <c r="H102" i="2"/>
  <c r="D75" i="1"/>
  <c r="J74" i="1"/>
  <c r="I74" i="1"/>
  <c r="H74" i="1"/>
  <c r="G74" i="1"/>
  <c r="F74" i="1"/>
  <c r="E74" i="1"/>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129" i="2"/>
  <c r="H29" i="2"/>
  <c r="H79" i="2"/>
  <c r="H120" i="2"/>
  <c r="H45" i="2"/>
  <c r="H73" i="2"/>
  <c r="H56" i="2"/>
  <c r="H119" i="2"/>
  <c r="H50" i="2"/>
  <c r="H83" i="2"/>
  <c r="H67" i="2"/>
  <c r="D47" i="1"/>
  <c r="I7" i="4" l="1"/>
  <c r="O8" i="4"/>
  <c r="H8" i="4"/>
  <c r="P9" i="4"/>
  <c r="P10" i="4" s="1"/>
  <c r="P14" i="4"/>
  <c r="J13" i="4"/>
  <c r="I8" i="4" l="1"/>
  <c r="M8" i="4"/>
  <c r="J9" i="4"/>
  <c r="O9" i="4" s="1"/>
  <c r="O13" i="4"/>
  <c r="H13" i="4"/>
  <c r="P11" i="4"/>
  <c r="J11" i="4" s="1"/>
  <c r="J10" i="4"/>
  <c r="P15" i="4"/>
  <c r="J14" i="4"/>
  <c r="H9" i="4" l="1"/>
  <c r="M9" i="4" s="1"/>
  <c r="I9" i="4"/>
  <c r="I13" i="4"/>
  <c r="O14" i="4"/>
  <c r="H14" i="4"/>
  <c r="O10" i="4"/>
  <c r="H10" i="4"/>
  <c r="O11" i="4"/>
  <c r="H11" i="4"/>
  <c r="P16" i="4"/>
  <c r="J15" i="4"/>
  <c r="D51" i="1"/>
  <c r="H71" i="2"/>
  <c r="I10" i="4" l="1"/>
  <c r="I14" i="4"/>
  <c r="I11" i="4"/>
  <c r="O15" i="4"/>
  <c r="H15" i="4"/>
  <c r="P17" i="4"/>
  <c r="J16" i="4"/>
  <c r="H127" i="2"/>
  <c r="H118" i="2"/>
  <c r="H109" i="2"/>
  <c r="H69" i="2"/>
  <c r="I15" i="4" l="1"/>
  <c r="O16" i="4"/>
  <c r="H16" i="4"/>
  <c r="P18" i="4"/>
  <c r="J17" i="4"/>
  <c r="I16" i="4" l="1"/>
  <c r="O17" i="4"/>
  <c r="H17" i="4"/>
  <c r="P19" i="4"/>
  <c r="J18" i="4"/>
  <c r="I17" i="4" l="1"/>
  <c r="O18" i="4"/>
  <c r="H18" i="4"/>
  <c r="P20" i="4"/>
  <c r="J19" i="4"/>
  <c r="H38" i="2"/>
  <c r="I38" i="2" s="1"/>
  <c r="H114" i="2"/>
  <c r="K53" i="1"/>
  <c r="K54" i="1"/>
  <c r="J54" i="1"/>
  <c r="I54" i="1"/>
  <c r="H54" i="1"/>
  <c r="G54" i="1"/>
  <c r="F54" i="1"/>
  <c r="E54" i="1"/>
  <c r="J53" i="1"/>
  <c r="I53" i="1"/>
  <c r="H53" i="1"/>
  <c r="G53" i="1"/>
  <c r="F53" i="1"/>
  <c r="E53" i="1"/>
  <c r="I18" i="4" l="1"/>
  <c r="O19" i="4"/>
  <c r="H19" i="4"/>
  <c r="P21" i="4"/>
  <c r="J20" i="4"/>
  <c r="L53" i="1"/>
  <c r="L54" i="1"/>
  <c r="I19" i="4" l="1"/>
  <c r="O20" i="4"/>
  <c r="H20" i="4"/>
  <c r="P22" i="4"/>
  <c r="J21" i="4"/>
  <c r="D82" i="1"/>
  <c r="I20" i="4" l="1"/>
  <c r="O21" i="4"/>
  <c r="H21" i="4"/>
  <c r="P23" i="4"/>
  <c r="J22" i="4"/>
  <c r="H86" i="2"/>
  <c r="H41" i="2"/>
  <c r="H87" i="2"/>
  <c r="I21" i="4" l="1"/>
  <c r="O22" i="4"/>
  <c r="H22" i="4"/>
  <c r="P24" i="4"/>
  <c r="J23" i="4"/>
  <c r="K57" i="1"/>
  <c r="B116" i="1"/>
  <c r="I22" i="4" l="1"/>
  <c r="O23" i="4"/>
  <c r="H23" i="4"/>
  <c r="P25" i="4"/>
  <c r="J24" i="4"/>
  <c r="H26" i="2"/>
  <c r="N13" i="2"/>
  <c r="O13" i="2"/>
  <c r="E57" i="1"/>
  <c r="L57" i="1" s="1"/>
  <c r="M57" i="1" s="1"/>
  <c r="N57" i="1"/>
  <c r="E58" i="1"/>
  <c r="J58" i="1"/>
  <c r="I58" i="1"/>
  <c r="H58" i="1"/>
  <c r="G58" i="1"/>
  <c r="F58" i="1"/>
  <c r="K59" i="1"/>
  <c r="N59" i="1" s="1"/>
  <c r="I23" i="4" l="1"/>
  <c r="M23" i="4"/>
  <c r="O24" i="4"/>
  <c r="H24" i="4"/>
  <c r="P26" i="4"/>
  <c r="J25" i="4"/>
  <c r="L59" i="1"/>
  <c r="M59" i="1" s="1"/>
  <c r="I24" i="4" l="1"/>
  <c r="O25" i="4"/>
  <c r="H25" i="4"/>
  <c r="L25" i="4" s="1"/>
  <c r="P27" i="4"/>
  <c r="J26" i="4"/>
  <c r="L19" i="2"/>
  <c r="I25" i="4" l="1"/>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87" i="1"/>
  <c r="J87" i="1"/>
  <c r="I87" i="1"/>
  <c r="H87" i="1"/>
  <c r="G87" i="1"/>
  <c r="F87" i="1"/>
  <c r="F133" i="2"/>
  <c r="E55" i="1"/>
  <c r="G42" i="1"/>
  <c r="E47" i="1"/>
  <c r="I26" i="4" l="1"/>
  <c r="O27" i="4"/>
  <c r="H27" i="4"/>
  <c r="P29" i="4"/>
  <c r="J28" i="4"/>
  <c r="K87" i="1"/>
  <c r="L87" i="1" s="1"/>
  <c r="I47" i="1"/>
  <c r="J47" i="1"/>
  <c r="F47" i="1"/>
  <c r="G47" i="1"/>
  <c r="H47" i="1"/>
  <c r="E42" i="1"/>
  <c r="I42" i="1"/>
  <c r="F42" i="1"/>
  <c r="J42" i="1"/>
  <c r="H42" i="1"/>
  <c r="K56" i="1"/>
  <c r="E56" i="1"/>
  <c r="L56" i="1" s="1"/>
  <c r="J84" i="1"/>
  <c r="I84" i="1"/>
  <c r="H84" i="1"/>
  <c r="G84" i="1"/>
  <c r="F84" i="1"/>
  <c r="J83" i="1"/>
  <c r="I83" i="1"/>
  <c r="H83" i="1"/>
  <c r="G83" i="1"/>
  <c r="F83" i="1"/>
  <c r="J79" i="1"/>
  <c r="I79" i="1"/>
  <c r="I82" i="1" s="1"/>
  <c r="H79" i="1"/>
  <c r="H82" i="1" s="1"/>
  <c r="G79" i="1"/>
  <c r="G82" i="1" s="1"/>
  <c r="F79" i="1"/>
  <c r="F82" i="1" s="1"/>
  <c r="H75" i="1"/>
  <c r="G75" i="1"/>
  <c r="K55" i="1"/>
  <c r="I49" i="1"/>
  <c r="H49" i="1"/>
  <c r="G49" i="1"/>
  <c r="F49" i="1"/>
  <c r="J49" i="1"/>
  <c r="J30" i="2"/>
  <c r="E99" i="1"/>
  <c r="L58" i="1"/>
  <c r="M58" i="1" s="1"/>
  <c r="K58" i="1"/>
  <c r="N58" i="1" s="1"/>
  <c r="E84" i="1"/>
  <c r="E83" i="1"/>
  <c r="E79" i="1"/>
  <c r="E49"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85" i="1"/>
  <c r="D89" i="1" s="1"/>
  <c r="M1" i="2" s="1"/>
  <c r="B140" i="1"/>
  <c r="I27" i="4" l="1"/>
  <c r="M27" i="4"/>
  <c r="O28" i="4"/>
  <c r="H28" i="4"/>
  <c r="J29" i="4"/>
  <c r="P30" i="4"/>
  <c r="E75" i="1"/>
  <c r="I75" i="1"/>
  <c r="F75" i="1"/>
  <c r="K47" i="1"/>
  <c r="L47" i="1" s="1"/>
  <c r="K42" i="1"/>
  <c r="L42" i="1" s="1"/>
  <c r="G61" i="1"/>
  <c r="K49" i="1"/>
  <c r="H85" i="1"/>
  <c r="G85" i="1"/>
  <c r="F85" i="1"/>
  <c r="I85" i="1"/>
  <c r="I51" i="1"/>
  <c r="F61" i="1"/>
  <c r="I61" i="1"/>
  <c r="H61" i="1"/>
  <c r="F51" i="1"/>
  <c r="G51" i="1"/>
  <c r="H51" i="1"/>
  <c r="L55" i="1"/>
  <c r="J51"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M29" i="4"/>
  <c r="O30" i="4"/>
  <c r="H30" i="4"/>
  <c r="P32" i="4"/>
  <c r="J31" i="4"/>
  <c r="I130" i="2"/>
  <c r="N130" i="2" s="1"/>
  <c r="I30" i="4" l="1"/>
  <c r="O31" i="4"/>
  <c r="H31" i="4"/>
  <c r="J32" i="4"/>
  <c r="P33" i="4"/>
  <c r="N55" i="1"/>
  <c r="I31" i="4" l="1"/>
  <c r="O32" i="4"/>
  <c r="H32" i="4"/>
  <c r="J33" i="4"/>
  <c r="P34" i="4"/>
  <c r="M55" i="1"/>
  <c r="L60" i="1"/>
  <c r="I32" i="4" l="1"/>
  <c r="M32" i="4"/>
  <c r="O33" i="4"/>
  <c r="H33" i="4"/>
  <c r="J34" i="4"/>
  <c r="P35" i="4"/>
  <c r="D101" i="1"/>
  <c r="I33" i="4" l="1"/>
  <c r="O34" i="4"/>
  <c r="H34" i="4"/>
  <c r="J35" i="4"/>
  <c r="P36" i="4"/>
  <c r="B113" i="1"/>
  <c r="E101" i="1"/>
  <c r="J101" i="1"/>
  <c r="I34" i="4" l="1"/>
  <c r="O35" i="4"/>
  <c r="H35" i="4"/>
  <c r="J36" i="4"/>
  <c r="P37" i="4"/>
  <c r="L101" i="1"/>
  <c r="M101" i="1" s="1"/>
  <c r="I35" i="4" l="1"/>
  <c r="M35" i="4"/>
  <c r="O36" i="4"/>
  <c r="H36" i="4"/>
  <c r="J37" i="4"/>
  <c r="P38" i="4"/>
  <c r="I36" i="4" l="1"/>
  <c r="O37" i="4"/>
  <c r="H37" i="4"/>
  <c r="J38" i="4"/>
  <c r="P39" i="4"/>
  <c r="K60" i="1"/>
  <c r="N60" i="1" s="1"/>
  <c r="I37" i="4" l="1"/>
  <c r="O38" i="4"/>
  <c r="H38" i="4"/>
  <c r="J39" i="4"/>
  <c r="P40" i="4"/>
  <c r="M60" i="1"/>
  <c r="I38" i="4" l="1"/>
  <c r="O39" i="4"/>
  <c r="H39" i="4"/>
  <c r="J40" i="4"/>
  <c r="P41" i="4"/>
  <c r="J61" i="1"/>
  <c r="E61" i="1"/>
  <c r="J85" i="1"/>
  <c r="E85" i="1"/>
  <c r="E82" i="1"/>
  <c r="J82" i="1"/>
  <c r="J75" i="1"/>
  <c r="K75" i="1" s="1"/>
  <c r="I39" i="4" l="1"/>
  <c r="O40" i="4"/>
  <c r="H40" i="4"/>
  <c r="J41" i="4"/>
  <c r="P42" i="4"/>
  <c r="K61" i="1"/>
  <c r="L61" i="1" s="1"/>
  <c r="K85" i="1"/>
  <c r="K82" i="1"/>
  <c r="I40" i="4" l="1"/>
  <c r="O41" i="4"/>
  <c r="H41" i="4"/>
  <c r="J42" i="4"/>
  <c r="P43" i="4"/>
  <c r="J27" i="1"/>
  <c r="H27" i="1"/>
  <c r="G27" i="1"/>
  <c r="F27" i="1"/>
  <c r="E27" i="1"/>
  <c r="I27" i="1"/>
  <c r="M61" i="1"/>
  <c r="L75" i="1"/>
  <c r="L85" i="1"/>
  <c r="L82" i="1"/>
  <c r="I89" i="1" l="1"/>
  <c r="R12" i="2" s="1"/>
  <c r="H89" i="1"/>
  <c r="R11" i="2" s="1"/>
  <c r="J89" i="1"/>
  <c r="R13" i="2" s="1"/>
  <c r="F89" i="1"/>
  <c r="R9" i="2" s="1"/>
  <c r="G89" i="1"/>
  <c r="R10" i="2" s="1"/>
  <c r="I41" i="4"/>
  <c r="O42" i="4"/>
  <c r="H42" i="4"/>
  <c r="J43" i="4"/>
  <c r="P44" i="4"/>
  <c r="E36" i="1"/>
  <c r="K27" i="1"/>
  <c r="L27" i="1" s="1"/>
  <c r="E51" i="1"/>
  <c r="K36" i="1" l="1"/>
  <c r="L36" i="1" s="1"/>
  <c r="E89" i="1"/>
  <c r="K89" i="1" s="1"/>
  <c r="L89" i="1" s="1"/>
  <c r="I42" i="4"/>
  <c r="O43" i="4"/>
  <c r="H43" i="4"/>
  <c r="J44" i="4"/>
  <c r="P45" i="4"/>
  <c r="B105" i="1"/>
  <c r="B112" i="1" s="1"/>
  <c r="K51" i="1"/>
  <c r="L51" i="1" s="1"/>
  <c r="B104" i="1"/>
  <c r="I43" i="4" l="1"/>
  <c r="O44" i="4"/>
  <c r="H44" i="4"/>
  <c r="J45" i="4"/>
  <c r="P46" i="4"/>
  <c r="Q150" i="2"/>
  <c r="I44" i="4" l="1"/>
  <c r="O45" i="4"/>
  <c r="H45" i="4"/>
  <c r="J46" i="4"/>
  <c r="P47" i="4"/>
  <c r="L134" i="2"/>
  <c r="B117" i="1"/>
  <c r="I45" i="4" l="1"/>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O47" i="4"/>
  <c r="H47" i="4"/>
  <c r="J48" i="4"/>
  <c r="P49" i="4"/>
  <c r="I131" i="2"/>
  <c r="I47" i="4" l="1"/>
  <c r="N131" i="2"/>
  <c r="O131" i="2" s="1"/>
  <c r="O48" i="4"/>
  <c r="H48" i="4"/>
  <c r="J49" i="4"/>
  <c r="P50" i="4"/>
  <c r="I17" i="2"/>
  <c r="N17" i="2" s="1"/>
  <c r="I15" i="2"/>
  <c r="N15" i="2" s="1"/>
  <c r="I18" i="2"/>
  <c r="N18" i="2" s="1"/>
  <c r="I14" i="2"/>
  <c r="N14" i="2" s="1"/>
  <c r="I48" i="4" l="1"/>
  <c r="O49" i="4"/>
  <c r="H49" i="4"/>
  <c r="J50" i="4"/>
  <c r="P51" i="4"/>
  <c r="I16" i="2"/>
  <c r="O14" i="2"/>
  <c r="O18" i="2"/>
  <c r="O17" i="2"/>
  <c r="I49" i="4" l="1"/>
  <c r="N16" i="2"/>
  <c r="O16" i="2" s="1"/>
  <c r="O50" i="4"/>
  <c r="H50" i="4"/>
  <c r="J51" i="4"/>
  <c r="P52" i="4"/>
  <c r="O15" i="2"/>
  <c r="I50" i="4" l="1"/>
  <c r="M50" i="4"/>
  <c r="O51" i="4"/>
  <c r="H51" i="4"/>
  <c r="J52" i="4"/>
  <c r="P53" i="4"/>
  <c r="M89" i="1"/>
  <c r="I20" i="2"/>
  <c r="N20" i="2" s="1"/>
  <c r="I51" i="4" l="1"/>
  <c r="O52" i="4"/>
  <c r="H52" i="4"/>
  <c r="J53" i="4"/>
  <c r="P54" i="4"/>
  <c r="O20" i="2"/>
  <c r="G133" i="2"/>
  <c r="H133" i="2"/>
  <c r="B110" i="1" s="1"/>
  <c r="I52" i="4" l="1"/>
  <c r="O53" i="4"/>
  <c r="H53" i="4"/>
  <c r="J54" i="4"/>
  <c r="P55" i="4"/>
  <c r="I47" i="2"/>
  <c r="N47" i="2" s="1"/>
  <c r="I53" i="4" l="1"/>
  <c r="O54" i="4"/>
  <c r="H54" i="4"/>
  <c r="J55" i="4"/>
  <c r="P56" i="4"/>
  <c r="N133" i="2"/>
  <c r="O47" i="2"/>
  <c r="O133"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M59" i="4"/>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M77" i="4" s="1"/>
  <c r="O78" i="4"/>
  <c r="H78" i="4"/>
  <c r="J79" i="4"/>
  <c r="P80" i="4"/>
  <c r="J80" i="4" s="1"/>
  <c r="I78" i="4" l="1"/>
  <c r="O79" i="4"/>
  <c r="H79" i="4"/>
  <c r="O80" i="4"/>
  <c r="O82" i="4" s="1"/>
  <c r="H80" i="4"/>
  <c r="L82" i="4" l="1"/>
  <c r="B111" i="1" s="1"/>
  <c r="I79" i="4"/>
  <c r="I80" i="4"/>
  <c r="M82" i="4"/>
  <c r="B122" i="1" l="1"/>
  <c r="B142" i="1" l="1"/>
</calcChain>
</file>

<file path=xl/sharedStrings.xml><?xml version="1.0" encoding="utf-8"?>
<sst xmlns="http://schemas.openxmlformats.org/spreadsheetml/2006/main" count="757" uniqueCount="426">
  <si>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</si>
  <si>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</si>
  <si>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</si>
  <si>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</si>
  <si>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</si>
  <si>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</si>
  <si>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</si>
  <si>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</si>
  <si>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</si>
  <si>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</si>
  <si>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</si>
  <si>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</si>
  <si>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</si>
  <si>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</si>
  <si>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</si>
  <si>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</si>
  <si>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</si>
  <si>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</si>
  <si>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</si>
  <si>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</si>
  <si>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</si>
  <si>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</si>
  <si>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</si>
  <si>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</si>
  <si>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</si>
  <si>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</si>
  <si>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</si>
  <si>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</si>
  <si>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</si>
  <si>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</si>
  <si>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</si>
  <si>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</si>
  <si>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</si>
  <si>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</si>
  <si>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</si>
  <si>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</si>
  <si>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</si>
  <si>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</si>
  <si>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</si>
  <si>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</si>
  <si>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</si>
  <si>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</si>
  <si>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</si>
  <si>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</si>
  <si>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</si>
  <si>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</si>
  <si>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</si>
  <si>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</si>
  <si>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</si>
  <si>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</si>
  <si>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</si>
  <si>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</si>
  <si>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</si>
  <si>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</si>
  <si>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</si>
  <si>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</si>
  <si>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</si>
  <si>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</si>
  <si>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</si>
  <si>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</si>
  <si>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</si>
  <si>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</si>
  <si>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</si>
  <si>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</si>
  <si>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</si>
  <si>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</si>
  <si>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</si>
  <si>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</si>
  <si>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</si>
  <si>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</si>
  <si>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</si>
  <si>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</si>
  <si>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</si>
  <si>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</si>
  <si>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</si>
  <si>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</si>
  <si>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</si>
  <si>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</si>
  <si>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</si>
  <si>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</si>
  <si>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</si>
  <si>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</si>
  <si>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</si>
  <si>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</si>
  <si>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</si>
  <si>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</si>
  <si>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</si>
  <si>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</si>
  <si>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</si>
  <si>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</si>
  <si>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</si>
  <si>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</si>
  <si>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</si>
  <si>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</si>
  <si>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</si>
  <si>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</si>
  <si>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</si>
  <si>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</si>
  <si>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</si>
  <si>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</si>
  <si>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</si>
  <si>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</si>
  <si>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</si>
  <si>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</si>
  <si>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</si>
  <si>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</si>
  <si>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</si>
  <si>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</si>
  <si>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</si>
  <si>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</si>
  <si>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</si>
  <si>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</si>
  <si>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</si>
  <si>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</si>
  <si>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</si>
  <si>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</si>
  <si>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</si>
  <si>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</si>
  <si>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</si>
  <si>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</si>
  <si>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</si>
  <si>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</si>
  <si>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</si>
  <si>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</si>
  <si>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</si>
  <si>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</si>
  <si>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</si>
  <si>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</si>
  <si>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</si>
  <si>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</si>
  <si>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</si>
  <si>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</si>
  <si>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</si>
  <si>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</si>
  <si>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</si>
  <si>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</si>
  <si>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</si>
  <si>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</si>
  <si>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</si>
  <si>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</si>
  <si>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</si>
  <si>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</si>
  <si>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</si>
  <si>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</si>
  <si>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</si>
  <si>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</si>
  <si>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</si>
  <si>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</si>
  <si>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</si>
  <si>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</si>
  <si>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</si>
  <si>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</si>
  <si>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</si>
  <si>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</si>
  <si>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</si>
  <si>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</si>
  <si>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</si>
  <si>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</si>
  <si>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</si>
  <si>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</si>
  <si>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</si>
  <si>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</si>
  <si>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</si>
  <si>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</si>
  <si>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</si>
  <si>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</si>
  <si>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</si>
  <si>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</si>
  <si>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</si>
  <si>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</si>
  <si>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</si>
  <si>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</si>
  <si>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</si>
  <si>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</si>
  <si>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</si>
  <si>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</si>
  <si>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</si>
  <si>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</si>
  <si>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</si>
  <si>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</si>
  <si>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</si>
  <si>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</si>
  <si>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</si>
  <si>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</si>
  <si>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</si>
  <si>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</si>
  <si>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</si>
  <si>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</si>
  <si>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</si>
  <si>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</si>
  <si>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</si>
  <si>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</si>
  <si>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</si>
  <si>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</si>
  <si>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</si>
  <si>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</si>
  <si>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</si>
  <si>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</si>
  <si>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</si>
  <si>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</si>
  <si>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</si>
  <si>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</si>
  <si>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</si>
  <si>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</si>
  <si>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</si>
  <si>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</si>
  <si>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</si>
  <si>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</si>
  <si>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</si>
  <si>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</si>
  <si>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</si>
  <si>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</si>
  <si>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</si>
  <si>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</si>
  <si>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</si>
  <si>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</si>
  <si>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</si>
  <si>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</si>
  <si>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</si>
  <si>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</si>
  <si>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</si>
  <si>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</si>
  <si>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</si>
  <si>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</si>
  <si>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</si>
  <si>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</si>
  <si>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</si>
  <si>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</si>
  <si>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</si>
  <si>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</si>
  <si>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</si>
  <si>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</si>
  <si>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</si>
  <si>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</si>
  <si>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</si>
  <si>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</si>
  <si>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</si>
  <si>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</si>
  <si>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</si>
  <si>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</si>
  <si>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</si>
  <si>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</si>
  <si>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</si>
  <si>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</si>
  <si>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</si>
  <si>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</si>
  <si>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</si>
  <si>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</si>
  <si>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</si>
  <si>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</si>
  <si>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</si>
  <si>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</si>
  <si>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</si>
  <si>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</si>
  <si>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</si>
  <si>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</si>
  <si>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</si>
  <si>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</si>
  <si>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</si>
  <si>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</si>
  <si>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</si>
  <si>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</si>
  <si>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</si>
  <si>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</si>
  <si>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</si>
  <si>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</si>
  <si>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</si>
  <si>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</si>
  <si>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</si>
  <si>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</si>
  <si>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</si>
  <si>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</si>
  <si>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</si>
  <si>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</si>
  <si>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</si>
  <si>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</si>
  <si>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</si>
  <si>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</si>
  <si>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</si>
  <si>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</si>
  <si>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</si>
  <si>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</si>
  <si>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</si>
  <si>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</si>
  <si>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</si>
  <si>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</si>
  <si>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</si>
  <si>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</si>
  <si>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</si>
  <si>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</si>
  <si>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</si>
  <si>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</si>
  <si>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Debito autom.</t>
  </si>
  <si>
    <t xml:space="preserve">FONDO DE GASTOS ORDINARIOS </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</si>
  <si>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</si>
  <si>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</si>
  <si>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</si>
  <si>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</si>
  <si>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</si>
  <si>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</si>
  <si>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</si>
  <si>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</si>
  <si>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</si>
  <si>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</si>
  <si>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</si>
  <si>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</si>
  <si>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</si>
  <si>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</si>
  <si>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</si>
  <si>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</si>
  <si>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</si>
  <si>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</si>
  <si>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</si>
  <si>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</si>
  <si>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</si>
  <si>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</si>
  <si>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</si>
  <si>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</si>
  <si>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</si>
  <si>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</si>
  <si>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</si>
  <si>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</si>
  <si>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</si>
  <si>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</si>
  <si>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</si>
  <si>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</si>
  <si>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</si>
  <si>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</si>
  <si>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</si>
  <si>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</si>
  <si>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</si>
  <si>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</si>
  <si>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</si>
  <si>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</si>
  <si>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</si>
  <si>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</si>
  <si>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</si>
  <si>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</si>
  <si>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</si>
  <si>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Articulos de limpieza</t>
  </si>
  <si>
    <t>Fumigacion - Silva Nicolas</t>
  </si>
  <si>
    <t>Salvati - Servicios de limpieza</t>
  </si>
  <si>
    <t xml:space="preserve">ARBA - Impuesto inmobiliario partida 025024270-0 </t>
  </si>
  <si>
    <t>M4rz0</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</si>
  <si>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</si>
  <si>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</si>
  <si>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</si>
  <si>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</si>
  <si>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</si>
  <si>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</si>
  <si>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</si>
  <si>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</si>
  <si>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</si>
  <si>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</si>
  <si>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</si>
  <si>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</si>
  <si>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</si>
  <si>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</si>
  <si>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</si>
  <si>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Cuello natalia - Desobstruccion de columna baño 5D</t>
  </si>
  <si>
    <t>Transf 08/04</t>
  </si>
  <si>
    <t>Victor Martinez - Abono mantenimiento control de accesos - 2 Meses</t>
  </si>
  <si>
    <t>TSG - Partida 197227000</t>
  </si>
  <si>
    <t xml:space="preserve"> Gustavo Fernández </t>
  </si>
  <si>
    <t>Matias Puente</t>
  </si>
  <si>
    <t>Lorenzo, Sergio Ariel</t>
  </si>
  <si>
    <t>CAJA SUM $ (pesos)</t>
  </si>
  <si>
    <t>Caja Real -Banco - SUM + Ordinaria</t>
  </si>
  <si>
    <t>ARBA:</t>
  </si>
  <si>
    <t>Quienes adeudan ARBA deben abonar el monto coloreado en ROSADO si es que en el trancurso del mes 3 y 4 del 2026 no abonaron ninguna cuota.</t>
  </si>
  <si>
    <t>Ferraro jose</t>
  </si>
  <si>
    <t>Adjunto el comprobante de pago de las expensas netas de la cochera 30 , $58.102,08 07/05</t>
  </si>
  <si>
    <t>Deposito $382.000 el 08/05:                                                                                                                                                                                                                                                                                                                                               Dto 2D.       53.453
Dto 2F.        54.022
Dto3A.        93.827
Dto3C.       101.220
               ———————-
                    302.522.-
Más              78.474.-
                 ——————-
                    382.000.-
Las cocheras son 29/30/34/37/38/39
6 X 13.079=78.474</t>
  </si>
  <si>
    <t>El ultimo dia de abril el abono 102.165,29 para el 6E y 27.009,81 para la cochera 12 corregir</t>
  </si>
  <si>
    <t>6E y Cochera 12</t>
  </si>
  <si>
    <t xml:space="preserve">Local 2 </t>
  </si>
  <si>
    <t>Pago $244.445 el 19/05</t>
  </si>
  <si>
    <t>10B</t>
  </si>
  <si>
    <t>IMPORTANTE!</t>
  </si>
  <si>
    <t>10B en marzo pago $81.371,5 y se lo pusimos en ARBA cuando le tenia que quedar a favor en las expensas</t>
  </si>
  <si>
    <t>Transf 22/05</t>
  </si>
  <si>
    <t>Transf 18/05</t>
  </si>
  <si>
    <t>Transf 11/05</t>
  </si>
  <si>
    <t>Combustible - Compra</t>
  </si>
  <si>
    <t>Transf 06/5</t>
  </si>
  <si>
    <t>Doartero Julio - Revision de medidores de gas ajustado por perdida</t>
  </si>
  <si>
    <t>Transf 07/05</t>
  </si>
  <si>
    <t>Transf 08/5</t>
  </si>
  <si>
    <t xml:space="preserve">Ferreteria V&amp;A </t>
  </si>
  <si>
    <t>Doartero Julio - Visita electrica</t>
  </si>
  <si>
    <t>Transf 12/5</t>
  </si>
  <si>
    <t>Transf 13/05</t>
  </si>
  <si>
    <t>Transf 21/05</t>
  </si>
  <si>
    <t>Transf 04/05</t>
  </si>
  <si>
    <t>Servicio de limpieza</t>
  </si>
  <si>
    <t>PERÍODO: MAYO</t>
  </si>
  <si>
    <t>Mes de MAYO</t>
  </si>
  <si>
    <t>ADS - Abono de mantenimiento ascensores MAYO del 2025</t>
  </si>
  <si>
    <t>MP:1148 - SE ADEUDA MAYO</t>
  </si>
  <si>
    <t>Articulos de limpieza - Factura atrasada del mes de Abril</t>
  </si>
  <si>
    <t>Transf 08/05</t>
  </si>
  <si>
    <t xml:space="preserve">Maximiliano - Elecitricista - Reconexion palo de luz Edesur </t>
  </si>
  <si>
    <t>Efectivo</t>
  </si>
  <si>
    <t>Transf 11/5</t>
  </si>
  <si>
    <t>Debito 19/05</t>
  </si>
  <si>
    <t>Transferencia a la desarrolladora (20/05) - ARBA pago parcial</t>
  </si>
  <si>
    <t>Cuello natalia - Desobstruccion de colectora cloacal locales</t>
  </si>
  <si>
    <t>Transf 26/05</t>
  </si>
  <si>
    <t>07/05 Compra Sr. Ariel Osipowicz</t>
  </si>
  <si>
    <t>Szkarlatiuk, Carina Sonia</t>
  </si>
  <si>
    <t>Basaez, Rogelio Luis  - Savino, Cecilia</t>
  </si>
  <si>
    <t>Guerra Karina, Alejandra</t>
  </si>
  <si>
    <t>Walter Javier Dimiziunas - Rosana Cavallero</t>
  </si>
  <si>
    <t>Rosana Cavallero</t>
  </si>
  <si>
    <t>Mario Gomez Alejandro</t>
  </si>
  <si>
    <t>Ingreso mal registrado como cobro de ARBA mes anterior 10B (Correspondia a ingreso de expenas)</t>
  </si>
  <si>
    <t>Pago en efectivo (UF 39)</t>
  </si>
  <si>
    <t>Ingreso UF 39 (Pago de expensas)</t>
  </si>
  <si>
    <t>VTO 18/06</t>
  </si>
  <si>
    <t>08/05 Compra Sr. Mariano Campelo - Abono Efectivo</t>
  </si>
  <si>
    <t>07/05 Compra Sr. Carlos Rodriguez -Abono Efectivo</t>
  </si>
  <si>
    <t>Pago de productos y servicios en efectivo del mes (se restan de la caja en efectivo y se suman en la caja bancaria para no doble contabilizar)</t>
  </si>
  <si>
    <t>Pago de productos y servicios en efectivo del mes</t>
  </si>
  <si>
    <t>Error computo de transferencia correspondiente al 6D (07/04)</t>
  </si>
  <si>
    <t>Del total de caja ($1.292.035,37) $$1.031.545,12 corresponde devolver a la desarrolladora, por ende la caja real del consorcio es de $260.490,25</t>
  </si>
  <si>
    <t>Cuota ARBA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</si>
</sst>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b/>
      <sz val="22"/>
      <color theme="0"/>
      <name val="Calibri"/>
      <family val="2"/>
      <scheme val="minor"/>
    </font>
    <font>
      <i/>
      <u/>
      <sz val="12"/>
      <name val="Calibri"/>
      <family val="2"/>
      <scheme val="minor"/>
    </font>
    <font>
      <i/>
      <u/>
      <sz val="11"/>
      <name val="Calibri"/>
      <family val="2"/>
      <scheme val="minor"/>
    </font>
    <font>
      <u/>
      <sz val="11"/>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92D050"/>
        <bgColor indexed="64"/>
      </patternFill>
    </fill>
    <fill>
      <patternFill patternType="solid">
        <fgColor theme="5"/>
        <bgColor indexed="64"/>
      </patternFill>
    </fill>
    <fill>
      <patternFill patternType="solid">
        <fgColor theme="3"/>
        <bgColor indexed="64"/>
      </patternFill>
    </fill>
    <fill>
      <patternFill patternType="solid">
        <fgColor theme="6"/>
        <bgColor indexed="64"/>
      </patternFill>
    </fill>
    <fill>
      <patternFill patternType="solid">
        <fgColor rgb="FFFF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23" fillId="0" borderId="0" applyNumberFormat="0" applyFill="0" applyBorder="0" applyAlignment="0" applyProtection="0"/>
  </cellStyleXfs>
  <cellXfs count="372">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2" fillId="4" borderId="6" xfId="0" applyNumberFormat="1" applyFont="1" applyFill="1" applyBorder="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44" fontId="0" fillId="0" borderId="2" xfId="0" applyNumberFormat="1" applyBorder="1"/>
    <xf numFmtId="6" fontId="10"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44" fontId="9" fillId="8" borderId="27" xfId="1" applyFont="1" applyFill="1" applyBorder="1"/>
    <xf numFmtId="44" fontId="9" fillId="2" borderId="0" xfId="1" applyFont="1" applyFill="1" applyBorder="1"/>
    <xf numFmtId="44" fontId="2" fillId="2" borderId="0" xfId="1" applyFont="1" applyFill="1" applyBorder="1"/>
    <xf numFmtId="44" fontId="2" fillId="2" borderId="19" xfId="0" applyNumberFormat="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44" fontId="2" fillId="8" borderId="15" xfId="1" applyFont="1" applyFill="1" applyBorder="1"/>
    <xf numFmtId="44" fontId="2" fillId="8" borderId="13" xfId="0" applyNumberFormat="1"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0" fillId="2" borderId="28" xfId="0" applyFont="1" applyFill="1" applyBorder="1"/>
    <xf numFmtId="10" fontId="0" fillId="2" borderId="28" xfId="0" applyNumberFormat="1" applyFill="1" applyBorder="1"/>
    <xf numFmtId="44" fontId="0" fillId="2" borderId="28" xfId="1" applyFont="1" applyFill="1" applyBorder="1"/>
    <xf numFmtId="165" fontId="10"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1"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8" fillId="2" borderId="1" xfId="0" applyFont="1" applyFill="1" applyBorder="1"/>
    <xf numFmtId="10" fontId="4" fillId="2" borderId="1" xfId="0" applyNumberFormat="1" applyFont="1" applyFill="1" applyBorder="1"/>
    <xf numFmtId="165" fontId="18"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 fillId="2" borderId="1" xfId="1" applyFont="1" applyFill="1" applyBorder="1"/>
    <xf numFmtId="44" fontId="10" fillId="2" borderId="4" xfId="1" applyFont="1" applyFill="1" applyBorder="1"/>
    <xf numFmtId="44" fontId="10" fillId="2" borderId="28" xfId="1" applyFont="1" applyFill="1" applyBorder="1"/>
    <xf numFmtId="0" fontId="0" fillId="3" borderId="29" xfId="0" applyFill="1" applyBorder="1" applyAlignment="1">
      <alignment horizontal="center" vertical="center" wrapText="1"/>
    </xf>
    <xf numFmtId="0" fontId="21" fillId="2" borderId="1" xfId="0" applyFont="1" applyFill="1" applyBorder="1" applyAlignment="1">
      <alignment horizontal="center"/>
    </xf>
    <xf numFmtId="0" fontId="0" fillId="2" borderId="1" xfId="0" applyFill="1" applyBorder="1" applyAlignment="1">
      <alignment horizontal="center"/>
    </xf>
    <xf numFmtId="0" fontId="21" fillId="2" borderId="1" xfId="0" applyFont="1" applyFill="1" applyBorder="1"/>
    <xf numFmtId="0" fontId="21" fillId="2" borderId="1" xfId="0" applyFont="1" applyFill="1" applyBorder="1" applyAlignment="1">
      <alignment horizontal="left" vertical="center"/>
    </xf>
    <xf numFmtId="0" fontId="21" fillId="2" borderId="28" xfId="0" applyFont="1" applyFill="1" applyBorder="1" applyAlignment="1">
      <alignment horizontal="center"/>
    </xf>
    <xf numFmtId="0" fontId="0" fillId="2" borderId="28" xfId="0" applyFill="1" applyBorder="1" applyAlignment="1">
      <alignment horizontal="center"/>
    </xf>
    <xf numFmtId="0" fontId="21" fillId="2" borderId="28" xfId="0" applyFont="1" applyFill="1" applyBorder="1" applyAlignment="1">
      <alignment horizontal="left" vertical="center"/>
    </xf>
    <xf numFmtId="0" fontId="21" fillId="2" borderId="4" xfId="0" applyFont="1" applyFill="1" applyBorder="1" applyAlignment="1">
      <alignment horizontal="center"/>
    </xf>
    <xf numFmtId="0" fontId="0" fillId="2" borderId="4" xfId="0" applyFill="1" applyBorder="1" applyAlignment="1">
      <alignment horizontal="center"/>
    </xf>
    <xf numFmtId="49" fontId="21" fillId="2" borderId="1" xfId="0" applyNumberFormat="1" applyFont="1" applyFill="1" applyBorder="1" applyAlignment="1">
      <alignment horizontal="center"/>
    </xf>
    <xf numFmtId="0" fontId="22"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8" xfId="0" applyNumberFormat="1" applyFill="1" applyBorder="1"/>
    <xf numFmtId="4" fontId="0" fillId="13"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0" fillId="5" borderId="12" xfId="0" applyNumberFormat="1" applyFont="1" applyFill="1" applyBorder="1" applyAlignment="1">
      <alignment vertical="center"/>
    </xf>
    <xf numFmtId="1" fontId="20"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3" fillId="0" borderId="1" xfId="0" applyFont="1" applyBorder="1" applyAlignment="1">
      <alignment vertical="center" wrapText="1"/>
    </xf>
    <xf numFmtId="0" fontId="0" fillId="2" borderId="14" xfId="0" applyFill="1" applyBorder="1"/>
    <xf numFmtId="0" fontId="0" fillId="2" borderId="17" xfId="0" applyFill="1" applyBorder="1"/>
    <xf numFmtId="0" fontId="23"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0" fillId="16" borderId="16" xfId="0" applyFill="1" applyBorder="1"/>
    <xf numFmtId="0" fontId="0" fillId="16" borderId="14" xfId="0" applyFill="1" applyBorder="1"/>
    <xf numFmtId="0" fontId="0" fillId="16" borderId="18" xfId="0" applyFill="1" applyBorder="1"/>
    <xf numFmtId="0" fontId="0" fillId="16" borderId="0" xfId="0" applyFill="1"/>
    <xf numFmtId="16" fontId="0" fillId="16" borderId="0" xfId="0" applyNumberFormat="1" applyFill="1"/>
    <xf numFmtId="0" fontId="6" fillId="0" borderId="1" xfId="0" applyFont="1" applyBorder="1" applyAlignment="1">
      <alignment wrapText="1"/>
    </xf>
    <xf numFmtId="44" fontId="4" fillId="2" borderId="28" xfId="1" applyFont="1" applyFill="1" applyBorder="1"/>
    <xf numFmtId="44" fontId="4" fillId="2" borderId="4" xfId="1" applyFont="1" applyFill="1" applyBorder="1"/>
    <xf numFmtId="44" fontId="4" fillId="2" borderId="19" xfId="1" applyFont="1" applyFill="1" applyBorder="1"/>
    <xf numFmtId="0" fontId="0" fillId="0" borderId="0" xfId="0" applyAlignment="1">
      <alignment wrapText="1"/>
    </xf>
    <xf numFmtId="0" fontId="0" fillId="17" borderId="16" xfId="0" applyFill="1" applyBorder="1"/>
    <xf numFmtId="0" fontId="0" fillId="17" borderId="14" xfId="0" applyFill="1" applyBorder="1"/>
    <xf numFmtId="0" fontId="0" fillId="17" borderId="18" xfId="0" applyFill="1" applyBorder="1"/>
    <xf numFmtId="0" fontId="0" fillId="17" borderId="0" xfId="0" applyFill="1"/>
    <xf numFmtId="16" fontId="0" fillId="17" borderId="0" xfId="0" applyNumberFormat="1" applyFill="1"/>
    <xf numFmtId="0" fontId="0" fillId="18" borderId="16" xfId="0" applyFill="1" applyBorder="1"/>
    <xf numFmtId="0" fontId="0" fillId="18" borderId="14" xfId="0" applyFill="1" applyBorder="1"/>
    <xf numFmtId="0" fontId="0" fillId="18" borderId="18" xfId="0" applyFill="1" applyBorder="1"/>
    <xf numFmtId="0" fontId="0" fillId="18" borderId="0" xfId="0" applyFill="1"/>
    <xf numFmtId="16" fontId="0" fillId="18" borderId="0" xfId="0" applyNumberFormat="1" applyFill="1"/>
    <xf numFmtId="0" fontId="0" fillId="19" borderId="16" xfId="0" applyFill="1" applyBorder="1"/>
    <xf numFmtId="0" fontId="0" fillId="19" borderId="14" xfId="0" applyFill="1" applyBorder="1"/>
    <xf numFmtId="0" fontId="0" fillId="19" borderId="18" xfId="0" applyFill="1" applyBorder="1"/>
    <xf numFmtId="0" fontId="0" fillId="19" borderId="0" xfId="0" applyFill="1"/>
    <xf numFmtId="16" fontId="0" fillId="19" borderId="0" xfId="0" applyNumberFormat="1" applyFill="1"/>
    <xf numFmtId="0" fontId="0" fillId="9" borderId="0" xfId="0" applyFill="1"/>
    <xf numFmtId="0" fontId="3" fillId="0" borderId="1" xfId="0" applyFont="1" applyBorder="1" applyAlignment="1">
      <alignment horizontal="left" vertical="center" wrapText="1"/>
    </xf>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6" fillId="0" borderId="1" xfId="0" applyFont="1" applyBorder="1"/>
    <xf numFmtId="44" fontId="4" fillId="0" borderId="1" xfId="0" applyNumberFormat="1" applyFont="1" applyBorder="1"/>
    <xf numFmtId="0" fontId="27"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16" fontId="4" fillId="2" borderId="1" xfId="0" applyNumberFormat="1" applyFont="1" applyFill="1" applyBorder="1"/>
    <xf numFmtId="0" fontId="4" fillId="0" borderId="6" xfId="0" applyFont="1" applyBorder="1"/>
    <xf numFmtId="0" fontId="4" fillId="0" borderId="2" xfId="0" applyFont="1" applyBorder="1"/>
    <xf numFmtId="0" fontId="4" fillId="0" borderId="1" xfId="0" applyFont="1" applyBorder="1" applyAlignment="1">
      <alignment vertical="center" wrapText="1"/>
    </xf>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2" borderId="6" xfId="0" applyNumberFormat="1" applyFont="1" applyFill="1" applyBorder="1"/>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4" fillId="0" borderId="6" xfId="0" applyFont="1" applyBorder="1" applyAlignment="1">
      <alignment horizontal="left" vertical="center"/>
    </xf>
    <xf numFmtId="0" fontId="4" fillId="0" borderId="8" xfId="0" applyFont="1" applyBorder="1" applyAlignment="1">
      <alignment horizontal="left" vertical="center" wrapText="1"/>
    </xf>
    <xf numFmtId="0" fontId="28" fillId="0" borderId="1" xfId="0" applyFont="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0" fontId="9" fillId="8" borderId="25" xfId="0" applyFont="1" applyFill="1" applyBorder="1"/>
    <xf numFmtId="0" fontId="9" fillId="8" borderId="26" xfId="0" applyFont="1" applyFill="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7" fillId="9" borderId="0" xfId="0" applyFont="1" applyFill="1" applyAlignment="1">
      <alignment horizontal="left" vertical="center" wrapText="1"/>
    </xf>
    <xf numFmtId="0" fontId="25" fillId="20" borderId="16" xfId="0" applyFont="1" applyFill="1" applyBorder="1" applyAlignment="1">
      <alignment horizontal="left" vertical="center" wrapText="1"/>
    </xf>
    <xf numFmtId="0" fontId="25" fillId="20" borderId="14" xfId="0" applyFont="1" applyFill="1" applyBorder="1" applyAlignment="1">
      <alignment horizontal="left" vertical="center" wrapText="1"/>
    </xf>
    <xf numFmtId="0" fontId="25" fillId="20" borderId="17" xfId="0" applyFont="1" applyFill="1" applyBorder="1" applyAlignment="1">
      <alignment horizontal="left" vertical="center" wrapText="1"/>
    </xf>
    <xf numFmtId="0" fontId="25" fillId="20" borderId="18" xfId="0" applyFont="1" applyFill="1" applyBorder="1" applyAlignment="1">
      <alignment horizontal="left" vertical="center" wrapText="1"/>
    </xf>
    <xf numFmtId="0" fontId="25" fillId="20" borderId="0" xfId="0" applyFont="1" applyFill="1" applyBorder="1" applyAlignment="1">
      <alignment horizontal="left" vertical="center" wrapText="1"/>
    </xf>
    <xf numFmtId="0" fontId="25" fillId="20" borderId="19" xfId="0" applyFont="1" applyFill="1" applyBorder="1" applyAlignment="1">
      <alignment horizontal="left" vertical="center" wrapText="1"/>
    </xf>
    <xf numFmtId="0" fontId="25" fillId="20" borderId="23" xfId="0" applyFont="1" applyFill="1" applyBorder="1" applyAlignment="1">
      <alignment horizontal="left" vertical="center" wrapText="1"/>
    </xf>
    <xf numFmtId="0" fontId="25" fillId="20" borderId="9" xfId="0" applyFont="1" applyFill="1" applyBorder="1" applyAlignment="1">
      <alignment horizontal="left" vertical="center" wrapText="1"/>
    </xf>
    <xf numFmtId="0" fontId="25" fillId="20" borderId="10" xfId="0" applyFont="1" applyFill="1" applyBorder="1" applyAlignment="1">
      <alignment horizontal="left" vertical="center" wrapText="1"/>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2" fillId="15" borderId="20" xfId="0" applyFont="1" applyFill="1" applyBorder="1" applyAlignment="1">
      <alignment horizontal="left" vertical="center" wrapText="1"/>
    </xf>
    <xf numFmtId="0" fontId="2" fillId="15" borderId="21" xfId="0" applyFont="1" applyFill="1" applyBorder="1" applyAlignment="1">
      <alignment horizontal="left" vertical="center" wrapText="1"/>
    </xf>
    <xf numFmtId="44" fontId="17" fillId="15" borderId="17" xfId="0" applyNumberFormat="1" applyFont="1" applyFill="1" applyBorder="1" applyAlignment="1">
      <alignment horizontal="center" vertical="center"/>
    </xf>
    <xf numFmtId="0" fontId="17" fillId="15" borderId="19" xfId="0" applyFont="1" applyFill="1" applyBorder="1" applyAlignment="1">
      <alignment horizontal="center" vertical="center"/>
    </xf>
    <xf numFmtId="0" fontId="0" fillId="9" borderId="0" xfId="0" applyFill="1" applyAlignment="1">
      <alignment horizontal="left" vertical="center" wrapText="1"/>
    </xf>
    <xf numFmtId="0" fontId="16" fillId="10" borderId="0" xfId="0" applyFont="1" applyFill="1" applyAlignment="1">
      <alignment horizontal="center" vertical="center"/>
    </xf>
    <xf numFmtId="0" fontId="4" fillId="2" borderId="8" xfId="0" applyFont="1" applyFill="1" applyBorder="1" applyAlignment="1">
      <alignment horizontal="lef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2" fillId="9" borderId="0" xfId="0" applyFont="1" applyFill="1" applyAlignment="1">
      <alignment horizontal="left" vertical="center" wrapText="1"/>
    </xf>
    <xf numFmtId="1" fontId="17" fillId="5" borderId="16" xfId="0" applyNumberFormat="1" applyFont="1" applyFill="1" applyBorder="1" applyAlignment="1">
      <alignment horizontal="left" vertical="center" wrapText="1"/>
    </xf>
    <xf numFmtId="1" fontId="17" fillId="5" borderId="14" xfId="0" applyNumberFormat="1" applyFont="1" applyFill="1" applyBorder="1" applyAlignment="1">
      <alignment horizontal="left" vertical="center"/>
    </xf>
    <xf numFmtId="1" fontId="17" fillId="5" borderId="17" xfId="0" applyNumberFormat="1" applyFont="1" applyFill="1" applyBorder="1" applyAlignment="1">
      <alignment horizontal="left" vertical="center"/>
    </xf>
    <xf numFmtId="1" fontId="17" fillId="5" borderId="18" xfId="0" applyNumberFormat="1" applyFont="1" applyFill="1" applyBorder="1" applyAlignment="1">
      <alignment horizontal="left" vertical="center"/>
    </xf>
    <xf numFmtId="1" fontId="17" fillId="5" borderId="0" xfId="0" applyNumberFormat="1" applyFont="1" applyFill="1" applyAlignment="1">
      <alignment horizontal="left" vertical="center"/>
    </xf>
    <xf numFmtId="1" fontId="17" fillId="5" borderId="19" xfId="0" applyNumberFormat="1" applyFont="1" applyFill="1" applyBorder="1" applyAlignment="1">
      <alignment horizontal="left" vertical="center"/>
    </xf>
    <xf numFmtId="1" fontId="17" fillId="5" borderId="23" xfId="0" applyNumberFormat="1" applyFont="1" applyFill="1" applyBorder="1" applyAlignment="1">
      <alignment horizontal="left" vertical="center"/>
    </xf>
    <xf numFmtId="1" fontId="17" fillId="5" borderId="9" xfId="0" applyNumberFormat="1" applyFont="1" applyFill="1" applyBorder="1" applyAlignment="1">
      <alignment horizontal="left" vertical="center"/>
    </xf>
    <xf numFmtId="1" fontId="17" fillId="5" borderId="10" xfId="0" applyNumberFormat="1" applyFont="1" applyFill="1" applyBorder="1" applyAlignment="1">
      <alignment horizontal="left" vertical="center"/>
    </xf>
    <xf numFmtId="1" fontId="19" fillId="12" borderId="16" xfId="0" applyNumberFormat="1" applyFont="1" applyFill="1" applyBorder="1" applyAlignment="1">
      <alignment horizontal="left" vertical="center"/>
    </xf>
    <xf numFmtId="1" fontId="19" fillId="12" borderId="14" xfId="0" applyNumberFormat="1" applyFont="1" applyFill="1" applyBorder="1" applyAlignment="1">
      <alignment horizontal="left" vertical="center"/>
    </xf>
    <xf numFmtId="1" fontId="19" fillId="12" borderId="17" xfId="0" applyNumberFormat="1" applyFont="1" applyFill="1" applyBorder="1" applyAlignment="1">
      <alignment horizontal="left" vertical="center"/>
    </xf>
    <xf numFmtId="1" fontId="19" fillId="12" borderId="23" xfId="0" applyNumberFormat="1" applyFont="1" applyFill="1" applyBorder="1" applyAlignment="1">
      <alignment horizontal="left" vertical="center"/>
    </xf>
    <xf numFmtId="1" fontId="19" fillId="12" borderId="9" xfId="0" applyNumberFormat="1" applyFont="1" applyFill="1" applyBorder="1" applyAlignment="1">
      <alignment horizontal="left" vertical="center"/>
    </xf>
    <xf numFmtId="1" fontId="19"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1" fontId="24" fillId="11" borderId="11" xfId="0" applyNumberFormat="1" applyFont="1" applyFill="1" applyBorder="1" applyAlignment="1">
      <alignment horizontal="left" vertical="center" wrapText="1"/>
    </xf>
    <xf numFmtId="1" fontId="24" fillId="11" borderId="12" xfId="0" applyNumberFormat="1" applyFont="1" applyFill="1" applyBorder="1" applyAlignment="1">
      <alignment horizontal="left" vertical="center" wrapText="1"/>
    </xf>
    <xf numFmtId="1" fontId="24" fillId="11" borderId="13" xfId="0" applyNumberFormat="1" applyFont="1" applyFill="1" applyBorder="1" applyAlignment="1">
      <alignment horizontal="left" vertical="center" wrapText="1"/>
    </xf>
    <xf numFmtId="1" fontId="20" fillId="9" borderId="0" xfId="0" applyNumberFormat="1" applyFont="1" applyFill="1" applyAlignment="1">
      <alignment horizontal="center" vertical="center"/>
    </xf>
    <xf numFmtId="1" fontId="20" fillId="9" borderId="19" xfId="0" applyNumberFormat="1" applyFont="1" applyFill="1" applyBorder="1" applyAlignment="1">
      <alignment horizontal="center" vertical="center"/>
    </xf>
    <xf numFmtId="1" fontId="20" fillId="9" borderId="9" xfId="0" applyNumberFormat="1" applyFont="1" applyFill="1" applyBorder="1" applyAlignment="1">
      <alignment horizontal="center" vertical="center"/>
    </xf>
    <xf numFmtId="1" fontId="20" fillId="9" borderId="10" xfId="0" applyNumberFormat="1"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xf numFmtId="0" fontId="8" fillId="2" borderId="0" xfId="0" applyFont="1" applyFill="1" applyAlignment="1">
      <alignment horizontal="center"/>
    </xf>
    <xf numFmtId="0" fontId="8" fillId="2" borderId="19" xfId="0" applyFont="1" applyFill="1" applyBorder="1" applyAlignment="1">
      <alignment horizontal="center"/>
    </xf>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3"/>
  <sheetViews>
    <sheetView topLeftCell="A14" zoomScale="80" zoomScaleNormal="80" workbookViewId="0">
      <selection activeCell="B24" sqref="A24:F99"/>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8.14062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82"/>
      <c r="B1" s="91"/>
      <c r="C1" s="98" t="s">
        <v>249</v>
      </c>
      <c r="D1" s="98"/>
      <c r="E1" s="99"/>
      <c r="F1" s="99"/>
      <c r="G1" s="80"/>
      <c r="H1" s="80"/>
      <c r="I1" s="80"/>
      <c r="J1" s="81"/>
    </row>
    <row r="2" spans="1:10" ht="18.75" x14ac:dyDescent="0.3">
      <c r="A2" s="83"/>
      <c r="B2" s="92"/>
      <c r="C2" s="92" t="s">
        <v>246</v>
      </c>
      <c r="D2" s="92"/>
      <c r="E2" s="93"/>
      <c r="F2" s="93"/>
      <c r="G2" s="93"/>
      <c r="H2" s="93"/>
      <c r="I2" s="93"/>
      <c r="J2" s="79"/>
    </row>
    <row r="3" spans="1:10" ht="18.75" x14ac:dyDescent="0.3">
      <c r="A3" s="83"/>
      <c r="B3" s="92"/>
      <c r="C3" s="92" t="s">
        <v>275</v>
      </c>
      <c r="D3" s="92"/>
      <c r="E3" s="92" t="s">
        <v>247</v>
      </c>
      <c r="F3" s="93"/>
      <c r="G3" s="93"/>
      <c r="H3" s="93"/>
      <c r="I3" s="93"/>
      <c r="J3" s="79"/>
    </row>
    <row r="4" spans="1:10" ht="18" customHeight="1" x14ac:dyDescent="0.3">
      <c r="A4" s="83"/>
      <c r="B4" s="92"/>
      <c r="C4" s="92" t="s">
        <v>248</v>
      </c>
      <c r="D4" s="93"/>
      <c r="E4" s="93"/>
      <c r="F4" s="93"/>
      <c r="G4" s="93"/>
      <c r="H4" s="93"/>
      <c r="I4" s="93"/>
      <c r="J4" s="79"/>
    </row>
    <row r="5" spans="1:10" ht="18.75" x14ac:dyDescent="0.3">
      <c r="A5" s="87"/>
      <c r="B5" s="92"/>
      <c r="C5" s="92" t="s">
        <v>395</v>
      </c>
      <c r="D5" s="92"/>
      <c r="E5" s="92" t="s">
        <v>335</v>
      </c>
      <c r="F5" s="92"/>
      <c r="G5" s="92"/>
      <c r="H5" s="92"/>
      <c r="I5" s="92"/>
      <c r="J5" s="88"/>
    </row>
    <row r="6" spans="1:10" ht="18.75" x14ac:dyDescent="0.3">
      <c r="A6" s="87"/>
      <c r="B6" s="92"/>
      <c r="C6" s="92" t="s">
        <v>0</v>
      </c>
      <c r="D6" s="92"/>
      <c r="E6" s="92"/>
      <c r="F6" s="92"/>
      <c r="G6" s="92"/>
      <c r="H6" s="92"/>
      <c r="I6" s="92"/>
      <c r="J6" s="88"/>
    </row>
    <row r="7" spans="1:10" ht="19.5" thickBot="1" x14ac:dyDescent="0.35">
      <c r="A7" s="89"/>
      <c r="B7" s="90"/>
      <c r="C7" s="90"/>
      <c r="D7" s="90"/>
      <c r="E7" s="90"/>
      <c r="F7" s="90"/>
      <c r="G7" s="90"/>
      <c r="H7" s="90"/>
      <c r="I7" s="90"/>
      <c r="J7" s="94"/>
    </row>
    <row r="9" spans="1:10" hidden="1" x14ac:dyDescent="0.25"/>
    <row r="10" spans="1:10" hidden="1" x14ac:dyDescent="0.25"/>
    <row r="11" spans="1:10" hidden="1" x14ac:dyDescent="0.25"/>
    <row r="12" spans="1:10" hidden="1" x14ac:dyDescent="0.25"/>
    <row r="14" spans="1:10" ht="15" customHeight="1" x14ac:dyDescent="0.25">
      <c r="A14" s="303" t="s">
        <v>245</v>
      </c>
      <c r="B14" s="303"/>
      <c r="C14" s="303"/>
      <c r="D14" s="303"/>
      <c r="E14" s="303"/>
      <c r="F14" s="303"/>
      <c r="G14" s="303"/>
      <c r="H14" s="303"/>
      <c r="I14" s="303"/>
      <c r="J14" s="303"/>
    </row>
    <row r="15" spans="1:10" ht="15" customHeight="1" x14ac:dyDescent="0.25">
      <c r="A15" s="303"/>
      <c r="B15" s="303"/>
      <c r="C15" s="303"/>
      <c r="D15" s="303"/>
      <c r="E15" s="303"/>
      <c r="F15" s="303"/>
      <c r="G15" s="303"/>
      <c r="H15" s="303"/>
      <c r="I15" s="303"/>
      <c r="J15" s="303"/>
    </row>
    <row r="16" spans="1:10" ht="15" customHeight="1" x14ac:dyDescent="0.25">
      <c r="A16" s="303"/>
      <c r="B16" s="303"/>
      <c r="C16" s="303"/>
      <c r="D16" s="303"/>
      <c r="E16" s="303"/>
      <c r="F16" s="303"/>
      <c r="G16" s="303"/>
      <c r="H16" s="303"/>
      <c r="I16" s="303"/>
      <c r="J16" s="303"/>
    </row>
    <row r="17" spans="1:12" ht="25.15" customHeight="1" x14ac:dyDescent="0.25">
      <c r="A17" s="303"/>
      <c r="B17" s="303"/>
      <c r="C17" s="303"/>
      <c r="D17" s="303"/>
      <c r="E17" s="303"/>
      <c r="F17" s="303"/>
      <c r="G17" s="303"/>
      <c r="H17" s="303"/>
      <c r="I17" s="303"/>
      <c r="J17" s="303"/>
    </row>
    <row r="18" spans="1:12" ht="47.45" customHeight="1" x14ac:dyDescent="0.25">
      <c r="A18" s="303"/>
      <c r="B18" s="303"/>
      <c r="C18" s="303"/>
      <c r="D18" s="303"/>
      <c r="E18" s="303"/>
      <c r="F18" s="303"/>
      <c r="G18" s="303"/>
      <c r="H18" s="303"/>
      <c r="I18" s="303"/>
      <c r="J18" s="303"/>
    </row>
    <row r="19" spans="1:12" x14ac:dyDescent="0.25">
      <c r="A19" s="1"/>
      <c r="H19" s="69"/>
    </row>
    <row r="20" spans="1:12" x14ac:dyDescent="0.25">
      <c r="A20" s="304" t="s">
        <v>418</v>
      </c>
      <c r="B20" s="304"/>
      <c r="C20" s="304"/>
      <c r="D20" s="304"/>
      <c r="E20" s="304"/>
      <c r="F20" s="304"/>
      <c r="G20" s="304"/>
      <c r="H20" s="304"/>
      <c r="I20" s="304"/>
      <c r="J20" s="304"/>
    </row>
    <row r="21" spans="1:12" x14ac:dyDescent="0.25">
      <c r="A21" s="304"/>
      <c r="B21" s="304"/>
      <c r="C21" s="304"/>
      <c r="D21" s="304"/>
      <c r="E21" s="304"/>
      <c r="F21" s="304"/>
      <c r="G21" s="304"/>
      <c r="H21" s="304"/>
      <c r="I21" s="304"/>
      <c r="J21" s="304"/>
    </row>
    <row r="22" spans="1:12" x14ac:dyDescent="0.25">
      <c r="A22" s="304"/>
      <c r="B22" s="304"/>
      <c r="C22" s="304"/>
      <c r="D22" s="304"/>
      <c r="E22" s="304"/>
      <c r="F22" s="304"/>
      <c r="G22" s="304"/>
      <c r="H22" s="304"/>
      <c r="I22" s="304"/>
      <c r="J22" s="304"/>
    </row>
    <row r="23" spans="1:12" ht="15.75" thickBot="1" x14ac:dyDescent="0.3">
      <c r="H23" s="69"/>
    </row>
    <row r="24" spans="1:12" ht="15.75" thickBot="1" x14ac:dyDescent="0.3">
      <c r="A24" s="230" t="s">
        <v>18</v>
      </c>
      <c r="B24" s="231"/>
      <c r="C24" s="232"/>
      <c r="D24" s="233"/>
      <c r="E24" s="234" t="s">
        <v>164</v>
      </c>
      <c r="F24" s="234" t="s">
        <v>165</v>
      </c>
      <c r="G24" s="70" t="s">
        <v>166</v>
      </c>
      <c r="H24" s="70" t="s">
        <v>167</v>
      </c>
      <c r="I24" s="70" t="s">
        <v>168</v>
      </c>
      <c r="J24" s="71" t="s">
        <v>169</v>
      </c>
    </row>
    <row r="25" spans="1:12" ht="15.75" x14ac:dyDescent="0.25">
      <c r="A25" s="235" t="s">
        <v>341</v>
      </c>
      <c r="B25" s="181"/>
      <c r="C25" s="181"/>
      <c r="D25" s="179"/>
      <c r="E25" s="236"/>
      <c r="F25" s="236"/>
      <c r="G25" s="44"/>
      <c r="H25" s="44"/>
      <c r="I25" s="44"/>
      <c r="J25" s="44"/>
      <c r="L25" s="50"/>
    </row>
    <row r="26" spans="1:12" x14ac:dyDescent="0.25">
      <c r="A26" s="237" t="s">
        <v>394</v>
      </c>
      <c r="B26" s="181"/>
      <c r="C26" s="181" t="s">
        <v>393</v>
      </c>
      <c r="D26" s="179">
        <v>3000000</v>
      </c>
      <c r="E26" s="181"/>
      <c r="F26" s="181"/>
      <c r="G26" s="3"/>
      <c r="H26" s="3"/>
      <c r="I26" s="3"/>
      <c r="J26" s="3"/>
      <c r="L26" s="50"/>
    </row>
    <row r="27" spans="1:12" x14ac:dyDescent="0.25">
      <c r="A27" s="238" t="s">
        <v>35</v>
      </c>
      <c r="B27" s="238"/>
      <c r="C27" s="238"/>
      <c r="D27" s="31">
        <f>SUM(D25:D26)</f>
        <v>3000000</v>
      </c>
      <c r="E27" s="31">
        <f>D27*93.2%</f>
        <v>2796000</v>
      </c>
      <c r="F27" s="239">
        <f>$D27*1.08%</f>
        <v>32400</v>
      </c>
      <c r="G27" s="58">
        <f>$D27*1.28%</f>
        <v>38400</v>
      </c>
      <c r="H27" s="58">
        <f>$D27*1.21%</f>
        <v>36300</v>
      </c>
      <c r="I27" s="58">
        <f>$D27*1.49%</f>
        <v>44700</v>
      </c>
      <c r="J27" s="58">
        <f>D27*1.74%</f>
        <v>52200</v>
      </c>
      <c r="K27" s="32">
        <f>E27+J27+F27+G27+H27+I27</f>
        <v>3000000</v>
      </c>
      <c r="L27" s="50" t="str">
        <f>IF(D27=K27, "", "Error")</f>
        <v/>
      </c>
    </row>
    <row r="28" spans="1:12" x14ac:dyDescent="0.25">
      <c r="A28" s="237" t="s">
        <v>234</v>
      </c>
      <c r="B28" s="181"/>
      <c r="C28" s="181"/>
      <c r="D28" s="179"/>
      <c r="E28" s="236"/>
      <c r="F28" s="236"/>
      <c r="G28" s="44"/>
      <c r="H28" s="44"/>
      <c r="I28" s="44"/>
      <c r="J28" s="44"/>
      <c r="L28" s="50"/>
    </row>
    <row r="29" spans="1:12" x14ac:dyDescent="0.25">
      <c r="A29" s="237" t="s">
        <v>383</v>
      </c>
      <c r="B29" s="181" t="s">
        <v>408</v>
      </c>
      <c r="C29" s="181"/>
      <c r="D29" s="179">
        <v>63630</v>
      </c>
      <c r="E29" s="236"/>
      <c r="F29" s="236"/>
      <c r="G29" s="44"/>
      <c r="H29" s="44"/>
      <c r="I29" s="44"/>
      <c r="J29" s="44"/>
      <c r="L29" s="50"/>
    </row>
    <row r="30" spans="1:12" x14ac:dyDescent="0.25">
      <c r="A30" s="237" t="s">
        <v>383</v>
      </c>
      <c r="B30" s="181" t="s">
        <v>419</v>
      </c>
      <c r="C30" s="181"/>
      <c r="D30" s="179">
        <v>60000</v>
      </c>
      <c r="E30" s="236"/>
      <c r="F30" s="236"/>
      <c r="G30" s="44"/>
      <c r="H30" s="44"/>
      <c r="I30" s="44"/>
      <c r="J30" s="44"/>
      <c r="L30" s="50"/>
    </row>
    <row r="31" spans="1:12" x14ac:dyDescent="0.25">
      <c r="A31" s="237" t="s">
        <v>383</v>
      </c>
      <c r="B31" s="181" t="s">
        <v>420</v>
      </c>
      <c r="C31" s="181"/>
      <c r="D31" s="179">
        <v>99726.06</v>
      </c>
      <c r="E31" s="236"/>
      <c r="F31" s="236"/>
      <c r="G31" s="44"/>
      <c r="H31" s="44"/>
      <c r="I31" s="44"/>
      <c r="J31" s="44"/>
      <c r="L31" s="50"/>
    </row>
    <row r="32" spans="1:12" x14ac:dyDescent="0.25">
      <c r="A32" s="237" t="s">
        <v>383</v>
      </c>
      <c r="B32" s="181" t="s">
        <v>420</v>
      </c>
      <c r="C32" s="181"/>
      <c r="D32" s="179">
        <v>44990.07</v>
      </c>
      <c r="E32" s="236"/>
      <c r="F32" s="236"/>
      <c r="G32" s="44"/>
      <c r="H32" s="44"/>
      <c r="I32" s="44"/>
      <c r="J32" s="44"/>
      <c r="L32" s="50"/>
    </row>
    <row r="33" spans="1:12" x14ac:dyDescent="0.25">
      <c r="A33" s="237" t="s">
        <v>383</v>
      </c>
      <c r="B33" s="181" t="s">
        <v>420</v>
      </c>
      <c r="C33" s="181"/>
      <c r="D33" s="179">
        <v>70000.03</v>
      </c>
      <c r="E33" s="236"/>
      <c r="F33" s="236"/>
      <c r="G33" s="44"/>
      <c r="H33" s="44"/>
      <c r="I33" s="44"/>
      <c r="J33" s="44"/>
      <c r="L33" s="50"/>
    </row>
    <row r="34" spans="1:12" x14ac:dyDescent="0.25">
      <c r="A34" s="237" t="s">
        <v>383</v>
      </c>
      <c r="B34" s="181" t="s">
        <v>419</v>
      </c>
      <c r="C34" s="181"/>
      <c r="D34" s="179">
        <v>60015.95</v>
      </c>
      <c r="E34" s="236"/>
      <c r="F34" s="236"/>
      <c r="G34" s="44"/>
      <c r="H34" s="44"/>
      <c r="I34" s="44"/>
      <c r="J34" s="44"/>
      <c r="L34" s="50"/>
    </row>
    <row r="35" spans="1:12" x14ac:dyDescent="0.25">
      <c r="A35" s="237"/>
      <c r="B35" s="181"/>
      <c r="C35" s="181"/>
      <c r="D35" s="179"/>
      <c r="E35" s="236"/>
      <c r="F35" s="236"/>
      <c r="G35" s="44"/>
      <c r="H35" s="44"/>
      <c r="I35" s="44"/>
      <c r="J35" s="44"/>
      <c r="L35" s="50"/>
    </row>
    <row r="36" spans="1:12" x14ac:dyDescent="0.25">
      <c r="A36" s="238" t="s">
        <v>16</v>
      </c>
      <c r="B36" s="238"/>
      <c r="C36" s="238"/>
      <c r="D36" s="31">
        <f>SUM(D29:D35)</f>
        <v>398362.11000000004</v>
      </c>
      <c r="E36" s="31">
        <f>D36</f>
        <v>398362.11000000004</v>
      </c>
      <c r="F36" s="31"/>
      <c r="G36" s="31"/>
      <c r="H36" s="31"/>
      <c r="I36" s="31"/>
      <c r="J36" s="37"/>
      <c r="K36" s="32">
        <f>E36+J36+F36+G36+H36+I36</f>
        <v>398362.11000000004</v>
      </c>
      <c r="L36" s="50" t="str">
        <f>IF(D36=K36, "", "Error")</f>
        <v/>
      </c>
    </row>
    <row r="37" spans="1:12" x14ac:dyDescent="0.25">
      <c r="A37" s="237" t="s">
        <v>230</v>
      </c>
      <c r="B37" s="141"/>
      <c r="C37" s="141"/>
      <c r="D37" s="179"/>
      <c r="E37" s="240"/>
      <c r="F37" s="240"/>
      <c r="G37" s="38"/>
      <c r="H37" s="38"/>
      <c r="I37" s="38"/>
      <c r="J37" s="38"/>
      <c r="L37" s="50"/>
    </row>
    <row r="38" spans="1:12" x14ac:dyDescent="0.25">
      <c r="A38" s="141" t="s">
        <v>342</v>
      </c>
      <c r="B38" s="141"/>
      <c r="C38" s="241"/>
      <c r="D38" s="179">
        <v>0</v>
      </c>
      <c r="E38" s="240"/>
      <c r="F38" s="240"/>
      <c r="G38" s="38"/>
      <c r="H38" s="38"/>
      <c r="I38" s="38"/>
      <c r="J38" s="38"/>
      <c r="L38" s="50"/>
    </row>
    <row r="39" spans="1:12" x14ac:dyDescent="0.25">
      <c r="A39" s="141" t="s">
        <v>362</v>
      </c>
      <c r="B39" s="141" t="s">
        <v>396</v>
      </c>
      <c r="C39" s="141" t="s">
        <v>380</v>
      </c>
      <c r="D39" s="179">
        <v>1742902</v>
      </c>
      <c r="E39" s="240"/>
      <c r="F39" s="240"/>
      <c r="G39" s="38"/>
      <c r="H39" s="38"/>
      <c r="I39" s="38"/>
      <c r="J39" s="38"/>
      <c r="L39" s="50"/>
    </row>
    <row r="40" spans="1:12" x14ac:dyDescent="0.25">
      <c r="A40" s="141" t="s">
        <v>233</v>
      </c>
      <c r="B40" s="141" t="s">
        <v>396</v>
      </c>
      <c r="C40" s="141" t="s">
        <v>380</v>
      </c>
      <c r="D40" s="179">
        <v>1742902</v>
      </c>
      <c r="E40" s="240"/>
      <c r="F40" s="240"/>
      <c r="G40" s="38"/>
      <c r="H40" s="38"/>
      <c r="I40" s="38"/>
      <c r="J40" s="38"/>
      <c r="L40" s="50"/>
    </row>
    <row r="41" spans="1:12" x14ac:dyDescent="0.25">
      <c r="A41" s="141"/>
      <c r="B41" s="141"/>
      <c r="C41" s="141"/>
      <c r="D41" s="179"/>
      <c r="E41" s="240"/>
      <c r="F41" s="240"/>
      <c r="G41" s="38"/>
      <c r="H41" s="38"/>
      <c r="I41" s="38"/>
      <c r="J41" s="38"/>
      <c r="L41" s="50"/>
    </row>
    <row r="42" spans="1:12" x14ac:dyDescent="0.25">
      <c r="A42" s="238" t="s">
        <v>232</v>
      </c>
      <c r="B42" s="238"/>
      <c r="C42" s="238"/>
      <c r="D42" s="180">
        <f>SUM(D38:D41)</f>
        <v>3485804</v>
      </c>
      <c r="E42" s="31">
        <f>D42*93.2%</f>
        <v>3248769.3280000002</v>
      </c>
      <c r="F42" s="239">
        <f>$D42*1.08%</f>
        <v>37646.683199999999</v>
      </c>
      <c r="G42" s="58">
        <f>$D42*1.28%</f>
        <v>44618.2912</v>
      </c>
      <c r="H42" s="58">
        <f>$D42*1.21%</f>
        <v>42178.2284</v>
      </c>
      <c r="I42" s="58">
        <f>$D42*1.49%</f>
        <v>51938.479599999999</v>
      </c>
      <c r="J42" s="58">
        <f>D42*1.74%</f>
        <v>60652.989599999994</v>
      </c>
      <c r="K42" s="32">
        <f>E42+J42+F42+G42+H42+I42</f>
        <v>3485804</v>
      </c>
      <c r="L42" s="50" t="str">
        <f>IF(D42=K42, "", "Error")</f>
        <v/>
      </c>
    </row>
    <row r="43" spans="1:12" x14ac:dyDescent="0.25">
      <c r="A43" s="237" t="s">
        <v>1</v>
      </c>
      <c r="B43" s="181"/>
      <c r="C43" s="181"/>
      <c r="D43" s="33"/>
      <c r="E43" s="242"/>
      <c r="F43" s="242"/>
      <c r="G43" s="34"/>
      <c r="H43" s="34"/>
      <c r="I43" s="34"/>
      <c r="J43" s="3"/>
      <c r="L43" s="50"/>
    </row>
    <row r="44" spans="1:12" x14ac:dyDescent="0.25">
      <c r="A44" s="181"/>
      <c r="B44" s="181"/>
      <c r="C44" s="181"/>
      <c r="D44" s="33"/>
      <c r="E44" s="243"/>
      <c r="F44" s="243"/>
      <c r="G44" s="84"/>
      <c r="H44" s="84"/>
      <c r="I44" s="84"/>
      <c r="J44" s="3"/>
      <c r="L44" s="50"/>
    </row>
    <row r="45" spans="1:12" x14ac:dyDescent="0.25">
      <c r="A45" s="181"/>
      <c r="B45" s="181"/>
      <c r="C45" s="181"/>
      <c r="D45" s="33"/>
      <c r="E45" s="243"/>
      <c r="F45" s="243"/>
      <c r="G45" s="84"/>
      <c r="H45" s="84"/>
      <c r="I45" s="84"/>
      <c r="J45" s="3"/>
      <c r="L45" s="50"/>
    </row>
    <row r="46" spans="1:12" x14ac:dyDescent="0.25">
      <c r="A46" s="181"/>
      <c r="B46" s="181"/>
      <c r="C46" s="244"/>
      <c r="D46" s="33"/>
      <c r="E46" s="245"/>
      <c r="F46" s="245"/>
      <c r="G46" s="55"/>
      <c r="H46" s="55"/>
      <c r="I46" s="55"/>
      <c r="J46" s="3"/>
      <c r="L46" s="50"/>
    </row>
    <row r="47" spans="1:12" x14ac:dyDescent="0.25">
      <c r="A47" s="238" t="s">
        <v>231</v>
      </c>
      <c r="B47" s="238"/>
      <c r="C47" s="238"/>
      <c r="D47" s="31">
        <f>SUM(D43:D46)</f>
        <v>0</v>
      </c>
      <c r="E47" s="31">
        <f>D47*93.2%</f>
        <v>0</v>
      </c>
      <c r="F47" s="239">
        <f>$D47*1.08%</f>
        <v>0</v>
      </c>
      <c r="G47" s="58">
        <f>$D47*1.28%</f>
        <v>0</v>
      </c>
      <c r="H47" s="58">
        <f>$D47*1.21%</f>
        <v>0</v>
      </c>
      <c r="I47" s="58">
        <f>$D47*1.49%</f>
        <v>0</v>
      </c>
      <c r="J47" s="58">
        <f>D47*1.74%</f>
        <v>0</v>
      </c>
      <c r="K47" s="32">
        <f>E47+J47+F47+G47+H47+I47</f>
        <v>0</v>
      </c>
      <c r="L47" s="50" t="str">
        <f>IF(D47=K47, "", "Error")</f>
        <v/>
      </c>
    </row>
    <row r="48" spans="1:12" x14ac:dyDescent="0.25">
      <c r="A48" s="237" t="s">
        <v>222</v>
      </c>
      <c r="B48" s="181"/>
      <c r="C48" s="181"/>
      <c r="D48" s="181"/>
      <c r="E48" s="246"/>
      <c r="F48" s="246"/>
      <c r="G48" s="35"/>
      <c r="H48" s="35"/>
      <c r="I48" s="35"/>
      <c r="J48" s="25"/>
      <c r="L48" s="50"/>
    </row>
    <row r="49" spans="1:14" x14ac:dyDescent="0.25">
      <c r="A49" s="181" t="s">
        <v>226</v>
      </c>
      <c r="B49" s="181"/>
      <c r="C49" s="181" t="s">
        <v>292</v>
      </c>
      <c r="D49" s="33">
        <v>214371</v>
      </c>
      <c r="E49" s="236">
        <f>D49*93.2%</f>
        <v>199793.772</v>
      </c>
      <c r="F49" s="236">
        <f>$D49*1.08%</f>
        <v>2315.2067999999999</v>
      </c>
      <c r="G49" s="44">
        <f>$D49*1.28%</f>
        <v>2743.9488000000001</v>
      </c>
      <c r="H49" s="44">
        <f>$D49*1.21%</f>
        <v>2593.8890999999999</v>
      </c>
      <c r="I49" s="44">
        <f>$D49*1.49%</f>
        <v>3194.1279</v>
      </c>
      <c r="J49" s="44">
        <f>D49*1.74%</f>
        <v>3730.0553999999997</v>
      </c>
      <c r="K49" s="32">
        <f>SUM(E49:J49)</f>
        <v>214371</v>
      </c>
      <c r="L49" s="50"/>
    </row>
    <row r="50" spans="1:14" ht="15.75" customHeight="1" x14ac:dyDescent="0.25">
      <c r="A50" s="297"/>
      <c r="B50" s="298"/>
      <c r="C50" s="181"/>
      <c r="D50" s="33"/>
      <c r="E50" s="236"/>
      <c r="F50" s="236"/>
      <c r="G50" s="44"/>
      <c r="H50" s="44"/>
      <c r="I50" s="44"/>
      <c r="J50" s="44"/>
      <c r="K50" s="32"/>
      <c r="L50" s="50"/>
    </row>
    <row r="51" spans="1:14" x14ac:dyDescent="0.25">
      <c r="A51" s="238" t="s">
        <v>2</v>
      </c>
      <c r="B51" s="247"/>
      <c r="C51" s="247"/>
      <c r="D51" s="31">
        <f t="shared" ref="D51:J51" si="0">SUM(D49:D50)</f>
        <v>214371</v>
      </c>
      <c r="E51" s="31">
        <f t="shared" si="0"/>
        <v>199793.772</v>
      </c>
      <c r="F51" s="31">
        <f t="shared" si="0"/>
        <v>2315.2067999999999</v>
      </c>
      <c r="G51" s="31">
        <f t="shared" si="0"/>
        <v>2743.9488000000001</v>
      </c>
      <c r="H51" s="31">
        <f t="shared" si="0"/>
        <v>2593.8890999999999</v>
      </c>
      <c r="I51" s="31">
        <f t="shared" si="0"/>
        <v>3194.1279</v>
      </c>
      <c r="J51" s="31">
        <f t="shared" si="0"/>
        <v>3730.0553999999997</v>
      </c>
      <c r="K51" s="32">
        <f>E51+J51+F51+G51+H51+I51</f>
        <v>214371</v>
      </c>
      <c r="L51" s="50" t="str">
        <f>IF(D51=K51, "", "Error")</f>
        <v/>
      </c>
    </row>
    <row r="52" spans="1:14" x14ac:dyDescent="0.25">
      <c r="A52" s="237" t="s">
        <v>3</v>
      </c>
      <c r="B52" s="181"/>
      <c r="C52" s="181"/>
      <c r="D52" s="182"/>
      <c r="E52" s="246"/>
      <c r="F52" s="246"/>
      <c r="G52" s="35"/>
      <c r="H52" s="35"/>
      <c r="I52" s="35"/>
      <c r="J52" s="3"/>
      <c r="L52" s="50"/>
    </row>
    <row r="53" spans="1:14" ht="16.5" customHeight="1" x14ac:dyDescent="0.25">
      <c r="A53" s="248" t="s">
        <v>227</v>
      </c>
      <c r="B53" s="181"/>
      <c r="C53" s="244" t="s">
        <v>403</v>
      </c>
      <c r="D53" s="249">
        <v>36079.1</v>
      </c>
      <c r="E53" s="250">
        <f>D53*93.2%</f>
        <v>33625.7212</v>
      </c>
      <c r="F53" s="236">
        <f>$D53*1.08%</f>
        <v>389.65428000000003</v>
      </c>
      <c r="G53" s="44">
        <f>$D53*1.28%</f>
        <v>461.81247999999999</v>
      </c>
      <c r="H53" s="44">
        <f>$D53*1.21%</f>
        <v>436.55710999999997</v>
      </c>
      <c r="I53" s="44">
        <f>$D53*1.49%</f>
        <v>537.57858999999996</v>
      </c>
      <c r="J53" s="44">
        <f>D53*1.74%</f>
        <v>627.77633999999989</v>
      </c>
      <c r="K53" s="32">
        <f>D53</f>
        <v>36079.1</v>
      </c>
      <c r="L53" s="54">
        <f>SUM(E53:J53)</f>
        <v>36079.1</v>
      </c>
      <c r="M53" s="64"/>
      <c r="N53" s="64"/>
    </row>
    <row r="54" spans="1:14" x14ac:dyDescent="0.25">
      <c r="A54" s="181" t="s">
        <v>228</v>
      </c>
      <c r="B54" s="181"/>
      <c r="C54" s="244" t="s">
        <v>390</v>
      </c>
      <c r="D54" s="249">
        <v>3898893.1</v>
      </c>
      <c r="E54" s="250">
        <f t="shared" ref="E54" si="1">D54*93.2%</f>
        <v>3633768.3692000001</v>
      </c>
      <c r="F54" s="236">
        <f t="shared" ref="F54" si="2">$D54*1.08%</f>
        <v>42108.045480000001</v>
      </c>
      <c r="G54" s="44">
        <f t="shared" ref="G54" si="3">$D54*1.28%</f>
        <v>49905.831680000003</v>
      </c>
      <c r="H54" s="44">
        <f t="shared" ref="H54" si="4">$D54*1.21%</f>
        <v>47176.606509999998</v>
      </c>
      <c r="I54" s="44">
        <f t="shared" ref="I54" si="5">$D54*1.49%</f>
        <v>58093.507190000004</v>
      </c>
      <c r="J54" s="44">
        <f t="shared" ref="J54" si="6">D54*1.74%</f>
        <v>67840.739939999999</v>
      </c>
      <c r="K54" s="32">
        <f t="shared" ref="K54:K60" si="7">D54</f>
        <v>3898893.1</v>
      </c>
      <c r="L54" s="54">
        <f t="shared" ref="L54" si="8">E54+J54+I54+H54+G54+F54</f>
        <v>3898893.0999999996</v>
      </c>
      <c r="M54" s="64"/>
      <c r="N54" s="64"/>
    </row>
    <row r="55" spans="1:14" x14ac:dyDescent="0.25">
      <c r="A55" s="181" t="s">
        <v>229</v>
      </c>
      <c r="B55" s="181"/>
      <c r="C55" s="181" t="s">
        <v>404</v>
      </c>
      <c r="D55" s="33">
        <v>151564.79999999999</v>
      </c>
      <c r="E55" s="250">
        <f>D55</f>
        <v>151564.79999999999</v>
      </c>
      <c r="F55" s="236"/>
      <c r="G55" s="44"/>
      <c r="H55" s="44"/>
      <c r="I55" s="44"/>
      <c r="J55" s="44"/>
      <c r="K55" s="32">
        <f t="shared" si="7"/>
        <v>151564.79999999999</v>
      </c>
      <c r="L55" s="54">
        <f>E55+J55+I55+H55+G55+F55</f>
        <v>151564.79999999999</v>
      </c>
      <c r="M55" s="64">
        <f>L55-D55</f>
        <v>0</v>
      </c>
      <c r="N55" s="64">
        <f>K55-D55</f>
        <v>0</v>
      </c>
    </row>
    <row r="56" spans="1:14" x14ac:dyDescent="0.25">
      <c r="A56" s="181" t="s">
        <v>397</v>
      </c>
      <c r="B56" s="181"/>
      <c r="C56" s="244" t="s">
        <v>360</v>
      </c>
      <c r="D56" s="33">
        <v>359504.14</v>
      </c>
      <c r="E56" s="250">
        <f>D56</f>
        <v>359504.14</v>
      </c>
      <c r="F56" s="236"/>
      <c r="G56" s="44"/>
      <c r="H56" s="44"/>
      <c r="I56" s="44"/>
      <c r="J56" s="44"/>
      <c r="K56" s="32">
        <f t="shared" si="7"/>
        <v>359504.14</v>
      </c>
      <c r="L56" s="54">
        <f>E56+J56+I56+H56+G56+F56</f>
        <v>359504.14</v>
      </c>
      <c r="M56" s="64"/>
      <c r="N56" s="64"/>
    </row>
    <row r="57" spans="1:14" ht="16.149999999999999" customHeight="1" x14ac:dyDescent="0.25">
      <c r="A57" s="285" t="s">
        <v>361</v>
      </c>
      <c r="B57" s="305"/>
      <c r="C57" s="141" t="s">
        <v>382</v>
      </c>
      <c r="D57" s="33">
        <v>50000</v>
      </c>
      <c r="E57" s="250">
        <f>D57</f>
        <v>50000</v>
      </c>
      <c r="F57" s="236"/>
      <c r="G57" s="44"/>
      <c r="H57" s="44"/>
      <c r="I57" s="44"/>
      <c r="J57" s="44"/>
      <c r="K57" s="32">
        <f>D57</f>
        <v>50000</v>
      </c>
      <c r="L57" s="54">
        <f>E57+J57+I57+H57+G57+F57</f>
        <v>50000</v>
      </c>
      <c r="M57" s="64">
        <f>L57-D57</f>
        <v>0</v>
      </c>
      <c r="N57" s="64">
        <f>K57-D57</f>
        <v>0</v>
      </c>
    </row>
    <row r="58" spans="1:14" x14ac:dyDescent="0.25">
      <c r="A58" s="141" t="s">
        <v>259</v>
      </c>
      <c r="B58" s="141"/>
      <c r="C58" s="244" t="s">
        <v>391</v>
      </c>
      <c r="D58" s="33">
        <v>5760.01</v>
      </c>
      <c r="E58" s="250">
        <f>D58*93.2%</f>
        <v>5368.3293200000007</v>
      </c>
      <c r="F58" s="236">
        <f>$D58*1.08%</f>
        <v>62.208108000000003</v>
      </c>
      <c r="G58" s="44">
        <f>$D58*1.28%</f>
        <v>73.728128000000012</v>
      </c>
      <c r="H58" s="44">
        <f>$D58*1.21%</f>
        <v>69.696121000000005</v>
      </c>
      <c r="I58" s="44">
        <f>$D58*1.49%</f>
        <v>85.824149000000006</v>
      </c>
      <c r="J58" s="44">
        <f>D58*1.74%</f>
        <v>100.22417399999999</v>
      </c>
      <c r="K58" s="32">
        <f t="shared" si="7"/>
        <v>5760.01</v>
      </c>
      <c r="L58" s="54">
        <f t="shared" ref="L58:L60" si="9">E58+J58+I58+H58+G58+F58</f>
        <v>5760.01</v>
      </c>
      <c r="M58" s="64">
        <f>L58-D58</f>
        <v>0</v>
      </c>
      <c r="N58" s="64">
        <f t="shared" ref="N58:N60" si="10">K58-D58</f>
        <v>0</v>
      </c>
    </row>
    <row r="59" spans="1:14" x14ac:dyDescent="0.25">
      <c r="A59" s="141" t="s">
        <v>260</v>
      </c>
      <c r="B59" s="141"/>
      <c r="C59" s="244" t="s">
        <v>391</v>
      </c>
      <c r="D59" s="33">
        <v>907421.13</v>
      </c>
      <c r="E59" s="250">
        <f>D59</f>
        <v>907421.13</v>
      </c>
      <c r="F59" s="236"/>
      <c r="G59" s="44"/>
      <c r="H59" s="44"/>
      <c r="I59" s="44"/>
      <c r="J59" s="44"/>
      <c r="K59" s="32">
        <f t="shared" si="7"/>
        <v>907421.13</v>
      </c>
      <c r="L59" s="54">
        <f t="shared" si="9"/>
        <v>907421.13</v>
      </c>
      <c r="M59" s="64">
        <f>L59-D59</f>
        <v>0</v>
      </c>
      <c r="N59" s="64">
        <f t="shared" si="10"/>
        <v>0</v>
      </c>
    </row>
    <row r="60" spans="1:14" x14ac:dyDescent="0.25">
      <c r="A60" s="251" t="s">
        <v>258</v>
      </c>
      <c r="B60" s="252"/>
      <c r="C60" s="181" t="s">
        <v>381</v>
      </c>
      <c r="D60" s="33">
        <v>120000</v>
      </c>
      <c r="E60" s="250">
        <f>D60</f>
        <v>120000</v>
      </c>
      <c r="F60" s="250"/>
      <c r="G60" s="49"/>
      <c r="H60" s="49"/>
      <c r="I60" s="49"/>
      <c r="J60" s="44"/>
      <c r="K60" s="32">
        <f t="shared" si="7"/>
        <v>120000</v>
      </c>
      <c r="L60" s="54">
        <f t="shared" si="9"/>
        <v>120000</v>
      </c>
      <c r="M60" s="64">
        <f>L60-D60</f>
        <v>0</v>
      </c>
      <c r="N60" s="64">
        <f t="shared" si="10"/>
        <v>0</v>
      </c>
    </row>
    <row r="61" spans="1:14" ht="14.25" customHeight="1" x14ac:dyDescent="0.25">
      <c r="A61" s="238" t="s">
        <v>4</v>
      </c>
      <c r="B61" s="247"/>
      <c r="C61" s="247"/>
      <c r="D61" s="31">
        <f>SUM(D53:D60)</f>
        <v>5529222.2799999993</v>
      </c>
      <c r="E61" s="31">
        <f t="shared" ref="E61:J61" si="11">SUM(E53:E60)</f>
        <v>5261252.48972</v>
      </c>
      <c r="F61" s="31">
        <f t="shared" si="11"/>
        <v>42559.907868000002</v>
      </c>
      <c r="G61" s="31">
        <f t="shared" si="11"/>
        <v>50441.372288000006</v>
      </c>
      <c r="H61" s="31">
        <f t="shared" si="11"/>
        <v>47682.859741</v>
      </c>
      <c r="I61" s="31">
        <f t="shared" si="11"/>
        <v>58716.909929000001</v>
      </c>
      <c r="J61" s="31">
        <f t="shared" si="11"/>
        <v>68568.740453999999</v>
      </c>
      <c r="K61" s="32">
        <f>E61+J61+F61+G61+H61+I61</f>
        <v>5529222.2800000003</v>
      </c>
      <c r="L61" s="50" t="str">
        <f>IF(D61=K61, "", "Error")</f>
        <v/>
      </c>
      <c r="M61" s="64">
        <f>D61-K61</f>
        <v>0</v>
      </c>
    </row>
    <row r="62" spans="1:14" hidden="1" x14ac:dyDescent="0.25">
      <c r="A62" s="181"/>
      <c r="B62" s="181"/>
      <c r="C62" s="181"/>
      <c r="D62" s="182"/>
      <c r="E62" s="246"/>
      <c r="F62" s="246"/>
      <c r="G62" s="35"/>
      <c r="H62" s="35"/>
      <c r="I62" s="35"/>
      <c r="J62" s="3"/>
      <c r="L62" s="50"/>
    </row>
    <row r="63" spans="1:14" hidden="1" x14ac:dyDescent="0.25">
      <c r="A63" s="181"/>
      <c r="B63" s="181"/>
      <c r="C63" s="181"/>
      <c r="D63" s="182"/>
      <c r="E63" s="242"/>
      <c r="F63" s="242"/>
      <c r="G63" s="34"/>
      <c r="H63" s="34"/>
      <c r="I63" s="34"/>
      <c r="J63" s="3"/>
      <c r="L63" s="50"/>
    </row>
    <row r="64" spans="1:14" x14ac:dyDescent="0.25">
      <c r="A64" s="237" t="s">
        <v>223</v>
      </c>
      <c r="B64" s="181"/>
      <c r="C64" s="181"/>
      <c r="D64" s="182"/>
      <c r="E64" s="242"/>
      <c r="F64" s="242"/>
      <c r="G64" s="34"/>
      <c r="H64" s="34"/>
      <c r="I64" s="34"/>
      <c r="J64" s="3"/>
      <c r="L64" s="50"/>
    </row>
    <row r="65" spans="1:14" x14ac:dyDescent="0.25">
      <c r="A65" s="242" t="s">
        <v>340</v>
      </c>
      <c r="B65" s="253"/>
      <c r="C65" s="141" t="s">
        <v>392</v>
      </c>
      <c r="D65" s="33">
        <v>200000</v>
      </c>
      <c r="E65" s="250">
        <f t="shared" ref="E65:E67" si="12">D65</f>
        <v>200000</v>
      </c>
      <c r="F65" s="245"/>
      <c r="G65" s="55"/>
      <c r="H65" s="55"/>
      <c r="I65" s="55"/>
      <c r="J65" s="44"/>
      <c r="K65" s="32">
        <f t="shared" ref="K65:K73" si="13">D65</f>
        <v>200000</v>
      </c>
      <c r="L65" s="54">
        <f t="shared" ref="L65:L69" si="14">SUM(E65:J65)</f>
        <v>200000</v>
      </c>
    </row>
    <row r="66" spans="1:14" ht="15.75" customHeight="1" x14ac:dyDescent="0.25">
      <c r="A66" s="297" t="s">
        <v>339</v>
      </c>
      <c r="B66" s="298"/>
      <c r="C66" s="33" t="s">
        <v>384</v>
      </c>
      <c r="D66" s="33">
        <v>314672.59999999998</v>
      </c>
      <c r="E66" s="250">
        <f>D66*93.2%</f>
        <v>293274.86320000002</v>
      </c>
      <c r="F66" s="236">
        <f>$D66*1.08%</f>
        <v>3398.4640799999997</v>
      </c>
      <c r="G66" s="44">
        <f>$D66*1.28%</f>
        <v>4027.8092799999999</v>
      </c>
      <c r="H66" s="44">
        <f>$D66*1.21%</f>
        <v>3807.5384599999998</v>
      </c>
      <c r="I66" s="44">
        <f>$D66*1.49%</f>
        <v>4688.6217399999996</v>
      </c>
      <c r="J66" s="44">
        <f>D66*1.74%</f>
        <v>5475.3032399999993</v>
      </c>
      <c r="K66" s="32">
        <f t="shared" si="13"/>
        <v>314672.59999999998</v>
      </c>
      <c r="L66" s="54">
        <f t="shared" si="14"/>
        <v>314672.59999999998</v>
      </c>
    </row>
    <row r="67" spans="1:14" ht="15.75" customHeight="1" x14ac:dyDescent="0.25">
      <c r="A67" s="297" t="s">
        <v>339</v>
      </c>
      <c r="B67" s="298"/>
      <c r="C67" s="33" t="s">
        <v>407</v>
      </c>
      <c r="D67" s="33">
        <v>313198</v>
      </c>
      <c r="E67" s="250">
        <f t="shared" si="12"/>
        <v>313198</v>
      </c>
      <c r="F67" s="236"/>
      <c r="G67" s="44"/>
      <c r="H67" s="44"/>
      <c r="I67" s="44"/>
      <c r="J67" s="44"/>
      <c r="K67" s="32"/>
      <c r="L67" s="54"/>
    </row>
    <row r="68" spans="1:14" ht="15.75" customHeight="1" x14ac:dyDescent="0.25">
      <c r="A68" s="297" t="s">
        <v>399</v>
      </c>
      <c r="B68" s="298"/>
      <c r="C68" s="33" t="s">
        <v>387</v>
      </c>
      <c r="D68" s="33">
        <v>597500</v>
      </c>
      <c r="E68" s="250">
        <f>D68*93.2%</f>
        <v>556870</v>
      </c>
      <c r="F68" s="236">
        <f>$D68*1.08%</f>
        <v>6453</v>
      </c>
      <c r="G68" s="44">
        <f>$D68*1.28%</f>
        <v>7648</v>
      </c>
      <c r="H68" s="44">
        <f>$D68*1.21%</f>
        <v>7229.75</v>
      </c>
      <c r="I68" s="44">
        <f>$D68*1.49%</f>
        <v>8902.75</v>
      </c>
      <c r="J68" s="44">
        <f>D68*1.74%</f>
        <v>10396.5</v>
      </c>
      <c r="K68" s="32">
        <f t="shared" si="13"/>
        <v>597500</v>
      </c>
      <c r="L68" s="54"/>
    </row>
    <row r="69" spans="1:14" ht="17.25" customHeight="1" x14ac:dyDescent="0.25">
      <c r="A69" s="297" t="s">
        <v>388</v>
      </c>
      <c r="B69" s="298"/>
      <c r="C69" s="33" t="s">
        <v>400</v>
      </c>
      <c r="D69" s="33">
        <v>21000</v>
      </c>
      <c r="E69" s="250">
        <f>D69</f>
        <v>21000</v>
      </c>
      <c r="F69" s="236"/>
      <c r="G69" s="44"/>
      <c r="H69" s="44"/>
      <c r="I69" s="44"/>
      <c r="J69" s="44"/>
      <c r="K69" s="32">
        <f t="shared" si="13"/>
        <v>21000</v>
      </c>
      <c r="L69" s="54">
        <f t="shared" si="14"/>
        <v>21000</v>
      </c>
    </row>
    <row r="70" spans="1:14" ht="17.25" customHeight="1" x14ac:dyDescent="0.25">
      <c r="A70" s="254" t="s">
        <v>401</v>
      </c>
      <c r="B70" s="255"/>
      <c r="C70" s="33" t="s">
        <v>402</v>
      </c>
      <c r="D70" s="33">
        <v>200000</v>
      </c>
      <c r="E70" s="250">
        <f>D70</f>
        <v>200000</v>
      </c>
      <c r="F70" s="236"/>
      <c r="G70" s="44"/>
      <c r="H70" s="44"/>
      <c r="I70" s="44"/>
      <c r="J70" s="44"/>
      <c r="K70" s="32">
        <f t="shared" si="13"/>
        <v>200000</v>
      </c>
      <c r="L70" s="54"/>
    </row>
    <row r="71" spans="1:14" ht="17.25" customHeight="1" x14ac:dyDescent="0.25">
      <c r="A71" s="254" t="s">
        <v>385</v>
      </c>
      <c r="B71" s="255"/>
      <c r="C71" s="33" t="s">
        <v>386</v>
      </c>
      <c r="D71" s="33">
        <v>125000</v>
      </c>
      <c r="E71" s="250">
        <f>D71</f>
        <v>125000</v>
      </c>
      <c r="F71" s="236"/>
      <c r="G71" s="44"/>
      <c r="H71" s="44"/>
      <c r="I71" s="44"/>
      <c r="J71" s="44"/>
      <c r="K71" s="32">
        <f t="shared" si="13"/>
        <v>125000</v>
      </c>
      <c r="L71" s="54"/>
    </row>
    <row r="72" spans="1:14" ht="17.25" customHeight="1" x14ac:dyDescent="0.25">
      <c r="A72" s="254" t="s">
        <v>389</v>
      </c>
      <c r="B72" s="255"/>
      <c r="C72" s="33" t="s">
        <v>382</v>
      </c>
      <c r="D72" s="33">
        <v>25000</v>
      </c>
      <c r="E72" s="250">
        <f>D72</f>
        <v>25000</v>
      </c>
      <c r="F72" s="236"/>
      <c r="G72" s="44"/>
      <c r="H72" s="44"/>
      <c r="I72" s="44"/>
      <c r="J72" s="44"/>
      <c r="K72" s="32">
        <f t="shared" si="13"/>
        <v>25000</v>
      </c>
      <c r="L72" s="54"/>
    </row>
    <row r="73" spans="1:14" ht="17.25" customHeight="1" x14ac:dyDescent="0.25">
      <c r="A73" s="297" t="s">
        <v>359</v>
      </c>
      <c r="B73" s="298"/>
      <c r="C73" s="33" t="s">
        <v>391</v>
      </c>
      <c r="D73" s="33">
        <v>46200</v>
      </c>
      <c r="E73" s="250">
        <f>D73</f>
        <v>46200</v>
      </c>
      <c r="F73" s="236"/>
      <c r="G73" s="44"/>
      <c r="H73" s="44"/>
      <c r="I73" s="44"/>
      <c r="J73" s="44"/>
      <c r="K73" s="32">
        <f t="shared" si="13"/>
        <v>46200</v>
      </c>
      <c r="L73" s="54"/>
    </row>
    <row r="74" spans="1:14" ht="18.600000000000001" customHeight="1" x14ac:dyDescent="0.25">
      <c r="A74" s="297" t="s">
        <v>406</v>
      </c>
      <c r="B74" s="298"/>
      <c r="C74" s="33" t="s">
        <v>380</v>
      </c>
      <c r="D74" s="33">
        <v>191400</v>
      </c>
      <c r="E74" s="250">
        <f>D74*93.2%</f>
        <v>178384.80000000002</v>
      </c>
      <c r="F74" s="236">
        <f>$D74*1.08%</f>
        <v>2067.12</v>
      </c>
      <c r="G74" s="44">
        <f>$D74*1.28%</f>
        <v>2449.92</v>
      </c>
      <c r="H74" s="44">
        <f>$D74*1.21%</f>
        <v>2315.94</v>
      </c>
      <c r="I74" s="44">
        <f>$D74*1.49%</f>
        <v>2851.86</v>
      </c>
      <c r="J74" s="44">
        <f>D74*1.74%</f>
        <v>3330.3599999999997</v>
      </c>
      <c r="L74" s="50"/>
      <c r="M74" s="32"/>
    </row>
    <row r="75" spans="1:14" ht="13.5" customHeight="1" x14ac:dyDescent="0.25">
      <c r="A75" s="238" t="s">
        <v>224</v>
      </c>
      <c r="B75" s="238"/>
      <c r="C75" s="238"/>
      <c r="D75" s="31">
        <f t="shared" ref="D75:J75" si="15">SUM(D65:D74)</f>
        <v>2033970.6</v>
      </c>
      <c r="E75" s="31">
        <f t="shared" si="15"/>
        <v>1958927.6632000001</v>
      </c>
      <c r="F75" s="31">
        <f t="shared" si="15"/>
        <v>11918.584080000001</v>
      </c>
      <c r="G75" s="31">
        <f t="shared" si="15"/>
        <v>14125.72928</v>
      </c>
      <c r="H75" s="31">
        <f t="shared" si="15"/>
        <v>13353.22846</v>
      </c>
      <c r="I75" s="31">
        <f t="shared" si="15"/>
        <v>16443.231739999999</v>
      </c>
      <c r="J75" s="31">
        <f t="shared" si="15"/>
        <v>19202.163239999998</v>
      </c>
      <c r="K75" s="32">
        <f>E75+J75+F75+G75+H75+I75</f>
        <v>2033970.5999999999</v>
      </c>
      <c r="L75" s="50" t="str">
        <f>IF(D75=K75, "", "Error")</f>
        <v/>
      </c>
      <c r="N75" s="32"/>
    </row>
    <row r="76" spans="1:14" hidden="1" x14ac:dyDescent="0.25">
      <c r="A76" s="181"/>
      <c r="B76" s="181"/>
      <c r="C76" s="181"/>
      <c r="D76" s="182"/>
      <c r="E76" s="246"/>
      <c r="F76" s="246"/>
      <c r="G76" s="35"/>
      <c r="H76" s="35"/>
      <c r="I76" s="35"/>
      <c r="J76" s="3"/>
      <c r="L76" s="50"/>
    </row>
    <row r="77" spans="1:14" hidden="1" x14ac:dyDescent="0.25">
      <c r="A77" s="181"/>
      <c r="B77" s="181"/>
      <c r="C77" s="181"/>
      <c r="D77" s="182"/>
      <c r="E77" s="242"/>
      <c r="F77" s="242"/>
      <c r="G77" s="34"/>
      <c r="H77" s="34"/>
      <c r="I77" s="34"/>
      <c r="J77" s="3"/>
      <c r="L77" s="50"/>
    </row>
    <row r="78" spans="1:14" x14ac:dyDescent="0.25">
      <c r="A78" s="237" t="s">
        <v>5</v>
      </c>
      <c r="B78" s="181"/>
      <c r="C78" s="181"/>
      <c r="D78" s="182"/>
      <c r="E78" s="242"/>
      <c r="F78" s="242"/>
      <c r="G78" s="34"/>
      <c r="H78" s="34"/>
      <c r="I78" s="34"/>
      <c r="J78" s="3"/>
      <c r="L78" s="50"/>
    </row>
    <row r="79" spans="1:14" ht="14.25" customHeight="1" x14ac:dyDescent="0.25">
      <c r="A79" s="256" t="s">
        <v>6</v>
      </c>
      <c r="B79" s="181" t="s">
        <v>398</v>
      </c>
      <c r="C79" s="181" t="s">
        <v>386</v>
      </c>
      <c r="D79" s="33">
        <v>860560</v>
      </c>
      <c r="E79" s="250">
        <f>D79*93.2%</f>
        <v>802041.92</v>
      </c>
      <c r="F79" s="236">
        <f>$D79*1.08%</f>
        <v>9294.0480000000007</v>
      </c>
      <c r="G79" s="44">
        <f>$D79*1.28%</f>
        <v>11015.168</v>
      </c>
      <c r="H79" s="44">
        <f>$D79*1.21%</f>
        <v>10412.776</v>
      </c>
      <c r="I79" s="44">
        <f>$D79*1.49%</f>
        <v>12822.343999999999</v>
      </c>
      <c r="J79" s="44">
        <f>D79*1.74%</f>
        <v>14973.743999999999</v>
      </c>
      <c r="L79" s="50" t="s">
        <v>343</v>
      </c>
    </row>
    <row r="80" spans="1:14" x14ac:dyDescent="0.25">
      <c r="A80" s="237"/>
      <c r="B80" s="181"/>
      <c r="C80" s="181"/>
      <c r="D80" s="33"/>
      <c r="E80" s="250">
        <f>D80*93.2%</f>
        <v>0</v>
      </c>
      <c r="F80" s="236">
        <f>$D80*1.08%</f>
        <v>0</v>
      </c>
      <c r="G80" s="44">
        <f>$D80*1.28%</f>
        <v>0</v>
      </c>
      <c r="H80" s="44">
        <f>$D80*1.21%</f>
        <v>0</v>
      </c>
      <c r="I80" s="44">
        <f>$D80*1.49%</f>
        <v>0</v>
      </c>
      <c r="J80" s="44">
        <f>D80*1.74%</f>
        <v>0</v>
      </c>
      <c r="L80" s="50"/>
      <c r="N80" s="33"/>
    </row>
    <row r="81" spans="1:14" x14ac:dyDescent="0.25">
      <c r="A81" s="181"/>
      <c r="B81" s="181"/>
      <c r="C81" s="181"/>
      <c r="D81" s="182"/>
      <c r="E81" s="257"/>
      <c r="F81" s="257"/>
      <c r="G81" s="36"/>
      <c r="H81" s="36"/>
      <c r="I81" s="36"/>
      <c r="J81" s="3"/>
      <c r="L81" s="50"/>
      <c r="N81" s="32"/>
    </row>
    <row r="82" spans="1:14" x14ac:dyDescent="0.25">
      <c r="A82" s="238" t="s">
        <v>7</v>
      </c>
      <c r="B82" s="238"/>
      <c r="C82" s="238"/>
      <c r="D82" s="31">
        <f>SUM(D79:D81)</f>
        <v>860560</v>
      </c>
      <c r="E82" s="31">
        <f>SUM(E79:E81)</f>
        <v>802041.92</v>
      </c>
      <c r="F82" s="31">
        <f t="shared" ref="F82:I82" si="16">SUM(F79:F81)</f>
        <v>9294.0480000000007</v>
      </c>
      <c r="G82" s="31">
        <f t="shared" si="16"/>
        <v>11015.168</v>
      </c>
      <c r="H82" s="31">
        <f t="shared" si="16"/>
        <v>10412.776</v>
      </c>
      <c r="I82" s="31">
        <f t="shared" si="16"/>
        <v>12822.343999999999</v>
      </c>
      <c r="J82" s="31">
        <f>SUM(J79:J81)</f>
        <v>14973.743999999999</v>
      </c>
      <c r="K82" s="32">
        <f>E82+J82+F82+G82+H82+I82</f>
        <v>860559.99999999988</v>
      </c>
      <c r="L82" s="50" t="str">
        <f>IF(D82=K82, "", "Error")</f>
        <v/>
      </c>
      <c r="N82" s="32"/>
    </row>
    <row r="83" spans="1:14" x14ac:dyDescent="0.25">
      <c r="A83" s="181" t="s">
        <v>26</v>
      </c>
      <c r="B83" s="181"/>
      <c r="C83" s="181"/>
      <c r="D83" s="33">
        <f>256650.95-853</f>
        <v>255797.95</v>
      </c>
      <c r="E83" s="250">
        <f>D83*93.2%</f>
        <v>238403.68940000003</v>
      </c>
      <c r="F83" s="236">
        <f>$D83*1.08%</f>
        <v>2762.6178600000003</v>
      </c>
      <c r="G83" s="44">
        <f>$D83*1.28%</f>
        <v>3274.2137600000001</v>
      </c>
      <c r="H83" s="44">
        <f>$D83*1.21%</f>
        <v>3095.1551950000003</v>
      </c>
      <c r="I83" s="44">
        <f>$D83*1.49%</f>
        <v>3811.389455</v>
      </c>
      <c r="J83" s="44">
        <f>D83*1.74%</f>
        <v>4450.8843299999999</v>
      </c>
      <c r="L83" s="50"/>
    </row>
    <row r="84" spans="1:14" x14ac:dyDescent="0.25">
      <c r="A84" s="181" t="s">
        <v>27</v>
      </c>
      <c r="B84" s="181"/>
      <c r="C84" s="258"/>
      <c r="D84" s="33">
        <v>69000</v>
      </c>
      <c r="E84" s="250">
        <f>D84*93.2%</f>
        <v>64308</v>
      </c>
      <c r="F84" s="236">
        <f>$D84*1.08%</f>
        <v>745.2</v>
      </c>
      <c r="G84" s="44">
        <f>$D84*1.28%</f>
        <v>883.2</v>
      </c>
      <c r="H84" s="44">
        <f>$D84*1.21%</f>
        <v>834.9</v>
      </c>
      <c r="I84" s="44">
        <f>$D84*1.49%</f>
        <v>1028.0999999999999</v>
      </c>
      <c r="J84" s="44">
        <f>D84*1.74%</f>
        <v>1200.5999999999999</v>
      </c>
      <c r="L84" s="50"/>
    </row>
    <row r="85" spans="1:14" x14ac:dyDescent="0.25">
      <c r="A85" s="238" t="s">
        <v>225</v>
      </c>
      <c r="B85" s="238"/>
      <c r="C85" s="238"/>
      <c r="D85" s="52">
        <f>SUM(D83:D84)</f>
        <v>324797.95</v>
      </c>
      <c r="E85" s="52">
        <f t="shared" ref="E85:J85" si="17">SUM(E83:E84)</f>
        <v>302711.68940000003</v>
      </c>
      <c r="F85" s="52">
        <f t="shared" si="17"/>
        <v>3507.8178600000001</v>
      </c>
      <c r="G85" s="48">
        <f t="shared" si="17"/>
        <v>4157.4137600000004</v>
      </c>
      <c r="H85" s="48">
        <f t="shared" si="17"/>
        <v>3930.0551950000004</v>
      </c>
      <c r="I85" s="48">
        <f t="shared" si="17"/>
        <v>4839.4894549999999</v>
      </c>
      <c r="J85" s="48">
        <f t="shared" si="17"/>
        <v>5651.4843299999993</v>
      </c>
      <c r="K85" s="32">
        <f>E85+J85+F85+G85+H85+I85</f>
        <v>324797.95000000007</v>
      </c>
      <c r="L85" s="50" t="str">
        <f>IF(D85=K85, "", "Error")</f>
        <v/>
      </c>
    </row>
    <row r="86" spans="1:14" ht="15.75" thickBot="1" x14ac:dyDescent="0.3">
      <c r="A86" s="73"/>
      <c r="B86" s="73"/>
      <c r="C86" s="73"/>
      <c r="D86" s="73"/>
      <c r="E86" s="259"/>
      <c r="F86" s="259"/>
      <c r="G86" s="6"/>
      <c r="H86" s="6"/>
      <c r="I86" s="6"/>
      <c r="J86" s="72"/>
      <c r="L86" s="50"/>
    </row>
    <row r="87" spans="1:14" ht="15.75" thickBot="1" x14ac:dyDescent="0.3">
      <c r="A87" s="260" t="s">
        <v>293</v>
      </c>
      <c r="B87" s="261"/>
      <c r="C87" s="261"/>
      <c r="D87" s="74"/>
      <c r="E87" s="262">
        <f>D87*93.2%</f>
        <v>0</v>
      </c>
      <c r="F87" s="262">
        <f>$D87*1.08%</f>
        <v>0</v>
      </c>
      <c r="G87" s="95">
        <f>$D87*1.28%</f>
        <v>0</v>
      </c>
      <c r="H87" s="95">
        <f>$D87*1.21%</f>
        <v>0</v>
      </c>
      <c r="I87" s="95">
        <f>$D87*1.49%</f>
        <v>0</v>
      </c>
      <c r="J87" s="96">
        <f>D87*1.74%</f>
        <v>0</v>
      </c>
      <c r="K87" s="32">
        <f>E87+J87+F87+G87+H87+I87</f>
        <v>0</v>
      </c>
      <c r="L87" s="50" t="str">
        <f>IF(D87=K87, "", "Error")</f>
        <v/>
      </c>
    </row>
    <row r="88" spans="1:14" ht="15.75" thickBot="1" x14ac:dyDescent="0.3">
      <c r="A88" s="263"/>
      <c r="B88" s="264"/>
      <c r="C88" s="264"/>
      <c r="D88" s="75"/>
      <c r="E88" s="75"/>
      <c r="F88" s="75"/>
      <c r="G88" s="76"/>
      <c r="H88" s="76"/>
      <c r="I88" s="76"/>
      <c r="J88" s="77"/>
      <c r="K88" s="32"/>
      <c r="L88" s="50"/>
    </row>
    <row r="89" spans="1:14" ht="15.75" thickBot="1" x14ac:dyDescent="0.3">
      <c r="A89" s="265" t="s">
        <v>28</v>
      </c>
      <c r="B89" s="266"/>
      <c r="C89" s="267"/>
      <c r="D89" s="66">
        <f t="shared" ref="D89:J89" si="18">SUM(D87+D42+D36+D85+D82+D75+D61+D51+D27++D47)</f>
        <v>15847087.939999999</v>
      </c>
      <c r="E89" s="66">
        <f t="shared" si="18"/>
        <v>14967858.972320002</v>
      </c>
      <c r="F89" s="66">
        <f t="shared" si="18"/>
        <v>139642.24780800001</v>
      </c>
      <c r="G89" s="66">
        <f t="shared" si="18"/>
        <v>165501.923328</v>
      </c>
      <c r="H89" s="66">
        <f t="shared" si="18"/>
        <v>156451.03689600001</v>
      </c>
      <c r="I89" s="66">
        <f t="shared" si="18"/>
        <v>192654.582624</v>
      </c>
      <c r="J89" s="66">
        <f t="shared" si="18"/>
        <v>224979.17702399998</v>
      </c>
      <c r="K89" s="47">
        <f>E89+J89+F89+G89+H89+I89</f>
        <v>15847087.939999999</v>
      </c>
      <c r="L89" s="50" t="str">
        <f>IF(D89=K89, "", "Error")</f>
        <v/>
      </c>
      <c r="M89" s="64">
        <f>D89-K89</f>
        <v>0</v>
      </c>
    </row>
    <row r="90" spans="1:14" ht="15.75" thickBot="1" x14ac:dyDescent="0.3">
      <c r="A90" s="65"/>
      <c r="B90" s="65"/>
      <c r="C90" s="65"/>
      <c r="D90" s="65"/>
      <c r="E90" s="268"/>
      <c r="F90" s="268"/>
      <c r="G90" s="32"/>
      <c r="H90" s="32"/>
      <c r="I90" s="32"/>
    </row>
    <row r="91" spans="1:14" ht="15.75" thickBot="1" x14ac:dyDescent="0.3">
      <c r="A91" s="269" t="s">
        <v>36</v>
      </c>
      <c r="B91" s="270"/>
      <c r="C91" s="270"/>
      <c r="D91" s="65"/>
      <c r="E91" s="268"/>
      <c r="F91" s="268"/>
      <c r="G91" s="32"/>
      <c r="H91" s="32"/>
      <c r="I91" s="32"/>
    </row>
    <row r="92" spans="1:14" x14ac:dyDescent="0.25">
      <c r="A92" s="271"/>
      <c r="B92" s="65"/>
      <c r="C92" s="210"/>
      <c r="D92" s="65"/>
      <c r="E92" s="268"/>
      <c r="F92" s="268"/>
      <c r="G92" s="32"/>
      <c r="H92" s="32"/>
      <c r="I92" s="32"/>
    </row>
    <row r="93" spans="1:14" x14ac:dyDescent="0.25">
      <c r="A93" s="271"/>
      <c r="B93" s="65"/>
      <c r="C93" s="210"/>
      <c r="D93" s="65"/>
      <c r="E93" s="268"/>
      <c r="F93" s="268"/>
      <c r="G93" s="32"/>
      <c r="H93" s="32"/>
      <c r="I93" s="32"/>
    </row>
    <row r="94" spans="1:14" ht="17.25" customHeight="1" thickBot="1" x14ac:dyDescent="0.3">
      <c r="A94" s="271"/>
      <c r="B94" s="65"/>
      <c r="C94" s="210"/>
      <c r="D94" s="65"/>
      <c r="E94" s="268"/>
      <c r="F94" s="268"/>
      <c r="G94" s="32"/>
      <c r="H94" s="32"/>
      <c r="I94" s="32"/>
    </row>
    <row r="95" spans="1:14" ht="15.75" thickBot="1" x14ac:dyDescent="0.3">
      <c r="A95" s="272" t="s">
        <v>16</v>
      </c>
      <c r="B95" s="273"/>
      <c r="C95" s="274">
        <f>SUM(C92:C94)</f>
        <v>0</v>
      </c>
      <c r="D95" s="65"/>
      <c r="E95" s="268"/>
      <c r="F95" s="268"/>
      <c r="G95" s="32"/>
      <c r="H95" s="32"/>
      <c r="I95" s="32"/>
    </row>
    <row r="96" spans="1:14" x14ac:dyDescent="0.25">
      <c r="A96" s="65"/>
      <c r="B96" s="65"/>
      <c r="C96" s="65"/>
      <c r="D96" s="65"/>
      <c r="E96" s="268"/>
      <c r="F96" s="268"/>
      <c r="G96" s="32"/>
      <c r="H96" s="32"/>
      <c r="I96" s="32"/>
    </row>
    <row r="97" spans="1:13" x14ac:dyDescent="0.25">
      <c r="A97" s="65"/>
      <c r="B97" s="65"/>
      <c r="C97" s="65"/>
      <c r="D97" s="65"/>
      <c r="E97" s="275"/>
      <c r="F97" s="275"/>
      <c r="G97" s="46"/>
      <c r="H97" s="46"/>
      <c r="I97" s="46"/>
    </row>
    <row r="98" spans="1:13" x14ac:dyDescent="0.25">
      <c r="A98" s="281" t="s">
        <v>32</v>
      </c>
      <c r="B98" s="282"/>
      <c r="C98" s="282"/>
      <c r="D98" s="282"/>
      <c r="E98" s="60" t="s">
        <v>10</v>
      </c>
      <c r="F98" s="60" t="s">
        <v>165</v>
      </c>
      <c r="G98" s="60" t="s">
        <v>166</v>
      </c>
      <c r="H98" s="60" t="s">
        <v>167</v>
      </c>
      <c r="I98" s="60" t="s">
        <v>168</v>
      </c>
      <c r="J98" s="61" t="s">
        <v>169</v>
      </c>
    </row>
    <row r="99" spans="1:13" ht="22.5" customHeight="1" x14ac:dyDescent="0.25">
      <c r="A99" s="285"/>
      <c r="B99" s="286"/>
      <c r="C99" s="276"/>
      <c r="D99" s="33"/>
      <c r="E99" s="250">
        <f>D99</f>
        <v>0</v>
      </c>
      <c r="F99" s="250"/>
      <c r="G99" s="49"/>
      <c r="H99" s="49"/>
      <c r="I99" s="49"/>
      <c r="J99" s="44"/>
    </row>
    <row r="100" spans="1:13" ht="24.75" customHeight="1" x14ac:dyDescent="0.25">
      <c r="A100" s="283"/>
      <c r="B100" s="284"/>
      <c r="C100" s="62"/>
      <c r="D100" s="33"/>
      <c r="E100" s="49"/>
      <c r="F100" s="49"/>
      <c r="G100" s="49"/>
      <c r="H100" s="49"/>
      <c r="I100" s="49"/>
      <c r="J100" s="44"/>
    </row>
    <row r="101" spans="1:13" x14ac:dyDescent="0.25">
      <c r="A101" s="278" t="s">
        <v>16</v>
      </c>
      <c r="B101" s="279"/>
      <c r="C101" s="280"/>
      <c r="D101" s="59">
        <f>SUM(D99:D100)</f>
        <v>0</v>
      </c>
      <c r="E101" s="59">
        <f>SUM(E99:E100)</f>
        <v>0</v>
      </c>
      <c r="F101" s="59"/>
      <c r="G101" s="59"/>
      <c r="H101" s="59"/>
      <c r="I101" s="59"/>
      <c r="J101" s="59">
        <f>SUM(J99:J100)</f>
        <v>0</v>
      </c>
      <c r="L101" s="32">
        <f>E101+J101</f>
        <v>0</v>
      </c>
      <c r="M101" s="50" t="str">
        <f>IF(D101=L101, "", "Error")</f>
        <v/>
      </c>
    </row>
    <row r="103" spans="1:13" ht="15.75" thickBot="1" x14ac:dyDescent="0.3">
      <c r="E103" s="32"/>
      <c r="F103" s="32"/>
      <c r="G103" s="32"/>
      <c r="H103" s="32"/>
      <c r="I103" s="32"/>
    </row>
    <row r="104" spans="1:13" ht="19.5" customHeight="1" thickBot="1" x14ac:dyDescent="0.3">
      <c r="A104" s="27" t="s">
        <v>29</v>
      </c>
      <c r="B104" s="28">
        <f>D89</f>
        <v>15847087.939999999</v>
      </c>
    </row>
    <row r="105" spans="1:13" ht="18.75" customHeight="1" thickBot="1" x14ac:dyDescent="0.3">
      <c r="A105" s="29" t="s">
        <v>31</v>
      </c>
      <c r="B105" s="30">
        <f>D89-D87</f>
        <v>15847087.939999999</v>
      </c>
      <c r="D105" s="287" t="s">
        <v>284</v>
      </c>
      <c r="E105" s="287"/>
      <c r="F105" s="287"/>
      <c r="G105" s="287"/>
      <c r="H105" s="287"/>
      <c r="I105" s="287"/>
    </row>
    <row r="106" spans="1:13" x14ac:dyDescent="0.25">
      <c r="D106" s="287"/>
      <c r="E106" s="287"/>
      <c r="F106" s="287"/>
      <c r="G106" s="287"/>
      <c r="H106" s="287"/>
      <c r="I106" s="287"/>
    </row>
    <row r="107" spans="1:13" x14ac:dyDescent="0.25">
      <c r="D107" s="287"/>
      <c r="E107" s="287"/>
      <c r="F107" s="287"/>
      <c r="G107" s="287"/>
      <c r="H107" s="287"/>
      <c r="I107" s="287"/>
    </row>
    <row r="108" spans="1:13" x14ac:dyDescent="0.25">
      <c r="A108" s="8" t="s">
        <v>19</v>
      </c>
      <c r="B108" s="9"/>
      <c r="C108" s="10"/>
      <c r="D108" s="287"/>
      <c r="E108" s="287"/>
      <c r="F108" s="287"/>
      <c r="G108" s="287"/>
      <c r="H108" s="287"/>
      <c r="I108" s="287"/>
    </row>
    <row r="109" spans="1:13" x14ac:dyDescent="0.25">
      <c r="A109" s="11" t="s">
        <v>20</v>
      </c>
      <c r="B109" s="5">
        <v>4948144.8095401041</v>
      </c>
      <c r="C109" s="12"/>
      <c r="D109" s="287"/>
      <c r="E109" s="287"/>
      <c r="F109" s="287"/>
      <c r="G109" s="287"/>
      <c r="H109" s="287"/>
      <c r="I109" s="287"/>
    </row>
    <row r="110" spans="1:13" x14ac:dyDescent="0.25">
      <c r="A110" s="13" t="s">
        <v>21</v>
      </c>
      <c r="B110" s="22">
        <f>PRORRATEO!H133</f>
        <v>20855142.380000003</v>
      </c>
      <c r="C110" s="12" t="s">
        <v>22</v>
      </c>
      <c r="D110" s="287"/>
      <c r="E110" s="287"/>
      <c r="F110" s="287"/>
      <c r="G110" s="287"/>
      <c r="H110" s="287"/>
      <c r="I110" s="287"/>
    </row>
    <row r="111" spans="1:13" x14ac:dyDescent="0.25">
      <c r="A111" s="13" t="s">
        <v>346</v>
      </c>
      <c r="B111" s="22">
        <f>ARBA!L82</f>
        <v>1031545.1199999999</v>
      </c>
      <c r="C111" s="12"/>
      <c r="D111" s="287"/>
      <c r="E111" s="287"/>
      <c r="F111" s="287"/>
      <c r="G111" s="287"/>
      <c r="H111" s="287"/>
      <c r="I111" s="287"/>
    </row>
    <row r="112" spans="1:13" x14ac:dyDescent="0.25">
      <c r="A112" s="13" t="s">
        <v>34</v>
      </c>
      <c r="B112" s="63">
        <f>-B105</f>
        <v>-15847087.939999999</v>
      </c>
      <c r="C112" s="10"/>
      <c r="D112" s="287"/>
      <c r="E112" s="287"/>
      <c r="F112" s="287"/>
      <c r="G112" s="287"/>
      <c r="H112" s="287"/>
      <c r="I112" s="287"/>
      <c r="K112" s="33"/>
    </row>
    <row r="113" spans="1:11" x14ac:dyDescent="0.25">
      <c r="A113" s="13" t="s">
        <v>33</v>
      </c>
      <c r="B113" s="63">
        <f>-D101</f>
        <v>0</v>
      </c>
      <c r="C113" s="10"/>
      <c r="D113" s="287"/>
      <c r="E113" s="287"/>
      <c r="F113" s="287"/>
      <c r="G113" s="287"/>
      <c r="H113" s="287"/>
      <c r="I113" s="287"/>
      <c r="K113" s="39"/>
    </row>
    <row r="114" spans="1:11" x14ac:dyDescent="0.25">
      <c r="A114" s="13" t="s">
        <v>416</v>
      </c>
      <c r="B114" s="63">
        <f>-PRORRATEO!H57</f>
        <v>-640914.39</v>
      </c>
      <c r="C114" s="10"/>
      <c r="D114" s="287"/>
      <c r="E114" s="287"/>
      <c r="F114" s="287"/>
      <c r="G114" s="287"/>
      <c r="H114" s="287"/>
      <c r="I114" s="287"/>
      <c r="K114" s="39"/>
    </row>
    <row r="115" spans="1:11" ht="66" customHeight="1" x14ac:dyDescent="0.25">
      <c r="A115" s="194" t="s">
        <v>421</v>
      </c>
      <c r="B115" s="63">
        <f>-B131</f>
        <v>534732.1100000001</v>
      </c>
      <c r="C115" s="10"/>
      <c r="D115" s="287"/>
      <c r="E115" s="287"/>
      <c r="F115" s="287"/>
      <c r="G115" s="287"/>
      <c r="H115" s="287"/>
      <c r="I115" s="287"/>
      <c r="K115" s="39"/>
    </row>
    <row r="116" spans="1:11" x14ac:dyDescent="0.25">
      <c r="A116" s="13" t="s">
        <v>274</v>
      </c>
      <c r="B116" s="22">
        <f>B126</f>
        <v>0</v>
      </c>
      <c r="C116" s="10"/>
      <c r="D116" s="287"/>
      <c r="E116" s="287"/>
      <c r="F116" s="287"/>
      <c r="G116" s="287"/>
      <c r="H116" s="287"/>
      <c r="I116" s="287"/>
      <c r="K116" s="39"/>
    </row>
    <row r="117" spans="1:11" x14ac:dyDescent="0.25">
      <c r="A117" s="13" t="s">
        <v>30</v>
      </c>
      <c r="B117" s="63">
        <f>-B138</f>
        <v>-60000</v>
      </c>
      <c r="C117" s="14"/>
      <c r="D117" s="287"/>
      <c r="E117" s="287"/>
      <c r="F117" s="287"/>
      <c r="G117" s="287"/>
      <c r="H117" s="287"/>
      <c r="I117" s="287"/>
    </row>
    <row r="118" spans="1:11" ht="42" customHeight="1" x14ac:dyDescent="0.25">
      <c r="A118" s="194" t="s">
        <v>423</v>
      </c>
      <c r="B118" s="63">
        <v>-39639</v>
      </c>
      <c r="C118" s="14"/>
      <c r="D118" s="287"/>
      <c r="E118" s="287"/>
      <c r="F118" s="287"/>
      <c r="G118" s="287"/>
      <c r="H118" s="287"/>
      <c r="I118" s="287"/>
    </row>
    <row r="119" spans="1:11" x14ac:dyDescent="0.25">
      <c r="A119" s="13" t="s">
        <v>36</v>
      </c>
      <c r="B119" s="63">
        <f>-C95</f>
        <v>0</v>
      </c>
      <c r="C119" s="14"/>
      <c r="D119" s="287"/>
      <c r="E119" s="287"/>
      <c r="F119" s="287"/>
      <c r="G119" s="287"/>
      <c r="H119" s="287"/>
      <c r="I119" s="287"/>
    </row>
    <row r="120" spans="1:11" ht="63.75" customHeight="1" x14ac:dyDescent="0.25">
      <c r="A120" s="228" t="s">
        <v>415</v>
      </c>
      <c r="B120" s="63">
        <v>-81371</v>
      </c>
      <c r="C120" s="14"/>
      <c r="D120" s="287"/>
      <c r="E120" s="287"/>
      <c r="F120" s="287"/>
      <c r="G120" s="287"/>
      <c r="H120" s="287"/>
      <c r="I120" s="287"/>
    </row>
    <row r="121" spans="1:11" ht="45.75" customHeight="1" x14ac:dyDescent="0.25">
      <c r="A121" s="194" t="s">
        <v>405</v>
      </c>
      <c r="B121" s="63">
        <v>-10013539</v>
      </c>
      <c r="C121" s="14"/>
      <c r="D121" s="287"/>
      <c r="E121" s="287"/>
      <c r="F121" s="287"/>
      <c r="G121" s="287"/>
      <c r="H121" s="287"/>
      <c r="I121" s="287"/>
    </row>
    <row r="122" spans="1:11" x14ac:dyDescent="0.25">
      <c r="A122" s="11" t="s">
        <v>23</v>
      </c>
      <c r="B122" s="15">
        <f>SUM(B109:B121)</f>
        <v>687013.08954010718</v>
      </c>
      <c r="C122" s="51"/>
      <c r="D122" s="287"/>
      <c r="E122" s="287"/>
      <c r="F122" s="287"/>
      <c r="G122" s="287"/>
      <c r="H122" s="287"/>
      <c r="I122" s="287"/>
    </row>
    <row r="123" spans="1:11" x14ac:dyDescent="0.25">
      <c r="A123" s="14"/>
      <c r="C123" s="10"/>
      <c r="D123" s="287"/>
      <c r="E123" s="287"/>
      <c r="F123" s="287"/>
      <c r="G123" s="287"/>
      <c r="H123" s="287"/>
      <c r="I123" s="287"/>
    </row>
    <row r="124" spans="1:11" x14ac:dyDescent="0.25">
      <c r="A124" s="8" t="s">
        <v>273</v>
      </c>
      <c r="B124" s="5"/>
      <c r="C124" s="10"/>
      <c r="D124" s="287"/>
      <c r="E124" s="287"/>
      <c r="F124" s="287"/>
      <c r="G124" s="287"/>
      <c r="H124" s="287"/>
      <c r="I124" s="287"/>
    </row>
    <row r="125" spans="1:11" ht="12.75" customHeight="1" x14ac:dyDescent="0.25">
      <c r="A125" s="207"/>
      <c r="B125" s="22"/>
      <c r="C125" s="10"/>
      <c r="D125" s="17"/>
      <c r="E125" s="17"/>
    </row>
    <row r="126" spans="1:11" x14ac:dyDescent="0.25">
      <c r="A126" s="25" t="s">
        <v>16</v>
      </c>
      <c r="B126" s="26">
        <f>SUM(B124:B125)</f>
        <v>0</v>
      </c>
      <c r="C126" s="10"/>
      <c r="E126" s="17"/>
    </row>
    <row r="127" spans="1:11" x14ac:dyDescent="0.25">
      <c r="A127" s="14"/>
      <c r="C127" s="10"/>
      <c r="D127" s="17"/>
    </row>
    <row r="128" spans="1:11" x14ac:dyDescent="0.25">
      <c r="A128" s="14"/>
      <c r="C128" s="10"/>
      <c r="D128" s="17"/>
    </row>
    <row r="129" spans="1:10" x14ac:dyDescent="0.25">
      <c r="A129" s="8" t="s">
        <v>19</v>
      </c>
      <c r="B129" s="5">
        <v>0</v>
      </c>
      <c r="C129" s="10"/>
      <c r="D129" s="17"/>
    </row>
    <row r="130" spans="1:10" x14ac:dyDescent="0.25">
      <c r="A130" s="11" t="s">
        <v>417</v>
      </c>
      <c r="B130" s="23">
        <f>-B114</f>
        <v>640914.39</v>
      </c>
      <c r="C130" s="10"/>
      <c r="D130" s="17"/>
    </row>
    <row r="131" spans="1:10" ht="43.5" customHeight="1" x14ac:dyDescent="0.25">
      <c r="A131" s="229" t="s">
        <v>422</v>
      </c>
      <c r="B131" s="63">
        <f>-(D30+D31+D32+D33+D34+D70)</f>
        <v>-534732.1100000001</v>
      </c>
      <c r="C131" s="10"/>
      <c r="D131" s="17"/>
    </row>
    <row r="132" spans="1:10" x14ac:dyDescent="0.25">
      <c r="A132" s="25" t="s">
        <v>16</v>
      </c>
      <c r="B132" s="26">
        <f>SUM(B129:B131)</f>
        <v>106182.27999999991</v>
      </c>
      <c r="C132" s="10"/>
      <c r="D132" s="17"/>
    </row>
    <row r="133" spans="1:10" x14ac:dyDescent="0.25">
      <c r="A133" s="14"/>
      <c r="C133" s="10"/>
      <c r="D133" s="17"/>
    </row>
    <row r="134" spans="1:10" x14ac:dyDescent="0.25">
      <c r="A134" s="14"/>
      <c r="C134" s="10"/>
      <c r="D134" s="17"/>
    </row>
    <row r="135" spans="1:10" x14ac:dyDescent="0.25">
      <c r="A135" s="14"/>
      <c r="C135" s="10"/>
      <c r="D135" s="17"/>
    </row>
    <row r="136" spans="1:10" ht="15.75" thickBot="1" x14ac:dyDescent="0.3">
      <c r="C136" s="10"/>
      <c r="D136" s="32"/>
      <c r="E136" s="64"/>
      <c r="F136" s="64"/>
      <c r="G136" s="64"/>
      <c r="H136" s="64"/>
      <c r="I136" s="64"/>
    </row>
    <row r="137" spans="1:10" ht="15" customHeight="1" x14ac:dyDescent="0.25">
      <c r="A137" s="8" t="s">
        <v>366</v>
      </c>
      <c r="B137" s="5">
        <v>438840</v>
      </c>
      <c r="C137" s="16"/>
      <c r="D137" s="288" t="s">
        <v>424</v>
      </c>
      <c r="E137" s="289"/>
      <c r="F137" s="289"/>
      <c r="G137" s="289"/>
      <c r="H137" s="289"/>
      <c r="I137" s="289"/>
      <c r="J137" s="290"/>
    </row>
    <row r="138" spans="1:10" ht="15" customHeight="1" x14ac:dyDescent="0.25">
      <c r="A138" s="11" t="s">
        <v>240</v>
      </c>
      <c r="B138" s="23">
        <v>60000</v>
      </c>
      <c r="C138" s="16"/>
      <c r="D138" s="291"/>
      <c r="E138" s="292"/>
      <c r="F138" s="292"/>
      <c r="G138" s="292"/>
      <c r="H138" s="292"/>
      <c r="I138" s="292"/>
      <c r="J138" s="293"/>
    </row>
    <row r="139" spans="1:10" ht="15.75" customHeight="1" x14ac:dyDescent="0.25">
      <c r="A139" s="11"/>
      <c r="B139" s="63"/>
      <c r="C139" s="16"/>
      <c r="D139" s="291"/>
      <c r="E139" s="292"/>
      <c r="F139" s="292"/>
      <c r="G139" s="292"/>
      <c r="H139" s="292"/>
      <c r="I139" s="292"/>
      <c r="J139" s="293"/>
    </row>
    <row r="140" spans="1:10" x14ac:dyDescent="0.25">
      <c r="A140" s="25" t="s">
        <v>16</v>
      </c>
      <c r="B140" s="26">
        <f>SUM(B137:B139)</f>
        <v>498840</v>
      </c>
      <c r="C140" s="16"/>
      <c r="D140" s="291"/>
      <c r="E140" s="292"/>
      <c r="F140" s="292"/>
      <c r="G140" s="292"/>
      <c r="H140" s="292"/>
      <c r="I140" s="292"/>
      <c r="J140" s="293"/>
    </row>
    <row r="141" spans="1:10" ht="15.75" thickBot="1" x14ac:dyDescent="0.3">
      <c r="C141" s="17"/>
      <c r="D141" s="291"/>
      <c r="E141" s="292"/>
      <c r="F141" s="292"/>
      <c r="G141" s="292"/>
      <c r="H141" s="292"/>
      <c r="I141" s="292"/>
      <c r="J141" s="293"/>
    </row>
    <row r="142" spans="1:10" ht="18.75" customHeight="1" x14ac:dyDescent="0.25">
      <c r="A142" s="299" t="s">
        <v>367</v>
      </c>
      <c r="B142" s="301">
        <f>B140+B122+B132</f>
        <v>1292035.369540107</v>
      </c>
      <c r="C142" s="10"/>
      <c r="D142" s="291"/>
      <c r="E142" s="292"/>
      <c r="F142" s="292"/>
      <c r="G142" s="292"/>
      <c r="H142" s="292"/>
      <c r="I142" s="292"/>
      <c r="J142" s="293"/>
    </row>
    <row r="143" spans="1:10" ht="19.5" customHeight="1" thickBot="1" x14ac:dyDescent="0.3">
      <c r="A143" s="300"/>
      <c r="B143" s="302"/>
      <c r="D143" s="294"/>
      <c r="E143" s="295"/>
      <c r="F143" s="295"/>
      <c r="G143" s="295"/>
      <c r="H143" s="295"/>
      <c r="I143" s="295"/>
      <c r="J143" s="296"/>
    </row>
  </sheetData>
  <mergeCells count="18">
    <mergeCell ref="D137:J143"/>
    <mergeCell ref="A69:B69"/>
    <mergeCell ref="A142:A143"/>
    <mergeCell ref="B142:B143"/>
    <mergeCell ref="A14:J18"/>
    <mergeCell ref="A20:J22"/>
    <mergeCell ref="A50:B50"/>
    <mergeCell ref="A57:B57"/>
    <mergeCell ref="A74:B74"/>
    <mergeCell ref="A66:B66"/>
    <mergeCell ref="A68:B68"/>
    <mergeCell ref="A73:B73"/>
    <mergeCell ref="A67:B67"/>
    <mergeCell ref="A101:C101"/>
    <mergeCell ref="A98:D98"/>
    <mergeCell ref="A100:B100"/>
    <mergeCell ref="A99:B99"/>
    <mergeCell ref="D105:I124"/>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abSelected="1" topLeftCell="E2" zoomScaleNormal="100" workbookViewId="0">
      <selection activeCell="K14" sqref="K14"/>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25.5703125" customWidth="1"/>
    <col min="6" max="6" width="9.42578125" customWidth="1"/>
    <col min="7" max="7" width="15.85546875" customWidth="1"/>
    <col min="8" max="8" width="14.5703125" bestFit="1" customWidth="1"/>
    <col min="9" max="9" width="15.85546875" customWidth="1"/>
    <col min="10" max="10" width="13.5703125" customWidth="1"/>
    <col min="11" max="11" width="12.5703125" customWidth="1"/>
    <col min="12" max="12" width="13.28515625" customWidth="1"/>
    <col min="13" max="13" width="11.140625" customWidth="1"/>
    <col min="14" max="14" width="15.42578125" customWidth="1"/>
    <col min="15" max="15" width="13.7109375" customWidth="1"/>
    <col min="16" max="16" width="11.42578125" customWidth="1"/>
    <col min="17" max="17" width="14.5703125" bestFit="1" customWidth="1"/>
    <col min="18" max="18" width="13" bestFit="1" customWidth="1"/>
    <col min="19" max="19" width="14.5703125" bestFit="1" customWidth="1"/>
  </cols>
  <sheetData>
    <row r="1" spans="1:19" x14ac:dyDescent="0.25">
      <c r="A1" s="340" t="s">
        <v>303</v>
      </c>
      <c r="B1" s="341"/>
      <c r="C1" s="341"/>
      <c r="D1" s="341"/>
      <c r="E1" s="341"/>
      <c r="F1" s="125" t="s">
        <v>276</v>
      </c>
      <c r="G1" s="125"/>
      <c r="H1" s="125"/>
      <c r="I1" s="125"/>
      <c r="J1" s="125"/>
      <c r="K1" s="125"/>
      <c r="L1" s="154" t="s">
        <v>38</v>
      </c>
      <c r="M1" s="318">
        <f>RESUMEN!D89-N3</f>
        <v>15847087.939999999</v>
      </c>
      <c r="N1" s="319"/>
      <c r="O1" s="126"/>
      <c r="P1" s="45"/>
    </row>
    <row r="2" spans="1:19" ht="36" customHeight="1" x14ac:dyDescent="0.25">
      <c r="A2" s="342"/>
      <c r="B2" s="343"/>
      <c r="C2" s="343"/>
      <c r="D2" s="343"/>
      <c r="E2" s="343"/>
      <c r="F2" s="4" t="s">
        <v>275</v>
      </c>
      <c r="G2" s="4"/>
      <c r="H2" s="4"/>
      <c r="I2" s="4"/>
      <c r="J2" s="4"/>
      <c r="K2" s="4"/>
      <c r="L2" s="155" t="s">
        <v>39</v>
      </c>
      <c r="M2" s="155"/>
      <c r="N2" s="156">
        <v>15000000</v>
      </c>
      <c r="O2" s="127"/>
      <c r="P2" s="45"/>
    </row>
    <row r="3" spans="1:19" ht="36" customHeight="1" x14ac:dyDescent="0.25">
      <c r="A3" s="342"/>
      <c r="B3" s="343"/>
      <c r="C3" s="343"/>
      <c r="D3" s="343"/>
      <c r="E3" s="343"/>
      <c r="F3" s="4" t="s">
        <v>277</v>
      </c>
      <c r="G3" s="4"/>
      <c r="H3" s="4"/>
      <c r="I3" s="4"/>
      <c r="J3" s="128"/>
      <c r="K3" s="128"/>
      <c r="L3" s="155" t="s">
        <v>368</v>
      </c>
      <c r="M3" s="4"/>
      <c r="N3" s="183">
        <v>0</v>
      </c>
      <c r="O3" s="129"/>
      <c r="P3" s="7"/>
    </row>
    <row r="4" spans="1:19" ht="2.25" customHeight="1" thickBot="1" x14ac:dyDescent="0.3">
      <c r="A4" s="344"/>
      <c r="B4" s="345"/>
      <c r="C4" s="345"/>
      <c r="D4" s="345"/>
      <c r="E4" s="345"/>
      <c r="F4" s="130"/>
      <c r="G4" s="130"/>
      <c r="H4" s="130"/>
      <c r="I4" s="130"/>
      <c r="J4" s="131"/>
      <c r="K4" s="131"/>
      <c r="L4" s="130"/>
      <c r="M4" s="130"/>
      <c r="N4" s="132"/>
      <c r="O4" s="133"/>
      <c r="P4" s="7"/>
    </row>
    <row r="5" spans="1:19" x14ac:dyDescent="0.25">
      <c r="A5" s="4"/>
      <c r="B5" s="4"/>
      <c r="C5" s="325" t="s">
        <v>291</v>
      </c>
      <c r="D5" s="326"/>
      <c r="E5" s="326"/>
      <c r="F5" s="326"/>
      <c r="G5" s="326"/>
      <c r="H5" s="326"/>
      <c r="I5" s="326"/>
      <c r="J5" s="326"/>
      <c r="K5" s="326"/>
      <c r="L5" s="326"/>
      <c r="M5" s="326"/>
      <c r="N5" s="326"/>
      <c r="O5" s="327"/>
      <c r="P5" s="7"/>
    </row>
    <row r="6" spans="1:19" x14ac:dyDescent="0.25">
      <c r="A6" s="4"/>
      <c r="B6" s="4"/>
      <c r="C6" s="328"/>
      <c r="D6" s="329"/>
      <c r="E6" s="329"/>
      <c r="F6" s="329"/>
      <c r="G6" s="329"/>
      <c r="H6" s="329"/>
      <c r="I6" s="329"/>
      <c r="J6" s="329"/>
      <c r="K6" s="329"/>
      <c r="L6" s="329"/>
      <c r="M6" s="329"/>
      <c r="N6" s="329"/>
      <c r="O6" s="330"/>
      <c r="P6" s="7"/>
    </row>
    <row r="7" spans="1:19" x14ac:dyDescent="0.25">
      <c r="A7" s="4"/>
      <c r="B7" s="4"/>
      <c r="C7" s="328"/>
      <c r="D7" s="329"/>
      <c r="E7" s="329"/>
      <c r="F7" s="329"/>
      <c r="G7" s="329"/>
      <c r="H7" s="329"/>
      <c r="I7" s="329"/>
      <c r="J7" s="329"/>
      <c r="K7" s="329"/>
      <c r="L7" s="329"/>
      <c r="M7" s="329"/>
      <c r="N7" s="329"/>
      <c r="O7" s="330"/>
      <c r="P7" s="7"/>
    </row>
    <row r="8" spans="1:19" ht="27.75" customHeight="1" thickBot="1" x14ac:dyDescent="0.3">
      <c r="A8" s="4"/>
      <c r="B8" s="4"/>
      <c r="C8" s="331"/>
      <c r="D8" s="332"/>
      <c r="E8" s="332"/>
      <c r="F8" s="332"/>
      <c r="G8" s="332"/>
      <c r="H8" s="332"/>
      <c r="I8" s="332"/>
      <c r="J8" s="332"/>
      <c r="K8" s="332"/>
      <c r="L8" s="332"/>
      <c r="M8" s="332"/>
      <c r="N8" s="332"/>
      <c r="O8" s="333"/>
      <c r="Q8" s="64"/>
    </row>
    <row r="9" spans="1:19" ht="27.75" customHeight="1" x14ac:dyDescent="0.25">
      <c r="A9" s="4"/>
      <c r="B9" s="4"/>
      <c r="C9" s="334" t="s">
        <v>289</v>
      </c>
      <c r="D9" s="335"/>
      <c r="E9" s="335"/>
      <c r="F9" s="335"/>
      <c r="G9" s="335"/>
      <c r="H9" s="335"/>
      <c r="I9" s="335"/>
      <c r="J9" s="335"/>
      <c r="K9" s="335"/>
      <c r="L9" s="335"/>
      <c r="M9" s="335"/>
      <c r="N9" s="335"/>
      <c r="O9" s="336"/>
      <c r="Q9" t="s">
        <v>235</v>
      </c>
      <c r="R9" s="32">
        <f>RESUMEN!F89</f>
        <v>139642.24780800001</v>
      </c>
    </row>
    <row r="10" spans="1:19" ht="27.75" customHeight="1" thickBot="1" x14ac:dyDescent="0.3">
      <c r="A10" s="4"/>
      <c r="B10" s="4"/>
      <c r="C10" s="337"/>
      <c r="D10" s="338"/>
      <c r="E10" s="338"/>
      <c r="F10" s="338"/>
      <c r="G10" s="338"/>
      <c r="H10" s="338"/>
      <c r="I10" s="338"/>
      <c r="J10" s="338"/>
      <c r="K10" s="338"/>
      <c r="L10" s="338"/>
      <c r="M10" s="338"/>
      <c r="N10" s="338"/>
      <c r="O10" s="339"/>
      <c r="Q10" t="s">
        <v>236</v>
      </c>
      <c r="R10" s="32">
        <f>RESUMEN!G89</f>
        <v>165501.923328</v>
      </c>
    </row>
    <row r="11" spans="1:19" ht="15" customHeight="1" x14ac:dyDescent="0.25">
      <c r="A11" s="309" t="s">
        <v>8</v>
      </c>
      <c r="B11" s="311" t="s">
        <v>9</v>
      </c>
      <c r="C11" s="309" t="s">
        <v>10</v>
      </c>
      <c r="D11" s="313" t="s">
        <v>11</v>
      </c>
      <c r="E11" s="313" t="s">
        <v>252</v>
      </c>
      <c r="F11" s="309" t="s">
        <v>25</v>
      </c>
      <c r="G11" s="309" t="s">
        <v>12</v>
      </c>
      <c r="H11" s="309" t="s">
        <v>13</v>
      </c>
      <c r="I11" s="320" t="s">
        <v>14</v>
      </c>
      <c r="J11" s="306" t="s">
        <v>15</v>
      </c>
      <c r="K11" s="306" t="s">
        <v>425</v>
      </c>
      <c r="L11" s="306" t="s">
        <v>17</v>
      </c>
      <c r="M11" s="322" t="s">
        <v>37</v>
      </c>
      <c r="N11" s="306" t="s">
        <v>262</v>
      </c>
      <c r="O11" s="306" t="s">
        <v>261</v>
      </c>
      <c r="Q11" t="s">
        <v>237</v>
      </c>
      <c r="R11" s="32">
        <f>RESUMEN!H89</f>
        <v>156451.03689600001</v>
      </c>
    </row>
    <row r="12" spans="1:19" ht="28.5" customHeight="1" x14ac:dyDescent="0.25">
      <c r="A12" s="310"/>
      <c r="B12" s="312"/>
      <c r="C12" s="310"/>
      <c r="D12" s="314"/>
      <c r="E12" s="314"/>
      <c r="F12" s="310"/>
      <c r="G12" s="310"/>
      <c r="H12" s="310"/>
      <c r="I12" s="321"/>
      <c r="J12" s="307"/>
      <c r="K12" s="307"/>
      <c r="L12" s="307"/>
      <c r="M12" s="323"/>
      <c r="N12" s="307"/>
      <c r="O12" s="307"/>
      <c r="Q12" t="s">
        <v>238</v>
      </c>
      <c r="R12" s="32">
        <f>RESUMEN!I89</f>
        <v>192654.582624</v>
      </c>
    </row>
    <row r="13" spans="1:19" ht="19.5" customHeight="1" x14ac:dyDescent="0.25">
      <c r="A13" s="310"/>
      <c r="B13" s="312"/>
      <c r="C13" s="310"/>
      <c r="D13" s="314"/>
      <c r="E13" s="314"/>
      <c r="F13" s="310"/>
      <c r="G13" s="310"/>
      <c r="H13" s="310"/>
      <c r="I13" s="321"/>
      <c r="J13" s="307"/>
      <c r="K13" s="308"/>
      <c r="L13" s="308"/>
      <c r="M13" s="323"/>
      <c r="N13" s="101" t="str">
        <f>RESUMEN!A20</f>
        <v>VTO 18/06</v>
      </c>
      <c r="O13" s="100" t="str">
        <f>RESUMEN!A20</f>
        <v>VTO 18/06</v>
      </c>
      <c r="Q13" t="s">
        <v>239</v>
      </c>
      <c r="R13" s="32">
        <f>RESUMEN!J89</f>
        <v>224979.17702399998</v>
      </c>
    </row>
    <row r="14" spans="1:19" x14ac:dyDescent="0.25">
      <c r="A14" s="201" t="s">
        <v>114</v>
      </c>
      <c r="B14" s="201"/>
      <c r="C14" s="24" t="s">
        <v>109</v>
      </c>
      <c r="D14" s="78" t="s">
        <v>170</v>
      </c>
      <c r="E14" s="78" t="s">
        <v>282</v>
      </c>
      <c r="F14" s="110">
        <v>1.0800000000000001E-2</v>
      </c>
      <c r="G14" s="106">
        <v>267664.47710400005</v>
      </c>
      <c r="H14" s="33">
        <v>206250</v>
      </c>
      <c r="I14" s="111">
        <f>G14-H14</f>
        <v>61414.477104000049</v>
      </c>
      <c r="J14" s="112">
        <v>0</v>
      </c>
      <c r="K14" s="151">
        <f>N$3*F14</f>
        <v>0</v>
      </c>
      <c r="L14" s="112">
        <v>206250.11834400002</v>
      </c>
      <c r="M14" s="134">
        <v>0</v>
      </c>
      <c r="N14" s="113">
        <f>L14+J14+I14+M14+K14</f>
        <v>267664.59544800007</v>
      </c>
      <c r="O14" s="114">
        <f>N14*6% + N14</f>
        <v>283724.47117488005</v>
      </c>
      <c r="P14" s="85" t="s">
        <v>350</v>
      </c>
      <c r="R14" s="315"/>
      <c r="S14" s="315"/>
    </row>
    <row r="15" spans="1:19" x14ac:dyDescent="0.25">
      <c r="A15" s="3"/>
      <c r="B15" s="3"/>
      <c r="C15" s="24" t="s">
        <v>113</v>
      </c>
      <c r="D15" s="78" t="s">
        <v>301</v>
      </c>
      <c r="E15" s="153"/>
      <c r="F15" s="110">
        <v>1.2999999999999999E-2</v>
      </c>
      <c r="G15" s="106">
        <v>388046.40446799999</v>
      </c>
      <c r="H15" s="33">
        <f>244445+178355</f>
        <v>422800</v>
      </c>
      <c r="I15" s="111">
        <f t="shared" ref="I15:I131" si="0">G15-H15</f>
        <v>-34753.595532000007</v>
      </c>
      <c r="J15" s="112">
        <v>0</v>
      </c>
      <c r="K15" s="151">
        <f t="shared" ref="K15:K18" si="1">N$3*F15</f>
        <v>0</v>
      </c>
      <c r="L15" s="112">
        <v>244444.58470400001</v>
      </c>
      <c r="M15" s="134">
        <v>0</v>
      </c>
      <c r="N15" s="113">
        <f t="shared" ref="N15:N18" si="2">L15+J15+I15+M15+K15</f>
        <v>209690.989172</v>
      </c>
      <c r="O15" s="114">
        <f t="shared" ref="O15:O18" si="3">N15*6% + N15</f>
        <v>222272.44852231999</v>
      </c>
      <c r="P15" s="85" t="s">
        <v>349</v>
      </c>
      <c r="R15" s="315"/>
      <c r="S15" s="315"/>
    </row>
    <row r="16" spans="1:19" x14ac:dyDescent="0.25">
      <c r="A16" s="3" t="s">
        <v>114</v>
      </c>
      <c r="B16" s="3"/>
      <c r="C16" s="24" t="s">
        <v>110</v>
      </c>
      <c r="D16" s="78" t="s">
        <v>338</v>
      </c>
      <c r="E16" s="78" t="s">
        <v>300</v>
      </c>
      <c r="F16" s="110">
        <v>1.21E-2</v>
      </c>
      <c r="G16" s="157">
        <v>299883.34934800002</v>
      </c>
      <c r="H16" s="33">
        <f>231077+68807</f>
        <v>299884</v>
      </c>
      <c r="I16" s="111">
        <f t="shared" si="0"/>
        <v>-0.6506519999820739</v>
      </c>
      <c r="J16" s="112">
        <v>0</v>
      </c>
      <c r="K16" s="151">
        <f t="shared" si="1"/>
        <v>0</v>
      </c>
      <c r="L16" s="112">
        <v>231076.52147800004</v>
      </c>
      <c r="M16" s="134">
        <v>0</v>
      </c>
      <c r="N16" s="113">
        <f t="shared" si="2"/>
        <v>231075.87082600006</v>
      </c>
      <c r="O16" s="114">
        <f t="shared" si="3"/>
        <v>244940.42307556007</v>
      </c>
      <c r="P16" s="85"/>
      <c r="S16" s="32"/>
    </row>
    <row r="17" spans="1:19" x14ac:dyDescent="0.25">
      <c r="A17" s="3" t="s">
        <v>114</v>
      </c>
      <c r="B17" s="3"/>
      <c r="C17" s="24" t="s">
        <v>111</v>
      </c>
      <c r="D17" s="78" t="s">
        <v>171</v>
      </c>
      <c r="E17" s="78"/>
      <c r="F17" s="110">
        <v>1.49E-2</v>
      </c>
      <c r="G17" s="112">
        <v>1661074.01529238</v>
      </c>
      <c r="H17" s="33">
        <f>1932950.72-271877</f>
        <v>1661073.72</v>
      </c>
      <c r="I17" s="111">
        <f t="shared" si="0"/>
        <v>0.29529238003306091</v>
      </c>
      <c r="J17" s="112">
        <v>0</v>
      </c>
      <c r="K17" s="151">
        <f t="shared" si="1"/>
        <v>0</v>
      </c>
      <c r="L17" s="112">
        <v>284548.77438200003</v>
      </c>
      <c r="M17" s="134">
        <v>0</v>
      </c>
      <c r="N17" s="113">
        <f t="shared" si="2"/>
        <v>284549.06967438007</v>
      </c>
      <c r="O17" s="114">
        <f t="shared" si="3"/>
        <v>301622.01385484287</v>
      </c>
      <c r="P17" s="85"/>
      <c r="S17" s="32"/>
    </row>
    <row r="18" spans="1:19" ht="15.75" thickBot="1" x14ac:dyDescent="0.3">
      <c r="A18" s="3" t="s">
        <v>114</v>
      </c>
      <c r="B18" s="3"/>
      <c r="C18" s="115" t="s">
        <v>112</v>
      </c>
      <c r="D18" s="116" t="s">
        <v>251</v>
      </c>
      <c r="E18" s="116"/>
      <c r="F18" s="117">
        <v>1.7399999999999999E-2</v>
      </c>
      <c r="G18" s="118">
        <v>391506.5096339999</v>
      </c>
      <c r="H18" s="208">
        <v>98945</v>
      </c>
      <c r="I18" s="119">
        <f t="shared" si="0"/>
        <v>292561.5096339999</v>
      </c>
      <c r="J18" s="120">
        <v>0</v>
      </c>
      <c r="K18" s="120">
        <f t="shared" si="1"/>
        <v>0</v>
      </c>
      <c r="L18" s="120">
        <v>332291.85733199993</v>
      </c>
      <c r="M18" s="159">
        <v>0</v>
      </c>
      <c r="N18" s="113">
        <f t="shared" si="2"/>
        <v>624853.36696599983</v>
      </c>
      <c r="O18" s="122">
        <f t="shared" si="3"/>
        <v>662344.56898395985</v>
      </c>
      <c r="P18" s="85"/>
      <c r="S18" s="32"/>
    </row>
    <row r="19" spans="1:19" x14ac:dyDescent="0.25">
      <c r="A19" s="43" t="s">
        <v>116</v>
      </c>
      <c r="B19" s="3"/>
      <c r="C19" s="148" t="s">
        <v>40</v>
      </c>
      <c r="D19" s="104" t="s">
        <v>172</v>
      </c>
      <c r="E19" s="104"/>
      <c r="F19" s="105">
        <v>1.8800000000000001E-2</v>
      </c>
      <c r="G19" s="149">
        <v>388906.01</v>
      </c>
      <c r="H19" s="209">
        <f>G19</f>
        <v>388906.01</v>
      </c>
      <c r="I19" s="150">
        <f>G19-H19</f>
        <v>0</v>
      </c>
      <c r="J19" s="151">
        <f t="shared" ref="J19:J50" si="4">N$8*F19</f>
        <v>0</v>
      </c>
      <c r="K19" s="151">
        <f>N$3*F19</f>
        <v>0</v>
      </c>
      <c r="L19" s="151">
        <f>N$2*F19</f>
        <v>282000</v>
      </c>
      <c r="M19" s="158">
        <v>0</v>
      </c>
      <c r="N19" s="152">
        <f>ROUND((L19+J19+I19+K19+M19),0) + P19</f>
        <v>282000.01</v>
      </c>
      <c r="O19" s="152">
        <f>ROUND((N19*6% + N19 ),0) + P19</f>
        <v>298920.01</v>
      </c>
      <c r="P19" s="102">
        <v>0.01</v>
      </c>
      <c r="S19" s="32"/>
    </row>
    <row r="20" spans="1:19" x14ac:dyDescent="0.25">
      <c r="A20" s="43" t="s">
        <v>117</v>
      </c>
      <c r="B20" s="3"/>
      <c r="C20" s="24" t="s">
        <v>41</v>
      </c>
      <c r="D20" s="78" t="s">
        <v>173</v>
      </c>
      <c r="E20" s="104"/>
      <c r="F20" s="105">
        <v>8.3999999999999995E-3</v>
      </c>
      <c r="G20" s="106">
        <v>173767.02</v>
      </c>
      <c r="H20" s="33">
        <f t="shared" ref="H20" si="5">G20</f>
        <v>173767.02</v>
      </c>
      <c r="I20" s="111">
        <f t="shared" si="0"/>
        <v>0</v>
      </c>
      <c r="J20" s="112">
        <f t="shared" si="4"/>
        <v>0</v>
      </c>
      <c r="K20" s="151">
        <f t="shared" ref="K20:K83" si="6">N$3*F20</f>
        <v>0</v>
      </c>
      <c r="L20" s="112">
        <f t="shared" ref="L20:L50" si="7">N$2*F20</f>
        <v>125999.99999999999</v>
      </c>
      <c r="M20" s="158">
        <v>0</v>
      </c>
      <c r="N20" s="152">
        <f t="shared" ref="N20:N83" si="8">ROUND((L20+J20+I20+K20+M20),0) + P20</f>
        <v>126000.02</v>
      </c>
      <c r="O20" s="114">
        <f t="shared" ref="O20:O83" si="9">ROUND((N20*6% + N20 ),0) + P20</f>
        <v>133560.01999999999</v>
      </c>
      <c r="P20" s="102">
        <f>P19+0.01</f>
        <v>0.02</v>
      </c>
      <c r="S20" s="32"/>
    </row>
    <row r="21" spans="1:19" x14ac:dyDescent="0.25">
      <c r="A21" s="43" t="s">
        <v>116</v>
      </c>
      <c r="B21" s="3"/>
      <c r="C21" s="24" t="s">
        <v>42</v>
      </c>
      <c r="D21" s="78" t="s">
        <v>174</v>
      </c>
      <c r="E21" s="104"/>
      <c r="F21" s="105">
        <v>2.01E-2</v>
      </c>
      <c r="G21" s="106">
        <v>440747.03</v>
      </c>
      <c r="H21" s="33">
        <f>G21</f>
        <v>440747.03</v>
      </c>
      <c r="I21" s="111">
        <f t="shared" si="0"/>
        <v>0</v>
      </c>
      <c r="J21" s="112">
        <f t="shared" si="4"/>
        <v>0</v>
      </c>
      <c r="K21" s="151">
        <f t="shared" si="6"/>
        <v>0</v>
      </c>
      <c r="L21" s="112">
        <f t="shared" si="7"/>
        <v>301500</v>
      </c>
      <c r="M21" s="158">
        <v>0</v>
      </c>
      <c r="N21" s="152">
        <f t="shared" si="8"/>
        <v>301500.03000000003</v>
      </c>
      <c r="O21" s="114">
        <f t="shared" si="9"/>
        <v>319590.03000000003</v>
      </c>
      <c r="P21" s="102">
        <f t="shared" ref="P21:P84" si="10">P20+0.01</f>
        <v>0.03</v>
      </c>
    </row>
    <row r="22" spans="1:19" x14ac:dyDescent="0.25">
      <c r="A22" s="43" t="s">
        <v>118</v>
      </c>
      <c r="B22" s="3"/>
      <c r="C22" s="24" t="s">
        <v>43</v>
      </c>
      <c r="D22" s="78" t="s">
        <v>175</v>
      </c>
      <c r="E22" s="104" t="s">
        <v>269</v>
      </c>
      <c r="F22" s="105">
        <v>9.4000000000000004E-3</v>
      </c>
      <c r="G22" s="106">
        <v>143675.04</v>
      </c>
      <c r="H22" s="33">
        <f>53453+143675.04</f>
        <v>197128.04</v>
      </c>
      <c r="I22" s="111">
        <f t="shared" si="0"/>
        <v>-53453</v>
      </c>
      <c r="J22" s="112">
        <f t="shared" si="4"/>
        <v>0</v>
      </c>
      <c r="K22" s="151">
        <f t="shared" si="6"/>
        <v>0</v>
      </c>
      <c r="L22" s="112">
        <f t="shared" si="7"/>
        <v>141000</v>
      </c>
      <c r="M22" s="158">
        <v>0</v>
      </c>
      <c r="N22" s="152">
        <f t="shared" si="8"/>
        <v>87547.04</v>
      </c>
      <c r="O22" s="114">
        <f t="shared" si="9"/>
        <v>92800.04</v>
      </c>
      <c r="P22" s="102">
        <f t="shared" si="10"/>
        <v>0.04</v>
      </c>
      <c r="Q22" t="s">
        <v>288</v>
      </c>
    </row>
    <row r="23" spans="1:19" x14ac:dyDescent="0.25">
      <c r="A23" s="43" t="s">
        <v>118</v>
      </c>
      <c r="B23" s="3"/>
      <c r="C23" s="24" t="s">
        <v>44</v>
      </c>
      <c r="D23" s="78" t="s">
        <v>176</v>
      </c>
      <c r="E23" s="104" t="s">
        <v>287</v>
      </c>
      <c r="F23" s="105">
        <v>8.6999999999999994E-3</v>
      </c>
      <c r="G23" s="106">
        <v>179973.05</v>
      </c>
      <c r="H23" s="33">
        <f>G23</f>
        <v>179973.05</v>
      </c>
      <c r="I23" s="111">
        <f t="shared" si="0"/>
        <v>0</v>
      </c>
      <c r="J23" s="112">
        <f t="shared" si="4"/>
        <v>0</v>
      </c>
      <c r="K23" s="151">
        <f t="shared" si="6"/>
        <v>0</v>
      </c>
      <c r="L23" s="112">
        <f t="shared" si="7"/>
        <v>130499.99999999999</v>
      </c>
      <c r="M23" s="158">
        <v>0</v>
      </c>
      <c r="N23" s="152">
        <f t="shared" si="8"/>
        <v>130500.05</v>
      </c>
      <c r="O23" s="114">
        <f t="shared" si="9"/>
        <v>138330.04999999999</v>
      </c>
      <c r="P23" s="102">
        <f t="shared" si="10"/>
        <v>0.05</v>
      </c>
    </row>
    <row r="24" spans="1:19" x14ac:dyDescent="0.25">
      <c r="A24" s="43" t="s">
        <v>118</v>
      </c>
      <c r="B24" s="3"/>
      <c r="C24" s="24" t="s">
        <v>45</v>
      </c>
      <c r="D24" s="78" t="s">
        <v>177</v>
      </c>
      <c r="E24" s="104" t="s">
        <v>281</v>
      </c>
      <c r="F24" s="105">
        <v>9.4999999999999998E-3</v>
      </c>
      <c r="G24" s="106">
        <v>145604.06</v>
      </c>
      <c r="H24" s="33">
        <f>54022+33595.06+145604.06</f>
        <v>233221.12</v>
      </c>
      <c r="I24" s="111">
        <f t="shared" si="0"/>
        <v>-87617.06</v>
      </c>
      <c r="J24" s="112">
        <f t="shared" si="4"/>
        <v>0</v>
      </c>
      <c r="K24" s="151">
        <f t="shared" si="6"/>
        <v>0</v>
      </c>
      <c r="L24" s="112">
        <f t="shared" si="7"/>
        <v>142500</v>
      </c>
      <c r="M24" s="158">
        <v>20000</v>
      </c>
      <c r="N24" s="152">
        <f t="shared" si="8"/>
        <v>74883.06</v>
      </c>
      <c r="O24" s="114">
        <f t="shared" si="9"/>
        <v>79376.06</v>
      </c>
      <c r="P24" s="102">
        <f t="shared" si="10"/>
        <v>6.0000000000000005E-2</v>
      </c>
    </row>
    <row r="25" spans="1:19" x14ac:dyDescent="0.25">
      <c r="A25" s="43" t="s">
        <v>116</v>
      </c>
      <c r="B25" s="3"/>
      <c r="C25" s="24" t="s">
        <v>46</v>
      </c>
      <c r="D25" s="78" t="s">
        <v>177</v>
      </c>
      <c r="E25" s="104" t="s">
        <v>290</v>
      </c>
      <c r="F25" s="105">
        <v>1.6500000000000001E-2</v>
      </c>
      <c r="G25" s="106">
        <v>268063.07</v>
      </c>
      <c r="H25" s="33">
        <f>93827+268063.07</f>
        <v>361890.07</v>
      </c>
      <c r="I25" s="111">
        <f t="shared" si="0"/>
        <v>-93827</v>
      </c>
      <c r="J25" s="112">
        <f t="shared" si="4"/>
        <v>0</v>
      </c>
      <c r="K25" s="151">
        <f t="shared" si="6"/>
        <v>0</v>
      </c>
      <c r="L25" s="112">
        <f t="shared" si="7"/>
        <v>247500</v>
      </c>
      <c r="M25" s="158">
        <v>20000</v>
      </c>
      <c r="N25" s="152">
        <f t="shared" si="8"/>
        <v>173673.07</v>
      </c>
      <c r="O25" s="114">
        <f t="shared" si="9"/>
        <v>184093.07</v>
      </c>
      <c r="P25" s="102">
        <f t="shared" si="10"/>
        <v>7.0000000000000007E-2</v>
      </c>
    </row>
    <row r="26" spans="1:19" x14ac:dyDescent="0.25">
      <c r="A26" s="43" t="s">
        <v>117</v>
      </c>
      <c r="B26" s="3"/>
      <c r="C26" s="24" t="s">
        <v>47</v>
      </c>
      <c r="D26" s="78" t="s">
        <v>253</v>
      </c>
      <c r="E26" s="104"/>
      <c r="F26" s="105">
        <v>7.3000000000000001E-3</v>
      </c>
      <c r="G26" s="106">
        <v>151012.07999999999</v>
      </c>
      <c r="H26" s="33">
        <f>G26</f>
        <v>151012.07999999999</v>
      </c>
      <c r="I26" s="111">
        <f t="shared" si="0"/>
        <v>0</v>
      </c>
      <c r="J26" s="112">
        <f t="shared" si="4"/>
        <v>0</v>
      </c>
      <c r="K26" s="151">
        <f t="shared" si="6"/>
        <v>0</v>
      </c>
      <c r="L26" s="112">
        <f t="shared" si="7"/>
        <v>109500</v>
      </c>
      <c r="M26" s="158">
        <v>0</v>
      </c>
      <c r="N26" s="152">
        <f t="shared" si="8"/>
        <v>109500.08</v>
      </c>
      <c r="O26" s="114">
        <f t="shared" si="9"/>
        <v>116070.08</v>
      </c>
      <c r="P26" s="102">
        <f t="shared" si="10"/>
        <v>0.08</v>
      </c>
    </row>
    <row r="27" spans="1:19" x14ac:dyDescent="0.25">
      <c r="A27" s="78" t="s">
        <v>116</v>
      </c>
      <c r="B27" s="24"/>
      <c r="C27" s="24" t="s">
        <v>48</v>
      </c>
      <c r="D27" s="78" t="s">
        <v>177</v>
      </c>
      <c r="E27" s="104" t="s">
        <v>302</v>
      </c>
      <c r="F27" s="105">
        <v>1.78E-2</v>
      </c>
      <c r="G27" s="106">
        <v>272815.09000000003</v>
      </c>
      <c r="H27" s="33">
        <f>101220</f>
        <v>101220</v>
      </c>
      <c r="I27" s="111">
        <f t="shared" si="0"/>
        <v>171595.09000000003</v>
      </c>
      <c r="J27" s="112">
        <f t="shared" si="4"/>
        <v>0</v>
      </c>
      <c r="K27" s="151">
        <f t="shared" si="6"/>
        <v>0</v>
      </c>
      <c r="L27" s="112">
        <f t="shared" si="7"/>
        <v>267000</v>
      </c>
      <c r="M27" s="158">
        <v>0</v>
      </c>
      <c r="N27" s="152">
        <f t="shared" si="8"/>
        <v>438595.09</v>
      </c>
      <c r="O27" s="114">
        <f t="shared" si="9"/>
        <v>464911.09</v>
      </c>
      <c r="P27" s="102">
        <f t="shared" si="10"/>
        <v>0.09</v>
      </c>
    </row>
    <row r="28" spans="1:19" x14ac:dyDescent="0.25">
      <c r="A28" s="78" t="s">
        <v>118</v>
      </c>
      <c r="B28" s="24"/>
      <c r="C28" s="24" t="s">
        <v>49</v>
      </c>
      <c r="D28" s="78" t="s">
        <v>336</v>
      </c>
      <c r="E28" s="104"/>
      <c r="F28" s="105">
        <v>9.4000000000000004E-3</v>
      </c>
      <c r="G28" s="33">
        <v>194453.1</v>
      </c>
      <c r="H28" s="33">
        <f>G28</f>
        <v>194453.1</v>
      </c>
      <c r="I28" s="111">
        <f t="shared" si="0"/>
        <v>0</v>
      </c>
      <c r="J28" s="112">
        <f t="shared" si="4"/>
        <v>0</v>
      </c>
      <c r="K28" s="151">
        <f t="shared" si="6"/>
        <v>0</v>
      </c>
      <c r="L28" s="112">
        <f t="shared" si="7"/>
        <v>141000</v>
      </c>
      <c r="M28" s="158">
        <v>0</v>
      </c>
      <c r="N28" s="152">
        <f t="shared" si="8"/>
        <v>141000.1</v>
      </c>
      <c r="O28" s="114">
        <f t="shared" si="9"/>
        <v>149460.1</v>
      </c>
      <c r="P28" s="102">
        <f t="shared" si="10"/>
        <v>9.9999999999999992E-2</v>
      </c>
    </row>
    <row r="29" spans="1:19" x14ac:dyDescent="0.25">
      <c r="A29" s="78" t="s">
        <v>118</v>
      </c>
      <c r="B29" s="24"/>
      <c r="C29" s="24" t="s">
        <v>50</v>
      </c>
      <c r="D29" s="78" t="s">
        <v>268</v>
      </c>
      <c r="E29" s="104"/>
      <c r="F29" s="105">
        <v>8.6999999999999994E-3</v>
      </c>
      <c r="G29" s="106">
        <v>179973.11</v>
      </c>
      <c r="H29" s="33">
        <f t="shared" ref="H29" si="11">G29</f>
        <v>179973.11</v>
      </c>
      <c r="I29" s="111">
        <f t="shared" si="0"/>
        <v>0</v>
      </c>
      <c r="J29" s="112">
        <f t="shared" si="4"/>
        <v>0</v>
      </c>
      <c r="K29" s="151">
        <f t="shared" si="6"/>
        <v>0</v>
      </c>
      <c r="L29" s="112">
        <f t="shared" si="7"/>
        <v>130499.99999999999</v>
      </c>
      <c r="M29" s="158">
        <v>0</v>
      </c>
      <c r="N29" s="152">
        <f t="shared" si="8"/>
        <v>130500.11</v>
      </c>
      <c r="O29" s="114">
        <f t="shared" si="9"/>
        <v>138330.10999999999</v>
      </c>
      <c r="P29" s="102">
        <f t="shared" si="10"/>
        <v>0.10999999999999999</v>
      </c>
    </row>
    <row r="30" spans="1:19" x14ac:dyDescent="0.25">
      <c r="A30" s="78" t="s">
        <v>118</v>
      </c>
      <c r="B30" s="24"/>
      <c r="C30" s="24" t="s">
        <v>51</v>
      </c>
      <c r="D30" s="78" t="s">
        <v>178</v>
      </c>
      <c r="E30" s="104"/>
      <c r="F30" s="105">
        <v>9.4999999999999998E-3</v>
      </c>
      <c r="G30" s="106">
        <v>1271868.1200000001</v>
      </c>
      <c r="H30" s="33"/>
      <c r="I30" s="111">
        <f t="shared" si="0"/>
        <v>1271868.1200000001</v>
      </c>
      <c r="J30" s="112">
        <f t="shared" si="4"/>
        <v>0</v>
      </c>
      <c r="K30" s="151">
        <f t="shared" si="6"/>
        <v>0</v>
      </c>
      <c r="L30" s="112">
        <f t="shared" si="7"/>
        <v>142500</v>
      </c>
      <c r="M30" s="158">
        <v>0</v>
      </c>
      <c r="N30" s="152">
        <f t="shared" si="8"/>
        <v>1414368.12</v>
      </c>
      <c r="O30" s="114">
        <f t="shared" si="9"/>
        <v>1499230.12</v>
      </c>
      <c r="P30" s="102">
        <f t="shared" si="10"/>
        <v>0.11999999999999998</v>
      </c>
    </row>
    <row r="31" spans="1:19" x14ac:dyDescent="0.25">
      <c r="A31" s="78" t="s">
        <v>116</v>
      </c>
      <c r="B31" s="24"/>
      <c r="C31" s="24" t="s">
        <v>52</v>
      </c>
      <c r="D31" s="78" t="s">
        <v>179</v>
      </c>
      <c r="E31" s="104"/>
      <c r="F31" s="105">
        <v>1.6400000000000001E-2</v>
      </c>
      <c r="G31" s="106">
        <v>339259.13</v>
      </c>
      <c r="H31" s="33">
        <f>G31</f>
        <v>339259.13</v>
      </c>
      <c r="I31" s="111">
        <f t="shared" si="0"/>
        <v>0</v>
      </c>
      <c r="J31" s="112">
        <f t="shared" si="4"/>
        <v>0</v>
      </c>
      <c r="K31" s="151">
        <f t="shared" si="6"/>
        <v>0</v>
      </c>
      <c r="L31" s="112">
        <f t="shared" si="7"/>
        <v>246000.00000000003</v>
      </c>
      <c r="M31" s="158">
        <v>0</v>
      </c>
      <c r="N31" s="152">
        <f t="shared" si="8"/>
        <v>246000.13</v>
      </c>
      <c r="O31" s="114">
        <f t="shared" si="9"/>
        <v>260760.13</v>
      </c>
      <c r="P31" s="102">
        <f t="shared" si="10"/>
        <v>0.12999999999999998</v>
      </c>
    </row>
    <row r="32" spans="1:19" x14ac:dyDescent="0.25">
      <c r="A32" s="43" t="s">
        <v>117</v>
      </c>
      <c r="B32" s="3"/>
      <c r="C32" s="24" t="s">
        <v>53</v>
      </c>
      <c r="D32" s="78" t="s">
        <v>241</v>
      </c>
      <c r="E32" s="104" t="s">
        <v>254</v>
      </c>
      <c r="F32" s="105">
        <v>7.1999999999999998E-3</v>
      </c>
      <c r="G32" s="106">
        <v>148943.14000000001</v>
      </c>
      <c r="H32" s="33">
        <f>G32</f>
        <v>148943.14000000001</v>
      </c>
      <c r="I32" s="111">
        <f t="shared" si="0"/>
        <v>0</v>
      </c>
      <c r="J32" s="112">
        <f t="shared" si="4"/>
        <v>0</v>
      </c>
      <c r="K32" s="151">
        <f t="shared" si="6"/>
        <v>0</v>
      </c>
      <c r="L32" s="112">
        <f t="shared" si="7"/>
        <v>108000</v>
      </c>
      <c r="M32" s="158">
        <v>0</v>
      </c>
      <c r="N32" s="152">
        <f t="shared" si="8"/>
        <v>108000.14</v>
      </c>
      <c r="O32" s="114">
        <f t="shared" si="9"/>
        <v>114480.14</v>
      </c>
      <c r="P32" s="102">
        <f t="shared" si="10"/>
        <v>0.13999999999999999</v>
      </c>
    </row>
    <row r="33" spans="1:114" x14ac:dyDescent="0.25">
      <c r="A33" s="43" t="s">
        <v>116</v>
      </c>
      <c r="B33" s="3"/>
      <c r="C33" s="24" t="s">
        <v>54</v>
      </c>
      <c r="D33" s="78" t="s">
        <v>180</v>
      </c>
      <c r="E33" s="104"/>
      <c r="F33" s="105">
        <v>1.7299999999999999E-2</v>
      </c>
      <c r="G33" s="106">
        <v>357877.15</v>
      </c>
      <c r="H33" s="33">
        <f>G33+63630</f>
        <v>421507.15</v>
      </c>
      <c r="I33" s="123">
        <f t="shared" si="0"/>
        <v>-63630</v>
      </c>
      <c r="J33" s="112">
        <f t="shared" si="4"/>
        <v>0</v>
      </c>
      <c r="K33" s="151">
        <f t="shared" si="6"/>
        <v>0</v>
      </c>
      <c r="L33" s="112">
        <f t="shared" si="7"/>
        <v>259500</v>
      </c>
      <c r="M33" s="158">
        <v>0</v>
      </c>
      <c r="N33" s="152">
        <f t="shared" si="8"/>
        <v>195870.15</v>
      </c>
      <c r="O33" s="114">
        <f t="shared" si="9"/>
        <v>207622.15</v>
      </c>
      <c r="P33" s="102">
        <f t="shared" si="10"/>
        <v>0.15</v>
      </c>
    </row>
    <row r="34" spans="1:114" x14ac:dyDescent="0.25">
      <c r="A34" s="108" t="s">
        <v>118</v>
      </c>
      <c r="B34" s="107"/>
      <c r="C34" s="24" t="s">
        <v>55</v>
      </c>
      <c r="D34" s="78" t="s">
        <v>285</v>
      </c>
      <c r="E34" s="104"/>
      <c r="F34" s="105">
        <v>9.4000000000000004E-3</v>
      </c>
      <c r="G34" s="106">
        <v>187685.16</v>
      </c>
      <c r="H34" s="33">
        <f>G34</f>
        <v>187685.16</v>
      </c>
      <c r="I34" s="111">
        <f t="shared" si="0"/>
        <v>0</v>
      </c>
      <c r="J34" s="112">
        <f t="shared" si="4"/>
        <v>0</v>
      </c>
      <c r="K34" s="151">
        <f t="shared" si="6"/>
        <v>0</v>
      </c>
      <c r="L34" s="112">
        <f t="shared" si="7"/>
        <v>141000</v>
      </c>
      <c r="M34" s="158">
        <v>0</v>
      </c>
      <c r="N34" s="152">
        <f t="shared" si="8"/>
        <v>141000.16</v>
      </c>
      <c r="O34" s="114">
        <f t="shared" si="9"/>
        <v>149460.16</v>
      </c>
      <c r="P34" s="102">
        <f t="shared" si="10"/>
        <v>0.16</v>
      </c>
      <c r="Q34" t="s">
        <v>296</v>
      </c>
    </row>
    <row r="35" spans="1:114" x14ac:dyDescent="0.25">
      <c r="A35" s="43" t="s">
        <v>118</v>
      </c>
      <c r="B35" s="3"/>
      <c r="C35" s="24" t="s">
        <v>56</v>
      </c>
      <c r="D35" s="78" t="s">
        <v>409</v>
      </c>
      <c r="E35" s="104" t="s">
        <v>272</v>
      </c>
      <c r="F35" s="105">
        <v>8.6999999999999994E-3</v>
      </c>
      <c r="G35" s="106">
        <v>284373.17</v>
      </c>
      <c r="H35" s="33">
        <f>234900.17</f>
        <v>234900.17</v>
      </c>
      <c r="I35" s="111">
        <f t="shared" si="0"/>
        <v>49472.999999999971</v>
      </c>
      <c r="J35" s="112">
        <f t="shared" si="4"/>
        <v>0</v>
      </c>
      <c r="K35" s="151">
        <f t="shared" si="6"/>
        <v>0</v>
      </c>
      <c r="L35" s="112">
        <f t="shared" si="7"/>
        <v>130499.99999999999</v>
      </c>
      <c r="M35" s="158">
        <v>0</v>
      </c>
      <c r="N35" s="152">
        <f t="shared" si="8"/>
        <v>179973.17</v>
      </c>
      <c r="O35" s="114">
        <f t="shared" si="9"/>
        <v>190772.17</v>
      </c>
      <c r="P35" s="102">
        <f t="shared" si="10"/>
        <v>0.17</v>
      </c>
    </row>
    <row r="36" spans="1:114" x14ac:dyDescent="0.25">
      <c r="A36" s="43" t="s">
        <v>118</v>
      </c>
      <c r="B36" s="3"/>
      <c r="C36" s="24" t="s">
        <v>57</v>
      </c>
      <c r="D36" s="78" t="s">
        <v>178</v>
      </c>
      <c r="E36" s="104"/>
      <c r="F36" s="105">
        <v>9.4999999999999998E-3</v>
      </c>
      <c r="G36" s="106">
        <v>754117.18</v>
      </c>
      <c r="H36" s="33"/>
      <c r="I36" s="123">
        <f t="shared" si="0"/>
        <v>754117.18</v>
      </c>
      <c r="J36" s="112">
        <f t="shared" si="4"/>
        <v>0</v>
      </c>
      <c r="K36" s="151">
        <f t="shared" si="6"/>
        <v>0</v>
      </c>
      <c r="L36" s="112">
        <f t="shared" si="7"/>
        <v>142500</v>
      </c>
      <c r="M36" s="158">
        <v>0</v>
      </c>
      <c r="N36" s="152">
        <f t="shared" si="8"/>
        <v>896617.18</v>
      </c>
      <c r="O36" s="114">
        <f t="shared" si="9"/>
        <v>950414.18</v>
      </c>
      <c r="P36" s="102">
        <f t="shared" si="10"/>
        <v>0.18000000000000002</v>
      </c>
    </row>
    <row r="37" spans="1:114" x14ac:dyDescent="0.25">
      <c r="A37" s="43" t="s">
        <v>116</v>
      </c>
      <c r="B37" s="3"/>
      <c r="C37" s="24" t="s">
        <v>58</v>
      </c>
      <c r="D37" s="78" t="s">
        <v>181</v>
      </c>
      <c r="E37" s="104" t="s">
        <v>270</v>
      </c>
      <c r="F37" s="105">
        <v>1.6400000000000001E-2</v>
      </c>
      <c r="G37" s="106">
        <v>339259.19</v>
      </c>
      <c r="H37" s="33">
        <f>G37</f>
        <v>339259.19</v>
      </c>
      <c r="I37" s="111">
        <f t="shared" si="0"/>
        <v>0</v>
      </c>
      <c r="J37" s="112">
        <f t="shared" si="4"/>
        <v>0</v>
      </c>
      <c r="K37" s="151">
        <f t="shared" si="6"/>
        <v>0</v>
      </c>
      <c r="L37" s="112">
        <f t="shared" si="7"/>
        <v>246000.00000000003</v>
      </c>
      <c r="M37" s="158">
        <v>0</v>
      </c>
      <c r="N37" s="152">
        <f t="shared" si="8"/>
        <v>246000.19</v>
      </c>
      <c r="O37" s="114">
        <f t="shared" si="9"/>
        <v>260760.19</v>
      </c>
      <c r="P37" s="102">
        <f t="shared" si="10"/>
        <v>0.19000000000000003</v>
      </c>
      <c r="Q37" t="s">
        <v>294</v>
      </c>
    </row>
    <row r="38" spans="1:114" x14ac:dyDescent="0.25">
      <c r="A38" s="43" t="s">
        <v>117</v>
      </c>
      <c r="B38" s="3"/>
      <c r="C38" s="24" t="s">
        <v>59</v>
      </c>
      <c r="D38" s="78" t="s">
        <v>217</v>
      </c>
      <c r="E38" s="104"/>
      <c r="F38" s="105">
        <v>7.1999999999999998E-3</v>
      </c>
      <c r="G38" s="106">
        <v>148943.20000000001</v>
      </c>
      <c r="H38" s="33">
        <f>G38</f>
        <v>148943.20000000001</v>
      </c>
      <c r="I38" s="111">
        <f t="shared" si="0"/>
        <v>0</v>
      </c>
      <c r="J38" s="112">
        <f t="shared" si="4"/>
        <v>0</v>
      </c>
      <c r="K38" s="151">
        <f t="shared" si="6"/>
        <v>0</v>
      </c>
      <c r="L38" s="112">
        <f t="shared" si="7"/>
        <v>108000</v>
      </c>
      <c r="M38" s="158">
        <v>0</v>
      </c>
      <c r="N38" s="152">
        <f t="shared" si="8"/>
        <v>108000.2</v>
      </c>
      <c r="O38" s="114">
        <f t="shared" si="9"/>
        <v>114480.2</v>
      </c>
      <c r="P38" s="102">
        <f t="shared" si="10"/>
        <v>0.20000000000000004</v>
      </c>
    </row>
    <row r="39" spans="1:114" s="109" customFormat="1" x14ac:dyDescent="0.25">
      <c r="A39" s="78" t="s">
        <v>116</v>
      </c>
      <c r="B39" s="24"/>
      <c r="C39" s="24" t="s">
        <v>60</v>
      </c>
      <c r="D39" s="78" t="s">
        <v>182</v>
      </c>
      <c r="E39" s="104"/>
      <c r="F39" s="105">
        <v>1.7299999999999999E-2</v>
      </c>
      <c r="G39" s="106">
        <v>534246.21</v>
      </c>
      <c r="H39" s="33">
        <f>G39</f>
        <v>534246.21</v>
      </c>
      <c r="I39" s="111">
        <f t="shared" si="0"/>
        <v>0</v>
      </c>
      <c r="J39" s="112">
        <f t="shared" si="4"/>
        <v>0</v>
      </c>
      <c r="K39" s="151">
        <f t="shared" si="6"/>
        <v>0</v>
      </c>
      <c r="L39" s="112">
        <f t="shared" si="7"/>
        <v>259500</v>
      </c>
      <c r="M39" s="158">
        <v>20000</v>
      </c>
      <c r="N39" s="152">
        <f t="shared" si="8"/>
        <v>279500.21000000002</v>
      </c>
      <c r="O39" s="114">
        <f t="shared" si="9"/>
        <v>296270.21000000002</v>
      </c>
      <c r="P39" s="138">
        <f t="shared" si="10"/>
        <v>0.21000000000000005</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row>
    <row r="40" spans="1:114" s="109" customFormat="1" x14ac:dyDescent="0.25">
      <c r="A40" s="78" t="s">
        <v>118</v>
      </c>
      <c r="B40" s="24"/>
      <c r="C40" s="24" t="s">
        <v>61</v>
      </c>
      <c r="D40" s="78" t="s">
        <v>263</v>
      </c>
      <c r="E40" s="104"/>
      <c r="F40" s="105">
        <v>9.4000000000000004E-3</v>
      </c>
      <c r="G40" s="33">
        <v>819814.22</v>
      </c>
      <c r="H40" s="33"/>
      <c r="I40" s="111">
        <f t="shared" si="0"/>
        <v>819814.22</v>
      </c>
      <c r="J40" s="112">
        <f t="shared" si="4"/>
        <v>0</v>
      </c>
      <c r="K40" s="151">
        <f t="shared" si="6"/>
        <v>0</v>
      </c>
      <c r="L40" s="112">
        <f t="shared" si="7"/>
        <v>141000</v>
      </c>
      <c r="M40" s="158">
        <v>0</v>
      </c>
      <c r="N40" s="152">
        <f t="shared" si="8"/>
        <v>960814.22</v>
      </c>
      <c r="O40" s="114">
        <f t="shared" si="9"/>
        <v>1018463.22</v>
      </c>
      <c r="P40" s="138">
        <f t="shared" si="10"/>
        <v>0.22000000000000006</v>
      </c>
      <c r="Q40" s="53" t="s">
        <v>295</v>
      </c>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row>
    <row r="41" spans="1:114" s="109" customFormat="1" x14ac:dyDescent="0.25">
      <c r="A41" s="78" t="s">
        <v>118</v>
      </c>
      <c r="B41" s="24"/>
      <c r="C41" s="24" t="s">
        <v>62</v>
      </c>
      <c r="D41" s="78" t="s">
        <v>410</v>
      </c>
      <c r="E41" s="104"/>
      <c r="F41" s="105">
        <v>8.6999999999999994E-3</v>
      </c>
      <c r="G41" s="106">
        <v>179973.23</v>
      </c>
      <c r="H41" s="33">
        <f>G41</f>
        <v>179973.23</v>
      </c>
      <c r="I41" s="111">
        <f t="shared" si="0"/>
        <v>0</v>
      </c>
      <c r="J41" s="112">
        <f t="shared" si="4"/>
        <v>0</v>
      </c>
      <c r="K41" s="151">
        <f t="shared" si="6"/>
        <v>0</v>
      </c>
      <c r="L41" s="112">
        <f t="shared" si="7"/>
        <v>130499.99999999999</v>
      </c>
      <c r="M41" s="158">
        <v>0</v>
      </c>
      <c r="N41" s="152">
        <f t="shared" si="8"/>
        <v>130500.23</v>
      </c>
      <c r="O41" s="114">
        <f t="shared" si="9"/>
        <v>138330.23000000001</v>
      </c>
      <c r="P41" s="138">
        <f t="shared" si="10"/>
        <v>0.23000000000000007</v>
      </c>
      <c r="Q41" s="53" t="s">
        <v>279</v>
      </c>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row>
    <row r="42" spans="1:114" s="109" customFormat="1" x14ac:dyDescent="0.25">
      <c r="A42" s="78" t="s">
        <v>118</v>
      </c>
      <c r="B42" s="24"/>
      <c r="C42" s="24" t="s">
        <v>63</v>
      </c>
      <c r="D42" s="78" t="s">
        <v>263</v>
      </c>
      <c r="E42" s="104"/>
      <c r="F42" s="105">
        <v>9.4999999999999998E-3</v>
      </c>
      <c r="G42" s="124">
        <v>499337.24</v>
      </c>
      <c r="H42" s="33">
        <v>0</v>
      </c>
      <c r="I42" s="111">
        <f t="shared" si="0"/>
        <v>499337.24</v>
      </c>
      <c r="J42" s="112">
        <f t="shared" si="4"/>
        <v>0</v>
      </c>
      <c r="K42" s="151">
        <f t="shared" si="6"/>
        <v>0</v>
      </c>
      <c r="L42" s="112">
        <f t="shared" si="7"/>
        <v>142500</v>
      </c>
      <c r="M42" s="158">
        <v>0</v>
      </c>
      <c r="N42" s="152">
        <f t="shared" si="8"/>
        <v>641837.24</v>
      </c>
      <c r="O42" s="114">
        <f t="shared" si="9"/>
        <v>680347.24</v>
      </c>
      <c r="P42" s="138">
        <f t="shared" si="10"/>
        <v>0.24000000000000007</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row>
    <row r="43" spans="1:114" x14ac:dyDescent="0.25">
      <c r="A43" s="43" t="s">
        <v>116</v>
      </c>
      <c r="B43" s="3"/>
      <c r="C43" s="24" t="s">
        <v>64</v>
      </c>
      <c r="D43" s="78" t="s">
        <v>183</v>
      </c>
      <c r="E43" s="104"/>
      <c r="F43" s="105">
        <v>1.6400000000000001E-2</v>
      </c>
      <c r="G43" s="106">
        <v>339259.25</v>
      </c>
      <c r="H43" s="33">
        <f t="shared" ref="H43" si="12">G43</f>
        <v>339259.25</v>
      </c>
      <c r="I43" s="111">
        <f t="shared" si="0"/>
        <v>0</v>
      </c>
      <c r="J43" s="112">
        <f t="shared" si="4"/>
        <v>0</v>
      </c>
      <c r="K43" s="151">
        <f t="shared" si="6"/>
        <v>0</v>
      </c>
      <c r="L43" s="112">
        <f t="shared" si="7"/>
        <v>246000.00000000003</v>
      </c>
      <c r="M43" s="158">
        <v>0</v>
      </c>
      <c r="N43" s="152">
        <f t="shared" si="8"/>
        <v>246000.25</v>
      </c>
      <c r="O43" s="114">
        <f t="shared" si="9"/>
        <v>260760.25</v>
      </c>
      <c r="P43" s="102">
        <f t="shared" si="10"/>
        <v>0.25000000000000006</v>
      </c>
    </row>
    <row r="44" spans="1:114" x14ac:dyDescent="0.25">
      <c r="A44" s="43" t="s">
        <v>117</v>
      </c>
      <c r="B44" s="3"/>
      <c r="C44" s="24" t="s">
        <v>65</v>
      </c>
      <c r="D44" s="78" t="s">
        <v>184</v>
      </c>
      <c r="E44" s="104" t="s">
        <v>255</v>
      </c>
      <c r="F44" s="105">
        <v>7.1999999999999998E-3</v>
      </c>
      <c r="G44" s="106">
        <v>148943.26</v>
      </c>
      <c r="H44" s="33">
        <f>G44</f>
        <v>148943.26</v>
      </c>
      <c r="I44" s="111">
        <f t="shared" si="0"/>
        <v>0</v>
      </c>
      <c r="J44" s="112">
        <f t="shared" si="4"/>
        <v>0</v>
      </c>
      <c r="K44" s="151">
        <f t="shared" si="6"/>
        <v>0</v>
      </c>
      <c r="L44" s="112">
        <f t="shared" si="7"/>
        <v>108000</v>
      </c>
      <c r="M44" s="158">
        <v>0</v>
      </c>
      <c r="N44" s="152">
        <f t="shared" si="8"/>
        <v>108000.26</v>
      </c>
      <c r="O44" s="114">
        <f t="shared" si="9"/>
        <v>114480.26</v>
      </c>
      <c r="P44" s="102">
        <f t="shared" si="10"/>
        <v>0.26000000000000006</v>
      </c>
    </row>
    <row r="45" spans="1:114" x14ac:dyDescent="0.25">
      <c r="A45" s="43" t="s">
        <v>116</v>
      </c>
      <c r="B45" s="3"/>
      <c r="C45" s="24" t="s">
        <v>66</v>
      </c>
      <c r="D45" s="78" t="s">
        <v>185</v>
      </c>
      <c r="E45" s="104"/>
      <c r="F45" s="105">
        <v>1.7299999999999999E-2</v>
      </c>
      <c r="G45" s="106">
        <v>381877.27</v>
      </c>
      <c r="H45" s="33">
        <f t="shared" ref="H45" si="13">G45</f>
        <v>381877.27</v>
      </c>
      <c r="I45" s="111">
        <f t="shared" si="0"/>
        <v>0</v>
      </c>
      <c r="J45" s="112">
        <f t="shared" si="4"/>
        <v>0</v>
      </c>
      <c r="K45" s="151">
        <f t="shared" si="6"/>
        <v>0</v>
      </c>
      <c r="L45" s="112">
        <f t="shared" si="7"/>
        <v>259500</v>
      </c>
      <c r="M45" s="158">
        <v>0</v>
      </c>
      <c r="N45" s="152">
        <f t="shared" si="8"/>
        <v>259500.27</v>
      </c>
      <c r="O45" s="114">
        <f t="shared" si="9"/>
        <v>275070.27</v>
      </c>
      <c r="P45" s="102">
        <f t="shared" si="10"/>
        <v>0.27000000000000007</v>
      </c>
      <c r="Q45" t="s">
        <v>250</v>
      </c>
      <c r="R45" t="s">
        <v>250</v>
      </c>
    </row>
    <row r="46" spans="1:114" x14ac:dyDescent="0.25">
      <c r="A46" s="137" t="s">
        <v>118</v>
      </c>
      <c r="B46" s="136"/>
      <c r="C46" s="24" t="s">
        <v>67</v>
      </c>
      <c r="D46" s="78" t="s">
        <v>298</v>
      </c>
      <c r="E46" s="104"/>
      <c r="F46" s="105">
        <v>9.4000000000000004E-3</v>
      </c>
      <c r="G46" s="106">
        <v>352629.28</v>
      </c>
      <c r="H46" s="33">
        <f>238828+113801</f>
        <v>352629</v>
      </c>
      <c r="I46" s="111">
        <f t="shared" si="0"/>
        <v>0.28000000002793968</v>
      </c>
      <c r="J46" s="112">
        <f t="shared" si="4"/>
        <v>0</v>
      </c>
      <c r="K46" s="151">
        <f t="shared" si="6"/>
        <v>0</v>
      </c>
      <c r="L46" s="112">
        <f t="shared" si="7"/>
        <v>141000</v>
      </c>
      <c r="M46" s="158">
        <v>0</v>
      </c>
      <c r="N46" s="152">
        <f t="shared" si="8"/>
        <v>141000.28</v>
      </c>
      <c r="O46" s="114">
        <f t="shared" si="9"/>
        <v>149460.28</v>
      </c>
      <c r="P46" s="102">
        <f t="shared" si="10"/>
        <v>0.28000000000000008</v>
      </c>
    </row>
    <row r="47" spans="1:114" x14ac:dyDescent="0.25">
      <c r="A47" s="43" t="s">
        <v>118</v>
      </c>
      <c r="B47" s="3"/>
      <c r="C47" s="24" t="s">
        <v>68</v>
      </c>
      <c r="D47" s="78" t="s">
        <v>176</v>
      </c>
      <c r="E47" s="104" t="s">
        <v>286</v>
      </c>
      <c r="F47" s="105">
        <v>8.6999999999999994E-3</v>
      </c>
      <c r="G47" s="114">
        <v>296355.28999999998</v>
      </c>
      <c r="H47" s="33">
        <f>199973.29+102165.29</f>
        <v>302138.58</v>
      </c>
      <c r="I47" s="111">
        <f t="shared" si="0"/>
        <v>-5783.2900000000373</v>
      </c>
      <c r="J47" s="112">
        <f t="shared" si="4"/>
        <v>0</v>
      </c>
      <c r="K47" s="151">
        <f t="shared" si="6"/>
        <v>0</v>
      </c>
      <c r="L47" s="112">
        <f t="shared" si="7"/>
        <v>130499.99999999999</v>
      </c>
      <c r="M47" s="158">
        <v>0</v>
      </c>
      <c r="N47" s="152">
        <f t="shared" si="8"/>
        <v>124717.29</v>
      </c>
      <c r="O47" s="114">
        <f t="shared" si="9"/>
        <v>132200.29</v>
      </c>
      <c r="P47" s="102">
        <f t="shared" si="10"/>
        <v>0.29000000000000009</v>
      </c>
    </row>
    <row r="48" spans="1:114" x14ac:dyDescent="0.25">
      <c r="A48" s="43" t="s">
        <v>118</v>
      </c>
      <c r="B48" s="3"/>
      <c r="C48" s="24" t="s">
        <v>69</v>
      </c>
      <c r="D48" s="78" t="s">
        <v>186</v>
      </c>
      <c r="E48" s="104"/>
      <c r="F48" s="105">
        <v>9.4999999999999998E-3</v>
      </c>
      <c r="G48" s="106">
        <v>196522.3</v>
      </c>
      <c r="H48" s="33">
        <f>G48</f>
        <v>196522.3</v>
      </c>
      <c r="I48" s="111">
        <f t="shared" si="0"/>
        <v>0</v>
      </c>
      <c r="J48" s="112">
        <f t="shared" si="4"/>
        <v>0</v>
      </c>
      <c r="K48" s="151">
        <f t="shared" si="6"/>
        <v>0</v>
      </c>
      <c r="L48" s="112">
        <f t="shared" si="7"/>
        <v>142500</v>
      </c>
      <c r="M48" s="158">
        <v>0</v>
      </c>
      <c r="N48" s="152">
        <f t="shared" si="8"/>
        <v>142500.29999999999</v>
      </c>
      <c r="O48" s="114">
        <f t="shared" si="9"/>
        <v>151050.29999999999</v>
      </c>
      <c r="P48" s="102">
        <f t="shared" si="10"/>
        <v>0.3000000000000001</v>
      </c>
    </row>
    <row r="49" spans="1:18" x14ac:dyDescent="0.25">
      <c r="A49" s="43" t="s">
        <v>116</v>
      </c>
      <c r="B49" s="3"/>
      <c r="C49" s="24" t="s">
        <v>70</v>
      </c>
      <c r="D49" s="78" t="s">
        <v>187</v>
      </c>
      <c r="E49" s="104"/>
      <c r="F49" s="105">
        <v>1.6400000000000001E-2</v>
      </c>
      <c r="G49" s="106">
        <v>339259.31</v>
      </c>
      <c r="H49" s="33">
        <f>G49</f>
        <v>339259.31</v>
      </c>
      <c r="I49" s="111">
        <f t="shared" si="0"/>
        <v>0</v>
      </c>
      <c r="J49" s="112">
        <f t="shared" si="4"/>
        <v>0</v>
      </c>
      <c r="K49" s="151">
        <f t="shared" si="6"/>
        <v>0</v>
      </c>
      <c r="L49" s="112">
        <f t="shared" si="7"/>
        <v>246000.00000000003</v>
      </c>
      <c r="M49" s="158">
        <v>0</v>
      </c>
      <c r="N49" s="152">
        <f t="shared" si="8"/>
        <v>246000.31</v>
      </c>
      <c r="O49" s="114">
        <f t="shared" si="9"/>
        <v>260760.31</v>
      </c>
      <c r="P49" s="102">
        <f t="shared" si="10"/>
        <v>0.31000000000000011</v>
      </c>
    </row>
    <row r="50" spans="1:18" x14ac:dyDescent="0.25">
      <c r="A50" s="43" t="s">
        <v>117</v>
      </c>
      <c r="B50" s="3"/>
      <c r="C50" s="24" t="s">
        <v>71</v>
      </c>
      <c r="D50" s="78" t="s">
        <v>188</v>
      </c>
      <c r="E50" s="104"/>
      <c r="F50" s="105">
        <v>7.1999999999999998E-3</v>
      </c>
      <c r="G50" s="106">
        <v>148943.32</v>
      </c>
      <c r="H50" s="33">
        <f t="shared" ref="H50:H51" si="14">G50</f>
        <v>148943.32</v>
      </c>
      <c r="I50" s="111">
        <f t="shared" si="0"/>
        <v>0</v>
      </c>
      <c r="J50" s="112">
        <f t="shared" si="4"/>
        <v>0</v>
      </c>
      <c r="K50" s="151">
        <f t="shared" si="6"/>
        <v>0</v>
      </c>
      <c r="L50" s="112">
        <f t="shared" si="7"/>
        <v>108000</v>
      </c>
      <c r="M50" s="158">
        <v>0</v>
      </c>
      <c r="N50" s="152">
        <f t="shared" si="8"/>
        <v>108000.32000000001</v>
      </c>
      <c r="O50" s="114">
        <f t="shared" si="9"/>
        <v>114480.32000000001</v>
      </c>
      <c r="P50" s="102">
        <f t="shared" si="10"/>
        <v>0.32000000000000012</v>
      </c>
      <c r="Q50" s="32"/>
    </row>
    <row r="51" spans="1:18" x14ac:dyDescent="0.25">
      <c r="A51" s="43" t="s">
        <v>116</v>
      </c>
      <c r="B51" s="3"/>
      <c r="C51" s="24" t="s">
        <v>72</v>
      </c>
      <c r="D51" s="78" t="s">
        <v>189</v>
      </c>
      <c r="E51" s="104"/>
      <c r="F51" s="105">
        <v>1.7299999999999999E-2</v>
      </c>
      <c r="G51" s="106">
        <v>357877.33</v>
      </c>
      <c r="H51" s="33">
        <f t="shared" si="14"/>
        <v>357877.33</v>
      </c>
      <c r="I51" s="111">
        <f t="shared" si="0"/>
        <v>0</v>
      </c>
      <c r="J51" s="112">
        <f t="shared" ref="J51:J82" si="15">N$8*F51</f>
        <v>0</v>
      </c>
      <c r="K51" s="151">
        <f t="shared" si="6"/>
        <v>0</v>
      </c>
      <c r="L51" s="112">
        <f t="shared" ref="L51:L82" si="16">N$2*F51</f>
        <v>259500</v>
      </c>
      <c r="M51" s="158">
        <v>0</v>
      </c>
      <c r="N51" s="152">
        <f t="shared" si="8"/>
        <v>259500.33</v>
      </c>
      <c r="O51" s="114">
        <f t="shared" si="9"/>
        <v>275070.33</v>
      </c>
      <c r="P51" s="102">
        <f t="shared" si="10"/>
        <v>0.33000000000000013</v>
      </c>
      <c r="Q51" s="32"/>
    </row>
    <row r="52" spans="1:18" x14ac:dyDescent="0.25">
      <c r="A52" s="43" t="s">
        <v>118</v>
      </c>
      <c r="B52" s="3"/>
      <c r="C52" s="24" t="s">
        <v>73</v>
      </c>
      <c r="D52" s="78" t="s">
        <v>267</v>
      </c>
      <c r="E52" s="104" t="s">
        <v>413</v>
      </c>
      <c r="F52" s="105">
        <v>9.4000000000000004E-3</v>
      </c>
      <c r="G52" s="106">
        <v>194453.34</v>
      </c>
      <c r="H52" s="33">
        <f>141000</f>
        <v>141000</v>
      </c>
      <c r="I52" s="111">
        <f t="shared" si="0"/>
        <v>53453.34</v>
      </c>
      <c r="J52" s="112">
        <f t="shared" si="15"/>
        <v>0</v>
      </c>
      <c r="K52" s="151">
        <f t="shared" si="6"/>
        <v>0</v>
      </c>
      <c r="L52" s="112">
        <f t="shared" si="16"/>
        <v>141000</v>
      </c>
      <c r="M52" s="158">
        <v>0</v>
      </c>
      <c r="N52" s="152">
        <f t="shared" si="8"/>
        <v>194453.34</v>
      </c>
      <c r="O52" s="114">
        <f t="shared" si="9"/>
        <v>206121.34</v>
      </c>
      <c r="P52" s="102">
        <f t="shared" si="10"/>
        <v>0.34000000000000014</v>
      </c>
      <c r="Q52" t="s">
        <v>412</v>
      </c>
    </row>
    <row r="53" spans="1:18" x14ac:dyDescent="0.25">
      <c r="A53" s="43" t="s">
        <v>118</v>
      </c>
      <c r="B53" s="3"/>
      <c r="C53" s="24" t="s">
        <v>74</v>
      </c>
      <c r="D53" s="78" t="s">
        <v>218</v>
      </c>
      <c r="E53" s="104"/>
      <c r="F53" s="105">
        <v>8.6999999999999994E-3</v>
      </c>
      <c r="G53" s="106">
        <v>179973.35</v>
      </c>
      <c r="H53" s="33">
        <f t="shared" ref="H53" si="17">G53</f>
        <v>179973.35</v>
      </c>
      <c r="I53" s="111">
        <f>G53-H53</f>
        <v>0</v>
      </c>
      <c r="J53" s="112">
        <f t="shared" si="15"/>
        <v>0</v>
      </c>
      <c r="K53" s="151">
        <f t="shared" si="6"/>
        <v>0</v>
      </c>
      <c r="L53" s="112">
        <f t="shared" si="16"/>
        <v>130499.99999999999</v>
      </c>
      <c r="M53" s="158">
        <v>0</v>
      </c>
      <c r="N53" s="152">
        <f t="shared" si="8"/>
        <v>130500.35</v>
      </c>
      <c r="O53" s="114">
        <f t="shared" si="9"/>
        <v>138330.35</v>
      </c>
      <c r="P53" s="102">
        <f t="shared" si="10"/>
        <v>0.35000000000000014</v>
      </c>
    </row>
    <row r="54" spans="1:18" x14ac:dyDescent="0.25">
      <c r="A54" s="43" t="s">
        <v>118</v>
      </c>
      <c r="B54" s="3"/>
      <c r="C54" s="24" t="s">
        <v>75</v>
      </c>
      <c r="D54" s="78" t="s">
        <v>190</v>
      </c>
      <c r="E54" s="104"/>
      <c r="F54" s="105">
        <v>9.4999999999999998E-3</v>
      </c>
      <c r="G54" s="106">
        <v>304575.35999999999</v>
      </c>
      <c r="H54" s="33"/>
      <c r="I54" s="111">
        <f>G54-H54</f>
        <v>304575.35999999999</v>
      </c>
      <c r="J54" s="112">
        <f t="shared" si="15"/>
        <v>0</v>
      </c>
      <c r="K54" s="151">
        <f t="shared" si="6"/>
        <v>0</v>
      </c>
      <c r="L54" s="112">
        <f t="shared" si="16"/>
        <v>142500</v>
      </c>
      <c r="M54" s="158">
        <v>0</v>
      </c>
      <c r="N54" s="152">
        <f t="shared" si="8"/>
        <v>447075.36</v>
      </c>
      <c r="O54" s="114">
        <f t="shared" si="9"/>
        <v>473900.36</v>
      </c>
      <c r="P54" s="102">
        <f t="shared" si="10"/>
        <v>0.36000000000000015</v>
      </c>
    </row>
    <row r="55" spans="1:18" x14ac:dyDescent="0.25">
      <c r="A55" s="43" t="s">
        <v>116</v>
      </c>
      <c r="B55" s="3"/>
      <c r="C55" s="24" t="s">
        <v>76</v>
      </c>
      <c r="D55" s="78" t="s">
        <v>187</v>
      </c>
      <c r="E55" s="104"/>
      <c r="F55" s="105">
        <v>1.6400000000000001E-2</v>
      </c>
      <c r="G55" s="106">
        <v>339259.37</v>
      </c>
      <c r="H55" s="33">
        <f>G55</f>
        <v>339259.37</v>
      </c>
      <c r="I55" s="111">
        <f t="shared" si="0"/>
        <v>0</v>
      </c>
      <c r="J55" s="112">
        <f t="shared" si="15"/>
        <v>0</v>
      </c>
      <c r="K55" s="151">
        <f t="shared" si="6"/>
        <v>0</v>
      </c>
      <c r="L55" s="112">
        <f t="shared" si="16"/>
        <v>246000.00000000003</v>
      </c>
      <c r="M55" s="158">
        <v>0</v>
      </c>
      <c r="N55" s="152">
        <f t="shared" si="8"/>
        <v>246000.37</v>
      </c>
      <c r="O55" s="114">
        <f t="shared" si="9"/>
        <v>260760.37</v>
      </c>
      <c r="P55" s="102">
        <f t="shared" si="10"/>
        <v>0.37000000000000016</v>
      </c>
      <c r="R55" s="45"/>
    </row>
    <row r="56" spans="1:18" x14ac:dyDescent="0.25">
      <c r="A56" s="43" t="s">
        <v>117</v>
      </c>
      <c r="B56" s="3"/>
      <c r="C56" s="24" t="s">
        <v>77</v>
      </c>
      <c r="D56" s="78" t="s">
        <v>191</v>
      </c>
      <c r="E56" s="104" t="s">
        <v>256</v>
      </c>
      <c r="F56" s="105">
        <v>7.1999999999999998E-3</v>
      </c>
      <c r="G56" s="106">
        <v>148943.38</v>
      </c>
      <c r="H56" s="33">
        <f t="shared" ref="H56" si="18">G56</f>
        <v>148943.38</v>
      </c>
      <c r="I56" s="111">
        <f t="shared" si="0"/>
        <v>0</v>
      </c>
      <c r="J56" s="112">
        <f t="shared" si="15"/>
        <v>0</v>
      </c>
      <c r="K56" s="151">
        <f t="shared" si="6"/>
        <v>0</v>
      </c>
      <c r="L56" s="112">
        <f t="shared" si="16"/>
        <v>108000</v>
      </c>
      <c r="M56" s="158">
        <v>0</v>
      </c>
      <c r="N56" s="152">
        <f t="shared" si="8"/>
        <v>108000.38</v>
      </c>
      <c r="O56" s="114">
        <f t="shared" si="9"/>
        <v>114480.38</v>
      </c>
      <c r="P56" s="102">
        <f t="shared" si="10"/>
        <v>0.38000000000000017</v>
      </c>
    </row>
    <row r="57" spans="1:18" x14ac:dyDescent="0.25">
      <c r="A57" s="43" t="s">
        <v>116</v>
      </c>
      <c r="B57" s="3"/>
      <c r="C57" s="24" t="s">
        <v>78</v>
      </c>
      <c r="D57" s="78" t="s">
        <v>192</v>
      </c>
      <c r="E57" s="104"/>
      <c r="F57" s="105">
        <v>1.7299999999999999E-2</v>
      </c>
      <c r="G57" s="106">
        <v>640914.39</v>
      </c>
      <c r="H57" s="33">
        <v>640914.39</v>
      </c>
      <c r="I57" s="111">
        <f t="shared" si="0"/>
        <v>0</v>
      </c>
      <c r="J57" s="112">
        <f t="shared" si="15"/>
        <v>0</v>
      </c>
      <c r="K57" s="151">
        <f t="shared" si="6"/>
        <v>0</v>
      </c>
      <c r="L57" s="112">
        <f t="shared" si="16"/>
        <v>259500</v>
      </c>
      <c r="M57" s="158">
        <v>0</v>
      </c>
      <c r="N57" s="152">
        <f t="shared" si="8"/>
        <v>259500.39</v>
      </c>
      <c r="O57" s="114">
        <f t="shared" si="9"/>
        <v>275070.39</v>
      </c>
      <c r="P57" s="102">
        <f t="shared" si="10"/>
        <v>0.39000000000000018</v>
      </c>
    </row>
    <row r="58" spans="1:18" x14ac:dyDescent="0.25">
      <c r="A58" s="43" t="s">
        <v>118</v>
      </c>
      <c r="B58" s="3"/>
      <c r="C58" s="24" t="s">
        <v>79</v>
      </c>
      <c r="D58" s="78" t="s">
        <v>193</v>
      </c>
      <c r="E58" s="104" t="s">
        <v>299</v>
      </c>
      <c r="F58" s="105">
        <v>9.4000000000000004E-3</v>
      </c>
      <c r="G58" s="106">
        <v>206121.4</v>
      </c>
      <c r="H58" s="33"/>
      <c r="I58" s="111">
        <f t="shared" si="0"/>
        <v>206121.4</v>
      </c>
      <c r="J58" s="112">
        <f t="shared" si="15"/>
        <v>0</v>
      </c>
      <c r="K58" s="151">
        <f t="shared" si="6"/>
        <v>0</v>
      </c>
      <c r="L58" s="112">
        <f t="shared" si="16"/>
        <v>141000</v>
      </c>
      <c r="M58" s="158">
        <v>0</v>
      </c>
      <c r="N58" s="152">
        <f t="shared" si="8"/>
        <v>347121.4</v>
      </c>
      <c r="O58" s="114">
        <f t="shared" si="9"/>
        <v>367949.4</v>
      </c>
      <c r="P58" s="102">
        <f t="shared" si="10"/>
        <v>0.40000000000000019</v>
      </c>
    </row>
    <row r="59" spans="1:18" x14ac:dyDescent="0.25">
      <c r="A59" s="78" t="s">
        <v>118</v>
      </c>
      <c r="B59" s="24"/>
      <c r="C59" s="24" t="s">
        <v>80</v>
      </c>
      <c r="D59" s="78" t="s">
        <v>304</v>
      </c>
      <c r="E59" s="104"/>
      <c r="F59" s="105">
        <v>8.6999999999999994E-3</v>
      </c>
      <c r="G59" s="33">
        <v>179053.41</v>
      </c>
      <c r="H59" s="33">
        <f>G59</f>
        <v>179053.41</v>
      </c>
      <c r="I59" s="111">
        <f t="shared" si="0"/>
        <v>0</v>
      </c>
      <c r="J59" s="112">
        <f t="shared" si="15"/>
        <v>0</v>
      </c>
      <c r="K59" s="151">
        <f t="shared" si="6"/>
        <v>0</v>
      </c>
      <c r="L59" s="112">
        <f t="shared" si="16"/>
        <v>130499.99999999999</v>
      </c>
      <c r="M59" s="158">
        <v>0</v>
      </c>
      <c r="N59" s="152">
        <f t="shared" si="8"/>
        <v>130500.41</v>
      </c>
      <c r="O59" s="114">
        <f t="shared" si="9"/>
        <v>138330.41</v>
      </c>
      <c r="P59" s="102">
        <f t="shared" si="10"/>
        <v>0.4100000000000002</v>
      </c>
      <c r="R59" t="s">
        <v>242</v>
      </c>
    </row>
    <row r="60" spans="1:18" x14ac:dyDescent="0.25">
      <c r="A60" s="78" t="s">
        <v>118</v>
      </c>
      <c r="B60" s="24"/>
      <c r="C60" s="24" t="s">
        <v>81</v>
      </c>
      <c r="D60" s="78" t="s">
        <v>194</v>
      </c>
      <c r="E60" s="104"/>
      <c r="F60" s="105">
        <v>9.4999999999999998E-3</v>
      </c>
      <c r="G60" s="106">
        <v>196522.42</v>
      </c>
      <c r="H60" s="33">
        <f>G60</f>
        <v>196522.42</v>
      </c>
      <c r="I60" s="111">
        <f t="shared" si="0"/>
        <v>0</v>
      </c>
      <c r="J60" s="112">
        <f t="shared" si="15"/>
        <v>0</v>
      </c>
      <c r="K60" s="151">
        <f t="shared" si="6"/>
        <v>0</v>
      </c>
      <c r="L60" s="112">
        <f t="shared" si="16"/>
        <v>142500</v>
      </c>
      <c r="M60" s="158">
        <v>0</v>
      </c>
      <c r="N60" s="152">
        <f t="shared" si="8"/>
        <v>142500.42000000001</v>
      </c>
      <c r="O60" s="114">
        <f t="shared" si="9"/>
        <v>151050.42000000001</v>
      </c>
      <c r="P60" s="102">
        <f t="shared" si="10"/>
        <v>0.42000000000000021</v>
      </c>
      <c r="Q60" t="s">
        <v>264</v>
      </c>
    </row>
    <row r="61" spans="1:18" x14ac:dyDescent="0.25">
      <c r="A61" s="78" t="s">
        <v>116</v>
      </c>
      <c r="B61" s="24"/>
      <c r="C61" s="24" t="s">
        <v>82</v>
      </c>
      <c r="D61" s="78" t="s">
        <v>195</v>
      </c>
      <c r="E61" s="104"/>
      <c r="F61" s="105">
        <v>1.6400000000000001E-2</v>
      </c>
      <c r="G61" s="106">
        <v>339259.43</v>
      </c>
      <c r="H61" s="33">
        <f>G61</f>
        <v>339259.43</v>
      </c>
      <c r="I61" s="111">
        <f t="shared" si="0"/>
        <v>0</v>
      </c>
      <c r="J61" s="112">
        <f t="shared" si="15"/>
        <v>0</v>
      </c>
      <c r="K61" s="151">
        <f t="shared" si="6"/>
        <v>0</v>
      </c>
      <c r="L61" s="112">
        <f t="shared" si="16"/>
        <v>246000.00000000003</v>
      </c>
      <c r="M61" s="158">
        <v>20000</v>
      </c>
      <c r="N61" s="152">
        <f t="shared" si="8"/>
        <v>266000.43</v>
      </c>
      <c r="O61" s="114">
        <f t="shared" si="9"/>
        <v>281960.43</v>
      </c>
      <c r="P61" s="102">
        <f t="shared" si="10"/>
        <v>0.43000000000000022</v>
      </c>
    </row>
    <row r="62" spans="1:18" x14ac:dyDescent="0.25">
      <c r="A62" s="78" t="s">
        <v>117</v>
      </c>
      <c r="B62" s="24"/>
      <c r="C62" s="24" t="s">
        <v>83</v>
      </c>
      <c r="D62" s="78" t="s">
        <v>195</v>
      </c>
      <c r="E62" s="104"/>
      <c r="F62" s="105">
        <v>7.1999999999999998E-3</v>
      </c>
      <c r="G62" s="106">
        <v>148943.44</v>
      </c>
      <c r="H62" s="33">
        <f>G62</f>
        <v>148943.44</v>
      </c>
      <c r="I62" s="111">
        <f t="shared" si="0"/>
        <v>0</v>
      </c>
      <c r="J62" s="112">
        <f t="shared" si="15"/>
        <v>0</v>
      </c>
      <c r="K62" s="151">
        <f t="shared" si="6"/>
        <v>0</v>
      </c>
      <c r="L62" s="112">
        <f t="shared" si="16"/>
        <v>108000</v>
      </c>
      <c r="M62" s="158">
        <v>0</v>
      </c>
      <c r="N62" s="152">
        <f t="shared" si="8"/>
        <v>108000.44</v>
      </c>
      <c r="O62" s="114">
        <f t="shared" si="9"/>
        <v>114480.44</v>
      </c>
      <c r="P62" s="102">
        <f t="shared" si="10"/>
        <v>0.44000000000000022</v>
      </c>
    </row>
    <row r="63" spans="1:18" x14ac:dyDescent="0.25">
      <c r="A63" s="43" t="s">
        <v>116</v>
      </c>
      <c r="B63" s="3"/>
      <c r="C63" s="24" t="s">
        <v>84</v>
      </c>
      <c r="D63" s="78" t="s">
        <v>196</v>
      </c>
      <c r="E63" s="104"/>
      <c r="F63" s="105">
        <v>1.7299999999999999E-2</v>
      </c>
      <c r="G63" s="106">
        <v>379350.45</v>
      </c>
      <c r="H63" s="33">
        <v>357877.45</v>
      </c>
      <c r="I63" s="111">
        <f t="shared" si="0"/>
        <v>21473</v>
      </c>
      <c r="J63" s="112">
        <f t="shared" si="15"/>
        <v>0</v>
      </c>
      <c r="K63" s="151">
        <f t="shared" si="6"/>
        <v>0</v>
      </c>
      <c r="L63" s="112">
        <f t="shared" si="16"/>
        <v>259500</v>
      </c>
      <c r="M63" s="158">
        <v>0</v>
      </c>
      <c r="N63" s="152">
        <f t="shared" si="8"/>
        <v>280973.45</v>
      </c>
      <c r="O63" s="114">
        <f t="shared" si="9"/>
        <v>297832.45</v>
      </c>
      <c r="P63" s="102">
        <f t="shared" si="10"/>
        <v>0.45000000000000023</v>
      </c>
    </row>
    <row r="64" spans="1:18" x14ac:dyDescent="0.25">
      <c r="A64" s="43" t="s">
        <v>118</v>
      </c>
      <c r="B64" s="3"/>
      <c r="C64" s="24" t="s">
        <v>85</v>
      </c>
      <c r="D64" s="78" t="s">
        <v>197</v>
      </c>
      <c r="E64" s="104" t="s">
        <v>414</v>
      </c>
      <c r="F64" s="105">
        <v>9.4000000000000004E-3</v>
      </c>
      <c r="G64" s="106">
        <v>162871.46</v>
      </c>
      <c r="H64" s="33">
        <v>141000</v>
      </c>
      <c r="I64" s="111">
        <f t="shared" si="0"/>
        <v>21871.459999999992</v>
      </c>
      <c r="J64" s="112">
        <f t="shared" si="15"/>
        <v>0</v>
      </c>
      <c r="K64" s="151">
        <f t="shared" si="6"/>
        <v>0</v>
      </c>
      <c r="L64" s="112">
        <f t="shared" si="16"/>
        <v>141000</v>
      </c>
      <c r="M64" s="158">
        <v>0</v>
      </c>
      <c r="N64" s="152">
        <f t="shared" si="8"/>
        <v>162871.46</v>
      </c>
      <c r="O64" s="114">
        <f t="shared" si="9"/>
        <v>172644.46</v>
      </c>
      <c r="P64" s="138">
        <f t="shared" si="10"/>
        <v>0.46000000000000024</v>
      </c>
    </row>
    <row r="65" spans="1:19" x14ac:dyDescent="0.25">
      <c r="A65" s="43" t="s">
        <v>118</v>
      </c>
      <c r="B65" s="3"/>
      <c r="C65" s="24" t="s">
        <v>86</v>
      </c>
      <c r="D65" s="78" t="s">
        <v>176</v>
      </c>
      <c r="E65" s="104"/>
      <c r="F65" s="105">
        <v>8.6999999999999994E-3</v>
      </c>
      <c r="G65" s="106">
        <v>200352.47</v>
      </c>
      <c r="H65" s="33">
        <f>G65</f>
        <v>200352.47</v>
      </c>
      <c r="I65" s="111">
        <f t="shared" si="0"/>
        <v>0</v>
      </c>
      <c r="J65" s="112">
        <f t="shared" si="15"/>
        <v>0</v>
      </c>
      <c r="K65" s="151">
        <f t="shared" si="6"/>
        <v>0</v>
      </c>
      <c r="L65" s="112">
        <f t="shared" si="16"/>
        <v>130499.99999999999</v>
      </c>
      <c r="M65" s="158">
        <v>0</v>
      </c>
      <c r="N65" s="152">
        <f t="shared" si="8"/>
        <v>130500.47</v>
      </c>
      <c r="O65" s="114">
        <f t="shared" si="9"/>
        <v>138330.47</v>
      </c>
      <c r="P65" s="138">
        <f t="shared" si="10"/>
        <v>0.47000000000000025</v>
      </c>
    </row>
    <row r="66" spans="1:19" x14ac:dyDescent="0.25">
      <c r="A66" s="43" t="s">
        <v>118</v>
      </c>
      <c r="B66" s="3"/>
      <c r="C66" s="24" t="s">
        <v>87</v>
      </c>
      <c r="D66" s="78" t="s">
        <v>198</v>
      </c>
      <c r="E66" s="104"/>
      <c r="F66" s="105">
        <v>9.4999999999999998E-3</v>
      </c>
      <c r="G66" s="106">
        <v>196522.48</v>
      </c>
      <c r="H66" s="33">
        <f>142500</f>
        <v>142500</v>
      </c>
      <c r="I66" s="111">
        <f t="shared" si="0"/>
        <v>54022.48000000001</v>
      </c>
      <c r="J66" s="112">
        <f t="shared" si="15"/>
        <v>0</v>
      </c>
      <c r="K66" s="151">
        <f t="shared" si="6"/>
        <v>0</v>
      </c>
      <c r="L66" s="112">
        <f t="shared" si="16"/>
        <v>142500</v>
      </c>
      <c r="M66" s="158">
        <v>0</v>
      </c>
      <c r="N66" s="152">
        <f t="shared" si="8"/>
        <v>196522.48</v>
      </c>
      <c r="O66" s="114">
        <f t="shared" si="9"/>
        <v>208314.48</v>
      </c>
      <c r="P66" s="138">
        <f t="shared" si="10"/>
        <v>0.48000000000000026</v>
      </c>
      <c r="S66" s="147"/>
    </row>
    <row r="67" spans="1:19" x14ac:dyDescent="0.25">
      <c r="A67" s="43" t="s">
        <v>116</v>
      </c>
      <c r="B67" s="3"/>
      <c r="C67" s="24" t="s">
        <v>88</v>
      </c>
      <c r="D67" s="78" t="s">
        <v>199</v>
      </c>
      <c r="E67" s="104"/>
      <c r="F67" s="105">
        <v>1.6400000000000001E-2</v>
      </c>
      <c r="G67" s="106">
        <v>339259.49</v>
      </c>
      <c r="H67" s="33">
        <f t="shared" ref="H67" si="19">G67</f>
        <v>339259.49</v>
      </c>
      <c r="I67" s="111">
        <f t="shared" si="0"/>
        <v>0</v>
      </c>
      <c r="J67" s="112">
        <f t="shared" si="15"/>
        <v>0</v>
      </c>
      <c r="K67" s="151">
        <f t="shared" si="6"/>
        <v>0</v>
      </c>
      <c r="L67" s="112">
        <f t="shared" si="16"/>
        <v>246000.00000000003</v>
      </c>
      <c r="M67" s="158">
        <v>0</v>
      </c>
      <c r="N67" s="152">
        <f t="shared" si="8"/>
        <v>246000.49</v>
      </c>
      <c r="O67" s="114">
        <f t="shared" si="9"/>
        <v>260761.49</v>
      </c>
      <c r="P67" s="102">
        <f t="shared" si="10"/>
        <v>0.49000000000000027</v>
      </c>
      <c r="S67" s="32"/>
    </row>
    <row r="68" spans="1:19" x14ac:dyDescent="0.25">
      <c r="A68" s="108" t="s">
        <v>117</v>
      </c>
      <c r="B68" s="107"/>
      <c r="C68" s="24" t="s">
        <v>89</v>
      </c>
      <c r="D68" s="78" t="s">
        <v>411</v>
      </c>
      <c r="E68" s="104"/>
      <c r="F68" s="105">
        <v>7.1999999999999998E-3</v>
      </c>
      <c r="G68" s="106">
        <v>148943.5</v>
      </c>
      <c r="H68" s="33">
        <f>G68+81371</f>
        <v>230314.5</v>
      </c>
      <c r="I68" s="111">
        <f t="shared" si="0"/>
        <v>-81371</v>
      </c>
      <c r="J68" s="112">
        <f t="shared" si="15"/>
        <v>0</v>
      </c>
      <c r="K68" s="151">
        <f t="shared" si="6"/>
        <v>0</v>
      </c>
      <c r="L68" s="112">
        <f t="shared" si="16"/>
        <v>108000</v>
      </c>
      <c r="M68" s="158">
        <v>0</v>
      </c>
      <c r="N68" s="152">
        <f t="shared" si="8"/>
        <v>26629.5</v>
      </c>
      <c r="O68" s="114">
        <f t="shared" si="9"/>
        <v>28227.5</v>
      </c>
      <c r="P68" s="102">
        <f t="shared" si="10"/>
        <v>0.50000000000000022</v>
      </c>
    </row>
    <row r="69" spans="1:19" x14ac:dyDescent="0.25">
      <c r="A69" s="43" t="s">
        <v>116</v>
      </c>
      <c r="B69" s="3"/>
      <c r="C69" s="24" t="s">
        <v>90</v>
      </c>
      <c r="D69" s="78" t="s">
        <v>201</v>
      </c>
      <c r="E69" s="104"/>
      <c r="F69" s="105">
        <v>1.7299999999999999E-2</v>
      </c>
      <c r="G69" s="106">
        <v>377877.51</v>
      </c>
      <c r="H69" s="33">
        <f t="shared" ref="H69" si="20">G69</f>
        <v>377877.51</v>
      </c>
      <c r="I69" s="111">
        <f t="shared" si="0"/>
        <v>0</v>
      </c>
      <c r="J69" s="112">
        <f t="shared" si="15"/>
        <v>0</v>
      </c>
      <c r="K69" s="151">
        <f t="shared" si="6"/>
        <v>0</v>
      </c>
      <c r="L69" s="112">
        <f t="shared" si="16"/>
        <v>259500</v>
      </c>
      <c r="M69" s="158">
        <v>20000</v>
      </c>
      <c r="N69" s="152">
        <f t="shared" si="8"/>
        <v>279500.51</v>
      </c>
      <c r="O69" s="114">
        <f t="shared" si="9"/>
        <v>296271.51</v>
      </c>
      <c r="P69" s="102">
        <f t="shared" si="10"/>
        <v>0.51000000000000023</v>
      </c>
    </row>
    <row r="70" spans="1:19" x14ac:dyDescent="0.25">
      <c r="A70" s="43" t="s">
        <v>118</v>
      </c>
      <c r="B70" s="3"/>
      <c r="C70" s="24" t="s">
        <v>91</v>
      </c>
      <c r="D70" s="78" t="s">
        <v>202</v>
      </c>
      <c r="E70" s="104"/>
      <c r="F70" s="105">
        <v>9.4000000000000004E-3</v>
      </c>
      <c r="G70" s="106">
        <v>307254.52</v>
      </c>
      <c r="H70" s="33">
        <f>325690.52</f>
        <v>325690.52</v>
      </c>
      <c r="I70" s="111">
        <f t="shared" si="0"/>
        <v>-18436</v>
      </c>
      <c r="J70" s="112">
        <f t="shared" si="15"/>
        <v>0</v>
      </c>
      <c r="K70" s="151">
        <f t="shared" si="6"/>
        <v>0</v>
      </c>
      <c r="L70" s="112">
        <f t="shared" si="16"/>
        <v>141000</v>
      </c>
      <c r="M70" s="158">
        <v>0</v>
      </c>
      <c r="N70" s="152">
        <f t="shared" si="8"/>
        <v>122564.52</v>
      </c>
      <c r="O70" s="114">
        <f t="shared" si="9"/>
        <v>129918.52</v>
      </c>
      <c r="P70" s="102">
        <f t="shared" si="10"/>
        <v>0.52000000000000024</v>
      </c>
    </row>
    <row r="71" spans="1:19" x14ac:dyDescent="0.25">
      <c r="A71" s="43" t="s">
        <v>118</v>
      </c>
      <c r="B71" s="3"/>
      <c r="C71" s="24" t="s">
        <v>92</v>
      </c>
      <c r="D71" s="78" t="s">
        <v>115</v>
      </c>
      <c r="E71" s="104"/>
      <c r="F71" s="105">
        <v>8.6999999999999994E-3</v>
      </c>
      <c r="G71" s="106">
        <v>179973.53</v>
      </c>
      <c r="H71" s="33">
        <f t="shared" ref="H71:H73" si="21">G71</f>
        <v>179973.53</v>
      </c>
      <c r="I71" s="111">
        <f t="shared" si="0"/>
        <v>0</v>
      </c>
      <c r="J71" s="112">
        <f t="shared" si="15"/>
        <v>0</v>
      </c>
      <c r="K71" s="151">
        <f t="shared" si="6"/>
        <v>0</v>
      </c>
      <c r="L71" s="112">
        <f t="shared" si="16"/>
        <v>130499.99999999999</v>
      </c>
      <c r="M71" s="158">
        <v>0</v>
      </c>
      <c r="N71" s="152">
        <f t="shared" si="8"/>
        <v>130500.53</v>
      </c>
      <c r="O71" s="114">
        <f t="shared" si="9"/>
        <v>138331.53</v>
      </c>
      <c r="P71" s="102">
        <f t="shared" si="10"/>
        <v>0.53000000000000025</v>
      </c>
      <c r="R71" t="s">
        <v>243</v>
      </c>
    </row>
    <row r="72" spans="1:19" x14ac:dyDescent="0.25">
      <c r="A72" s="43" t="s">
        <v>118</v>
      </c>
      <c r="B72" s="3"/>
      <c r="C72" s="24" t="s">
        <v>93</v>
      </c>
      <c r="D72" s="78" t="s">
        <v>203</v>
      </c>
      <c r="E72" s="104"/>
      <c r="F72" s="105">
        <v>9.4999999999999998E-3</v>
      </c>
      <c r="G72" s="106">
        <v>301766.53999999998</v>
      </c>
      <c r="H72" s="33"/>
      <c r="I72" s="111">
        <f t="shared" si="0"/>
        <v>301766.53999999998</v>
      </c>
      <c r="J72" s="112">
        <f t="shared" si="15"/>
        <v>0</v>
      </c>
      <c r="K72" s="151">
        <f t="shared" si="6"/>
        <v>0</v>
      </c>
      <c r="L72" s="112">
        <f t="shared" si="16"/>
        <v>142500</v>
      </c>
      <c r="M72" s="158">
        <v>0</v>
      </c>
      <c r="N72" s="152">
        <f t="shared" si="8"/>
        <v>444267.54</v>
      </c>
      <c r="O72" s="114">
        <f t="shared" si="9"/>
        <v>470924.54</v>
      </c>
      <c r="P72" s="102">
        <f t="shared" si="10"/>
        <v>0.54000000000000026</v>
      </c>
    </row>
    <row r="73" spans="1:19" x14ac:dyDescent="0.25">
      <c r="A73" s="43" t="s">
        <v>119</v>
      </c>
      <c r="B73" s="3"/>
      <c r="C73" s="24" t="s">
        <v>94</v>
      </c>
      <c r="D73" s="78" t="s">
        <v>204</v>
      </c>
      <c r="E73" s="104"/>
      <c r="F73" s="105">
        <v>2.35E-2</v>
      </c>
      <c r="G73" s="106">
        <v>486133.55</v>
      </c>
      <c r="H73" s="33">
        <f t="shared" si="21"/>
        <v>486133.55</v>
      </c>
      <c r="I73" s="111">
        <f t="shared" si="0"/>
        <v>0</v>
      </c>
      <c r="J73" s="112">
        <f t="shared" si="15"/>
        <v>0</v>
      </c>
      <c r="K73" s="151">
        <f t="shared" si="6"/>
        <v>0</v>
      </c>
      <c r="L73" s="112">
        <f t="shared" si="16"/>
        <v>352500</v>
      </c>
      <c r="M73" s="158">
        <v>0</v>
      </c>
      <c r="N73" s="152">
        <f t="shared" si="8"/>
        <v>352500.55</v>
      </c>
      <c r="O73" s="114">
        <f t="shared" si="9"/>
        <v>373651.55</v>
      </c>
      <c r="P73" s="102">
        <f t="shared" si="10"/>
        <v>0.55000000000000027</v>
      </c>
      <c r="Q73" s="53"/>
    </row>
    <row r="74" spans="1:19" x14ac:dyDescent="0.25">
      <c r="A74" s="43" t="s">
        <v>116</v>
      </c>
      <c r="B74" s="3"/>
      <c r="C74" s="24" t="s">
        <v>95</v>
      </c>
      <c r="D74" s="78" t="s">
        <v>205</v>
      </c>
      <c r="E74" s="104"/>
      <c r="F74" s="105">
        <v>1.7299999999999999E-2</v>
      </c>
      <c r="G74" s="106">
        <v>379350.56</v>
      </c>
      <c r="H74" s="33">
        <v>357877.56</v>
      </c>
      <c r="I74" s="111">
        <f t="shared" si="0"/>
        <v>21473</v>
      </c>
      <c r="J74" s="112">
        <f t="shared" si="15"/>
        <v>0</v>
      </c>
      <c r="K74" s="151">
        <f t="shared" si="6"/>
        <v>0</v>
      </c>
      <c r="L74" s="112">
        <f t="shared" si="16"/>
        <v>259500</v>
      </c>
      <c r="M74" s="158">
        <v>0</v>
      </c>
      <c r="N74" s="152">
        <f t="shared" si="8"/>
        <v>280973.56</v>
      </c>
      <c r="O74" s="114">
        <f t="shared" si="9"/>
        <v>297832.56</v>
      </c>
      <c r="P74" s="102">
        <f t="shared" si="10"/>
        <v>0.56000000000000028</v>
      </c>
    </row>
    <row r="75" spans="1:19" x14ac:dyDescent="0.25">
      <c r="A75" s="43" t="s">
        <v>118</v>
      </c>
      <c r="B75" s="3"/>
      <c r="C75" s="24" t="s">
        <v>96</v>
      </c>
      <c r="D75" s="78" t="s">
        <v>241</v>
      </c>
      <c r="E75" s="104"/>
      <c r="F75" s="105">
        <v>9.4000000000000004E-3</v>
      </c>
      <c r="G75" s="106">
        <v>194453.57</v>
      </c>
      <c r="H75" s="33">
        <f>289613.15-H89-H105</f>
        <v>194453.57000000004</v>
      </c>
      <c r="I75" s="111">
        <f t="shared" si="0"/>
        <v>0</v>
      </c>
      <c r="J75" s="112">
        <f t="shared" si="15"/>
        <v>0</v>
      </c>
      <c r="K75" s="151">
        <f t="shared" si="6"/>
        <v>0</v>
      </c>
      <c r="L75" s="112">
        <f t="shared" si="16"/>
        <v>141000</v>
      </c>
      <c r="M75" s="158">
        <v>0</v>
      </c>
      <c r="N75" s="152">
        <f t="shared" si="8"/>
        <v>141000.57</v>
      </c>
      <c r="O75" s="114">
        <f t="shared" si="9"/>
        <v>149461.57</v>
      </c>
      <c r="P75" s="102">
        <f t="shared" si="10"/>
        <v>0.57000000000000028</v>
      </c>
    </row>
    <row r="76" spans="1:19" x14ac:dyDescent="0.25">
      <c r="A76" s="43" t="s">
        <v>118</v>
      </c>
      <c r="B76" s="3"/>
      <c r="C76" s="24" t="s">
        <v>97</v>
      </c>
      <c r="D76" s="78" t="s">
        <v>206</v>
      </c>
      <c r="E76" s="104" t="s">
        <v>271</v>
      </c>
      <c r="F76" s="105">
        <v>8.6999999999999994E-3</v>
      </c>
      <c r="G76" s="106">
        <v>459999.58</v>
      </c>
      <c r="H76" s="33"/>
      <c r="I76" s="111">
        <f t="shared" si="0"/>
        <v>459999.58</v>
      </c>
      <c r="J76" s="112">
        <f t="shared" si="15"/>
        <v>0</v>
      </c>
      <c r="K76" s="151">
        <f t="shared" si="6"/>
        <v>0</v>
      </c>
      <c r="L76" s="112">
        <f t="shared" si="16"/>
        <v>130499.99999999999</v>
      </c>
      <c r="M76" s="158">
        <v>0</v>
      </c>
      <c r="N76" s="152">
        <f t="shared" si="8"/>
        <v>590500.57999999996</v>
      </c>
      <c r="O76" s="114">
        <f t="shared" si="9"/>
        <v>625931.57999999996</v>
      </c>
      <c r="P76" s="102">
        <f t="shared" si="10"/>
        <v>0.58000000000000029</v>
      </c>
    </row>
    <row r="77" spans="1:19" x14ac:dyDescent="0.25">
      <c r="A77" s="78" t="s">
        <v>118</v>
      </c>
      <c r="B77" s="24"/>
      <c r="C77" s="24" t="s">
        <v>98</v>
      </c>
      <c r="D77" s="78" t="s">
        <v>207</v>
      </c>
      <c r="E77" s="104"/>
      <c r="F77" s="105">
        <v>9.4999999999999998E-3</v>
      </c>
      <c r="G77" s="106">
        <v>310522.59000000003</v>
      </c>
      <c r="H77" s="33">
        <v>329154.59000000003</v>
      </c>
      <c r="I77" s="111">
        <f t="shared" si="0"/>
        <v>-18632</v>
      </c>
      <c r="J77" s="112">
        <f t="shared" si="15"/>
        <v>0</v>
      </c>
      <c r="K77" s="151">
        <f t="shared" si="6"/>
        <v>0</v>
      </c>
      <c r="L77" s="112">
        <f t="shared" si="16"/>
        <v>142500</v>
      </c>
      <c r="M77" s="158">
        <v>0</v>
      </c>
      <c r="N77" s="152">
        <f t="shared" si="8"/>
        <v>123868.59</v>
      </c>
      <c r="O77" s="114">
        <f t="shared" si="9"/>
        <v>131301.59</v>
      </c>
      <c r="P77" s="102">
        <f t="shared" si="10"/>
        <v>0.5900000000000003</v>
      </c>
    </row>
    <row r="78" spans="1:19" x14ac:dyDescent="0.25">
      <c r="A78" s="78" t="s">
        <v>119</v>
      </c>
      <c r="B78" s="24"/>
      <c r="C78" s="24" t="s">
        <v>99</v>
      </c>
      <c r="D78" s="78" t="s">
        <v>208</v>
      </c>
      <c r="E78" s="104"/>
      <c r="F78" s="105">
        <v>2.35E-2</v>
      </c>
      <c r="G78" s="106">
        <v>464376.6</v>
      </c>
      <c r="H78" s="33">
        <f>467897.6</f>
        <v>467897.59999999998</v>
      </c>
      <c r="I78" s="111">
        <f t="shared" si="0"/>
        <v>-3521</v>
      </c>
      <c r="J78" s="112">
        <f t="shared" si="15"/>
        <v>0</v>
      </c>
      <c r="K78" s="151">
        <f t="shared" si="6"/>
        <v>0</v>
      </c>
      <c r="L78" s="112">
        <f t="shared" si="16"/>
        <v>352500</v>
      </c>
      <c r="M78" s="158">
        <v>0</v>
      </c>
      <c r="N78" s="152">
        <f t="shared" si="8"/>
        <v>348979.6</v>
      </c>
      <c r="O78" s="114">
        <f t="shared" si="9"/>
        <v>369918.6</v>
      </c>
      <c r="P78" s="102">
        <f t="shared" si="10"/>
        <v>0.60000000000000031</v>
      </c>
    </row>
    <row r="79" spans="1:19" x14ac:dyDescent="0.25">
      <c r="A79" s="43" t="s">
        <v>116</v>
      </c>
      <c r="B79" s="3"/>
      <c r="C79" s="24" t="s">
        <v>100</v>
      </c>
      <c r="D79" s="78" t="s">
        <v>209</v>
      </c>
      <c r="E79" s="104"/>
      <c r="F79" s="105">
        <v>1.7299999999999999E-2</v>
      </c>
      <c r="G79" s="106">
        <v>357877.61</v>
      </c>
      <c r="H79" s="33">
        <f>G79</f>
        <v>357877.61</v>
      </c>
      <c r="I79" s="111">
        <f>G79-H79</f>
        <v>0</v>
      </c>
      <c r="J79" s="112">
        <f t="shared" si="15"/>
        <v>0</v>
      </c>
      <c r="K79" s="151">
        <f t="shared" si="6"/>
        <v>0</v>
      </c>
      <c r="L79" s="112">
        <f t="shared" si="16"/>
        <v>259500</v>
      </c>
      <c r="M79" s="158">
        <v>0</v>
      </c>
      <c r="N79" s="152">
        <f t="shared" si="8"/>
        <v>259500.61</v>
      </c>
      <c r="O79" s="114">
        <f t="shared" si="9"/>
        <v>275071.61</v>
      </c>
      <c r="P79" s="102">
        <f t="shared" si="10"/>
        <v>0.61000000000000032</v>
      </c>
    </row>
    <row r="80" spans="1:19" x14ac:dyDescent="0.25">
      <c r="A80" s="43" t="s">
        <v>118</v>
      </c>
      <c r="B80" s="3"/>
      <c r="C80" s="24" t="s">
        <v>101</v>
      </c>
      <c r="D80" s="78" t="s">
        <v>210</v>
      </c>
      <c r="E80" s="104"/>
      <c r="F80" s="105">
        <v>9.4000000000000004E-3</v>
      </c>
      <c r="G80" s="106">
        <v>913849.62</v>
      </c>
      <c r="H80" s="33"/>
      <c r="I80" s="111">
        <f t="shared" si="0"/>
        <v>913849.62</v>
      </c>
      <c r="J80" s="112">
        <f t="shared" si="15"/>
        <v>0</v>
      </c>
      <c r="K80" s="151">
        <f t="shared" si="6"/>
        <v>0</v>
      </c>
      <c r="L80" s="112">
        <f t="shared" si="16"/>
        <v>141000</v>
      </c>
      <c r="M80" s="158">
        <v>0</v>
      </c>
      <c r="N80" s="152">
        <f t="shared" si="8"/>
        <v>1054850.6200000001</v>
      </c>
      <c r="O80" s="114">
        <f t="shared" si="9"/>
        <v>1118142.6200000001</v>
      </c>
      <c r="P80" s="102">
        <f t="shared" si="10"/>
        <v>0.62000000000000033</v>
      </c>
    </row>
    <row r="81" spans="1:17" x14ac:dyDescent="0.25">
      <c r="A81" s="43" t="s">
        <v>118</v>
      </c>
      <c r="B81" s="3"/>
      <c r="C81" s="24" t="s">
        <v>102</v>
      </c>
      <c r="D81" s="78" t="s">
        <v>211</v>
      </c>
      <c r="E81" s="104" t="s">
        <v>257</v>
      </c>
      <c r="F81" s="105">
        <v>8.6999999999999994E-3</v>
      </c>
      <c r="G81" s="106">
        <v>179973.63</v>
      </c>
      <c r="H81" s="33">
        <f>G81</f>
        <v>179973.63</v>
      </c>
      <c r="I81" s="111">
        <f t="shared" si="0"/>
        <v>0</v>
      </c>
      <c r="J81" s="112">
        <f t="shared" si="15"/>
        <v>0</v>
      </c>
      <c r="K81" s="151">
        <f t="shared" si="6"/>
        <v>0</v>
      </c>
      <c r="L81" s="112">
        <f t="shared" si="16"/>
        <v>130499.99999999999</v>
      </c>
      <c r="M81" s="158">
        <v>0</v>
      </c>
      <c r="N81" s="152">
        <f t="shared" si="8"/>
        <v>130500.63</v>
      </c>
      <c r="O81" s="114">
        <f t="shared" si="9"/>
        <v>138331.63</v>
      </c>
      <c r="P81" s="102">
        <f t="shared" si="10"/>
        <v>0.63000000000000034</v>
      </c>
    </row>
    <row r="82" spans="1:17" x14ac:dyDescent="0.25">
      <c r="A82" s="43" t="s">
        <v>118</v>
      </c>
      <c r="B82" s="3"/>
      <c r="C82" s="24" t="s">
        <v>103</v>
      </c>
      <c r="D82" s="78" t="s">
        <v>212</v>
      </c>
      <c r="E82" s="104"/>
      <c r="F82" s="105">
        <v>9.4999999999999998E-3</v>
      </c>
      <c r="G82" s="106">
        <v>196522.64</v>
      </c>
      <c r="H82" s="33">
        <f>G82</f>
        <v>196522.64</v>
      </c>
      <c r="I82" s="111">
        <f t="shared" si="0"/>
        <v>0</v>
      </c>
      <c r="J82" s="112">
        <f t="shared" si="15"/>
        <v>0</v>
      </c>
      <c r="K82" s="151">
        <f t="shared" si="6"/>
        <v>0</v>
      </c>
      <c r="L82" s="112">
        <f t="shared" si="16"/>
        <v>142500</v>
      </c>
      <c r="M82" s="158">
        <v>0</v>
      </c>
      <c r="N82" s="152">
        <f t="shared" si="8"/>
        <v>142500.64000000001</v>
      </c>
      <c r="O82" s="114">
        <f t="shared" si="9"/>
        <v>151051.64000000001</v>
      </c>
      <c r="P82" s="102">
        <f t="shared" si="10"/>
        <v>0.64000000000000035</v>
      </c>
      <c r="Q82" t="s">
        <v>265</v>
      </c>
    </row>
    <row r="83" spans="1:17" x14ac:dyDescent="0.25">
      <c r="A83" s="43" t="s">
        <v>119</v>
      </c>
      <c r="B83" s="3"/>
      <c r="C83" s="24" t="s">
        <v>104</v>
      </c>
      <c r="D83" s="78" t="s">
        <v>266</v>
      </c>
      <c r="E83" s="104"/>
      <c r="F83" s="105">
        <v>2.35E-2</v>
      </c>
      <c r="G83" s="106">
        <v>486133.65</v>
      </c>
      <c r="H83" s="33">
        <f t="shared" ref="H83:H98" si="22">G83</f>
        <v>486133.65</v>
      </c>
      <c r="I83" s="111">
        <f t="shared" si="0"/>
        <v>0</v>
      </c>
      <c r="J83" s="112">
        <f t="shared" ref="J83:J114" si="23">N$8*F83</f>
        <v>0</v>
      </c>
      <c r="K83" s="151">
        <f t="shared" si="6"/>
        <v>0</v>
      </c>
      <c r="L83" s="112">
        <f t="shared" ref="L83:L114" si="24">N$2*F83</f>
        <v>352500</v>
      </c>
      <c r="M83" s="158">
        <v>0</v>
      </c>
      <c r="N83" s="152">
        <f t="shared" si="8"/>
        <v>352500.65</v>
      </c>
      <c r="O83" s="114">
        <f t="shared" si="9"/>
        <v>373651.65</v>
      </c>
      <c r="P83" s="102">
        <f t="shared" si="10"/>
        <v>0.65000000000000036</v>
      </c>
    </row>
    <row r="84" spans="1:17" x14ac:dyDescent="0.25">
      <c r="A84" s="43" t="s">
        <v>116</v>
      </c>
      <c r="B84" s="3"/>
      <c r="C84" s="24" t="s">
        <v>105</v>
      </c>
      <c r="D84" s="78" t="s">
        <v>213</v>
      </c>
      <c r="E84" s="104"/>
      <c r="F84" s="105">
        <v>1.7299999999999999E-2</v>
      </c>
      <c r="G84" s="106">
        <v>403252.66</v>
      </c>
      <c r="H84" s="33">
        <f>G84</f>
        <v>403252.66</v>
      </c>
      <c r="I84" s="111">
        <f t="shared" si="0"/>
        <v>0</v>
      </c>
      <c r="J84" s="112">
        <f t="shared" si="23"/>
        <v>0</v>
      </c>
      <c r="K84" s="151">
        <f t="shared" ref="K84:K131" si="25">N$3*F84</f>
        <v>0</v>
      </c>
      <c r="L84" s="112">
        <f t="shared" si="24"/>
        <v>259500</v>
      </c>
      <c r="M84" s="158">
        <v>0</v>
      </c>
      <c r="N84" s="152">
        <f t="shared" ref="N84:N131" si="26">ROUND((L84+J84+I84+K84+M84),0) + P84</f>
        <v>259500.66</v>
      </c>
      <c r="O84" s="114">
        <f t="shared" ref="O84:O131" si="27">ROUND((N84*6% + N84 ),0) + P84</f>
        <v>275071.65999999997</v>
      </c>
      <c r="P84" s="102">
        <f t="shared" si="10"/>
        <v>0.66000000000000036</v>
      </c>
    </row>
    <row r="85" spans="1:17" x14ac:dyDescent="0.25">
      <c r="A85" s="43" t="s">
        <v>118</v>
      </c>
      <c r="B85" s="3"/>
      <c r="C85" s="24" t="s">
        <v>106</v>
      </c>
      <c r="D85" s="78" t="s">
        <v>214</v>
      </c>
      <c r="E85" s="104"/>
      <c r="F85" s="105">
        <v>9.4000000000000004E-3</v>
      </c>
      <c r="G85" s="106">
        <v>194453.67</v>
      </c>
      <c r="H85" s="33">
        <f t="shared" si="22"/>
        <v>194453.67</v>
      </c>
      <c r="I85" s="111">
        <f t="shared" si="0"/>
        <v>0</v>
      </c>
      <c r="J85" s="112">
        <f t="shared" si="23"/>
        <v>0</v>
      </c>
      <c r="K85" s="151">
        <f t="shared" si="25"/>
        <v>0</v>
      </c>
      <c r="L85" s="112">
        <f t="shared" si="24"/>
        <v>141000</v>
      </c>
      <c r="M85" s="158">
        <v>0</v>
      </c>
      <c r="N85" s="152">
        <f t="shared" si="26"/>
        <v>141000.67000000001</v>
      </c>
      <c r="O85" s="114">
        <f t="shared" si="27"/>
        <v>149461.67000000001</v>
      </c>
      <c r="P85" s="102">
        <f t="shared" ref="P85:P131" si="28">P84+0.01</f>
        <v>0.67000000000000037</v>
      </c>
    </row>
    <row r="86" spans="1:17" x14ac:dyDescent="0.25">
      <c r="A86" s="43" t="s">
        <v>118</v>
      </c>
      <c r="B86" s="3"/>
      <c r="C86" s="24" t="s">
        <v>107</v>
      </c>
      <c r="D86" s="78" t="s">
        <v>215</v>
      </c>
      <c r="E86" s="104"/>
      <c r="F86" s="105">
        <v>8.6999999999999994E-3</v>
      </c>
      <c r="G86" s="106">
        <v>179973.68</v>
      </c>
      <c r="H86" s="33">
        <f>G86</f>
        <v>179973.68</v>
      </c>
      <c r="I86" s="111">
        <f t="shared" si="0"/>
        <v>0</v>
      </c>
      <c r="J86" s="112">
        <f t="shared" si="23"/>
        <v>0</v>
      </c>
      <c r="K86" s="151">
        <f t="shared" si="25"/>
        <v>0</v>
      </c>
      <c r="L86" s="112">
        <f t="shared" si="24"/>
        <v>130499.99999999999</v>
      </c>
      <c r="M86" s="158">
        <v>0</v>
      </c>
      <c r="N86" s="152">
        <f t="shared" si="26"/>
        <v>130500.68</v>
      </c>
      <c r="O86" s="114">
        <f t="shared" si="27"/>
        <v>138331.68</v>
      </c>
      <c r="P86" s="102">
        <f t="shared" si="28"/>
        <v>0.68000000000000038</v>
      </c>
    </row>
    <row r="87" spans="1:17" x14ac:dyDescent="0.25">
      <c r="A87" s="78" t="s">
        <v>118</v>
      </c>
      <c r="B87" s="24"/>
      <c r="C87" s="24" t="s">
        <v>108</v>
      </c>
      <c r="D87" s="78" t="s">
        <v>216</v>
      </c>
      <c r="E87" s="104"/>
      <c r="F87" s="105">
        <v>9.4999999999999998E-3</v>
      </c>
      <c r="G87" s="106">
        <v>208314.69</v>
      </c>
      <c r="H87" s="33">
        <f>G87</f>
        <v>208314.69</v>
      </c>
      <c r="I87" s="111">
        <f t="shared" si="0"/>
        <v>0</v>
      </c>
      <c r="J87" s="112">
        <f t="shared" si="23"/>
        <v>0</v>
      </c>
      <c r="K87" s="151">
        <f t="shared" si="25"/>
        <v>0</v>
      </c>
      <c r="L87" s="112">
        <f t="shared" si="24"/>
        <v>142500</v>
      </c>
      <c r="M87" s="158">
        <v>0</v>
      </c>
      <c r="N87" s="152">
        <f t="shared" si="26"/>
        <v>142500.69</v>
      </c>
      <c r="O87" s="114">
        <f t="shared" si="27"/>
        <v>151051.69</v>
      </c>
      <c r="P87" s="102">
        <f t="shared" si="28"/>
        <v>0.69000000000000039</v>
      </c>
    </row>
    <row r="88" spans="1:17" x14ac:dyDescent="0.25">
      <c r="A88" s="78"/>
      <c r="B88" s="24"/>
      <c r="C88" s="24" t="s">
        <v>120</v>
      </c>
      <c r="D88" s="78" t="s">
        <v>180</v>
      </c>
      <c r="E88" s="78"/>
      <c r="F88" s="110">
        <v>2.3E-3</v>
      </c>
      <c r="G88" s="106">
        <v>47579.7</v>
      </c>
      <c r="H88" s="33">
        <f t="shared" si="22"/>
        <v>47579.7</v>
      </c>
      <c r="I88" s="111">
        <f t="shared" si="0"/>
        <v>0</v>
      </c>
      <c r="J88" s="112">
        <f t="shared" si="23"/>
        <v>0</v>
      </c>
      <c r="K88" s="151">
        <f t="shared" si="25"/>
        <v>0</v>
      </c>
      <c r="L88" s="112">
        <f t="shared" si="24"/>
        <v>34500</v>
      </c>
      <c r="M88" s="158">
        <v>0</v>
      </c>
      <c r="N88" s="152">
        <f t="shared" si="26"/>
        <v>34500.699999999997</v>
      </c>
      <c r="O88" s="114">
        <f t="shared" si="27"/>
        <v>36571.699999999997</v>
      </c>
      <c r="P88" s="102">
        <f t="shared" si="28"/>
        <v>0.7000000000000004</v>
      </c>
    </row>
    <row r="89" spans="1:17" x14ac:dyDescent="0.25">
      <c r="A89" s="78"/>
      <c r="B89" s="24"/>
      <c r="C89" s="24" t="s">
        <v>121</v>
      </c>
      <c r="D89" s="78" t="s">
        <v>115</v>
      </c>
      <c r="E89" s="78"/>
      <c r="F89" s="110">
        <v>2.3E-3</v>
      </c>
      <c r="G89" s="106">
        <v>47579.71</v>
      </c>
      <c r="H89" s="33">
        <f>G89</f>
        <v>47579.71</v>
      </c>
      <c r="I89" s="111">
        <f t="shared" si="0"/>
        <v>0</v>
      </c>
      <c r="J89" s="112">
        <f t="shared" si="23"/>
        <v>0</v>
      </c>
      <c r="K89" s="151">
        <f t="shared" si="25"/>
        <v>0</v>
      </c>
      <c r="L89" s="112">
        <f t="shared" si="24"/>
        <v>34500</v>
      </c>
      <c r="M89" s="158">
        <v>0</v>
      </c>
      <c r="N89" s="152">
        <f t="shared" si="26"/>
        <v>34500.71</v>
      </c>
      <c r="O89" s="114">
        <f t="shared" si="27"/>
        <v>36571.71</v>
      </c>
      <c r="P89" s="102">
        <f t="shared" si="28"/>
        <v>0.71000000000000041</v>
      </c>
    </row>
    <row r="90" spans="1:17" x14ac:dyDescent="0.25">
      <c r="A90" s="78"/>
      <c r="B90" s="24"/>
      <c r="C90" s="24" t="s">
        <v>122</v>
      </c>
      <c r="D90" s="78" t="s">
        <v>188</v>
      </c>
      <c r="E90" s="78"/>
      <c r="F90" s="110">
        <v>2.3E-3</v>
      </c>
      <c r="G90" s="106">
        <v>50435.72</v>
      </c>
      <c r="H90" s="33">
        <f t="shared" si="22"/>
        <v>50435.72</v>
      </c>
      <c r="I90" s="111">
        <f t="shared" si="0"/>
        <v>0</v>
      </c>
      <c r="J90" s="112">
        <f t="shared" si="23"/>
        <v>0</v>
      </c>
      <c r="K90" s="151">
        <f t="shared" si="25"/>
        <v>0</v>
      </c>
      <c r="L90" s="112">
        <f t="shared" si="24"/>
        <v>34500</v>
      </c>
      <c r="M90" s="158">
        <v>0</v>
      </c>
      <c r="N90" s="152">
        <f t="shared" si="26"/>
        <v>34500.720000000001</v>
      </c>
      <c r="O90" s="114">
        <f t="shared" si="27"/>
        <v>36571.72</v>
      </c>
      <c r="P90" s="102">
        <f t="shared" si="28"/>
        <v>0.72000000000000042</v>
      </c>
    </row>
    <row r="91" spans="1:17" x14ac:dyDescent="0.25">
      <c r="A91" s="78"/>
      <c r="B91" s="24"/>
      <c r="C91" s="24" t="s">
        <v>123</v>
      </c>
      <c r="D91" s="78" t="s">
        <v>199</v>
      </c>
      <c r="E91" s="78"/>
      <c r="F91" s="110">
        <v>2.3E-3</v>
      </c>
      <c r="G91" s="106">
        <v>47579.73</v>
      </c>
      <c r="H91" s="33">
        <f>G91</f>
        <v>47579.73</v>
      </c>
      <c r="I91" s="111">
        <f t="shared" si="0"/>
        <v>0</v>
      </c>
      <c r="J91" s="112">
        <f t="shared" si="23"/>
        <v>0</v>
      </c>
      <c r="K91" s="151">
        <f t="shared" si="25"/>
        <v>0</v>
      </c>
      <c r="L91" s="112">
        <f t="shared" si="24"/>
        <v>34500</v>
      </c>
      <c r="M91" s="158">
        <v>0</v>
      </c>
      <c r="N91" s="152">
        <f t="shared" si="26"/>
        <v>34500.730000000003</v>
      </c>
      <c r="O91" s="114">
        <f t="shared" si="27"/>
        <v>36571.730000000003</v>
      </c>
      <c r="P91" s="102">
        <f t="shared" si="28"/>
        <v>0.73000000000000043</v>
      </c>
    </row>
    <row r="92" spans="1:17" x14ac:dyDescent="0.25">
      <c r="A92" s="78"/>
      <c r="B92" s="24"/>
      <c r="C92" s="141" t="s">
        <v>124</v>
      </c>
      <c r="D92" s="142" t="s">
        <v>194</v>
      </c>
      <c r="E92" s="142"/>
      <c r="F92" s="143">
        <v>2.3E-3</v>
      </c>
      <c r="G92" s="33">
        <v>47579.74</v>
      </c>
      <c r="H92" s="33">
        <f t="shared" ref="H92" si="29">G92</f>
        <v>47579.74</v>
      </c>
      <c r="I92" s="144">
        <f t="shared" si="0"/>
        <v>0</v>
      </c>
      <c r="J92" s="145">
        <f t="shared" si="23"/>
        <v>0</v>
      </c>
      <c r="K92" s="151">
        <f t="shared" si="25"/>
        <v>0</v>
      </c>
      <c r="L92" s="145">
        <f t="shared" si="24"/>
        <v>34500</v>
      </c>
      <c r="M92" s="158">
        <v>0</v>
      </c>
      <c r="N92" s="152">
        <f t="shared" si="26"/>
        <v>34500.74</v>
      </c>
      <c r="O92" s="146">
        <f t="shared" si="27"/>
        <v>36571.74</v>
      </c>
      <c r="P92" s="102">
        <f t="shared" si="28"/>
        <v>0.74000000000000044</v>
      </c>
      <c r="Q92" t="s">
        <v>264</v>
      </c>
    </row>
    <row r="93" spans="1:17" x14ac:dyDescent="0.25">
      <c r="A93" s="78"/>
      <c r="B93" s="24"/>
      <c r="C93" s="24" t="s">
        <v>125</v>
      </c>
      <c r="D93" s="78" t="s">
        <v>219</v>
      </c>
      <c r="E93" s="78"/>
      <c r="F93" s="110">
        <v>2.3E-3</v>
      </c>
      <c r="G93" s="33">
        <v>73059.75</v>
      </c>
      <c r="H93" s="33"/>
      <c r="I93" s="111">
        <f t="shared" si="0"/>
        <v>73059.75</v>
      </c>
      <c r="J93" s="112">
        <f t="shared" si="23"/>
        <v>0</v>
      </c>
      <c r="K93" s="151">
        <f t="shared" si="25"/>
        <v>0</v>
      </c>
      <c r="L93" s="112">
        <f t="shared" si="24"/>
        <v>34500</v>
      </c>
      <c r="M93" s="158">
        <v>0</v>
      </c>
      <c r="N93" s="152">
        <f t="shared" si="26"/>
        <v>107560.75</v>
      </c>
      <c r="O93" s="114">
        <f t="shared" si="27"/>
        <v>114014.75</v>
      </c>
      <c r="P93" s="102">
        <f t="shared" si="28"/>
        <v>0.75000000000000044</v>
      </c>
    </row>
    <row r="94" spans="1:17" x14ac:dyDescent="0.25">
      <c r="A94" s="78"/>
      <c r="B94" s="24"/>
      <c r="C94" s="24" t="s">
        <v>126</v>
      </c>
      <c r="D94" s="78" t="s">
        <v>187</v>
      </c>
      <c r="E94" s="78"/>
      <c r="F94" s="110">
        <v>2.3E-3</v>
      </c>
      <c r="G94" s="106">
        <v>47579.76</v>
      </c>
      <c r="H94" s="33">
        <f>G94</f>
        <v>47579.76</v>
      </c>
      <c r="I94" s="111">
        <f t="shared" si="0"/>
        <v>0</v>
      </c>
      <c r="J94" s="112">
        <f t="shared" si="23"/>
        <v>0</v>
      </c>
      <c r="K94" s="151">
        <f t="shared" si="25"/>
        <v>0</v>
      </c>
      <c r="L94" s="112">
        <f t="shared" si="24"/>
        <v>34500</v>
      </c>
      <c r="M94" s="158">
        <v>0</v>
      </c>
      <c r="N94" s="152">
        <f t="shared" si="26"/>
        <v>34500.76</v>
      </c>
      <c r="O94" s="114">
        <f t="shared" si="27"/>
        <v>36571.760000000002</v>
      </c>
      <c r="P94" s="102">
        <f t="shared" si="28"/>
        <v>0.76000000000000045</v>
      </c>
    </row>
    <row r="95" spans="1:17" x14ac:dyDescent="0.25">
      <c r="A95" s="78"/>
      <c r="B95" s="24"/>
      <c r="C95" s="24" t="s">
        <v>127</v>
      </c>
      <c r="D95" s="78" t="s">
        <v>187</v>
      </c>
      <c r="E95" s="78"/>
      <c r="F95" s="110">
        <v>2.3E-3</v>
      </c>
      <c r="G95" s="106">
        <v>47579.77</v>
      </c>
      <c r="H95" s="33">
        <f>G95</f>
        <v>47579.77</v>
      </c>
      <c r="I95" s="111">
        <f t="shared" si="0"/>
        <v>0</v>
      </c>
      <c r="J95" s="112">
        <f t="shared" si="23"/>
        <v>0</v>
      </c>
      <c r="K95" s="151">
        <f t="shared" si="25"/>
        <v>0</v>
      </c>
      <c r="L95" s="112">
        <f t="shared" si="24"/>
        <v>34500</v>
      </c>
      <c r="M95" s="158">
        <v>0</v>
      </c>
      <c r="N95" s="152">
        <f t="shared" si="26"/>
        <v>34500.769999999997</v>
      </c>
      <c r="O95" s="114">
        <f t="shared" si="27"/>
        <v>36571.769999999997</v>
      </c>
      <c r="P95" s="102">
        <f t="shared" si="28"/>
        <v>0.77000000000000046</v>
      </c>
    </row>
    <row r="96" spans="1:17" x14ac:dyDescent="0.25">
      <c r="A96" s="78"/>
      <c r="B96" s="24"/>
      <c r="C96" s="24" t="s">
        <v>128</v>
      </c>
      <c r="D96" s="78" t="s">
        <v>266</v>
      </c>
      <c r="E96" s="78"/>
      <c r="F96" s="110">
        <v>2.3E-3</v>
      </c>
      <c r="G96" s="106">
        <v>47579.78</v>
      </c>
      <c r="H96" s="33">
        <f t="shared" si="22"/>
        <v>47579.78</v>
      </c>
      <c r="I96" s="111">
        <f t="shared" si="0"/>
        <v>0</v>
      </c>
      <c r="J96" s="112">
        <f t="shared" si="23"/>
        <v>0</v>
      </c>
      <c r="K96" s="151">
        <f t="shared" si="25"/>
        <v>0</v>
      </c>
      <c r="L96" s="112">
        <f t="shared" si="24"/>
        <v>34500</v>
      </c>
      <c r="M96" s="158">
        <v>0</v>
      </c>
      <c r="N96" s="152">
        <f t="shared" si="26"/>
        <v>34500.78</v>
      </c>
      <c r="O96" s="114">
        <f t="shared" si="27"/>
        <v>36571.78</v>
      </c>
      <c r="P96" s="102">
        <f t="shared" si="28"/>
        <v>0.78000000000000047</v>
      </c>
    </row>
    <row r="97" spans="1:16" x14ac:dyDescent="0.25">
      <c r="A97" s="78"/>
      <c r="B97" s="24"/>
      <c r="C97" s="24" t="s">
        <v>129</v>
      </c>
      <c r="D97" s="78" t="s">
        <v>197</v>
      </c>
      <c r="E97" s="78"/>
      <c r="F97" s="110">
        <v>2.3E-3</v>
      </c>
      <c r="G97" s="106">
        <v>324362.78999999998</v>
      </c>
      <c r="H97" s="33"/>
      <c r="I97" s="111">
        <f>G97-H97</f>
        <v>324362.78999999998</v>
      </c>
      <c r="J97" s="112">
        <f t="shared" si="23"/>
        <v>0</v>
      </c>
      <c r="K97" s="151">
        <f t="shared" si="25"/>
        <v>0</v>
      </c>
      <c r="L97" s="112">
        <f t="shared" si="24"/>
        <v>34500</v>
      </c>
      <c r="M97" s="158">
        <v>0</v>
      </c>
      <c r="N97" s="152">
        <f t="shared" si="26"/>
        <v>358863.79</v>
      </c>
      <c r="O97" s="114">
        <f t="shared" si="27"/>
        <v>380396.79</v>
      </c>
      <c r="P97" s="102">
        <f t="shared" si="28"/>
        <v>0.79000000000000048</v>
      </c>
    </row>
    <row r="98" spans="1:16" x14ac:dyDescent="0.25">
      <c r="A98" s="78"/>
      <c r="B98" s="24"/>
      <c r="C98" s="24" t="s">
        <v>130</v>
      </c>
      <c r="D98" s="78" t="s">
        <v>180</v>
      </c>
      <c r="E98" s="78"/>
      <c r="F98" s="110">
        <v>2.3E-3</v>
      </c>
      <c r="G98" s="106">
        <v>47579.8</v>
      </c>
      <c r="H98" s="33">
        <f t="shared" si="22"/>
        <v>47579.8</v>
      </c>
      <c r="I98" s="111">
        <f t="shared" si="0"/>
        <v>0</v>
      </c>
      <c r="J98" s="112">
        <f t="shared" si="23"/>
        <v>0</v>
      </c>
      <c r="K98" s="151">
        <f t="shared" si="25"/>
        <v>0</v>
      </c>
      <c r="L98" s="112">
        <f t="shared" si="24"/>
        <v>34500</v>
      </c>
      <c r="M98" s="158">
        <v>0</v>
      </c>
      <c r="N98" s="152">
        <f t="shared" si="26"/>
        <v>34500.800000000003</v>
      </c>
      <c r="O98" s="114">
        <f t="shared" si="27"/>
        <v>36571.800000000003</v>
      </c>
      <c r="P98" s="102">
        <f t="shared" si="28"/>
        <v>0.80000000000000049</v>
      </c>
    </row>
    <row r="99" spans="1:16" x14ac:dyDescent="0.25">
      <c r="A99" s="78"/>
      <c r="B99" s="24"/>
      <c r="C99" s="24" t="s">
        <v>131</v>
      </c>
      <c r="D99" s="78" t="s">
        <v>176</v>
      </c>
      <c r="E99" s="78"/>
      <c r="F99" s="68">
        <v>2.3E-3</v>
      </c>
      <c r="G99" s="103">
        <v>47579.81</v>
      </c>
      <c r="H99" s="33">
        <f>G99</f>
        <v>47579.81</v>
      </c>
      <c r="I99" s="42">
        <f t="shared" si="0"/>
        <v>0</v>
      </c>
      <c r="J99" s="18">
        <f t="shared" si="23"/>
        <v>0</v>
      </c>
      <c r="K99" s="151">
        <f t="shared" si="25"/>
        <v>0</v>
      </c>
      <c r="L99" s="18">
        <f t="shared" si="24"/>
        <v>34500</v>
      </c>
      <c r="M99" s="158">
        <v>0</v>
      </c>
      <c r="N99" s="152">
        <f t="shared" si="26"/>
        <v>34500.81</v>
      </c>
      <c r="O99" s="5">
        <f t="shared" si="27"/>
        <v>36571.81</v>
      </c>
      <c r="P99" s="102">
        <f t="shared" si="28"/>
        <v>0.8100000000000005</v>
      </c>
    </row>
    <row r="100" spans="1:16" x14ac:dyDescent="0.25">
      <c r="A100" s="78"/>
      <c r="B100" s="24"/>
      <c r="C100" s="24" t="s">
        <v>132</v>
      </c>
      <c r="D100" s="78" t="s">
        <v>278</v>
      </c>
      <c r="E100" s="78"/>
      <c r="F100" s="68">
        <v>2.3E-3</v>
      </c>
      <c r="G100" s="103">
        <v>47579.82</v>
      </c>
      <c r="H100" s="33">
        <f t="shared" ref="H100" si="30">G100</f>
        <v>47579.82</v>
      </c>
      <c r="I100" s="42">
        <f t="shared" si="0"/>
        <v>0</v>
      </c>
      <c r="J100" s="18">
        <f t="shared" si="23"/>
        <v>0</v>
      </c>
      <c r="K100" s="151">
        <f t="shared" si="25"/>
        <v>0</v>
      </c>
      <c r="L100" s="18">
        <f t="shared" si="24"/>
        <v>34500</v>
      </c>
      <c r="M100" s="158">
        <v>0</v>
      </c>
      <c r="N100" s="152">
        <f t="shared" si="26"/>
        <v>34500.82</v>
      </c>
      <c r="O100" s="5">
        <f t="shared" si="27"/>
        <v>36571.82</v>
      </c>
      <c r="P100" s="102">
        <f t="shared" si="28"/>
        <v>0.82000000000000051</v>
      </c>
    </row>
    <row r="101" spans="1:16" x14ac:dyDescent="0.25">
      <c r="A101" s="78"/>
      <c r="B101" s="24"/>
      <c r="C101" s="24" t="s">
        <v>133</v>
      </c>
      <c r="D101" s="78" t="s">
        <v>220</v>
      </c>
      <c r="E101" s="78"/>
      <c r="F101" s="110">
        <v>2.3E-3</v>
      </c>
      <c r="G101" s="106">
        <v>75180.83</v>
      </c>
      <c r="H101" s="33"/>
      <c r="I101" s="111">
        <f t="shared" si="0"/>
        <v>75180.83</v>
      </c>
      <c r="J101" s="112">
        <f t="shared" si="23"/>
        <v>0</v>
      </c>
      <c r="K101" s="151">
        <f t="shared" si="25"/>
        <v>0</v>
      </c>
      <c r="L101" s="112">
        <f t="shared" si="24"/>
        <v>34500</v>
      </c>
      <c r="M101" s="158">
        <v>0</v>
      </c>
      <c r="N101" s="152">
        <f t="shared" si="26"/>
        <v>109681.83</v>
      </c>
      <c r="O101" s="114">
        <f t="shared" si="27"/>
        <v>116263.83</v>
      </c>
      <c r="P101" s="102">
        <f t="shared" si="28"/>
        <v>0.83000000000000052</v>
      </c>
    </row>
    <row r="102" spans="1:16" ht="15.75" customHeight="1" x14ac:dyDescent="0.25">
      <c r="A102" s="78"/>
      <c r="B102" s="24"/>
      <c r="C102" s="24" t="s">
        <v>134</v>
      </c>
      <c r="D102" s="78" t="s">
        <v>209</v>
      </c>
      <c r="E102" s="78"/>
      <c r="F102" s="110">
        <v>2.3E-3</v>
      </c>
      <c r="G102" s="106">
        <v>47579.839999999997</v>
      </c>
      <c r="H102" s="33">
        <f t="shared" ref="H102" si="31">G102</f>
        <v>47579.839999999997</v>
      </c>
      <c r="I102" s="111">
        <f t="shared" si="0"/>
        <v>0</v>
      </c>
      <c r="J102" s="112">
        <f t="shared" si="23"/>
        <v>0</v>
      </c>
      <c r="K102" s="151">
        <f t="shared" si="25"/>
        <v>0</v>
      </c>
      <c r="L102" s="112">
        <f t="shared" si="24"/>
        <v>34500</v>
      </c>
      <c r="M102" s="158">
        <v>0</v>
      </c>
      <c r="N102" s="152">
        <f t="shared" si="26"/>
        <v>34500.839999999997</v>
      </c>
      <c r="O102" s="114">
        <f t="shared" si="27"/>
        <v>36571.839999999997</v>
      </c>
      <c r="P102" s="102">
        <f t="shared" si="28"/>
        <v>0.84000000000000052</v>
      </c>
    </row>
    <row r="103" spans="1:16" ht="15.75" customHeight="1" x14ac:dyDescent="0.25">
      <c r="A103" s="78"/>
      <c r="B103" s="24"/>
      <c r="C103" s="24" t="s">
        <v>135</v>
      </c>
      <c r="D103" s="78" t="s">
        <v>217</v>
      </c>
      <c r="E103" s="78"/>
      <c r="F103" s="110">
        <v>2.3E-3</v>
      </c>
      <c r="G103" s="106">
        <v>47579.85</v>
      </c>
      <c r="H103" s="182">
        <f>G103</f>
        <v>47579.85</v>
      </c>
      <c r="I103" s="111">
        <f t="shared" si="0"/>
        <v>0</v>
      </c>
      <c r="J103" s="112">
        <f t="shared" si="23"/>
        <v>0</v>
      </c>
      <c r="K103" s="151">
        <f t="shared" si="25"/>
        <v>0</v>
      </c>
      <c r="L103" s="112">
        <f t="shared" si="24"/>
        <v>34500</v>
      </c>
      <c r="M103" s="158">
        <v>0</v>
      </c>
      <c r="N103" s="152">
        <f t="shared" si="26"/>
        <v>34500.85</v>
      </c>
      <c r="O103" s="114">
        <f t="shared" si="27"/>
        <v>36571.85</v>
      </c>
      <c r="P103" s="102">
        <f t="shared" si="28"/>
        <v>0.85000000000000053</v>
      </c>
    </row>
    <row r="104" spans="1:16" ht="15.75" customHeight="1" x14ac:dyDescent="0.25">
      <c r="A104" s="78"/>
      <c r="B104" s="24"/>
      <c r="C104" s="24" t="s">
        <v>136</v>
      </c>
      <c r="D104" s="78" t="s">
        <v>201</v>
      </c>
      <c r="E104" s="78"/>
      <c r="F104" s="68">
        <v>2.3E-3</v>
      </c>
      <c r="G104" s="103">
        <v>47579.86</v>
      </c>
      <c r="H104" s="33"/>
      <c r="I104" s="42">
        <f t="shared" si="0"/>
        <v>47579.86</v>
      </c>
      <c r="J104" s="18">
        <f t="shared" si="23"/>
        <v>0</v>
      </c>
      <c r="K104" s="151">
        <f t="shared" si="25"/>
        <v>0</v>
      </c>
      <c r="L104" s="18">
        <f t="shared" si="24"/>
        <v>34500</v>
      </c>
      <c r="M104" s="158">
        <v>0</v>
      </c>
      <c r="N104" s="152">
        <f t="shared" si="26"/>
        <v>82080.86</v>
      </c>
      <c r="O104" s="5">
        <f t="shared" si="27"/>
        <v>87006.86</v>
      </c>
      <c r="P104" s="102">
        <f t="shared" si="28"/>
        <v>0.86000000000000054</v>
      </c>
    </row>
    <row r="105" spans="1:16" ht="15.75" customHeight="1" x14ac:dyDescent="0.25">
      <c r="A105" s="78"/>
      <c r="B105" s="24"/>
      <c r="C105" s="24" t="s">
        <v>137</v>
      </c>
      <c r="D105" s="78" t="s">
        <v>115</v>
      </c>
      <c r="E105" s="78"/>
      <c r="F105" s="68">
        <v>2.3E-3</v>
      </c>
      <c r="G105" s="103">
        <v>47579.87</v>
      </c>
      <c r="H105" s="182">
        <f>G105</f>
        <v>47579.87</v>
      </c>
      <c r="I105" s="42">
        <f t="shared" si="0"/>
        <v>0</v>
      </c>
      <c r="J105" s="18">
        <f t="shared" si="23"/>
        <v>0</v>
      </c>
      <c r="K105" s="151">
        <f t="shared" si="25"/>
        <v>0</v>
      </c>
      <c r="L105" s="18">
        <f t="shared" si="24"/>
        <v>34500</v>
      </c>
      <c r="M105" s="158">
        <v>0</v>
      </c>
      <c r="N105" s="152">
        <f t="shared" si="26"/>
        <v>34500.870000000003</v>
      </c>
      <c r="O105" s="5">
        <f t="shared" si="27"/>
        <v>36571.870000000003</v>
      </c>
      <c r="P105" s="102">
        <f t="shared" si="28"/>
        <v>0.87000000000000055</v>
      </c>
    </row>
    <row r="106" spans="1:16" ht="15.75" customHeight="1" x14ac:dyDescent="0.25">
      <c r="A106" s="78"/>
      <c r="B106" s="24"/>
      <c r="C106" s="24" t="s">
        <v>138</v>
      </c>
      <c r="D106" s="78" t="s">
        <v>221</v>
      </c>
      <c r="E106" s="78"/>
      <c r="F106" s="68">
        <v>2.3E-3</v>
      </c>
      <c r="G106" s="103">
        <v>75180.88</v>
      </c>
      <c r="H106" s="182">
        <v>79692.88</v>
      </c>
      <c r="I106" s="42">
        <f t="shared" si="0"/>
        <v>-4512</v>
      </c>
      <c r="J106" s="18">
        <f t="shared" si="23"/>
        <v>0</v>
      </c>
      <c r="K106" s="151">
        <f t="shared" si="25"/>
        <v>0</v>
      </c>
      <c r="L106" s="18">
        <f t="shared" si="24"/>
        <v>34500</v>
      </c>
      <c r="M106" s="158">
        <v>0</v>
      </c>
      <c r="N106" s="152">
        <f t="shared" si="26"/>
        <v>29988.880000000001</v>
      </c>
      <c r="O106" s="5">
        <f t="shared" si="27"/>
        <v>31788.880000000001</v>
      </c>
      <c r="P106" s="102">
        <f t="shared" si="28"/>
        <v>0.88000000000000056</v>
      </c>
    </row>
    <row r="107" spans="1:16" ht="15.75" customHeight="1" x14ac:dyDescent="0.25">
      <c r="A107" s="78"/>
      <c r="B107" s="24"/>
      <c r="C107" s="24" t="s">
        <v>139</v>
      </c>
      <c r="D107" s="78" t="s">
        <v>198</v>
      </c>
      <c r="E107" s="78"/>
      <c r="F107" s="68">
        <v>2.3E-3</v>
      </c>
      <c r="G107" s="103">
        <v>19978.89</v>
      </c>
      <c r="H107" s="182">
        <f>6900</f>
        <v>6900</v>
      </c>
      <c r="I107" s="42">
        <f t="shared" si="0"/>
        <v>13078.89</v>
      </c>
      <c r="J107" s="18">
        <f t="shared" si="23"/>
        <v>0</v>
      </c>
      <c r="K107" s="151">
        <f t="shared" si="25"/>
        <v>0</v>
      </c>
      <c r="L107" s="18">
        <f t="shared" si="24"/>
        <v>34500</v>
      </c>
      <c r="M107" s="158">
        <v>0</v>
      </c>
      <c r="N107" s="152">
        <f t="shared" si="26"/>
        <v>47579.89</v>
      </c>
      <c r="O107" s="5">
        <f t="shared" si="27"/>
        <v>50435.89</v>
      </c>
      <c r="P107" s="102">
        <f t="shared" si="28"/>
        <v>0.89000000000000057</v>
      </c>
    </row>
    <row r="108" spans="1:16" ht="15.75" customHeight="1" x14ac:dyDescent="0.25">
      <c r="A108" s="78"/>
      <c r="B108" s="24"/>
      <c r="C108" s="24" t="s">
        <v>140</v>
      </c>
      <c r="D108" s="78" t="s">
        <v>204</v>
      </c>
      <c r="E108" s="78"/>
      <c r="F108" s="68">
        <v>2.3E-3</v>
      </c>
      <c r="G108" s="103">
        <v>47579.9</v>
      </c>
      <c r="H108" s="33">
        <f t="shared" ref="H108" si="32">G108</f>
        <v>47579.9</v>
      </c>
      <c r="I108" s="42">
        <f t="shared" si="0"/>
        <v>0</v>
      </c>
      <c r="J108" s="18">
        <f t="shared" si="23"/>
        <v>0</v>
      </c>
      <c r="K108" s="151">
        <f t="shared" si="25"/>
        <v>0</v>
      </c>
      <c r="L108" s="18">
        <f t="shared" si="24"/>
        <v>34500</v>
      </c>
      <c r="M108" s="158">
        <v>0</v>
      </c>
      <c r="N108" s="152">
        <f t="shared" si="26"/>
        <v>34500.9</v>
      </c>
      <c r="O108" s="5">
        <f t="shared" si="27"/>
        <v>36571.9</v>
      </c>
      <c r="P108" s="102">
        <f t="shared" si="28"/>
        <v>0.90000000000000058</v>
      </c>
    </row>
    <row r="109" spans="1:16" ht="15.75" customHeight="1" x14ac:dyDescent="0.25">
      <c r="A109" s="78"/>
      <c r="B109" s="24"/>
      <c r="C109" s="24" t="s">
        <v>141</v>
      </c>
      <c r="D109" s="78" t="s">
        <v>174</v>
      </c>
      <c r="E109" s="78"/>
      <c r="F109" s="68">
        <v>2.3E-3</v>
      </c>
      <c r="G109" s="103">
        <v>50432.91</v>
      </c>
      <c r="H109" s="33">
        <f t="shared" ref="H109:H111" si="33">G109</f>
        <v>50432.91</v>
      </c>
      <c r="I109" s="42">
        <f t="shared" si="0"/>
        <v>0</v>
      </c>
      <c r="J109" s="18">
        <f t="shared" si="23"/>
        <v>0</v>
      </c>
      <c r="K109" s="151">
        <f t="shared" si="25"/>
        <v>0</v>
      </c>
      <c r="L109" s="18">
        <f t="shared" si="24"/>
        <v>34500</v>
      </c>
      <c r="M109" s="158">
        <v>0</v>
      </c>
      <c r="N109" s="152">
        <f t="shared" si="26"/>
        <v>34500.910000000003</v>
      </c>
      <c r="O109" s="5">
        <f t="shared" si="27"/>
        <v>36571.910000000003</v>
      </c>
      <c r="P109" s="102">
        <f t="shared" si="28"/>
        <v>0.91000000000000059</v>
      </c>
    </row>
    <row r="110" spans="1:16" ht="15.75" customHeight="1" x14ac:dyDescent="0.25">
      <c r="A110" s="78"/>
      <c r="B110" s="24"/>
      <c r="C110" s="24" t="s">
        <v>142</v>
      </c>
      <c r="D110" s="78" t="s">
        <v>203</v>
      </c>
      <c r="E110" s="78"/>
      <c r="F110" s="110">
        <v>2.3E-3</v>
      </c>
      <c r="G110" s="106">
        <v>110509.92</v>
      </c>
      <c r="H110" s="33">
        <v>0</v>
      </c>
      <c r="I110" s="111">
        <f t="shared" si="0"/>
        <v>110509.92</v>
      </c>
      <c r="J110" s="112">
        <f t="shared" si="23"/>
        <v>0</v>
      </c>
      <c r="K110" s="151">
        <f t="shared" si="25"/>
        <v>0</v>
      </c>
      <c r="L110" s="112">
        <f t="shared" si="24"/>
        <v>34500</v>
      </c>
      <c r="M110" s="158">
        <v>0</v>
      </c>
      <c r="N110" s="152">
        <f t="shared" si="26"/>
        <v>145010.92000000001</v>
      </c>
      <c r="O110" s="114">
        <f t="shared" si="27"/>
        <v>153712.92000000001</v>
      </c>
      <c r="P110" s="102">
        <f t="shared" si="28"/>
        <v>0.9200000000000006</v>
      </c>
    </row>
    <row r="111" spans="1:16" ht="15.75" customHeight="1" x14ac:dyDescent="0.25">
      <c r="A111" s="78"/>
      <c r="B111" s="24"/>
      <c r="C111" s="24" t="s">
        <v>143</v>
      </c>
      <c r="D111" s="78" t="s">
        <v>189</v>
      </c>
      <c r="E111" s="78"/>
      <c r="F111" s="110">
        <v>2.3E-3</v>
      </c>
      <c r="G111" s="106">
        <v>47579.93</v>
      </c>
      <c r="H111" s="33">
        <f t="shared" si="33"/>
        <v>47579.93</v>
      </c>
      <c r="I111" s="111">
        <f t="shared" si="0"/>
        <v>0</v>
      </c>
      <c r="J111" s="112">
        <f t="shared" si="23"/>
        <v>0</v>
      </c>
      <c r="K111" s="151">
        <f t="shared" si="25"/>
        <v>0</v>
      </c>
      <c r="L111" s="112">
        <f t="shared" si="24"/>
        <v>34500</v>
      </c>
      <c r="M111" s="158">
        <v>0</v>
      </c>
      <c r="N111" s="152">
        <f t="shared" si="26"/>
        <v>34500.93</v>
      </c>
      <c r="O111" s="114">
        <f t="shared" si="27"/>
        <v>36571.93</v>
      </c>
      <c r="P111" s="102">
        <f t="shared" si="28"/>
        <v>0.9300000000000006</v>
      </c>
    </row>
    <row r="112" spans="1:16" x14ac:dyDescent="0.25">
      <c r="A112" s="78"/>
      <c r="B112" s="24"/>
      <c r="C112" s="24" t="s">
        <v>144</v>
      </c>
      <c r="D112" s="78" t="s">
        <v>172</v>
      </c>
      <c r="E112" s="78"/>
      <c r="F112" s="110">
        <v>2.3E-3</v>
      </c>
      <c r="G112" s="106">
        <v>47579.94</v>
      </c>
      <c r="H112" s="33">
        <f>G112</f>
        <v>47579.94</v>
      </c>
      <c r="I112" s="111">
        <f t="shared" si="0"/>
        <v>0</v>
      </c>
      <c r="J112" s="112">
        <f t="shared" si="23"/>
        <v>0</v>
      </c>
      <c r="K112" s="151">
        <f t="shared" si="25"/>
        <v>0</v>
      </c>
      <c r="L112" s="112">
        <f t="shared" si="24"/>
        <v>34500</v>
      </c>
      <c r="M112" s="158">
        <v>0</v>
      </c>
      <c r="N112" s="152">
        <f t="shared" si="26"/>
        <v>34500.94</v>
      </c>
      <c r="O112" s="114">
        <f t="shared" si="27"/>
        <v>36571.94</v>
      </c>
      <c r="P112" s="102">
        <f t="shared" si="28"/>
        <v>0.94000000000000061</v>
      </c>
    </row>
    <row r="113" spans="1:17" x14ac:dyDescent="0.25">
      <c r="A113" s="78"/>
      <c r="B113" s="24"/>
      <c r="C113" s="24" t="s">
        <v>145</v>
      </c>
      <c r="D113" s="78" t="s">
        <v>195</v>
      </c>
      <c r="E113" s="78"/>
      <c r="F113" s="110">
        <v>2.3E-3</v>
      </c>
      <c r="G113" s="106">
        <v>47579.95</v>
      </c>
      <c r="H113" s="33">
        <f>G113</f>
        <v>47579.95</v>
      </c>
      <c r="I113" s="111">
        <f t="shared" si="0"/>
        <v>0</v>
      </c>
      <c r="J113" s="112">
        <f t="shared" si="23"/>
        <v>0</v>
      </c>
      <c r="K113" s="151">
        <f t="shared" si="25"/>
        <v>0</v>
      </c>
      <c r="L113" s="112">
        <f t="shared" si="24"/>
        <v>34500</v>
      </c>
      <c r="M113" s="158">
        <v>0</v>
      </c>
      <c r="N113" s="152">
        <f t="shared" si="26"/>
        <v>34500.949999999997</v>
      </c>
      <c r="O113" s="114">
        <f t="shared" si="27"/>
        <v>36571.949999999997</v>
      </c>
      <c r="P113" s="102">
        <f t="shared" si="28"/>
        <v>0.95000000000000062</v>
      </c>
    </row>
    <row r="114" spans="1:17" x14ac:dyDescent="0.25">
      <c r="A114" s="78"/>
      <c r="B114" s="24"/>
      <c r="C114" s="24" t="s">
        <v>146</v>
      </c>
      <c r="D114" s="78" t="s">
        <v>216</v>
      </c>
      <c r="E114" s="78"/>
      <c r="F114" s="110">
        <v>2.3E-3</v>
      </c>
      <c r="G114" s="106">
        <v>50435.96</v>
      </c>
      <c r="H114" s="33">
        <f>G114</f>
        <v>50435.96</v>
      </c>
      <c r="I114" s="111">
        <f t="shared" si="0"/>
        <v>0</v>
      </c>
      <c r="J114" s="112">
        <f t="shared" si="23"/>
        <v>0</v>
      </c>
      <c r="K114" s="151">
        <f t="shared" si="25"/>
        <v>0</v>
      </c>
      <c r="L114" s="112">
        <f t="shared" si="24"/>
        <v>34500</v>
      </c>
      <c r="M114" s="158">
        <v>0</v>
      </c>
      <c r="N114" s="152">
        <f t="shared" si="26"/>
        <v>34500.959999999999</v>
      </c>
      <c r="O114" s="114">
        <f t="shared" si="27"/>
        <v>36571.96</v>
      </c>
      <c r="P114" s="102">
        <f t="shared" si="28"/>
        <v>0.96000000000000063</v>
      </c>
    </row>
    <row r="115" spans="1:17" x14ac:dyDescent="0.25">
      <c r="A115" s="78"/>
      <c r="B115" s="24"/>
      <c r="C115" s="24" t="s">
        <v>147</v>
      </c>
      <c r="D115" s="78" t="s">
        <v>183</v>
      </c>
      <c r="E115" s="78"/>
      <c r="F115" s="110">
        <v>2.3E-3</v>
      </c>
      <c r="G115" s="106">
        <v>47579.97</v>
      </c>
      <c r="H115" s="33">
        <f t="shared" ref="H115" si="34">G115</f>
        <v>47579.97</v>
      </c>
      <c r="I115" s="111">
        <f t="shared" si="0"/>
        <v>0</v>
      </c>
      <c r="J115" s="112">
        <f t="shared" ref="J115:J131" si="35">N$8*F115</f>
        <v>0</v>
      </c>
      <c r="K115" s="151">
        <f t="shared" si="25"/>
        <v>0</v>
      </c>
      <c r="L115" s="112">
        <f t="shared" ref="L115:L131" si="36">N$2*F115</f>
        <v>34500</v>
      </c>
      <c r="M115" s="158">
        <v>0</v>
      </c>
      <c r="N115" s="152">
        <f t="shared" si="26"/>
        <v>34500.97</v>
      </c>
      <c r="O115" s="114">
        <f t="shared" si="27"/>
        <v>36571.97</v>
      </c>
      <c r="P115" s="102">
        <f t="shared" si="28"/>
        <v>0.97000000000000064</v>
      </c>
    </row>
    <row r="116" spans="1:17" x14ac:dyDescent="0.25">
      <c r="A116" s="78"/>
      <c r="B116" s="24"/>
      <c r="C116" s="24" t="s">
        <v>148</v>
      </c>
      <c r="D116" s="78" t="s">
        <v>177</v>
      </c>
      <c r="E116" s="78" t="s">
        <v>290</v>
      </c>
      <c r="F116" s="110">
        <v>2.3E-3</v>
      </c>
      <c r="G116" s="106">
        <v>35251.980000000003</v>
      </c>
      <c r="H116" s="33">
        <f>13079+37367.98</f>
        <v>50446.98</v>
      </c>
      <c r="I116" s="111">
        <f t="shared" si="0"/>
        <v>-15195</v>
      </c>
      <c r="J116" s="112">
        <f t="shared" si="35"/>
        <v>0</v>
      </c>
      <c r="K116" s="151">
        <f t="shared" si="25"/>
        <v>0</v>
      </c>
      <c r="L116" s="112">
        <f t="shared" si="36"/>
        <v>34500</v>
      </c>
      <c r="M116" s="158">
        <v>0</v>
      </c>
      <c r="N116" s="152">
        <f t="shared" si="26"/>
        <v>19305.98</v>
      </c>
      <c r="O116" s="114">
        <f t="shared" si="27"/>
        <v>20464.98</v>
      </c>
      <c r="P116" s="102">
        <f t="shared" si="28"/>
        <v>0.98000000000000065</v>
      </c>
    </row>
    <row r="117" spans="1:17" x14ac:dyDescent="0.25">
      <c r="A117" s="78"/>
      <c r="B117" s="24"/>
      <c r="C117" s="24" t="s">
        <v>149</v>
      </c>
      <c r="D117" s="78" t="s">
        <v>177</v>
      </c>
      <c r="E117" s="78" t="s">
        <v>363</v>
      </c>
      <c r="F117" s="110">
        <v>2.3E-3</v>
      </c>
      <c r="G117" s="106">
        <v>35251.99</v>
      </c>
      <c r="H117" s="33">
        <f>58102.08+13079</f>
        <v>71181.08</v>
      </c>
      <c r="I117" s="111">
        <f t="shared" si="0"/>
        <v>-35929.090000000004</v>
      </c>
      <c r="J117" s="112">
        <f t="shared" si="35"/>
        <v>0</v>
      </c>
      <c r="K117" s="151">
        <f t="shared" si="25"/>
        <v>0</v>
      </c>
      <c r="L117" s="112">
        <f t="shared" si="36"/>
        <v>34500</v>
      </c>
      <c r="M117" s="158">
        <v>0</v>
      </c>
      <c r="N117" s="152">
        <f t="shared" si="26"/>
        <v>-1428.01</v>
      </c>
      <c r="O117" s="114">
        <f t="shared" si="27"/>
        <v>-1513.01</v>
      </c>
      <c r="P117" s="102">
        <f t="shared" si="28"/>
        <v>0.99000000000000066</v>
      </c>
    </row>
    <row r="118" spans="1:17" x14ac:dyDescent="0.25">
      <c r="A118" s="78"/>
      <c r="B118" s="24"/>
      <c r="C118" s="24" t="s">
        <v>150</v>
      </c>
      <c r="D118" s="78" t="s">
        <v>178</v>
      </c>
      <c r="E118" s="104" t="s">
        <v>348</v>
      </c>
      <c r="F118" s="110">
        <v>2.3E-3</v>
      </c>
      <c r="G118" s="106">
        <v>47580</v>
      </c>
      <c r="H118" s="33">
        <f t="shared" ref="H118:H120" si="37">G118</f>
        <v>47580</v>
      </c>
      <c r="I118" s="111">
        <f t="shared" si="0"/>
        <v>0</v>
      </c>
      <c r="J118" s="112">
        <f t="shared" si="35"/>
        <v>0</v>
      </c>
      <c r="K118" s="151">
        <f t="shared" si="25"/>
        <v>0</v>
      </c>
      <c r="L118" s="112">
        <f t="shared" si="36"/>
        <v>34500</v>
      </c>
      <c r="M118" s="158">
        <v>0</v>
      </c>
      <c r="N118" s="152">
        <f t="shared" si="26"/>
        <v>34501</v>
      </c>
      <c r="O118" s="114">
        <f t="shared" si="27"/>
        <v>36572</v>
      </c>
      <c r="P118" s="102">
        <f t="shared" si="28"/>
        <v>1.0000000000000007</v>
      </c>
      <c r="Q118" t="s">
        <v>280</v>
      </c>
    </row>
    <row r="119" spans="1:17" x14ac:dyDescent="0.25">
      <c r="A119" s="97"/>
      <c r="B119" s="24"/>
      <c r="C119" s="24" t="s">
        <v>151</v>
      </c>
      <c r="D119" s="78" t="s">
        <v>278</v>
      </c>
      <c r="E119" s="78"/>
      <c r="F119" s="110">
        <v>2.3E-3</v>
      </c>
      <c r="G119" s="106">
        <v>47580.01</v>
      </c>
      <c r="H119" s="33">
        <f t="shared" si="37"/>
        <v>47580.01</v>
      </c>
      <c r="I119" s="111">
        <f t="shared" si="0"/>
        <v>0</v>
      </c>
      <c r="J119" s="112">
        <f t="shared" si="35"/>
        <v>0</v>
      </c>
      <c r="K119" s="151">
        <f t="shared" si="25"/>
        <v>0</v>
      </c>
      <c r="L119" s="112">
        <f t="shared" si="36"/>
        <v>34500</v>
      </c>
      <c r="M119" s="158">
        <v>0</v>
      </c>
      <c r="N119" s="152">
        <f t="shared" si="26"/>
        <v>34501.01</v>
      </c>
      <c r="O119" s="114">
        <f t="shared" si="27"/>
        <v>36572.01</v>
      </c>
      <c r="P119" s="102">
        <f t="shared" si="28"/>
        <v>1.0100000000000007</v>
      </c>
    </row>
    <row r="120" spans="1:17" x14ac:dyDescent="0.25">
      <c r="A120" s="97"/>
      <c r="B120" s="24"/>
      <c r="C120" s="24" t="s">
        <v>152</v>
      </c>
      <c r="D120" s="78" t="s">
        <v>185</v>
      </c>
      <c r="E120" s="78"/>
      <c r="F120" s="110">
        <v>2.3E-3</v>
      </c>
      <c r="G120" s="106">
        <v>47580.02</v>
      </c>
      <c r="H120" s="33">
        <f t="shared" si="37"/>
        <v>47580.02</v>
      </c>
      <c r="I120" s="111">
        <f t="shared" si="0"/>
        <v>0</v>
      </c>
      <c r="J120" s="112">
        <f t="shared" si="35"/>
        <v>0</v>
      </c>
      <c r="K120" s="151">
        <f t="shared" si="25"/>
        <v>0</v>
      </c>
      <c r="L120" s="112">
        <f t="shared" si="36"/>
        <v>34500</v>
      </c>
      <c r="M120" s="158">
        <v>0</v>
      </c>
      <c r="N120" s="152">
        <f t="shared" si="26"/>
        <v>34501.019999999997</v>
      </c>
      <c r="O120" s="114">
        <f t="shared" si="27"/>
        <v>36572.019999999997</v>
      </c>
      <c r="P120" s="102">
        <f t="shared" si="28"/>
        <v>1.0200000000000007</v>
      </c>
    </row>
    <row r="121" spans="1:17" x14ac:dyDescent="0.25">
      <c r="A121" s="97"/>
      <c r="B121" s="24"/>
      <c r="C121" s="24" t="s">
        <v>153</v>
      </c>
      <c r="D121" s="78" t="s">
        <v>177</v>
      </c>
      <c r="E121" s="78" t="s">
        <v>364</v>
      </c>
      <c r="F121" s="110">
        <v>2.3E-3</v>
      </c>
      <c r="G121" s="106">
        <v>35252.03</v>
      </c>
      <c r="H121" s="33">
        <f>13079</f>
        <v>13079</v>
      </c>
      <c r="I121" s="111">
        <f t="shared" si="0"/>
        <v>22173.03</v>
      </c>
      <c r="J121" s="112">
        <f t="shared" si="35"/>
        <v>0</v>
      </c>
      <c r="K121" s="151">
        <f t="shared" si="25"/>
        <v>0</v>
      </c>
      <c r="L121" s="112">
        <f t="shared" si="36"/>
        <v>34500</v>
      </c>
      <c r="M121" s="158">
        <v>0</v>
      </c>
      <c r="N121" s="152">
        <f t="shared" si="26"/>
        <v>56674.03</v>
      </c>
      <c r="O121" s="114">
        <f t="shared" si="27"/>
        <v>60075.03</v>
      </c>
      <c r="P121" s="102">
        <f t="shared" si="28"/>
        <v>1.0300000000000007</v>
      </c>
    </row>
    <row r="122" spans="1:17" x14ac:dyDescent="0.25">
      <c r="A122" s="97"/>
      <c r="B122" s="24"/>
      <c r="C122" s="24" t="s">
        <v>154</v>
      </c>
      <c r="D122" s="78" t="s">
        <v>213</v>
      </c>
      <c r="E122" s="78"/>
      <c r="F122" s="110">
        <v>2.3E-3</v>
      </c>
      <c r="G122" s="106">
        <v>47580.04</v>
      </c>
      <c r="H122" s="33">
        <f>G122</f>
        <v>47580.04</v>
      </c>
      <c r="I122" s="111">
        <f t="shared" si="0"/>
        <v>0</v>
      </c>
      <c r="J122" s="112">
        <f t="shared" si="35"/>
        <v>0</v>
      </c>
      <c r="K122" s="151">
        <f t="shared" si="25"/>
        <v>0</v>
      </c>
      <c r="L122" s="112">
        <f t="shared" si="36"/>
        <v>34500</v>
      </c>
      <c r="M122" s="158">
        <v>0</v>
      </c>
      <c r="N122" s="152">
        <f t="shared" si="26"/>
        <v>34501.040000000001</v>
      </c>
      <c r="O122" s="114">
        <f t="shared" si="27"/>
        <v>36572.04</v>
      </c>
      <c r="P122" s="102">
        <f t="shared" si="28"/>
        <v>1.0400000000000007</v>
      </c>
    </row>
    <row r="123" spans="1:17" x14ac:dyDescent="0.25">
      <c r="A123" s="97"/>
      <c r="B123" s="24"/>
      <c r="C123" s="24" t="s">
        <v>155</v>
      </c>
      <c r="D123" s="78" t="s">
        <v>208</v>
      </c>
      <c r="E123" s="78"/>
      <c r="F123" s="110">
        <v>2.3E-3</v>
      </c>
      <c r="G123" s="106">
        <v>79512.05</v>
      </c>
      <c r="H123" s="33">
        <v>80000.05</v>
      </c>
      <c r="I123" s="111">
        <f t="shared" si="0"/>
        <v>-488</v>
      </c>
      <c r="J123" s="112">
        <f t="shared" si="35"/>
        <v>0</v>
      </c>
      <c r="K123" s="151">
        <f t="shared" si="25"/>
        <v>0</v>
      </c>
      <c r="L123" s="112">
        <f t="shared" si="36"/>
        <v>34500</v>
      </c>
      <c r="M123" s="158">
        <v>0</v>
      </c>
      <c r="N123" s="152">
        <f t="shared" si="26"/>
        <v>34013.050000000003</v>
      </c>
      <c r="O123" s="114">
        <f t="shared" si="27"/>
        <v>36055.050000000003</v>
      </c>
      <c r="P123" s="102">
        <f t="shared" si="28"/>
        <v>1.0500000000000007</v>
      </c>
    </row>
    <row r="124" spans="1:17" x14ac:dyDescent="0.25">
      <c r="A124" s="97"/>
      <c r="B124" s="24"/>
      <c r="C124" s="24" t="s">
        <v>156</v>
      </c>
      <c r="D124" s="78" t="s">
        <v>177</v>
      </c>
      <c r="E124" s="78"/>
      <c r="F124" s="110">
        <v>2.3E-3</v>
      </c>
      <c r="G124" s="106">
        <v>33595.06</v>
      </c>
      <c r="H124" s="33">
        <f>13079</f>
        <v>13079</v>
      </c>
      <c r="I124" s="111">
        <f t="shared" si="0"/>
        <v>20516.059999999998</v>
      </c>
      <c r="J124" s="112">
        <f t="shared" si="35"/>
        <v>0</v>
      </c>
      <c r="K124" s="151">
        <f t="shared" si="25"/>
        <v>0</v>
      </c>
      <c r="L124" s="112">
        <f t="shared" si="36"/>
        <v>34500</v>
      </c>
      <c r="M124" s="158">
        <v>0</v>
      </c>
      <c r="N124" s="152">
        <f t="shared" si="26"/>
        <v>55017.06</v>
      </c>
      <c r="O124" s="114">
        <f t="shared" si="27"/>
        <v>58319.06</v>
      </c>
      <c r="P124" s="102">
        <f t="shared" si="28"/>
        <v>1.0600000000000007</v>
      </c>
      <c r="Q124" t="s">
        <v>297</v>
      </c>
    </row>
    <row r="125" spans="1:17" x14ac:dyDescent="0.25">
      <c r="A125" s="140"/>
      <c r="B125" s="135"/>
      <c r="C125" s="24" t="s">
        <v>157</v>
      </c>
      <c r="D125" s="78" t="s">
        <v>177</v>
      </c>
      <c r="E125" s="104" t="s">
        <v>270</v>
      </c>
      <c r="F125" s="110">
        <v>2.3E-3</v>
      </c>
      <c r="G125" s="106">
        <v>70588.070000000007</v>
      </c>
      <c r="H125" s="33">
        <f>34500+13079</f>
        <v>47579</v>
      </c>
      <c r="I125" s="111">
        <f t="shared" si="0"/>
        <v>23009.070000000007</v>
      </c>
      <c r="J125" s="112">
        <f t="shared" si="35"/>
        <v>0</v>
      </c>
      <c r="K125" s="151">
        <f t="shared" si="25"/>
        <v>0</v>
      </c>
      <c r="L125" s="112">
        <f t="shared" si="36"/>
        <v>34500</v>
      </c>
      <c r="M125" s="158">
        <v>0</v>
      </c>
      <c r="N125" s="152">
        <f t="shared" si="26"/>
        <v>57510.07</v>
      </c>
      <c r="O125" s="114">
        <f t="shared" si="27"/>
        <v>60962.07</v>
      </c>
      <c r="P125" s="102">
        <f t="shared" si="28"/>
        <v>1.0700000000000007</v>
      </c>
    </row>
    <row r="126" spans="1:17" x14ac:dyDescent="0.25">
      <c r="A126" s="140"/>
      <c r="B126" s="135"/>
      <c r="C126" s="24" t="s">
        <v>158</v>
      </c>
      <c r="D126" s="78" t="s">
        <v>177</v>
      </c>
      <c r="E126" s="78"/>
      <c r="F126" s="110">
        <v>2.3E-3</v>
      </c>
      <c r="G126" s="106">
        <v>71182.080000000002</v>
      </c>
      <c r="H126" s="33">
        <f>13079</f>
        <v>13079</v>
      </c>
      <c r="I126" s="111">
        <f t="shared" si="0"/>
        <v>58103.08</v>
      </c>
      <c r="J126" s="112">
        <f t="shared" si="35"/>
        <v>0</v>
      </c>
      <c r="K126" s="151">
        <f t="shared" si="25"/>
        <v>0</v>
      </c>
      <c r="L126" s="112">
        <f t="shared" si="36"/>
        <v>34500</v>
      </c>
      <c r="M126" s="158">
        <v>0</v>
      </c>
      <c r="N126" s="152">
        <f t="shared" si="26"/>
        <v>92604.08</v>
      </c>
      <c r="O126" s="114">
        <f t="shared" si="27"/>
        <v>98161.08</v>
      </c>
      <c r="P126" s="102">
        <f t="shared" si="28"/>
        <v>1.0800000000000007</v>
      </c>
    </row>
    <row r="127" spans="1:17" x14ac:dyDescent="0.25">
      <c r="A127" s="97"/>
      <c r="B127" s="24"/>
      <c r="C127" s="24" t="s">
        <v>159</v>
      </c>
      <c r="D127" s="78" t="s">
        <v>211</v>
      </c>
      <c r="E127" s="78"/>
      <c r="F127" s="110">
        <v>2.3E-3</v>
      </c>
      <c r="G127" s="106">
        <v>47580.09</v>
      </c>
      <c r="H127" s="33">
        <f t="shared" ref="H127" si="38">G127</f>
        <v>47580.09</v>
      </c>
      <c r="I127" s="111">
        <f t="shared" si="0"/>
        <v>0</v>
      </c>
      <c r="J127" s="112">
        <f t="shared" si="35"/>
        <v>0</v>
      </c>
      <c r="K127" s="151">
        <f t="shared" si="25"/>
        <v>0</v>
      </c>
      <c r="L127" s="112">
        <f t="shared" si="36"/>
        <v>34500</v>
      </c>
      <c r="M127" s="158">
        <v>0</v>
      </c>
      <c r="N127" s="152">
        <f t="shared" si="26"/>
        <v>34501.089999999997</v>
      </c>
      <c r="O127" s="114">
        <f t="shared" si="27"/>
        <v>36572.089999999997</v>
      </c>
      <c r="P127" s="102">
        <f t="shared" si="28"/>
        <v>1.0900000000000007</v>
      </c>
    </row>
    <row r="128" spans="1:17" x14ac:dyDescent="0.25">
      <c r="A128" s="97"/>
      <c r="B128" s="24"/>
      <c r="C128" s="24" t="s">
        <v>160</v>
      </c>
      <c r="D128" s="78" t="s">
        <v>205</v>
      </c>
      <c r="E128" s="78"/>
      <c r="F128" s="68">
        <v>2.3E-3</v>
      </c>
      <c r="G128" s="103">
        <v>50436.12</v>
      </c>
      <c r="H128" s="33">
        <v>47580.1</v>
      </c>
      <c r="I128" s="42">
        <f t="shared" si="0"/>
        <v>2856.0200000000041</v>
      </c>
      <c r="J128" s="18">
        <f t="shared" si="35"/>
        <v>0</v>
      </c>
      <c r="K128" s="151">
        <f t="shared" si="25"/>
        <v>0</v>
      </c>
      <c r="L128" s="18">
        <f t="shared" si="36"/>
        <v>34500</v>
      </c>
      <c r="M128" s="158">
        <v>0</v>
      </c>
      <c r="N128" s="152">
        <f t="shared" si="26"/>
        <v>37357.1</v>
      </c>
      <c r="O128" s="5">
        <f t="shared" si="27"/>
        <v>39600.1</v>
      </c>
      <c r="P128" s="102">
        <f t="shared" si="28"/>
        <v>1.1000000000000008</v>
      </c>
    </row>
    <row r="129" spans="1:17" x14ac:dyDescent="0.25">
      <c r="A129" s="97"/>
      <c r="B129" s="24"/>
      <c r="C129" s="24" t="s">
        <v>161</v>
      </c>
      <c r="D129" s="78" t="s">
        <v>215</v>
      </c>
      <c r="E129" s="78"/>
      <c r="F129" s="68">
        <v>2.3E-3</v>
      </c>
      <c r="G129" s="103">
        <v>47580.11</v>
      </c>
      <c r="H129" s="33">
        <f>G129</f>
        <v>47580.11</v>
      </c>
      <c r="I129" s="42">
        <f t="shared" si="0"/>
        <v>0</v>
      </c>
      <c r="J129" s="18">
        <f t="shared" si="35"/>
        <v>0</v>
      </c>
      <c r="K129" s="151">
        <f t="shared" si="25"/>
        <v>0</v>
      </c>
      <c r="L129" s="18">
        <f t="shared" si="36"/>
        <v>34500</v>
      </c>
      <c r="M129" s="158">
        <v>0</v>
      </c>
      <c r="N129" s="152">
        <f t="shared" si="26"/>
        <v>34501.11</v>
      </c>
      <c r="O129" s="5">
        <f t="shared" si="27"/>
        <v>36572.11</v>
      </c>
      <c r="P129" s="102">
        <f t="shared" si="28"/>
        <v>1.1100000000000008</v>
      </c>
    </row>
    <row r="130" spans="1:17" x14ac:dyDescent="0.25">
      <c r="A130" s="97" t="s">
        <v>24</v>
      </c>
      <c r="B130" s="24"/>
      <c r="C130" s="24" t="s">
        <v>162</v>
      </c>
      <c r="D130" s="78" t="s">
        <v>196</v>
      </c>
      <c r="E130" s="78"/>
      <c r="F130" s="68">
        <v>2.3E-3</v>
      </c>
      <c r="G130" s="103">
        <v>50436.12</v>
      </c>
      <c r="H130" s="33">
        <v>47580.12</v>
      </c>
      <c r="I130" s="42">
        <f t="shared" si="0"/>
        <v>2856</v>
      </c>
      <c r="J130" s="18">
        <f t="shared" si="35"/>
        <v>0</v>
      </c>
      <c r="K130" s="151">
        <f t="shared" si="25"/>
        <v>0</v>
      </c>
      <c r="L130" s="18">
        <f t="shared" si="36"/>
        <v>34500</v>
      </c>
      <c r="M130" s="158">
        <v>0</v>
      </c>
      <c r="N130" s="152">
        <f t="shared" si="26"/>
        <v>37357.120000000003</v>
      </c>
      <c r="O130" s="5">
        <f t="shared" si="27"/>
        <v>39600.120000000003</v>
      </c>
      <c r="P130" s="102">
        <f t="shared" si="28"/>
        <v>1.1200000000000008</v>
      </c>
    </row>
    <row r="131" spans="1:17" x14ac:dyDescent="0.25">
      <c r="A131" s="97" t="s">
        <v>24</v>
      </c>
      <c r="B131" s="24"/>
      <c r="C131" s="24" t="s">
        <v>163</v>
      </c>
      <c r="D131" s="78" t="s">
        <v>298</v>
      </c>
      <c r="E131" s="78"/>
      <c r="F131" s="68">
        <v>2.3E-3</v>
      </c>
      <c r="G131" s="103">
        <v>47580.13</v>
      </c>
      <c r="H131" s="33">
        <f t="shared" ref="H131" si="39">G131</f>
        <v>47580.13</v>
      </c>
      <c r="I131" s="42">
        <f t="shared" si="0"/>
        <v>0</v>
      </c>
      <c r="J131" s="18">
        <f t="shared" si="35"/>
        <v>0</v>
      </c>
      <c r="K131" s="151">
        <f t="shared" si="25"/>
        <v>0</v>
      </c>
      <c r="L131" s="18">
        <f t="shared" si="36"/>
        <v>34500</v>
      </c>
      <c r="M131" s="158">
        <v>0</v>
      </c>
      <c r="N131" s="152">
        <f t="shared" si="26"/>
        <v>34501.129999999997</v>
      </c>
      <c r="O131" s="5">
        <f t="shared" si="27"/>
        <v>36572.129999999997</v>
      </c>
      <c r="P131" s="102">
        <f t="shared" si="28"/>
        <v>1.1300000000000008</v>
      </c>
    </row>
    <row r="132" spans="1:17" x14ac:dyDescent="0.25">
      <c r="A132" s="40" t="s">
        <v>24</v>
      </c>
      <c r="B132" s="3"/>
      <c r="C132" s="3"/>
      <c r="D132" s="43"/>
      <c r="E132" s="43"/>
      <c r="F132" s="3"/>
      <c r="G132" s="18"/>
      <c r="H132" s="67"/>
      <c r="I132" s="42"/>
      <c r="J132" s="18"/>
      <c r="K132" s="18"/>
      <c r="L132" s="18"/>
      <c r="M132" s="56"/>
      <c r="N132" s="2"/>
      <c r="O132" s="5"/>
    </row>
    <row r="133" spans="1:17" ht="14.25" customHeight="1" x14ac:dyDescent="0.25">
      <c r="A133" s="19"/>
      <c r="B133" s="19"/>
      <c r="C133" s="19"/>
      <c r="D133" s="19"/>
      <c r="E133" s="19"/>
      <c r="F133" s="86">
        <f>SUM(F14:F132)</f>
        <v>0.99819999999999809</v>
      </c>
      <c r="G133" s="20">
        <f>SUM(G14:G132)</f>
        <v>27390066.185846377</v>
      </c>
      <c r="H133" s="20">
        <f>SUM(H14:H132)</f>
        <v>20855142.380000003</v>
      </c>
      <c r="I133" s="19"/>
      <c r="J133" s="41">
        <f>SUM(J14:J132)</f>
        <v>0</v>
      </c>
      <c r="K133" s="41"/>
      <c r="L133" s="20">
        <f>SUM(L14:L132)</f>
        <v>15248611.856240001</v>
      </c>
      <c r="M133" s="139">
        <f>SUM(M14:M132)</f>
        <v>100000</v>
      </c>
      <c r="N133" s="21">
        <f>SUM(N14:N132)</f>
        <v>21883599.302086379</v>
      </c>
      <c r="O133" s="20">
        <f>SUM(O14:O132)</f>
        <v>23196679.335611559</v>
      </c>
      <c r="Q133" s="45"/>
    </row>
    <row r="134" spans="1:17" hidden="1" x14ac:dyDescent="0.25">
      <c r="L134" s="47">
        <f>L133-M1</f>
        <v>-598476.0837599989</v>
      </c>
    </row>
    <row r="135" spans="1:17" ht="15" hidden="1" customHeight="1" x14ac:dyDescent="0.25">
      <c r="C135" s="317"/>
      <c r="D135" s="317"/>
      <c r="E135" s="317"/>
      <c r="F135" s="317"/>
      <c r="G135" s="317"/>
      <c r="H135" s="317"/>
      <c r="I135" s="317"/>
      <c r="J135" s="317"/>
      <c r="K135" s="317"/>
      <c r="L135" s="317"/>
      <c r="M135" s="317"/>
      <c r="N135" s="317"/>
      <c r="O135" s="317"/>
    </row>
    <row r="136" spans="1:17" hidden="1" x14ac:dyDescent="0.25">
      <c r="C136" s="317"/>
      <c r="D136" s="317"/>
      <c r="E136" s="317"/>
      <c r="F136" s="317"/>
      <c r="G136" s="317"/>
      <c r="H136" s="317"/>
      <c r="I136" s="317"/>
      <c r="J136" s="317"/>
      <c r="K136" s="317"/>
      <c r="L136" s="317"/>
      <c r="M136" s="317"/>
      <c r="N136" s="317"/>
      <c r="O136" s="317"/>
    </row>
    <row r="137" spans="1:17" ht="8.25" customHeight="1" x14ac:dyDescent="0.25">
      <c r="C137" s="57"/>
      <c r="D137" s="57"/>
      <c r="E137" s="57"/>
      <c r="F137" s="57"/>
      <c r="G137" s="57"/>
      <c r="H137" s="57"/>
      <c r="I137" s="57"/>
      <c r="J137" s="57"/>
      <c r="K137" s="57"/>
      <c r="L137" s="57"/>
      <c r="M137" s="57"/>
      <c r="N137" s="57"/>
      <c r="O137" s="57"/>
    </row>
    <row r="138" spans="1:17" x14ac:dyDescent="0.25">
      <c r="C138" s="324" t="s">
        <v>245</v>
      </c>
      <c r="D138" s="324"/>
      <c r="E138" s="324"/>
      <c r="F138" s="324"/>
      <c r="G138" s="324"/>
      <c r="H138" s="324"/>
      <c r="I138" s="324"/>
      <c r="J138" s="324"/>
      <c r="K138" s="324"/>
      <c r="L138" s="324"/>
      <c r="M138" s="324"/>
      <c r="N138" s="324"/>
      <c r="O138" s="324"/>
    </row>
    <row r="139" spans="1:17" x14ac:dyDescent="0.25">
      <c r="C139" s="324"/>
      <c r="D139" s="324"/>
      <c r="E139" s="324"/>
      <c r="F139" s="324"/>
      <c r="G139" s="324"/>
      <c r="H139" s="324"/>
      <c r="I139" s="324"/>
      <c r="J139" s="324"/>
      <c r="K139" s="324"/>
      <c r="L139" s="324"/>
      <c r="M139" s="324"/>
      <c r="N139" s="324"/>
      <c r="O139" s="324"/>
    </row>
    <row r="140" spans="1:17" x14ac:dyDescent="0.25">
      <c r="C140" s="324"/>
      <c r="D140" s="324"/>
      <c r="E140" s="324"/>
      <c r="F140" s="324"/>
      <c r="G140" s="324"/>
      <c r="H140" s="324"/>
      <c r="I140" s="324"/>
      <c r="J140" s="324"/>
      <c r="K140" s="324"/>
      <c r="L140" s="324"/>
      <c r="M140" s="324"/>
      <c r="N140" s="324"/>
      <c r="O140" s="324"/>
    </row>
    <row r="141" spans="1:17" x14ac:dyDescent="0.25">
      <c r="C141" s="324"/>
      <c r="D141" s="324"/>
      <c r="E141" s="324"/>
      <c r="F141" s="324"/>
      <c r="G141" s="324"/>
      <c r="H141" s="324"/>
      <c r="I141" s="324"/>
      <c r="J141" s="324"/>
      <c r="K141" s="324"/>
      <c r="L141" s="324"/>
      <c r="M141" s="324"/>
      <c r="N141" s="324"/>
      <c r="O141" s="324"/>
    </row>
    <row r="142" spans="1:17" x14ac:dyDescent="0.25">
      <c r="C142" s="324"/>
      <c r="D142" s="324"/>
      <c r="E142" s="324"/>
      <c r="F142" s="324"/>
      <c r="G142" s="324"/>
      <c r="H142" s="324"/>
      <c r="I142" s="324"/>
      <c r="J142" s="324"/>
      <c r="K142" s="324"/>
      <c r="L142" s="324"/>
      <c r="M142" s="324"/>
      <c r="N142" s="324"/>
      <c r="O142" s="324"/>
    </row>
    <row r="143" spans="1:17" x14ac:dyDescent="0.25">
      <c r="C143" s="324"/>
      <c r="D143" s="324"/>
      <c r="E143" s="324"/>
      <c r="F143" s="324"/>
      <c r="G143" s="324"/>
      <c r="H143" s="324"/>
      <c r="I143" s="324"/>
      <c r="J143" s="324"/>
      <c r="K143" s="324"/>
      <c r="L143" s="324"/>
      <c r="M143" s="324"/>
      <c r="N143" s="324"/>
      <c r="O143" s="324"/>
    </row>
    <row r="144" spans="1:17" x14ac:dyDescent="0.25">
      <c r="C144" s="324"/>
      <c r="D144" s="324"/>
      <c r="E144" s="324"/>
      <c r="F144" s="324"/>
      <c r="G144" s="324"/>
      <c r="H144" s="324"/>
      <c r="I144" s="324"/>
      <c r="J144" s="324"/>
      <c r="K144" s="324"/>
      <c r="L144" s="324"/>
      <c r="M144" s="324"/>
      <c r="N144" s="324"/>
      <c r="O144" s="324"/>
    </row>
    <row r="145" spans="3:17" x14ac:dyDescent="0.25">
      <c r="C145" s="324"/>
      <c r="D145" s="324"/>
      <c r="E145" s="324"/>
      <c r="F145" s="324"/>
      <c r="G145" s="324"/>
      <c r="H145" s="324"/>
      <c r="I145" s="324"/>
      <c r="J145" s="324"/>
      <c r="K145" s="324"/>
      <c r="L145" s="324"/>
      <c r="M145" s="324"/>
      <c r="N145" s="324"/>
      <c r="O145" s="324"/>
    </row>
    <row r="146" spans="3:17" ht="6" customHeight="1" x14ac:dyDescent="0.25">
      <c r="C146" s="57"/>
      <c r="D146" s="57"/>
      <c r="E146" s="57"/>
      <c r="F146" s="57"/>
      <c r="G146" s="57"/>
      <c r="H146" s="57"/>
      <c r="I146" s="57"/>
      <c r="J146" s="57"/>
      <c r="K146" s="57"/>
      <c r="L146" s="57"/>
      <c r="M146" s="57"/>
      <c r="N146" s="57"/>
      <c r="O146" s="57"/>
    </row>
    <row r="147" spans="3:17" ht="45" hidden="1" customHeight="1" x14ac:dyDescent="0.25">
      <c r="C147" s="57"/>
      <c r="D147" s="57"/>
      <c r="E147" s="57"/>
      <c r="F147" s="57"/>
      <c r="G147" s="57"/>
      <c r="H147" s="57"/>
      <c r="I147" s="57"/>
      <c r="J147" s="57"/>
      <c r="K147" s="57"/>
      <c r="L147" s="57"/>
      <c r="M147" s="57"/>
      <c r="N147" s="57"/>
      <c r="O147" s="57"/>
    </row>
    <row r="148" spans="3:17" x14ac:dyDescent="0.25">
      <c r="C148" s="316" t="s">
        <v>244</v>
      </c>
      <c r="D148" s="316"/>
      <c r="E148" s="316"/>
      <c r="F148" s="316"/>
      <c r="G148" s="316"/>
      <c r="H148" s="316"/>
      <c r="I148" s="316"/>
      <c r="J148" s="316"/>
      <c r="K148" s="316"/>
      <c r="L148" s="316"/>
      <c r="M148" s="316"/>
      <c r="N148" s="316"/>
      <c r="O148" s="316"/>
    </row>
    <row r="149" spans="3:17" x14ac:dyDescent="0.25">
      <c r="C149" s="316"/>
      <c r="D149" s="316"/>
      <c r="E149" s="316"/>
      <c r="F149" s="316"/>
      <c r="G149" s="316"/>
      <c r="H149" s="316"/>
      <c r="I149" s="316"/>
      <c r="J149" s="316"/>
      <c r="K149" s="316"/>
      <c r="L149" s="316"/>
      <c r="M149" s="316"/>
      <c r="N149" s="316"/>
      <c r="O149" s="316"/>
    </row>
    <row r="150" spans="3:17" x14ac:dyDescent="0.25">
      <c r="C150" s="316"/>
      <c r="D150" s="316"/>
      <c r="E150" s="316"/>
      <c r="F150" s="316"/>
      <c r="G150" s="316"/>
      <c r="H150" s="316"/>
      <c r="I150" s="316"/>
      <c r="J150" s="316"/>
      <c r="K150" s="316"/>
      <c r="L150" s="316"/>
      <c r="M150" s="316"/>
      <c r="N150" s="316"/>
      <c r="O150" s="316"/>
      <c r="Q150" s="64">
        <f>M1-L133</f>
        <v>598476.0837599989</v>
      </c>
    </row>
    <row r="151" spans="3:17" ht="22.5" customHeight="1" x14ac:dyDescent="0.25">
      <c r="C151" s="316"/>
      <c r="D151" s="316"/>
      <c r="E151" s="316"/>
      <c r="F151" s="316"/>
      <c r="G151" s="316"/>
      <c r="H151" s="316"/>
      <c r="I151" s="316"/>
      <c r="J151" s="316"/>
      <c r="K151" s="316"/>
      <c r="L151" s="316"/>
      <c r="M151" s="316"/>
      <c r="N151" s="316"/>
      <c r="O151" s="316"/>
    </row>
    <row r="152" spans="3:17" ht="5.25" customHeight="1" x14ac:dyDescent="0.25">
      <c r="C152" s="316"/>
      <c r="D152" s="316"/>
      <c r="E152" s="316"/>
      <c r="F152" s="316"/>
      <c r="G152" s="316"/>
      <c r="H152" s="316"/>
      <c r="I152" s="316"/>
      <c r="J152" s="316"/>
      <c r="K152" s="316"/>
      <c r="L152" s="316"/>
      <c r="M152" s="316"/>
      <c r="N152" s="316"/>
      <c r="O152" s="316"/>
    </row>
    <row r="153" spans="3:17" ht="15" hidden="1" customHeight="1" x14ac:dyDescent="0.25">
      <c r="C153" s="316"/>
      <c r="D153" s="316"/>
      <c r="E153" s="316"/>
      <c r="F153" s="316"/>
      <c r="G153" s="316"/>
      <c r="H153" s="316"/>
      <c r="I153" s="316"/>
      <c r="J153" s="316"/>
      <c r="K153" s="316"/>
      <c r="L153" s="316"/>
      <c r="M153" s="316"/>
      <c r="N153" s="316"/>
      <c r="O153" s="316"/>
    </row>
    <row r="154" spans="3:17" ht="15" hidden="1" customHeight="1" x14ac:dyDescent="0.25">
      <c r="C154" s="316"/>
      <c r="D154" s="316"/>
      <c r="E154" s="316"/>
      <c r="F154" s="316"/>
      <c r="G154" s="316"/>
      <c r="H154" s="316"/>
      <c r="I154" s="316"/>
      <c r="J154" s="316"/>
      <c r="K154" s="316"/>
      <c r="L154" s="316"/>
      <c r="M154" s="316"/>
      <c r="N154" s="316"/>
      <c r="O154" s="316"/>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zoomScale="80" zoomScaleNormal="80" workbookViewId="0">
      <selection activeCell="A3" sqref="A3:O3"/>
    </sheetView>
  </sheetViews>
  <sheetFormatPr baseColWidth="10" defaultRowHeight="15" x14ac:dyDescent="0.25"/>
  <cols>
    <col min="1" max="1" width="7.140625" customWidth="1"/>
    <col min="2" max="2" width="8.42578125" bestFit="1" customWidth="1"/>
    <col min="3" max="3" width="47.28515625" bestFit="1" customWidth="1"/>
    <col min="4" max="4" width="10.28515625" customWidth="1"/>
    <col min="5" max="5" width="14.140625" customWidth="1"/>
    <col min="6" max="6" width="13.28515625" customWidth="1"/>
    <col min="7" max="7" width="21.42578125" hidden="1" customWidth="1"/>
    <col min="8" max="9" width="17.28515625" customWidth="1"/>
    <col min="10" max="10" width="15" customWidth="1"/>
    <col min="11" max="11" width="0.140625" customWidth="1"/>
    <col min="12" max="12" width="16.28515625" customWidth="1"/>
    <col min="13" max="13" width="16.5703125" customWidth="1"/>
    <col min="14" max="14" width="15.140625" customWidth="1"/>
    <col min="15" max="15" width="19.5703125" customWidth="1"/>
    <col min="16" max="16" width="7.7109375" customWidth="1"/>
    <col min="17" max="17" width="43.28515625" bestFit="1" customWidth="1"/>
    <col min="18" max="18" width="17.85546875" bestFit="1" customWidth="1"/>
    <col min="19" max="19" width="14.5703125" bestFit="1" customWidth="1"/>
  </cols>
  <sheetData>
    <row r="1" spans="1:27" ht="27.75" customHeight="1" x14ac:dyDescent="0.25">
      <c r="A1" s="349" t="s">
        <v>305</v>
      </c>
      <c r="B1" s="349"/>
      <c r="C1" s="349"/>
      <c r="D1" s="349"/>
      <c r="E1" s="349"/>
      <c r="F1" s="349"/>
      <c r="G1" s="349"/>
      <c r="H1" s="349"/>
      <c r="I1" s="349"/>
      <c r="J1" s="349"/>
      <c r="K1" s="349"/>
      <c r="L1" s="349"/>
      <c r="M1" s="349"/>
      <c r="N1" s="349"/>
      <c r="O1" s="350"/>
      <c r="R1" s="32"/>
    </row>
    <row r="2" spans="1:27" ht="36.6" customHeight="1" thickBot="1" x14ac:dyDescent="0.3">
      <c r="A2" s="351"/>
      <c r="B2" s="351"/>
      <c r="C2" s="351"/>
      <c r="D2" s="351"/>
      <c r="E2" s="351"/>
      <c r="F2" s="351"/>
      <c r="G2" s="351"/>
      <c r="H2" s="351"/>
      <c r="I2" s="351"/>
      <c r="J2" s="351"/>
      <c r="K2" s="351"/>
      <c r="L2" s="351"/>
      <c r="M2" s="351"/>
      <c r="N2" s="351"/>
      <c r="O2" s="352"/>
      <c r="R2" s="32"/>
    </row>
    <row r="3" spans="1:27" s="190" customFormat="1" ht="79.5" customHeight="1" thickBot="1" x14ac:dyDescent="0.3">
      <c r="A3" s="346" t="s">
        <v>369</v>
      </c>
      <c r="B3" s="347"/>
      <c r="C3" s="347"/>
      <c r="D3" s="347"/>
      <c r="E3" s="347"/>
      <c r="F3" s="347"/>
      <c r="G3" s="347"/>
      <c r="H3" s="347"/>
      <c r="I3" s="347"/>
      <c r="J3" s="347"/>
      <c r="K3" s="347"/>
      <c r="L3" s="347"/>
      <c r="M3" s="347"/>
      <c r="N3" s="347"/>
      <c r="O3" s="348"/>
      <c r="P3" s="191"/>
      <c r="Q3" s="191"/>
      <c r="R3" s="191"/>
      <c r="S3" s="191"/>
      <c r="T3" s="191"/>
      <c r="U3" s="191"/>
      <c r="V3" s="191"/>
      <c r="W3" s="191"/>
      <c r="X3" s="191"/>
      <c r="Y3" s="191"/>
      <c r="Z3" s="191"/>
      <c r="AA3" s="191"/>
    </row>
    <row r="4" spans="1:27" ht="15" customHeight="1" x14ac:dyDescent="0.25">
      <c r="A4" s="309" t="s">
        <v>306</v>
      </c>
      <c r="B4" s="309" t="s">
        <v>307</v>
      </c>
      <c r="C4" s="309" t="s">
        <v>11</v>
      </c>
      <c r="D4" s="309" t="s">
        <v>25</v>
      </c>
      <c r="E4" s="306" t="s">
        <v>331</v>
      </c>
      <c r="F4" s="306" t="s">
        <v>332</v>
      </c>
      <c r="G4" s="306" t="s">
        <v>262</v>
      </c>
      <c r="H4" s="306" t="s">
        <v>337</v>
      </c>
      <c r="I4" s="306" t="s">
        <v>347</v>
      </c>
      <c r="J4" s="353" t="s">
        <v>333</v>
      </c>
      <c r="K4" s="100"/>
      <c r="L4" s="358" t="s">
        <v>344</v>
      </c>
      <c r="M4" s="306" t="s">
        <v>345</v>
      </c>
      <c r="N4" s="306" t="s">
        <v>334</v>
      </c>
      <c r="O4" s="306" t="s">
        <v>16</v>
      </c>
      <c r="R4" s="32"/>
    </row>
    <row r="5" spans="1:27" ht="28.5" customHeight="1" x14ac:dyDescent="0.25">
      <c r="A5" s="310"/>
      <c r="B5" s="310"/>
      <c r="C5" s="310"/>
      <c r="D5" s="310"/>
      <c r="E5" s="307"/>
      <c r="F5" s="307"/>
      <c r="G5" s="307"/>
      <c r="H5" s="307"/>
      <c r="I5" s="307"/>
      <c r="J5" s="354"/>
      <c r="K5" s="100"/>
      <c r="L5" s="359"/>
      <c r="M5" s="307"/>
      <c r="N5" s="307"/>
      <c r="O5" s="307"/>
      <c r="R5" s="32"/>
    </row>
    <row r="6" spans="1:27" ht="19.5" customHeight="1" thickBot="1" x14ac:dyDescent="0.3">
      <c r="A6" s="357"/>
      <c r="B6" s="357"/>
      <c r="C6" s="357"/>
      <c r="D6" s="357"/>
      <c r="E6" s="356"/>
      <c r="F6" s="356"/>
      <c r="G6" s="356"/>
      <c r="H6" s="356"/>
      <c r="I6" s="356"/>
      <c r="J6" s="355"/>
      <c r="K6" s="160"/>
      <c r="L6" s="360"/>
      <c r="M6" s="356"/>
      <c r="N6" s="356"/>
      <c r="O6" s="356"/>
      <c r="R6" s="32"/>
    </row>
    <row r="7" spans="1:27" x14ac:dyDescent="0.25">
      <c r="A7" s="161" t="s">
        <v>109</v>
      </c>
      <c r="B7" s="162"/>
      <c r="C7" s="163" t="s">
        <v>170</v>
      </c>
      <c r="D7" s="105">
        <v>1.0800000000000001E-2</v>
      </c>
      <c r="E7" s="151">
        <v>282914.37972000003</v>
      </c>
      <c r="F7" s="173">
        <v>45856</v>
      </c>
      <c r="G7" s="176">
        <v>-197064.48265741928</v>
      </c>
      <c r="H7" s="184">
        <f>J7/2</f>
        <v>98532.35</v>
      </c>
      <c r="I7" s="187">
        <f>H7</f>
        <v>98532.35</v>
      </c>
      <c r="J7" s="177">
        <f>ROUND((-G7),0)+P7</f>
        <v>197064.7</v>
      </c>
      <c r="K7" s="176">
        <v>-85849.897062580741</v>
      </c>
      <c r="L7" s="209">
        <v>0</v>
      </c>
      <c r="M7" s="151">
        <v>98532.35</v>
      </c>
      <c r="N7" s="176">
        <f>-K7</f>
        <v>85849.897062580741</v>
      </c>
      <c r="O7" s="152">
        <f>ROUND((J7+N7),0) + P7</f>
        <v>282915.7</v>
      </c>
      <c r="P7" s="85">
        <v>0.7</v>
      </c>
      <c r="R7" s="315"/>
      <c r="S7" s="315"/>
    </row>
    <row r="8" spans="1:27" x14ac:dyDescent="0.25">
      <c r="A8" s="161" t="s">
        <v>313</v>
      </c>
      <c r="B8" s="162"/>
      <c r="C8" s="24" t="s">
        <v>314</v>
      </c>
      <c r="D8" s="110">
        <v>1.2800000000000001E-2</v>
      </c>
      <c r="E8" s="112">
        <v>335305.93151999998</v>
      </c>
      <c r="F8" s="173">
        <v>46001</v>
      </c>
      <c r="G8" s="113">
        <v>-34751.379392876712</v>
      </c>
      <c r="H8" s="184">
        <f t="shared" ref="H8:H11" si="0">J8/2</f>
        <v>17375.855</v>
      </c>
      <c r="I8" s="187">
        <f t="shared" ref="I8:I11" si="1">H8</f>
        <v>17375.855</v>
      </c>
      <c r="J8" s="177">
        <f t="shared" ref="J8:J71" si="2">ROUND((-G8),0)+P8</f>
        <v>34751.71</v>
      </c>
      <c r="K8" s="113">
        <v>-300554.55212712329</v>
      </c>
      <c r="L8" s="209"/>
      <c r="M8" s="151">
        <f t="shared" ref="M8:M69" si="3">IF(L8=H8,I8,J8)</f>
        <v>34751.71</v>
      </c>
      <c r="N8" s="176">
        <f t="shared" ref="N8:N11" si="4">-K8</f>
        <v>300554.55212712329</v>
      </c>
      <c r="O8" s="152">
        <f t="shared" ref="O8:O11" si="5">ROUND((J8+N8),0) + P8</f>
        <v>335306.71000000002</v>
      </c>
      <c r="P8" s="85">
        <f>P7+0.01</f>
        <v>0.71</v>
      </c>
      <c r="R8" s="315"/>
      <c r="S8" s="315"/>
    </row>
    <row r="9" spans="1:27" x14ac:dyDescent="0.25">
      <c r="A9" s="161" t="s">
        <v>110</v>
      </c>
      <c r="B9" s="162"/>
      <c r="C9" s="164" t="s">
        <v>338</v>
      </c>
      <c r="D9" s="110">
        <v>1.21E-2</v>
      </c>
      <c r="E9" s="112">
        <v>316968.88838999998</v>
      </c>
      <c r="F9" s="173">
        <v>45856</v>
      </c>
      <c r="G9" s="113">
        <v>-220785.20742173825</v>
      </c>
      <c r="H9" s="184">
        <f t="shared" si="0"/>
        <v>110392.86</v>
      </c>
      <c r="I9" s="187">
        <f t="shared" si="1"/>
        <v>110392.86</v>
      </c>
      <c r="J9" s="177">
        <f t="shared" si="2"/>
        <v>220785.72</v>
      </c>
      <c r="K9" s="113">
        <v>-96183.680968261731</v>
      </c>
      <c r="L9" s="209"/>
      <c r="M9" s="151">
        <f t="shared" si="3"/>
        <v>220785.72</v>
      </c>
      <c r="N9" s="176">
        <f t="shared" si="4"/>
        <v>96183.680968261731</v>
      </c>
      <c r="O9" s="152">
        <f t="shared" si="5"/>
        <v>316969.71999999997</v>
      </c>
      <c r="P9" s="85">
        <f t="shared" ref="P9:P11" si="6">P8+0.01</f>
        <v>0.72</v>
      </c>
      <c r="S9" s="32"/>
    </row>
    <row r="10" spans="1:27" x14ac:dyDescent="0.25">
      <c r="A10" s="161" t="s">
        <v>111</v>
      </c>
      <c r="B10" s="162"/>
      <c r="C10" s="163" t="s">
        <v>171</v>
      </c>
      <c r="D10" s="110">
        <v>1.49E-2</v>
      </c>
      <c r="E10" s="112">
        <v>390317.06091</v>
      </c>
      <c r="F10" s="173">
        <v>45856</v>
      </c>
      <c r="G10" s="113">
        <v>-271875.99922180991</v>
      </c>
      <c r="H10" s="184">
        <f t="shared" si="0"/>
        <v>135938.36499999999</v>
      </c>
      <c r="I10" s="187">
        <f t="shared" si="1"/>
        <v>135938.36499999999</v>
      </c>
      <c r="J10" s="177">
        <f t="shared" si="2"/>
        <v>271876.73</v>
      </c>
      <c r="K10" s="113">
        <v>-118441.06168819009</v>
      </c>
      <c r="L10" s="209">
        <f>J10</f>
        <v>271876.73</v>
      </c>
      <c r="M10" s="151">
        <v>0</v>
      </c>
      <c r="N10" s="176">
        <f t="shared" si="4"/>
        <v>118441.06168819009</v>
      </c>
      <c r="O10" s="152">
        <f t="shared" si="5"/>
        <v>390318.73</v>
      </c>
      <c r="P10" s="85">
        <f t="shared" si="6"/>
        <v>0.73</v>
      </c>
      <c r="S10" s="32"/>
    </row>
    <row r="11" spans="1:27" ht="15.75" thickBot="1" x14ac:dyDescent="0.3">
      <c r="A11" s="165" t="s">
        <v>112</v>
      </c>
      <c r="B11" s="166"/>
      <c r="C11" s="167" t="s">
        <v>315</v>
      </c>
      <c r="D11" s="117">
        <v>1.7500000000000002E-2</v>
      </c>
      <c r="E11" s="120">
        <v>458426.07825000002</v>
      </c>
      <c r="F11" s="174">
        <v>45856</v>
      </c>
      <c r="G11" s="121">
        <v>-319317.44875044789</v>
      </c>
      <c r="H11" s="185">
        <f t="shared" si="0"/>
        <v>159658.87</v>
      </c>
      <c r="I11" s="188">
        <f t="shared" si="1"/>
        <v>159658.87</v>
      </c>
      <c r="J11" s="178">
        <f t="shared" si="2"/>
        <v>319317.74</v>
      </c>
      <c r="K11" s="121">
        <v>-139108.62949955213</v>
      </c>
      <c r="L11" s="208">
        <v>0</v>
      </c>
      <c r="M11" s="120">
        <v>159658.87</v>
      </c>
      <c r="N11" s="121">
        <f t="shared" si="4"/>
        <v>139108.62949955213</v>
      </c>
      <c r="O11" s="122">
        <f t="shared" si="5"/>
        <v>458426.74</v>
      </c>
      <c r="P11" s="85">
        <f t="shared" si="6"/>
        <v>0.74</v>
      </c>
      <c r="S11" s="32"/>
    </row>
    <row r="12" spans="1:27" x14ac:dyDescent="0.25">
      <c r="A12" s="168" t="s">
        <v>40</v>
      </c>
      <c r="B12" s="169">
        <v>25</v>
      </c>
      <c r="C12" s="104" t="s">
        <v>172</v>
      </c>
      <c r="D12" s="105">
        <v>2.12E-2</v>
      </c>
      <c r="E12" s="151">
        <v>555350.44907999993</v>
      </c>
      <c r="F12" s="175">
        <v>45777</v>
      </c>
      <c r="G12" s="152">
        <v>-519626.96981144731</v>
      </c>
      <c r="H12" s="186">
        <f>ROUND((J12/2),0)+P12</f>
        <v>259814.01</v>
      </c>
      <c r="I12" s="189">
        <f>H12</f>
        <v>259814.01</v>
      </c>
      <c r="J12" s="177">
        <f>ROUND((-G12),0)+P12</f>
        <v>519627.01</v>
      </c>
      <c r="K12" s="152">
        <v>-35723.479268552619</v>
      </c>
      <c r="L12" s="209">
        <v>0</v>
      </c>
      <c r="M12" s="149">
        <v>0</v>
      </c>
      <c r="N12" s="152">
        <f>-K12</f>
        <v>35723.479268552619</v>
      </c>
      <c r="O12" s="152">
        <f>ROUND((J12+N12),0) + P12</f>
        <v>555350.01</v>
      </c>
      <c r="P12" s="102">
        <v>0.01</v>
      </c>
      <c r="S12" s="32"/>
    </row>
    <row r="13" spans="1:27" x14ac:dyDescent="0.25">
      <c r="A13" s="161" t="s">
        <v>41</v>
      </c>
      <c r="B13" s="162"/>
      <c r="C13" s="78" t="s">
        <v>173</v>
      </c>
      <c r="D13" s="105">
        <v>8.3999999999999995E-3</v>
      </c>
      <c r="E13" s="112">
        <v>220044.51755999998</v>
      </c>
      <c r="F13" s="173">
        <v>45775</v>
      </c>
      <c r="G13" s="114">
        <v>-206492.25424856588</v>
      </c>
      <c r="H13" s="186">
        <f t="shared" ref="H13:H76" si="7">ROUND((J13/2),0)+P13</f>
        <v>103246.02</v>
      </c>
      <c r="I13" s="189">
        <f t="shared" ref="I13:I76" si="8">H13</f>
        <v>103246.02</v>
      </c>
      <c r="J13" s="177">
        <f t="shared" si="2"/>
        <v>206492.02</v>
      </c>
      <c r="K13" s="114">
        <v>-13552.263311434101</v>
      </c>
      <c r="L13" s="209"/>
      <c r="M13" s="149">
        <v>0</v>
      </c>
      <c r="N13" s="152">
        <f t="shared" ref="N13:N76" si="9">-K13</f>
        <v>13552.263311434101</v>
      </c>
      <c r="O13" s="152">
        <f t="shared" ref="O13:O76" si="10">ROUND((J13+N13),0) + P13</f>
        <v>220044.02</v>
      </c>
      <c r="P13" s="102">
        <f>P12+0.01</f>
        <v>0.02</v>
      </c>
      <c r="S13" s="32"/>
    </row>
    <row r="14" spans="1:27" x14ac:dyDescent="0.25">
      <c r="A14" s="161" t="s">
        <v>42</v>
      </c>
      <c r="B14" s="162">
        <v>22</v>
      </c>
      <c r="C14" s="78" t="s">
        <v>174</v>
      </c>
      <c r="D14" s="105">
        <v>2.2499999999999999E-2</v>
      </c>
      <c r="E14" s="112">
        <v>589404.95774999994</v>
      </c>
      <c r="F14" s="173">
        <v>45770</v>
      </c>
      <c r="G14" s="114">
        <v>-557137.66415134736</v>
      </c>
      <c r="H14" s="186">
        <f t="shared" si="7"/>
        <v>278569.03000000003</v>
      </c>
      <c r="I14" s="189">
        <f t="shared" si="8"/>
        <v>278569.03000000003</v>
      </c>
      <c r="J14" s="177">
        <f t="shared" si="2"/>
        <v>557138.03</v>
      </c>
      <c r="K14" s="114">
        <v>-32267.293598652584</v>
      </c>
      <c r="L14" s="209"/>
      <c r="M14" s="149">
        <v>0</v>
      </c>
      <c r="N14" s="152">
        <f t="shared" si="9"/>
        <v>32267.293598652584</v>
      </c>
      <c r="O14" s="152">
        <f t="shared" si="10"/>
        <v>589405.03</v>
      </c>
      <c r="P14" s="102">
        <f t="shared" ref="P14:P77" si="11">P13+0.01</f>
        <v>0.03</v>
      </c>
    </row>
    <row r="15" spans="1:27" x14ac:dyDescent="0.25">
      <c r="A15" s="161" t="s">
        <v>43</v>
      </c>
      <c r="B15" s="162" t="s">
        <v>308</v>
      </c>
      <c r="C15" s="78" t="s">
        <v>175</v>
      </c>
      <c r="D15" s="105">
        <v>1.4E-2</v>
      </c>
      <c r="E15" s="112">
        <v>366740.86259999999</v>
      </c>
      <c r="F15" s="173">
        <v>45805</v>
      </c>
      <c r="G15" s="114">
        <v>-327282.74303127197</v>
      </c>
      <c r="H15" s="186">
        <f t="shared" si="7"/>
        <v>163642.04</v>
      </c>
      <c r="I15" s="189">
        <f t="shared" si="8"/>
        <v>163642.04</v>
      </c>
      <c r="J15" s="177">
        <f t="shared" si="2"/>
        <v>327283.03999999998</v>
      </c>
      <c r="K15" s="114">
        <v>-39458.119568728027</v>
      </c>
      <c r="L15" s="209"/>
      <c r="M15" s="149">
        <v>0</v>
      </c>
      <c r="N15" s="152">
        <f t="shared" si="9"/>
        <v>39458.119568728027</v>
      </c>
      <c r="O15" s="152">
        <f t="shared" si="10"/>
        <v>366741.04</v>
      </c>
      <c r="P15" s="102">
        <f t="shared" si="11"/>
        <v>0.04</v>
      </c>
    </row>
    <row r="16" spans="1:27" x14ac:dyDescent="0.25">
      <c r="A16" s="161" t="s">
        <v>44</v>
      </c>
      <c r="B16" s="162"/>
      <c r="C16" s="78" t="s">
        <v>176</v>
      </c>
      <c r="D16" s="105">
        <v>8.6999999999999994E-3</v>
      </c>
      <c r="E16" s="112">
        <v>227903.25032999998</v>
      </c>
      <c r="F16" s="173">
        <v>45800</v>
      </c>
      <c r="G16" s="114">
        <v>-206069.04832824506</v>
      </c>
      <c r="H16" s="186">
        <f t="shared" si="7"/>
        <v>103035.05</v>
      </c>
      <c r="I16" s="189">
        <f t="shared" si="8"/>
        <v>103035.05</v>
      </c>
      <c r="J16" s="177">
        <f t="shared" si="2"/>
        <v>206069.05</v>
      </c>
      <c r="K16" s="114">
        <v>-21834.202001754922</v>
      </c>
      <c r="L16" s="209"/>
      <c r="M16" s="149">
        <v>0</v>
      </c>
      <c r="N16" s="152">
        <f t="shared" si="9"/>
        <v>21834.202001754922</v>
      </c>
      <c r="O16" s="152">
        <f t="shared" si="10"/>
        <v>227903.05</v>
      </c>
      <c r="P16" s="102">
        <f t="shared" si="11"/>
        <v>0.05</v>
      </c>
    </row>
    <row r="17" spans="1:114" x14ac:dyDescent="0.25">
      <c r="A17" s="161" t="s">
        <v>45</v>
      </c>
      <c r="B17" s="162" t="s">
        <v>309</v>
      </c>
      <c r="C17" s="78" t="s">
        <v>177</v>
      </c>
      <c r="D17" s="105">
        <v>1.41E-2</v>
      </c>
      <c r="E17" s="112">
        <v>369360.44018999999</v>
      </c>
      <c r="F17" s="173">
        <v>45805</v>
      </c>
      <c r="G17" s="114">
        <v>-329620.47691006673</v>
      </c>
      <c r="H17" s="186">
        <f t="shared" si="7"/>
        <v>164810.06</v>
      </c>
      <c r="I17" s="189">
        <f t="shared" si="8"/>
        <v>164810.06</v>
      </c>
      <c r="J17" s="177">
        <f t="shared" si="2"/>
        <v>329620.06</v>
      </c>
      <c r="K17" s="114">
        <v>-39739.963279933261</v>
      </c>
      <c r="L17" s="209"/>
      <c r="M17" s="149">
        <v>0</v>
      </c>
      <c r="N17" s="152">
        <f t="shared" si="9"/>
        <v>39739.963279933261</v>
      </c>
      <c r="O17" s="152">
        <f t="shared" si="10"/>
        <v>369360.06</v>
      </c>
      <c r="P17" s="102">
        <f t="shared" si="11"/>
        <v>6.0000000000000005E-2</v>
      </c>
    </row>
    <row r="18" spans="1:114" x14ac:dyDescent="0.25">
      <c r="A18" s="161" t="s">
        <v>46</v>
      </c>
      <c r="B18" s="162" t="s">
        <v>310</v>
      </c>
      <c r="C18" s="78" t="s">
        <v>316</v>
      </c>
      <c r="D18" s="105">
        <v>2.1100000000000001E-2</v>
      </c>
      <c r="E18" s="112">
        <v>552730.87148999993</v>
      </c>
      <c r="F18" s="173">
        <v>45805</v>
      </c>
      <c r="G18" s="114">
        <v>-493261.84842570277</v>
      </c>
      <c r="H18" s="186">
        <f t="shared" si="7"/>
        <v>246631.07</v>
      </c>
      <c r="I18" s="189">
        <f t="shared" si="8"/>
        <v>246631.07</v>
      </c>
      <c r="J18" s="177">
        <f t="shared" si="2"/>
        <v>493262.07</v>
      </c>
      <c r="K18" s="114">
        <v>-59469.023064297158</v>
      </c>
      <c r="L18" s="209"/>
      <c r="M18" s="149">
        <v>0</v>
      </c>
      <c r="N18" s="152">
        <f t="shared" si="9"/>
        <v>59469.023064297158</v>
      </c>
      <c r="O18" s="152">
        <f t="shared" si="10"/>
        <v>552731.06999999995</v>
      </c>
      <c r="P18" s="102">
        <f t="shared" si="11"/>
        <v>7.0000000000000007E-2</v>
      </c>
    </row>
    <row r="19" spans="1:114" x14ac:dyDescent="0.25">
      <c r="A19" s="161" t="s">
        <v>47</v>
      </c>
      <c r="B19" s="162"/>
      <c r="C19" s="78" t="s">
        <v>317</v>
      </c>
      <c r="D19" s="105">
        <v>7.4000000000000003E-3</v>
      </c>
      <c r="E19" s="112">
        <v>193848.74166</v>
      </c>
      <c r="F19" s="173">
        <v>45839</v>
      </c>
      <c r="G19" s="114">
        <v>-147681.21170563609</v>
      </c>
      <c r="H19" s="186">
        <f t="shared" si="7"/>
        <v>73841.08</v>
      </c>
      <c r="I19" s="189">
        <f t="shared" si="8"/>
        <v>73841.08</v>
      </c>
      <c r="J19" s="177">
        <f t="shared" si="2"/>
        <v>147681.07999999999</v>
      </c>
      <c r="K19" s="114">
        <v>-46167.529954363912</v>
      </c>
      <c r="L19" s="209"/>
      <c r="M19" s="149">
        <v>0</v>
      </c>
      <c r="N19" s="152">
        <f t="shared" si="9"/>
        <v>46167.529954363912</v>
      </c>
      <c r="O19" s="152">
        <f t="shared" si="10"/>
        <v>193849.08</v>
      </c>
      <c r="P19" s="102">
        <f t="shared" si="11"/>
        <v>0.08</v>
      </c>
    </row>
    <row r="20" spans="1:114" x14ac:dyDescent="0.25">
      <c r="A20" s="161" t="s">
        <v>48</v>
      </c>
      <c r="B20" s="162"/>
      <c r="C20" s="78" t="s">
        <v>177</v>
      </c>
      <c r="D20" s="105">
        <v>1.7899999999999999E-2</v>
      </c>
      <c r="E20" s="112">
        <v>468904.38860999997</v>
      </c>
      <c r="F20" s="173">
        <v>45805</v>
      </c>
      <c r="G20" s="114">
        <v>-418454.36430426914</v>
      </c>
      <c r="H20" s="186">
        <f t="shared" si="7"/>
        <v>209227.09</v>
      </c>
      <c r="I20" s="189">
        <f t="shared" si="8"/>
        <v>209227.09</v>
      </c>
      <c r="J20" s="177">
        <f t="shared" si="2"/>
        <v>418454.09</v>
      </c>
      <c r="K20" s="114">
        <v>-50450.024305730825</v>
      </c>
      <c r="L20" s="209"/>
      <c r="M20" s="149">
        <v>0</v>
      </c>
      <c r="N20" s="152">
        <f t="shared" si="9"/>
        <v>50450.024305730825</v>
      </c>
      <c r="O20" s="152">
        <f t="shared" si="10"/>
        <v>468904.09</v>
      </c>
      <c r="P20" s="102">
        <f t="shared" si="11"/>
        <v>0.09</v>
      </c>
    </row>
    <row r="21" spans="1:114" x14ac:dyDescent="0.25">
      <c r="A21" s="161" t="s">
        <v>49</v>
      </c>
      <c r="B21" s="162"/>
      <c r="C21" s="78" t="s">
        <v>178</v>
      </c>
      <c r="D21" s="105">
        <v>9.4000000000000004E-3</v>
      </c>
      <c r="E21" s="112">
        <v>246240.29345999999</v>
      </c>
      <c r="F21" s="173">
        <v>45839</v>
      </c>
      <c r="G21" s="114">
        <v>-187595.05270715937</v>
      </c>
      <c r="H21" s="186">
        <f t="shared" si="7"/>
        <v>93798.1</v>
      </c>
      <c r="I21" s="189">
        <f t="shared" si="8"/>
        <v>93798.1</v>
      </c>
      <c r="J21" s="177">
        <f t="shared" si="2"/>
        <v>187595.1</v>
      </c>
      <c r="K21" s="114">
        <v>-58645.240752840618</v>
      </c>
      <c r="L21" s="209"/>
      <c r="M21" s="149">
        <v>0</v>
      </c>
      <c r="N21" s="152">
        <f t="shared" si="9"/>
        <v>58645.240752840618</v>
      </c>
      <c r="O21" s="152">
        <f t="shared" si="10"/>
        <v>246240.1</v>
      </c>
      <c r="P21" s="102">
        <f t="shared" si="11"/>
        <v>9.9999999999999992E-2</v>
      </c>
    </row>
    <row r="22" spans="1:114" x14ac:dyDescent="0.25">
      <c r="A22" s="161" t="s">
        <v>50</v>
      </c>
      <c r="B22" s="162"/>
      <c r="C22" s="78" t="s">
        <v>318</v>
      </c>
      <c r="D22" s="105">
        <v>8.6999999999999994E-3</v>
      </c>
      <c r="E22" s="112">
        <v>227903.25032999998</v>
      </c>
      <c r="F22" s="173">
        <v>45839</v>
      </c>
      <c r="G22" s="114">
        <v>-173625.20835662619</v>
      </c>
      <c r="H22" s="186">
        <f t="shared" si="7"/>
        <v>86813.11</v>
      </c>
      <c r="I22" s="189">
        <f t="shared" si="8"/>
        <v>86813.11</v>
      </c>
      <c r="J22" s="177">
        <f t="shared" si="2"/>
        <v>173625.11</v>
      </c>
      <c r="K22" s="114">
        <v>-54278.041973373794</v>
      </c>
      <c r="L22" s="209"/>
      <c r="M22" s="149">
        <v>0</v>
      </c>
      <c r="N22" s="152">
        <f t="shared" si="9"/>
        <v>54278.041973373794</v>
      </c>
      <c r="O22" s="152">
        <f t="shared" si="10"/>
        <v>227903.11</v>
      </c>
      <c r="P22" s="102">
        <f t="shared" si="11"/>
        <v>0.10999999999999999</v>
      </c>
    </row>
    <row r="23" spans="1:114" x14ac:dyDescent="0.25">
      <c r="A23" s="161" t="s">
        <v>51</v>
      </c>
      <c r="B23" s="162"/>
      <c r="C23" s="78" t="s">
        <v>178</v>
      </c>
      <c r="D23" s="105">
        <v>9.4999999999999998E-3</v>
      </c>
      <c r="E23" s="112">
        <v>248859.87104999999</v>
      </c>
      <c r="F23" s="173">
        <v>45839</v>
      </c>
      <c r="G23" s="114">
        <v>-189590.74475723552</v>
      </c>
      <c r="H23" s="186">
        <f t="shared" si="7"/>
        <v>94796.12</v>
      </c>
      <c r="I23" s="189">
        <f t="shared" si="8"/>
        <v>94796.12</v>
      </c>
      <c r="J23" s="177">
        <f t="shared" si="2"/>
        <v>189591.12</v>
      </c>
      <c r="K23" s="114">
        <v>-59269.126292764471</v>
      </c>
      <c r="L23" s="209"/>
      <c r="M23" s="149">
        <f t="shared" si="3"/>
        <v>189591.12</v>
      </c>
      <c r="N23" s="152">
        <f t="shared" si="9"/>
        <v>59269.126292764471</v>
      </c>
      <c r="O23" s="152">
        <f t="shared" si="10"/>
        <v>248860.12</v>
      </c>
      <c r="P23" s="102">
        <f t="shared" si="11"/>
        <v>0.11999999999999998</v>
      </c>
    </row>
    <row r="24" spans="1:114" x14ac:dyDescent="0.25">
      <c r="A24" s="161" t="s">
        <v>52</v>
      </c>
      <c r="B24" s="162"/>
      <c r="C24" s="78" t="s">
        <v>179</v>
      </c>
      <c r="D24" s="105">
        <v>1.6400000000000001E-2</v>
      </c>
      <c r="E24" s="112">
        <v>429610.72476000001</v>
      </c>
      <c r="F24" s="173">
        <v>45775</v>
      </c>
      <c r="G24" s="114">
        <v>-403151.54400910489</v>
      </c>
      <c r="H24" s="186">
        <f t="shared" si="7"/>
        <v>201576.13</v>
      </c>
      <c r="I24" s="189">
        <f t="shared" si="8"/>
        <v>201576.13</v>
      </c>
      <c r="J24" s="177">
        <f t="shared" si="2"/>
        <v>403152.13</v>
      </c>
      <c r="K24" s="114">
        <v>-26459.180750895117</v>
      </c>
      <c r="L24" s="209"/>
      <c r="M24" s="149">
        <v>0</v>
      </c>
      <c r="N24" s="152">
        <f t="shared" si="9"/>
        <v>26459.180750895117</v>
      </c>
      <c r="O24" s="152">
        <f t="shared" si="10"/>
        <v>429611.13</v>
      </c>
      <c r="P24" s="102">
        <f t="shared" si="11"/>
        <v>0.12999999999999998</v>
      </c>
    </row>
    <row r="25" spans="1:114" x14ac:dyDescent="0.25">
      <c r="A25" s="161" t="s">
        <v>53</v>
      </c>
      <c r="B25" s="162"/>
      <c r="C25" s="78" t="s">
        <v>319</v>
      </c>
      <c r="D25" s="105">
        <v>7.3000000000000001E-3</v>
      </c>
      <c r="E25" s="112">
        <v>191229.16407</v>
      </c>
      <c r="F25" s="173">
        <v>45800</v>
      </c>
      <c r="G25" s="114">
        <v>-172908.51181565388</v>
      </c>
      <c r="H25" s="186">
        <f t="shared" si="7"/>
        <v>86455.14</v>
      </c>
      <c r="I25" s="189">
        <f t="shared" si="8"/>
        <v>86455.14</v>
      </c>
      <c r="J25" s="177">
        <f t="shared" si="2"/>
        <v>172909.14</v>
      </c>
      <c r="K25" s="114">
        <v>-18320.652254346118</v>
      </c>
      <c r="L25" s="209">
        <f>H25</f>
        <v>86455.14</v>
      </c>
      <c r="M25" s="149">
        <v>0</v>
      </c>
      <c r="N25" s="152">
        <f t="shared" si="9"/>
        <v>18320.652254346118</v>
      </c>
      <c r="O25" s="152">
        <f t="shared" si="10"/>
        <v>191230.14</v>
      </c>
      <c r="P25" s="102">
        <f t="shared" si="11"/>
        <v>0.13999999999999999</v>
      </c>
    </row>
    <row r="26" spans="1:114" x14ac:dyDescent="0.25">
      <c r="A26" s="161" t="s">
        <v>54</v>
      </c>
      <c r="B26" s="170" t="s">
        <v>311</v>
      </c>
      <c r="C26" s="78" t="s">
        <v>180</v>
      </c>
      <c r="D26" s="105">
        <v>2.1999999999999999E-2</v>
      </c>
      <c r="E26" s="112">
        <v>576307.06979999994</v>
      </c>
      <c r="F26" s="173">
        <v>45775</v>
      </c>
      <c r="G26" s="114">
        <v>-540813.04684148217</v>
      </c>
      <c r="H26" s="186">
        <f t="shared" si="7"/>
        <v>270407.15000000002</v>
      </c>
      <c r="I26" s="189">
        <f t="shared" si="8"/>
        <v>270407.15000000002</v>
      </c>
      <c r="J26" s="177">
        <f t="shared" si="2"/>
        <v>540813.15</v>
      </c>
      <c r="K26" s="114">
        <v>-35494.022958517773</v>
      </c>
      <c r="L26" s="209"/>
      <c r="M26" s="149">
        <v>0</v>
      </c>
      <c r="N26" s="152">
        <f t="shared" si="9"/>
        <v>35494.022958517773</v>
      </c>
      <c r="O26" s="152">
        <f t="shared" si="10"/>
        <v>576307.15</v>
      </c>
      <c r="P26" s="102">
        <f t="shared" si="11"/>
        <v>0.15</v>
      </c>
    </row>
    <row r="27" spans="1:114" x14ac:dyDescent="0.25">
      <c r="A27" s="161" t="s">
        <v>55</v>
      </c>
      <c r="B27" s="162"/>
      <c r="C27" s="78" t="s">
        <v>178</v>
      </c>
      <c r="D27" s="105">
        <v>9.4000000000000004E-3</v>
      </c>
      <c r="E27" s="112">
        <v>246240.29345999999</v>
      </c>
      <c r="F27" s="173">
        <v>45839</v>
      </c>
      <c r="G27" s="114">
        <v>-187595.05270715937</v>
      </c>
      <c r="H27" s="186">
        <f t="shared" si="7"/>
        <v>93798.16</v>
      </c>
      <c r="I27" s="189">
        <f t="shared" si="8"/>
        <v>93798.16</v>
      </c>
      <c r="J27" s="177">
        <f t="shared" si="2"/>
        <v>187595.16</v>
      </c>
      <c r="K27" s="114">
        <v>-58645.240752840618</v>
      </c>
      <c r="L27" s="209"/>
      <c r="M27" s="149">
        <f t="shared" si="3"/>
        <v>187595.16</v>
      </c>
      <c r="N27" s="152">
        <f t="shared" si="9"/>
        <v>58645.240752840618</v>
      </c>
      <c r="O27" s="152">
        <f t="shared" si="10"/>
        <v>246240.16</v>
      </c>
      <c r="P27" s="102">
        <f t="shared" si="11"/>
        <v>0.16</v>
      </c>
      <c r="Q27" t="s">
        <v>296</v>
      </c>
    </row>
    <row r="28" spans="1:114" x14ac:dyDescent="0.25">
      <c r="A28" s="161" t="s">
        <v>56</v>
      </c>
      <c r="B28" s="162"/>
      <c r="C28" s="78" t="s">
        <v>320</v>
      </c>
      <c r="D28" s="105">
        <v>8.6999999999999994E-3</v>
      </c>
      <c r="E28" s="112">
        <v>227903.25032999998</v>
      </c>
      <c r="F28" s="173">
        <v>45839</v>
      </c>
      <c r="G28" s="114">
        <v>-173625.20835662619</v>
      </c>
      <c r="H28" s="186">
        <f t="shared" si="7"/>
        <v>86813.17</v>
      </c>
      <c r="I28" s="189">
        <f t="shared" si="8"/>
        <v>86813.17</v>
      </c>
      <c r="J28" s="177">
        <f t="shared" si="2"/>
        <v>173625.17</v>
      </c>
      <c r="K28" s="114">
        <v>-54278.041973373794</v>
      </c>
      <c r="L28" s="209"/>
      <c r="M28" s="149">
        <v>0</v>
      </c>
      <c r="N28" s="152">
        <f t="shared" si="9"/>
        <v>54278.041973373794</v>
      </c>
      <c r="O28" s="152">
        <f t="shared" si="10"/>
        <v>227903.17</v>
      </c>
      <c r="P28" s="102">
        <f t="shared" si="11"/>
        <v>0.17</v>
      </c>
    </row>
    <row r="29" spans="1:114" x14ac:dyDescent="0.25">
      <c r="A29" s="161" t="s">
        <v>57</v>
      </c>
      <c r="B29" s="162"/>
      <c r="C29" s="78" t="s">
        <v>178</v>
      </c>
      <c r="D29" s="105">
        <v>9.4999999999999998E-3</v>
      </c>
      <c r="E29" s="112">
        <v>248859.87104999999</v>
      </c>
      <c r="F29" s="173">
        <v>45839</v>
      </c>
      <c r="G29" s="114">
        <v>-189590.74475723552</v>
      </c>
      <c r="H29" s="186">
        <f t="shared" si="7"/>
        <v>94796.18</v>
      </c>
      <c r="I29" s="189">
        <f t="shared" si="8"/>
        <v>94796.18</v>
      </c>
      <c r="J29" s="177">
        <f t="shared" si="2"/>
        <v>189591.18</v>
      </c>
      <c r="K29" s="114">
        <v>-59269.126292764471</v>
      </c>
      <c r="L29" s="209"/>
      <c r="M29" s="149">
        <f t="shared" si="3"/>
        <v>189591.18</v>
      </c>
      <c r="N29" s="152">
        <f t="shared" si="9"/>
        <v>59269.126292764471</v>
      </c>
      <c r="O29" s="152">
        <f t="shared" si="10"/>
        <v>248860.18</v>
      </c>
      <c r="P29" s="102">
        <f t="shared" si="11"/>
        <v>0.18000000000000002</v>
      </c>
    </row>
    <row r="30" spans="1:114" x14ac:dyDescent="0.25">
      <c r="A30" s="161" t="s">
        <v>58</v>
      </c>
      <c r="B30" s="162"/>
      <c r="C30" s="78" t="s">
        <v>181</v>
      </c>
      <c r="D30" s="105">
        <v>1.6400000000000001E-2</v>
      </c>
      <c r="E30" s="112">
        <v>429610.72476000001</v>
      </c>
      <c r="F30" s="173">
        <v>45800</v>
      </c>
      <c r="G30" s="114">
        <v>-388451.99914749648</v>
      </c>
      <c r="H30" s="186">
        <f t="shared" si="7"/>
        <v>194226.19</v>
      </c>
      <c r="I30" s="189">
        <f t="shared" si="8"/>
        <v>194226.19</v>
      </c>
      <c r="J30" s="177">
        <f t="shared" si="2"/>
        <v>388452.19</v>
      </c>
      <c r="K30" s="114">
        <v>-41158.725612503535</v>
      </c>
      <c r="L30" s="209"/>
      <c r="M30" s="149">
        <v>0</v>
      </c>
      <c r="N30" s="152">
        <f t="shared" si="9"/>
        <v>41158.725612503535</v>
      </c>
      <c r="O30" s="152">
        <f t="shared" si="10"/>
        <v>429611.19</v>
      </c>
      <c r="P30" s="102">
        <f t="shared" si="11"/>
        <v>0.19000000000000003</v>
      </c>
      <c r="Q30" t="s">
        <v>294</v>
      </c>
    </row>
    <row r="31" spans="1:114" x14ac:dyDescent="0.25">
      <c r="A31" s="161" t="s">
        <v>59</v>
      </c>
      <c r="B31" s="162">
        <v>16</v>
      </c>
      <c r="C31" s="78" t="s">
        <v>217</v>
      </c>
      <c r="D31" s="105">
        <v>9.6000000000000009E-3</v>
      </c>
      <c r="E31" s="112">
        <v>251479.44864000002</v>
      </c>
      <c r="F31" s="173">
        <v>45805</v>
      </c>
      <c r="G31" s="114">
        <v>-224422.45236430079</v>
      </c>
      <c r="H31" s="186">
        <f t="shared" si="7"/>
        <v>112211.2</v>
      </c>
      <c r="I31" s="189">
        <f t="shared" si="8"/>
        <v>112211.2</v>
      </c>
      <c r="J31" s="177">
        <f t="shared" si="2"/>
        <v>224422.2</v>
      </c>
      <c r="K31" s="114">
        <v>-27056.996275699232</v>
      </c>
      <c r="L31" s="209"/>
      <c r="M31" s="149">
        <v>0</v>
      </c>
      <c r="N31" s="152">
        <f t="shared" si="9"/>
        <v>27056.996275699232</v>
      </c>
      <c r="O31" s="152">
        <f t="shared" si="10"/>
        <v>251479.2</v>
      </c>
      <c r="P31" s="102">
        <f t="shared" si="11"/>
        <v>0.20000000000000004</v>
      </c>
    </row>
    <row r="32" spans="1:114" s="109" customFormat="1" x14ac:dyDescent="0.25">
      <c r="A32" s="161" t="s">
        <v>60</v>
      </c>
      <c r="B32" s="162">
        <v>6</v>
      </c>
      <c r="C32" s="78" t="s">
        <v>182</v>
      </c>
      <c r="D32" s="105">
        <v>1.9699999999999999E-2</v>
      </c>
      <c r="E32" s="112">
        <v>516056.78522999992</v>
      </c>
      <c r="F32" s="173">
        <v>45805</v>
      </c>
      <c r="G32" s="114">
        <v>-460533.57412257558</v>
      </c>
      <c r="H32" s="186">
        <f t="shared" si="7"/>
        <v>230267.21</v>
      </c>
      <c r="I32" s="189">
        <f t="shared" si="8"/>
        <v>230267.21</v>
      </c>
      <c r="J32" s="177">
        <f t="shared" si="2"/>
        <v>460534.21</v>
      </c>
      <c r="K32" s="114">
        <v>-55523.211107424344</v>
      </c>
      <c r="L32" s="209"/>
      <c r="M32" s="149">
        <f t="shared" si="3"/>
        <v>460534.21</v>
      </c>
      <c r="N32" s="152">
        <f t="shared" si="9"/>
        <v>55523.211107424344</v>
      </c>
      <c r="O32" s="152">
        <f t="shared" si="10"/>
        <v>516057.21</v>
      </c>
      <c r="P32" s="138">
        <f t="shared" si="11"/>
        <v>0.21000000000000005</v>
      </c>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row>
    <row r="33" spans="1:114" s="109" customFormat="1" x14ac:dyDescent="0.25">
      <c r="A33" s="161" t="s">
        <v>61</v>
      </c>
      <c r="B33" s="162"/>
      <c r="C33" s="78" t="s">
        <v>178</v>
      </c>
      <c r="D33" s="105">
        <v>9.4000000000000004E-3</v>
      </c>
      <c r="E33" s="112">
        <v>246240.29345999999</v>
      </c>
      <c r="F33" s="173">
        <v>45839</v>
      </c>
      <c r="G33" s="114">
        <v>-187595.05270715937</v>
      </c>
      <c r="H33" s="186">
        <f t="shared" si="7"/>
        <v>93798.22</v>
      </c>
      <c r="I33" s="189">
        <f t="shared" si="8"/>
        <v>93798.22</v>
      </c>
      <c r="J33" s="177">
        <f t="shared" si="2"/>
        <v>187595.22</v>
      </c>
      <c r="K33" s="114">
        <v>-58645.240752840618</v>
      </c>
      <c r="L33" s="209">
        <f>J33</f>
        <v>187595.22</v>
      </c>
      <c r="M33" s="149">
        <v>0</v>
      </c>
      <c r="N33" s="152">
        <f t="shared" si="9"/>
        <v>58645.240752840618</v>
      </c>
      <c r="O33" s="152">
        <f t="shared" si="10"/>
        <v>246240.22</v>
      </c>
      <c r="P33" s="138">
        <f t="shared" si="11"/>
        <v>0.22000000000000006</v>
      </c>
      <c r="Q33" s="53" t="s">
        <v>295</v>
      </c>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row>
    <row r="34" spans="1:114" s="109" customFormat="1" x14ac:dyDescent="0.25">
      <c r="A34" s="161" t="s">
        <v>62</v>
      </c>
      <c r="B34" s="162">
        <v>31</v>
      </c>
      <c r="C34" s="78" t="s">
        <v>321</v>
      </c>
      <c r="D34" s="105">
        <v>1.0999999999999999E-2</v>
      </c>
      <c r="E34" s="112">
        <v>288153.53489999997</v>
      </c>
      <c r="F34" s="173">
        <v>45839</v>
      </c>
      <c r="G34" s="114">
        <v>-219526.12550837794</v>
      </c>
      <c r="H34" s="186">
        <f t="shared" si="7"/>
        <v>109763.23</v>
      </c>
      <c r="I34" s="189">
        <f t="shared" si="8"/>
        <v>109763.23</v>
      </c>
      <c r="J34" s="177">
        <f t="shared" si="2"/>
        <v>219526.23</v>
      </c>
      <c r="K34" s="114">
        <v>-68627.40939162203</v>
      </c>
      <c r="L34" s="209"/>
      <c r="M34" s="149">
        <v>0</v>
      </c>
      <c r="N34" s="152">
        <f t="shared" si="9"/>
        <v>68627.40939162203</v>
      </c>
      <c r="O34" s="152">
        <f t="shared" si="10"/>
        <v>288154.23</v>
      </c>
      <c r="P34" s="138">
        <f t="shared" si="11"/>
        <v>0.23000000000000007</v>
      </c>
      <c r="Q34" s="53" t="s">
        <v>279</v>
      </c>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row>
    <row r="35" spans="1:114" s="109" customFormat="1" x14ac:dyDescent="0.25">
      <c r="A35" s="161" t="s">
        <v>63</v>
      </c>
      <c r="B35" s="162"/>
      <c r="C35" s="78" t="s">
        <v>178</v>
      </c>
      <c r="D35" s="105">
        <v>9.4999999999999998E-3</v>
      </c>
      <c r="E35" s="112">
        <v>248859.87104999999</v>
      </c>
      <c r="F35" s="173">
        <v>45839</v>
      </c>
      <c r="G35" s="114">
        <v>-189590.74475723552</v>
      </c>
      <c r="H35" s="186">
        <f t="shared" si="7"/>
        <v>94796.24</v>
      </c>
      <c r="I35" s="189">
        <f t="shared" si="8"/>
        <v>94796.24</v>
      </c>
      <c r="J35" s="177">
        <f t="shared" si="2"/>
        <v>189591.24</v>
      </c>
      <c r="K35" s="114">
        <v>-59269.126292764471</v>
      </c>
      <c r="L35" s="209"/>
      <c r="M35" s="149">
        <f t="shared" si="3"/>
        <v>189591.24</v>
      </c>
      <c r="N35" s="152">
        <f t="shared" si="9"/>
        <v>59269.126292764471</v>
      </c>
      <c r="O35" s="152">
        <f t="shared" si="10"/>
        <v>248860.24</v>
      </c>
      <c r="P35" s="138">
        <f t="shared" si="11"/>
        <v>0.24000000000000007</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row>
    <row r="36" spans="1:114" x14ac:dyDescent="0.25">
      <c r="A36" s="161" t="s">
        <v>64</v>
      </c>
      <c r="B36" s="162">
        <v>28</v>
      </c>
      <c r="C36" s="78" t="s">
        <v>183</v>
      </c>
      <c r="D36" s="105">
        <v>1.8700000000000001E-2</v>
      </c>
      <c r="E36" s="112">
        <v>489861.00933000003</v>
      </c>
      <c r="F36" s="173">
        <v>45786</v>
      </c>
      <c r="G36" s="114">
        <v>-452316.22060054552</v>
      </c>
      <c r="H36" s="186">
        <f t="shared" si="7"/>
        <v>226158.25</v>
      </c>
      <c r="I36" s="189">
        <f t="shared" si="8"/>
        <v>226158.25</v>
      </c>
      <c r="J36" s="177">
        <f t="shared" si="2"/>
        <v>452316.25</v>
      </c>
      <c r="K36" s="114">
        <v>-37544.788729454507</v>
      </c>
      <c r="L36" s="209"/>
      <c r="M36" s="149">
        <v>0</v>
      </c>
      <c r="N36" s="152">
        <f t="shared" si="9"/>
        <v>37544.788729454507</v>
      </c>
      <c r="O36" s="152">
        <f t="shared" si="10"/>
        <v>489861.25</v>
      </c>
      <c r="P36" s="102">
        <f t="shared" si="11"/>
        <v>0.25000000000000006</v>
      </c>
    </row>
    <row r="37" spans="1:114" x14ac:dyDescent="0.25">
      <c r="A37" s="161" t="s">
        <v>65</v>
      </c>
      <c r="B37" s="162"/>
      <c r="C37" s="78" t="s">
        <v>322</v>
      </c>
      <c r="D37" s="105">
        <v>7.3000000000000001E-3</v>
      </c>
      <c r="E37" s="112">
        <v>191229.16407</v>
      </c>
      <c r="F37" s="173">
        <v>45789</v>
      </c>
      <c r="G37" s="114">
        <v>-175787.47145562258</v>
      </c>
      <c r="H37" s="186">
        <f t="shared" si="7"/>
        <v>87894.26</v>
      </c>
      <c r="I37" s="189">
        <f t="shared" si="8"/>
        <v>87894.26</v>
      </c>
      <c r="J37" s="177">
        <f t="shared" si="2"/>
        <v>175787.26</v>
      </c>
      <c r="K37" s="114">
        <v>-15441.692614377418</v>
      </c>
      <c r="L37" s="209">
        <v>0</v>
      </c>
      <c r="M37" s="149">
        <v>0</v>
      </c>
      <c r="N37" s="152">
        <f t="shared" si="9"/>
        <v>15441.692614377418</v>
      </c>
      <c r="O37" s="152">
        <f t="shared" si="10"/>
        <v>191229.26</v>
      </c>
      <c r="P37" s="102">
        <f t="shared" si="11"/>
        <v>0.26000000000000006</v>
      </c>
    </row>
    <row r="38" spans="1:114" x14ac:dyDescent="0.25">
      <c r="A38" s="161" t="s">
        <v>66</v>
      </c>
      <c r="B38" s="162">
        <v>33</v>
      </c>
      <c r="C38" s="78" t="s">
        <v>185</v>
      </c>
      <c r="D38" s="105">
        <v>1.9699999999999999E-2</v>
      </c>
      <c r="E38" s="112">
        <v>516056.78522999992</v>
      </c>
      <c r="F38" s="173">
        <v>45793</v>
      </c>
      <c r="G38" s="114">
        <v>-471560.18735745805</v>
      </c>
      <c r="H38" s="186">
        <f t="shared" si="7"/>
        <v>235780.27</v>
      </c>
      <c r="I38" s="189">
        <f t="shared" si="8"/>
        <v>235780.27</v>
      </c>
      <c r="J38" s="177">
        <f t="shared" si="2"/>
        <v>471560.27</v>
      </c>
      <c r="K38" s="114">
        <v>-44496.597872541868</v>
      </c>
      <c r="L38" s="209"/>
      <c r="M38" s="149">
        <v>0</v>
      </c>
      <c r="N38" s="152">
        <f t="shared" si="9"/>
        <v>44496.597872541868</v>
      </c>
      <c r="O38" s="152">
        <f t="shared" si="10"/>
        <v>516057.27</v>
      </c>
      <c r="P38" s="102">
        <f t="shared" si="11"/>
        <v>0.27000000000000007</v>
      </c>
      <c r="Q38" t="s">
        <v>250</v>
      </c>
      <c r="R38" t="s">
        <v>250</v>
      </c>
    </row>
    <row r="39" spans="1:114" x14ac:dyDescent="0.25">
      <c r="A39" s="161" t="s">
        <v>67</v>
      </c>
      <c r="B39" s="162">
        <v>44</v>
      </c>
      <c r="C39" s="78" t="s">
        <v>323</v>
      </c>
      <c r="D39" s="105">
        <v>1.17E-2</v>
      </c>
      <c r="E39" s="112">
        <v>306490.57802999998</v>
      </c>
      <c r="F39" s="173">
        <v>45800</v>
      </c>
      <c r="G39" s="114">
        <v>-277127.3408552261</v>
      </c>
      <c r="H39" s="186">
        <f t="shared" si="7"/>
        <v>138564.28</v>
      </c>
      <c r="I39" s="189">
        <f t="shared" si="8"/>
        <v>138564.28</v>
      </c>
      <c r="J39" s="177">
        <f t="shared" si="2"/>
        <v>277127.28000000003</v>
      </c>
      <c r="K39" s="114">
        <v>-29363.23717477388</v>
      </c>
      <c r="L39" s="209"/>
      <c r="M39" s="149">
        <v>238127.28000000003</v>
      </c>
      <c r="N39" s="152">
        <f t="shared" si="9"/>
        <v>29363.23717477388</v>
      </c>
      <c r="O39" s="152">
        <f t="shared" si="10"/>
        <v>306491.28000000003</v>
      </c>
      <c r="P39" s="102">
        <f t="shared" si="11"/>
        <v>0.28000000000000008</v>
      </c>
    </row>
    <row r="40" spans="1:114" x14ac:dyDescent="0.25">
      <c r="A40" s="161" t="s">
        <v>68</v>
      </c>
      <c r="B40" s="162"/>
      <c r="C40" s="78" t="s">
        <v>176</v>
      </c>
      <c r="D40" s="105">
        <v>8.6999999999999994E-3</v>
      </c>
      <c r="E40" s="112">
        <v>227903.25032999998</v>
      </c>
      <c r="F40" s="173">
        <v>45800</v>
      </c>
      <c r="G40" s="114">
        <v>-206069.04832824506</v>
      </c>
      <c r="H40" s="186">
        <f t="shared" si="7"/>
        <v>103035.29</v>
      </c>
      <c r="I40" s="189">
        <f t="shared" si="8"/>
        <v>103035.29</v>
      </c>
      <c r="J40" s="177">
        <f t="shared" si="2"/>
        <v>206069.29</v>
      </c>
      <c r="K40" s="114">
        <v>-21834.202001754922</v>
      </c>
      <c r="L40" s="209"/>
      <c r="M40" s="149">
        <v>0</v>
      </c>
      <c r="N40" s="152">
        <f t="shared" si="9"/>
        <v>21834.202001754922</v>
      </c>
      <c r="O40" s="152">
        <f t="shared" si="10"/>
        <v>227903.29</v>
      </c>
      <c r="P40" s="102">
        <f t="shared" si="11"/>
        <v>0.29000000000000009</v>
      </c>
    </row>
    <row r="41" spans="1:114" x14ac:dyDescent="0.25">
      <c r="A41" s="161" t="s">
        <v>69</v>
      </c>
      <c r="B41" s="162"/>
      <c r="C41" s="78" t="s">
        <v>324</v>
      </c>
      <c r="D41" s="105">
        <v>9.4999999999999998E-3</v>
      </c>
      <c r="E41" s="112">
        <v>248859.87104999999</v>
      </c>
      <c r="F41" s="173">
        <v>45800</v>
      </c>
      <c r="G41" s="114">
        <v>-225017.92633544002</v>
      </c>
      <c r="H41" s="186">
        <f t="shared" si="7"/>
        <v>112509.3</v>
      </c>
      <c r="I41" s="189">
        <f t="shared" si="8"/>
        <v>112509.3</v>
      </c>
      <c r="J41" s="177">
        <f t="shared" si="2"/>
        <v>225018.3</v>
      </c>
      <c r="K41" s="114">
        <v>-23841.94471455997</v>
      </c>
      <c r="L41" s="209"/>
      <c r="M41" s="149">
        <v>0</v>
      </c>
      <c r="N41" s="152">
        <f t="shared" si="9"/>
        <v>23841.94471455997</v>
      </c>
      <c r="O41" s="152">
        <f t="shared" si="10"/>
        <v>248860.3</v>
      </c>
      <c r="P41" s="102">
        <f t="shared" si="11"/>
        <v>0.3000000000000001</v>
      </c>
    </row>
    <row r="42" spans="1:114" x14ac:dyDescent="0.25">
      <c r="A42" s="161" t="s">
        <v>70</v>
      </c>
      <c r="B42" s="162">
        <v>7</v>
      </c>
      <c r="C42" s="78" t="s">
        <v>187</v>
      </c>
      <c r="D42" s="105">
        <v>1.8700000000000001E-2</v>
      </c>
      <c r="E42" s="112">
        <v>489861.00933000003</v>
      </c>
      <c r="F42" s="173">
        <v>45806</v>
      </c>
      <c r="G42" s="114">
        <v>-435275.0052766751</v>
      </c>
      <c r="H42" s="186">
        <f t="shared" si="7"/>
        <v>217638.31</v>
      </c>
      <c r="I42" s="189">
        <f t="shared" si="8"/>
        <v>217638.31</v>
      </c>
      <c r="J42" s="177">
        <f t="shared" si="2"/>
        <v>435275.31</v>
      </c>
      <c r="K42" s="114">
        <v>-54586.004053324927</v>
      </c>
      <c r="L42" s="209"/>
      <c r="M42" s="149">
        <v>0</v>
      </c>
      <c r="N42" s="152">
        <f t="shared" si="9"/>
        <v>54586.004053324927</v>
      </c>
      <c r="O42" s="152">
        <f t="shared" si="10"/>
        <v>489861.31</v>
      </c>
      <c r="P42" s="102">
        <f t="shared" si="11"/>
        <v>0.31000000000000011</v>
      </c>
    </row>
    <row r="43" spans="1:114" x14ac:dyDescent="0.25">
      <c r="A43" s="161" t="s">
        <v>71</v>
      </c>
      <c r="B43" s="162">
        <v>3</v>
      </c>
      <c r="C43" s="78" t="s">
        <v>188</v>
      </c>
      <c r="D43" s="105">
        <v>9.6000000000000009E-3</v>
      </c>
      <c r="E43" s="112">
        <v>251479.44864000002</v>
      </c>
      <c r="F43" s="173">
        <v>45775</v>
      </c>
      <c r="G43" s="114">
        <v>-235991.14771264675</v>
      </c>
      <c r="H43" s="186">
        <f t="shared" si="7"/>
        <v>117996.32</v>
      </c>
      <c r="I43" s="189">
        <f t="shared" si="8"/>
        <v>117996.32</v>
      </c>
      <c r="J43" s="177">
        <f t="shared" si="2"/>
        <v>235991.32</v>
      </c>
      <c r="K43" s="114">
        <v>-15488.300927353266</v>
      </c>
      <c r="L43" s="209"/>
      <c r="M43" s="149">
        <v>0</v>
      </c>
      <c r="N43" s="152">
        <f t="shared" si="9"/>
        <v>15488.300927353266</v>
      </c>
      <c r="O43" s="152">
        <f t="shared" si="10"/>
        <v>251480.32000000001</v>
      </c>
      <c r="P43" s="102">
        <f t="shared" si="11"/>
        <v>0.32000000000000012</v>
      </c>
      <c r="Q43" s="32"/>
    </row>
    <row r="44" spans="1:114" x14ac:dyDescent="0.25">
      <c r="A44" s="161" t="s">
        <v>72</v>
      </c>
      <c r="B44" s="162">
        <v>24</v>
      </c>
      <c r="C44" s="78" t="s">
        <v>189</v>
      </c>
      <c r="D44" s="105">
        <v>1.9699999999999999E-2</v>
      </c>
      <c r="E44" s="112">
        <v>516056.78522999992</v>
      </c>
      <c r="F44" s="173">
        <v>45793</v>
      </c>
      <c r="G44" s="114">
        <v>-471560.18735745805</v>
      </c>
      <c r="H44" s="186">
        <f t="shared" si="7"/>
        <v>235780.33</v>
      </c>
      <c r="I44" s="189">
        <f t="shared" si="8"/>
        <v>235780.33</v>
      </c>
      <c r="J44" s="177">
        <f t="shared" si="2"/>
        <v>471560.33</v>
      </c>
      <c r="K44" s="114">
        <v>-44496.597872541868</v>
      </c>
      <c r="L44" s="209"/>
      <c r="M44" s="149">
        <v>0</v>
      </c>
      <c r="N44" s="152">
        <f t="shared" si="9"/>
        <v>44496.597872541868</v>
      </c>
      <c r="O44" s="152">
        <f t="shared" si="10"/>
        <v>516057.33</v>
      </c>
      <c r="P44" s="102">
        <f t="shared" si="11"/>
        <v>0.33000000000000013</v>
      </c>
      <c r="Q44" s="32"/>
    </row>
    <row r="45" spans="1:114" x14ac:dyDescent="0.25">
      <c r="A45" s="161" t="s">
        <v>73</v>
      </c>
      <c r="B45" s="162"/>
      <c r="C45" s="78" t="s">
        <v>267</v>
      </c>
      <c r="D45" s="105">
        <v>9.4000000000000004E-3</v>
      </c>
      <c r="E45" s="112">
        <v>246240.29345999999</v>
      </c>
      <c r="F45" s="173">
        <v>45786</v>
      </c>
      <c r="G45" s="114">
        <v>-227367.51195963251</v>
      </c>
      <c r="H45" s="186">
        <f t="shared" si="7"/>
        <v>113684.34</v>
      </c>
      <c r="I45" s="189">
        <f t="shared" si="8"/>
        <v>113684.34</v>
      </c>
      <c r="J45" s="177">
        <f t="shared" si="2"/>
        <v>227368.34</v>
      </c>
      <c r="K45" s="114">
        <v>-18872.781500367477</v>
      </c>
      <c r="L45" s="209">
        <v>206121.34</v>
      </c>
      <c r="M45" s="149">
        <v>21247</v>
      </c>
      <c r="N45" s="152">
        <f t="shared" si="9"/>
        <v>18872.781500367477</v>
      </c>
      <c r="O45" s="152">
        <f t="shared" si="10"/>
        <v>246241.34</v>
      </c>
      <c r="P45" s="102">
        <f t="shared" si="11"/>
        <v>0.34000000000000014</v>
      </c>
      <c r="Q45" t="s">
        <v>283</v>
      </c>
    </row>
    <row r="46" spans="1:114" x14ac:dyDescent="0.25">
      <c r="A46" s="161" t="s">
        <v>74</v>
      </c>
      <c r="B46" s="162"/>
      <c r="C46" s="78" t="s">
        <v>325</v>
      </c>
      <c r="D46" s="105">
        <v>8.6999999999999994E-3</v>
      </c>
      <c r="E46" s="112">
        <v>227903.25032999998</v>
      </c>
      <c r="F46" s="173">
        <v>45807</v>
      </c>
      <c r="G46" s="114">
        <v>-201632.39809641102</v>
      </c>
      <c r="H46" s="186">
        <f t="shared" si="7"/>
        <v>100816.35</v>
      </c>
      <c r="I46" s="189">
        <f t="shared" si="8"/>
        <v>100816.35</v>
      </c>
      <c r="J46" s="177">
        <f t="shared" si="2"/>
        <v>201632.35</v>
      </c>
      <c r="K46" s="114">
        <v>-26270.852233588957</v>
      </c>
      <c r="L46" s="209"/>
      <c r="M46" s="149">
        <v>0</v>
      </c>
      <c r="N46" s="152">
        <f t="shared" si="9"/>
        <v>26270.852233588957</v>
      </c>
      <c r="O46" s="152">
        <f t="shared" si="10"/>
        <v>227903.35</v>
      </c>
      <c r="P46" s="102">
        <f t="shared" si="11"/>
        <v>0.35000000000000014</v>
      </c>
    </row>
    <row r="47" spans="1:114" x14ac:dyDescent="0.25">
      <c r="A47" s="161" t="s">
        <v>75</v>
      </c>
      <c r="B47" s="162"/>
      <c r="C47" s="78" t="s">
        <v>190</v>
      </c>
      <c r="D47" s="105">
        <v>9.4999999999999998E-3</v>
      </c>
      <c r="E47" s="112">
        <v>248859.87104999999</v>
      </c>
      <c r="F47" s="173">
        <v>45786</v>
      </c>
      <c r="G47" s="114">
        <v>-229786.31527835201</v>
      </c>
      <c r="H47" s="186">
        <f t="shared" si="7"/>
        <v>114893.36</v>
      </c>
      <c r="I47" s="189">
        <f t="shared" si="8"/>
        <v>114893.36</v>
      </c>
      <c r="J47" s="177">
        <f t="shared" si="2"/>
        <v>229786.36</v>
      </c>
      <c r="K47" s="114">
        <v>-19073.555771647982</v>
      </c>
      <c r="L47" s="209"/>
      <c r="M47" s="149">
        <v>0</v>
      </c>
      <c r="N47" s="152">
        <f t="shared" si="9"/>
        <v>19073.555771647982</v>
      </c>
      <c r="O47" s="152">
        <f t="shared" si="10"/>
        <v>248860.36</v>
      </c>
      <c r="P47" s="102">
        <f t="shared" si="11"/>
        <v>0.36000000000000015</v>
      </c>
    </row>
    <row r="48" spans="1:114" x14ac:dyDescent="0.25">
      <c r="A48" s="161" t="s">
        <v>76</v>
      </c>
      <c r="B48" s="162">
        <v>8</v>
      </c>
      <c r="C48" s="78" t="s">
        <v>187</v>
      </c>
      <c r="D48" s="105">
        <v>1.8700000000000001E-2</v>
      </c>
      <c r="E48" s="112">
        <v>489861.00933000003</v>
      </c>
      <c r="F48" s="173">
        <v>45793</v>
      </c>
      <c r="G48" s="114">
        <v>-447623.12200936372</v>
      </c>
      <c r="H48" s="186">
        <f t="shared" si="7"/>
        <v>223812.37</v>
      </c>
      <c r="I48" s="189">
        <f t="shared" si="8"/>
        <v>223812.37</v>
      </c>
      <c r="J48" s="177">
        <f t="shared" si="2"/>
        <v>447623.37</v>
      </c>
      <c r="K48" s="114">
        <v>-42237.887320636306</v>
      </c>
      <c r="L48" s="209"/>
      <c r="M48" s="149">
        <v>0</v>
      </c>
      <c r="N48" s="152">
        <f t="shared" si="9"/>
        <v>42237.887320636306</v>
      </c>
      <c r="O48" s="152">
        <f t="shared" si="10"/>
        <v>489861.37</v>
      </c>
      <c r="P48" s="102">
        <f t="shared" si="11"/>
        <v>0.37000000000000016</v>
      </c>
      <c r="R48" s="45"/>
    </row>
    <row r="49" spans="1:19" x14ac:dyDescent="0.25">
      <c r="A49" s="161" t="s">
        <v>77</v>
      </c>
      <c r="B49" s="162"/>
      <c r="C49" s="78" t="s">
        <v>191</v>
      </c>
      <c r="D49" s="105">
        <v>7.3000000000000001E-3</v>
      </c>
      <c r="E49" s="112">
        <v>191229.16407</v>
      </c>
      <c r="F49" s="173">
        <v>45805</v>
      </c>
      <c r="G49" s="114">
        <v>-170654.57315202037</v>
      </c>
      <c r="H49" s="186">
        <f t="shared" si="7"/>
        <v>85328.38</v>
      </c>
      <c r="I49" s="189">
        <f t="shared" si="8"/>
        <v>85328.38</v>
      </c>
      <c r="J49" s="177">
        <f t="shared" si="2"/>
        <v>170655.38</v>
      </c>
      <c r="K49" s="114">
        <v>-20574.590917979629</v>
      </c>
      <c r="L49" s="209"/>
      <c r="M49" s="149">
        <v>0</v>
      </c>
      <c r="N49" s="152">
        <f t="shared" si="9"/>
        <v>20574.590917979629</v>
      </c>
      <c r="O49" s="152">
        <f t="shared" si="10"/>
        <v>191230.38</v>
      </c>
      <c r="P49" s="102">
        <f t="shared" si="11"/>
        <v>0.38000000000000017</v>
      </c>
    </row>
    <row r="50" spans="1:19" x14ac:dyDescent="0.25">
      <c r="A50" s="161" t="s">
        <v>78</v>
      </c>
      <c r="B50" s="162">
        <v>14</v>
      </c>
      <c r="C50" s="78" t="s">
        <v>192</v>
      </c>
      <c r="D50" s="105">
        <v>1.9699999999999999E-2</v>
      </c>
      <c r="E50" s="112">
        <v>516056.78522999992</v>
      </c>
      <c r="F50" s="173">
        <v>45805</v>
      </c>
      <c r="G50" s="114">
        <v>-460533.57412257558</v>
      </c>
      <c r="H50" s="186">
        <f t="shared" si="7"/>
        <v>230267.39</v>
      </c>
      <c r="I50" s="189">
        <f t="shared" si="8"/>
        <v>230267.39</v>
      </c>
      <c r="J50" s="177">
        <f t="shared" si="2"/>
        <v>460534.39</v>
      </c>
      <c r="K50" s="114">
        <v>-55523.211107424344</v>
      </c>
      <c r="L50" s="209"/>
      <c r="M50" s="149">
        <f t="shared" si="3"/>
        <v>460534.39</v>
      </c>
      <c r="N50" s="152">
        <f t="shared" si="9"/>
        <v>55523.211107424344</v>
      </c>
      <c r="O50" s="152">
        <f t="shared" si="10"/>
        <v>516058.39</v>
      </c>
      <c r="P50" s="102">
        <f t="shared" si="11"/>
        <v>0.39000000000000018</v>
      </c>
    </row>
    <row r="51" spans="1:19" x14ac:dyDescent="0.25">
      <c r="A51" s="161" t="s">
        <v>79</v>
      </c>
      <c r="B51" s="162"/>
      <c r="C51" s="78" t="s">
        <v>193</v>
      </c>
      <c r="D51" s="105">
        <v>9.4000000000000004E-3</v>
      </c>
      <c r="E51" s="112">
        <v>246240.29345999999</v>
      </c>
      <c r="F51" s="173">
        <v>45793</v>
      </c>
      <c r="G51" s="114">
        <v>-225008.41427208658</v>
      </c>
      <c r="H51" s="186">
        <f t="shared" si="7"/>
        <v>112504.4</v>
      </c>
      <c r="I51" s="189">
        <f t="shared" si="8"/>
        <v>112504.4</v>
      </c>
      <c r="J51" s="177">
        <f t="shared" si="2"/>
        <v>225008.4</v>
      </c>
      <c r="K51" s="114">
        <v>-21231.879187913408</v>
      </c>
      <c r="L51" s="209"/>
      <c r="M51" s="149">
        <v>0</v>
      </c>
      <c r="N51" s="152">
        <f t="shared" si="9"/>
        <v>21231.879187913408</v>
      </c>
      <c r="O51" s="152">
        <f t="shared" si="10"/>
        <v>246240.4</v>
      </c>
      <c r="P51" s="102">
        <f t="shared" si="11"/>
        <v>0.40000000000000019</v>
      </c>
    </row>
    <row r="52" spans="1:19" x14ac:dyDescent="0.25">
      <c r="A52" s="161" t="s">
        <v>80</v>
      </c>
      <c r="B52" s="162"/>
      <c r="C52" s="78" t="s">
        <v>365</v>
      </c>
      <c r="D52" s="105">
        <v>8.6999999999999994E-3</v>
      </c>
      <c r="E52" s="112">
        <v>227903.25032999998</v>
      </c>
      <c r="F52" s="173">
        <v>45800</v>
      </c>
      <c r="G52" s="114">
        <v>-206069.04832824506</v>
      </c>
      <c r="H52" s="186">
        <f t="shared" si="7"/>
        <v>103035.41</v>
      </c>
      <c r="I52" s="189">
        <f t="shared" si="8"/>
        <v>103035.41</v>
      </c>
      <c r="J52" s="177">
        <f t="shared" si="2"/>
        <v>206069.41</v>
      </c>
      <c r="K52" s="114">
        <v>-21834.202001754922</v>
      </c>
      <c r="L52" s="209"/>
      <c r="M52" s="149">
        <v>0</v>
      </c>
      <c r="N52" s="152">
        <f t="shared" si="9"/>
        <v>21834.202001754922</v>
      </c>
      <c r="O52" s="152">
        <f t="shared" si="10"/>
        <v>227904.41</v>
      </c>
      <c r="P52" s="102">
        <f t="shared" si="11"/>
        <v>0.4100000000000002</v>
      </c>
      <c r="R52" t="s">
        <v>242</v>
      </c>
    </row>
    <row r="53" spans="1:19" x14ac:dyDescent="0.25">
      <c r="A53" s="161" t="s">
        <v>81</v>
      </c>
      <c r="B53" s="171">
        <v>5</v>
      </c>
      <c r="C53" s="78" t="s">
        <v>194</v>
      </c>
      <c r="D53" s="105">
        <v>1.18E-2</v>
      </c>
      <c r="E53" s="112">
        <v>309110.15561999998</v>
      </c>
      <c r="F53" s="173">
        <v>45793</v>
      </c>
      <c r="G53" s="114">
        <v>-282457.37110751297</v>
      </c>
      <c r="H53" s="186">
        <f t="shared" si="7"/>
        <v>141229.42000000001</v>
      </c>
      <c r="I53" s="189">
        <f t="shared" si="8"/>
        <v>141229.42000000001</v>
      </c>
      <c r="J53" s="177">
        <f t="shared" si="2"/>
        <v>282457.42</v>
      </c>
      <c r="K53" s="114">
        <v>-26652.784512487007</v>
      </c>
      <c r="L53" s="209"/>
      <c r="M53" s="149">
        <v>0</v>
      </c>
      <c r="N53" s="152">
        <f t="shared" si="9"/>
        <v>26652.784512487007</v>
      </c>
      <c r="O53" s="152">
        <f t="shared" si="10"/>
        <v>309110.42</v>
      </c>
      <c r="P53" s="102">
        <f t="shared" si="11"/>
        <v>0.42000000000000021</v>
      </c>
      <c r="Q53" t="s">
        <v>264</v>
      </c>
    </row>
    <row r="54" spans="1:19" x14ac:dyDescent="0.25">
      <c r="A54" s="161" t="s">
        <v>82</v>
      </c>
      <c r="B54" s="162">
        <v>26</v>
      </c>
      <c r="C54" s="78" t="s">
        <v>195</v>
      </c>
      <c r="D54" s="105">
        <v>1.8700000000000001E-2</v>
      </c>
      <c r="E54" s="112">
        <v>489861.00933000003</v>
      </c>
      <c r="F54" s="173">
        <v>45793</v>
      </c>
      <c r="G54" s="114">
        <v>-447623.12200936372</v>
      </c>
      <c r="H54" s="186">
        <f t="shared" si="7"/>
        <v>223812.43</v>
      </c>
      <c r="I54" s="189">
        <f t="shared" si="8"/>
        <v>223812.43</v>
      </c>
      <c r="J54" s="177">
        <f t="shared" si="2"/>
        <v>447623.43</v>
      </c>
      <c r="K54" s="114">
        <v>-42237.887320636306</v>
      </c>
      <c r="L54" s="209"/>
      <c r="M54" s="149">
        <v>0</v>
      </c>
      <c r="N54" s="152">
        <f>-K54</f>
        <v>42237.887320636306</v>
      </c>
      <c r="O54" s="152">
        <f t="shared" si="10"/>
        <v>489861.43</v>
      </c>
      <c r="P54" s="102">
        <f t="shared" si="11"/>
        <v>0.43000000000000022</v>
      </c>
    </row>
    <row r="55" spans="1:19" x14ac:dyDescent="0.25">
      <c r="A55" s="161" t="s">
        <v>83</v>
      </c>
      <c r="B55" s="162"/>
      <c r="C55" s="78" t="s">
        <v>195</v>
      </c>
      <c r="D55" s="105">
        <v>7.3000000000000001E-3</v>
      </c>
      <c r="E55" s="112">
        <v>191229.16407</v>
      </c>
      <c r="F55" s="173">
        <v>45793</v>
      </c>
      <c r="G55" s="114">
        <v>-174740.57704108849</v>
      </c>
      <c r="H55" s="186">
        <f t="shared" si="7"/>
        <v>87371.44</v>
      </c>
      <c r="I55" s="189">
        <f t="shared" si="8"/>
        <v>87371.44</v>
      </c>
      <c r="J55" s="177">
        <f t="shared" si="2"/>
        <v>174741.44</v>
      </c>
      <c r="K55" s="114">
        <v>-16488.587028911512</v>
      </c>
      <c r="L55" s="209"/>
      <c r="M55" s="149">
        <v>0</v>
      </c>
      <c r="N55" s="152">
        <f t="shared" si="9"/>
        <v>16488.587028911512</v>
      </c>
      <c r="O55" s="152">
        <f t="shared" si="10"/>
        <v>191230.44</v>
      </c>
      <c r="P55" s="102">
        <f t="shared" si="11"/>
        <v>0.44000000000000022</v>
      </c>
    </row>
    <row r="56" spans="1:19" x14ac:dyDescent="0.25">
      <c r="A56" s="161" t="s">
        <v>84</v>
      </c>
      <c r="B56" s="162">
        <v>43</v>
      </c>
      <c r="C56" s="78" t="s">
        <v>196</v>
      </c>
      <c r="D56" s="105">
        <v>1.9699999999999999E-2</v>
      </c>
      <c r="E56" s="112">
        <v>516056.78522999992</v>
      </c>
      <c r="F56" s="173">
        <v>45770</v>
      </c>
      <c r="G56" s="114">
        <v>-487804.97705695755</v>
      </c>
      <c r="H56" s="186">
        <f t="shared" si="7"/>
        <v>243903.45</v>
      </c>
      <c r="I56" s="189">
        <f t="shared" si="8"/>
        <v>243903.45</v>
      </c>
      <c r="J56" s="177">
        <f t="shared" si="2"/>
        <v>487805.45</v>
      </c>
      <c r="K56" s="114">
        <v>-28251.808173042373</v>
      </c>
      <c r="L56" s="209"/>
      <c r="M56" s="149">
        <v>0</v>
      </c>
      <c r="N56" s="152">
        <f t="shared" si="9"/>
        <v>28251.808173042373</v>
      </c>
      <c r="O56" s="152">
        <f t="shared" si="10"/>
        <v>516057.45</v>
      </c>
      <c r="P56" s="102">
        <f t="shared" si="11"/>
        <v>0.45000000000000023</v>
      </c>
    </row>
    <row r="57" spans="1:19" x14ac:dyDescent="0.25">
      <c r="A57" s="161" t="s">
        <v>85</v>
      </c>
      <c r="B57" s="162">
        <v>10</v>
      </c>
      <c r="C57" s="78" t="s">
        <v>197</v>
      </c>
      <c r="D57" s="105">
        <v>1.17E-2</v>
      </c>
      <c r="E57" s="112">
        <v>306490.57802999998</v>
      </c>
      <c r="F57" s="173">
        <v>45793</v>
      </c>
      <c r="G57" s="114">
        <v>-280063.66457270354</v>
      </c>
      <c r="H57" s="186">
        <f t="shared" si="7"/>
        <v>140032.46</v>
      </c>
      <c r="I57" s="189">
        <f t="shared" si="8"/>
        <v>140032.46</v>
      </c>
      <c r="J57" s="177">
        <f t="shared" si="2"/>
        <v>280064.46000000002</v>
      </c>
      <c r="K57" s="114">
        <v>-26426.913457296439</v>
      </c>
      <c r="L57" s="209"/>
      <c r="M57" s="149">
        <v>0</v>
      </c>
      <c r="N57" s="152">
        <f t="shared" si="9"/>
        <v>26426.913457296439</v>
      </c>
      <c r="O57" s="152">
        <f t="shared" si="10"/>
        <v>306491.46000000002</v>
      </c>
      <c r="P57" s="138">
        <f t="shared" si="11"/>
        <v>0.46000000000000024</v>
      </c>
    </row>
    <row r="58" spans="1:19" x14ac:dyDescent="0.25">
      <c r="A58" s="161" t="s">
        <v>86</v>
      </c>
      <c r="B58" s="171">
        <v>12</v>
      </c>
      <c r="C58" s="78" t="s">
        <v>176</v>
      </c>
      <c r="D58" s="105">
        <v>1.0999999999999999E-2</v>
      </c>
      <c r="E58" s="112">
        <v>288153.53489999997</v>
      </c>
      <c r="F58" s="173">
        <v>45800</v>
      </c>
      <c r="G58" s="114">
        <v>-260547.07259893051</v>
      </c>
      <c r="H58" s="186">
        <f t="shared" si="7"/>
        <v>130274.47</v>
      </c>
      <c r="I58" s="189">
        <f t="shared" si="8"/>
        <v>130274.47</v>
      </c>
      <c r="J58" s="177">
        <f t="shared" si="2"/>
        <v>260547.47</v>
      </c>
      <c r="K58" s="114">
        <v>-27606.462301069463</v>
      </c>
      <c r="L58" s="209"/>
      <c r="M58" s="149">
        <v>0</v>
      </c>
      <c r="N58" s="152">
        <f t="shared" si="9"/>
        <v>27606.462301069463</v>
      </c>
      <c r="O58" s="152">
        <f t="shared" si="10"/>
        <v>288154.46999999997</v>
      </c>
      <c r="P58" s="138">
        <f t="shared" si="11"/>
        <v>0.47000000000000025</v>
      </c>
    </row>
    <row r="59" spans="1:19" x14ac:dyDescent="0.25">
      <c r="A59" s="161" t="s">
        <v>87</v>
      </c>
      <c r="B59" s="162">
        <v>20</v>
      </c>
      <c r="C59" s="78" t="s">
        <v>198</v>
      </c>
      <c r="D59" s="105">
        <v>1.18E-2</v>
      </c>
      <c r="E59" s="112">
        <v>309110.15561999998</v>
      </c>
      <c r="F59" s="173">
        <v>45805</v>
      </c>
      <c r="G59" s="114">
        <v>-275852.5976977864</v>
      </c>
      <c r="H59" s="186">
        <f t="shared" si="7"/>
        <v>137927.48000000001</v>
      </c>
      <c r="I59" s="189">
        <f t="shared" si="8"/>
        <v>137927.48000000001</v>
      </c>
      <c r="J59" s="177">
        <f t="shared" si="2"/>
        <v>275853.48</v>
      </c>
      <c r="K59" s="114">
        <v>-33257.557922213571</v>
      </c>
      <c r="L59" s="209"/>
      <c r="M59" s="149">
        <f>IF(L59=H59,I59,J59)</f>
        <v>275853.48</v>
      </c>
      <c r="N59" s="152">
        <f t="shared" si="9"/>
        <v>33257.557922213571</v>
      </c>
      <c r="O59" s="152">
        <f t="shared" si="10"/>
        <v>309111.48</v>
      </c>
      <c r="P59" s="138">
        <f t="shared" si="11"/>
        <v>0.48000000000000026</v>
      </c>
      <c r="S59" s="147"/>
    </row>
    <row r="60" spans="1:19" x14ac:dyDescent="0.25">
      <c r="A60" s="161" t="s">
        <v>88</v>
      </c>
      <c r="B60" s="162">
        <v>4</v>
      </c>
      <c r="C60" s="78" t="s">
        <v>326</v>
      </c>
      <c r="D60" s="105">
        <v>1.8700000000000001E-2</v>
      </c>
      <c r="E60" s="112">
        <v>489861.00933000003</v>
      </c>
      <c r="F60" s="173">
        <v>45793</v>
      </c>
      <c r="G60" s="114">
        <v>-447623.12200936372</v>
      </c>
      <c r="H60" s="186">
        <f t="shared" si="7"/>
        <v>223812.49</v>
      </c>
      <c r="I60" s="189">
        <f t="shared" si="8"/>
        <v>223812.49</v>
      </c>
      <c r="J60" s="177">
        <f t="shared" si="2"/>
        <v>447623.49</v>
      </c>
      <c r="K60" s="114">
        <v>-42237.887320636306</v>
      </c>
      <c r="L60" s="209"/>
      <c r="M60" s="149">
        <v>0</v>
      </c>
      <c r="N60" s="152">
        <f t="shared" si="9"/>
        <v>42237.887320636306</v>
      </c>
      <c r="O60" s="152">
        <f t="shared" si="10"/>
        <v>489861.49</v>
      </c>
      <c r="P60" s="102">
        <f t="shared" si="11"/>
        <v>0.49000000000000027</v>
      </c>
      <c r="S60" s="32"/>
    </row>
    <row r="61" spans="1:19" x14ac:dyDescent="0.25">
      <c r="A61" s="161" t="s">
        <v>89</v>
      </c>
      <c r="B61" s="162"/>
      <c r="C61" s="78" t="s">
        <v>200</v>
      </c>
      <c r="D61" s="105">
        <v>7.3000000000000001E-3</v>
      </c>
      <c r="E61" s="112">
        <v>191229.16407</v>
      </c>
      <c r="F61" s="173">
        <v>45793</v>
      </c>
      <c r="G61" s="114">
        <v>-174740.57704108849</v>
      </c>
      <c r="H61" s="186">
        <f t="shared" si="7"/>
        <v>87371.5</v>
      </c>
      <c r="I61" s="189">
        <f t="shared" si="8"/>
        <v>87371.5</v>
      </c>
      <c r="J61" s="177">
        <f>ROUND((-G61),0)+P61</f>
        <v>174741.5</v>
      </c>
      <c r="K61" s="114">
        <v>-16488.587028911512</v>
      </c>
      <c r="L61" s="209"/>
      <c r="M61" s="149">
        <f>IF(L61=H61,I61,J61)</f>
        <v>174741.5</v>
      </c>
      <c r="N61" s="152">
        <f t="shared" si="9"/>
        <v>16488.587028911512</v>
      </c>
      <c r="O61" s="152">
        <f t="shared" si="10"/>
        <v>191230.5</v>
      </c>
      <c r="P61" s="102">
        <f t="shared" si="11"/>
        <v>0.50000000000000022</v>
      </c>
    </row>
    <row r="62" spans="1:19" x14ac:dyDescent="0.25">
      <c r="A62" s="161" t="s">
        <v>90</v>
      </c>
      <c r="B62" s="162">
        <v>17</v>
      </c>
      <c r="C62" s="78" t="s">
        <v>201</v>
      </c>
      <c r="D62" s="105">
        <v>1.9699999999999999E-2</v>
      </c>
      <c r="E62" s="112">
        <v>516056.78522999992</v>
      </c>
      <c r="F62" s="173">
        <v>45796</v>
      </c>
      <c r="G62" s="114">
        <v>-469441.3017444798</v>
      </c>
      <c r="H62" s="186">
        <f t="shared" si="7"/>
        <v>234721.51</v>
      </c>
      <c r="I62" s="189">
        <f t="shared" si="8"/>
        <v>234721.51</v>
      </c>
      <c r="J62" s="177">
        <f t="shared" si="2"/>
        <v>469441.51</v>
      </c>
      <c r="K62" s="114">
        <v>-46615.483485520119</v>
      </c>
      <c r="L62" s="209"/>
      <c r="M62" s="149">
        <v>0</v>
      </c>
      <c r="N62" s="152">
        <f t="shared" si="9"/>
        <v>46615.483485520119</v>
      </c>
      <c r="O62" s="152">
        <f t="shared" si="10"/>
        <v>516057.51</v>
      </c>
      <c r="P62" s="102">
        <f t="shared" si="11"/>
        <v>0.51000000000000023</v>
      </c>
    </row>
    <row r="63" spans="1:19" x14ac:dyDescent="0.25">
      <c r="A63" s="161" t="s">
        <v>91</v>
      </c>
      <c r="B63" s="162"/>
      <c r="C63" s="78" t="s">
        <v>202</v>
      </c>
      <c r="D63" s="105">
        <v>9.4000000000000004E-3</v>
      </c>
      <c r="E63" s="112">
        <v>246240.29345999999</v>
      </c>
      <c r="F63" s="173">
        <v>45863</v>
      </c>
      <c r="G63" s="114">
        <v>-164899.57136629923</v>
      </c>
      <c r="H63" s="186">
        <f t="shared" si="7"/>
        <v>82450.52</v>
      </c>
      <c r="I63" s="189">
        <f t="shared" si="8"/>
        <v>82450.52</v>
      </c>
      <c r="J63" s="177">
        <f t="shared" si="2"/>
        <v>164900.51999999999</v>
      </c>
      <c r="K63" s="114">
        <v>-81340.722093700751</v>
      </c>
      <c r="L63" s="209"/>
      <c r="M63" s="149">
        <v>0</v>
      </c>
      <c r="N63" s="152">
        <f t="shared" si="9"/>
        <v>81340.722093700751</v>
      </c>
      <c r="O63" s="152">
        <f t="shared" si="10"/>
        <v>246241.52</v>
      </c>
      <c r="P63" s="102">
        <f t="shared" si="11"/>
        <v>0.52000000000000024</v>
      </c>
    </row>
    <row r="64" spans="1:19" x14ac:dyDescent="0.25">
      <c r="A64" s="161" t="s">
        <v>92</v>
      </c>
      <c r="B64" s="162"/>
      <c r="C64" s="78" t="s">
        <v>327</v>
      </c>
      <c r="D64" s="105">
        <v>8.6999999999999994E-3</v>
      </c>
      <c r="E64" s="112">
        <v>227903.25032999998</v>
      </c>
      <c r="F64" s="173">
        <v>45800</v>
      </c>
      <c r="G64" s="114">
        <v>-206069.04832824506</v>
      </c>
      <c r="H64" s="186">
        <f t="shared" si="7"/>
        <v>103035.53</v>
      </c>
      <c r="I64" s="189">
        <f t="shared" si="8"/>
        <v>103035.53</v>
      </c>
      <c r="J64" s="177">
        <f t="shared" si="2"/>
        <v>206069.53</v>
      </c>
      <c r="K64" s="114">
        <v>-21834.202001754922</v>
      </c>
      <c r="L64" s="209"/>
      <c r="M64" s="149">
        <v>0</v>
      </c>
      <c r="N64" s="152">
        <f t="shared" si="9"/>
        <v>21834.202001754922</v>
      </c>
      <c r="O64" s="152">
        <f t="shared" si="10"/>
        <v>227904.53</v>
      </c>
      <c r="P64" s="102">
        <f t="shared" si="11"/>
        <v>0.53000000000000025</v>
      </c>
      <c r="R64" t="s">
        <v>243</v>
      </c>
    </row>
    <row r="65" spans="1:17" x14ac:dyDescent="0.25">
      <c r="A65" s="161" t="s">
        <v>93</v>
      </c>
      <c r="B65" s="162">
        <v>23</v>
      </c>
      <c r="C65" s="78" t="s">
        <v>203</v>
      </c>
      <c r="D65" s="105">
        <v>1.18E-2</v>
      </c>
      <c r="E65" s="112">
        <v>309110.15561999998</v>
      </c>
      <c r="F65" s="173">
        <v>45786</v>
      </c>
      <c r="G65" s="114">
        <v>-285418.79160890041</v>
      </c>
      <c r="H65" s="186">
        <f t="shared" si="7"/>
        <v>142710.54</v>
      </c>
      <c r="I65" s="189">
        <f t="shared" si="8"/>
        <v>142710.54</v>
      </c>
      <c r="J65" s="177">
        <f t="shared" si="2"/>
        <v>285419.53999999998</v>
      </c>
      <c r="K65" s="114">
        <v>-23691.364011099562</v>
      </c>
      <c r="L65" s="209"/>
      <c r="M65" s="149">
        <f t="shared" si="3"/>
        <v>285419.53999999998</v>
      </c>
      <c r="N65" s="152">
        <f t="shared" si="9"/>
        <v>23691.364011099562</v>
      </c>
      <c r="O65" s="152">
        <f t="shared" si="10"/>
        <v>309111.53999999998</v>
      </c>
      <c r="P65" s="102">
        <f t="shared" si="11"/>
        <v>0.54000000000000026</v>
      </c>
    </row>
    <row r="66" spans="1:17" x14ac:dyDescent="0.25">
      <c r="A66" s="161" t="s">
        <v>94</v>
      </c>
      <c r="B66" s="172">
        <v>21</v>
      </c>
      <c r="C66" s="78" t="s">
        <v>204</v>
      </c>
      <c r="D66" s="105">
        <v>2.58E-2</v>
      </c>
      <c r="E66" s="112">
        <v>675851.01821999997</v>
      </c>
      <c r="F66" s="173">
        <v>45775</v>
      </c>
      <c r="G66" s="114">
        <v>-634226.20947773824</v>
      </c>
      <c r="H66" s="186">
        <f t="shared" si="7"/>
        <v>317113.55</v>
      </c>
      <c r="I66" s="189">
        <f t="shared" si="8"/>
        <v>317113.55</v>
      </c>
      <c r="J66" s="177">
        <f t="shared" si="2"/>
        <v>634226.55000000005</v>
      </c>
      <c r="K66" s="114">
        <v>-41624.808742261725</v>
      </c>
      <c r="L66" s="209"/>
      <c r="M66" s="149">
        <v>0</v>
      </c>
      <c r="N66" s="152">
        <f t="shared" si="9"/>
        <v>41624.808742261725</v>
      </c>
      <c r="O66" s="152">
        <f t="shared" si="10"/>
        <v>675851.55</v>
      </c>
      <c r="P66" s="102">
        <f t="shared" si="11"/>
        <v>0.55000000000000027</v>
      </c>
      <c r="Q66" s="53"/>
    </row>
    <row r="67" spans="1:17" x14ac:dyDescent="0.25">
      <c r="A67" s="161" t="s">
        <v>95</v>
      </c>
      <c r="B67" s="162">
        <v>41</v>
      </c>
      <c r="C67" s="78" t="s">
        <v>328</v>
      </c>
      <c r="D67" s="105">
        <v>1.9699999999999999E-2</v>
      </c>
      <c r="E67" s="112">
        <v>516056.78522999992</v>
      </c>
      <c r="F67" s="173">
        <v>45790</v>
      </c>
      <c r="G67" s="114">
        <v>-473679.07297043619</v>
      </c>
      <c r="H67" s="186">
        <f t="shared" si="7"/>
        <v>236840.56</v>
      </c>
      <c r="I67" s="189">
        <f t="shared" si="8"/>
        <v>236840.56</v>
      </c>
      <c r="J67" s="177">
        <f t="shared" si="2"/>
        <v>473679.56</v>
      </c>
      <c r="K67" s="114">
        <v>-42377.712259563734</v>
      </c>
      <c r="L67" s="209"/>
      <c r="M67" s="149">
        <v>0</v>
      </c>
      <c r="N67" s="152">
        <f t="shared" si="9"/>
        <v>42377.712259563734</v>
      </c>
      <c r="O67" s="152">
        <f t="shared" si="10"/>
        <v>516057.56</v>
      </c>
      <c r="P67" s="102">
        <f t="shared" si="11"/>
        <v>0.56000000000000028</v>
      </c>
    </row>
    <row r="68" spans="1:17" x14ac:dyDescent="0.25">
      <c r="A68" s="161" t="s">
        <v>96</v>
      </c>
      <c r="B68" s="162">
        <v>2</v>
      </c>
      <c r="C68" s="78" t="s">
        <v>329</v>
      </c>
      <c r="D68" s="105">
        <v>1.17E-2</v>
      </c>
      <c r="E68" s="112">
        <v>306490.57802999998</v>
      </c>
      <c r="F68" s="173"/>
      <c r="G68" s="114">
        <v>0</v>
      </c>
      <c r="H68" s="186"/>
      <c r="I68" s="189"/>
      <c r="J68" s="177"/>
      <c r="K68" s="114">
        <v>-306490.57802999998</v>
      </c>
      <c r="L68" s="209"/>
      <c r="M68" s="149">
        <f t="shared" si="3"/>
        <v>0</v>
      </c>
      <c r="N68" s="152">
        <f t="shared" si="9"/>
        <v>306490.57802999998</v>
      </c>
      <c r="O68" s="152">
        <f t="shared" si="10"/>
        <v>306491.57</v>
      </c>
      <c r="P68" s="102">
        <f t="shared" si="11"/>
        <v>0.57000000000000028</v>
      </c>
    </row>
    <row r="69" spans="1:17" x14ac:dyDescent="0.25">
      <c r="A69" s="161" t="s">
        <v>97</v>
      </c>
      <c r="B69" s="162"/>
      <c r="C69" s="78" t="s">
        <v>206</v>
      </c>
      <c r="D69" s="105">
        <v>8.6999999999999994E-3</v>
      </c>
      <c r="E69" s="112">
        <v>227903.25032999998</v>
      </c>
      <c r="F69" s="173">
        <v>45775</v>
      </c>
      <c r="G69" s="114">
        <v>-213866.97761458607</v>
      </c>
      <c r="H69" s="186">
        <f t="shared" si="7"/>
        <v>106934.58</v>
      </c>
      <c r="I69" s="189">
        <f t="shared" si="8"/>
        <v>106934.58</v>
      </c>
      <c r="J69" s="177">
        <f t="shared" si="2"/>
        <v>213867.58</v>
      </c>
      <c r="K69" s="114">
        <v>-14036.272715413914</v>
      </c>
      <c r="L69" s="209"/>
      <c r="M69" s="149">
        <f t="shared" si="3"/>
        <v>213867.58</v>
      </c>
      <c r="N69" s="152">
        <f t="shared" si="9"/>
        <v>14036.272715413914</v>
      </c>
      <c r="O69" s="152">
        <f t="shared" si="10"/>
        <v>227904.58</v>
      </c>
      <c r="P69" s="102">
        <f t="shared" si="11"/>
        <v>0.58000000000000029</v>
      </c>
    </row>
    <row r="70" spans="1:17" x14ac:dyDescent="0.25">
      <c r="A70" s="161" t="s">
        <v>98</v>
      </c>
      <c r="B70" s="162">
        <v>19</v>
      </c>
      <c r="C70" s="78" t="s">
        <v>207</v>
      </c>
      <c r="D70" s="105">
        <v>1.18E-2</v>
      </c>
      <c r="E70" s="112">
        <v>309110.15561999998</v>
      </c>
      <c r="F70" s="173">
        <v>45821</v>
      </c>
      <c r="G70" s="114">
        <v>-256859.2161501162</v>
      </c>
      <c r="H70" s="186">
        <f t="shared" si="7"/>
        <v>128430.59</v>
      </c>
      <c r="I70" s="189">
        <f t="shared" si="8"/>
        <v>128430.59</v>
      </c>
      <c r="J70" s="177">
        <f t="shared" si="2"/>
        <v>256859.59</v>
      </c>
      <c r="K70" s="114">
        <v>-52250.939469883771</v>
      </c>
      <c r="L70" s="209"/>
      <c r="M70" s="149">
        <v>0</v>
      </c>
      <c r="N70" s="152">
        <f t="shared" si="9"/>
        <v>52250.939469883771</v>
      </c>
      <c r="O70" s="152">
        <f t="shared" si="10"/>
        <v>309111.59000000003</v>
      </c>
      <c r="P70" s="102">
        <f t="shared" si="11"/>
        <v>0.5900000000000003</v>
      </c>
    </row>
    <row r="71" spans="1:17" x14ac:dyDescent="0.25">
      <c r="A71" s="161" t="s">
        <v>99</v>
      </c>
      <c r="B71" s="162">
        <v>36</v>
      </c>
      <c r="C71" s="78" t="s">
        <v>208</v>
      </c>
      <c r="D71" s="105">
        <v>2.58E-2</v>
      </c>
      <c r="E71" s="112">
        <v>675851.01821999997</v>
      </c>
      <c r="F71" s="173">
        <v>45891</v>
      </c>
      <c r="G71" s="114">
        <v>-382821.80090465758</v>
      </c>
      <c r="H71" s="186">
        <f t="shared" si="7"/>
        <v>191411.6</v>
      </c>
      <c r="I71" s="189">
        <f t="shared" si="8"/>
        <v>191411.6</v>
      </c>
      <c r="J71" s="177">
        <f t="shared" si="2"/>
        <v>382822.6</v>
      </c>
      <c r="K71" s="114">
        <v>-293029.21731534239</v>
      </c>
      <c r="L71" s="209"/>
      <c r="M71" s="149">
        <v>0</v>
      </c>
      <c r="N71" s="152">
        <f t="shared" si="9"/>
        <v>293029.21731534239</v>
      </c>
      <c r="O71" s="152">
        <f t="shared" si="10"/>
        <v>675852.6</v>
      </c>
      <c r="P71" s="102">
        <f t="shared" si="11"/>
        <v>0.60000000000000031</v>
      </c>
    </row>
    <row r="72" spans="1:17" x14ac:dyDescent="0.25">
      <c r="A72" s="161" t="s">
        <v>100</v>
      </c>
      <c r="B72" s="162">
        <v>15</v>
      </c>
      <c r="C72" s="78" t="s">
        <v>209</v>
      </c>
      <c r="D72" s="105">
        <v>1.9699999999999999E-2</v>
      </c>
      <c r="E72" s="112">
        <v>516056.78522999992</v>
      </c>
      <c r="F72" s="173">
        <v>45800</v>
      </c>
      <c r="G72" s="114">
        <v>-466616.12092717562</v>
      </c>
      <c r="H72" s="186">
        <f t="shared" si="7"/>
        <v>233308.61</v>
      </c>
      <c r="I72" s="189">
        <f t="shared" si="8"/>
        <v>233308.61</v>
      </c>
      <c r="J72" s="177">
        <f t="shared" ref="J72:J80" si="12">ROUND((-G72),0)+P72</f>
        <v>466616.61</v>
      </c>
      <c r="K72" s="114">
        <v>-49440.664302824298</v>
      </c>
      <c r="L72" s="209"/>
      <c r="M72" s="149">
        <v>0</v>
      </c>
      <c r="N72" s="152">
        <f t="shared" si="9"/>
        <v>49440.664302824298</v>
      </c>
      <c r="O72" s="152">
        <f t="shared" si="10"/>
        <v>516057.61</v>
      </c>
      <c r="P72" s="102">
        <f t="shared" si="11"/>
        <v>0.61000000000000032</v>
      </c>
    </row>
    <row r="73" spans="1:17" x14ac:dyDescent="0.25">
      <c r="A73" s="161" t="s">
        <v>101</v>
      </c>
      <c r="B73" s="162"/>
      <c r="C73" s="78" t="s">
        <v>210</v>
      </c>
      <c r="D73" s="105">
        <v>9.4000000000000004E-3</v>
      </c>
      <c r="E73" s="112">
        <v>246240.29345999999</v>
      </c>
      <c r="F73" s="173">
        <v>45784</v>
      </c>
      <c r="G73" s="114">
        <v>-228041.53987035993</v>
      </c>
      <c r="H73" s="186">
        <f t="shared" si="7"/>
        <v>114021.62</v>
      </c>
      <c r="I73" s="189">
        <f t="shared" si="8"/>
        <v>114021.62</v>
      </c>
      <c r="J73" s="177">
        <f t="shared" si="12"/>
        <v>228042.62</v>
      </c>
      <c r="K73" s="114">
        <v>-18198.753589640051</v>
      </c>
      <c r="L73" s="209"/>
      <c r="M73" s="149">
        <f t="shared" ref="M73" si="13">IF(L73=H73,I73,J73)</f>
        <v>228042.62</v>
      </c>
      <c r="N73" s="152">
        <f t="shared" si="9"/>
        <v>18198.753589640051</v>
      </c>
      <c r="O73" s="152">
        <f t="shared" si="10"/>
        <v>246241.62</v>
      </c>
      <c r="P73" s="102">
        <f t="shared" si="11"/>
        <v>0.62000000000000033</v>
      </c>
    </row>
    <row r="74" spans="1:17" x14ac:dyDescent="0.25">
      <c r="A74" s="161" t="s">
        <v>102</v>
      </c>
      <c r="B74" s="162">
        <v>40</v>
      </c>
      <c r="C74" s="78" t="s">
        <v>211</v>
      </c>
      <c r="D74" s="105">
        <v>1.0999999999999999E-2</v>
      </c>
      <c r="E74" s="112">
        <v>288153.53489999997</v>
      </c>
      <c r="F74" s="173">
        <v>45784</v>
      </c>
      <c r="G74" s="114">
        <v>-266857.12112488924</v>
      </c>
      <c r="H74" s="186">
        <f t="shared" si="7"/>
        <v>133429.63</v>
      </c>
      <c r="I74" s="189">
        <f t="shared" si="8"/>
        <v>133429.63</v>
      </c>
      <c r="J74" s="177">
        <f t="shared" si="12"/>
        <v>266857.63</v>
      </c>
      <c r="K74" s="114">
        <v>-21296.413775110734</v>
      </c>
      <c r="L74" s="209"/>
      <c r="M74" s="149">
        <v>133429.63</v>
      </c>
      <c r="N74" s="152">
        <f t="shared" si="9"/>
        <v>21296.413775110734</v>
      </c>
      <c r="O74" s="152">
        <f t="shared" si="10"/>
        <v>288154.63</v>
      </c>
      <c r="P74" s="102">
        <f t="shared" si="11"/>
        <v>0.63000000000000034</v>
      </c>
    </row>
    <row r="75" spans="1:17" x14ac:dyDescent="0.25">
      <c r="A75" s="161" t="s">
        <v>103</v>
      </c>
      <c r="B75" s="162"/>
      <c r="C75" s="78" t="s">
        <v>212</v>
      </c>
      <c r="D75" s="105">
        <v>9.4999999999999998E-3</v>
      </c>
      <c r="E75" s="112">
        <v>248859.87104999999</v>
      </c>
      <c r="F75" s="173">
        <v>45786</v>
      </c>
      <c r="G75" s="114">
        <v>-229786.31527835201</v>
      </c>
      <c r="H75" s="186">
        <f t="shared" si="7"/>
        <v>114893.64</v>
      </c>
      <c r="I75" s="189">
        <f t="shared" si="8"/>
        <v>114893.64</v>
      </c>
      <c r="J75" s="177">
        <f t="shared" si="12"/>
        <v>229786.64</v>
      </c>
      <c r="K75" s="114">
        <v>-19073.555771647982</v>
      </c>
      <c r="L75" s="209"/>
      <c r="M75" s="149">
        <v>0</v>
      </c>
      <c r="N75" s="152">
        <f t="shared" si="9"/>
        <v>19073.555771647982</v>
      </c>
      <c r="O75" s="152">
        <f t="shared" si="10"/>
        <v>248860.64</v>
      </c>
      <c r="P75" s="102">
        <f t="shared" si="11"/>
        <v>0.64000000000000035</v>
      </c>
    </row>
    <row r="76" spans="1:17" x14ac:dyDescent="0.25">
      <c r="A76" s="161" t="s">
        <v>104</v>
      </c>
      <c r="B76" s="162">
        <v>9</v>
      </c>
      <c r="C76" s="78" t="s">
        <v>330</v>
      </c>
      <c r="D76" s="105">
        <v>2.58E-2</v>
      </c>
      <c r="E76" s="112">
        <v>675851.01821999997</v>
      </c>
      <c r="F76" s="173">
        <v>45835</v>
      </c>
      <c r="G76" s="114">
        <v>-525270.52442663931</v>
      </c>
      <c r="H76" s="186">
        <f t="shared" si="7"/>
        <v>262636.65000000002</v>
      </c>
      <c r="I76" s="189">
        <f t="shared" si="8"/>
        <v>262636.65000000002</v>
      </c>
      <c r="J76" s="177">
        <f t="shared" si="12"/>
        <v>525271.65</v>
      </c>
      <c r="K76" s="114">
        <v>-150580.49379336066</v>
      </c>
      <c r="L76" s="209"/>
      <c r="M76" s="149">
        <v>0</v>
      </c>
      <c r="N76" s="152">
        <f t="shared" si="9"/>
        <v>150580.49379336066</v>
      </c>
      <c r="O76" s="152">
        <f t="shared" si="10"/>
        <v>675852.65</v>
      </c>
      <c r="P76" s="102">
        <f t="shared" si="11"/>
        <v>0.65000000000000036</v>
      </c>
    </row>
    <row r="77" spans="1:17" x14ac:dyDescent="0.25">
      <c r="A77" s="161" t="s">
        <v>105</v>
      </c>
      <c r="B77" s="162">
        <v>35</v>
      </c>
      <c r="C77" s="78" t="s">
        <v>213</v>
      </c>
      <c r="D77" s="105">
        <v>1.9699999999999999E-2</v>
      </c>
      <c r="E77" s="112">
        <v>516056.78522999992</v>
      </c>
      <c r="F77" s="173">
        <v>45784</v>
      </c>
      <c r="G77" s="114">
        <v>-477916.84419639257</v>
      </c>
      <c r="H77" s="186">
        <f t="shared" ref="H77:H80" si="14">ROUND((J77/2),0)+P77</f>
        <v>238959.66</v>
      </c>
      <c r="I77" s="189">
        <f t="shared" ref="I77:I80" si="15">H77</f>
        <v>238959.66</v>
      </c>
      <c r="J77" s="177">
        <f t="shared" si="12"/>
        <v>477917.66</v>
      </c>
      <c r="K77" s="114">
        <v>-38139.941033607349</v>
      </c>
      <c r="L77" s="209"/>
      <c r="M77" s="149">
        <f>I77-L77</f>
        <v>238959.66</v>
      </c>
      <c r="N77" s="152">
        <f t="shared" ref="N77:N80" si="16">-K77</f>
        <v>38139.941033607349</v>
      </c>
      <c r="O77" s="152">
        <f t="shared" ref="O77:O80" si="17">ROUND((J77+N77),0) + P77</f>
        <v>516058.66</v>
      </c>
      <c r="P77" s="102">
        <f t="shared" si="11"/>
        <v>0.66000000000000036</v>
      </c>
    </row>
    <row r="78" spans="1:17" x14ac:dyDescent="0.25">
      <c r="A78" s="161" t="s">
        <v>106</v>
      </c>
      <c r="B78" s="162" t="s">
        <v>312</v>
      </c>
      <c r="C78" s="78" t="s">
        <v>214</v>
      </c>
      <c r="D78" s="105">
        <v>1.4E-2</v>
      </c>
      <c r="E78" s="112">
        <v>366740.86259999999</v>
      </c>
      <c r="F78" s="173">
        <v>45786</v>
      </c>
      <c r="G78" s="114">
        <v>-338632.46462072933</v>
      </c>
      <c r="H78" s="186">
        <f t="shared" si="14"/>
        <v>169316.67</v>
      </c>
      <c r="I78" s="189">
        <f t="shared" si="15"/>
        <v>169316.67</v>
      </c>
      <c r="J78" s="177">
        <f t="shared" si="12"/>
        <v>338632.67</v>
      </c>
      <c r="K78" s="114">
        <v>-28108.397979270667</v>
      </c>
      <c r="L78" s="209"/>
      <c r="M78" s="149">
        <v>0</v>
      </c>
      <c r="N78" s="152">
        <f t="shared" si="16"/>
        <v>28108.397979270667</v>
      </c>
      <c r="O78" s="152">
        <f t="shared" si="17"/>
        <v>366741.67</v>
      </c>
      <c r="P78" s="102">
        <f t="shared" ref="P78:P80" si="18">P77+0.01</f>
        <v>0.67000000000000037</v>
      </c>
    </row>
    <row r="79" spans="1:17" x14ac:dyDescent="0.25">
      <c r="A79" s="161" t="s">
        <v>107</v>
      </c>
      <c r="B79" s="161">
        <v>42</v>
      </c>
      <c r="C79" s="78" t="s">
        <v>215</v>
      </c>
      <c r="D79" s="105">
        <v>1.0999999999999999E-2</v>
      </c>
      <c r="E79" s="112">
        <v>288153.53489999997</v>
      </c>
      <c r="F79" s="173">
        <v>45777</v>
      </c>
      <c r="G79" s="114">
        <v>-269617.76735499618</v>
      </c>
      <c r="H79" s="186">
        <f t="shared" si="14"/>
        <v>134809.68</v>
      </c>
      <c r="I79" s="189">
        <f t="shared" si="15"/>
        <v>134809.68</v>
      </c>
      <c r="J79" s="177">
        <f t="shared" si="12"/>
        <v>269618.68</v>
      </c>
      <c r="K79" s="114">
        <v>-18535.767545003793</v>
      </c>
      <c r="L79" s="209"/>
      <c r="M79" s="149">
        <v>0</v>
      </c>
      <c r="N79" s="152">
        <f t="shared" si="16"/>
        <v>18535.767545003793</v>
      </c>
      <c r="O79" s="152">
        <f t="shared" si="17"/>
        <v>288154.68</v>
      </c>
      <c r="P79" s="102">
        <f t="shared" si="18"/>
        <v>0.68000000000000038</v>
      </c>
    </row>
    <row r="80" spans="1:17" x14ac:dyDescent="0.25">
      <c r="A80" s="161" t="s">
        <v>108</v>
      </c>
      <c r="B80" s="162">
        <v>27</v>
      </c>
      <c r="C80" s="78" t="s">
        <v>216</v>
      </c>
      <c r="D80" s="105">
        <v>1.18E-2</v>
      </c>
      <c r="E80" s="112">
        <v>309110.15561999998</v>
      </c>
      <c r="F80" s="173">
        <v>45800</v>
      </c>
      <c r="G80" s="114">
        <v>-279495.95060612552</v>
      </c>
      <c r="H80" s="186">
        <f t="shared" si="14"/>
        <v>139748.69</v>
      </c>
      <c r="I80" s="189">
        <f t="shared" si="15"/>
        <v>139748.69</v>
      </c>
      <c r="J80" s="177">
        <f t="shared" si="12"/>
        <v>279496.69</v>
      </c>
      <c r="K80" s="114">
        <v>-29614.205013874453</v>
      </c>
      <c r="L80" s="209">
        <f>J80</f>
        <v>279496.69</v>
      </c>
      <c r="M80" s="149">
        <v>0</v>
      </c>
      <c r="N80" s="152">
        <f t="shared" si="16"/>
        <v>29614.205013874453</v>
      </c>
      <c r="O80" s="152">
        <f t="shared" si="17"/>
        <v>309111.69</v>
      </c>
      <c r="P80" s="102">
        <f t="shared" si="18"/>
        <v>0.69000000000000039</v>
      </c>
    </row>
    <row r="81" spans="1:17" x14ac:dyDescent="0.25">
      <c r="A81" s="24"/>
      <c r="B81" s="24"/>
      <c r="C81" s="78"/>
      <c r="D81" s="24"/>
      <c r="E81" s="112"/>
      <c r="F81" s="56"/>
      <c r="G81" s="113"/>
      <c r="H81" s="113"/>
      <c r="I81" s="113"/>
      <c r="J81" s="113"/>
      <c r="K81" s="113"/>
      <c r="L81" s="277"/>
      <c r="M81" s="113"/>
      <c r="N81" s="113"/>
      <c r="O81" s="114"/>
    </row>
    <row r="82" spans="1:17" x14ac:dyDescent="0.25">
      <c r="A82" s="19"/>
      <c r="B82" s="19"/>
      <c r="C82" s="19"/>
      <c r="D82" s="86">
        <f>SUM(D7:D81)</f>
        <v>0.99790000000000079</v>
      </c>
      <c r="E82" s="20">
        <f>SUM(E7:E81)</f>
        <v>26140764.770610008</v>
      </c>
      <c r="F82" s="139">
        <f>SUM(F7:F81)</f>
        <v>3344000</v>
      </c>
      <c r="G82" s="21">
        <f>SUM(G7:G81)</f>
        <v>-22258385.373480178</v>
      </c>
      <c r="H82" s="21"/>
      <c r="I82" s="21"/>
      <c r="J82" s="21"/>
      <c r="K82" s="21"/>
      <c r="L82" s="193">
        <f>SUM(L7:L80)</f>
        <v>1031545.1199999999</v>
      </c>
      <c r="M82" s="193">
        <f>SUM(M7:M80)</f>
        <v>4000854.24</v>
      </c>
      <c r="N82" s="21"/>
      <c r="O82" s="20">
        <f>SUM(O7:O81)</f>
        <v>26140811.75</v>
      </c>
      <c r="Q82" s="45"/>
    </row>
  </sheetData>
  <mergeCells count="17">
    <mergeCell ref="M4:M6"/>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 ref="L4:L6"/>
  </mergeCells>
  <pageMargins left="0.25" right="0.25" top="0.75" bottom="0.75" header="0.3" footer="0.3"/>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N44"/>
  <sheetViews>
    <sheetView topLeftCell="A31" workbookViewId="0">
      <selection activeCell="C42" sqref="C42:J44"/>
    </sheetView>
  </sheetViews>
  <sheetFormatPr baseColWidth="10" defaultRowHeight="15" x14ac:dyDescent="0.25"/>
  <sheetData>
    <row r="1" spans="3:14" ht="15.75" thickBot="1" x14ac:dyDescent="0.3"/>
    <row r="2" spans="3:14" x14ac:dyDescent="0.25">
      <c r="C2" s="202" t="s">
        <v>351</v>
      </c>
      <c r="D2" s="203">
        <v>1</v>
      </c>
      <c r="E2" s="203"/>
      <c r="F2" s="195"/>
      <c r="G2" s="195"/>
      <c r="H2" s="195"/>
      <c r="I2" s="195"/>
      <c r="J2" s="196"/>
      <c r="K2" s="53"/>
      <c r="L2" s="53"/>
      <c r="M2" s="53"/>
    </row>
    <row r="3" spans="3:14" x14ac:dyDescent="0.25">
      <c r="C3" s="204" t="s">
        <v>352</v>
      </c>
      <c r="D3" s="205"/>
      <c r="E3" s="206">
        <v>0</v>
      </c>
      <c r="F3" s="53"/>
      <c r="G3" s="53" t="s">
        <v>353</v>
      </c>
      <c r="H3" s="197" t="s">
        <v>370</v>
      </c>
      <c r="I3" s="198"/>
      <c r="J3" s="199"/>
      <c r="K3" s="227"/>
      <c r="L3" s="227"/>
      <c r="M3" s="227"/>
    </row>
    <row r="4" spans="3:14" x14ac:dyDescent="0.25">
      <c r="C4" s="204" t="s">
        <v>354</v>
      </c>
      <c r="D4" s="205" t="s">
        <v>355</v>
      </c>
      <c r="E4" s="205" t="s">
        <v>356</v>
      </c>
      <c r="F4" s="53"/>
      <c r="G4" s="53" t="s">
        <v>357</v>
      </c>
      <c r="I4" s="198"/>
      <c r="J4" s="199"/>
      <c r="K4" s="227"/>
      <c r="L4" s="227"/>
      <c r="M4" s="227"/>
    </row>
    <row r="5" spans="3:14" ht="15.75" thickBot="1" x14ac:dyDescent="0.3">
      <c r="C5" s="192" t="s">
        <v>358</v>
      </c>
      <c r="D5" s="53"/>
      <c r="E5" s="53"/>
      <c r="F5" s="53"/>
      <c r="G5" s="53"/>
      <c r="H5" s="53"/>
      <c r="I5" s="53"/>
      <c r="J5" s="200"/>
      <c r="K5" s="227"/>
      <c r="L5" s="227"/>
      <c r="M5" s="227"/>
    </row>
    <row r="6" spans="3:14" x14ac:dyDescent="0.25">
      <c r="C6" s="361" t="s">
        <v>371</v>
      </c>
      <c r="D6" s="362"/>
      <c r="E6" s="362"/>
      <c r="F6" s="362"/>
      <c r="G6" s="362"/>
      <c r="H6" s="362"/>
      <c r="I6" s="362"/>
      <c r="J6" s="363"/>
      <c r="K6" s="227"/>
      <c r="L6" s="227"/>
      <c r="M6" s="227"/>
    </row>
    <row r="7" spans="3:14" x14ac:dyDescent="0.25">
      <c r="C7" s="364"/>
      <c r="D7" s="365"/>
      <c r="E7" s="365"/>
      <c r="F7" s="365"/>
      <c r="G7" s="365"/>
      <c r="H7" s="365"/>
      <c r="I7" s="365"/>
      <c r="J7" s="366"/>
      <c r="K7" s="53"/>
      <c r="L7" s="53"/>
      <c r="M7" s="53"/>
    </row>
    <row r="8" spans="3:14" ht="15.75" thickBot="1" x14ac:dyDescent="0.3">
      <c r="C8" s="367"/>
      <c r="D8" s="368"/>
      <c r="E8" s="368"/>
      <c r="F8" s="368"/>
      <c r="G8" s="368"/>
      <c r="H8" s="368"/>
      <c r="I8" s="368"/>
      <c r="J8" s="369"/>
      <c r="K8" s="53"/>
      <c r="L8" s="53"/>
      <c r="M8" s="53"/>
    </row>
    <row r="9" spans="3:14" x14ac:dyDescent="0.25">
      <c r="K9" s="53"/>
      <c r="L9" s="53"/>
      <c r="M9" s="53"/>
    </row>
    <row r="10" spans="3:14" ht="15.75" thickBot="1" x14ac:dyDescent="0.3"/>
    <row r="11" spans="3:14" ht="13.15" customHeight="1" x14ac:dyDescent="0.25">
      <c r="C11" s="202" t="s">
        <v>351</v>
      </c>
      <c r="D11" s="203">
        <f>D2+1</f>
        <v>2</v>
      </c>
      <c r="E11" s="203"/>
      <c r="F11" s="195"/>
      <c r="G11" s="195"/>
      <c r="H11" s="195"/>
      <c r="I11" s="195"/>
      <c r="J11" s="196"/>
      <c r="K11" s="211"/>
    </row>
    <row r="12" spans="3:14" x14ac:dyDescent="0.25">
      <c r="C12" s="204" t="s">
        <v>352</v>
      </c>
      <c r="D12" s="205"/>
      <c r="E12" s="206">
        <v>0</v>
      </c>
      <c r="F12" s="53"/>
      <c r="G12" s="53" t="s">
        <v>353</v>
      </c>
      <c r="H12" s="197" t="s">
        <v>370</v>
      </c>
      <c r="I12" s="198"/>
      <c r="J12" s="199"/>
      <c r="K12" s="227"/>
      <c r="L12" s="227"/>
      <c r="M12" s="227"/>
      <c r="N12" s="227"/>
    </row>
    <row r="13" spans="3:14" x14ac:dyDescent="0.25">
      <c r="C13" s="204" t="s">
        <v>354</v>
      </c>
      <c r="D13" s="205" t="s">
        <v>355</v>
      </c>
      <c r="E13" s="205" t="s">
        <v>356</v>
      </c>
      <c r="F13" s="53"/>
      <c r="G13" s="53" t="s">
        <v>357</v>
      </c>
      <c r="I13" s="198"/>
      <c r="J13" s="199"/>
      <c r="K13" s="227"/>
      <c r="L13" s="227"/>
      <c r="M13" s="227"/>
      <c r="N13" s="227"/>
    </row>
    <row r="14" spans="3:14" ht="15.75" thickBot="1" x14ac:dyDescent="0.3">
      <c r="C14" s="192" t="s">
        <v>358</v>
      </c>
      <c r="D14" s="53"/>
      <c r="E14" s="53"/>
      <c r="F14" s="53"/>
      <c r="G14" s="53"/>
      <c r="H14" s="53"/>
      <c r="I14" s="53"/>
      <c r="J14" s="200"/>
      <c r="K14" s="227"/>
      <c r="L14" s="227"/>
      <c r="M14" s="227"/>
      <c r="N14" s="227"/>
    </row>
    <row r="15" spans="3:14" x14ac:dyDescent="0.25">
      <c r="C15" s="361" t="s">
        <v>372</v>
      </c>
      <c r="D15" s="362"/>
      <c r="E15" s="362"/>
      <c r="F15" s="362"/>
      <c r="G15" s="362"/>
      <c r="H15" s="362"/>
      <c r="I15" s="362"/>
      <c r="J15" s="363"/>
      <c r="K15" s="227"/>
      <c r="L15" s="227"/>
      <c r="M15" s="227"/>
      <c r="N15" s="227"/>
    </row>
    <row r="16" spans="3:14" x14ac:dyDescent="0.25">
      <c r="C16" s="364"/>
      <c r="D16" s="365"/>
      <c r="E16" s="365"/>
      <c r="F16" s="365"/>
      <c r="G16" s="365"/>
      <c r="H16" s="365"/>
      <c r="I16" s="365"/>
      <c r="J16" s="366"/>
      <c r="K16" s="227"/>
      <c r="L16" s="227"/>
      <c r="M16" s="227"/>
      <c r="N16" s="227"/>
    </row>
    <row r="17" spans="3:14" ht="144.75" customHeight="1" thickBot="1" x14ac:dyDescent="0.3">
      <c r="C17" s="367"/>
      <c r="D17" s="368"/>
      <c r="E17" s="368"/>
      <c r="F17" s="368"/>
      <c r="G17" s="368"/>
      <c r="H17" s="368"/>
      <c r="I17" s="368"/>
      <c r="J17" s="369"/>
      <c r="K17" s="227"/>
      <c r="L17" s="227"/>
      <c r="M17" s="227"/>
      <c r="N17" s="227"/>
    </row>
    <row r="19" spans="3:14" ht="15.75" thickBot="1" x14ac:dyDescent="0.3"/>
    <row r="20" spans="3:14" x14ac:dyDescent="0.25">
      <c r="C20" s="212" t="s">
        <v>351</v>
      </c>
      <c r="D20" s="213">
        <f>D11+1</f>
        <v>3</v>
      </c>
      <c r="E20" s="213"/>
      <c r="F20" s="195"/>
      <c r="G20" s="195"/>
      <c r="H20" s="195"/>
      <c r="I20" s="195"/>
      <c r="J20" s="196"/>
    </row>
    <row r="21" spans="3:14" x14ac:dyDescent="0.25">
      <c r="C21" s="214" t="s">
        <v>352</v>
      </c>
      <c r="D21" s="215"/>
      <c r="E21" s="216">
        <v>0</v>
      </c>
      <c r="F21" s="53"/>
      <c r="G21" s="53" t="s">
        <v>353</v>
      </c>
      <c r="H21" s="197" t="s">
        <v>286</v>
      </c>
      <c r="I21" s="198"/>
      <c r="J21" s="199"/>
      <c r="K21" s="227"/>
      <c r="L21" s="227"/>
      <c r="M21" s="227"/>
    </row>
    <row r="22" spans="3:14" x14ac:dyDescent="0.25">
      <c r="C22" s="214" t="s">
        <v>354</v>
      </c>
      <c r="D22" s="215" t="s">
        <v>355</v>
      </c>
      <c r="E22" s="215" t="s">
        <v>356</v>
      </c>
      <c r="F22" s="53"/>
      <c r="G22" s="53" t="s">
        <v>357</v>
      </c>
      <c r="H22" s="215" t="s">
        <v>374</v>
      </c>
      <c r="I22" s="198"/>
      <c r="J22" s="199"/>
      <c r="K22" s="227"/>
      <c r="L22" s="227"/>
      <c r="M22" s="227"/>
    </row>
    <row r="23" spans="3:14" ht="15.75" thickBot="1" x14ac:dyDescent="0.3">
      <c r="C23" s="192" t="s">
        <v>358</v>
      </c>
      <c r="D23" s="53"/>
      <c r="E23" s="53"/>
      <c r="F23" s="53"/>
      <c r="G23" s="53"/>
      <c r="H23" s="53"/>
      <c r="I23" s="53"/>
      <c r="J23" s="200"/>
      <c r="K23" s="227"/>
      <c r="L23" s="227"/>
      <c r="M23" s="227"/>
    </row>
    <row r="24" spans="3:14" x14ac:dyDescent="0.25">
      <c r="C24" s="361" t="s">
        <v>373</v>
      </c>
      <c r="D24" s="362"/>
      <c r="E24" s="362"/>
      <c r="F24" s="362"/>
      <c r="G24" s="362"/>
      <c r="H24" s="362"/>
      <c r="I24" s="362"/>
      <c r="J24" s="363"/>
      <c r="K24" s="227"/>
      <c r="L24" s="227"/>
      <c r="M24" s="227"/>
    </row>
    <row r="25" spans="3:14" x14ac:dyDescent="0.25">
      <c r="C25" s="364"/>
      <c r="D25" s="365"/>
      <c r="E25" s="365"/>
      <c r="F25" s="365"/>
      <c r="G25" s="365"/>
      <c r="H25" s="365"/>
      <c r="I25" s="365"/>
      <c r="J25" s="366"/>
      <c r="K25" s="227"/>
      <c r="L25" s="227"/>
      <c r="M25" s="227"/>
    </row>
    <row r="26" spans="3:14" ht="15.75" thickBot="1" x14ac:dyDescent="0.3">
      <c r="C26" s="367"/>
      <c r="D26" s="368"/>
      <c r="E26" s="368"/>
      <c r="F26" s="368"/>
      <c r="G26" s="368"/>
      <c r="H26" s="368"/>
      <c r="I26" s="368"/>
      <c r="J26" s="369"/>
      <c r="K26" s="227"/>
      <c r="L26" s="227"/>
      <c r="M26" s="227"/>
    </row>
    <row r="28" spans="3:14" ht="15.75" thickBot="1" x14ac:dyDescent="0.3"/>
    <row r="29" spans="3:14" x14ac:dyDescent="0.25">
      <c r="C29" s="217" t="s">
        <v>351</v>
      </c>
      <c r="D29" s="218">
        <f>D20+1</f>
        <v>4</v>
      </c>
      <c r="E29" s="218"/>
      <c r="F29" s="195"/>
      <c r="G29" s="195"/>
      <c r="H29" s="195"/>
      <c r="I29" s="195"/>
      <c r="J29" s="196"/>
    </row>
    <row r="30" spans="3:14" x14ac:dyDescent="0.25">
      <c r="C30" s="219" t="s">
        <v>352</v>
      </c>
      <c r="D30" s="220"/>
      <c r="E30" s="221">
        <v>0</v>
      </c>
      <c r="F30" s="53"/>
      <c r="G30" s="53" t="s">
        <v>353</v>
      </c>
      <c r="H30" s="197" t="s">
        <v>375</v>
      </c>
      <c r="I30" s="198"/>
      <c r="J30" s="199"/>
      <c r="K30" s="227"/>
      <c r="L30" s="227"/>
    </row>
    <row r="31" spans="3:14" x14ac:dyDescent="0.25">
      <c r="C31" s="219" t="s">
        <v>354</v>
      </c>
      <c r="D31" s="220" t="s">
        <v>355</v>
      </c>
      <c r="E31" s="220" t="s">
        <v>356</v>
      </c>
      <c r="F31" s="53"/>
      <c r="G31" s="53" t="s">
        <v>357</v>
      </c>
      <c r="H31" s="53" t="s">
        <v>375</v>
      </c>
      <c r="I31" s="198"/>
      <c r="J31" s="199"/>
      <c r="K31" s="227"/>
      <c r="L31" s="227"/>
    </row>
    <row r="32" spans="3:14" ht="15.75" thickBot="1" x14ac:dyDescent="0.3">
      <c r="C32" s="192" t="s">
        <v>358</v>
      </c>
      <c r="D32" s="53"/>
      <c r="E32" s="53"/>
      <c r="F32" s="53"/>
      <c r="G32" s="53"/>
      <c r="H32" s="53"/>
      <c r="I32" s="53"/>
      <c r="J32" s="200"/>
      <c r="K32" s="227"/>
      <c r="L32" s="227"/>
    </row>
    <row r="33" spans="3:12" x14ac:dyDescent="0.25">
      <c r="C33" s="361" t="s">
        <v>376</v>
      </c>
      <c r="D33" s="362"/>
      <c r="E33" s="362"/>
      <c r="F33" s="362"/>
      <c r="G33" s="362"/>
      <c r="H33" s="362"/>
      <c r="I33" s="362"/>
      <c r="J33" s="363"/>
      <c r="K33" s="227"/>
      <c r="L33" s="227"/>
    </row>
    <row r="34" spans="3:12" x14ac:dyDescent="0.25">
      <c r="C34" s="364"/>
      <c r="D34" s="365"/>
      <c r="E34" s="365"/>
      <c r="F34" s="365"/>
      <c r="G34" s="365"/>
      <c r="H34" s="365"/>
      <c r="I34" s="365"/>
      <c r="J34" s="366"/>
      <c r="K34" s="227"/>
      <c r="L34" s="227"/>
    </row>
    <row r="35" spans="3:12" ht="15.75" thickBot="1" x14ac:dyDescent="0.3">
      <c r="C35" s="367"/>
      <c r="D35" s="368"/>
      <c r="E35" s="368"/>
      <c r="F35" s="368"/>
      <c r="G35" s="368"/>
      <c r="H35" s="368"/>
      <c r="I35" s="368"/>
      <c r="J35" s="369"/>
    </row>
    <row r="37" spans="3:12" ht="15.75" thickBot="1" x14ac:dyDescent="0.3"/>
    <row r="38" spans="3:12" x14ac:dyDescent="0.25">
      <c r="C38" s="222" t="s">
        <v>351</v>
      </c>
      <c r="D38" s="223">
        <f>D29+1</f>
        <v>5</v>
      </c>
      <c r="E38" s="223"/>
      <c r="F38" s="195"/>
      <c r="G38" s="195"/>
      <c r="H38" s="195"/>
      <c r="I38" s="195"/>
      <c r="J38" s="196"/>
    </row>
    <row r="39" spans="3:12" x14ac:dyDescent="0.25">
      <c r="C39" s="224" t="s">
        <v>352</v>
      </c>
      <c r="D39" s="225"/>
      <c r="E39" s="226">
        <v>0</v>
      </c>
      <c r="F39" s="53"/>
      <c r="G39" s="53" t="s">
        <v>353</v>
      </c>
      <c r="H39" s="197" t="s">
        <v>377</v>
      </c>
      <c r="I39" s="198"/>
      <c r="J39" s="199"/>
    </row>
    <row r="40" spans="3:12" ht="18.75" x14ac:dyDescent="0.3">
      <c r="C40" s="224" t="s">
        <v>354</v>
      </c>
      <c r="D40" s="225" t="s">
        <v>355</v>
      </c>
      <c r="E40" s="225" t="s">
        <v>356</v>
      </c>
      <c r="F40" s="53"/>
      <c r="G40" s="53" t="s">
        <v>357</v>
      </c>
      <c r="H40" s="53" t="s">
        <v>377</v>
      </c>
      <c r="I40" s="370" t="s">
        <v>378</v>
      </c>
      <c r="J40" s="371"/>
    </row>
    <row r="41" spans="3:12" ht="15.75" thickBot="1" x14ac:dyDescent="0.3">
      <c r="C41" s="192" t="s">
        <v>358</v>
      </c>
      <c r="D41" s="53"/>
      <c r="E41" s="53"/>
      <c r="F41" s="53"/>
      <c r="G41" s="53"/>
      <c r="H41" s="53"/>
      <c r="I41" s="53"/>
      <c r="J41" s="200"/>
    </row>
    <row r="42" spans="3:12" x14ac:dyDescent="0.25">
      <c r="C42" s="361" t="s">
        <v>379</v>
      </c>
      <c r="D42" s="362"/>
      <c r="E42" s="362"/>
      <c r="F42" s="362"/>
      <c r="G42" s="362"/>
      <c r="H42" s="362"/>
      <c r="I42" s="362"/>
      <c r="J42" s="363"/>
    </row>
    <row r="43" spans="3:12" x14ac:dyDescent="0.25">
      <c r="C43" s="364"/>
      <c r="D43" s="365"/>
      <c r="E43" s="365"/>
      <c r="F43" s="365"/>
      <c r="G43" s="365"/>
      <c r="H43" s="365"/>
      <c r="I43" s="365"/>
      <c r="J43" s="366"/>
    </row>
    <row r="44" spans="3:12" ht="15.75" thickBot="1" x14ac:dyDescent="0.3">
      <c r="C44" s="367"/>
      <c r="D44" s="368"/>
      <c r="E44" s="368"/>
      <c r="F44" s="368"/>
      <c r="G44" s="368"/>
      <c r="H44" s="368"/>
      <c r="I44" s="368"/>
      <c r="J44" s="369"/>
    </row>
  </sheetData>
  <mergeCells count="6">
    <mergeCell ref="C15:J17"/>
    <mergeCell ref="C6:J8"/>
    <mergeCell ref="C24:J26"/>
    <mergeCell ref="C33:J35"/>
    <mergeCell ref="C42:J44"/>
    <mergeCell ref="I40:J4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2026-06-01T17:09:58Z</cp:lastPrinted>
  <dcterms:created xsi:type="dcterms:W3CDTF">2023-09-17T12:29:07Z</dcterms:created>
  <dcterms:modified xsi:type="dcterms:W3CDTF">2026-06-04T13:47:23Z</dcterms:modified>
</cp:coreProperties>
</file>