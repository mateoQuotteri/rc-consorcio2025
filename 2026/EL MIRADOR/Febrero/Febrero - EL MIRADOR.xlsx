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Febrero\"/>
    </mc:Choice>
  </mc:AlternateContent>
  <xr:revisionPtr revIDLastSave="0" documentId="13_ncr:1_{0BFCF337-AB2E-4AE9-9DC3-D8B15E19466C}" xr6:coauthVersionLast="47" xr6:coauthVersionMax="47" xr10:uidLastSave="{00000000-0000-0000-0000-000000000000}"/>
  <bookViews>
    <workbookView xWindow="-108" yWindow="-108" windowWidth="23256" windowHeight="12576" activeTab="2" xr2:uid="{00000000-000D-0000-FFFF-FFFF00000000}"/>
  </bookViews>
  <sheets>
    <sheet name="RESUMEN" sheetId="1" r:id="rId1"/>
    <sheet name="PRORRATEO" sheetId="2" r:id="rId2"/>
    <sheet name="ARBA" sheetId="4" r:id="rId3"/>
    <sheet name="ANOTACIONES" sheetId="3" r:id="rId4"/>
  </sheets>
  <definedNames>
    <definedName name="_xlnm.Print_Area" localSheetId="2">ARBA!$A$1:$M$84</definedName>
    <definedName name="_xlnm.Print_Area" localSheetId="1">PRORRATEO!$A$1:$O$155</definedName>
    <definedName name="_xlnm.Print_Area" localSheetId="0">RESUMEN!$A$1:$J$144</definedName>
  </definedNames>
  <calcPr calcId="181029"/>
</workbook>
</file>

<file path=xl/calcChain.xml><?xml version="1.0" encoding="utf-8"?>
<calcChain xmlns="http://schemas.openxmlformats.org/spreadsheetml/2006/main">
  <c r="N15" i="2" l="1"/>
  <c r="N16" i="2"/>
  <c r="N17" i="2"/>
  <c r="N18" i="2"/>
  <c r="N14" i="2"/>
  <c r="N19" i="2"/>
  <c r="J13" i="4"/>
  <c r="H13" i="4" s="1"/>
  <c r="I13" i="4" s="1"/>
  <c r="N3" i="2"/>
  <c r="K14" i="2" s="1"/>
  <c r="K17" i="2"/>
  <c r="K21" i="2"/>
  <c r="K25"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D43" i="1"/>
  <c r="K128" i="2" l="1"/>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0" i="2" l="1"/>
  <c r="H81" i="2"/>
  <c r="H68" i="2"/>
  <c r="H64" i="2"/>
  <c r="H59" i="2"/>
  <c r="H93" i="2"/>
  <c r="H23" i="2"/>
  <c r="H85" i="2"/>
  <c r="H96" i="2"/>
  <c r="H95" i="2"/>
  <c r="H94" i="2"/>
  <c r="H55" i="2"/>
  <c r="H111" i="2"/>
  <c r="H49" i="2"/>
  <c r="H48" i="2"/>
  <c r="H51" i="2"/>
  <c r="H99" i="2"/>
  <c r="H47" i="2"/>
  <c r="H15" i="2"/>
  <c r="H82" i="2"/>
  <c r="H44" i="2"/>
  <c r="H65" i="2"/>
  <c r="H100" i="2"/>
  <c r="H66" i="2"/>
  <c r="H130" i="2"/>
  <c r="H63" i="2"/>
  <c r="H92" i="2"/>
  <c r="H60" i="2"/>
  <c r="H122" i="2"/>
  <c r="H84" i="2"/>
  <c r="H115" i="2"/>
  <c r="H43" i="2"/>
  <c r="H131" i="2"/>
  <c r="H46" i="2"/>
  <c r="H24" i="2"/>
  <c r="H90" i="2"/>
  <c r="H53" i="2"/>
  <c r="H32" i="2"/>
  <c r="H98" i="2"/>
  <c r="H52" i="2"/>
  <c r="H88" i="2"/>
  <c r="H33" i="2"/>
  <c r="H102" i="2"/>
  <c r="D28" i="1"/>
  <c r="D84" i="1"/>
  <c r="J83" i="1"/>
  <c r="I83" i="1"/>
  <c r="H83" i="1"/>
  <c r="G83" i="1"/>
  <c r="F83" i="1"/>
  <c r="E83" i="1"/>
  <c r="J82" i="1"/>
  <c r="I82" i="1"/>
  <c r="H82" i="1"/>
  <c r="G82" i="1"/>
  <c r="F82" i="1"/>
  <c r="E82" i="1"/>
  <c r="C54" i="1"/>
  <c r="J8" i="4" l="1"/>
  <c r="H8" i="4" s="1"/>
  <c r="I8" i="4" s="1"/>
  <c r="N9" i="4" l="1"/>
  <c r="J9" i="4" s="1"/>
  <c r="L8" i="4"/>
  <c r="M8" i="4" s="1"/>
  <c r="L9"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13" i="4"/>
  <c r="M13" i="4" s="1"/>
  <c r="L10" i="4"/>
  <c r="L11" i="4"/>
  <c r="L12" i="4"/>
  <c r="D83" i="4"/>
  <c r="E83" i="4"/>
  <c r="F83" i="4"/>
  <c r="G83" i="4"/>
  <c r="N14" i="4"/>
  <c r="H106" i="2"/>
  <c r="H70" i="2"/>
  <c r="H77" i="2"/>
  <c r="H124" i="2"/>
  <c r="H34" i="2"/>
  <c r="H129" i="2"/>
  <c r="H29" i="2"/>
  <c r="H123" i="2"/>
  <c r="H78" i="2"/>
  <c r="H20" i="2"/>
  <c r="H31" i="2"/>
  <c r="H35" i="2"/>
  <c r="H79" i="2"/>
  <c r="H120" i="2"/>
  <c r="H45" i="2"/>
  <c r="H108" i="2"/>
  <c r="H73" i="2"/>
  <c r="H113" i="2"/>
  <c r="H62" i="2"/>
  <c r="H56" i="2"/>
  <c r="H119" i="2"/>
  <c r="H28" i="2"/>
  <c r="H50" i="2"/>
  <c r="H83" i="2"/>
  <c r="H67" i="2"/>
  <c r="H110" i="2"/>
  <c r="H72" i="2"/>
  <c r="D60" i="1"/>
  <c r="M9" i="4" l="1"/>
  <c r="H9" i="4"/>
  <c r="I9" i="4" s="1"/>
  <c r="N10" i="4"/>
  <c r="N11" i="4" s="1"/>
  <c r="N15" i="4"/>
  <c r="J14" i="4"/>
  <c r="J10" i="4"/>
  <c r="C103" i="1"/>
  <c r="M14" i="4" l="1"/>
  <c r="H14" i="4"/>
  <c r="I14" i="4" s="1"/>
  <c r="M10" i="4"/>
  <c r="H10" i="4"/>
  <c r="I10" i="4" s="1"/>
  <c r="N12" i="4"/>
  <c r="J12" i="4" s="1"/>
  <c r="J11" i="4"/>
  <c r="N16" i="4"/>
  <c r="J15" i="4"/>
  <c r="E80" i="1"/>
  <c r="E79" i="1"/>
  <c r="E81" i="1"/>
  <c r="D50" i="1"/>
  <c r="D33" i="1"/>
  <c r="M15" i="4" l="1"/>
  <c r="H15" i="4"/>
  <c r="I15" i="4" s="1"/>
  <c r="M11" i="4"/>
  <c r="H11" i="4"/>
  <c r="I11" i="4" s="1"/>
  <c r="M12" i="4"/>
  <c r="H12" i="4"/>
  <c r="I12" i="4" s="1"/>
  <c r="N17" i="4"/>
  <c r="J16" i="4"/>
  <c r="D47" i="1"/>
  <c r="D65" i="1"/>
  <c r="D75" i="1"/>
  <c r="B129" i="1"/>
  <c r="H71" i="2"/>
  <c r="H128" i="2"/>
  <c r="H74" i="2"/>
  <c r="M16" i="4" l="1"/>
  <c r="H16" i="4"/>
  <c r="I16" i="4" s="1"/>
  <c r="N18" i="4"/>
  <c r="J17" i="4"/>
  <c r="H127" i="2"/>
  <c r="H118" i="2"/>
  <c r="H109" i="2"/>
  <c r="H21" i="2"/>
  <c r="H104" i="2"/>
  <c r="H69" i="2"/>
  <c r="H126" i="2"/>
  <c r="M17" i="4" l="1"/>
  <c r="H17" i="4"/>
  <c r="I17" i="4" s="1"/>
  <c r="N19" i="4"/>
  <c r="J18" i="4"/>
  <c r="M18" i="4" l="1"/>
  <c r="H18" i="4"/>
  <c r="I18" i="4" s="1"/>
  <c r="N20" i="4"/>
  <c r="J19" i="4"/>
  <c r="E74" i="1"/>
  <c r="F74" i="1"/>
  <c r="G74" i="1"/>
  <c r="H74" i="1"/>
  <c r="I74" i="1"/>
  <c r="J74" i="1"/>
  <c r="D55" i="1"/>
  <c r="M19" i="4" l="1"/>
  <c r="H19" i="4"/>
  <c r="I19" i="4" s="1"/>
  <c r="N21" i="4"/>
  <c r="J20" i="4"/>
  <c r="H103" i="2"/>
  <c r="H38" i="2"/>
  <c r="D39" i="1"/>
  <c r="H16" i="2"/>
  <c r="H114" i="2"/>
  <c r="K67" i="1"/>
  <c r="K68" i="1"/>
  <c r="J68" i="1"/>
  <c r="I68" i="1"/>
  <c r="H68" i="1"/>
  <c r="G68" i="1"/>
  <c r="F68" i="1"/>
  <c r="E68" i="1"/>
  <c r="J67" i="1"/>
  <c r="I67" i="1"/>
  <c r="H67" i="1"/>
  <c r="G67" i="1"/>
  <c r="F67" i="1"/>
  <c r="E67" i="1"/>
  <c r="M20" i="4" l="1"/>
  <c r="H20" i="4"/>
  <c r="I20" i="4" s="1"/>
  <c r="N22" i="4"/>
  <c r="J21" i="4"/>
  <c r="L67" i="1"/>
  <c r="L68" i="1"/>
  <c r="M21" i="4" l="1"/>
  <c r="H21" i="4"/>
  <c r="I21" i="4" s="1"/>
  <c r="N23" i="4"/>
  <c r="J22" i="4"/>
  <c r="D91" i="1"/>
  <c r="M22" i="4" l="1"/>
  <c r="H22" i="4"/>
  <c r="I22" i="4" s="1"/>
  <c r="N24" i="4"/>
  <c r="J23" i="4"/>
  <c r="H86" i="2"/>
  <c r="H41" i="2"/>
  <c r="H87" i="2"/>
  <c r="D36" i="1"/>
  <c r="D38" i="1"/>
  <c r="M23" i="4" l="1"/>
  <c r="H23" i="4"/>
  <c r="I23" i="4" s="1"/>
  <c r="N25" i="4"/>
  <c r="J24" i="4"/>
  <c r="D37" i="1"/>
  <c r="K71" i="1"/>
  <c r="B136" i="1"/>
  <c r="B127" i="1" s="1"/>
  <c r="H105" i="2"/>
  <c r="M24" i="4" l="1"/>
  <c r="H24" i="4"/>
  <c r="I24" i="4" s="1"/>
  <c r="N26" i="4"/>
  <c r="J25" i="4"/>
  <c r="D44" i="1"/>
  <c r="H26" i="2"/>
  <c r="N13" i="2"/>
  <c r="O13" i="2"/>
  <c r="E71" i="1"/>
  <c r="L71" i="1" s="1"/>
  <c r="M71" i="1" s="1"/>
  <c r="N71" i="1"/>
  <c r="J73" i="1"/>
  <c r="I73" i="1"/>
  <c r="H73" i="1"/>
  <c r="G73" i="1"/>
  <c r="F73" i="1"/>
  <c r="E73" i="1"/>
  <c r="E72" i="1"/>
  <c r="J72" i="1"/>
  <c r="I72" i="1"/>
  <c r="H72" i="1"/>
  <c r="G72" i="1"/>
  <c r="F72" i="1"/>
  <c r="K73" i="1"/>
  <c r="N73" i="1" s="1"/>
  <c r="H89" i="2"/>
  <c r="H61" i="2"/>
  <c r="M25" i="4" l="1"/>
  <c r="H25" i="4"/>
  <c r="I25" i="4" s="1"/>
  <c r="N27" i="4"/>
  <c r="J26" i="4"/>
  <c r="L73" i="1"/>
  <c r="M73" i="1" s="1"/>
  <c r="M26" i="4" l="1"/>
  <c r="H26" i="4"/>
  <c r="I26" i="4" s="1"/>
  <c r="N28" i="4"/>
  <c r="J27" i="4"/>
  <c r="L19" i="2"/>
  <c r="M27" i="4" l="1"/>
  <c r="H27" i="4"/>
  <c r="I27" i="4" s="1"/>
  <c r="N29" i="4"/>
  <c r="J28"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96" i="1"/>
  <c r="J96" i="1"/>
  <c r="I96" i="1"/>
  <c r="H96" i="1"/>
  <c r="G96" i="1"/>
  <c r="F96" i="1"/>
  <c r="F133" i="2"/>
  <c r="E69" i="1"/>
  <c r="G55" i="1"/>
  <c r="E60" i="1"/>
  <c r="J64" i="1"/>
  <c r="I64" i="1"/>
  <c r="H64" i="1"/>
  <c r="G64" i="1"/>
  <c r="F64" i="1"/>
  <c r="M28" i="4" l="1"/>
  <c r="H28" i="4"/>
  <c r="I28" i="4" s="1"/>
  <c r="N30" i="4"/>
  <c r="J29" i="4"/>
  <c r="K96" i="1"/>
  <c r="L96" i="1" s="1"/>
  <c r="I60" i="1"/>
  <c r="J60" i="1"/>
  <c r="F60" i="1"/>
  <c r="G60" i="1"/>
  <c r="H60" i="1"/>
  <c r="E55" i="1"/>
  <c r="I55" i="1"/>
  <c r="F55" i="1"/>
  <c r="J55" i="1"/>
  <c r="H55" i="1"/>
  <c r="K70" i="1"/>
  <c r="E70" i="1"/>
  <c r="L70" i="1" s="1"/>
  <c r="J93" i="1"/>
  <c r="I93" i="1"/>
  <c r="H93" i="1"/>
  <c r="G93" i="1"/>
  <c r="F93" i="1"/>
  <c r="J92" i="1"/>
  <c r="I92" i="1"/>
  <c r="H92" i="1"/>
  <c r="G92" i="1"/>
  <c r="F92" i="1"/>
  <c r="J88" i="1"/>
  <c r="I88" i="1"/>
  <c r="I91" i="1" s="1"/>
  <c r="H88" i="1"/>
  <c r="H91" i="1" s="1"/>
  <c r="G88" i="1"/>
  <c r="G91" i="1" s="1"/>
  <c r="F88" i="1"/>
  <c r="F91" i="1" s="1"/>
  <c r="H84" i="1"/>
  <c r="G84" i="1"/>
  <c r="K69" i="1"/>
  <c r="I62" i="1"/>
  <c r="H62" i="1"/>
  <c r="G62" i="1"/>
  <c r="F62" i="1"/>
  <c r="J62" i="1"/>
  <c r="J30" i="2"/>
  <c r="E107" i="1"/>
  <c r="L72" i="1"/>
  <c r="M72" i="1" s="1"/>
  <c r="K72" i="1"/>
  <c r="N72" i="1" s="1"/>
  <c r="I63" i="1"/>
  <c r="E64" i="1"/>
  <c r="K64" i="1" s="1"/>
  <c r="E93" i="1"/>
  <c r="E92" i="1"/>
  <c r="E88" i="1"/>
  <c r="E62"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94" i="1"/>
  <c r="D98" i="1" s="1"/>
  <c r="B143" i="1"/>
  <c r="M29" i="4" l="1"/>
  <c r="H29" i="4"/>
  <c r="I29" i="4" s="1"/>
  <c r="J30" i="4"/>
  <c r="N31" i="4"/>
  <c r="E84" i="1"/>
  <c r="I84" i="1"/>
  <c r="F84" i="1"/>
  <c r="K60" i="1"/>
  <c r="L60" i="1" s="1"/>
  <c r="K55" i="1"/>
  <c r="L55" i="1" s="1"/>
  <c r="G75" i="1"/>
  <c r="K62" i="1"/>
  <c r="H94" i="1"/>
  <c r="G94" i="1"/>
  <c r="F94" i="1"/>
  <c r="I94" i="1"/>
  <c r="I65" i="1"/>
  <c r="F75" i="1"/>
  <c r="I75" i="1"/>
  <c r="H75" i="1"/>
  <c r="F63" i="1"/>
  <c r="F65" i="1" s="1"/>
  <c r="G63" i="1"/>
  <c r="G65" i="1" s="1"/>
  <c r="H63" i="1"/>
  <c r="H65" i="1" s="1"/>
  <c r="L69" i="1"/>
  <c r="J63" i="1"/>
  <c r="J65"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3"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N20" i="2" s="1"/>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N44" i="2" s="1"/>
  <c r="L28" i="2"/>
  <c r="N28" i="2" s="1"/>
  <c r="L131" i="2"/>
  <c r="N131" i="2" s="1"/>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N45" i="2" s="1"/>
  <c r="L41" i="2"/>
  <c r="N41" i="2" s="1"/>
  <c r="L37" i="2"/>
  <c r="N37" i="2" s="1"/>
  <c r="L33" i="2"/>
  <c r="N33" i="2" s="1"/>
  <c r="L29" i="2"/>
  <c r="N29" i="2" s="1"/>
  <c r="L25" i="2"/>
  <c r="N25" i="2" s="1"/>
  <c r="L21" i="2"/>
  <c r="N21" i="2" s="1"/>
  <c r="I33" i="2"/>
  <c r="I44" i="2"/>
  <c r="I55" i="2"/>
  <c r="I45" i="2"/>
  <c r="M30" i="4" l="1"/>
  <c r="H30" i="4"/>
  <c r="I30" i="4" s="1"/>
  <c r="M133" i="2"/>
  <c r="N40" i="2"/>
  <c r="N32" i="4"/>
  <c r="J31" i="4"/>
  <c r="E44" i="1"/>
  <c r="L133" i="2"/>
  <c r="K63" i="1"/>
  <c r="H44" i="1"/>
  <c r="G44" i="1"/>
  <c r="J44" i="1"/>
  <c r="F44" i="1"/>
  <c r="I44" i="1"/>
  <c r="J133" i="2"/>
  <c r="M31" i="4" l="1"/>
  <c r="H31" i="4"/>
  <c r="I31" i="4" s="1"/>
  <c r="N33" i="4"/>
  <c r="J32" i="4"/>
  <c r="K44" i="1"/>
  <c r="L44" i="1" s="1"/>
  <c r="I130" i="2"/>
  <c r="M32" i="4" l="1"/>
  <c r="H32" i="4"/>
  <c r="I32" i="4" s="1"/>
  <c r="J33" i="4"/>
  <c r="N34" i="4"/>
  <c r="N69" i="1"/>
  <c r="M33" i="4" l="1"/>
  <c r="H33" i="4"/>
  <c r="I33" i="4" s="1"/>
  <c r="J34" i="4"/>
  <c r="N35" i="4"/>
  <c r="M69" i="1"/>
  <c r="L74" i="1"/>
  <c r="M34" i="4" l="1"/>
  <c r="H34" i="4"/>
  <c r="I34" i="4" s="1"/>
  <c r="J35" i="4"/>
  <c r="N36" i="4"/>
  <c r="D109" i="1"/>
  <c r="M35" i="4" l="1"/>
  <c r="H35" i="4"/>
  <c r="I35" i="4" s="1"/>
  <c r="J36" i="4"/>
  <c r="N37" i="4"/>
  <c r="B126" i="1"/>
  <c r="E109" i="1"/>
  <c r="J109" i="1"/>
  <c r="M36" i="4" l="1"/>
  <c r="H36" i="4"/>
  <c r="I36" i="4" s="1"/>
  <c r="J37" i="4"/>
  <c r="N38" i="4"/>
  <c r="L109" i="1"/>
  <c r="M109" i="1" s="1"/>
  <c r="M37" i="4" l="1"/>
  <c r="H37" i="4"/>
  <c r="I37" i="4" s="1"/>
  <c r="J38" i="4"/>
  <c r="N39" i="4"/>
  <c r="E48" i="1"/>
  <c r="M38" i="4" l="1"/>
  <c r="H38" i="4"/>
  <c r="I38" i="4" s="1"/>
  <c r="J39" i="4"/>
  <c r="N40" i="4"/>
  <c r="K74" i="1"/>
  <c r="N74" i="1" s="1"/>
  <c r="M39" i="4" l="1"/>
  <c r="H39" i="4"/>
  <c r="I39" i="4" s="1"/>
  <c r="J40" i="4"/>
  <c r="N41" i="4"/>
  <c r="M74" i="1"/>
  <c r="M40" i="4" l="1"/>
  <c r="H40" i="4"/>
  <c r="I40" i="4" s="1"/>
  <c r="J41" i="4"/>
  <c r="N42" i="4"/>
  <c r="J75" i="1"/>
  <c r="E75" i="1"/>
  <c r="J94" i="1"/>
  <c r="E94" i="1"/>
  <c r="E91" i="1"/>
  <c r="J91" i="1"/>
  <c r="J84" i="1"/>
  <c r="K84" i="1" s="1"/>
  <c r="M41" i="4" l="1"/>
  <c r="H41" i="4"/>
  <c r="I41" i="4" s="1"/>
  <c r="J42" i="4"/>
  <c r="N43" i="4"/>
  <c r="K75" i="1"/>
  <c r="L75" i="1" s="1"/>
  <c r="K94" i="1"/>
  <c r="K91" i="1"/>
  <c r="M42" i="4" l="1"/>
  <c r="H42" i="4"/>
  <c r="I42" i="4" s="1"/>
  <c r="J43" i="4"/>
  <c r="N44" i="4"/>
  <c r="J47" i="1"/>
  <c r="J98" i="1" s="1"/>
  <c r="R13" i="2" s="1"/>
  <c r="H47" i="1"/>
  <c r="H98" i="1" s="1"/>
  <c r="R11" i="2" s="1"/>
  <c r="G47" i="1"/>
  <c r="G98" i="1" s="1"/>
  <c r="R10" i="2" s="1"/>
  <c r="F47" i="1"/>
  <c r="F98" i="1" s="1"/>
  <c r="R9" i="2" s="1"/>
  <c r="E47" i="1"/>
  <c r="I47" i="1"/>
  <c r="I98" i="1" s="1"/>
  <c r="R12" i="2" s="1"/>
  <c r="M75" i="1"/>
  <c r="L84" i="1"/>
  <c r="L94" i="1"/>
  <c r="L91" i="1"/>
  <c r="B130" i="1"/>
  <c r="M43" i="4" l="1"/>
  <c r="H43" i="4"/>
  <c r="I43" i="4" s="1"/>
  <c r="J44" i="4"/>
  <c r="N45" i="4"/>
  <c r="E50" i="1"/>
  <c r="K50" i="1" s="1"/>
  <c r="L50" i="1" s="1"/>
  <c r="K47" i="1"/>
  <c r="L47" i="1" s="1"/>
  <c r="E65" i="1"/>
  <c r="M44" i="4" l="1"/>
  <c r="H44" i="4"/>
  <c r="I44" i="4" s="1"/>
  <c r="J45" i="4"/>
  <c r="N46" i="4"/>
  <c r="E98" i="1"/>
  <c r="K98" i="1" s="1"/>
  <c r="L98" i="1" s="1"/>
  <c r="B113" i="1"/>
  <c r="B125" i="1" s="1"/>
  <c r="M1" i="2"/>
  <c r="K65" i="1"/>
  <c r="L65" i="1" s="1"/>
  <c r="B112" i="1"/>
  <c r="M45" i="4" l="1"/>
  <c r="H45" i="4"/>
  <c r="I45" i="4" s="1"/>
  <c r="J46" i="4"/>
  <c r="N47" i="4"/>
  <c r="Q150" i="2"/>
  <c r="M46" i="4" l="1"/>
  <c r="H46" i="4"/>
  <c r="I46" i="4" s="1"/>
  <c r="J47" i="4"/>
  <c r="N48" i="4"/>
  <c r="L134" i="2"/>
  <c r="B128" i="1"/>
  <c r="M47" i="4" l="1"/>
  <c r="H47" i="4"/>
  <c r="I47" i="4" s="1"/>
  <c r="J48" i="4"/>
  <c r="N49"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M48" i="4" l="1"/>
  <c r="H48" i="4"/>
  <c r="I48" i="4" s="1"/>
  <c r="J49" i="4"/>
  <c r="N50" i="4"/>
  <c r="I131" i="2"/>
  <c r="O131" i="2" s="1"/>
  <c r="M49" i="4" l="1"/>
  <c r="H49" i="4"/>
  <c r="I49" i="4" s="1"/>
  <c r="J50" i="4"/>
  <c r="N51" i="4"/>
  <c r="I17" i="2"/>
  <c r="I15" i="2"/>
  <c r="I18" i="2"/>
  <c r="I14" i="2"/>
  <c r="M50" i="4" l="1"/>
  <c r="H50" i="4"/>
  <c r="I50" i="4" s="1"/>
  <c r="J51" i="4"/>
  <c r="N52" i="4"/>
  <c r="I16" i="2"/>
  <c r="O16" i="2" s="1"/>
  <c r="O14" i="2"/>
  <c r="O18" i="2"/>
  <c r="O17" i="2"/>
  <c r="M51" i="4" l="1"/>
  <c r="H51" i="4"/>
  <c r="I51" i="4" s="1"/>
  <c r="J52" i="4"/>
  <c r="N53" i="4"/>
  <c r="O15" i="2"/>
  <c r="M52" i="4" l="1"/>
  <c r="H52" i="4"/>
  <c r="I52" i="4" s="1"/>
  <c r="J53" i="4"/>
  <c r="N54" i="4"/>
  <c r="M98" i="1"/>
  <c r="I20" i="2"/>
  <c r="M53" i="4" l="1"/>
  <c r="H53" i="4"/>
  <c r="I53" i="4" s="1"/>
  <c r="J54" i="4"/>
  <c r="N55" i="4"/>
  <c r="O20" i="2"/>
  <c r="G133" i="2"/>
  <c r="H133" i="2"/>
  <c r="B124" i="1" s="1"/>
  <c r="B132" i="1" s="1"/>
  <c r="M54" i="4" l="1"/>
  <c r="H54" i="4"/>
  <c r="I54" i="4" s="1"/>
  <c r="J55" i="4"/>
  <c r="N56" i="4"/>
  <c r="I47" i="2"/>
  <c r="M55" i="4" l="1"/>
  <c r="H55" i="4"/>
  <c r="I55" i="4" s="1"/>
  <c r="J56" i="4"/>
  <c r="N57" i="4"/>
  <c r="N133" i="2"/>
  <c r="O47" i="2"/>
  <c r="O133" i="2" s="1"/>
  <c r="M56" i="4" l="1"/>
  <c r="H56" i="4"/>
  <c r="I56" i="4" s="1"/>
  <c r="J57" i="4"/>
  <c r="N58" i="4"/>
  <c r="M57" i="4" l="1"/>
  <c r="H57" i="4"/>
  <c r="I57" i="4" s="1"/>
  <c r="J58" i="4"/>
  <c r="N59" i="4"/>
  <c r="M58" i="4" l="1"/>
  <c r="H58" i="4"/>
  <c r="I58" i="4" s="1"/>
  <c r="J59" i="4"/>
  <c r="N60" i="4"/>
  <c r="M59" i="4" l="1"/>
  <c r="H59" i="4"/>
  <c r="I59" i="4" s="1"/>
  <c r="J60" i="4"/>
  <c r="N61" i="4"/>
  <c r="M60" i="4" l="1"/>
  <c r="H60" i="4"/>
  <c r="I60" i="4" s="1"/>
  <c r="J61" i="4"/>
  <c r="N62" i="4"/>
  <c r="M61" i="4" l="1"/>
  <c r="H61" i="4"/>
  <c r="I61" i="4" s="1"/>
  <c r="J62" i="4"/>
  <c r="N63" i="4"/>
  <c r="M62" i="4" l="1"/>
  <c r="H62" i="4"/>
  <c r="I62" i="4" s="1"/>
  <c r="J63" i="4"/>
  <c r="N64" i="4"/>
  <c r="M63" i="4" l="1"/>
  <c r="H63" i="4"/>
  <c r="I63" i="4" s="1"/>
  <c r="J64" i="4"/>
  <c r="N65" i="4"/>
  <c r="M64" i="4" l="1"/>
  <c r="H64" i="4"/>
  <c r="I64" i="4" s="1"/>
  <c r="J65" i="4"/>
  <c r="N66" i="4"/>
  <c r="M65" i="4" l="1"/>
  <c r="H65" i="4"/>
  <c r="I65" i="4" s="1"/>
  <c r="J66" i="4"/>
  <c r="N67" i="4"/>
  <c r="M66" i="4" l="1"/>
  <c r="H66" i="4"/>
  <c r="I66" i="4" s="1"/>
  <c r="J67" i="4"/>
  <c r="N68" i="4"/>
  <c r="M67" i="4" l="1"/>
  <c r="H67" i="4"/>
  <c r="I67" i="4" s="1"/>
  <c r="J68" i="4"/>
  <c r="N69" i="4"/>
  <c r="M68" i="4" l="1"/>
  <c r="H68" i="4"/>
  <c r="I68" i="4" s="1"/>
  <c r="M69" i="4"/>
  <c r="N70" i="4"/>
  <c r="J70" i="4" l="1"/>
  <c r="N71" i="4"/>
  <c r="M70" i="4" l="1"/>
  <c r="H70" i="4"/>
  <c r="I70" i="4" s="1"/>
  <c r="J71" i="4"/>
  <c r="N72" i="4"/>
  <c r="M71" i="4" l="1"/>
  <c r="H71" i="4"/>
  <c r="I71" i="4" s="1"/>
  <c r="J72" i="4"/>
  <c r="N73" i="4"/>
  <c r="M72" i="4" l="1"/>
  <c r="H72" i="4"/>
  <c r="I72" i="4" s="1"/>
  <c r="J73" i="4"/>
  <c r="N74" i="4"/>
  <c r="M73" i="4" l="1"/>
  <c r="H73" i="4"/>
  <c r="I73" i="4" s="1"/>
  <c r="J74" i="4"/>
  <c r="N75" i="4"/>
  <c r="M74" i="4" l="1"/>
  <c r="H74" i="4"/>
  <c r="I74" i="4" s="1"/>
  <c r="J75" i="4"/>
  <c r="N76" i="4"/>
  <c r="M75" i="4" l="1"/>
  <c r="H75" i="4"/>
  <c r="I75" i="4" s="1"/>
  <c r="J76" i="4"/>
  <c r="N77" i="4"/>
  <c r="M76" i="4" l="1"/>
  <c r="H76" i="4"/>
  <c r="I76" i="4" s="1"/>
  <c r="J77" i="4"/>
  <c r="N78" i="4"/>
  <c r="M77" i="4" l="1"/>
  <c r="H77" i="4"/>
  <c r="I77" i="4" s="1"/>
  <c r="J78" i="4"/>
  <c r="N79" i="4"/>
  <c r="M78" i="4" l="1"/>
  <c r="H78" i="4"/>
  <c r="I78" i="4" s="1"/>
  <c r="J79" i="4"/>
  <c r="N80" i="4"/>
  <c r="M79" i="4" l="1"/>
  <c r="H79" i="4"/>
  <c r="I79" i="4" s="1"/>
  <c r="J80" i="4"/>
  <c r="N81" i="4"/>
  <c r="J81" i="4" s="1"/>
  <c r="M80" i="4" l="1"/>
  <c r="H80" i="4"/>
  <c r="I80" i="4" s="1"/>
  <c r="M81" i="4"/>
  <c r="M83" i="4" s="1"/>
  <c r="H81" i="4"/>
  <c r="I81" i="4" s="1"/>
</calcChain>
</file>

<file path=xl/sharedStrings.xml><?xml version="1.0" encoding="utf-8"?>
<sst xmlns="http://schemas.openxmlformats.org/spreadsheetml/2006/main" count="690" uniqueCount="395">
  <si>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</si>
  <si>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</si>
  <si>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</si>
  <si>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</si>
  <si>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</si>
  <si>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</si>
  <si>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</si>
  <si>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</si>
  <si>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</si>
  <si>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</si>
  <si>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</si>
  <si>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</si>
  <si>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</si>
  <si>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</si>
  <si>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</si>
  <si>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</si>
  <si>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</si>
  <si>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</si>
  <si>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</si>
  <si>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</si>
  <si>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</si>
  <si>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</si>
  <si>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</si>
  <si>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</si>
  <si>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</si>
  <si>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</si>
  <si>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</si>
  <si>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</si>
  <si>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</si>
  <si>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</si>
  <si>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</si>
  <si>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</si>
  <si>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</si>
  <si>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</si>
  <si>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</si>
  <si>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</si>
  <si>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</si>
  <si>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</si>
  <si>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</si>
  <si>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</si>
  <si>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</si>
  <si>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</si>
  <si>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</si>
  <si>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</si>
  <si>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</si>
  <si>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</si>
  <si>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</si>
  <si>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</si>
  <si>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</si>
  <si>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</si>
  <si>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</si>
  <si>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</si>
  <si>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</si>
  <si>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</si>
  <si>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</si>
  <si>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</si>
  <si>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</si>
  <si>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</si>
  <si>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</si>
  <si>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</si>
  <si>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</si>
  <si>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</si>
  <si>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</si>
  <si>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</si>
  <si>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</si>
  <si>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</si>
  <si>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</si>
  <si>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</si>
  <si>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</si>
  <si>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</si>
  <si>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</si>
  <si>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</si>
  <si>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</si>
  <si>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</si>
  <si>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</si>
  <si>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</si>
  <si>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</si>
  <si>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</si>
  <si>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</si>
  <si>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</si>
  <si>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</si>
  <si>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</si>
  <si>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</si>
  <si>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</si>
  <si>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</si>
  <si>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</si>
  <si>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</si>
  <si>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</si>
  <si>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</si>
  <si>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</si>
  <si>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</si>
  <si>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</si>
  <si>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</si>
  <si>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</si>
  <si>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</si>
  <si>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</si>
  <si>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</si>
  <si>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</si>
  <si>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</si>
  <si>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</si>
  <si>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</si>
  <si>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</si>
  <si>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</si>
  <si>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</si>
  <si>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</si>
  <si>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</si>
  <si>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</si>
  <si>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</si>
  <si>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</si>
  <si>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</si>
  <si>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</si>
  <si>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</si>
  <si>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</si>
  <si>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</si>
  <si>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</si>
  <si>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</si>
  <si>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</si>
  <si>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</si>
  <si>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</si>
  <si>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</si>
  <si>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</si>
  <si>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</si>
  <si>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</si>
  <si>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</si>
  <si>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</si>
  <si>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</si>
  <si>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</si>
  <si>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</si>
  <si>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</si>
  <si>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</si>
  <si>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</si>
  <si>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</si>
  <si>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</si>
  <si>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</si>
  <si>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</si>
  <si>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</si>
  <si>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</si>
  <si>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</si>
  <si>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</si>
  <si>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</si>
  <si>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</si>
  <si>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</si>
  <si>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</si>
  <si>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</si>
  <si>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</si>
  <si>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</si>
  <si>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</si>
  <si>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</si>
  <si>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</si>
  <si>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</si>
  <si>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</si>
  <si>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</si>
  <si>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</si>
  <si>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</si>
  <si>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</si>
  <si>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</si>
  <si>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</si>
  <si>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</si>
  <si>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</si>
  <si>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</si>
  <si>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</si>
  <si>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</si>
  <si>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</si>
  <si>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</si>
  <si>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</si>
  <si>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</si>
  <si>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</si>
  <si>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</si>
  <si>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</si>
  <si>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</si>
  <si>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</si>
  <si>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</si>
  <si>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</si>
  <si>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</si>
  <si>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</si>
  <si>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</si>
  <si>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</si>
  <si>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</si>
  <si>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</si>
  <si>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</si>
  <si>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</si>
  <si>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</si>
  <si>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</si>
  <si>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</si>
  <si>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</si>
  <si>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</si>
  <si>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</si>
  <si>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</si>
  <si>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</si>
  <si>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</si>
  <si>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</si>
  <si>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</si>
  <si>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</si>
  <si>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</si>
  <si>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</si>
  <si>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</si>
  <si>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</si>
  <si>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</si>
  <si>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</si>
  <si>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</si>
  <si>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</si>
  <si>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</si>
  <si>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</si>
  <si>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</si>
  <si>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</si>
  <si>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</si>
  <si>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</si>
  <si>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</si>
  <si>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</si>
  <si>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</si>
  <si>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</si>
  <si>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</si>
  <si>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</si>
  <si>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</si>
  <si>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</si>
  <si>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</si>
  <si>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</si>
  <si>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</si>
  <si>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</si>
  <si>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</si>
  <si>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</si>
  <si>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</si>
  <si>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</si>
  <si>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</si>
  <si>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</si>
  <si>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</si>
  <si>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</si>
  <si>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</si>
  <si>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</si>
  <si>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</si>
  <si>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</si>
  <si>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</si>
  <si>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</si>
  <si>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</si>
  <si>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</si>
  <si>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</si>
  <si>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</si>
  <si>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</si>
  <si>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</si>
  <si>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</si>
  <si>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</si>
  <si>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</si>
  <si>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</si>
  <si>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</si>
  <si>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</si>
  <si>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</si>
  <si>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</si>
  <si>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</si>
  <si>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</si>
  <si>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</si>
  <si>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</si>
  <si>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</si>
  <si>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</si>
  <si>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</si>
  <si>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</si>
  <si>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</si>
  <si>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</si>
  <si>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</si>
  <si>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</si>
  <si>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</si>
  <si>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</si>
  <si>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</si>
  <si>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</si>
  <si>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</si>
  <si>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</si>
  <si>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</si>
  <si>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</si>
  <si>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</si>
  <si>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</si>
  <si>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</si>
  <si>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</si>
  <si>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</si>
  <si>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</si>
  <si>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</si>
  <si>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</si>
  <si>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</si>
  <si>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</si>
  <si>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</si>
  <si>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</si>
  <si>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</si>
  <si>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</si>
  <si>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</si>
  <si>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</si>
  <si>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</si>
  <si>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</si>
  <si>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</si>
  <si>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</si>
  <si>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</si>
  <si>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</si>
  <si>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</si>
  <si>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</si>
  <si>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</si>
  <si>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</si>
  <si>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</si>
  <si>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</si>
  <si>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</si>
  <si>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</si>
  <si>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</si>
  <si>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</si>
  <si>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</si>
  <si>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</si>
  <si>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</si>
  <si>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</si>
  <si>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</si>
  <si>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</si>
  <si>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</si>
  <si>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</si>
  <si>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</si>
  <si>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</si>
  <si>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</si>
  <si>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</si>
  <si>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</si>
  <si>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</si>
  <si>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</si>
  <si>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</si>
  <si>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</si>
  <si>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</si>
  <si>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Transf 20/01</t>
  </si>
  <si>
    <t xml:space="preserve">Destapaciones - Camion AySa </t>
  </si>
  <si>
    <t>Pago Ef.</t>
  </si>
  <si>
    <t xml:space="preserve">Nahuel </t>
  </si>
  <si>
    <t>Cristina andrea Massa</t>
  </si>
  <si>
    <t>Fridgi, Guillermo Ariel</t>
  </si>
  <si>
    <t>Gustavo Oscar Fernandez</t>
  </si>
  <si>
    <t>Transferencia de Bezzo Enrique Jorge</t>
  </si>
  <si>
    <t>Pendiente mes de febrer0 el 02/02 se debito federacional patronal</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</si>
  <si>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</si>
  <si>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</si>
  <si>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</si>
  <si>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</si>
  <si>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</si>
  <si>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</si>
  <si>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</si>
  <si>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</si>
  <si>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</si>
  <si>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</si>
  <si>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</si>
  <si>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</si>
  <si>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</si>
  <si>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</si>
  <si>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</si>
  <si>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</si>
  <si>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</si>
  <si>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</si>
  <si>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</si>
  <si>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</si>
  <si>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</si>
  <si>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</si>
  <si>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</si>
  <si>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</si>
  <si>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</si>
  <si>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</si>
  <si>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</si>
  <si>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</si>
  <si>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</si>
  <si>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</si>
  <si>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</si>
  <si>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</si>
  <si>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</si>
  <si>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</si>
  <si>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</si>
  <si>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</si>
  <si>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PERÍODO: FEBRERO</t>
  </si>
  <si>
    <t>Mes de FEBRERO</t>
  </si>
  <si>
    <t>ADS - Abono de mantenimiento ascensores FEBRERO del 2025</t>
  </si>
  <si>
    <t>Victor Martinez - Abono mantenimiento control de accesos - Mes de FEBRERO</t>
  </si>
  <si>
    <t>Transf 02/02</t>
  </si>
  <si>
    <t>Esponjas - Limpieza pileta</t>
  </si>
  <si>
    <t>Debito</t>
  </si>
  <si>
    <t>Transf 10/02</t>
  </si>
  <si>
    <t>Transf 11/02</t>
  </si>
  <si>
    <t>Transf 13/02</t>
  </si>
  <si>
    <t>Cuello Natalia - Servicio de emergencia - Desobstruccion de colectora cloacal y repaso de tramos de colectora en local 1 y 3. Cuota 2 de 2</t>
  </si>
  <si>
    <t>Transf 18/02</t>
  </si>
  <si>
    <t>Cuello natalia - Servicio de emergencia - Reemplazo de colectora cloacal local 5</t>
  </si>
  <si>
    <t>Cuello natalia - Servicio de emergencia - Reemplazo de colectora cloacal local 2</t>
  </si>
  <si>
    <t>Transf 20/02</t>
  </si>
  <si>
    <t>Seguro - Sr. Cristian</t>
  </si>
  <si>
    <t>Efectivo por adm</t>
  </si>
  <si>
    <t>ARBA - Impuesto inmobiliario partida 025024270-0 - Cuota 1/2026</t>
  </si>
  <si>
    <t>Transf 28/02</t>
  </si>
  <si>
    <t>EL 9D ABONO EN EL MES DE DICIEMBRE AL MERCADO PAGO PERSONAL DE LA ADMINISTRACIÓN Y EN SU MOMENTO NO SE LE IMPUTO EL PAGO. UNA VEZ ESCLARECIDO EL ASUNTO PROCEDEMOS A IMPUTAR ESE PAGO EN EL PRORRATEO DE ESTE MES.</t>
  </si>
  <si>
    <t>Descuentos dias no trabajados del mes</t>
  </si>
  <si>
    <t>Horas extras (4 horas al 100%)</t>
  </si>
  <si>
    <t>Horas extras (36 horas al 50%)</t>
  </si>
  <si>
    <t>Sueldo encargada Sonia Arzamendia Galeano</t>
  </si>
  <si>
    <t>Reemplazo Sra. Sonia - Sr. Cristian</t>
  </si>
  <si>
    <t xml:space="preserve">ARBA </t>
  </si>
  <si>
    <t>ARBA Cuota 1/2026</t>
  </si>
  <si>
    <t>TOTAL A ABONAR 1ERA CUOTA - VTO. 31/03</t>
  </si>
  <si>
    <t>TOTAL A ABONAR 1ERA CUOTA - VTO. 30/04</t>
  </si>
  <si>
    <t>Estimados propietarios e inquilinos, les recordamos que la primera cuota del revalúo de ARBA tiene vencimiento el 31/03 y que el monto correspondiente a cada unidad funcional se encuentra detallado en la columna resaltada en color celeste dentro de la grilla enviada. Es fundamental que al momento de abonar respeten exactamente los centavos indicados y que el pago de esta primera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primera cuota de ARBA, respetando también en ese caso los centavos indicados. Reiteramos la importancia de realizar ambas operaciones por separado y sin omitir los centavos, a fin de evitar diferencias y facilitar la correcta imputación de los pagos.</t>
  </si>
  <si>
    <t>Estimados propietarios e inquilinos, les recordamos que la segunda cuota del revalúo de ARBA tiene vencimiento el 30/04 y que el monto correspondiente a cada unidad funcional se encuentra detallado en la columna resaltada en color naranja dentro de la grilla enviada. Es fundamental que al momento de abonar respeten exactamente los centavos indicados y que el pago de esta segunda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segunda cuota de ARBA, respetando también en ese caso los centavos indicados. Reiteramos la importancia de realizar ambas operaciones por separado y sin omitir los centavos, a fin de evitar diferencias y facilitar la correcta imputación de los pagos.</t>
  </si>
  <si>
    <t>VTO 16/03</t>
  </si>
  <si>
    <t xml:space="preserve">Patricia Mainieri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</si>
</sst>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
      <b/>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19">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0" borderId="1" xfId="1" applyFont="1" applyBorder="1"/>
    <xf numFmtId="44" fontId="2" fillId="4" borderId="6"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44" fontId="4" fillId="2" borderId="6" xfId="0" applyNumberFormat="1" applyFont="1" applyFill="1" applyBorder="1"/>
    <xf numFmtId="10" fontId="0" fillId="14" borderId="1" xfId="0" applyNumberFormat="1" applyFill="1" applyBorder="1"/>
    <xf numFmtId="165" fontId="0" fillId="14" borderId="4" xfId="1" applyNumberFormat="1" applyFont="1" applyFill="1" applyBorder="1"/>
    <xf numFmtId="4" fontId="0" fillId="14" borderId="4" xfId="0" applyNumberFormat="1" applyFill="1" applyBorder="1"/>
    <xf numFmtId="44" fontId="4" fillId="2" borderId="28" xfId="1" applyFont="1" applyFill="1" applyBorder="1"/>
    <xf numFmtId="44" fontId="4" fillId="2" borderId="4" xfId="1" applyFont="1" applyFill="1" applyBorder="1"/>
    <xf numFmtId="44" fontId="4" fillId="14" borderId="1" xfId="1" applyFont="1" applyFill="1" applyBorder="1"/>
    <xf numFmtId="8" fontId="2" fillId="3" borderId="0" xfId="0" applyNumberFormat="1" applyFont="1" applyFill="1" applyAlignment="1">
      <alignment horizontal="right" wrapText="1"/>
    </xf>
    <xf numFmtId="3" fontId="0" fillId="15" borderId="4" xfId="0" applyNumberFormat="1" applyFill="1" applyBorder="1"/>
    <xf numFmtId="3" fontId="0" fillId="15" borderId="28" xfId="0" applyNumberFormat="1" applyFill="1" applyBorder="1"/>
    <xf numFmtId="4" fontId="0" fillId="15"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3" fillId="5" borderId="12" xfId="0" applyNumberFormat="1" applyFont="1" applyFill="1" applyBorder="1" applyAlignment="1">
      <alignment vertical="center"/>
    </xf>
    <xf numFmtId="1" fontId="23" fillId="2" borderId="12" xfId="0" applyNumberFormat="1" applyFont="1" applyFill="1" applyBorder="1" applyAlignment="1">
      <alignment vertical="center"/>
    </xf>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1" fontId="26" fillId="15" borderId="11" xfId="0" applyNumberFormat="1" applyFont="1" applyFill="1" applyBorder="1" applyAlignment="1">
      <alignment horizontal="left" vertical="center" wrapText="1"/>
    </xf>
    <xf numFmtId="1" fontId="26" fillId="15" borderId="12" xfId="0" applyNumberFormat="1" applyFont="1" applyFill="1" applyBorder="1" applyAlignment="1">
      <alignment horizontal="left" vertical="center" wrapText="1"/>
    </xf>
    <xf numFmtId="1" fontId="26" fillId="15" borderId="13" xfId="0" applyNumberFormat="1" applyFont="1" applyFill="1" applyBorder="1" applyAlignment="1">
      <alignment horizontal="left" vertical="center" wrapText="1"/>
    </xf>
    <xf numFmtId="1" fontId="26" fillId="5" borderId="11" xfId="0" applyNumberFormat="1" applyFont="1" applyFill="1" applyBorder="1" applyAlignment="1">
      <alignment horizontal="left" vertical="center" wrapText="1"/>
    </xf>
    <xf numFmtId="1" fontId="26" fillId="5" borderId="12" xfId="0" applyNumberFormat="1" applyFont="1" applyFill="1" applyBorder="1" applyAlignment="1">
      <alignment horizontal="left" vertical="center" wrapText="1"/>
    </xf>
    <xf numFmtId="1" fontId="26" fillId="5" borderId="13" xfId="0" applyNumberFormat="1" applyFont="1" applyFill="1" applyBorder="1" applyAlignment="1">
      <alignment horizontal="left" vertical="center" wrapText="1"/>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4"/>
  <sheetViews>
    <sheetView zoomScale="80" zoomScaleNormal="80" workbookViewId="0">
      <selection activeCell="A23" sqref="A23"/>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2"/>
      <c r="B1" s="121"/>
      <c r="C1" s="129" t="s">
        <v>262</v>
      </c>
      <c r="D1" s="129"/>
      <c r="E1" s="130"/>
      <c r="F1" s="130"/>
      <c r="G1" s="110"/>
      <c r="H1" s="110"/>
      <c r="I1" s="110"/>
      <c r="J1" s="111"/>
    </row>
    <row r="2" spans="1:10" ht="18" x14ac:dyDescent="0.35">
      <c r="A2" s="113"/>
      <c r="B2" s="122"/>
      <c r="C2" s="122" t="s">
        <v>259</v>
      </c>
      <c r="D2" s="122"/>
      <c r="E2" s="123"/>
      <c r="F2" s="123"/>
      <c r="G2" s="123"/>
      <c r="H2" s="123"/>
      <c r="I2" s="123"/>
      <c r="J2" s="109"/>
    </row>
    <row r="3" spans="1:10" ht="18" x14ac:dyDescent="0.35">
      <c r="A3" s="113"/>
      <c r="B3" s="122"/>
      <c r="C3" s="122" t="s">
        <v>291</v>
      </c>
      <c r="D3" s="122"/>
      <c r="E3" s="122" t="s">
        <v>260</v>
      </c>
      <c r="F3" s="123"/>
      <c r="G3" s="123"/>
      <c r="H3" s="123"/>
      <c r="I3" s="123"/>
      <c r="J3" s="109"/>
    </row>
    <row r="4" spans="1:10" ht="18" customHeight="1" x14ac:dyDescent="0.35">
      <c r="A4" s="113"/>
      <c r="B4" s="122"/>
      <c r="C4" s="122" t="s">
        <v>261</v>
      </c>
      <c r="D4" s="123"/>
      <c r="E4" s="123"/>
      <c r="F4" s="123"/>
      <c r="G4" s="123"/>
      <c r="H4" s="123"/>
      <c r="I4" s="123"/>
      <c r="J4" s="109"/>
    </row>
    <row r="5" spans="1:10" ht="18" x14ac:dyDescent="0.35">
      <c r="A5" s="117"/>
      <c r="B5" s="122"/>
      <c r="C5" s="122" t="s">
        <v>362</v>
      </c>
      <c r="D5" s="122"/>
      <c r="E5" s="122" t="s">
        <v>360</v>
      </c>
      <c r="F5" s="122"/>
      <c r="G5" s="122"/>
      <c r="H5" s="122"/>
      <c r="I5" s="122"/>
      <c r="J5" s="118"/>
    </row>
    <row r="6" spans="1:10" ht="18" x14ac:dyDescent="0.35">
      <c r="A6" s="117"/>
      <c r="B6" s="122"/>
      <c r="C6" s="122" t="s">
        <v>0</v>
      </c>
      <c r="D6" s="122"/>
      <c r="E6" s="122"/>
      <c r="F6" s="122"/>
      <c r="G6" s="122"/>
      <c r="H6" s="122"/>
      <c r="I6" s="122"/>
      <c r="J6" s="118"/>
    </row>
    <row r="7" spans="1:10" ht="18.600000000000001" thickBot="1" x14ac:dyDescent="0.4">
      <c r="A7" s="119"/>
      <c r="B7" s="120"/>
      <c r="C7" s="120"/>
      <c r="D7" s="120"/>
      <c r="E7" s="120"/>
      <c r="F7" s="120"/>
      <c r="G7" s="120"/>
      <c r="H7" s="120"/>
      <c r="I7" s="120"/>
      <c r="J7" s="124"/>
    </row>
    <row r="9" spans="1:10" hidden="1" x14ac:dyDescent="0.3"/>
    <row r="10" spans="1:10" hidden="1" x14ac:dyDescent="0.3"/>
    <row r="11" spans="1:10" hidden="1" x14ac:dyDescent="0.3"/>
    <row r="12" spans="1:10" hidden="1" x14ac:dyDescent="0.3"/>
    <row r="14" spans="1:10" ht="15" customHeight="1" x14ac:dyDescent="0.3">
      <c r="A14" s="251" t="s">
        <v>258</v>
      </c>
      <c r="B14" s="251"/>
      <c r="C14" s="251"/>
      <c r="D14" s="251"/>
      <c r="E14" s="251"/>
      <c r="F14" s="251"/>
      <c r="G14" s="251"/>
      <c r="H14" s="251"/>
      <c r="I14" s="251"/>
      <c r="J14" s="251"/>
    </row>
    <row r="15" spans="1:10" ht="15" customHeight="1" x14ac:dyDescent="0.3">
      <c r="A15" s="251"/>
      <c r="B15" s="251"/>
      <c r="C15" s="251"/>
      <c r="D15" s="251"/>
      <c r="E15" s="251"/>
      <c r="F15" s="251"/>
      <c r="G15" s="251"/>
      <c r="H15" s="251"/>
      <c r="I15" s="251"/>
      <c r="J15" s="251"/>
    </row>
    <row r="16" spans="1:10" ht="15" customHeight="1" x14ac:dyDescent="0.3">
      <c r="A16" s="251"/>
      <c r="B16" s="251"/>
      <c r="C16" s="251"/>
      <c r="D16" s="251"/>
      <c r="E16" s="251"/>
      <c r="F16" s="251"/>
      <c r="G16" s="251"/>
      <c r="H16" s="251"/>
      <c r="I16" s="251"/>
      <c r="J16" s="251"/>
    </row>
    <row r="17" spans="1:10" ht="25.2" customHeight="1" x14ac:dyDescent="0.3">
      <c r="A17" s="251"/>
      <c r="B17" s="251"/>
      <c r="C17" s="251"/>
      <c r="D17" s="251"/>
      <c r="E17" s="251"/>
      <c r="F17" s="251"/>
      <c r="G17" s="251"/>
      <c r="H17" s="251"/>
      <c r="I17" s="251"/>
      <c r="J17" s="251"/>
    </row>
    <row r="18" spans="1:10" ht="47.4" customHeight="1" x14ac:dyDescent="0.3">
      <c r="A18" s="251"/>
      <c r="B18" s="251"/>
      <c r="C18" s="251"/>
      <c r="D18" s="251"/>
      <c r="E18" s="251"/>
      <c r="F18" s="251"/>
      <c r="G18" s="251"/>
      <c r="H18" s="251"/>
      <c r="I18" s="251"/>
      <c r="J18" s="251"/>
    </row>
    <row r="19" spans="1:10" x14ac:dyDescent="0.3">
      <c r="A19" s="2"/>
      <c r="H19" s="94"/>
    </row>
    <row r="20" spans="1:10" x14ac:dyDescent="0.3">
      <c r="A20" s="260" t="s">
        <v>393</v>
      </c>
      <c r="B20" s="260"/>
      <c r="C20" s="260"/>
      <c r="D20" s="260"/>
      <c r="E20" s="260"/>
      <c r="F20" s="260"/>
      <c r="G20" s="260"/>
      <c r="H20" s="260"/>
      <c r="I20" s="260"/>
      <c r="J20" s="260"/>
    </row>
    <row r="21" spans="1:10" x14ac:dyDescent="0.3">
      <c r="A21" s="260"/>
      <c r="B21" s="260"/>
      <c r="C21" s="260"/>
      <c r="D21" s="260"/>
      <c r="E21" s="260"/>
      <c r="F21" s="260"/>
      <c r="G21" s="260"/>
      <c r="H21" s="260"/>
      <c r="I21" s="260"/>
      <c r="J21" s="260"/>
    </row>
    <row r="22" spans="1:10" x14ac:dyDescent="0.3">
      <c r="A22" s="260"/>
      <c r="B22" s="260"/>
      <c r="C22" s="260"/>
      <c r="D22" s="260"/>
      <c r="E22" s="260"/>
      <c r="F22" s="260"/>
      <c r="G22" s="260"/>
      <c r="H22" s="260"/>
      <c r="I22" s="260"/>
      <c r="J22" s="260"/>
    </row>
    <row r="23" spans="1:10" ht="15" thickBot="1" x14ac:dyDescent="0.35">
      <c r="H23" s="94"/>
    </row>
    <row r="24" spans="1:10" ht="15" thickBot="1" x14ac:dyDescent="0.35">
      <c r="A24" s="12" t="s">
        <v>19</v>
      </c>
      <c r="B24" s="13"/>
      <c r="C24" s="14"/>
      <c r="D24" s="10"/>
      <c r="E24" s="96" t="s">
        <v>169</v>
      </c>
      <c r="F24" s="96" t="s">
        <v>170</v>
      </c>
      <c r="G24" s="96" t="s">
        <v>171</v>
      </c>
      <c r="H24" s="96" t="s">
        <v>172</v>
      </c>
      <c r="I24" s="96" t="s">
        <v>173</v>
      </c>
      <c r="J24" s="97" t="s">
        <v>174</v>
      </c>
    </row>
    <row r="25" spans="1:10" x14ac:dyDescent="0.3">
      <c r="A25" s="50" t="s">
        <v>385</v>
      </c>
      <c r="B25" s="6"/>
      <c r="C25" s="6"/>
      <c r="D25" s="55"/>
      <c r="E25" s="95"/>
      <c r="F25" s="95"/>
      <c r="G25" s="95"/>
      <c r="H25" s="95"/>
      <c r="I25" s="95"/>
      <c r="J25" s="95"/>
    </row>
    <row r="26" spans="1:10" x14ac:dyDescent="0.3">
      <c r="A26" s="6" t="s">
        <v>43</v>
      </c>
      <c r="B26" s="6"/>
      <c r="C26" s="6"/>
      <c r="D26" s="228">
        <v>1144753</v>
      </c>
      <c r="E26" s="58"/>
      <c r="F26" s="58"/>
      <c r="G26" s="58"/>
      <c r="H26" s="58"/>
      <c r="I26" s="58"/>
      <c r="J26" s="58"/>
    </row>
    <row r="27" spans="1:10" x14ac:dyDescent="0.3">
      <c r="A27" s="6" t="s">
        <v>237</v>
      </c>
      <c r="B27" s="6"/>
      <c r="C27" s="6"/>
      <c r="D27" s="228">
        <v>40335.9</v>
      </c>
      <c r="E27" s="58"/>
      <c r="F27" s="58"/>
      <c r="G27" s="58"/>
      <c r="H27" s="58"/>
      <c r="I27" s="58"/>
      <c r="J27" s="58"/>
    </row>
    <row r="28" spans="1:10" x14ac:dyDescent="0.3">
      <c r="A28" s="6" t="s">
        <v>235</v>
      </c>
      <c r="B28" s="6"/>
      <c r="C28" s="6"/>
      <c r="D28" s="228">
        <f>1757*80</f>
        <v>140560</v>
      </c>
      <c r="E28" s="58"/>
      <c r="F28" s="58"/>
      <c r="G28" s="58"/>
      <c r="H28" s="58"/>
      <c r="I28" s="58"/>
      <c r="J28" s="58"/>
    </row>
    <row r="29" spans="1:10" x14ac:dyDescent="0.3">
      <c r="A29" s="6" t="s">
        <v>236</v>
      </c>
      <c r="B29" s="6"/>
      <c r="C29" s="6"/>
      <c r="D29" s="228">
        <v>23977.4</v>
      </c>
      <c r="E29" s="58"/>
      <c r="F29" s="58"/>
      <c r="G29" s="58"/>
      <c r="H29" s="58"/>
      <c r="I29" s="58"/>
      <c r="J29" s="58"/>
    </row>
    <row r="30" spans="1:10" x14ac:dyDescent="0.3">
      <c r="A30" s="6" t="s">
        <v>294</v>
      </c>
      <c r="B30" s="6"/>
      <c r="C30" s="6"/>
      <c r="D30" s="228">
        <v>67777.2</v>
      </c>
      <c r="E30" s="58"/>
      <c r="F30" s="58"/>
      <c r="G30" s="58"/>
      <c r="H30" s="58"/>
      <c r="I30" s="58"/>
      <c r="J30" s="58"/>
    </row>
    <row r="31" spans="1:10" x14ac:dyDescent="0.3">
      <c r="A31" s="6" t="s">
        <v>238</v>
      </c>
      <c r="B31" s="6"/>
      <c r="C31" s="6"/>
      <c r="D31" s="228">
        <v>120000</v>
      </c>
      <c r="E31" s="58"/>
      <c r="F31" s="58"/>
      <c r="G31" s="58"/>
      <c r="H31" s="58"/>
      <c r="I31" s="58"/>
      <c r="J31" s="58"/>
    </row>
    <row r="32" spans="1:10" x14ac:dyDescent="0.3">
      <c r="A32" s="6" t="s">
        <v>382</v>
      </c>
      <c r="B32" s="6"/>
      <c r="C32" s="6"/>
      <c r="D32" s="228">
        <v>-666208.18999999994</v>
      </c>
      <c r="E32" s="58"/>
      <c r="F32" s="58"/>
      <c r="G32" s="58"/>
      <c r="H32" s="58"/>
      <c r="I32" s="58"/>
      <c r="J32" s="58"/>
    </row>
    <row r="33" spans="1:12" x14ac:dyDescent="0.3">
      <c r="A33" s="93" t="s">
        <v>168</v>
      </c>
      <c r="B33" s="91"/>
      <c r="C33" s="91"/>
      <c r="D33" s="229">
        <f>SUM(D26:D32)</f>
        <v>871195.30999999982</v>
      </c>
      <c r="E33" s="92"/>
      <c r="F33" s="92"/>
      <c r="G33" s="92"/>
      <c r="H33" s="92"/>
      <c r="I33" s="92"/>
      <c r="J33" s="92"/>
    </row>
    <row r="34" spans="1:12" x14ac:dyDescent="0.3">
      <c r="A34" s="50" t="s">
        <v>234</v>
      </c>
      <c r="B34" s="6"/>
      <c r="C34" s="6"/>
      <c r="D34" s="55"/>
      <c r="E34" s="6"/>
      <c r="F34" s="6"/>
      <c r="G34" s="6"/>
      <c r="H34" s="6"/>
      <c r="I34" s="6"/>
      <c r="J34" s="6"/>
    </row>
    <row r="35" spans="1:12" x14ac:dyDescent="0.3">
      <c r="A35" s="6" t="s">
        <v>43</v>
      </c>
      <c r="B35" s="6"/>
      <c r="C35" s="6"/>
      <c r="D35" s="228">
        <v>572376</v>
      </c>
      <c r="E35" s="58"/>
      <c r="F35" s="58"/>
      <c r="G35" s="58"/>
      <c r="H35" s="58"/>
      <c r="I35" s="58"/>
      <c r="J35" s="58"/>
    </row>
    <row r="36" spans="1:12" x14ac:dyDescent="0.3">
      <c r="A36" s="6" t="s">
        <v>237</v>
      </c>
      <c r="B36" s="6"/>
      <c r="C36" s="6"/>
      <c r="D36" s="228">
        <f>D27</f>
        <v>40335.9</v>
      </c>
      <c r="E36" s="58"/>
      <c r="F36" s="58"/>
      <c r="G36" s="58"/>
      <c r="H36" s="58"/>
      <c r="I36" s="58"/>
      <c r="J36" s="58"/>
    </row>
    <row r="37" spans="1:12" x14ac:dyDescent="0.3">
      <c r="A37" s="6" t="s">
        <v>235</v>
      </c>
      <c r="B37" s="6"/>
      <c r="C37" s="6"/>
      <c r="D37" s="228">
        <f>D28</f>
        <v>140560</v>
      </c>
      <c r="E37" s="58"/>
      <c r="F37" s="58"/>
      <c r="G37" s="58"/>
      <c r="H37" s="58"/>
      <c r="I37" s="58"/>
      <c r="J37" s="58"/>
    </row>
    <row r="38" spans="1:12" x14ac:dyDescent="0.3">
      <c r="A38" s="6" t="s">
        <v>236</v>
      </c>
      <c r="B38" s="6"/>
      <c r="C38" s="6"/>
      <c r="D38" s="228">
        <f>D29</f>
        <v>23977.4</v>
      </c>
      <c r="E38" s="58"/>
      <c r="F38" s="58"/>
      <c r="G38" s="58"/>
      <c r="H38" s="58"/>
      <c r="I38" s="58"/>
      <c r="J38" s="58"/>
    </row>
    <row r="39" spans="1:12" x14ac:dyDescent="0.3">
      <c r="A39" s="6" t="s">
        <v>294</v>
      </c>
      <c r="B39" s="6"/>
      <c r="C39" s="6"/>
      <c r="D39" s="228">
        <f>D30</f>
        <v>67777.2</v>
      </c>
      <c r="E39" s="58"/>
      <c r="F39" s="58"/>
      <c r="G39" s="58"/>
      <c r="H39" s="58"/>
      <c r="I39" s="58"/>
      <c r="J39" s="58"/>
    </row>
    <row r="40" spans="1:12" x14ac:dyDescent="0.3">
      <c r="A40" s="6" t="s">
        <v>238</v>
      </c>
      <c r="B40" s="6"/>
      <c r="C40" s="6"/>
      <c r="D40" s="228">
        <v>60000</v>
      </c>
      <c r="E40" s="58"/>
      <c r="F40" s="58"/>
      <c r="G40" s="58"/>
      <c r="H40" s="58"/>
      <c r="I40" s="58"/>
      <c r="J40" s="58"/>
    </row>
    <row r="41" spans="1:12" x14ac:dyDescent="0.3">
      <c r="A41" s="6" t="s">
        <v>383</v>
      </c>
      <c r="B41" s="6"/>
      <c r="C41" s="6"/>
      <c r="D41" s="228">
        <v>38158.400000000001</v>
      </c>
      <c r="E41" s="58"/>
      <c r="F41" s="58"/>
      <c r="G41" s="58"/>
      <c r="H41" s="58"/>
      <c r="I41" s="58"/>
      <c r="J41" s="58"/>
    </row>
    <row r="42" spans="1:12" x14ac:dyDescent="0.3">
      <c r="A42" s="6" t="s">
        <v>384</v>
      </c>
      <c r="B42" s="6"/>
      <c r="C42" s="6"/>
      <c r="D42" s="228">
        <v>228950.39999999999</v>
      </c>
      <c r="E42" s="58"/>
      <c r="F42" s="58"/>
      <c r="G42" s="58"/>
      <c r="H42" s="58"/>
      <c r="I42" s="58"/>
      <c r="J42" s="58"/>
    </row>
    <row r="43" spans="1:12" x14ac:dyDescent="0.3">
      <c r="A43" s="93" t="s">
        <v>168</v>
      </c>
      <c r="B43" s="91"/>
      <c r="C43" s="91"/>
      <c r="D43" s="229">
        <f>SUM(D35:D42)</f>
        <v>1172135.3</v>
      </c>
      <c r="E43" s="92"/>
      <c r="F43" s="92"/>
      <c r="G43" s="92"/>
      <c r="H43" s="92"/>
      <c r="I43" s="92"/>
      <c r="J43" s="92"/>
    </row>
    <row r="44" spans="1:12" x14ac:dyDescent="0.3">
      <c r="A44" s="33" t="s">
        <v>1</v>
      </c>
      <c r="B44" s="33"/>
      <c r="C44" s="33"/>
      <c r="D44" s="42">
        <f>D33+D43</f>
        <v>2043330.6099999999</v>
      </c>
      <c r="E44" s="42">
        <f>D44*93.2%</f>
        <v>1904384.12852</v>
      </c>
      <c r="F44" s="78">
        <f>$D44*1.08%</f>
        <v>22067.970588</v>
      </c>
      <c r="G44" s="78">
        <f>$D44*1.28%</f>
        <v>26154.631807999998</v>
      </c>
      <c r="H44" s="78">
        <f>$D44*1.21%</f>
        <v>24724.300380999997</v>
      </c>
      <c r="I44" s="78">
        <f>$D44*1.49%</f>
        <v>30445.626088999998</v>
      </c>
      <c r="J44" s="78">
        <f>D44*1.74%</f>
        <v>35553.952613999994</v>
      </c>
      <c r="K44" s="43">
        <f>E44+J44+F44+G44+H44+I44</f>
        <v>2043330.6099999999</v>
      </c>
      <c r="L44" s="69" t="str">
        <f>IF(D44=K44, "", "Error")</f>
        <v/>
      </c>
    </row>
    <row r="45" spans="1:12" x14ac:dyDescent="0.3">
      <c r="A45" s="32" t="s">
        <v>386</v>
      </c>
      <c r="B45" s="6"/>
      <c r="C45" s="6"/>
      <c r="D45" s="230">
        <v>512135</v>
      </c>
      <c r="E45" s="58"/>
      <c r="F45" s="58"/>
      <c r="G45" s="58"/>
      <c r="H45" s="58"/>
      <c r="I45" s="58"/>
      <c r="J45" s="58"/>
      <c r="L45" s="69"/>
    </row>
    <row r="46" spans="1:12" x14ac:dyDescent="0.3">
      <c r="A46" s="32" t="s">
        <v>377</v>
      </c>
      <c r="B46" s="6"/>
      <c r="C46" s="6" t="s">
        <v>378</v>
      </c>
      <c r="D46" s="228">
        <v>47420.82</v>
      </c>
      <c r="E46" s="6"/>
      <c r="F46" s="6"/>
      <c r="G46" s="6"/>
      <c r="H46" s="6"/>
      <c r="I46" s="6"/>
      <c r="J46" s="6"/>
      <c r="L46" s="69"/>
    </row>
    <row r="47" spans="1:12" x14ac:dyDescent="0.3">
      <c r="A47" s="33" t="s">
        <v>38</v>
      </c>
      <c r="B47" s="33"/>
      <c r="C47" s="33"/>
      <c r="D47" s="42">
        <f>SUM(D45:D45)</f>
        <v>512135</v>
      </c>
      <c r="E47" s="42">
        <f>D47*93.2%</f>
        <v>477309.82</v>
      </c>
      <c r="F47" s="78">
        <f>$D47*1.08%</f>
        <v>5531.058</v>
      </c>
      <c r="G47" s="78">
        <f>$D47*1.28%</f>
        <v>6555.3280000000004</v>
      </c>
      <c r="H47" s="78">
        <f>$D47*1.21%</f>
        <v>6196.8334999999997</v>
      </c>
      <c r="I47" s="78">
        <f>$D47*1.49%</f>
        <v>7630.8114999999998</v>
      </c>
      <c r="J47" s="78">
        <f>D47*1.74%</f>
        <v>8911.1489999999994</v>
      </c>
      <c r="K47" s="43">
        <f>E47+J47+F47+G47+H47+I47</f>
        <v>512135</v>
      </c>
      <c r="L47" s="69" t="str">
        <f>IF(D47=K47, "", "Error")</f>
        <v/>
      </c>
    </row>
    <row r="48" spans="1:12" x14ac:dyDescent="0.3">
      <c r="A48" s="32" t="s">
        <v>247</v>
      </c>
      <c r="B48" s="6"/>
      <c r="C48" s="6"/>
      <c r="D48" s="230"/>
      <c r="E48" s="58">
        <f>D48*91.91%</f>
        <v>0</v>
      </c>
      <c r="F48" s="58"/>
      <c r="G48" s="58"/>
      <c r="H48" s="58"/>
      <c r="I48" s="58"/>
      <c r="J48" s="58"/>
      <c r="L48" s="69"/>
    </row>
    <row r="49" spans="1:12" x14ac:dyDescent="0.3">
      <c r="A49" s="6"/>
      <c r="B49" s="6"/>
      <c r="C49" s="6"/>
      <c r="D49" s="228"/>
      <c r="E49" s="58"/>
      <c r="F49" s="58"/>
      <c r="G49" s="58"/>
      <c r="H49" s="58"/>
      <c r="I49" s="58"/>
      <c r="J49" s="58"/>
      <c r="L49" s="69"/>
    </row>
    <row r="50" spans="1:12" x14ac:dyDescent="0.3">
      <c r="A50" s="33" t="s">
        <v>17</v>
      </c>
      <c r="B50" s="33"/>
      <c r="C50" s="33"/>
      <c r="D50" s="42">
        <f>SUM(D49:D49)</f>
        <v>0</v>
      </c>
      <c r="E50" s="42">
        <f>D50</f>
        <v>0</v>
      </c>
      <c r="F50" s="42"/>
      <c r="G50" s="42"/>
      <c r="H50" s="42"/>
      <c r="I50" s="42"/>
      <c r="J50" s="48"/>
      <c r="K50" s="43">
        <f>E50+J50+F50+G50+H50+I50</f>
        <v>0</v>
      </c>
      <c r="L50" s="69" t="str">
        <f>IF(D50=K50, "", "Error")</f>
        <v/>
      </c>
    </row>
    <row r="51" spans="1:12" x14ac:dyDescent="0.3">
      <c r="A51" s="32" t="s">
        <v>243</v>
      </c>
      <c r="B51" s="35"/>
      <c r="C51" s="35"/>
      <c r="D51" s="228"/>
      <c r="E51" s="49"/>
      <c r="F51" s="49"/>
      <c r="G51" s="49"/>
      <c r="H51" s="49"/>
      <c r="I51" s="49"/>
      <c r="J51" s="49"/>
      <c r="L51" s="69"/>
    </row>
    <row r="52" spans="1:12" x14ac:dyDescent="0.3">
      <c r="A52" s="35" t="s">
        <v>379</v>
      </c>
      <c r="B52" s="35"/>
      <c r="C52" s="35"/>
      <c r="D52" s="228">
        <v>5359814.2</v>
      </c>
      <c r="E52" s="49"/>
      <c r="F52" s="49"/>
      <c r="G52" s="49"/>
      <c r="H52" s="49"/>
      <c r="I52" s="49"/>
      <c r="J52" s="49"/>
      <c r="L52" s="69"/>
    </row>
    <row r="53" spans="1:12" x14ac:dyDescent="0.3">
      <c r="A53" s="35" t="s">
        <v>246</v>
      </c>
      <c r="B53" s="35" t="s">
        <v>363</v>
      </c>
      <c r="C53" s="35" t="s">
        <v>371</v>
      </c>
      <c r="D53" s="228">
        <v>256953</v>
      </c>
      <c r="E53" s="49"/>
      <c r="F53" s="49"/>
      <c r="G53" s="49"/>
      <c r="H53" s="49"/>
      <c r="I53" s="49"/>
      <c r="J53" s="49"/>
      <c r="L53" s="69"/>
    </row>
    <row r="54" spans="1:12" x14ac:dyDescent="0.3">
      <c r="A54" s="35" t="s">
        <v>246</v>
      </c>
      <c r="B54" s="35" t="s">
        <v>363</v>
      </c>
      <c r="C54" s="35" t="str">
        <f>C53</f>
        <v>Transf 13/02</v>
      </c>
      <c r="D54" s="228">
        <v>256953</v>
      </c>
      <c r="E54" s="49"/>
      <c r="F54" s="49"/>
      <c r="G54" s="49"/>
      <c r="H54" s="49"/>
      <c r="I54" s="49"/>
      <c r="J54" s="49"/>
      <c r="L54" s="69"/>
    </row>
    <row r="55" spans="1:12" x14ac:dyDescent="0.3">
      <c r="A55" s="33" t="s">
        <v>245</v>
      </c>
      <c r="B55" s="33"/>
      <c r="C55" s="33"/>
      <c r="D55" s="231">
        <f>SUM(D52:D54)</f>
        <v>5873720.2000000002</v>
      </c>
      <c r="E55" s="42">
        <f>D55*93.2%</f>
        <v>5474307.2264</v>
      </c>
      <c r="F55" s="78">
        <f>$D55*1.08%</f>
        <v>63436.178160000003</v>
      </c>
      <c r="G55" s="78">
        <f>$D55*1.28%</f>
        <v>75183.618560000003</v>
      </c>
      <c r="H55" s="78">
        <f>$D55*1.21%</f>
        <v>71072.014420000007</v>
      </c>
      <c r="I55" s="78">
        <f>$D55*1.49%</f>
        <v>87518.430980000005</v>
      </c>
      <c r="J55" s="78">
        <f>D55*1.74%</f>
        <v>102202.73148</v>
      </c>
      <c r="K55" s="43">
        <f>E55+J55+F55+G55+H55+I55</f>
        <v>5873720.1999999993</v>
      </c>
      <c r="L55" s="69" t="str">
        <f>IF(D55=K55, "", "Error")</f>
        <v/>
      </c>
    </row>
    <row r="56" spans="1:12" x14ac:dyDescent="0.3">
      <c r="A56" s="32" t="s">
        <v>2</v>
      </c>
      <c r="B56" s="6"/>
      <c r="C56" s="6"/>
      <c r="D56" s="44"/>
      <c r="E56" s="45"/>
      <c r="F56" s="45"/>
      <c r="G56" s="45"/>
      <c r="H56" s="45"/>
      <c r="I56" s="45"/>
      <c r="J56" s="6"/>
      <c r="L56" s="69"/>
    </row>
    <row r="57" spans="1:12" x14ac:dyDescent="0.3">
      <c r="A57" s="6" t="s">
        <v>239</v>
      </c>
      <c r="B57" s="6"/>
      <c r="C57" s="6" t="s">
        <v>376</v>
      </c>
      <c r="D57" s="44">
        <v>64271</v>
      </c>
      <c r="E57" s="114"/>
      <c r="F57" s="114"/>
      <c r="G57" s="114"/>
      <c r="H57" s="114"/>
      <c r="I57" s="114"/>
      <c r="J57" s="6"/>
      <c r="L57" s="69"/>
    </row>
    <row r="58" spans="1:12" x14ac:dyDescent="0.3">
      <c r="A58" s="6" t="s">
        <v>278</v>
      </c>
      <c r="B58" s="6"/>
      <c r="C58" s="6" t="s">
        <v>380</v>
      </c>
      <c r="D58" s="44">
        <v>74221.850000000006</v>
      </c>
      <c r="E58" s="114"/>
      <c r="F58" s="114"/>
      <c r="G58" s="114"/>
      <c r="H58" s="114"/>
      <c r="I58" s="114"/>
      <c r="J58" s="6"/>
      <c r="L58" s="69"/>
    </row>
    <row r="59" spans="1:12" x14ac:dyDescent="0.3">
      <c r="A59" s="6"/>
      <c r="B59" s="6"/>
      <c r="C59" s="182"/>
      <c r="D59" s="44"/>
      <c r="E59" s="75"/>
      <c r="F59" s="75"/>
      <c r="G59" s="75"/>
      <c r="H59" s="75"/>
      <c r="I59" s="75"/>
      <c r="J59" s="6"/>
      <c r="L59" s="69"/>
    </row>
    <row r="60" spans="1:12" x14ac:dyDescent="0.3">
      <c r="A60" s="33" t="s">
        <v>244</v>
      </c>
      <c r="B60" s="33"/>
      <c r="C60" s="33"/>
      <c r="D60" s="42">
        <f>SUM(D56:D59)</f>
        <v>138492.85</v>
      </c>
      <c r="E60" s="42">
        <f>D60*93.2%</f>
        <v>129075.33620000001</v>
      </c>
      <c r="F60" s="78">
        <f>$D60*1.08%</f>
        <v>1495.7227800000001</v>
      </c>
      <c r="G60" s="78">
        <f>$D60*1.28%</f>
        <v>1772.7084800000002</v>
      </c>
      <c r="H60" s="78">
        <f>$D60*1.21%</f>
        <v>1675.7634849999999</v>
      </c>
      <c r="I60" s="78">
        <f>$D60*1.49%</f>
        <v>2063.5434650000002</v>
      </c>
      <c r="J60" s="78">
        <f>D60*1.74%</f>
        <v>2409.7755899999997</v>
      </c>
      <c r="K60" s="43">
        <f>E60+J60+F60+G60+H60+I60</f>
        <v>138492.85</v>
      </c>
      <c r="L60" s="69" t="str">
        <f>IF(D60=K60, "", "Error")</f>
        <v/>
      </c>
    </row>
    <row r="61" spans="1:12" x14ac:dyDescent="0.3">
      <c r="A61" s="32" t="s">
        <v>227</v>
      </c>
      <c r="B61" s="6"/>
      <c r="C61" s="6"/>
      <c r="D61" s="232"/>
      <c r="E61" s="46"/>
      <c r="F61" s="46"/>
      <c r="G61" s="46"/>
      <c r="H61" s="46"/>
      <c r="I61" s="46"/>
      <c r="J61" s="36"/>
      <c r="L61" s="69"/>
    </row>
    <row r="62" spans="1:12" x14ac:dyDescent="0.3">
      <c r="A62" s="6" t="s">
        <v>231</v>
      </c>
      <c r="B62" s="6"/>
      <c r="C62" s="6" t="s">
        <v>310</v>
      </c>
      <c r="D62" s="44">
        <v>160913</v>
      </c>
      <c r="E62" s="58">
        <f>D62*93.2%</f>
        <v>149970.916</v>
      </c>
      <c r="F62" s="58">
        <f>$D62*1.08%</f>
        <v>1737.8604</v>
      </c>
      <c r="G62" s="58">
        <f>$D62*1.28%</f>
        <v>2059.6864</v>
      </c>
      <c r="H62" s="58">
        <f>$D62*1.21%</f>
        <v>1947.0473</v>
      </c>
      <c r="I62" s="58">
        <f>$D62*1.49%</f>
        <v>2397.6037000000001</v>
      </c>
      <c r="J62" s="58">
        <f>D62*1.74%</f>
        <v>2799.8861999999999</v>
      </c>
      <c r="K62" s="43">
        <f>SUM(E62:J62)</f>
        <v>160913.00000000003</v>
      </c>
      <c r="L62" s="69"/>
    </row>
    <row r="63" spans="1:12" ht="30" customHeight="1" x14ac:dyDescent="0.3">
      <c r="A63" s="262" t="s">
        <v>232</v>
      </c>
      <c r="B63" s="263"/>
      <c r="C63" s="35" t="s">
        <v>310</v>
      </c>
      <c r="D63" s="44">
        <v>7907</v>
      </c>
      <c r="E63" s="58">
        <f t="shared" ref="E63:E64" si="0">D63*93.2%</f>
        <v>7369.3240000000005</v>
      </c>
      <c r="F63" s="58">
        <f>$D63*1.08%</f>
        <v>85.395600000000002</v>
      </c>
      <c r="G63" s="58">
        <f>$D63*1.28%</f>
        <v>101.20960000000001</v>
      </c>
      <c r="H63" s="58">
        <f>$D63*1.21%</f>
        <v>95.674700000000001</v>
      </c>
      <c r="I63" s="58">
        <f>$D63*1.49%</f>
        <v>117.8143</v>
      </c>
      <c r="J63" s="58">
        <f>D63*1.74%</f>
        <v>137.58179999999999</v>
      </c>
      <c r="K63" s="43">
        <f t="shared" ref="K63:K64" si="1">SUM(E63:J63)</f>
        <v>7907</v>
      </c>
      <c r="L63" s="203" t="s">
        <v>325</v>
      </c>
    </row>
    <row r="64" spans="1:12" ht="30" customHeight="1" x14ac:dyDescent="0.3">
      <c r="A64" s="262" t="s">
        <v>233</v>
      </c>
      <c r="B64" s="263"/>
      <c r="C64" s="6" t="s">
        <v>378</v>
      </c>
      <c r="D64" s="44">
        <v>7907</v>
      </c>
      <c r="E64" s="58">
        <f t="shared" si="0"/>
        <v>7369.3240000000005</v>
      </c>
      <c r="F64" s="58">
        <f>$D64*1.08%</f>
        <v>85.395600000000002</v>
      </c>
      <c r="G64" s="58">
        <f>$D64*1.28%</f>
        <v>101.20960000000001</v>
      </c>
      <c r="H64" s="58">
        <f>$D64*1.21%</f>
        <v>95.674700000000001</v>
      </c>
      <c r="I64" s="58">
        <f>$D64*1.49%</f>
        <v>117.8143</v>
      </c>
      <c r="J64" s="58">
        <f>D64*1.74%</f>
        <v>137.58179999999999</v>
      </c>
      <c r="K64" s="43">
        <f t="shared" si="1"/>
        <v>7907</v>
      </c>
      <c r="L64" s="69"/>
    </row>
    <row r="65" spans="1:14" x14ac:dyDescent="0.3">
      <c r="A65" s="33" t="s">
        <v>3</v>
      </c>
      <c r="B65" s="34"/>
      <c r="C65" s="34"/>
      <c r="D65" s="42">
        <f>SUM(D62:D64)</f>
        <v>176727</v>
      </c>
      <c r="E65" s="42">
        <f>SUM(E62:E64)</f>
        <v>164709.56399999998</v>
      </c>
      <c r="F65" s="42">
        <f t="shared" ref="F65:I65" si="2">SUM(F62:F64)</f>
        <v>1908.6516000000001</v>
      </c>
      <c r="G65" s="42">
        <f t="shared" si="2"/>
        <v>2262.1056000000003</v>
      </c>
      <c r="H65" s="42">
        <f t="shared" si="2"/>
        <v>2138.3966999999998</v>
      </c>
      <c r="I65" s="42">
        <f t="shared" si="2"/>
        <v>2633.2323000000001</v>
      </c>
      <c r="J65" s="42">
        <f>SUM(J62:J64)</f>
        <v>3075.0497999999998</v>
      </c>
      <c r="K65" s="43">
        <f>E65+J65+F65+G65+H65+I65</f>
        <v>176727.00000000003</v>
      </c>
      <c r="L65" s="69" t="str">
        <f>IF(D65=K65, "", "Error")</f>
        <v/>
      </c>
    </row>
    <row r="66" spans="1:14" x14ac:dyDescent="0.3">
      <c r="A66" s="32" t="s">
        <v>4</v>
      </c>
      <c r="B66" s="6"/>
      <c r="C66" s="6"/>
      <c r="D66" s="233"/>
      <c r="E66" s="46"/>
      <c r="F66" s="46"/>
      <c r="G66" s="46"/>
      <c r="H66" s="46"/>
      <c r="I66" s="46"/>
      <c r="J66" s="6"/>
      <c r="L66" s="69"/>
    </row>
    <row r="67" spans="1:14" ht="16.5" customHeight="1" x14ac:dyDescent="0.3">
      <c r="A67" s="71" t="s">
        <v>240</v>
      </c>
      <c r="B67" s="6"/>
      <c r="C67" s="182" t="s">
        <v>366</v>
      </c>
      <c r="D67" s="234">
        <v>1399962.63</v>
      </c>
      <c r="E67" s="68">
        <f>D67*93.2%</f>
        <v>1304765.1711599999</v>
      </c>
      <c r="F67" s="58">
        <f>$D67*1.08%</f>
        <v>15119.596404</v>
      </c>
      <c r="G67" s="58">
        <f>$D67*1.28%</f>
        <v>17919.521664</v>
      </c>
      <c r="H67" s="58">
        <f>$D67*1.21%</f>
        <v>16939.547822999997</v>
      </c>
      <c r="I67" s="58">
        <f>$D67*1.49%</f>
        <v>20859.443186999997</v>
      </c>
      <c r="J67" s="58">
        <f>D67*1.74%</f>
        <v>24359.349761999998</v>
      </c>
      <c r="K67" s="43">
        <f>D67</f>
        <v>1399962.63</v>
      </c>
      <c r="L67" s="74">
        <f>SUM(E67:J67)</f>
        <v>1399962.6299999997</v>
      </c>
      <c r="M67" s="84"/>
      <c r="N67" s="84"/>
    </row>
    <row r="68" spans="1:14" x14ac:dyDescent="0.3">
      <c r="A68" s="6" t="s">
        <v>241</v>
      </c>
      <c r="B68" s="6"/>
      <c r="C68" s="182" t="s">
        <v>369</v>
      </c>
      <c r="D68" s="234">
        <v>1146488.52</v>
      </c>
      <c r="E68" s="68">
        <f t="shared" ref="E68" si="3">D68*93.2%</f>
        <v>1068527.30064</v>
      </c>
      <c r="F68" s="58">
        <f t="shared" ref="F68" si="4">$D68*1.08%</f>
        <v>12382.076016000001</v>
      </c>
      <c r="G68" s="58">
        <f t="shared" ref="G68" si="5">$D68*1.28%</f>
        <v>14675.053056000001</v>
      </c>
      <c r="H68" s="58">
        <f t="shared" ref="H68" si="6">$D68*1.21%</f>
        <v>13872.511092000001</v>
      </c>
      <c r="I68" s="58">
        <f t="shared" ref="I68" si="7">$D68*1.49%</f>
        <v>17082.678948000001</v>
      </c>
      <c r="J68" s="58">
        <f t="shared" ref="J68" si="8">D68*1.74%</f>
        <v>19948.900247999998</v>
      </c>
      <c r="K68" s="43">
        <f t="shared" ref="K68:K74" si="9">D68</f>
        <v>1146488.52</v>
      </c>
      <c r="L68" s="74">
        <f t="shared" ref="L68" si="10">E68+J68+I68+H68+G68+F68</f>
        <v>1146488.52</v>
      </c>
      <c r="M68" s="84"/>
      <c r="N68" s="84"/>
    </row>
    <row r="69" spans="1:14" x14ac:dyDescent="0.3">
      <c r="A69" s="6" t="s">
        <v>242</v>
      </c>
      <c r="B69" s="6"/>
      <c r="C69" s="6" t="s">
        <v>310</v>
      </c>
      <c r="D69" s="44">
        <v>130990.63</v>
      </c>
      <c r="E69" s="68">
        <f>D69</f>
        <v>130990.63</v>
      </c>
      <c r="F69" s="58"/>
      <c r="G69" s="58"/>
      <c r="H69" s="58"/>
      <c r="I69" s="58"/>
      <c r="J69" s="58"/>
      <c r="K69" s="43">
        <f t="shared" si="9"/>
        <v>130990.63</v>
      </c>
      <c r="L69" s="74">
        <f>E69+J69+I69+H69+G69+F69</f>
        <v>130990.63</v>
      </c>
      <c r="M69" s="84">
        <f>L69-D69</f>
        <v>0</v>
      </c>
      <c r="N69" s="84">
        <f>K69-D69</f>
        <v>0</v>
      </c>
    </row>
    <row r="70" spans="1:14" x14ac:dyDescent="0.3">
      <c r="A70" s="6" t="s">
        <v>364</v>
      </c>
      <c r="B70" s="6"/>
      <c r="C70" s="182" t="s">
        <v>370</v>
      </c>
      <c r="D70" s="44">
        <v>352314.06</v>
      </c>
      <c r="E70" s="68">
        <f>D70</f>
        <v>352314.06</v>
      </c>
      <c r="F70" s="58"/>
      <c r="G70" s="58"/>
      <c r="H70" s="58"/>
      <c r="I70" s="58"/>
      <c r="J70" s="58"/>
      <c r="K70" s="43">
        <f t="shared" si="9"/>
        <v>352314.06</v>
      </c>
      <c r="L70" s="74">
        <f>E70+J70+I70+H70+G70+F70</f>
        <v>352314.06</v>
      </c>
      <c r="M70" s="84"/>
      <c r="N70" s="84"/>
    </row>
    <row r="71" spans="1:14" ht="33" customHeight="1" x14ac:dyDescent="0.3">
      <c r="A71" s="258" t="s">
        <v>365</v>
      </c>
      <c r="B71" s="264"/>
      <c r="C71" s="35"/>
      <c r="D71" s="44"/>
      <c r="E71" s="68">
        <f>D71</f>
        <v>0</v>
      </c>
      <c r="F71" s="58"/>
      <c r="G71" s="58"/>
      <c r="H71" s="58"/>
      <c r="I71" s="58"/>
      <c r="J71" s="58"/>
      <c r="K71" s="43">
        <f>D71</f>
        <v>0</v>
      </c>
      <c r="L71" s="74">
        <f>E71+J71+I71+H71+G71+F71</f>
        <v>0</v>
      </c>
      <c r="M71" s="84">
        <f>L71-D71</f>
        <v>0</v>
      </c>
      <c r="N71" s="84">
        <f>K71-D71</f>
        <v>0</v>
      </c>
    </row>
    <row r="72" spans="1:14" x14ac:dyDescent="0.3">
      <c r="A72" s="35" t="s">
        <v>273</v>
      </c>
      <c r="B72" s="35"/>
      <c r="C72" s="182" t="s">
        <v>369</v>
      </c>
      <c r="D72" s="44">
        <v>911759.61</v>
      </c>
      <c r="E72" s="68">
        <f>D72*93.2%</f>
        <v>849759.95652000001</v>
      </c>
      <c r="F72" s="58">
        <f>$D72*1.08%</f>
        <v>9847.003788</v>
      </c>
      <c r="G72" s="58">
        <f>$D72*1.28%</f>
        <v>11670.523008</v>
      </c>
      <c r="H72" s="58">
        <f>$D72*1.21%</f>
        <v>11032.291281</v>
      </c>
      <c r="I72" s="58">
        <f>$D72*1.49%</f>
        <v>13585.218188999999</v>
      </c>
      <c r="J72" s="58">
        <f>D72*1.74%</f>
        <v>15864.617213999998</v>
      </c>
      <c r="K72" s="43">
        <f t="shared" si="9"/>
        <v>911759.61</v>
      </c>
      <c r="L72" s="74">
        <f t="shared" ref="L72:L74" si="11">E72+J72+I72+H72+G72+F72</f>
        <v>911759.61</v>
      </c>
      <c r="M72" s="84">
        <f>L72-D72</f>
        <v>0</v>
      </c>
      <c r="N72" s="84">
        <f t="shared" ref="N72:N74" si="12">K72-D72</f>
        <v>0</v>
      </c>
    </row>
    <row r="73" spans="1:14" x14ac:dyDescent="0.3">
      <c r="A73" s="35" t="s">
        <v>274</v>
      </c>
      <c r="B73" s="35"/>
      <c r="C73" s="182" t="s">
        <v>366</v>
      </c>
      <c r="D73" s="44">
        <v>6126.48</v>
      </c>
      <c r="E73" s="68">
        <f>D73*93.2%</f>
        <v>5709.8793599999999</v>
      </c>
      <c r="F73" s="58">
        <f>$D73*1.08%</f>
        <v>66.165983999999995</v>
      </c>
      <c r="G73" s="58">
        <f>$D73*1.28%</f>
        <v>78.418943999999996</v>
      </c>
      <c r="H73" s="58">
        <f>$D73*1.21%</f>
        <v>74.130407999999989</v>
      </c>
      <c r="I73" s="58">
        <f>$D73*1.49%</f>
        <v>91.284551999999991</v>
      </c>
      <c r="J73" s="58">
        <f>D73*1.74%</f>
        <v>106.60075199999999</v>
      </c>
      <c r="K73" s="43">
        <f t="shared" si="9"/>
        <v>6126.48</v>
      </c>
      <c r="L73" s="74">
        <f t="shared" si="11"/>
        <v>6126.4800000000005</v>
      </c>
      <c r="M73" s="84">
        <f>L73-D73</f>
        <v>0</v>
      </c>
      <c r="N73" s="84">
        <f t="shared" si="12"/>
        <v>0</v>
      </c>
    </row>
    <row r="74" spans="1:14" x14ac:dyDescent="0.3">
      <c r="A74" s="142" t="s">
        <v>272</v>
      </c>
      <c r="B74" s="141"/>
      <c r="C74" s="6"/>
      <c r="D74" s="44">
        <v>0</v>
      </c>
      <c r="E74" s="68">
        <f>D74*93.2%</f>
        <v>0</v>
      </c>
      <c r="F74" s="68">
        <f>$D74*1.08%</f>
        <v>0</v>
      </c>
      <c r="G74" s="68">
        <f>$D74*1.28%</f>
        <v>0</v>
      </c>
      <c r="H74" s="68">
        <f>$D74*1.21%</f>
        <v>0</v>
      </c>
      <c r="I74" s="68">
        <f>$D74*1.49%</f>
        <v>0</v>
      </c>
      <c r="J74" s="58">
        <f>D74*1.74%</f>
        <v>0</v>
      </c>
      <c r="K74" s="43">
        <f t="shared" si="9"/>
        <v>0</v>
      </c>
      <c r="L74" s="74">
        <f t="shared" si="11"/>
        <v>0</v>
      </c>
      <c r="M74" s="84">
        <f>L74-D74</f>
        <v>0</v>
      </c>
      <c r="N74" s="84">
        <f t="shared" si="12"/>
        <v>0</v>
      </c>
    </row>
    <row r="75" spans="1:14" ht="14.25" customHeight="1" x14ac:dyDescent="0.3">
      <c r="A75" s="33" t="s">
        <v>5</v>
      </c>
      <c r="B75" s="34"/>
      <c r="C75" s="34"/>
      <c r="D75" s="42">
        <f t="shared" ref="D75:J75" si="13">SUM(D67:D74)</f>
        <v>3947641.9299999997</v>
      </c>
      <c r="E75" s="42">
        <f t="shared" si="13"/>
        <v>3712066.99768</v>
      </c>
      <c r="F75" s="42">
        <f t="shared" si="13"/>
        <v>37414.842192000004</v>
      </c>
      <c r="G75" s="42">
        <f t="shared" si="13"/>
        <v>44343.516671999998</v>
      </c>
      <c r="H75" s="42">
        <f t="shared" si="13"/>
        <v>41918.480603999997</v>
      </c>
      <c r="I75" s="42">
        <f t="shared" si="13"/>
        <v>51618.624875999994</v>
      </c>
      <c r="J75" s="42">
        <f t="shared" si="13"/>
        <v>60279.467975999993</v>
      </c>
      <c r="K75" s="43">
        <f>E75+J75+F75+G75+H75+I75</f>
        <v>3947641.9299999997</v>
      </c>
      <c r="L75" s="69" t="str">
        <f>IF(D75=K75, "", "Error")</f>
        <v/>
      </c>
      <c r="M75" s="84">
        <f>D75-K75</f>
        <v>0</v>
      </c>
    </row>
    <row r="76" spans="1:14" hidden="1" x14ac:dyDescent="0.3">
      <c r="A76" s="6"/>
      <c r="B76" s="6"/>
      <c r="C76" s="6"/>
      <c r="D76" s="233"/>
      <c r="E76" s="46"/>
      <c r="F76" s="46"/>
      <c r="G76" s="46"/>
      <c r="H76" s="46"/>
      <c r="I76" s="46"/>
      <c r="J76" s="6"/>
      <c r="L76" s="69"/>
    </row>
    <row r="77" spans="1:14" hidden="1" x14ac:dyDescent="0.3">
      <c r="A77" s="6"/>
      <c r="B77" s="6"/>
      <c r="C77" s="6"/>
      <c r="D77" s="233"/>
      <c r="E77" s="45"/>
      <c r="F77" s="45"/>
      <c r="G77" s="45"/>
      <c r="H77" s="45"/>
      <c r="I77" s="45"/>
      <c r="J77" s="6"/>
      <c r="L77" s="69"/>
    </row>
    <row r="78" spans="1:14" x14ac:dyDescent="0.3">
      <c r="A78" s="32" t="s">
        <v>228</v>
      </c>
      <c r="B78" s="6"/>
      <c r="C78" s="6"/>
      <c r="D78" s="233"/>
      <c r="E78" s="45"/>
      <c r="F78" s="45"/>
      <c r="G78" s="45"/>
      <c r="H78" s="45"/>
      <c r="I78" s="45"/>
      <c r="J78" s="6"/>
      <c r="L78" s="69"/>
    </row>
    <row r="79" spans="1:14" x14ac:dyDescent="0.3">
      <c r="A79" s="45" t="s">
        <v>318</v>
      </c>
      <c r="B79" s="193"/>
      <c r="C79" s="35" t="s">
        <v>319</v>
      </c>
      <c r="D79" s="44">
        <v>60000</v>
      </c>
      <c r="E79" s="68">
        <f t="shared" ref="E79:E81" si="14">D79</f>
        <v>60000</v>
      </c>
      <c r="F79" s="75"/>
      <c r="G79" s="75"/>
      <c r="H79" s="75"/>
      <c r="I79" s="75"/>
      <c r="J79" s="58"/>
      <c r="L79" s="69"/>
    </row>
    <row r="80" spans="1:14" x14ac:dyDescent="0.3">
      <c r="A80" s="45" t="s">
        <v>367</v>
      </c>
      <c r="B80" s="193"/>
      <c r="C80" s="35" t="s">
        <v>368</v>
      </c>
      <c r="D80" s="44">
        <v>41371.07</v>
      </c>
      <c r="E80" s="68">
        <f t="shared" si="14"/>
        <v>41371.07</v>
      </c>
      <c r="F80" s="75"/>
      <c r="G80" s="75"/>
      <c r="H80" s="75"/>
      <c r="I80" s="75"/>
      <c r="J80" s="58"/>
      <c r="L80" s="69"/>
    </row>
    <row r="81" spans="1:14" ht="36" customHeight="1" x14ac:dyDescent="0.3">
      <c r="A81" s="262" t="s">
        <v>372</v>
      </c>
      <c r="B81" s="263"/>
      <c r="C81" s="137" t="s">
        <v>373</v>
      </c>
      <c r="D81" s="44">
        <v>307200</v>
      </c>
      <c r="E81" s="68">
        <f t="shared" si="14"/>
        <v>307200</v>
      </c>
      <c r="F81" s="75"/>
      <c r="G81" s="75"/>
      <c r="H81" s="75"/>
      <c r="I81" s="75"/>
      <c r="J81" s="58"/>
      <c r="L81" s="69"/>
    </row>
    <row r="82" spans="1:14" ht="30" customHeight="1" x14ac:dyDescent="0.3">
      <c r="A82" s="262" t="s">
        <v>374</v>
      </c>
      <c r="B82" s="263"/>
      <c r="C82" s="137" t="s">
        <v>373</v>
      </c>
      <c r="D82" s="44">
        <v>95700</v>
      </c>
      <c r="E82" s="68">
        <f>D82*93.2%</f>
        <v>89192.400000000009</v>
      </c>
      <c r="F82" s="58">
        <f>$D82*1.08%</f>
        <v>1033.56</v>
      </c>
      <c r="G82" s="58">
        <f>$D82*1.28%</f>
        <v>1224.96</v>
      </c>
      <c r="H82" s="58">
        <f>$D82*1.21%</f>
        <v>1157.97</v>
      </c>
      <c r="I82" s="58">
        <f>$D82*1.49%</f>
        <v>1425.93</v>
      </c>
      <c r="J82" s="58">
        <f>D82*1.74%</f>
        <v>1665.1799999999998</v>
      </c>
      <c r="L82" s="69"/>
    </row>
    <row r="83" spans="1:14" ht="33.75" customHeight="1" x14ac:dyDescent="0.3">
      <c r="A83" s="262" t="s">
        <v>375</v>
      </c>
      <c r="B83" s="263"/>
      <c r="C83" s="137" t="s">
        <v>317</v>
      </c>
      <c r="D83" s="44">
        <v>95700</v>
      </c>
      <c r="E83" s="68">
        <f>D83*93.2%</f>
        <v>89192.400000000009</v>
      </c>
      <c r="F83" s="58">
        <f>$D83*1.08%</f>
        <v>1033.56</v>
      </c>
      <c r="G83" s="58">
        <f>$D83*1.28%</f>
        <v>1224.96</v>
      </c>
      <c r="H83" s="58">
        <f>$D83*1.21%</f>
        <v>1157.97</v>
      </c>
      <c r="I83" s="58">
        <f>$D83*1.49%</f>
        <v>1425.93</v>
      </c>
      <c r="J83" s="58">
        <f>D83*1.74%</f>
        <v>1665.1799999999998</v>
      </c>
      <c r="L83" s="69"/>
      <c r="M83" s="43"/>
    </row>
    <row r="84" spans="1:14" ht="13.5" customHeight="1" x14ac:dyDescent="0.3">
      <c r="A84" s="33" t="s">
        <v>229</v>
      </c>
      <c r="B84" s="33"/>
      <c r="C84" s="33"/>
      <c r="D84" s="206">
        <f t="shared" ref="D84:J84" si="15">SUM(D79:D83)</f>
        <v>599971.07000000007</v>
      </c>
      <c r="E84" s="42">
        <f t="shared" si="15"/>
        <v>586955.87</v>
      </c>
      <c r="F84" s="42">
        <f t="shared" si="15"/>
        <v>2067.12</v>
      </c>
      <c r="G84" s="42">
        <f t="shared" si="15"/>
        <v>2449.92</v>
      </c>
      <c r="H84" s="42">
        <f t="shared" si="15"/>
        <v>2315.94</v>
      </c>
      <c r="I84" s="42">
        <f t="shared" si="15"/>
        <v>2851.86</v>
      </c>
      <c r="J84" s="42">
        <f t="shared" si="15"/>
        <v>3330.3599999999997</v>
      </c>
      <c r="K84" s="43">
        <f>E84+J84+F84+G84+H84+I84</f>
        <v>599971.06999999995</v>
      </c>
      <c r="L84" s="69" t="str">
        <f>IF(D84=K84, "", "Error")</f>
        <v/>
      </c>
      <c r="N84" s="43"/>
    </row>
    <row r="85" spans="1:14" hidden="1" x14ac:dyDescent="0.3">
      <c r="A85" s="6"/>
      <c r="B85" s="6"/>
      <c r="C85" s="6"/>
      <c r="D85" s="205"/>
      <c r="E85" s="46"/>
      <c r="F85" s="46"/>
      <c r="G85" s="46"/>
      <c r="H85" s="46"/>
      <c r="I85" s="46"/>
      <c r="J85" s="6"/>
      <c r="L85" s="69"/>
    </row>
    <row r="86" spans="1:14" hidden="1" x14ac:dyDescent="0.3">
      <c r="A86" s="6"/>
      <c r="B86" s="6"/>
      <c r="C86" s="6"/>
      <c r="D86" s="205"/>
      <c r="E86" s="45"/>
      <c r="F86" s="45"/>
      <c r="G86" s="45"/>
      <c r="H86" s="45"/>
      <c r="I86" s="45"/>
      <c r="J86" s="6"/>
      <c r="L86" s="69"/>
    </row>
    <row r="87" spans="1:14" x14ac:dyDescent="0.3">
      <c r="A87" s="32" t="s">
        <v>6</v>
      </c>
      <c r="B87" s="6"/>
      <c r="C87" s="6"/>
      <c r="D87" s="205"/>
      <c r="E87" s="45"/>
      <c r="F87" s="45"/>
      <c r="G87" s="45"/>
      <c r="H87" s="45"/>
      <c r="I87" s="45"/>
      <c r="J87" s="6"/>
      <c r="L87" s="69"/>
    </row>
    <row r="88" spans="1:14" ht="14.25" customHeight="1" x14ac:dyDescent="0.3">
      <c r="A88" s="6" t="s">
        <v>7</v>
      </c>
      <c r="B88" s="6" t="s">
        <v>37</v>
      </c>
      <c r="C88" s="6"/>
      <c r="D88" s="204">
        <v>753700</v>
      </c>
      <c r="E88" s="68">
        <f>D88*93.2%</f>
        <v>702448.4</v>
      </c>
      <c r="F88" s="58">
        <f>$D88*1.08%</f>
        <v>8139.96</v>
      </c>
      <c r="G88" s="58">
        <f>$D88*1.28%</f>
        <v>9647.36</v>
      </c>
      <c r="H88" s="58">
        <f>$D88*1.21%</f>
        <v>9119.77</v>
      </c>
      <c r="I88" s="58">
        <f>$D88*1.49%</f>
        <v>11230.13</v>
      </c>
      <c r="J88" s="58">
        <f>D88*1.74%</f>
        <v>13114.38</v>
      </c>
      <c r="L88" s="69" t="s">
        <v>305</v>
      </c>
    </row>
    <row r="89" spans="1:14" x14ac:dyDescent="0.3">
      <c r="A89" s="32"/>
      <c r="B89" s="6"/>
      <c r="C89" s="6"/>
      <c r="D89" s="204"/>
      <c r="E89" s="68"/>
      <c r="F89" s="68"/>
      <c r="G89" s="68"/>
      <c r="H89" s="68"/>
      <c r="I89" s="68"/>
      <c r="J89" s="58"/>
      <c r="L89" s="69"/>
      <c r="N89" s="44"/>
    </row>
    <row r="90" spans="1:14" x14ac:dyDescent="0.3">
      <c r="A90" s="6"/>
      <c r="B90" s="6"/>
      <c r="C90" s="6"/>
      <c r="D90" s="205"/>
      <c r="E90" s="47"/>
      <c r="F90" s="47"/>
      <c r="G90" s="47"/>
      <c r="H90" s="47"/>
      <c r="I90" s="47"/>
      <c r="J90" s="6"/>
      <c r="L90" s="69"/>
      <c r="N90" s="43"/>
    </row>
    <row r="91" spans="1:14" x14ac:dyDescent="0.3">
      <c r="A91" s="33" t="s">
        <v>8</v>
      </c>
      <c r="B91" s="33"/>
      <c r="C91" s="33"/>
      <c r="D91" s="206">
        <f>SUM(D88:D90)</f>
        <v>753700</v>
      </c>
      <c r="E91" s="42">
        <f>SUM(E88:E90)</f>
        <v>702448.4</v>
      </c>
      <c r="F91" s="42">
        <f t="shared" ref="F91:I91" si="16">SUM(F88:F90)</f>
        <v>8139.96</v>
      </c>
      <c r="G91" s="42">
        <f t="shared" si="16"/>
        <v>9647.36</v>
      </c>
      <c r="H91" s="42">
        <f t="shared" si="16"/>
        <v>9119.77</v>
      </c>
      <c r="I91" s="42">
        <f t="shared" si="16"/>
        <v>11230.13</v>
      </c>
      <c r="J91" s="42">
        <f>SUM(J88:J90)</f>
        <v>13114.38</v>
      </c>
      <c r="K91" s="43">
        <f>E91+J91+F91+G91+H91+I91</f>
        <v>753700</v>
      </c>
      <c r="L91" s="69" t="str">
        <f>IF(D91=K91, "", "Error")</f>
        <v/>
      </c>
      <c r="N91" s="43"/>
    </row>
    <row r="92" spans="1:14" x14ac:dyDescent="0.3">
      <c r="A92" s="6" t="s">
        <v>28</v>
      </c>
      <c r="B92" s="6"/>
      <c r="C92" s="6"/>
      <c r="D92" s="204">
        <v>196607.91</v>
      </c>
      <c r="E92" s="68">
        <f>D92*93.2%</f>
        <v>183238.57212000003</v>
      </c>
      <c r="F92" s="58">
        <f>$D92*1.08%</f>
        <v>2123.3654280000001</v>
      </c>
      <c r="G92" s="58">
        <f>$D92*1.28%</f>
        <v>2516.581248</v>
      </c>
      <c r="H92" s="58">
        <f>$D92*1.21%</f>
        <v>2378.9557110000001</v>
      </c>
      <c r="I92" s="58">
        <f>$D92*1.49%</f>
        <v>2929.4578590000001</v>
      </c>
      <c r="J92" s="58">
        <f>D92*1.74%</f>
        <v>3420.9776339999999</v>
      </c>
      <c r="L92" s="69"/>
    </row>
    <row r="93" spans="1:14" x14ac:dyDescent="0.3">
      <c r="A93" s="6" t="s">
        <v>29</v>
      </c>
      <c r="B93" s="6"/>
      <c r="C93" s="51"/>
      <c r="D93" s="44"/>
      <c r="E93" s="68">
        <f>D93*93.2%</f>
        <v>0</v>
      </c>
      <c r="F93" s="58">
        <f>$D93*1.08%</f>
        <v>0</v>
      </c>
      <c r="G93" s="58">
        <f>$D93*1.28%</f>
        <v>0</v>
      </c>
      <c r="H93" s="58">
        <f>$D93*1.21%</f>
        <v>0</v>
      </c>
      <c r="I93" s="58">
        <f>$D93*1.49%</f>
        <v>0</v>
      </c>
      <c r="J93" s="58">
        <f>D93*1.74%</f>
        <v>0</v>
      </c>
      <c r="L93" s="69"/>
    </row>
    <row r="94" spans="1:14" x14ac:dyDescent="0.3">
      <c r="A94" s="33" t="s">
        <v>230</v>
      </c>
      <c r="B94" s="33"/>
      <c r="C94" s="33"/>
      <c r="D94" s="72">
        <f>SUM(D92:D93)</f>
        <v>196607.91</v>
      </c>
      <c r="E94" s="67">
        <f t="shared" ref="E94:J94" si="17">SUM(E92:E93)</f>
        <v>183238.57212000003</v>
      </c>
      <c r="F94" s="67">
        <f t="shared" si="17"/>
        <v>2123.3654280000001</v>
      </c>
      <c r="G94" s="67">
        <f t="shared" si="17"/>
        <v>2516.581248</v>
      </c>
      <c r="H94" s="67">
        <f t="shared" si="17"/>
        <v>2378.9557110000001</v>
      </c>
      <c r="I94" s="67">
        <f t="shared" si="17"/>
        <v>2929.4578590000001</v>
      </c>
      <c r="J94" s="67">
        <f t="shared" si="17"/>
        <v>3420.9776339999999</v>
      </c>
      <c r="K94" s="43">
        <f>E94+J94+F94+G94+H94+I94</f>
        <v>196607.91</v>
      </c>
      <c r="L94" s="69" t="str">
        <f>IF(D94=K94, "", "Error")</f>
        <v/>
      </c>
    </row>
    <row r="95" spans="1:14" ht="15" thickBot="1" x14ac:dyDescent="0.35">
      <c r="A95" s="98"/>
      <c r="B95" s="98"/>
      <c r="C95" s="98"/>
      <c r="D95" s="99"/>
      <c r="E95" s="9"/>
      <c r="F95" s="9"/>
      <c r="G95" s="9"/>
      <c r="H95" s="9"/>
      <c r="I95" s="9"/>
      <c r="J95" s="98"/>
      <c r="L95" s="69"/>
    </row>
    <row r="96" spans="1:14" ht="15" thickBot="1" x14ac:dyDescent="0.35">
      <c r="A96" s="100" t="s">
        <v>311</v>
      </c>
      <c r="B96" s="101"/>
      <c r="C96" s="101"/>
      <c r="D96" s="102"/>
      <c r="E96" s="125">
        <f>D96*93.2%</f>
        <v>0</v>
      </c>
      <c r="F96" s="125">
        <f>$D96*1.08%</f>
        <v>0</v>
      </c>
      <c r="G96" s="125">
        <f>$D96*1.28%</f>
        <v>0</v>
      </c>
      <c r="H96" s="125">
        <f>$D96*1.21%</f>
        <v>0</v>
      </c>
      <c r="I96" s="125">
        <f>$D96*1.49%</f>
        <v>0</v>
      </c>
      <c r="J96" s="126">
        <f>D96*1.74%</f>
        <v>0</v>
      </c>
      <c r="K96" s="43">
        <f>E96+J96+F96+G96+H96+I96</f>
        <v>0</v>
      </c>
      <c r="L96" s="69" t="str">
        <f>IF(D96=K96, "", "Error")</f>
        <v/>
      </c>
    </row>
    <row r="97" spans="1:13" ht="15" thickBot="1" x14ac:dyDescent="0.35">
      <c r="A97" s="103"/>
      <c r="B97" s="104"/>
      <c r="C97" s="104"/>
      <c r="D97" s="105"/>
      <c r="E97" s="106"/>
      <c r="F97" s="106"/>
      <c r="G97" s="106"/>
      <c r="H97" s="106"/>
      <c r="I97" s="106"/>
      <c r="J97" s="107"/>
      <c r="K97" s="43"/>
      <c r="L97" s="69"/>
    </row>
    <row r="98" spans="1:13" ht="15" thickBot="1" x14ac:dyDescent="0.35">
      <c r="A98" s="3" t="s">
        <v>30</v>
      </c>
      <c r="B98" s="11"/>
      <c r="C98" s="4"/>
      <c r="D98" s="86">
        <f t="shared" ref="D98:J98" si="18">SUM(D96+D55+D50+D94+D91+D84+D75+D65+D47+D44+D60)</f>
        <v>14242326.569999998</v>
      </c>
      <c r="E98" s="86">
        <f t="shared" si="18"/>
        <v>13334495.91492</v>
      </c>
      <c r="F98" s="86">
        <f t="shared" si="18"/>
        <v>144184.86874800001</v>
      </c>
      <c r="G98" s="86">
        <f t="shared" si="18"/>
        <v>170885.77036800003</v>
      </c>
      <c r="H98" s="86">
        <f t="shared" si="18"/>
        <v>161540.45480100001</v>
      </c>
      <c r="I98" s="86">
        <f t="shared" si="18"/>
        <v>198921.71706900001</v>
      </c>
      <c r="J98" s="86">
        <f t="shared" si="18"/>
        <v>232297.84409400003</v>
      </c>
      <c r="K98" s="61">
        <f>E98+J98+F98+G98+H98+I98</f>
        <v>14242326.570000002</v>
      </c>
      <c r="L98" s="69" t="str">
        <f>IF(D98=K98, "", "Error")</f>
        <v/>
      </c>
      <c r="M98" s="84">
        <f>D98-K98</f>
        <v>0</v>
      </c>
    </row>
    <row r="99" spans="1:13" ht="15" thickBot="1" x14ac:dyDescent="0.35">
      <c r="D99" s="85"/>
      <c r="E99" s="43"/>
      <c r="F99" s="43"/>
      <c r="G99" s="43"/>
      <c r="H99" s="43"/>
      <c r="I99" s="43"/>
    </row>
    <row r="100" spans="1:13" ht="15" thickBot="1" x14ac:dyDescent="0.35">
      <c r="A100" s="64" t="s">
        <v>39</v>
      </c>
      <c r="B100" s="63"/>
      <c r="C100" s="63"/>
      <c r="E100" s="43"/>
      <c r="F100" s="43"/>
      <c r="G100" s="43"/>
      <c r="H100" s="43"/>
      <c r="I100" s="43"/>
    </row>
    <row r="101" spans="1:13" x14ac:dyDescent="0.3">
      <c r="A101" s="1"/>
      <c r="C101" s="128"/>
      <c r="E101" s="43"/>
      <c r="F101" s="43"/>
      <c r="G101" s="43"/>
      <c r="H101" s="43"/>
      <c r="I101" s="43"/>
    </row>
    <row r="102" spans="1:13" ht="15" thickBot="1" x14ac:dyDescent="0.35">
      <c r="A102" s="1"/>
      <c r="C102" s="128"/>
      <c r="E102" s="43"/>
      <c r="F102" s="43"/>
      <c r="G102" s="43"/>
      <c r="H102" s="43"/>
      <c r="I102" s="43"/>
    </row>
    <row r="103" spans="1:13" ht="15" thickBot="1" x14ac:dyDescent="0.35">
      <c r="A103" s="65" t="s">
        <v>17</v>
      </c>
      <c r="B103" s="66"/>
      <c r="C103" s="62">
        <f>SUM(C101:C102)</f>
        <v>0</v>
      </c>
      <c r="E103" s="43"/>
      <c r="F103" s="43"/>
      <c r="G103" s="43"/>
      <c r="H103" s="43"/>
      <c r="I103" s="43"/>
    </row>
    <row r="104" spans="1:13" x14ac:dyDescent="0.3">
      <c r="E104" s="43"/>
      <c r="F104" s="43"/>
      <c r="G104" s="43"/>
      <c r="H104" s="43"/>
      <c r="I104" s="43"/>
    </row>
    <row r="105" spans="1:13" x14ac:dyDescent="0.3">
      <c r="E105" s="60"/>
      <c r="F105" s="60"/>
      <c r="G105" s="60"/>
      <c r="H105" s="60"/>
      <c r="I105" s="60"/>
    </row>
    <row r="106" spans="1:13" x14ac:dyDescent="0.3">
      <c r="A106" s="256" t="s">
        <v>34</v>
      </c>
      <c r="B106" s="257"/>
      <c r="C106" s="257"/>
      <c r="D106" s="257"/>
      <c r="E106" s="80" t="s">
        <v>11</v>
      </c>
      <c r="F106" s="80" t="s">
        <v>170</v>
      </c>
      <c r="G106" s="80" t="s">
        <v>171</v>
      </c>
      <c r="H106" s="80" t="s">
        <v>172</v>
      </c>
      <c r="I106" s="80" t="s">
        <v>173</v>
      </c>
      <c r="J106" s="81" t="s">
        <v>174</v>
      </c>
    </row>
    <row r="107" spans="1:13" ht="22.5" customHeight="1" x14ac:dyDescent="0.3">
      <c r="A107" s="258"/>
      <c r="B107" s="259"/>
      <c r="C107" s="82"/>
      <c r="D107" s="44"/>
      <c r="E107" s="68">
        <f>D107</f>
        <v>0</v>
      </c>
      <c r="F107" s="68"/>
      <c r="G107" s="68"/>
      <c r="H107" s="68"/>
      <c r="I107" s="68"/>
      <c r="J107" s="58"/>
    </row>
    <row r="108" spans="1:13" ht="24.75" customHeight="1" x14ac:dyDescent="0.3">
      <c r="A108" s="258"/>
      <c r="B108" s="259"/>
      <c r="C108" s="82"/>
      <c r="D108" s="44"/>
      <c r="E108" s="68"/>
      <c r="F108" s="68"/>
      <c r="G108" s="68"/>
      <c r="H108" s="68"/>
      <c r="I108" s="68"/>
      <c r="J108" s="58"/>
    </row>
    <row r="109" spans="1:13" x14ac:dyDescent="0.3">
      <c r="A109" s="253" t="s">
        <v>17</v>
      </c>
      <c r="B109" s="254"/>
      <c r="C109" s="255"/>
      <c r="D109" s="79">
        <f>SUM(D107:D108)</f>
        <v>0</v>
      </c>
      <c r="E109" s="79">
        <f>SUM(E107:E108)</f>
        <v>0</v>
      </c>
      <c r="F109" s="79"/>
      <c r="G109" s="79"/>
      <c r="H109" s="79"/>
      <c r="I109" s="79"/>
      <c r="J109" s="79">
        <f>SUM(J107:J108)</f>
        <v>0</v>
      </c>
      <c r="L109" s="43">
        <f>E109+J109</f>
        <v>0</v>
      </c>
      <c r="M109" s="69" t="str">
        <f>IF(D109=L109, "", "Error")</f>
        <v/>
      </c>
    </row>
    <row r="111" spans="1:13" ht="15" thickBot="1" x14ac:dyDescent="0.35">
      <c r="E111" s="43"/>
      <c r="F111" s="43"/>
      <c r="G111" s="43"/>
      <c r="H111" s="43"/>
      <c r="I111" s="43"/>
    </row>
    <row r="112" spans="1:13" ht="19.5" customHeight="1" thickBot="1" x14ac:dyDescent="0.35">
      <c r="A112" s="38" t="s">
        <v>31</v>
      </c>
      <c r="B112" s="39">
        <f>D98</f>
        <v>14242326.569999998</v>
      </c>
    </row>
    <row r="113" spans="1:11" ht="18.75" customHeight="1" thickBot="1" x14ac:dyDescent="0.35">
      <c r="A113" s="40" t="s">
        <v>33</v>
      </c>
      <c r="B113" s="41">
        <f>D98-D96</f>
        <v>14242326.569999998</v>
      </c>
      <c r="D113" s="261" t="s">
        <v>301</v>
      </c>
      <c r="E113" s="261"/>
      <c r="F113" s="261"/>
      <c r="G113" s="261"/>
      <c r="H113" s="261"/>
      <c r="I113" s="261"/>
    </row>
    <row r="114" spans="1:11" x14ac:dyDescent="0.3">
      <c r="D114" s="261"/>
      <c r="E114" s="261"/>
      <c r="F114" s="261"/>
      <c r="G114" s="261"/>
      <c r="H114" s="261"/>
      <c r="I114" s="261"/>
    </row>
    <row r="115" spans="1:11" x14ac:dyDescent="0.3">
      <c r="A115" s="250" t="s">
        <v>381</v>
      </c>
      <c r="B115" s="250"/>
      <c r="D115" s="261"/>
      <c r="E115" s="261"/>
      <c r="F115" s="261"/>
      <c r="G115" s="261"/>
      <c r="H115" s="261"/>
      <c r="I115" s="261"/>
    </row>
    <row r="116" spans="1:11" x14ac:dyDescent="0.3">
      <c r="A116" s="250"/>
      <c r="B116" s="250"/>
      <c r="D116" s="261"/>
      <c r="E116" s="261"/>
      <c r="F116" s="261"/>
      <c r="G116" s="261"/>
      <c r="H116" s="261"/>
      <c r="I116" s="261"/>
    </row>
    <row r="117" spans="1:11" x14ac:dyDescent="0.3">
      <c r="A117" s="250"/>
      <c r="B117" s="250"/>
      <c r="D117" s="261"/>
      <c r="E117" s="261"/>
      <c r="F117" s="261"/>
      <c r="G117" s="261"/>
      <c r="H117" s="261"/>
      <c r="I117" s="261"/>
    </row>
    <row r="118" spans="1:11" x14ac:dyDescent="0.3">
      <c r="A118" s="250"/>
      <c r="B118" s="250"/>
      <c r="D118" s="261"/>
      <c r="E118" s="261"/>
      <c r="F118" s="261"/>
      <c r="G118" s="261"/>
      <c r="H118" s="261"/>
      <c r="I118" s="261"/>
    </row>
    <row r="119" spans="1:11" x14ac:dyDescent="0.3">
      <c r="A119" s="250"/>
      <c r="B119" s="250"/>
      <c r="D119" s="261"/>
      <c r="E119" s="261"/>
      <c r="F119" s="261"/>
      <c r="G119" s="261"/>
      <c r="H119" s="261"/>
      <c r="I119" s="261"/>
    </row>
    <row r="120" spans="1:11" x14ac:dyDescent="0.3">
      <c r="A120" s="250"/>
      <c r="B120" s="250"/>
      <c r="D120" s="261"/>
      <c r="E120" s="261"/>
      <c r="F120" s="261"/>
      <c r="G120" s="261"/>
      <c r="H120" s="261"/>
      <c r="I120" s="261"/>
    </row>
    <row r="121" spans="1:11" x14ac:dyDescent="0.3">
      <c r="D121" s="261"/>
      <c r="E121" s="261"/>
      <c r="F121" s="261"/>
      <c r="G121" s="261"/>
      <c r="H121" s="261"/>
      <c r="I121" s="261"/>
    </row>
    <row r="122" spans="1:11" x14ac:dyDescent="0.3">
      <c r="A122" s="16" t="s">
        <v>20</v>
      </c>
      <c r="B122" s="17"/>
      <c r="C122" s="18"/>
      <c r="D122" s="261"/>
      <c r="E122" s="261"/>
      <c r="F122" s="261"/>
      <c r="G122" s="261"/>
      <c r="H122" s="261"/>
      <c r="I122" s="261"/>
    </row>
    <row r="123" spans="1:11" x14ac:dyDescent="0.3">
      <c r="A123" s="19" t="s">
        <v>21</v>
      </c>
      <c r="B123" s="8">
        <v>1767072.6013971008</v>
      </c>
      <c r="C123" s="20"/>
      <c r="D123" s="261"/>
      <c r="E123" s="261"/>
      <c r="F123" s="261"/>
      <c r="G123" s="261"/>
      <c r="H123" s="261"/>
      <c r="I123" s="261"/>
    </row>
    <row r="124" spans="1:11" x14ac:dyDescent="0.3">
      <c r="A124" s="21" t="s">
        <v>22</v>
      </c>
      <c r="B124" s="30">
        <f>PRORRATEO!H133</f>
        <v>14065219.687538</v>
      </c>
      <c r="C124" s="20" t="s">
        <v>23</v>
      </c>
      <c r="D124" s="261"/>
      <c r="E124" s="261"/>
      <c r="F124" s="261"/>
      <c r="G124" s="261"/>
      <c r="H124" s="261"/>
      <c r="I124" s="261"/>
    </row>
    <row r="125" spans="1:11" x14ac:dyDescent="0.3">
      <c r="A125" s="21" t="s">
        <v>36</v>
      </c>
      <c r="B125" s="83">
        <f>-B113</f>
        <v>-14242326.569999998</v>
      </c>
      <c r="C125" s="18"/>
      <c r="D125" s="261"/>
      <c r="E125" s="261"/>
      <c r="F125" s="261"/>
      <c r="G125" s="261"/>
      <c r="H125" s="261"/>
      <c r="I125" s="261"/>
      <c r="K125" s="44"/>
    </row>
    <row r="126" spans="1:11" x14ac:dyDescent="0.3">
      <c r="A126" s="21" t="s">
        <v>35</v>
      </c>
      <c r="B126" s="83">
        <f>-D109</f>
        <v>0</v>
      </c>
      <c r="C126" s="18"/>
      <c r="D126" s="261"/>
      <c r="E126" s="261"/>
      <c r="F126" s="261"/>
      <c r="G126" s="261"/>
      <c r="H126" s="261"/>
      <c r="I126" s="261"/>
      <c r="K126" s="52"/>
    </row>
    <row r="127" spans="1:11" x14ac:dyDescent="0.3">
      <c r="A127" s="21" t="s">
        <v>290</v>
      </c>
      <c r="B127" s="30">
        <f>B136</f>
        <v>141730</v>
      </c>
      <c r="C127" s="18"/>
      <c r="D127" s="261"/>
      <c r="E127" s="261"/>
      <c r="F127" s="261"/>
      <c r="G127" s="261"/>
      <c r="H127" s="261"/>
      <c r="I127" s="261"/>
      <c r="K127" s="52"/>
    </row>
    <row r="128" spans="1:11" x14ac:dyDescent="0.3">
      <c r="A128" s="21" t="s">
        <v>32</v>
      </c>
      <c r="B128" s="83">
        <f>-B141</f>
        <v>-145000</v>
      </c>
      <c r="C128" s="22"/>
      <c r="D128" s="261"/>
      <c r="E128" s="261"/>
      <c r="F128" s="261"/>
      <c r="G128" s="261"/>
      <c r="H128" s="261"/>
      <c r="I128" s="261"/>
    </row>
    <row r="129" spans="1:10" x14ac:dyDescent="0.3">
      <c r="A129" s="21" t="s">
        <v>288</v>
      </c>
      <c r="B129" s="189">
        <f>-87300</f>
        <v>-87300</v>
      </c>
      <c r="C129" s="22"/>
      <c r="D129" s="261"/>
      <c r="E129" s="261"/>
      <c r="F129" s="261"/>
      <c r="G129" s="261"/>
      <c r="H129" s="261"/>
      <c r="I129" s="261"/>
    </row>
    <row r="130" spans="1:10" x14ac:dyDescent="0.3">
      <c r="A130" s="21" t="s">
        <v>39</v>
      </c>
      <c r="B130" s="83">
        <f>-C103</f>
        <v>0</v>
      </c>
      <c r="C130" s="22"/>
      <c r="D130" s="261"/>
      <c r="E130" s="261"/>
      <c r="F130" s="261"/>
      <c r="G130" s="261"/>
      <c r="H130" s="261"/>
      <c r="I130" s="261"/>
    </row>
    <row r="131" spans="1:10" x14ac:dyDescent="0.3">
      <c r="A131" s="21"/>
      <c r="B131" s="168"/>
      <c r="C131" s="22"/>
      <c r="D131" s="261"/>
      <c r="E131" s="261"/>
      <c r="F131" s="261"/>
      <c r="G131" s="261"/>
      <c r="H131" s="261"/>
      <c r="I131" s="261"/>
    </row>
    <row r="132" spans="1:10" x14ac:dyDescent="0.3">
      <c r="A132" s="19" t="s">
        <v>24</v>
      </c>
      <c r="B132" s="23">
        <f>SUM(B123:B131)</f>
        <v>1499395.7189351022</v>
      </c>
      <c r="C132" s="70"/>
      <c r="D132" s="261"/>
      <c r="E132" s="261"/>
      <c r="F132" s="261"/>
      <c r="G132" s="261"/>
      <c r="H132" s="261"/>
      <c r="I132" s="261"/>
    </row>
    <row r="133" spans="1:10" x14ac:dyDescent="0.3">
      <c r="A133" s="22"/>
      <c r="C133" s="18"/>
      <c r="D133" s="261"/>
      <c r="E133" s="261"/>
      <c r="F133" s="261"/>
      <c r="G133" s="261"/>
      <c r="H133" s="261"/>
      <c r="I133" s="261"/>
    </row>
    <row r="134" spans="1:10" x14ac:dyDescent="0.3">
      <c r="A134" s="16" t="s">
        <v>289</v>
      </c>
      <c r="B134" s="8"/>
      <c r="C134" s="18"/>
      <c r="D134" s="261"/>
      <c r="E134" s="261"/>
      <c r="F134" s="261"/>
      <c r="G134" s="261"/>
      <c r="H134" s="261"/>
      <c r="I134" s="261"/>
    </row>
    <row r="135" spans="1:10" ht="17.25" customHeight="1" x14ac:dyDescent="0.3">
      <c r="A135" s="19" t="s">
        <v>324</v>
      </c>
      <c r="B135" s="30">
        <v>141730</v>
      </c>
      <c r="C135" s="18"/>
      <c r="D135" s="25"/>
    </row>
    <row r="136" spans="1:10" x14ac:dyDescent="0.3">
      <c r="A136" s="36" t="s">
        <v>17</v>
      </c>
      <c r="B136" s="37">
        <f>SUM(B134:B135)</f>
        <v>141730</v>
      </c>
      <c r="C136" s="18"/>
      <c r="D136" s="25"/>
    </row>
    <row r="137" spans="1:10" x14ac:dyDescent="0.3">
      <c r="A137" s="22"/>
      <c r="C137" s="18"/>
      <c r="D137" s="25"/>
    </row>
    <row r="138" spans="1:10" x14ac:dyDescent="0.3">
      <c r="A138" s="22"/>
      <c r="C138" s="18"/>
      <c r="D138" s="25"/>
    </row>
    <row r="139" spans="1:10" x14ac:dyDescent="0.3">
      <c r="C139" s="18"/>
      <c r="D139" s="43"/>
      <c r="E139" s="84"/>
      <c r="F139" s="84"/>
      <c r="G139" s="84"/>
      <c r="H139" s="84"/>
      <c r="I139" s="84"/>
    </row>
    <row r="140" spans="1:10" x14ac:dyDescent="0.3">
      <c r="A140" s="16" t="s">
        <v>25</v>
      </c>
      <c r="B140" s="8">
        <v>180000</v>
      </c>
      <c r="C140" s="24"/>
      <c r="D140" s="84"/>
      <c r="E140" s="84"/>
      <c r="F140" s="84"/>
      <c r="G140" s="84"/>
      <c r="H140" s="84"/>
      <c r="I140" s="84"/>
      <c r="J140" s="84"/>
    </row>
    <row r="141" spans="1:10" ht="15" customHeight="1" x14ac:dyDescent="0.3">
      <c r="A141" s="19" t="s">
        <v>253</v>
      </c>
      <c r="B141" s="31">
        <v>145000</v>
      </c>
      <c r="C141" s="24"/>
      <c r="D141" s="84"/>
      <c r="E141" s="88"/>
      <c r="F141" s="88"/>
      <c r="G141" s="88"/>
      <c r="H141" s="88"/>
      <c r="I141" s="88"/>
    </row>
    <row r="142" spans="1:10" x14ac:dyDescent="0.3">
      <c r="A142" s="19"/>
      <c r="B142" s="83"/>
      <c r="C142" s="24"/>
      <c r="D142" s="43"/>
      <c r="E142" s="43"/>
      <c r="F142" s="43"/>
      <c r="G142" s="43"/>
      <c r="H142" s="43"/>
      <c r="I142" s="43"/>
    </row>
    <row r="143" spans="1:10" x14ac:dyDescent="0.3">
      <c r="A143" s="36" t="s">
        <v>17</v>
      </c>
      <c r="B143" s="37">
        <f>SUM(B140:B142)</f>
        <v>325000</v>
      </c>
      <c r="C143" s="24"/>
    </row>
    <row r="144" spans="1:10" x14ac:dyDescent="0.3">
      <c r="C144" s="25"/>
      <c r="D144" s="84"/>
    </row>
    <row r="145" spans="2:18" x14ac:dyDescent="0.3">
      <c r="B145" s="22"/>
      <c r="C145" s="18"/>
    </row>
    <row r="147" spans="2:18" x14ac:dyDescent="0.3">
      <c r="R147" s="9"/>
    </row>
    <row r="150" spans="2:18" x14ac:dyDescent="0.3">
      <c r="B150" s="252"/>
      <c r="C150" s="252"/>
      <c r="D150" s="252"/>
      <c r="E150" s="252"/>
      <c r="F150" s="90"/>
      <c r="G150" s="90"/>
      <c r="H150" s="90"/>
      <c r="I150" s="90"/>
    </row>
    <row r="151" spans="2:18" x14ac:dyDescent="0.3">
      <c r="B151" s="252"/>
      <c r="C151" s="252"/>
      <c r="D151" s="252"/>
      <c r="E151" s="252"/>
      <c r="F151" s="90"/>
      <c r="G151" s="90"/>
      <c r="H151" s="90"/>
      <c r="I151" s="90"/>
    </row>
    <row r="152" spans="2:18" x14ac:dyDescent="0.3">
      <c r="B152" s="252"/>
      <c r="C152" s="252"/>
      <c r="D152" s="252"/>
      <c r="E152" s="252"/>
      <c r="F152" s="90"/>
      <c r="G152" s="90"/>
      <c r="H152" s="90"/>
      <c r="I152" s="90"/>
    </row>
    <row r="153" spans="2:18" x14ac:dyDescent="0.3">
      <c r="B153" s="252"/>
      <c r="C153" s="252"/>
      <c r="D153" s="252"/>
      <c r="E153" s="252"/>
      <c r="F153" s="90"/>
      <c r="G153" s="90"/>
      <c r="H153" s="90"/>
      <c r="I153" s="90"/>
    </row>
    <row r="154" spans="2:18" x14ac:dyDescent="0.3">
      <c r="B154" s="252"/>
      <c r="C154" s="252"/>
      <c r="D154" s="252"/>
      <c r="E154" s="252"/>
      <c r="F154" s="90"/>
      <c r="G154" s="90"/>
      <c r="H154" s="90"/>
      <c r="I154" s="90"/>
    </row>
  </sheetData>
  <mergeCells count="15">
    <mergeCell ref="A115:B120"/>
    <mergeCell ref="A14:J18"/>
    <mergeCell ref="B150:E154"/>
    <mergeCell ref="A109:C109"/>
    <mergeCell ref="A106:D106"/>
    <mergeCell ref="A108:B108"/>
    <mergeCell ref="A107:B107"/>
    <mergeCell ref="A20:J22"/>
    <mergeCell ref="D113:I134"/>
    <mergeCell ref="A63:B63"/>
    <mergeCell ref="A64:B64"/>
    <mergeCell ref="A71:B71"/>
    <mergeCell ref="A83:B83"/>
    <mergeCell ref="A81:B81"/>
    <mergeCell ref="A82:B82"/>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7" zoomScaleNormal="100" workbookViewId="0">
      <selection activeCell="D16" sqref="D16"/>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1" width="13.6640625" customWidth="1"/>
    <col min="12" max="12" width="13.33203125" customWidth="1"/>
    <col min="13" max="13" width="10.4414062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294" t="s">
        <v>326</v>
      </c>
      <c r="B1" s="295"/>
      <c r="C1" s="295"/>
      <c r="D1" s="295"/>
      <c r="E1" s="295"/>
      <c r="F1" s="158" t="s">
        <v>292</v>
      </c>
      <c r="G1" s="158"/>
      <c r="H1" s="158"/>
      <c r="I1" s="158"/>
      <c r="J1" s="158"/>
      <c r="K1" s="158"/>
      <c r="L1" s="190" t="s">
        <v>41</v>
      </c>
      <c r="M1" s="270">
        <f>RESUMEN!D98-RESUMEN!D96</f>
        <v>14242326.569999998</v>
      </c>
      <c r="N1" s="271"/>
      <c r="O1" s="159"/>
      <c r="P1" s="59"/>
    </row>
    <row r="2" spans="1:19" ht="36" customHeight="1" x14ac:dyDescent="0.3">
      <c r="A2" s="296"/>
      <c r="B2" s="297"/>
      <c r="C2" s="297"/>
      <c r="D2" s="297"/>
      <c r="E2" s="297"/>
      <c r="F2" s="7" t="s">
        <v>291</v>
      </c>
      <c r="G2" s="7"/>
      <c r="H2" s="7"/>
      <c r="I2" s="7"/>
      <c r="J2" s="7"/>
      <c r="K2" s="7"/>
      <c r="L2" s="191" t="s">
        <v>42</v>
      </c>
      <c r="M2" s="191"/>
      <c r="N2" s="192">
        <v>10000000</v>
      </c>
      <c r="O2" s="160"/>
      <c r="P2" s="59"/>
    </row>
    <row r="3" spans="1:19" ht="36" customHeight="1" x14ac:dyDescent="0.3">
      <c r="A3" s="296"/>
      <c r="B3" s="297"/>
      <c r="C3" s="297"/>
      <c r="D3" s="297"/>
      <c r="E3" s="297"/>
      <c r="F3" s="7" t="s">
        <v>293</v>
      </c>
      <c r="G3" s="7"/>
      <c r="H3" s="7"/>
      <c r="I3" s="7"/>
      <c r="J3" s="161"/>
      <c r="K3" s="161"/>
      <c r="L3" s="191" t="s">
        <v>387</v>
      </c>
      <c r="M3" s="7"/>
      <c r="N3" s="241">
        <f>5359814.2</f>
        <v>5359814.2</v>
      </c>
      <c r="O3" s="162"/>
      <c r="P3" s="15"/>
    </row>
    <row r="4" spans="1:19" ht="2.25" customHeight="1" thickBot="1" x14ac:dyDescent="0.35">
      <c r="A4" s="298"/>
      <c r="B4" s="299"/>
      <c r="C4" s="299"/>
      <c r="D4" s="299"/>
      <c r="E4" s="299"/>
      <c r="F4" s="163"/>
      <c r="G4" s="163"/>
      <c r="H4" s="163"/>
      <c r="I4" s="163"/>
      <c r="J4" s="164"/>
      <c r="K4" s="164"/>
      <c r="L4" s="163"/>
      <c r="M4" s="163"/>
      <c r="N4" s="165"/>
      <c r="O4" s="166"/>
      <c r="P4" s="15"/>
    </row>
    <row r="5" spans="1:19" x14ac:dyDescent="0.3">
      <c r="A5" s="7"/>
      <c r="B5" s="7"/>
      <c r="C5" s="279" t="s">
        <v>309</v>
      </c>
      <c r="D5" s="280"/>
      <c r="E5" s="280"/>
      <c r="F5" s="280"/>
      <c r="G5" s="280"/>
      <c r="H5" s="280"/>
      <c r="I5" s="280"/>
      <c r="J5" s="280"/>
      <c r="K5" s="280"/>
      <c r="L5" s="280"/>
      <c r="M5" s="280"/>
      <c r="N5" s="280"/>
      <c r="O5" s="281"/>
      <c r="P5" s="15"/>
    </row>
    <row r="6" spans="1:19" x14ac:dyDescent="0.3">
      <c r="A6" s="7"/>
      <c r="B6" s="7"/>
      <c r="C6" s="282"/>
      <c r="D6" s="283"/>
      <c r="E6" s="283"/>
      <c r="F6" s="283"/>
      <c r="G6" s="283"/>
      <c r="H6" s="283"/>
      <c r="I6" s="283"/>
      <c r="J6" s="283"/>
      <c r="K6" s="283"/>
      <c r="L6" s="283"/>
      <c r="M6" s="283"/>
      <c r="N6" s="283"/>
      <c r="O6" s="284"/>
      <c r="P6" s="15"/>
    </row>
    <row r="7" spans="1:19" x14ac:dyDescent="0.3">
      <c r="A7" s="7"/>
      <c r="B7" s="7"/>
      <c r="C7" s="282"/>
      <c r="D7" s="283"/>
      <c r="E7" s="283"/>
      <c r="F7" s="283"/>
      <c r="G7" s="283"/>
      <c r="H7" s="283"/>
      <c r="I7" s="283"/>
      <c r="J7" s="283"/>
      <c r="K7" s="283"/>
      <c r="L7" s="283"/>
      <c r="M7" s="283"/>
      <c r="N7" s="283"/>
      <c r="O7" s="284"/>
      <c r="P7" s="15"/>
    </row>
    <row r="8" spans="1:19" ht="27.75" customHeight="1" thickBot="1" x14ac:dyDescent="0.35">
      <c r="A8" s="7"/>
      <c r="B8" s="7"/>
      <c r="C8" s="285"/>
      <c r="D8" s="286"/>
      <c r="E8" s="286"/>
      <c r="F8" s="286"/>
      <c r="G8" s="286"/>
      <c r="H8" s="286"/>
      <c r="I8" s="286"/>
      <c r="J8" s="286"/>
      <c r="K8" s="286"/>
      <c r="L8" s="286"/>
      <c r="M8" s="286"/>
      <c r="N8" s="286"/>
      <c r="O8" s="287"/>
      <c r="Q8" s="84"/>
    </row>
    <row r="9" spans="1:19" ht="27.75" customHeight="1" x14ac:dyDescent="0.3">
      <c r="A9" s="7"/>
      <c r="B9" s="7"/>
      <c r="C9" s="288" t="s">
        <v>307</v>
      </c>
      <c r="D9" s="289"/>
      <c r="E9" s="289"/>
      <c r="F9" s="289"/>
      <c r="G9" s="289"/>
      <c r="H9" s="289"/>
      <c r="I9" s="289"/>
      <c r="J9" s="289"/>
      <c r="K9" s="289"/>
      <c r="L9" s="289"/>
      <c r="M9" s="289"/>
      <c r="N9" s="289"/>
      <c r="O9" s="290"/>
      <c r="Q9" t="s">
        <v>248</v>
      </c>
      <c r="R9" s="43">
        <f>RESUMEN!F98</f>
        <v>144184.86874800001</v>
      </c>
    </row>
    <row r="10" spans="1:19" ht="27.75" customHeight="1" thickBot="1" x14ac:dyDescent="0.35">
      <c r="A10" s="7"/>
      <c r="B10" s="7"/>
      <c r="C10" s="291"/>
      <c r="D10" s="292"/>
      <c r="E10" s="292"/>
      <c r="F10" s="292"/>
      <c r="G10" s="292"/>
      <c r="H10" s="292"/>
      <c r="I10" s="292"/>
      <c r="J10" s="292"/>
      <c r="K10" s="292"/>
      <c r="L10" s="292"/>
      <c r="M10" s="292"/>
      <c r="N10" s="292"/>
      <c r="O10" s="293"/>
      <c r="Q10" t="s">
        <v>249</v>
      </c>
      <c r="R10" s="43">
        <f>RESUMEN!G98</f>
        <v>170885.77036800003</v>
      </c>
    </row>
    <row r="11" spans="1:19" ht="15" customHeight="1" x14ac:dyDescent="0.3">
      <c r="A11" s="266" t="s">
        <v>9</v>
      </c>
      <c r="B11" s="300" t="s">
        <v>10</v>
      </c>
      <c r="C11" s="266" t="s">
        <v>11</v>
      </c>
      <c r="D11" s="302" t="s">
        <v>12</v>
      </c>
      <c r="E11" s="302" t="s">
        <v>265</v>
      </c>
      <c r="F11" s="266" t="s">
        <v>27</v>
      </c>
      <c r="G11" s="266" t="s">
        <v>13</v>
      </c>
      <c r="H11" s="266" t="s">
        <v>14</v>
      </c>
      <c r="I11" s="272" t="s">
        <v>15</v>
      </c>
      <c r="J11" s="274" t="s">
        <v>16</v>
      </c>
      <c r="K11" s="274" t="s">
        <v>388</v>
      </c>
      <c r="L11" s="274" t="s">
        <v>18</v>
      </c>
      <c r="M11" s="277" t="s">
        <v>40</v>
      </c>
      <c r="N11" s="274" t="s">
        <v>276</v>
      </c>
      <c r="O11" s="274" t="s">
        <v>275</v>
      </c>
      <c r="Q11" t="s">
        <v>250</v>
      </c>
      <c r="R11" s="43">
        <f>RESUMEN!H98</f>
        <v>161540.45480100001</v>
      </c>
    </row>
    <row r="12" spans="1:19" ht="28.5" customHeight="1" x14ac:dyDescent="0.3">
      <c r="A12" s="267"/>
      <c r="B12" s="301"/>
      <c r="C12" s="267"/>
      <c r="D12" s="303"/>
      <c r="E12" s="303"/>
      <c r="F12" s="267"/>
      <c r="G12" s="267"/>
      <c r="H12" s="267"/>
      <c r="I12" s="273"/>
      <c r="J12" s="275"/>
      <c r="K12" s="275"/>
      <c r="L12" s="275"/>
      <c r="M12" s="278"/>
      <c r="N12" s="275"/>
      <c r="O12" s="275"/>
      <c r="Q12" t="s">
        <v>251</v>
      </c>
      <c r="R12" s="43">
        <f>RESUMEN!I98</f>
        <v>198921.71706900001</v>
      </c>
    </row>
    <row r="13" spans="1:19" ht="19.5" customHeight="1" x14ac:dyDescent="0.3">
      <c r="A13" s="267"/>
      <c r="B13" s="301"/>
      <c r="C13" s="267"/>
      <c r="D13" s="303"/>
      <c r="E13" s="303"/>
      <c r="F13" s="267"/>
      <c r="G13" s="267"/>
      <c r="H13" s="267"/>
      <c r="I13" s="273"/>
      <c r="J13" s="275"/>
      <c r="K13" s="276"/>
      <c r="L13" s="276"/>
      <c r="M13" s="278"/>
      <c r="N13" s="132" t="str">
        <f>RESUMEN!A20</f>
        <v>VTO 16/03</v>
      </c>
      <c r="O13" s="131" t="str">
        <f>RESUMEN!A20</f>
        <v>VTO 16/03</v>
      </c>
      <c r="Q13" t="s">
        <v>252</v>
      </c>
      <c r="R13" s="43">
        <f>RESUMEN!J98</f>
        <v>232297.84409400003</v>
      </c>
    </row>
    <row r="14" spans="1:19" x14ac:dyDescent="0.3">
      <c r="A14" s="6" t="s">
        <v>118</v>
      </c>
      <c r="B14" s="6"/>
      <c r="C14" s="35" t="s">
        <v>113</v>
      </c>
      <c r="D14" s="108" t="s">
        <v>175</v>
      </c>
      <c r="E14" s="108" t="s">
        <v>299</v>
      </c>
      <c r="F14" s="143">
        <v>1.0800000000000001E-2</v>
      </c>
      <c r="G14" s="137">
        <v>416449.53424800007</v>
      </c>
      <c r="H14" s="204"/>
      <c r="I14" s="144">
        <f>G14-H14</f>
        <v>416449.53424800007</v>
      </c>
      <c r="J14" s="145">
        <v>0</v>
      </c>
      <c r="K14" s="186">
        <f>N$3*F14</f>
        <v>57885.993360000008</v>
      </c>
      <c r="L14" s="145">
        <v>144184.86874800001</v>
      </c>
      <c r="M14" s="167">
        <v>0</v>
      </c>
      <c r="N14" s="146">
        <f>L14+J14+I14+M14+K14</f>
        <v>618520.3963560001</v>
      </c>
      <c r="O14" s="147">
        <f>N14*6% + N14</f>
        <v>655631.62013736006</v>
      </c>
      <c r="P14" s="115"/>
      <c r="R14" s="265"/>
      <c r="S14" s="265"/>
    </row>
    <row r="15" spans="1:19" x14ac:dyDescent="0.3">
      <c r="A15" s="6"/>
      <c r="B15" s="6"/>
      <c r="C15" s="35" t="s">
        <v>117</v>
      </c>
      <c r="D15" s="108" t="s">
        <v>322</v>
      </c>
      <c r="E15" s="188"/>
      <c r="F15" s="143">
        <v>1.2999999999999999E-2</v>
      </c>
      <c r="G15" s="137">
        <v>290530.81836800009</v>
      </c>
      <c r="H15" s="44">
        <f t="shared" ref="H15:H21" si="0">G15</f>
        <v>290530.81836800009</v>
      </c>
      <c r="I15" s="144">
        <f t="shared" ref="I15:I131" si="1">G15-H15</f>
        <v>0</v>
      </c>
      <c r="J15" s="145">
        <v>0</v>
      </c>
      <c r="K15" s="186">
        <f t="shared" ref="K15:K18" si="2">N$3*F15</f>
        <v>69677.584600000002</v>
      </c>
      <c r="L15" s="145">
        <v>170885.77036800003</v>
      </c>
      <c r="M15" s="167">
        <v>0</v>
      </c>
      <c r="N15" s="146">
        <f t="shared" ref="N15:N18" si="3">L15+J15+I15+M15+K15</f>
        <v>240563.35496800003</v>
      </c>
      <c r="O15" s="147">
        <f t="shared" ref="O15:O18" si="4">N15*6% + N15</f>
        <v>254997.15626608004</v>
      </c>
      <c r="P15" s="115"/>
      <c r="R15" s="265"/>
      <c r="S15" s="265"/>
    </row>
    <row r="16" spans="1:19" x14ac:dyDescent="0.3">
      <c r="A16" s="6" t="s">
        <v>118</v>
      </c>
      <c r="B16" s="6"/>
      <c r="C16" s="35" t="s">
        <v>114</v>
      </c>
      <c r="D16" s="108" t="s">
        <v>394</v>
      </c>
      <c r="E16" s="108" t="s">
        <v>321</v>
      </c>
      <c r="F16" s="143">
        <v>1.21E-2</v>
      </c>
      <c r="G16" s="204">
        <v>158790.32916999998</v>
      </c>
      <c r="H16" s="44">
        <f t="shared" si="0"/>
        <v>158790.32916999998</v>
      </c>
      <c r="I16" s="144">
        <f t="shared" si="1"/>
        <v>0</v>
      </c>
      <c r="J16" s="145">
        <v>0</v>
      </c>
      <c r="K16" s="186">
        <f t="shared" si="2"/>
        <v>64853.751819999998</v>
      </c>
      <c r="L16" s="145">
        <v>161540.45480100001</v>
      </c>
      <c r="M16" s="167">
        <v>0</v>
      </c>
      <c r="N16" s="146">
        <f t="shared" si="3"/>
        <v>226394.20662100002</v>
      </c>
      <c r="O16" s="147">
        <f t="shared" si="4"/>
        <v>239977.85901826003</v>
      </c>
      <c r="P16" s="115"/>
      <c r="S16" s="43"/>
    </row>
    <row r="17" spans="1:19" x14ac:dyDescent="0.3">
      <c r="A17" s="6" t="s">
        <v>118</v>
      </c>
      <c r="B17" s="6"/>
      <c r="C17" s="35" t="s">
        <v>115</v>
      </c>
      <c r="D17" s="108" t="s">
        <v>176</v>
      </c>
      <c r="E17" s="108"/>
      <c r="F17" s="143">
        <v>1.49E-2</v>
      </c>
      <c r="G17" s="137">
        <v>746588.11669399997</v>
      </c>
      <c r="H17" s="44"/>
      <c r="I17" s="144">
        <f t="shared" si="1"/>
        <v>746588.11669399997</v>
      </c>
      <c r="J17" s="145">
        <v>0</v>
      </c>
      <c r="K17" s="186">
        <f t="shared" si="2"/>
        <v>79861.231580000007</v>
      </c>
      <c r="L17" s="145">
        <v>198921.71706900001</v>
      </c>
      <c r="M17" s="167">
        <v>0</v>
      </c>
      <c r="N17" s="146">
        <f t="shared" si="3"/>
        <v>1025371.065343</v>
      </c>
      <c r="O17" s="147">
        <f t="shared" si="4"/>
        <v>1086893.32926358</v>
      </c>
      <c r="P17" s="115"/>
      <c r="S17" s="43"/>
    </row>
    <row r="18" spans="1:19" ht="15" thickBot="1" x14ac:dyDescent="0.35">
      <c r="A18" s="6" t="s">
        <v>118</v>
      </c>
      <c r="B18" s="6"/>
      <c r="C18" s="148" t="s">
        <v>116</v>
      </c>
      <c r="D18" s="149" t="s">
        <v>264</v>
      </c>
      <c r="E18" s="149"/>
      <c r="F18" s="150">
        <v>1.7399999999999999E-2</v>
      </c>
      <c r="G18" s="151">
        <v>228343.11798000001</v>
      </c>
      <c r="H18" s="238"/>
      <c r="I18" s="152">
        <f t="shared" si="1"/>
        <v>228343.11798000001</v>
      </c>
      <c r="J18" s="153">
        <v>0</v>
      </c>
      <c r="K18" s="153">
        <f t="shared" si="2"/>
        <v>93260.767079999991</v>
      </c>
      <c r="L18" s="153">
        <v>232297.84409400003</v>
      </c>
      <c r="M18" s="208">
        <v>0</v>
      </c>
      <c r="N18" s="146">
        <f t="shared" si="3"/>
        <v>553901.72915400006</v>
      </c>
      <c r="O18" s="155">
        <f t="shared" si="4"/>
        <v>587135.83290324011</v>
      </c>
      <c r="P18" s="115"/>
      <c r="S18" s="43"/>
    </row>
    <row r="19" spans="1:19" x14ac:dyDescent="0.3">
      <c r="A19" s="57" t="s">
        <v>120</v>
      </c>
      <c r="B19" s="6"/>
      <c r="C19" s="183" t="s">
        <v>44</v>
      </c>
      <c r="D19" s="135" t="s">
        <v>177</v>
      </c>
      <c r="E19" s="135"/>
      <c r="F19" s="136">
        <v>1.8800000000000001E-2</v>
      </c>
      <c r="G19" s="184">
        <v>294543.01</v>
      </c>
      <c r="H19" s="239">
        <v>312216.01</v>
      </c>
      <c r="I19" s="185">
        <f>G19-H19</f>
        <v>-17673</v>
      </c>
      <c r="J19" s="186">
        <f t="shared" ref="J19:J50" si="5">N$8*F19</f>
        <v>0</v>
      </c>
      <c r="K19" s="186">
        <f>N$3*F19</f>
        <v>100764.50696000001</v>
      </c>
      <c r="L19" s="186">
        <f>N$2*F19</f>
        <v>188000</v>
      </c>
      <c r="M19" s="207">
        <v>0</v>
      </c>
      <c r="N19" s="187">
        <f>ROUND((L19+J19+I19+K19+M19),0) + P19</f>
        <v>271092.01</v>
      </c>
      <c r="O19" s="187">
        <f>ROUND((N19*6% + N19 ),0) + P19</f>
        <v>287358.01</v>
      </c>
      <c r="P19" s="133">
        <v>0.01</v>
      </c>
      <c r="S19" s="43"/>
    </row>
    <row r="20" spans="1:19" x14ac:dyDescent="0.3">
      <c r="A20" s="57" t="s">
        <v>121</v>
      </c>
      <c r="B20" s="6"/>
      <c r="C20" s="35" t="s">
        <v>45</v>
      </c>
      <c r="D20" s="108" t="s">
        <v>178</v>
      </c>
      <c r="E20" s="135"/>
      <c r="F20" s="136">
        <v>8.3999999999999995E-3</v>
      </c>
      <c r="G20" s="137">
        <v>131605.01999999999</v>
      </c>
      <c r="H20" s="44">
        <f t="shared" ref="H20" si="6">G20</f>
        <v>131605.01999999999</v>
      </c>
      <c r="I20" s="144">
        <f t="shared" si="1"/>
        <v>0</v>
      </c>
      <c r="J20" s="145">
        <f t="shared" si="5"/>
        <v>0</v>
      </c>
      <c r="K20" s="186">
        <f t="shared" ref="K20:K83" si="7">N$3*F20</f>
        <v>45022.439279999999</v>
      </c>
      <c r="L20" s="145">
        <f t="shared" ref="L20:L50" si="8">N$2*F20</f>
        <v>84000</v>
      </c>
      <c r="M20" s="167">
        <v>0</v>
      </c>
      <c r="N20" s="187">
        <f t="shared" ref="N20:N83" si="9">ROUND((L20+J20+I20+K20+M20),0) + P20</f>
        <v>129022.02</v>
      </c>
      <c r="O20" s="147">
        <f t="shared" ref="O20:O83" si="10">ROUND((N20*6% + N20 ),0) + P20</f>
        <v>136763.01999999999</v>
      </c>
      <c r="P20" s="133">
        <f>P19+0.01</f>
        <v>0.02</v>
      </c>
      <c r="S20" s="43"/>
    </row>
    <row r="21" spans="1:19" x14ac:dyDescent="0.3">
      <c r="A21" s="57" t="s">
        <v>120</v>
      </c>
      <c r="B21" s="6"/>
      <c r="C21" s="35" t="s">
        <v>46</v>
      </c>
      <c r="D21" s="108" t="s">
        <v>179</v>
      </c>
      <c r="E21" s="135"/>
      <c r="F21" s="136">
        <v>2.01E-2</v>
      </c>
      <c r="G21" s="137">
        <v>355006.03</v>
      </c>
      <c r="H21" s="44">
        <f t="shared" si="0"/>
        <v>355006.03</v>
      </c>
      <c r="I21" s="144">
        <f t="shared" si="1"/>
        <v>0</v>
      </c>
      <c r="J21" s="145">
        <f t="shared" si="5"/>
        <v>0</v>
      </c>
      <c r="K21" s="186">
        <f t="shared" si="7"/>
        <v>107732.26542</v>
      </c>
      <c r="L21" s="145">
        <f t="shared" si="8"/>
        <v>201000</v>
      </c>
      <c r="M21" s="167">
        <v>0</v>
      </c>
      <c r="N21" s="187">
        <f t="shared" si="9"/>
        <v>308732.03000000003</v>
      </c>
      <c r="O21" s="147">
        <f t="shared" si="10"/>
        <v>327256.03000000003</v>
      </c>
      <c r="P21" s="133">
        <f t="shared" ref="P21:P84" si="11">P20+0.01</f>
        <v>0.03</v>
      </c>
    </row>
    <row r="22" spans="1:19" x14ac:dyDescent="0.3">
      <c r="A22" s="57" t="s">
        <v>122</v>
      </c>
      <c r="B22" s="6"/>
      <c r="C22" s="194" t="s">
        <v>47</v>
      </c>
      <c r="D22" s="195" t="s">
        <v>180</v>
      </c>
      <c r="E22" s="196" t="s">
        <v>284</v>
      </c>
      <c r="F22" s="197">
        <v>9.4000000000000004E-3</v>
      </c>
      <c r="G22" s="198">
        <v>146494.04</v>
      </c>
      <c r="H22" s="240">
        <v>147272</v>
      </c>
      <c r="I22" s="199">
        <f t="shared" si="1"/>
        <v>-777.95999999999185</v>
      </c>
      <c r="J22" s="200">
        <f t="shared" si="5"/>
        <v>0</v>
      </c>
      <c r="K22" s="236">
        <f t="shared" si="7"/>
        <v>50382.253480000007</v>
      </c>
      <c r="L22" s="200">
        <f t="shared" si="8"/>
        <v>94000</v>
      </c>
      <c r="M22" s="201">
        <v>0</v>
      </c>
      <c r="N22" s="237">
        <f t="shared" si="9"/>
        <v>143604.04</v>
      </c>
      <c r="O22" s="202">
        <f t="shared" si="10"/>
        <v>152220.04</v>
      </c>
      <c r="P22" s="133">
        <f t="shared" si="11"/>
        <v>0.04</v>
      </c>
      <c r="Q22" t="s">
        <v>306</v>
      </c>
    </row>
    <row r="23" spans="1:19" x14ac:dyDescent="0.3">
      <c r="A23" s="57" t="s">
        <v>122</v>
      </c>
      <c r="B23" s="6"/>
      <c r="C23" s="35" t="s">
        <v>48</v>
      </c>
      <c r="D23" s="108" t="s">
        <v>181</v>
      </c>
      <c r="E23" s="135" t="s">
        <v>304</v>
      </c>
      <c r="F23" s="136">
        <v>8.6999999999999994E-3</v>
      </c>
      <c r="G23" s="137">
        <v>136305.04999999999</v>
      </c>
      <c r="H23" s="44">
        <f>G23</f>
        <v>136305.04999999999</v>
      </c>
      <c r="I23" s="144">
        <f t="shared" si="1"/>
        <v>0</v>
      </c>
      <c r="J23" s="145">
        <f t="shared" si="5"/>
        <v>0</v>
      </c>
      <c r="K23" s="186">
        <f t="shared" si="7"/>
        <v>46630.383539999995</v>
      </c>
      <c r="L23" s="145">
        <f t="shared" si="8"/>
        <v>87000</v>
      </c>
      <c r="M23" s="167">
        <v>0</v>
      </c>
      <c r="N23" s="187">
        <f t="shared" si="9"/>
        <v>133630.04999999999</v>
      </c>
      <c r="O23" s="147">
        <f t="shared" si="10"/>
        <v>141648.04999999999</v>
      </c>
      <c r="P23" s="133">
        <f t="shared" si="11"/>
        <v>0.05</v>
      </c>
    </row>
    <row r="24" spans="1:19" x14ac:dyDescent="0.3">
      <c r="A24" s="57" t="s">
        <v>122</v>
      </c>
      <c r="B24" s="6"/>
      <c r="C24" s="35" t="s">
        <v>49</v>
      </c>
      <c r="D24" s="108" t="s">
        <v>182</v>
      </c>
      <c r="E24" s="135" t="s">
        <v>298</v>
      </c>
      <c r="F24" s="136">
        <v>9.4999999999999998E-3</v>
      </c>
      <c r="G24" s="137">
        <v>148838.06</v>
      </c>
      <c r="H24" s="44">
        <f t="shared" ref="H24" si="12">G24</f>
        <v>148838.06</v>
      </c>
      <c r="I24" s="144">
        <f t="shared" si="1"/>
        <v>0</v>
      </c>
      <c r="J24" s="145">
        <f t="shared" si="5"/>
        <v>0</v>
      </c>
      <c r="K24" s="186">
        <f t="shared" si="7"/>
        <v>50918.234900000003</v>
      </c>
      <c r="L24" s="145">
        <f t="shared" si="8"/>
        <v>95000</v>
      </c>
      <c r="M24" s="167">
        <v>0</v>
      </c>
      <c r="N24" s="187">
        <f t="shared" si="9"/>
        <v>145918.06</v>
      </c>
      <c r="O24" s="147">
        <f t="shared" si="10"/>
        <v>154673.06</v>
      </c>
      <c r="P24" s="133">
        <f t="shared" si="11"/>
        <v>6.0000000000000005E-2</v>
      </c>
    </row>
    <row r="25" spans="1:19" x14ac:dyDescent="0.3">
      <c r="A25" s="57" t="s">
        <v>120</v>
      </c>
      <c r="B25" s="6"/>
      <c r="C25" s="35" t="s">
        <v>50</v>
      </c>
      <c r="D25" s="108" t="s">
        <v>182</v>
      </c>
      <c r="E25" s="135" t="s">
        <v>308</v>
      </c>
      <c r="F25" s="136">
        <v>1.6500000000000001E-2</v>
      </c>
      <c r="G25" s="137">
        <v>258509.07</v>
      </c>
      <c r="H25" s="44"/>
      <c r="I25" s="144">
        <f t="shared" si="1"/>
        <v>258509.07</v>
      </c>
      <c r="J25" s="145">
        <f t="shared" si="5"/>
        <v>0</v>
      </c>
      <c r="K25" s="186">
        <f t="shared" si="7"/>
        <v>88436.934300000008</v>
      </c>
      <c r="L25" s="145">
        <f t="shared" si="8"/>
        <v>165000</v>
      </c>
      <c r="M25" s="167">
        <v>0</v>
      </c>
      <c r="N25" s="187">
        <f t="shared" si="9"/>
        <v>511946.07</v>
      </c>
      <c r="O25" s="147">
        <f t="shared" si="10"/>
        <v>542663.06999999995</v>
      </c>
      <c r="P25" s="133">
        <f t="shared" si="11"/>
        <v>7.0000000000000007E-2</v>
      </c>
    </row>
    <row r="26" spans="1:19" x14ac:dyDescent="0.3">
      <c r="A26" s="57" t="s">
        <v>121</v>
      </c>
      <c r="B26" s="6"/>
      <c r="C26" s="35" t="s">
        <v>51</v>
      </c>
      <c r="D26" s="108" t="s">
        <v>266</v>
      </c>
      <c r="E26" s="135"/>
      <c r="F26" s="136">
        <v>7.3000000000000001E-3</v>
      </c>
      <c r="G26" s="137">
        <v>134371.07999999999</v>
      </c>
      <c r="H26" s="44">
        <f>G26</f>
        <v>134371.07999999999</v>
      </c>
      <c r="I26" s="144">
        <f t="shared" si="1"/>
        <v>0</v>
      </c>
      <c r="J26" s="145">
        <f t="shared" si="5"/>
        <v>0</v>
      </c>
      <c r="K26" s="186">
        <f t="shared" si="7"/>
        <v>39126.643660000002</v>
      </c>
      <c r="L26" s="145">
        <f t="shared" si="8"/>
        <v>73000</v>
      </c>
      <c r="M26" s="167">
        <v>0</v>
      </c>
      <c r="N26" s="187">
        <f t="shared" si="9"/>
        <v>112127.08</v>
      </c>
      <c r="O26" s="147">
        <f t="shared" si="10"/>
        <v>118855.08</v>
      </c>
      <c r="P26" s="133">
        <f t="shared" si="11"/>
        <v>0.08</v>
      </c>
    </row>
    <row r="27" spans="1:19" x14ac:dyDescent="0.3">
      <c r="A27" s="108" t="s">
        <v>120</v>
      </c>
      <c r="B27" s="35"/>
      <c r="C27" s="194" t="s">
        <v>52</v>
      </c>
      <c r="D27" s="195" t="s">
        <v>182</v>
      </c>
      <c r="E27" s="196" t="s">
        <v>323</v>
      </c>
      <c r="F27" s="197">
        <v>1.78E-2</v>
      </c>
      <c r="G27" s="198">
        <v>316248.09000000003</v>
      </c>
      <c r="H27" s="240"/>
      <c r="I27" s="199">
        <f t="shared" si="1"/>
        <v>316248.09000000003</v>
      </c>
      <c r="J27" s="200">
        <f t="shared" si="5"/>
        <v>0</v>
      </c>
      <c r="K27" s="236">
        <f t="shared" si="7"/>
        <v>95404.692760000005</v>
      </c>
      <c r="L27" s="200">
        <f t="shared" si="8"/>
        <v>178000</v>
      </c>
      <c r="M27" s="201">
        <v>0</v>
      </c>
      <c r="N27" s="237">
        <f t="shared" si="9"/>
        <v>589653.09</v>
      </c>
      <c r="O27" s="202">
        <f t="shared" si="10"/>
        <v>625032.09</v>
      </c>
      <c r="P27" s="133">
        <f t="shared" si="11"/>
        <v>0.09</v>
      </c>
    </row>
    <row r="28" spans="1:19" x14ac:dyDescent="0.3">
      <c r="A28" s="108" t="s">
        <v>122</v>
      </c>
      <c r="B28" s="35"/>
      <c r="C28" s="35" t="s">
        <v>53</v>
      </c>
      <c r="D28" s="108" t="s">
        <v>361</v>
      </c>
      <c r="E28" s="135"/>
      <c r="F28" s="136">
        <v>9.4000000000000004E-3</v>
      </c>
      <c r="G28" s="44">
        <v>147272.1</v>
      </c>
      <c r="H28" s="44">
        <f t="shared" ref="H28:H29" si="13">G28</f>
        <v>147272.1</v>
      </c>
      <c r="I28" s="144">
        <f t="shared" si="1"/>
        <v>0</v>
      </c>
      <c r="J28" s="145">
        <f t="shared" si="5"/>
        <v>0</v>
      </c>
      <c r="K28" s="186">
        <f t="shared" si="7"/>
        <v>50382.253480000007</v>
      </c>
      <c r="L28" s="145">
        <f t="shared" si="8"/>
        <v>94000</v>
      </c>
      <c r="M28" s="167">
        <v>0</v>
      </c>
      <c r="N28" s="187">
        <f t="shared" si="9"/>
        <v>144382.1</v>
      </c>
      <c r="O28" s="147">
        <f t="shared" si="10"/>
        <v>153045.1</v>
      </c>
      <c r="P28" s="133">
        <f t="shared" si="11"/>
        <v>9.9999999999999992E-2</v>
      </c>
    </row>
    <row r="29" spans="1:19" x14ac:dyDescent="0.3">
      <c r="A29" s="108" t="s">
        <v>122</v>
      </c>
      <c r="B29" s="35"/>
      <c r="C29" s="35" t="s">
        <v>54</v>
      </c>
      <c r="D29" s="108" t="s">
        <v>283</v>
      </c>
      <c r="E29" s="135"/>
      <c r="F29" s="136">
        <v>8.6999999999999994E-3</v>
      </c>
      <c r="G29" s="137">
        <v>156305.10999999999</v>
      </c>
      <c r="H29" s="44">
        <f t="shared" si="13"/>
        <v>156305.10999999999</v>
      </c>
      <c r="I29" s="144">
        <f t="shared" si="1"/>
        <v>0</v>
      </c>
      <c r="J29" s="145">
        <f t="shared" si="5"/>
        <v>0</v>
      </c>
      <c r="K29" s="186">
        <f t="shared" si="7"/>
        <v>46630.383539999995</v>
      </c>
      <c r="L29" s="145">
        <f t="shared" si="8"/>
        <v>87000</v>
      </c>
      <c r="M29" s="167">
        <v>0</v>
      </c>
      <c r="N29" s="187">
        <f t="shared" si="9"/>
        <v>133630.10999999999</v>
      </c>
      <c r="O29" s="147">
        <f t="shared" si="10"/>
        <v>141648.10999999999</v>
      </c>
      <c r="P29" s="133">
        <f t="shared" si="11"/>
        <v>0.10999999999999999</v>
      </c>
    </row>
    <row r="30" spans="1:19" x14ac:dyDescent="0.3">
      <c r="A30" s="108" t="s">
        <v>122</v>
      </c>
      <c r="B30" s="35"/>
      <c r="C30" s="35" t="s">
        <v>55</v>
      </c>
      <c r="D30" s="108" t="s">
        <v>183</v>
      </c>
      <c r="E30" s="135"/>
      <c r="F30" s="136">
        <v>9.4999999999999998E-3</v>
      </c>
      <c r="G30" s="137">
        <v>815428.12</v>
      </c>
      <c r="H30" s="44"/>
      <c r="I30" s="144">
        <f t="shared" si="1"/>
        <v>815428.12</v>
      </c>
      <c r="J30" s="145">
        <f t="shared" si="5"/>
        <v>0</v>
      </c>
      <c r="K30" s="186">
        <f t="shared" si="7"/>
        <v>50918.234900000003</v>
      </c>
      <c r="L30" s="145">
        <f t="shared" si="8"/>
        <v>95000</v>
      </c>
      <c r="M30" s="167">
        <v>0</v>
      </c>
      <c r="N30" s="187">
        <f t="shared" si="9"/>
        <v>961346.12</v>
      </c>
      <c r="O30" s="147">
        <f t="shared" si="10"/>
        <v>1019027.12</v>
      </c>
      <c r="P30" s="133">
        <f t="shared" si="11"/>
        <v>0.11999999999999998</v>
      </c>
    </row>
    <row r="31" spans="1:19" x14ac:dyDescent="0.3">
      <c r="A31" s="108" t="s">
        <v>120</v>
      </c>
      <c r="B31" s="35"/>
      <c r="C31" s="35" t="s">
        <v>56</v>
      </c>
      <c r="D31" s="108" t="s">
        <v>184</v>
      </c>
      <c r="E31" s="135"/>
      <c r="F31" s="136">
        <v>1.6400000000000001E-2</v>
      </c>
      <c r="G31" s="137">
        <v>256942.13</v>
      </c>
      <c r="H31" s="44">
        <f>G31</f>
        <v>256942.13</v>
      </c>
      <c r="I31" s="144">
        <f t="shared" si="1"/>
        <v>0</v>
      </c>
      <c r="J31" s="145">
        <f t="shared" si="5"/>
        <v>0</v>
      </c>
      <c r="K31" s="186">
        <f t="shared" si="7"/>
        <v>87900.952880000012</v>
      </c>
      <c r="L31" s="145">
        <f t="shared" si="8"/>
        <v>164000</v>
      </c>
      <c r="M31" s="167">
        <v>0</v>
      </c>
      <c r="N31" s="187">
        <f t="shared" si="9"/>
        <v>251901.13</v>
      </c>
      <c r="O31" s="147">
        <f t="shared" si="10"/>
        <v>267015.13</v>
      </c>
      <c r="P31" s="133">
        <f t="shared" si="11"/>
        <v>0.12999999999999998</v>
      </c>
    </row>
    <row r="32" spans="1:19" x14ac:dyDescent="0.3">
      <c r="A32" s="57" t="s">
        <v>121</v>
      </c>
      <c r="B32" s="6"/>
      <c r="C32" s="35" t="s">
        <v>57</v>
      </c>
      <c r="D32" s="108" t="s">
        <v>254</v>
      </c>
      <c r="E32" s="135" t="s">
        <v>267</v>
      </c>
      <c r="F32" s="136">
        <v>7.1999999999999998E-3</v>
      </c>
      <c r="G32" s="137">
        <v>112804.14</v>
      </c>
      <c r="H32" s="44">
        <f t="shared" ref="H32:H33" si="14">G32</f>
        <v>112804.14</v>
      </c>
      <c r="I32" s="144">
        <f t="shared" si="1"/>
        <v>0</v>
      </c>
      <c r="J32" s="145">
        <f t="shared" si="5"/>
        <v>0</v>
      </c>
      <c r="K32" s="186">
        <f t="shared" si="7"/>
        <v>38590.662239999998</v>
      </c>
      <c r="L32" s="145">
        <f t="shared" si="8"/>
        <v>72000</v>
      </c>
      <c r="M32" s="167">
        <v>0</v>
      </c>
      <c r="N32" s="187">
        <f t="shared" si="9"/>
        <v>110591.14</v>
      </c>
      <c r="O32" s="147">
        <f t="shared" si="10"/>
        <v>117227.14</v>
      </c>
      <c r="P32" s="133">
        <f t="shared" si="11"/>
        <v>0.13999999999999999</v>
      </c>
    </row>
    <row r="33" spans="1:114" x14ac:dyDescent="0.3">
      <c r="A33" s="57" t="s">
        <v>120</v>
      </c>
      <c r="B33" s="6"/>
      <c r="C33" s="35" t="s">
        <v>58</v>
      </c>
      <c r="D33" s="108" t="s">
        <v>185</v>
      </c>
      <c r="E33" s="135"/>
      <c r="F33" s="136">
        <v>1.7299999999999999E-2</v>
      </c>
      <c r="G33" s="137">
        <v>296043.15000000002</v>
      </c>
      <c r="H33" s="44">
        <f t="shared" si="14"/>
        <v>296043.15000000002</v>
      </c>
      <c r="I33" s="156">
        <f t="shared" si="1"/>
        <v>0</v>
      </c>
      <c r="J33" s="145">
        <f t="shared" si="5"/>
        <v>0</v>
      </c>
      <c r="K33" s="186">
        <f t="shared" si="7"/>
        <v>92724.785659999994</v>
      </c>
      <c r="L33" s="145">
        <f t="shared" si="8"/>
        <v>173000</v>
      </c>
      <c r="M33" s="167">
        <v>0</v>
      </c>
      <c r="N33" s="187">
        <f t="shared" si="9"/>
        <v>265725.15000000002</v>
      </c>
      <c r="O33" s="147">
        <f t="shared" si="10"/>
        <v>281669.15000000002</v>
      </c>
      <c r="P33" s="133">
        <f t="shared" si="11"/>
        <v>0.15</v>
      </c>
    </row>
    <row r="34" spans="1:114" x14ac:dyDescent="0.3">
      <c r="A34" s="139" t="s">
        <v>122</v>
      </c>
      <c r="B34" s="138"/>
      <c r="C34" s="35" t="s">
        <v>59</v>
      </c>
      <c r="D34" s="108" t="s">
        <v>302</v>
      </c>
      <c r="E34" s="135"/>
      <c r="F34" s="136">
        <v>9.4000000000000004E-3</v>
      </c>
      <c r="G34" s="137">
        <v>147272.16</v>
      </c>
      <c r="H34" s="44">
        <f>G34</f>
        <v>147272.16</v>
      </c>
      <c r="I34" s="144">
        <f t="shared" si="1"/>
        <v>0</v>
      </c>
      <c r="J34" s="145">
        <f t="shared" si="5"/>
        <v>0</v>
      </c>
      <c r="K34" s="186">
        <f t="shared" si="7"/>
        <v>50382.253480000007</v>
      </c>
      <c r="L34" s="145">
        <f t="shared" si="8"/>
        <v>94000</v>
      </c>
      <c r="M34" s="167">
        <v>0</v>
      </c>
      <c r="N34" s="187">
        <f t="shared" si="9"/>
        <v>144382.16</v>
      </c>
      <c r="O34" s="147">
        <f t="shared" si="10"/>
        <v>153045.16</v>
      </c>
      <c r="P34" s="133">
        <f t="shared" si="11"/>
        <v>0.16</v>
      </c>
      <c r="Q34" t="s">
        <v>314</v>
      </c>
    </row>
    <row r="35" spans="1:114" x14ac:dyDescent="0.3">
      <c r="A35" s="57" t="s">
        <v>122</v>
      </c>
      <c r="B35" s="6"/>
      <c r="C35" s="35" t="s">
        <v>60</v>
      </c>
      <c r="D35" s="108" t="s">
        <v>183</v>
      </c>
      <c r="E35" s="135" t="s">
        <v>287</v>
      </c>
      <c r="F35" s="136">
        <v>8.6999999999999994E-3</v>
      </c>
      <c r="G35" s="137">
        <v>136305.17000000001</v>
      </c>
      <c r="H35" s="44">
        <f t="shared" ref="H35" si="15">G35</f>
        <v>136305.17000000001</v>
      </c>
      <c r="I35" s="144">
        <f t="shared" si="1"/>
        <v>0</v>
      </c>
      <c r="J35" s="145">
        <f t="shared" si="5"/>
        <v>0</v>
      </c>
      <c r="K35" s="186">
        <f t="shared" si="7"/>
        <v>46630.383539999995</v>
      </c>
      <c r="L35" s="145">
        <f t="shared" si="8"/>
        <v>87000</v>
      </c>
      <c r="M35" s="167">
        <v>0</v>
      </c>
      <c r="N35" s="187">
        <f t="shared" si="9"/>
        <v>133630.17000000001</v>
      </c>
      <c r="O35" s="147">
        <f t="shared" si="10"/>
        <v>141648.17000000001</v>
      </c>
      <c r="P35" s="133">
        <f t="shared" si="11"/>
        <v>0.17</v>
      </c>
    </row>
    <row r="36" spans="1:114" x14ac:dyDescent="0.3">
      <c r="A36" s="57" t="s">
        <v>122</v>
      </c>
      <c r="B36" s="6"/>
      <c r="C36" s="35" t="s">
        <v>61</v>
      </c>
      <c r="D36" s="108" t="s">
        <v>183</v>
      </c>
      <c r="E36" s="135"/>
      <c r="F36" s="136">
        <v>9.4999999999999998E-3</v>
      </c>
      <c r="G36" s="137">
        <v>297677.18</v>
      </c>
      <c r="H36" s="44"/>
      <c r="I36" s="156">
        <f t="shared" si="1"/>
        <v>297677.18</v>
      </c>
      <c r="J36" s="145">
        <f t="shared" si="5"/>
        <v>0</v>
      </c>
      <c r="K36" s="186">
        <f t="shared" si="7"/>
        <v>50918.234900000003</v>
      </c>
      <c r="L36" s="145">
        <f t="shared" si="8"/>
        <v>95000</v>
      </c>
      <c r="M36" s="167">
        <v>0</v>
      </c>
      <c r="N36" s="187">
        <f t="shared" si="9"/>
        <v>443595.18</v>
      </c>
      <c r="O36" s="147">
        <f t="shared" si="10"/>
        <v>470211.18</v>
      </c>
      <c r="P36" s="133">
        <f t="shared" si="11"/>
        <v>0.18000000000000002</v>
      </c>
    </row>
    <row r="37" spans="1:114" x14ac:dyDescent="0.3">
      <c r="A37" s="57" t="s">
        <v>120</v>
      </c>
      <c r="B37" s="6"/>
      <c r="C37" s="35" t="s">
        <v>62</v>
      </c>
      <c r="D37" s="108" t="s">
        <v>186</v>
      </c>
      <c r="E37" s="135" t="s">
        <v>285</v>
      </c>
      <c r="F37" s="136">
        <v>1.6400000000000001E-2</v>
      </c>
      <c r="G37" s="137">
        <v>256942.19</v>
      </c>
      <c r="H37" s="44"/>
      <c r="I37" s="144">
        <f t="shared" si="1"/>
        <v>256942.19</v>
      </c>
      <c r="J37" s="145">
        <f t="shared" si="5"/>
        <v>0</v>
      </c>
      <c r="K37" s="186">
        <f t="shared" si="7"/>
        <v>87900.952880000012</v>
      </c>
      <c r="L37" s="145">
        <f t="shared" si="8"/>
        <v>164000</v>
      </c>
      <c r="M37" s="167">
        <v>0</v>
      </c>
      <c r="N37" s="187">
        <f t="shared" si="9"/>
        <v>508843.19</v>
      </c>
      <c r="O37" s="147">
        <f t="shared" si="10"/>
        <v>539374.18999999994</v>
      </c>
      <c r="P37" s="133">
        <f t="shared" si="11"/>
        <v>0.19000000000000003</v>
      </c>
      <c r="Q37" t="s">
        <v>312</v>
      </c>
    </row>
    <row r="38" spans="1:114" x14ac:dyDescent="0.3">
      <c r="A38" s="57" t="s">
        <v>121</v>
      </c>
      <c r="B38" s="6"/>
      <c r="C38" s="35" t="s">
        <v>63</v>
      </c>
      <c r="D38" s="108" t="s">
        <v>222</v>
      </c>
      <c r="E38" s="135"/>
      <c r="F38" s="136">
        <v>7.1999999999999998E-3</v>
      </c>
      <c r="G38" s="137">
        <v>132804.20000000001</v>
      </c>
      <c r="H38" s="44">
        <f>G38</f>
        <v>132804.20000000001</v>
      </c>
      <c r="I38" s="144">
        <f t="shared" si="1"/>
        <v>0</v>
      </c>
      <c r="J38" s="145">
        <f t="shared" si="5"/>
        <v>0</v>
      </c>
      <c r="K38" s="186">
        <f t="shared" si="7"/>
        <v>38590.662239999998</v>
      </c>
      <c r="L38" s="145">
        <f t="shared" si="8"/>
        <v>72000</v>
      </c>
      <c r="M38" s="167">
        <v>0</v>
      </c>
      <c r="N38" s="187">
        <f t="shared" si="9"/>
        <v>110591.2</v>
      </c>
      <c r="O38" s="147">
        <f t="shared" si="10"/>
        <v>117227.2</v>
      </c>
      <c r="P38" s="133">
        <f t="shared" si="11"/>
        <v>0.20000000000000004</v>
      </c>
    </row>
    <row r="39" spans="1:114" s="140" customFormat="1" x14ac:dyDescent="0.3">
      <c r="A39" s="108" t="s">
        <v>120</v>
      </c>
      <c r="B39" s="35"/>
      <c r="C39" s="35" t="s">
        <v>64</v>
      </c>
      <c r="D39" s="108" t="s">
        <v>187</v>
      </c>
      <c r="E39" s="135"/>
      <c r="F39" s="136">
        <v>1.7299999999999999E-2</v>
      </c>
      <c r="G39" s="137">
        <v>254780.21</v>
      </c>
      <c r="H39" s="44"/>
      <c r="I39" s="144">
        <f t="shared" si="1"/>
        <v>254780.21</v>
      </c>
      <c r="J39" s="145">
        <f t="shared" si="5"/>
        <v>0</v>
      </c>
      <c r="K39" s="186">
        <f t="shared" si="7"/>
        <v>92724.785659999994</v>
      </c>
      <c r="L39" s="145">
        <f t="shared" si="8"/>
        <v>173000</v>
      </c>
      <c r="M39" s="167">
        <v>0</v>
      </c>
      <c r="N39" s="187">
        <f t="shared" si="9"/>
        <v>520505.21</v>
      </c>
      <c r="O39" s="147">
        <f t="shared" si="10"/>
        <v>551736.21</v>
      </c>
      <c r="P39" s="172">
        <f t="shared" si="11"/>
        <v>0.21000000000000005</v>
      </c>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row>
    <row r="40" spans="1:114" s="140" customFormat="1" x14ac:dyDescent="0.3">
      <c r="A40" s="108" t="s">
        <v>122</v>
      </c>
      <c r="B40" s="35"/>
      <c r="C40" s="35" t="s">
        <v>65</v>
      </c>
      <c r="D40" s="108" t="s">
        <v>277</v>
      </c>
      <c r="E40" s="135"/>
      <c r="F40" s="136">
        <v>9.4000000000000004E-3</v>
      </c>
      <c r="G40" s="44">
        <v>368179.22</v>
      </c>
      <c r="H40" s="44"/>
      <c r="I40" s="144">
        <f t="shared" si="1"/>
        <v>368179.22</v>
      </c>
      <c r="J40" s="145">
        <f t="shared" si="5"/>
        <v>0</v>
      </c>
      <c r="K40" s="186">
        <f t="shared" si="7"/>
        <v>50382.253480000007</v>
      </c>
      <c r="L40" s="145">
        <f t="shared" si="8"/>
        <v>94000</v>
      </c>
      <c r="M40" s="167">
        <v>0</v>
      </c>
      <c r="N40" s="187">
        <f t="shared" si="9"/>
        <v>512561.22</v>
      </c>
      <c r="O40" s="147">
        <f t="shared" si="10"/>
        <v>543315.22</v>
      </c>
      <c r="P40" s="172">
        <f t="shared" si="11"/>
        <v>0.22000000000000006</v>
      </c>
      <c r="Q40" s="73" t="s">
        <v>313</v>
      </c>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row>
    <row r="41" spans="1:114" s="140" customFormat="1" x14ac:dyDescent="0.3">
      <c r="A41" s="108" t="s">
        <v>122</v>
      </c>
      <c r="B41" s="35"/>
      <c r="C41" s="35" t="s">
        <v>66</v>
      </c>
      <c r="D41" s="108" t="s">
        <v>183</v>
      </c>
      <c r="E41" s="135"/>
      <c r="F41" s="136">
        <v>8.6999999999999994E-3</v>
      </c>
      <c r="G41" s="137">
        <v>136305.23000000001</v>
      </c>
      <c r="H41" s="44">
        <f>G41</f>
        <v>136305.23000000001</v>
      </c>
      <c r="I41" s="144">
        <f t="shared" si="1"/>
        <v>0</v>
      </c>
      <c r="J41" s="145">
        <f t="shared" si="5"/>
        <v>0</v>
      </c>
      <c r="K41" s="186">
        <f t="shared" si="7"/>
        <v>46630.383539999995</v>
      </c>
      <c r="L41" s="145">
        <f t="shared" si="8"/>
        <v>87000</v>
      </c>
      <c r="M41" s="167">
        <v>0</v>
      </c>
      <c r="N41" s="187">
        <f t="shared" si="9"/>
        <v>133630.23000000001</v>
      </c>
      <c r="O41" s="147">
        <f t="shared" si="10"/>
        <v>141648.23000000001</v>
      </c>
      <c r="P41" s="172">
        <f t="shared" si="11"/>
        <v>0.23000000000000007</v>
      </c>
      <c r="Q41" s="73" t="s">
        <v>296</v>
      </c>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row>
    <row r="42" spans="1:114" s="140" customFormat="1" x14ac:dyDescent="0.3">
      <c r="A42" s="108" t="s">
        <v>122</v>
      </c>
      <c r="B42" s="35"/>
      <c r="C42" s="35" t="s">
        <v>67</v>
      </c>
      <c r="D42" s="108" t="s">
        <v>277</v>
      </c>
      <c r="E42" s="135"/>
      <c r="F42" s="136">
        <v>9.4999999999999998E-3</v>
      </c>
      <c r="G42" s="157">
        <v>297677.24</v>
      </c>
      <c r="H42" s="44">
        <v>254780.24</v>
      </c>
      <c r="I42" s="144">
        <f t="shared" si="1"/>
        <v>42897</v>
      </c>
      <c r="J42" s="145">
        <f t="shared" si="5"/>
        <v>0</v>
      </c>
      <c r="K42" s="186">
        <f t="shared" si="7"/>
        <v>50918.234900000003</v>
      </c>
      <c r="L42" s="145">
        <f t="shared" si="8"/>
        <v>95000</v>
      </c>
      <c r="M42" s="167">
        <v>0</v>
      </c>
      <c r="N42" s="187">
        <f t="shared" si="9"/>
        <v>188815.24</v>
      </c>
      <c r="O42" s="147">
        <f t="shared" si="10"/>
        <v>200144.24</v>
      </c>
      <c r="P42" s="172">
        <f t="shared" si="11"/>
        <v>0.24000000000000007</v>
      </c>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row>
    <row r="43" spans="1:114" x14ac:dyDescent="0.3">
      <c r="A43" s="57" t="s">
        <v>120</v>
      </c>
      <c r="B43" s="6"/>
      <c r="C43" s="35" t="s">
        <v>68</v>
      </c>
      <c r="D43" s="108" t="s">
        <v>188</v>
      </c>
      <c r="E43" s="135"/>
      <c r="F43" s="136">
        <v>1.6400000000000001E-2</v>
      </c>
      <c r="G43" s="137">
        <v>256942.25</v>
      </c>
      <c r="H43" s="44">
        <f>G43</f>
        <v>256942.25</v>
      </c>
      <c r="I43" s="144">
        <f t="shared" si="1"/>
        <v>0</v>
      </c>
      <c r="J43" s="145">
        <f t="shared" si="5"/>
        <v>0</v>
      </c>
      <c r="K43" s="186">
        <f t="shared" si="7"/>
        <v>87900.952880000012</v>
      </c>
      <c r="L43" s="145">
        <f t="shared" si="8"/>
        <v>164000</v>
      </c>
      <c r="M43" s="167">
        <v>0</v>
      </c>
      <c r="N43" s="187">
        <f t="shared" si="9"/>
        <v>251901.25</v>
      </c>
      <c r="O43" s="147">
        <f t="shared" si="10"/>
        <v>267015.25</v>
      </c>
      <c r="P43" s="133">
        <f t="shared" si="11"/>
        <v>0.25000000000000006</v>
      </c>
    </row>
    <row r="44" spans="1:114" x14ac:dyDescent="0.3">
      <c r="A44" s="57" t="s">
        <v>121</v>
      </c>
      <c r="B44" s="6"/>
      <c r="C44" s="35" t="s">
        <v>69</v>
      </c>
      <c r="D44" s="108" t="s">
        <v>189</v>
      </c>
      <c r="E44" s="135" t="s">
        <v>268</v>
      </c>
      <c r="F44" s="136">
        <v>7.1999999999999998E-3</v>
      </c>
      <c r="G44" s="137">
        <v>112804.26</v>
      </c>
      <c r="H44" s="44">
        <f t="shared" ref="H44" si="16">G44</f>
        <v>112804.26</v>
      </c>
      <c r="I44" s="144">
        <f t="shared" si="1"/>
        <v>0</v>
      </c>
      <c r="J44" s="145">
        <f t="shared" si="5"/>
        <v>0</v>
      </c>
      <c r="K44" s="186">
        <f t="shared" si="7"/>
        <v>38590.662239999998</v>
      </c>
      <c r="L44" s="145">
        <f t="shared" si="8"/>
        <v>72000</v>
      </c>
      <c r="M44" s="167">
        <v>0</v>
      </c>
      <c r="N44" s="187">
        <f t="shared" si="9"/>
        <v>110591.26</v>
      </c>
      <c r="O44" s="147">
        <f t="shared" si="10"/>
        <v>117227.26</v>
      </c>
      <c r="P44" s="133">
        <f t="shared" si="11"/>
        <v>0.26000000000000006</v>
      </c>
    </row>
    <row r="45" spans="1:114" x14ac:dyDescent="0.3">
      <c r="A45" s="57" t="s">
        <v>120</v>
      </c>
      <c r="B45" s="6"/>
      <c r="C45" s="35" t="s">
        <v>70</v>
      </c>
      <c r="D45" s="108" t="s">
        <v>190</v>
      </c>
      <c r="E45" s="135"/>
      <c r="F45" s="136">
        <v>1.7299999999999999E-2</v>
      </c>
      <c r="G45" s="137">
        <v>271043.27</v>
      </c>
      <c r="H45" s="44">
        <f t="shared" ref="H45" si="17">G45</f>
        <v>271043.27</v>
      </c>
      <c r="I45" s="144">
        <f t="shared" si="1"/>
        <v>0</v>
      </c>
      <c r="J45" s="145">
        <f t="shared" si="5"/>
        <v>0</v>
      </c>
      <c r="K45" s="186">
        <f t="shared" si="7"/>
        <v>92724.785659999994</v>
      </c>
      <c r="L45" s="145">
        <f t="shared" si="8"/>
        <v>173000</v>
      </c>
      <c r="M45" s="167">
        <v>0</v>
      </c>
      <c r="N45" s="187">
        <f t="shared" si="9"/>
        <v>265725.27</v>
      </c>
      <c r="O45" s="147">
        <f t="shared" si="10"/>
        <v>281669.27</v>
      </c>
      <c r="P45" s="133">
        <f t="shared" si="11"/>
        <v>0.27000000000000007</v>
      </c>
      <c r="Q45" t="s">
        <v>263</v>
      </c>
      <c r="R45" t="s">
        <v>263</v>
      </c>
    </row>
    <row r="46" spans="1:114" x14ac:dyDescent="0.3">
      <c r="A46" s="171" t="s">
        <v>122</v>
      </c>
      <c r="B46" s="170"/>
      <c r="C46" s="35" t="s">
        <v>71</v>
      </c>
      <c r="D46" s="108" t="s">
        <v>316</v>
      </c>
      <c r="E46" s="135"/>
      <c r="F46" s="136">
        <v>9.4000000000000004E-3</v>
      </c>
      <c r="G46" s="137">
        <v>147272.28</v>
      </c>
      <c r="H46" s="44">
        <f>G46</f>
        <v>147272.28</v>
      </c>
      <c r="I46" s="144">
        <f t="shared" si="1"/>
        <v>0</v>
      </c>
      <c r="J46" s="145">
        <f t="shared" si="5"/>
        <v>0</v>
      </c>
      <c r="K46" s="186">
        <f t="shared" si="7"/>
        <v>50382.253480000007</v>
      </c>
      <c r="L46" s="145">
        <f t="shared" si="8"/>
        <v>94000</v>
      </c>
      <c r="M46" s="167">
        <v>0</v>
      </c>
      <c r="N46" s="187">
        <f t="shared" si="9"/>
        <v>144382.28</v>
      </c>
      <c r="O46" s="147">
        <f t="shared" si="10"/>
        <v>153045.28</v>
      </c>
      <c r="P46" s="133">
        <f t="shared" si="11"/>
        <v>0.28000000000000008</v>
      </c>
    </row>
    <row r="47" spans="1:114" x14ac:dyDescent="0.3">
      <c r="A47" s="57" t="s">
        <v>122</v>
      </c>
      <c r="B47" s="6"/>
      <c r="C47" s="35" t="s">
        <v>72</v>
      </c>
      <c r="D47" s="108" t="s">
        <v>181</v>
      </c>
      <c r="E47" s="135" t="s">
        <v>303</v>
      </c>
      <c r="F47" s="136">
        <v>8.6999999999999994E-3</v>
      </c>
      <c r="G47" s="147">
        <v>272610.28999999998</v>
      </c>
      <c r="H47" s="44">
        <f>G47</f>
        <v>272610.28999999998</v>
      </c>
      <c r="I47" s="144">
        <f t="shared" si="1"/>
        <v>0</v>
      </c>
      <c r="J47" s="145">
        <f t="shared" si="5"/>
        <v>0</v>
      </c>
      <c r="K47" s="186">
        <f t="shared" si="7"/>
        <v>46630.383539999995</v>
      </c>
      <c r="L47" s="145">
        <f t="shared" si="8"/>
        <v>87000</v>
      </c>
      <c r="M47" s="167">
        <v>0</v>
      </c>
      <c r="N47" s="187">
        <f t="shared" si="9"/>
        <v>133630.29</v>
      </c>
      <c r="O47" s="147">
        <f t="shared" si="10"/>
        <v>141648.29</v>
      </c>
      <c r="P47" s="133">
        <f t="shared" si="11"/>
        <v>0.29000000000000009</v>
      </c>
    </row>
    <row r="48" spans="1:114" x14ac:dyDescent="0.3">
      <c r="A48" s="57" t="s">
        <v>122</v>
      </c>
      <c r="B48" s="6"/>
      <c r="C48" s="35" t="s">
        <v>73</v>
      </c>
      <c r="D48" s="108" t="s">
        <v>191</v>
      </c>
      <c r="E48" s="135"/>
      <c r="F48" s="136">
        <v>9.4999999999999998E-3</v>
      </c>
      <c r="G48" s="137">
        <v>148838.29999999999</v>
      </c>
      <c r="H48" s="44">
        <f>G48</f>
        <v>148838.29999999999</v>
      </c>
      <c r="I48" s="144">
        <f t="shared" si="1"/>
        <v>0</v>
      </c>
      <c r="J48" s="145">
        <f t="shared" si="5"/>
        <v>0</v>
      </c>
      <c r="K48" s="186">
        <f t="shared" si="7"/>
        <v>50918.234900000003</v>
      </c>
      <c r="L48" s="145">
        <f t="shared" si="8"/>
        <v>95000</v>
      </c>
      <c r="M48" s="167">
        <v>0</v>
      </c>
      <c r="N48" s="187">
        <f t="shared" si="9"/>
        <v>145918.29999999999</v>
      </c>
      <c r="O48" s="147">
        <f t="shared" si="10"/>
        <v>154673.29999999999</v>
      </c>
      <c r="P48" s="133">
        <f t="shared" si="11"/>
        <v>0.3000000000000001</v>
      </c>
    </row>
    <row r="49" spans="1:18" x14ac:dyDescent="0.3">
      <c r="A49" s="57" t="s">
        <v>120</v>
      </c>
      <c r="B49" s="6"/>
      <c r="C49" s="35" t="s">
        <v>74</v>
      </c>
      <c r="D49" s="108" t="s">
        <v>192</v>
      </c>
      <c r="E49" s="135"/>
      <c r="F49" s="136">
        <v>1.6400000000000001E-2</v>
      </c>
      <c r="G49" s="137">
        <v>256942.31</v>
      </c>
      <c r="H49" s="44">
        <f>G49</f>
        <v>256942.31</v>
      </c>
      <c r="I49" s="144">
        <f t="shared" si="1"/>
        <v>0</v>
      </c>
      <c r="J49" s="145">
        <f t="shared" si="5"/>
        <v>0</v>
      </c>
      <c r="K49" s="186">
        <f t="shared" si="7"/>
        <v>87900.952880000012</v>
      </c>
      <c r="L49" s="145">
        <f t="shared" si="8"/>
        <v>164000</v>
      </c>
      <c r="M49" s="167">
        <v>0</v>
      </c>
      <c r="N49" s="187">
        <f t="shared" si="9"/>
        <v>251901.31</v>
      </c>
      <c r="O49" s="147">
        <f t="shared" si="10"/>
        <v>267015.31</v>
      </c>
      <c r="P49" s="133">
        <f t="shared" si="11"/>
        <v>0.31000000000000011</v>
      </c>
    </row>
    <row r="50" spans="1:18" x14ac:dyDescent="0.3">
      <c r="A50" s="57" t="s">
        <v>121</v>
      </c>
      <c r="B50" s="6"/>
      <c r="C50" s="35" t="s">
        <v>75</v>
      </c>
      <c r="D50" s="108" t="s">
        <v>193</v>
      </c>
      <c r="E50" s="135"/>
      <c r="F50" s="136">
        <v>7.1999999999999998E-3</v>
      </c>
      <c r="G50" s="137">
        <v>119573.32</v>
      </c>
      <c r="H50" s="44">
        <f t="shared" ref="H50:H51" si="18">G50</f>
        <v>119573.32</v>
      </c>
      <c r="I50" s="144">
        <f t="shared" si="1"/>
        <v>0</v>
      </c>
      <c r="J50" s="145">
        <f t="shared" si="5"/>
        <v>0</v>
      </c>
      <c r="K50" s="186">
        <f t="shared" si="7"/>
        <v>38590.662239999998</v>
      </c>
      <c r="L50" s="145">
        <f t="shared" si="8"/>
        <v>72000</v>
      </c>
      <c r="M50" s="167">
        <v>0</v>
      </c>
      <c r="N50" s="187">
        <f t="shared" si="9"/>
        <v>110591.32</v>
      </c>
      <c r="O50" s="147">
        <f t="shared" si="10"/>
        <v>117227.32</v>
      </c>
      <c r="P50" s="133">
        <f t="shared" si="11"/>
        <v>0.32000000000000012</v>
      </c>
      <c r="Q50" s="43"/>
    </row>
    <row r="51" spans="1:18" x14ac:dyDescent="0.3">
      <c r="A51" s="57" t="s">
        <v>120</v>
      </c>
      <c r="B51" s="6"/>
      <c r="C51" s="35" t="s">
        <v>76</v>
      </c>
      <c r="D51" s="108" t="s">
        <v>194</v>
      </c>
      <c r="E51" s="135"/>
      <c r="F51" s="136">
        <v>1.7299999999999999E-2</v>
      </c>
      <c r="G51" s="137">
        <v>271043.33</v>
      </c>
      <c r="H51" s="44">
        <f t="shared" si="18"/>
        <v>271043.33</v>
      </c>
      <c r="I51" s="144">
        <f t="shared" si="1"/>
        <v>0</v>
      </c>
      <c r="J51" s="145">
        <f t="shared" ref="J51:J82" si="19">N$8*F51</f>
        <v>0</v>
      </c>
      <c r="K51" s="186">
        <f t="shared" si="7"/>
        <v>92724.785659999994</v>
      </c>
      <c r="L51" s="145">
        <f t="shared" ref="L51:L82" si="20">N$2*F51</f>
        <v>173000</v>
      </c>
      <c r="M51" s="167">
        <v>0</v>
      </c>
      <c r="N51" s="187">
        <f t="shared" si="9"/>
        <v>265725.33</v>
      </c>
      <c r="O51" s="147">
        <f t="shared" si="10"/>
        <v>281669.33</v>
      </c>
      <c r="P51" s="133">
        <f t="shared" si="11"/>
        <v>0.33000000000000013</v>
      </c>
      <c r="Q51" s="43"/>
    </row>
    <row r="52" spans="1:18" x14ac:dyDescent="0.3">
      <c r="A52" s="57" t="s">
        <v>122</v>
      </c>
      <c r="B52" s="6"/>
      <c r="C52" s="35" t="s">
        <v>77</v>
      </c>
      <c r="D52" s="108" t="s">
        <v>282</v>
      </c>
      <c r="E52" s="135"/>
      <c r="F52" s="136">
        <v>9.4000000000000004E-3</v>
      </c>
      <c r="G52" s="137">
        <v>147272.34</v>
      </c>
      <c r="H52" s="44">
        <f t="shared" ref="H52:H53" si="21">G52</f>
        <v>147272.34</v>
      </c>
      <c r="I52" s="144">
        <f t="shared" si="1"/>
        <v>0</v>
      </c>
      <c r="J52" s="145">
        <f t="shared" si="19"/>
        <v>0</v>
      </c>
      <c r="K52" s="186">
        <f t="shared" si="7"/>
        <v>50382.253480000007</v>
      </c>
      <c r="L52" s="145">
        <f t="shared" si="20"/>
        <v>94000</v>
      </c>
      <c r="M52" s="167">
        <v>0</v>
      </c>
      <c r="N52" s="187">
        <f t="shared" si="9"/>
        <v>144382.34</v>
      </c>
      <c r="O52" s="147">
        <f t="shared" si="10"/>
        <v>153045.34</v>
      </c>
      <c r="P52" s="133">
        <f t="shared" si="11"/>
        <v>0.34000000000000014</v>
      </c>
      <c r="Q52" t="s">
        <v>300</v>
      </c>
    </row>
    <row r="53" spans="1:18" x14ac:dyDescent="0.3">
      <c r="A53" s="57" t="s">
        <v>122</v>
      </c>
      <c r="B53" s="6"/>
      <c r="C53" s="35" t="s">
        <v>78</v>
      </c>
      <c r="D53" s="108" t="s">
        <v>223</v>
      </c>
      <c r="E53" s="135"/>
      <c r="F53" s="136">
        <v>8.6999999999999994E-3</v>
      </c>
      <c r="G53" s="137">
        <v>136305.35</v>
      </c>
      <c r="H53" s="44">
        <f t="shared" si="21"/>
        <v>136305.35</v>
      </c>
      <c r="I53" s="144">
        <f>G53-H53</f>
        <v>0</v>
      </c>
      <c r="J53" s="145">
        <f t="shared" si="19"/>
        <v>0</v>
      </c>
      <c r="K53" s="186">
        <f t="shared" si="7"/>
        <v>46630.383539999995</v>
      </c>
      <c r="L53" s="145">
        <f t="shared" si="20"/>
        <v>87000</v>
      </c>
      <c r="M53" s="167">
        <v>0</v>
      </c>
      <c r="N53" s="187">
        <f t="shared" si="9"/>
        <v>133630.35</v>
      </c>
      <c r="O53" s="147">
        <f t="shared" si="10"/>
        <v>141648.35</v>
      </c>
      <c r="P53" s="133">
        <f t="shared" si="11"/>
        <v>0.35000000000000014</v>
      </c>
    </row>
    <row r="54" spans="1:18" x14ac:dyDescent="0.3">
      <c r="A54" s="57" t="s">
        <v>122</v>
      </c>
      <c r="B54" s="6"/>
      <c r="C54" s="35" t="s">
        <v>79</v>
      </c>
      <c r="D54" s="108" t="s">
        <v>195</v>
      </c>
      <c r="E54" s="135"/>
      <c r="F54" s="136">
        <v>9.4999999999999998E-3</v>
      </c>
      <c r="G54" s="137">
        <v>148838.35999999999</v>
      </c>
      <c r="H54" s="44"/>
      <c r="I54" s="144">
        <f>G54-H54</f>
        <v>148838.35999999999</v>
      </c>
      <c r="J54" s="145">
        <f t="shared" si="19"/>
        <v>0</v>
      </c>
      <c r="K54" s="186">
        <f t="shared" si="7"/>
        <v>50918.234900000003</v>
      </c>
      <c r="L54" s="145">
        <f t="shared" si="20"/>
        <v>95000</v>
      </c>
      <c r="M54" s="167">
        <v>0</v>
      </c>
      <c r="N54" s="187">
        <f t="shared" si="9"/>
        <v>294757.36</v>
      </c>
      <c r="O54" s="147">
        <f t="shared" si="10"/>
        <v>312443.36</v>
      </c>
      <c r="P54" s="133">
        <f t="shared" si="11"/>
        <v>0.36000000000000015</v>
      </c>
    </row>
    <row r="55" spans="1:18" x14ac:dyDescent="0.3">
      <c r="A55" s="57" t="s">
        <v>120</v>
      </c>
      <c r="B55" s="6"/>
      <c r="C55" s="35" t="s">
        <v>80</v>
      </c>
      <c r="D55" s="108" t="s">
        <v>192</v>
      </c>
      <c r="E55" s="135"/>
      <c r="F55" s="136">
        <v>1.6400000000000001E-2</v>
      </c>
      <c r="G55" s="137">
        <v>256942.37</v>
      </c>
      <c r="H55" s="44">
        <f t="shared" ref="H55" si="22">G55</f>
        <v>256942.37</v>
      </c>
      <c r="I55" s="144">
        <f t="shared" si="1"/>
        <v>0</v>
      </c>
      <c r="J55" s="145">
        <f t="shared" si="19"/>
        <v>0</v>
      </c>
      <c r="K55" s="186">
        <f t="shared" si="7"/>
        <v>87900.952880000012</v>
      </c>
      <c r="L55" s="145">
        <f t="shared" si="20"/>
        <v>164000</v>
      </c>
      <c r="M55" s="167">
        <v>0</v>
      </c>
      <c r="N55" s="187">
        <f t="shared" si="9"/>
        <v>251901.37</v>
      </c>
      <c r="O55" s="147">
        <f t="shared" si="10"/>
        <v>267015.37</v>
      </c>
      <c r="P55" s="133">
        <f t="shared" si="11"/>
        <v>0.37000000000000016</v>
      </c>
      <c r="R55" s="59"/>
    </row>
    <row r="56" spans="1:18" x14ac:dyDescent="0.3">
      <c r="A56" s="57" t="s">
        <v>121</v>
      </c>
      <c r="B56" s="6"/>
      <c r="C56" s="35" t="s">
        <v>81</v>
      </c>
      <c r="D56" s="108" t="s">
        <v>196</v>
      </c>
      <c r="E56" s="135" t="s">
        <v>269</v>
      </c>
      <c r="F56" s="136">
        <v>7.1999999999999998E-3</v>
      </c>
      <c r="G56" s="137">
        <v>112804.38</v>
      </c>
      <c r="H56" s="44">
        <f t="shared" ref="H56" si="23">G56</f>
        <v>112804.38</v>
      </c>
      <c r="I56" s="144">
        <f t="shared" si="1"/>
        <v>0</v>
      </c>
      <c r="J56" s="145">
        <f t="shared" si="19"/>
        <v>0</v>
      </c>
      <c r="K56" s="186">
        <f t="shared" si="7"/>
        <v>38590.662239999998</v>
      </c>
      <c r="L56" s="145">
        <f t="shared" si="20"/>
        <v>72000</v>
      </c>
      <c r="M56" s="167">
        <v>0</v>
      </c>
      <c r="N56" s="187">
        <f t="shared" si="9"/>
        <v>110591.38</v>
      </c>
      <c r="O56" s="147">
        <f t="shared" si="10"/>
        <v>117227.38</v>
      </c>
      <c r="P56" s="133">
        <f t="shared" si="11"/>
        <v>0.38000000000000017</v>
      </c>
    </row>
    <row r="57" spans="1:18" x14ac:dyDescent="0.3">
      <c r="A57" s="57" t="s">
        <v>120</v>
      </c>
      <c r="B57" s="6"/>
      <c r="C57" s="194" t="s">
        <v>82</v>
      </c>
      <c r="D57" s="195" t="s">
        <v>197</v>
      </c>
      <c r="E57" s="196"/>
      <c r="F57" s="197">
        <v>1.7299999999999999E-2</v>
      </c>
      <c r="G57" s="198">
        <v>271043.39</v>
      </c>
      <c r="H57" s="240"/>
      <c r="I57" s="199">
        <f t="shared" si="1"/>
        <v>271043.39</v>
      </c>
      <c r="J57" s="200">
        <f t="shared" si="19"/>
        <v>0</v>
      </c>
      <c r="K57" s="236">
        <f t="shared" si="7"/>
        <v>92724.785659999994</v>
      </c>
      <c r="L57" s="200">
        <f t="shared" si="20"/>
        <v>173000</v>
      </c>
      <c r="M57" s="201">
        <v>0</v>
      </c>
      <c r="N57" s="237">
        <f t="shared" si="9"/>
        <v>536768.39</v>
      </c>
      <c r="O57" s="202">
        <f t="shared" si="10"/>
        <v>568974.39</v>
      </c>
      <c r="P57" s="133">
        <f t="shared" si="11"/>
        <v>0.39000000000000018</v>
      </c>
    </row>
    <row r="58" spans="1:18" x14ac:dyDescent="0.3">
      <c r="A58" s="57" t="s">
        <v>122</v>
      </c>
      <c r="B58" s="6"/>
      <c r="C58" s="35" t="s">
        <v>83</v>
      </c>
      <c r="D58" s="108" t="s">
        <v>198</v>
      </c>
      <c r="E58" s="135" t="s">
        <v>320</v>
      </c>
      <c r="F58" s="136">
        <v>9.4000000000000004E-3</v>
      </c>
      <c r="G58" s="137">
        <v>173272.4</v>
      </c>
      <c r="H58" s="44">
        <v>183669.4</v>
      </c>
      <c r="I58" s="144">
        <f t="shared" si="1"/>
        <v>-10397</v>
      </c>
      <c r="J58" s="145">
        <f t="shared" si="19"/>
        <v>0</v>
      </c>
      <c r="K58" s="186">
        <f t="shared" si="7"/>
        <v>50382.253480000007</v>
      </c>
      <c r="L58" s="145">
        <f t="shared" si="20"/>
        <v>94000</v>
      </c>
      <c r="M58" s="167">
        <v>0</v>
      </c>
      <c r="N58" s="187">
        <f t="shared" si="9"/>
        <v>133985.4</v>
      </c>
      <c r="O58" s="147">
        <f t="shared" si="10"/>
        <v>142025.4</v>
      </c>
      <c r="P58" s="133">
        <f t="shared" si="11"/>
        <v>0.40000000000000019</v>
      </c>
    </row>
    <row r="59" spans="1:18" x14ac:dyDescent="0.3">
      <c r="A59" s="108" t="s">
        <v>122</v>
      </c>
      <c r="B59" s="35"/>
      <c r="C59" s="35" t="s">
        <v>84</v>
      </c>
      <c r="D59" s="108" t="s">
        <v>327</v>
      </c>
      <c r="E59" s="135"/>
      <c r="F59" s="136">
        <v>8.6999999999999994E-3</v>
      </c>
      <c r="G59" s="44">
        <v>144484.41</v>
      </c>
      <c r="H59" s="44">
        <f>G59</f>
        <v>144484.41</v>
      </c>
      <c r="I59" s="144">
        <f t="shared" si="1"/>
        <v>0</v>
      </c>
      <c r="J59" s="145">
        <f t="shared" si="19"/>
        <v>0</v>
      </c>
      <c r="K59" s="186">
        <f t="shared" si="7"/>
        <v>46630.383539999995</v>
      </c>
      <c r="L59" s="145">
        <f t="shared" si="20"/>
        <v>87000</v>
      </c>
      <c r="M59" s="167">
        <v>0</v>
      </c>
      <c r="N59" s="187">
        <f t="shared" si="9"/>
        <v>133630.41</v>
      </c>
      <c r="O59" s="147">
        <f t="shared" si="10"/>
        <v>141648.41</v>
      </c>
      <c r="P59" s="133">
        <f t="shared" si="11"/>
        <v>0.4100000000000002</v>
      </c>
      <c r="R59" t="s">
        <v>255</v>
      </c>
    </row>
    <row r="60" spans="1:18" x14ac:dyDescent="0.3">
      <c r="A60" s="108" t="s">
        <v>122</v>
      </c>
      <c r="B60" s="35"/>
      <c r="C60" s="35" t="s">
        <v>85</v>
      </c>
      <c r="D60" s="108" t="s">
        <v>199</v>
      </c>
      <c r="E60" s="135"/>
      <c r="F60" s="136">
        <v>9.4999999999999998E-3</v>
      </c>
      <c r="G60" s="137">
        <v>148838.42000000001</v>
      </c>
      <c r="H60" s="44">
        <f>G60</f>
        <v>148838.42000000001</v>
      </c>
      <c r="I60" s="144">
        <f t="shared" si="1"/>
        <v>0</v>
      </c>
      <c r="J60" s="145">
        <f t="shared" si="19"/>
        <v>0</v>
      </c>
      <c r="K60" s="186">
        <f t="shared" si="7"/>
        <v>50918.234900000003</v>
      </c>
      <c r="L60" s="145">
        <f t="shared" si="20"/>
        <v>95000</v>
      </c>
      <c r="M60" s="167">
        <v>0</v>
      </c>
      <c r="N60" s="187">
        <f t="shared" si="9"/>
        <v>145918.42000000001</v>
      </c>
      <c r="O60" s="147">
        <f t="shared" si="10"/>
        <v>154674.42000000001</v>
      </c>
      <c r="P60" s="133">
        <f t="shared" si="11"/>
        <v>0.42000000000000021</v>
      </c>
      <c r="Q60" t="s">
        <v>279</v>
      </c>
    </row>
    <row r="61" spans="1:18" x14ac:dyDescent="0.3">
      <c r="A61" s="108" t="s">
        <v>120</v>
      </c>
      <c r="B61" s="35"/>
      <c r="C61" s="35" t="s">
        <v>86</v>
      </c>
      <c r="D61" s="108" t="s">
        <v>200</v>
      </c>
      <c r="E61" s="135"/>
      <c r="F61" s="136">
        <v>1.6400000000000001E-2</v>
      </c>
      <c r="G61" s="137">
        <v>256942.43</v>
      </c>
      <c r="H61" s="44">
        <f t="shared" ref="H61:H65" si="24">G61</f>
        <v>256942.43</v>
      </c>
      <c r="I61" s="144">
        <f t="shared" si="1"/>
        <v>0</v>
      </c>
      <c r="J61" s="145">
        <f t="shared" si="19"/>
        <v>0</v>
      </c>
      <c r="K61" s="186">
        <f t="shared" si="7"/>
        <v>87900.952880000012</v>
      </c>
      <c r="L61" s="145">
        <f t="shared" si="20"/>
        <v>164000</v>
      </c>
      <c r="M61" s="167">
        <v>0</v>
      </c>
      <c r="N61" s="187">
        <f t="shared" si="9"/>
        <v>251901.43</v>
      </c>
      <c r="O61" s="147">
        <f t="shared" si="10"/>
        <v>267016.43</v>
      </c>
      <c r="P61" s="133">
        <f t="shared" si="11"/>
        <v>0.43000000000000022</v>
      </c>
    </row>
    <row r="62" spans="1:18" x14ac:dyDescent="0.3">
      <c r="A62" s="108" t="s">
        <v>121</v>
      </c>
      <c r="B62" s="35"/>
      <c r="C62" s="35" t="s">
        <v>87</v>
      </c>
      <c r="D62" s="108" t="s">
        <v>200</v>
      </c>
      <c r="E62" s="135"/>
      <c r="F62" s="136">
        <v>7.1999999999999998E-3</v>
      </c>
      <c r="G62" s="137">
        <v>112804.44</v>
      </c>
      <c r="H62" s="44">
        <f t="shared" si="24"/>
        <v>112804.44</v>
      </c>
      <c r="I62" s="144">
        <f t="shared" si="1"/>
        <v>0</v>
      </c>
      <c r="J62" s="145">
        <f t="shared" si="19"/>
        <v>0</v>
      </c>
      <c r="K62" s="186">
        <f t="shared" si="7"/>
        <v>38590.662239999998</v>
      </c>
      <c r="L62" s="145">
        <f t="shared" si="20"/>
        <v>72000</v>
      </c>
      <c r="M62" s="167">
        <v>0</v>
      </c>
      <c r="N62" s="187">
        <f t="shared" si="9"/>
        <v>110591.44</v>
      </c>
      <c r="O62" s="147">
        <f t="shared" si="10"/>
        <v>117227.44</v>
      </c>
      <c r="P62" s="133">
        <f t="shared" si="11"/>
        <v>0.44000000000000022</v>
      </c>
    </row>
    <row r="63" spans="1:18" x14ac:dyDescent="0.3">
      <c r="A63" s="57" t="s">
        <v>120</v>
      </c>
      <c r="B63" s="6"/>
      <c r="C63" s="35" t="s">
        <v>88</v>
      </c>
      <c r="D63" s="108" t="s">
        <v>201</v>
      </c>
      <c r="E63" s="135"/>
      <c r="F63" s="136">
        <v>1.7299999999999999E-2</v>
      </c>
      <c r="G63" s="137">
        <v>271043.45</v>
      </c>
      <c r="H63" s="44">
        <f t="shared" si="24"/>
        <v>271043.45</v>
      </c>
      <c r="I63" s="144">
        <f t="shared" si="1"/>
        <v>0</v>
      </c>
      <c r="J63" s="145">
        <f t="shared" si="19"/>
        <v>0</v>
      </c>
      <c r="K63" s="186">
        <f t="shared" si="7"/>
        <v>92724.785659999994</v>
      </c>
      <c r="L63" s="145">
        <f t="shared" si="20"/>
        <v>173000</v>
      </c>
      <c r="M63" s="167">
        <v>0</v>
      </c>
      <c r="N63" s="187">
        <f t="shared" si="9"/>
        <v>265725.45</v>
      </c>
      <c r="O63" s="147">
        <f t="shared" si="10"/>
        <v>281669.45</v>
      </c>
      <c r="P63" s="133">
        <f t="shared" si="11"/>
        <v>0.45000000000000023</v>
      </c>
    </row>
    <row r="64" spans="1:18" x14ac:dyDescent="0.3">
      <c r="A64" s="57" t="s">
        <v>122</v>
      </c>
      <c r="B64" s="6"/>
      <c r="C64" s="35" t="s">
        <v>89</v>
      </c>
      <c r="D64" s="108" t="s">
        <v>202</v>
      </c>
      <c r="E64" s="135" t="s">
        <v>270</v>
      </c>
      <c r="F64" s="136">
        <v>9.4000000000000004E-3</v>
      </c>
      <c r="G64" s="137">
        <v>329977.46000000002</v>
      </c>
      <c r="H64" s="44">
        <f>136300+193677.46</f>
        <v>329977.45999999996</v>
      </c>
      <c r="I64" s="144">
        <f t="shared" si="1"/>
        <v>0</v>
      </c>
      <c r="J64" s="145">
        <f t="shared" si="19"/>
        <v>0</v>
      </c>
      <c r="K64" s="186">
        <f t="shared" si="7"/>
        <v>50382.253480000007</v>
      </c>
      <c r="L64" s="145">
        <f t="shared" si="20"/>
        <v>94000</v>
      </c>
      <c r="M64" s="167">
        <v>0</v>
      </c>
      <c r="N64" s="187">
        <f t="shared" si="9"/>
        <v>144382.46</v>
      </c>
      <c r="O64" s="147">
        <f t="shared" si="10"/>
        <v>153045.46</v>
      </c>
      <c r="P64" s="172">
        <f t="shared" si="11"/>
        <v>0.46000000000000024</v>
      </c>
    </row>
    <row r="65" spans="1:19" x14ac:dyDescent="0.3">
      <c r="A65" s="57" t="s">
        <v>122</v>
      </c>
      <c r="B65" s="6"/>
      <c r="C65" s="35" t="s">
        <v>90</v>
      </c>
      <c r="D65" s="108" t="s">
        <v>181</v>
      </c>
      <c r="E65" s="135"/>
      <c r="F65" s="136">
        <v>8.6999999999999994E-3</v>
      </c>
      <c r="G65" s="137">
        <v>136305.47</v>
      </c>
      <c r="H65" s="44">
        <f t="shared" si="24"/>
        <v>136305.47</v>
      </c>
      <c r="I65" s="144">
        <f t="shared" si="1"/>
        <v>0</v>
      </c>
      <c r="J65" s="145">
        <f t="shared" si="19"/>
        <v>0</v>
      </c>
      <c r="K65" s="186">
        <f t="shared" si="7"/>
        <v>46630.383539999995</v>
      </c>
      <c r="L65" s="145">
        <f t="shared" si="20"/>
        <v>87000</v>
      </c>
      <c r="M65" s="167">
        <v>0</v>
      </c>
      <c r="N65" s="187">
        <f t="shared" si="9"/>
        <v>133630.47</v>
      </c>
      <c r="O65" s="147">
        <f t="shared" si="10"/>
        <v>141648.47</v>
      </c>
      <c r="P65" s="172">
        <f t="shared" si="11"/>
        <v>0.47000000000000025</v>
      </c>
    </row>
    <row r="66" spans="1:19" x14ac:dyDescent="0.3">
      <c r="A66" s="57" t="s">
        <v>122</v>
      </c>
      <c r="B66" s="6"/>
      <c r="C66" s="35" t="s">
        <v>91</v>
      </c>
      <c r="D66" s="108" t="s">
        <v>203</v>
      </c>
      <c r="E66" s="135"/>
      <c r="F66" s="136">
        <v>9.4999999999999998E-3</v>
      </c>
      <c r="G66" s="137">
        <v>167838.48</v>
      </c>
      <c r="H66" s="44">
        <f>G66</f>
        <v>167838.48</v>
      </c>
      <c r="I66" s="144">
        <f t="shared" si="1"/>
        <v>0</v>
      </c>
      <c r="J66" s="145">
        <f t="shared" si="19"/>
        <v>0</v>
      </c>
      <c r="K66" s="186">
        <f t="shared" si="7"/>
        <v>50918.234900000003</v>
      </c>
      <c r="L66" s="145">
        <f t="shared" si="20"/>
        <v>95000</v>
      </c>
      <c r="M66" s="167">
        <v>0</v>
      </c>
      <c r="N66" s="187">
        <f t="shared" si="9"/>
        <v>145918.48000000001</v>
      </c>
      <c r="O66" s="147">
        <f t="shared" si="10"/>
        <v>154674.48000000001</v>
      </c>
      <c r="P66" s="172">
        <f t="shared" si="11"/>
        <v>0.48000000000000026</v>
      </c>
      <c r="S66" s="181"/>
    </row>
    <row r="67" spans="1:19" x14ac:dyDescent="0.3">
      <c r="A67" s="57" t="s">
        <v>120</v>
      </c>
      <c r="B67" s="6"/>
      <c r="C67" s="35" t="s">
        <v>92</v>
      </c>
      <c r="D67" s="108" t="s">
        <v>204</v>
      </c>
      <c r="E67" s="135"/>
      <c r="F67" s="136">
        <v>1.6400000000000001E-2</v>
      </c>
      <c r="G67" s="137">
        <v>256942.49</v>
      </c>
      <c r="H67" s="44">
        <f t="shared" ref="H67" si="25">G67</f>
        <v>256942.49</v>
      </c>
      <c r="I67" s="144">
        <f t="shared" si="1"/>
        <v>0</v>
      </c>
      <c r="J67" s="145">
        <f t="shared" si="19"/>
        <v>0</v>
      </c>
      <c r="K67" s="186">
        <f t="shared" si="7"/>
        <v>87900.952880000012</v>
      </c>
      <c r="L67" s="145">
        <f t="shared" si="20"/>
        <v>164000</v>
      </c>
      <c r="M67" s="167">
        <v>0</v>
      </c>
      <c r="N67" s="187">
        <f t="shared" si="9"/>
        <v>251901.49</v>
      </c>
      <c r="O67" s="147">
        <f t="shared" si="10"/>
        <v>267016.49</v>
      </c>
      <c r="P67" s="133">
        <f t="shared" si="11"/>
        <v>0.49000000000000027</v>
      </c>
      <c r="S67" s="43"/>
    </row>
    <row r="68" spans="1:19" x14ac:dyDescent="0.3">
      <c r="A68" s="139" t="s">
        <v>121</v>
      </c>
      <c r="B68" s="138"/>
      <c r="C68" s="35" t="s">
        <v>93</v>
      </c>
      <c r="D68" s="108" t="s">
        <v>205</v>
      </c>
      <c r="E68" s="135"/>
      <c r="F68" s="136">
        <v>7.1999999999999998E-3</v>
      </c>
      <c r="G68" s="137">
        <v>709609.5</v>
      </c>
      <c r="H68" s="44">
        <f>G68</f>
        <v>709609.5</v>
      </c>
      <c r="I68" s="144">
        <f t="shared" si="1"/>
        <v>0</v>
      </c>
      <c r="J68" s="145">
        <f t="shared" si="19"/>
        <v>0</v>
      </c>
      <c r="K68" s="186">
        <f t="shared" si="7"/>
        <v>38590.662239999998</v>
      </c>
      <c r="L68" s="145">
        <f t="shared" si="20"/>
        <v>72000</v>
      </c>
      <c r="M68" s="167">
        <v>0</v>
      </c>
      <c r="N68" s="187">
        <f t="shared" si="9"/>
        <v>110591.5</v>
      </c>
      <c r="O68" s="147">
        <f t="shared" si="10"/>
        <v>117227.5</v>
      </c>
      <c r="P68" s="133">
        <f t="shared" si="11"/>
        <v>0.50000000000000022</v>
      </c>
    </row>
    <row r="69" spans="1:19" x14ac:dyDescent="0.3">
      <c r="A69" s="57" t="s">
        <v>120</v>
      </c>
      <c r="B69" s="6"/>
      <c r="C69" s="35" t="s">
        <v>94</v>
      </c>
      <c r="D69" s="108" t="s">
        <v>206</v>
      </c>
      <c r="E69" s="135"/>
      <c r="F69" s="136">
        <v>1.7299999999999999E-2</v>
      </c>
      <c r="G69" s="137">
        <v>271043.51</v>
      </c>
      <c r="H69" s="44">
        <f t="shared" ref="H69" si="26">G69</f>
        <v>271043.51</v>
      </c>
      <c r="I69" s="144">
        <f t="shared" si="1"/>
        <v>0</v>
      </c>
      <c r="J69" s="145">
        <f t="shared" si="19"/>
        <v>0</v>
      </c>
      <c r="K69" s="186">
        <f t="shared" si="7"/>
        <v>92724.785659999994</v>
      </c>
      <c r="L69" s="145">
        <f t="shared" si="20"/>
        <v>173000</v>
      </c>
      <c r="M69" s="167">
        <v>0</v>
      </c>
      <c r="N69" s="187">
        <f t="shared" si="9"/>
        <v>265725.51</v>
      </c>
      <c r="O69" s="147">
        <f t="shared" si="10"/>
        <v>281669.51</v>
      </c>
      <c r="P69" s="133">
        <f t="shared" si="11"/>
        <v>0.51000000000000023</v>
      </c>
    </row>
    <row r="70" spans="1:19" x14ac:dyDescent="0.3">
      <c r="A70" s="57" t="s">
        <v>122</v>
      </c>
      <c r="B70" s="6"/>
      <c r="C70" s="35" t="s">
        <v>95</v>
      </c>
      <c r="D70" s="108" t="s">
        <v>207</v>
      </c>
      <c r="E70" s="135"/>
      <c r="F70" s="136">
        <v>9.4000000000000004E-3</v>
      </c>
      <c r="G70" s="137">
        <v>156109.51999999999</v>
      </c>
      <c r="H70" s="44">
        <f>G70</f>
        <v>156109.51999999999</v>
      </c>
      <c r="I70" s="144">
        <f t="shared" si="1"/>
        <v>0</v>
      </c>
      <c r="J70" s="145">
        <f t="shared" si="19"/>
        <v>0</v>
      </c>
      <c r="K70" s="186">
        <f t="shared" si="7"/>
        <v>50382.253480000007</v>
      </c>
      <c r="L70" s="145">
        <f t="shared" si="20"/>
        <v>94000</v>
      </c>
      <c r="M70" s="167">
        <v>0</v>
      </c>
      <c r="N70" s="187">
        <f t="shared" si="9"/>
        <v>144382.51999999999</v>
      </c>
      <c r="O70" s="147">
        <f t="shared" si="10"/>
        <v>153045.51999999999</v>
      </c>
      <c r="P70" s="133">
        <f t="shared" si="11"/>
        <v>0.52000000000000024</v>
      </c>
    </row>
    <row r="71" spans="1:19" x14ac:dyDescent="0.3">
      <c r="A71" s="57" t="s">
        <v>122</v>
      </c>
      <c r="B71" s="6"/>
      <c r="C71" s="35" t="s">
        <v>96</v>
      </c>
      <c r="D71" s="108" t="s">
        <v>119</v>
      </c>
      <c r="E71" s="135"/>
      <c r="F71" s="136">
        <v>8.6999999999999994E-3</v>
      </c>
      <c r="G71" s="137">
        <v>156305.53</v>
      </c>
      <c r="H71" s="44">
        <f t="shared" ref="H71:H73" si="27">G71</f>
        <v>156305.53</v>
      </c>
      <c r="I71" s="144">
        <f t="shared" si="1"/>
        <v>0</v>
      </c>
      <c r="J71" s="145">
        <f t="shared" si="19"/>
        <v>0</v>
      </c>
      <c r="K71" s="186">
        <f t="shared" si="7"/>
        <v>46630.383539999995</v>
      </c>
      <c r="L71" s="145">
        <f t="shared" si="20"/>
        <v>87000</v>
      </c>
      <c r="M71" s="167">
        <v>0</v>
      </c>
      <c r="N71" s="187">
        <f t="shared" si="9"/>
        <v>133630.53</v>
      </c>
      <c r="O71" s="147">
        <f t="shared" si="10"/>
        <v>141648.53</v>
      </c>
      <c r="P71" s="133">
        <f t="shared" si="11"/>
        <v>0.53000000000000025</v>
      </c>
      <c r="R71" t="s">
        <v>256</v>
      </c>
    </row>
    <row r="72" spans="1:19" x14ac:dyDescent="0.3">
      <c r="A72" s="57" t="s">
        <v>122</v>
      </c>
      <c r="B72" s="6"/>
      <c r="C72" s="35" t="s">
        <v>97</v>
      </c>
      <c r="D72" s="108" t="s">
        <v>208</v>
      </c>
      <c r="E72" s="135"/>
      <c r="F72" s="136">
        <v>9.4999999999999998E-3</v>
      </c>
      <c r="G72" s="137">
        <v>148838.54</v>
      </c>
      <c r="H72" s="44">
        <f t="shared" si="27"/>
        <v>148838.54</v>
      </c>
      <c r="I72" s="144">
        <f t="shared" si="1"/>
        <v>0</v>
      </c>
      <c r="J72" s="145">
        <f t="shared" si="19"/>
        <v>0</v>
      </c>
      <c r="K72" s="186">
        <f t="shared" si="7"/>
        <v>50918.234900000003</v>
      </c>
      <c r="L72" s="145">
        <f t="shared" si="20"/>
        <v>95000</v>
      </c>
      <c r="M72" s="167">
        <v>0</v>
      </c>
      <c r="N72" s="187">
        <f t="shared" si="9"/>
        <v>145918.54</v>
      </c>
      <c r="O72" s="147">
        <f t="shared" si="10"/>
        <v>154674.54</v>
      </c>
      <c r="P72" s="133">
        <f t="shared" si="11"/>
        <v>0.54000000000000026</v>
      </c>
    </row>
    <row r="73" spans="1:19" x14ac:dyDescent="0.3">
      <c r="A73" s="57" t="s">
        <v>123</v>
      </c>
      <c r="B73" s="6"/>
      <c r="C73" s="35" t="s">
        <v>98</v>
      </c>
      <c r="D73" s="108" t="s">
        <v>209</v>
      </c>
      <c r="E73" s="135"/>
      <c r="F73" s="136">
        <v>2.35E-2</v>
      </c>
      <c r="G73" s="137">
        <v>368179.55</v>
      </c>
      <c r="H73" s="44">
        <f t="shared" si="27"/>
        <v>368179.55</v>
      </c>
      <c r="I73" s="144">
        <f t="shared" si="1"/>
        <v>0</v>
      </c>
      <c r="J73" s="145">
        <f t="shared" si="19"/>
        <v>0</v>
      </c>
      <c r="K73" s="186">
        <f t="shared" si="7"/>
        <v>125955.63370000001</v>
      </c>
      <c r="L73" s="145">
        <f t="shared" si="20"/>
        <v>235000</v>
      </c>
      <c r="M73" s="167">
        <v>0</v>
      </c>
      <c r="N73" s="187">
        <f t="shared" si="9"/>
        <v>360956.55</v>
      </c>
      <c r="O73" s="147">
        <f t="shared" si="10"/>
        <v>382614.55</v>
      </c>
      <c r="P73" s="133">
        <f t="shared" si="11"/>
        <v>0.55000000000000027</v>
      </c>
      <c r="Q73" s="73"/>
    </row>
    <row r="74" spans="1:19" x14ac:dyDescent="0.3">
      <c r="A74" s="57" t="s">
        <v>120</v>
      </c>
      <c r="B74" s="6"/>
      <c r="C74" s="35" t="s">
        <v>99</v>
      </c>
      <c r="D74" s="108" t="s">
        <v>210</v>
      </c>
      <c r="E74" s="135"/>
      <c r="F74" s="136">
        <v>1.7299999999999999E-2</v>
      </c>
      <c r="G74" s="137">
        <v>271043.56</v>
      </c>
      <c r="H74" s="44">
        <f>G74</f>
        <v>271043.56</v>
      </c>
      <c r="I74" s="144">
        <f t="shared" si="1"/>
        <v>0</v>
      </c>
      <c r="J74" s="145">
        <f t="shared" si="19"/>
        <v>0</v>
      </c>
      <c r="K74" s="186">
        <f t="shared" si="7"/>
        <v>92724.785659999994</v>
      </c>
      <c r="L74" s="145">
        <f t="shared" si="20"/>
        <v>173000</v>
      </c>
      <c r="M74" s="167">
        <v>0</v>
      </c>
      <c r="N74" s="187">
        <f t="shared" si="9"/>
        <v>265725.56</v>
      </c>
      <c r="O74" s="147">
        <f t="shared" si="10"/>
        <v>281669.56</v>
      </c>
      <c r="P74" s="133">
        <f t="shared" si="11"/>
        <v>0.56000000000000028</v>
      </c>
    </row>
    <row r="75" spans="1:19" x14ac:dyDescent="0.3">
      <c r="A75" s="57" t="s">
        <v>122</v>
      </c>
      <c r="B75" s="6"/>
      <c r="C75" s="35" t="s">
        <v>100</v>
      </c>
      <c r="D75" s="108" t="s">
        <v>254</v>
      </c>
      <c r="E75" s="135"/>
      <c r="F75" s="136">
        <v>9.4000000000000004E-3</v>
      </c>
      <c r="G75" s="137">
        <v>147272.57</v>
      </c>
      <c r="H75" s="44">
        <v>147272.57</v>
      </c>
      <c r="I75" s="144">
        <f t="shared" si="1"/>
        <v>0</v>
      </c>
      <c r="J75" s="145">
        <f t="shared" si="19"/>
        <v>0</v>
      </c>
      <c r="K75" s="186">
        <f t="shared" si="7"/>
        <v>50382.253480000007</v>
      </c>
      <c r="L75" s="145">
        <f t="shared" si="20"/>
        <v>94000</v>
      </c>
      <c r="M75" s="167">
        <v>0</v>
      </c>
      <c r="N75" s="187">
        <f t="shared" si="9"/>
        <v>144382.57</v>
      </c>
      <c r="O75" s="147">
        <f t="shared" si="10"/>
        <v>153046.57</v>
      </c>
      <c r="P75" s="133">
        <f t="shared" si="11"/>
        <v>0.57000000000000028</v>
      </c>
    </row>
    <row r="76" spans="1:19" x14ac:dyDescent="0.3">
      <c r="A76" s="57" t="s">
        <v>122</v>
      </c>
      <c r="B76" s="6"/>
      <c r="C76" s="35" t="s">
        <v>101</v>
      </c>
      <c r="D76" s="108" t="s">
        <v>211</v>
      </c>
      <c r="E76" s="135" t="s">
        <v>286</v>
      </c>
      <c r="F76" s="136">
        <v>8.6999999999999994E-3</v>
      </c>
      <c r="G76" s="137">
        <v>272610.58</v>
      </c>
      <c r="H76" s="44"/>
      <c r="I76" s="144">
        <f t="shared" si="1"/>
        <v>272610.58</v>
      </c>
      <c r="J76" s="145">
        <f t="shared" si="19"/>
        <v>0</v>
      </c>
      <c r="K76" s="186">
        <f t="shared" si="7"/>
        <v>46630.383539999995</v>
      </c>
      <c r="L76" s="145">
        <f t="shared" si="20"/>
        <v>87000</v>
      </c>
      <c r="M76" s="167">
        <v>0</v>
      </c>
      <c r="N76" s="187">
        <f t="shared" si="9"/>
        <v>406241.58</v>
      </c>
      <c r="O76" s="147">
        <f t="shared" si="10"/>
        <v>430616.58</v>
      </c>
      <c r="P76" s="133">
        <f t="shared" si="11"/>
        <v>0.58000000000000029</v>
      </c>
    </row>
    <row r="77" spans="1:19" x14ac:dyDescent="0.3">
      <c r="A77" s="57" t="s">
        <v>122</v>
      </c>
      <c r="B77" s="6"/>
      <c r="C77" s="35" t="s">
        <v>102</v>
      </c>
      <c r="D77" s="108" t="s">
        <v>212</v>
      </c>
      <c r="E77" s="135"/>
      <c r="F77" s="136">
        <v>9.4999999999999998E-3</v>
      </c>
      <c r="G77" s="137">
        <v>157769.59</v>
      </c>
      <c r="H77" s="44">
        <f>G77</f>
        <v>157769.59</v>
      </c>
      <c r="I77" s="144">
        <f t="shared" si="1"/>
        <v>0</v>
      </c>
      <c r="J77" s="145">
        <f t="shared" si="19"/>
        <v>0</v>
      </c>
      <c r="K77" s="186">
        <f t="shared" si="7"/>
        <v>50918.234900000003</v>
      </c>
      <c r="L77" s="145">
        <f t="shared" si="20"/>
        <v>95000</v>
      </c>
      <c r="M77" s="167">
        <v>0</v>
      </c>
      <c r="N77" s="187">
        <f t="shared" si="9"/>
        <v>145918.59</v>
      </c>
      <c r="O77" s="147">
        <f t="shared" si="10"/>
        <v>154674.59</v>
      </c>
      <c r="P77" s="133">
        <f t="shared" si="11"/>
        <v>0.5900000000000003</v>
      </c>
    </row>
    <row r="78" spans="1:19" x14ac:dyDescent="0.3">
      <c r="A78" s="57" t="s">
        <v>123</v>
      </c>
      <c r="B78" s="6"/>
      <c r="C78" s="35" t="s">
        <v>103</v>
      </c>
      <c r="D78" s="108" t="s">
        <v>213</v>
      </c>
      <c r="E78" s="135"/>
      <c r="F78" s="136">
        <v>2.35E-2</v>
      </c>
      <c r="G78" s="137">
        <v>368179.6</v>
      </c>
      <c r="H78" s="44">
        <f>G78</f>
        <v>368179.6</v>
      </c>
      <c r="I78" s="144">
        <f t="shared" si="1"/>
        <v>0</v>
      </c>
      <c r="J78" s="145">
        <f t="shared" si="19"/>
        <v>0</v>
      </c>
      <c r="K78" s="186">
        <f t="shared" si="7"/>
        <v>125955.63370000001</v>
      </c>
      <c r="L78" s="145">
        <f t="shared" si="20"/>
        <v>235000</v>
      </c>
      <c r="M78" s="167">
        <v>0</v>
      </c>
      <c r="N78" s="187">
        <f t="shared" si="9"/>
        <v>360956.6</v>
      </c>
      <c r="O78" s="147">
        <f t="shared" si="10"/>
        <v>382614.6</v>
      </c>
      <c r="P78" s="133">
        <f t="shared" si="11"/>
        <v>0.60000000000000031</v>
      </c>
    </row>
    <row r="79" spans="1:19" x14ac:dyDescent="0.3">
      <c r="A79" s="57" t="s">
        <v>120</v>
      </c>
      <c r="B79" s="6"/>
      <c r="C79" s="35" t="s">
        <v>104</v>
      </c>
      <c r="D79" s="108" t="s">
        <v>214</v>
      </c>
      <c r="E79" s="135"/>
      <c r="F79" s="136">
        <v>1.7299999999999999E-2</v>
      </c>
      <c r="G79" s="137">
        <v>271043.61</v>
      </c>
      <c r="H79" s="44">
        <f t="shared" ref="H79" si="28">G79</f>
        <v>271043.61</v>
      </c>
      <c r="I79" s="144">
        <f t="shared" si="1"/>
        <v>0</v>
      </c>
      <c r="J79" s="145">
        <f t="shared" si="19"/>
        <v>0</v>
      </c>
      <c r="K79" s="186">
        <f t="shared" si="7"/>
        <v>92724.785659999994</v>
      </c>
      <c r="L79" s="145">
        <f t="shared" si="20"/>
        <v>173000</v>
      </c>
      <c r="M79" s="167">
        <v>0</v>
      </c>
      <c r="N79" s="187">
        <f t="shared" si="9"/>
        <v>265725.61</v>
      </c>
      <c r="O79" s="147">
        <f t="shared" si="10"/>
        <v>281669.61</v>
      </c>
      <c r="P79" s="133">
        <f t="shared" si="11"/>
        <v>0.61000000000000032</v>
      </c>
    </row>
    <row r="80" spans="1:19" x14ac:dyDescent="0.3">
      <c r="A80" s="57" t="s">
        <v>122</v>
      </c>
      <c r="B80" s="6"/>
      <c r="C80" s="35" t="s">
        <v>105</v>
      </c>
      <c r="D80" s="108" t="s">
        <v>215</v>
      </c>
      <c r="E80" s="135"/>
      <c r="F80" s="136">
        <v>9.4000000000000004E-3</v>
      </c>
      <c r="G80" s="137">
        <v>555644.62</v>
      </c>
      <c r="H80" s="44">
        <f>147272.62</f>
        <v>147272.62</v>
      </c>
      <c r="I80" s="144">
        <f t="shared" si="1"/>
        <v>408372</v>
      </c>
      <c r="J80" s="145">
        <f t="shared" si="19"/>
        <v>0</v>
      </c>
      <c r="K80" s="186">
        <f t="shared" si="7"/>
        <v>50382.253480000007</v>
      </c>
      <c r="L80" s="145">
        <f t="shared" si="20"/>
        <v>94000</v>
      </c>
      <c r="M80" s="167">
        <v>0</v>
      </c>
      <c r="N80" s="187">
        <f t="shared" si="9"/>
        <v>552754.62</v>
      </c>
      <c r="O80" s="147">
        <f t="shared" si="10"/>
        <v>585920.62</v>
      </c>
      <c r="P80" s="133">
        <f t="shared" si="11"/>
        <v>0.62000000000000033</v>
      </c>
    </row>
    <row r="81" spans="1:17" x14ac:dyDescent="0.3">
      <c r="A81" s="57" t="s">
        <v>122</v>
      </c>
      <c r="B81" s="6"/>
      <c r="C81" s="194" t="s">
        <v>106</v>
      </c>
      <c r="D81" s="195" t="s">
        <v>216</v>
      </c>
      <c r="E81" s="196" t="s">
        <v>271</v>
      </c>
      <c r="F81" s="197">
        <v>8.6999999999999994E-3</v>
      </c>
      <c r="G81" s="198">
        <v>156305.63</v>
      </c>
      <c r="H81" s="240">
        <f t="shared" ref="H81:H82" si="29">G81</f>
        <v>156305.63</v>
      </c>
      <c r="I81" s="199">
        <f t="shared" si="1"/>
        <v>0</v>
      </c>
      <c r="J81" s="200">
        <f t="shared" si="19"/>
        <v>0</v>
      </c>
      <c r="K81" s="236">
        <f t="shared" si="7"/>
        <v>46630.383539999995</v>
      </c>
      <c r="L81" s="200">
        <f t="shared" si="20"/>
        <v>87000</v>
      </c>
      <c r="M81" s="201">
        <v>0</v>
      </c>
      <c r="N81" s="237">
        <f t="shared" si="9"/>
        <v>133630.63</v>
      </c>
      <c r="O81" s="202">
        <f t="shared" si="10"/>
        <v>141648.63</v>
      </c>
      <c r="P81" s="133">
        <f t="shared" si="11"/>
        <v>0.63000000000000034</v>
      </c>
    </row>
    <row r="82" spans="1:17" x14ac:dyDescent="0.3">
      <c r="A82" s="57" t="s">
        <v>122</v>
      </c>
      <c r="B82" s="6"/>
      <c r="C82" s="35" t="s">
        <v>107</v>
      </c>
      <c r="D82" s="108" t="s">
        <v>217</v>
      </c>
      <c r="E82" s="135"/>
      <c r="F82" s="136">
        <v>9.4999999999999998E-3</v>
      </c>
      <c r="G82" s="137">
        <v>148838.64000000001</v>
      </c>
      <c r="H82" s="44">
        <f t="shared" si="29"/>
        <v>148838.64000000001</v>
      </c>
      <c r="I82" s="144">
        <f t="shared" si="1"/>
        <v>0</v>
      </c>
      <c r="J82" s="145">
        <f t="shared" si="19"/>
        <v>0</v>
      </c>
      <c r="K82" s="186">
        <f t="shared" si="7"/>
        <v>50918.234900000003</v>
      </c>
      <c r="L82" s="145">
        <f t="shared" si="20"/>
        <v>95000</v>
      </c>
      <c r="M82" s="167">
        <v>0</v>
      </c>
      <c r="N82" s="187">
        <f t="shared" si="9"/>
        <v>145918.64000000001</v>
      </c>
      <c r="O82" s="147">
        <f t="shared" si="10"/>
        <v>154674.64000000001</v>
      </c>
      <c r="P82" s="133">
        <f t="shared" si="11"/>
        <v>0.64000000000000035</v>
      </c>
      <c r="Q82" t="s">
        <v>280</v>
      </c>
    </row>
    <row r="83" spans="1:17" x14ac:dyDescent="0.3">
      <c r="A83" s="57" t="s">
        <v>123</v>
      </c>
      <c r="B83" s="6"/>
      <c r="C83" s="35" t="s">
        <v>108</v>
      </c>
      <c r="D83" s="108" t="s">
        <v>281</v>
      </c>
      <c r="E83" s="135"/>
      <c r="F83" s="136">
        <v>2.35E-2</v>
      </c>
      <c r="G83" s="137">
        <v>368179.65</v>
      </c>
      <c r="H83" s="44">
        <f t="shared" ref="H83:H96" si="30">G83</f>
        <v>368179.65</v>
      </c>
      <c r="I83" s="144">
        <f t="shared" si="1"/>
        <v>0</v>
      </c>
      <c r="J83" s="145">
        <f t="shared" ref="J83:J114" si="31">N$8*F83</f>
        <v>0</v>
      </c>
      <c r="K83" s="186">
        <f t="shared" si="7"/>
        <v>125955.63370000001</v>
      </c>
      <c r="L83" s="145">
        <f t="shared" ref="L83:L114" si="32">N$2*F83</f>
        <v>235000</v>
      </c>
      <c r="M83" s="167">
        <v>0</v>
      </c>
      <c r="N83" s="187">
        <f t="shared" si="9"/>
        <v>360956.65</v>
      </c>
      <c r="O83" s="147">
        <f t="shared" si="10"/>
        <v>382614.65</v>
      </c>
      <c r="P83" s="133">
        <f t="shared" si="11"/>
        <v>0.65000000000000036</v>
      </c>
    </row>
    <row r="84" spans="1:17" x14ac:dyDescent="0.3">
      <c r="A84" s="57" t="s">
        <v>120</v>
      </c>
      <c r="B84" s="6"/>
      <c r="C84" s="35" t="s">
        <v>109</v>
      </c>
      <c r="D84" s="108" t="s">
        <v>218</v>
      </c>
      <c r="E84" s="135"/>
      <c r="F84" s="136">
        <v>1.7299999999999999E-2</v>
      </c>
      <c r="G84" s="137">
        <v>271043.65999999997</v>
      </c>
      <c r="H84" s="44">
        <f t="shared" si="30"/>
        <v>271043.65999999997</v>
      </c>
      <c r="I84" s="144">
        <f t="shared" si="1"/>
        <v>0</v>
      </c>
      <c r="J84" s="145">
        <f t="shared" si="31"/>
        <v>0</v>
      </c>
      <c r="K84" s="186">
        <f t="shared" ref="K84:K131" si="33">N$3*F84</f>
        <v>92724.785659999994</v>
      </c>
      <c r="L84" s="145">
        <f t="shared" si="32"/>
        <v>173000</v>
      </c>
      <c r="M84" s="167">
        <v>0</v>
      </c>
      <c r="N84" s="187">
        <f t="shared" ref="N84:N131" si="34">ROUND((L84+J84+I84+K84+M84),0) + P84</f>
        <v>265725.65999999997</v>
      </c>
      <c r="O84" s="147">
        <f t="shared" ref="O84:O131" si="35">ROUND((N84*6% + N84 ),0) + P84</f>
        <v>281669.65999999997</v>
      </c>
      <c r="P84" s="133">
        <f t="shared" si="11"/>
        <v>0.66000000000000036</v>
      </c>
    </row>
    <row r="85" spans="1:17" x14ac:dyDescent="0.3">
      <c r="A85" s="57" t="s">
        <v>122</v>
      </c>
      <c r="B85" s="6"/>
      <c r="C85" s="35" t="s">
        <v>110</v>
      </c>
      <c r="D85" s="108" t="s">
        <v>219</v>
      </c>
      <c r="E85" s="135"/>
      <c r="F85" s="136">
        <v>9.4000000000000004E-3</v>
      </c>
      <c r="G85" s="137">
        <v>147272.67000000001</v>
      </c>
      <c r="H85" s="44">
        <f t="shared" si="30"/>
        <v>147272.67000000001</v>
      </c>
      <c r="I85" s="144">
        <f t="shared" si="1"/>
        <v>0</v>
      </c>
      <c r="J85" s="145">
        <f t="shared" si="31"/>
        <v>0</v>
      </c>
      <c r="K85" s="186">
        <f t="shared" si="33"/>
        <v>50382.253480000007</v>
      </c>
      <c r="L85" s="145">
        <f t="shared" si="32"/>
        <v>94000</v>
      </c>
      <c r="M85" s="167">
        <v>0</v>
      </c>
      <c r="N85" s="187">
        <f t="shared" si="34"/>
        <v>144382.67000000001</v>
      </c>
      <c r="O85" s="147">
        <f t="shared" si="35"/>
        <v>153046.67000000001</v>
      </c>
      <c r="P85" s="133">
        <f t="shared" ref="P85:P131" si="36">P84+0.01</f>
        <v>0.67000000000000037</v>
      </c>
    </row>
    <row r="86" spans="1:17" x14ac:dyDescent="0.3">
      <c r="A86" s="57" t="s">
        <v>122</v>
      </c>
      <c r="B86" s="6"/>
      <c r="C86" s="35" t="s">
        <v>111</v>
      </c>
      <c r="D86" s="108" t="s">
        <v>220</v>
      </c>
      <c r="E86" s="135"/>
      <c r="F86" s="136">
        <v>8.6999999999999994E-3</v>
      </c>
      <c r="G86" s="137">
        <v>136305.68</v>
      </c>
      <c r="H86" s="44">
        <f>G86</f>
        <v>136305.68</v>
      </c>
      <c r="I86" s="144">
        <f t="shared" si="1"/>
        <v>0</v>
      </c>
      <c r="J86" s="145">
        <f t="shared" si="31"/>
        <v>0</v>
      </c>
      <c r="K86" s="186">
        <f t="shared" si="33"/>
        <v>46630.383539999995</v>
      </c>
      <c r="L86" s="145">
        <f t="shared" si="32"/>
        <v>87000</v>
      </c>
      <c r="M86" s="167">
        <v>0</v>
      </c>
      <c r="N86" s="187">
        <f t="shared" si="34"/>
        <v>133630.68</v>
      </c>
      <c r="O86" s="147">
        <f t="shared" si="35"/>
        <v>141649.68</v>
      </c>
      <c r="P86" s="133">
        <f t="shared" si="36"/>
        <v>0.68000000000000038</v>
      </c>
    </row>
    <row r="87" spans="1:17" x14ac:dyDescent="0.3">
      <c r="A87" s="108" t="s">
        <v>122</v>
      </c>
      <c r="B87" s="35"/>
      <c r="C87" s="35" t="s">
        <v>112</v>
      </c>
      <c r="D87" s="108" t="s">
        <v>221</v>
      </c>
      <c r="E87" s="135"/>
      <c r="F87" s="136">
        <v>9.4999999999999998E-3</v>
      </c>
      <c r="G87" s="137">
        <v>148838.69</v>
      </c>
      <c r="H87" s="44">
        <f>G87</f>
        <v>148838.69</v>
      </c>
      <c r="I87" s="144">
        <f t="shared" si="1"/>
        <v>0</v>
      </c>
      <c r="J87" s="145">
        <f t="shared" si="31"/>
        <v>0</v>
      </c>
      <c r="K87" s="186">
        <f t="shared" si="33"/>
        <v>50918.234900000003</v>
      </c>
      <c r="L87" s="145">
        <f t="shared" si="32"/>
        <v>95000</v>
      </c>
      <c r="M87" s="167">
        <v>0</v>
      </c>
      <c r="N87" s="187">
        <f t="shared" si="34"/>
        <v>145918.69</v>
      </c>
      <c r="O87" s="147">
        <f t="shared" si="35"/>
        <v>154674.69</v>
      </c>
      <c r="P87" s="133">
        <f t="shared" si="36"/>
        <v>0.69000000000000039</v>
      </c>
    </row>
    <row r="88" spans="1:17" x14ac:dyDescent="0.3">
      <c r="A88" s="108"/>
      <c r="B88" s="35"/>
      <c r="C88" s="35" t="s">
        <v>124</v>
      </c>
      <c r="D88" s="108" t="s">
        <v>185</v>
      </c>
      <c r="E88" s="108"/>
      <c r="F88" s="143">
        <v>2.3E-3</v>
      </c>
      <c r="G88" s="137">
        <v>36035.699999999997</v>
      </c>
      <c r="H88" s="44">
        <f t="shared" ref="H88" si="37">G88</f>
        <v>36035.699999999997</v>
      </c>
      <c r="I88" s="144">
        <f t="shared" si="1"/>
        <v>0</v>
      </c>
      <c r="J88" s="145">
        <f t="shared" si="31"/>
        <v>0</v>
      </c>
      <c r="K88" s="186">
        <f t="shared" si="33"/>
        <v>12327.57266</v>
      </c>
      <c r="L88" s="145">
        <f t="shared" si="32"/>
        <v>23000</v>
      </c>
      <c r="M88" s="167">
        <v>0</v>
      </c>
      <c r="N88" s="187">
        <f t="shared" si="34"/>
        <v>35328.699999999997</v>
      </c>
      <c r="O88" s="147">
        <f t="shared" si="35"/>
        <v>37448.699999999997</v>
      </c>
      <c r="P88" s="133">
        <f t="shared" si="36"/>
        <v>0.7000000000000004</v>
      </c>
    </row>
    <row r="89" spans="1:17" x14ac:dyDescent="0.3">
      <c r="A89" s="108"/>
      <c r="B89" s="35"/>
      <c r="C89" s="35" t="s">
        <v>125</v>
      </c>
      <c r="D89" s="108" t="s">
        <v>119</v>
      </c>
      <c r="E89" s="108"/>
      <c r="F89" s="143">
        <v>2.3E-3</v>
      </c>
      <c r="G89" s="137">
        <v>36035.71</v>
      </c>
      <c r="H89" s="44">
        <f t="shared" si="30"/>
        <v>36035.71</v>
      </c>
      <c r="I89" s="144">
        <f t="shared" si="1"/>
        <v>0</v>
      </c>
      <c r="J89" s="145">
        <f t="shared" si="31"/>
        <v>0</v>
      </c>
      <c r="K89" s="186">
        <f t="shared" si="33"/>
        <v>12327.57266</v>
      </c>
      <c r="L89" s="145">
        <f t="shared" si="32"/>
        <v>23000</v>
      </c>
      <c r="M89" s="167">
        <v>0</v>
      </c>
      <c r="N89" s="187">
        <f t="shared" si="34"/>
        <v>35328.71</v>
      </c>
      <c r="O89" s="147">
        <f t="shared" si="35"/>
        <v>37448.71</v>
      </c>
      <c r="P89" s="133">
        <f t="shared" si="36"/>
        <v>0.71000000000000041</v>
      </c>
    </row>
    <row r="90" spans="1:17" x14ac:dyDescent="0.3">
      <c r="A90" s="108"/>
      <c r="B90" s="35"/>
      <c r="C90" s="35" t="s">
        <v>126</v>
      </c>
      <c r="D90" s="108" t="s">
        <v>193</v>
      </c>
      <c r="E90" s="108"/>
      <c r="F90" s="143">
        <v>2.3E-3</v>
      </c>
      <c r="G90" s="137">
        <v>36035.72</v>
      </c>
      <c r="H90" s="44">
        <f t="shared" si="30"/>
        <v>36035.72</v>
      </c>
      <c r="I90" s="144">
        <f t="shared" si="1"/>
        <v>0</v>
      </c>
      <c r="J90" s="145">
        <f t="shared" si="31"/>
        <v>0</v>
      </c>
      <c r="K90" s="186">
        <f t="shared" si="33"/>
        <v>12327.57266</v>
      </c>
      <c r="L90" s="145">
        <f t="shared" si="32"/>
        <v>23000</v>
      </c>
      <c r="M90" s="167">
        <v>0</v>
      </c>
      <c r="N90" s="187">
        <f t="shared" si="34"/>
        <v>35328.720000000001</v>
      </c>
      <c r="O90" s="147">
        <f t="shared" si="35"/>
        <v>37448.720000000001</v>
      </c>
      <c r="P90" s="133">
        <f t="shared" si="36"/>
        <v>0.72000000000000042</v>
      </c>
    </row>
    <row r="91" spans="1:17" x14ac:dyDescent="0.3">
      <c r="A91" s="108"/>
      <c r="B91" s="35"/>
      <c r="C91" s="35" t="s">
        <v>127</v>
      </c>
      <c r="D91" s="108" t="s">
        <v>204</v>
      </c>
      <c r="E91" s="108"/>
      <c r="F91" s="143">
        <v>2.3E-3</v>
      </c>
      <c r="G91" s="137">
        <v>36035.730000000003</v>
      </c>
      <c r="H91" s="44">
        <v>36075</v>
      </c>
      <c r="I91" s="144">
        <f t="shared" si="1"/>
        <v>-39.269999999996799</v>
      </c>
      <c r="J91" s="145">
        <f t="shared" si="31"/>
        <v>0</v>
      </c>
      <c r="K91" s="186">
        <f t="shared" si="33"/>
        <v>12327.57266</v>
      </c>
      <c r="L91" s="145">
        <f t="shared" si="32"/>
        <v>23000</v>
      </c>
      <c r="M91" s="167">
        <v>0</v>
      </c>
      <c r="N91" s="187">
        <f t="shared" si="34"/>
        <v>35288.730000000003</v>
      </c>
      <c r="O91" s="147">
        <f t="shared" si="35"/>
        <v>37406.730000000003</v>
      </c>
      <c r="P91" s="133">
        <f t="shared" si="36"/>
        <v>0.73000000000000043</v>
      </c>
    </row>
    <row r="92" spans="1:17" x14ac:dyDescent="0.3">
      <c r="A92" s="108"/>
      <c r="B92" s="35"/>
      <c r="C92" s="175" t="s">
        <v>128</v>
      </c>
      <c r="D92" s="176" t="s">
        <v>199</v>
      </c>
      <c r="E92" s="176"/>
      <c r="F92" s="177">
        <v>2.3E-3</v>
      </c>
      <c r="G92" s="44">
        <v>36035.74</v>
      </c>
      <c r="H92" s="44">
        <f t="shared" ref="H92" si="38">G92</f>
        <v>36035.74</v>
      </c>
      <c r="I92" s="178">
        <f t="shared" si="1"/>
        <v>0</v>
      </c>
      <c r="J92" s="179">
        <f t="shared" si="31"/>
        <v>0</v>
      </c>
      <c r="K92" s="186">
        <f t="shared" si="33"/>
        <v>12327.57266</v>
      </c>
      <c r="L92" s="179">
        <f t="shared" si="32"/>
        <v>23000</v>
      </c>
      <c r="M92" s="167">
        <v>0</v>
      </c>
      <c r="N92" s="187">
        <f t="shared" si="34"/>
        <v>35328.74</v>
      </c>
      <c r="O92" s="180">
        <f t="shared" si="35"/>
        <v>37448.74</v>
      </c>
      <c r="P92" s="133">
        <f t="shared" si="36"/>
        <v>0.74000000000000044</v>
      </c>
      <c r="Q92" t="s">
        <v>279</v>
      </c>
    </row>
    <row r="93" spans="1:17" x14ac:dyDescent="0.3">
      <c r="A93" s="108"/>
      <c r="B93" s="35"/>
      <c r="C93" s="35" t="s">
        <v>129</v>
      </c>
      <c r="D93" s="108" t="s">
        <v>224</v>
      </c>
      <c r="E93" s="108"/>
      <c r="F93" s="143">
        <v>2.3E-3</v>
      </c>
      <c r="G93" s="44">
        <v>33872.75</v>
      </c>
      <c r="H93" s="44">
        <f>G93</f>
        <v>33872.75</v>
      </c>
      <c r="I93" s="144">
        <f t="shared" si="1"/>
        <v>0</v>
      </c>
      <c r="J93" s="145">
        <f t="shared" si="31"/>
        <v>0</v>
      </c>
      <c r="K93" s="186">
        <f t="shared" si="33"/>
        <v>12327.57266</v>
      </c>
      <c r="L93" s="145">
        <f t="shared" si="32"/>
        <v>23000</v>
      </c>
      <c r="M93" s="167">
        <v>0</v>
      </c>
      <c r="N93" s="187">
        <f t="shared" si="34"/>
        <v>35328.75</v>
      </c>
      <c r="O93" s="147">
        <f t="shared" si="35"/>
        <v>37448.75</v>
      </c>
      <c r="P93" s="133">
        <f t="shared" si="36"/>
        <v>0.75000000000000044</v>
      </c>
    </row>
    <row r="94" spans="1:17" x14ac:dyDescent="0.3">
      <c r="A94" s="108"/>
      <c r="B94" s="35"/>
      <c r="C94" s="35" t="s">
        <v>130</v>
      </c>
      <c r="D94" s="108" t="s">
        <v>192</v>
      </c>
      <c r="E94" s="108"/>
      <c r="F94" s="143">
        <v>2.3E-3</v>
      </c>
      <c r="G94" s="137">
        <v>36035.760000000002</v>
      </c>
      <c r="H94" s="44">
        <f t="shared" ref="H94:H95" si="39">G94</f>
        <v>36035.760000000002</v>
      </c>
      <c r="I94" s="144">
        <f t="shared" si="1"/>
        <v>0</v>
      </c>
      <c r="J94" s="145">
        <f t="shared" si="31"/>
        <v>0</v>
      </c>
      <c r="K94" s="186">
        <f t="shared" si="33"/>
        <v>12327.57266</v>
      </c>
      <c r="L94" s="145">
        <f t="shared" si="32"/>
        <v>23000</v>
      </c>
      <c r="M94" s="167">
        <v>0</v>
      </c>
      <c r="N94" s="187">
        <f t="shared" si="34"/>
        <v>35328.76</v>
      </c>
      <c r="O94" s="147">
        <f t="shared" si="35"/>
        <v>37448.76</v>
      </c>
      <c r="P94" s="133">
        <f t="shared" si="36"/>
        <v>0.76000000000000045</v>
      </c>
    </row>
    <row r="95" spans="1:17" x14ac:dyDescent="0.3">
      <c r="A95" s="108"/>
      <c r="B95" s="35"/>
      <c r="C95" s="35" t="s">
        <v>131</v>
      </c>
      <c r="D95" s="108" t="s">
        <v>192</v>
      </c>
      <c r="E95" s="108"/>
      <c r="F95" s="143">
        <v>2.3E-3</v>
      </c>
      <c r="G95" s="137">
        <v>36035.769999999997</v>
      </c>
      <c r="H95" s="44">
        <f t="shared" si="39"/>
        <v>36035.769999999997</v>
      </c>
      <c r="I95" s="144">
        <f t="shared" si="1"/>
        <v>0</v>
      </c>
      <c r="J95" s="145">
        <f t="shared" si="31"/>
        <v>0</v>
      </c>
      <c r="K95" s="186">
        <f t="shared" si="33"/>
        <v>12327.57266</v>
      </c>
      <c r="L95" s="145">
        <f t="shared" si="32"/>
        <v>23000</v>
      </c>
      <c r="M95" s="167">
        <v>0</v>
      </c>
      <c r="N95" s="187">
        <f t="shared" si="34"/>
        <v>35328.769999999997</v>
      </c>
      <c r="O95" s="147">
        <f t="shared" si="35"/>
        <v>37448.769999999997</v>
      </c>
      <c r="P95" s="133">
        <f t="shared" si="36"/>
        <v>0.77000000000000046</v>
      </c>
    </row>
    <row r="96" spans="1:17" x14ac:dyDescent="0.3">
      <c r="A96" s="108"/>
      <c r="B96" s="35"/>
      <c r="C96" s="35" t="s">
        <v>132</v>
      </c>
      <c r="D96" s="108" t="s">
        <v>281</v>
      </c>
      <c r="E96" s="108"/>
      <c r="F96" s="143">
        <v>2.3E-3</v>
      </c>
      <c r="G96" s="137">
        <v>36035.78</v>
      </c>
      <c r="H96" s="44">
        <f t="shared" si="30"/>
        <v>36035.78</v>
      </c>
      <c r="I96" s="144">
        <f t="shared" si="1"/>
        <v>0</v>
      </c>
      <c r="J96" s="145">
        <f t="shared" si="31"/>
        <v>0</v>
      </c>
      <c r="K96" s="186">
        <f t="shared" si="33"/>
        <v>12327.57266</v>
      </c>
      <c r="L96" s="145">
        <f t="shared" si="32"/>
        <v>23000</v>
      </c>
      <c r="M96" s="167">
        <v>0</v>
      </c>
      <c r="N96" s="187">
        <f t="shared" si="34"/>
        <v>35328.78</v>
      </c>
      <c r="O96" s="147">
        <f t="shared" si="35"/>
        <v>37449.78</v>
      </c>
      <c r="P96" s="133">
        <f t="shared" si="36"/>
        <v>0.78000000000000047</v>
      </c>
    </row>
    <row r="97" spans="1:16" x14ac:dyDescent="0.3">
      <c r="A97" s="108"/>
      <c r="B97" s="35"/>
      <c r="C97" s="35" t="s">
        <v>133</v>
      </c>
      <c r="D97" s="108" t="s">
        <v>202</v>
      </c>
      <c r="E97" s="108"/>
      <c r="F97" s="143">
        <v>2.3E-3</v>
      </c>
      <c r="G97" s="137">
        <v>213853.79</v>
      </c>
      <c r="H97" s="44"/>
      <c r="I97" s="144">
        <f t="shared" si="1"/>
        <v>213853.79</v>
      </c>
      <c r="J97" s="145">
        <f t="shared" si="31"/>
        <v>0</v>
      </c>
      <c r="K97" s="186">
        <f t="shared" si="33"/>
        <v>12327.57266</v>
      </c>
      <c r="L97" s="145">
        <f t="shared" si="32"/>
        <v>23000</v>
      </c>
      <c r="M97" s="167">
        <v>0</v>
      </c>
      <c r="N97" s="187">
        <f t="shared" si="34"/>
        <v>249181.79</v>
      </c>
      <c r="O97" s="147">
        <f t="shared" si="35"/>
        <v>264133.78999999998</v>
      </c>
      <c r="P97" s="133">
        <f t="shared" si="36"/>
        <v>0.79000000000000048</v>
      </c>
    </row>
    <row r="98" spans="1:16" x14ac:dyDescent="0.3">
      <c r="A98" s="108"/>
      <c r="B98" s="35"/>
      <c r="C98" s="35" t="s">
        <v>134</v>
      </c>
      <c r="D98" s="108" t="s">
        <v>185</v>
      </c>
      <c r="E98" s="108"/>
      <c r="F98" s="143">
        <v>2.3E-3</v>
      </c>
      <c r="G98" s="137">
        <v>36035.800000000003</v>
      </c>
      <c r="H98" s="44">
        <f t="shared" ref="H98:H100" si="40">G98</f>
        <v>36035.800000000003</v>
      </c>
      <c r="I98" s="144">
        <f t="shared" si="1"/>
        <v>0</v>
      </c>
      <c r="J98" s="145">
        <f t="shared" si="31"/>
        <v>0</v>
      </c>
      <c r="K98" s="186">
        <f t="shared" si="33"/>
        <v>12327.57266</v>
      </c>
      <c r="L98" s="145">
        <f t="shared" si="32"/>
        <v>23000</v>
      </c>
      <c r="M98" s="167">
        <v>0</v>
      </c>
      <c r="N98" s="187">
        <f t="shared" si="34"/>
        <v>35328.800000000003</v>
      </c>
      <c r="O98" s="147">
        <f t="shared" si="35"/>
        <v>37449.800000000003</v>
      </c>
      <c r="P98" s="133">
        <f t="shared" si="36"/>
        <v>0.80000000000000049</v>
      </c>
    </row>
    <row r="99" spans="1:16" x14ac:dyDescent="0.3">
      <c r="A99" s="108"/>
      <c r="B99" s="35"/>
      <c r="C99" s="35" t="s">
        <v>135</v>
      </c>
      <c r="D99" s="108" t="s">
        <v>181</v>
      </c>
      <c r="E99" s="108"/>
      <c r="F99" s="89">
        <v>2.3E-3</v>
      </c>
      <c r="G99" s="134">
        <v>72070.81</v>
      </c>
      <c r="H99" s="44">
        <f t="shared" si="40"/>
        <v>72070.81</v>
      </c>
      <c r="I99" s="56">
        <f t="shared" si="1"/>
        <v>0</v>
      </c>
      <c r="J99" s="26">
        <f t="shared" si="31"/>
        <v>0</v>
      </c>
      <c r="K99" s="186">
        <f t="shared" si="33"/>
        <v>12327.57266</v>
      </c>
      <c r="L99" s="26">
        <f t="shared" si="32"/>
        <v>23000</v>
      </c>
      <c r="M99" s="167">
        <v>0</v>
      </c>
      <c r="N99" s="187">
        <f t="shared" si="34"/>
        <v>35328.81</v>
      </c>
      <c r="O99" s="8">
        <f t="shared" si="35"/>
        <v>37449.81</v>
      </c>
      <c r="P99" s="133">
        <f t="shared" si="36"/>
        <v>0.8100000000000005</v>
      </c>
    </row>
    <row r="100" spans="1:16" x14ac:dyDescent="0.3">
      <c r="A100" s="108"/>
      <c r="B100" s="35"/>
      <c r="C100" s="35" t="s">
        <v>136</v>
      </c>
      <c r="D100" s="108" t="s">
        <v>295</v>
      </c>
      <c r="E100" s="108"/>
      <c r="F100" s="89">
        <v>2.3E-3</v>
      </c>
      <c r="G100" s="134">
        <v>36035.82</v>
      </c>
      <c r="H100" s="44">
        <f t="shared" si="40"/>
        <v>36035.82</v>
      </c>
      <c r="I100" s="56">
        <f t="shared" si="1"/>
        <v>0</v>
      </c>
      <c r="J100" s="26">
        <f t="shared" si="31"/>
        <v>0</v>
      </c>
      <c r="K100" s="186">
        <f t="shared" si="33"/>
        <v>12327.57266</v>
      </c>
      <c r="L100" s="26">
        <f t="shared" si="32"/>
        <v>23000</v>
      </c>
      <c r="M100" s="167">
        <v>0</v>
      </c>
      <c r="N100" s="187">
        <f t="shared" si="34"/>
        <v>35328.82</v>
      </c>
      <c r="O100" s="8">
        <f t="shared" si="35"/>
        <v>37449.82</v>
      </c>
      <c r="P100" s="133">
        <f t="shared" si="36"/>
        <v>0.82000000000000051</v>
      </c>
    </row>
    <row r="101" spans="1:16" x14ac:dyDescent="0.3">
      <c r="A101" s="108"/>
      <c r="B101" s="35"/>
      <c r="C101" s="35" t="s">
        <v>137</v>
      </c>
      <c r="D101" s="108" t="s">
        <v>225</v>
      </c>
      <c r="E101" s="108"/>
      <c r="F101" s="143">
        <v>2.3E-3</v>
      </c>
      <c r="G101" s="137">
        <v>36035.83</v>
      </c>
      <c r="H101" s="44"/>
      <c r="I101" s="144">
        <f t="shared" si="1"/>
        <v>36035.83</v>
      </c>
      <c r="J101" s="145">
        <f t="shared" si="31"/>
        <v>0</v>
      </c>
      <c r="K101" s="186">
        <f t="shared" si="33"/>
        <v>12327.57266</v>
      </c>
      <c r="L101" s="145">
        <f t="shared" si="32"/>
        <v>23000</v>
      </c>
      <c r="M101" s="167">
        <v>0</v>
      </c>
      <c r="N101" s="187">
        <f t="shared" si="34"/>
        <v>71363.83</v>
      </c>
      <c r="O101" s="147">
        <f t="shared" si="35"/>
        <v>75646.83</v>
      </c>
      <c r="P101" s="133">
        <f t="shared" si="36"/>
        <v>0.83000000000000052</v>
      </c>
    </row>
    <row r="102" spans="1:16" ht="15.75" customHeight="1" x14ac:dyDescent="0.3">
      <c r="A102" s="108"/>
      <c r="B102" s="35"/>
      <c r="C102" s="35" t="s">
        <v>138</v>
      </c>
      <c r="D102" s="108" t="s">
        <v>214</v>
      </c>
      <c r="E102" s="108"/>
      <c r="F102" s="143">
        <v>2.3E-3</v>
      </c>
      <c r="G102" s="137">
        <v>36035.839999999997</v>
      </c>
      <c r="H102" s="44">
        <f t="shared" ref="H102:H104" si="41">G102</f>
        <v>36035.839999999997</v>
      </c>
      <c r="I102" s="144">
        <f t="shared" si="1"/>
        <v>0</v>
      </c>
      <c r="J102" s="145">
        <f t="shared" si="31"/>
        <v>0</v>
      </c>
      <c r="K102" s="186">
        <f t="shared" si="33"/>
        <v>12327.57266</v>
      </c>
      <c r="L102" s="145">
        <f t="shared" si="32"/>
        <v>23000</v>
      </c>
      <c r="M102" s="167">
        <v>0</v>
      </c>
      <c r="N102" s="187">
        <f t="shared" si="34"/>
        <v>35328.839999999997</v>
      </c>
      <c r="O102" s="147">
        <f t="shared" si="35"/>
        <v>37449.839999999997</v>
      </c>
      <c r="P102" s="133">
        <f t="shared" si="36"/>
        <v>0.84000000000000052</v>
      </c>
    </row>
    <row r="103" spans="1:16" ht="15.75" customHeight="1" x14ac:dyDescent="0.3">
      <c r="A103" s="108"/>
      <c r="B103" s="35"/>
      <c r="C103" s="35" t="s">
        <v>139</v>
      </c>
      <c r="D103" s="108" t="s">
        <v>222</v>
      </c>
      <c r="E103" s="108"/>
      <c r="F103" s="143">
        <v>2.3E-3</v>
      </c>
      <c r="G103" s="137">
        <v>36035.85</v>
      </c>
      <c r="H103" s="44">
        <f t="shared" si="41"/>
        <v>36035.85</v>
      </c>
      <c r="I103" s="144">
        <f t="shared" si="1"/>
        <v>0</v>
      </c>
      <c r="J103" s="145">
        <f t="shared" si="31"/>
        <v>0</v>
      </c>
      <c r="K103" s="186">
        <f t="shared" si="33"/>
        <v>12327.57266</v>
      </c>
      <c r="L103" s="145">
        <f t="shared" si="32"/>
        <v>23000</v>
      </c>
      <c r="M103" s="167">
        <v>0</v>
      </c>
      <c r="N103" s="187">
        <f t="shared" si="34"/>
        <v>35328.85</v>
      </c>
      <c r="O103" s="147">
        <f t="shared" si="35"/>
        <v>37449.85</v>
      </c>
      <c r="P103" s="133">
        <f t="shared" si="36"/>
        <v>0.85000000000000053</v>
      </c>
    </row>
    <row r="104" spans="1:16" ht="15.75" customHeight="1" x14ac:dyDescent="0.3">
      <c r="A104" s="108"/>
      <c r="B104" s="35"/>
      <c r="C104" s="35" t="s">
        <v>140</v>
      </c>
      <c r="D104" s="108" t="s">
        <v>206</v>
      </c>
      <c r="E104" s="108"/>
      <c r="F104" s="89">
        <v>2.3E-3</v>
      </c>
      <c r="G104" s="134">
        <v>36035.86</v>
      </c>
      <c r="H104" s="44">
        <f t="shared" si="41"/>
        <v>36035.86</v>
      </c>
      <c r="I104" s="56">
        <f t="shared" si="1"/>
        <v>0</v>
      </c>
      <c r="J104" s="26">
        <f t="shared" si="31"/>
        <v>0</v>
      </c>
      <c r="K104" s="186">
        <f t="shared" si="33"/>
        <v>12327.57266</v>
      </c>
      <c r="L104" s="26">
        <f t="shared" si="32"/>
        <v>23000</v>
      </c>
      <c r="M104" s="167">
        <v>0</v>
      </c>
      <c r="N104" s="187">
        <f t="shared" si="34"/>
        <v>35328.86</v>
      </c>
      <c r="O104" s="8">
        <f t="shared" si="35"/>
        <v>37449.86</v>
      </c>
      <c r="P104" s="133">
        <f t="shared" si="36"/>
        <v>0.86000000000000054</v>
      </c>
    </row>
    <row r="105" spans="1:16" ht="15.75" customHeight="1" x14ac:dyDescent="0.3">
      <c r="A105" s="108"/>
      <c r="B105" s="35"/>
      <c r="C105" s="35" t="s">
        <v>141</v>
      </c>
      <c r="D105" s="108" t="s">
        <v>119</v>
      </c>
      <c r="E105" s="108"/>
      <c r="F105" s="89">
        <v>2.3E-3</v>
      </c>
      <c r="G105" s="134">
        <v>36035.870000000003</v>
      </c>
      <c r="H105" s="233">
        <f t="shared" ref="H105:H111" si="42">G105</f>
        <v>36035.870000000003</v>
      </c>
      <c r="I105" s="56">
        <f t="shared" si="1"/>
        <v>0</v>
      </c>
      <c r="J105" s="26">
        <f t="shared" si="31"/>
        <v>0</v>
      </c>
      <c r="K105" s="186">
        <f t="shared" si="33"/>
        <v>12327.57266</v>
      </c>
      <c r="L105" s="26">
        <f t="shared" si="32"/>
        <v>23000</v>
      </c>
      <c r="M105" s="167">
        <v>0</v>
      </c>
      <c r="N105" s="187">
        <f t="shared" si="34"/>
        <v>35328.870000000003</v>
      </c>
      <c r="O105" s="8">
        <f t="shared" si="35"/>
        <v>37449.870000000003</v>
      </c>
      <c r="P105" s="133">
        <f t="shared" si="36"/>
        <v>0.87000000000000055</v>
      </c>
    </row>
    <row r="106" spans="1:16" ht="15.75" customHeight="1" x14ac:dyDescent="0.3">
      <c r="A106" s="108"/>
      <c r="B106" s="35"/>
      <c r="C106" s="35" t="s">
        <v>142</v>
      </c>
      <c r="D106" s="108" t="s">
        <v>226</v>
      </c>
      <c r="E106" s="108"/>
      <c r="F106" s="89">
        <v>2.3E-3</v>
      </c>
      <c r="G106" s="134">
        <v>38198.879999999997</v>
      </c>
      <c r="H106" s="233">
        <f>G106</f>
        <v>38198.879999999997</v>
      </c>
      <c r="I106" s="56">
        <f t="shared" si="1"/>
        <v>0</v>
      </c>
      <c r="J106" s="26">
        <f t="shared" si="31"/>
        <v>0</v>
      </c>
      <c r="K106" s="186">
        <f t="shared" si="33"/>
        <v>12327.57266</v>
      </c>
      <c r="L106" s="26">
        <f t="shared" si="32"/>
        <v>23000</v>
      </c>
      <c r="M106" s="167">
        <v>0</v>
      </c>
      <c r="N106" s="187">
        <f t="shared" si="34"/>
        <v>35328.879999999997</v>
      </c>
      <c r="O106" s="8">
        <f t="shared" si="35"/>
        <v>37449.879999999997</v>
      </c>
      <c r="P106" s="133">
        <f t="shared" si="36"/>
        <v>0.88000000000000056</v>
      </c>
    </row>
    <row r="107" spans="1:16" ht="15.75" customHeight="1" x14ac:dyDescent="0.3">
      <c r="A107" s="108"/>
      <c r="B107" s="35"/>
      <c r="C107" s="35" t="s">
        <v>143</v>
      </c>
      <c r="D107" s="108" t="s">
        <v>203</v>
      </c>
      <c r="E107" s="108"/>
      <c r="F107" s="89">
        <v>2.3E-3</v>
      </c>
      <c r="G107" s="134">
        <v>40635.89</v>
      </c>
      <c r="H107" s="233">
        <v>36035.89</v>
      </c>
      <c r="I107" s="56">
        <f t="shared" si="1"/>
        <v>4600</v>
      </c>
      <c r="J107" s="26">
        <f t="shared" si="31"/>
        <v>0</v>
      </c>
      <c r="K107" s="186">
        <f t="shared" si="33"/>
        <v>12327.57266</v>
      </c>
      <c r="L107" s="26">
        <f t="shared" si="32"/>
        <v>23000</v>
      </c>
      <c r="M107" s="167">
        <v>0</v>
      </c>
      <c r="N107" s="187">
        <f t="shared" si="34"/>
        <v>39928.89</v>
      </c>
      <c r="O107" s="8">
        <f t="shared" si="35"/>
        <v>42325.89</v>
      </c>
      <c r="P107" s="133">
        <f t="shared" si="36"/>
        <v>0.89000000000000057</v>
      </c>
    </row>
    <row r="108" spans="1:16" ht="15.75" customHeight="1" x14ac:dyDescent="0.3">
      <c r="A108" s="108"/>
      <c r="B108" s="35"/>
      <c r="C108" s="35" t="s">
        <v>144</v>
      </c>
      <c r="D108" s="108" t="s">
        <v>209</v>
      </c>
      <c r="E108" s="108"/>
      <c r="F108" s="89">
        <v>2.3E-3</v>
      </c>
      <c r="G108" s="134">
        <v>36035.9</v>
      </c>
      <c r="H108" s="44">
        <f t="shared" ref="H108" si="43">G108</f>
        <v>36035.9</v>
      </c>
      <c r="I108" s="56">
        <f t="shared" si="1"/>
        <v>0</v>
      </c>
      <c r="J108" s="26">
        <f t="shared" si="31"/>
        <v>0</v>
      </c>
      <c r="K108" s="186">
        <f t="shared" si="33"/>
        <v>12327.57266</v>
      </c>
      <c r="L108" s="26">
        <f t="shared" si="32"/>
        <v>23000</v>
      </c>
      <c r="M108" s="167">
        <v>0</v>
      </c>
      <c r="N108" s="187">
        <f t="shared" si="34"/>
        <v>35328.9</v>
      </c>
      <c r="O108" s="8">
        <f t="shared" si="35"/>
        <v>37449.9</v>
      </c>
      <c r="P108" s="133">
        <f t="shared" si="36"/>
        <v>0.90000000000000058</v>
      </c>
    </row>
    <row r="109" spans="1:16" ht="15.75" customHeight="1" x14ac:dyDescent="0.3">
      <c r="A109" s="108"/>
      <c r="B109" s="35"/>
      <c r="C109" s="35" t="s">
        <v>145</v>
      </c>
      <c r="D109" s="108" t="s">
        <v>179</v>
      </c>
      <c r="E109" s="108"/>
      <c r="F109" s="89">
        <v>2.3E-3</v>
      </c>
      <c r="G109" s="134">
        <v>39198.910000000003</v>
      </c>
      <c r="H109" s="44">
        <f t="shared" si="42"/>
        <v>39198.910000000003</v>
      </c>
      <c r="I109" s="56">
        <f t="shared" si="1"/>
        <v>0</v>
      </c>
      <c r="J109" s="26">
        <f t="shared" si="31"/>
        <v>0</v>
      </c>
      <c r="K109" s="186">
        <f t="shared" si="33"/>
        <v>12327.57266</v>
      </c>
      <c r="L109" s="26">
        <f t="shared" si="32"/>
        <v>23000</v>
      </c>
      <c r="M109" s="167">
        <v>0</v>
      </c>
      <c r="N109" s="187">
        <f t="shared" si="34"/>
        <v>35328.910000000003</v>
      </c>
      <c r="O109" s="8">
        <f t="shared" si="35"/>
        <v>37449.910000000003</v>
      </c>
      <c r="P109" s="133">
        <f t="shared" si="36"/>
        <v>0.91000000000000059</v>
      </c>
    </row>
    <row r="110" spans="1:16" ht="15.75" customHeight="1" x14ac:dyDescent="0.3">
      <c r="A110" s="108"/>
      <c r="B110" s="35"/>
      <c r="C110" s="35" t="s">
        <v>146</v>
      </c>
      <c r="D110" s="108" t="s">
        <v>208</v>
      </c>
      <c r="E110" s="108"/>
      <c r="F110" s="143">
        <v>2.3E-3</v>
      </c>
      <c r="G110" s="137">
        <v>36035.919999999998</v>
      </c>
      <c r="H110" s="44">
        <f t="shared" si="42"/>
        <v>36035.919999999998</v>
      </c>
      <c r="I110" s="144">
        <f t="shared" si="1"/>
        <v>0</v>
      </c>
      <c r="J110" s="145">
        <f t="shared" si="31"/>
        <v>0</v>
      </c>
      <c r="K110" s="186">
        <f t="shared" si="33"/>
        <v>12327.57266</v>
      </c>
      <c r="L110" s="145">
        <f t="shared" si="32"/>
        <v>23000</v>
      </c>
      <c r="M110" s="167">
        <v>0</v>
      </c>
      <c r="N110" s="187">
        <f t="shared" si="34"/>
        <v>35328.92</v>
      </c>
      <c r="O110" s="147">
        <f t="shared" si="35"/>
        <v>37449.919999999998</v>
      </c>
      <c r="P110" s="133">
        <f t="shared" si="36"/>
        <v>0.9200000000000006</v>
      </c>
    </row>
    <row r="111" spans="1:16" ht="15.75" customHeight="1" x14ac:dyDescent="0.3">
      <c r="A111" s="108"/>
      <c r="B111" s="35"/>
      <c r="C111" s="35" t="s">
        <v>147</v>
      </c>
      <c r="D111" s="108" t="s">
        <v>194</v>
      </c>
      <c r="E111" s="108"/>
      <c r="F111" s="143">
        <v>2.3E-3</v>
      </c>
      <c r="G111" s="137">
        <v>36035.93</v>
      </c>
      <c r="H111" s="44">
        <f t="shared" si="42"/>
        <v>36035.93</v>
      </c>
      <c r="I111" s="144">
        <f t="shared" si="1"/>
        <v>0</v>
      </c>
      <c r="J111" s="145">
        <f t="shared" si="31"/>
        <v>0</v>
      </c>
      <c r="K111" s="186">
        <f t="shared" si="33"/>
        <v>12327.57266</v>
      </c>
      <c r="L111" s="145">
        <f t="shared" si="32"/>
        <v>23000</v>
      </c>
      <c r="M111" s="167">
        <v>0</v>
      </c>
      <c r="N111" s="187">
        <f t="shared" si="34"/>
        <v>35328.93</v>
      </c>
      <c r="O111" s="147">
        <f t="shared" si="35"/>
        <v>37449.93</v>
      </c>
      <c r="P111" s="133">
        <f t="shared" si="36"/>
        <v>0.9300000000000006</v>
      </c>
    </row>
    <row r="112" spans="1:16" x14ac:dyDescent="0.3">
      <c r="A112" s="108"/>
      <c r="B112" s="35"/>
      <c r="C112" s="35" t="s">
        <v>148</v>
      </c>
      <c r="D112" s="108" t="s">
        <v>177</v>
      </c>
      <c r="E112" s="108"/>
      <c r="F112" s="143">
        <v>2.3E-3</v>
      </c>
      <c r="G112" s="137">
        <v>36035.94</v>
      </c>
      <c r="H112" s="44">
        <v>38198.94</v>
      </c>
      <c r="I112" s="144">
        <f t="shared" si="1"/>
        <v>-2163</v>
      </c>
      <c r="J112" s="145">
        <f t="shared" si="31"/>
        <v>0</v>
      </c>
      <c r="K112" s="186">
        <f t="shared" si="33"/>
        <v>12327.57266</v>
      </c>
      <c r="L112" s="145">
        <f t="shared" si="32"/>
        <v>23000</v>
      </c>
      <c r="M112" s="167">
        <v>0</v>
      </c>
      <c r="N112" s="187">
        <f t="shared" si="34"/>
        <v>33165.94</v>
      </c>
      <c r="O112" s="147">
        <f t="shared" si="35"/>
        <v>35156.94</v>
      </c>
      <c r="P112" s="133">
        <f t="shared" si="36"/>
        <v>0.94000000000000061</v>
      </c>
    </row>
    <row r="113" spans="1:17" x14ac:dyDescent="0.3">
      <c r="A113" s="108"/>
      <c r="B113" s="35"/>
      <c r="C113" s="35" t="s">
        <v>149</v>
      </c>
      <c r="D113" s="108" t="s">
        <v>200</v>
      </c>
      <c r="E113" s="108"/>
      <c r="F113" s="143">
        <v>2.3E-3</v>
      </c>
      <c r="G113" s="137">
        <v>36035.949999999997</v>
      </c>
      <c r="H113" s="44">
        <f t="shared" ref="H113" si="44">G113</f>
        <v>36035.949999999997</v>
      </c>
      <c r="I113" s="144">
        <f t="shared" si="1"/>
        <v>0</v>
      </c>
      <c r="J113" s="145">
        <f t="shared" si="31"/>
        <v>0</v>
      </c>
      <c r="K113" s="186">
        <f t="shared" si="33"/>
        <v>12327.57266</v>
      </c>
      <c r="L113" s="145">
        <f t="shared" si="32"/>
        <v>23000</v>
      </c>
      <c r="M113" s="167">
        <v>0</v>
      </c>
      <c r="N113" s="187">
        <f t="shared" si="34"/>
        <v>35328.949999999997</v>
      </c>
      <c r="O113" s="147">
        <f t="shared" si="35"/>
        <v>37449.949999999997</v>
      </c>
      <c r="P113" s="133">
        <f t="shared" si="36"/>
        <v>0.95000000000000062</v>
      </c>
    </row>
    <row r="114" spans="1:17" x14ac:dyDescent="0.3">
      <c r="A114" s="108"/>
      <c r="B114" s="35"/>
      <c r="C114" s="35" t="s">
        <v>150</v>
      </c>
      <c r="D114" s="108" t="s">
        <v>221</v>
      </c>
      <c r="E114" s="108"/>
      <c r="F114" s="143">
        <v>2.3E-3</v>
      </c>
      <c r="G114" s="137">
        <v>36035.96</v>
      </c>
      <c r="H114" s="44">
        <f>G114</f>
        <v>36035.96</v>
      </c>
      <c r="I114" s="144">
        <f t="shared" si="1"/>
        <v>0</v>
      </c>
      <c r="J114" s="145">
        <f t="shared" si="31"/>
        <v>0</v>
      </c>
      <c r="K114" s="186">
        <f t="shared" si="33"/>
        <v>12327.57266</v>
      </c>
      <c r="L114" s="145">
        <f t="shared" si="32"/>
        <v>23000</v>
      </c>
      <c r="M114" s="167">
        <v>0</v>
      </c>
      <c r="N114" s="187">
        <f t="shared" si="34"/>
        <v>35328.959999999999</v>
      </c>
      <c r="O114" s="147">
        <f t="shared" si="35"/>
        <v>37449.96</v>
      </c>
      <c r="P114" s="133">
        <f t="shared" si="36"/>
        <v>0.96000000000000063</v>
      </c>
    </row>
    <row r="115" spans="1:17" x14ac:dyDescent="0.3">
      <c r="A115" s="108"/>
      <c r="B115" s="35"/>
      <c r="C115" s="35" t="s">
        <v>151</v>
      </c>
      <c r="D115" s="108" t="s">
        <v>188</v>
      </c>
      <c r="E115" s="108"/>
      <c r="F115" s="143">
        <v>2.3E-3</v>
      </c>
      <c r="G115" s="137">
        <v>36035.97</v>
      </c>
      <c r="H115" s="44">
        <f t="shared" ref="H115" si="45">G115</f>
        <v>36035.97</v>
      </c>
      <c r="I115" s="144">
        <f t="shared" si="1"/>
        <v>0</v>
      </c>
      <c r="J115" s="145">
        <f t="shared" ref="J115:J131" si="46">N$8*F115</f>
        <v>0</v>
      </c>
      <c r="K115" s="186">
        <f t="shared" si="33"/>
        <v>12327.57266</v>
      </c>
      <c r="L115" s="145">
        <f t="shared" ref="L115:L131" si="47">N$2*F115</f>
        <v>23000</v>
      </c>
      <c r="M115" s="167">
        <v>0</v>
      </c>
      <c r="N115" s="187">
        <f t="shared" si="34"/>
        <v>35328.97</v>
      </c>
      <c r="O115" s="147">
        <f t="shared" si="35"/>
        <v>37449.97</v>
      </c>
      <c r="P115" s="133">
        <f t="shared" si="36"/>
        <v>0.97000000000000064</v>
      </c>
    </row>
    <row r="116" spans="1:17" x14ac:dyDescent="0.3">
      <c r="A116" s="108"/>
      <c r="B116" s="35"/>
      <c r="C116" s="35" t="s">
        <v>152</v>
      </c>
      <c r="D116" s="108" t="s">
        <v>182</v>
      </c>
      <c r="E116" s="108" t="s">
        <v>308</v>
      </c>
      <c r="F116" s="143">
        <v>2.3E-3</v>
      </c>
      <c r="G116" s="137">
        <v>36035.980000000003</v>
      </c>
      <c r="H116" s="44"/>
      <c r="I116" s="144">
        <f t="shared" si="1"/>
        <v>36035.980000000003</v>
      </c>
      <c r="J116" s="145">
        <f t="shared" si="46"/>
        <v>0</v>
      </c>
      <c r="K116" s="186">
        <f t="shared" si="33"/>
        <v>12327.57266</v>
      </c>
      <c r="L116" s="145">
        <f t="shared" si="47"/>
        <v>23000</v>
      </c>
      <c r="M116" s="167">
        <v>0</v>
      </c>
      <c r="N116" s="187">
        <f t="shared" si="34"/>
        <v>71364.98</v>
      </c>
      <c r="O116" s="147">
        <f t="shared" si="35"/>
        <v>75647.98</v>
      </c>
      <c r="P116" s="133">
        <f t="shared" si="36"/>
        <v>0.98000000000000065</v>
      </c>
    </row>
    <row r="117" spans="1:17" x14ac:dyDescent="0.3">
      <c r="A117" s="108"/>
      <c r="B117" s="35"/>
      <c r="C117" s="35" t="s">
        <v>153</v>
      </c>
      <c r="D117" s="108" t="s">
        <v>182</v>
      </c>
      <c r="E117" s="108"/>
      <c r="F117" s="143">
        <v>2.3E-3</v>
      </c>
      <c r="G117" s="137">
        <v>105225.99</v>
      </c>
      <c r="H117" s="44"/>
      <c r="I117" s="144">
        <f t="shared" si="1"/>
        <v>105225.99</v>
      </c>
      <c r="J117" s="145">
        <f t="shared" si="46"/>
        <v>0</v>
      </c>
      <c r="K117" s="186">
        <f t="shared" si="33"/>
        <v>12327.57266</v>
      </c>
      <c r="L117" s="145">
        <f t="shared" si="47"/>
        <v>23000</v>
      </c>
      <c r="M117" s="167">
        <v>0</v>
      </c>
      <c r="N117" s="187">
        <f t="shared" si="34"/>
        <v>140554.99</v>
      </c>
      <c r="O117" s="147">
        <f t="shared" si="35"/>
        <v>148988.99</v>
      </c>
      <c r="P117" s="133">
        <f t="shared" si="36"/>
        <v>0.99000000000000066</v>
      </c>
    </row>
    <row r="118" spans="1:17" x14ac:dyDescent="0.3">
      <c r="A118" s="108"/>
      <c r="B118" s="35"/>
      <c r="C118" s="194" t="s">
        <v>154</v>
      </c>
      <c r="D118" s="195" t="s">
        <v>183</v>
      </c>
      <c r="E118" s="195"/>
      <c r="F118" s="235">
        <v>2.3E-3</v>
      </c>
      <c r="G118" s="198">
        <v>36036</v>
      </c>
      <c r="H118" s="240">
        <f t="shared" ref="H118:H120" si="48">G118</f>
        <v>36036</v>
      </c>
      <c r="I118" s="199">
        <f t="shared" si="1"/>
        <v>0</v>
      </c>
      <c r="J118" s="200">
        <f t="shared" si="46"/>
        <v>0</v>
      </c>
      <c r="K118" s="236">
        <f t="shared" si="33"/>
        <v>12327.57266</v>
      </c>
      <c r="L118" s="200">
        <f t="shared" si="47"/>
        <v>23000</v>
      </c>
      <c r="M118" s="201">
        <v>0</v>
      </c>
      <c r="N118" s="237">
        <f t="shared" si="34"/>
        <v>35329</v>
      </c>
      <c r="O118" s="202">
        <f t="shared" si="35"/>
        <v>37450</v>
      </c>
      <c r="P118" s="133">
        <f t="shared" si="36"/>
        <v>1.0000000000000007</v>
      </c>
      <c r="Q118" t="s">
        <v>297</v>
      </c>
    </row>
    <row r="119" spans="1:17" x14ac:dyDescent="0.3">
      <c r="A119" s="127"/>
      <c r="B119" s="35"/>
      <c r="C119" s="35" t="s">
        <v>155</v>
      </c>
      <c r="D119" s="108" t="s">
        <v>295</v>
      </c>
      <c r="E119" s="108"/>
      <c r="F119" s="143">
        <v>2.3E-3</v>
      </c>
      <c r="G119" s="137">
        <v>36036.01</v>
      </c>
      <c r="H119" s="44">
        <f t="shared" si="48"/>
        <v>36036.01</v>
      </c>
      <c r="I119" s="144">
        <f t="shared" si="1"/>
        <v>0</v>
      </c>
      <c r="J119" s="145">
        <f t="shared" si="46"/>
        <v>0</v>
      </c>
      <c r="K119" s="186">
        <f t="shared" si="33"/>
        <v>12327.57266</v>
      </c>
      <c r="L119" s="145">
        <f t="shared" si="47"/>
        <v>23000</v>
      </c>
      <c r="M119" s="167">
        <v>0</v>
      </c>
      <c r="N119" s="187">
        <f t="shared" si="34"/>
        <v>35329.01</v>
      </c>
      <c r="O119" s="147">
        <f t="shared" si="35"/>
        <v>37450.01</v>
      </c>
      <c r="P119" s="133">
        <f t="shared" si="36"/>
        <v>1.0100000000000007</v>
      </c>
    </row>
    <row r="120" spans="1:17" x14ac:dyDescent="0.3">
      <c r="A120" s="127"/>
      <c r="B120" s="35"/>
      <c r="C120" s="35" t="s">
        <v>156</v>
      </c>
      <c r="D120" s="108" t="s">
        <v>190</v>
      </c>
      <c r="E120" s="108"/>
      <c r="F120" s="143">
        <v>2.3E-3</v>
      </c>
      <c r="G120" s="137">
        <v>36036.019999999997</v>
      </c>
      <c r="H120" s="44">
        <f t="shared" si="48"/>
        <v>36036.019999999997</v>
      </c>
      <c r="I120" s="144">
        <f t="shared" si="1"/>
        <v>0</v>
      </c>
      <c r="J120" s="145">
        <f t="shared" si="46"/>
        <v>0</v>
      </c>
      <c r="K120" s="186">
        <f t="shared" si="33"/>
        <v>12327.57266</v>
      </c>
      <c r="L120" s="145">
        <f t="shared" si="47"/>
        <v>23000</v>
      </c>
      <c r="M120" s="167">
        <v>0</v>
      </c>
      <c r="N120" s="187">
        <f t="shared" si="34"/>
        <v>35329.019999999997</v>
      </c>
      <c r="O120" s="147">
        <f t="shared" si="35"/>
        <v>37450.019999999997</v>
      </c>
      <c r="P120" s="133">
        <f t="shared" si="36"/>
        <v>1.0200000000000007</v>
      </c>
    </row>
    <row r="121" spans="1:17" x14ac:dyDescent="0.3">
      <c r="A121" s="127"/>
      <c r="B121" s="35"/>
      <c r="C121" s="35" t="s">
        <v>157</v>
      </c>
      <c r="D121" s="108" t="s">
        <v>182</v>
      </c>
      <c r="E121" s="108"/>
      <c r="F121" s="143">
        <v>2.3E-3</v>
      </c>
      <c r="G121" s="137">
        <v>36036.03</v>
      </c>
      <c r="H121" s="44"/>
      <c r="I121" s="144">
        <f t="shared" si="1"/>
        <v>36036.03</v>
      </c>
      <c r="J121" s="145">
        <f t="shared" si="46"/>
        <v>0</v>
      </c>
      <c r="K121" s="186">
        <f t="shared" si="33"/>
        <v>12327.57266</v>
      </c>
      <c r="L121" s="145">
        <f t="shared" si="47"/>
        <v>23000</v>
      </c>
      <c r="M121" s="167">
        <v>0</v>
      </c>
      <c r="N121" s="187">
        <f t="shared" si="34"/>
        <v>71365.03</v>
      </c>
      <c r="O121" s="147">
        <f t="shared" si="35"/>
        <v>75648.03</v>
      </c>
      <c r="P121" s="133">
        <f t="shared" si="36"/>
        <v>1.0300000000000007</v>
      </c>
    </row>
    <row r="122" spans="1:17" x14ac:dyDescent="0.3">
      <c r="A122" s="127"/>
      <c r="B122" s="35"/>
      <c r="C122" s="35" t="s">
        <v>158</v>
      </c>
      <c r="D122" s="108" t="s">
        <v>218</v>
      </c>
      <c r="E122" s="108"/>
      <c r="F122" s="143">
        <v>2.3E-3</v>
      </c>
      <c r="G122" s="137">
        <v>36036.04</v>
      </c>
      <c r="H122" s="44">
        <f>G122</f>
        <v>36036.04</v>
      </c>
      <c r="I122" s="144">
        <f t="shared" si="1"/>
        <v>0</v>
      </c>
      <c r="J122" s="145">
        <f t="shared" si="46"/>
        <v>0</v>
      </c>
      <c r="K122" s="186">
        <f t="shared" si="33"/>
        <v>12327.57266</v>
      </c>
      <c r="L122" s="145">
        <f t="shared" si="47"/>
        <v>23000</v>
      </c>
      <c r="M122" s="167">
        <v>0</v>
      </c>
      <c r="N122" s="187">
        <f t="shared" si="34"/>
        <v>35329.040000000001</v>
      </c>
      <c r="O122" s="147">
        <f t="shared" si="35"/>
        <v>37450.04</v>
      </c>
      <c r="P122" s="133">
        <f t="shared" si="36"/>
        <v>1.0400000000000007</v>
      </c>
    </row>
    <row r="123" spans="1:17" x14ac:dyDescent="0.3">
      <c r="A123" s="127"/>
      <c r="B123" s="35"/>
      <c r="C123" s="35" t="s">
        <v>159</v>
      </c>
      <c r="D123" s="108" t="s">
        <v>213</v>
      </c>
      <c r="E123" s="108"/>
      <c r="F123" s="143">
        <v>2.3E-3</v>
      </c>
      <c r="G123" s="137">
        <v>36036.050000000003</v>
      </c>
      <c r="H123" s="44">
        <f>G123</f>
        <v>36036.050000000003</v>
      </c>
      <c r="I123" s="144">
        <f t="shared" si="1"/>
        <v>0</v>
      </c>
      <c r="J123" s="145">
        <f t="shared" si="46"/>
        <v>0</v>
      </c>
      <c r="K123" s="186">
        <f t="shared" si="33"/>
        <v>12327.57266</v>
      </c>
      <c r="L123" s="145">
        <f t="shared" si="47"/>
        <v>23000</v>
      </c>
      <c r="M123" s="167">
        <v>0</v>
      </c>
      <c r="N123" s="187">
        <f t="shared" si="34"/>
        <v>35329.050000000003</v>
      </c>
      <c r="O123" s="147">
        <f t="shared" si="35"/>
        <v>37450.050000000003</v>
      </c>
      <c r="P123" s="133">
        <f t="shared" si="36"/>
        <v>1.0500000000000007</v>
      </c>
    </row>
    <row r="124" spans="1:17" x14ac:dyDescent="0.3">
      <c r="A124" s="127"/>
      <c r="B124" s="35"/>
      <c r="C124" s="35" t="s">
        <v>160</v>
      </c>
      <c r="D124" s="108" t="s">
        <v>182</v>
      </c>
      <c r="E124" s="108"/>
      <c r="F124" s="143">
        <v>2.3E-3</v>
      </c>
      <c r="G124" s="137">
        <v>36036.06</v>
      </c>
      <c r="H124" s="44">
        <f>G124</f>
        <v>36036.06</v>
      </c>
      <c r="I124" s="144">
        <f t="shared" si="1"/>
        <v>0</v>
      </c>
      <c r="J124" s="145">
        <f t="shared" si="46"/>
        <v>0</v>
      </c>
      <c r="K124" s="186">
        <f t="shared" si="33"/>
        <v>12327.57266</v>
      </c>
      <c r="L124" s="145">
        <f t="shared" si="47"/>
        <v>23000</v>
      </c>
      <c r="M124" s="167">
        <v>0</v>
      </c>
      <c r="N124" s="187">
        <f t="shared" si="34"/>
        <v>35329.06</v>
      </c>
      <c r="O124" s="147">
        <f t="shared" si="35"/>
        <v>37450.06</v>
      </c>
      <c r="P124" s="133">
        <f t="shared" si="36"/>
        <v>1.0600000000000007</v>
      </c>
      <c r="Q124" t="s">
        <v>315</v>
      </c>
    </row>
    <row r="125" spans="1:17" x14ac:dyDescent="0.3">
      <c r="A125" s="174"/>
      <c r="B125" s="169"/>
      <c r="C125" s="35" t="s">
        <v>161</v>
      </c>
      <c r="D125" s="108" t="s">
        <v>182</v>
      </c>
      <c r="E125" s="135" t="s">
        <v>285</v>
      </c>
      <c r="F125" s="143">
        <v>2.3E-3</v>
      </c>
      <c r="G125" s="137">
        <v>59041.07</v>
      </c>
      <c r="H125" s="44"/>
      <c r="I125" s="144">
        <f t="shared" si="1"/>
        <v>59041.07</v>
      </c>
      <c r="J125" s="145">
        <f t="shared" si="46"/>
        <v>0</v>
      </c>
      <c r="K125" s="186">
        <f t="shared" si="33"/>
        <v>12327.57266</v>
      </c>
      <c r="L125" s="145">
        <f t="shared" si="47"/>
        <v>23000</v>
      </c>
      <c r="M125" s="167">
        <v>0</v>
      </c>
      <c r="N125" s="187">
        <f t="shared" si="34"/>
        <v>94370.07</v>
      </c>
      <c r="O125" s="147">
        <f t="shared" si="35"/>
        <v>100033.07</v>
      </c>
      <c r="P125" s="133">
        <f t="shared" si="36"/>
        <v>1.0700000000000007</v>
      </c>
    </row>
    <row r="126" spans="1:17" x14ac:dyDescent="0.3">
      <c r="A126" s="174"/>
      <c r="B126" s="169"/>
      <c r="C126" s="35" t="s">
        <v>162</v>
      </c>
      <c r="D126" s="108" t="s">
        <v>182</v>
      </c>
      <c r="E126" s="108"/>
      <c r="F126" s="143">
        <v>2.3E-3</v>
      </c>
      <c r="G126" s="137">
        <v>36036.080000000002</v>
      </c>
      <c r="H126" s="44">
        <f t="shared" ref="H126:H127" si="49">G126</f>
        <v>36036.080000000002</v>
      </c>
      <c r="I126" s="144">
        <f t="shared" si="1"/>
        <v>0</v>
      </c>
      <c r="J126" s="145">
        <f t="shared" si="46"/>
        <v>0</v>
      </c>
      <c r="K126" s="186">
        <f t="shared" si="33"/>
        <v>12327.57266</v>
      </c>
      <c r="L126" s="145">
        <f t="shared" si="47"/>
        <v>23000</v>
      </c>
      <c r="M126" s="167">
        <v>0</v>
      </c>
      <c r="N126" s="187">
        <f t="shared" si="34"/>
        <v>35329.08</v>
      </c>
      <c r="O126" s="147">
        <f t="shared" si="35"/>
        <v>37450.080000000002</v>
      </c>
      <c r="P126" s="133">
        <f t="shared" si="36"/>
        <v>1.0800000000000007</v>
      </c>
    </row>
    <row r="127" spans="1:17" x14ac:dyDescent="0.3">
      <c r="A127" s="127"/>
      <c r="B127" s="35"/>
      <c r="C127" s="35" t="s">
        <v>163</v>
      </c>
      <c r="D127" s="108" t="s">
        <v>216</v>
      </c>
      <c r="E127" s="108"/>
      <c r="F127" s="143">
        <v>2.3E-3</v>
      </c>
      <c r="G127" s="137">
        <v>36036.089999999997</v>
      </c>
      <c r="H127" s="44">
        <f t="shared" si="49"/>
        <v>36036.089999999997</v>
      </c>
      <c r="I127" s="144">
        <f t="shared" si="1"/>
        <v>0</v>
      </c>
      <c r="J127" s="145">
        <f t="shared" si="46"/>
        <v>0</v>
      </c>
      <c r="K127" s="186">
        <f t="shared" si="33"/>
        <v>12327.57266</v>
      </c>
      <c r="L127" s="145">
        <f t="shared" si="47"/>
        <v>23000</v>
      </c>
      <c r="M127" s="167">
        <v>0</v>
      </c>
      <c r="N127" s="187">
        <f t="shared" si="34"/>
        <v>35329.089999999997</v>
      </c>
      <c r="O127" s="147">
        <f t="shared" si="35"/>
        <v>37450.089999999997</v>
      </c>
      <c r="P127" s="133">
        <f t="shared" si="36"/>
        <v>1.0900000000000007</v>
      </c>
    </row>
    <row r="128" spans="1:17" x14ac:dyDescent="0.3">
      <c r="A128" s="127"/>
      <c r="B128" s="35"/>
      <c r="C128" s="35" t="s">
        <v>164</v>
      </c>
      <c r="D128" s="108" t="s">
        <v>210</v>
      </c>
      <c r="E128" s="108"/>
      <c r="F128" s="89">
        <v>2.3E-3</v>
      </c>
      <c r="G128" s="134">
        <v>36036.1</v>
      </c>
      <c r="H128" s="44">
        <f>G128</f>
        <v>36036.1</v>
      </c>
      <c r="I128" s="56">
        <f t="shared" si="1"/>
        <v>0</v>
      </c>
      <c r="J128" s="26">
        <f t="shared" si="46"/>
        <v>0</v>
      </c>
      <c r="K128" s="186">
        <f t="shared" si="33"/>
        <v>12327.57266</v>
      </c>
      <c r="L128" s="26">
        <f t="shared" si="47"/>
        <v>23000</v>
      </c>
      <c r="M128" s="167">
        <v>0</v>
      </c>
      <c r="N128" s="187">
        <f t="shared" si="34"/>
        <v>35329.1</v>
      </c>
      <c r="O128" s="8">
        <f t="shared" si="35"/>
        <v>37450.1</v>
      </c>
      <c r="P128" s="133">
        <f t="shared" si="36"/>
        <v>1.1000000000000008</v>
      </c>
    </row>
    <row r="129" spans="1:17" x14ac:dyDescent="0.3">
      <c r="A129" s="127"/>
      <c r="B129" s="35"/>
      <c r="C129" s="35" t="s">
        <v>165</v>
      </c>
      <c r="D129" s="108" t="s">
        <v>220</v>
      </c>
      <c r="E129" s="108"/>
      <c r="F129" s="89">
        <v>2.3E-3</v>
      </c>
      <c r="G129" s="134">
        <v>36036.11</v>
      </c>
      <c r="H129" s="44">
        <f>G129</f>
        <v>36036.11</v>
      </c>
      <c r="I129" s="56">
        <f t="shared" si="1"/>
        <v>0</v>
      </c>
      <c r="J129" s="26">
        <f t="shared" si="46"/>
        <v>0</v>
      </c>
      <c r="K129" s="186">
        <f t="shared" si="33"/>
        <v>12327.57266</v>
      </c>
      <c r="L129" s="26">
        <f t="shared" si="47"/>
        <v>23000</v>
      </c>
      <c r="M129" s="167">
        <v>0</v>
      </c>
      <c r="N129" s="187">
        <f t="shared" si="34"/>
        <v>35329.11</v>
      </c>
      <c r="O129" s="8">
        <f t="shared" si="35"/>
        <v>37450.11</v>
      </c>
      <c r="P129" s="133">
        <f t="shared" si="36"/>
        <v>1.1100000000000008</v>
      </c>
    </row>
    <row r="130" spans="1:17" x14ac:dyDescent="0.3">
      <c r="A130" s="127" t="s">
        <v>26</v>
      </c>
      <c r="B130" s="35"/>
      <c r="C130" s="35" t="s">
        <v>166</v>
      </c>
      <c r="D130" s="108" t="s">
        <v>201</v>
      </c>
      <c r="E130" s="108"/>
      <c r="F130" s="89">
        <v>2.3E-3</v>
      </c>
      <c r="G130" s="134">
        <v>36036.120000000003</v>
      </c>
      <c r="H130" s="44">
        <f>G130</f>
        <v>36036.120000000003</v>
      </c>
      <c r="I130" s="56">
        <f t="shared" si="1"/>
        <v>0</v>
      </c>
      <c r="J130" s="26">
        <f t="shared" si="46"/>
        <v>0</v>
      </c>
      <c r="K130" s="186">
        <f t="shared" si="33"/>
        <v>12327.57266</v>
      </c>
      <c r="L130" s="26">
        <f t="shared" si="47"/>
        <v>23000</v>
      </c>
      <c r="M130" s="167">
        <v>0</v>
      </c>
      <c r="N130" s="187">
        <f t="shared" si="34"/>
        <v>35329.120000000003</v>
      </c>
      <c r="O130" s="8">
        <f t="shared" si="35"/>
        <v>37450.120000000003</v>
      </c>
      <c r="P130" s="133">
        <f t="shared" si="36"/>
        <v>1.1200000000000008</v>
      </c>
    </row>
    <row r="131" spans="1:17" x14ac:dyDescent="0.3">
      <c r="A131" s="127" t="s">
        <v>26</v>
      </c>
      <c r="B131" s="35"/>
      <c r="C131" s="35" t="s">
        <v>167</v>
      </c>
      <c r="D131" s="108" t="s">
        <v>316</v>
      </c>
      <c r="E131" s="108"/>
      <c r="F131" s="89">
        <v>2.3E-3</v>
      </c>
      <c r="G131" s="134">
        <v>30030.13</v>
      </c>
      <c r="H131" s="44">
        <f>G131</f>
        <v>30030.13</v>
      </c>
      <c r="I131" s="56">
        <f t="shared" si="1"/>
        <v>0</v>
      </c>
      <c r="J131" s="26">
        <f t="shared" si="46"/>
        <v>0</v>
      </c>
      <c r="K131" s="186">
        <f t="shared" si="33"/>
        <v>12327.57266</v>
      </c>
      <c r="L131" s="26">
        <f t="shared" si="47"/>
        <v>23000</v>
      </c>
      <c r="M131" s="167">
        <v>0</v>
      </c>
      <c r="N131" s="187">
        <f t="shared" si="34"/>
        <v>35329.129999999997</v>
      </c>
      <c r="O131" s="8">
        <f t="shared" si="35"/>
        <v>37450.129999999997</v>
      </c>
      <c r="P131" s="133">
        <f t="shared" si="36"/>
        <v>1.1300000000000008</v>
      </c>
    </row>
    <row r="132" spans="1:17" x14ac:dyDescent="0.3">
      <c r="A132" s="53" t="s">
        <v>26</v>
      </c>
      <c r="B132" s="6"/>
      <c r="C132" s="6"/>
      <c r="D132" s="57"/>
      <c r="E132" s="57"/>
      <c r="F132" s="6"/>
      <c r="G132" s="26"/>
      <c r="H132" s="87"/>
      <c r="I132" s="56"/>
      <c r="J132" s="26"/>
      <c r="K132" s="26"/>
      <c r="L132" s="26"/>
      <c r="M132" s="76"/>
      <c r="N132" s="5"/>
      <c r="O132" s="8"/>
    </row>
    <row r="133" spans="1:17" ht="14.25" customHeight="1" x14ac:dyDescent="0.3">
      <c r="A133" s="27"/>
      <c r="B133" s="27"/>
      <c r="C133" s="27"/>
      <c r="D133" s="27"/>
      <c r="E133" s="27"/>
      <c r="F133" s="116">
        <f>SUM(F14:F132)</f>
        <v>0.99819999999999809</v>
      </c>
      <c r="G133" s="28">
        <f>SUM(G14:G132)</f>
        <v>19627904.326460004</v>
      </c>
      <c r="H133" s="28">
        <f>SUM(H14:H132)</f>
        <v>14065219.687538</v>
      </c>
      <c r="I133" s="27"/>
      <c r="J133" s="54">
        <f>SUM(J14:J132)</f>
        <v>0</v>
      </c>
      <c r="K133" s="54"/>
      <c r="L133" s="28">
        <f>SUM(L14:L132)</f>
        <v>10207830.65508</v>
      </c>
      <c r="M133" s="173">
        <f>SUM(M14:M132)</f>
        <v>0</v>
      </c>
      <c r="N133" s="29">
        <f>SUM(N14:N132)</f>
        <v>21120758.162442002</v>
      </c>
      <c r="O133" s="28">
        <f>SUM(O14:O132)</f>
        <v>22388076.207588516</v>
      </c>
      <c r="Q133" s="59"/>
    </row>
    <row r="134" spans="1:17" hidden="1" x14ac:dyDescent="0.3">
      <c r="L134" s="61">
        <f>L133-M1</f>
        <v>-4034495.9149199985</v>
      </c>
    </row>
    <row r="135" spans="1:17" ht="15" hidden="1" customHeight="1" x14ac:dyDescent="0.3">
      <c r="C135" s="269"/>
      <c r="D135" s="269"/>
      <c r="E135" s="269"/>
      <c r="F135" s="269"/>
      <c r="G135" s="269"/>
      <c r="H135" s="269"/>
      <c r="I135" s="269"/>
      <c r="J135" s="269"/>
      <c r="K135" s="269"/>
      <c r="L135" s="269"/>
      <c r="M135" s="269"/>
      <c r="N135" s="269"/>
      <c r="O135" s="269"/>
    </row>
    <row r="136" spans="1:17" hidden="1" x14ac:dyDescent="0.3">
      <c r="C136" s="269"/>
      <c r="D136" s="269"/>
      <c r="E136" s="269"/>
      <c r="F136" s="269"/>
      <c r="G136" s="269"/>
      <c r="H136" s="269"/>
      <c r="I136" s="269"/>
      <c r="J136" s="269"/>
      <c r="K136" s="269"/>
      <c r="L136" s="269"/>
      <c r="M136" s="269"/>
      <c r="N136" s="269"/>
      <c r="O136" s="269"/>
    </row>
    <row r="137" spans="1:17" ht="8.25" customHeight="1" x14ac:dyDescent="0.3">
      <c r="C137" s="77"/>
      <c r="D137" s="77"/>
      <c r="E137" s="77"/>
      <c r="F137" s="77"/>
      <c r="G137" s="77"/>
      <c r="H137" s="77"/>
      <c r="I137" s="77"/>
      <c r="J137" s="77"/>
      <c r="K137" s="77"/>
      <c r="L137" s="77"/>
      <c r="M137" s="77"/>
      <c r="N137" s="77"/>
      <c r="O137" s="77"/>
    </row>
    <row r="138" spans="1:17" x14ac:dyDescent="0.3">
      <c r="C138" s="250" t="s">
        <v>258</v>
      </c>
      <c r="D138" s="250"/>
      <c r="E138" s="250"/>
      <c r="F138" s="250"/>
      <c r="G138" s="250"/>
      <c r="H138" s="250"/>
      <c r="I138" s="250"/>
      <c r="J138" s="250"/>
      <c r="K138" s="250"/>
      <c r="L138" s="250"/>
      <c r="M138" s="250"/>
      <c r="N138" s="250"/>
      <c r="O138" s="250"/>
    </row>
    <row r="139" spans="1:17" x14ac:dyDescent="0.3">
      <c r="C139" s="250"/>
      <c r="D139" s="250"/>
      <c r="E139" s="250"/>
      <c r="F139" s="250"/>
      <c r="G139" s="250"/>
      <c r="H139" s="250"/>
      <c r="I139" s="250"/>
      <c r="J139" s="250"/>
      <c r="K139" s="250"/>
      <c r="L139" s="250"/>
      <c r="M139" s="250"/>
      <c r="N139" s="250"/>
      <c r="O139" s="250"/>
    </row>
    <row r="140" spans="1:17" x14ac:dyDescent="0.3">
      <c r="C140" s="250"/>
      <c r="D140" s="250"/>
      <c r="E140" s="250"/>
      <c r="F140" s="250"/>
      <c r="G140" s="250"/>
      <c r="H140" s="250"/>
      <c r="I140" s="250"/>
      <c r="J140" s="250"/>
      <c r="K140" s="250"/>
      <c r="L140" s="250"/>
      <c r="M140" s="250"/>
      <c r="N140" s="250"/>
      <c r="O140" s="250"/>
    </row>
    <row r="141" spans="1:17" x14ac:dyDescent="0.3">
      <c r="C141" s="250"/>
      <c r="D141" s="250"/>
      <c r="E141" s="250"/>
      <c r="F141" s="250"/>
      <c r="G141" s="250"/>
      <c r="H141" s="250"/>
      <c r="I141" s="250"/>
      <c r="J141" s="250"/>
      <c r="K141" s="250"/>
      <c r="L141" s="250"/>
      <c r="M141" s="250"/>
      <c r="N141" s="250"/>
      <c r="O141" s="250"/>
    </row>
    <row r="142" spans="1:17" x14ac:dyDescent="0.3">
      <c r="C142" s="250"/>
      <c r="D142" s="250"/>
      <c r="E142" s="250"/>
      <c r="F142" s="250"/>
      <c r="G142" s="250"/>
      <c r="H142" s="250"/>
      <c r="I142" s="250"/>
      <c r="J142" s="250"/>
      <c r="K142" s="250"/>
      <c r="L142" s="250"/>
      <c r="M142" s="250"/>
      <c r="N142" s="250"/>
      <c r="O142" s="250"/>
    </row>
    <row r="143" spans="1:17" x14ac:dyDescent="0.3">
      <c r="C143" s="250"/>
      <c r="D143" s="250"/>
      <c r="E143" s="250"/>
      <c r="F143" s="250"/>
      <c r="G143" s="250"/>
      <c r="H143" s="250"/>
      <c r="I143" s="250"/>
      <c r="J143" s="250"/>
      <c r="K143" s="250"/>
      <c r="L143" s="250"/>
      <c r="M143" s="250"/>
      <c r="N143" s="250"/>
      <c r="O143" s="250"/>
    </row>
    <row r="144" spans="1:17" x14ac:dyDescent="0.3">
      <c r="C144" s="250"/>
      <c r="D144" s="250"/>
      <c r="E144" s="250"/>
      <c r="F144" s="250"/>
      <c r="G144" s="250"/>
      <c r="H144" s="250"/>
      <c r="I144" s="250"/>
      <c r="J144" s="250"/>
      <c r="K144" s="250"/>
      <c r="L144" s="250"/>
      <c r="M144" s="250"/>
      <c r="N144" s="250"/>
      <c r="O144" s="250"/>
    </row>
    <row r="145" spans="3:17" x14ac:dyDescent="0.3">
      <c r="C145" s="250"/>
      <c r="D145" s="250"/>
      <c r="E145" s="250"/>
      <c r="F145" s="250"/>
      <c r="G145" s="250"/>
      <c r="H145" s="250"/>
      <c r="I145" s="250"/>
      <c r="J145" s="250"/>
      <c r="K145" s="250"/>
      <c r="L145" s="250"/>
      <c r="M145" s="250"/>
      <c r="N145" s="250"/>
      <c r="O145" s="250"/>
    </row>
    <row r="146" spans="3:17" ht="6" customHeight="1" x14ac:dyDescent="0.3">
      <c r="C146" s="77"/>
      <c r="D146" s="77"/>
      <c r="E146" s="77"/>
      <c r="F146" s="77"/>
      <c r="G146" s="77"/>
      <c r="H146" s="77"/>
      <c r="I146" s="77"/>
      <c r="J146" s="77"/>
      <c r="K146" s="77"/>
      <c r="L146" s="77"/>
      <c r="M146" s="77"/>
      <c r="N146" s="77"/>
      <c r="O146" s="77"/>
    </row>
    <row r="147" spans="3:17" ht="45" hidden="1" customHeight="1" x14ac:dyDescent="0.3">
      <c r="C147" s="77"/>
      <c r="D147" s="77"/>
      <c r="E147" s="77"/>
      <c r="F147" s="77"/>
      <c r="G147" s="77"/>
      <c r="H147" s="77"/>
      <c r="I147" s="77"/>
      <c r="J147" s="77"/>
      <c r="K147" s="77"/>
      <c r="L147" s="77"/>
      <c r="M147" s="77"/>
      <c r="N147" s="77"/>
      <c r="O147" s="77"/>
    </row>
    <row r="148" spans="3:17" x14ac:dyDescent="0.3">
      <c r="C148" s="268" t="s">
        <v>257</v>
      </c>
      <c r="D148" s="268"/>
      <c r="E148" s="268"/>
      <c r="F148" s="268"/>
      <c r="G148" s="268"/>
      <c r="H148" s="268"/>
      <c r="I148" s="268"/>
      <c r="J148" s="268"/>
      <c r="K148" s="268"/>
      <c r="L148" s="268"/>
      <c r="M148" s="268"/>
      <c r="N148" s="268"/>
      <c r="O148" s="268"/>
    </row>
    <row r="149" spans="3:17" x14ac:dyDescent="0.3">
      <c r="C149" s="268"/>
      <c r="D149" s="268"/>
      <c r="E149" s="268"/>
      <c r="F149" s="268"/>
      <c r="G149" s="268"/>
      <c r="H149" s="268"/>
      <c r="I149" s="268"/>
      <c r="J149" s="268"/>
      <c r="K149" s="268"/>
      <c r="L149" s="268"/>
      <c r="M149" s="268"/>
      <c r="N149" s="268"/>
      <c r="O149" s="268"/>
    </row>
    <row r="150" spans="3:17" x14ac:dyDescent="0.3">
      <c r="C150" s="268"/>
      <c r="D150" s="268"/>
      <c r="E150" s="268"/>
      <c r="F150" s="268"/>
      <c r="G150" s="268"/>
      <c r="H150" s="268"/>
      <c r="I150" s="268"/>
      <c r="J150" s="268"/>
      <c r="K150" s="268"/>
      <c r="L150" s="268"/>
      <c r="M150" s="268"/>
      <c r="N150" s="268"/>
      <c r="O150" s="268"/>
      <c r="Q150" s="84">
        <f>M1-L133</f>
        <v>4034495.9149199985</v>
      </c>
    </row>
    <row r="151" spans="3:17" ht="22.5" customHeight="1" x14ac:dyDescent="0.3">
      <c r="C151" s="268"/>
      <c r="D151" s="268"/>
      <c r="E151" s="268"/>
      <c r="F151" s="268"/>
      <c r="G151" s="268"/>
      <c r="H151" s="268"/>
      <c r="I151" s="268"/>
      <c r="J151" s="268"/>
      <c r="K151" s="268"/>
      <c r="L151" s="268"/>
      <c r="M151" s="268"/>
      <c r="N151" s="268"/>
      <c r="O151" s="268"/>
    </row>
    <row r="152" spans="3:17" ht="5.25" customHeight="1" x14ac:dyDescent="0.3">
      <c r="C152" s="268"/>
      <c r="D152" s="268"/>
      <c r="E152" s="268"/>
      <c r="F152" s="268"/>
      <c r="G152" s="268"/>
      <c r="H152" s="268"/>
      <c r="I152" s="268"/>
      <c r="J152" s="268"/>
      <c r="K152" s="268"/>
      <c r="L152" s="268"/>
      <c r="M152" s="268"/>
      <c r="N152" s="268"/>
      <c r="O152" s="268"/>
    </row>
    <row r="153" spans="3:17" ht="15" hidden="1" customHeight="1" x14ac:dyDescent="0.3">
      <c r="C153" s="268"/>
      <c r="D153" s="268"/>
      <c r="E153" s="268"/>
      <c r="F153" s="268"/>
      <c r="G153" s="268"/>
      <c r="H153" s="268"/>
      <c r="I153" s="268"/>
      <c r="J153" s="268"/>
      <c r="K153" s="268"/>
      <c r="L153" s="268"/>
      <c r="M153" s="268"/>
      <c r="N153" s="268"/>
      <c r="O153" s="268"/>
    </row>
    <row r="154" spans="3:17" ht="15" hidden="1" customHeight="1" x14ac:dyDescent="0.3">
      <c r="C154" s="268"/>
      <c r="D154" s="268"/>
      <c r="E154" s="268"/>
      <c r="F154" s="268"/>
      <c r="G154" s="268"/>
      <c r="H154" s="268"/>
      <c r="I154" s="268"/>
      <c r="J154" s="268"/>
      <c r="K154" s="268"/>
      <c r="L154" s="268"/>
      <c r="M154" s="268"/>
      <c r="N154" s="268"/>
      <c r="O154" s="268"/>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H83"/>
  <sheetViews>
    <sheetView tabSelected="1" topLeftCell="A5" zoomScaleNormal="100" workbookViewId="0">
      <selection activeCell="C11" sqref="C11"/>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15.109375" hidden="1" customWidth="1"/>
    <col min="12" max="12" width="15.109375" customWidth="1"/>
    <col min="13" max="13" width="19.5546875" customWidth="1"/>
    <col min="14" max="14" width="5.5546875" bestFit="1" customWidth="1"/>
    <col min="15" max="15" width="43.33203125" bestFit="1" customWidth="1"/>
    <col min="16" max="16" width="17.88671875" bestFit="1" customWidth="1"/>
    <col min="17" max="17" width="14.5546875" bestFit="1" customWidth="1"/>
  </cols>
  <sheetData>
    <row r="1" spans="1:25" ht="27.75" customHeight="1" x14ac:dyDescent="0.3">
      <c r="A1" s="310" t="s">
        <v>328</v>
      </c>
      <c r="B1" s="310"/>
      <c r="C1" s="310"/>
      <c r="D1" s="310"/>
      <c r="E1" s="310"/>
      <c r="F1" s="310"/>
      <c r="G1" s="310"/>
      <c r="H1" s="310"/>
      <c r="I1" s="310"/>
      <c r="J1" s="310"/>
      <c r="K1" s="310"/>
      <c r="L1" s="310"/>
      <c r="M1" s="311"/>
      <c r="P1" s="43"/>
    </row>
    <row r="2" spans="1:25" ht="36.6" customHeight="1" thickBot="1" x14ac:dyDescent="0.35">
      <c r="A2" s="312"/>
      <c r="B2" s="312"/>
      <c r="C2" s="312"/>
      <c r="D2" s="312"/>
      <c r="E2" s="312"/>
      <c r="F2" s="312"/>
      <c r="G2" s="312"/>
      <c r="H2" s="312"/>
      <c r="I2" s="312"/>
      <c r="J2" s="312"/>
      <c r="K2" s="312"/>
      <c r="L2" s="312"/>
      <c r="M2" s="313"/>
      <c r="P2" s="43"/>
    </row>
    <row r="3" spans="1:25" ht="109.95" customHeight="1" thickBot="1" x14ac:dyDescent="0.35">
      <c r="A3" s="304" t="s">
        <v>391</v>
      </c>
      <c r="B3" s="305"/>
      <c r="C3" s="305"/>
      <c r="D3" s="305"/>
      <c r="E3" s="305"/>
      <c r="F3" s="305"/>
      <c r="G3" s="305"/>
      <c r="H3" s="305"/>
      <c r="I3" s="305"/>
      <c r="J3" s="305"/>
      <c r="K3" s="305"/>
      <c r="L3" s="305"/>
      <c r="M3" s="306"/>
      <c r="P3" s="43"/>
    </row>
    <row r="4" spans="1:25" s="248" customFormat="1" ht="94.95" customHeight="1" thickBot="1" x14ac:dyDescent="0.35">
      <c r="A4" s="307" t="s">
        <v>392</v>
      </c>
      <c r="B4" s="308"/>
      <c r="C4" s="308"/>
      <c r="D4" s="308"/>
      <c r="E4" s="308"/>
      <c r="F4" s="308"/>
      <c r="G4" s="308"/>
      <c r="H4" s="308"/>
      <c r="I4" s="308"/>
      <c r="J4" s="308"/>
      <c r="K4" s="308"/>
      <c r="L4" s="308"/>
      <c r="M4" s="309"/>
      <c r="N4" s="249"/>
      <c r="O4" s="249"/>
      <c r="P4" s="249"/>
      <c r="Q4" s="249"/>
      <c r="R4" s="249"/>
      <c r="S4" s="249"/>
      <c r="T4" s="249"/>
      <c r="U4" s="249"/>
      <c r="V4" s="249"/>
      <c r="W4" s="249"/>
      <c r="X4" s="249"/>
      <c r="Y4" s="249"/>
    </row>
    <row r="5" spans="1:25" ht="15" customHeight="1" x14ac:dyDescent="0.3">
      <c r="A5" s="266" t="s">
        <v>329</v>
      </c>
      <c r="B5" s="266" t="s">
        <v>330</v>
      </c>
      <c r="C5" s="266" t="s">
        <v>12</v>
      </c>
      <c r="D5" s="266" t="s">
        <v>27</v>
      </c>
      <c r="E5" s="274" t="s">
        <v>356</v>
      </c>
      <c r="F5" s="274" t="s">
        <v>357</v>
      </c>
      <c r="G5" s="274" t="s">
        <v>276</v>
      </c>
      <c r="H5" s="274" t="s">
        <v>389</v>
      </c>
      <c r="I5" s="274" t="s">
        <v>390</v>
      </c>
      <c r="J5" s="314" t="s">
        <v>358</v>
      </c>
      <c r="K5" s="131"/>
      <c r="L5" s="274" t="s">
        <v>359</v>
      </c>
      <c r="M5" s="274" t="s">
        <v>17</v>
      </c>
      <c r="P5" s="43"/>
    </row>
    <row r="6" spans="1:25" ht="28.5" customHeight="1" x14ac:dyDescent="0.3">
      <c r="A6" s="267"/>
      <c r="B6" s="267"/>
      <c r="C6" s="267"/>
      <c r="D6" s="267"/>
      <c r="E6" s="275"/>
      <c r="F6" s="275"/>
      <c r="G6" s="275"/>
      <c r="H6" s="275"/>
      <c r="I6" s="275"/>
      <c r="J6" s="315"/>
      <c r="K6" s="131"/>
      <c r="L6" s="275"/>
      <c r="M6" s="275"/>
      <c r="P6" s="43"/>
    </row>
    <row r="7" spans="1:25" ht="19.5" customHeight="1" thickBot="1" x14ac:dyDescent="0.35">
      <c r="A7" s="318"/>
      <c r="B7" s="318"/>
      <c r="C7" s="318"/>
      <c r="D7" s="318"/>
      <c r="E7" s="317"/>
      <c r="F7" s="317"/>
      <c r="G7" s="317"/>
      <c r="H7" s="317"/>
      <c r="I7" s="317"/>
      <c r="J7" s="316"/>
      <c r="K7" s="209"/>
      <c r="L7" s="317"/>
      <c r="M7" s="317"/>
      <c r="P7" s="43"/>
    </row>
    <row r="8" spans="1:25" x14ac:dyDescent="0.3">
      <c r="A8" s="210" t="s">
        <v>113</v>
      </c>
      <c r="B8" s="211"/>
      <c r="C8" s="212" t="s">
        <v>175</v>
      </c>
      <c r="D8" s="136">
        <v>1.0800000000000001E-2</v>
      </c>
      <c r="E8" s="186">
        <v>282914.37972000003</v>
      </c>
      <c r="F8" s="222">
        <v>45856</v>
      </c>
      <c r="G8" s="225">
        <v>-197064.48265741928</v>
      </c>
      <c r="H8" s="242">
        <f>J8/2</f>
        <v>98532.35</v>
      </c>
      <c r="I8" s="245">
        <f>H8</f>
        <v>98532.35</v>
      </c>
      <c r="J8" s="226">
        <f>ROUND((-G8),0)+N8</f>
        <v>197064.7</v>
      </c>
      <c r="K8" s="225">
        <v>-85849.897062580741</v>
      </c>
      <c r="L8" s="225">
        <f>-K8</f>
        <v>85849.897062580741</v>
      </c>
      <c r="M8" s="187">
        <f>ROUND((J8+L8),0) + N8</f>
        <v>282915.7</v>
      </c>
      <c r="N8" s="115">
        <v>0.7</v>
      </c>
      <c r="P8" s="265"/>
      <c r="Q8" s="265"/>
    </row>
    <row r="9" spans="1:25" x14ac:dyDescent="0.3">
      <c r="A9" s="210" t="s">
        <v>336</v>
      </c>
      <c r="B9" s="211"/>
      <c r="C9" s="35" t="s">
        <v>337</v>
      </c>
      <c r="D9" s="143">
        <v>1.2800000000000001E-2</v>
      </c>
      <c r="E9" s="145">
        <v>335305.93151999998</v>
      </c>
      <c r="F9" s="222">
        <v>46001</v>
      </c>
      <c r="G9" s="146">
        <v>-34751.379392876712</v>
      </c>
      <c r="H9" s="242">
        <f t="shared" ref="H9:H12" si="0">J9/2</f>
        <v>17375.855</v>
      </c>
      <c r="I9" s="245">
        <f t="shared" ref="I9:I12" si="1">H9</f>
        <v>17375.855</v>
      </c>
      <c r="J9" s="226">
        <f t="shared" ref="J9:J72" si="2">ROUND((-G9),0)+N9</f>
        <v>34751.71</v>
      </c>
      <c r="K9" s="146">
        <v>-300554.55212712329</v>
      </c>
      <c r="L9" s="225">
        <f t="shared" ref="L9:L12" si="3">-K9</f>
        <v>300554.55212712329</v>
      </c>
      <c r="M9" s="187">
        <f t="shared" ref="M9:M12" si="4">ROUND((J9+L9),0) + N9</f>
        <v>335306.71000000002</v>
      </c>
      <c r="N9" s="115">
        <f>N8+0.01</f>
        <v>0.71</v>
      </c>
      <c r="P9" s="265"/>
      <c r="Q9" s="265"/>
    </row>
    <row r="10" spans="1:25" x14ac:dyDescent="0.3">
      <c r="A10" s="210" t="s">
        <v>114</v>
      </c>
      <c r="B10" s="211"/>
      <c r="C10" s="213" t="s">
        <v>394</v>
      </c>
      <c r="D10" s="143">
        <v>1.21E-2</v>
      </c>
      <c r="E10" s="145">
        <v>316968.88838999998</v>
      </c>
      <c r="F10" s="222">
        <v>45856</v>
      </c>
      <c r="G10" s="146">
        <v>-220785.20742173825</v>
      </c>
      <c r="H10" s="242">
        <f t="shared" si="0"/>
        <v>110392.86</v>
      </c>
      <c r="I10" s="245">
        <f t="shared" si="1"/>
        <v>110392.86</v>
      </c>
      <c r="J10" s="226">
        <f t="shared" si="2"/>
        <v>220785.72</v>
      </c>
      <c r="K10" s="146">
        <v>-96183.680968261731</v>
      </c>
      <c r="L10" s="225">
        <f t="shared" si="3"/>
        <v>96183.680968261731</v>
      </c>
      <c r="M10" s="187">
        <f t="shared" si="4"/>
        <v>316969.71999999997</v>
      </c>
      <c r="N10" s="115">
        <f t="shared" ref="N10:N12" si="5">N9+0.01</f>
        <v>0.72</v>
      </c>
      <c r="Q10" s="43"/>
    </row>
    <row r="11" spans="1:25" x14ac:dyDescent="0.3">
      <c r="A11" s="210" t="s">
        <v>115</v>
      </c>
      <c r="B11" s="211"/>
      <c r="C11" s="212" t="s">
        <v>176</v>
      </c>
      <c r="D11" s="143">
        <v>1.49E-2</v>
      </c>
      <c r="E11" s="145">
        <v>390317.06091</v>
      </c>
      <c r="F11" s="222">
        <v>45856</v>
      </c>
      <c r="G11" s="146">
        <v>-271875.99922180991</v>
      </c>
      <c r="H11" s="242">
        <f t="shared" si="0"/>
        <v>135938.36499999999</v>
      </c>
      <c r="I11" s="245">
        <f t="shared" si="1"/>
        <v>135938.36499999999</v>
      </c>
      <c r="J11" s="226">
        <f t="shared" si="2"/>
        <v>271876.73</v>
      </c>
      <c r="K11" s="146">
        <v>-118441.06168819009</v>
      </c>
      <c r="L11" s="225">
        <f t="shared" si="3"/>
        <v>118441.06168819009</v>
      </c>
      <c r="M11" s="187">
        <f t="shared" si="4"/>
        <v>390318.73</v>
      </c>
      <c r="N11" s="115">
        <f t="shared" si="5"/>
        <v>0.73</v>
      </c>
      <c r="Q11" s="43"/>
    </row>
    <row r="12" spans="1:25" ht="15" thickBot="1" x14ac:dyDescent="0.35">
      <c r="A12" s="214" t="s">
        <v>116</v>
      </c>
      <c r="B12" s="215"/>
      <c r="C12" s="216" t="s">
        <v>338</v>
      </c>
      <c r="D12" s="150">
        <v>1.7500000000000002E-2</v>
      </c>
      <c r="E12" s="153">
        <v>458426.07825000002</v>
      </c>
      <c r="F12" s="223">
        <v>45856</v>
      </c>
      <c r="G12" s="154">
        <v>-319317.44875044789</v>
      </c>
      <c r="H12" s="243">
        <f t="shared" si="0"/>
        <v>159658.87</v>
      </c>
      <c r="I12" s="246">
        <f t="shared" si="1"/>
        <v>159658.87</v>
      </c>
      <c r="J12" s="227">
        <f t="shared" si="2"/>
        <v>319317.74</v>
      </c>
      <c r="K12" s="154">
        <v>-139108.62949955213</v>
      </c>
      <c r="L12" s="154">
        <f t="shared" si="3"/>
        <v>139108.62949955213</v>
      </c>
      <c r="M12" s="155">
        <f t="shared" si="4"/>
        <v>458426.74</v>
      </c>
      <c r="N12" s="115">
        <f t="shared" si="5"/>
        <v>0.74</v>
      </c>
      <c r="Q12" s="43"/>
    </row>
    <row r="13" spans="1:25" x14ac:dyDescent="0.3">
      <c r="A13" s="217" t="s">
        <v>44</v>
      </c>
      <c r="B13" s="218">
        <v>25</v>
      </c>
      <c r="C13" s="135" t="s">
        <v>177</v>
      </c>
      <c r="D13" s="136">
        <v>2.12E-2</v>
      </c>
      <c r="E13" s="186">
        <v>555350.44907999993</v>
      </c>
      <c r="F13" s="224">
        <v>45777</v>
      </c>
      <c r="G13" s="187">
        <v>-519626.96981144731</v>
      </c>
      <c r="H13" s="244">
        <f>ROUND((J13/2),0)+N13</f>
        <v>259814.01</v>
      </c>
      <c r="I13" s="247">
        <f>H13</f>
        <v>259814.01</v>
      </c>
      <c r="J13" s="226">
        <f>ROUND((-G13),0)+N13</f>
        <v>519627.01</v>
      </c>
      <c r="K13" s="187">
        <v>-35723.479268552619</v>
      </c>
      <c r="L13" s="187">
        <f>-K13</f>
        <v>35723.479268552619</v>
      </c>
      <c r="M13" s="187">
        <f>ROUND((J13+L13),0) + N13</f>
        <v>555350.01</v>
      </c>
      <c r="N13" s="133">
        <v>0.01</v>
      </c>
      <c r="Q13" s="43"/>
    </row>
    <row r="14" spans="1:25" x14ac:dyDescent="0.3">
      <c r="A14" s="210" t="s">
        <v>45</v>
      </c>
      <c r="B14" s="211"/>
      <c r="C14" s="108" t="s">
        <v>178</v>
      </c>
      <c r="D14" s="136">
        <v>8.3999999999999995E-3</v>
      </c>
      <c r="E14" s="145">
        <v>220044.51755999998</v>
      </c>
      <c r="F14" s="222">
        <v>45775</v>
      </c>
      <c r="G14" s="147">
        <v>-206492.25424856588</v>
      </c>
      <c r="H14" s="244">
        <f t="shared" ref="H14:H77" si="6">ROUND((J14/2),0)+N14</f>
        <v>103246.02</v>
      </c>
      <c r="I14" s="247">
        <f t="shared" ref="I14:I77" si="7">H14</f>
        <v>103246.02</v>
      </c>
      <c r="J14" s="226">
        <f t="shared" si="2"/>
        <v>206492.02</v>
      </c>
      <c r="K14" s="147">
        <v>-13552.263311434101</v>
      </c>
      <c r="L14" s="187">
        <f t="shared" ref="L14:L77" si="8">-K14</f>
        <v>13552.263311434101</v>
      </c>
      <c r="M14" s="187">
        <f t="shared" ref="M14:M77" si="9">ROUND((J14+L14),0) + N14</f>
        <v>220044.02</v>
      </c>
      <c r="N14" s="133">
        <f>N13+0.01</f>
        <v>0.02</v>
      </c>
      <c r="Q14" s="43"/>
    </row>
    <row r="15" spans="1:25" x14ac:dyDescent="0.3">
      <c r="A15" s="210" t="s">
        <v>46</v>
      </c>
      <c r="B15" s="211">
        <v>22</v>
      </c>
      <c r="C15" s="108" t="s">
        <v>179</v>
      </c>
      <c r="D15" s="136">
        <v>2.2499999999999999E-2</v>
      </c>
      <c r="E15" s="145">
        <v>589404.95774999994</v>
      </c>
      <c r="F15" s="222">
        <v>45770</v>
      </c>
      <c r="G15" s="147">
        <v>-557137.66415134736</v>
      </c>
      <c r="H15" s="244">
        <f t="shared" si="6"/>
        <v>278569.03000000003</v>
      </c>
      <c r="I15" s="247">
        <f t="shared" si="7"/>
        <v>278569.03000000003</v>
      </c>
      <c r="J15" s="226">
        <f t="shared" si="2"/>
        <v>557138.03</v>
      </c>
      <c r="K15" s="147">
        <v>-32267.293598652584</v>
      </c>
      <c r="L15" s="187">
        <f t="shared" si="8"/>
        <v>32267.293598652584</v>
      </c>
      <c r="M15" s="187">
        <f t="shared" si="9"/>
        <v>589405.03</v>
      </c>
      <c r="N15" s="133">
        <f t="shared" ref="N15:N78" si="10">N14+0.01</f>
        <v>0.03</v>
      </c>
    </row>
    <row r="16" spans="1:25" x14ac:dyDescent="0.3">
      <c r="A16" s="210" t="s">
        <v>47</v>
      </c>
      <c r="B16" s="211" t="s">
        <v>331</v>
      </c>
      <c r="C16" s="108" t="s">
        <v>180</v>
      </c>
      <c r="D16" s="136">
        <v>1.4E-2</v>
      </c>
      <c r="E16" s="145">
        <v>366740.86259999999</v>
      </c>
      <c r="F16" s="222">
        <v>45805</v>
      </c>
      <c r="G16" s="147">
        <v>-327282.74303127197</v>
      </c>
      <c r="H16" s="244">
        <f t="shared" si="6"/>
        <v>163642.04</v>
      </c>
      <c r="I16" s="247">
        <f t="shared" si="7"/>
        <v>163642.04</v>
      </c>
      <c r="J16" s="226">
        <f t="shared" si="2"/>
        <v>327283.03999999998</v>
      </c>
      <c r="K16" s="147">
        <v>-39458.119568728027</v>
      </c>
      <c r="L16" s="187">
        <f t="shared" si="8"/>
        <v>39458.119568728027</v>
      </c>
      <c r="M16" s="187">
        <f t="shared" si="9"/>
        <v>366741.04</v>
      </c>
      <c r="N16" s="133">
        <f t="shared" si="10"/>
        <v>0.04</v>
      </c>
    </row>
    <row r="17" spans="1:15" x14ac:dyDescent="0.3">
      <c r="A17" s="210" t="s">
        <v>48</v>
      </c>
      <c r="B17" s="211"/>
      <c r="C17" s="108" t="s">
        <v>181</v>
      </c>
      <c r="D17" s="136">
        <v>8.6999999999999994E-3</v>
      </c>
      <c r="E17" s="145">
        <v>227903.25032999998</v>
      </c>
      <c r="F17" s="222">
        <v>45800</v>
      </c>
      <c r="G17" s="147">
        <v>-206069.04832824506</v>
      </c>
      <c r="H17" s="244">
        <f t="shared" si="6"/>
        <v>103035.05</v>
      </c>
      <c r="I17" s="247">
        <f t="shared" si="7"/>
        <v>103035.05</v>
      </c>
      <c r="J17" s="226">
        <f t="shared" si="2"/>
        <v>206069.05</v>
      </c>
      <c r="K17" s="147">
        <v>-21834.202001754922</v>
      </c>
      <c r="L17" s="187">
        <f t="shared" si="8"/>
        <v>21834.202001754922</v>
      </c>
      <c r="M17" s="187">
        <f t="shared" si="9"/>
        <v>227903.05</v>
      </c>
      <c r="N17" s="133">
        <f t="shared" si="10"/>
        <v>0.05</v>
      </c>
    </row>
    <row r="18" spans="1:15" x14ac:dyDescent="0.3">
      <c r="A18" s="210" t="s">
        <v>49</v>
      </c>
      <c r="B18" s="211" t="s">
        <v>332</v>
      </c>
      <c r="C18" s="108" t="s">
        <v>182</v>
      </c>
      <c r="D18" s="136">
        <v>1.41E-2</v>
      </c>
      <c r="E18" s="145">
        <v>369360.44018999999</v>
      </c>
      <c r="F18" s="222">
        <v>45805</v>
      </c>
      <c r="G18" s="147">
        <v>-329620.47691006673</v>
      </c>
      <c r="H18" s="244">
        <f t="shared" si="6"/>
        <v>164810.06</v>
      </c>
      <c r="I18" s="247">
        <f t="shared" si="7"/>
        <v>164810.06</v>
      </c>
      <c r="J18" s="226">
        <f t="shared" si="2"/>
        <v>329620.06</v>
      </c>
      <c r="K18" s="147">
        <v>-39739.963279933261</v>
      </c>
      <c r="L18" s="187">
        <f t="shared" si="8"/>
        <v>39739.963279933261</v>
      </c>
      <c r="M18" s="187">
        <f t="shared" si="9"/>
        <v>369360.06</v>
      </c>
      <c r="N18" s="133">
        <f t="shared" si="10"/>
        <v>6.0000000000000005E-2</v>
      </c>
    </row>
    <row r="19" spans="1:15" x14ac:dyDescent="0.3">
      <c r="A19" s="210" t="s">
        <v>50</v>
      </c>
      <c r="B19" s="211" t="s">
        <v>333</v>
      </c>
      <c r="C19" s="108" t="s">
        <v>339</v>
      </c>
      <c r="D19" s="136">
        <v>2.1100000000000001E-2</v>
      </c>
      <c r="E19" s="145">
        <v>552730.87148999993</v>
      </c>
      <c r="F19" s="222">
        <v>45805</v>
      </c>
      <c r="G19" s="147">
        <v>-493261.84842570277</v>
      </c>
      <c r="H19" s="244">
        <f t="shared" si="6"/>
        <v>246631.07</v>
      </c>
      <c r="I19" s="247">
        <f t="shared" si="7"/>
        <v>246631.07</v>
      </c>
      <c r="J19" s="226">
        <f t="shared" si="2"/>
        <v>493262.07</v>
      </c>
      <c r="K19" s="147">
        <v>-59469.023064297158</v>
      </c>
      <c r="L19" s="187">
        <f t="shared" si="8"/>
        <v>59469.023064297158</v>
      </c>
      <c r="M19" s="187">
        <f t="shared" si="9"/>
        <v>552731.06999999995</v>
      </c>
      <c r="N19" s="133">
        <f t="shared" si="10"/>
        <v>7.0000000000000007E-2</v>
      </c>
    </row>
    <row r="20" spans="1:15" x14ac:dyDescent="0.3">
      <c r="A20" s="210" t="s">
        <v>51</v>
      </c>
      <c r="B20" s="211"/>
      <c r="C20" s="108" t="s">
        <v>340</v>
      </c>
      <c r="D20" s="136">
        <v>7.4000000000000003E-3</v>
      </c>
      <c r="E20" s="145">
        <v>193848.74166</v>
      </c>
      <c r="F20" s="222">
        <v>45839</v>
      </c>
      <c r="G20" s="147">
        <v>-147681.21170563609</v>
      </c>
      <c r="H20" s="244">
        <f t="shared" si="6"/>
        <v>73841.08</v>
      </c>
      <c r="I20" s="247">
        <f t="shared" si="7"/>
        <v>73841.08</v>
      </c>
      <c r="J20" s="226">
        <f t="shared" si="2"/>
        <v>147681.07999999999</v>
      </c>
      <c r="K20" s="147">
        <v>-46167.529954363912</v>
      </c>
      <c r="L20" s="187">
        <f t="shared" si="8"/>
        <v>46167.529954363912</v>
      </c>
      <c r="M20" s="187">
        <f t="shared" si="9"/>
        <v>193849.08</v>
      </c>
      <c r="N20" s="133">
        <f t="shared" si="10"/>
        <v>0.08</v>
      </c>
    </row>
    <row r="21" spans="1:15" x14ac:dyDescent="0.3">
      <c r="A21" s="210" t="s">
        <v>52</v>
      </c>
      <c r="B21" s="211"/>
      <c r="C21" s="108" t="s">
        <v>182</v>
      </c>
      <c r="D21" s="136">
        <v>1.7899999999999999E-2</v>
      </c>
      <c r="E21" s="145">
        <v>468904.38860999997</v>
      </c>
      <c r="F21" s="222">
        <v>45805</v>
      </c>
      <c r="G21" s="147">
        <v>-418454.36430426914</v>
      </c>
      <c r="H21" s="244">
        <f t="shared" si="6"/>
        <v>209227.09</v>
      </c>
      <c r="I21" s="247">
        <f t="shared" si="7"/>
        <v>209227.09</v>
      </c>
      <c r="J21" s="226">
        <f t="shared" si="2"/>
        <v>418454.09</v>
      </c>
      <c r="K21" s="147">
        <v>-50450.024305730825</v>
      </c>
      <c r="L21" s="187">
        <f t="shared" si="8"/>
        <v>50450.024305730825</v>
      </c>
      <c r="M21" s="187">
        <f t="shared" si="9"/>
        <v>468904.09</v>
      </c>
      <c r="N21" s="133">
        <f t="shared" si="10"/>
        <v>0.09</v>
      </c>
    </row>
    <row r="22" spans="1:15" x14ac:dyDescent="0.3">
      <c r="A22" s="210" t="s">
        <v>53</v>
      </c>
      <c r="B22" s="211"/>
      <c r="C22" s="108" t="s">
        <v>183</v>
      </c>
      <c r="D22" s="136">
        <v>9.4000000000000004E-3</v>
      </c>
      <c r="E22" s="145">
        <v>246240.29345999999</v>
      </c>
      <c r="F22" s="222">
        <v>45839</v>
      </c>
      <c r="G22" s="147">
        <v>-187595.05270715937</v>
      </c>
      <c r="H22" s="244">
        <f t="shared" si="6"/>
        <v>93798.1</v>
      </c>
      <c r="I22" s="247">
        <f t="shared" si="7"/>
        <v>93798.1</v>
      </c>
      <c r="J22" s="226">
        <f t="shared" si="2"/>
        <v>187595.1</v>
      </c>
      <c r="K22" s="147">
        <v>-58645.240752840618</v>
      </c>
      <c r="L22" s="187">
        <f t="shared" si="8"/>
        <v>58645.240752840618</v>
      </c>
      <c r="M22" s="187">
        <f t="shared" si="9"/>
        <v>246240.1</v>
      </c>
      <c r="N22" s="133">
        <f t="shared" si="10"/>
        <v>9.9999999999999992E-2</v>
      </c>
    </row>
    <row r="23" spans="1:15" x14ac:dyDescent="0.3">
      <c r="A23" s="210" t="s">
        <v>54</v>
      </c>
      <c r="B23" s="211"/>
      <c r="C23" s="108" t="s">
        <v>341</v>
      </c>
      <c r="D23" s="136">
        <v>8.6999999999999994E-3</v>
      </c>
      <c r="E23" s="145">
        <v>227903.25032999998</v>
      </c>
      <c r="F23" s="222">
        <v>45839</v>
      </c>
      <c r="G23" s="147">
        <v>-173625.20835662619</v>
      </c>
      <c r="H23" s="244">
        <f t="shared" si="6"/>
        <v>86813.11</v>
      </c>
      <c r="I23" s="247">
        <f t="shared" si="7"/>
        <v>86813.11</v>
      </c>
      <c r="J23" s="226">
        <f t="shared" si="2"/>
        <v>173625.11</v>
      </c>
      <c r="K23" s="147">
        <v>-54278.041973373794</v>
      </c>
      <c r="L23" s="187">
        <f t="shared" si="8"/>
        <v>54278.041973373794</v>
      </c>
      <c r="M23" s="187">
        <f t="shared" si="9"/>
        <v>227903.11</v>
      </c>
      <c r="N23" s="133">
        <f t="shared" si="10"/>
        <v>0.10999999999999999</v>
      </c>
    </row>
    <row r="24" spans="1:15" x14ac:dyDescent="0.3">
      <c r="A24" s="210" t="s">
        <v>55</v>
      </c>
      <c r="B24" s="211"/>
      <c r="C24" s="108" t="s">
        <v>183</v>
      </c>
      <c r="D24" s="136">
        <v>9.4999999999999998E-3</v>
      </c>
      <c r="E24" s="145">
        <v>248859.87104999999</v>
      </c>
      <c r="F24" s="222">
        <v>45839</v>
      </c>
      <c r="G24" s="147">
        <v>-189590.74475723552</v>
      </c>
      <c r="H24" s="244">
        <f t="shared" si="6"/>
        <v>94796.12</v>
      </c>
      <c r="I24" s="247">
        <f t="shared" si="7"/>
        <v>94796.12</v>
      </c>
      <c r="J24" s="226">
        <f t="shared" si="2"/>
        <v>189591.12</v>
      </c>
      <c r="K24" s="147">
        <v>-59269.126292764471</v>
      </c>
      <c r="L24" s="187">
        <f t="shared" si="8"/>
        <v>59269.126292764471</v>
      </c>
      <c r="M24" s="187">
        <f t="shared" si="9"/>
        <v>248860.12</v>
      </c>
      <c r="N24" s="133">
        <f t="shared" si="10"/>
        <v>0.11999999999999998</v>
      </c>
    </row>
    <row r="25" spans="1:15" x14ac:dyDescent="0.3">
      <c r="A25" s="210" t="s">
        <v>56</v>
      </c>
      <c r="B25" s="211"/>
      <c r="C25" s="108" t="s">
        <v>184</v>
      </c>
      <c r="D25" s="136">
        <v>1.6400000000000001E-2</v>
      </c>
      <c r="E25" s="145">
        <v>429610.72476000001</v>
      </c>
      <c r="F25" s="222">
        <v>45775</v>
      </c>
      <c r="G25" s="147">
        <v>-403151.54400910489</v>
      </c>
      <c r="H25" s="244">
        <f t="shared" si="6"/>
        <v>201576.13</v>
      </c>
      <c r="I25" s="247">
        <f t="shared" si="7"/>
        <v>201576.13</v>
      </c>
      <c r="J25" s="226">
        <f t="shared" si="2"/>
        <v>403152.13</v>
      </c>
      <c r="K25" s="147">
        <v>-26459.180750895117</v>
      </c>
      <c r="L25" s="187">
        <f t="shared" si="8"/>
        <v>26459.180750895117</v>
      </c>
      <c r="M25" s="187">
        <f t="shared" si="9"/>
        <v>429611.13</v>
      </c>
      <c r="N25" s="133">
        <f t="shared" si="10"/>
        <v>0.12999999999999998</v>
      </c>
    </row>
    <row r="26" spans="1:15" x14ac:dyDescent="0.3">
      <c r="A26" s="210" t="s">
        <v>57</v>
      </c>
      <c r="B26" s="211"/>
      <c r="C26" s="108" t="s">
        <v>342</v>
      </c>
      <c r="D26" s="136">
        <v>7.3000000000000001E-3</v>
      </c>
      <c r="E26" s="145">
        <v>191229.16407</v>
      </c>
      <c r="F26" s="222">
        <v>45800</v>
      </c>
      <c r="G26" s="147">
        <v>-172908.51181565388</v>
      </c>
      <c r="H26" s="244">
        <f t="shared" si="6"/>
        <v>86455.14</v>
      </c>
      <c r="I26" s="247">
        <f t="shared" si="7"/>
        <v>86455.14</v>
      </c>
      <c r="J26" s="226">
        <f t="shared" si="2"/>
        <v>172909.14</v>
      </c>
      <c r="K26" s="147">
        <v>-18320.652254346118</v>
      </c>
      <c r="L26" s="187">
        <f t="shared" si="8"/>
        <v>18320.652254346118</v>
      </c>
      <c r="M26" s="187">
        <f t="shared" si="9"/>
        <v>191230.14</v>
      </c>
      <c r="N26" s="133">
        <f t="shared" si="10"/>
        <v>0.13999999999999999</v>
      </c>
    </row>
    <row r="27" spans="1:15" x14ac:dyDescent="0.3">
      <c r="A27" s="210" t="s">
        <v>58</v>
      </c>
      <c r="B27" s="219" t="s">
        <v>334</v>
      </c>
      <c r="C27" s="108" t="s">
        <v>185</v>
      </c>
      <c r="D27" s="136">
        <v>2.1999999999999999E-2</v>
      </c>
      <c r="E27" s="145">
        <v>576307.06979999994</v>
      </c>
      <c r="F27" s="222">
        <v>45775</v>
      </c>
      <c r="G27" s="147">
        <v>-540813.04684148217</v>
      </c>
      <c r="H27" s="244">
        <f t="shared" si="6"/>
        <v>270407.15000000002</v>
      </c>
      <c r="I27" s="247">
        <f t="shared" si="7"/>
        <v>270407.15000000002</v>
      </c>
      <c r="J27" s="226">
        <f t="shared" si="2"/>
        <v>540813.15</v>
      </c>
      <c r="K27" s="147">
        <v>-35494.022958517773</v>
      </c>
      <c r="L27" s="187">
        <f t="shared" si="8"/>
        <v>35494.022958517773</v>
      </c>
      <c r="M27" s="187">
        <f t="shared" si="9"/>
        <v>576307.15</v>
      </c>
      <c r="N27" s="133">
        <f t="shared" si="10"/>
        <v>0.15</v>
      </c>
    </row>
    <row r="28" spans="1:15" x14ac:dyDescent="0.3">
      <c r="A28" s="210" t="s">
        <v>59</v>
      </c>
      <c r="B28" s="211"/>
      <c r="C28" s="108" t="s">
        <v>183</v>
      </c>
      <c r="D28" s="136">
        <v>9.4000000000000004E-3</v>
      </c>
      <c r="E28" s="145">
        <v>246240.29345999999</v>
      </c>
      <c r="F28" s="222">
        <v>45839</v>
      </c>
      <c r="G28" s="147">
        <v>-187595.05270715937</v>
      </c>
      <c r="H28" s="244">
        <f t="shared" si="6"/>
        <v>93798.16</v>
      </c>
      <c r="I28" s="247">
        <f t="shared" si="7"/>
        <v>93798.16</v>
      </c>
      <c r="J28" s="226">
        <f t="shared" si="2"/>
        <v>187595.16</v>
      </c>
      <c r="K28" s="147">
        <v>-58645.240752840618</v>
      </c>
      <c r="L28" s="187">
        <f t="shared" si="8"/>
        <v>58645.240752840618</v>
      </c>
      <c r="M28" s="187">
        <f t="shared" si="9"/>
        <v>246240.16</v>
      </c>
      <c r="N28" s="133">
        <f t="shared" si="10"/>
        <v>0.16</v>
      </c>
      <c r="O28" t="s">
        <v>314</v>
      </c>
    </row>
    <row r="29" spans="1:15" x14ac:dyDescent="0.3">
      <c r="A29" s="210" t="s">
        <v>60</v>
      </c>
      <c r="B29" s="211"/>
      <c r="C29" s="108" t="s">
        <v>343</v>
      </c>
      <c r="D29" s="136">
        <v>8.6999999999999994E-3</v>
      </c>
      <c r="E29" s="145">
        <v>227903.25032999998</v>
      </c>
      <c r="F29" s="222">
        <v>45839</v>
      </c>
      <c r="G29" s="147">
        <v>-173625.20835662619</v>
      </c>
      <c r="H29" s="244">
        <f t="shared" si="6"/>
        <v>86813.17</v>
      </c>
      <c r="I29" s="247">
        <f t="shared" si="7"/>
        <v>86813.17</v>
      </c>
      <c r="J29" s="226">
        <f t="shared" si="2"/>
        <v>173625.17</v>
      </c>
      <c r="K29" s="147">
        <v>-54278.041973373794</v>
      </c>
      <c r="L29" s="187">
        <f t="shared" si="8"/>
        <v>54278.041973373794</v>
      </c>
      <c r="M29" s="187">
        <f t="shared" si="9"/>
        <v>227903.17</v>
      </c>
      <c r="N29" s="133">
        <f t="shared" si="10"/>
        <v>0.17</v>
      </c>
    </row>
    <row r="30" spans="1:15" x14ac:dyDescent="0.3">
      <c r="A30" s="210" t="s">
        <v>61</v>
      </c>
      <c r="B30" s="211"/>
      <c r="C30" s="108" t="s">
        <v>183</v>
      </c>
      <c r="D30" s="136">
        <v>9.4999999999999998E-3</v>
      </c>
      <c r="E30" s="145">
        <v>248859.87104999999</v>
      </c>
      <c r="F30" s="222">
        <v>45839</v>
      </c>
      <c r="G30" s="147">
        <v>-189590.74475723552</v>
      </c>
      <c r="H30" s="244">
        <f t="shared" si="6"/>
        <v>94796.18</v>
      </c>
      <c r="I30" s="247">
        <f t="shared" si="7"/>
        <v>94796.18</v>
      </c>
      <c r="J30" s="226">
        <f t="shared" si="2"/>
        <v>189591.18</v>
      </c>
      <c r="K30" s="147">
        <v>-59269.126292764471</v>
      </c>
      <c r="L30" s="187">
        <f t="shared" si="8"/>
        <v>59269.126292764471</v>
      </c>
      <c r="M30" s="187">
        <f t="shared" si="9"/>
        <v>248860.18</v>
      </c>
      <c r="N30" s="133">
        <f t="shared" si="10"/>
        <v>0.18000000000000002</v>
      </c>
    </row>
    <row r="31" spans="1:15" x14ac:dyDescent="0.3">
      <c r="A31" s="210" t="s">
        <v>62</v>
      </c>
      <c r="B31" s="211"/>
      <c r="C31" s="108" t="s">
        <v>186</v>
      </c>
      <c r="D31" s="136">
        <v>1.6400000000000001E-2</v>
      </c>
      <c r="E31" s="145">
        <v>429610.72476000001</v>
      </c>
      <c r="F31" s="222">
        <v>45800</v>
      </c>
      <c r="G31" s="147">
        <v>-388451.99914749648</v>
      </c>
      <c r="H31" s="244">
        <f t="shared" si="6"/>
        <v>194226.19</v>
      </c>
      <c r="I31" s="247">
        <f t="shared" si="7"/>
        <v>194226.19</v>
      </c>
      <c r="J31" s="226">
        <f t="shared" si="2"/>
        <v>388452.19</v>
      </c>
      <c r="K31" s="147">
        <v>-41158.725612503535</v>
      </c>
      <c r="L31" s="187">
        <f t="shared" si="8"/>
        <v>41158.725612503535</v>
      </c>
      <c r="M31" s="187">
        <f t="shared" si="9"/>
        <v>429611.19</v>
      </c>
      <c r="N31" s="133">
        <f t="shared" si="10"/>
        <v>0.19000000000000003</v>
      </c>
      <c r="O31" t="s">
        <v>312</v>
      </c>
    </row>
    <row r="32" spans="1:15" x14ac:dyDescent="0.3">
      <c r="A32" s="210" t="s">
        <v>63</v>
      </c>
      <c r="B32" s="211">
        <v>16</v>
      </c>
      <c r="C32" s="108" t="s">
        <v>222</v>
      </c>
      <c r="D32" s="136">
        <v>9.6000000000000009E-3</v>
      </c>
      <c r="E32" s="145">
        <v>251479.44864000002</v>
      </c>
      <c r="F32" s="222">
        <v>45805</v>
      </c>
      <c r="G32" s="147">
        <v>-224422.45236430079</v>
      </c>
      <c r="H32" s="244">
        <f t="shared" si="6"/>
        <v>112211.2</v>
      </c>
      <c r="I32" s="247">
        <f t="shared" si="7"/>
        <v>112211.2</v>
      </c>
      <c r="J32" s="226">
        <f t="shared" si="2"/>
        <v>224422.2</v>
      </c>
      <c r="K32" s="147">
        <v>-27056.996275699232</v>
      </c>
      <c r="L32" s="187">
        <f t="shared" si="8"/>
        <v>27056.996275699232</v>
      </c>
      <c r="M32" s="187">
        <f t="shared" si="9"/>
        <v>251479.2</v>
      </c>
      <c r="N32" s="133">
        <f t="shared" si="10"/>
        <v>0.20000000000000004</v>
      </c>
    </row>
    <row r="33" spans="1:112" s="140" customFormat="1" x14ac:dyDescent="0.3">
      <c r="A33" s="210" t="s">
        <v>64</v>
      </c>
      <c r="B33" s="211">
        <v>6</v>
      </c>
      <c r="C33" s="108" t="s">
        <v>187</v>
      </c>
      <c r="D33" s="136">
        <v>1.9699999999999999E-2</v>
      </c>
      <c r="E33" s="145">
        <v>516056.78522999992</v>
      </c>
      <c r="F33" s="222">
        <v>45805</v>
      </c>
      <c r="G33" s="147">
        <v>-460533.57412257558</v>
      </c>
      <c r="H33" s="244">
        <f t="shared" si="6"/>
        <v>230267.21</v>
      </c>
      <c r="I33" s="247">
        <f t="shared" si="7"/>
        <v>230267.21</v>
      </c>
      <c r="J33" s="226">
        <f t="shared" si="2"/>
        <v>460534.21</v>
      </c>
      <c r="K33" s="147">
        <v>-55523.211107424344</v>
      </c>
      <c r="L33" s="187">
        <f t="shared" si="8"/>
        <v>55523.211107424344</v>
      </c>
      <c r="M33" s="187">
        <f t="shared" si="9"/>
        <v>516057.21</v>
      </c>
      <c r="N33" s="172">
        <f t="shared" si="10"/>
        <v>0.21000000000000005</v>
      </c>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row>
    <row r="34" spans="1:112" s="140" customFormat="1" x14ac:dyDescent="0.3">
      <c r="A34" s="210" t="s">
        <v>65</v>
      </c>
      <c r="B34" s="211"/>
      <c r="C34" s="108" t="s">
        <v>183</v>
      </c>
      <c r="D34" s="136">
        <v>9.4000000000000004E-3</v>
      </c>
      <c r="E34" s="145">
        <v>246240.29345999999</v>
      </c>
      <c r="F34" s="222">
        <v>45839</v>
      </c>
      <c r="G34" s="147">
        <v>-187595.05270715937</v>
      </c>
      <c r="H34" s="244">
        <f t="shared" si="6"/>
        <v>93798.22</v>
      </c>
      <c r="I34" s="247">
        <f t="shared" si="7"/>
        <v>93798.22</v>
      </c>
      <c r="J34" s="226">
        <f t="shared" si="2"/>
        <v>187595.22</v>
      </c>
      <c r="K34" s="147">
        <v>-58645.240752840618</v>
      </c>
      <c r="L34" s="187">
        <f t="shared" si="8"/>
        <v>58645.240752840618</v>
      </c>
      <c r="M34" s="187">
        <f t="shared" si="9"/>
        <v>246240.22</v>
      </c>
      <c r="N34" s="172">
        <f t="shared" si="10"/>
        <v>0.22000000000000006</v>
      </c>
      <c r="O34" s="73" t="s">
        <v>313</v>
      </c>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row>
    <row r="35" spans="1:112" s="140" customFormat="1" x14ac:dyDescent="0.3">
      <c r="A35" s="210" t="s">
        <v>66</v>
      </c>
      <c r="B35" s="211">
        <v>31</v>
      </c>
      <c r="C35" s="108" t="s">
        <v>344</v>
      </c>
      <c r="D35" s="136">
        <v>1.0999999999999999E-2</v>
      </c>
      <c r="E35" s="145">
        <v>288153.53489999997</v>
      </c>
      <c r="F35" s="222">
        <v>45839</v>
      </c>
      <c r="G35" s="147">
        <v>-219526.12550837794</v>
      </c>
      <c r="H35" s="244">
        <f t="shared" si="6"/>
        <v>109763.23</v>
      </c>
      <c r="I35" s="247">
        <f t="shared" si="7"/>
        <v>109763.23</v>
      </c>
      <c r="J35" s="226">
        <f t="shared" si="2"/>
        <v>219526.23</v>
      </c>
      <c r="K35" s="147">
        <v>-68627.40939162203</v>
      </c>
      <c r="L35" s="187">
        <f t="shared" si="8"/>
        <v>68627.40939162203</v>
      </c>
      <c r="M35" s="187">
        <f t="shared" si="9"/>
        <v>288154.23</v>
      </c>
      <c r="N35" s="172">
        <f t="shared" si="10"/>
        <v>0.23000000000000007</v>
      </c>
      <c r="O35" s="73" t="s">
        <v>296</v>
      </c>
      <c r="P35" s="73"/>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row>
    <row r="36" spans="1:112" s="140" customFormat="1" x14ac:dyDescent="0.3">
      <c r="A36" s="210" t="s">
        <v>67</v>
      </c>
      <c r="B36" s="211"/>
      <c r="C36" s="108" t="s">
        <v>183</v>
      </c>
      <c r="D36" s="136">
        <v>9.4999999999999998E-3</v>
      </c>
      <c r="E36" s="145">
        <v>248859.87104999999</v>
      </c>
      <c r="F36" s="222">
        <v>45839</v>
      </c>
      <c r="G36" s="147">
        <v>-189590.74475723552</v>
      </c>
      <c r="H36" s="244">
        <f t="shared" si="6"/>
        <v>94796.24</v>
      </c>
      <c r="I36" s="247">
        <f t="shared" si="7"/>
        <v>94796.24</v>
      </c>
      <c r="J36" s="226">
        <f t="shared" si="2"/>
        <v>189591.24</v>
      </c>
      <c r="K36" s="147">
        <v>-59269.126292764471</v>
      </c>
      <c r="L36" s="187">
        <f t="shared" si="8"/>
        <v>59269.126292764471</v>
      </c>
      <c r="M36" s="187">
        <f t="shared" si="9"/>
        <v>248860.24</v>
      </c>
      <c r="N36" s="172">
        <f t="shared" si="10"/>
        <v>0.24000000000000007</v>
      </c>
      <c r="O36" s="73"/>
      <c r="P36" s="73"/>
      <c r="Q36" s="73"/>
      <c r="R36" s="73"/>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row>
    <row r="37" spans="1:112" x14ac:dyDescent="0.3">
      <c r="A37" s="210" t="s">
        <v>68</v>
      </c>
      <c r="B37" s="211">
        <v>28</v>
      </c>
      <c r="C37" s="108" t="s">
        <v>188</v>
      </c>
      <c r="D37" s="136">
        <v>1.8700000000000001E-2</v>
      </c>
      <c r="E37" s="145">
        <v>489861.00933000003</v>
      </c>
      <c r="F37" s="222">
        <v>45786</v>
      </c>
      <c r="G37" s="147">
        <v>-452316.22060054552</v>
      </c>
      <c r="H37" s="244">
        <f t="shared" si="6"/>
        <v>226158.25</v>
      </c>
      <c r="I37" s="247">
        <f t="shared" si="7"/>
        <v>226158.25</v>
      </c>
      <c r="J37" s="226">
        <f t="shared" si="2"/>
        <v>452316.25</v>
      </c>
      <c r="K37" s="147">
        <v>-37544.788729454507</v>
      </c>
      <c r="L37" s="187">
        <f t="shared" si="8"/>
        <v>37544.788729454507</v>
      </c>
      <c r="M37" s="187">
        <f t="shared" si="9"/>
        <v>489861.25</v>
      </c>
      <c r="N37" s="133">
        <f t="shared" si="10"/>
        <v>0.25000000000000006</v>
      </c>
    </row>
    <row r="38" spans="1:112" x14ac:dyDescent="0.3">
      <c r="A38" s="210" t="s">
        <v>69</v>
      </c>
      <c r="B38" s="211"/>
      <c r="C38" s="108" t="s">
        <v>345</v>
      </c>
      <c r="D38" s="136">
        <v>7.3000000000000001E-3</v>
      </c>
      <c r="E38" s="145">
        <v>191229.16407</v>
      </c>
      <c r="F38" s="222">
        <v>45789</v>
      </c>
      <c r="G38" s="147">
        <v>-175787.47145562258</v>
      </c>
      <c r="H38" s="244">
        <f t="shared" si="6"/>
        <v>87894.26</v>
      </c>
      <c r="I38" s="247">
        <f t="shared" si="7"/>
        <v>87894.26</v>
      </c>
      <c r="J38" s="226">
        <f t="shared" si="2"/>
        <v>175787.26</v>
      </c>
      <c r="K38" s="147">
        <v>-15441.692614377418</v>
      </c>
      <c r="L38" s="187">
        <f t="shared" si="8"/>
        <v>15441.692614377418</v>
      </c>
      <c r="M38" s="187">
        <f t="shared" si="9"/>
        <v>191229.26</v>
      </c>
      <c r="N38" s="133">
        <f t="shared" si="10"/>
        <v>0.26000000000000006</v>
      </c>
    </row>
    <row r="39" spans="1:112" x14ac:dyDescent="0.3">
      <c r="A39" s="210" t="s">
        <v>70</v>
      </c>
      <c r="B39" s="211">
        <v>33</v>
      </c>
      <c r="C39" s="108" t="s">
        <v>190</v>
      </c>
      <c r="D39" s="136">
        <v>1.9699999999999999E-2</v>
      </c>
      <c r="E39" s="145">
        <v>516056.78522999992</v>
      </c>
      <c r="F39" s="222">
        <v>45793</v>
      </c>
      <c r="G39" s="147">
        <v>-471560.18735745805</v>
      </c>
      <c r="H39" s="244">
        <f t="shared" si="6"/>
        <v>235780.27</v>
      </c>
      <c r="I39" s="247">
        <f t="shared" si="7"/>
        <v>235780.27</v>
      </c>
      <c r="J39" s="226">
        <f t="shared" si="2"/>
        <v>471560.27</v>
      </c>
      <c r="K39" s="147">
        <v>-44496.597872541868</v>
      </c>
      <c r="L39" s="187">
        <f t="shared" si="8"/>
        <v>44496.597872541868</v>
      </c>
      <c r="M39" s="187">
        <f t="shared" si="9"/>
        <v>516057.27</v>
      </c>
      <c r="N39" s="133">
        <f t="shared" si="10"/>
        <v>0.27000000000000007</v>
      </c>
      <c r="O39" t="s">
        <v>263</v>
      </c>
      <c r="P39" t="s">
        <v>263</v>
      </c>
    </row>
    <row r="40" spans="1:112" x14ac:dyDescent="0.3">
      <c r="A40" s="210" t="s">
        <v>71</v>
      </c>
      <c r="B40" s="211">
        <v>44</v>
      </c>
      <c r="C40" s="108" t="s">
        <v>346</v>
      </c>
      <c r="D40" s="136">
        <v>1.17E-2</v>
      </c>
      <c r="E40" s="145">
        <v>306490.57802999998</v>
      </c>
      <c r="F40" s="222">
        <v>45800</v>
      </c>
      <c r="G40" s="147">
        <v>-277127.3408552261</v>
      </c>
      <c r="H40" s="244">
        <f t="shared" si="6"/>
        <v>138564.28</v>
      </c>
      <c r="I40" s="247">
        <f t="shared" si="7"/>
        <v>138564.28</v>
      </c>
      <c r="J40" s="226">
        <f t="shared" si="2"/>
        <v>277127.28000000003</v>
      </c>
      <c r="K40" s="147">
        <v>-29363.23717477388</v>
      </c>
      <c r="L40" s="187">
        <f t="shared" si="8"/>
        <v>29363.23717477388</v>
      </c>
      <c r="M40" s="187">
        <f t="shared" si="9"/>
        <v>306491.28000000003</v>
      </c>
      <c r="N40" s="133">
        <f t="shared" si="10"/>
        <v>0.28000000000000008</v>
      </c>
    </row>
    <row r="41" spans="1:112" x14ac:dyDescent="0.3">
      <c r="A41" s="210" t="s">
        <v>72</v>
      </c>
      <c r="B41" s="211"/>
      <c r="C41" s="108" t="s">
        <v>181</v>
      </c>
      <c r="D41" s="136">
        <v>8.6999999999999994E-3</v>
      </c>
      <c r="E41" s="145">
        <v>227903.25032999998</v>
      </c>
      <c r="F41" s="222">
        <v>45800</v>
      </c>
      <c r="G41" s="147">
        <v>-206069.04832824506</v>
      </c>
      <c r="H41" s="244">
        <f t="shared" si="6"/>
        <v>103035.29</v>
      </c>
      <c r="I41" s="247">
        <f t="shared" si="7"/>
        <v>103035.29</v>
      </c>
      <c r="J41" s="226">
        <f t="shared" si="2"/>
        <v>206069.29</v>
      </c>
      <c r="K41" s="147">
        <v>-21834.202001754922</v>
      </c>
      <c r="L41" s="187">
        <f t="shared" si="8"/>
        <v>21834.202001754922</v>
      </c>
      <c r="M41" s="187">
        <f t="shared" si="9"/>
        <v>227903.29</v>
      </c>
      <c r="N41" s="133">
        <f t="shared" si="10"/>
        <v>0.29000000000000009</v>
      </c>
    </row>
    <row r="42" spans="1:112" x14ac:dyDescent="0.3">
      <c r="A42" s="210" t="s">
        <v>73</v>
      </c>
      <c r="B42" s="211"/>
      <c r="C42" s="108" t="s">
        <v>347</v>
      </c>
      <c r="D42" s="136">
        <v>9.4999999999999998E-3</v>
      </c>
      <c r="E42" s="145">
        <v>248859.87104999999</v>
      </c>
      <c r="F42" s="222">
        <v>45800</v>
      </c>
      <c r="G42" s="147">
        <v>-225017.92633544002</v>
      </c>
      <c r="H42" s="244">
        <f t="shared" si="6"/>
        <v>112509.3</v>
      </c>
      <c r="I42" s="247">
        <f t="shared" si="7"/>
        <v>112509.3</v>
      </c>
      <c r="J42" s="226">
        <f t="shared" si="2"/>
        <v>225018.3</v>
      </c>
      <c r="K42" s="147">
        <v>-23841.94471455997</v>
      </c>
      <c r="L42" s="187">
        <f t="shared" si="8"/>
        <v>23841.94471455997</v>
      </c>
      <c r="M42" s="187">
        <f t="shared" si="9"/>
        <v>248860.3</v>
      </c>
      <c r="N42" s="133">
        <f t="shared" si="10"/>
        <v>0.3000000000000001</v>
      </c>
    </row>
    <row r="43" spans="1:112" x14ac:dyDescent="0.3">
      <c r="A43" s="210" t="s">
        <v>74</v>
      </c>
      <c r="B43" s="211">
        <v>7</v>
      </c>
      <c r="C43" s="108" t="s">
        <v>192</v>
      </c>
      <c r="D43" s="136">
        <v>1.8700000000000001E-2</v>
      </c>
      <c r="E43" s="145">
        <v>489861.00933000003</v>
      </c>
      <c r="F43" s="222">
        <v>45806</v>
      </c>
      <c r="G43" s="147">
        <v>-435275.0052766751</v>
      </c>
      <c r="H43" s="244">
        <f t="shared" si="6"/>
        <v>217638.31</v>
      </c>
      <c r="I43" s="247">
        <f t="shared" si="7"/>
        <v>217638.31</v>
      </c>
      <c r="J43" s="226">
        <f t="shared" si="2"/>
        <v>435275.31</v>
      </c>
      <c r="K43" s="147">
        <v>-54586.004053324927</v>
      </c>
      <c r="L43" s="187">
        <f t="shared" si="8"/>
        <v>54586.004053324927</v>
      </c>
      <c r="M43" s="187">
        <f t="shared" si="9"/>
        <v>489861.31</v>
      </c>
      <c r="N43" s="133">
        <f t="shared" si="10"/>
        <v>0.31000000000000011</v>
      </c>
    </row>
    <row r="44" spans="1:112" x14ac:dyDescent="0.3">
      <c r="A44" s="210" t="s">
        <v>75</v>
      </c>
      <c r="B44" s="211">
        <v>3</v>
      </c>
      <c r="C44" s="108" t="s">
        <v>193</v>
      </c>
      <c r="D44" s="136">
        <v>9.6000000000000009E-3</v>
      </c>
      <c r="E44" s="145">
        <v>251479.44864000002</v>
      </c>
      <c r="F44" s="222">
        <v>45775</v>
      </c>
      <c r="G44" s="147">
        <v>-235991.14771264675</v>
      </c>
      <c r="H44" s="244">
        <f t="shared" si="6"/>
        <v>117996.32</v>
      </c>
      <c r="I44" s="247">
        <f t="shared" si="7"/>
        <v>117996.32</v>
      </c>
      <c r="J44" s="226">
        <f t="shared" si="2"/>
        <v>235991.32</v>
      </c>
      <c r="K44" s="147">
        <v>-15488.300927353266</v>
      </c>
      <c r="L44" s="187">
        <f t="shared" si="8"/>
        <v>15488.300927353266</v>
      </c>
      <c r="M44" s="187">
        <f t="shared" si="9"/>
        <v>251480.32000000001</v>
      </c>
      <c r="N44" s="133">
        <f t="shared" si="10"/>
        <v>0.32000000000000012</v>
      </c>
      <c r="O44" s="43"/>
    </row>
    <row r="45" spans="1:112" x14ac:dyDescent="0.3">
      <c r="A45" s="210" t="s">
        <v>76</v>
      </c>
      <c r="B45" s="211">
        <v>24</v>
      </c>
      <c r="C45" s="108" t="s">
        <v>194</v>
      </c>
      <c r="D45" s="136">
        <v>1.9699999999999999E-2</v>
      </c>
      <c r="E45" s="145">
        <v>516056.78522999992</v>
      </c>
      <c r="F45" s="222">
        <v>45793</v>
      </c>
      <c r="G45" s="147">
        <v>-471560.18735745805</v>
      </c>
      <c r="H45" s="244">
        <f t="shared" si="6"/>
        <v>235780.33</v>
      </c>
      <c r="I45" s="247">
        <f t="shared" si="7"/>
        <v>235780.33</v>
      </c>
      <c r="J45" s="226">
        <f t="shared" si="2"/>
        <v>471560.33</v>
      </c>
      <c r="K45" s="147">
        <v>-44496.597872541868</v>
      </c>
      <c r="L45" s="187">
        <f t="shared" si="8"/>
        <v>44496.597872541868</v>
      </c>
      <c r="M45" s="187">
        <f t="shared" si="9"/>
        <v>516057.33</v>
      </c>
      <c r="N45" s="133">
        <f t="shared" si="10"/>
        <v>0.33000000000000013</v>
      </c>
      <c r="O45" s="43"/>
    </row>
    <row r="46" spans="1:112" x14ac:dyDescent="0.3">
      <c r="A46" s="210" t="s">
        <v>77</v>
      </c>
      <c r="B46" s="211"/>
      <c r="C46" s="108" t="s">
        <v>348</v>
      </c>
      <c r="D46" s="136">
        <v>9.4000000000000004E-3</v>
      </c>
      <c r="E46" s="145">
        <v>246240.29345999999</v>
      </c>
      <c r="F46" s="222">
        <v>45786</v>
      </c>
      <c r="G46" s="147">
        <v>-227367.51195963251</v>
      </c>
      <c r="H46" s="244">
        <f t="shared" si="6"/>
        <v>113684.34</v>
      </c>
      <c r="I46" s="247">
        <f t="shared" si="7"/>
        <v>113684.34</v>
      </c>
      <c r="J46" s="226">
        <f t="shared" si="2"/>
        <v>227368.34</v>
      </c>
      <c r="K46" s="147">
        <v>-18872.781500367477</v>
      </c>
      <c r="L46" s="187">
        <f t="shared" si="8"/>
        <v>18872.781500367477</v>
      </c>
      <c r="M46" s="187">
        <f t="shared" si="9"/>
        <v>246241.34</v>
      </c>
      <c r="N46" s="133">
        <f t="shared" si="10"/>
        <v>0.34000000000000014</v>
      </c>
      <c r="O46" t="s">
        <v>300</v>
      </c>
    </row>
    <row r="47" spans="1:112" x14ac:dyDescent="0.3">
      <c r="A47" s="210" t="s">
        <v>78</v>
      </c>
      <c r="B47" s="211"/>
      <c r="C47" s="108" t="s">
        <v>349</v>
      </c>
      <c r="D47" s="136">
        <v>8.6999999999999994E-3</v>
      </c>
      <c r="E47" s="145">
        <v>227903.25032999998</v>
      </c>
      <c r="F47" s="222">
        <v>45807</v>
      </c>
      <c r="G47" s="147">
        <v>-201632.39809641102</v>
      </c>
      <c r="H47" s="244">
        <f t="shared" si="6"/>
        <v>100816.35</v>
      </c>
      <c r="I47" s="247">
        <f t="shared" si="7"/>
        <v>100816.35</v>
      </c>
      <c r="J47" s="226">
        <f t="shared" si="2"/>
        <v>201632.35</v>
      </c>
      <c r="K47" s="147">
        <v>-26270.852233588957</v>
      </c>
      <c r="L47" s="187">
        <f t="shared" si="8"/>
        <v>26270.852233588957</v>
      </c>
      <c r="M47" s="187">
        <f t="shared" si="9"/>
        <v>227903.35</v>
      </c>
      <c r="N47" s="133">
        <f t="shared" si="10"/>
        <v>0.35000000000000014</v>
      </c>
    </row>
    <row r="48" spans="1:112" x14ac:dyDescent="0.3">
      <c r="A48" s="210" t="s">
        <v>79</v>
      </c>
      <c r="B48" s="211"/>
      <c r="C48" s="108" t="s">
        <v>195</v>
      </c>
      <c r="D48" s="136">
        <v>9.4999999999999998E-3</v>
      </c>
      <c r="E48" s="145">
        <v>248859.87104999999</v>
      </c>
      <c r="F48" s="222">
        <v>45786</v>
      </c>
      <c r="G48" s="147">
        <v>-229786.31527835201</v>
      </c>
      <c r="H48" s="244">
        <f t="shared" si="6"/>
        <v>114893.36</v>
      </c>
      <c r="I48" s="247">
        <f t="shared" si="7"/>
        <v>114893.36</v>
      </c>
      <c r="J48" s="226">
        <f t="shared" si="2"/>
        <v>229786.36</v>
      </c>
      <c r="K48" s="147">
        <v>-19073.555771647982</v>
      </c>
      <c r="L48" s="187">
        <f t="shared" si="8"/>
        <v>19073.555771647982</v>
      </c>
      <c r="M48" s="187">
        <f t="shared" si="9"/>
        <v>248860.36</v>
      </c>
      <c r="N48" s="133">
        <f t="shared" si="10"/>
        <v>0.36000000000000015</v>
      </c>
    </row>
    <row r="49" spans="1:17" x14ac:dyDescent="0.3">
      <c r="A49" s="210" t="s">
        <v>80</v>
      </c>
      <c r="B49" s="211">
        <v>8</v>
      </c>
      <c r="C49" s="108" t="s">
        <v>192</v>
      </c>
      <c r="D49" s="136">
        <v>1.8700000000000001E-2</v>
      </c>
      <c r="E49" s="145">
        <v>489861.00933000003</v>
      </c>
      <c r="F49" s="222">
        <v>45793</v>
      </c>
      <c r="G49" s="147">
        <v>-447623.12200936372</v>
      </c>
      <c r="H49" s="244">
        <f t="shared" si="6"/>
        <v>223812.37</v>
      </c>
      <c r="I49" s="247">
        <f t="shared" si="7"/>
        <v>223812.37</v>
      </c>
      <c r="J49" s="226">
        <f t="shared" si="2"/>
        <v>447623.37</v>
      </c>
      <c r="K49" s="147">
        <v>-42237.887320636306</v>
      </c>
      <c r="L49" s="187">
        <f t="shared" si="8"/>
        <v>42237.887320636306</v>
      </c>
      <c r="M49" s="187">
        <f t="shared" si="9"/>
        <v>489861.37</v>
      </c>
      <c r="N49" s="133">
        <f t="shared" si="10"/>
        <v>0.37000000000000016</v>
      </c>
      <c r="P49" s="59"/>
    </row>
    <row r="50" spans="1:17" x14ac:dyDescent="0.3">
      <c r="A50" s="210" t="s">
        <v>81</v>
      </c>
      <c r="B50" s="211"/>
      <c r="C50" s="108" t="s">
        <v>196</v>
      </c>
      <c r="D50" s="136">
        <v>7.3000000000000001E-3</v>
      </c>
      <c r="E50" s="145">
        <v>191229.16407</v>
      </c>
      <c r="F50" s="222">
        <v>45805</v>
      </c>
      <c r="G50" s="147">
        <v>-170654.57315202037</v>
      </c>
      <c r="H50" s="244">
        <f t="shared" si="6"/>
        <v>85328.38</v>
      </c>
      <c r="I50" s="247">
        <f t="shared" si="7"/>
        <v>85328.38</v>
      </c>
      <c r="J50" s="226">
        <f t="shared" si="2"/>
        <v>170655.38</v>
      </c>
      <c r="K50" s="147">
        <v>-20574.590917979629</v>
      </c>
      <c r="L50" s="187">
        <f t="shared" si="8"/>
        <v>20574.590917979629</v>
      </c>
      <c r="M50" s="187">
        <f t="shared" si="9"/>
        <v>191230.38</v>
      </c>
      <c r="N50" s="133">
        <f t="shared" si="10"/>
        <v>0.38000000000000017</v>
      </c>
    </row>
    <row r="51" spans="1:17" x14ac:dyDescent="0.3">
      <c r="A51" s="210" t="s">
        <v>82</v>
      </c>
      <c r="B51" s="211">
        <v>14</v>
      </c>
      <c r="C51" s="108" t="s">
        <v>197</v>
      </c>
      <c r="D51" s="136">
        <v>1.9699999999999999E-2</v>
      </c>
      <c r="E51" s="145">
        <v>516056.78522999992</v>
      </c>
      <c r="F51" s="222">
        <v>45805</v>
      </c>
      <c r="G51" s="147">
        <v>-460533.57412257558</v>
      </c>
      <c r="H51" s="244">
        <f t="shared" si="6"/>
        <v>230267.39</v>
      </c>
      <c r="I51" s="247">
        <f t="shared" si="7"/>
        <v>230267.39</v>
      </c>
      <c r="J51" s="226">
        <f t="shared" si="2"/>
        <v>460534.39</v>
      </c>
      <c r="K51" s="147">
        <v>-55523.211107424344</v>
      </c>
      <c r="L51" s="187">
        <f t="shared" si="8"/>
        <v>55523.211107424344</v>
      </c>
      <c r="M51" s="187">
        <f t="shared" si="9"/>
        <v>516058.39</v>
      </c>
      <c r="N51" s="133">
        <f t="shared" si="10"/>
        <v>0.39000000000000018</v>
      </c>
    </row>
    <row r="52" spans="1:17" x14ac:dyDescent="0.3">
      <c r="A52" s="210" t="s">
        <v>83</v>
      </c>
      <c r="B52" s="211"/>
      <c r="C52" s="108" t="s">
        <v>198</v>
      </c>
      <c r="D52" s="136">
        <v>9.4000000000000004E-3</v>
      </c>
      <c r="E52" s="145">
        <v>246240.29345999999</v>
      </c>
      <c r="F52" s="222">
        <v>45793</v>
      </c>
      <c r="G52" s="147">
        <v>-225008.41427208658</v>
      </c>
      <c r="H52" s="244">
        <f t="shared" si="6"/>
        <v>112504.4</v>
      </c>
      <c r="I52" s="247">
        <f t="shared" si="7"/>
        <v>112504.4</v>
      </c>
      <c r="J52" s="226">
        <f t="shared" si="2"/>
        <v>225008.4</v>
      </c>
      <c r="K52" s="147">
        <v>-21231.879187913408</v>
      </c>
      <c r="L52" s="187">
        <f t="shared" si="8"/>
        <v>21231.879187913408</v>
      </c>
      <c r="M52" s="187">
        <f t="shared" si="9"/>
        <v>246240.4</v>
      </c>
      <c r="N52" s="133">
        <f t="shared" si="10"/>
        <v>0.40000000000000019</v>
      </c>
    </row>
    <row r="53" spans="1:17" x14ac:dyDescent="0.3">
      <c r="A53" s="210" t="s">
        <v>84</v>
      </c>
      <c r="B53" s="211"/>
      <c r="C53" s="108" t="s">
        <v>350</v>
      </c>
      <c r="D53" s="136">
        <v>8.6999999999999994E-3</v>
      </c>
      <c r="E53" s="145">
        <v>227903.25032999998</v>
      </c>
      <c r="F53" s="222">
        <v>45800</v>
      </c>
      <c r="G53" s="147">
        <v>-206069.04832824506</v>
      </c>
      <c r="H53" s="244">
        <f t="shared" si="6"/>
        <v>103035.41</v>
      </c>
      <c r="I53" s="247">
        <f t="shared" si="7"/>
        <v>103035.41</v>
      </c>
      <c r="J53" s="226">
        <f t="shared" si="2"/>
        <v>206069.41</v>
      </c>
      <c r="K53" s="147">
        <v>-21834.202001754922</v>
      </c>
      <c r="L53" s="187">
        <f t="shared" si="8"/>
        <v>21834.202001754922</v>
      </c>
      <c r="M53" s="187">
        <f t="shared" si="9"/>
        <v>227904.41</v>
      </c>
      <c r="N53" s="133">
        <f t="shared" si="10"/>
        <v>0.4100000000000002</v>
      </c>
      <c r="P53" t="s">
        <v>255</v>
      </c>
    </row>
    <row r="54" spans="1:17" x14ac:dyDescent="0.3">
      <c r="A54" s="210" t="s">
        <v>85</v>
      </c>
      <c r="B54" s="220">
        <v>5</v>
      </c>
      <c r="C54" s="108" t="s">
        <v>199</v>
      </c>
      <c r="D54" s="136">
        <v>1.18E-2</v>
      </c>
      <c r="E54" s="145">
        <v>309110.15561999998</v>
      </c>
      <c r="F54" s="222">
        <v>45793</v>
      </c>
      <c r="G54" s="147">
        <v>-282457.37110751297</v>
      </c>
      <c r="H54" s="244">
        <f t="shared" si="6"/>
        <v>141229.42000000001</v>
      </c>
      <c r="I54" s="247">
        <f t="shared" si="7"/>
        <v>141229.42000000001</v>
      </c>
      <c r="J54" s="226">
        <f t="shared" si="2"/>
        <v>282457.42</v>
      </c>
      <c r="K54" s="147">
        <v>-26652.784512487007</v>
      </c>
      <c r="L54" s="187">
        <f t="shared" si="8"/>
        <v>26652.784512487007</v>
      </c>
      <c r="M54" s="187">
        <f t="shared" si="9"/>
        <v>309110.42</v>
      </c>
      <c r="N54" s="133">
        <f t="shared" si="10"/>
        <v>0.42000000000000021</v>
      </c>
      <c r="O54" t="s">
        <v>279</v>
      </c>
    </row>
    <row r="55" spans="1:17" x14ac:dyDescent="0.3">
      <c r="A55" s="210" t="s">
        <v>86</v>
      </c>
      <c r="B55" s="211">
        <v>26</v>
      </c>
      <c r="C55" s="108" t="s">
        <v>200</v>
      </c>
      <c r="D55" s="136">
        <v>1.8700000000000001E-2</v>
      </c>
      <c r="E55" s="145">
        <v>489861.00933000003</v>
      </c>
      <c r="F55" s="222">
        <v>45793</v>
      </c>
      <c r="G55" s="147">
        <v>-447623.12200936372</v>
      </c>
      <c r="H55" s="244">
        <f t="shared" si="6"/>
        <v>223812.43</v>
      </c>
      <c r="I55" s="247">
        <f t="shared" si="7"/>
        <v>223812.43</v>
      </c>
      <c r="J55" s="226">
        <f t="shared" si="2"/>
        <v>447623.43</v>
      </c>
      <c r="K55" s="147">
        <v>-42237.887320636306</v>
      </c>
      <c r="L55" s="187">
        <f t="shared" si="8"/>
        <v>42237.887320636306</v>
      </c>
      <c r="M55" s="187">
        <f t="shared" si="9"/>
        <v>489861.43</v>
      </c>
      <c r="N55" s="133">
        <f t="shared" si="10"/>
        <v>0.43000000000000022</v>
      </c>
    </row>
    <row r="56" spans="1:17" x14ac:dyDescent="0.3">
      <c r="A56" s="210" t="s">
        <v>87</v>
      </c>
      <c r="B56" s="211"/>
      <c r="C56" s="108" t="s">
        <v>200</v>
      </c>
      <c r="D56" s="136">
        <v>7.3000000000000001E-3</v>
      </c>
      <c r="E56" s="145">
        <v>191229.16407</v>
      </c>
      <c r="F56" s="222">
        <v>45793</v>
      </c>
      <c r="G56" s="147">
        <v>-174740.57704108849</v>
      </c>
      <c r="H56" s="244">
        <f t="shared" si="6"/>
        <v>87371.44</v>
      </c>
      <c r="I56" s="247">
        <f t="shared" si="7"/>
        <v>87371.44</v>
      </c>
      <c r="J56" s="226">
        <f t="shared" si="2"/>
        <v>174741.44</v>
      </c>
      <c r="K56" s="147">
        <v>-16488.587028911512</v>
      </c>
      <c r="L56" s="187">
        <f t="shared" si="8"/>
        <v>16488.587028911512</v>
      </c>
      <c r="M56" s="187">
        <f t="shared" si="9"/>
        <v>191230.44</v>
      </c>
      <c r="N56" s="133">
        <f t="shared" si="10"/>
        <v>0.44000000000000022</v>
      </c>
    </row>
    <row r="57" spans="1:17" x14ac:dyDescent="0.3">
      <c r="A57" s="210" t="s">
        <v>88</v>
      </c>
      <c r="B57" s="211">
        <v>43</v>
      </c>
      <c r="C57" s="108" t="s">
        <v>201</v>
      </c>
      <c r="D57" s="136">
        <v>1.9699999999999999E-2</v>
      </c>
      <c r="E57" s="145">
        <v>516056.78522999992</v>
      </c>
      <c r="F57" s="222">
        <v>45770</v>
      </c>
      <c r="G57" s="147">
        <v>-487804.97705695755</v>
      </c>
      <c r="H57" s="244">
        <f t="shared" si="6"/>
        <v>243903.45</v>
      </c>
      <c r="I57" s="247">
        <f t="shared" si="7"/>
        <v>243903.45</v>
      </c>
      <c r="J57" s="226">
        <f t="shared" si="2"/>
        <v>487805.45</v>
      </c>
      <c r="K57" s="147">
        <v>-28251.808173042373</v>
      </c>
      <c r="L57" s="187">
        <f t="shared" si="8"/>
        <v>28251.808173042373</v>
      </c>
      <c r="M57" s="187">
        <f t="shared" si="9"/>
        <v>516057.45</v>
      </c>
      <c r="N57" s="133">
        <f t="shared" si="10"/>
        <v>0.45000000000000023</v>
      </c>
    </row>
    <row r="58" spans="1:17" x14ac:dyDescent="0.3">
      <c r="A58" s="210" t="s">
        <v>89</v>
      </c>
      <c r="B58" s="211">
        <v>10</v>
      </c>
      <c r="C58" s="108" t="s">
        <v>202</v>
      </c>
      <c r="D58" s="136">
        <v>1.17E-2</v>
      </c>
      <c r="E58" s="145">
        <v>306490.57802999998</v>
      </c>
      <c r="F58" s="222">
        <v>45793</v>
      </c>
      <c r="G58" s="147">
        <v>-280063.66457270354</v>
      </c>
      <c r="H58" s="244">
        <f t="shared" si="6"/>
        <v>140032.46</v>
      </c>
      <c r="I58" s="247">
        <f t="shared" si="7"/>
        <v>140032.46</v>
      </c>
      <c r="J58" s="226">
        <f t="shared" si="2"/>
        <v>280064.46000000002</v>
      </c>
      <c r="K58" s="147">
        <v>-26426.913457296439</v>
      </c>
      <c r="L58" s="187">
        <f t="shared" si="8"/>
        <v>26426.913457296439</v>
      </c>
      <c r="M58" s="187">
        <f t="shared" si="9"/>
        <v>306491.46000000002</v>
      </c>
      <c r="N58" s="172">
        <f t="shared" si="10"/>
        <v>0.46000000000000024</v>
      </c>
    </row>
    <row r="59" spans="1:17" x14ac:dyDescent="0.3">
      <c r="A59" s="210" t="s">
        <v>90</v>
      </c>
      <c r="B59" s="220">
        <v>12</v>
      </c>
      <c r="C59" s="108" t="s">
        <v>181</v>
      </c>
      <c r="D59" s="136">
        <v>1.0999999999999999E-2</v>
      </c>
      <c r="E59" s="145">
        <v>288153.53489999997</v>
      </c>
      <c r="F59" s="222">
        <v>45800</v>
      </c>
      <c r="G59" s="147">
        <v>-260547.07259893051</v>
      </c>
      <c r="H59" s="244">
        <f t="shared" si="6"/>
        <v>130274.47</v>
      </c>
      <c r="I59" s="247">
        <f t="shared" si="7"/>
        <v>130274.47</v>
      </c>
      <c r="J59" s="226">
        <f t="shared" si="2"/>
        <v>260547.47</v>
      </c>
      <c r="K59" s="147">
        <v>-27606.462301069463</v>
      </c>
      <c r="L59" s="187">
        <f t="shared" si="8"/>
        <v>27606.462301069463</v>
      </c>
      <c r="M59" s="187">
        <f t="shared" si="9"/>
        <v>288154.46999999997</v>
      </c>
      <c r="N59" s="172">
        <f t="shared" si="10"/>
        <v>0.47000000000000025</v>
      </c>
    </row>
    <row r="60" spans="1:17" x14ac:dyDescent="0.3">
      <c r="A60" s="210" t="s">
        <v>91</v>
      </c>
      <c r="B60" s="211">
        <v>20</v>
      </c>
      <c r="C60" s="108" t="s">
        <v>203</v>
      </c>
      <c r="D60" s="136">
        <v>1.18E-2</v>
      </c>
      <c r="E60" s="145">
        <v>309110.15561999998</v>
      </c>
      <c r="F60" s="222">
        <v>45805</v>
      </c>
      <c r="G60" s="147">
        <v>-275852.5976977864</v>
      </c>
      <c r="H60" s="244">
        <f t="shared" si="6"/>
        <v>137927.48000000001</v>
      </c>
      <c r="I60" s="247">
        <f t="shared" si="7"/>
        <v>137927.48000000001</v>
      </c>
      <c r="J60" s="226">
        <f t="shared" si="2"/>
        <v>275853.48</v>
      </c>
      <c r="K60" s="147">
        <v>-33257.557922213571</v>
      </c>
      <c r="L60" s="187">
        <f t="shared" si="8"/>
        <v>33257.557922213571</v>
      </c>
      <c r="M60" s="187">
        <f t="shared" si="9"/>
        <v>309111.48</v>
      </c>
      <c r="N60" s="172">
        <f t="shared" si="10"/>
        <v>0.48000000000000026</v>
      </c>
      <c r="Q60" s="181"/>
    </row>
    <row r="61" spans="1:17" x14ac:dyDescent="0.3">
      <c r="A61" s="210" t="s">
        <v>92</v>
      </c>
      <c r="B61" s="211">
        <v>4</v>
      </c>
      <c r="C61" s="108" t="s">
        <v>351</v>
      </c>
      <c r="D61" s="136">
        <v>1.8700000000000001E-2</v>
      </c>
      <c r="E61" s="145">
        <v>489861.00933000003</v>
      </c>
      <c r="F61" s="222">
        <v>45793</v>
      </c>
      <c r="G61" s="147">
        <v>-447623.12200936372</v>
      </c>
      <c r="H61" s="244">
        <f t="shared" si="6"/>
        <v>223812.49</v>
      </c>
      <c r="I61" s="247">
        <f t="shared" si="7"/>
        <v>223812.49</v>
      </c>
      <c r="J61" s="226">
        <f t="shared" si="2"/>
        <v>447623.49</v>
      </c>
      <c r="K61" s="147">
        <v>-42237.887320636306</v>
      </c>
      <c r="L61" s="187">
        <f t="shared" si="8"/>
        <v>42237.887320636306</v>
      </c>
      <c r="M61" s="187">
        <f t="shared" si="9"/>
        <v>489861.49</v>
      </c>
      <c r="N61" s="133">
        <f t="shared" si="10"/>
        <v>0.49000000000000027</v>
      </c>
      <c r="Q61" s="43"/>
    </row>
    <row r="62" spans="1:17" x14ac:dyDescent="0.3">
      <c r="A62" s="210" t="s">
        <v>93</v>
      </c>
      <c r="B62" s="211"/>
      <c r="C62" s="108" t="s">
        <v>205</v>
      </c>
      <c r="D62" s="136">
        <v>7.3000000000000001E-3</v>
      </c>
      <c r="E62" s="145">
        <v>191229.16407</v>
      </c>
      <c r="F62" s="222">
        <v>45793</v>
      </c>
      <c r="G62" s="147">
        <v>-174740.57704108849</v>
      </c>
      <c r="H62" s="244">
        <f t="shared" si="6"/>
        <v>87371.5</v>
      </c>
      <c r="I62" s="247">
        <f t="shared" si="7"/>
        <v>87371.5</v>
      </c>
      <c r="J62" s="226">
        <f t="shared" si="2"/>
        <v>174741.5</v>
      </c>
      <c r="K62" s="147">
        <v>-16488.587028911512</v>
      </c>
      <c r="L62" s="187">
        <f t="shared" si="8"/>
        <v>16488.587028911512</v>
      </c>
      <c r="M62" s="187">
        <f t="shared" si="9"/>
        <v>191230.5</v>
      </c>
      <c r="N62" s="133">
        <f t="shared" si="10"/>
        <v>0.50000000000000022</v>
      </c>
    </row>
    <row r="63" spans="1:17" x14ac:dyDescent="0.3">
      <c r="A63" s="210" t="s">
        <v>94</v>
      </c>
      <c r="B63" s="211">
        <v>17</v>
      </c>
      <c r="C63" s="108" t="s">
        <v>206</v>
      </c>
      <c r="D63" s="136">
        <v>1.9699999999999999E-2</v>
      </c>
      <c r="E63" s="145">
        <v>516056.78522999992</v>
      </c>
      <c r="F63" s="222">
        <v>45796</v>
      </c>
      <c r="G63" s="147">
        <v>-469441.3017444798</v>
      </c>
      <c r="H63" s="244">
        <f t="shared" si="6"/>
        <v>234721.51</v>
      </c>
      <c r="I63" s="247">
        <f t="shared" si="7"/>
        <v>234721.51</v>
      </c>
      <c r="J63" s="226">
        <f t="shared" si="2"/>
        <v>469441.51</v>
      </c>
      <c r="K63" s="147">
        <v>-46615.483485520119</v>
      </c>
      <c r="L63" s="187">
        <f t="shared" si="8"/>
        <v>46615.483485520119</v>
      </c>
      <c r="M63" s="187">
        <f t="shared" si="9"/>
        <v>516057.51</v>
      </c>
      <c r="N63" s="133">
        <f t="shared" si="10"/>
        <v>0.51000000000000023</v>
      </c>
    </row>
    <row r="64" spans="1:17" x14ac:dyDescent="0.3">
      <c r="A64" s="210" t="s">
        <v>95</v>
      </c>
      <c r="B64" s="211"/>
      <c r="C64" s="108" t="s">
        <v>207</v>
      </c>
      <c r="D64" s="136">
        <v>9.4000000000000004E-3</v>
      </c>
      <c r="E64" s="145">
        <v>246240.29345999999</v>
      </c>
      <c r="F64" s="222">
        <v>45863</v>
      </c>
      <c r="G64" s="147">
        <v>-164899.57136629923</v>
      </c>
      <c r="H64" s="244">
        <f t="shared" si="6"/>
        <v>82450.52</v>
      </c>
      <c r="I64" s="247">
        <f t="shared" si="7"/>
        <v>82450.52</v>
      </c>
      <c r="J64" s="226">
        <f t="shared" si="2"/>
        <v>164900.51999999999</v>
      </c>
      <c r="K64" s="147">
        <v>-81340.722093700751</v>
      </c>
      <c r="L64" s="187">
        <f t="shared" si="8"/>
        <v>81340.722093700751</v>
      </c>
      <c r="M64" s="187">
        <f t="shared" si="9"/>
        <v>246241.52</v>
      </c>
      <c r="N64" s="133">
        <f t="shared" si="10"/>
        <v>0.52000000000000024</v>
      </c>
    </row>
    <row r="65" spans="1:16" x14ac:dyDescent="0.3">
      <c r="A65" s="210" t="s">
        <v>96</v>
      </c>
      <c r="B65" s="211"/>
      <c r="C65" s="108" t="s">
        <v>352</v>
      </c>
      <c r="D65" s="136">
        <v>8.6999999999999994E-3</v>
      </c>
      <c r="E65" s="145">
        <v>227903.25032999998</v>
      </c>
      <c r="F65" s="222">
        <v>45800</v>
      </c>
      <c r="G65" s="147">
        <v>-206069.04832824506</v>
      </c>
      <c r="H65" s="244">
        <f t="shared" si="6"/>
        <v>103035.53</v>
      </c>
      <c r="I65" s="247">
        <f t="shared" si="7"/>
        <v>103035.53</v>
      </c>
      <c r="J65" s="226">
        <f t="shared" si="2"/>
        <v>206069.53</v>
      </c>
      <c r="K65" s="147">
        <v>-21834.202001754922</v>
      </c>
      <c r="L65" s="187">
        <f t="shared" si="8"/>
        <v>21834.202001754922</v>
      </c>
      <c r="M65" s="187">
        <f t="shared" si="9"/>
        <v>227904.53</v>
      </c>
      <c r="N65" s="133">
        <f t="shared" si="10"/>
        <v>0.53000000000000025</v>
      </c>
      <c r="P65" t="s">
        <v>256</v>
      </c>
    </row>
    <row r="66" spans="1:16" x14ac:dyDescent="0.3">
      <c r="A66" s="210" t="s">
        <v>97</v>
      </c>
      <c r="B66" s="211">
        <v>23</v>
      </c>
      <c r="C66" s="108" t="s">
        <v>208</v>
      </c>
      <c r="D66" s="136">
        <v>1.18E-2</v>
      </c>
      <c r="E66" s="145">
        <v>309110.15561999998</v>
      </c>
      <c r="F66" s="222">
        <v>45786</v>
      </c>
      <c r="G66" s="147">
        <v>-285418.79160890041</v>
      </c>
      <c r="H66" s="244">
        <f t="shared" si="6"/>
        <v>142710.54</v>
      </c>
      <c r="I66" s="247">
        <f t="shared" si="7"/>
        <v>142710.54</v>
      </c>
      <c r="J66" s="226">
        <f t="shared" si="2"/>
        <v>285419.53999999998</v>
      </c>
      <c r="K66" s="147">
        <v>-23691.364011099562</v>
      </c>
      <c r="L66" s="187">
        <f t="shared" si="8"/>
        <v>23691.364011099562</v>
      </c>
      <c r="M66" s="187">
        <f t="shared" si="9"/>
        <v>309111.53999999998</v>
      </c>
      <c r="N66" s="133">
        <f t="shared" si="10"/>
        <v>0.54000000000000026</v>
      </c>
    </row>
    <row r="67" spans="1:16" x14ac:dyDescent="0.3">
      <c r="A67" s="210" t="s">
        <v>98</v>
      </c>
      <c r="B67" s="221">
        <v>21</v>
      </c>
      <c r="C67" s="108" t="s">
        <v>209</v>
      </c>
      <c r="D67" s="136">
        <v>2.58E-2</v>
      </c>
      <c r="E67" s="145">
        <v>675851.01821999997</v>
      </c>
      <c r="F67" s="222">
        <v>45775</v>
      </c>
      <c r="G67" s="147">
        <v>-634226.20947773824</v>
      </c>
      <c r="H67" s="244">
        <f t="shared" si="6"/>
        <v>317113.55</v>
      </c>
      <c r="I67" s="247">
        <f t="shared" si="7"/>
        <v>317113.55</v>
      </c>
      <c r="J67" s="226">
        <f t="shared" si="2"/>
        <v>634226.55000000005</v>
      </c>
      <c r="K67" s="147">
        <v>-41624.808742261725</v>
      </c>
      <c r="L67" s="187">
        <f t="shared" si="8"/>
        <v>41624.808742261725</v>
      </c>
      <c r="M67" s="187">
        <f t="shared" si="9"/>
        <v>675851.55</v>
      </c>
      <c r="N67" s="133">
        <f t="shared" si="10"/>
        <v>0.55000000000000027</v>
      </c>
      <c r="O67" s="73"/>
    </row>
    <row r="68" spans="1:16" x14ac:dyDescent="0.3">
      <c r="A68" s="210" t="s">
        <v>99</v>
      </c>
      <c r="B68" s="211">
        <v>41</v>
      </c>
      <c r="C68" s="108" t="s">
        <v>353</v>
      </c>
      <c r="D68" s="136">
        <v>1.9699999999999999E-2</v>
      </c>
      <c r="E68" s="145">
        <v>516056.78522999992</v>
      </c>
      <c r="F68" s="222">
        <v>45790</v>
      </c>
      <c r="G68" s="147">
        <v>-473679.07297043619</v>
      </c>
      <c r="H68" s="244">
        <f t="shared" si="6"/>
        <v>236840.56</v>
      </c>
      <c r="I68" s="247">
        <f t="shared" si="7"/>
        <v>236840.56</v>
      </c>
      <c r="J68" s="226">
        <f t="shared" si="2"/>
        <v>473679.56</v>
      </c>
      <c r="K68" s="147">
        <v>-42377.712259563734</v>
      </c>
      <c r="L68" s="187">
        <f t="shared" si="8"/>
        <v>42377.712259563734</v>
      </c>
      <c r="M68" s="187">
        <f t="shared" si="9"/>
        <v>516057.56</v>
      </c>
      <c r="N68" s="133">
        <f t="shared" si="10"/>
        <v>0.56000000000000028</v>
      </c>
    </row>
    <row r="69" spans="1:16" x14ac:dyDescent="0.3">
      <c r="A69" s="210" t="s">
        <v>100</v>
      </c>
      <c r="B69" s="211">
        <v>2</v>
      </c>
      <c r="C69" s="108" t="s">
        <v>354</v>
      </c>
      <c r="D69" s="136">
        <v>1.17E-2</v>
      </c>
      <c r="E69" s="145">
        <v>306490.57802999998</v>
      </c>
      <c r="F69" s="222"/>
      <c r="G69" s="147">
        <v>0</v>
      </c>
      <c r="H69" s="244"/>
      <c r="I69" s="247"/>
      <c r="J69" s="226"/>
      <c r="K69" s="147">
        <v>-306490.57802999998</v>
      </c>
      <c r="L69" s="187">
        <f t="shared" si="8"/>
        <v>306490.57802999998</v>
      </c>
      <c r="M69" s="187">
        <f t="shared" si="9"/>
        <v>306491.57</v>
      </c>
      <c r="N69" s="133">
        <f t="shared" si="10"/>
        <v>0.57000000000000028</v>
      </c>
    </row>
    <row r="70" spans="1:16" x14ac:dyDescent="0.3">
      <c r="A70" s="210" t="s">
        <v>101</v>
      </c>
      <c r="B70" s="211"/>
      <c r="C70" s="108" t="s">
        <v>211</v>
      </c>
      <c r="D70" s="136">
        <v>8.6999999999999994E-3</v>
      </c>
      <c r="E70" s="145">
        <v>227903.25032999998</v>
      </c>
      <c r="F70" s="222">
        <v>45775</v>
      </c>
      <c r="G70" s="147">
        <v>-213866.97761458607</v>
      </c>
      <c r="H70" s="244">
        <f t="shared" si="6"/>
        <v>106934.58</v>
      </c>
      <c r="I70" s="247">
        <f t="shared" si="7"/>
        <v>106934.58</v>
      </c>
      <c r="J70" s="226">
        <f t="shared" si="2"/>
        <v>213867.58</v>
      </c>
      <c r="K70" s="147">
        <v>-14036.272715413914</v>
      </c>
      <c r="L70" s="187">
        <f t="shared" si="8"/>
        <v>14036.272715413914</v>
      </c>
      <c r="M70" s="187">
        <f t="shared" si="9"/>
        <v>227904.58</v>
      </c>
      <c r="N70" s="133">
        <f t="shared" si="10"/>
        <v>0.58000000000000029</v>
      </c>
    </row>
    <row r="71" spans="1:16" x14ac:dyDescent="0.3">
      <c r="A71" s="210" t="s">
        <v>102</v>
      </c>
      <c r="B71" s="211">
        <v>19</v>
      </c>
      <c r="C71" s="108" t="s">
        <v>212</v>
      </c>
      <c r="D71" s="136">
        <v>1.18E-2</v>
      </c>
      <c r="E71" s="145">
        <v>309110.15561999998</v>
      </c>
      <c r="F71" s="222">
        <v>45821</v>
      </c>
      <c r="G71" s="147">
        <v>-256859.2161501162</v>
      </c>
      <c r="H71" s="244">
        <f t="shared" si="6"/>
        <v>128430.59</v>
      </c>
      <c r="I71" s="247">
        <f t="shared" si="7"/>
        <v>128430.59</v>
      </c>
      <c r="J71" s="226">
        <f t="shared" si="2"/>
        <v>256859.59</v>
      </c>
      <c r="K71" s="147">
        <v>-52250.939469883771</v>
      </c>
      <c r="L71" s="187">
        <f t="shared" si="8"/>
        <v>52250.939469883771</v>
      </c>
      <c r="M71" s="187">
        <f t="shared" si="9"/>
        <v>309111.59000000003</v>
      </c>
      <c r="N71" s="133">
        <f t="shared" si="10"/>
        <v>0.5900000000000003</v>
      </c>
    </row>
    <row r="72" spans="1:16" x14ac:dyDescent="0.3">
      <c r="A72" s="210" t="s">
        <v>103</v>
      </c>
      <c r="B72" s="211">
        <v>36</v>
      </c>
      <c r="C72" s="108" t="s">
        <v>213</v>
      </c>
      <c r="D72" s="136">
        <v>2.58E-2</v>
      </c>
      <c r="E72" s="145">
        <v>675851.01821999997</v>
      </c>
      <c r="F72" s="222">
        <v>45891</v>
      </c>
      <c r="G72" s="147">
        <v>-382821.80090465758</v>
      </c>
      <c r="H72" s="244">
        <f t="shared" si="6"/>
        <v>191411.6</v>
      </c>
      <c r="I72" s="247">
        <f t="shared" si="7"/>
        <v>191411.6</v>
      </c>
      <c r="J72" s="226">
        <f t="shared" si="2"/>
        <v>382822.6</v>
      </c>
      <c r="K72" s="147">
        <v>-293029.21731534239</v>
      </c>
      <c r="L72" s="187">
        <f t="shared" si="8"/>
        <v>293029.21731534239</v>
      </c>
      <c r="M72" s="187">
        <f t="shared" si="9"/>
        <v>675852.6</v>
      </c>
      <c r="N72" s="133">
        <f t="shared" si="10"/>
        <v>0.60000000000000031</v>
      </c>
    </row>
    <row r="73" spans="1:16" x14ac:dyDescent="0.3">
      <c r="A73" s="210" t="s">
        <v>104</v>
      </c>
      <c r="B73" s="211">
        <v>15</v>
      </c>
      <c r="C73" s="108" t="s">
        <v>214</v>
      </c>
      <c r="D73" s="136">
        <v>1.9699999999999999E-2</v>
      </c>
      <c r="E73" s="145">
        <v>516056.78522999992</v>
      </c>
      <c r="F73" s="222">
        <v>45800</v>
      </c>
      <c r="G73" s="147">
        <v>-466616.12092717562</v>
      </c>
      <c r="H73" s="244">
        <f t="shared" si="6"/>
        <v>233308.61</v>
      </c>
      <c r="I73" s="247">
        <f t="shared" si="7"/>
        <v>233308.61</v>
      </c>
      <c r="J73" s="226">
        <f t="shared" ref="J73:J81" si="11">ROUND((-G73),0)+N73</f>
        <v>466616.61</v>
      </c>
      <c r="K73" s="147">
        <v>-49440.664302824298</v>
      </c>
      <c r="L73" s="187">
        <f t="shared" si="8"/>
        <v>49440.664302824298</v>
      </c>
      <c r="M73" s="187">
        <f t="shared" si="9"/>
        <v>516057.61</v>
      </c>
      <c r="N73" s="133">
        <f t="shared" si="10"/>
        <v>0.61000000000000032</v>
      </c>
    </row>
    <row r="74" spans="1:16" x14ac:dyDescent="0.3">
      <c r="A74" s="210" t="s">
        <v>105</v>
      </c>
      <c r="B74" s="211"/>
      <c r="C74" s="108" t="s">
        <v>215</v>
      </c>
      <c r="D74" s="136">
        <v>9.4000000000000004E-3</v>
      </c>
      <c r="E74" s="145">
        <v>246240.29345999999</v>
      </c>
      <c r="F74" s="222">
        <v>45784</v>
      </c>
      <c r="G74" s="147">
        <v>-228041.53987035993</v>
      </c>
      <c r="H74" s="244">
        <f t="shared" si="6"/>
        <v>114021.62</v>
      </c>
      <c r="I74" s="247">
        <f t="shared" si="7"/>
        <v>114021.62</v>
      </c>
      <c r="J74" s="226">
        <f t="shared" si="11"/>
        <v>228042.62</v>
      </c>
      <c r="K74" s="147">
        <v>-18198.753589640051</v>
      </c>
      <c r="L74" s="187">
        <f t="shared" si="8"/>
        <v>18198.753589640051</v>
      </c>
      <c r="M74" s="187">
        <f t="shared" si="9"/>
        <v>246241.62</v>
      </c>
      <c r="N74" s="133">
        <f t="shared" si="10"/>
        <v>0.62000000000000033</v>
      </c>
    </row>
    <row r="75" spans="1:16" x14ac:dyDescent="0.3">
      <c r="A75" s="210" t="s">
        <v>106</v>
      </c>
      <c r="B75" s="211">
        <v>40</v>
      </c>
      <c r="C75" s="108" t="s">
        <v>216</v>
      </c>
      <c r="D75" s="136">
        <v>1.0999999999999999E-2</v>
      </c>
      <c r="E75" s="145">
        <v>288153.53489999997</v>
      </c>
      <c r="F75" s="222">
        <v>45784</v>
      </c>
      <c r="G75" s="147">
        <v>-266857.12112488924</v>
      </c>
      <c r="H75" s="244">
        <f t="shared" si="6"/>
        <v>133429.63</v>
      </c>
      <c r="I75" s="247">
        <f t="shared" si="7"/>
        <v>133429.63</v>
      </c>
      <c r="J75" s="226">
        <f t="shared" si="11"/>
        <v>266857.63</v>
      </c>
      <c r="K75" s="147">
        <v>-21296.413775110734</v>
      </c>
      <c r="L75" s="187">
        <f t="shared" si="8"/>
        <v>21296.413775110734</v>
      </c>
      <c r="M75" s="187">
        <f t="shared" si="9"/>
        <v>288154.63</v>
      </c>
      <c r="N75" s="133">
        <f t="shared" si="10"/>
        <v>0.63000000000000034</v>
      </c>
    </row>
    <row r="76" spans="1:16" x14ac:dyDescent="0.3">
      <c r="A76" s="210" t="s">
        <v>107</v>
      </c>
      <c r="B76" s="211"/>
      <c r="C76" s="108" t="s">
        <v>217</v>
      </c>
      <c r="D76" s="136">
        <v>9.4999999999999998E-3</v>
      </c>
      <c r="E76" s="145">
        <v>248859.87104999999</v>
      </c>
      <c r="F76" s="222">
        <v>45786</v>
      </c>
      <c r="G76" s="147">
        <v>-229786.31527835201</v>
      </c>
      <c r="H76" s="244">
        <f t="shared" si="6"/>
        <v>114893.64</v>
      </c>
      <c r="I76" s="247">
        <f t="shared" si="7"/>
        <v>114893.64</v>
      </c>
      <c r="J76" s="226">
        <f t="shared" si="11"/>
        <v>229786.64</v>
      </c>
      <c r="K76" s="147">
        <v>-19073.555771647982</v>
      </c>
      <c r="L76" s="187">
        <f t="shared" si="8"/>
        <v>19073.555771647982</v>
      </c>
      <c r="M76" s="187">
        <f t="shared" si="9"/>
        <v>248860.64</v>
      </c>
      <c r="N76" s="133">
        <f t="shared" si="10"/>
        <v>0.64000000000000035</v>
      </c>
    </row>
    <row r="77" spans="1:16" x14ac:dyDescent="0.3">
      <c r="A77" s="210" t="s">
        <v>108</v>
      </c>
      <c r="B77" s="211">
        <v>9</v>
      </c>
      <c r="C77" s="108" t="s">
        <v>355</v>
      </c>
      <c r="D77" s="136">
        <v>2.58E-2</v>
      </c>
      <c r="E77" s="145">
        <v>675851.01821999997</v>
      </c>
      <c r="F77" s="222">
        <v>45835</v>
      </c>
      <c r="G77" s="147">
        <v>-525270.52442663931</v>
      </c>
      <c r="H77" s="244">
        <f t="shared" si="6"/>
        <v>262636.65000000002</v>
      </c>
      <c r="I77" s="247">
        <f t="shared" si="7"/>
        <v>262636.65000000002</v>
      </c>
      <c r="J77" s="226">
        <f t="shared" si="11"/>
        <v>525271.65</v>
      </c>
      <c r="K77" s="147">
        <v>-150580.49379336066</v>
      </c>
      <c r="L77" s="187">
        <f t="shared" si="8"/>
        <v>150580.49379336066</v>
      </c>
      <c r="M77" s="187">
        <f t="shared" si="9"/>
        <v>675852.65</v>
      </c>
      <c r="N77" s="133">
        <f t="shared" si="10"/>
        <v>0.65000000000000036</v>
      </c>
    </row>
    <row r="78" spans="1:16" x14ac:dyDescent="0.3">
      <c r="A78" s="210" t="s">
        <v>109</v>
      </c>
      <c r="B78" s="211">
        <v>35</v>
      </c>
      <c r="C78" s="108" t="s">
        <v>218</v>
      </c>
      <c r="D78" s="136">
        <v>1.9699999999999999E-2</v>
      </c>
      <c r="E78" s="145">
        <v>516056.78522999992</v>
      </c>
      <c r="F78" s="222">
        <v>45784</v>
      </c>
      <c r="G78" s="147">
        <v>-477916.84419639257</v>
      </c>
      <c r="H78" s="244">
        <f t="shared" ref="H78:H81" si="12">ROUND((J78/2),0)+N78</f>
        <v>238959.66</v>
      </c>
      <c r="I78" s="247">
        <f t="shared" ref="I78:I81" si="13">H78</f>
        <v>238959.66</v>
      </c>
      <c r="J78" s="226">
        <f t="shared" si="11"/>
        <v>477917.66</v>
      </c>
      <c r="K78" s="147">
        <v>-38139.941033607349</v>
      </c>
      <c r="L78" s="187">
        <f t="shared" ref="L78:L81" si="14">-K78</f>
        <v>38139.941033607349</v>
      </c>
      <c r="M78" s="187">
        <f t="shared" ref="M78:M81" si="15">ROUND((J78+L78),0) + N78</f>
        <v>516058.66</v>
      </c>
      <c r="N78" s="133">
        <f t="shared" si="10"/>
        <v>0.66000000000000036</v>
      </c>
    </row>
    <row r="79" spans="1:16" x14ac:dyDescent="0.3">
      <c r="A79" s="210" t="s">
        <v>110</v>
      </c>
      <c r="B79" s="211" t="s">
        <v>335</v>
      </c>
      <c r="C79" s="108" t="s">
        <v>219</v>
      </c>
      <c r="D79" s="136">
        <v>1.4E-2</v>
      </c>
      <c r="E79" s="145">
        <v>366740.86259999999</v>
      </c>
      <c r="F79" s="222">
        <v>45786</v>
      </c>
      <c r="G79" s="147">
        <v>-338632.46462072933</v>
      </c>
      <c r="H79" s="244">
        <f t="shared" si="12"/>
        <v>169316.67</v>
      </c>
      <c r="I79" s="247">
        <f t="shared" si="13"/>
        <v>169316.67</v>
      </c>
      <c r="J79" s="226">
        <f t="shared" si="11"/>
        <v>338632.67</v>
      </c>
      <c r="K79" s="147">
        <v>-28108.397979270667</v>
      </c>
      <c r="L79" s="187">
        <f t="shared" si="14"/>
        <v>28108.397979270667</v>
      </c>
      <c r="M79" s="187">
        <f t="shared" si="15"/>
        <v>366741.67</v>
      </c>
      <c r="N79" s="133">
        <f t="shared" ref="N79:N81" si="16">N78+0.01</f>
        <v>0.67000000000000037</v>
      </c>
    </row>
    <row r="80" spans="1:16" x14ac:dyDescent="0.3">
      <c r="A80" s="210" t="s">
        <v>111</v>
      </c>
      <c r="B80" s="210">
        <v>42</v>
      </c>
      <c r="C80" s="108" t="s">
        <v>220</v>
      </c>
      <c r="D80" s="136">
        <v>1.0999999999999999E-2</v>
      </c>
      <c r="E80" s="145">
        <v>288153.53489999997</v>
      </c>
      <c r="F80" s="222">
        <v>45777</v>
      </c>
      <c r="G80" s="147">
        <v>-269617.76735499618</v>
      </c>
      <c r="H80" s="244">
        <f t="shared" si="12"/>
        <v>134809.68</v>
      </c>
      <c r="I80" s="247">
        <f t="shared" si="13"/>
        <v>134809.68</v>
      </c>
      <c r="J80" s="226">
        <f t="shared" si="11"/>
        <v>269618.68</v>
      </c>
      <c r="K80" s="147">
        <v>-18535.767545003793</v>
      </c>
      <c r="L80" s="187">
        <f t="shared" si="14"/>
        <v>18535.767545003793</v>
      </c>
      <c r="M80" s="187">
        <f t="shared" si="15"/>
        <v>288154.68</v>
      </c>
      <c r="N80" s="133">
        <f t="shared" si="16"/>
        <v>0.68000000000000038</v>
      </c>
    </row>
    <row r="81" spans="1:15" x14ac:dyDescent="0.3">
      <c r="A81" s="210" t="s">
        <v>112</v>
      </c>
      <c r="B81" s="211">
        <v>27</v>
      </c>
      <c r="C81" s="108" t="s">
        <v>221</v>
      </c>
      <c r="D81" s="136">
        <v>1.18E-2</v>
      </c>
      <c r="E81" s="145">
        <v>309110.15561999998</v>
      </c>
      <c r="F81" s="222">
        <v>45800</v>
      </c>
      <c r="G81" s="147">
        <v>-279495.95060612552</v>
      </c>
      <c r="H81" s="244">
        <f t="shared" si="12"/>
        <v>139748.69</v>
      </c>
      <c r="I81" s="247">
        <f t="shared" si="13"/>
        <v>139748.69</v>
      </c>
      <c r="J81" s="226">
        <f t="shared" si="11"/>
        <v>279496.69</v>
      </c>
      <c r="K81" s="147">
        <v>-29614.205013874453</v>
      </c>
      <c r="L81" s="187">
        <f t="shared" si="14"/>
        <v>29614.205013874453</v>
      </c>
      <c r="M81" s="187">
        <f t="shared" si="15"/>
        <v>309111.69</v>
      </c>
      <c r="N81" s="133">
        <f t="shared" si="16"/>
        <v>0.69000000000000039</v>
      </c>
    </row>
    <row r="82" spans="1:15" x14ac:dyDescent="0.3">
      <c r="A82" s="35"/>
      <c r="B82" s="35"/>
      <c r="C82" s="108"/>
      <c r="D82" s="35"/>
      <c r="E82" s="145"/>
      <c r="F82" s="76"/>
      <c r="G82" s="146"/>
      <c r="H82" s="146"/>
      <c r="I82" s="146"/>
      <c r="J82" s="146"/>
      <c r="K82" s="146"/>
      <c r="L82" s="146"/>
      <c r="M82" s="147"/>
    </row>
    <row r="83" spans="1:15" x14ac:dyDescent="0.3">
      <c r="A83" s="27"/>
      <c r="B83" s="27"/>
      <c r="C83" s="27"/>
      <c r="D83" s="116">
        <f>SUM(D8:D82)</f>
        <v>0.99790000000000079</v>
      </c>
      <c r="E83" s="28">
        <f>SUM(E8:E82)</f>
        <v>26140764.770610008</v>
      </c>
      <c r="F83" s="173">
        <f>SUM(F8:F82)</f>
        <v>3344000</v>
      </c>
      <c r="G83" s="29">
        <f>SUM(G8:G82)</f>
        <v>-22258385.373480178</v>
      </c>
      <c r="H83" s="29"/>
      <c r="I83" s="29"/>
      <c r="J83" s="29"/>
      <c r="K83" s="29"/>
      <c r="L83" s="29"/>
      <c r="M83" s="28">
        <f>SUM(M8:M82)</f>
        <v>26140811.75</v>
      </c>
      <c r="O83" s="59"/>
    </row>
  </sheetData>
  <mergeCells count="16">
    <mergeCell ref="A3:M3"/>
    <mergeCell ref="A4:M4"/>
    <mergeCell ref="A1:M2"/>
    <mergeCell ref="P8:Q9"/>
    <mergeCell ref="J5:J7"/>
    <mergeCell ref="L5:L7"/>
    <mergeCell ref="A5:A7"/>
    <mergeCell ref="G5:G7"/>
    <mergeCell ref="M5:M7"/>
    <mergeCell ref="E5:E7"/>
    <mergeCell ref="F5:F7"/>
    <mergeCell ref="B5:B7"/>
    <mergeCell ref="C5:C7"/>
    <mergeCell ref="D5:D7"/>
    <mergeCell ref="H5:H7"/>
    <mergeCell ref="I5:I7"/>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H18" sqref="C1:H18"/>
    </sheetView>
  </sheetViews>
  <sheetFormatPr baseColWidth="10" defaultRowHeight="14.4" x14ac:dyDescent="0.3"/>
  <sheetData>
    <row r="13" ht="15.6" customHeigh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2026-03-04T18:26:24Z</cp:lastPrinted>
  <dcterms:created xsi:type="dcterms:W3CDTF">2023-09-17T12:29:07Z</dcterms:created>
  <dcterms:modified xsi:type="dcterms:W3CDTF">2026-03-12T12:51:35Z</dcterms:modified>
</cp:coreProperties>
</file>