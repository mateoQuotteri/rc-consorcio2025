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EL MIRADOR\ENERO\"/>
    </mc:Choice>
  </mc:AlternateContent>
  <xr:revisionPtr revIDLastSave="0" documentId="13_ncr:1_{8CF72D4D-D25C-427A-AEDC-1E1368733602}" xr6:coauthVersionLast="47" xr6:coauthVersionMax="47" xr10:uidLastSave="{00000000-0000-0000-0000-000000000000}"/>
  <bookViews>
    <workbookView xWindow="-108" yWindow="-108" windowWidth="23256" windowHeight="12576" activeTab="1" xr2:uid="{00000000-000D-0000-FFFF-FFFF00000000}"/>
  </bookViews>
  <sheets>
    <sheet name="RESUMEN" sheetId="1" r:id="rId1"/>
    <sheet name="PRORRATEO" sheetId="2" r:id="rId2"/>
    <sheet name="ANOTACIONES" sheetId="3" r:id="rId3"/>
  </sheets>
  <definedNames>
    <definedName name="_xlnm.Print_Area" localSheetId="1">PRORRATEO!$A$1:$N$155</definedName>
    <definedName name="_xlnm.Print_Area" localSheetId="0">RESUMEN!$A$1:$J$150</definedName>
  </definedNames>
  <calcPr calcId="181029"/>
</workbook>
</file>

<file path=xl/calcChain.xml><?xml version="1.0" encoding="utf-8"?>
<calcChain xmlns="http://schemas.openxmlformats.org/spreadsheetml/2006/main">
  <c r="L64" i="2" l="1"/>
  <c r="D108" i="1"/>
  <c r="L58" i="2"/>
  <c r="L27" i="2"/>
  <c r="D104" i="1"/>
  <c r="H18" i="2"/>
  <c r="H116" i="2"/>
  <c r="H25" i="2"/>
  <c r="H27" i="2"/>
  <c r="H106" i="2"/>
  <c r="H70" i="2"/>
  <c r="H77" i="2"/>
  <c r="H124" i="2"/>
  <c r="H34" i="2"/>
  <c r="H129" i="2"/>
  <c r="H32" i="2"/>
  <c r="H112" i="2"/>
  <c r="H29" i="2"/>
  <c r="H19" i="2"/>
  <c r="H131" i="2"/>
  <c r="H46" i="2"/>
  <c r="H123" i="2"/>
  <c r="H78" i="2"/>
  <c r="H20" i="2"/>
  <c r="H23" i="2"/>
  <c r="H52" i="2"/>
  <c r="H130" i="2"/>
  <c r="H63" i="2"/>
  <c r="H111" i="2"/>
  <c r="H51" i="2"/>
  <c r="H31" i="2"/>
  <c r="H35" i="2"/>
  <c r="H102" i="2"/>
  <c r="H79" i="2"/>
  <c r="H120" i="2"/>
  <c r="H45" i="2"/>
  <c r="H108" i="2"/>
  <c r="H73" i="2"/>
  <c r="H113" i="2"/>
  <c r="H62" i="2"/>
  <c r="H82" i="2"/>
  <c r="H37" i="2"/>
  <c r="H56" i="2"/>
  <c r="H119" i="2"/>
  <c r="H85" i="2"/>
  <c r="H100" i="2"/>
  <c r="H28" i="2"/>
  <c r="H50" i="2"/>
  <c r="H96" i="2"/>
  <c r="H83" i="2"/>
  <c r="H115" i="2"/>
  <c r="H43" i="2"/>
  <c r="H91" i="2"/>
  <c r="H67" i="2"/>
  <c r="H95" i="2"/>
  <c r="H94" i="2"/>
  <c r="H55" i="2"/>
  <c r="H49" i="2"/>
  <c r="H110" i="2"/>
  <c r="H72" i="2"/>
  <c r="H98" i="2"/>
  <c r="H88" i="2"/>
  <c r="H33" i="2"/>
  <c r="H121" i="2"/>
  <c r="H122" i="2"/>
  <c r="H54" i="2"/>
  <c r="E76" i="1"/>
  <c r="K76" i="1"/>
  <c r="D64" i="1"/>
  <c r="C115" i="1" l="1"/>
  <c r="E92" i="1" l="1"/>
  <c r="E91" i="1"/>
  <c r="E94" i="1"/>
  <c r="E93" i="1"/>
  <c r="D54" i="1"/>
  <c r="J86" i="1"/>
  <c r="I86" i="1"/>
  <c r="H86" i="1"/>
  <c r="G86" i="1"/>
  <c r="F86" i="1"/>
  <c r="E86" i="1"/>
  <c r="E85" i="1"/>
  <c r="E50" i="1"/>
  <c r="E49" i="1"/>
  <c r="D28" i="1"/>
  <c r="D33" i="1" s="1"/>
  <c r="D46" i="1" l="1"/>
  <c r="D69" i="1"/>
  <c r="D80" i="1"/>
  <c r="D96" i="1"/>
  <c r="B135" i="1"/>
  <c r="H90" i="2"/>
  <c r="H71" i="2"/>
  <c r="H92" i="2"/>
  <c r="H60" i="2"/>
  <c r="H65" i="2"/>
  <c r="H128" i="2"/>
  <c r="H74" i="2"/>
  <c r="H58" i="2" l="1"/>
  <c r="H127" i="2"/>
  <c r="H81" i="2"/>
  <c r="H44" i="2"/>
  <c r="H53" i="2"/>
  <c r="H118" i="2"/>
  <c r="H109" i="2"/>
  <c r="H21" i="2"/>
  <c r="H104" i="2"/>
  <c r="H69" i="2"/>
  <c r="H126" i="2"/>
  <c r="E51" i="1" l="1"/>
  <c r="E52" i="1"/>
  <c r="E95" i="1"/>
  <c r="E89" i="1"/>
  <c r="E88" i="1"/>
  <c r="E90" i="1"/>
  <c r="H48" i="2" l="1"/>
  <c r="E79" i="1"/>
  <c r="F79" i="1"/>
  <c r="G79" i="1"/>
  <c r="H79" i="1"/>
  <c r="I79" i="1"/>
  <c r="J79" i="1"/>
  <c r="E87" i="1"/>
  <c r="D59" i="1"/>
  <c r="H103" i="2" l="1"/>
  <c r="H38" i="2"/>
  <c r="D39" i="1"/>
  <c r="H59" i="2"/>
  <c r="H16" i="2"/>
  <c r="H114" i="2"/>
  <c r="K71" i="1"/>
  <c r="K72" i="1"/>
  <c r="J72" i="1"/>
  <c r="I72" i="1"/>
  <c r="H72" i="1"/>
  <c r="G72" i="1"/>
  <c r="F72" i="1"/>
  <c r="E72" i="1"/>
  <c r="J71" i="1"/>
  <c r="I71" i="1"/>
  <c r="H71" i="1"/>
  <c r="G71" i="1"/>
  <c r="F71" i="1"/>
  <c r="E71" i="1"/>
  <c r="L71" i="1" l="1"/>
  <c r="L72" i="1"/>
  <c r="D103" i="1" l="1"/>
  <c r="H75" i="2" l="1"/>
  <c r="H86" i="2"/>
  <c r="H41" i="2"/>
  <c r="H87" i="2"/>
  <c r="H24" i="2"/>
  <c r="D36" i="1"/>
  <c r="D38" i="1"/>
  <c r="D37" i="1" l="1"/>
  <c r="K75" i="1"/>
  <c r="B142" i="1"/>
  <c r="B132" i="1" s="1"/>
  <c r="H105" i="2"/>
  <c r="D42" i="1" l="1"/>
  <c r="D43" i="1" s="1"/>
  <c r="H26" i="2"/>
  <c r="M13" i="2"/>
  <c r="N13" i="2"/>
  <c r="E75" i="1"/>
  <c r="L75" i="1" s="1"/>
  <c r="M75" i="1" s="1"/>
  <c r="N75" i="1"/>
  <c r="J78" i="1"/>
  <c r="I78" i="1"/>
  <c r="H78" i="1"/>
  <c r="G78" i="1"/>
  <c r="F78" i="1"/>
  <c r="E78" i="1"/>
  <c r="E77" i="1"/>
  <c r="J77" i="1"/>
  <c r="I77" i="1"/>
  <c r="H77" i="1"/>
  <c r="G77" i="1"/>
  <c r="F77" i="1"/>
  <c r="K78" i="1"/>
  <c r="N78" i="1" s="1"/>
  <c r="J84" i="1"/>
  <c r="I84" i="1"/>
  <c r="H84" i="1"/>
  <c r="G84" i="1"/>
  <c r="F84" i="1"/>
  <c r="E84" i="1"/>
  <c r="H89" i="2"/>
  <c r="H101" i="2"/>
  <c r="H84" i="2"/>
  <c r="H61" i="2"/>
  <c r="L78" i="1" l="1"/>
  <c r="M78" i="1" s="1"/>
  <c r="K19" i="2" l="1"/>
  <c r="O20" i="2" l="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E108" i="1"/>
  <c r="J108" i="1"/>
  <c r="I108" i="1"/>
  <c r="H108" i="1"/>
  <c r="G108" i="1"/>
  <c r="F108" i="1"/>
  <c r="F133" i="2"/>
  <c r="E73" i="1"/>
  <c r="E48" i="1"/>
  <c r="G59" i="1"/>
  <c r="E64" i="1"/>
  <c r="J68" i="1"/>
  <c r="I68" i="1"/>
  <c r="H68" i="1"/>
  <c r="G68" i="1"/>
  <c r="F68" i="1"/>
  <c r="K108" i="1" l="1"/>
  <c r="L108" i="1" s="1"/>
  <c r="I64" i="1"/>
  <c r="J64" i="1"/>
  <c r="F64" i="1"/>
  <c r="G64" i="1"/>
  <c r="H64" i="1"/>
  <c r="E59" i="1"/>
  <c r="I59" i="1"/>
  <c r="F59" i="1"/>
  <c r="J59" i="1"/>
  <c r="H59" i="1"/>
  <c r="K74" i="1"/>
  <c r="E74" i="1"/>
  <c r="L74" i="1" s="1"/>
  <c r="J105" i="1"/>
  <c r="I105" i="1"/>
  <c r="H105" i="1"/>
  <c r="G105" i="1"/>
  <c r="F105" i="1"/>
  <c r="J104" i="1"/>
  <c r="I104" i="1"/>
  <c r="H104" i="1"/>
  <c r="G104" i="1"/>
  <c r="F104" i="1"/>
  <c r="J100" i="1"/>
  <c r="I100" i="1"/>
  <c r="I103" i="1" s="1"/>
  <c r="H100" i="1"/>
  <c r="H103" i="1" s="1"/>
  <c r="G100" i="1"/>
  <c r="G103" i="1" s="1"/>
  <c r="F100" i="1"/>
  <c r="F103" i="1" s="1"/>
  <c r="H96" i="1"/>
  <c r="G96" i="1"/>
  <c r="K73" i="1"/>
  <c r="I66" i="1"/>
  <c r="H66" i="1"/>
  <c r="G66" i="1"/>
  <c r="F66" i="1"/>
  <c r="J66" i="1"/>
  <c r="J30" i="2"/>
  <c r="E119" i="1"/>
  <c r="L77" i="1"/>
  <c r="M77" i="1" s="1"/>
  <c r="K77" i="1"/>
  <c r="N77" i="1" s="1"/>
  <c r="I67" i="1"/>
  <c r="E68" i="1"/>
  <c r="K68" i="1" s="1"/>
  <c r="E105" i="1"/>
  <c r="E104" i="1"/>
  <c r="E100" i="1"/>
  <c r="E66"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8" i="2"/>
  <c r="I39" i="2"/>
  <c r="I40" i="2"/>
  <c r="I41" i="2"/>
  <c r="I42" i="2"/>
  <c r="I43" i="2"/>
  <c r="I31" i="2"/>
  <c r="I27" i="2"/>
  <c r="I46" i="2"/>
  <c r="I26" i="2"/>
  <c r="I48" i="2"/>
  <c r="I49" i="2"/>
  <c r="I50" i="2"/>
  <c r="I52" i="2"/>
  <c r="I53" i="2"/>
  <c r="I54" i="2"/>
  <c r="I24" i="2"/>
  <c r="I56" i="2"/>
  <c r="D106" i="1"/>
  <c r="D110" i="1" s="1"/>
  <c r="B149" i="1"/>
  <c r="E96" i="1" l="1"/>
  <c r="I96" i="1"/>
  <c r="F96" i="1"/>
  <c r="K64" i="1"/>
  <c r="L64" i="1" s="1"/>
  <c r="K59" i="1"/>
  <c r="L59" i="1" s="1"/>
  <c r="G80" i="1"/>
  <c r="K66" i="1"/>
  <c r="H106" i="1"/>
  <c r="G106" i="1"/>
  <c r="F106" i="1"/>
  <c r="I106" i="1"/>
  <c r="I69" i="1"/>
  <c r="F80" i="1"/>
  <c r="I80" i="1"/>
  <c r="H80" i="1"/>
  <c r="F67" i="1"/>
  <c r="F69" i="1" s="1"/>
  <c r="G67" i="1"/>
  <c r="G69" i="1" s="1"/>
  <c r="H67" i="1"/>
  <c r="H69" i="1" s="1"/>
  <c r="L73" i="1"/>
  <c r="J67" i="1"/>
  <c r="J69" i="1" s="1"/>
  <c r="J19" i="2"/>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E67" i="1"/>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K120" i="2"/>
  <c r="K56" i="2"/>
  <c r="K104" i="2"/>
  <c r="K88" i="2"/>
  <c r="K24" i="2"/>
  <c r="K40" i="2"/>
  <c r="L133" i="2" s="1"/>
  <c r="K72" i="2"/>
  <c r="K116" i="2"/>
  <c r="K100" i="2"/>
  <c r="K84" i="2"/>
  <c r="K68" i="2"/>
  <c r="K52" i="2"/>
  <c r="K36" i="2"/>
  <c r="K20" i="2"/>
  <c r="K128" i="2"/>
  <c r="K112" i="2"/>
  <c r="K96" i="2"/>
  <c r="K80" i="2"/>
  <c r="K64" i="2"/>
  <c r="K48" i="2"/>
  <c r="K32" i="2"/>
  <c r="K124" i="2"/>
  <c r="K108" i="2"/>
  <c r="K92" i="2"/>
  <c r="K76" i="2"/>
  <c r="K60" i="2"/>
  <c r="K44" i="2"/>
  <c r="K28" i="2"/>
  <c r="K131" i="2"/>
  <c r="K127" i="2"/>
  <c r="K123" i="2"/>
  <c r="K119" i="2"/>
  <c r="K115" i="2"/>
  <c r="K111" i="2"/>
  <c r="K107" i="2"/>
  <c r="K103" i="2"/>
  <c r="K99" i="2"/>
  <c r="K95" i="2"/>
  <c r="K91" i="2"/>
  <c r="K87" i="2"/>
  <c r="K83" i="2"/>
  <c r="K79" i="2"/>
  <c r="K75" i="2"/>
  <c r="K71" i="2"/>
  <c r="K67" i="2"/>
  <c r="K63" i="2"/>
  <c r="K59" i="2"/>
  <c r="K55" i="2"/>
  <c r="K51" i="2"/>
  <c r="K47" i="2"/>
  <c r="K43" i="2"/>
  <c r="K39" i="2"/>
  <c r="K35" i="2"/>
  <c r="K31" i="2"/>
  <c r="K27" i="2"/>
  <c r="K23"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29" i="2"/>
  <c r="K125" i="2"/>
  <c r="K121" i="2"/>
  <c r="K117" i="2"/>
  <c r="K113" i="2"/>
  <c r="K109" i="2"/>
  <c r="K105" i="2"/>
  <c r="K101" i="2"/>
  <c r="K97" i="2"/>
  <c r="K93" i="2"/>
  <c r="K89" i="2"/>
  <c r="K85" i="2"/>
  <c r="K81" i="2"/>
  <c r="K77" i="2"/>
  <c r="K73" i="2"/>
  <c r="K69" i="2"/>
  <c r="K65" i="2"/>
  <c r="K61" i="2"/>
  <c r="K57" i="2"/>
  <c r="K53" i="2"/>
  <c r="K49" i="2"/>
  <c r="K45" i="2"/>
  <c r="K41" i="2"/>
  <c r="K37" i="2"/>
  <c r="K33" i="2"/>
  <c r="K29" i="2"/>
  <c r="K25" i="2"/>
  <c r="K21" i="2"/>
  <c r="I33" i="2"/>
  <c r="I44" i="2"/>
  <c r="I55" i="2"/>
  <c r="I45" i="2"/>
  <c r="E43" i="1" l="1"/>
  <c r="K133" i="2"/>
  <c r="K67" i="1"/>
  <c r="H43" i="1"/>
  <c r="G43" i="1"/>
  <c r="J43" i="1"/>
  <c r="F43" i="1"/>
  <c r="I43" i="1"/>
  <c r="J133" i="2"/>
  <c r="K43" i="1" l="1"/>
  <c r="L43" i="1" s="1"/>
  <c r="I130" i="2"/>
  <c r="N73" i="1" l="1"/>
  <c r="M73" i="1" l="1"/>
  <c r="L79" i="1"/>
  <c r="D121" i="1" l="1"/>
  <c r="B131" i="1" l="1"/>
  <c r="E121" i="1"/>
  <c r="J121" i="1"/>
  <c r="L121" i="1" l="1"/>
  <c r="M121" i="1" s="1"/>
  <c r="E47" i="1" l="1"/>
  <c r="K79" i="1" l="1"/>
  <c r="N79" i="1" s="1"/>
  <c r="M79" i="1" l="1"/>
  <c r="J80" i="1" l="1"/>
  <c r="E80" i="1"/>
  <c r="J106" i="1"/>
  <c r="E106" i="1"/>
  <c r="E103" i="1"/>
  <c r="J103" i="1"/>
  <c r="J96" i="1"/>
  <c r="K96" i="1" s="1"/>
  <c r="K80" i="1" l="1"/>
  <c r="L80" i="1" s="1"/>
  <c r="K106" i="1"/>
  <c r="K103" i="1"/>
  <c r="J46" i="1" l="1"/>
  <c r="J110" i="1" s="1"/>
  <c r="Q13" i="2" s="1"/>
  <c r="H46" i="1"/>
  <c r="H110" i="1" s="1"/>
  <c r="Q11" i="2" s="1"/>
  <c r="G46" i="1"/>
  <c r="G110" i="1" s="1"/>
  <c r="Q10" i="2" s="1"/>
  <c r="F46" i="1"/>
  <c r="F110" i="1" s="1"/>
  <c r="Q9" i="2" s="1"/>
  <c r="E46" i="1"/>
  <c r="I46" i="1"/>
  <c r="I110" i="1" s="1"/>
  <c r="Q12" i="2" s="1"/>
  <c r="M80" i="1"/>
  <c r="L96" i="1"/>
  <c r="L106" i="1"/>
  <c r="L103" i="1"/>
  <c r="B136" i="1"/>
  <c r="E54" i="1" l="1"/>
  <c r="K54" i="1" s="1"/>
  <c r="L54" i="1" s="1"/>
  <c r="K46" i="1"/>
  <c r="L46" i="1" s="1"/>
  <c r="E69" i="1"/>
  <c r="E110" i="1" l="1"/>
  <c r="K110" i="1" s="1"/>
  <c r="L110" i="1" s="1"/>
  <c r="B125" i="1"/>
  <c r="B130" i="1" s="1"/>
  <c r="L1" i="2"/>
  <c r="K69" i="1"/>
  <c r="L69" i="1" s="1"/>
  <c r="B124" i="1"/>
  <c r="P150" i="2" l="1"/>
  <c r="K134" i="2" l="1"/>
  <c r="B133" i="1"/>
  <c r="M21" i="2" l="1"/>
  <c r="N21" i="2" s="1"/>
  <c r="M26" i="2"/>
  <c r="N26" i="2" s="1"/>
  <c r="M30" i="2"/>
  <c r="N30" i="2" s="1"/>
  <c r="M43" i="2"/>
  <c r="N43" i="2" s="1"/>
  <c r="M51" i="2"/>
  <c r="N51" i="2" s="1"/>
  <c r="M55" i="2"/>
  <c r="N55" i="2" s="1"/>
  <c r="M59" i="2"/>
  <c r="N59" i="2" s="1"/>
  <c r="M63" i="2"/>
  <c r="N63" i="2" s="1"/>
  <c r="M71" i="2"/>
  <c r="N71" i="2" s="1"/>
  <c r="M75" i="2"/>
  <c r="N75" i="2" s="1"/>
  <c r="M79" i="2"/>
  <c r="N79" i="2" s="1"/>
  <c r="M84" i="2"/>
  <c r="N84" i="2" s="1"/>
  <c r="M89" i="2"/>
  <c r="N89" i="2" s="1"/>
  <c r="M93" i="2"/>
  <c r="N93" i="2" s="1"/>
  <c r="M97" i="2"/>
  <c r="N97" i="2" s="1"/>
  <c r="M105" i="2"/>
  <c r="N105" i="2" s="1"/>
  <c r="M109" i="2"/>
  <c r="N109" i="2" s="1"/>
  <c r="M113" i="2"/>
  <c r="N113" i="2" s="1"/>
  <c r="M117" i="2"/>
  <c r="N117" i="2" s="1"/>
  <c r="M121" i="2"/>
  <c r="N121" i="2" s="1"/>
  <c r="M129" i="2"/>
  <c r="N129" i="2" s="1"/>
  <c r="M23" i="2"/>
  <c r="N23" i="2" s="1"/>
  <c r="M27" i="2"/>
  <c r="N27" i="2" s="1"/>
  <c r="M31" i="2"/>
  <c r="N31" i="2" s="1"/>
  <c r="M36" i="2"/>
  <c r="N36" i="2" s="1"/>
  <c r="M40" i="2"/>
  <c r="N40" i="2" s="1"/>
  <c r="M44" i="2"/>
  <c r="N44" i="2" s="1"/>
  <c r="M48" i="2"/>
  <c r="N48" i="2" s="1"/>
  <c r="M52" i="2"/>
  <c r="N52" i="2" s="1"/>
  <c r="M56" i="2"/>
  <c r="N56" i="2" s="1"/>
  <c r="M60" i="2"/>
  <c r="N60" i="2" s="1"/>
  <c r="M64" i="2"/>
  <c r="N64" i="2" s="1"/>
  <c r="M68" i="2"/>
  <c r="N68" i="2" s="1"/>
  <c r="M72" i="2"/>
  <c r="N72" i="2" s="1"/>
  <c r="M76" i="2"/>
  <c r="N76" i="2" s="1"/>
  <c r="M81" i="2"/>
  <c r="N81" i="2" s="1"/>
  <c r="M85" i="2"/>
  <c r="N85" i="2" s="1"/>
  <c r="M90" i="2"/>
  <c r="N90" i="2" s="1"/>
  <c r="M94" i="2"/>
  <c r="N94" i="2" s="1"/>
  <c r="M98" i="2"/>
  <c r="N98" i="2" s="1"/>
  <c r="M102" i="2"/>
  <c r="N102" i="2" s="1"/>
  <c r="M106" i="2"/>
  <c r="N106" i="2" s="1"/>
  <c r="M110" i="2"/>
  <c r="N110" i="2" s="1"/>
  <c r="M114" i="2"/>
  <c r="N114" i="2" s="1"/>
  <c r="M118" i="2"/>
  <c r="N118" i="2" s="1"/>
  <c r="M122" i="2"/>
  <c r="N122" i="2" s="1"/>
  <c r="M126" i="2"/>
  <c r="N126" i="2" s="1"/>
  <c r="M130" i="2"/>
  <c r="N130" i="2" s="1"/>
  <c r="M19" i="2"/>
  <c r="N19" i="2" s="1"/>
  <c r="M24" i="2"/>
  <c r="N24" i="2" s="1"/>
  <c r="M28" i="2"/>
  <c r="N28" i="2" s="1"/>
  <c r="M32" i="2"/>
  <c r="N32" i="2" s="1"/>
  <c r="M37" i="2"/>
  <c r="N37" i="2" s="1"/>
  <c r="M41" i="2"/>
  <c r="N41" i="2" s="1"/>
  <c r="M45" i="2"/>
  <c r="N45" i="2" s="1"/>
  <c r="M49" i="2"/>
  <c r="N49" i="2" s="1"/>
  <c r="M53" i="2"/>
  <c r="N53" i="2" s="1"/>
  <c r="M57" i="2"/>
  <c r="N57" i="2" s="1"/>
  <c r="M61" i="2"/>
  <c r="N61" i="2" s="1"/>
  <c r="M65" i="2"/>
  <c r="N65" i="2" s="1"/>
  <c r="M69" i="2"/>
  <c r="N69" i="2" s="1"/>
  <c r="M73" i="2"/>
  <c r="N73" i="2" s="1"/>
  <c r="M77" i="2"/>
  <c r="N77" i="2" s="1"/>
  <c r="M82" i="2"/>
  <c r="N82" i="2" s="1"/>
  <c r="M86" i="2"/>
  <c r="N86" i="2" s="1"/>
  <c r="M91" i="2"/>
  <c r="N91" i="2" s="1"/>
  <c r="M95" i="2"/>
  <c r="N95" i="2" s="1"/>
  <c r="M99" i="2"/>
  <c r="N99" i="2" s="1"/>
  <c r="M103" i="2"/>
  <c r="N103" i="2" s="1"/>
  <c r="M107" i="2"/>
  <c r="N107" i="2" s="1"/>
  <c r="M111" i="2"/>
  <c r="N111" i="2" s="1"/>
  <c r="M115" i="2"/>
  <c r="N115" i="2" s="1"/>
  <c r="M119" i="2"/>
  <c r="N119" i="2" s="1"/>
  <c r="M25" i="2"/>
  <c r="N25" i="2" s="1"/>
  <c r="M42" i="2"/>
  <c r="N42" i="2" s="1"/>
  <c r="M58" i="2"/>
  <c r="N58" i="2" s="1"/>
  <c r="M74" i="2"/>
  <c r="N74" i="2" s="1"/>
  <c r="M92" i="2"/>
  <c r="N92" i="2" s="1"/>
  <c r="M108" i="2"/>
  <c r="N108" i="2" s="1"/>
  <c r="M123" i="2"/>
  <c r="N123" i="2" s="1"/>
  <c r="M29" i="2"/>
  <c r="N29" i="2" s="1"/>
  <c r="M46" i="2"/>
  <c r="N46" i="2" s="1"/>
  <c r="M62" i="2"/>
  <c r="N62" i="2" s="1"/>
  <c r="M78" i="2"/>
  <c r="N78" i="2" s="1"/>
  <c r="M96" i="2"/>
  <c r="N96" i="2" s="1"/>
  <c r="M112" i="2"/>
  <c r="N112" i="2" s="1"/>
  <c r="M124" i="2"/>
  <c r="N124" i="2" s="1"/>
  <c r="M50" i="2"/>
  <c r="N50" i="2" s="1"/>
  <c r="M66" i="2"/>
  <c r="N66" i="2" s="1"/>
  <c r="M83" i="2"/>
  <c r="N83" i="2" s="1"/>
  <c r="M100" i="2"/>
  <c r="N100" i="2" s="1"/>
  <c r="M116" i="2"/>
  <c r="N116" i="2" s="1"/>
  <c r="M127" i="2"/>
  <c r="N127" i="2" s="1"/>
  <c r="M38" i="2"/>
  <c r="N38" i="2" s="1"/>
  <c r="M54" i="2"/>
  <c r="N54" i="2" s="1"/>
  <c r="M70" i="2"/>
  <c r="N70" i="2" s="1"/>
  <c r="M88" i="2"/>
  <c r="N88" i="2" s="1"/>
  <c r="M104" i="2"/>
  <c r="N104" i="2" s="1"/>
  <c r="M120" i="2"/>
  <c r="N120" i="2" s="1"/>
  <c r="M128" i="2"/>
  <c r="N128" i="2" s="1"/>
  <c r="M33" i="2"/>
  <c r="N33" i="2" s="1"/>
  <c r="M125" i="2"/>
  <c r="N125" i="2" s="1"/>
  <c r="M34" i="2"/>
  <c r="N34" i="2" s="1"/>
  <c r="M35" i="2"/>
  <c r="N35" i="2" s="1"/>
  <c r="M80" i="2"/>
  <c r="N80" i="2" s="1"/>
  <c r="M67" i="2"/>
  <c r="N67" i="2" s="1"/>
  <c r="M87" i="2"/>
  <c r="N87" i="2" s="1"/>
  <c r="M22" i="2"/>
  <c r="N22" i="2" s="1"/>
  <c r="M101" i="2"/>
  <c r="N101" i="2" s="1"/>
  <c r="M39" i="2"/>
  <c r="N39" i="2" s="1"/>
  <c r="I131" i="2" l="1"/>
  <c r="M131" i="2" s="1"/>
  <c r="N131" i="2" s="1"/>
  <c r="I17" i="2" l="1"/>
  <c r="I15" i="2"/>
  <c r="M15" i="2" s="1"/>
  <c r="I18" i="2"/>
  <c r="I14" i="2"/>
  <c r="M14" i="2" s="1"/>
  <c r="I16" i="2" l="1"/>
  <c r="M16" i="2" s="1"/>
  <c r="N16" i="2" s="1"/>
  <c r="N14" i="2"/>
  <c r="M18" i="2"/>
  <c r="N18" i="2" s="1"/>
  <c r="M17" i="2"/>
  <c r="N17" i="2" s="1"/>
  <c r="N15" i="2" l="1"/>
  <c r="M110" i="1" l="1"/>
  <c r="I20" i="2"/>
  <c r="M20" i="2" s="1"/>
  <c r="N20" i="2" l="1"/>
  <c r="G133" i="2"/>
  <c r="H133" i="2"/>
  <c r="B129" i="1" s="1"/>
  <c r="B138" i="1" s="1"/>
  <c r="I47" i="2" l="1"/>
  <c r="M47" i="2" s="1"/>
  <c r="M133" i="2" l="1"/>
  <c r="N47" i="2"/>
  <c r="N133" i="2" s="1"/>
</calcChain>
</file>

<file path=xl/sharedStrings.xml><?xml version="1.0" encoding="utf-8"?>
<sst xmlns="http://schemas.openxmlformats.org/spreadsheetml/2006/main" count="538" uniqueCount="367">
  <si>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</si>
  <si>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</si>
  <si>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</si>
  <si>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</si>
  <si>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</si>
  <si>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</si>
  <si>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</si>
  <si>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</si>
  <si>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</si>
  <si>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</si>
  <si>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</si>
  <si>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</si>
  <si>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</si>
  <si>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</si>
  <si>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</si>
  <si>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</si>
  <si>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</si>
  <si>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</si>
  <si>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</si>
  <si>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</si>
  <si>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</si>
  <si>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</si>
  <si>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</si>
  <si>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</si>
  <si>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</si>
  <si>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</si>
  <si>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</si>
  <si>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</si>
  <si>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</si>
  <si>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</si>
  <si>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</si>
  <si>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</si>
  <si>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</si>
  <si>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</si>
  <si>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</si>
  <si>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</si>
  <si>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</si>
  <si>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</si>
  <si>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</si>
  <si>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</si>
  <si>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</si>
  <si>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</si>
  <si>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</si>
  <si>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</si>
  <si>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</si>
  <si>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</si>
  <si>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</si>
  <si>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</si>
  <si>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</si>
  <si>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</si>
  <si>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</si>
  <si>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</si>
  <si>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</si>
  <si>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</si>
  <si>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</si>
  <si>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</si>
  <si>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</si>
  <si>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</si>
  <si>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</si>
  <si>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</si>
  <si>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</si>
  <si>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</si>
  <si>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</si>
  <si>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</si>
  <si>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</si>
  <si>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</si>
  <si>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</si>
  <si>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</si>
  <si>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</si>
  <si>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</si>
  <si>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</si>
  <si>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</si>
  <si>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</si>
  <si>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</si>
  <si>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</si>
  <si>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</si>
  <si>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</si>
  <si>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</si>
  <si>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</si>
  <si>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</si>
  <si>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</si>
  <si>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</si>
  <si>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</si>
  <si>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</si>
  <si>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</si>
  <si>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</si>
  <si>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</si>
  <si>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</si>
  <si>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</si>
  <si>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</si>
  <si>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</si>
  <si>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</si>
  <si>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</si>
  <si>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</si>
  <si>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</si>
  <si>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</si>
  <si>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</si>
  <si>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</si>
  <si>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</si>
  <si>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</si>
  <si>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</si>
  <si>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</si>
  <si>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</si>
  <si>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</si>
  <si>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</si>
  <si>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</si>
  <si>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</si>
  <si>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</si>
  <si>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</si>
  <si>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</si>
  <si>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</si>
  <si>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</si>
  <si>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</si>
  <si>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</si>
  <si>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</si>
  <si>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</si>
  <si>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</si>
  <si>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</si>
  <si>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</si>
  <si>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</si>
  <si>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</si>
  <si>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</si>
  <si>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</si>
  <si>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</si>
  <si>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</si>
  <si>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</si>
  <si>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</si>
  <si>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</si>
  <si>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</si>
  <si>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</si>
  <si>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</si>
  <si>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</si>
  <si>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</si>
  <si>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</si>
  <si>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</si>
  <si>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</si>
  <si>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</si>
  <si>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</si>
  <si>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</si>
  <si>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</si>
  <si>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</si>
  <si>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</si>
  <si>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</si>
  <si>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</si>
  <si>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</si>
  <si>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</si>
  <si>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</si>
  <si>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</si>
  <si>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</si>
  <si>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</si>
  <si>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</si>
  <si>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</si>
  <si>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</si>
  <si>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</si>
  <si>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</si>
  <si>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</si>
  <si>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</si>
  <si>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</si>
  <si>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</si>
  <si>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</si>
  <si>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</si>
  <si>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</si>
  <si>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</si>
  <si>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</si>
  <si>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</si>
  <si>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</si>
  <si>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</si>
  <si>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</si>
  <si>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</si>
  <si>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</si>
  <si>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</si>
  <si>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</si>
  <si>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</si>
  <si>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</si>
  <si>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</si>
  <si>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</si>
  <si>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</si>
  <si>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</si>
  <si>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</si>
  <si>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</si>
  <si>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</si>
  <si>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</si>
  <si>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</si>
  <si>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</si>
  <si>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</si>
  <si>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</si>
  <si>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</si>
  <si>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</si>
  <si>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</si>
  <si>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</si>
  <si>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</si>
  <si>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</si>
  <si>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</si>
  <si>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</si>
  <si>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</si>
  <si>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</si>
  <si>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</si>
  <si>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</si>
  <si>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</si>
  <si>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</si>
  <si>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</si>
  <si>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</si>
  <si>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</si>
  <si>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</si>
  <si>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</si>
  <si>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</si>
  <si>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</si>
  <si>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</si>
  <si>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</si>
  <si>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</si>
  <si>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</si>
  <si>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</si>
  <si>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</si>
  <si>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</si>
  <si>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</si>
  <si>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</si>
  <si>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</si>
  <si>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</si>
  <si>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</si>
  <si>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</si>
  <si>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</si>
  <si>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</si>
  <si>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</si>
  <si>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</si>
  <si>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</si>
  <si>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</si>
  <si>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</si>
  <si>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</si>
  <si>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</si>
  <si>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</si>
  <si>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</si>
  <si>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</si>
  <si>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Federacion patronal - Poliza accidentes personales Sra. Sonia - nro. 9559834</t>
  </si>
  <si>
    <t>Federacion patronal - Poliza accidentes personales Sra. Miriam - nro. 9559886</t>
  </si>
  <si>
    <t>Sueldo encargada Miriam</t>
  </si>
  <si>
    <t xml:space="preserve">Sueldo encargada Sonia Arzamendia Galeano </t>
  </si>
  <si>
    <t>Plus retiro de basura</t>
  </si>
  <si>
    <t>Plus cochera</t>
  </si>
  <si>
    <t>Plus pileta</t>
  </si>
  <si>
    <t>Adicional remuneracion</t>
  </si>
  <si>
    <t>Monotributo Sra. Sonia</t>
  </si>
  <si>
    <t>Aysa - Cuenta 249011</t>
  </si>
  <si>
    <t>Edesur - Cliente 01291636</t>
  </si>
  <si>
    <t>Telecentro - Zona coworking - Cliente 7725479</t>
  </si>
  <si>
    <t>IMPUESTOS</t>
  </si>
  <si>
    <t>TOTAL APORTES Y CONTRIBUCIONES</t>
  </si>
  <si>
    <t xml:space="preserve">TOTAL IMPUESTOS </t>
  </si>
  <si>
    <t>ARBA - Impuesto inmobiliario partida 025024270-0</t>
  </si>
  <si>
    <t>TSG - Partida 197229000</t>
  </si>
  <si>
    <t>COMBUSTIBLE PARA GRUPO ELECTROGENO</t>
  </si>
  <si>
    <t>LOCAL 1</t>
  </si>
  <si>
    <t>LOCAL 2</t>
  </si>
  <si>
    <t>LOCAL 3</t>
  </si>
  <si>
    <t>LOCAL 4</t>
  </si>
  <si>
    <t>LOCAL 5</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</si>
  <si>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</si>
  <si>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</si>
  <si>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</si>
  <si>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</si>
  <si>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</si>
  <si>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</si>
  <si>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</si>
  <si>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</si>
  <si>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</si>
  <si>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HORARIOS DE ATENCION: LUNES A VIERNES - 10 A 16HS - EMERGENCIAS 24HS</t>
  </si>
  <si>
    <t xml:space="preserve">MAIL: elmiradorconsorcios@gmail.com
</t>
  </si>
  <si>
    <t>COCHERA 33</t>
  </si>
  <si>
    <t>Schiaffino, Edgardo Angel</t>
  </si>
  <si>
    <t>Orsi, Jose Luis - Fernandez, Cristian Gabriel</t>
  </si>
  <si>
    <t>Inquilinos</t>
  </si>
  <si>
    <t>Balduzzi, Stella Maris</t>
  </si>
  <si>
    <t>Liria</t>
  </si>
  <si>
    <t>Christian</t>
  </si>
  <si>
    <t xml:space="preserve">Aylen </t>
  </si>
  <si>
    <t>Adrian</t>
  </si>
  <si>
    <t>Agustina</t>
  </si>
  <si>
    <t>Loschi Mantenimiento grupo electrogeno - Abono bimestral</t>
  </si>
  <si>
    <t>Metrogas - Cliente nro. 40000496339</t>
  </si>
  <si>
    <t>Metrogas - Cliente nro. 40000497007</t>
  </si>
  <si>
    <t>TOTAL A ABONAR 2DO VTO - DESDE EL</t>
  </si>
  <si>
    <t>TOTAL A ABONAR HASTA</t>
  </si>
  <si>
    <t>Ayala, Agustin</t>
  </si>
  <si>
    <t>Monotributo Sra. Miriam</t>
  </si>
  <si>
    <t>alonso sabrina eugenia</t>
  </si>
  <si>
    <t xml:space="preserve"> Laura Quintas Perez</t>
  </si>
  <si>
    <t>Gazzaneo, Francisco</t>
  </si>
  <si>
    <t>Solleiro, Carolina Mabel</t>
  </si>
  <si>
    <t>Dallorso, Maria Ines - Dallorso, Ana Paula</t>
  </si>
  <si>
    <t>Matias Cuevas</t>
  </si>
  <si>
    <t>Santiago Rodriguez</t>
  </si>
  <si>
    <t>Lara</t>
  </si>
  <si>
    <t>Iara</t>
  </si>
  <si>
    <t>Punitorios mal cobrados</t>
  </si>
  <si>
    <t>TRANSFERENCIAS SIN IDENTIFICAR</t>
  </si>
  <si>
    <t>Dinero sin identificar</t>
  </si>
  <si>
    <t xml:space="preserve">CBU: 0720039720000002171436 </t>
  </si>
  <si>
    <t>Banco Santander Rio.</t>
  </si>
  <si>
    <t>CTA CTE $   0039  - 21714/3    FIDEICOMISO 25 DE MAYO 837 LAN  30716676737</t>
  </si>
  <si>
    <t>Adicional Viaticos</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</si>
  <si>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</si>
  <si>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</si>
  <si>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</si>
  <si>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</si>
  <si>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</si>
  <si>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</si>
  <si>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</si>
  <si>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</si>
  <si>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</si>
  <si>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</si>
  <si>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Heredia, Christian</t>
  </si>
  <si>
    <t>0CTtubr3</t>
  </si>
  <si>
    <t>Matias alejandro ezequiel</t>
  </si>
  <si>
    <t>IMPORTANTE: Quienes estan en violeta NO ha respetado los centavos al abonar. Para la proxima oportunidad, solicitamos que los respeten.</t>
  </si>
  <si>
    <t>Walter Gabriel Ledesma</t>
  </si>
  <si>
    <t>IMPORTANTE: Las personas marcadas en color naranja abonaron de forma incorrecta mediante Mercado Pago.
A partir de ahora (incluso desde hace meses), ya se encuentra habilitada la cuenta bancaria correspondiente, por lo que todos los pagos deben realizarse exclusivamente a través de dicha cuenta. Los datos de la misma se encuentran justo arriba de este aviso. Quienes abonen por Mercado Pago corren el riesgo de que su pago no sea imputado correctamente.</t>
  </si>
  <si>
    <t>Debito autom.</t>
  </si>
  <si>
    <t>Pago Ef. Por adm.</t>
  </si>
  <si>
    <t xml:space="preserve">FONDO DE GASTOS ORDINARIOS </t>
  </si>
  <si>
    <t>Cochera 38</t>
  </si>
  <si>
    <t>Ayala paga 5D, 5F y 4F</t>
  </si>
  <si>
    <t>Constructora: paga ademas del 2A la cochera 25</t>
  </si>
  <si>
    <t>Pablo Amarilla</t>
  </si>
  <si>
    <t>Pablo amarilla</t>
  </si>
  <si>
    <t>Anchipi, Gaston Nicolas</t>
  </si>
  <si>
    <t>VTO 16/02</t>
  </si>
  <si>
    <t>PERÍODO: ENERO</t>
  </si>
  <si>
    <t>Mes de ENERO</t>
  </si>
  <si>
    <t>ADS - Abono de mantenimiento ascensores ENERO del 2025</t>
  </si>
  <si>
    <t>Victor Martinez - Abono mantenimiento control de accesos - Mes de ENERO</t>
  </si>
  <si>
    <t>Articulos de limpieza  - Mes de ENERO</t>
  </si>
  <si>
    <t>Cuello Natalia - Desobstruccion de tramo colectora cloacal. Desde local 5</t>
  </si>
  <si>
    <t>Cuello natalia - Servicio de emergencia - Desobstruccion de colectora cloacal</t>
  </si>
  <si>
    <t>Transf 12/01</t>
  </si>
  <si>
    <t>Articulos de limpieza  para pileta - Mes de ENERO</t>
  </si>
  <si>
    <t xml:space="preserve">Julio Doartero - Emergencia electrica </t>
  </si>
  <si>
    <t>Transf 09/01</t>
  </si>
  <si>
    <t>Alejandro Majnemer - Compra de control para porton</t>
  </si>
  <si>
    <t>Transf 07/01</t>
  </si>
  <si>
    <t>Descuento Dia Sabado 31/01</t>
  </si>
  <si>
    <t>Descuento 4 dias</t>
  </si>
  <si>
    <t>Reemplazo Sra. Miriam - Sr. Cristian</t>
  </si>
  <si>
    <t>Combustible</t>
  </si>
  <si>
    <t>Transf 07/01 - Efectivo</t>
  </si>
  <si>
    <t>Transf 15/01</t>
  </si>
  <si>
    <t>Mes de Diciembre - Adeudado</t>
  </si>
  <si>
    <t>Compra de Sal Gruesa</t>
  </si>
  <si>
    <t>Efectivo</t>
  </si>
  <si>
    <t>Servisur - Reparacion lampara colgante transformador 12v, reconexion tablero electronico</t>
  </si>
  <si>
    <t>Casa Ruan - Fuente de 12V</t>
  </si>
  <si>
    <t>Transf 20/01</t>
  </si>
  <si>
    <t>Cuello Natalia - Servicio de emergencia - Desobstruccion de colectora cloacal y repaso de tramos de colectora en local 1 y 3. Cuota 1 de 2</t>
  </si>
  <si>
    <t xml:space="preserve">Destapaciones - Camion AySa </t>
  </si>
  <si>
    <t>Pago Ef.</t>
  </si>
  <si>
    <t>Transf 23/01</t>
  </si>
  <si>
    <t>Control para porton  - 4C</t>
  </si>
  <si>
    <t xml:space="preserve">Nahuel </t>
  </si>
  <si>
    <t>Victor Martinez - Compra de TAGS</t>
  </si>
  <si>
    <t>Transf 30/01</t>
  </si>
  <si>
    <t>Cristina andrea Massa</t>
  </si>
  <si>
    <t>Fridgi, Guillermo Ariel</t>
  </si>
  <si>
    <t>Sum Mal cobrado 2E</t>
  </si>
  <si>
    <t>Gustavo Oscar Fernandez</t>
  </si>
  <si>
    <t>Transferencia de Bezzo Enrique Jorge</t>
  </si>
  <si>
    <t>Pendiente mes de febrer0 el 02/02 se debito federacional patronal</t>
  </si>
  <si>
    <t>Diferencia en Factura de Articulos de limpieza (Mes anterior) con monto erroneo</t>
  </si>
  <si>
    <t>Las casillas coloreadas en la columna Gastos Par/SUM de color rojo corresponden a multas aplicadas por el uso del SUM. En consecuencia, la unidad funcional involucrada no podrá acceder al uso del mismo por tiempo indeterminado. Por otro lado, las casillas coloreadas en amarillo, corresponden a llaves y las verdes corresponden al mal uso del coworking.</t>
  </si>
  <si>
    <t>Lorenzo, Sergio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</si>
</sst>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quot;$&quot;\ * #,##0.000_-;\-&quot;$&quot;\ * #,##0.000_-;_-&quot;$&quot;\ * &quot;-&quot;??_-;_-@_-"/>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
      <b/>
      <sz val="12"/>
      <color theme="0"/>
      <name val="Calibri"/>
      <family val="2"/>
      <scheme val="minor"/>
    </font>
    <font>
      <sz val="10"/>
      <color theme="0"/>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7030A0"/>
        <bgColor indexed="64"/>
      </patternFill>
    </fill>
    <fill>
      <patternFill patternType="solid">
        <fgColor theme="6"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283">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44" fontId="4" fillId="2" borderId="0" xfId="1" applyFont="1" applyFill="1" applyBorder="1"/>
    <xf numFmtId="0" fontId="13" fillId="0" borderId="1" xfId="0" applyFont="1" applyBorder="1"/>
    <xf numFmtId="165" fontId="0" fillId="7" borderId="1" xfId="1" applyNumberFormat="1" applyFont="1" applyFill="1" applyBorder="1"/>
    <xf numFmtId="0" fontId="4" fillId="2" borderId="6" xfId="0" applyFont="1" applyFill="1" applyBorder="1"/>
    <xf numFmtId="165" fontId="11"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4" fillId="0" borderId="0" xfId="0" applyFont="1"/>
    <xf numFmtId="44" fontId="3" fillId="0" borderId="0" xfId="0" applyNumberFormat="1" applyFont="1"/>
    <xf numFmtId="0" fontId="0" fillId="0" borderId="1" xfId="0" applyBorder="1" applyAlignment="1">
      <alignment vertical="center"/>
    </xf>
    <xf numFmtId="44" fontId="10" fillId="4" borderId="6" xfId="0" applyNumberFormat="1" applyFont="1" applyFill="1" applyBorder="1"/>
    <xf numFmtId="0" fontId="0" fillId="2" borderId="0" xfId="0" applyFill="1"/>
    <xf numFmtId="44" fontId="14" fillId="0" borderId="0" xfId="0" applyNumberFormat="1" applyFont="1"/>
    <xf numFmtId="44" fontId="0" fillId="0" borderId="2" xfId="0" applyNumberFormat="1" applyBorder="1"/>
    <xf numFmtId="6" fontId="11" fillId="2" borderId="1" xfId="0" applyNumberFormat="1" applyFont="1" applyFill="1" applyBorder="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5" fillId="2" borderId="1" xfId="2" applyFont="1" applyFill="1" applyBorder="1"/>
    <xf numFmtId="43" fontId="0" fillId="0" borderId="0" xfId="0" applyNumberFormat="1"/>
    <xf numFmtId="0" fontId="4" fillId="0" borderId="0" xfId="0" applyFont="1"/>
    <xf numFmtId="44" fontId="10" fillId="5" borderId="12" xfId="0" applyNumberFormat="1" applyFont="1" applyFill="1" applyBorder="1"/>
    <xf numFmtId="165" fontId="4" fillId="0" borderId="1" xfId="1" applyNumberFormat="1" applyFont="1" applyBorder="1"/>
    <xf numFmtId="44" fontId="0" fillId="0" borderId="0" xfId="0" applyNumberFormat="1" applyAlignment="1">
      <alignment horizontal="left"/>
    </xf>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44"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9" fillId="11" borderId="18" xfId="0" applyFont="1" applyFill="1" applyBorder="1"/>
    <xf numFmtId="0" fontId="16"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44" fontId="2" fillId="8" borderId="15" xfId="1" applyFont="1" applyFill="1" applyBorder="1"/>
    <xf numFmtId="44" fontId="2" fillId="8" borderId="13" xfId="0" applyNumberFormat="1" applyFont="1" applyFill="1" applyBorder="1"/>
    <xf numFmtId="0" fontId="13" fillId="2" borderId="1" xfId="0" applyFont="1" applyFill="1" applyBorder="1"/>
    <xf numFmtId="44" fontId="4" fillId="0" borderId="19" xfId="1" applyFont="1" applyBorder="1"/>
    <xf numFmtId="0" fontId="9" fillId="11" borderId="14" xfId="0" applyFont="1" applyFill="1" applyBorder="1"/>
    <xf numFmtId="0" fontId="2" fillId="11"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1" fillId="2" borderId="4" xfId="0" applyFont="1" applyFill="1" applyBorder="1"/>
    <xf numFmtId="10" fontId="0" fillId="2" borderId="4" xfId="0" applyNumberFormat="1" applyFill="1" applyBorder="1"/>
    <xf numFmtId="44" fontId="0" fillId="2" borderId="1" xfId="1" applyFont="1" applyFill="1" applyBorder="1"/>
    <xf numFmtId="0" fontId="0" fillId="12" borderId="1" xfId="0" applyFill="1" applyBorder="1"/>
    <xf numFmtId="0" fontId="11" fillId="12" borderId="1" xfId="0" applyFont="1" applyFill="1" applyBorder="1"/>
    <xf numFmtId="0" fontId="0" fillId="12" borderId="0" xfId="0" applyFill="1"/>
    <xf numFmtId="0" fontId="0" fillId="2" borderId="1" xfId="0" applyFill="1" applyBorder="1" applyAlignment="1">
      <alignment vertical="center" wrapText="1"/>
    </xf>
    <xf numFmtId="0" fontId="0" fillId="2" borderId="1" xfId="0" applyFill="1" applyBorder="1" applyAlignment="1">
      <alignment vertical="center"/>
    </xf>
    <xf numFmtId="10" fontId="0" fillId="2" borderId="1" xfId="0" applyNumberFormat="1" applyFill="1" applyBorder="1"/>
    <xf numFmtId="165" fontId="11"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1" fillId="2" borderId="28" xfId="0" applyFont="1" applyFill="1" applyBorder="1"/>
    <xf numFmtId="10" fontId="0" fillId="2" borderId="28" xfId="0" applyNumberFormat="1" applyFill="1" applyBorder="1"/>
    <xf numFmtId="44" fontId="0" fillId="2" borderId="28" xfId="1" applyFont="1" applyFill="1" applyBorder="1"/>
    <xf numFmtId="165" fontId="11"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165" fontId="13" fillId="2" borderId="1" xfId="0" applyNumberFormat="1" applyFont="1" applyFill="1" applyBorder="1"/>
    <xf numFmtId="44" fontId="0" fillId="2" borderId="1" xfId="0" applyNumberFormat="1" applyFill="1" applyBorder="1"/>
    <xf numFmtId="0" fontId="0" fillId="3" borderId="14" xfId="0" applyFill="1" applyBorder="1"/>
    <xf numFmtId="44" fontId="4" fillId="3" borderId="17" xfId="0" applyNumberFormat="1" applyFont="1" applyFill="1" applyBorder="1"/>
    <xf numFmtId="6" fontId="4" fillId="3" borderId="19" xfId="0" applyNumberFormat="1" applyFont="1" applyFill="1" applyBorder="1"/>
    <xf numFmtId="8" fontId="0" fillId="3" borderId="0" xfId="0" applyNumberFormat="1" applyFill="1"/>
    <xf numFmtId="6" fontId="0" fillId="3" borderId="0" xfId="0" applyNumberFormat="1" applyFill="1" applyAlignment="1">
      <alignment horizontal="right" wrapText="1"/>
    </xf>
    <xf numFmtId="6" fontId="4" fillId="3" borderId="19" xfId="0" applyNumberFormat="1" applyFont="1" applyFill="1" applyBorder="1" applyAlignment="1">
      <alignment horizontal="right" wrapText="1"/>
    </xf>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1" fillId="2" borderId="1" xfId="1" applyFont="1" applyFill="1" applyBorder="1"/>
    <xf numFmtId="164" fontId="3" fillId="0" borderId="1" xfId="2" applyFont="1" applyBorder="1"/>
    <xf numFmtId="0" fontId="0" fillId="13" borderId="1" xfId="0" applyFill="1" applyBorder="1"/>
    <xf numFmtId="0" fontId="0" fillId="5" borderId="1" xfId="0" applyFill="1" applyBorder="1"/>
    <xf numFmtId="0" fontId="11" fillId="5" borderId="1" xfId="0" applyFont="1" applyFill="1" applyBorder="1"/>
    <xf numFmtId="2" fontId="0" fillId="2" borderId="0" xfId="0" applyNumberFormat="1" applyFill="1"/>
    <xf numFmtId="165" fontId="11" fillId="7" borderId="1" xfId="1" applyNumberFormat="1" applyFont="1" applyFill="1" applyBorder="1"/>
    <xf numFmtId="0" fontId="13" fillId="13" borderId="1" xfId="0" applyFont="1" applyFill="1" applyBorder="1"/>
    <xf numFmtId="0" fontId="4" fillId="2" borderId="1" xfId="0" applyFont="1" applyFill="1" applyBorder="1"/>
    <xf numFmtId="0" fontId="20" fillId="2" borderId="1" xfId="0" applyFont="1" applyFill="1" applyBorder="1"/>
    <xf numFmtId="10" fontId="4" fillId="2" borderId="1" xfId="0" applyNumberFormat="1" applyFont="1" applyFill="1" applyBorder="1"/>
    <xf numFmtId="165" fontId="20" fillId="2" borderId="1" xfId="0" applyNumberFormat="1" applyFont="1" applyFill="1" applyBorder="1"/>
    <xf numFmtId="165" fontId="4" fillId="2" borderId="1" xfId="1" applyNumberFormat="1" applyFont="1" applyFill="1" applyBorder="1"/>
    <xf numFmtId="44" fontId="20" fillId="2" borderId="1" xfId="1" applyFont="1" applyFill="1" applyBorder="1"/>
    <xf numFmtId="4" fontId="4" fillId="2" borderId="1" xfId="0" applyNumberFormat="1" applyFont="1" applyFill="1" applyBorder="1"/>
    <xf numFmtId="44" fontId="0" fillId="0" borderId="0" xfId="1" applyFont="1"/>
    <xf numFmtId="0" fontId="0" fillId="0" borderId="1" xfId="0" applyBorder="1" applyAlignment="1">
      <alignment vertical="center" wrapText="1"/>
    </xf>
    <xf numFmtId="0" fontId="0" fillId="2" borderId="4" xfId="0" applyFill="1" applyBorder="1"/>
    <xf numFmtId="44" fontId="0" fillId="2" borderId="4" xfId="1" applyFont="1" applyFill="1" applyBorder="1"/>
    <xf numFmtId="165" fontId="11"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7" fontId="11" fillId="2" borderId="1" xfId="0" applyNumberFormat="1" applyFont="1" applyFill="1" applyBorder="1"/>
    <xf numFmtId="164" fontId="22" fillId="2" borderId="1" xfId="2" applyFont="1" applyFill="1" applyBorder="1"/>
    <xf numFmtId="0" fontId="2" fillId="3" borderId="14" xfId="0" applyFont="1" applyFill="1" applyBorder="1"/>
    <xf numFmtId="0" fontId="2" fillId="3" borderId="0" xfId="0" applyFont="1" applyFill="1"/>
    <xf numFmtId="44" fontId="10" fillId="3" borderId="0" xfId="0" applyNumberFormat="1" applyFont="1" applyFill="1"/>
    <xf numFmtId="16" fontId="0" fillId="0" borderId="1" xfId="0" applyNumberFormat="1" applyBorder="1"/>
    <xf numFmtId="0" fontId="0" fillId="2" borderId="1" xfId="0" applyFill="1" applyBorder="1" applyAlignment="1">
      <alignment wrapText="1"/>
    </xf>
    <xf numFmtId="0" fontId="0" fillId="2" borderId="8" xfId="0" applyFill="1" applyBorder="1"/>
    <xf numFmtId="0" fontId="0" fillId="14" borderId="1" xfId="0" applyFill="1" applyBorder="1"/>
    <xf numFmtId="0" fontId="11" fillId="14" borderId="1" xfId="0" applyFont="1" applyFill="1" applyBorder="1"/>
    <xf numFmtId="0" fontId="11" fillId="14" borderId="4" xfId="0" applyFont="1" applyFill="1" applyBorder="1"/>
    <xf numFmtId="10" fontId="0" fillId="14" borderId="4" xfId="0" applyNumberFormat="1" applyFill="1" applyBorder="1"/>
    <xf numFmtId="44" fontId="0" fillId="14" borderId="1" xfId="1" applyFont="1" applyFill="1" applyBorder="1"/>
    <xf numFmtId="165" fontId="11" fillId="14" borderId="1" xfId="0" applyNumberFormat="1" applyFont="1" applyFill="1" applyBorder="1"/>
    <xf numFmtId="165" fontId="0" fillId="14" borderId="1" xfId="1" applyNumberFormat="1" applyFont="1" applyFill="1" applyBorder="1"/>
    <xf numFmtId="44" fontId="11" fillId="14" borderId="1" xfId="1" applyFont="1" applyFill="1" applyBorder="1"/>
    <xf numFmtId="4" fontId="0" fillId="14" borderId="1" xfId="0" applyNumberFormat="1" applyFill="1" applyBorder="1"/>
    <xf numFmtId="0" fontId="14" fillId="9" borderId="0" xfId="0" applyFont="1" applyFill="1"/>
    <xf numFmtId="44" fontId="1" fillId="2" borderId="1" xfId="1" applyFont="1" applyFill="1" applyBorder="1"/>
    <xf numFmtId="44" fontId="1" fillId="2" borderId="28" xfId="1" applyFont="1" applyFill="1" applyBorder="1"/>
    <xf numFmtId="44" fontId="1" fillId="2" borderId="4" xfId="1" applyFont="1" applyFill="1" applyBorder="1"/>
    <xf numFmtId="44" fontId="1" fillId="14" borderId="1" xfId="1" applyFont="1" applyFill="1" applyBorder="1"/>
    <xf numFmtId="44" fontId="1" fillId="0" borderId="1" xfId="1" applyFont="1" applyBorder="1"/>
    <xf numFmtId="44" fontId="1" fillId="2" borderId="6" xfId="1" applyFont="1" applyFill="1" applyBorder="1"/>
    <xf numFmtId="44" fontId="1" fillId="10" borderId="6" xfId="1" applyFont="1" applyFill="1" applyBorder="1"/>
    <xf numFmtId="0" fontId="1" fillId="2" borderId="6" xfId="0" applyFont="1" applyFill="1" applyBorder="1"/>
    <xf numFmtId="44" fontId="2" fillId="4" borderId="6" xfId="1" applyFont="1" applyFill="1" applyBorder="1"/>
    <xf numFmtId="44" fontId="1" fillId="0" borderId="6" xfId="1" applyFont="1" applyBorder="1"/>
    <xf numFmtId="44" fontId="2" fillId="4" borderId="0" xfId="0" applyNumberFormat="1" applyFont="1" applyFill="1"/>
    <xf numFmtId="0" fontId="1" fillId="0" borderId="1" xfId="0" applyFont="1" applyBorder="1"/>
    <xf numFmtId="44" fontId="1" fillId="2" borderId="6" xfId="0" applyNumberFormat="1" applyFont="1" applyFill="1" applyBorder="1"/>
    <xf numFmtId="44" fontId="11" fillId="2" borderId="4" xfId="1" applyFont="1" applyFill="1" applyBorder="1"/>
    <xf numFmtId="44" fontId="11" fillId="2" borderId="28" xfId="1" applyFont="1" applyFill="1" applyBorder="1"/>
    <xf numFmtId="44" fontId="11" fillId="9" borderId="1" xfId="1" applyFont="1" applyFill="1" applyBorder="1"/>
    <xf numFmtId="0" fontId="3" fillId="0" borderId="1" xfId="0" applyFont="1" applyBorder="1" applyAlignment="1">
      <alignment horizontal="left" vertical="center" wrapText="1"/>
    </xf>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8" fillId="11" borderId="0" xfId="0" applyFont="1" applyFill="1" applyAlignment="1">
      <alignment horizontal="center" vertical="center"/>
    </xf>
    <xf numFmtId="0" fontId="2" fillId="9" borderId="0" xfId="0" applyFont="1" applyFill="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0" fillId="2" borderId="8" xfId="0" applyFill="1" applyBorder="1" applyAlignment="1">
      <alignment horizontal="left" vertical="center" wrapText="1"/>
    </xf>
    <xf numFmtId="0" fontId="0" fillId="0" borderId="6" xfId="0" applyBorder="1" applyAlignment="1">
      <alignment vertical="center" wrapText="1"/>
    </xf>
    <xf numFmtId="0" fontId="0" fillId="0" borderId="8" xfId="0" applyBorder="1" applyAlignment="1">
      <alignment vertical="center" wrapText="1"/>
    </xf>
    <xf numFmtId="0" fontId="0" fillId="0" borderId="6" xfId="0" applyBorder="1" applyAlignment="1">
      <alignment horizontal="left" wrapText="1"/>
    </xf>
    <xf numFmtId="0" fontId="0" fillId="0" borderId="8" xfId="0" applyBorder="1" applyAlignment="1">
      <alignment horizontal="left" wrapText="1"/>
    </xf>
    <xf numFmtId="0" fontId="0" fillId="0" borderId="0" xfId="0" applyAlignment="1">
      <alignment horizont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6" fillId="9" borderId="0" xfId="0" applyFont="1" applyFill="1" applyAlignment="1">
      <alignment horizontal="left" vertical="center" wrapText="1"/>
    </xf>
    <xf numFmtId="0" fontId="2" fillId="9" borderId="0" xfId="0" applyFont="1" applyFill="1" applyAlignment="1">
      <alignment horizontal="center" vertical="center" wrapText="1"/>
    </xf>
    <xf numFmtId="44" fontId="2" fillId="3" borderId="14" xfId="0" applyNumberFormat="1" applyFont="1" applyFill="1" applyBorder="1" applyAlignment="1">
      <alignment horizontal="center" wrapText="1"/>
    </xf>
    <xf numFmtId="6" fontId="2" fillId="3" borderId="14" xfId="0" applyNumberFormat="1" applyFont="1" applyFill="1" applyBorder="1" applyAlignment="1">
      <alignment horizont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wrapText="1"/>
    </xf>
    <xf numFmtId="1" fontId="19" fillId="5" borderId="16" xfId="0" applyNumberFormat="1" applyFont="1" applyFill="1" applyBorder="1" applyAlignment="1">
      <alignment horizontal="left" vertical="center" wrapText="1"/>
    </xf>
    <xf numFmtId="1" fontId="19" fillId="5" borderId="14" xfId="0" applyNumberFormat="1" applyFont="1" applyFill="1" applyBorder="1" applyAlignment="1">
      <alignment horizontal="left" vertical="center"/>
    </xf>
    <xf numFmtId="1" fontId="19" fillId="5" borderId="17" xfId="0" applyNumberFormat="1" applyFont="1" applyFill="1" applyBorder="1" applyAlignment="1">
      <alignment horizontal="left" vertical="center"/>
    </xf>
    <xf numFmtId="1" fontId="19" fillId="5" borderId="18" xfId="0" applyNumberFormat="1" applyFont="1" applyFill="1" applyBorder="1" applyAlignment="1">
      <alignment horizontal="left" vertical="center"/>
    </xf>
    <xf numFmtId="1" fontId="19" fillId="5" borderId="0" xfId="0" applyNumberFormat="1" applyFont="1" applyFill="1" applyAlignment="1">
      <alignment horizontal="left" vertical="center"/>
    </xf>
    <xf numFmtId="1" fontId="19" fillId="5" borderId="19" xfId="0" applyNumberFormat="1" applyFont="1" applyFill="1" applyBorder="1" applyAlignment="1">
      <alignment horizontal="left" vertical="center"/>
    </xf>
    <xf numFmtId="1" fontId="19" fillId="5" borderId="23" xfId="0" applyNumberFormat="1" applyFont="1" applyFill="1" applyBorder="1" applyAlignment="1">
      <alignment horizontal="left" vertical="center"/>
    </xf>
    <xf numFmtId="1" fontId="19" fillId="5" borderId="9" xfId="0" applyNumberFormat="1" applyFont="1" applyFill="1" applyBorder="1" applyAlignment="1">
      <alignment horizontal="left" vertical="center"/>
    </xf>
    <xf numFmtId="1" fontId="19" fillId="5" borderId="10" xfId="0" applyNumberFormat="1" applyFont="1" applyFill="1" applyBorder="1" applyAlignment="1">
      <alignment horizontal="left" vertical="center"/>
    </xf>
    <xf numFmtId="1" fontId="21" fillId="13" borderId="16" xfId="0" applyNumberFormat="1" applyFont="1" applyFill="1" applyBorder="1" applyAlignment="1">
      <alignment horizontal="left" vertical="center"/>
    </xf>
    <xf numFmtId="1" fontId="21" fillId="13" borderId="14" xfId="0" applyNumberFormat="1" applyFont="1" applyFill="1" applyBorder="1" applyAlignment="1">
      <alignment horizontal="left" vertical="center"/>
    </xf>
    <xf numFmtId="1" fontId="21" fillId="13" borderId="17" xfId="0" applyNumberFormat="1" applyFont="1" applyFill="1" applyBorder="1" applyAlignment="1">
      <alignment horizontal="left" vertical="center"/>
    </xf>
    <xf numFmtId="1" fontId="21" fillId="13" borderId="23" xfId="0" applyNumberFormat="1" applyFont="1" applyFill="1" applyBorder="1" applyAlignment="1">
      <alignment horizontal="left" vertical="center"/>
    </xf>
    <xf numFmtId="1" fontId="21" fillId="13" borderId="9" xfId="0" applyNumberFormat="1" applyFont="1" applyFill="1" applyBorder="1" applyAlignment="1">
      <alignment horizontal="left" vertical="center"/>
    </xf>
    <xf numFmtId="1" fontId="21" fillId="13" borderId="10" xfId="0" applyNumberFormat="1" applyFont="1" applyFill="1" applyBorder="1" applyAlignment="1">
      <alignment horizontal="left" vertical="center"/>
    </xf>
    <xf numFmtId="0" fontId="2" fillId="3" borderId="16" xfId="0" applyFont="1" applyFill="1" applyBorder="1" applyAlignment="1">
      <alignment horizontal="left" vertical="center" wrapText="1"/>
    </xf>
    <xf numFmtId="0" fontId="2" fillId="3" borderId="14" xfId="0" applyFont="1" applyFill="1" applyBorder="1" applyAlignment="1">
      <alignment horizontal="left" vertical="center"/>
    </xf>
    <xf numFmtId="0" fontId="2" fillId="3" borderId="18" xfId="0" applyFont="1" applyFill="1" applyBorder="1" applyAlignment="1">
      <alignment horizontal="left" vertical="center"/>
    </xf>
    <xf numFmtId="0" fontId="2" fillId="3" borderId="0" xfId="0" applyFont="1" applyFill="1" applyAlignment="1">
      <alignment horizontal="left" vertical="center"/>
    </xf>
    <xf numFmtId="0" fontId="2" fillId="3" borderId="23" xfId="0" applyFont="1" applyFill="1" applyBorder="1" applyAlignment="1">
      <alignment horizontal="left" vertical="center"/>
    </xf>
    <xf numFmtId="0" fontId="2" fillId="3" borderId="9" xfId="0" applyFont="1" applyFill="1" applyBorder="1" applyAlignment="1">
      <alignment horizontal="left"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44" fontId="11" fillId="15" borderId="1" xfId="1" applyFont="1" applyFill="1" applyBorder="1"/>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0"/>
  <sheetViews>
    <sheetView topLeftCell="A117" zoomScale="80" zoomScaleNormal="80" workbookViewId="0">
      <selection activeCell="B138" sqref="B138"/>
    </sheetView>
  </sheetViews>
  <sheetFormatPr baseColWidth="10" defaultRowHeight="14.4" x14ac:dyDescent="0.3"/>
  <cols>
    <col min="1" max="1" width="33.44140625" customWidth="1"/>
    <col min="2" max="2" width="36.88671875" customWidth="1"/>
    <col min="3" max="3" width="17.44140625" customWidth="1"/>
    <col min="4" max="4" width="21.6640625" customWidth="1"/>
    <col min="5" max="5" width="18" customWidth="1"/>
    <col min="6" max="9" width="15.6640625" customWidth="1"/>
    <col min="10" max="10" width="14.6640625" customWidth="1"/>
    <col min="11" max="11" width="15.88671875" customWidth="1"/>
    <col min="12" max="12" width="16.109375" customWidth="1"/>
    <col min="13" max="13" width="13" bestFit="1" customWidth="1"/>
    <col min="14" max="14" width="14.5546875" bestFit="1" customWidth="1"/>
    <col min="16" max="16" width="18" customWidth="1"/>
    <col min="17" max="17" width="18.33203125" customWidth="1"/>
  </cols>
  <sheetData>
    <row r="1" spans="1:10" ht="18" x14ac:dyDescent="0.35">
      <c r="A1" s="112"/>
      <c r="B1" s="121"/>
      <c r="C1" s="129" t="s">
        <v>265</v>
      </c>
      <c r="D1" s="129"/>
      <c r="E1" s="130"/>
      <c r="F1" s="130"/>
      <c r="G1" s="110"/>
      <c r="H1" s="110"/>
      <c r="I1" s="110"/>
      <c r="J1" s="111"/>
    </row>
    <row r="2" spans="1:10" ht="18" x14ac:dyDescent="0.35">
      <c r="A2" s="113"/>
      <c r="B2" s="122"/>
      <c r="C2" s="122" t="s">
        <v>261</v>
      </c>
      <c r="D2" s="122"/>
      <c r="E2" s="123"/>
      <c r="F2" s="123"/>
      <c r="G2" s="123"/>
      <c r="H2" s="123"/>
      <c r="I2" s="123"/>
      <c r="J2" s="109"/>
    </row>
    <row r="3" spans="1:10" ht="18" x14ac:dyDescent="0.35">
      <c r="A3" s="113"/>
      <c r="B3" s="122"/>
      <c r="C3" s="122" t="s">
        <v>295</v>
      </c>
      <c r="D3" s="122"/>
      <c r="E3" s="122" t="s">
        <v>262</v>
      </c>
      <c r="F3" s="123"/>
      <c r="G3" s="123"/>
      <c r="H3" s="123"/>
      <c r="I3" s="123"/>
      <c r="J3" s="109"/>
    </row>
    <row r="4" spans="1:10" ht="18" customHeight="1" x14ac:dyDescent="0.35">
      <c r="A4" s="113"/>
      <c r="B4" s="122"/>
      <c r="C4" s="122" t="s">
        <v>263</v>
      </c>
      <c r="D4" s="123"/>
      <c r="E4" s="123"/>
      <c r="F4" s="123"/>
      <c r="G4" s="123"/>
      <c r="H4" s="123"/>
      <c r="I4" s="123"/>
      <c r="J4" s="109"/>
    </row>
    <row r="5" spans="1:10" ht="18" x14ac:dyDescent="0.35">
      <c r="A5" s="117"/>
      <c r="B5" s="122"/>
      <c r="C5" s="122" t="s">
        <v>325</v>
      </c>
      <c r="D5" s="122"/>
      <c r="E5" s="122" t="s">
        <v>264</v>
      </c>
      <c r="F5" s="122"/>
      <c r="G5" s="122"/>
      <c r="H5" s="122"/>
      <c r="I5" s="122"/>
      <c r="J5" s="118"/>
    </row>
    <row r="6" spans="1:10" ht="18" x14ac:dyDescent="0.35">
      <c r="A6" s="117"/>
      <c r="B6" s="122"/>
      <c r="C6" s="122" t="s">
        <v>0</v>
      </c>
      <c r="D6" s="122"/>
      <c r="E6" s="122"/>
      <c r="F6" s="122"/>
      <c r="G6" s="122"/>
      <c r="H6" s="122"/>
      <c r="I6" s="122"/>
      <c r="J6" s="118"/>
    </row>
    <row r="7" spans="1:10" ht="18.600000000000001" thickBot="1" x14ac:dyDescent="0.4">
      <c r="A7" s="119"/>
      <c r="B7" s="120"/>
      <c r="C7" s="120"/>
      <c r="D7" s="120"/>
      <c r="E7" s="120"/>
      <c r="F7" s="120"/>
      <c r="G7" s="120"/>
      <c r="H7" s="120"/>
      <c r="I7" s="120"/>
      <c r="J7" s="124"/>
    </row>
    <row r="9" spans="1:10" hidden="1" x14ac:dyDescent="0.3"/>
    <row r="10" spans="1:10" hidden="1" x14ac:dyDescent="0.3"/>
    <row r="11" spans="1:10" hidden="1" x14ac:dyDescent="0.3"/>
    <row r="12" spans="1:10" hidden="1" x14ac:dyDescent="0.3"/>
    <row r="14" spans="1:10" ht="15" customHeight="1" x14ac:dyDescent="0.3">
      <c r="A14" s="225" t="s">
        <v>260</v>
      </c>
      <c r="B14" s="225"/>
      <c r="C14" s="225"/>
      <c r="D14" s="225"/>
      <c r="E14" s="225"/>
      <c r="F14" s="225"/>
      <c r="G14" s="225"/>
      <c r="H14" s="225"/>
      <c r="I14" s="225"/>
      <c r="J14" s="225"/>
    </row>
    <row r="15" spans="1:10" ht="15" customHeight="1" x14ac:dyDescent="0.3">
      <c r="A15" s="225"/>
      <c r="B15" s="225"/>
      <c r="C15" s="225"/>
      <c r="D15" s="225"/>
      <c r="E15" s="225"/>
      <c r="F15" s="225"/>
      <c r="G15" s="225"/>
      <c r="H15" s="225"/>
      <c r="I15" s="225"/>
      <c r="J15" s="225"/>
    </row>
    <row r="16" spans="1:10" ht="15" customHeight="1" x14ac:dyDescent="0.3">
      <c r="A16" s="225"/>
      <c r="B16" s="225"/>
      <c r="C16" s="225"/>
      <c r="D16" s="225"/>
      <c r="E16" s="225"/>
      <c r="F16" s="225"/>
      <c r="G16" s="225"/>
      <c r="H16" s="225"/>
      <c r="I16" s="225"/>
      <c r="J16" s="225"/>
    </row>
    <row r="17" spans="1:10" ht="25.2" customHeight="1" x14ac:dyDescent="0.3">
      <c r="A17" s="225"/>
      <c r="B17" s="225"/>
      <c r="C17" s="225"/>
      <c r="D17" s="225"/>
      <c r="E17" s="225"/>
      <c r="F17" s="225"/>
      <c r="G17" s="225"/>
      <c r="H17" s="225"/>
      <c r="I17" s="225"/>
      <c r="J17" s="225"/>
    </row>
    <row r="18" spans="1:10" ht="47.4" customHeight="1" x14ac:dyDescent="0.3">
      <c r="A18" s="225"/>
      <c r="B18" s="225"/>
      <c r="C18" s="225"/>
      <c r="D18" s="225"/>
      <c r="E18" s="225"/>
      <c r="F18" s="225"/>
      <c r="G18" s="225"/>
      <c r="H18" s="225"/>
      <c r="I18" s="225"/>
      <c r="J18" s="225"/>
    </row>
    <row r="19" spans="1:10" x14ac:dyDescent="0.3">
      <c r="A19" s="2"/>
      <c r="H19" s="94"/>
    </row>
    <row r="20" spans="1:10" x14ac:dyDescent="0.3">
      <c r="A20" s="234" t="s">
        <v>324</v>
      </c>
      <c r="B20" s="234"/>
      <c r="C20" s="234"/>
      <c r="D20" s="234"/>
      <c r="E20" s="234"/>
      <c r="F20" s="234"/>
      <c r="G20" s="234"/>
      <c r="H20" s="234"/>
      <c r="I20" s="234"/>
      <c r="J20" s="234"/>
    </row>
    <row r="21" spans="1:10" x14ac:dyDescent="0.3">
      <c r="A21" s="234"/>
      <c r="B21" s="234"/>
      <c r="C21" s="234"/>
      <c r="D21" s="234"/>
      <c r="E21" s="234"/>
      <c r="F21" s="234"/>
      <c r="G21" s="234"/>
      <c r="H21" s="234"/>
      <c r="I21" s="234"/>
      <c r="J21" s="234"/>
    </row>
    <row r="22" spans="1:10" x14ac:dyDescent="0.3">
      <c r="A22" s="234"/>
      <c r="B22" s="234"/>
      <c r="C22" s="234"/>
      <c r="D22" s="234"/>
      <c r="E22" s="234"/>
      <c r="F22" s="234"/>
      <c r="G22" s="234"/>
      <c r="H22" s="234"/>
      <c r="I22" s="234"/>
      <c r="J22" s="234"/>
    </row>
    <row r="23" spans="1:10" ht="15" thickBot="1" x14ac:dyDescent="0.35">
      <c r="H23" s="94"/>
    </row>
    <row r="24" spans="1:10" ht="15" thickBot="1" x14ac:dyDescent="0.35">
      <c r="A24" s="12" t="s">
        <v>19</v>
      </c>
      <c r="B24" s="13"/>
      <c r="C24" s="14"/>
      <c r="D24" s="10"/>
      <c r="E24" s="96" t="s">
        <v>169</v>
      </c>
      <c r="F24" s="96" t="s">
        <v>170</v>
      </c>
      <c r="G24" s="96" t="s">
        <v>171</v>
      </c>
      <c r="H24" s="96" t="s">
        <v>172</v>
      </c>
      <c r="I24" s="96" t="s">
        <v>173</v>
      </c>
      <c r="J24" s="97" t="s">
        <v>174</v>
      </c>
    </row>
    <row r="25" spans="1:10" x14ac:dyDescent="0.3">
      <c r="A25" s="50" t="s">
        <v>235</v>
      </c>
      <c r="B25" s="6"/>
      <c r="C25" s="6"/>
      <c r="D25" s="55"/>
      <c r="E25" s="95"/>
      <c r="F25" s="95"/>
      <c r="G25" s="95"/>
      <c r="H25" s="95"/>
      <c r="I25" s="95"/>
      <c r="J25" s="95"/>
    </row>
    <row r="26" spans="1:10" x14ac:dyDescent="0.3">
      <c r="A26" s="6" t="s">
        <v>43</v>
      </c>
      <c r="B26" s="6"/>
      <c r="C26" s="6"/>
      <c r="D26" s="213">
        <v>1124512</v>
      </c>
      <c r="E26" s="58"/>
      <c r="F26" s="58"/>
      <c r="G26" s="58"/>
      <c r="H26" s="58"/>
      <c r="I26" s="58"/>
      <c r="J26" s="58"/>
    </row>
    <row r="27" spans="1:10" x14ac:dyDescent="0.3">
      <c r="A27" s="6" t="s">
        <v>238</v>
      </c>
      <c r="B27" s="6"/>
      <c r="C27" s="6"/>
      <c r="D27" s="213">
        <v>39622.699999999997</v>
      </c>
      <c r="E27" s="58"/>
      <c r="F27" s="58"/>
      <c r="G27" s="58"/>
      <c r="H27" s="58"/>
      <c r="I27" s="58"/>
      <c r="J27" s="58"/>
    </row>
    <row r="28" spans="1:10" x14ac:dyDescent="0.3">
      <c r="A28" s="6" t="s">
        <v>236</v>
      </c>
      <c r="B28" s="6"/>
      <c r="C28" s="6"/>
      <c r="D28" s="213">
        <f>1726*80</f>
        <v>138080</v>
      </c>
      <c r="E28" s="58"/>
      <c r="F28" s="58"/>
      <c r="G28" s="58"/>
      <c r="H28" s="58"/>
      <c r="I28" s="58"/>
      <c r="J28" s="58"/>
    </row>
    <row r="29" spans="1:10" x14ac:dyDescent="0.3">
      <c r="A29" s="6" t="s">
        <v>237</v>
      </c>
      <c r="B29" s="6"/>
      <c r="C29" s="6"/>
      <c r="D29" s="213">
        <v>23553.4</v>
      </c>
      <c r="E29" s="58"/>
      <c r="F29" s="58"/>
      <c r="G29" s="58"/>
      <c r="H29" s="58"/>
      <c r="I29" s="58"/>
      <c r="J29" s="58"/>
    </row>
    <row r="30" spans="1:10" x14ac:dyDescent="0.3">
      <c r="A30" s="6" t="s">
        <v>298</v>
      </c>
      <c r="B30" s="6"/>
      <c r="C30" s="6"/>
      <c r="D30" s="213">
        <v>65596.5</v>
      </c>
      <c r="E30" s="58"/>
      <c r="F30" s="58"/>
      <c r="G30" s="58"/>
      <c r="H30" s="58"/>
      <c r="I30" s="58"/>
      <c r="J30" s="58"/>
    </row>
    <row r="31" spans="1:10" x14ac:dyDescent="0.3">
      <c r="A31" s="6" t="s">
        <v>239</v>
      </c>
      <c r="B31" s="6"/>
      <c r="C31" s="6"/>
      <c r="D31" s="213">
        <v>120000</v>
      </c>
      <c r="E31" s="58"/>
      <c r="F31" s="58"/>
      <c r="G31" s="58"/>
      <c r="H31" s="58"/>
      <c r="I31" s="58"/>
      <c r="J31" s="58"/>
    </row>
    <row r="32" spans="1:10" x14ac:dyDescent="0.3">
      <c r="A32" s="6" t="s">
        <v>338</v>
      </c>
      <c r="B32" s="6"/>
      <c r="C32" s="6"/>
      <c r="D32" s="213">
        <v>-44192.27</v>
      </c>
      <c r="E32" s="58"/>
      <c r="F32" s="58"/>
      <c r="G32" s="58"/>
      <c r="H32" s="58"/>
      <c r="I32" s="58"/>
      <c r="J32" s="58"/>
    </row>
    <row r="33" spans="1:12" x14ac:dyDescent="0.3">
      <c r="A33" s="93" t="s">
        <v>168</v>
      </c>
      <c r="B33" s="91"/>
      <c r="C33" s="91"/>
      <c r="D33" s="214">
        <f>SUM(D26:D32)</f>
        <v>1467172.3299999998</v>
      </c>
      <c r="E33" s="92"/>
      <c r="F33" s="92"/>
      <c r="G33" s="92"/>
      <c r="H33" s="92"/>
      <c r="I33" s="92"/>
      <c r="J33" s="92"/>
    </row>
    <row r="34" spans="1:12" x14ac:dyDescent="0.3">
      <c r="A34" s="50" t="s">
        <v>234</v>
      </c>
      <c r="B34" s="6"/>
      <c r="C34" s="6"/>
      <c r="D34" s="215"/>
      <c r="E34" s="6"/>
      <c r="F34" s="6"/>
      <c r="G34" s="6"/>
      <c r="H34" s="6"/>
      <c r="I34" s="6"/>
      <c r="J34" s="6"/>
    </row>
    <row r="35" spans="1:12" x14ac:dyDescent="0.3">
      <c r="A35" s="6" t="s">
        <v>43</v>
      </c>
      <c r="B35" s="6"/>
      <c r="C35" s="6"/>
      <c r="D35" s="213">
        <v>562256</v>
      </c>
      <c r="E35" s="58"/>
      <c r="F35" s="58"/>
      <c r="G35" s="58"/>
      <c r="H35" s="58"/>
      <c r="I35" s="58"/>
      <c r="J35" s="58"/>
    </row>
    <row r="36" spans="1:12" x14ac:dyDescent="0.3">
      <c r="A36" s="6" t="s">
        <v>238</v>
      </c>
      <c r="B36" s="6"/>
      <c r="C36" s="6"/>
      <c r="D36" s="213">
        <f>D27</f>
        <v>39622.699999999997</v>
      </c>
      <c r="E36" s="58"/>
      <c r="F36" s="58"/>
      <c r="G36" s="58"/>
      <c r="H36" s="58"/>
      <c r="I36" s="58"/>
      <c r="J36" s="58"/>
    </row>
    <row r="37" spans="1:12" x14ac:dyDescent="0.3">
      <c r="A37" s="6" t="s">
        <v>236</v>
      </c>
      <c r="B37" s="6"/>
      <c r="C37" s="6"/>
      <c r="D37" s="213">
        <f>D28</f>
        <v>138080</v>
      </c>
      <c r="E37" s="58"/>
      <c r="F37" s="58"/>
      <c r="G37" s="58"/>
      <c r="H37" s="58"/>
      <c r="I37" s="58"/>
      <c r="J37" s="58"/>
    </row>
    <row r="38" spans="1:12" x14ac:dyDescent="0.3">
      <c r="A38" s="6" t="s">
        <v>237</v>
      </c>
      <c r="B38" s="6"/>
      <c r="C38" s="6"/>
      <c r="D38" s="213">
        <f>D29</f>
        <v>23553.4</v>
      </c>
      <c r="E38" s="58"/>
      <c r="F38" s="58"/>
      <c r="G38" s="58"/>
      <c r="H38" s="58"/>
      <c r="I38" s="58"/>
      <c r="J38" s="58"/>
    </row>
    <row r="39" spans="1:12" x14ac:dyDescent="0.3">
      <c r="A39" s="6" t="s">
        <v>298</v>
      </c>
      <c r="B39" s="6"/>
      <c r="C39" s="6"/>
      <c r="D39" s="213">
        <f>D30</f>
        <v>65596.5</v>
      </c>
      <c r="E39" s="58"/>
      <c r="F39" s="58"/>
      <c r="G39" s="58"/>
      <c r="H39" s="58"/>
      <c r="I39" s="58"/>
      <c r="J39" s="58"/>
    </row>
    <row r="40" spans="1:12" x14ac:dyDescent="0.3">
      <c r="A40" s="6" t="s">
        <v>239</v>
      </c>
      <c r="B40" s="6"/>
      <c r="C40" s="6"/>
      <c r="D40" s="213">
        <v>60000</v>
      </c>
      <c r="E40" s="58"/>
      <c r="F40" s="58"/>
      <c r="G40" s="58"/>
      <c r="H40" s="58"/>
      <c r="I40" s="58"/>
      <c r="J40" s="58"/>
    </row>
    <row r="41" spans="1:12" x14ac:dyDescent="0.3">
      <c r="A41" s="6" t="s">
        <v>339</v>
      </c>
      <c r="B41" s="6"/>
      <c r="C41" s="6"/>
      <c r="D41" s="213">
        <v>-101801.65</v>
      </c>
      <c r="E41" s="58"/>
      <c r="F41" s="58"/>
      <c r="G41" s="58"/>
      <c r="H41" s="58"/>
      <c r="I41" s="58"/>
      <c r="J41" s="58"/>
    </row>
    <row r="42" spans="1:12" x14ac:dyDescent="0.3">
      <c r="A42" s="93" t="s">
        <v>168</v>
      </c>
      <c r="B42" s="91"/>
      <c r="C42" s="91"/>
      <c r="D42" s="214">
        <f>SUM(D35:D41)</f>
        <v>787306.95</v>
      </c>
      <c r="E42" s="92"/>
      <c r="F42" s="92"/>
      <c r="G42" s="92"/>
      <c r="H42" s="92"/>
      <c r="I42" s="92"/>
      <c r="J42" s="92"/>
    </row>
    <row r="43" spans="1:12" x14ac:dyDescent="0.3">
      <c r="A43" s="33" t="s">
        <v>1</v>
      </c>
      <c r="B43" s="33"/>
      <c r="C43" s="33"/>
      <c r="D43" s="216">
        <f>D33+D42</f>
        <v>2254479.2799999998</v>
      </c>
      <c r="E43" s="42">
        <f>D43*93.2%</f>
        <v>2101174.6889599999</v>
      </c>
      <c r="F43" s="78">
        <f>$D43*1.08%</f>
        <v>24348.376224</v>
      </c>
      <c r="G43" s="78">
        <f>$D43*1.28%</f>
        <v>28857.334783999999</v>
      </c>
      <c r="H43" s="78">
        <f>$D43*1.21%</f>
        <v>27279.199287999996</v>
      </c>
      <c r="I43" s="78">
        <f>$D43*1.49%</f>
        <v>33591.741271999999</v>
      </c>
      <c r="J43" s="78">
        <f>D43*1.74%</f>
        <v>39227.939471999991</v>
      </c>
      <c r="K43" s="43">
        <f>E43+J43+F43+G43+H43+I43</f>
        <v>2254479.2800000003</v>
      </c>
      <c r="L43" s="69" t="str">
        <f>IF(D43=K43, "", "Error")</f>
        <v/>
      </c>
    </row>
    <row r="44" spans="1:12" x14ac:dyDescent="0.3">
      <c r="A44" s="32" t="s">
        <v>340</v>
      </c>
      <c r="B44" s="6"/>
      <c r="C44" s="6"/>
      <c r="D44" s="217">
        <v>254504.03</v>
      </c>
      <c r="E44" s="58"/>
      <c r="F44" s="58"/>
      <c r="G44" s="58"/>
      <c r="H44" s="58"/>
      <c r="I44" s="58"/>
      <c r="J44" s="58"/>
      <c r="L44" s="69"/>
    </row>
    <row r="45" spans="1:12" x14ac:dyDescent="0.3">
      <c r="A45" s="32"/>
      <c r="B45" s="6"/>
      <c r="C45" s="6"/>
      <c r="D45" s="213"/>
      <c r="E45" s="6"/>
      <c r="F45" s="6"/>
      <c r="G45" s="6"/>
      <c r="H45" s="6"/>
      <c r="I45" s="6"/>
      <c r="J45" s="6"/>
      <c r="L45" s="69"/>
    </row>
    <row r="46" spans="1:12" x14ac:dyDescent="0.3">
      <c r="A46" s="33" t="s">
        <v>38</v>
      </c>
      <c r="B46" s="33"/>
      <c r="C46" s="33"/>
      <c r="D46" s="216">
        <f>SUM(D44:D44)</f>
        <v>254504.03</v>
      </c>
      <c r="E46" s="42">
        <f>D46*93.2%</f>
        <v>237197.75596000001</v>
      </c>
      <c r="F46" s="78">
        <f>$D46*1.08%</f>
        <v>2748.6435240000001</v>
      </c>
      <c r="G46" s="78">
        <f>$D46*1.28%</f>
        <v>3257.6515840000002</v>
      </c>
      <c r="H46" s="78">
        <f>$D46*1.21%</f>
        <v>3079.4987630000001</v>
      </c>
      <c r="I46" s="78">
        <f>$D46*1.49%</f>
        <v>3792.1100470000001</v>
      </c>
      <c r="J46" s="78">
        <f>D46*1.74%</f>
        <v>4428.3701219999994</v>
      </c>
      <c r="K46" s="43">
        <f>E46+J46+F46+G46+H46+I46</f>
        <v>254504.03000000003</v>
      </c>
      <c r="L46" s="69" t="str">
        <f>IF(D46=K46, "", "Error")</f>
        <v/>
      </c>
    </row>
    <row r="47" spans="1:12" x14ac:dyDescent="0.3">
      <c r="A47" s="32" t="s">
        <v>249</v>
      </c>
      <c r="B47" s="6"/>
      <c r="C47" s="6"/>
      <c r="D47" s="217"/>
      <c r="E47" s="58">
        <f>D47*91.91%</f>
        <v>0</v>
      </c>
      <c r="F47" s="58"/>
      <c r="G47" s="58"/>
      <c r="H47" s="58"/>
      <c r="I47" s="58"/>
      <c r="J47" s="58"/>
      <c r="L47" s="69"/>
    </row>
    <row r="48" spans="1:12" x14ac:dyDescent="0.3">
      <c r="A48" s="6" t="s">
        <v>341</v>
      </c>
      <c r="B48" s="6"/>
      <c r="C48" s="195">
        <v>46024</v>
      </c>
      <c r="D48" s="213">
        <v>71000</v>
      </c>
      <c r="E48" s="58">
        <f>D48</f>
        <v>71000</v>
      </c>
      <c r="F48" s="58"/>
      <c r="G48" s="58"/>
      <c r="H48" s="58"/>
      <c r="I48" s="58"/>
      <c r="J48" s="58"/>
      <c r="L48" s="69"/>
    </row>
    <row r="49" spans="1:12" x14ac:dyDescent="0.3">
      <c r="A49" s="6" t="s">
        <v>341</v>
      </c>
      <c r="B49" s="6"/>
      <c r="C49" s="195">
        <v>46024</v>
      </c>
      <c r="D49" s="213">
        <v>71000</v>
      </c>
      <c r="E49" s="58">
        <f>D49</f>
        <v>71000</v>
      </c>
      <c r="F49" s="58"/>
      <c r="G49" s="58"/>
      <c r="H49" s="58"/>
      <c r="I49" s="58"/>
      <c r="J49" s="58"/>
      <c r="L49" s="69"/>
    </row>
    <row r="50" spans="1:12" x14ac:dyDescent="0.3">
      <c r="A50" s="6" t="s">
        <v>341</v>
      </c>
      <c r="B50" s="6"/>
      <c r="C50" s="195">
        <v>46024</v>
      </c>
      <c r="D50" s="213">
        <v>36025</v>
      </c>
      <c r="E50" s="58">
        <f>D50</f>
        <v>36025</v>
      </c>
      <c r="F50" s="58"/>
      <c r="G50" s="58"/>
      <c r="H50" s="58"/>
      <c r="I50" s="58"/>
      <c r="J50" s="58"/>
      <c r="L50" s="69"/>
    </row>
    <row r="51" spans="1:12" x14ac:dyDescent="0.3">
      <c r="A51" s="6" t="s">
        <v>341</v>
      </c>
      <c r="B51" s="6"/>
      <c r="C51" s="195">
        <v>46024</v>
      </c>
      <c r="D51" s="213">
        <v>78006.05</v>
      </c>
      <c r="E51" s="58">
        <f t="shared" ref="E51:E52" si="0">D51</f>
        <v>78006.05</v>
      </c>
      <c r="F51" s="58"/>
      <c r="G51" s="58"/>
      <c r="H51" s="58"/>
      <c r="I51" s="58"/>
      <c r="J51" s="58"/>
      <c r="L51" s="69"/>
    </row>
    <row r="52" spans="1:12" x14ac:dyDescent="0.3">
      <c r="A52" s="6" t="s">
        <v>341</v>
      </c>
      <c r="B52" s="6"/>
      <c r="C52" s="195">
        <v>46025</v>
      </c>
      <c r="D52" s="213">
        <v>37040</v>
      </c>
      <c r="E52" s="58">
        <f t="shared" si="0"/>
        <v>37040</v>
      </c>
      <c r="F52" s="58"/>
      <c r="G52" s="58"/>
      <c r="H52" s="58"/>
      <c r="I52" s="58"/>
      <c r="J52" s="58"/>
      <c r="L52" s="69"/>
    </row>
    <row r="53" spans="1:12" x14ac:dyDescent="0.3">
      <c r="A53" s="6"/>
      <c r="B53" s="6"/>
      <c r="C53" s="6"/>
      <c r="D53" s="213"/>
      <c r="E53" s="58"/>
      <c r="F53" s="58"/>
      <c r="G53" s="58"/>
      <c r="H53" s="58"/>
      <c r="I53" s="58"/>
      <c r="J53" s="58"/>
      <c r="L53" s="69"/>
    </row>
    <row r="54" spans="1:12" x14ac:dyDescent="0.3">
      <c r="A54" s="33" t="s">
        <v>17</v>
      </c>
      <c r="B54" s="33"/>
      <c r="C54" s="33"/>
      <c r="D54" s="216">
        <f>SUM(D48:D53)</f>
        <v>293071.05</v>
      </c>
      <c r="E54" s="42">
        <f>D54</f>
        <v>293071.05</v>
      </c>
      <c r="F54" s="42"/>
      <c r="G54" s="42"/>
      <c r="H54" s="42"/>
      <c r="I54" s="42"/>
      <c r="J54" s="48"/>
      <c r="K54" s="43">
        <f>E54+J54+F54+G54+H54+I54</f>
        <v>293071.05</v>
      </c>
      <c r="L54" s="69" t="str">
        <f>IF(D54=K54, "", "Error")</f>
        <v/>
      </c>
    </row>
    <row r="55" spans="1:12" x14ac:dyDescent="0.3">
      <c r="A55" s="32" t="s">
        <v>244</v>
      </c>
      <c r="B55" s="35"/>
      <c r="C55" s="35"/>
      <c r="D55" s="213"/>
      <c r="E55" s="49"/>
      <c r="F55" s="49"/>
      <c r="G55" s="49"/>
      <c r="H55" s="49"/>
      <c r="I55" s="49"/>
      <c r="J55" s="49"/>
      <c r="L55" s="69"/>
    </row>
    <row r="56" spans="1:12" x14ac:dyDescent="0.3">
      <c r="A56" s="35" t="s">
        <v>247</v>
      </c>
      <c r="B56" s="35"/>
      <c r="C56" s="35"/>
      <c r="D56" s="213"/>
      <c r="E56" s="49"/>
      <c r="F56" s="49"/>
      <c r="G56" s="49"/>
      <c r="H56" s="49"/>
      <c r="I56" s="49"/>
      <c r="J56" s="49"/>
      <c r="L56" s="69"/>
    </row>
    <row r="57" spans="1:12" x14ac:dyDescent="0.3">
      <c r="A57" s="35" t="s">
        <v>248</v>
      </c>
      <c r="B57" s="35" t="s">
        <v>326</v>
      </c>
      <c r="C57" s="35" t="s">
        <v>316</v>
      </c>
      <c r="D57" s="213">
        <v>249469</v>
      </c>
      <c r="E57" s="49"/>
      <c r="F57" s="49"/>
      <c r="G57" s="49"/>
      <c r="H57" s="49"/>
      <c r="I57" s="49"/>
      <c r="J57" s="49"/>
      <c r="L57" s="69"/>
    </row>
    <row r="58" spans="1:12" x14ac:dyDescent="0.3">
      <c r="A58" s="35" t="s">
        <v>248</v>
      </c>
      <c r="B58" s="35" t="s">
        <v>326</v>
      </c>
      <c r="C58" s="35" t="s">
        <v>332</v>
      </c>
      <c r="D58" s="213">
        <v>249469</v>
      </c>
      <c r="E58" s="49"/>
      <c r="F58" s="49"/>
      <c r="G58" s="49"/>
      <c r="H58" s="49"/>
      <c r="I58" s="49"/>
      <c r="J58" s="49"/>
      <c r="L58" s="69"/>
    </row>
    <row r="59" spans="1:12" x14ac:dyDescent="0.3">
      <c r="A59" s="33" t="s">
        <v>246</v>
      </c>
      <c r="B59" s="33"/>
      <c r="C59" s="33"/>
      <c r="D59" s="218">
        <f>SUM(D56:D58)</f>
        <v>498938</v>
      </c>
      <c r="E59" s="42">
        <f>D59*93.2%</f>
        <v>465010.21600000001</v>
      </c>
      <c r="F59" s="78">
        <f>$D59*1.08%</f>
        <v>5388.5304000000006</v>
      </c>
      <c r="G59" s="78">
        <f>$D59*1.28%</f>
        <v>6386.4064000000008</v>
      </c>
      <c r="H59" s="78">
        <f>$D59*1.21%</f>
        <v>6037.1498000000001</v>
      </c>
      <c r="I59" s="78">
        <f>$D59*1.49%</f>
        <v>7434.1761999999999</v>
      </c>
      <c r="J59" s="78">
        <f>D59*1.74%</f>
        <v>8681.5211999999992</v>
      </c>
      <c r="K59" s="43">
        <f>E59+J59+F59+G59+H59+I59</f>
        <v>498938</v>
      </c>
      <c r="L59" s="69" t="str">
        <f>IF(D59=K59, "", "Error")</f>
        <v/>
      </c>
    </row>
    <row r="60" spans="1:12" x14ac:dyDescent="0.3">
      <c r="A60" s="32" t="s">
        <v>2</v>
      </c>
      <c r="B60" s="6"/>
      <c r="C60" s="6"/>
      <c r="D60" s="208"/>
      <c r="E60" s="45"/>
      <c r="F60" s="45"/>
      <c r="G60" s="45"/>
      <c r="H60" s="45"/>
      <c r="I60" s="45"/>
      <c r="J60" s="6"/>
      <c r="L60" s="69"/>
    </row>
    <row r="61" spans="1:12" x14ac:dyDescent="0.3">
      <c r="A61" s="6" t="s">
        <v>240</v>
      </c>
      <c r="B61" s="6"/>
      <c r="C61" s="6" t="s">
        <v>353</v>
      </c>
      <c r="D61" s="208">
        <v>56231.41</v>
      </c>
      <c r="E61" s="114"/>
      <c r="F61" s="114"/>
      <c r="G61" s="114"/>
      <c r="H61" s="114"/>
      <c r="I61" s="114"/>
      <c r="J61" s="6"/>
      <c r="L61" s="69"/>
    </row>
    <row r="62" spans="1:12" x14ac:dyDescent="0.3">
      <c r="A62" s="6" t="s">
        <v>282</v>
      </c>
      <c r="B62" s="6"/>
      <c r="C62" s="6" t="s">
        <v>353</v>
      </c>
      <c r="D62" s="208">
        <v>64941</v>
      </c>
      <c r="E62" s="114"/>
      <c r="F62" s="114"/>
      <c r="G62" s="114"/>
      <c r="H62" s="114"/>
      <c r="I62" s="114"/>
      <c r="J62" s="6"/>
      <c r="L62" s="69"/>
    </row>
    <row r="63" spans="1:12" x14ac:dyDescent="0.3">
      <c r="A63" s="6" t="s">
        <v>282</v>
      </c>
      <c r="B63" s="6" t="s">
        <v>344</v>
      </c>
      <c r="C63" s="184" t="s">
        <v>337</v>
      </c>
      <c r="D63" s="208">
        <v>64941</v>
      </c>
      <c r="E63" s="75"/>
      <c r="F63" s="75"/>
      <c r="G63" s="75"/>
      <c r="H63" s="75"/>
      <c r="I63" s="75"/>
      <c r="J63" s="6"/>
      <c r="L63" s="69"/>
    </row>
    <row r="64" spans="1:12" x14ac:dyDescent="0.3">
      <c r="A64" s="33" t="s">
        <v>245</v>
      </c>
      <c r="B64" s="33"/>
      <c r="C64" s="33"/>
      <c r="D64" s="216">
        <f>SUM(D60:D63)</f>
        <v>186113.41</v>
      </c>
      <c r="E64" s="42">
        <f>D64*93.2%</f>
        <v>173457.69812000002</v>
      </c>
      <c r="F64" s="78">
        <f>$D64*1.08%</f>
        <v>2010.0248280000001</v>
      </c>
      <c r="G64" s="78">
        <f>$D64*1.28%</f>
        <v>2382.2516479999999</v>
      </c>
      <c r="H64" s="78">
        <f>$D64*1.21%</f>
        <v>2251.9722609999999</v>
      </c>
      <c r="I64" s="78">
        <f>$D64*1.49%</f>
        <v>2773.0898090000001</v>
      </c>
      <c r="J64" s="78">
        <f>D64*1.74%</f>
        <v>3238.3733339999999</v>
      </c>
      <c r="K64" s="43">
        <f>E64+J64+F64+G64+H64+I64</f>
        <v>186113.41</v>
      </c>
      <c r="L64" s="69" t="str">
        <f>IF(D64=K64, "", "Error")</f>
        <v/>
      </c>
    </row>
    <row r="65" spans="1:14" x14ac:dyDescent="0.3">
      <c r="A65" s="32" t="s">
        <v>227</v>
      </c>
      <c r="B65" s="6"/>
      <c r="C65" s="6"/>
      <c r="D65" s="219"/>
      <c r="E65" s="46"/>
      <c r="F65" s="46"/>
      <c r="G65" s="46"/>
      <c r="H65" s="46"/>
      <c r="I65" s="46"/>
      <c r="J65" s="36"/>
      <c r="L65" s="69"/>
    </row>
    <row r="66" spans="1:14" x14ac:dyDescent="0.3">
      <c r="A66" s="6" t="s">
        <v>231</v>
      </c>
      <c r="B66" s="6"/>
      <c r="C66" s="6" t="s">
        <v>315</v>
      </c>
      <c r="D66" s="208">
        <v>160913</v>
      </c>
      <c r="E66" s="58">
        <f>D66*93.2%</f>
        <v>149970.916</v>
      </c>
      <c r="F66" s="58">
        <f>$D66*1.08%</f>
        <v>1737.8604</v>
      </c>
      <c r="G66" s="58">
        <f>$D66*1.28%</f>
        <v>2059.6864</v>
      </c>
      <c r="H66" s="58">
        <f>$D66*1.21%</f>
        <v>1947.0473</v>
      </c>
      <c r="I66" s="58">
        <f>$D66*1.49%</f>
        <v>2397.6037000000001</v>
      </c>
      <c r="J66" s="58">
        <f>D66*1.74%</f>
        <v>2799.8861999999999</v>
      </c>
      <c r="K66" s="43">
        <f>SUM(E66:J66)</f>
        <v>160913.00000000003</v>
      </c>
      <c r="L66" s="69"/>
    </row>
    <row r="67" spans="1:14" ht="30" customHeight="1" x14ac:dyDescent="0.3">
      <c r="A67" s="236" t="s">
        <v>232</v>
      </c>
      <c r="B67" s="237"/>
      <c r="C67" s="35" t="s">
        <v>315</v>
      </c>
      <c r="D67" s="208">
        <v>7907</v>
      </c>
      <c r="E67" s="58">
        <f t="shared" ref="E67:E68" si="1">D67*93.2%</f>
        <v>7369.3240000000005</v>
      </c>
      <c r="F67" s="58">
        <f>$D67*1.08%</f>
        <v>85.395600000000002</v>
      </c>
      <c r="G67" s="58">
        <f>$D67*1.28%</f>
        <v>101.20960000000001</v>
      </c>
      <c r="H67" s="58">
        <f>$D67*1.21%</f>
        <v>95.674700000000001</v>
      </c>
      <c r="I67" s="58">
        <f>$D67*1.49%</f>
        <v>117.8143</v>
      </c>
      <c r="J67" s="58">
        <f>D67*1.74%</f>
        <v>137.58179999999999</v>
      </c>
      <c r="K67" s="43">
        <f t="shared" ref="K67:K68" si="2">SUM(E67:J67)</f>
        <v>7907</v>
      </c>
      <c r="L67" s="207" t="s">
        <v>363</v>
      </c>
    </row>
    <row r="68" spans="1:14" ht="30" customHeight="1" x14ac:dyDescent="0.3">
      <c r="A68" s="236" t="s">
        <v>233</v>
      </c>
      <c r="B68" s="237"/>
      <c r="C68" s="35" t="s">
        <v>315</v>
      </c>
      <c r="D68" s="208">
        <v>7907</v>
      </c>
      <c r="E68" s="58">
        <f t="shared" si="1"/>
        <v>7369.3240000000005</v>
      </c>
      <c r="F68" s="58">
        <f>$D68*1.08%</f>
        <v>85.395600000000002</v>
      </c>
      <c r="G68" s="58">
        <f>$D68*1.28%</f>
        <v>101.20960000000001</v>
      </c>
      <c r="H68" s="58">
        <f>$D68*1.21%</f>
        <v>95.674700000000001</v>
      </c>
      <c r="I68" s="58">
        <f>$D68*1.49%</f>
        <v>117.8143</v>
      </c>
      <c r="J68" s="58">
        <f>D68*1.74%</f>
        <v>137.58179999999999</v>
      </c>
      <c r="K68" s="43">
        <f t="shared" si="2"/>
        <v>7907</v>
      </c>
      <c r="L68" s="69"/>
    </row>
    <row r="69" spans="1:14" x14ac:dyDescent="0.3">
      <c r="A69" s="33" t="s">
        <v>3</v>
      </c>
      <c r="B69" s="34"/>
      <c r="C69" s="34"/>
      <c r="D69" s="216">
        <f>SUM(D66:D68)</f>
        <v>176727</v>
      </c>
      <c r="E69" s="42">
        <f>SUM(E66:E68)</f>
        <v>164709.56399999998</v>
      </c>
      <c r="F69" s="42">
        <f t="shared" ref="F69:I69" si="3">SUM(F66:F68)</f>
        <v>1908.6516000000001</v>
      </c>
      <c r="G69" s="42">
        <f t="shared" si="3"/>
        <v>2262.1056000000003</v>
      </c>
      <c r="H69" s="42">
        <f t="shared" si="3"/>
        <v>2138.3966999999998</v>
      </c>
      <c r="I69" s="42">
        <f t="shared" si="3"/>
        <v>2633.2323000000001</v>
      </c>
      <c r="J69" s="42">
        <f>SUM(J66:J68)</f>
        <v>3075.0497999999998</v>
      </c>
      <c r="K69" s="43">
        <f>E69+J69+F69+G69+H69+I69</f>
        <v>176727.00000000003</v>
      </c>
      <c r="L69" s="69" t="str">
        <f>IF(D69=K69, "", "Error")</f>
        <v/>
      </c>
    </row>
    <row r="70" spans="1:14" x14ac:dyDescent="0.3">
      <c r="A70" s="32" t="s">
        <v>4</v>
      </c>
      <c r="B70" s="6"/>
      <c r="C70" s="6"/>
      <c r="D70" s="212"/>
      <c r="E70" s="46"/>
      <c r="F70" s="46"/>
      <c r="G70" s="46"/>
      <c r="H70" s="46"/>
      <c r="I70" s="46"/>
      <c r="J70" s="6"/>
      <c r="L70" s="69"/>
    </row>
    <row r="71" spans="1:14" ht="16.5" customHeight="1" x14ac:dyDescent="0.3">
      <c r="A71" s="71" t="s">
        <v>241</v>
      </c>
      <c r="B71" s="6"/>
      <c r="C71" s="35" t="s">
        <v>343</v>
      </c>
      <c r="D71" s="220">
        <v>1469353.32</v>
      </c>
      <c r="E71" s="68">
        <f>D71*93.2%</f>
        <v>1369437.2942400002</v>
      </c>
      <c r="F71" s="58">
        <f>$D71*1.08%</f>
        <v>15869.015856000002</v>
      </c>
      <c r="G71" s="58">
        <f>$D71*1.28%</f>
        <v>18807.722496000002</v>
      </c>
      <c r="H71" s="58">
        <f>$D71*1.21%</f>
        <v>17779.175171999999</v>
      </c>
      <c r="I71" s="58">
        <f>$D71*1.49%</f>
        <v>21893.364468</v>
      </c>
      <c r="J71" s="58">
        <f>D71*1.74%</f>
        <v>25566.747768000001</v>
      </c>
      <c r="K71" s="43">
        <f>D71</f>
        <v>1469353.32</v>
      </c>
      <c r="L71" s="74">
        <f>SUM(E71:J71)</f>
        <v>1469353.3199999998</v>
      </c>
      <c r="M71" s="84"/>
      <c r="N71" s="84"/>
    </row>
    <row r="72" spans="1:14" x14ac:dyDescent="0.3">
      <c r="A72" s="6" t="s">
        <v>242</v>
      </c>
      <c r="B72" s="6"/>
      <c r="C72" s="35" t="s">
        <v>332</v>
      </c>
      <c r="D72" s="220">
        <v>2331402.6</v>
      </c>
      <c r="E72" s="68">
        <f t="shared" ref="E72" si="4">D72*93.2%</f>
        <v>2172867.2232000004</v>
      </c>
      <c r="F72" s="58">
        <f t="shared" ref="F72" si="5">$D72*1.08%</f>
        <v>25179.148080000003</v>
      </c>
      <c r="G72" s="58">
        <f t="shared" ref="G72" si="6">$D72*1.28%</f>
        <v>29841.953280000002</v>
      </c>
      <c r="H72" s="58">
        <f t="shared" ref="H72" si="7">$D72*1.21%</f>
        <v>28209.971460000001</v>
      </c>
      <c r="I72" s="58">
        <f t="shared" ref="I72" si="8">$D72*1.49%</f>
        <v>34737.898740000004</v>
      </c>
      <c r="J72" s="58">
        <f t="shared" ref="J72" si="9">D72*1.74%</f>
        <v>40566.40524</v>
      </c>
      <c r="K72" s="43">
        <f t="shared" ref="K72:K79" si="10">D72</f>
        <v>2331402.6</v>
      </c>
      <c r="L72" s="74">
        <f t="shared" ref="L72" si="11">E72+J72+I72+H72+G72+F72</f>
        <v>2331402.600000001</v>
      </c>
      <c r="M72" s="84"/>
      <c r="N72" s="84"/>
    </row>
    <row r="73" spans="1:14" x14ac:dyDescent="0.3">
      <c r="A73" s="6" t="s">
        <v>243</v>
      </c>
      <c r="B73" s="6"/>
      <c r="C73" s="6" t="s">
        <v>315</v>
      </c>
      <c r="D73" s="208">
        <v>124753.28</v>
      </c>
      <c r="E73" s="68">
        <f>D73</f>
        <v>124753.28</v>
      </c>
      <c r="F73" s="58"/>
      <c r="G73" s="58"/>
      <c r="H73" s="58"/>
      <c r="I73" s="58"/>
      <c r="J73" s="58"/>
      <c r="K73" s="43">
        <f t="shared" si="10"/>
        <v>124753.28</v>
      </c>
      <c r="L73" s="74">
        <f>E73+J73+I73+H73+G73+F73</f>
        <v>124753.28</v>
      </c>
      <c r="M73" s="84">
        <f>L73-D73</f>
        <v>0</v>
      </c>
      <c r="N73" s="84">
        <f>K73-D73</f>
        <v>0</v>
      </c>
    </row>
    <row r="74" spans="1:14" x14ac:dyDescent="0.3">
      <c r="A74" s="6" t="s">
        <v>327</v>
      </c>
      <c r="B74" s="6"/>
      <c r="C74" s="6" t="s">
        <v>335</v>
      </c>
      <c r="D74" s="208">
        <v>352314.06</v>
      </c>
      <c r="E74" s="68">
        <f>D74</f>
        <v>352314.06</v>
      </c>
      <c r="F74" s="58"/>
      <c r="G74" s="58"/>
      <c r="H74" s="58"/>
      <c r="I74" s="58"/>
      <c r="J74" s="58"/>
      <c r="K74" s="43">
        <f t="shared" si="10"/>
        <v>352314.06</v>
      </c>
      <c r="L74" s="74">
        <f>E74+J74+I74+H74+G74+F74</f>
        <v>352314.06</v>
      </c>
      <c r="M74" s="84"/>
      <c r="N74" s="84"/>
    </row>
    <row r="75" spans="1:14" ht="33" customHeight="1" x14ac:dyDescent="0.3">
      <c r="A75" s="232" t="s">
        <v>328</v>
      </c>
      <c r="B75" s="238"/>
      <c r="C75" s="35" t="s">
        <v>332</v>
      </c>
      <c r="D75" s="208">
        <v>40000</v>
      </c>
      <c r="E75" s="68">
        <f>D75</f>
        <v>40000</v>
      </c>
      <c r="F75" s="58"/>
      <c r="G75" s="58"/>
      <c r="H75" s="58"/>
      <c r="I75" s="58"/>
      <c r="J75" s="58"/>
      <c r="K75" s="43">
        <f>D75</f>
        <v>40000</v>
      </c>
      <c r="L75" s="74">
        <f>E75+J75+I75+H75+G75+F75</f>
        <v>40000</v>
      </c>
      <c r="M75" s="84">
        <f>L75-D75</f>
        <v>0</v>
      </c>
      <c r="N75" s="84">
        <f>K75-D75</f>
        <v>0</v>
      </c>
    </row>
    <row r="76" spans="1:14" ht="25.5" customHeight="1" x14ac:dyDescent="0.3">
      <c r="A76" s="232" t="s">
        <v>356</v>
      </c>
      <c r="B76" s="238"/>
      <c r="C76" s="184" t="s">
        <v>357</v>
      </c>
      <c r="D76" s="208">
        <v>130000</v>
      </c>
      <c r="E76" s="68">
        <f>D76</f>
        <v>130000</v>
      </c>
      <c r="F76" s="58"/>
      <c r="G76" s="58"/>
      <c r="H76" s="58"/>
      <c r="I76" s="58"/>
      <c r="J76" s="58"/>
      <c r="K76" s="43">
        <f>D76</f>
        <v>130000</v>
      </c>
      <c r="L76" s="74"/>
      <c r="M76" s="84"/>
      <c r="N76" s="84"/>
    </row>
    <row r="77" spans="1:14" x14ac:dyDescent="0.3">
      <c r="A77" s="35" t="s">
        <v>277</v>
      </c>
      <c r="B77" s="35"/>
      <c r="C77" s="184" t="s">
        <v>337</v>
      </c>
      <c r="D77" s="208">
        <v>993952.65</v>
      </c>
      <c r="E77" s="68">
        <f>D77*93.2%</f>
        <v>926363.8698000001</v>
      </c>
      <c r="F77" s="58">
        <f>$D77*1.08%</f>
        <v>10734.688620000001</v>
      </c>
      <c r="G77" s="58">
        <f>$D77*1.28%</f>
        <v>12722.593920000001</v>
      </c>
      <c r="H77" s="58">
        <f>$D77*1.21%</f>
        <v>12026.827064999999</v>
      </c>
      <c r="I77" s="58">
        <f>$D77*1.49%</f>
        <v>14809.894485000001</v>
      </c>
      <c r="J77" s="58">
        <f>D77*1.74%</f>
        <v>17294.776109999999</v>
      </c>
      <c r="K77" s="43">
        <f t="shared" si="10"/>
        <v>993952.65</v>
      </c>
      <c r="L77" s="74">
        <f t="shared" ref="L77:L79" si="12">E77+J77+I77+H77+G77+F77</f>
        <v>993952.65000000014</v>
      </c>
      <c r="M77" s="84">
        <f>L77-D77</f>
        <v>0</v>
      </c>
      <c r="N77" s="84">
        <f t="shared" ref="N77:N79" si="13">K77-D77</f>
        <v>0</v>
      </c>
    </row>
    <row r="78" spans="1:14" x14ac:dyDescent="0.3">
      <c r="A78" s="35" t="s">
        <v>278</v>
      </c>
      <c r="B78" s="35"/>
      <c r="C78" s="184" t="s">
        <v>337</v>
      </c>
      <c r="D78" s="208">
        <v>5460.69</v>
      </c>
      <c r="E78" s="68">
        <f>D78*93.2%</f>
        <v>5089.3630800000001</v>
      </c>
      <c r="F78" s="58">
        <f>$D78*1.08%</f>
        <v>58.975451999999997</v>
      </c>
      <c r="G78" s="58">
        <f>$D78*1.28%</f>
        <v>69.896832000000003</v>
      </c>
      <c r="H78" s="58">
        <f>$D78*1.21%</f>
        <v>66.074348999999998</v>
      </c>
      <c r="I78" s="58">
        <f>$D78*1.49%</f>
        <v>81.364280999999991</v>
      </c>
      <c r="J78" s="58">
        <f>D78*1.74%</f>
        <v>95.01600599999999</v>
      </c>
      <c r="K78" s="43">
        <f t="shared" si="10"/>
        <v>5460.69</v>
      </c>
      <c r="L78" s="74">
        <f t="shared" si="12"/>
        <v>5460.6900000000005</v>
      </c>
      <c r="M78" s="84">
        <f>L78-D78</f>
        <v>0</v>
      </c>
      <c r="N78" s="84">
        <f t="shared" si="13"/>
        <v>0</v>
      </c>
    </row>
    <row r="79" spans="1:14" x14ac:dyDescent="0.3">
      <c r="A79" s="142" t="s">
        <v>276</v>
      </c>
      <c r="B79" s="141"/>
      <c r="C79" s="6" t="s">
        <v>353</v>
      </c>
      <c r="D79" s="208">
        <v>100000</v>
      </c>
      <c r="E79" s="68">
        <f>D79*93.2%</f>
        <v>93200</v>
      </c>
      <c r="F79" s="68">
        <f>$D79*1.08%</f>
        <v>1080</v>
      </c>
      <c r="G79" s="68">
        <f>$D79*1.28%</f>
        <v>1280</v>
      </c>
      <c r="H79" s="68">
        <f>$D79*1.21%</f>
        <v>1210</v>
      </c>
      <c r="I79" s="68">
        <f>$D79*1.49%</f>
        <v>1490</v>
      </c>
      <c r="J79" s="58">
        <f>D79*1.74%</f>
        <v>1739.9999999999998</v>
      </c>
      <c r="K79" s="43">
        <f t="shared" si="10"/>
        <v>100000</v>
      </c>
      <c r="L79" s="74">
        <f t="shared" si="12"/>
        <v>100000</v>
      </c>
      <c r="M79" s="84">
        <f>L79-D79</f>
        <v>0</v>
      </c>
      <c r="N79" s="84">
        <f t="shared" si="13"/>
        <v>0</v>
      </c>
    </row>
    <row r="80" spans="1:14" ht="14.25" customHeight="1" x14ac:dyDescent="0.3">
      <c r="A80" s="33" t="s">
        <v>5</v>
      </c>
      <c r="B80" s="34"/>
      <c r="C80" s="34"/>
      <c r="D80" s="216">
        <f t="shared" ref="D80:J80" si="14">SUM(D71:D79)</f>
        <v>5547236.6000000006</v>
      </c>
      <c r="E80" s="42">
        <f t="shared" si="14"/>
        <v>5214025.0903200004</v>
      </c>
      <c r="F80" s="42">
        <f t="shared" si="14"/>
        <v>52921.828008000004</v>
      </c>
      <c r="G80" s="42">
        <f t="shared" si="14"/>
        <v>62722.166528000002</v>
      </c>
      <c r="H80" s="42">
        <f t="shared" si="14"/>
        <v>59292.048046000004</v>
      </c>
      <c r="I80" s="42">
        <f t="shared" si="14"/>
        <v>73012.521974000003</v>
      </c>
      <c r="J80" s="42">
        <f t="shared" si="14"/>
        <v>85262.945124000005</v>
      </c>
      <c r="K80" s="43">
        <f>E80+J80+F80+G80+H80+I80</f>
        <v>5547236.6000000006</v>
      </c>
      <c r="L80" s="69" t="str">
        <f>IF(D80=K80, "", "Error")</f>
        <v/>
      </c>
      <c r="M80" s="84">
        <f>D80-K80</f>
        <v>0</v>
      </c>
    </row>
    <row r="81" spans="1:14" hidden="1" x14ac:dyDescent="0.3">
      <c r="A81" s="6"/>
      <c r="B81" s="6"/>
      <c r="C81" s="6"/>
      <c r="D81" s="212"/>
      <c r="E81" s="46"/>
      <c r="F81" s="46"/>
      <c r="G81" s="46"/>
      <c r="H81" s="46"/>
      <c r="I81" s="46"/>
      <c r="J81" s="6"/>
      <c r="L81" s="69"/>
    </row>
    <row r="82" spans="1:14" hidden="1" x14ac:dyDescent="0.3">
      <c r="A82" s="6"/>
      <c r="B82" s="6"/>
      <c r="C82" s="6"/>
      <c r="D82" s="212"/>
      <c r="E82" s="45"/>
      <c r="F82" s="45"/>
      <c r="G82" s="45"/>
      <c r="H82" s="45"/>
      <c r="I82" s="45"/>
      <c r="J82" s="6"/>
      <c r="L82" s="69"/>
    </row>
    <row r="83" spans="1:14" x14ac:dyDescent="0.3">
      <c r="A83" s="32" t="s">
        <v>228</v>
      </c>
      <c r="B83" s="6"/>
      <c r="C83" s="6"/>
      <c r="D83" s="212"/>
      <c r="E83" s="45"/>
      <c r="F83" s="45"/>
      <c r="G83" s="45"/>
      <c r="H83" s="45"/>
      <c r="I83" s="45"/>
      <c r="J83" s="6"/>
      <c r="L83" s="69"/>
    </row>
    <row r="84" spans="1:14" x14ac:dyDescent="0.3">
      <c r="A84" s="6" t="s">
        <v>329</v>
      </c>
      <c r="B84" s="35"/>
      <c r="C84" s="35" t="s">
        <v>332</v>
      </c>
      <c r="D84" s="208">
        <v>606800</v>
      </c>
      <c r="E84" s="68">
        <f>D84*93.2%</f>
        <v>565537.6</v>
      </c>
      <c r="F84" s="58">
        <f>$D84*1.08%</f>
        <v>6553.4400000000005</v>
      </c>
      <c r="G84" s="58">
        <f>$D84*1.28%</f>
        <v>7767.04</v>
      </c>
      <c r="H84" s="58">
        <f>$D84*1.21%</f>
        <v>7342.28</v>
      </c>
      <c r="I84" s="58">
        <f>$D84*1.49%</f>
        <v>9041.32</v>
      </c>
      <c r="J84" s="58">
        <f>D84*1.74%</f>
        <v>10558.32</v>
      </c>
      <c r="L84" s="69"/>
    </row>
    <row r="85" spans="1:14" x14ac:dyDescent="0.3">
      <c r="A85" s="6" t="s">
        <v>333</v>
      </c>
      <c r="B85" s="35"/>
      <c r="C85" s="35" t="s">
        <v>332</v>
      </c>
      <c r="D85" s="208">
        <v>216800</v>
      </c>
      <c r="E85" s="68">
        <f>D85</f>
        <v>216800</v>
      </c>
      <c r="F85" s="58"/>
      <c r="G85" s="58"/>
      <c r="H85" s="58"/>
      <c r="I85" s="58"/>
      <c r="J85" s="58"/>
      <c r="L85" s="69"/>
    </row>
    <row r="86" spans="1:14" x14ac:dyDescent="0.3">
      <c r="A86" s="6" t="s">
        <v>345</v>
      </c>
      <c r="B86" s="35"/>
      <c r="C86" s="35" t="s">
        <v>346</v>
      </c>
      <c r="D86" s="208">
        <v>1300</v>
      </c>
      <c r="E86" s="68">
        <f>D86*93.2%</f>
        <v>1211.6000000000001</v>
      </c>
      <c r="F86" s="58">
        <f>$D86*1.08%</f>
        <v>14.040000000000001</v>
      </c>
      <c r="G86" s="58">
        <f>$D86*1.28%</f>
        <v>16.64</v>
      </c>
      <c r="H86" s="58">
        <f>$D86*1.21%</f>
        <v>15.73</v>
      </c>
      <c r="I86" s="58">
        <f>$D86*1.49%</f>
        <v>19.37</v>
      </c>
      <c r="J86" s="58">
        <f>D86*1.74%</f>
        <v>22.619999999999997</v>
      </c>
      <c r="L86" s="69"/>
    </row>
    <row r="87" spans="1:14" ht="28.5" customHeight="1" x14ac:dyDescent="0.3">
      <c r="A87" s="71" t="s">
        <v>334</v>
      </c>
      <c r="B87" s="35"/>
      <c r="C87" s="196" t="s">
        <v>342</v>
      </c>
      <c r="D87" s="208">
        <v>350000</v>
      </c>
      <c r="E87" s="68">
        <f t="shared" ref="E87:E95" si="15">D87</f>
        <v>350000</v>
      </c>
      <c r="F87" s="58"/>
      <c r="G87" s="58"/>
      <c r="H87" s="58"/>
      <c r="I87" s="58"/>
      <c r="J87" s="58"/>
      <c r="L87" s="69"/>
    </row>
    <row r="88" spans="1:14" ht="32.25" customHeight="1" x14ac:dyDescent="0.3">
      <c r="A88" s="241" t="s">
        <v>347</v>
      </c>
      <c r="B88" s="242"/>
      <c r="C88" s="35" t="s">
        <v>332</v>
      </c>
      <c r="D88" s="208">
        <v>250000</v>
      </c>
      <c r="E88" s="68">
        <f t="shared" si="15"/>
        <v>250000</v>
      </c>
      <c r="F88" s="58"/>
      <c r="G88" s="58"/>
      <c r="H88" s="58"/>
      <c r="I88" s="58"/>
      <c r="J88" s="58"/>
      <c r="L88" s="69"/>
    </row>
    <row r="89" spans="1:14" x14ac:dyDescent="0.3">
      <c r="A89" s="6" t="s">
        <v>348</v>
      </c>
      <c r="B89" s="35"/>
      <c r="C89" s="35" t="s">
        <v>332</v>
      </c>
      <c r="D89" s="208">
        <v>32800</v>
      </c>
      <c r="E89" s="68">
        <f t="shared" si="15"/>
        <v>32800</v>
      </c>
      <c r="F89" s="58"/>
      <c r="G89" s="58"/>
      <c r="H89" s="58"/>
      <c r="I89" s="58"/>
      <c r="J89" s="58"/>
      <c r="L89" s="69"/>
    </row>
    <row r="90" spans="1:14" x14ac:dyDescent="0.3">
      <c r="A90" s="6" t="s">
        <v>336</v>
      </c>
      <c r="B90" s="35"/>
      <c r="C90" s="35" t="s">
        <v>337</v>
      </c>
      <c r="D90" s="208">
        <v>50000</v>
      </c>
      <c r="E90" s="68">
        <f t="shared" si="15"/>
        <v>50000</v>
      </c>
      <c r="F90" s="75"/>
      <c r="G90" s="75"/>
      <c r="H90" s="75"/>
      <c r="I90" s="75"/>
      <c r="J90" s="58"/>
      <c r="L90" s="69"/>
    </row>
    <row r="91" spans="1:14" x14ac:dyDescent="0.3">
      <c r="A91" s="45" t="s">
        <v>351</v>
      </c>
      <c r="B91" s="197"/>
      <c r="C91" s="35" t="s">
        <v>352</v>
      </c>
      <c r="D91" s="208">
        <v>60000</v>
      </c>
      <c r="E91" s="68">
        <f t="shared" si="15"/>
        <v>60000</v>
      </c>
      <c r="F91" s="75"/>
      <c r="G91" s="75"/>
      <c r="H91" s="75"/>
      <c r="I91" s="75"/>
      <c r="J91" s="58"/>
      <c r="L91" s="69"/>
    </row>
    <row r="92" spans="1:14" x14ac:dyDescent="0.3">
      <c r="A92" s="45" t="s">
        <v>351</v>
      </c>
      <c r="B92" s="197"/>
      <c r="C92" s="35" t="s">
        <v>352</v>
      </c>
      <c r="D92" s="208">
        <v>50000</v>
      </c>
      <c r="E92" s="68">
        <f t="shared" si="15"/>
        <v>50000</v>
      </c>
      <c r="F92" s="75"/>
      <c r="G92" s="75"/>
      <c r="H92" s="75"/>
      <c r="I92" s="75"/>
      <c r="J92" s="58"/>
      <c r="L92" s="69"/>
    </row>
    <row r="93" spans="1:14" ht="36" customHeight="1" x14ac:dyDescent="0.3">
      <c r="A93" s="236" t="s">
        <v>350</v>
      </c>
      <c r="B93" s="237"/>
      <c r="C93" s="137" t="s">
        <v>349</v>
      </c>
      <c r="D93" s="208">
        <v>307200</v>
      </c>
      <c r="E93" s="68">
        <f t="shared" si="15"/>
        <v>307200</v>
      </c>
      <c r="F93" s="75"/>
      <c r="G93" s="75"/>
      <c r="H93" s="75"/>
      <c r="I93" s="75"/>
      <c r="J93" s="58"/>
      <c r="L93" s="69"/>
    </row>
    <row r="94" spans="1:14" ht="30" customHeight="1" x14ac:dyDescent="0.3">
      <c r="A94" s="236" t="s">
        <v>331</v>
      </c>
      <c r="B94" s="237"/>
      <c r="C94" s="137" t="s">
        <v>349</v>
      </c>
      <c r="D94" s="208">
        <v>191400</v>
      </c>
      <c r="E94" s="68">
        <f t="shared" si="15"/>
        <v>191400</v>
      </c>
      <c r="F94" s="75"/>
      <c r="G94" s="75"/>
      <c r="H94" s="75"/>
      <c r="I94" s="75"/>
      <c r="J94" s="58"/>
      <c r="L94" s="69"/>
    </row>
    <row r="95" spans="1:14" ht="33.75" customHeight="1" x14ac:dyDescent="0.3">
      <c r="A95" s="239" t="s">
        <v>330</v>
      </c>
      <c r="B95" s="240"/>
      <c r="C95" s="137" t="s">
        <v>349</v>
      </c>
      <c r="D95" s="208">
        <v>95700</v>
      </c>
      <c r="E95" s="68">
        <f t="shared" si="15"/>
        <v>95700</v>
      </c>
      <c r="F95" s="58"/>
      <c r="G95" s="58"/>
      <c r="H95" s="58"/>
      <c r="I95" s="58"/>
      <c r="J95" s="58"/>
      <c r="L95" s="69"/>
      <c r="M95" s="43"/>
    </row>
    <row r="96" spans="1:14" ht="13.5" customHeight="1" x14ac:dyDescent="0.3">
      <c r="A96" s="33" t="s">
        <v>229</v>
      </c>
      <c r="B96" s="33"/>
      <c r="C96" s="33"/>
      <c r="D96" s="216">
        <f t="shared" ref="D96:J96" si="16">SUM(D84:D95)</f>
        <v>2212000</v>
      </c>
      <c r="E96" s="42">
        <f t="shared" si="16"/>
        <v>2170649.2000000002</v>
      </c>
      <c r="F96" s="42">
        <f t="shared" si="16"/>
        <v>6567.4800000000005</v>
      </c>
      <c r="G96" s="42">
        <f t="shared" si="16"/>
        <v>7783.68</v>
      </c>
      <c r="H96" s="42">
        <f t="shared" si="16"/>
        <v>7358.0099999999993</v>
      </c>
      <c r="I96" s="42">
        <f t="shared" si="16"/>
        <v>9060.69</v>
      </c>
      <c r="J96" s="42">
        <f t="shared" si="16"/>
        <v>10580.94</v>
      </c>
      <c r="K96" s="43">
        <f>E96+J96+F96+G96+H96+I96</f>
        <v>2212000</v>
      </c>
      <c r="L96" s="69" t="str">
        <f>IF(D96=K96, "", "Error")</f>
        <v/>
      </c>
      <c r="N96" s="43"/>
    </row>
    <row r="97" spans="1:14" hidden="1" x14ac:dyDescent="0.3">
      <c r="A97" s="6"/>
      <c r="B97" s="6"/>
      <c r="C97" s="6"/>
      <c r="D97" s="212"/>
      <c r="E97" s="46"/>
      <c r="F97" s="46"/>
      <c r="G97" s="46"/>
      <c r="H97" s="46"/>
      <c r="I97" s="46"/>
      <c r="J97" s="6"/>
      <c r="L97" s="69"/>
    </row>
    <row r="98" spans="1:14" hidden="1" x14ac:dyDescent="0.3">
      <c r="A98" s="6"/>
      <c r="B98" s="6"/>
      <c r="C98" s="6"/>
      <c r="D98" s="212"/>
      <c r="E98" s="45"/>
      <c r="F98" s="45"/>
      <c r="G98" s="45"/>
      <c r="H98" s="45"/>
      <c r="I98" s="45"/>
      <c r="J98" s="6"/>
      <c r="L98" s="69"/>
    </row>
    <row r="99" spans="1:14" x14ac:dyDescent="0.3">
      <c r="A99" s="32" t="s">
        <v>6</v>
      </c>
      <c r="B99" s="6"/>
      <c r="C99" s="6"/>
      <c r="D99" s="212"/>
      <c r="E99" s="45"/>
      <c r="F99" s="45"/>
      <c r="G99" s="45"/>
      <c r="H99" s="45"/>
      <c r="I99" s="45"/>
      <c r="J99" s="6"/>
      <c r="L99" s="69"/>
    </row>
    <row r="100" spans="1:14" ht="14.25" customHeight="1" x14ac:dyDescent="0.3">
      <c r="A100" s="6" t="s">
        <v>7</v>
      </c>
      <c r="B100" s="6" t="s">
        <v>37</v>
      </c>
      <c r="C100" s="6"/>
      <c r="D100" s="208">
        <v>753700</v>
      </c>
      <c r="E100" s="68">
        <f>D100*93.2%</f>
        <v>702448.4</v>
      </c>
      <c r="F100" s="58">
        <f>$D100*1.08%</f>
        <v>8139.96</v>
      </c>
      <c r="G100" s="58">
        <f>$D100*1.28%</f>
        <v>9647.36</v>
      </c>
      <c r="H100" s="58">
        <f>$D100*1.21%</f>
        <v>9119.77</v>
      </c>
      <c r="I100" s="58">
        <f>$D100*1.49%</f>
        <v>11230.13</v>
      </c>
      <c r="J100" s="58">
        <f>D100*1.74%</f>
        <v>13114.38</v>
      </c>
      <c r="L100" s="69" t="s">
        <v>310</v>
      </c>
    </row>
    <row r="101" spans="1:14" x14ac:dyDescent="0.3">
      <c r="A101" s="32"/>
      <c r="B101" s="6"/>
      <c r="C101" s="6"/>
      <c r="D101" s="208"/>
      <c r="E101" s="68"/>
      <c r="F101" s="68"/>
      <c r="G101" s="68"/>
      <c r="H101" s="68"/>
      <c r="I101" s="68"/>
      <c r="J101" s="58"/>
      <c r="L101" s="69"/>
      <c r="N101" s="44"/>
    </row>
    <row r="102" spans="1:14" x14ac:dyDescent="0.3">
      <c r="A102" s="6"/>
      <c r="B102" s="6"/>
      <c r="C102" s="6"/>
      <c r="D102" s="212"/>
      <c r="E102" s="47"/>
      <c r="F102" s="47"/>
      <c r="G102" s="47"/>
      <c r="H102" s="47"/>
      <c r="I102" s="47"/>
      <c r="J102" s="6"/>
      <c r="L102" s="69"/>
      <c r="N102" s="43"/>
    </row>
    <row r="103" spans="1:14" x14ac:dyDescent="0.3">
      <c r="A103" s="33" t="s">
        <v>8</v>
      </c>
      <c r="B103" s="33"/>
      <c r="C103" s="33"/>
      <c r="D103" s="216">
        <f>SUM(D100:D102)</f>
        <v>753700</v>
      </c>
      <c r="E103" s="42">
        <f>SUM(E100:E102)</f>
        <v>702448.4</v>
      </c>
      <c r="F103" s="42">
        <f t="shared" ref="F103:I103" si="17">SUM(F100:F102)</f>
        <v>8139.96</v>
      </c>
      <c r="G103" s="42">
        <f t="shared" si="17"/>
        <v>9647.36</v>
      </c>
      <c r="H103" s="42">
        <f t="shared" si="17"/>
        <v>9119.77</v>
      </c>
      <c r="I103" s="42">
        <f t="shared" si="17"/>
        <v>11230.13</v>
      </c>
      <c r="J103" s="42">
        <f>SUM(J100:J102)</f>
        <v>13114.38</v>
      </c>
      <c r="K103" s="43">
        <f>E103+J103+F103+G103+H103+I103</f>
        <v>753700</v>
      </c>
      <c r="L103" s="69" t="str">
        <f>IF(D103=K103, "", "Error")</f>
        <v/>
      </c>
      <c r="N103" s="43"/>
    </row>
    <row r="104" spans="1:14" x14ac:dyDescent="0.3">
      <c r="A104" s="6" t="s">
        <v>28</v>
      </c>
      <c r="B104" s="6"/>
      <c r="C104" s="6"/>
      <c r="D104" s="208">
        <f>720+151.2+166246.56</f>
        <v>167117.76000000001</v>
      </c>
      <c r="E104" s="68">
        <f>D104*93.2%</f>
        <v>155753.75232000003</v>
      </c>
      <c r="F104" s="58">
        <f>$D104*1.08%</f>
        <v>1804.8718080000001</v>
      </c>
      <c r="G104" s="58">
        <f>$D104*1.28%</f>
        <v>2139.1073280000001</v>
      </c>
      <c r="H104" s="58">
        <f>$D104*1.21%</f>
        <v>2022.124896</v>
      </c>
      <c r="I104" s="58">
        <f>$D104*1.49%</f>
        <v>2490.0546240000003</v>
      </c>
      <c r="J104" s="58">
        <f>D104*1.74%</f>
        <v>2907.8490240000001</v>
      </c>
      <c r="L104" s="69"/>
    </row>
    <row r="105" spans="1:14" x14ac:dyDescent="0.3">
      <c r="A105" s="6" t="s">
        <v>29</v>
      </c>
      <c r="B105" s="6"/>
      <c r="C105" s="51"/>
      <c r="D105" s="44"/>
      <c r="E105" s="68">
        <f>D105*93.2%</f>
        <v>0</v>
      </c>
      <c r="F105" s="58">
        <f>$D105*1.08%</f>
        <v>0</v>
      </c>
      <c r="G105" s="58">
        <f>$D105*1.28%</f>
        <v>0</v>
      </c>
      <c r="H105" s="58">
        <f>$D105*1.21%</f>
        <v>0</v>
      </c>
      <c r="I105" s="58">
        <f>$D105*1.49%</f>
        <v>0</v>
      </c>
      <c r="J105" s="58">
        <f>D105*1.74%</f>
        <v>0</v>
      </c>
      <c r="L105" s="69"/>
    </row>
    <row r="106" spans="1:14" x14ac:dyDescent="0.3">
      <c r="A106" s="33" t="s">
        <v>230</v>
      </c>
      <c r="B106" s="33"/>
      <c r="C106" s="33"/>
      <c r="D106" s="72">
        <f>SUM(D104:D105)</f>
        <v>167117.76000000001</v>
      </c>
      <c r="E106" s="67">
        <f t="shared" ref="E106:J106" si="18">SUM(E104:E105)</f>
        <v>155753.75232000003</v>
      </c>
      <c r="F106" s="67">
        <f t="shared" si="18"/>
        <v>1804.8718080000001</v>
      </c>
      <c r="G106" s="67">
        <f t="shared" si="18"/>
        <v>2139.1073280000001</v>
      </c>
      <c r="H106" s="67">
        <f t="shared" si="18"/>
        <v>2022.124896</v>
      </c>
      <c r="I106" s="67">
        <f t="shared" si="18"/>
        <v>2490.0546240000003</v>
      </c>
      <c r="J106" s="67">
        <f t="shared" si="18"/>
        <v>2907.8490240000001</v>
      </c>
      <c r="K106" s="43">
        <f>E106+J106+F106+G106+H106+I106</f>
        <v>167117.76000000004</v>
      </c>
      <c r="L106" s="69" t="str">
        <f>IF(D106=K106, "", "Error")</f>
        <v/>
      </c>
    </row>
    <row r="107" spans="1:14" ht="15" thickBot="1" x14ac:dyDescent="0.35">
      <c r="A107" s="98"/>
      <c r="B107" s="98"/>
      <c r="C107" s="98"/>
      <c r="D107" s="99"/>
      <c r="E107" s="9"/>
      <c r="F107" s="9"/>
      <c r="G107" s="9"/>
      <c r="H107" s="9"/>
      <c r="I107" s="9"/>
      <c r="J107" s="98"/>
      <c r="L107" s="69"/>
    </row>
    <row r="108" spans="1:14" ht="15" thickBot="1" x14ac:dyDescent="0.35">
      <c r="A108" s="100" t="s">
        <v>317</v>
      </c>
      <c r="B108" s="101"/>
      <c r="C108" s="101"/>
      <c r="D108" s="102">
        <f>15667206.09-12343887.13</f>
        <v>3323318.959999999</v>
      </c>
      <c r="E108" s="125">
        <f>D108*93.2%</f>
        <v>3097333.2707199994</v>
      </c>
      <c r="F108" s="125">
        <f>$D108*1.08%</f>
        <v>35891.844767999988</v>
      </c>
      <c r="G108" s="125">
        <f>$D108*1.28%</f>
        <v>42538.482687999989</v>
      </c>
      <c r="H108" s="125">
        <f>$D108*1.21%</f>
        <v>40212.159415999988</v>
      </c>
      <c r="I108" s="125">
        <f>$D108*1.49%</f>
        <v>49517.452503999986</v>
      </c>
      <c r="J108" s="126">
        <f>D108*1.74%</f>
        <v>57825.749903999982</v>
      </c>
      <c r="K108" s="43">
        <f>E108+J108+F108+G108+H108+I108</f>
        <v>3323318.9599999995</v>
      </c>
      <c r="L108" s="69" t="str">
        <f>IF(D108=K108, "", "Error")</f>
        <v/>
      </c>
    </row>
    <row r="109" spans="1:14" ht="15" thickBot="1" x14ac:dyDescent="0.35">
      <c r="A109" s="103"/>
      <c r="B109" s="104"/>
      <c r="C109" s="104"/>
      <c r="D109" s="105"/>
      <c r="E109" s="106"/>
      <c r="F109" s="106"/>
      <c r="G109" s="106"/>
      <c r="H109" s="106"/>
      <c r="I109" s="106"/>
      <c r="J109" s="107"/>
      <c r="K109" s="43"/>
      <c r="L109" s="69"/>
    </row>
    <row r="110" spans="1:14" ht="15" thickBot="1" x14ac:dyDescent="0.35">
      <c r="A110" s="3" t="s">
        <v>30</v>
      </c>
      <c r="B110" s="11"/>
      <c r="C110" s="4"/>
      <c r="D110" s="86">
        <f t="shared" ref="D110:J110" si="19">SUM(D108+D59+D54+D106+D103+D96+D80+D69+D46+D43+D64)</f>
        <v>15667206.089999998</v>
      </c>
      <c r="E110" s="86">
        <f t="shared" si="19"/>
        <v>14774830.686399998</v>
      </c>
      <c r="F110" s="86">
        <f t="shared" si="19"/>
        <v>141730.21116000001</v>
      </c>
      <c r="G110" s="86">
        <f t="shared" si="19"/>
        <v>167976.54656000002</v>
      </c>
      <c r="H110" s="86">
        <f t="shared" si="19"/>
        <v>158790.32916999998</v>
      </c>
      <c r="I110" s="86">
        <f t="shared" si="19"/>
        <v>195535.19872999997</v>
      </c>
      <c r="J110" s="86">
        <f t="shared" si="19"/>
        <v>228343.11798000001</v>
      </c>
      <c r="K110" s="61">
        <f>E110+J110+F110+G110+H110+I110</f>
        <v>15667206.089999998</v>
      </c>
      <c r="L110" s="69" t="str">
        <f>IF(D110=K110, "", "Error")</f>
        <v/>
      </c>
      <c r="M110" s="84">
        <f>D110-K110</f>
        <v>0</v>
      </c>
    </row>
    <row r="111" spans="1:14" ht="15" thickBot="1" x14ac:dyDescent="0.35">
      <c r="D111" s="85"/>
      <c r="E111" s="43"/>
      <c r="F111" s="43"/>
      <c r="G111" s="43"/>
      <c r="H111" s="43"/>
      <c r="I111" s="43"/>
    </row>
    <row r="112" spans="1:14" ht="15" thickBot="1" x14ac:dyDescent="0.35">
      <c r="A112" s="64" t="s">
        <v>39</v>
      </c>
      <c r="B112" s="63"/>
      <c r="C112" s="63"/>
      <c r="E112" s="43"/>
      <c r="F112" s="43"/>
      <c r="G112" s="43"/>
      <c r="H112" s="43"/>
      <c r="I112" s="43"/>
    </row>
    <row r="113" spans="1:13" x14ac:dyDescent="0.3">
      <c r="A113" s="1" t="s">
        <v>354</v>
      </c>
      <c r="B113" t="s">
        <v>346</v>
      </c>
      <c r="C113" s="128">
        <v>25000</v>
      </c>
      <c r="E113" s="43"/>
      <c r="F113" s="43"/>
      <c r="G113" s="43"/>
      <c r="H113" s="43"/>
      <c r="I113" s="43"/>
    </row>
    <row r="114" spans="1:13" ht="15" thickBot="1" x14ac:dyDescent="0.35">
      <c r="A114" s="1"/>
      <c r="C114" s="128"/>
      <c r="E114" s="43"/>
      <c r="F114" s="43"/>
      <c r="G114" s="43"/>
      <c r="H114" s="43"/>
      <c r="I114" s="43"/>
    </row>
    <row r="115" spans="1:13" ht="15" thickBot="1" x14ac:dyDescent="0.35">
      <c r="A115" s="65" t="s">
        <v>17</v>
      </c>
      <c r="B115" s="66"/>
      <c r="C115" s="62">
        <f>SUM(C113:C114)</f>
        <v>25000</v>
      </c>
      <c r="E115" s="43"/>
      <c r="F115" s="43"/>
      <c r="G115" s="43"/>
      <c r="H115" s="43"/>
      <c r="I115" s="43"/>
    </row>
    <row r="116" spans="1:13" x14ac:dyDescent="0.3">
      <c r="E116" s="43"/>
      <c r="F116" s="43"/>
      <c r="G116" s="43"/>
      <c r="H116" s="43"/>
      <c r="I116" s="43"/>
    </row>
    <row r="117" spans="1:13" x14ac:dyDescent="0.3">
      <c r="E117" s="60"/>
      <c r="F117" s="60"/>
      <c r="G117" s="60"/>
      <c r="H117" s="60"/>
      <c r="I117" s="60"/>
    </row>
    <row r="118" spans="1:13" x14ac:dyDescent="0.3">
      <c r="A118" s="230" t="s">
        <v>34</v>
      </c>
      <c r="B118" s="231"/>
      <c r="C118" s="231"/>
      <c r="D118" s="231"/>
      <c r="E118" s="80" t="s">
        <v>11</v>
      </c>
      <c r="F118" s="80" t="s">
        <v>170</v>
      </c>
      <c r="G118" s="80" t="s">
        <v>171</v>
      </c>
      <c r="H118" s="80" t="s">
        <v>172</v>
      </c>
      <c r="I118" s="80" t="s">
        <v>173</v>
      </c>
      <c r="J118" s="81" t="s">
        <v>174</v>
      </c>
    </row>
    <row r="119" spans="1:13" ht="22.5" customHeight="1" x14ac:dyDescent="0.3">
      <c r="A119" s="232"/>
      <c r="B119" s="233"/>
      <c r="C119" s="82"/>
      <c r="D119" s="44"/>
      <c r="E119" s="68">
        <f>D119</f>
        <v>0</v>
      </c>
      <c r="F119" s="68"/>
      <c r="G119" s="68"/>
      <c r="H119" s="68"/>
      <c r="I119" s="68"/>
      <c r="J119" s="58"/>
    </row>
    <row r="120" spans="1:13" ht="24.75" customHeight="1" x14ac:dyDescent="0.3">
      <c r="A120" s="232"/>
      <c r="B120" s="233"/>
      <c r="C120" s="82"/>
      <c r="D120" s="44"/>
      <c r="E120" s="68"/>
      <c r="F120" s="68"/>
      <c r="G120" s="68"/>
      <c r="H120" s="68"/>
      <c r="I120" s="68"/>
      <c r="J120" s="58"/>
    </row>
    <row r="121" spans="1:13" x14ac:dyDescent="0.3">
      <c r="A121" s="227" t="s">
        <v>17</v>
      </c>
      <c r="B121" s="228"/>
      <c r="C121" s="229"/>
      <c r="D121" s="79">
        <f>SUM(D119:D120)</f>
        <v>0</v>
      </c>
      <c r="E121" s="79">
        <f>SUM(E119:E120)</f>
        <v>0</v>
      </c>
      <c r="F121" s="79"/>
      <c r="G121" s="79"/>
      <c r="H121" s="79"/>
      <c r="I121" s="79"/>
      <c r="J121" s="79">
        <f>SUM(J119:J120)</f>
        <v>0</v>
      </c>
      <c r="L121" s="43">
        <f>E121+J121</f>
        <v>0</v>
      </c>
      <c r="M121" s="69" t="str">
        <f>IF(D121=L121, "", "Error")</f>
        <v/>
      </c>
    </row>
    <row r="123" spans="1:13" ht="15" thickBot="1" x14ac:dyDescent="0.35">
      <c r="E123" s="43"/>
      <c r="F123" s="43"/>
      <c r="G123" s="43"/>
      <c r="H123" s="43"/>
      <c r="I123" s="43"/>
    </row>
    <row r="124" spans="1:13" ht="19.5" customHeight="1" thickBot="1" x14ac:dyDescent="0.35">
      <c r="A124" s="38" t="s">
        <v>31</v>
      </c>
      <c r="B124" s="39">
        <f>D110</f>
        <v>15667206.089999998</v>
      </c>
    </row>
    <row r="125" spans="1:13" ht="18.75" customHeight="1" thickBot="1" x14ac:dyDescent="0.35">
      <c r="A125" s="40" t="s">
        <v>33</v>
      </c>
      <c r="B125" s="41">
        <f>D110-D108</f>
        <v>12343887.129999999</v>
      </c>
      <c r="D125" s="235" t="s">
        <v>305</v>
      </c>
      <c r="E125" s="235"/>
      <c r="F125" s="235"/>
      <c r="G125" s="235"/>
      <c r="H125" s="235"/>
      <c r="I125" s="235"/>
    </row>
    <row r="126" spans="1:13" x14ac:dyDescent="0.3">
      <c r="D126" s="235"/>
      <c r="E126" s="235"/>
      <c r="F126" s="235"/>
      <c r="G126" s="235"/>
      <c r="H126" s="235"/>
      <c r="I126" s="235"/>
    </row>
    <row r="127" spans="1:13" x14ac:dyDescent="0.3">
      <c r="A127" s="16" t="s">
        <v>20</v>
      </c>
      <c r="B127" s="17"/>
      <c r="C127" s="18"/>
      <c r="D127" s="235"/>
      <c r="E127" s="235"/>
      <c r="F127" s="235"/>
      <c r="G127" s="235"/>
      <c r="H127" s="235"/>
      <c r="I127" s="235"/>
    </row>
    <row r="128" spans="1:13" x14ac:dyDescent="0.3">
      <c r="A128" s="19" t="s">
        <v>21</v>
      </c>
      <c r="B128" s="8">
        <v>-1002261.6181467418</v>
      </c>
      <c r="C128" s="20"/>
      <c r="D128" s="235"/>
      <c r="E128" s="235"/>
      <c r="F128" s="235"/>
      <c r="G128" s="235"/>
      <c r="H128" s="235"/>
      <c r="I128" s="235"/>
    </row>
    <row r="129" spans="1:11" x14ac:dyDescent="0.3">
      <c r="A129" s="21" t="s">
        <v>22</v>
      </c>
      <c r="B129" s="30">
        <f>PRORRATEO!H133</f>
        <v>14775654.349543842</v>
      </c>
      <c r="C129" s="20" t="s">
        <v>23</v>
      </c>
      <c r="D129" s="235"/>
      <c r="E129" s="235"/>
      <c r="F129" s="235"/>
      <c r="G129" s="235"/>
      <c r="H129" s="235"/>
      <c r="I129" s="235"/>
    </row>
    <row r="130" spans="1:11" x14ac:dyDescent="0.3">
      <c r="A130" s="21" t="s">
        <v>36</v>
      </c>
      <c r="B130" s="83">
        <f>-B125</f>
        <v>-12343887.129999999</v>
      </c>
      <c r="C130" s="18"/>
      <c r="D130" s="235"/>
      <c r="E130" s="235"/>
      <c r="F130" s="235"/>
      <c r="G130" s="235"/>
      <c r="H130" s="235"/>
      <c r="I130" s="235"/>
      <c r="K130" s="44"/>
    </row>
    <row r="131" spans="1:11" x14ac:dyDescent="0.3">
      <c r="A131" s="21" t="s">
        <v>35</v>
      </c>
      <c r="B131" s="83">
        <f>-D121</f>
        <v>0</v>
      </c>
      <c r="C131" s="18"/>
      <c r="D131" s="235"/>
      <c r="E131" s="235"/>
      <c r="F131" s="235"/>
      <c r="G131" s="235"/>
      <c r="H131" s="235"/>
      <c r="I131" s="235"/>
      <c r="K131" s="52"/>
    </row>
    <row r="132" spans="1:11" x14ac:dyDescent="0.3">
      <c r="A132" s="21" t="s">
        <v>294</v>
      </c>
      <c r="B132" s="30">
        <f>B142</f>
        <v>143267</v>
      </c>
      <c r="C132" s="18"/>
      <c r="D132" s="235"/>
      <c r="E132" s="235"/>
      <c r="F132" s="235"/>
      <c r="G132" s="235"/>
      <c r="H132" s="235"/>
      <c r="I132" s="235"/>
      <c r="K132" s="52"/>
    </row>
    <row r="133" spans="1:11" x14ac:dyDescent="0.3">
      <c r="A133" s="21" t="s">
        <v>32</v>
      </c>
      <c r="B133" s="83">
        <f>-B147</f>
        <v>-120000</v>
      </c>
      <c r="C133" s="22"/>
      <c r="D133" s="235"/>
      <c r="E133" s="235"/>
      <c r="F133" s="235"/>
      <c r="G133" s="235"/>
      <c r="H133" s="235"/>
      <c r="I133" s="235"/>
    </row>
    <row r="134" spans="1:11" ht="36" customHeight="1" x14ac:dyDescent="0.3">
      <c r="A134" s="224" t="s">
        <v>364</v>
      </c>
      <c r="B134" s="30">
        <v>426600</v>
      </c>
      <c r="C134" s="22"/>
      <c r="D134" s="235"/>
      <c r="E134" s="235"/>
      <c r="F134" s="235"/>
      <c r="G134" s="235"/>
      <c r="H134" s="235"/>
      <c r="I134" s="235"/>
    </row>
    <row r="135" spans="1:11" x14ac:dyDescent="0.3">
      <c r="A135" s="21" t="s">
        <v>292</v>
      </c>
      <c r="B135" s="191">
        <f>-87300</f>
        <v>-87300</v>
      </c>
      <c r="C135" s="22"/>
      <c r="D135" s="235"/>
      <c r="E135" s="235"/>
      <c r="F135" s="235"/>
      <c r="G135" s="235"/>
      <c r="H135" s="235"/>
      <c r="I135" s="235"/>
    </row>
    <row r="136" spans="1:11" x14ac:dyDescent="0.3">
      <c r="A136" s="21" t="s">
        <v>39</v>
      </c>
      <c r="B136" s="83">
        <f>-C115</f>
        <v>-25000</v>
      </c>
      <c r="C136" s="22"/>
      <c r="D136" s="235"/>
      <c r="E136" s="235"/>
      <c r="F136" s="235"/>
      <c r="G136" s="235"/>
      <c r="H136" s="235"/>
      <c r="I136" s="235"/>
    </row>
    <row r="137" spans="1:11" x14ac:dyDescent="0.3">
      <c r="A137" s="21"/>
      <c r="B137" s="169"/>
      <c r="C137" s="22"/>
      <c r="D137" s="235"/>
      <c r="E137" s="235"/>
      <c r="F137" s="235"/>
      <c r="G137" s="235"/>
      <c r="H137" s="235"/>
      <c r="I137" s="235"/>
    </row>
    <row r="138" spans="1:11" x14ac:dyDescent="0.3">
      <c r="A138" s="19" t="s">
        <v>24</v>
      </c>
      <c r="B138" s="23">
        <f>SUM(B128:B137)</f>
        <v>1767072.6013971008</v>
      </c>
      <c r="C138" s="70"/>
      <c r="D138" s="235"/>
      <c r="E138" s="235"/>
      <c r="F138" s="235"/>
      <c r="G138" s="235"/>
      <c r="H138" s="235"/>
      <c r="I138" s="235"/>
    </row>
    <row r="139" spans="1:11" x14ac:dyDescent="0.3">
      <c r="A139" s="22"/>
      <c r="C139" s="18"/>
      <c r="D139" s="235"/>
      <c r="E139" s="235"/>
      <c r="F139" s="235"/>
      <c r="G139" s="235"/>
      <c r="H139" s="235"/>
      <c r="I139" s="235"/>
    </row>
    <row r="140" spans="1:11" x14ac:dyDescent="0.3">
      <c r="A140" s="16" t="s">
        <v>293</v>
      </c>
      <c r="B140" s="8"/>
      <c r="C140" s="18"/>
      <c r="D140" s="235"/>
      <c r="E140" s="235"/>
      <c r="F140" s="235"/>
      <c r="G140" s="235"/>
      <c r="H140" s="235"/>
      <c r="I140" s="235"/>
    </row>
    <row r="141" spans="1:11" ht="17.25" customHeight="1" x14ac:dyDescent="0.3">
      <c r="A141" s="19" t="s">
        <v>362</v>
      </c>
      <c r="B141" s="30">
        <v>143267</v>
      </c>
      <c r="C141" s="18"/>
      <c r="D141" s="25"/>
    </row>
    <row r="142" spans="1:11" x14ac:dyDescent="0.3">
      <c r="A142" s="36" t="s">
        <v>17</v>
      </c>
      <c r="B142" s="37">
        <f>SUM(B140:B141)</f>
        <v>143267</v>
      </c>
      <c r="C142" s="18"/>
      <c r="D142" s="25"/>
    </row>
    <row r="143" spans="1:11" x14ac:dyDescent="0.3">
      <c r="A143" s="22"/>
      <c r="C143" s="18"/>
      <c r="D143" s="25"/>
    </row>
    <row r="144" spans="1:11" x14ac:dyDescent="0.3">
      <c r="A144" s="22"/>
      <c r="C144" s="18"/>
      <c r="D144" s="25"/>
    </row>
    <row r="145" spans="1:18" x14ac:dyDescent="0.3">
      <c r="C145" s="18"/>
      <c r="D145" s="43"/>
      <c r="E145" s="84"/>
      <c r="F145" s="84"/>
      <c r="G145" s="84"/>
      <c r="H145" s="84"/>
      <c r="I145" s="84"/>
    </row>
    <row r="146" spans="1:18" x14ac:dyDescent="0.3">
      <c r="A146" s="16" t="s">
        <v>25</v>
      </c>
      <c r="B146" s="8">
        <v>80000</v>
      </c>
      <c r="C146" s="24"/>
      <c r="D146" s="84"/>
      <c r="E146" s="84"/>
      <c r="F146" s="84"/>
      <c r="G146" s="84"/>
      <c r="H146" s="84"/>
      <c r="I146" s="84"/>
      <c r="J146" s="84"/>
    </row>
    <row r="147" spans="1:18" ht="15" customHeight="1" x14ac:dyDescent="0.3">
      <c r="A147" s="19" t="s">
        <v>255</v>
      </c>
      <c r="B147" s="31">
        <v>120000</v>
      </c>
      <c r="C147" s="24"/>
      <c r="D147" s="84"/>
      <c r="E147" s="88"/>
      <c r="F147" s="88"/>
      <c r="G147" s="88"/>
      <c r="H147" s="88"/>
      <c r="I147" s="88"/>
    </row>
    <row r="148" spans="1:18" x14ac:dyDescent="0.3">
      <c r="A148" s="19" t="s">
        <v>360</v>
      </c>
      <c r="B148" s="83">
        <v>-20000</v>
      </c>
      <c r="C148" s="24"/>
      <c r="D148" s="43"/>
      <c r="E148" s="43"/>
      <c r="F148" s="43"/>
      <c r="G148" s="43"/>
      <c r="H148" s="43"/>
      <c r="I148" s="43"/>
    </row>
    <row r="149" spans="1:18" x14ac:dyDescent="0.3">
      <c r="A149" s="36" t="s">
        <v>17</v>
      </c>
      <c r="B149" s="37">
        <f>SUM(B146:B148)</f>
        <v>180000</v>
      </c>
      <c r="C149" s="24"/>
    </row>
    <row r="150" spans="1:18" x14ac:dyDescent="0.3">
      <c r="C150" s="25"/>
      <c r="D150" s="84"/>
    </row>
    <row r="151" spans="1:18" x14ac:dyDescent="0.3">
      <c r="B151" s="22"/>
      <c r="C151" s="18"/>
    </row>
    <row r="153" spans="1:18" x14ac:dyDescent="0.3">
      <c r="R153" s="9"/>
    </row>
    <row r="156" spans="1:18" x14ac:dyDescent="0.3">
      <c r="B156" s="226"/>
      <c r="C156" s="226"/>
      <c r="D156" s="226"/>
      <c r="E156" s="226"/>
      <c r="F156" s="90"/>
      <c r="G156" s="90"/>
      <c r="H156" s="90"/>
      <c r="I156" s="90"/>
    </row>
    <row r="157" spans="1:18" x14ac:dyDescent="0.3">
      <c r="B157" s="226"/>
      <c r="C157" s="226"/>
      <c r="D157" s="226"/>
      <c r="E157" s="226"/>
      <c r="F157" s="90"/>
      <c r="G157" s="90"/>
      <c r="H157" s="90"/>
      <c r="I157" s="90"/>
    </row>
    <row r="158" spans="1:18" x14ac:dyDescent="0.3">
      <c r="B158" s="226"/>
      <c r="C158" s="226"/>
      <c r="D158" s="226"/>
      <c r="E158" s="226"/>
      <c r="F158" s="90"/>
      <c r="G158" s="90"/>
      <c r="H158" s="90"/>
      <c r="I158" s="90"/>
    </row>
    <row r="159" spans="1:18" x14ac:dyDescent="0.3">
      <c r="B159" s="226"/>
      <c r="C159" s="226"/>
      <c r="D159" s="226"/>
      <c r="E159" s="226"/>
      <c r="F159" s="90"/>
      <c r="G159" s="90"/>
      <c r="H159" s="90"/>
      <c r="I159" s="90"/>
    </row>
    <row r="160" spans="1:18" x14ac:dyDescent="0.3">
      <c r="B160" s="226"/>
      <c r="C160" s="226"/>
      <c r="D160" s="226"/>
      <c r="E160" s="226"/>
      <c r="F160" s="90"/>
      <c r="G160" s="90"/>
      <c r="H160" s="90"/>
      <c r="I160" s="90"/>
    </row>
  </sheetData>
  <mergeCells count="16">
    <mergeCell ref="A14:J18"/>
    <mergeCell ref="B156:E160"/>
    <mergeCell ref="A121:C121"/>
    <mergeCell ref="A118:D118"/>
    <mergeCell ref="A120:B120"/>
    <mergeCell ref="A119:B119"/>
    <mergeCell ref="A20:J22"/>
    <mergeCell ref="D125:I140"/>
    <mergeCell ref="A67:B67"/>
    <mergeCell ref="A68:B68"/>
    <mergeCell ref="A75:B75"/>
    <mergeCell ref="A95:B95"/>
    <mergeCell ref="A93:B93"/>
    <mergeCell ref="A88:B88"/>
    <mergeCell ref="A94:B94"/>
    <mergeCell ref="A76:B76"/>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I154"/>
  <sheetViews>
    <sheetView tabSelected="1" topLeftCell="C1" zoomScaleNormal="100" workbookViewId="0">
      <selection activeCell="D59" sqref="D59"/>
    </sheetView>
  </sheetViews>
  <sheetFormatPr baseColWidth="10" defaultRowHeight="14.4" x14ac:dyDescent="0.3"/>
  <cols>
    <col min="1" max="1" width="4.5546875" hidden="1" customWidth="1"/>
    <col min="2" max="2" width="5.88671875" hidden="1" customWidth="1"/>
    <col min="3" max="3" width="8.109375" customWidth="1"/>
    <col min="4" max="4" width="42.6640625" customWidth="1"/>
    <col min="5" max="5" width="25.5546875" customWidth="1"/>
    <col min="6" max="6" width="9.44140625" customWidth="1"/>
    <col min="7" max="7" width="13.33203125" customWidth="1"/>
    <col min="8" max="8" width="13" bestFit="1" customWidth="1"/>
    <col min="9" max="9" width="15.88671875" customWidth="1"/>
    <col min="10" max="10" width="13.6640625" customWidth="1"/>
    <col min="11" max="11" width="13.33203125" customWidth="1"/>
    <col min="12" max="12" width="10.44140625" customWidth="1"/>
    <col min="13" max="13" width="15.44140625" customWidth="1"/>
    <col min="14" max="14" width="13.6640625" customWidth="1"/>
    <col min="15" max="15" width="11.44140625" customWidth="1"/>
    <col min="16" max="16" width="14.5546875" bestFit="1" customWidth="1"/>
    <col min="17" max="17" width="13" bestFit="1" customWidth="1"/>
    <col min="18" max="18" width="14.5546875" bestFit="1" customWidth="1"/>
  </cols>
  <sheetData>
    <row r="1" spans="1:18" x14ac:dyDescent="0.3">
      <c r="A1" s="272" t="s">
        <v>365</v>
      </c>
      <c r="B1" s="273"/>
      <c r="C1" s="273"/>
      <c r="D1" s="273"/>
      <c r="E1" s="273"/>
      <c r="F1" s="158" t="s">
        <v>296</v>
      </c>
      <c r="G1" s="158"/>
      <c r="H1" s="158"/>
      <c r="I1" s="158"/>
      <c r="J1" s="158"/>
      <c r="K1" s="192" t="s">
        <v>41</v>
      </c>
      <c r="L1" s="248">
        <f>RESUMEN!D110-RESUMEN!D108</f>
        <v>12343887.129999999</v>
      </c>
      <c r="M1" s="249"/>
      <c r="N1" s="159"/>
      <c r="O1" s="59"/>
    </row>
    <row r="2" spans="1:18" ht="36" customHeight="1" x14ac:dyDescent="0.3">
      <c r="A2" s="274"/>
      <c r="B2" s="275"/>
      <c r="C2" s="275"/>
      <c r="D2" s="275"/>
      <c r="E2" s="275"/>
      <c r="F2" s="7" t="s">
        <v>295</v>
      </c>
      <c r="G2" s="7"/>
      <c r="H2" s="7"/>
      <c r="I2" s="7"/>
      <c r="J2" s="7"/>
      <c r="K2" s="193" t="s">
        <v>42</v>
      </c>
      <c r="L2" s="193"/>
      <c r="M2" s="194">
        <v>15667206.09</v>
      </c>
      <c r="N2" s="160"/>
      <c r="O2" s="59"/>
    </row>
    <row r="3" spans="1:18" ht="36" customHeight="1" x14ac:dyDescent="0.3">
      <c r="A3" s="274"/>
      <c r="B3" s="275"/>
      <c r="C3" s="275"/>
      <c r="D3" s="275"/>
      <c r="E3" s="275"/>
      <c r="F3" s="7" t="s">
        <v>297</v>
      </c>
      <c r="G3" s="7"/>
      <c r="H3" s="7"/>
      <c r="I3" s="7"/>
      <c r="J3" s="161"/>
      <c r="K3" s="7"/>
      <c r="L3" s="7"/>
      <c r="M3" s="162"/>
      <c r="N3" s="163"/>
      <c r="O3" s="15"/>
    </row>
    <row r="4" spans="1:18" ht="2.25" customHeight="1" thickBot="1" x14ac:dyDescent="0.35">
      <c r="A4" s="276"/>
      <c r="B4" s="277"/>
      <c r="C4" s="277"/>
      <c r="D4" s="277"/>
      <c r="E4" s="277"/>
      <c r="F4" s="164"/>
      <c r="G4" s="164"/>
      <c r="H4" s="164"/>
      <c r="I4" s="164"/>
      <c r="J4" s="165"/>
      <c r="K4" s="164"/>
      <c r="L4" s="164"/>
      <c r="M4" s="166"/>
      <c r="N4" s="167"/>
      <c r="O4" s="15"/>
    </row>
    <row r="5" spans="1:18" x14ac:dyDescent="0.3">
      <c r="A5" s="7"/>
      <c r="B5" s="7"/>
      <c r="C5" s="257" t="s">
        <v>314</v>
      </c>
      <c r="D5" s="258"/>
      <c r="E5" s="258"/>
      <c r="F5" s="258"/>
      <c r="G5" s="258"/>
      <c r="H5" s="258"/>
      <c r="I5" s="258"/>
      <c r="J5" s="258"/>
      <c r="K5" s="258"/>
      <c r="L5" s="258"/>
      <c r="M5" s="258"/>
      <c r="N5" s="259"/>
      <c r="O5" s="15"/>
    </row>
    <row r="6" spans="1:18" x14ac:dyDescent="0.3">
      <c r="A6" s="7"/>
      <c r="B6" s="7"/>
      <c r="C6" s="260"/>
      <c r="D6" s="261"/>
      <c r="E6" s="261"/>
      <c r="F6" s="261"/>
      <c r="G6" s="261"/>
      <c r="H6" s="261"/>
      <c r="I6" s="261"/>
      <c r="J6" s="261"/>
      <c r="K6" s="261"/>
      <c r="L6" s="261"/>
      <c r="M6" s="261"/>
      <c r="N6" s="262"/>
      <c r="O6" s="15"/>
    </row>
    <row r="7" spans="1:18" x14ac:dyDescent="0.3">
      <c r="A7" s="7"/>
      <c r="B7" s="7"/>
      <c r="C7" s="260"/>
      <c r="D7" s="261"/>
      <c r="E7" s="261"/>
      <c r="F7" s="261"/>
      <c r="G7" s="261"/>
      <c r="H7" s="261"/>
      <c r="I7" s="261"/>
      <c r="J7" s="261"/>
      <c r="K7" s="261"/>
      <c r="L7" s="261"/>
      <c r="M7" s="261"/>
      <c r="N7" s="262"/>
      <c r="O7" s="15"/>
    </row>
    <row r="8" spans="1:18" ht="27.75" customHeight="1" thickBot="1" x14ac:dyDescent="0.35">
      <c r="A8" s="7"/>
      <c r="B8" s="7"/>
      <c r="C8" s="263"/>
      <c r="D8" s="264"/>
      <c r="E8" s="264"/>
      <c r="F8" s="264"/>
      <c r="G8" s="264"/>
      <c r="H8" s="264"/>
      <c r="I8" s="264"/>
      <c r="J8" s="264"/>
      <c r="K8" s="264"/>
      <c r="L8" s="264"/>
      <c r="M8" s="264"/>
      <c r="N8" s="265"/>
      <c r="P8" s="84"/>
    </row>
    <row r="9" spans="1:18" ht="27.75" customHeight="1" x14ac:dyDescent="0.3">
      <c r="A9" s="7"/>
      <c r="B9" s="7"/>
      <c r="C9" s="266" t="s">
        <v>312</v>
      </c>
      <c r="D9" s="267"/>
      <c r="E9" s="267"/>
      <c r="F9" s="267"/>
      <c r="G9" s="267"/>
      <c r="H9" s="267"/>
      <c r="I9" s="267"/>
      <c r="J9" s="267"/>
      <c r="K9" s="267"/>
      <c r="L9" s="267"/>
      <c r="M9" s="267"/>
      <c r="N9" s="268"/>
      <c r="P9" t="s">
        <v>250</v>
      </c>
      <c r="Q9" s="43">
        <f>RESUMEN!F110</f>
        <v>141730.21116000001</v>
      </c>
    </row>
    <row r="10" spans="1:18" ht="27.75" customHeight="1" thickBot="1" x14ac:dyDescent="0.35">
      <c r="A10" s="7"/>
      <c r="B10" s="7"/>
      <c r="C10" s="269"/>
      <c r="D10" s="270"/>
      <c r="E10" s="270"/>
      <c r="F10" s="270"/>
      <c r="G10" s="270"/>
      <c r="H10" s="270"/>
      <c r="I10" s="270"/>
      <c r="J10" s="270"/>
      <c r="K10" s="270"/>
      <c r="L10" s="270"/>
      <c r="M10" s="270"/>
      <c r="N10" s="271"/>
      <c r="P10" t="s">
        <v>251</v>
      </c>
      <c r="Q10" s="43">
        <f>RESUMEN!G110</f>
        <v>167976.54656000002</v>
      </c>
    </row>
    <row r="11" spans="1:18" ht="15" customHeight="1" x14ac:dyDescent="0.3">
      <c r="A11" s="244" t="s">
        <v>9</v>
      </c>
      <c r="B11" s="278" t="s">
        <v>10</v>
      </c>
      <c r="C11" s="244" t="s">
        <v>11</v>
      </c>
      <c r="D11" s="280" t="s">
        <v>12</v>
      </c>
      <c r="E11" s="280" t="s">
        <v>269</v>
      </c>
      <c r="F11" s="244" t="s">
        <v>27</v>
      </c>
      <c r="G11" s="244" t="s">
        <v>13</v>
      </c>
      <c r="H11" s="244" t="s">
        <v>14</v>
      </c>
      <c r="I11" s="250" t="s">
        <v>15</v>
      </c>
      <c r="J11" s="252" t="s">
        <v>16</v>
      </c>
      <c r="K11" s="252" t="s">
        <v>18</v>
      </c>
      <c r="L11" s="255" t="s">
        <v>40</v>
      </c>
      <c r="M11" s="252" t="s">
        <v>280</v>
      </c>
      <c r="N11" s="252" t="s">
        <v>279</v>
      </c>
      <c r="P11" t="s">
        <v>252</v>
      </c>
      <c r="Q11" s="43">
        <f>RESUMEN!H110</f>
        <v>158790.32916999998</v>
      </c>
    </row>
    <row r="12" spans="1:18" ht="28.5" customHeight="1" x14ac:dyDescent="0.3">
      <c r="A12" s="245"/>
      <c r="B12" s="279"/>
      <c r="C12" s="245"/>
      <c r="D12" s="281"/>
      <c r="E12" s="281"/>
      <c r="F12" s="245"/>
      <c r="G12" s="245"/>
      <c r="H12" s="245"/>
      <c r="I12" s="251"/>
      <c r="J12" s="253"/>
      <c r="K12" s="253"/>
      <c r="L12" s="256"/>
      <c r="M12" s="253"/>
      <c r="N12" s="253"/>
      <c r="P12" t="s">
        <v>253</v>
      </c>
      <c r="Q12" s="43">
        <f>RESUMEN!I110</f>
        <v>195535.19872999997</v>
      </c>
    </row>
    <row r="13" spans="1:18" ht="19.5" customHeight="1" x14ac:dyDescent="0.3">
      <c r="A13" s="245"/>
      <c r="B13" s="279"/>
      <c r="C13" s="245"/>
      <c r="D13" s="281"/>
      <c r="E13" s="281"/>
      <c r="F13" s="245"/>
      <c r="G13" s="245"/>
      <c r="H13" s="245"/>
      <c r="I13" s="251"/>
      <c r="J13" s="253"/>
      <c r="K13" s="254"/>
      <c r="L13" s="256"/>
      <c r="M13" s="132" t="str">
        <f>RESUMEN!A20</f>
        <v>VTO 16/02</v>
      </c>
      <c r="N13" s="131" t="str">
        <f>RESUMEN!A20</f>
        <v>VTO 16/02</v>
      </c>
      <c r="P13" t="s">
        <v>254</v>
      </c>
      <c r="Q13" s="43">
        <f>RESUMEN!J110</f>
        <v>228343.11798000001</v>
      </c>
    </row>
    <row r="14" spans="1:18" x14ac:dyDescent="0.3">
      <c r="A14" s="6" t="s">
        <v>118</v>
      </c>
      <c r="B14" s="6"/>
      <c r="C14" s="35" t="s">
        <v>113</v>
      </c>
      <c r="D14" s="108" t="s">
        <v>175</v>
      </c>
      <c r="E14" s="108" t="s">
        <v>303</v>
      </c>
      <c r="F14" s="143">
        <v>1.0800000000000001E-2</v>
      </c>
      <c r="G14" s="137">
        <v>274719.32308800006</v>
      </c>
      <c r="H14" s="208"/>
      <c r="I14" s="144">
        <f>G14-H14</f>
        <v>274719.32308800006</v>
      </c>
      <c r="J14" s="145">
        <v>0</v>
      </c>
      <c r="K14" s="145">
        <v>141730.21116000001</v>
      </c>
      <c r="L14" s="168">
        <v>0</v>
      </c>
      <c r="M14" s="146">
        <f>K14+J14+I14+L14</f>
        <v>416449.53424800007</v>
      </c>
      <c r="N14" s="147">
        <f>M14*6% + M14</f>
        <v>441436.50630288007</v>
      </c>
      <c r="O14" s="115"/>
      <c r="Q14" s="243"/>
      <c r="R14" s="243"/>
    </row>
    <row r="15" spans="1:18" x14ac:dyDescent="0.3">
      <c r="A15" s="6"/>
      <c r="B15" s="6"/>
      <c r="C15" s="35" t="s">
        <v>117</v>
      </c>
      <c r="D15" s="108" t="s">
        <v>359</v>
      </c>
      <c r="E15" s="190"/>
      <c r="F15" s="143">
        <v>1.2999999999999999E-2</v>
      </c>
      <c r="G15" s="137">
        <v>183831.27180800005</v>
      </c>
      <c r="H15" s="208">
        <v>61277</v>
      </c>
      <c r="I15" s="144">
        <f t="shared" ref="I15:I131" si="0">G15-H15</f>
        <v>122554.27180800005</v>
      </c>
      <c r="J15" s="145">
        <v>0</v>
      </c>
      <c r="K15" s="145">
        <v>167976.54656000002</v>
      </c>
      <c r="L15" s="168">
        <v>0</v>
      </c>
      <c r="M15" s="146">
        <f t="shared" ref="M15:M18" si="1">K15+J15+I15+L15</f>
        <v>290530.81836800009</v>
      </c>
      <c r="N15" s="147">
        <f t="shared" ref="N15:N18" si="2">M15*6% + M15</f>
        <v>307962.66747008008</v>
      </c>
      <c r="O15" s="115"/>
      <c r="Q15" s="243"/>
      <c r="R15" s="243"/>
    </row>
    <row r="16" spans="1:18" x14ac:dyDescent="0.3">
      <c r="A16" s="6" t="s">
        <v>118</v>
      </c>
      <c r="B16" s="6"/>
      <c r="C16" s="35" t="s">
        <v>114</v>
      </c>
      <c r="D16" s="108" t="s">
        <v>267</v>
      </c>
      <c r="E16" s="108" t="s">
        <v>358</v>
      </c>
      <c r="F16" s="143">
        <v>1.21E-2</v>
      </c>
      <c r="G16" s="208">
        <v>160512.294448</v>
      </c>
      <c r="H16" s="208">
        <f t="shared" ref="H16:H21" si="3">G16</f>
        <v>160512.294448</v>
      </c>
      <c r="I16" s="144">
        <f t="shared" si="0"/>
        <v>0</v>
      </c>
      <c r="J16" s="145">
        <v>0</v>
      </c>
      <c r="K16" s="145">
        <v>158790.32916999998</v>
      </c>
      <c r="L16" s="168">
        <v>0</v>
      </c>
      <c r="M16" s="146">
        <f t="shared" si="1"/>
        <v>158790.32916999998</v>
      </c>
      <c r="N16" s="147">
        <f t="shared" si="2"/>
        <v>168317.74892019999</v>
      </c>
      <c r="O16" s="115"/>
      <c r="R16" s="43"/>
    </row>
    <row r="17" spans="1:18" x14ac:dyDescent="0.3">
      <c r="A17" s="6" t="s">
        <v>118</v>
      </c>
      <c r="B17" s="6"/>
      <c r="C17" s="35" t="s">
        <v>115</v>
      </c>
      <c r="D17" s="108" t="s">
        <v>176</v>
      </c>
      <c r="E17" s="108"/>
      <c r="F17" s="143">
        <v>1.49E-2</v>
      </c>
      <c r="G17" s="137">
        <v>551052.91796400002</v>
      </c>
      <c r="H17" s="208"/>
      <c r="I17" s="144">
        <f t="shared" si="0"/>
        <v>551052.91796400002</v>
      </c>
      <c r="J17" s="145">
        <v>0</v>
      </c>
      <c r="K17" s="145">
        <v>195535.19872999997</v>
      </c>
      <c r="L17" s="168">
        <v>0</v>
      </c>
      <c r="M17" s="146">
        <f t="shared" si="1"/>
        <v>746588.11669399997</v>
      </c>
      <c r="N17" s="147">
        <f t="shared" si="2"/>
        <v>791383.40369563992</v>
      </c>
      <c r="O17" s="115"/>
      <c r="R17" s="43"/>
    </row>
    <row r="18" spans="1:18" ht="15" thickBot="1" x14ac:dyDescent="0.35">
      <c r="A18" s="6" t="s">
        <v>118</v>
      </c>
      <c r="B18" s="6"/>
      <c r="C18" s="148" t="s">
        <v>116</v>
      </c>
      <c r="D18" s="149" t="s">
        <v>268</v>
      </c>
      <c r="E18" s="149"/>
      <c r="F18" s="150">
        <v>1.7399999999999999E-2</v>
      </c>
      <c r="G18" s="151">
        <v>469159.55509584001</v>
      </c>
      <c r="H18" s="209">
        <f>G18</f>
        <v>469159.55509584001</v>
      </c>
      <c r="I18" s="152">
        <f t="shared" si="0"/>
        <v>0</v>
      </c>
      <c r="J18" s="153">
        <v>0</v>
      </c>
      <c r="K18" s="153">
        <v>228343.11798000001</v>
      </c>
      <c r="L18" s="222">
        <v>0</v>
      </c>
      <c r="M18" s="154">
        <f t="shared" si="1"/>
        <v>228343.11798000001</v>
      </c>
      <c r="N18" s="155">
        <f t="shared" si="2"/>
        <v>242043.7050588</v>
      </c>
      <c r="O18" s="115"/>
      <c r="R18" s="43"/>
    </row>
    <row r="19" spans="1:18" x14ac:dyDescent="0.3">
      <c r="A19" s="57" t="s">
        <v>120</v>
      </c>
      <c r="B19" s="6"/>
      <c r="C19" s="185" t="s">
        <v>44</v>
      </c>
      <c r="D19" s="135" t="s">
        <v>177</v>
      </c>
      <c r="E19" s="135"/>
      <c r="F19" s="136">
        <v>1.8800000000000001E-2</v>
      </c>
      <c r="G19" s="186">
        <v>261193.01</v>
      </c>
      <c r="H19" s="210">
        <f>G19</f>
        <v>261193.01</v>
      </c>
      <c r="I19" s="187">
        <f>G19-H19</f>
        <v>0</v>
      </c>
      <c r="J19" s="188">
        <f t="shared" ref="J19:J50" si="4">M$8*F19</f>
        <v>0</v>
      </c>
      <c r="K19" s="188">
        <f>M$2*F19</f>
        <v>294543.47449200001</v>
      </c>
      <c r="L19" s="221">
        <v>0</v>
      </c>
      <c r="M19" s="189">
        <f>ROUND((K19+J19+I19+L19),0) + O19</f>
        <v>294543.01</v>
      </c>
      <c r="N19" s="189">
        <f>ROUND((M19*6% + M19 ),0) + O19</f>
        <v>312216.01</v>
      </c>
      <c r="O19" s="133">
        <v>0.01</v>
      </c>
      <c r="P19" t="s">
        <v>320</v>
      </c>
      <c r="R19" s="43"/>
    </row>
    <row r="20" spans="1:18" x14ac:dyDescent="0.3">
      <c r="A20" s="57" t="s">
        <v>121</v>
      </c>
      <c r="B20" s="6"/>
      <c r="C20" s="35" t="s">
        <v>45</v>
      </c>
      <c r="D20" s="108" t="s">
        <v>178</v>
      </c>
      <c r="E20" s="135"/>
      <c r="F20" s="136">
        <v>8.3999999999999995E-3</v>
      </c>
      <c r="G20" s="137">
        <v>131605.01999999999</v>
      </c>
      <c r="H20" s="208">
        <f t="shared" ref="H20" si="5">G20</f>
        <v>131605.01999999999</v>
      </c>
      <c r="I20" s="144">
        <f t="shared" si="0"/>
        <v>0</v>
      </c>
      <c r="J20" s="145">
        <f t="shared" si="4"/>
        <v>0</v>
      </c>
      <c r="K20" s="145">
        <f t="shared" ref="K20:K50" si="6">M$2*F20</f>
        <v>131604.53115599998</v>
      </c>
      <c r="L20" s="168">
        <v>0</v>
      </c>
      <c r="M20" s="147">
        <f>ROUND((K20+J20+I20+L20),0) + O20</f>
        <v>131605.01999999999</v>
      </c>
      <c r="N20" s="147">
        <f t="shared" ref="N20:N83" si="7">ROUND((M20*6% + M20 ),0) + O20</f>
        <v>139501.01999999999</v>
      </c>
      <c r="O20" s="133">
        <f>O19+0.01</f>
        <v>0.02</v>
      </c>
      <c r="R20" s="43"/>
    </row>
    <row r="21" spans="1:18" x14ac:dyDescent="0.3">
      <c r="A21" s="57" t="s">
        <v>120</v>
      </c>
      <c r="B21" s="6"/>
      <c r="C21" s="35" t="s">
        <v>46</v>
      </c>
      <c r="D21" s="108" t="s">
        <v>179</v>
      </c>
      <c r="E21" s="135"/>
      <c r="F21" s="136">
        <v>2.01E-2</v>
      </c>
      <c r="G21" s="137">
        <v>333806.03000000003</v>
      </c>
      <c r="H21" s="208">
        <f t="shared" si="3"/>
        <v>333806.03000000003</v>
      </c>
      <c r="I21" s="144">
        <f t="shared" si="0"/>
        <v>0</v>
      </c>
      <c r="J21" s="145">
        <f t="shared" si="4"/>
        <v>0</v>
      </c>
      <c r="K21" s="145">
        <f t="shared" si="6"/>
        <v>314910.84240899998</v>
      </c>
      <c r="L21" s="168">
        <v>20000</v>
      </c>
      <c r="M21" s="147">
        <f t="shared" ref="M21:M83" si="8">ROUND((K21+J21+I21+L21),0) + O21</f>
        <v>334911.03000000003</v>
      </c>
      <c r="N21" s="147">
        <f t="shared" si="7"/>
        <v>355006.03</v>
      </c>
      <c r="O21" s="133">
        <f t="shared" ref="O21:O84" si="9">O20+0.01</f>
        <v>0.03</v>
      </c>
    </row>
    <row r="22" spans="1:18" x14ac:dyDescent="0.3">
      <c r="A22" s="57" t="s">
        <v>122</v>
      </c>
      <c r="B22" s="6"/>
      <c r="C22" s="198" t="s">
        <v>47</v>
      </c>
      <c r="D22" s="199" t="s">
        <v>180</v>
      </c>
      <c r="E22" s="200" t="s">
        <v>288</v>
      </c>
      <c r="F22" s="201">
        <v>9.4000000000000004E-3</v>
      </c>
      <c r="G22" s="202">
        <v>146444.04</v>
      </c>
      <c r="H22" s="211">
        <v>147222</v>
      </c>
      <c r="I22" s="203">
        <f t="shared" si="0"/>
        <v>-777.95999999999185</v>
      </c>
      <c r="J22" s="204">
        <f t="shared" si="4"/>
        <v>0</v>
      </c>
      <c r="K22" s="204">
        <f t="shared" si="6"/>
        <v>147271.737246</v>
      </c>
      <c r="L22" s="205">
        <v>0</v>
      </c>
      <c r="M22" s="206">
        <f t="shared" si="8"/>
        <v>146494.04</v>
      </c>
      <c r="N22" s="206">
        <f t="shared" si="7"/>
        <v>155284.04</v>
      </c>
      <c r="O22" s="133">
        <f t="shared" si="9"/>
        <v>0.04</v>
      </c>
      <c r="P22" t="s">
        <v>311</v>
      </c>
    </row>
    <row r="23" spans="1:18" x14ac:dyDescent="0.3">
      <c r="A23" s="57" t="s">
        <v>122</v>
      </c>
      <c r="B23" s="6"/>
      <c r="C23" s="35" t="s">
        <v>48</v>
      </c>
      <c r="D23" s="108" t="s">
        <v>181</v>
      </c>
      <c r="E23" s="135" t="s">
        <v>308</v>
      </c>
      <c r="F23" s="136">
        <v>8.6999999999999994E-3</v>
      </c>
      <c r="G23" s="137">
        <v>156305.04999999999</v>
      </c>
      <c r="H23" s="208">
        <f>19700+136605.05</f>
        <v>156305.04999999999</v>
      </c>
      <c r="I23" s="144">
        <f t="shared" si="0"/>
        <v>0</v>
      </c>
      <c r="J23" s="145">
        <f t="shared" si="4"/>
        <v>0</v>
      </c>
      <c r="K23" s="145">
        <f t="shared" si="6"/>
        <v>136304.69298299999</v>
      </c>
      <c r="L23" s="168"/>
      <c r="M23" s="147">
        <f t="shared" si="8"/>
        <v>136305.04999999999</v>
      </c>
      <c r="N23" s="147">
        <f t="shared" si="7"/>
        <v>144483.04999999999</v>
      </c>
      <c r="O23" s="133">
        <f t="shared" si="9"/>
        <v>0.05</v>
      </c>
    </row>
    <row r="24" spans="1:18" x14ac:dyDescent="0.3">
      <c r="A24" s="57" t="s">
        <v>122</v>
      </c>
      <c r="B24" s="6"/>
      <c r="C24" s="35" t="s">
        <v>49</v>
      </c>
      <c r="D24" s="108" t="s">
        <v>182</v>
      </c>
      <c r="E24" s="135" t="s">
        <v>302</v>
      </c>
      <c r="F24" s="136">
        <v>9.4999999999999998E-3</v>
      </c>
      <c r="G24" s="137">
        <v>148838.06</v>
      </c>
      <c r="H24" s="208">
        <f t="shared" ref="H24" si="10">G24</f>
        <v>148838.06</v>
      </c>
      <c r="I24" s="144">
        <f t="shared" si="0"/>
        <v>0</v>
      </c>
      <c r="J24" s="145">
        <f t="shared" si="4"/>
        <v>0</v>
      </c>
      <c r="K24" s="145">
        <f t="shared" si="6"/>
        <v>148838.45785499999</v>
      </c>
      <c r="L24" s="168">
        <v>0</v>
      </c>
      <c r="M24" s="147">
        <f t="shared" si="8"/>
        <v>148838.06</v>
      </c>
      <c r="N24" s="147">
        <f t="shared" si="7"/>
        <v>157768.06</v>
      </c>
      <c r="O24" s="133">
        <f t="shared" si="9"/>
        <v>6.0000000000000005E-2</v>
      </c>
    </row>
    <row r="25" spans="1:18" x14ac:dyDescent="0.3">
      <c r="A25" s="57" t="s">
        <v>120</v>
      </c>
      <c r="B25" s="6"/>
      <c r="C25" s="35" t="s">
        <v>50</v>
      </c>
      <c r="D25" s="108" t="s">
        <v>182</v>
      </c>
      <c r="E25" s="135" t="s">
        <v>313</v>
      </c>
      <c r="F25" s="136">
        <v>1.6500000000000001E-2</v>
      </c>
      <c r="G25" s="137">
        <v>300495.07</v>
      </c>
      <c r="H25" s="208">
        <f>G25</f>
        <v>300495.07</v>
      </c>
      <c r="I25" s="144">
        <f t="shared" si="0"/>
        <v>0</v>
      </c>
      <c r="J25" s="145">
        <f t="shared" si="4"/>
        <v>0</v>
      </c>
      <c r="K25" s="145">
        <f t="shared" si="6"/>
        <v>258508.90048500002</v>
      </c>
      <c r="L25" s="168">
        <v>0</v>
      </c>
      <c r="M25" s="147">
        <f t="shared" si="8"/>
        <v>258509.07</v>
      </c>
      <c r="N25" s="147">
        <f t="shared" si="7"/>
        <v>274020.07</v>
      </c>
      <c r="O25" s="133">
        <f t="shared" si="9"/>
        <v>7.0000000000000007E-2</v>
      </c>
    </row>
    <row r="26" spans="1:18" x14ac:dyDescent="0.3">
      <c r="A26" s="57" t="s">
        <v>121</v>
      </c>
      <c r="B26" s="6"/>
      <c r="C26" s="35" t="s">
        <v>51</v>
      </c>
      <c r="D26" s="108" t="s">
        <v>270</v>
      </c>
      <c r="E26" s="135"/>
      <c r="F26" s="136">
        <v>7.3000000000000001E-3</v>
      </c>
      <c r="G26" s="137">
        <v>114371.08</v>
      </c>
      <c r="H26" s="208">
        <f>G26</f>
        <v>114371.08</v>
      </c>
      <c r="I26" s="144">
        <f t="shared" si="0"/>
        <v>0</v>
      </c>
      <c r="J26" s="145">
        <f t="shared" si="4"/>
        <v>0</v>
      </c>
      <c r="K26" s="145">
        <f t="shared" si="6"/>
        <v>114370.60445699999</v>
      </c>
      <c r="L26" s="168">
        <v>20000</v>
      </c>
      <c r="M26" s="147">
        <f t="shared" si="8"/>
        <v>134371.07999999999</v>
      </c>
      <c r="N26" s="147">
        <f t="shared" si="7"/>
        <v>142433.07999999999</v>
      </c>
      <c r="O26" s="133">
        <f t="shared" si="9"/>
        <v>0.08</v>
      </c>
    </row>
    <row r="27" spans="1:18" x14ac:dyDescent="0.3">
      <c r="A27" s="108" t="s">
        <v>120</v>
      </c>
      <c r="B27" s="35"/>
      <c r="C27" s="198" t="s">
        <v>52</v>
      </c>
      <c r="D27" s="199" t="s">
        <v>182</v>
      </c>
      <c r="E27" s="200" t="s">
        <v>361</v>
      </c>
      <c r="F27" s="201">
        <v>1.78E-2</v>
      </c>
      <c r="G27" s="202">
        <v>535348.09</v>
      </c>
      <c r="H27" s="211">
        <f>278876+258100</f>
        <v>536976</v>
      </c>
      <c r="I27" s="203">
        <f t="shared" si="0"/>
        <v>-1627.9100000000326</v>
      </c>
      <c r="J27" s="204">
        <f t="shared" si="4"/>
        <v>0</v>
      </c>
      <c r="K27" s="204">
        <f t="shared" si="6"/>
        <v>278876.26840200002</v>
      </c>
      <c r="L27" s="223">
        <f>13000*3</f>
        <v>39000</v>
      </c>
      <c r="M27" s="206">
        <f t="shared" si="8"/>
        <v>316248.09000000003</v>
      </c>
      <c r="N27" s="206">
        <f t="shared" si="7"/>
        <v>335223.09000000003</v>
      </c>
      <c r="O27" s="133">
        <f t="shared" si="9"/>
        <v>0.09</v>
      </c>
    </row>
    <row r="28" spans="1:18" x14ac:dyDescent="0.3">
      <c r="A28" s="108" t="s">
        <v>122</v>
      </c>
      <c r="B28" s="35"/>
      <c r="C28" s="35" t="s">
        <v>53</v>
      </c>
      <c r="D28" s="108" t="s">
        <v>309</v>
      </c>
      <c r="E28" s="135"/>
      <c r="F28" s="136">
        <v>9.4000000000000004E-3</v>
      </c>
      <c r="G28" s="44">
        <v>133172.1</v>
      </c>
      <c r="H28" s="208">
        <f t="shared" ref="H28:H29" si="11">G28</f>
        <v>133172.1</v>
      </c>
      <c r="I28" s="144">
        <f t="shared" si="0"/>
        <v>0</v>
      </c>
      <c r="J28" s="145">
        <f t="shared" si="4"/>
        <v>0</v>
      </c>
      <c r="K28" s="145">
        <f t="shared" si="6"/>
        <v>147271.737246</v>
      </c>
      <c r="L28" s="168">
        <v>0</v>
      </c>
      <c r="M28" s="147">
        <f t="shared" si="8"/>
        <v>147272.1</v>
      </c>
      <c r="N28" s="147">
        <f t="shared" si="7"/>
        <v>156108.1</v>
      </c>
      <c r="O28" s="133">
        <f t="shared" si="9"/>
        <v>9.9999999999999992E-2</v>
      </c>
    </row>
    <row r="29" spans="1:18" x14ac:dyDescent="0.3">
      <c r="A29" s="108" t="s">
        <v>122</v>
      </c>
      <c r="B29" s="35"/>
      <c r="C29" s="35" t="s">
        <v>54</v>
      </c>
      <c r="D29" s="108" t="s">
        <v>287</v>
      </c>
      <c r="E29" s="135"/>
      <c r="F29" s="136">
        <v>8.6999999999999994E-3</v>
      </c>
      <c r="G29" s="137">
        <v>136305.10999999999</v>
      </c>
      <c r="H29" s="208">
        <f t="shared" si="11"/>
        <v>136305.10999999999</v>
      </c>
      <c r="I29" s="144">
        <f t="shared" si="0"/>
        <v>0</v>
      </c>
      <c r="J29" s="145">
        <f t="shared" si="4"/>
        <v>0</v>
      </c>
      <c r="K29" s="145">
        <f t="shared" si="6"/>
        <v>136304.69298299999</v>
      </c>
      <c r="L29" s="168">
        <v>20000</v>
      </c>
      <c r="M29" s="147">
        <f t="shared" si="8"/>
        <v>156305.10999999999</v>
      </c>
      <c r="N29" s="147">
        <f t="shared" si="7"/>
        <v>165683.10999999999</v>
      </c>
      <c r="O29" s="133">
        <f t="shared" si="9"/>
        <v>0.10999999999999999</v>
      </c>
    </row>
    <row r="30" spans="1:18" x14ac:dyDescent="0.3">
      <c r="A30" s="108" t="s">
        <v>122</v>
      </c>
      <c r="B30" s="35"/>
      <c r="C30" s="35" t="s">
        <v>55</v>
      </c>
      <c r="D30" s="108" t="s">
        <v>183</v>
      </c>
      <c r="E30" s="135"/>
      <c r="F30" s="136">
        <v>9.4999999999999998E-3</v>
      </c>
      <c r="G30" s="137">
        <v>666589.12</v>
      </c>
      <c r="H30" s="208"/>
      <c r="I30" s="144">
        <f t="shared" si="0"/>
        <v>666589.12</v>
      </c>
      <c r="J30" s="145">
        <f t="shared" si="4"/>
        <v>0</v>
      </c>
      <c r="K30" s="145">
        <f t="shared" si="6"/>
        <v>148838.45785499999</v>
      </c>
      <c r="L30" s="168">
        <v>0</v>
      </c>
      <c r="M30" s="147">
        <f t="shared" si="8"/>
        <v>815428.12</v>
      </c>
      <c r="N30" s="147">
        <f t="shared" si="7"/>
        <v>864354.12</v>
      </c>
      <c r="O30" s="133">
        <f t="shared" si="9"/>
        <v>0.11999999999999998</v>
      </c>
    </row>
    <row r="31" spans="1:18" x14ac:dyDescent="0.3">
      <c r="A31" s="108" t="s">
        <v>120</v>
      </c>
      <c r="B31" s="35"/>
      <c r="C31" s="35" t="s">
        <v>56</v>
      </c>
      <c r="D31" s="108" t="s">
        <v>184</v>
      </c>
      <c r="E31" s="135"/>
      <c r="F31" s="136">
        <v>1.6400000000000001E-2</v>
      </c>
      <c r="G31" s="137">
        <v>276942.13</v>
      </c>
      <c r="H31" s="208">
        <f>G31</f>
        <v>276942.13</v>
      </c>
      <c r="I31" s="144">
        <f t="shared" si="0"/>
        <v>0</v>
      </c>
      <c r="J31" s="145">
        <f t="shared" si="4"/>
        <v>0</v>
      </c>
      <c r="K31" s="145">
        <f t="shared" si="6"/>
        <v>256942.17987600001</v>
      </c>
      <c r="L31" s="168">
        <v>0</v>
      </c>
      <c r="M31" s="147">
        <f t="shared" si="8"/>
        <v>256942.13</v>
      </c>
      <c r="N31" s="147">
        <f t="shared" si="7"/>
        <v>272359.13</v>
      </c>
      <c r="O31" s="133">
        <f t="shared" si="9"/>
        <v>0.12999999999999998</v>
      </c>
    </row>
    <row r="32" spans="1:18" x14ac:dyDescent="0.3">
      <c r="A32" s="57" t="s">
        <v>121</v>
      </c>
      <c r="B32" s="6"/>
      <c r="C32" s="35" t="s">
        <v>57</v>
      </c>
      <c r="D32" s="108" t="s">
        <v>256</v>
      </c>
      <c r="E32" s="135" t="s">
        <v>271</v>
      </c>
      <c r="F32" s="136">
        <v>7.1999999999999998E-3</v>
      </c>
      <c r="G32" s="137">
        <v>112804.14</v>
      </c>
      <c r="H32" s="208">
        <f>G32</f>
        <v>112804.14</v>
      </c>
      <c r="I32" s="144">
        <f t="shared" si="0"/>
        <v>0</v>
      </c>
      <c r="J32" s="145">
        <f t="shared" si="4"/>
        <v>0</v>
      </c>
      <c r="K32" s="145">
        <f t="shared" si="6"/>
        <v>112803.883848</v>
      </c>
      <c r="L32" s="168">
        <v>0</v>
      </c>
      <c r="M32" s="147">
        <f t="shared" si="8"/>
        <v>112804.14</v>
      </c>
      <c r="N32" s="147">
        <f t="shared" si="7"/>
        <v>119572.14</v>
      </c>
      <c r="O32" s="133">
        <f t="shared" si="9"/>
        <v>0.13999999999999999</v>
      </c>
    </row>
    <row r="33" spans="1:113" x14ac:dyDescent="0.3">
      <c r="A33" s="57" t="s">
        <v>120</v>
      </c>
      <c r="B33" s="6"/>
      <c r="C33" s="35" t="s">
        <v>58</v>
      </c>
      <c r="D33" s="108" t="s">
        <v>185</v>
      </c>
      <c r="E33" s="135"/>
      <c r="F33" s="136">
        <v>1.7299999999999999E-2</v>
      </c>
      <c r="G33" s="137">
        <v>271043.15000000002</v>
      </c>
      <c r="H33" s="208">
        <f>G33</f>
        <v>271043.15000000002</v>
      </c>
      <c r="I33" s="156">
        <f t="shared" si="0"/>
        <v>0</v>
      </c>
      <c r="J33" s="145">
        <f t="shared" si="4"/>
        <v>0</v>
      </c>
      <c r="K33" s="145">
        <f t="shared" si="6"/>
        <v>271042.66535699996</v>
      </c>
      <c r="L33" s="168">
        <v>25000</v>
      </c>
      <c r="M33" s="147">
        <f t="shared" si="8"/>
        <v>296043.15000000002</v>
      </c>
      <c r="N33" s="147">
        <f t="shared" si="7"/>
        <v>313806.15000000002</v>
      </c>
      <c r="O33" s="133">
        <f t="shared" si="9"/>
        <v>0.15</v>
      </c>
    </row>
    <row r="34" spans="1:113" x14ac:dyDescent="0.3">
      <c r="A34" s="139" t="s">
        <v>122</v>
      </c>
      <c r="B34" s="138"/>
      <c r="C34" s="35" t="s">
        <v>59</v>
      </c>
      <c r="D34" s="108" t="s">
        <v>306</v>
      </c>
      <c r="E34" s="135"/>
      <c r="F34" s="136">
        <v>9.4000000000000004E-3</v>
      </c>
      <c r="G34" s="137">
        <v>139543.16</v>
      </c>
      <c r="H34" s="208">
        <f>G34</f>
        <v>139543.16</v>
      </c>
      <c r="I34" s="144">
        <f t="shared" si="0"/>
        <v>0</v>
      </c>
      <c r="J34" s="145">
        <f t="shared" si="4"/>
        <v>0</v>
      </c>
      <c r="K34" s="145">
        <f t="shared" si="6"/>
        <v>147271.737246</v>
      </c>
      <c r="L34" s="168">
        <v>0</v>
      </c>
      <c r="M34" s="147">
        <f t="shared" si="8"/>
        <v>147272.16</v>
      </c>
      <c r="N34" s="147">
        <f t="shared" si="7"/>
        <v>156108.16</v>
      </c>
      <c r="O34" s="133">
        <f t="shared" si="9"/>
        <v>0.16</v>
      </c>
      <c r="P34" t="s">
        <v>321</v>
      </c>
    </row>
    <row r="35" spans="1:113" x14ac:dyDescent="0.3">
      <c r="A35" s="57" t="s">
        <v>122</v>
      </c>
      <c r="B35" s="6"/>
      <c r="C35" s="35" t="s">
        <v>60</v>
      </c>
      <c r="D35" s="108" t="s">
        <v>183</v>
      </c>
      <c r="E35" s="135" t="s">
        <v>291</v>
      </c>
      <c r="F35" s="136">
        <v>8.6999999999999994E-3</v>
      </c>
      <c r="G35" s="137">
        <v>136305.17000000001</v>
      </c>
      <c r="H35" s="208">
        <f t="shared" ref="H35" si="12">G35</f>
        <v>136305.17000000001</v>
      </c>
      <c r="I35" s="144">
        <f t="shared" si="0"/>
        <v>0</v>
      </c>
      <c r="J35" s="145">
        <f t="shared" si="4"/>
        <v>0</v>
      </c>
      <c r="K35" s="145">
        <f t="shared" si="6"/>
        <v>136304.69298299999</v>
      </c>
      <c r="L35" s="168">
        <v>0</v>
      </c>
      <c r="M35" s="147">
        <f t="shared" si="8"/>
        <v>136305.17000000001</v>
      </c>
      <c r="N35" s="147">
        <f t="shared" si="7"/>
        <v>144483.17000000001</v>
      </c>
      <c r="O35" s="133">
        <f t="shared" si="9"/>
        <v>0.17</v>
      </c>
    </row>
    <row r="36" spans="1:113" x14ac:dyDescent="0.3">
      <c r="A36" s="57" t="s">
        <v>122</v>
      </c>
      <c r="B36" s="6"/>
      <c r="C36" s="35" t="s">
        <v>61</v>
      </c>
      <c r="D36" s="108" t="s">
        <v>183</v>
      </c>
      <c r="E36" s="135"/>
      <c r="F36" s="136">
        <v>9.4999999999999998E-3</v>
      </c>
      <c r="G36" s="137">
        <v>148838.18</v>
      </c>
      <c r="H36" s="208"/>
      <c r="I36" s="156">
        <f t="shared" si="0"/>
        <v>148838.18</v>
      </c>
      <c r="J36" s="145">
        <f t="shared" si="4"/>
        <v>0</v>
      </c>
      <c r="K36" s="145">
        <f t="shared" si="6"/>
        <v>148838.45785499999</v>
      </c>
      <c r="L36" s="168">
        <v>0</v>
      </c>
      <c r="M36" s="147">
        <f t="shared" si="8"/>
        <v>297677.18</v>
      </c>
      <c r="N36" s="147">
        <f t="shared" si="7"/>
        <v>315538.18</v>
      </c>
      <c r="O36" s="133">
        <f t="shared" si="9"/>
        <v>0.18000000000000002</v>
      </c>
    </row>
    <row r="37" spans="1:113" x14ac:dyDescent="0.3">
      <c r="A37" s="57" t="s">
        <v>120</v>
      </c>
      <c r="B37" s="6"/>
      <c r="C37" s="35" t="s">
        <v>62</v>
      </c>
      <c r="D37" s="108" t="s">
        <v>186</v>
      </c>
      <c r="E37" s="135" t="s">
        <v>289</v>
      </c>
      <c r="F37" s="136">
        <v>1.6400000000000001E-2</v>
      </c>
      <c r="G37" s="137">
        <v>256942.19</v>
      </c>
      <c r="H37" s="208">
        <f t="shared" ref="H37" si="13">G37</f>
        <v>256942.19</v>
      </c>
      <c r="I37" s="144">
        <f t="shared" si="0"/>
        <v>0</v>
      </c>
      <c r="J37" s="145">
        <f t="shared" si="4"/>
        <v>0</v>
      </c>
      <c r="K37" s="145">
        <f t="shared" si="6"/>
        <v>256942.17987600001</v>
      </c>
      <c r="L37" s="168"/>
      <c r="M37" s="147">
        <f t="shared" si="8"/>
        <v>256942.19</v>
      </c>
      <c r="N37" s="147">
        <f t="shared" si="7"/>
        <v>272359.19</v>
      </c>
      <c r="O37" s="133">
        <f t="shared" si="9"/>
        <v>0.19000000000000003</v>
      </c>
      <c r="P37" t="s">
        <v>318</v>
      </c>
    </row>
    <row r="38" spans="1:113" x14ac:dyDescent="0.3">
      <c r="A38" s="57" t="s">
        <v>121</v>
      </c>
      <c r="B38" s="6"/>
      <c r="C38" s="35" t="s">
        <v>63</v>
      </c>
      <c r="D38" s="108" t="s">
        <v>222</v>
      </c>
      <c r="E38" s="135"/>
      <c r="F38" s="136">
        <v>7.1999999999999998E-3</v>
      </c>
      <c r="G38" s="137">
        <v>112804.2</v>
      </c>
      <c r="H38" s="208">
        <f>G38</f>
        <v>112804.2</v>
      </c>
      <c r="I38" s="144">
        <f t="shared" si="0"/>
        <v>0</v>
      </c>
      <c r="J38" s="145">
        <f t="shared" si="4"/>
        <v>0</v>
      </c>
      <c r="K38" s="145">
        <f t="shared" si="6"/>
        <v>112803.883848</v>
      </c>
      <c r="L38" s="168">
        <v>20000</v>
      </c>
      <c r="M38" s="147">
        <f t="shared" si="8"/>
        <v>132804.20000000001</v>
      </c>
      <c r="N38" s="147">
        <f t="shared" si="7"/>
        <v>140772.20000000001</v>
      </c>
      <c r="O38" s="133">
        <f t="shared" si="9"/>
        <v>0.20000000000000004</v>
      </c>
    </row>
    <row r="39" spans="1:113" s="140" customFormat="1" x14ac:dyDescent="0.3">
      <c r="A39" s="108" t="s">
        <v>120</v>
      </c>
      <c r="B39" s="35"/>
      <c r="C39" s="35" t="s">
        <v>64</v>
      </c>
      <c r="D39" s="108" t="s">
        <v>187</v>
      </c>
      <c r="E39" s="135"/>
      <c r="F39" s="136">
        <v>1.7299999999999999E-2</v>
      </c>
      <c r="G39" s="137">
        <v>271043.21000000002</v>
      </c>
      <c r="H39" s="208">
        <v>287306.21000000002</v>
      </c>
      <c r="I39" s="144">
        <f t="shared" si="0"/>
        <v>-16263</v>
      </c>
      <c r="J39" s="145">
        <f t="shared" si="4"/>
        <v>0</v>
      </c>
      <c r="K39" s="145">
        <f t="shared" si="6"/>
        <v>271042.66535699996</v>
      </c>
      <c r="L39" s="168">
        <v>0</v>
      </c>
      <c r="M39" s="147">
        <f t="shared" si="8"/>
        <v>254780.21</v>
      </c>
      <c r="N39" s="147">
        <f t="shared" si="7"/>
        <v>270067.21000000002</v>
      </c>
      <c r="O39" s="173">
        <f t="shared" si="9"/>
        <v>0.21000000000000005</v>
      </c>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c r="CC39" s="73"/>
      <c r="CD39" s="73"/>
      <c r="CE39" s="73"/>
      <c r="CF39" s="73"/>
      <c r="CG39" s="73"/>
      <c r="CH39" s="73"/>
      <c r="CI39" s="73"/>
      <c r="CJ39" s="73"/>
      <c r="CK39" s="73"/>
      <c r="CL39" s="73"/>
      <c r="CM39" s="73"/>
      <c r="CN39" s="73"/>
      <c r="CO39" s="73"/>
      <c r="CP39" s="73"/>
      <c r="CQ39" s="73"/>
      <c r="CR39" s="73"/>
      <c r="CS39" s="73"/>
      <c r="CT39" s="73"/>
      <c r="CU39" s="73"/>
      <c r="CV39" s="73"/>
      <c r="CW39" s="73"/>
      <c r="CX39" s="73"/>
      <c r="CY39" s="73"/>
      <c r="CZ39" s="73"/>
      <c r="DA39" s="73"/>
      <c r="DB39" s="73"/>
      <c r="DC39" s="73"/>
      <c r="DD39" s="73"/>
      <c r="DE39" s="73"/>
      <c r="DF39" s="73"/>
      <c r="DG39" s="73"/>
      <c r="DH39" s="73"/>
      <c r="DI39" s="73"/>
    </row>
    <row r="40" spans="1:113" s="140" customFormat="1" x14ac:dyDescent="0.3">
      <c r="A40" s="108" t="s">
        <v>122</v>
      </c>
      <c r="B40" s="35"/>
      <c r="C40" s="35" t="s">
        <v>65</v>
      </c>
      <c r="D40" s="108" t="s">
        <v>281</v>
      </c>
      <c r="E40" s="135"/>
      <c r="F40" s="136">
        <v>9.4000000000000004E-3</v>
      </c>
      <c r="G40" s="44">
        <v>220907.22</v>
      </c>
      <c r="H40" s="208"/>
      <c r="I40" s="144">
        <f t="shared" si="0"/>
        <v>220907.22</v>
      </c>
      <c r="J40" s="145">
        <f t="shared" si="4"/>
        <v>0</v>
      </c>
      <c r="K40" s="145">
        <f t="shared" si="6"/>
        <v>147271.737246</v>
      </c>
      <c r="L40" s="168"/>
      <c r="M40" s="147">
        <f t="shared" si="8"/>
        <v>368179.22</v>
      </c>
      <c r="N40" s="147">
        <f t="shared" si="7"/>
        <v>390270.22</v>
      </c>
      <c r="O40" s="173">
        <f t="shared" si="9"/>
        <v>0.22000000000000006</v>
      </c>
      <c r="P40" s="73" t="s">
        <v>319</v>
      </c>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c r="CC40" s="73"/>
      <c r="CD40" s="73"/>
      <c r="CE40" s="73"/>
      <c r="CF40" s="73"/>
      <c r="CG40" s="73"/>
      <c r="CH40" s="73"/>
      <c r="CI40" s="73"/>
      <c r="CJ40" s="73"/>
      <c r="CK40" s="73"/>
      <c r="CL40" s="73"/>
      <c r="CM40" s="73"/>
      <c r="CN40" s="73"/>
      <c r="CO40" s="73"/>
      <c r="CP40" s="73"/>
      <c r="CQ40" s="73"/>
      <c r="CR40" s="73"/>
      <c r="CS40" s="73"/>
      <c r="CT40" s="73"/>
      <c r="CU40" s="73"/>
      <c r="CV40" s="73"/>
      <c r="CW40" s="73"/>
      <c r="CX40" s="73"/>
      <c r="CY40" s="73"/>
      <c r="CZ40" s="73"/>
      <c r="DA40" s="73"/>
      <c r="DB40" s="73"/>
      <c r="DC40" s="73"/>
      <c r="DD40" s="73"/>
      <c r="DE40" s="73"/>
      <c r="DF40" s="73"/>
      <c r="DG40" s="73"/>
      <c r="DH40" s="73"/>
      <c r="DI40" s="73"/>
    </row>
    <row r="41" spans="1:113" s="140" customFormat="1" x14ac:dyDescent="0.3">
      <c r="A41" s="108" t="s">
        <v>122</v>
      </c>
      <c r="B41" s="35"/>
      <c r="C41" s="35" t="s">
        <v>66</v>
      </c>
      <c r="D41" s="108" t="s">
        <v>183</v>
      </c>
      <c r="E41" s="135"/>
      <c r="F41" s="136">
        <v>8.6999999999999994E-3</v>
      </c>
      <c r="G41" s="137">
        <v>136305.23000000001</v>
      </c>
      <c r="H41" s="208">
        <f>G41</f>
        <v>136305.23000000001</v>
      </c>
      <c r="I41" s="144">
        <f t="shared" si="0"/>
        <v>0</v>
      </c>
      <c r="J41" s="145">
        <f t="shared" si="4"/>
        <v>0</v>
      </c>
      <c r="K41" s="145">
        <f t="shared" si="6"/>
        <v>136304.69298299999</v>
      </c>
      <c r="L41" s="168">
        <v>0</v>
      </c>
      <c r="M41" s="147">
        <f t="shared" si="8"/>
        <v>136305.23000000001</v>
      </c>
      <c r="N41" s="147">
        <f t="shared" si="7"/>
        <v>144484.23000000001</v>
      </c>
      <c r="O41" s="173">
        <f t="shared" si="9"/>
        <v>0.23000000000000007</v>
      </c>
      <c r="P41" s="73" t="s">
        <v>300</v>
      </c>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c r="CC41" s="73"/>
      <c r="CD41" s="73"/>
      <c r="CE41" s="73"/>
      <c r="CF41" s="73"/>
      <c r="CG41" s="73"/>
      <c r="CH41" s="73"/>
      <c r="CI41" s="73"/>
      <c r="CJ41" s="73"/>
      <c r="CK41" s="73"/>
      <c r="CL41" s="73"/>
      <c r="CM41" s="73"/>
      <c r="CN41" s="73"/>
      <c r="CO41" s="73"/>
      <c r="CP41" s="73"/>
      <c r="CQ41" s="73"/>
      <c r="CR41" s="73"/>
      <c r="CS41" s="73"/>
      <c r="CT41" s="73"/>
      <c r="CU41" s="73"/>
      <c r="CV41" s="73"/>
      <c r="CW41" s="73"/>
      <c r="CX41" s="73"/>
      <c r="CY41" s="73"/>
      <c r="CZ41" s="73"/>
      <c r="DA41" s="73"/>
      <c r="DB41" s="73"/>
      <c r="DC41" s="73"/>
      <c r="DD41" s="73"/>
      <c r="DE41" s="73"/>
      <c r="DF41" s="73"/>
      <c r="DG41" s="73"/>
      <c r="DH41" s="73"/>
      <c r="DI41" s="73"/>
    </row>
    <row r="42" spans="1:113" s="140" customFormat="1" x14ac:dyDescent="0.3">
      <c r="A42" s="108" t="s">
        <v>122</v>
      </c>
      <c r="B42" s="35"/>
      <c r="C42" s="35" t="s">
        <v>67</v>
      </c>
      <c r="D42" s="108" t="s">
        <v>281</v>
      </c>
      <c r="E42" s="135"/>
      <c r="F42" s="136">
        <v>9.4999999999999998E-3</v>
      </c>
      <c r="G42" s="157">
        <v>148838.24</v>
      </c>
      <c r="H42" s="208"/>
      <c r="I42" s="144">
        <f t="shared" si="0"/>
        <v>148838.24</v>
      </c>
      <c r="J42" s="145">
        <f t="shared" si="4"/>
        <v>0</v>
      </c>
      <c r="K42" s="145">
        <f t="shared" si="6"/>
        <v>148838.45785499999</v>
      </c>
      <c r="L42" s="168">
        <v>0</v>
      </c>
      <c r="M42" s="147">
        <f t="shared" si="8"/>
        <v>297677.24</v>
      </c>
      <c r="N42" s="147">
        <f t="shared" si="7"/>
        <v>315538.24</v>
      </c>
      <c r="O42" s="173">
        <f t="shared" si="9"/>
        <v>0.24000000000000007</v>
      </c>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c r="CC42" s="73"/>
      <c r="CD42" s="73"/>
      <c r="CE42" s="73"/>
      <c r="CF42" s="73"/>
      <c r="CG42" s="73"/>
      <c r="CH42" s="73"/>
      <c r="CI42" s="73"/>
      <c r="CJ42" s="73"/>
      <c r="CK42" s="73"/>
      <c r="CL42" s="73"/>
      <c r="CM42" s="73"/>
      <c r="CN42" s="73"/>
      <c r="CO42" s="73"/>
      <c r="CP42" s="73"/>
      <c r="CQ42" s="73"/>
      <c r="CR42" s="73"/>
      <c r="CS42" s="73"/>
      <c r="CT42" s="73"/>
      <c r="CU42" s="73"/>
      <c r="CV42" s="73"/>
      <c r="CW42" s="73"/>
      <c r="CX42" s="73"/>
      <c r="CY42" s="73"/>
      <c r="CZ42" s="73"/>
      <c r="DA42" s="73"/>
      <c r="DB42" s="73"/>
      <c r="DC42" s="73"/>
      <c r="DD42" s="73"/>
      <c r="DE42" s="73"/>
      <c r="DF42" s="73"/>
      <c r="DG42" s="73"/>
      <c r="DH42" s="73"/>
      <c r="DI42" s="73"/>
    </row>
    <row r="43" spans="1:113" x14ac:dyDescent="0.3">
      <c r="A43" s="57" t="s">
        <v>120</v>
      </c>
      <c r="B43" s="6"/>
      <c r="C43" s="35" t="s">
        <v>68</v>
      </c>
      <c r="D43" s="108" t="s">
        <v>188</v>
      </c>
      <c r="E43" s="135"/>
      <c r="F43" s="136">
        <v>1.6400000000000001E-2</v>
      </c>
      <c r="G43" s="137">
        <v>256942.25</v>
      </c>
      <c r="H43" s="208">
        <f t="shared" ref="H43" si="14">G43</f>
        <v>256942.25</v>
      </c>
      <c r="I43" s="144">
        <f t="shared" si="0"/>
        <v>0</v>
      </c>
      <c r="J43" s="145">
        <f t="shared" si="4"/>
        <v>0</v>
      </c>
      <c r="K43" s="145">
        <f t="shared" si="6"/>
        <v>256942.17987600001</v>
      </c>
      <c r="L43" s="168">
        <v>0</v>
      </c>
      <c r="M43" s="147">
        <f t="shared" si="8"/>
        <v>256942.25</v>
      </c>
      <c r="N43" s="147">
        <f t="shared" si="7"/>
        <v>272359.25</v>
      </c>
      <c r="O43" s="133">
        <f t="shared" si="9"/>
        <v>0.25000000000000006</v>
      </c>
    </row>
    <row r="44" spans="1:113" x14ac:dyDescent="0.3">
      <c r="A44" s="57" t="s">
        <v>121</v>
      </c>
      <c r="B44" s="6"/>
      <c r="C44" s="35" t="s">
        <v>69</v>
      </c>
      <c r="D44" s="108" t="s">
        <v>189</v>
      </c>
      <c r="E44" s="135" t="s">
        <v>272</v>
      </c>
      <c r="F44" s="136">
        <v>7.1999999999999998E-3</v>
      </c>
      <c r="G44" s="137">
        <v>112804.26</v>
      </c>
      <c r="H44" s="208">
        <f t="shared" ref="H44:H45" si="15">G44</f>
        <v>112804.26</v>
      </c>
      <c r="I44" s="144">
        <f t="shared" si="0"/>
        <v>0</v>
      </c>
      <c r="J44" s="145">
        <f t="shared" si="4"/>
        <v>0</v>
      </c>
      <c r="K44" s="145">
        <f t="shared" si="6"/>
        <v>112803.883848</v>
      </c>
      <c r="L44" s="168">
        <v>0</v>
      </c>
      <c r="M44" s="147">
        <f t="shared" si="8"/>
        <v>112804.26</v>
      </c>
      <c r="N44" s="147">
        <f t="shared" si="7"/>
        <v>119573.26</v>
      </c>
      <c r="O44" s="133">
        <f t="shared" si="9"/>
        <v>0.26000000000000006</v>
      </c>
    </row>
    <row r="45" spans="1:113" x14ac:dyDescent="0.3">
      <c r="A45" s="57" t="s">
        <v>120</v>
      </c>
      <c r="B45" s="6"/>
      <c r="C45" s="35" t="s">
        <v>70</v>
      </c>
      <c r="D45" s="108" t="s">
        <v>190</v>
      </c>
      <c r="E45" s="135"/>
      <c r="F45" s="136">
        <v>1.7299999999999999E-2</v>
      </c>
      <c r="G45" s="137">
        <v>271043.27</v>
      </c>
      <c r="H45" s="208">
        <f t="shared" si="15"/>
        <v>271043.27</v>
      </c>
      <c r="I45" s="144">
        <f t="shared" si="0"/>
        <v>0</v>
      </c>
      <c r="J45" s="145">
        <f t="shared" si="4"/>
        <v>0</v>
      </c>
      <c r="K45" s="145">
        <f t="shared" si="6"/>
        <v>271042.66535699996</v>
      </c>
      <c r="L45" s="168">
        <v>0</v>
      </c>
      <c r="M45" s="147">
        <f t="shared" si="8"/>
        <v>271043.27</v>
      </c>
      <c r="N45" s="147">
        <f t="shared" si="7"/>
        <v>287306.27</v>
      </c>
      <c r="O45" s="133">
        <f t="shared" si="9"/>
        <v>0.27000000000000007</v>
      </c>
      <c r="P45" t="s">
        <v>266</v>
      </c>
      <c r="Q45" t="s">
        <v>266</v>
      </c>
    </row>
    <row r="46" spans="1:113" x14ac:dyDescent="0.3">
      <c r="A46" s="172" t="s">
        <v>122</v>
      </c>
      <c r="B46" s="171"/>
      <c r="C46" s="35" t="s">
        <v>71</v>
      </c>
      <c r="D46" s="108" t="s">
        <v>323</v>
      </c>
      <c r="E46" s="135"/>
      <c r="F46" s="136">
        <v>9.4000000000000004E-3</v>
      </c>
      <c r="G46" s="137">
        <v>147272.28</v>
      </c>
      <c r="H46" s="208">
        <f>G46</f>
        <v>147272.28</v>
      </c>
      <c r="I46" s="144">
        <f t="shared" si="0"/>
        <v>0</v>
      </c>
      <c r="J46" s="145">
        <f t="shared" si="4"/>
        <v>0</v>
      </c>
      <c r="K46" s="145">
        <f t="shared" si="6"/>
        <v>147271.737246</v>
      </c>
      <c r="L46" s="168">
        <v>0</v>
      </c>
      <c r="M46" s="147">
        <f t="shared" si="8"/>
        <v>147272.28</v>
      </c>
      <c r="N46" s="147">
        <f t="shared" si="7"/>
        <v>156109.28</v>
      </c>
      <c r="O46" s="133">
        <f t="shared" si="9"/>
        <v>0.28000000000000008</v>
      </c>
    </row>
    <row r="47" spans="1:113" x14ac:dyDescent="0.3">
      <c r="A47" s="57" t="s">
        <v>122</v>
      </c>
      <c r="B47" s="6"/>
      <c r="C47" s="35" t="s">
        <v>72</v>
      </c>
      <c r="D47" s="108" t="s">
        <v>181</v>
      </c>
      <c r="E47" s="135" t="s">
        <v>307</v>
      </c>
      <c r="F47" s="136">
        <v>8.6999999999999994E-3</v>
      </c>
      <c r="G47" s="147">
        <v>136305.29</v>
      </c>
      <c r="H47" s="208"/>
      <c r="I47" s="144">
        <f t="shared" si="0"/>
        <v>136305.29</v>
      </c>
      <c r="J47" s="145">
        <f t="shared" si="4"/>
        <v>0</v>
      </c>
      <c r="K47" s="145">
        <f t="shared" si="6"/>
        <v>136304.69298299999</v>
      </c>
      <c r="L47" s="168">
        <v>0</v>
      </c>
      <c r="M47" s="147">
        <f t="shared" si="8"/>
        <v>272610.28999999998</v>
      </c>
      <c r="N47" s="147">
        <f t="shared" si="7"/>
        <v>288967.28999999998</v>
      </c>
      <c r="O47" s="133">
        <f t="shared" si="9"/>
        <v>0.29000000000000009</v>
      </c>
    </row>
    <row r="48" spans="1:113" x14ac:dyDescent="0.3">
      <c r="A48" s="57" t="s">
        <v>122</v>
      </c>
      <c r="B48" s="6"/>
      <c r="C48" s="35" t="s">
        <v>73</v>
      </c>
      <c r="D48" s="108" t="s">
        <v>191</v>
      </c>
      <c r="E48" s="135"/>
      <c r="F48" s="136">
        <v>9.4999999999999998E-3</v>
      </c>
      <c r="G48" s="137">
        <v>148838.29999999999</v>
      </c>
      <c r="H48" s="208">
        <f>G48</f>
        <v>148838.29999999999</v>
      </c>
      <c r="I48" s="144">
        <f t="shared" si="0"/>
        <v>0</v>
      </c>
      <c r="J48" s="145">
        <f t="shared" si="4"/>
        <v>0</v>
      </c>
      <c r="K48" s="145">
        <f t="shared" si="6"/>
        <v>148838.45785499999</v>
      </c>
      <c r="L48" s="168">
        <v>0</v>
      </c>
      <c r="M48" s="147">
        <f t="shared" si="8"/>
        <v>148838.29999999999</v>
      </c>
      <c r="N48" s="147">
        <f t="shared" si="7"/>
        <v>157769.29999999999</v>
      </c>
      <c r="O48" s="133">
        <f t="shared" si="9"/>
        <v>0.3000000000000001</v>
      </c>
    </row>
    <row r="49" spans="1:17" x14ac:dyDescent="0.3">
      <c r="A49" s="57" t="s">
        <v>120</v>
      </c>
      <c r="B49" s="6"/>
      <c r="C49" s="35" t="s">
        <v>74</v>
      </c>
      <c r="D49" s="108" t="s">
        <v>192</v>
      </c>
      <c r="E49" s="135"/>
      <c r="F49" s="136">
        <v>1.6400000000000001E-2</v>
      </c>
      <c r="G49" s="137">
        <v>256942.31</v>
      </c>
      <c r="H49" s="208">
        <f t="shared" ref="H49:H50" si="16">G49</f>
        <v>256942.31</v>
      </c>
      <c r="I49" s="144">
        <f t="shared" si="0"/>
        <v>0</v>
      </c>
      <c r="J49" s="145">
        <f t="shared" si="4"/>
        <v>0</v>
      </c>
      <c r="K49" s="145">
        <f t="shared" si="6"/>
        <v>256942.17987600001</v>
      </c>
      <c r="L49" s="168">
        <v>0</v>
      </c>
      <c r="M49" s="147">
        <f t="shared" si="8"/>
        <v>256942.31</v>
      </c>
      <c r="N49" s="147">
        <f t="shared" si="7"/>
        <v>272359.31</v>
      </c>
      <c r="O49" s="133">
        <f t="shared" si="9"/>
        <v>0.31000000000000011</v>
      </c>
    </row>
    <row r="50" spans="1:17" x14ac:dyDescent="0.3">
      <c r="A50" s="57" t="s">
        <v>121</v>
      </c>
      <c r="B50" s="6"/>
      <c r="C50" s="35" t="s">
        <v>75</v>
      </c>
      <c r="D50" s="108" t="s">
        <v>193</v>
      </c>
      <c r="E50" s="135"/>
      <c r="F50" s="136">
        <v>7.1999999999999998E-3</v>
      </c>
      <c r="G50" s="137">
        <v>127620.32</v>
      </c>
      <c r="H50" s="208">
        <f t="shared" si="16"/>
        <v>127620.32</v>
      </c>
      <c r="I50" s="144">
        <f t="shared" si="0"/>
        <v>0</v>
      </c>
      <c r="J50" s="145">
        <f t="shared" si="4"/>
        <v>0</v>
      </c>
      <c r="K50" s="145">
        <f t="shared" si="6"/>
        <v>112803.883848</v>
      </c>
      <c r="L50" s="168"/>
      <c r="M50" s="147">
        <f t="shared" si="8"/>
        <v>112804.32</v>
      </c>
      <c r="N50" s="147">
        <f t="shared" si="7"/>
        <v>119573.32</v>
      </c>
      <c r="O50" s="133">
        <f t="shared" si="9"/>
        <v>0.32000000000000012</v>
      </c>
      <c r="P50" s="43"/>
    </row>
    <row r="51" spans="1:17" x14ac:dyDescent="0.3">
      <c r="A51" s="57" t="s">
        <v>120</v>
      </c>
      <c r="B51" s="6"/>
      <c r="C51" s="35" t="s">
        <v>76</v>
      </c>
      <c r="D51" s="108" t="s">
        <v>194</v>
      </c>
      <c r="E51" s="135"/>
      <c r="F51" s="136">
        <v>1.7299999999999999E-2</v>
      </c>
      <c r="G51" s="137">
        <v>271043.33</v>
      </c>
      <c r="H51" s="208">
        <f>G51</f>
        <v>271043.33</v>
      </c>
      <c r="I51" s="144">
        <f t="shared" si="0"/>
        <v>0</v>
      </c>
      <c r="J51" s="145">
        <f t="shared" ref="J51:J82" si="17">M$8*F51</f>
        <v>0</v>
      </c>
      <c r="K51" s="145">
        <f t="shared" ref="K51:K82" si="18">M$2*F51</f>
        <v>271042.66535699996</v>
      </c>
      <c r="L51" s="168">
        <v>0</v>
      </c>
      <c r="M51" s="147">
        <f t="shared" si="8"/>
        <v>271043.33</v>
      </c>
      <c r="N51" s="147">
        <f t="shared" si="7"/>
        <v>287306.33</v>
      </c>
      <c r="O51" s="133">
        <f t="shared" si="9"/>
        <v>0.33000000000000013</v>
      </c>
      <c r="P51" s="43"/>
    </row>
    <row r="52" spans="1:17" x14ac:dyDescent="0.3">
      <c r="A52" s="57" t="s">
        <v>122</v>
      </c>
      <c r="B52" s="6"/>
      <c r="C52" s="35" t="s">
        <v>77</v>
      </c>
      <c r="D52" s="108" t="s">
        <v>286</v>
      </c>
      <c r="E52" s="135"/>
      <c r="F52" s="136">
        <v>9.4000000000000004E-3</v>
      </c>
      <c r="G52" s="137">
        <v>147272.34</v>
      </c>
      <c r="H52" s="208">
        <f>G52</f>
        <v>147272.34</v>
      </c>
      <c r="I52" s="144">
        <f t="shared" si="0"/>
        <v>0</v>
      </c>
      <c r="J52" s="145">
        <f t="shared" si="17"/>
        <v>0</v>
      </c>
      <c r="K52" s="145">
        <f t="shared" si="18"/>
        <v>147271.737246</v>
      </c>
      <c r="L52" s="168"/>
      <c r="M52" s="147">
        <f t="shared" si="8"/>
        <v>147272.34</v>
      </c>
      <c r="N52" s="147">
        <f t="shared" si="7"/>
        <v>156109.34</v>
      </c>
      <c r="O52" s="133">
        <f t="shared" si="9"/>
        <v>0.34000000000000014</v>
      </c>
      <c r="P52" t="s">
        <v>304</v>
      </c>
    </row>
    <row r="53" spans="1:17" x14ac:dyDescent="0.3">
      <c r="A53" s="57" t="s">
        <v>122</v>
      </c>
      <c r="B53" s="6"/>
      <c r="C53" s="35" t="s">
        <v>78</v>
      </c>
      <c r="D53" s="108" t="s">
        <v>223</v>
      </c>
      <c r="E53" s="135"/>
      <c r="F53" s="136">
        <v>8.6999999999999994E-3</v>
      </c>
      <c r="G53" s="137">
        <v>136305.35</v>
      </c>
      <c r="H53" s="208">
        <f t="shared" ref="H53" si="19">G53</f>
        <v>136305.35</v>
      </c>
      <c r="I53" s="144">
        <f>G53-H53</f>
        <v>0</v>
      </c>
      <c r="J53" s="145">
        <f t="shared" si="17"/>
        <v>0</v>
      </c>
      <c r="K53" s="145">
        <f t="shared" si="18"/>
        <v>136304.69298299999</v>
      </c>
      <c r="L53" s="168">
        <v>0</v>
      </c>
      <c r="M53" s="147">
        <f t="shared" si="8"/>
        <v>136305.35</v>
      </c>
      <c r="N53" s="147">
        <f t="shared" si="7"/>
        <v>144484.35</v>
      </c>
      <c r="O53" s="133">
        <f t="shared" si="9"/>
        <v>0.35000000000000014</v>
      </c>
    </row>
    <row r="54" spans="1:17" x14ac:dyDescent="0.3">
      <c r="A54" s="57" t="s">
        <v>122</v>
      </c>
      <c r="B54" s="6"/>
      <c r="C54" s="35" t="s">
        <v>79</v>
      </c>
      <c r="D54" s="108" t="s">
        <v>195</v>
      </c>
      <c r="E54" s="135"/>
      <c r="F54" s="136">
        <v>9.4999999999999998E-3</v>
      </c>
      <c r="G54" s="137">
        <v>122573.36</v>
      </c>
      <c r="H54" s="208">
        <f>G54</f>
        <v>122573.36</v>
      </c>
      <c r="I54" s="144">
        <f>G54-H54</f>
        <v>0</v>
      </c>
      <c r="J54" s="145">
        <f t="shared" si="17"/>
        <v>0</v>
      </c>
      <c r="K54" s="145">
        <f t="shared" si="18"/>
        <v>148838.45785499999</v>
      </c>
      <c r="L54" s="168">
        <v>0</v>
      </c>
      <c r="M54" s="147">
        <f t="shared" si="8"/>
        <v>148838.35999999999</v>
      </c>
      <c r="N54" s="147">
        <f t="shared" si="7"/>
        <v>157769.35999999999</v>
      </c>
      <c r="O54" s="133">
        <f t="shared" si="9"/>
        <v>0.36000000000000015</v>
      </c>
    </row>
    <row r="55" spans="1:17" x14ac:dyDescent="0.3">
      <c r="A55" s="57" t="s">
        <v>120</v>
      </c>
      <c r="B55" s="6"/>
      <c r="C55" s="35" t="s">
        <v>80</v>
      </c>
      <c r="D55" s="108" t="s">
        <v>192</v>
      </c>
      <c r="E55" s="135"/>
      <c r="F55" s="136">
        <v>1.6400000000000001E-2</v>
      </c>
      <c r="G55" s="137">
        <v>256942.37</v>
      </c>
      <c r="H55" s="208">
        <f t="shared" ref="H55:H56" si="20">G55</f>
        <v>256942.37</v>
      </c>
      <c r="I55" s="144">
        <f t="shared" si="0"/>
        <v>0</v>
      </c>
      <c r="J55" s="145">
        <f t="shared" si="17"/>
        <v>0</v>
      </c>
      <c r="K55" s="145">
        <f t="shared" si="18"/>
        <v>256942.17987600001</v>
      </c>
      <c r="L55" s="168">
        <v>0</v>
      </c>
      <c r="M55" s="147">
        <f t="shared" si="8"/>
        <v>256942.37</v>
      </c>
      <c r="N55" s="147">
        <f t="shared" si="7"/>
        <v>272359.37</v>
      </c>
      <c r="O55" s="133">
        <f t="shared" si="9"/>
        <v>0.37000000000000016</v>
      </c>
      <c r="Q55" s="59"/>
    </row>
    <row r="56" spans="1:17" x14ac:dyDescent="0.3">
      <c r="A56" s="57" t="s">
        <v>121</v>
      </c>
      <c r="B56" s="6"/>
      <c r="C56" s="35" t="s">
        <v>81</v>
      </c>
      <c r="D56" s="108" t="s">
        <v>196</v>
      </c>
      <c r="E56" s="135" t="s">
        <v>273</v>
      </c>
      <c r="F56" s="136">
        <v>7.1999999999999998E-3</v>
      </c>
      <c r="G56" s="137">
        <v>112804.38</v>
      </c>
      <c r="H56" s="208">
        <f t="shared" si="20"/>
        <v>112804.38</v>
      </c>
      <c r="I56" s="144">
        <f t="shared" si="0"/>
        <v>0</v>
      </c>
      <c r="J56" s="145">
        <f t="shared" si="17"/>
        <v>0</v>
      </c>
      <c r="K56" s="145">
        <f t="shared" si="18"/>
        <v>112803.883848</v>
      </c>
      <c r="L56" s="168">
        <v>0</v>
      </c>
      <c r="M56" s="147">
        <f t="shared" si="8"/>
        <v>112804.38</v>
      </c>
      <c r="N56" s="147">
        <f t="shared" si="7"/>
        <v>119573.38</v>
      </c>
      <c r="O56" s="133">
        <f t="shared" si="9"/>
        <v>0.38000000000000017</v>
      </c>
    </row>
    <row r="57" spans="1:17" x14ac:dyDescent="0.3">
      <c r="A57" s="57" t="s">
        <v>120</v>
      </c>
      <c r="B57" s="6"/>
      <c r="C57" s="198" t="s">
        <v>82</v>
      </c>
      <c r="D57" s="199" t="s">
        <v>197</v>
      </c>
      <c r="E57" s="200"/>
      <c r="F57" s="201">
        <v>1.7299999999999999E-2</v>
      </c>
      <c r="G57" s="202">
        <v>271043.39</v>
      </c>
      <c r="H57" s="211">
        <v>271043</v>
      </c>
      <c r="I57" s="203">
        <f t="shared" si="0"/>
        <v>0.39000000001396984</v>
      </c>
      <c r="J57" s="204">
        <f t="shared" si="17"/>
        <v>0</v>
      </c>
      <c r="K57" s="204">
        <f t="shared" si="18"/>
        <v>271042.66535699996</v>
      </c>
      <c r="L57" s="205">
        <v>0</v>
      </c>
      <c r="M57" s="206">
        <f t="shared" si="8"/>
        <v>271043.39</v>
      </c>
      <c r="N57" s="206">
        <f t="shared" si="7"/>
        <v>287306.39</v>
      </c>
      <c r="O57" s="133">
        <f t="shared" si="9"/>
        <v>0.39000000000000018</v>
      </c>
    </row>
    <row r="58" spans="1:17" x14ac:dyDescent="0.3">
      <c r="A58" s="57" t="s">
        <v>122</v>
      </c>
      <c r="B58" s="6"/>
      <c r="C58" s="35" t="s">
        <v>83</v>
      </c>
      <c r="D58" s="108" t="s">
        <v>198</v>
      </c>
      <c r="E58" s="135" t="s">
        <v>355</v>
      </c>
      <c r="F58" s="136">
        <v>9.4000000000000004E-3</v>
      </c>
      <c r="G58" s="137">
        <v>147272.4</v>
      </c>
      <c r="H58" s="208">
        <f t="shared" ref="H58" si="21">G58</f>
        <v>147272.4</v>
      </c>
      <c r="I58" s="144">
        <f t="shared" si="0"/>
        <v>0</v>
      </c>
      <c r="J58" s="145">
        <f t="shared" si="17"/>
        <v>0</v>
      </c>
      <c r="K58" s="145">
        <f t="shared" si="18"/>
        <v>147271.737246</v>
      </c>
      <c r="L58" s="223">
        <f>13000*2</f>
        <v>26000</v>
      </c>
      <c r="M58" s="147">
        <f t="shared" si="8"/>
        <v>173272.4</v>
      </c>
      <c r="N58" s="147">
        <f t="shared" si="7"/>
        <v>183669.4</v>
      </c>
      <c r="O58" s="133">
        <f t="shared" si="9"/>
        <v>0.40000000000000019</v>
      </c>
    </row>
    <row r="59" spans="1:17" x14ac:dyDescent="0.3">
      <c r="A59" s="108" t="s">
        <v>122</v>
      </c>
      <c r="B59" s="35"/>
      <c r="C59" s="35" t="s">
        <v>84</v>
      </c>
      <c r="D59" s="108" t="s">
        <v>366</v>
      </c>
      <c r="E59" s="135"/>
      <c r="F59" s="136">
        <v>8.6999999999999994E-3</v>
      </c>
      <c r="G59" s="137">
        <v>136305.41</v>
      </c>
      <c r="H59" s="208">
        <f>G59</f>
        <v>136305.41</v>
      </c>
      <c r="I59" s="144">
        <f t="shared" si="0"/>
        <v>0</v>
      </c>
      <c r="J59" s="145">
        <f t="shared" si="17"/>
        <v>0</v>
      </c>
      <c r="K59" s="145">
        <f t="shared" si="18"/>
        <v>136304.69298299999</v>
      </c>
      <c r="L59" s="168">
        <v>0</v>
      </c>
      <c r="M59" s="147">
        <f t="shared" si="8"/>
        <v>136305.41</v>
      </c>
      <c r="N59" s="147">
        <f t="shared" si="7"/>
        <v>144484.41</v>
      </c>
      <c r="O59" s="133">
        <f t="shared" si="9"/>
        <v>0.4100000000000002</v>
      </c>
      <c r="Q59" t="s">
        <v>257</v>
      </c>
    </row>
    <row r="60" spans="1:17" x14ac:dyDescent="0.3">
      <c r="A60" s="108" t="s">
        <v>122</v>
      </c>
      <c r="B60" s="35"/>
      <c r="C60" s="35" t="s">
        <v>85</v>
      </c>
      <c r="D60" s="108" t="s">
        <v>199</v>
      </c>
      <c r="E60" s="135"/>
      <c r="F60" s="136">
        <v>9.4999999999999998E-3</v>
      </c>
      <c r="G60" s="137">
        <v>148838.42000000001</v>
      </c>
      <c r="H60" s="208">
        <f t="shared" ref="H60" si="22">G60</f>
        <v>148838.42000000001</v>
      </c>
      <c r="I60" s="144">
        <f t="shared" si="0"/>
        <v>0</v>
      </c>
      <c r="J60" s="145">
        <f t="shared" si="17"/>
        <v>0</v>
      </c>
      <c r="K60" s="145">
        <f t="shared" si="18"/>
        <v>148838.45785499999</v>
      </c>
      <c r="L60" s="168"/>
      <c r="M60" s="147">
        <f t="shared" si="8"/>
        <v>148838.42000000001</v>
      </c>
      <c r="N60" s="147">
        <f t="shared" si="7"/>
        <v>157769.42000000001</v>
      </c>
      <c r="O60" s="133">
        <f t="shared" si="9"/>
        <v>0.42000000000000021</v>
      </c>
      <c r="P60" t="s">
        <v>283</v>
      </c>
    </row>
    <row r="61" spans="1:17" x14ac:dyDescent="0.3">
      <c r="A61" s="108" t="s">
        <v>120</v>
      </c>
      <c r="B61" s="35"/>
      <c r="C61" s="35" t="s">
        <v>86</v>
      </c>
      <c r="D61" s="108" t="s">
        <v>200</v>
      </c>
      <c r="E61" s="135"/>
      <c r="F61" s="136">
        <v>1.6400000000000001E-2</v>
      </c>
      <c r="G61" s="137">
        <v>256942.43</v>
      </c>
      <c r="H61" s="208">
        <f t="shared" ref="H61:H65" si="23">G61</f>
        <v>256942.43</v>
      </c>
      <c r="I61" s="144">
        <f t="shared" si="0"/>
        <v>0</v>
      </c>
      <c r="J61" s="145">
        <f t="shared" si="17"/>
        <v>0</v>
      </c>
      <c r="K61" s="145">
        <f t="shared" si="18"/>
        <v>256942.17987600001</v>
      </c>
      <c r="L61" s="168">
        <v>0</v>
      </c>
      <c r="M61" s="147">
        <f t="shared" si="8"/>
        <v>256942.43</v>
      </c>
      <c r="N61" s="147">
        <f t="shared" si="7"/>
        <v>272359.43</v>
      </c>
      <c r="O61" s="133">
        <f t="shared" si="9"/>
        <v>0.43000000000000022</v>
      </c>
    </row>
    <row r="62" spans="1:17" x14ac:dyDescent="0.3">
      <c r="A62" s="108" t="s">
        <v>121</v>
      </c>
      <c r="B62" s="35"/>
      <c r="C62" s="35" t="s">
        <v>87</v>
      </c>
      <c r="D62" s="108" t="s">
        <v>200</v>
      </c>
      <c r="E62" s="135"/>
      <c r="F62" s="136">
        <v>7.1999999999999998E-3</v>
      </c>
      <c r="G62" s="137">
        <v>112804.44</v>
      </c>
      <c r="H62" s="208">
        <f t="shared" si="23"/>
        <v>112804.44</v>
      </c>
      <c r="I62" s="144">
        <f t="shared" si="0"/>
        <v>0</v>
      </c>
      <c r="J62" s="145">
        <f t="shared" si="17"/>
        <v>0</v>
      </c>
      <c r="K62" s="145">
        <f t="shared" si="18"/>
        <v>112803.883848</v>
      </c>
      <c r="L62" s="168">
        <v>0</v>
      </c>
      <c r="M62" s="147">
        <f t="shared" si="8"/>
        <v>112804.44</v>
      </c>
      <c r="N62" s="147">
        <f t="shared" si="7"/>
        <v>119573.44</v>
      </c>
      <c r="O62" s="133">
        <f t="shared" si="9"/>
        <v>0.44000000000000022</v>
      </c>
    </row>
    <row r="63" spans="1:17" x14ac:dyDescent="0.3">
      <c r="A63" s="57" t="s">
        <v>120</v>
      </c>
      <c r="B63" s="6"/>
      <c r="C63" s="35" t="s">
        <v>88</v>
      </c>
      <c r="D63" s="108" t="s">
        <v>201</v>
      </c>
      <c r="E63" s="135"/>
      <c r="F63" s="136">
        <v>1.7299999999999999E-2</v>
      </c>
      <c r="G63" s="137">
        <v>271043.45</v>
      </c>
      <c r="H63" s="208">
        <f>G63</f>
        <v>271043.45</v>
      </c>
      <c r="I63" s="144">
        <f t="shared" si="0"/>
        <v>0</v>
      </c>
      <c r="J63" s="145">
        <f t="shared" si="17"/>
        <v>0</v>
      </c>
      <c r="K63" s="145">
        <f t="shared" si="18"/>
        <v>271042.66535699996</v>
      </c>
      <c r="L63" s="168">
        <v>0</v>
      </c>
      <c r="M63" s="147">
        <f t="shared" si="8"/>
        <v>271043.45</v>
      </c>
      <c r="N63" s="147">
        <f t="shared" si="7"/>
        <v>287306.45</v>
      </c>
      <c r="O63" s="133">
        <f t="shared" si="9"/>
        <v>0.45000000000000023</v>
      </c>
    </row>
    <row r="64" spans="1:17" x14ac:dyDescent="0.3">
      <c r="A64" s="57" t="s">
        <v>122</v>
      </c>
      <c r="B64" s="6"/>
      <c r="C64" s="35" t="s">
        <v>89</v>
      </c>
      <c r="D64" s="108" t="s">
        <v>202</v>
      </c>
      <c r="E64" s="135" t="s">
        <v>274</v>
      </c>
      <c r="F64" s="136">
        <v>9.4000000000000004E-3</v>
      </c>
      <c r="G64" s="137">
        <v>283572.46000000002</v>
      </c>
      <c r="H64" s="208">
        <v>147272.46</v>
      </c>
      <c r="I64" s="144">
        <f t="shared" si="0"/>
        <v>136300.00000000003</v>
      </c>
      <c r="J64" s="145">
        <f t="shared" si="17"/>
        <v>0</v>
      </c>
      <c r="K64" s="145">
        <f t="shared" si="18"/>
        <v>147271.737246</v>
      </c>
      <c r="L64" s="282">
        <f>13000+K64*0.1</f>
        <v>27727.173724600001</v>
      </c>
      <c r="M64" s="147">
        <f t="shared" si="8"/>
        <v>311299.46000000002</v>
      </c>
      <c r="N64" s="147">
        <f t="shared" si="7"/>
        <v>329977.46000000002</v>
      </c>
      <c r="O64" s="173">
        <f t="shared" si="9"/>
        <v>0.46000000000000024</v>
      </c>
    </row>
    <row r="65" spans="1:18" x14ac:dyDescent="0.3">
      <c r="A65" s="57" t="s">
        <v>122</v>
      </c>
      <c r="B65" s="6"/>
      <c r="C65" s="35" t="s">
        <v>90</v>
      </c>
      <c r="D65" s="108" t="s">
        <v>181</v>
      </c>
      <c r="E65" s="135"/>
      <c r="F65" s="136">
        <v>8.6999999999999994E-3</v>
      </c>
      <c r="G65" s="137">
        <v>144484.47</v>
      </c>
      <c r="H65" s="208">
        <f t="shared" si="23"/>
        <v>144484.47</v>
      </c>
      <c r="I65" s="144">
        <f t="shared" si="0"/>
        <v>0</v>
      </c>
      <c r="J65" s="145">
        <f t="shared" si="17"/>
        <v>0</v>
      </c>
      <c r="K65" s="145">
        <f t="shared" si="18"/>
        <v>136304.69298299999</v>
      </c>
      <c r="L65" s="168">
        <v>0</v>
      </c>
      <c r="M65" s="147">
        <f t="shared" si="8"/>
        <v>136305.47</v>
      </c>
      <c r="N65" s="147">
        <f t="shared" si="7"/>
        <v>144484.47</v>
      </c>
      <c r="O65" s="173">
        <f t="shared" si="9"/>
        <v>0.47000000000000025</v>
      </c>
    </row>
    <row r="66" spans="1:18" x14ac:dyDescent="0.3">
      <c r="A66" s="57" t="s">
        <v>122</v>
      </c>
      <c r="B66" s="6"/>
      <c r="C66" s="35" t="s">
        <v>91</v>
      </c>
      <c r="D66" s="108" t="s">
        <v>203</v>
      </c>
      <c r="E66" s="135"/>
      <c r="F66" s="136">
        <v>9.4999999999999998E-3</v>
      </c>
      <c r="G66" s="137">
        <v>167838.48</v>
      </c>
      <c r="H66" s="208">
        <v>148838.48000000001</v>
      </c>
      <c r="I66" s="144">
        <f t="shared" si="0"/>
        <v>19000</v>
      </c>
      <c r="J66" s="145">
        <f t="shared" si="17"/>
        <v>0</v>
      </c>
      <c r="K66" s="145">
        <f t="shared" si="18"/>
        <v>148838.45785499999</v>
      </c>
      <c r="L66" s="168">
        <v>0</v>
      </c>
      <c r="M66" s="147">
        <f t="shared" si="8"/>
        <v>167838.48</v>
      </c>
      <c r="N66" s="147">
        <f t="shared" si="7"/>
        <v>177909.48</v>
      </c>
      <c r="O66" s="173">
        <f t="shared" si="9"/>
        <v>0.48000000000000026</v>
      </c>
      <c r="R66" s="183"/>
    </row>
    <row r="67" spans="1:18" x14ac:dyDescent="0.3">
      <c r="A67" s="57" t="s">
        <v>120</v>
      </c>
      <c r="B67" s="6"/>
      <c r="C67" s="35" t="s">
        <v>92</v>
      </c>
      <c r="D67" s="108" t="s">
        <v>204</v>
      </c>
      <c r="E67" s="135"/>
      <c r="F67" s="136">
        <v>1.6400000000000001E-2</v>
      </c>
      <c r="G67" s="137">
        <v>268942.49</v>
      </c>
      <c r="H67" s="208">
        <f t="shared" ref="H67" si="24">G67</f>
        <v>268942.49</v>
      </c>
      <c r="I67" s="144">
        <f t="shared" si="0"/>
        <v>0</v>
      </c>
      <c r="J67" s="145">
        <f t="shared" si="17"/>
        <v>0</v>
      </c>
      <c r="K67" s="145">
        <f t="shared" si="18"/>
        <v>256942.17987600001</v>
      </c>
      <c r="L67" s="168"/>
      <c r="M67" s="147">
        <f t="shared" si="8"/>
        <v>256942.49</v>
      </c>
      <c r="N67" s="147">
        <f t="shared" si="7"/>
        <v>272359.49</v>
      </c>
      <c r="O67" s="133">
        <f t="shared" si="9"/>
        <v>0.49000000000000027</v>
      </c>
      <c r="R67" s="43"/>
    </row>
    <row r="68" spans="1:18" x14ac:dyDescent="0.3">
      <c r="A68" s="139" t="s">
        <v>121</v>
      </c>
      <c r="B68" s="138"/>
      <c r="C68" s="35" t="s">
        <v>93</v>
      </c>
      <c r="D68" s="108" t="s">
        <v>205</v>
      </c>
      <c r="E68" s="135"/>
      <c r="F68" s="136">
        <v>7.1999999999999998E-3</v>
      </c>
      <c r="G68" s="137">
        <v>556636.5</v>
      </c>
      <c r="H68" s="208"/>
      <c r="I68" s="144">
        <f t="shared" si="0"/>
        <v>556636.5</v>
      </c>
      <c r="J68" s="145">
        <f t="shared" si="17"/>
        <v>0</v>
      </c>
      <c r="K68" s="145">
        <f t="shared" si="18"/>
        <v>112803.883848</v>
      </c>
      <c r="L68" s="168">
        <v>0</v>
      </c>
      <c r="M68" s="147">
        <f t="shared" si="8"/>
        <v>669440.5</v>
      </c>
      <c r="N68" s="147">
        <f t="shared" si="7"/>
        <v>709607.5</v>
      </c>
      <c r="O68" s="133">
        <f t="shared" si="9"/>
        <v>0.50000000000000022</v>
      </c>
    </row>
    <row r="69" spans="1:18" x14ac:dyDescent="0.3">
      <c r="A69" s="57" t="s">
        <v>120</v>
      </c>
      <c r="B69" s="6"/>
      <c r="C69" s="35" t="s">
        <v>94</v>
      </c>
      <c r="D69" s="108" t="s">
        <v>206</v>
      </c>
      <c r="E69" s="135"/>
      <c r="F69" s="136">
        <v>1.7299999999999999E-2</v>
      </c>
      <c r="G69" s="137">
        <v>271043.51</v>
      </c>
      <c r="H69" s="208">
        <f t="shared" ref="H69" si="25">G69</f>
        <v>271043.51</v>
      </c>
      <c r="I69" s="144">
        <f t="shared" si="0"/>
        <v>0</v>
      </c>
      <c r="J69" s="145">
        <f t="shared" si="17"/>
        <v>0</v>
      </c>
      <c r="K69" s="145">
        <f t="shared" si="18"/>
        <v>271042.66535699996</v>
      </c>
      <c r="L69" s="168">
        <v>0</v>
      </c>
      <c r="M69" s="147">
        <f t="shared" si="8"/>
        <v>271043.51</v>
      </c>
      <c r="N69" s="147">
        <f t="shared" si="7"/>
        <v>287306.51</v>
      </c>
      <c r="O69" s="133">
        <f t="shared" si="9"/>
        <v>0.51000000000000023</v>
      </c>
    </row>
    <row r="70" spans="1:18" x14ac:dyDescent="0.3">
      <c r="A70" s="57" t="s">
        <v>122</v>
      </c>
      <c r="B70" s="6"/>
      <c r="C70" s="35" t="s">
        <v>95</v>
      </c>
      <c r="D70" s="108" t="s">
        <v>207</v>
      </c>
      <c r="E70" s="135"/>
      <c r="F70" s="136">
        <v>9.4000000000000004E-3</v>
      </c>
      <c r="G70" s="137">
        <v>419357.52</v>
      </c>
      <c r="H70" s="208">
        <f>G70</f>
        <v>419357.52</v>
      </c>
      <c r="I70" s="144">
        <f t="shared" si="0"/>
        <v>0</v>
      </c>
      <c r="J70" s="145">
        <f t="shared" si="17"/>
        <v>0</v>
      </c>
      <c r="K70" s="145">
        <f t="shared" si="18"/>
        <v>147271.737246</v>
      </c>
      <c r="L70" s="168">
        <v>0</v>
      </c>
      <c r="M70" s="147">
        <f t="shared" si="8"/>
        <v>147272.51999999999</v>
      </c>
      <c r="N70" s="147">
        <f t="shared" si="7"/>
        <v>156109.51999999999</v>
      </c>
      <c r="O70" s="133">
        <f t="shared" si="9"/>
        <v>0.52000000000000024</v>
      </c>
    </row>
    <row r="71" spans="1:18" x14ac:dyDescent="0.3">
      <c r="A71" s="57" t="s">
        <v>122</v>
      </c>
      <c r="B71" s="6"/>
      <c r="C71" s="35" t="s">
        <v>96</v>
      </c>
      <c r="D71" s="108" t="s">
        <v>119</v>
      </c>
      <c r="E71" s="135"/>
      <c r="F71" s="136">
        <v>8.6999999999999994E-3</v>
      </c>
      <c r="G71" s="137">
        <v>136305.53</v>
      </c>
      <c r="H71" s="208">
        <f t="shared" ref="H71:H73" si="26">G71</f>
        <v>136305.53</v>
      </c>
      <c r="I71" s="144">
        <f t="shared" si="0"/>
        <v>0</v>
      </c>
      <c r="J71" s="145">
        <f t="shared" si="17"/>
        <v>0</v>
      </c>
      <c r="K71" s="145">
        <f t="shared" si="18"/>
        <v>136304.69298299999</v>
      </c>
      <c r="L71" s="168">
        <v>20000</v>
      </c>
      <c r="M71" s="147">
        <f t="shared" si="8"/>
        <v>156305.53</v>
      </c>
      <c r="N71" s="147">
        <f t="shared" si="7"/>
        <v>165684.53</v>
      </c>
      <c r="O71" s="133">
        <f t="shared" si="9"/>
        <v>0.53000000000000025</v>
      </c>
      <c r="Q71" t="s">
        <v>258</v>
      </c>
    </row>
    <row r="72" spans="1:18" x14ac:dyDescent="0.3">
      <c r="A72" s="57" t="s">
        <v>122</v>
      </c>
      <c r="B72" s="6"/>
      <c r="C72" s="35" t="s">
        <v>97</v>
      </c>
      <c r="D72" s="108" t="s">
        <v>208</v>
      </c>
      <c r="E72" s="135"/>
      <c r="F72" s="136">
        <v>9.4999999999999998E-3</v>
      </c>
      <c r="G72" s="137">
        <v>148838.54</v>
      </c>
      <c r="H72" s="208">
        <f t="shared" si="26"/>
        <v>148838.54</v>
      </c>
      <c r="I72" s="144">
        <f t="shared" si="0"/>
        <v>0</v>
      </c>
      <c r="J72" s="145">
        <f t="shared" si="17"/>
        <v>0</v>
      </c>
      <c r="K72" s="145">
        <f t="shared" si="18"/>
        <v>148838.45785499999</v>
      </c>
      <c r="L72" s="168">
        <v>0</v>
      </c>
      <c r="M72" s="147">
        <f t="shared" si="8"/>
        <v>148838.54</v>
      </c>
      <c r="N72" s="147">
        <f t="shared" si="7"/>
        <v>157769.54</v>
      </c>
      <c r="O72" s="133">
        <f t="shared" si="9"/>
        <v>0.54000000000000026</v>
      </c>
    </row>
    <row r="73" spans="1:18" x14ac:dyDescent="0.3">
      <c r="A73" s="57" t="s">
        <v>123</v>
      </c>
      <c r="B73" s="6"/>
      <c r="C73" s="35" t="s">
        <v>98</v>
      </c>
      <c r="D73" s="108" t="s">
        <v>209</v>
      </c>
      <c r="E73" s="135"/>
      <c r="F73" s="136">
        <v>2.35E-2</v>
      </c>
      <c r="G73" s="137">
        <v>388179.55</v>
      </c>
      <c r="H73" s="208">
        <f t="shared" si="26"/>
        <v>388179.55</v>
      </c>
      <c r="I73" s="144">
        <f t="shared" si="0"/>
        <v>0</v>
      </c>
      <c r="J73" s="145">
        <f t="shared" si="17"/>
        <v>0</v>
      </c>
      <c r="K73" s="145">
        <f t="shared" si="18"/>
        <v>368179.343115</v>
      </c>
      <c r="L73" s="168"/>
      <c r="M73" s="147">
        <f t="shared" si="8"/>
        <v>368179.55</v>
      </c>
      <c r="N73" s="147">
        <f t="shared" si="7"/>
        <v>390270.55</v>
      </c>
      <c r="O73" s="133">
        <f t="shared" si="9"/>
        <v>0.55000000000000027</v>
      </c>
      <c r="P73" s="73"/>
    </row>
    <row r="74" spans="1:18" x14ac:dyDescent="0.3">
      <c r="A74" s="57" t="s">
        <v>120</v>
      </c>
      <c r="B74" s="6"/>
      <c r="C74" s="35" t="s">
        <v>99</v>
      </c>
      <c r="D74" s="108" t="s">
        <v>210</v>
      </c>
      <c r="E74" s="135"/>
      <c r="F74" s="136">
        <v>1.7299999999999999E-2</v>
      </c>
      <c r="G74" s="137">
        <v>271043.56</v>
      </c>
      <c r="H74" s="208">
        <f>G74</f>
        <v>271043.56</v>
      </c>
      <c r="I74" s="144">
        <f t="shared" si="0"/>
        <v>0</v>
      </c>
      <c r="J74" s="145">
        <f t="shared" si="17"/>
        <v>0</v>
      </c>
      <c r="K74" s="145">
        <f t="shared" si="18"/>
        <v>271042.66535699996</v>
      </c>
      <c r="L74" s="168">
        <v>0</v>
      </c>
      <c r="M74" s="147">
        <f t="shared" si="8"/>
        <v>271043.56</v>
      </c>
      <c r="N74" s="147">
        <f t="shared" si="7"/>
        <v>287306.56</v>
      </c>
      <c r="O74" s="133">
        <f t="shared" si="9"/>
        <v>0.56000000000000028</v>
      </c>
    </row>
    <row r="75" spans="1:18" x14ac:dyDescent="0.3">
      <c r="A75" s="57" t="s">
        <v>122</v>
      </c>
      <c r="B75" s="6"/>
      <c r="C75" s="35" t="s">
        <v>100</v>
      </c>
      <c r="D75" s="108" t="s">
        <v>256</v>
      </c>
      <c r="E75" s="135"/>
      <c r="F75" s="136">
        <v>9.4000000000000004E-3</v>
      </c>
      <c r="G75" s="137">
        <v>147272.57</v>
      </c>
      <c r="H75" s="208">
        <f>G75</f>
        <v>147272.57</v>
      </c>
      <c r="I75" s="144">
        <f t="shared" si="0"/>
        <v>0</v>
      </c>
      <c r="J75" s="145">
        <f t="shared" si="17"/>
        <v>0</v>
      </c>
      <c r="K75" s="145">
        <f t="shared" si="18"/>
        <v>147271.737246</v>
      </c>
      <c r="L75" s="168">
        <v>0</v>
      </c>
      <c r="M75" s="147">
        <f t="shared" si="8"/>
        <v>147272.57</v>
      </c>
      <c r="N75" s="147">
        <f t="shared" si="7"/>
        <v>156109.57</v>
      </c>
      <c r="O75" s="133">
        <f t="shared" si="9"/>
        <v>0.57000000000000028</v>
      </c>
    </row>
    <row r="76" spans="1:18" x14ac:dyDescent="0.3">
      <c r="A76" s="57" t="s">
        <v>122</v>
      </c>
      <c r="B76" s="6"/>
      <c r="C76" s="35" t="s">
        <v>101</v>
      </c>
      <c r="D76" s="108" t="s">
        <v>211</v>
      </c>
      <c r="E76" s="135" t="s">
        <v>290</v>
      </c>
      <c r="F76" s="136">
        <v>8.6999999999999994E-3</v>
      </c>
      <c r="G76" s="137">
        <v>136305.57999999999</v>
      </c>
      <c r="H76" s="208"/>
      <c r="I76" s="144">
        <f t="shared" si="0"/>
        <v>136305.57999999999</v>
      </c>
      <c r="J76" s="145">
        <f t="shared" si="17"/>
        <v>0</v>
      </c>
      <c r="K76" s="145">
        <f t="shared" si="18"/>
        <v>136304.69298299999</v>
      </c>
      <c r="L76" s="168">
        <v>0</v>
      </c>
      <c r="M76" s="147">
        <f t="shared" si="8"/>
        <v>272610.58</v>
      </c>
      <c r="N76" s="147">
        <f t="shared" si="7"/>
        <v>288967.58</v>
      </c>
      <c r="O76" s="133">
        <f t="shared" si="9"/>
        <v>0.58000000000000029</v>
      </c>
    </row>
    <row r="77" spans="1:18" x14ac:dyDescent="0.3">
      <c r="A77" s="57" t="s">
        <v>122</v>
      </c>
      <c r="B77" s="6"/>
      <c r="C77" s="35" t="s">
        <v>102</v>
      </c>
      <c r="D77" s="108" t="s">
        <v>212</v>
      </c>
      <c r="E77" s="135"/>
      <c r="F77" s="136">
        <v>9.4999999999999998E-3</v>
      </c>
      <c r="G77" s="137">
        <v>149007.59</v>
      </c>
      <c r="H77" s="208">
        <f>G77</f>
        <v>149007.59</v>
      </c>
      <c r="I77" s="144">
        <f t="shared" si="0"/>
        <v>0</v>
      </c>
      <c r="J77" s="145">
        <f t="shared" si="17"/>
        <v>0</v>
      </c>
      <c r="K77" s="145">
        <f t="shared" si="18"/>
        <v>148838.45785499999</v>
      </c>
      <c r="L77" s="168">
        <v>0</v>
      </c>
      <c r="M77" s="147">
        <f t="shared" si="8"/>
        <v>148838.59</v>
      </c>
      <c r="N77" s="147">
        <f t="shared" si="7"/>
        <v>157769.59</v>
      </c>
      <c r="O77" s="133">
        <f t="shared" si="9"/>
        <v>0.5900000000000003</v>
      </c>
    </row>
    <row r="78" spans="1:18" x14ac:dyDescent="0.3">
      <c r="A78" s="57" t="s">
        <v>123</v>
      </c>
      <c r="B78" s="6"/>
      <c r="C78" s="35" t="s">
        <v>103</v>
      </c>
      <c r="D78" s="108" t="s">
        <v>213</v>
      </c>
      <c r="E78" s="135"/>
      <c r="F78" s="136">
        <v>2.35E-2</v>
      </c>
      <c r="G78" s="137">
        <v>368179.6</v>
      </c>
      <c r="H78" s="208">
        <f>G78</f>
        <v>368179.6</v>
      </c>
      <c r="I78" s="144">
        <f t="shared" si="0"/>
        <v>0</v>
      </c>
      <c r="J78" s="145">
        <f t="shared" si="17"/>
        <v>0</v>
      </c>
      <c r="K78" s="145">
        <f t="shared" si="18"/>
        <v>368179.343115</v>
      </c>
      <c r="L78" s="168">
        <v>0</v>
      </c>
      <c r="M78" s="147">
        <f t="shared" si="8"/>
        <v>368179.6</v>
      </c>
      <c r="N78" s="147">
        <f t="shared" si="7"/>
        <v>390270.6</v>
      </c>
      <c r="O78" s="133">
        <f t="shared" si="9"/>
        <v>0.60000000000000031</v>
      </c>
    </row>
    <row r="79" spans="1:18" x14ac:dyDescent="0.3">
      <c r="A79" s="57" t="s">
        <v>120</v>
      </c>
      <c r="B79" s="6"/>
      <c r="C79" s="35" t="s">
        <v>104</v>
      </c>
      <c r="D79" s="108" t="s">
        <v>214</v>
      </c>
      <c r="E79" s="135"/>
      <c r="F79" s="136">
        <v>1.7299999999999999E-2</v>
      </c>
      <c r="G79" s="137">
        <v>271043.61</v>
      </c>
      <c r="H79" s="208">
        <f t="shared" ref="H79" si="27">G79</f>
        <v>271043.61</v>
      </c>
      <c r="I79" s="144">
        <f t="shared" si="0"/>
        <v>0</v>
      </c>
      <c r="J79" s="145">
        <f t="shared" si="17"/>
        <v>0</v>
      </c>
      <c r="K79" s="145">
        <f t="shared" si="18"/>
        <v>271042.66535699996</v>
      </c>
      <c r="L79" s="168">
        <v>0</v>
      </c>
      <c r="M79" s="147">
        <f t="shared" si="8"/>
        <v>271043.61</v>
      </c>
      <c r="N79" s="147">
        <f t="shared" si="7"/>
        <v>287306.61</v>
      </c>
      <c r="O79" s="133">
        <f t="shared" si="9"/>
        <v>0.61000000000000032</v>
      </c>
    </row>
    <row r="80" spans="1:18" x14ac:dyDescent="0.3">
      <c r="A80" s="57" t="s">
        <v>122</v>
      </c>
      <c r="B80" s="6"/>
      <c r="C80" s="35" t="s">
        <v>105</v>
      </c>
      <c r="D80" s="108" t="s">
        <v>215</v>
      </c>
      <c r="E80" s="135"/>
      <c r="F80" s="136">
        <v>9.4000000000000004E-3</v>
      </c>
      <c r="G80" s="137">
        <v>408372.62</v>
      </c>
      <c r="H80" s="208"/>
      <c r="I80" s="144">
        <f t="shared" si="0"/>
        <v>408372.62</v>
      </c>
      <c r="J80" s="145">
        <f t="shared" si="17"/>
        <v>0</v>
      </c>
      <c r="K80" s="145">
        <f t="shared" si="18"/>
        <v>147271.737246</v>
      </c>
      <c r="L80" s="168">
        <v>0</v>
      </c>
      <c r="M80" s="147">
        <f t="shared" si="8"/>
        <v>555644.62</v>
      </c>
      <c r="N80" s="147">
        <f t="shared" si="7"/>
        <v>588983.62</v>
      </c>
      <c r="O80" s="133">
        <f t="shared" si="9"/>
        <v>0.62000000000000033</v>
      </c>
    </row>
    <row r="81" spans="1:16" x14ac:dyDescent="0.3">
      <c r="A81" s="57" t="s">
        <v>122</v>
      </c>
      <c r="B81" s="6"/>
      <c r="C81" s="198" t="s">
        <v>106</v>
      </c>
      <c r="D81" s="199" t="s">
        <v>216</v>
      </c>
      <c r="E81" s="200" t="s">
        <v>275</v>
      </c>
      <c r="F81" s="201">
        <v>8.6999999999999994E-3</v>
      </c>
      <c r="G81" s="202">
        <v>204457.63</v>
      </c>
      <c r="H81" s="211">
        <f t="shared" ref="H81" si="28">G81</f>
        <v>204457.63</v>
      </c>
      <c r="I81" s="203">
        <f t="shared" si="0"/>
        <v>0</v>
      </c>
      <c r="J81" s="204">
        <f t="shared" si="17"/>
        <v>0</v>
      </c>
      <c r="K81" s="204">
        <f t="shared" si="18"/>
        <v>136304.69298299999</v>
      </c>
      <c r="L81" s="205">
        <v>20000</v>
      </c>
      <c r="M81" s="206">
        <f t="shared" si="8"/>
        <v>156305.63</v>
      </c>
      <c r="N81" s="206">
        <f t="shared" si="7"/>
        <v>165684.63</v>
      </c>
      <c r="O81" s="133">
        <f t="shared" si="9"/>
        <v>0.63000000000000034</v>
      </c>
    </row>
    <row r="82" spans="1:16" x14ac:dyDescent="0.3">
      <c r="A82" s="57" t="s">
        <v>122</v>
      </c>
      <c r="B82" s="6"/>
      <c r="C82" s="35" t="s">
        <v>107</v>
      </c>
      <c r="D82" s="108" t="s">
        <v>217</v>
      </c>
      <c r="E82" s="135"/>
      <c r="F82" s="136">
        <v>9.4999999999999998E-3</v>
      </c>
      <c r="G82" s="137">
        <v>148838.64000000001</v>
      </c>
      <c r="H82" s="208">
        <f>G82</f>
        <v>148838.64000000001</v>
      </c>
      <c r="I82" s="144">
        <f t="shared" si="0"/>
        <v>0</v>
      </c>
      <c r="J82" s="145">
        <f t="shared" si="17"/>
        <v>0</v>
      </c>
      <c r="K82" s="145">
        <f t="shared" si="18"/>
        <v>148838.45785499999</v>
      </c>
      <c r="L82" s="168">
        <v>0</v>
      </c>
      <c r="M82" s="147">
        <f t="shared" si="8"/>
        <v>148838.64000000001</v>
      </c>
      <c r="N82" s="147">
        <f t="shared" si="7"/>
        <v>157769.64000000001</v>
      </c>
      <c r="O82" s="133">
        <f t="shared" si="9"/>
        <v>0.64000000000000035</v>
      </c>
      <c r="P82" t="s">
        <v>284</v>
      </c>
    </row>
    <row r="83" spans="1:16" x14ac:dyDescent="0.3">
      <c r="A83" s="57" t="s">
        <v>123</v>
      </c>
      <c r="B83" s="6"/>
      <c r="C83" s="35" t="s">
        <v>108</v>
      </c>
      <c r="D83" s="108" t="s">
        <v>285</v>
      </c>
      <c r="E83" s="135"/>
      <c r="F83" s="136">
        <v>2.35E-2</v>
      </c>
      <c r="G83" s="137">
        <v>368179.65</v>
      </c>
      <c r="H83" s="208">
        <f t="shared" ref="H83:H96" si="29">G83</f>
        <v>368179.65</v>
      </c>
      <c r="I83" s="144">
        <f t="shared" si="0"/>
        <v>0</v>
      </c>
      <c r="J83" s="145">
        <f t="shared" ref="J83:J114" si="30">M$8*F83</f>
        <v>0</v>
      </c>
      <c r="K83" s="145">
        <f t="shared" ref="K83:K114" si="31">M$2*F83</f>
        <v>368179.343115</v>
      </c>
      <c r="L83" s="168">
        <v>0</v>
      </c>
      <c r="M83" s="147">
        <f t="shared" si="8"/>
        <v>368179.65</v>
      </c>
      <c r="N83" s="147">
        <f t="shared" si="7"/>
        <v>390270.65</v>
      </c>
      <c r="O83" s="133">
        <f t="shared" si="9"/>
        <v>0.65000000000000036</v>
      </c>
    </row>
    <row r="84" spans="1:16" x14ac:dyDescent="0.3">
      <c r="A84" s="57" t="s">
        <v>120</v>
      </c>
      <c r="B84" s="6"/>
      <c r="C84" s="35" t="s">
        <v>109</v>
      </c>
      <c r="D84" s="108" t="s">
        <v>218</v>
      </c>
      <c r="E84" s="135"/>
      <c r="F84" s="136">
        <v>1.7299999999999999E-2</v>
      </c>
      <c r="G84" s="137">
        <v>311043.65999999997</v>
      </c>
      <c r="H84" s="208">
        <f t="shared" si="29"/>
        <v>311043.65999999997</v>
      </c>
      <c r="I84" s="144">
        <f t="shared" si="0"/>
        <v>0</v>
      </c>
      <c r="J84" s="145">
        <f t="shared" si="30"/>
        <v>0</v>
      </c>
      <c r="K84" s="145">
        <f t="shared" si="31"/>
        <v>271042.66535699996</v>
      </c>
      <c r="L84" s="168"/>
      <c r="M84" s="147">
        <f t="shared" ref="M84:M131" si="32">ROUND((K84+J84+I84+L84),0) + O84</f>
        <v>271043.65999999997</v>
      </c>
      <c r="N84" s="147">
        <f t="shared" ref="N84:N131" si="33">ROUND((M84*6% + M84 ),0) + O84</f>
        <v>287306.65999999997</v>
      </c>
      <c r="O84" s="133">
        <f t="shared" si="9"/>
        <v>0.66000000000000036</v>
      </c>
    </row>
    <row r="85" spans="1:16" x14ac:dyDescent="0.3">
      <c r="A85" s="57" t="s">
        <v>122</v>
      </c>
      <c r="B85" s="6"/>
      <c r="C85" s="35" t="s">
        <v>110</v>
      </c>
      <c r="D85" s="108" t="s">
        <v>219</v>
      </c>
      <c r="E85" s="135"/>
      <c r="F85" s="136">
        <v>9.4000000000000004E-3</v>
      </c>
      <c r="G85" s="137">
        <v>147272.67000000001</v>
      </c>
      <c r="H85" s="208">
        <f t="shared" si="29"/>
        <v>147272.67000000001</v>
      </c>
      <c r="I85" s="144">
        <f t="shared" si="0"/>
        <v>0</v>
      </c>
      <c r="J85" s="145">
        <f t="shared" si="30"/>
        <v>0</v>
      </c>
      <c r="K85" s="145">
        <f t="shared" si="31"/>
        <v>147271.737246</v>
      </c>
      <c r="L85" s="168"/>
      <c r="M85" s="147">
        <f t="shared" si="32"/>
        <v>147272.67000000001</v>
      </c>
      <c r="N85" s="147">
        <f t="shared" si="33"/>
        <v>156109.67000000001</v>
      </c>
      <c r="O85" s="133">
        <f t="shared" ref="O85:O131" si="34">O84+0.01</f>
        <v>0.67000000000000037</v>
      </c>
    </row>
    <row r="86" spans="1:16" x14ac:dyDescent="0.3">
      <c r="A86" s="57" t="s">
        <v>122</v>
      </c>
      <c r="B86" s="6"/>
      <c r="C86" s="35" t="s">
        <v>111</v>
      </c>
      <c r="D86" s="108" t="s">
        <v>220</v>
      </c>
      <c r="E86" s="135"/>
      <c r="F86" s="136">
        <v>8.6999999999999994E-3</v>
      </c>
      <c r="G86" s="137">
        <v>136305.68</v>
      </c>
      <c r="H86" s="208">
        <f>G86</f>
        <v>136305.68</v>
      </c>
      <c r="I86" s="144">
        <f t="shared" si="0"/>
        <v>0</v>
      </c>
      <c r="J86" s="145">
        <f t="shared" si="30"/>
        <v>0</v>
      </c>
      <c r="K86" s="145">
        <f t="shared" si="31"/>
        <v>136304.69298299999</v>
      </c>
      <c r="L86" s="168">
        <v>0</v>
      </c>
      <c r="M86" s="147">
        <f t="shared" si="32"/>
        <v>136305.68</v>
      </c>
      <c r="N86" s="147">
        <f t="shared" si="33"/>
        <v>144484.68</v>
      </c>
      <c r="O86" s="133">
        <f t="shared" si="34"/>
        <v>0.68000000000000038</v>
      </c>
    </row>
    <row r="87" spans="1:16" x14ac:dyDescent="0.3">
      <c r="A87" s="108" t="s">
        <v>122</v>
      </c>
      <c r="B87" s="35"/>
      <c r="C87" s="35" t="s">
        <v>112</v>
      </c>
      <c r="D87" s="108" t="s">
        <v>221</v>
      </c>
      <c r="E87" s="135"/>
      <c r="F87" s="136">
        <v>9.4999999999999998E-3</v>
      </c>
      <c r="G87" s="137">
        <v>148838.69</v>
      </c>
      <c r="H87" s="208">
        <f>G87</f>
        <v>148838.69</v>
      </c>
      <c r="I87" s="144">
        <f t="shared" si="0"/>
        <v>0</v>
      </c>
      <c r="J87" s="145">
        <f t="shared" si="30"/>
        <v>0</v>
      </c>
      <c r="K87" s="145">
        <f t="shared" si="31"/>
        <v>148838.45785499999</v>
      </c>
      <c r="L87" s="168">
        <v>0</v>
      </c>
      <c r="M87" s="147">
        <f t="shared" si="32"/>
        <v>148838.69</v>
      </c>
      <c r="N87" s="147">
        <f t="shared" si="33"/>
        <v>157769.69</v>
      </c>
      <c r="O87" s="133">
        <f t="shared" si="34"/>
        <v>0.69000000000000039</v>
      </c>
    </row>
    <row r="88" spans="1:16" x14ac:dyDescent="0.3">
      <c r="A88" s="108"/>
      <c r="B88" s="35"/>
      <c r="C88" s="35" t="s">
        <v>124</v>
      </c>
      <c r="D88" s="108" t="s">
        <v>185</v>
      </c>
      <c r="E88" s="108"/>
      <c r="F88" s="143">
        <v>2.3E-3</v>
      </c>
      <c r="G88" s="137">
        <v>36035.699999999997</v>
      </c>
      <c r="H88" s="208">
        <f>G88</f>
        <v>36035.699999999997</v>
      </c>
      <c r="I88" s="144">
        <f t="shared" si="0"/>
        <v>0</v>
      </c>
      <c r="J88" s="145">
        <f t="shared" si="30"/>
        <v>0</v>
      </c>
      <c r="K88" s="145">
        <f t="shared" si="31"/>
        <v>36034.574006999996</v>
      </c>
      <c r="L88" s="168">
        <v>0</v>
      </c>
      <c r="M88" s="147">
        <f t="shared" si="32"/>
        <v>36035.699999999997</v>
      </c>
      <c r="N88" s="147">
        <f t="shared" si="33"/>
        <v>38198.699999999997</v>
      </c>
      <c r="O88" s="133">
        <f t="shared" si="34"/>
        <v>0.7000000000000004</v>
      </c>
    </row>
    <row r="89" spans="1:16" x14ac:dyDescent="0.3">
      <c r="A89" s="108"/>
      <c r="B89" s="35"/>
      <c r="C89" s="35" t="s">
        <v>125</v>
      </c>
      <c r="D89" s="108" t="s">
        <v>119</v>
      </c>
      <c r="E89" s="108"/>
      <c r="F89" s="143">
        <v>2.3E-3</v>
      </c>
      <c r="G89" s="137">
        <v>36035.71</v>
      </c>
      <c r="H89" s="208">
        <f t="shared" si="29"/>
        <v>36035.71</v>
      </c>
      <c r="I89" s="144">
        <f t="shared" si="0"/>
        <v>0</v>
      </c>
      <c r="J89" s="145">
        <f t="shared" si="30"/>
        <v>0</v>
      </c>
      <c r="K89" s="145">
        <f t="shared" si="31"/>
        <v>36034.574006999996</v>
      </c>
      <c r="L89" s="168">
        <v>0</v>
      </c>
      <c r="M89" s="147">
        <f t="shared" si="32"/>
        <v>36035.71</v>
      </c>
      <c r="N89" s="147">
        <f t="shared" si="33"/>
        <v>38198.71</v>
      </c>
      <c r="O89" s="133">
        <f t="shared" si="34"/>
        <v>0.71000000000000041</v>
      </c>
    </row>
    <row r="90" spans="1:16" x14ac:dyDescent="0.3">
      <c r="A90" s="108"/>
      <c r="B90" s="35"/>
      <c r="C90" s="35" t="s">
        <v>126</v>
      </c>
      <c r="D90" s="108" t="s">
        <v>193</v>
      </c>
      <c r="E90" s="108"/>
      <c r="F90" s="143">
        <v>2.3E-3</v>
      </c>
      <c r="G90" s="137">
        <v>38198.720000000001</v>
      </c>
      <c r="H90" s="208">
        <f t="shared" si="29"/>
        <v>38198.720000000001</v>
      </c>
      <c r="I90" s="144">
        <f t="shared" si="0"/>
        <v>0</v>
      </c>
      <c r="J90" s="145">
        <f t="shared" si="30"/>
        <v>0</v>
      </c>
      <c r="K90" s="145">
        <f t="shared" si="31"/>
        <v>36034.574006999996</v>
      </c>
      <c r="L90" s="168">
        <v>0</v>
      </c>
      <c r="M90" s="147">
        <f t="shared" si="32"/>
        <v>36035.72</v>
      </c>
      <c r="N90" s="147">
        <f t="shared" si="33"/>
        <v>38198.720000000001</v>
      </c>
      <c r="O90" s="133">
        <f t="shared" si="34"/>
        <v>0.72000000000000042</v>
      </c>
    </row>
    <row r="91" spans="1:16" x14ac:dyDescent="0.3">
      <c r="A91" s="108"/>
      <c r="B91" s="35"/>
      <c r="C91" s="35" t="s">
        <v>127</v>
      </c>
      <c r="D91" s="108" t="s">
        <v>204</v>
      </c>
      <c r="E91" s="108"/>
      <c r="F91" s="143">
        <v>2.3E-3</v>
      </c>
      <c r="G91" s="137">
        <v>36035.730000000003</v>
      </c>
      <c r="H91" s="208">
        <f t="shared" si="29"/>
        <v>36035.730000000003</v>
      </c>
      <c r="I91" s="144">
        <f t="shared" si="0"/>
        <v>0</v>
      </c>
      <c r="J91" s="145">
        <f t="shared" si="30"/>
        <v>0</v>
      </c>
      <c r="K91" s="145">
        <f t="shared" si="31"/>
        <v>36034.574006999996</v>
      </c>
      <c r="L91" s="168">
        <v>0</v>
      </c>
      <c r="M91" s="147">
        <f t="shared" si="32"/>
        <v>36035.730000000003</v>
      </c>
      <c r="N91" s="147">
        <f t="shared" si="33"/>
        <v>38198.730000000003</v>
      </c>
      <c r="O91" s="133">
        <f t="shared" si="34"/>
        <v>0.73000000000000043</v>
      </c>
    </row>
    <row r="92" spans="1:16" x14ac:dyDescent="0.3">
      <c r="A92" s="108"/>
      <c r="B92" s="35"/>
      <c r="C92" s="176" t="s">
        <v>128</v>
      </c>
      <c r="D92" s="177" t="s">
        <v>199</v>
      </c>
      <c r="E92" s="177"/>
      <c r="F92" s="178">
        <v>2.3E-3</v>
      </c>
      <c r="G92" s="44">
        <v>36035.74</v>
      </c>
      <c r="H92" s="208">
        <f t="shared" si="29"/>
        <v>36035.74</v>
      </c>
      <c r="I92" s="179">
        <f t="shared" si="0"/>
        <v>0</v>
      </c>
      <c r="J92" s="180">
        <f t="shared" si="30"/>
        <v>0</v>
      </c>
      <c r="K92" s="180">
        <f t="shared" si="31"/>
        <v>36034.574006999996</v>
      </c>
      <c r="L92" s="181">
        <v>0</v>
      </c>
      <c r="M92" s="182">
        <f t="shared" si="32"/>
        <v>36035.74</v>
      </c>
      <c r="N92" s="182">
        <f t="shared" si="33"/>
        <v>38198.74</v>
      </c>
      <c r="O92" s="133">
        <f t="shared" si="34"/>
        <v>0.74000000000000044</v>
      </c>
      <c r="P92" t="s">
        <v>283</v>
      </c>
    </row>
    <row r="93" spans="1:16" x14ac:dyDescent="0.3">
      <c r="A93" s="108"/>
      <c r="B93" s="35"/>
      <c r="C93" s="35" t="s">
        <v>129</v>
      </c>
      <c r="D93" s="108" t="s">
        <v>224</v>
      </c>
      <c r="E93" s="108"/>
      <c r="F93" s="143">
        <v>2.3E-3</v>
      </c>
      <c r="G93" s="44">
        <v>36035.75</v>
      </c>
      <c r="H93" s="208">
        <v>38198.75</v>
      </c>
      <c r="I93" s="144">
        <f t="shared" si="0"/>
        <v>-2163</v>
      </c>
      <c r="J93" s="145">
        <f t="shared" si="30"/>
        <v>0</v>
      </c>
      <c r="K93" s="145">
        <f t="shared" si="31"/>
        <v>36034.574006999996</v>
      </c>
      <c r="L93" s="168">
        <v>0</v>
      </c>
      <c r="M93" s="147">
        <f t="shared" si="32"/>
        <v>33872.75</v>
      </c>
      <c r="N93" s="147">
        <f t="shared" si="33"/>
        <v>35905.75</v>
      </c>
      <c r="O93" s="133">
        <f t="shared" si="34"/>
        <v>0.75000000000000044</v>
      </c>
    </row>
    <row r="94" spans="1:16" x14ac:dyDescent="0.3">
      <c r="A94" s="108"/>
      <c r="B94" s="35"/>
      <c r="C94" s="35" t="s">
        <v>130</v>
      </c>
      <c r="D94" s="108" t="s">
        <v>192</v>
      </c>
      <c r="E94" s="108"/>
      <c r="F94" s="143">
        <v>2.3E-3</v>
      </c>
      <c r="G94" s="137">
        <v>36035.760000000002</v>
      </c>
      <c r="H94" s="208">
        <f t="shared" si="29"/>
        <v>36035.760000000002</v>
      </c>
      <c r="I94" s="144">
        <f t="shared" si="0"/>
        <v>0</v>
      </c>
      <c r="J94" s="145">
        <f t="shared" si="30"/>
        <v>0</v>
      </c>
      <c r="K94" s="145">
        <f t="shared" si="31"/>
        <v>36034.574006999996</v>
      </c>
      <c r="L94" s="168">
        <v>0</v>
      </c>
      <c r="M94" s="147">
        <f t="shared" si="32"/>
        <v>36035.760000000002</v>
      </c>
      <c r="N94" s="147">
        <f t="shared" si="33"/>
        <v>38198.76</v>
      </c>
      <c r="O94" s="133">
        <f t="shared" si="34"/>
        <v>0.76000000000000045</v>
      </c>
    </row>
    <row r="95" spans="1:16" x14ac:dyDescent="0.3">
      <c r="A95" s="108"/>
      <c r="B95" s="35"/>
      <c r="C95" s="35" t="s">
        <v>131</v>
      </c>
      <c r="D95" s="108" t="s">
        <v>192</v>
      </c>
      <c r="E95" s="108"/>
      <c r="F95" s="143">
        <v>2.3E-3</v>
      </c>
      <c r="G95" s="137">
        <v>36035.769999999997</v>
      </c>
      <c r="H95" s="208">
        <f t="shared" si="29"/>
        <v>36035.769999999997</v>
      </c>
      <c r="I95" s="144">
        <f t="shared" si="0"/>
        <v>0</v>
      </c>
      <c r="J95" s="145">
        <f t="shared" si="30"/>
        <v>0</v>
      </c>
      <c r="K95" s="145">
        <f t="shared" si="31"/>
        <v>36034.574006999996</v>
      </c>
      <c r="L95" s="168">
        <v>0</v>
      </c>
      <c r="M95" s="147">
        <f t="shared" si="32"/>
        <v>36035.769999999997</v>
      </c>
      <c r="N95" s="147">
        <f t="shared" si="33"/>
        <v>38198.769999999997</v>
      </c>
      <c r="O95" s="133">
        <f t="shared" si="34"/>
        <v>0.77000000000000046</v>
      </c>
    </row>
    <row r="96" spans="1:16" x14ac:dyDescent="0.3">
      <c r="A96" s="108"/>
      <c r="B96" s="35"/>
      <c r="C96" s="35" t="s">
        <v>132</v>
      </c>
      <c r="D96" s="108" t="s">
        <v>285</v>
      </c>
      <c r="E96" s="108"/>
      <c r="F96" s="143">
        <v>2.3E-3</v>
      </c>
      <c r="G96" s="137">
        <v>36035.78</v>
      </c>
      <c r="H96" s="208">
        <f t="shared" si="29"/>
        <v>36035.78</v>
      </c>
      <c r="I96" s="144">
        <f t="shared" si="0"/>
        <v>0</v>
      </c>
      <c r="J96" s="145">
        <f t="shared" si="30"/>
        <v>0</v>
      </c>
      <c r="K96" s="145">
        <f t="shared" si="31"/>
        <v>36034.574006999996</v>
      </c>
      <c r="L96" s="168">
        <v>0</v>
      </c>
      <c r="M96" s="147">
        <f t="shared" si="32"/>
        <v>36035.78</v>
      </c>
      <c r="N96" s="147">
        <f t="shared" si="33"/>
        <v>38198.78</v>
      </c>
      <c r="O96" s="133">
        <f t="shared" si="34"/>
        <v>0.78000000000000047</v>
      </c>
    </row>
    <row r="97" spans="1:15" x14ac:dyDescent="0.3">
      <c r="A97" s="108"/>
      <c r="B97" s="35"/>
      <c r="C97" s="35" t="s">
        <v>133</v>
      </c>
      <c r="D97" s="108" t="s">
        <v>202</v>
      </c>
      <c r="E97" s="108"/>
      <c r="F97" s="143">
        <v>2.3E-3</v>
      </c>
      <c r="G97" s="137">
        <v>177818.79</v>
      </c>
      <c r="H97" s="208"/>
      <c r="I97" s="144">
        <f t="shared" si="0"/>
        <v>177818.79</v>
      </c>
      <c r="J97" s="145">
        <f t="shared" si="30"/>
        <v>0</v>
      </c>
      <c r="K97" s="145">
        <f t="shared" si="31"/>
        <v>36034.574006999996</v>
      </c>
      <c r="L97" s="168">
        <v>0</v>
      </c>
      <c r="M97" s="147">
        <f t="shared" si="32"/>
        <v>213853.79</v>
      </c>
      <c r="N97" s="147">
        <f t="shared" si="33"/>
        <v>226685.79</v>
      </c>
      <c r="O97" s="133">
        <f t="shared" si="34"/>
        <v>0.79000000000000048</v>
      </c>
    </row>
    <row r="98" spans="1:15" x14ac:dyDescent="0.3">
      <c r="A98" s="108"/>
      <c r="B98" s="35"/>
      <c r="C98" s="35" t="s">
        <v>134</v>
      </c>
      <c r="D98" s="108" t="s">
        <v>185</v>
      </c>
      <c r="E98" s="108"/>
      <c r="F98" s="143">
        <v>2.3E-3</v>
      </c>
      <c r="G98" s="137">
        <v>36035.800000000003</v>
      </c>
      <c r="H98" s="208">
        <f>G98</f>
        <v>36035.800000000003</v>
      </c>
      <c r="I98" s="144">
        <f t="shared" si="0"/>
        <v>0</v>
      </c>
      <c r="J98" s="145">
        <f t="shared" si="30"/>
        <v>0</v>
      </c>
      <c r="K98" s="145">
        <f t="shared" si="31"/>
        <v>36034.574006999996</v>
      </c>
      <c r="L98" s="168">
        <v>0</v>
      </c>
      <c r="M98" s="147">
        <f t="shared" si="32"/>
        <v>36035.800000000003</v>
      </c>
      <c r="N98" s="147">
        <f t="shared" si="33"/>
        <v>38198.800000000003</v>
      </c>
      <c r="O98" s="133">
        <f t="shared" si="34"/>
        <v>0.80000000000000049</v>
      </c>
    </row>
    <row r="99" spans="1:15" x14ac:dyDescent="0.3">
      <c r="A99" s="108"/>
      <c r="B99" s="35"/>
      <c r="C99" s="35" t="s">
        <v>135</v>
      </c>
      <c r="D99" s="108" t="s">
        <v>181</v>
      </c>
      <c r="E99" s="108"/>
      <c r="F99" s="89">
        <v>2.3E-3</v>
      </c>
      <c r="G99" s="134">
        <v>36035.81</v>
      </c>
      <c r="H99" s="208"/>
      <c r="I99" s="56">
        <f t="shared" si="0"/>
        <v>36035.81</v>
      </c>
      <c r="J99" s="26">
        <f t="shared" si="30"/>
        <v>0</v>
      </c>
      <c r="K99" s="26">
        <f t="shared" si="31"/>
        <v>36034.574006999996</v>
      </c>
      <c r="L99" s="168">
        <v>0</v>
      </c>
      <c r="M99" s="8">
        <f t="shared" si="32"/>
        <v>72070.81</v>
      </c>
      <c r="N99" s="8">
        <f t="shared" si="33"/>
        <v>76395.81</v>
      </c>
      <c r="O99" s="133">
        <f t="shared" si="34"/>
        <v>0.8100000000000005</v>
      </c>
    </row>
    <row r="100" spans="1:15" x14ac:dyDescent="0.3">
      <c r="A100" s="108"/>
      <c r="B100" s="35"/>
      <c r="C100" s="35" t="s">
        <v>136</v>
      </c>
      <c r="D100" s="108" t="s">
        <v>299</v>
      </c>
      <c r="E100" s="108"/>
      <c r="F100" s="89">
        <v>2.3E-3</v>
      </c>
      <c r="G100" s="134">
        <v>36035.82</v>
      </c>
      <c r="H100" s="208">
        <f t="shared" ref="H100:H104" si="35">G100</f>
        <v>36035.82</v>
      </c>
      <c r="I100" s="56">
        <f t="shared" si="0"/>
        <v>0</v>
      </c>
      <c r="J100" s="26">
        <f t="shared" si="30"/>
        <v>0</v>
      </c>
      <c r="K100" s="26">
        <f t="shared" si="31"/>
        <v>36034.574006999996</v>
      </c>
      <c r="L100" s="168">
        <v>0</v>
      </c>
      <c r="M100" s="8">
        <f t="shared" si="32"/>
        <v>36035.82</v>
      </c>
      <c r="N100" s="8">
        <f t="shared" si="33"/>
        <v>38198.82</v>
      </c>
      <c r="O100" s="133">
        <f t="shared" si="34"/>
        <v>0.82000000000000051</v>
      </c>
    </row>
    <row r="101" spans="1:15" x14ac:dyDescent="0.3">
      <c r="A101" s="108"/>
      <c r="B101" s="35"/>
      <c r="C101" s="35" t="s">
        <v>137</v>
      </c>
      <c r="D101" s="108" t="s">
        <v>225</v>
      </c>
      <c r="E101" s="108"/>
      <c r="F101" s="143">
        <v>2.3E-3</v>
      </c>
      <c r="G101" s="137">
        <v>36035.83</v>
      </c>
      <c r="H101" s="208">
        <f t="shared" si="35"/>
        <v>36035.83</v>
      </c>
      <c r="I101" s="144">
        <f t="shared" si="0"/>
        <v>0</v>
      </c>
      <c r="J101" s="145">
        <f t="shared" si="30"/>
        <v>0</v>
      </c>
      <c r="K101" s="145">
        <f t="shared" si="31"/>
        <v>36034.574006999996</v>
      </c>
      <c r="L101" s="168">
        <v>0</v>
      </c>
      <c r="M101" s="147">
        <f t="shared" si="32"/>
        <v>36035.83</v>
      </c>
      <c r="N101" s="147">
        <f t="shared" si="33"/>
        <v>38198.83</v>
      </c>
      <c r="O101" s="133">
        <f t="shared" si="34"/>
        <v>0.83000000000000052</v>
      </c>
    </row>
    <row r="102" spans="1:15" ht="15.75" customHeight="1" x14ac:dyDescent="0.3">
      <c r="A102" s="108"/>
      <c r="B102" s="35"/>
      <c r="C102" s="35" t="s">
        <v>138</v>
      </c>
      <c r="D102" s="108" t="s">
        <v>214</v>
      </c>
      <c r="E102" s="108"/>
      <c r="F102" s="143">
        <v>2.3E-3</v>
      </c>
      <c r="G102" s="137">
        <v>36035.839999999997</v>
      </c>
      <c r="H102" s="208">
        <f t="shared" si="35"/>
        <v>36035.839999999997</v>
      </c>
      <c r="I102" s="144">
        <f t="shared" si="0"/>
        <v>0</v>
      </c>
      <c r="J102" s="145">
        <f t="shared" si="30"/>
        <v>0</v>
      </c>
      <c r="K102" s="145">
        <f t="shared" si="31"/>
        <v>36034.574006999996</v>
      </c>
      <c r="L102" s="168">
        <v>0</v>
      </c>
      <c r="M102" s="147">
        <f t="shared" si="32"/>
        <v>36035.839999999997</v>
      </c>
      <c r="N102" s="147">
        <f t="shared" si="33"/>
        <v>38198.839999999997</v>
      </c>
      <c r="O102" s="133">
        <f t="shared" si="34"/>
        <v>0.84000000000000052</v>
      </c>
    </row>
    <row r="103" spans="1:15" ht="15.75" customHeight="1" x14ac:dyDescent="0.3">
      <c r="A103" s="108"/>
      <c r="B103" s="35"/>
      <c r="C103" s="35" t="s">
        <v>139</v>
      </c>
      <c r="D103" s="108" t="s">
        <v>222</v>
      </c>
      <c r="E103" s="108"/>
      <c r="F103" s="143">
        <v>2.3E-3</v>
      </c>
      <c r="G103" s="137">
        <v>36035.85</v>
      </c>
      <c r="H103" s="208">
        <f t="shared" si="35"/>
        <v>36035.85</v>
      </c>
      <c r="I103" s="144">
        <f t="shared" si="0"/>
        <v>0</v>
      </c>
      <c r="J103" s="145">
        <f t="shared" si="30"/>
        <v>0</v>
      </c>
      <c r="K103" s="145">
        <f t="shared" si="31"/>
        <v>36034.574006999996</v>
      </c>
      <c r="L103" s="168">
        <v>0</v>
      </c>
      <c r="M103" s="147">
        <f t="shared" si="32"/>
        <v>36035.85</v>
      </c>
      <c r="N103" s="147">
        <f t="shared" si="33"/>
        <v>38198.85</v>
      </c>
      <c r="O103" s="133">
        <f t="shared" si="34"/>
        <v>0.85000000000000053</v>
      </c>
    </row>
    <row r="104" spans="1:15" ht="15.75" customHeight="1" x14ac:dyDescent="0.3">
      <c r="A104" s="108"/>
      <c r="B104" s="35"/>
      <c r="C104" s="35" t="s">
        <v>140</v>
      </c>
      <c r="D104" s="108" t="s">
        <v>206</v>
      </c>
      <c r="E104" s="108"/>
      <c r="F104" s="89">
        <v>2.3E-3</v>
      </c>
      <c r="G104" s="134">
        <v>36035.86</v>
      </c>
      <c r="H104" s="208">
        <f t="shared" si="35"/>
        <v>36035.86</v>
      </c>
      <c r="I104" s="56">
        <f t="shared" si="0"/>
        <v>0</v>
      </c>
      <c r="J104" s="26">
        <f t="shared" si="30"/>
        <v>0</v>
      </c>
      <c r="K104" s="26">
        <f t="shared" si="31"/>
        <v>36034.574006999996</v>
      </c>
      <c r="L104" s="168">
        <v>0</v>
      </c>
      <c r="M104" s="8">
        <f t="shared" si="32"/>
        <v>36035.86</v>
      </c>
      <c r="N104" s="8">
        <f t="shared" si="33"/>
        <v>38198.86</v>
      </c>
      <c r="O104" s="133">
        <f t="shared" si="34"/>
        <v>0.86000000000000054</v>
      </c>
    </row>
    <row r="105" spans="1:15" ht="15.75" customHeight="1" x14ac:dyDescent="0.3">
      <c r="A105" s="108"/>
      <c r="B105" s="35"/>
      <c r="C105" s="35" t="s">
        <v>141</v>
      </c>
      <c r="D105" s="108" t="s">
        <v>119</v>
      </c>
      <c r="E105" s="108"/>
      <c r="F105" s="89">
        <v>2.3E-3</v>
      </c>
      <c r="G105" s="134">
        <v>36035.870000000003</v>
      </c>
      <c r="H105" s="212">
        <f t="shared" ref="H105:H110" si="36">G105</f>
        <v>36035.870000000003</v>
      </c>
      <c r="I105" s="56">
        <f t="shared" si="0"/>
        <v>0</v>
      </c>
      <c r="J105" s="26">
        <f t="shared" si="30"/>
        <v>0</v>
      </c>
      <c r="K105" s="26">
        <f t="shared" si="31"/>
        <v>36034.574006999996</v>
      </c>
      <c r="L105" s="168">
        <v>0</v>
      </c>
      <c r="M105" s="8">
        <f t="shared" si="32"/>
        <v>36035.870000000003</v>
      </c>
      <c r="N105" s="8">
        <f t="shared" si="33"/>
        <v>38198.870000000003</v>
      </c>
      <c r="O105" s="133">
        <f t="shared" si="34"/>
        <v>0.87000000000000055</v>
      </c>
    </row>
    <row r="106" spans="1:15" ht="15.75" customHeight="1" x14ac:dyDescent="0.3">
      <c r="A106" s="108"/>
      <c r="B106" s="35"/>
      <c r="C106" s="35" t="s">
        <v>142</v>
      </c>
      <c r="D106" s="108" t="s">
        <v>226</v>
      </c>
      <c r="E106" s="108"/>
      <c r="F106" s="89">
        <v>2.3E-3</v>
      </c>
      <c r="G106" s="134">
        <v>36076.879999999997</v>
      </c>
      <c r="H106" s="212">
        <f>G106</f>
        <v>36076.879999999997</v>
      </c>
      <c r="I106" s="56">
        <f t="shared" si="0"/>
        <v>0</v>
      </c>
      <c r="J106" s="26">
        <f t="shared" si="30"/>
        <v>0</v>
      </c>
      <c r="K106" s="26">
        <f t="shared" si="31"/>
        <v>36034.574006999996</v>
      </c>
      <c r="L106" s="168">
        <v>0</v>
      </c>
      <c r="M106" s="8">
        <f t="shared" si="32"/>
        <v>36035.879999999997</v>
      </c>
      <c r="N106" s="8">
        <f t="shared" si="33"/>
        <v>38198.879999999997</v>
      </c>
      <c r="O106" s="133">
        <f t="shared" si="34"/>
        <v>0.88000000000000056</v>
      </c>
    </row>
    <row r="107" spans="1:15" ht="15.75" customHeight="1" x14ac:dyDescent="0.3">
      <c r="A107" s="108"/>
      <c r="B107" s="35"/>
      <c r="C107" s="35" t="s">
        <v>143</v>
      </c>
      <c r="D107" s="108" t="s">
        <v>203</v>
      </c>
      <c r="E107" s="108"/>
      <c r="F107" s="89">
        <v>2.3E-3</v>
      </c>
      <c r="G107" s="134">
        <v>40635.89</v>
      </c>
      <c r="H107" s="212">
        <v>36035.89</v>
      </c>
      <c r="I107" s="56">
        <f t="shared" si="0"/>
        <v>4600</v>
      </c>
      <c r="J107" s="26">
        <f t="shared" si="30"/>
        <v>0</v>
      </c>
      <c r="K107" s="26">
        <f t="shared" si="31"/>
        <v>36034.574006999996</v>
      </c>
      <c r="L107" s="168">
        <v>0</v>
      </c>
      <c r="M107" s="8">
        <f t="shared" si="32"/>
        <v>40635.89</v>
      </c>
      <c r="N107" s="8">
        <f t="shared" si="33"/>
        <v>43074.89</v>
      </c>
      <c r="O107" s="133">
        <f t="shared" si="34"/>
        <v>0.89000000000000057</v>
      </c>
    </row>
    <row r="108" spans="1:15" ht="15.75" customHeight="1" x14ac:dyDescent="0.3">
      <c r="A108" s="108"/>
      <c r="B108" s="35"/>
      <c r="C108" s="35" t="s">
        <v>144</v>
      </c>
      <c r="D108" s="108" t="s">
        <v>209</v>
      </c>
      <c r="E108" s="108"/>
      <c r="F108" s="89">
        <v>2.3E-3</v>
      </c>
      <c r="G108" s="134">
        <v>36035.9</v>
      </c>
      <c r="H108" s="208">
        <f t="shared" ref="H108" si="37">G108</f>
        <v>36035.9</v>
      </c>
      <c r="I108" s="56">
        <f t="shared" si="0"/>
        <v>0</v>
      </c>
      <c r="J108" s="26">
        <f t="shared" si="30"/>
        <v>0</v>
      </c>
      <c r="K108" s="26">
        <f t="shared" si="31"/>
        <v>36034.574006999996</v>
      </c>
      <c r="L108" s="168">
        <v>0</v>
      </c>
      <c r="M108" s="8">
        <f t="shared" si="32"/>
        <v>36035.9</v>
      </c>
      <c r="N108" s="8">
        <f t="shared" si="33"/>
        <v>38198.9</v>
      </c>
      <c r="O108" s="133">
        <f t="shared" si="34"/>
        <v>0.90000000000000058</v>
      </c>
    </row>
    <row r="109" spans="1:15" ht="15.75" customHeight="1" x14ac:dyDescent="0.3">
      <c r="A109" s="108"/>
      <c r="B109" s="35"/>
      <c r="C109" s="35" t="s">
        <v>145</v>
      </c>
      <c r="D109" s="108" t="s">
        <v>179</v>
      </c>
      <c r="E109" s="108"/>
      <c r="F109" s="89">
        <v>2.3E-3</v>
      </c>
      <c r="G109" s="134">
        <v>38198.910000000003</v>
      </c>
      <c r="H109" s="208">
        <f t="shared" si="36"/>
        <v>38198.910000000003</v>
      </c>
      <c r="I109" s="56">
        <f t="shared" si="0"/>
        <v>0</v>
      </c>
      <c r="J109" s="26">
        <f t="shared" si="30"/>
        <v>0</v>
      </c>
      <c r="K109" s="26">
        <f t="shared" si="31"/>
        <v>36034.574006999996</v>
      </c>
      <c r="L109" s="168">
        <v>0</v>
      </c>
      <c r="M109" s="8">
        <f t="shared" si="32"/>
        <v>36035.910000000003</v>
      </c>
      <c r="N109" s="8">
        <f t="shared" si="33"/>
        <v>38198.910000000003</v>
      </c>
      <c r="O109" s="133">
        <f t="shared" si="34"/>
        <v>0.91000000000000059</v>
      </c>
    </row>
    <row r="110" spans="1:15" ht="15.75" customHeight="1" x14ac:dyDescent="0.3">
      <c r="A110" s="108"/>
      <c r="B110" s="35"/>
      <c r="C110" s="35" t="s">
        <v>146</v>
      </c>
      <c r="D110" s="108" t="s">
        <v>208</v>
      </c>
      <c r="E110" s="108"/>
      <c r="F110" s="143">
        <v>2.3E-3</v>
      </c>
      <c r="G110" s="137">
        <v>36035.919999999998</v>
      </c>
      <c r="H110" s="208">
        <f t="shared" si="36"/>
        <v>36035.919999999998</v>
      </c>
      <c r="I110" s="144">
        <f t="shared" si="0"/>
        <v>0</v>
      </c>
      <c r="J110" s="145">
        <f t="shared" si="30"/>
        <v>0</v>
      </c>
      <c r="K110" s="145">
        <f t="shared" si="31"/>
        <v>36034.574006999996</v>
      </c>
      <c r="L110" s="168">
        <v>0</v>
      </c>
      <c r="M110" s="147">
        <f t="shared" si="32"/>
        <v>36035.919999999998</v>
      </c>
      <c r="N110" s="147">
        <f t="shared" si="33"/>
        <v>38198.92</v>
      </c>
      <c r="O110" s="133">
        <f t="shared" si="34"/>
        <v>0.9200000000000006</v>
      </c>
    </row>
    <row r="111" spans="1:15" ht="15.75" customHeight="1" x14ac:dyDescent="0.3">
      <c r="A111" s="108"/>
      <c r="B111" s="35"/>
      <c r="C111" s="35" t="s">
        <v>147</v>
      </c>
      <c r="D111" s="108" t="s">
        <v>194</v>
      </c>
      <c r="E111" s="108"/>
      <c r="F111" s="143">
        <v>2.3E-3</v>
      </c>
      <c r="G111" s="137">
        <v>36035.93</v>
      </c>
      <c r="H111" s="208">
        <f>G111</f>
        <v>36035.93</v>
      </c>
      <c r="I111" s="144">
        <f t="shared" si="0"/>
        <v>0</v>
      </c>
      <c r="J111" s="145">
        <f t="shared" si="30"/>
        <v>0</v>
      </c>
      <c r="K111" s="145">
        <f t="shared" si="31"/>
        <v>36034.574006999996</v>
      </c>
      <c r="L111" s="168">
        <v>0</v>
      </c>
      <c r="M111" s="147">
        <f t="shared" si="32"/>
        <v>36035.93</v>
      </c>
      <c r="N111" s="147">
        <f t="shared" si="33"/>
        <v>38198.93</v>
      </c>
      <c r="O111" s="133">
        <f t="shared" si="34"/>
        <v>0.9300000000000006</v>
      </c>
    </row>
    <row r="112" spans="1:15" x14ac:dyDescent="0.3">
      <c r="A112" s="108"/>
      <c r="B112" s="35"/>
      <c r="C112" s="35" t="s">
        <v>148</v>
      </c>
      <c r="D112" s="108" t="s">
        <v>177</v>
      </c>
      <c r="E112" s="108"/>
      <c r="F112" s="143">
        <v>2.3E-3</v>
      </c>
      <c r="G112" s="137">
        <v>69386.94</v>
      </c>
      <c r="H112" s="208">
        <f>G112</f>
        <v>69386.94</v>
      </c>
      <c r="I112" s="144">
        <f t="shared" si="0"/>
        <v>0</v>
      </c>
      <c r="J112" s="145">
        <f t="shared" si="30"/>
        <v>0</v>
      </c>
      <c r="K112" s="145">
        <f t="shared" si="31"/>
        <v>36034.574006999996</v>
      </c>
      <c r="L112" s="168">
        <v>0</v>
      </c>
      <c r="M112" s="147">
        <f t="shared" si="32"/>
        <v>36035.94</v>
      </c>
      <c r="N112" s="147">
        <f t="shared" si="33"/>
        <v>38198.94</v>
      </c>
      <c r="O112" s="133">
        <f t="shared" si="34"/>
        <v>0.94000000000000061</v>
      </c>
    </row>
    <row r="113" spans="1:16" x14ac:dyDescent="0.3">
      <c r="A113" s="108"/>
      <c r="B113" s="35"/>
      <c r="C113" s="35" t="s">
        <v>149</v>
      </c>
      <c r="D113" s="108" t="s">
        <v>200</v>
      </c>
      <c r="E113" s="108"/>
      <c r="F113" s="143">
        <v>2.3E-3</v>
      </c>
      <c r="G113" s="137">
        <v>36035.949999999997</v>
      </c>
      <c r="H113" s="208">
        <f t="shared" ref="H113" si="38">G113</f>
        <v>36035.949999999997</v>
      </c>
      <c r="I113" s="144">
        <f t="shared" si="0"/>
        <v>0</v>
      </c>
      <c r="J113" s="145">
        <f t="shared" si="30"/>
        <v>0</v>
      </c>
      <c r="K113" s="145">
        <f t="shared" si="31"/>
        <v>36034.574006999996</v>
      </c>
      <c r="L113" s="168">
        <v>0</v>
      </c>
      <c r="M113" s="147">
        <f t="shared" si="32"/>
        <v>36035.949999999997</v>
      </c>
      <c r="N113" s="147">
        <f t="shared" si="33"/>
        <v>38198.949999999997</v>
      </c>
      <c r="O113" s="133">
        <f t="shared" si="34"/>
        <v>0.95000000000000062</v>
      </c>
    </row>
    <row r="114" spans="1:16" x14ac:dyDescent="0.3">
      <c r="A114" s="108"/>
      <c r="B114" s="35"/>
      <c r="C114" s="35" t="s">
        <v>150</v>
      </c>
      <c r="D114" s="108" t="s">
        <v>221</v>
      </c>
      <c r="E114" s="108"/>
      <c r="F114" s="143">
        <v>2.3E-3</v>
      </c>
      <c r="G114" s="137">
        <v>36035.96</v>
      </c>
      <c r="H114" s="208">
        <f>G114</f>
        <v>36035.96</v>
      </c>
      <c r="I114" s="144">
        <f t="shared" si="0"/>
        <v>0</v>
      </c>
      <c r="J114" s="145">
        <f t="shared" si="30"/>
        <v>0</v>
      </c>
      <c r="K114" s="145">
        <f t="shared" si="31"/>
        <v>36034.574006999996</v>
      </c>
      <c r="L114" s="168">
        <v>0</v>
      </c>
      <c r="M114" s="147">
        <f t="shared" si="32"/>
        <v>36035.96</v>
      </c>
      <c r="N114" s="147">
        <f t="shared" si="33"/>
        <v>38198.959999999999</v>
      </c>
      <c r="O114" s="133">
        <f t="shared" si="34"/>
        <v>0.96000000000000063</v>
      </c>
    </row>
    <row r="115" spans="1:16" x14ac:dyDescent="0.3">
      <c r="A115" s="108"/>
      <c r="B115" s="35"/>
      <c r="C115" s="35" t="s">
        <v>151</v>
      </c>
      <c r="D115" s="108" t="s">
        <v>188</v>
      </c>
      <c r="E115" s="108"/>
      <c r="F115" s="143">
        <v>2.3E-3</v>
      </c>
      <c r="G115" s="137">
        <v>36035.97</v>
      </c>
      <c r="H115" s="208">
        <f t="shared" ref="H115" si="39">G115</f>
        <v>36035.97</v>
      </c>
      <c r="I115" s="144">
        <f t="shared" si="0"/>
        <v>0</v>
      </c>
      <c r="J115" s="145">
        <f t="shared" ref="J115:J131" si="40">M$8*F115</f>
        <v>0</v>
      </c>
      <c r="K115" s="145">
        <f t="shared" ref="K115:K131" si="41">M$2*F115</f>
        <v>36034.574006999996</v>
      </c>
      <c r="L115" s="168">
        <v>0</v>
      </c>
      <c r="M115" s="147">
        <f t="shared" si="32"/>
        <v>36035.97</v>
      </c>
      <c r="N115" s="147">
        <f t="shared" si="33"/>
        <v>38198.97</v>
      </c>
      <c r="O115" s="133">
        <f t="shared" si="34"/>
        <v>0.97000000000000064</v>
      </c>
    </row>
    <row r="116" spans="1:16" x14ac:dyDescent="0.3">
      <c r="A116" s="108"/>
      <c r="B116" s="35"/>
      <c r="C116" s="35" t="s">
        <v>152</v>
      </c>
      <c r="D116" s="108" t="s">
        <v>182</v>
      </c>
      <c r="E116" s="108" t="s">
        <v>313</v>
      </c>
      <c r="F116" s="143">
        <v>2.3E-3</v>
      </c>
      <c r="G116" s="137">
        <v>38198.980000000003</v>
      </c>
      <c r="H116" s="208">
        <f>G116</f>
        <v>38198.980000000003</v>
      </c>
      <c r="I116" s="144">
        <f t="shared" si="0"/>
        <v>0</v>
      </c>
      <c r="J116" s="145">
        <f t="shared" si="40"/>
        <v>0</v>
      </c>
      <c r="K116" s="145">
        <f t="shared" si="41"/>
        <v>36034.574006999996</v>
      </c>
      <c r="L116" s="168">
        <v>0</v>
      </c>
      <c r="M116" s="147">
        <f t="shared" si="32"/>
        <v>36035.980000000003</v>
      </c>
      <c r="N116" s="147">
        <f t="shared" si="33"/>
        <v>38198.980000000003</v>
      </c>
      <c r="O116" s="133">
        <f t="shared" si="34"/>
        <v>0.98000000000000065</v>
      </c>
    </row>
    <row r="117" spans="1:16" x14ac:dyDescent="0.3">
      <c r="A117" s="108"/>
      <c r="B117" s="35"/>
      <c r="C117" s="35" t="s">
        <v>153</v>
      </c>
      <c r="D117" s="108" t="s">
        <v>182</v>
      </c>
      <c r="E117" s="108"/>
      <c r="F117" s="143">
        <v>2.3E-3</v>
      </c>
      <c r="G117" s="137">
        <v>69189.990000000005</v>
      </c>
      <c r="H117" s="208"/>
      <c r="I117" s="144">
        <f t="shared" si="0"/>
        <v>69189.990000000005</v>
      </c>
      <c r="J117" s="145">
        <f t="shared" si="40"/>
        <v>0</v>
      </c>
      <c r="K117" s="145">
        <f t="shared" si="41"/>
        <v>36034.574006999996</v>
      </c>
      <c r="L117" s="168">
        <v>0</v>
      </c>
      <c r="M117" s="147">
        <f t="shared" si="32"/>
        <v>105225.99</v>
      </c>
      <c r="N117" s="147">
        <f t="shared" si="33"/>
        <v>111540.99</v>
      </c>
      <c r="O117" s="133">
        <f t="shared" si="34"/>
        <v>0.99000000000000066</v>
      </c>
    </row>
    <row r="118" spans="1:16" x14ac:dyDescent="0.3">
      <c r="A118" s="108"/>
      <c r="B118" s="35"/>
      <c r="C118" s="35" t="s">
        <v>154</v>
      </c>
      <c r="D118" s="108" t="s">
        <v>183</v>
      </c>
      <c r="E118" s="108"/>
      <c r="F118" s="143">
        <v>2.3E-3</v>
      </c>
      <c r="G118" s="137">
        <v>36036</v>
      </c>
      <c r="H118" s="208">
        <f t="shared" ref="H118:H120" si="42">G118</f>
        <v>36036</v>
      </c>
      <c r="I118" s="144">
        <f t="shared" si="0"/>
        <v>0</v>
      </c>
      <c r="J118" s="145">
        <f t="shared" si="40"/>
        <v>0</v>
      </c>
      <c r="K118" s="145">
        <f t="shared" si="41"/>
        <v>36034.574006999996</v>
      </c>
      <c r="L118" s="168">
        <v>0</v>
      </c>
      <c r="M118" s="147">
        <f t="shared" si="32"/>
        <v>36036</v>
      </c>
      <c r="N118" s="147">
        <f t="shared" si="33"/>
        <v>38199</v>
      </c>
      <c r="O118" s="133">
        <f t="shared" si="34"/>
        <v>1.0000000000000007</v>
      </c>
      <c r="P118" t="s">
        <v>301</v>
      </c>
    </row>
    <row r="119" spans="1:16" x14ac:dyDescent="0.3">
      <c r="A119" s="127"/>
      <c r="B119" s="35"/>
      <c r="C119" s="35" t="s">
        <v>155</v>
      </c>
      <c r="D119" s="108" t="s">
        <v>299</v>
      </c>
      <c r="E119" s="108"/>
      <c r="F119" s="143">
        <v>2.3E-3</v>
      </c>
      <c r="G119" s="137">
        <v>36036.01</v>
      </c>
      <c r="H119" s="208">
        <f t="shared" si="42"/>
        <v>36036.01</v>
      </c>
      <c r="I119" s="144">
        <f t="shared" si="0"/>
        <v>0</v>
      </c>
      <c r="J119" s="145">
        <f t="shared" si="40"/>
        <v>0</v>
      </c>
      <c r="K119" s="145">
        <f t="shared" si="41"/>
        <v>36034.574006999996</v>
      </c>
      <c r="L119" s="168">
        <v>0</v>
      </c>
      <c r="M119" s="147">
        <f t="shared" si="32"/>
        <v>36036.01</v>
      </c>
      <c r="N119" s="147">
        <f t="shared" si="33"/>
        <v>38199.01</v>
      </c>
      <c r="O119" s="133">
        <f t="shared" si="34"/>
        <v>1.0100000000000007</v>
      </c>
    </row>
    <row r="120" spans="1:16" x14ac:dyDescent="0.3">
      <c r="A120" s="127"/>
      <c r="B120" s="35"/>
      <c r="C120" s="35" t="s">
        <v>156</v>
      </c>
      <c r="D120" s="108" t="s">
        <v>190</v>
      </c>
      <c r="E120" s="108"/>
      <c r="F120" s="143">
        <v>2.3E-3</v>
      </c>
      <c r="G120" s="137">
        <v>36036.019999999997</v>
      </c>
      <c r="H120" s="208">
        <f t="shared" si="42"/>
        <v>36036.019999999997</v>
      </c>
      <c r="I120" s="144">
        <f t="shared" si="0"/>
        <v>0</v>
      </c>
      <c r="J120" s="145">
        <f t="shared" si="40"/>
        <v>0</v>
      </c>
      <c r="K120" s="145">
        <f t="shared" si="41"/>
        <v>36034.574006999996</v>
      </c>
      <c r="L120" s="168">
        <v>0</v>
      </c>
      <c r="M120" s="147">
        <f t="shared" si="32"/>
        <v>36036.019999999997</v>
      </c>
      <c r="N120" s="147">
        <f t="shared" si="33"/>
        <v>38199.019999999997</v>
      </c>
      <c r="O120" s="133">
        <f t="shared" si="34"/>
        <v>1.0200000000000007</v>
      </c>
    </row>
    <row r="121" spans="1:16" x14ac:dyDescent="0.3">
      <c r="A121" s="127"/>
      <c r="B121" s="35"/>
      <c r="C121" s="35" t="s">
        <v>157</v>
      </c>
      <c r="D121" s="108" t="s">
        <v>182</v>
      </c>
      <c r="E121" s="108"/>
      <c r="F121" s="143">
        <v>2.3E-3</v>
      </c>
      <c r="G121" s="137">
        <v>28236.03</v>
      </c>
      <c r="H121" s="208">
        <f>G121</f>
        <v>28236.03</v>
      </c>
      <c r="I121" s="144">
        <f t="shared" si="0"/>
        <v>0</v>
      </c>
      <c r="J121" s="145">
        <f t="shared" si="40"/>
        <v>0</v>
      </c>
      <c r="K121" s="145">
        <f t="shared" si="41"/>
        <v>36034.574006999996</v>
      </c>
      <c r="L121" s="168">
        <v>0</v>
      </c>
      <c r="M121" s="147">
        <f t="shared" si="32"/>
        <v>36036.03</v>
      </c>
      <c r="N121" s="147">
        <f t="shared" si="33"/>
        <v>38199.03</v>
      </c>
      <c r="O121" s="133">
        <f t="shared" si="34"/>
        <v>1.0300000000000007</v>
      </c>
    </row>
    <row r="122" spans="1:16" x14ac:dyDescent="0.3">
      <c r="A122" s="127"/>
      <c r="B122" s="35"/>
      <c r="C122" s="35" t="s">
        <v>158</v>
      </c>
      <c r="D122" s="108" t="s">
        <v>218</v>
      </c>
      <c r="E122" s="108"/>
      <c r="F122" s="143">
        <v>2.3E-3</v>
      </c>
      <c r="G122" s="137">
        <v>36036.04</v>
      </c>
      <c r="H122" s="208">
        <f>G122</f>
        <v>36036.04</v>
      </c>
      <c r="I122" s="144">
        <f t="shared" si="0"/>
        <v>0</v>
      </c>
      <c r="J122" s="145">
        <f t="shared" si="40"/>
        <v>0</v>
      </c>
      <c r="K122" s="145">
        <f t="shared" si="41"/>
        <v>36034.574006999996</v>
      </c>
      <c r="L122" s="168">
        <v>0</v>
      </c>
      <c r="M122" s="147">
        <f t="shared" si="32"/>
        <v>36036.04</v>
      </c>
      <c r="N122" s="147">
        <f t="shared" si="33"/>
        <v>38199.040000000001</v>
      </c>
      <c r="O122" s="133">
        <f t="shared" si="34"/>
        <v>1.0400000000000007</v>
      </c>
    </row>
    <row r="123" spans="1:16" x14ac:dyDescent="0.3">
      <c r="A123" s="127"/>
      <c r="B123" s="35"/>
      <c r="C123" s="35" t="s">
        <v>159</v>
      </c>
      <c r="D123" s="108" t="s">
        <v>213</v>
      </c>
      <c r="E123" s="108"/>
      <c r="F123" s="143">
        <v>2.3E-3</v>
      </c>
      <c r="G123" s="137">
        <v>36036.050000000003</v>
      </c>
      <c r="H123" s="208">
        <f>G123</f>
        <v>36036.050000000003</v>
      </c>
      <c r="I123" s="144">
        <f t="shared" si="0"/>
        <v>0</v>
      </c>
      <c r="J123" s="145">
        <f t="shared" si="40"/>
        <v>0</v>
      </c>
      <c r="K123" s="145">
        <f t="shared" si="41"/>
        <v>36034.574006999996</v>
      </c>
      <c r="L123" s="168">
        <v>0</v>
      </c>
      <c r="M123" s="147">
        <f t="shared" si="32"/>
        <v>36036.050000000003</v>
      </c>
      <c r="N123" s="147">
        <f t="shared" si="33"/>
        <v>38199.050000000003</v>
      </c>
      <c r="O123" s="133">
        <f t="shared" si="34"/>
        <v>1.0500000000000007</v>
      </c>
    </row>
    <row r="124" spans="1:16" x14ac:dyDescent="0.3">
      <c r="A124" s="127"/>
      <c r="B124" s="35"/>
      <c r="C124" s="35" t="s">
        <v>160</v>
      </c>
      <c r="D124" s="108" t="s">
        <v>182</v>
      </c>
      <c r="E124" s="108"/>
      <c r="F124" s="143">
        <v>2.3E-3</v>
      </c>
      <c r="G124" s="137">
        <v>15336.06</v>
      </c>
      <c r="H124" s="208">
        <f>G124</f>
        <v>15336.06</v>
      </c>
      <c r="I124" s="144">
        <f t="shared" si="0"/>
        <v>0</v>
      </c>
      <c r="J124" s="145">
        <f t="shared" si="40"/>
        <v>0</v>
      </c>
      <c r="K124" s="145">
        <f t="shared" si="41"/>
        <v>36034.574006999996</v>
      </c>
      <c r="L124" s="168">
        <v>0</v>
      </c>
      <c r="M124" s="147">
        <f t="shared" si="32"/>
        <v>36036.06</v>
      </c>
      <c r="N124" s="147">
        <f t="shared" si="33"/>
        <v>38199.06</v>
      </c>
      <c r="O124" s="133">
        <f t="shared" si="34"/>
        <v>1.0600000000000007</v>
      </c>
      <c r="P124" t="s">
        <v>322</v>
      </c>
    </row>
    <row r="125" spans="1:16" x14ac:dyDescent="0.3">
      <c r="A125" s="175"/>
      <c r="B125" s="170"/>
      <c r="C125" s="35" t="s">
        <v>161</v>
      </c>
      <c r="D125" s="108" t="s">
        <v>182</v>
      </c>
      <c r="E125" s="135" t="s">
        <v>289</v>
      </c>
      <c r="F125" s="143">
        <v>2.3E-3</v>
      </c>
      <c r="G125" s="137">
        <v>59040.07</v>
      </c>
      <c r="H125" s="208">
        <v>36035</v>
      </c>
      <c r="I125" s="144">
        <f t="shared" si="0"/>
        <v>23005.07</v>
      </c>
      <c r="J125" s="145">
        <f t="shared" si="40"/>
        <v>0</v>
      </c>
      <c r="K125" s="145">
        <f t="shared" si="41"/>
        <v>36034.574006999996</v>
      </c>
      <c r="L125" s="168">
        <v>0</v>
      </c>
      <c r="M125" s="147">
        <f t="shared" si="32"/>
        <v>59041.07</v>
      </c>
      <c r="N125" s="147">
        <f t="shared" si="33"/>
        <v>62585.07</v>
      </c>
      <c r="O125" s="133">
        <f t="shared" si="34"/>
        <v>1.0700000000000007</v>
      </c>
    </row>
    <row r="126" spans="1:16" x14ac:dyDescent="0.3">
      <c r="A126" s="175"/>
      <c r="B126" s="170"/>
      <c r="C126" s="35" t="s">
        <v>162</v>
      </c>
      <c r="D126" s="108" t="s">
        <v>182</v>
      </c>
      <c r="E126" s="108"/>
      <c r="F126" s="143">
        <v>2.3E-3</v>
      </c>
      <c r="G126" s="137">
        <v>36036.080000000002</v>
      </c>
      <c r="H126" s="208">
        <f t="shared" ref="H126:H127" si="43">G126</f>
        <v>36036.080000000002</v>
      </c>
      <c r="I126" s="144">
        <f t="shared" si="0"/>
        <v>0</v>
      </c>
      <c r="J126" s="145">
        <f t="shared" si="40"/>
        <v>0</v>
      </c>
      <c r="K126" s="145">
        <f t="shared" si="41"/>
        <v>36034.574006999996</v>
      </c>
      <c r="L126" s="168">
        <v>0</v>
      </c>
      <c r="M126" s="147">
        <f t="shared" si="32"/>
        <v>36036.080000000002</v>
      </c>
      <c r="N126" s="147">
        <f t="shared" si="33"/>
        <v>38199.08</v>
      </c>
      <c r="O126" s="133">
        <f t="shared" si="34"/>
        <v>1.0800000000000007</v>
      </c>
    </row>
    <row r="127" spans="1:16" x14ac:dyDescent="0.3">
      <c r="A127" s="127"/>
      <c r="B127" s="35"/>
      <c r="C127" s="35" t="s">
        <v>163</v>
      </c>
      <c r="D127" s="108" t="s">
        <v>216</v>
      </c>
      <c r="E127" s="108"/>
      <c r="F127" s="143">
        <v>2.3E-3</v>
      </c>
      <c r="G127" s="137">
        <v>36036.089999999997</v>
      </c>
      <c r="H127" s="208">
        <f t="shared" si="43"/>
        <v>36036.089999999997</v>
      </c>
      <c r="I127" s="144">
        <f t="shared" si="0"/>
        <v>0</v>
      </c>
      <c r="J127" s="145">
        <f t="shared" si="40"/>
        <v>0</v>
      </c>
      <c r="K127" s="145">
        <f t="shared" si="41"/>
        <v>36034.574006999996</v>
      </c>
      <c r="L127" s="168">
        <v>0</v>
      </c>
      <c r="M127" s="147">
        <f t="shared" si="32"/>
        <v>36036.089999999997</v>
      </c>
      <c r="N127" s="147">
        <f t="shared" si="33"/>
        <v>38199.089999999997</v>
      </c>
      <c r="O127" s="133">
        <f t="shared" si="34"/>
        <v>1.0900000000000007</v>
      </c>
    </row>
    <row r="128" spans="1:16" x14ac:dyDescent="0.3">
      <c r="A128" s="127"/>
      <c r="B128" s="35"/>
      <c r="C128" s="35" t="s">
        <v>164</v>
      </c>
      <c r="D128" s="108" t="s">
        <v>210</v>
      </c>
      <c r="E128" s="108"/>
      <c r="F128" s="89">
        <v>2.3E-3</v>
      </c>
      <c r="G128" s="134">
        <v>36036.1</v>
      </c>
      <c r="H128" s="208">
        <f>G128</f>
        <v>36036.1</v>
      </c>
      <c r="I128" s="56">
        <f t="shared" si="0"/>
        <v>0</v>
      </c>
      <c r="J128" s="26">
        <f t="shared" si="40"/>
        <v>0</v>
      </c>
      <c r="K128" s="26">
        <f t="shared" si="41"/>
        <v>36034.574006999996</v>
      </c>
      <c r="L128" s="168">
        <v>0</v>
      </c>
      <c r="M128" s="8">
        <f t="shared" si="32"/>
        <v>36036.1</v>
      </c>
      <c r="N128" s="8">
        <f t="shared" si="33"/>
        <v>38199.1</v>
      </c>
      <c r="O128" s="133">
        <f t="shared" si="34"/>
        <v>1.1000000000000008</v>
      </c>
    </row>
    <row r="129" spans="1:16" x14ac:dyDescent="0.3">
      <c r="A129" s="127"/>
      <c r="B129" s="35"/>
      <c r="C129" s="35" t="s">
        <v>165</v>
      </c>
      <c r="D129" s="108" t="s">
        <v>220</v>
      </c>
      <c r="E129" s="108"/>
      <c r="F129" s="89">
        <v>2.3E-3</v>
      </c>
      <c r="G129" s="134">
        <v>36036.11</v>
      </c>
      <c r="H129" s="208">
        <f>G129</f>
        <v>36036.11</v>
      </c>
      <c r="I129" s="56">
        <f t="shared" si="0"/>
        <v>0</v>
      </c>
      <c r="J129" s="26">
        <f t="shared" si="40"/>
        <v>0</v>
      </c>
      <c r="K129" s="26">
        <f t="shared" si="41"/>
        <v>36034.574006999996</v>
      </c>
      <c r="L129" s="168">
        <v>0</v>
      </c>
      <c r="M129" s="8">
        <f t="shared" si="32"/>
        <v>36036.11</v>
      </c>
      <c r="N129" s="8">
        <f t="shared" si="33"/>
        <v>38199.11</v>
      </c>
      <c r="O129" s="133">
        <f t="shared" si="34"/>
        <v>1.1100000000000008</v>
      </c>
    </row>
    <row r="130" spans="1:16" x14ac:dyDescent="0.3">
      <c r="A130" s="127" t="s">
        <v>26</v>
      </c>
      <c r="B130" s="35"/>
      <c r="C130" s="35" t="s">
        <v>166</v>
      </c>
      <c r="D130" s="108" t="s">
        <v>201</v>
      </c>
      <c r="E130" s="108"/>
      <c r="F130" s="89">
        <v>2.3E-3</v>
      </c>
      <c r="G130" s="134">
        <v>36036.120000000003</v>
      </c>
      <c r="H130" s="208">
        <f>G130</f>
        <v>36036.120000000003</v>
      </c>
      <c r="I130" s="56">
        <f t="shared" si="0"/>
        <v>0</v>
      </c>
      <c r="J130" s="26">
        <f t="shared" si="40"/>
        <v>0</v>
      </c>
      <c r="K130" s="26">
        <f t="shared" si="41"/>
        <v>36034.574006999996</v>
      </c>
      <c r="L130" s="168">
        <v>0</v>
      </c>
      <c r="M130" s="8">
        <f t="shared" si="32"/>
        <v>36036.120000000003</v>
      </c>
      <c r="N130" s="8">
        <f t="shared" si="33"/>
        <v>38199.120000000003</v>
      </c>
      <c r="O130" s="133">
        <f t="shared" si="34"/>
        <v>1.1200000000000008</v>
      </c>
    </row>
    <row r="131" spans="1:16" x14ac:dyDescent="0.3">
      <c r="A131" s="127" t="s">
        <v>26</v>
      </c>
      <c r="B131" s="35"/>
      <c r="C131" s="35" t="s">
        <v>167</v>
      </c>
      <c r="D131" s="108" t="s">
        <v>323</v>
      </c>
      <c r="E131" s="108"/>
      <c r="F131" s="89">
        <v>2.3E-3</v>
      </c>
      <c r="G131" s="134">
        <v>36036.129999999997</v>
      </c>
      <c r="H131" s="212">
        <f>36036.13+6006.02</f>
        <v>42042.149999999994</v>
      </c>
      <c r="I131" s="56">
        <f t="shared" si="0"/>
        <v>-6006.0199999999968</v>
      </c>
      <c r="J131" s="26">
        <f t="shared" si="40"/>
        <v>0</v>
      </c>
      <c r="K131" s="26">
        <f t="shared" si="41"/>
        <v>36034.574006999996</v>
      </c>
      <c r="L131" s="168">
        <v>0</v>
      </c>
      <c r="M131" s="8">
        <f t="shared" si="32"/>
        <v>30030.13</v>
      </c>
      <c r="N131" s="8">
        <f t="shared" si="33"/>
        <v>31833.13</v>
      </c>
      <c r="O131" s="133">
        <f t="shared" si="34"/>
        <v>1.1300000000000008</v>
      </c>
    </row>
    <row r="132" spans="1:16" x14ac:dyDescent="0.3">
      <c r="A132" s="53" t="s">
        <v>26</v>
      </c>
      <c r="B132" s="6"/>
      <c r="C132" s="6"/>
      <c r="D132" s="57"/>
      <c r="E132" s="57"/>
      <c r="F132" s="6"/>
      <c r="G132" s="26"/>
      <c r="H132" s="87"/>
      <c r="I132" s="56"/>
      <c r="J132" s="26"/>
      <c r="K132" s="26"/>
      <c r="L132" s="76"/>
      <c r="M132" s="5"/>
      <c r="N132" s="8"/>
    </row>
    <row r="133" spans="1:16" ht="14.25" customHeight="1" x14ac:dyDescent="0.3">
      <c r="A133" s="27"/>
      <c r="B133" s="27"/>
      <c r="C133" s="27"/>
      <c r="D133" s="27"/>
      <c r="E133" s="27"/>
      <c r="F133" s="116">
        <f>SUM(F14:F132)</f>
        <v>0.99819999999999809</v>
      </c>
      <c r="G133" s="28">
        <f>SUM(G14:G132)</f>
        <v>18585885.77240384</v>
      </c>
      <c r="H133" s="28">
        <f>SUM(H14:H132)</f>
        <v>14775654.349543842</v>
      </c>
      <c r="I133" s="27"/>
      <c r="J133" s="54">
        <f>SUM(J14:J132)</f>
        <v>0</v>
      </c>
      <c r="K133" s="28">
        <f>SUM(K14:K132)</f>
        <v>15462877.067300022</v>
      </c>
      <c r="L133" s="174">
        <f>SUM(L14:L132)</f>
        <v>237727.1737246</v>
      </c>
      <c r="M133" s="29">
        <f>SUM(M14:M132)</f>
        <v>19510920.326460004</v>
      </c>
      <c r="N133" s="28">
        <f>SUM(N14:N132)</f>
        <v>20681640.441447597</v>
      </c>
      <c r="P133" s="59"/>
    </row>
    <row r="134" spans="1:16" hidden="1" x14ac:dyDescent="0.3">
      <c r="K134" s="61">
        <f>K133-L1</f>
        <v>3118989.9373000227</v>
      </c>
    </row>
    <row r="135" spans="1:16" ht="15" hidden="1" customHeight="1" x14ac:dyDescent="0.3">
      <c r="C135" s="247"/>
      <c r="D135" s="247"/>
      <c r="E135" s="247"/>
      <c r="F135" s="247"/>
      <c r="G135" s="247"/>
      <c r="H135" s="247"/>
      <c r="I135" s="247"/>
      <c r="J135" s="247"/>
      <c r="K135" s="247"/>
      <c r="L135" s="247"/>
      <c r="M135" s="247"/>
      <c r="N135" s="247"/>
    </row>
    <row r="136" spans="1:16" hidden="1" x14ac:dyDescent="0.3">
      <c r="C136" s="247"/>
      <c r="D136" s="247"/>
      <c r="E136" s="247"/>
      <c r="F136" s="247"/>
      <c r="G136" s="247"/>
      <c r="H136" s="247"/>
      <c r="I136" s="247"/>
      <c r="J136" s="247"/>
      <c r="K136" s="247"/>
      <c r="L136" s="247"/>
      <c r="M136" s="247"/>
      <c r="N136" s="247"/>
    </row>
    <row r="137" spans="1:16" ht="8.25" customHeight="1" x14ac:dyDescent="0.3">
      <c r="C137" s="77"/>
      <c r="D137" s="77"/>
      <c r="E137" s="77"/>
      <c r="F137" s="77"/>
      <c r="G137" s="77"/>
      <c r="H137" s="77"/>
      <c r="I137" s="77"/>
      <c r="J137" s="77"/>
      <c r="K137" s="77"/>
      <c r="L137" s="77"/>
      <c r="M137" s="77"/>
      <c r="N137" s="77"/>
    </row>
    <row r="138" spans="1:16" x14ac:dyDescent="0.3">
      <c r="C138" s="235" t="s">
        <v>260</v>
      </c>
      <c r="D138" s="235"/>
      <c r="E138" s="235"/>
      <c r="F138" s="235"/>
      <c r="G138" s="235"/>
      <c r="H138" s="235"/>
      <c r="I138" s="235"/>
      <c r="J138" s="235"/>
      <c r="K138" s="235"/>
      <c r="L138" s="235"/>
      <c r="M138" s="235"/>
      <c r="N138" s="235"/>
    </row>
    <row r="139" spans="1:16" x14ac:dyDescent="0.3">
      <c r="C139" s="235"/>
      <c r="D139" s="235"/>
      <c r="E139" s="235"/>
      <c r="F139" s="235"/>
      <c r="G139" s="235"/>
      <c r="H139" s="235"/>
      <c r="I139" s="235"/>
      <c r="J139" s="235"/>
      <c r="K139" s="235"/>
      <c r="L139" s="235"/>
      <c r="M139" s="235"/>
      <c r="N139" s="235"/>
    </row>
    <row r="140" spans="1:16" x14ac:dyDescent="0.3">
      <c r="C140" s="235"/>
      <c r="D140" s="235"/>
      <c r="E140" s="235"/>
      <c r="F140" s="235"/>
      <c r="G140" s="235"/>
      <c r="H140" s="235"/>
      <c r="I140" s="235"/>
      <c r="J140" s="235"/>
      <c r="K140" s="235"/>
      <c r="L140" s="235"/>
      <c r="M140" s="235"/>
      <c r="N140" s="235"/>
    </row>
    <row r="141" spans="1:16" x14ac:dyDescent="0.3">
      <c r="C141" s="235"/>
      <c r="D141" s="235"/>
      <c r="E141" s="235"/>
      <c r="F141" s="235"/>
      <c r="G141" s="235"/>
      <c r="H141" s="235"/>
      <c r="I141" s="235"/>
      <c r="J141" s="235"/>
      <c r="K141" s="235"/>
      <c r="L141" s="235"/>
      <c r="M141" s="235"/>
      <c r="N141" s="235"/>
    </row>
    <row r="142" spans="1:16" x14ac:dyDescent="0.3">
      <c r="C142" s="235"/>
      <c r="D142" s="235"/>
      <c r="E142" s="235"/>
      <c r="F142" s="235"/>
      <c r="G142" s="235"/>
      <c r="H142" s="235"/>
      <c r="I142" s="235"/>
      <c r="J142" s="235"/>
      <c r="K142" s="235"/>
      <c r="L142" s="235"/>
      <c r="M142" s="235"/>
      <c r="N142" s="235"/>
    </row>
    <row r="143" spans="1:16" x14ac:dyDescent="0.3">
      <c r="C143" s="235"/>
      <c r="D143" s="235"/>
      <c r="E143" s="235"/>
      <c r="F143" s="235"/>
      <c r="G143" s="235"/>
      <c r="H143" s="235"/>
      <c r="I143" s="235"/>
      <c r="J143" s="235"/>
      <c r="K143" s="235"/>
      <c r="L143" s="235"/>
      <c r="M143" s="235"/>
      <c r="N143" s="235"/>
    </row>
    <row r="144" spans="1:16" x14ac:dyDescent="0.3">
      <c r="C144" s="235"/>
      <c r="D144" s="235"/>
      <c r="E144" s="235"/>
      <c r="F144" s="235"/>
      <c r="G144" s="235"/>
      <c r="H144" s="235"/>
      <c r="I144" s="235"/>
      <c r="J144" s="235"/>
      <c r="K144" s="235"/>
      <c r="L144" s="235"/>
      <c r="M144" s="235"/>
      <c r="N144" s="235"/>
    </row>
    <row r="145" spans="3:16" x14ac:dyDescent="0.3">
      <c r="C145" s="235"/>
      <c r="D145" s="235"/>
      <c r="E145" s="235"/>
      <c r="F145" s="235"/>
      <c r="G145" s="235"/>
      <c r="H145" s="235"/>
      <c r="I145" s="235"/>
      <c r="J145" s="235"/>
      <c r="K145" s="235"/>
      <c r="L145" s="235"/>
      <c r="M145" s="235"/>
      <c r="N145" s="235"/>
    </row>
    <row r="146" spans="3:16" ht="6" customHeight="1" x14ac:dyDescent="0.3">
      <c r="C146" s="77"/>
      <c r="D146" s="77"/>
      <c r="E146" s="77"/>
      <c r="F146" s="77"/>
      <c r="G146" s="77"/>
      <c r="H146" s="77"/>
      <c r="I146" s="77"/>
      <c r="J146" s="77"/>
      <c r="K146" s="77"/>
      <c r="L146" s="77"/>
      <c r="M146" s="77"/>
      <c r="N146" s="77"/>
    </row>
    <row r="147" spans="3:16" ht="45" hidden="1" customHeight="1" x14ac:dyDescent="0.3">
      <c r="C147" s="77"/>
      <c r="D147" s="77"/>
      <c r="E147" s="77"/>
      <c r="F147" s="77"/>
      <c r="G147" s="77"/>
      <c r="H147" s="77"/>
      <c r="I147" s="77"/>
      <c r="J147" s="77"/>
      <c r="K147" s="77"/>
      <c r="L147" s="77"/>
      <c r="M147" s="77"/>
      <c r="N147" s="77"/>
    </row>
    <row r="148" spans="3:16" x14ac:dyDescent="0.3">
      <c r="C148" s="246" t="s">
        <v>259</v>
      </c>
      <c r="D148" s="246"/>
      <c r="E148" s="246"/>
      <c r="F148" s="246"/>
      <c r="G148" s="246"/>
      <c r="H148" s="246"/>
      <c r="I148" s="246"/>
      <c r="J148" s="246"/>
      <c r="K148" s="246"/>
      <c r="L148" s="246"/>
      <c r="M148" s="246"/>
      <c r="N148" s="246"/>
    </row>
    <row r="149" spans="3:16" x14ac:dyDescent="0.3">
      <c r="C149" s="246"/>
      <c r="D149" s="246"/>
      <c r="E149" s="246"/>
      <c r="F149" s="246"/>
      <c r="G149" s="246"/>
      <c r="H149" s="246"/>
      <c r="I149" s="246"/>
      <c r="J149" s="246"/>
      <c r="K149" s="246"/>
      <c r="L149" s="246"/>
      <c r="M149" s="246"/>
      <c r="N149" s="246"/>
    </row>
    <row r="150" spans="3:16" x14ac:dyDescent="0.3">
      <c r="C150" s="246"/>
      <c r="D150" s="246"/>
      <c r="E150" s="246"/>
      <c r="F150" s="246"/>
      <c r="G150" s="246"/>
      <c r="H150" s="246"/>
      <c r="I150" s="246"/>
      <c r="J150" s="246"/>
      <c r="K150" s="246"/>
      <c r="L150" s="246"/>
      <c r="M150" s="246"/>
      <c r="N150" s="246"/>
      <c r="P150" s="84">
        <f>L1-K133</f>
        <v>-3118989.9373000227</v>
      </c>
    </row>
    <row r="151" spans="3:16" ht="22.5" customHeight="1" x14ac:dyDescent="0.3">
      <c r="C151" s="246"/>
      <c r="D151" s="246"/>
      <c r="E151" s="246"/>
      <c r="F151" s="246"/>
      <c r="G151" s="246"/>
      <c r="H151" s="246"/>
      <c r="I151" s="246"/>
      <c r="J151" s="246"/>
      <c r="K151" s="246"/>
      <c r="L151" s="246"/>
      <c r="M151" s="246"/>
      <c r="N151" s="246"/>
    </row>
    <row r="152" spans="3:16" ht="5.25" customHeight="1" x14ac:dyDescent="0.3">
      <c r="C152" s="246"/>
      <c r="D152" s="246"/>
      <c r="E152" s="246"/>
      <c r="F152" s="246"/>
      <c r="G152" s="246"/>
      <c r="H152" s="246"/>
      <c r="I152" s="246"/>
      <c r="J152" s="246"/>
      <c r="K152" s="246"/>
      <c r="L152" s="246"/>
      <c r="M152" s="246"/>
      <c r="N152" s="246"/>
    </row>
    <row r="153" spans="3:16" ht="15" hidden="1" customHeight="1" x14ac:dyDescent="0.3">
      <c r="C153" s="246"/>
      <c r="D153" s="246"/>
      <c r="E153" s="246"/>
      <c r="F153" s="246"/>
      <c r="G153" s="246"/>
      <c r="H153" s="246"/>
      <c r="I153" s="246"/>
      <c r="J153" s="246"/>
      <c r="K153" s="246"/>
      <c r="L153" s="246"/>
      <c r="M153" s="246"/>
      <c r="N153" s="246"/>
    </row>
    <row r="154" spans="3:16" ht="15" hidden="1" customHeight="1" x14ac:dyDescent="0.3">
      <c r="C154" s="246"/>
      <c r="D154" s="246"/>
      <c r="E154" s="246"/>
      <c r="F154" s="246"/>
      <c r="G154" s="246"/>
      <c r="H154" s="246"/>
      <c r="I154" s="246"/>
      <c r="J154" s="246"/>
      <c r="K154" s="246"/>
      <c r="L154" s="246"/>
      <c r="M154" s="246"/>
      <c r="N154" s="246"/>
    </row>
  </sheetData>
  <mergeCells count="22">
    <mergeCell ref="A11:A13"/>
    <mergeCell ref="B11:B13"/>
    <mergeCell ref="C11:C13"/>
    <mergeCell ref="D11:D13"/>
    <mergeCell ref="F11:F13"/>
    <mergeCell ref="E11:E13"/>
    <mergeCell ref="Q14:R15"/>
    <mergeCell ref="G11:G13"/>
    <mergeCell ref="C148:N154"/>
    <mergeCell ref="C135:N136"/>
    <mergeCell ref="L1:M1"/>
    <mergeCell ref="H11:H13"/>
    <mergeCell ref="I11:I13"/>
    <mergeCell ref="J11:J13"/>
    <mergeCell ref="K11:K13"/>
    <mergeCell ref="L11:L13"/>
    <mergeCell ref="C138:N145"/>
    <mergeCell ref="M11:M12"/>
    <mergeCell ref="N11:N12"/>
    <mergeCell ref="C5:N8"/>
    <mergeCell ref="C9:N10"/>
    <mergeCell ref="A1:E4"/>
  </mergeCells>
  <phoneticPr fontId="17"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A13"/>
  <sheetViews>
    <sheetView workbookViewId="0">
      <selection activeCell="M8" sqref="M8"/>
    </sheetView>
  </sheetViews>
  <sheetFormatPr baseColWidth="10" defaultRowHeight="14.4" x14ac:dyDescent="0.3"/>
  <sheetData>
    <row r="13" ht="15.6"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2026-02-03T18:40:54Z</cp:lastPrinted>
  <dcterms:created xsi:type="dcterms:W3CDTF">2023-09-17T12:29:07Z</dcterms:created>
  <dcterms:modified xsi:type="dcterms:W3CDTF">2026-02-09T14:20:37Z</dcterms:modified>
</cp:coreProperties>
</file>