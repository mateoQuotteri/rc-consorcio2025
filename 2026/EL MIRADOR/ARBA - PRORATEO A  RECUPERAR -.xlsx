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73E9E33-787E-47C9-8AA5-18F25B878D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AR ESTA PLANILLA" sheetId="2" r:id="rId1"/>
    <sheet name="Hoja1" sheetId="3" r:id="rId2"/>
  </sheets>
  <definedNames>
    <definedName name="_xlnm._FilterDatabase" localSheetId="0" hidden="1">'USAR ESTA PLANILLA'!$14:$88</definedName>
    <definedName name="_xlnm.Print_Area" localSheetId="0">'USAR ESTA PLANILLA'!$A$1:$AD$102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5" i="2" l="1"/>
  <c r="W90" i="2" l="1"/>
  <c r="P66" i="2"/>
  <c r="P62" i="2"/>
  <c r="P53" i="2"/>
  <c r="P52" i="2"/>
  <c r="P49" i="2"/>
  <c r="P45" i="2"/>
  <c r="P38" i="2"/>
  <c r="P37" i="2"/>
  <c r="P36" i="2"/>
  <c r="P35" i="2"/>
  <c r="P34" i="2"/>
  <c r="P32" i="2"/>
  <c r="P31" i="2"/>
  <c r="P30" i="2"/>
  <c r="P26" i="2"/>
  <c r="P25" i="2"/>
  <c r="P24" i="2"/>
  <c r="P23" i="2"/>
  <c r="P88" i="2"/>
  <c r="P87" i="2"/>
  <c r="P86" i="2"/>
  <c r="P84" i="2"/>
  <c r="P79" i="2"/>
  <c r="Q74" i="2"/>
  <c r="P73" i="2"/>
  <c r="W81" i="2"/>
  <c r="W80" i="2"/>
  <c r="W71" i="2"/>
  <c r="W69" i="2"/>
  <c r="W68" i="2"/>
  <c r="W57" i="2"/>
  <c r="W56" i="2"/>
  <c r="W45" i="2"/>
  <c r="W44" i="2"/>
  <c r="W33" i="2"/>
  <c r="W32" i="2"/>
  <c r="W20" i="2"/>
  <c r="P22" i="2"/>
  <c r="P21" i="2"/>
  <c r="P20" i="2"/>
  <c r="P18" i="2"/>
  <c r="S18" i="2" s="1"/>
  <c r="O71" i="2"/>
  <c r="O69" i="2"/>
  <c r="S69" i="2" s="1"/>
  <c r="O68" i="2"/>
  <c r="S68" i="2" s="1"/>
  <c r="O64" i="2"/>
  <c r="S64" i="2" s="1"/>
  <c r="O40" i="2"/>
  <c r="S40" i="2" s="1"/>
  <c r="O35" i="2"/>
  <c r="S35" i="2" s="1"/>
  <c r="Q9" i="2"/>
  <c r="P9" i="2" s="1"/>
  <c r="O9" i="2" s="1"/>
  <c r="V88" i="2"/>
  <c r="O88" i="2" s="1"/>
  <c r="S88" i="2" s="1"/>
  <c r="V87" i="2"/>
  <c r="O87" i="2" s="1"/>
  <c r="S87" i="2" s="1"/>
  <c r="V86" i="2"/>
  <c r="O86" i="2" s="1"/>
  <c r="S86" i="2" s="1"/>
  <c r="V85" i="2"/>
  <c r="O85" i="2" s="1"/>
  <c r="S85" i="2" s="1"/>
  <c r="V84" i="2"/>
  <c r="W84" i="2" s="1"/>
  <c r="V83" i="2"/>
  <c r="O83" i="2" s="1"/>
  <c r="S83" i="2" s="1"/>
  <c r="V82" i="2"/>
  <c r="O82" i="2" s="1"/>
  <c r="S82" i="2" s="1"/>
  <c r="V81" i="2"/>
  <c r="O81" i="2" s="1"/>
  <c r="S81" i="2" s="1"/>
  <c r="V80" i="2"/>
  <c r="O80" i="2" s="1"/>
  <c r="S80" i="2" s="1"/>
  <c r="V79" i="2"/>
  <c r="O79" i="2" s="1"/>
  <c r="S79" i="2" s="1"/>
  <c r="V78" i="2"/>
  <c r="O78" i="2" s="1"/>
  <c r="S78" i="2" s="1"/>
  <c r="V77" i="2"/>
  <c r="O77" i="2" s="1"/>
  <c r="S77" i="2" s="1"/>
  <c r="V76" i="2"/>
  <c r="W76" i="2" s="1"/>
  <c r="V75" i="2"/>
  <c r="O75" i="2" s="1"/>
  <c r="S75" i="2" s="1"/>
  <c r="V74" i="2"/>
  <c r="V73" i="2"/>
  <c r="O73" i="2" s="1"/>
  <c r="S73" i="2" s="1"/>
  <c r="V72" i="2"/>
  <c r="O72" i="2" s="1"/>
  <c r="S72" i="2" s="1"/>
  <c r="V70" i="2"/>
  <c r="W70" i="2" s="1"/>
  <c r="V69" i="2"/>
  <c r="V68" i="2"/>
  <c r="V67" i="2"/>
  <c r="O67" i="2" s="1"/>
  <c r="S67" i="2" s="1"/>
  <c r="V66" i="2"/>
  <c r="O66" i="2" s="1"/>
  <c r="S66" i="2" s="1"/>
  <c r="V65" i="2"/>
  <c r="O65" i="2" s="1"/>
  <c r="S65" i="2" s="1"/>
  <c r="V64" i="2"/>
  <c r="W64" i="2" s="1"/>
  <c r="V63" i="2"/>
  <c r="O63" i="2" s="1"/>
  <c r="S63" i="2" s="1"/>
  <c r="V62" i="2"/>
  <c r="O62" i="2" s="1"/>
  <c r="S62" i="2" s="1"/>
  <c r="V61" i="2"/>
  <c r="O61" i="2" s="1"/>
  <c r="S61" i="2" s="1"/>
  <c r="V60" i="2"/>
  <c r="O60" i="2" s="1"/>
  <c r="S60" i="2" s="1"/>
  <c r="V59" i="2"/>
  <c r="O59" i="2" s="1"/>
  <c r="S59" i="2" s="1"/>
  <c r="V58" i="2"/>
  <c r="O58" i="2" s="1"/>
  <c r="S58" i="2" s="1"/>
  <c r="V57" i="2"/>
  <c r="O57" i="2" s="1"/>
  <c r="S57" i="2" s="1"/>
  <c r="V56" i="2"/>
  <c r="O56" i="2" s="1"/>
  <c r="S56" i="2" s="1"/>
  <c r="V55" i="2"/>
  <c r="O55" i="2" s="1"/>
  <c r="S55" i="2" s="1"/>
  <c r="V54" i="2"/>
  <c r="O54" i="2" s="1"/>
  <c r="S54" i="2" s="1"/>
  <c r="V53" i="2"/>
  <c r="V52" i="2"/>
  <c r="W52" i="2" s="1"/>
  <c r="V51" i="2"/>
  <c r="O51" i="2" s="1"/>
  <c r="S51" i="2" s="1"/>
  <c r="V50" i="2"/>
  <c r="O50" i="2" s="1"/>
  <c r="S50" i="2" s="1"/>
  <c r="V49" i="2"/>
  <c r="O49" i="2" s="1"/>
  <c r="S49" i="2" s="1"/>
  <c r="V48" i="2"/>
  <c r="O48" i="2" s="1"/>
  <c r="S48" i="2" s="1"/>
  <c r="V47" i="2"/>
  <c r="O47" i="2" s="1"/>
  <c r="S47" i="2" s="1"/>
  <c r="V46" i="2"/>
  <c r="O46" i="2" s="1"/>
  <c r="S46" i="2" s="1"/>
  <c r="V45" i="2"/>
  <c r="O45" i="2" s="1"/>
  <c r="S45" i="2" s="1"/>
  <c r="V44" i="2"/>
  <c r="O44" i="2" s="1"/>
  <c r="S44" i="2" s="1"/>
  <c r="V43" i="2"/>
  <c r="O43" i="2" s="1"/>
  <c r="S43" i="2" s="1"/>
  <c r="V42" i="2"/>
  <c r="O42" i="2" s="1"/>
  <c r="S42" i="2" s="1"/>
  <c r="V41" i="2"/>
  <c r="O41" i="2" s="1"/>
  <c r="S41" i="2" s="1"/>
  <c r="V40" i="2"/>
  <c r="W40" i="2" s="1"/>
  <c r="V39" i="2"/>
  <c r="O39" i="2" s="1"/>
  <c r="S39" i="2" s="1"/>
  <c r="V38" i="2"/>
  <c r="O38" i="2" s="1"/>
  <c r="S38" i="2" s="1"/>
  <c r="V37" i="2"/>
  <c r="V36" i="2"/>
  <c r="O36" i="2" s="1"/>
  <c r="S36" i="2" s="1"/>
  <c r="V35" i="2"/>
  <c r="W35" i="2" s="1"/>
  <c r="V34" i="2"/>
  <c r="W34" i="2" s="1"/>
  <c r="V33" i="2"/>
  <c r="O33" i="2" s="1"/>
  <c r="S33" i="2" s="1"/>
  <c r="V32" i="2"/>
  <c r="V31" i="2"/>
  <c r="O31" i="2" s="1"/>
  <c r="S31" i="2" s="1"/>
  <c r="V30" i="2"/>
  <c r="O30" i="2" s="1"/>
  <c r="S30" i="2" s="1"/>
  <c r="V29" i="2"/>
  <c r="O29" i="2" s="1"/>
  <c r="S29" i="2" s="1"/>
  <c r="V28" i="2"/>
  <c r="W28" i="2" s="1"/>
  <c r="V27" i="2"/>
  <c r="O27" i="2" s="1"/>
  <c r="S27" i="2" s="1"/>
  <c r="V26" i="2"/>
  <c r="O26" i="2" s="1"/>
  <c r="S26" i="2" s="1"/>
  <c r="V25" i="2"/>
  <c r="V24" i="2"/>
  <c r="O24" i="2" s="1"/>
  <c r="S24" i="2" s="1"/>
  <c r="V23" i="2"/>
  <c r="O23" i="2" s="1"/>
  <c r="S23" i="2" s="1"/>
  <c r="V22" i="2"/>
  <c r="O22" i="2" s="1"/>
  <c r="S22" i="2" s="1"/>
  <c r="V21" i="2"/>
  <c r="O21" i="2" s="1"/>
  <c r="S21" i="2" s="1"/>
  <c r="V20" i="2"/>
  <c r="V19" i="2"/>
  <c r="O19" i="2" s="1"/>
  <c r="S19" i="2" s="1"/>
  <c r="V18" i="2"/>
  <c r="W18" i="2" s="1"/>
  <c r="V17" i="2"/>
  <c r="O17" i="2" s="1"/>
  <c r="S17" i="2" s="1"/>
  <c r="V16" i="2"/>
  <c r="O16" i="2" s="1"/>
  <c r="S16" i="2" s="1"/>
  <c r="V15" i="2"/>
  <c r="O15" i="2" s="1"/>
  <c r="S15" i="2" s="1"/>
  <c r="R11" i="2"/>
  <c r="Q11" i="2"/>
  <c r="W21" i="2" l="1"/>
  <c r="O20" i="2"/>
  <c r="S20" i="2" s="1"/>
  <c r="O32" i="2"/>
  <c r="S32" i="2" s="1"/>
  <c r="W23" i="2"/>
  <c r="W47" i="2"/>
  <c r="W59" i="2"/>
  <c r="W83" i="2"/>
  <c r="O25" i="2"/>
  <c r="S25" i="2" s="1"/>
  <c r="O37" i="2"/>
  <c r="S37" i="2" s="1"/>
  <c r="O53" i="2"/>
  <c r="S53" i="2" s="1"/>
  <c r="O74" i="2"/>
  <c r="S74" i="2" s="1"/>
  <c r="O34" i="2"/>
  <c r="S34" i="2" s="1"/>
  <c r="W19" i="2"/>
  <c r="W31" i="2"/>
  <c r="W43" i="2"/>
  <c r="W55" i="2"/>
  <c r="W67" i="2"/>
  <c r="W79" i="2"/>
  <c r="O70" i="2"/>
  <c r="S70" i="2" s="1"/>
  <c r="W22" i="2"/>
  <c r="W46" i="2"/>
  <c r="W58" i="2"/>
  <c r="W82" i="2"/>
  <c r="O76" i="2"/>
  <c r="S76" i="2" s="1"/>
  <c r="W24" i="2"/>
  <c r="W36" i="2"/>
  <c r="W48" i="2"/>
  <c r="W60" i="2"/>
  <c r="W72" i="2"/>
  <c r="W25" i="2"/>
  <c r="W37" i="2"/>
  <c r="W49" i="2"/>
  <c r="W61" i="2"/>
  <c r="W73" i="2"/>
  <c r="W85" i="2"/>
  <c r="O52" i="2"/>
  <c r="S52" i="2" s="1"/>
  <c r="W26" i="2"/>
  <c r="W38" i="2"/>
  <c r="W50" i="2"/>
  <c r="W62" i="2"/>
  <c r="W74" i="2"/>
  <c r="W86" i="2"/>
  <c r="W15" i="2"/>
  <c r="W27" i="2"/>
  <c r="W39" i="2"/>
  <c r="W51" i="2"/>
  <c r="W63" i="2"/>
  <c r="W75" i="2"/>
  <c r="W87" i="2"/>
  <c r="O28" i="2"/>
  <c r="S28" i="2" s="1"/>
  <c r="W16" i="2"/>
  <c r="W88" i="2"/>
  <c r="W17" i="2"/>
  <c r="W29" i="2"/>
  <c r="W41" i="2"/>
  <c r="W53" i="2"/>
  <c r="W65" i="2"/>
  <c r="W77" i="2"/>
  <c r="O84" i="2"/>
  <c r="S84" i="2" s="1"/>
  <c r="W30" i="2"/>
  <c r="W42" i="2"/>
  <c r="W54" i="2"/>
  <c r="W66" i="2"/>
  <c r="W78" i="2"/>
  <c r="E102" i="2" l="1"/>
  <c r="I100" i="2"/>
  <c r="J100" i="2" l="1"/>
  <c r="K100" i="2" s="1"/>
  <c r="M9" i="2"/>
  <c r="M92" i="2" s="1"/>
  <c r="H90" i="2"/>
  <c r="H21" i="2"/>
  <c r="H20" i="2"/>
  <c r="H18" i="2"/>
  <c r="F100" i="2" l="1"/>
  <c r="G100" i="2" s="1"/>
  <c r="L5" i="2" s="1"/>
  <c r="F101" i="2"/>
  <c r="M89" i="2"/>
  <c r="H81" i="2"/>
  <c r="G101" i="2" l="1"/>
  <c r="L6" i="2" s="1"/>
  <c r="P11" i="2" s="1"/>
  <c r="F102" i="2"/>
  <c r="G102" i="2" s="1"/>
  <c r="O11" i="2"/>
  <c r="F91" i="2"/>
  <c r="E91" i="2"/>
  <c r="H96" i="2"/>
  <c r="H29" i="2"/>
  <c r="I90" i="2"/>
  <c r="F94" i="2"/>
  <c r="G88" i="2"/>
  <c r="I88" i="2" s="1"/>
  <c r="G87" i="2"/>
  <c r="I87" i="2" s="1"/>
  <c r="G86" i="2"/>
  <c r="I86" i="2" s="1"/>
  <c r="G85" i="2"/>
  <c r="I85" i="2" s="1"/>
  <c r="G84" i="2"/>
  <c r="I84" i="2" s="1"/>
  <c r="G83" i="2"/>
  <c r="I83" i="2" s="1"/>
  <c r="G82" i="2"/>
  <c r="I82" i="2" s="1"/>
  <c r="G81" i="2"/>
  <c r="I81" i="2" s="1"/>
  <c r="G80" i="2"/>
  <c r="G79" i="2"/>
  <c r="I79" i="2" s="1"/>
  <c r="G78" i="2"/>
  <c r="G77" i="2"/>
  <c r="I77" i="2" s="1"/>
  <c r="G76" i="2"/>
  <c r="I76" i="2" s="1"/>
  <c r="G75" i="2"/>
  <c r="I75" i="2" s="1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G68" i="2"/>
  <c r="G67" i="2"/>
  <c r="G66" i="2"/>
  <c r="G65" i="2"/>
  <c r="I65" i="2" s="1"/>
  <c r="G64" i="2"/>
  <c r="I64" i="2" s="1"/>
  <c r="G63" i="2"/>
  <c r="I63" i="2" s="1"/>
  <c r="G62" i="2"/>
  <c r="I62" i="2" s="1"/>
  <c r="G61" i="2"/>
  <c r="I61" i="2" s="1"/>
  <c r="G60" i="2"/>
  <c r="I60" i="2" s="1"/>
  <c r="G59" i="2"/>
  <c r="I59" i="2" s="1"/>
  <c r="G58" i="2"/>
  <c r="I58" i="2" s="1"/>
  <c r="G57" i="2"/>
  <c r="I57" i="2" s="1"/>
  <c r="G56" i="2"/>
  <c r="G55" i="2"/>
  <c r="I55" i="2" s="1"/>
  <c r="G54" i="2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G43" i="2"/>
  <c r="G42" i="2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G31" i="2"/>
  <c r="G30" i="2"/>
  <c r="I30" i="2" s="1"/>
  <c r="G29" i="2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G19" i="2"/>
  <c r="I19" i="2" s="1"/>
  <c r="G18" i="2"/>
  <c r="G17" i="2"/>
  <c r="I17" i="2" s="1"/>
  <c r="G16" i="2"/>
  <c r="I16" i="2" s="1"/>
  <c r="G15" i="2"/>
  <c r="I15" i="2" s="1"/>
  <c r="I29" i="2" l="1"/>
  <c r="I42" i="2"/>
  <c r="I43" i="2"/>
  <c r="I66" i="2"/>
  <c r="I31" i="2"/>
  <c r="I67" i="2"/>
  <c r="I32" i="2"/>
  <c r="I56" i="2"/>
  <c r="I68" i="2"/>
  <c r="I80" i="2"/>
  <c r="G91" i="2"/>
  <c r="I18" i="2"/>
  <c r="I78" i="2"/>
  <c r="I20" i="2"/>
  <c r="H91" i="2"/>
  <c r="I54" i="2"/>
  <c r="I44" i="2"/>
  <c r="I91" i="2" l="1"/>
  <c r="G93" i="2"/>
  <c r="G94" i="2" s="1"/>
  <c r="K56" i="2" l="1"/>
  <c r="K90" i="2"/>
  <c r="G92" i="2"/>
  <c r="J85" i="2"/>
  <c r="J44" i="2"/>
  <c r="J79" i="2"/>
  <c r="J55" i="2"/>
  <c r="J42" i="2"/>
  <c r="K59" i="2"/>
  <c r="J17" i="2"/>
  <c r="J50" i="2"/>
  <c r="J31" i="2"/>
  <c r="K83" i="2"/>
  <c r="J72" i="2"/>
  <c r="J39" i="2"/>
  <c r="K70" i="2"/>
  <c r="J65" i="2"/>
  <c r="J46" i="2"/>
  <c r="J47" i="2"/>
  <c r="K18" i="2"/>
  <c r="H92" i="2"/>
  <c r="J71" i="2"/>
  <c r="K49" i="2"/>
  <c r="K15" i="2"/>
  <c r="J60" i="2"/>
  <c r="J87" i="2"/>
  <c r="J24" i="2"/>
  <c r="K16" i="2"/>
  <c r="K46" i="2"/>
  <c r="K81" i="2"/>
  <c r="K43" i="2"/>
  <c r="J86" i="2"/>
  <c r="J56" i="2"/>
  <c r="L56" i="2" s="1"/>
  <c r="J19" i="2"/>
  <c r="J78" i="2"/>
  <c r="J61" i="2"/>
  <c r="J43" i="2"/>
  <c r="J63" i="2"/>
  <c r="J59" i="2"/>
  <c r="J51" i="2"/>
  <c r="K82" i="2"/>
  <c r="K60" i="2"/>
  <c r="J76" i="2"/>
  <c r="K41" i="2"/>
  <c r="K61" i="2"/>
  <c r="J49" i="2"/>
  <c r="J54" i="2"/>
  <c r="J38" i="2"/>
  <c r="J25" i="2"/>
  <c r="J26" i="2"/>
  <c r="J15" i="2"/>
  <c r="K27" i="2"/>
  <c r="K23" i="2"/>
  <c r="J81" i="2"/>
  <c r="L81" i="2" s="1"/>
  <c r="J35" i="2"/>
  <c r="K72" i="2"/>
  <c r="K34" i="2"/>
  <c r="K30" i="2"/>
  <c r="K67" i="2"/>
  <c r="J27" i="2"/>
  <c r="L27" i="2" s="1"/>
  <c r="J57" i="2"/>
  <c r="J75" i="2"/>
  <c r="K88" i="2"/>
  <c r="J53" i="2"/>
  <c r="J83" i="2"/>
  <c r="L83" i="2" s="1"/>
  <c r="K17" i="2"/>
  <c r="K47" i="2"/>
  <c r="L47" i="2" s="1"/>
  <c r="K77" i="2"/>
  <c r="K36" i="2"/>
  <c r="K86" i="2"/>
  <c r="K22" i="2"/>
  <c r="K40" i="2"/>
  <c r="K57" i="2"/>
  <c r="L57" i="2" s="1"/>
  <c r="K84" i="2"/>
  <c r="K21" i="2"/>
  <c r="J62" i="2"/>
  <c r="J32" i="2"/>
  <c r="J88" i="2"/>
  <c r="K25" i="2"/>
  <c r="K39" i="2"/>
  <c r="J36" i="2"/>
  <c r="L36" i="2" s="1"/>
  <c r="J84" i="2"/>
  <c r="J68" i="2"/>
  <c r="J70" i="2"/>
  <c r="L70" i="2" s="1"/>
  <c r="J28" i="2"/>
  <c r="J69" i="2"/>
  <c r="K31" i="2"/>
  <c r="K75" i="2"/>
  <c r="J22" i="2"/>
  <c r="J73" i="2"/>
  <c r="K69" i="2"/>
  <c r="K19" i="2"/>
  <c r="J45" i="2"/>
  <c r="J37" i="2"/>
  <c r="J16" i="2"/>
  <c r="J33" i="2"/>
  <c r="K87" i="2"/>
  <c r="J30" i="2"/>
  <c r="J48" i="2"/>
  <c r="J82" i="2"/>
  <c r="L82" i="2" s="1"/>
  <c r="K28" i="2"/>
  <c r="K51" i="2"/>
  <c r="K37" i="2"/>
  <c r="J64" i="2"/>
  <c r="J52" i="2"/>
  <c r="K64" i="2"/>
  <c r="K76" i="2"/>
  <c r="J90" i="2"/>
  <c r="J77" i="2"/>
  <c r="K35" i="2"/>
  <c r="K24" i="2"/>
  <c r="K48" i="2"/>
  <c r="K54" i="2"/>
  <c r="K66" i="2"/>
  <c r="K78" i="2"/>
  <c r="K20" i="2"/>
  <c r="K26" i="2"/>
  <c r="L26" i="2" s="1"/>
  <c r="K38" i="2"/>
  <c r="K44" i="2"/>
  <c r="L44" i="2" s="1"/>
  <c r="K62" i="2"/>
  <c r="K68" i="2"/>
  <c r="K74" i="2"/>
  <c r="K80" i="2"/>
  <c r="J66" i="2"/>
  <c r="J80" i="2"/>
  <c r="J67" i="2"/>
  <c r="J40" i="2"/>
  <c r="K45" i="2"/>
  <c r="K42" i="2"/>
  <c r="J29" i="2"/>
  <c r="K55" i="2"/>
  <c r="J34" i="2"/>
  <c r="J21" i="2"/>
  <c r="J41" i="2"/>
  <c r="K32" i="2"/>
  <c r="K73" i="2"/>
  <c r="K58" i="2"/>
  <c r="K33" i="2"/>
  <c r="K53" i="2"/>
  <c r="K50" i="2"/>
  <c r="K29" i="2"/>
  <c r="J74" i="2"/>
  <c r="J20" i="2"/>
  <c r="J18" i="2"/>
  <c r="K52" i="2"/>
  <c r="J58" i="2"/>
  <c r="K85" i="2"/>
  <c r="K71" i="2"/>
  <c r="K79" i="2"/>
  <c r="L79" i="2" s="1"/>
  <c r="J23" i="2"/>
  <c r="K63" i="2"/>
  <c r="K65" i="2"/>
  <c r="L85" i="2" l="1"/>
  <c r="L42" i="2"/>
  <c r="M44" i="2"/>
  <c r="AA44" i="2"/>
  <c r="Z44" i="2"/>
  <c r="Y44" i="2"/>
  <c r="X44" i="2"/>
  <c r="M42" i="2"/>
  <c r="AA42" i="2"/>
  <c r="Z42" i="2"/>
  <c r="X42" i="2"/>
  <c r="Y42" i="2"/>
  <c r="M26" i="2"/>
  <c r="Z26" i="2"/>
  <c r="AA26" i="2"/>
  <c r="Y26" i="2"/>
  <c r="X26" i="2"/>
  <c r="M36" i="2"/>
  <c r="Z36" i="2"/>
  <c r="AA36" i="2"/>
  <c r="Y36" i="2"/>
  <c r="X36" i="2"/>
  <c r="M56" i="2"/>
  <c r="AA56" i="2"/>
  <c r="Z56" i="2"/>
  <c r="X56" i="2"/>
  <c r="Y56" i="2"/>
  <c r="M70" i="2"/>
  <c r="Z70" i="2"/>
  <c r="AA70" i="2"/>
  <c r="X70" i="2"/>
  <c r="Y70" i="2"/>
  <c r="M47" i="2"/>
  <c r="Z47" i="2"/>
  <c r="AA47" i="2"/>
  <c r="X47" i="2"/>
  <c r="Y47" i="2"/>
  <c r="M81" i="2"/>
  <c r="Z81" i="2"/>
  <c r="AA81" i="2"/>
  <c r="Y81" i="2"/>
  <c r="X81" i="2"/>
  <c r="M79" i="2"/>
  <c r="AA79" i="2"/>
  <c r="Z79" i="2"/>
  <c r="X79" i="2"/>
  <c r="Y79" i="2"/>
  <c r="M83" i="2"/>
  <c r="Z83" i="2"/>
  <c r="AA83" i="2"/>
  <c r="X83" i="2"/>
  <c r="Y83" i="2"/>
  <c r="M27" i="2"/>
  <c r="AA27" i="2"/>
  <c r="Z27" i="2"/>
  <c r="Y27" i="2"/>
  <c r="X27" i="2"/>
  <c r="M82" i="2"/>
  <c r="AA82" i="2"/>
  <c r="Z82" i="2"/>
  <c r="Y82" i="2"/>
  <c r="X82" i="2"/>
  <c r="M85" i="2"/>
  <c r="Z85" i="2"/>
  <c r="AA85" i="2"/>
  <c r="Y85" i="2"/>
  <c r="X85" i="2"/>
  <c r="M57" i="2"/>
  <c r="AA57" i="2"/>
  <c r="Z57" i="2"/>
  <c r="X57" i="2"/>
  <c r="Y57" i="2"/>
  <c r="L59" i="2"/>
  <c r="L17" i="2"/>
  <c r="L65" i="2"/>
  <c r="L39" i="2"/>
  <c r="L55" i="2"/>
  <c r="L50" i="2"/>
  <c r="L31" i="2"/>
  <c r="L72" i="2"/>
  <c r="L18" i="2"/>
  <c r="L46" i="2"/>
  <c r="L71" i="2"/>
  <c r="L49" i="2"/>
  <c r="L23" i="2"/>
  <c r="L15" i="2"/>
  <c r="L86" i="2"/>
  <c r="L60" i="2"/>
  <c r="L63" i="2"/>
  <c r="L24" i="2"/>
  <c r="L67" i="2"/>
  <c r="L78" i="2"/>
  <c r="L35" i="2"/>
  <c r="L54" i="2"/>
  <c r="L30" i="2"/>
  <c r="L34" i="2"/>
  <c r="L43" i="2"/>
  <c r="L76" i="2"/>
  <c r="L87" i="2"/>
  <c r="L61" i="2"/>
  <c r="L16" i="2"/>
  <c r="L19" i="2"/>
  <c r="L41" i="2"/>
  <c r="L38" i="2"/>
  <c r="L51" i="2"/>
  <c r="L25" i="2"/>
  <c r="L75" i="2"/>
  <c r="L53" i="2"/>
  <c r="L77" i="2"/>
  <c r="L88" i="2"/>
  <c r="L48" i="2"/>
  <c r="L22" i="2"/>
  <c r="L90" i="2"/>
  <c r="L69" i="2"/>
  <c r="L40" i="2"/>
  <c r="L84" i="2"/>
  <c r="L37" i="2"/>
  <c r="L73" i="2"/>
  <c r="L64" i="2"/>
  <c r="L45" i="2"/>
  <c r="L28" i="2"/>
  <c r="L52" i="2"/>
  <c r="L32" i="2"/>
  <c r="L21" i="2"/>
  <c r="L33" i="2"/>
  <c r="L68" i="2"/>
  <c r="L62" i="2"/>
  <c r="L66" i="2"/>
  <c r="L20" i="2"/>
  <c r="L80" i="2"/>
  <c r="L74" i="2"/>
  <c r="L58" i="2"/>
  <c r="K91" i="2"/>
  <c r="L29" i="2"/>
  <c r="J91" i="2"/>
  <c r="AB82" i="2" l="1"/>
  <c r="AB81" i="2"/>
  <c r="AC81" i="2"/>
  <c r="AD81" i="2" s="1"/>
  <c r="AE81" i="2" s="1"/>
  <c r="AB56" i="2"/>
  <c r="AB36" i="2"/>
  <c r="AB85" i="2"/>
  <c r="AB44" i="2"/>
  <c r="AC44" i="2" s="1"/>
  <c r="AD44" i="2" s="1"/>
  <c r="AE44" i="2" s="1"/>
  <c r="AB27" i="2"/>
  <c r="AC27" i="2" s="1"/>
  <c r="AD27" i="2" s="1"/>
  <c r="AE27" i="2" s="1"/>
  <c r="M90" i="2"/>
  <c r="AA90" i="2"/>
  <c r="Z90" i="2"/>
  <c r="X90" i="2"/>
  <c r="Y90" i="2"/>
  <c r="M52" i="2"/>
  <c r="Z52" i="2"/>
  <c r="AA52" i="2"/>
  <c r="X52" i="2"/>
  <c r="Y52" i="2"/>
  <c r="M76" i="2"/>
  <c r="AA76" i="2"/>
  <c r="Z76" i="2"/>
  <c r="X76" i="2"/>
  <c r="Y76" i="2"/>
  <c r="M17" i="2"/>
  <c r="Z17" i="2"/>
  <c r="AA17" i="2"/>
  <c r="Y17" i="2"/>
  <c r="X17" i="2"/>
  <c r="M34" i="2"/>
  <c r="AA34" i="2"/>
  <c r="Z34" i="2"/>
  <c r="X34" i="2"/>
  <c r="Y34" i="2"/>
  <c r="M71" i="2"/>
  <c r="AA71" i="2"/>
  <c r="Z71" i="2"/>
  <c r="X71" i="2"/>
  <c r="Y71" i="2"/>
  <c r="AB42" i="2"/>
  <c r="AC42" i="2" s="1"/>
  <c r="M28" i="2"/>
  <c r="Z28" i="2"/>
  <c r="AA28" i="2"/>
  <c r="X28" i="2"/>
  <c r="Y28" i="2"/>
  <c r="M43" i="2"/>
  <c r="AA43" i="2"/>
  <c r="Z43" i="2"/>
  <c r="X43" i="2"/>
  <c r="Y43" i="2"/>
  <c r="M53" i="2"/>
  <c r="Z53" i="2"/>
  <c r="AA53" i="2"/>
  <c r="X53" i="2"/>
  <c r="Y53" i="2"/>
  <c r="M46" i="2"/>
  <c r="Z46" i="2"/>
  <c r="AA46" i="2"/>
  <c r="Y46" i="2"/>
  <c r="X46" i="2"/>
  <c r="AB46" i="2" s="1"/>
  <c r="AB79" i="2"/>
  <c r="AC79" i="2" s="1"/>
  <c r="M49" i="2"/>
  <c r="AA49" i="2"/>
  <c r="Z49" i="2"/>
  <c r="X49" i="2"/>
  <c r="Y49" i="2"/>
  <c r="M25" i="2"/>
  <c r="AA25" i="2"/>
  <c r="Z25" i="2"/>
  <c r="Y25" i="2"/>
  <c r="X25" i="2"/>
  <c r="M35" i="2"/>
  <c r="AA35" i="2"/>
  <c r="Z35" i="2"/>
  <c r="Y35" i="2"/>
  <c r="X35" i="2"/>
  <c r="Z15" i="2"/>
  <c r="AA15" i="2"/>
  <c r="X15" i="2"/>
  <c r="Y15" i="2"/>
  <c r="M45" i="2"/>
  <c r="AA45" i="2"/>
  <c r="Z45" i="2"/>
  <c r="Y45" i="2"/>
  <c r="X45" i="2"/>
  <c r="M78" i="2"/>
  <c r="AA78" i="2"/>
  <c r="Z78" i="2"/>
  <c r="X78" i="2"/>
  <c r="Y78" i="2"/>
  <c r="M72" i="2"/>
  <c r="Z72" i="2"/>
  <c r="AA72" i="2"/>
  <c r="Y72" i="2"/>
  <c r="X72" i="2"/>
  <c r="M77" i="2"/>
  <c r="Z77" i="2"/>
  <c r="AA77" i="2"/>
  <c r="X77" i="2"/>
  <c r="Y77" i="2"/>
  <c r="AB47" i="2"/>
  <c r="M64" i="2"/>
  <c r="AA64" i="2"/>
  <c r="Z64" i="2"/>
  <c r="Y64" i="2"/>
  <c r="X64" i="2"/>
  <c r="M30" i="2"/>
  <c r="Z30" i="2"/>
  <c r="AA30" i="2"/>
  <c r="Y30" i="2"/>
  <c r="X30" i="2"/>
  <c r="M73" i="2"/>
  <c r="AA73" i="2"/>
  <c r="Z73" i="2"/>
  <c r="X73" i="2"/>
  <c r="Y73" i="2"/>
  <c r="M40" i="2"/>
  <c r="AA40" i="2"/>
  <c r="Z40" i="2"/>
  <c r="Y40" i="2"/>
  <c r="X40" i="2"/>
  <c r="M31" i="2"/>
  <c r="AA31" i="2"/>
  <c r="Z31" i="2"/>
  <c r="Y31" i="2"/>
  <c r="X31" i="2"/>
  <c r="AB70" i="2"/>
  <c r="AC70" i="2" s="1"/>
  <c r="M29" i="2"/>
  <c r="Z29" i="2"/>
  <c r="AA29" i="2"/>
  <c r="Y29" i="2"/>
  <c r="X29" i="2"/>
  <c r="M58" i="2"/>
  <c r="AA58" i="2"/>
  <c r="Z58" i="2"/>
  <c r="Y58" i="2"/>
  <c r="X58" i="2"/>
  <c r="AC82" i="2"/>
  <c r="AD82" i="2" s="1"/>
  <c r="AE82" i="2" s="1"/>
  <c r="M37" i="2"/>
  <c r="AA37" i="2"/>
  <c r="Z37" i="2"/>
  <c r="Y37" i="2"/>
  <c r="X37" i="2"/>
  <c r="M66" i="2"/>
  <c r="Z66" i="2"/>
  <c r="AA66" i="2"/>
  <c r="X66" i="2"/>
  <c r="Y66" i="2"/>
  <c r="M68" i="2"/>
  <c r="Z68" i="2"/>
  <c r="AA68" i="2"/>
  <c r="Y68" i="2"/>
  <c r="X68" i="2"/>
  <c r="M19" i="2"/>
  <c r="AA19" i="2"/>
  <c r="Z19" i="2"/>
  <c r="Y19" i="2"/>
  <c r="X19" i="2"/>
  <c r="M24" i="2"/>
  <c r="AA24" i="2"/>
  <c r="Z24" i="2"/>
  <c r="X24" i="2"/>
  <c r="Y24" i="2"/>
  <c r="M50" i="2"/>
  <c r="AA50" i="2"/>
  <c r="Z50" i="2"/>
  <c r="X50" i="2"/>
  <c r="Y50" i="2"/>
  <c r="AC36" i="2"/>
  <c r="AD36" i="2" s="1"/>
  <c r="AE36" i="2" s="1"/>
  <c r="M23" i="2"/>
  <c r="Z23" i="2"/>
  <c r="AA23" i="2"/>
  <c r="Y23" i="2"/>
  <c r="X23" i="2"/>
  <c r="M74" i="2"/>
  <c r="Z74" i="2"/>
  <c r="AA74" i="2"/>
  <c r="X74" i="2"/>
  <c r="Y74" i="2"/>
  <c r="M75" i="2"/>
  <c r="AA75" i="2"/>
  <c r="Z75" i="2"/>
  <c r="X75" i="2"/>
  <c r="Y75" i="2"/>
  <c r="M20" i="2"/>
  <c r="AA20" i="2"/>
  <c r="Z20" i="2"/>
  <c r="Y20" i="2"/>
  <c r="X20" i="2"/>
  <c r="M51" i="2"/>
  <c r="AA51" i="2"/>
  <c r="Z51" i="2"/>
  <c r="X51" i="2"/>
  <c r="Y51" i="2"/>
  <c r="M38" i="2"/>
  <c r="AA38" i="2"/>
  <c r="Z38" i="2"/>
  <c r="Y38" i="2"/>
  <c r="X38" i="2"/>
  <c r="M62" i="2"/>
  <c r="AA62" i="2"/>
  <c r="Z62" i="2"/>
  <c r="Y62" i="2"/>
  <c r="X62" i="2"/>
  <c r="M41" i="2"/>
  <c r="AA41" i="2"/>
  <c r="Z41" i="2"/>
  <c r="Y41" i="2"/>
  <c r="X41" i="2"/>
  <c r="M33" i="2"/>
  <c r="AA33" i="2"/>
  <c r="Z33" i="2"/>
  <c r="Y33" i="2"/>
  <c r="X33" i="2"/>
  <c r="Z16" i="2"/>
  <c r="AA16" i="2"/>
  <c r="Y16" i="2"/>
  <c r="X16" i="2"/>
  <c r="M63" i="2"/>
  <c r="Z63" i="2"/>
  <c r="AA63" i="2"/>
  <c r="X63" i="2"/>
  <c r="Y63" i="2"/>
  <c r="M55" i="2"/>
  <c r="Z55" i="2"/>
  <c r="AA55" i="2"/>
  <c r="Y55" i="2"/>
  <c r="X55" i="2"/>
  <c r="AB26" i="2"/>
  <c r="AC26" i="2" s="1"/>
  <c r="M88" i="2"/>
  <c r="AA88" i="2"/>
  <c r="Z88" i="2"/>
  <c r="Y88" i="2"/>
  <c r="X88" i="2"/>
  <c r="AB57" i="2"/>
  <c r="M80" i="2"/>
  <c r="Z80" i="2"/>
  <c r="AA80" i="2"/>
  <c r="X80" i="2"/>
  <c r="Y80" i="2"/>
  <c r="M54" i="2"/>
  <c r="AA54" i="2"/>
  <c r="Z54" i="2"/>
  <c r="Y54" i="2"/>
  <c r="X54" i="2"/>
  <c r="M18" i="2"/>
  <c r="Z18" i="2"/>
  <c r="AA18" i="2"/>
  <c r="Y18" i="2"/>
  <c r="X18" i="2"/>
  <c r="M84" i="2"/>
  <c r="AA84" i="2"/>
  <c r="Z84" i="2"/>
  <c r="Y84" i="2"/>
  <c r="X84" i="2"/>
  <c r="M67" i="2"/>
  <c r="AA67" i="2"/>
  <c r="Z67" i="2"/>
  <c r="X67" i="2"/>
  <c r="Y67" i="2"/>
  <c r="M69" i="2"/>
  <c r="AA69" i="2"/>
  <c r="Z69" i="2"/>
  <c r="Y69" i="2"/>
  <c r="X69" i="2"/>
  <c r="M21" i="2"/>
  <c r="Z21" i="2"/>
  <c r="AA21" i="2"/>
  <c r="X21" i="2"/>
  <c r="Y21" i="2"/>
  <c r="M22" i="2"/>
  <c r="Z22" i="2"/>
  <c r="AA22" i="2"/>
  <c r="Y22" i="2"/>
  <c r="X22" i="2"/>
  <c r="M61" i="2"/>
  <c r="Z61" i="2"/>
  <c r="AA61" i="2"/>
  <c r="Y61" i="2"/>
  <c r="X61" i="2"/>
  <c r="M60" i="2"/>
  <c r="Z60" i="2"/>
  <c r="AA60" i="2"/>
  <c r="X60" i="2"/>
  <c r="Y60" i="2"/>
  <c r="M39" i="2"/>
  <c r="Z39" i="2"/>
  <c r="AA39" i="2"/>
  <c r="Y39" i="2"/>
  <c r="X39" i="2"/>
  <c r="M59" i="2"/>
  <c r="AA59" i="2"/>
  <c r="Z59" i="2"/>
  <c r="Y59" i="2"/>
  <c r="X59" i="2"/>
  <c r="M32" i="2"/>
  <c r="Z32" i="2"/>
  <c r="AA32" i="2"/>
  <c r="Y32" i="2"/>
  <c r="X32" i="2"/>
  <c r="M48" i="2"/>
  <c r="AA48" i="2"/>
  <c r="Z48" i="2"/>
  <c r="X48" i="2"/>
  <c r="Y48" i="2"/>
  <c r="M87" i="2"/>
  <c r="AA87" i="2"/>
  <c r="Z87" i="2"/>
  <c r="Y87" i="2"/>
  <c r="X87" i="2"/>
  <c r="M86" i="2"/>
  <c r="Z86" i="2"/>
  <c r="AA86" i="2"/>
  <c r="Y86" i="2"/>
  <c r="X86" i="2"/>
  <c r="M65" i="2"/>
  <c r="AA65" i="2"/>
  <c r="Z65" i="2"/>
  <c r="Y65" i="2"/>
  <c r="X65" i="2"/>
  <c r="AC85" i="2"/>
  <c r="AD85" i="2" s="1"/>
  <c r="AE85" i="2" s="1"/>
  <c r="AB83" i="2"/>
  <c r="AC83" i="2" s="1"/>
  <c r="M16" i="2"/>
  <c r="M15" i="2"/>
  <c r="AB63" i="2" l="1"/>
  <c r="AC56" i="2"/>
  <c r="AD56" i="2" s="1"/>
  <c r="AE56" i="2" s="1"/>
  <c r="AB86" i="2"/>
  <c r="AB59" i="2"/>
  <c r="AB61" i="2"/>
  <c r="AB41" i="2"/>
  <c r="AC41" i="2" s="1"/>
  <c r="AD41" i="2" s="1"/>
  <c r="AE41" i="2" s="1"/>
  <c r="AB31" i="2"/>
  <c r="AB21" i="2"/>
  <c r="AB54" i="2"/>
  <c r="AB33" i="2"/>
  <c r="AB23" i="2"/>
  <c r="AC23" i="2" s="1"/>
  <c r="AD23" i="2" s="1"/>
  <c r="AE23" i="2" s="1"/>
  <c r="AB37" i="2"/>
  <c r="AB45" i="2"/>
  <c r="AB71" i="2"/>
  <c r="AC71" i="2" s="1"/>
  <c r="AD71" i="2" s="1"/>
  <c r="AE71" i="2" s="1"/>
  <c r="AB90" i="2"/>
  <c r="AC90" i="2" s="1"/>
  <c r="AD90" i="2" s="1"/>
  <c r="AE90" i="2" s="1"/>
  <c r="AB20" i="2"/>
  <c r="AB64" i="2"/>
  <c r="AC64" i="2"/>
  <c r="AD64" i="2" s="1"/>
  <c r="AE64" i="2" s="1"/>
  <c r="AB66" i="2"/>
  <c r="AC66" i="2" s="1"/>
  <c r="AD66" i="2" s="1"/>
  <c r="AE66" i="2" s="1"/>
  <c r="AB87" i="2"/>
  <c r="AC87" i="2" s="1"/>
  <c r="AD87" i="2" s="1"/>
  <c r="AE87" i="2" s="1"/>
  <c r="AC61" i="2"/>
  <c r="AD61" i="2" s="1"/>
  <c r="AE61" i="2" s="1"/>
  <c r="AB51" i="2"/>
  <c r="AC51" i="2" s="1"/>
  <c r="AD51" i="2" s="1"/>
  <c r="AE51" i="2" s="1"/>
  <c r="AB19" i="2"/>
  <c r="AC19" i="2" s="1"/>
  <c r="AD19" i="2" s="1"/>
  <c r="AE19" i="2" s="1"/>
  <c r="AB30" i="2"/>
  <c r="AC30" i="2" s="1"/>
  <c r="AD30" i="2" s="1"/>
  <c r="AE30" i="2" s="1"/>
  <c r="AB35" i="2"/>
  <c r="AC35" i="2" s="1"/>
  <c r="AD35" i="2" s="1"/>
  <c r="AE35" i="2" s="1"/>
  <c r="AB22" i="2"/>
  <c r="AC22" i="2" s="1"/>
  <c r="AD22" i="2" s="1"/>
  <c r="AE22" i="2" s="1"/>
  <c r="AB55" i="2"/>
  <c r="AC55" i="2" s="1"/>
  <c r="AD55" i="2" s="1"/>
  <c r="AE55" i="2" s="1"/>
  <c r="AB65" i="2"/>
  <c r="AC65" i="2" s="1"/>
  <c r="AD65" i="2" s="1"/>
  <c r="AE65" i="2" s="1"/>
  <c r="AB18" i="2"/>
  <c r="AB29" i="2"/>
  <c r="AC29" i="2" s="1"/>
  <c r="AD29" i="2" s="1"/>
  <c r="AE29" i="2" s="1"/>
  <c r="AB80" i="2"/>
  <c r="AC80" i="2" s="1"/>
  <c r="AB62" i="2"/>
  <c r="AC62" i="2" s="1"/>
  <c r="AB74" i="2"/>
  <c r="AC74" i="2" s="1"/>
  <c r="AB77" i="2"/>
  <c r="AC77" i="2" s="1"/>
  <c r="AB78" i="2"/>
  <c r="AC78" i="2" s="1"/>
  <c r="AB76" i="2"/>
  <c r="AC76" i="2" s="1"/>
  <c r="AB50" i="2"/>
  <c r="AC50" i="2" s="1"/>
  <c r="AC31" i="2"/>
  <c r="AD31" i="2" s="1"/>
  <c r="AE31" i="2" s="1"/>
  <c r="AC47" i="2"/>
  <c r="AD47" i="2" s="1"/>
  <c r="AE47" i="2" s="1"/>
  <c r="AC46" i="2"/>
  <c r="AD46" i="2" s="1"/>
  <c r="AE46" i="2" s="1"/>
  <c r="AB28" i="2"/>
  <c r="AB60" i="2"/>
  <c r="AB67" i="2"/>
  <c r="AB40" i="2"/>
  <c r="AC40" i="2" s="1"/>
  <c r="AD40" i="2" s="1"/>
  <c r="AE40" i="2" s="1"/>
  <c r="AB49" i="2"/>
  <c r="AC49" i="2" s="1"/>
  <c r="AB34" i="2"/>
  <c r="AC34" i="2" s="1"/>
  <c r="AB48" i="2"/>
  <c r="AC48" i="2" s="1"/>
  <c r="AC18" i="2"/>
  <c r="AD18" i="2" s="1"/>
  <c r="AE18" i="2" s="1"/>
  <c r="AB88" i="2"/>
  <c r="AB38" i="2"/>
  <c r="AB68" i="2"/>
  <c r="AB53" i="2"/>
  <c r="AC53" i="2" s="1"/>
  <c r="AC33" i="2"/>
  <c r="AD33" i="2" s="1"/>
  <c r="AE33" i="2" s="1"/>
  <c r="AD83" i="2"/>
  <c r="AE83" i="2" s="1"/>
  <c r="AC59" i="2"/>
  <c r="AD59" i="2" s="1"/>
  <c r="AE59" i="2" s="1"/>
  <c r="AC20" i="2"/>
  <c r="AD20" i="2" s="1"/>
  <c r="AE20" i="2" s="1"/>
  <c r="AC37" i="2"/>
  <c r="AD37" i="2" s="1"/>
  <c r="AE37" i="2" s="1"/>
  <c r="AC57" i="2"/>
  <c r="AD57" i="2" s="1"/>
  <c r="AE57" i="2" s="1"/>
  <c r="AB52" i="2"/>
  <c r="AC52" i="2" s="1"/>
  <c r="AB84" i="2"/>
  <c r="AC84" i="2" s="1"/>
  <c r="AB24" i="2"/>
  <c r="AD70" i="2"/>
  <c r="AE70" i="2" s="1"/>
  <c r="AB72" i="2"/>
  <c r="AC72" i="2" s="1"/>
  <c r="AD42" i="2"/>
  <c r="AE42" i="2" s="1"/>
  <c r="AB17" i="2"/>
  <c r="AC17" i="2" s="1"/>
  <c r="AB39" i="2"/>
  <c r="AC21" i="2"/>
  <c r="AD21" i="2" s="1"/>
  <c r="AE21" i="2" s="1"/>
  <c r="AC63" i="2"/>
  <c r="AD63" i="2" s="1"/>
  <c r="AE63" i="2" s="1"/>
  <c r="AB75" i="2"/>
  <c r="AB58" i="2"/>
  <c r="AC58" i="2" s="1"/>
  <c r="AB32" i="2"/>
  <c r="AC32" i="2" s="1"/>
  <c r="AC86" i="2"/>
  <c r="AD86" i="2" s="1"/>
  <c r="AE86" i="2" s="1"/>
  <c r="AB69" i="2"/>
  <c r="AC54" i="2"/>
  <c r="AD54" i="2" s="1"/>
  <c r="AE54" i="2" s="1"/>
  <c r="AD26" i="2"/>
  <c r="AE26" i="2" s="1"/>
  <c r="AB73" i="2"/>
  <c r="AC73" i="2" s="1"/>
  <c r="AC45" i="2"/>
  <c r="AD45" i="2" s="1"/>
  <c r="AE45" i="2" s="1"/>
  <c r="AB25" i="2"/>
  <c r="AC25" i="2" s="1"/>
  <c r="AD79" i="2"/>
  <c r="AE79" i="2" s="1"/>
  <c r="AB43" i="2"/>
  <c r="AB16" i="2"/>
  <c r="L91" i="2"/>
  <c r="M91" i="2" s="1"/>
  <c r="M93" i="2" s="1"/>
  <c r="AB92" i="2" l="1"/>
  <c r="AD25" i="2"/>
  <c r="AE25" i="2" s="1"/>
  <c r="AD72" i="2"/>
  <c r="AE72" i="2" s="1"/>
  <c r="AD73" i="2"/>
  <c r="AE73" i="2" s="1"/>
  <c r="AC67" i="2"/>
  <c r="AD67" i="2" s="1"/>
  <c r="AE67" i="2" s="1"/>
  <c r="AD48" i="2"/>
  <c r="AE48" i="2" s="1"/>
  <c r="AD74" i="2"/>
  <c r="AE74" i="2" s="1"/>
  <c r="AC75" i="2"/>
  <c r="AD75" i="2" s="1"/>
  <c r="AE75" i="2" s="1"/>
  <c r="AD77" i="2"/>
  <c r="AE77" i="2" s="1"/>
  <c r="AD62" i="2"/>
  <c r="AE62" i="2" s="1"/>
  <c r="AD58" i="2"/>
  <c r="AE58" i="2" s="1"/>
  <c r="AC68" i="2"/>
  <c r="AD68" i="2" s="1"/>
  <c r="AE68" i="2" s="1"/>
  <c r="AD84" i="2"/>
  <c r="AE84" i="2" s="1"/>
  <c r="AC24" i="2"/>
  <c r="AD24" i="2" s="1"/>
  <c r="AE24" i="2" s="1"/>
  <c r="AC39" i="2"/>
  <c r="AD39" i="2" s="1"/>
  <c r="AE39" i="2" s="1"/>
  <c r="AC69" i="2"/>
  <c r="AD69" i="2" s="1"/>
  <c r="AE69" i="2" s="1"/>
  <c r="AD80" i="2"/>
  <c r="AE80" i="2" s="1"/>
  <c r="AD78" i="2"/>
  <c r="AE78" i="2" s="1"/>
  <c r="AC38" i="2"/>
  <c r="AD38" i="2" s="1"/>
  <c r="AE38" i="2" s="1"/>
  <c r="AD50" i="2"/>
  <c r="AE50" i="2" s="1"/>
  <c r="AD53" i="2"/>
  <c r="AE53" i="2" s="1"/>
  <c r="AD34" i="2"/>
  <c r="AE34" i="2" s="1"/>
  <c r="AC88" i="2"/>
  <c r="AD88" i="2" s="1"/>
  <c r="AE88" i="2" s="1"/>
  <c r="AD32" i="2"/>
  <c r="AE32" i="2" s="1"/>
  <c r="AC15" i="2"/>
  <c r="AD15" i="2" s="1"/>
  <c r="AC16" i="2"/>
  <c r="AD16" i="2" s="1"/>
  <c r="AE16" i="2" s="1"/>
  <c r="AC60" i="2"/>
  <c r="AD60" i="2" s="1"/>
  <c r="AE60" i="2" s="1"/>
  <c r="AD17" i="2"/>
  <c r="AE17" i="2" s="1"/>
  <c r="AD52" i="2"/>
  <c r="AE52" i="2" s="1"/>
  <c r="AC28" i="2"/>
  <c r="AD28" i="2" s="1"/>
  <c r="AE28" i="2" s="1"/>
  <c r="AD49" i="2"/>
  <c r="AE49" i="2" s="1"/>
  <c r="AD76" i="2"/>
  <c r="AE76" i="2" s="1"/>
  <c r="AC43" i="2"/>
  <c r="AD43" i="2" s="1"/>
  <c r="AE43" i="2" s="1"/>
  <c r="AC92" i="2" l="1"/>
  <c r="XEP49" i="2"/>
  <c r="AE15" i="2" l="1"/>
  <c r="AD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</author>
  </authors>
  <commentList>
    <comment ref="J8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Ana:</t>
        </r>
        <r>
          <rPr>
            <sz val="9"/>
            <color indexed="81"/>
            <rFont val="Tahoma"/>
            <family val="2"/>
          </rPr>
          <t xml:space="preserve">
Ajuste decimales en este depto</t>
        </r>
      </text>
    </comment>
  </commentList>
</comments>
</file>

<file path=xl/sharedStrings.xml><?xml version="1.0" encoding="utf-8"?>
<sst xmlns="http://schemas.openxmlformats.org/spreadsheetml/2006/main" count="202" uniqueCount="177">
  <si>
    <t>M2</t>
  </si>
  <si>
    <t>%</t>
  </si>
  <si>
    <t>TOTAL</t>
  </si>
  <si>
    <t>Dto</t>
  </si>
  <si>
    <t>COCH</t>
  </si>
  <si>
    <t>Adquirentes</t>
  </si>
  <si>
    <t xml:space="preserve">depto </t>
  </si>
  <si>
    <t>Cochera</t>
  </si>
  <si>
    <t>total</t>
  </si>
  <si>
    <t>POSESION</t>
  </si>
  <si>
    <t>2ºA</t>
  </si>
  <si>
    <t>2ºB</t>
  </si>
  <si>
    <t>2ºC</t>
  </si>
  <si>
    <t>3ºA</t>
  </si>
  <si>
    <t>3ºB</t>
  </si>
  <si>
    <t>3ºC</t>
  </si>
  <si>
    <t>4ºA</t>
  </si>
  <si>
    <t>4ºB</t>
  </si>
  <si>
    <t>4ºC</t>
  </si>
  <si>
    <t>5ºA</t>
  </si>
  <si>
    <t>5ºB</t>
  </si>
  <si>
    <t>5ºC</t>
  </si>
  <si>
    <t>6ºA</t>
  </si>
  <si>
    <t>6ºB</t>
  </si>
  <si>
    <t>6ºC</t>
  </si>
  <si>
    <t>7ºA</t>
  </si>
  <si>
    <t>7ºB</t>
  </si>
  <si>
    <t>7ºC</t>
  </si>
  <si>
    <t>8ºA</t>
  </si>
  <si>
    <t>8ºB</t>
  </si>
  <si>
    <t>8ºC</t>
  </si>
  <si>
    <t>9ºA</t>
  </si>
  <si>
    <t>9ºB</t>
  </si>
  <si>
    <t>Yudchak, Carlos Alberto</t>
  </si>
  <si>
    <t>9ºC</t>
  </si>
  <si>
    <t>10ºA</t>
  </si>
  <si>
    <t>10ºB</t>
  </si>
  <si>
    <t>10ºC</t>
  </si>
  <si>
    <t>11ºC</t>
  </si>
  <si>
    <t>2ºD</t>
  </si>
  <si>
    <t>2ºE</t>
  </si>
  <si>
    <t>2ºF</t>
  </si>
  <si>
    <t>3ºD</t>
  </si>
  <si>
    <t>3ºE</t>
  </si>
  <si>
    <t>3ºF</t>
  </si>
  <si>
    <t>4ºD</t>
  </si>
  <si>
    <t>4ºE</t>
  </si>
  <si>
    <t>4ºF</t>
  </si>
  <si>
    <t>5ºD</t>
  </si>
  <si>
    <t>5ºE</t>
  </si>
  <si>
    <t>5ºF</t>
  </si>
  <si>
    <t>6ºD</t>
  </si>
  <si>
    <t>6ºE</t>
  </si>
  <si>
    <t>6ºF</t>
  </si>
  <si>
    <t>7ºD</t>
  </si>
  <si>
    <t>7ºE</t>
  </si>
  <si>
    <t>7ºF</t>
  </si>
  <si>
    <t>8ºD</t>
  </si>
  <si>
    <t>8ºE</t>
  </si>
  <si>
    <t>8ºF</t>
  </si>
  <si>
    <t>9ºD</t>
  </si>
  <si>
    <t>9ºE</t>
  </si>
  <si>
    <t>9ºF</t>
  </si>
  <si>
    <t>10ºD</t>
  </si>
  <si>
    <t>10ºE</t>
  </si>
  <si>
    <t>10ºF</t>
  </si>
  <si>
    <t>11ºD</t>
  </si>
  <si>
    <t>11ºE</t>
  </si>
  <si>
    <t>11ºF</t>
  </si>
  <si>
    <t>12ºC</t>
  </si>
  <si>
    <t>12ºD</t>
  </si>
  <si>
    <t>12ºE</t>
  </si>
  <si>
    <t>12ºF</t>
  </si>
  <si>
    <t>13ºC</t>
  </si>
  <si>
    <t>13ºD</t>
  </si>
  <si>
    <t>13ºE</t>
  </si>
  <si>
    <t>13ºF</t>
  </si>
  <si>
    <t>Franco, Lucas Fabián</t>
  </si>
  <si>
    <t>Martinez, Diego</t>
  </si>
  <si>
    <t>Rodriguez, Carlos Alberto Miguel</t>
  </si>
  <si>
    <t xml:space="preserve">Ferraro, José </t>
  </si>
  <si>
    <t>Dieci, Matias Orlando</t>
  </si>
  <si>
    <t xml:space="preserve">Ferraro, Jose </t>
  </si>
  <si>
    <t>Ayala, Roberto Adrian</t>
  </si>
  <si>
    <t>Barral, Carlos Daniel</t>
  </si>
  <si>
    <t>Calzetta, Gabriel Andrés Felipe</t>
  </si>
  <si>
    <t>1-11</t>
  </si>
  <si>
    <t>Osipowicz, Ariel Marcelo</t>
  </si>
  <si>
    <t>Chehab, Gabriel Adrian</t>
  </si>
  <si>
    <t>Di Mito, Vicente Argentino - Serantes, Mabel</t>
  </si>
  <si>
    <t>Morandi, Victoria Ayelen | Calvo, Luciano Ezequiel</t>
  </si>
  <si>
    <t>Nuñez Leonel - Corrieri Giuliana</t>
  </si>
  <si>
    <t>Campelo, Mariano</t>
  </si>
  <si>
    <t>Paes, Yazmin Luciana</t>
  </si>
  <si>
    <t>Gonzalez Fedullo, Roxana y Valeria</t>
  </si>
  <si>
    <t>Acosta, Daniela Pilar</t>
  </si>
  <si>
    <t xml:space="preserve">Puente, Matias </t>
  </si>
  <si>
    <t>Morvillo, Mariana Yanil</t>
  </si>
  <si>
    <t xml:space="preserve">Frontale, Federico Carlos | Celentano, Alejandra Verónica </t>
  </si>
  <si>
    <t>Argul, Sergio Walter - Taboada, María Paz</t>
  </si>
  <si>
    <t>Arias, Mariana Laura</t>
  </si>
  <si>
    <t>Fanjul, Alejandro Rubén Marcelo</t>
  </si>
  <si>
    <t>Franchino, Mauro</t>
  </si>
  <si>
    <t>Cerra, Antonio Osvaldo</t>
  </si>
  <si>
    <t>Rosales, Rubén Darío</t>
  </si>
  <si>
    <t>Lange, Gustavo Daniel</t>
  </si>
  <si>
    <t>Espósito, Franco Ezequiel</t>
  </si>
  <si>
    <t xml:space="preserve">Lobato, Lorena - Vega, Maximiliano  </t>
  </si>
  <si>
    <t>Hecimovic, Mariano Hernán</t>
  </si>
  <si>
    <t>Ramos, Sergio Eugenio</t>
  </si>
  <si>
    <t>11ºA/B</t>
  </si>
  <si>
    <t>Mosquera, Julio Rodolfo | Cuzzolino, Daniela Carol</t>
  </si>
  <si>
    <t>Argúl, Adrián Norberto</t>
  </si>
  <si>
    <t>Lobato, Lorena - Vega, Maximiliano</t>
  </si>
  <si>
    <t>12ºA/B</t>
  </si>
  <si>
    <t>Luciano, Carmen Veronica - Rey, Javier Pablo</t>
  </si>
  <si>
    <t>Hernandez, Marisa Beatriz - Hernandez, Adrian Jose</t>
  </si>
  <si>
    <t>Morini, Micaela</t>
  </si>
  <si>
    <t>Armerding, Jorge</t>
  </si>
  <si>
    <t>Bilyj, Josefa Catalina</t>
  </si>
  <si>
    <t>13ºA/B</t>
  </si>
  <si>
    <t>Argentino, Javier Leonardo</t>
  </si>
  <si>
    <t>Scardigno, Gabriela Susana - Ripoll, Luis Alberto</t>
  </si>
  <si>
    <t xml:space="preserve">Quiñones, Carlos Eduardo </t>
  </si>
  <si>
    <t>Mosquera, José Elias</t>
  </si>
  <si>
    <t>LOC 1</t>
  </si>
  <si>
    <t>Fernandez, Cristian</t>
  </si>
  <si>
    <t>LOC 3</t>
  </si>
  <si>
    <t>LOC 4</t>
  </si>
  <si>
    <t>Cordero, Leandro Emanuel - Orona, Victoria</t>
  </si>
  <si>
    <t>LOC 5</t>
  </si>
  <si>
    <t>Edificio 25 DE MAYO 837 -LANUS -</t>
  </si>
  <si>
    <t xml:space="preserve"> LOC 2 </t>
  </si>
  <si>
    <t>total 44 cocheras</t>
  </si>
  <si>
    <t>Terranza +Balcon 50%</t>
  </si>
  <si>
    <t>COCHERA</t>
  </si>
  <si>
    <t>ALEXIA JOANA MAZZIA</t>
  </si>
  <si>
    <t>Di Sabato Guillermo Damian</t>
  </si>
  <si>
    <t>Guillermo Antonio PUISYS (EX Fernández, Marcela Fabiana)</t>
  </si>
  <si>
    <t>Silvestre Villarruel Eduardo (EX De Mieri, Fernando Emanuel</t>
  </si>
  <si>
    <t>Schiaffino, Edgardo Ángel</t>
  </si>
  <si>
    <t xml:space="preserve">Orsi, José Luis - Fernández, Cristián Gabriel </t>
  </si>
  <si>
    <t>VML</t>
  </si>
  <si>
    <t>13-32</t>
  </si>
  <si>
    <t>Ferraro, Jose -  ------ALEJANDRO</t>
  </si>
  <si>
    <t>Mesa, Mariano</t>
  </si>
  <si>
    <t>Nuñez Leyes Javier Damian</t>
  </si>
  <si>
    <t>Ayala, Roberto Adrian /CALZETTA</t>
  </si>
  <si>
    <t>Ayala, Roberto Adrian/BALDUZZI</t>
  </si>
  <si>
    <t>Ayala, Roberto Adrian/SKARLATIUK</t>
  </si>
  <si>
    <t>Gazzaneo Francisco</t>
  </si>
  <si>
    <t>GRIZEK RUBEN EDUARDO (ex Orellano)</t>
  </si>
  <si>
    <t>Ayala, Roberto Adrian/CALZETTA/ BASAEZ ROGELIO</t>
  </si>
  <si>
    <t>29-30</t>
  </si>
  <si>
    <t>34-39</t>
  </si>
  <si>
    <t>37-38</t>
  </si>
  <si>
    <t>vendidas 43 -------s/ vender 1</t>
  </si>
  <si>
    <t>ANCHIPI GASTON (Cedido x Hecimovic)Hecimovic, Mariano Hernán (Cedido x Lopez Malara, Ramiro Alejandro)</t>
  </si>
  <si>
    <t>la cochera 18 estaba en el Local 2, pero se vende sin cochera</t>
  </si>
  <si>
    <t>Frigidi Guillermo Ariel</t>
  </si>
  <si>
    <t>ARBA - IMP. INMOB PART 025-024270-0 CUOTA 82-83/2025 -A RECUPERAR -</t>
  </si>
  <si>
    <t>ARBA - IMP. INMOB PART 025-024270-0 CUOTA 84/2025 - A RECUPERAR -</t>
  </si>
  <si>
    <t>ARBA - IMP. INMOB PART 025-024270-0 CUOTA 85/2025 - A RECUPERAR -</t>
  </si>
  <si>
    <t>ARBA</t>
  </si>
  <si>
    <t>REVALUO</t>
  </si>
  <si>
    <t>CUOTA 82</t>
  </si>
  <si>
    <t>CUOTA 83</t>
  </si>
  <si>
    <t>CUOTA</t>
  </si>
  <si>
    <t>FONDO EDUC</t>
  </si>
  <si>
    <t>PROPIETARIO</t>
  </si>
  <si>
    <t>CONSTRUCTORA</t>
  </si>
  <si>
    <t>CUOTA 2</t>
  </si>
  <si>
    <t>CUOTA 3</t>
  </si>
  <si>
    <t>CUOTA 4</t>
  </si>
  <si>
    <t>CUOTA 5</t>
  </si>
  <si>
    <t>PRORRATEO CUOTA 82 Y 83</t>
  </si>
  <si>
    <t>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</si>
</sst>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A]d\-mmm;@"/>
    <numFmt numFmtId="165" formatCode="0.000%"/>
    <numFmt numFmtId="166" formatCode="0.00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97">
    <xf numFmtId="0" fontId="0" fillId="0" borderId="0" xfId="0"/>
    <xf numFmtId="0" fontId="3" fillId="0" borderId="0" xfId="3"/>
    <xf numFmtId="0" fontId="4" fillId="0" borderId="0" xfId="0" applyFont="1"/>
    <xf numFmtId="2" fontId="3" fillId="0" borderId="0" xfId="3" applyNumberFormat="1"/>
    <xf numFmtId="4" fontId="3" fillId="0" borderId="0" xfId="3" applyNumberFormat="1"/>
    <xf numFmtId="164" fontId="3" fillId="0" borderId="0" xfId="3" applyNumberFormat="1"/>
    <xf numFmtId="4" fontId="5" fillId="0" borderId="0" xfId="3" applyNumberFormat="1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0" fillId="0" borderId="6" xfId="0" applyNumberFormat="1" applyBorder="1"/>
    <xf numFmtId="0" fontId="3" fillId="0" borderId="0" xfId="0" applyFont="1"/>
    <xf numFmtId="4" fontId="5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1" fontId="9" fillId="0" borderId="0" xfId="3" applyNumberFormat="1" applyFont="1"/>
    <xf numFmtId="4" fontId="3" fillId="0" borderId="7" xfId="3" applyNumberFormat="1" applyBorder="1"/>
    <xf numFmtId="4" fontId="0" fillId="0" borderId="7" xfId="0" applyNumberFormat="1" applyBorder="1"/>
    <xf numFmtId="0" fontId="3" fillId="0" borderId="7" xfId="3" applyBorder="1"/>
    <xf numFmtId="43" fontId="1" fillId="0" borderId="7" xfId="1" applyFont="1" applyFill="1" applyBorder="1"/>
    <xf numFmtId="0" fontId="8" fillId="0" borderId="7" xfId="1" applyNumberFormat="1" applyFont="1" applyFill="1" applyBorder="1"/>
    <xf numFmtId="2" fontId="3" fillId="0" borderId="7" xfId="3" applyNumberFormat="1" applyBorder="1"/>
    <xf numFmtId="1" fontId="9" fillId="0" borderId="7" xfId="3" applyNumberFormat="1" applyFont="1" applyBorder="1"/>
    <xf numFmtId="0" fontId="5" fillId="0" borderId="7" xfId="3" applyFont="1" applyBorder="1"/>
    <xf numFmtId="10" fontId="0" fillId="0" borderId="6" xfId="0" applyNumberFormat="1" applyBorder="1"/>
    <xf numFmtId="0" fontId="3" fillId="0" borderId="0" xfId="0" quotePrefix="1" applyFont="1"/>
    <xf numFmtId="0" fontId="3" fillId="0" borderId="5" xfId="3" applyBorder="1"/>
    <xf numFmtId="0" fontId="0" fillId="3" borderId="7" xfId="0" applyFill="1" applyBorder="1" applyAlignment="1">
      <alignment horizontal="center"/>
    </xf>
    <xf numFmtId="0" fontId="3" fillId="4" borderId="0" xfId="3" applyFill="1"/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4" fontId="0" fillId="2" borderId="7" xfId="0" applyNumberFormat="1" applyFill="1" applyBorder="1"/>
    <xf numFmtId="0" fontId="3" fillId="2" borderId="0" xfId="3" applyFill="1"/>
    <xf numFmtId="0" fontId="10" fillId="0" borderId="0" xfId="3" applyFont="1"/>
    <xf numFmtId="0" fontId="3" fillId="0" borderId="13" xfId="3" applyBorder="1"/>
    <xf numFmtId="10" fontId="0" fillId="2" borderId="7" xfId="0" applyNumberFormat="1" applyFill="1" applyBorder="1"/>
    <xf numFmtId="10" fontId="0" fillId="0" borderId="7" xfId="0" applyNumberFormat="1" applyBorder="1"/>
    <xf numFmtId="1" fontId="9" fillId="5" borderId="0" xfId="3" applyNumberFormat="1" applyFont="1" applyFill="1"/>
    <xf numFmtId="4" fontId="9" fillId="5" borderId="0" xfId="3" applyNumberFormat="1" applyFont="1" applyFill="1"/>
    <xf numFmtId="0" fontId="3" fillId="0" borderId="7" xfId="0" quotePrefix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4" fontId="0" fillId="3" borderId="7" xfId="0" applyNumberFormat="1" applyFill="1" applyBorder="1"/>
    <xf numFmtId="1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16" fontId="0" fillId="0" borderId="14" xfId="0" applyNumberFormat="1" applyBorder="1" applyAlignment="1">
      <alignment horizontal="center"/>
    </xf>
    <xf numFmtId="4" fontId="0" fillId="0" borderId="14" xfId="0" applyNumberFormat="1" applyBorder="1"/>
    <xf numFmtId="4" fontId="13" fillId="0" borderId="5" xfId="3" applyNumberFormat="1" applyFont="1" applyBorder="1"/>
    <xf numFmtId="0" fontId="0" fillId="0" borderId="1" xfId="0" applyBorder="1" applyAlignment="1">
      <alignment horizontal="center"/>
    </xf>
    <xf numFmtId="165" fontId="0" fillId="2" borderId="13" xfId="0" applyNumberFormat="1" applyFill="1" applyBorder="1"/>
    <xf numFmtId="165" fontId="0" fillId="0" borderId="17" xfId="0" applyNumberFormat="1" applyBorder="1"/>
    <xf numFmtId="165" fontId="0" fillId="0" borderId="13" xfId="0" applyNumberFormat="1" applyBorder="1"/>
    <xf numFmtId="2" fontId="6" fillId="0" borderId="0" xfId="3" applyNumberFormat="1" applyFont="1"/>
    <xf numFmtId="2" fontId="9" fillId="0" borderId="0" xfId="3" applyNumberFormat="1" applyFont="1"/>
    <xf numFmtId="4" fontId="5" fillId="0" borderId="7" xfId="3" applyNumberFormat="1" applyFont="1" applyBorder="1"/>
    <xf numFmtId="4" fontId="3" fillId="0" borderId="6" xfId="3" applyNumberFormat="1" applyBorder="1"/>
    <xf numFmtId="2" fontId="5" fillId="0" borderId="15" xfId="3" applyNumberFormat="1" applyFont="1" applyBorder="1" applyAlignment="1">
      <alignment horizontal="center"/>
    </xf>
    <xf numFmtId="2" fontId="5" fillId="0" borderId="1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49" fontId="3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66" fontId="0" fillId="0" borderId="13" xfId="2" applyNumberFormat="1" applyFont="1" applyBorder="1"/>
    <xf numFmtId="0" fontId="2" fillId="0" borderId="14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3" fillId="0" borderId="0" xfId="0" applyNumberFormat="1" applyFont="1"/>
    <xf numFmtId="16" fontId="3" fillId="0" borderId="0" xfId="3" applyNumberFormat="1"/>
    <xf numFmtId="14" fontId="3" fillId="0" borderId="0" xfId="3" applyNumberFormat="1"/>
    <xf numFmtId="14" fontId="0" fillId="2" borderId="6" xfId="0" applyNumberFormat="1" applyFill="1" applyBorder="1"/>
    <xf numFmtId="14" fontId="0" fillId="2" borderId="7" xfId="0" applyNumberFormat="1" applyFill="1" applyBorder="1"/>
    <xf numFmtId="14" fontId="0" fillId="0" borderId="7" xfId="0" applyNumberFormat="1" applyBorder="1"/>
    <xf numFmtId="14" fontId="0" fillId="3" borderId="7" xfId="0" applyNumberFormat="1" applyFill="1" applyBorder="1"/>
    <xf numFmtId="4" fontId="3" fillId="0" borderId="5" xfId="3" applyNumberFormat="1" applyBorder="1"/>
    <xf numFmtId="0" fontId="10" fillId="0" borderId="19" xfId="3" applyFont="1" applyBorder="1"/>
    <xf numFmtId="0" fontId="5" fillId="0" borderId="22" xfId="3" applyFont="1" applyBorder="1" applyAlignment="1">
      <alignment horizontal="center"/>
    </xf>
    <xf numFmtId="0" fontId="5" fillId="0" borderId="19" xfId="3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3" fillId="0" borderId="14" xfId="3" applyBorder="1"/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5" fillId="0" borderId="21" xfId="3" applyFont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00000000-0005-0000-0000-000002000000}"/>
    <cellStyle name="Porcentaje" xfId="2" builtinId="5"/>
  </cellStyles>
  <dxfs count="0"/>
  <tableStyles count="0" defaultTableStyle="TableStyleMedium2" defaultPivotStyle="PivotStyleLight16"/>
  <colors>
    <mruColors>
      <color rgb="FF99FFCC"/>
      <color rgb="FFFF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pageSetUpPr fitToPage="1"/>
  </sheetPr>
  <dimension ref="A2:XEP175"/>
  <sheetViews>
    <sheetView tabSelected="1" topLeftCell="A69" workbookViewId="0">
      <selection activeCell="AB15" sqref="AB15:AC88"/>
    </sheetView>
  </sheetViews>
  <sheetFormatPr baseColWidth="10" defaultColWidth="9.140625" defaultRowHeight="9.75" customHeight="1" x14ac:dyDescent="0.2"/>
  <cols>
    <col min="1" max="2" width="9.140625" style="1"/>
    <col min="3" max="3" width="8.42578125" style="1" customWidth="1"/>
    <col min="4" max="4" width="60.5703125" style="1" customWidth="1"/>
    <col min="5" max="6" width="12.7109375" style="1" hidden="1" customWidth="1"/>
    <col min="7" max="7" width="13.7109375" style="3" hidden="1" customWidth="1"/>
    <col min="8" max="8" width="12.28515625" style="3" hidden="1" customWidth="1"/>
    <col min="9" max="9" width="12.7109375" style="1" hidden="1" customWidth="1"/>
    <col min="10" max="10" width="10.28515625" style="4" hidden="1" customWidth="1"/>
    <col min="11" max="11" width="13.28515625" style="4" hidden="1" customWidth="1"/>
    <col min="12" max="12" width="17.28515625" style="4" customWidth="1"/>
    <col min="13" max="13" width="14.5703125" style="3" customWidth="1"/>
    <col min="14" max="14" width="4.140625" style="1" customWidth="1"/>
    <col min="15" max="18" width="12.28515625" style="1" hidden="1" customWidth="1"/>
    <col min="19" max="19" width="0" style="1" hidden="1" customWidth="1"/>
    <col min="20" max="20" width="13.140625" style="1" customWidth="1"/>
    <col min="21" max="23" width="15.5703125" style="1" hidden="1" customWidth="1"/>
    <col min="24" max="24" width="9.7109375" style="1" hidden="1" customWidth="1"/>
    <col min="25" max="27" width="10.7109375" style="1" hidden="1" customWidth="1"/>
    <col min="28" max="28" width="13.28515625" style="1" bestFit="1" customWidth="1"/>
    <col min="29" max="29" width="18.85546875" style="1" customWidth="1"/>
    <col min="30" max="30" width="15.85546875" style="1" customWidth="1"/>
    <col min="31" max="31" width="11.140625" style="1" bestFit="1" customWidth="1"/>
    <col min="32" max="16384" width="9.140625" style="1"/>
  </cols>
  <sheetData>
    <row r="2" spans="1:141" ht="15.95" customHeight="1" x14ac:dyDescent="0.2">
      <c r="D2" s="2" t="s">
        <v>131</v>
      </c>
    </row>
    <row r="3" spans="1:141" ht="15.95" customHeight="1" x14ac:dyDescent="0.2">
      <c r="L3" s="6"/>
    </row>
    <row r="4" spans="1:141" ht="15.95" customHeight="1" x14ac:dyDescent="0.25">
      <c r="C4" s="50">
        <v>46051</v>
      </c>
      <c r="D4" s="51" t="s">
        <v>160</v>
      </c>
      <c r="E4" s="35" t="s">
        <v>142</v>
      </c>
      <c r="G4" s="1"/>
      <c r="L4" s="35"/>
      <c r="M4" s="22">
        <v>-9961075.3000000007</v>
      </c>
    </row>
    <row r="5" spans="1:141" ht="15.95" customHeight="1" x14ac:dyDescent="0.25">
      <c r="C5" s="52"/>
      <c r="D5" s="51" t="s">
        <v>165</v>
      </c>
      <c r="E5" s="35"/>
      <c r="G5" s="1"/>
      <c r="H5" s="1"/>
      <c r="J5" s="3"/>
      <c r="L5" s="72">
        <f>+G100</f>
        <v>-2617236.0363351572</v>
      </c>
      <c r="M5" s="22"/>
    </row>
    <row r="6" spans="1:141" ht="15.95" customHeight="1" x14ac:dyDescent="0.25">
      <c r="C6" s="52"/>
      <c r="D6" s="51" t="s">
        <v>166</v>
      </c>
      <c r="E6" s="35"/>
      <c r="G6" s="1"/>
      <c r="L6" s="72">
        <f>+G101</f>
        <v>-7343839.2636648435</v>
      </c>
      <c r="M6" s="22"/>
    </row>
    <row r="7" spans="1:141" ht="15.95" customHeight="1" x14ac:dyDescent="0.25">
      <c r="C7" s="52">
        <v>46052</v>
      </c>
      <c r="D7" s="51" t="s">
        <v>161</v>
      </c>
      <c r="E7" s="35" t="s">
        <v>142</v>
      </c>
      <c r="G7" s="1"/>
      <c r="L7" s="35"/>
      <c r="M7" s="22">
        <v>-6797012</v>
      </c>
    </row>
    <row r="8" spans="1:141" ht="15.95" customHeight="1" thickBot="1" x14ac:dyDescent="0.3">
      <c r="C8" s="50">
        <v>46055</v>
      </c>
      <c r="D8" s="51" t="s">
        <v>162</v>
      </c>
      <c r="E8" s="35" t="s">
        <v>142</v>
      </c>
      <c r="G8" s="1"/>
      <c r="L8" s="35"/>
      <c r="M8" s="53">
        <v>-9437688.5999999996</v>
      </c>
    </row>
    <row r="9" spans="1:141" ht="15.95" customHeight="1" thickBot="1" x14ac:dyDescent="0.3">
      <c r="G9" s="1"/>
      <c r="L9" s="1"/>
      <c r="M9" s="54">
        <f>SUM(M4:M8)</f>
        <v>-26195775.899999999</v>
      </c>
      <c r="O9" s="1">
        <f>+P9+P10</f>
        <v>292</v>
      </c>
      <c r="P9" s="1">
        <f>+Q10+Q9</f>
        <v>219</v>
      </c>
      <c r="Q9" s="1">
        <f>+Q10+R10</f>
        <v>146</v>
      </c>
    </row>
    <row r="10" spans="1:141" ht="15.95" customHeight="1" x14ac:dyDescent="0.2">
      <c r="L10" s="6"/>
      <c r="O10" s="1">
        <v>73</v>
      </c>
      <c r="P10" s="1">
        <v>73</v>
      </c>
      <c r="Q10" s="1">
        <v>73</v>
      </c>
      <c r="R10" s="1">
        <v>73</v>
      </c>
    </row>
    <row r="11" spans="1:141" ht="15.95" customHeight="1" x14ac:dyDescent="0.2">
      <c r="L11" s="6"/>
      <c r="O11" s="4">
        <f>+L5</f>
        <v>-2617236.0363351572</v>
      </c>
      <c r="P11" s="4">
        <f>+L6</f>
        <v>-7343839.2636648435</v>
      </c>
      <c r="Q11" s="4">
        <f>+M7</f>
        <v>-6797012</v>
      </c>
      <c r="R11" s="4">
        <f>+M8</f>
        <v>-9437688.5999999996</v>
      </c>
    </row>
    <row r="12" spans="1:141" ht="15.95" customHeight="1" thickBot="1" x14ac:dyDescent="0.25">
      <c r="D12" s="41"/>
      <c r="J12" s="6"/>
      <c r="K12" s="6"/>
      <c r="L12" s="6"/>
      <c r="M12" s="59"/>
      <c r="N12" s="74"/>
    </row>
    <row r="13" spans="1:141" ht="15.95" customHeight="1" thickBot="1" x14ac:dyDescent="0.3">
      <c r="D13" s="81"/>
      <c r="E13" s="87" t="s">
        <v>0</v>
      </c>
      <c r="F13" s="88"/>
      <c r="G13" s="89"/>
      <c r="H13" s="90"/>
      <c r="I13" s="91"/>
      <c r="J13" s="92" t="s">
        <v>1</v>
      </c>
      <c r="K13" s="93"/>
      <c r="L13" s="94"/>
      <c r="M13" s="63" t="s">
        <v>163</v>
      </c>
      <c r="O13" s="1" t="s">
        <v>167</v>
      </c>
      <c r="P13" s="1" t="s">
        <v>167</v>
      </c>
      <c r="Q13" s="1" t="s">
        <v>167</v>
      </c>
      <c r="R13" s="1" t="s">
        <v>167</v>
      </c>
      <c r="S13" s="1" t="s">
        <v>2</v>
      </c>
      <c r="T13"/>
      <c r="AB13" s="95" t="s">
        <v>176</v>
      </c>
      <c r="AC13" s="96"/>
      <c r="AE13" s="3"/>
    </row>
    <row r="14" spans="1:141" ht="15.95" customHeight="1" thickBot="1" x14ac:dyDescent="0.3">
      <c r="B14" s="7" t="s">
        <v>3</v>
      </c>
      <c r="C14" s="8" t="s">
        <v>4</v>
      </c>
      <c r="D14" s="8" t="s">
        <v>5</v>
      </c>
      <c r="E14" s="13" t="s">
        <v>6</v>
      </c>
      <c r="F14" s="9" t="s">
        <v>134</v>
      </c>
      <c r="G14" s="9" t="s">
        <v>2</v>
      </c>
      <c r="H14" s="9" t="s">
        <v>135</v>
      </c>
      <c r="I14" s="9" t="s">
        <v>2</v>
      </c>
      <c r="J14" s="13" t="s">
        <v>6</v>
      </c>
      <c r="K14" s="9" t="s">
        <v>7</v>
      </c>
      <c r="L14" s="55" t="s">
        <v>8</v>
      </c>
      <c r="M14" s="64" t="s">
        <v>164</v>
      </c>
      <c r="O14" s="1">
        <v>2</v>
      </c>
      <c r="P14" s="1">
        <v>3</v>
      </c>
      <c r="Q14" s="1">
        <v>4</v>
      </c>
      <c r="R14" s="1">
        <v>5</v>
      </c>
      <c r="T14" s="85" t="s">
        <v>9</v>
      </c>
      <c r="V14" s="1" t="s">
        <v>169</v>
      </c>
      <c r="W14" s="1" t="s">
        <v>170</v>
      </c>
      <c r="X14" s="1" t="s">
        <v>171</v>
      </c>
      <c r="Y14" s="1" t="s">
        <v>172</v>
      </c>
      <c r="Z14" s="1" t="s">
        <v>173</v>
      </c>
      <c r="AA14" s="1" t="s">
        <v>174</v>
      </c>
      <c r="AB14" s="82" t="s">
        <v>169</v>
      </c>
      <c r="AC14" s="83" t="s">
        <v>170</v>
      </c>
      <c r="AD14" s="84" t="s">
        <v>2</v>
      </c>
    </row>
    <row r="15" spans="1:141" s="40" customFormat="1" ht="15.95" customHeight="1" x14ac:dyDescent="0.25">
      <c r="A15" s="1"/>
      <c r="B15" s="36" t="s">
        <v>10</v>
      </c>
      <c r="C15" s="65">
        <v>25</v>
      </c>
      <c r="D15" s="66" t="s">
        <v>77</v>
      </c>
      <c r="E15" s="15">
        <v>80</v>
      </c>
      <c r="F15" s="15">
        <v>30</v>
      </c>
      <c r="G15" s="15">
        <f>+E15+F15/2</f>
        <v>95</v>
      </c>
      <c r="H15" s="15">
        <v>11.5</v>
      </c>
      <c r="I15" s="15">
        <f>+G15+H15</f>
        <v>106.5</v>
      </c>
      <c r="J15" s="29">
        <f t="shared" ref="J15:J46" si="0">ROUND(+G15/$I$91,4)</f>
        <v>1.89E-2</v>
      </c>
      <c r="K15" s="29">
        <f t="shared" ref="K15:K46" si="1">ROUND(+H15/$I$91,4)</f>
        <v>2.3E-3</v>
      </c>
      <c r="L15" s="57">
        <f>+J15+K15</f>
        <v>2.12E-2</v>
      </c>
      <c r="M15" s="62">
        <f t="shared" ref="M15:M46" si="2">-$M$9*L15</f>
        <v>555350.44907999993</v>
      </c>
      <c r="N15" s="1"/>
      <c r="O15" s="3">
        <f>+V15-P15-Q15-R15</f>
        <v>26</v>
      </c>
      <c r="P15" s="1">
        <v>73</v>
      </c>
      <c r="Q15" s="1">
        <v>73</v>
      </c>
      <c r="R15" s="1">
        <v>73</v>
      </c>
      <c r="S15" s="3">
        <f>SUM(O15:R15)</f>
        <v>245</v>
      </c>
      <c r="T15" s="76">
        <v>45777</v>
      </c>
      <c r="U15" s="75">
        <v>46022</v>
      </c>
      <c r="V15" s="3">
        <f>+U15-T15</f>
        <v>245</v>
      </c>
      <c r="W15" s="3">
        <f>292-V15</f>
        <v>47</v>
      </c>
      <c r="X15" s="4">
        <f>+$O$11/73*O15*L15</f>
        <v>-19761.924701752581</v>
      </c>
      <c r="Y15" s="4">
        <f>+$P$11/73*P15*L15</f>
        <v>-155689.39238969469</v>
      </c>
      <c r="Z15" s="4">
        <f>+$Q$11/73*Q15*L15</f>
        <v>-144096.6544</v>
      </c>
      <c r="AA15" s="4">
        <f>+$R$11/73*R15*L15</f>
        <v>-200078.99831999998</v>
      </c>
      <c r="AB15" s="62">
        <f>SUM(X15:AA15)</f>
        <v>-519626.96981144731</v>
      </c>
      <c r="AC15" s="62">
        <f t="shared" ref="AC15:AC77" si="3">-+M15-AB15</f>
        <v>-35723.479268552619</v>
      </c>
      <c r="AD15" s="62">
        <f>+AB15+AC15</f>
        <v>-555350.44907999993</v>
      </c>
      <c r="AE15" s="3">
        <f>+AD15+M15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s="40" customFormat="1" ht="15.95" customHeight="1" x14ac:dyDescent="0.25">
      <c r="A16" s="1"/>
      <c r="B16" s="14" t="s">
        <v>11</v>
      </c>
      <c r="C16" s="10"/>
      <c r="D16" s="11" t="s">
        <v>78</v>
      </c>
      <c r="E16" s="22">
        <v>35</v>
      </c>
      <c r="F16" s="22">
        <v>15</v>
      </c>
      <c r="G16" s="15">
        <f t="shared" ref="G16:G79" si="4">+E16+F16/2</f>
        <v>42.5</v>
      </c>
      <c r="H16" s="22"/>
      <c r="I16" s="15">
        <f t="shared" ref="I16:I79" si="5">+G16+H16</f>
        <v>42.5</v>
      </c>
      <c r="J16" s="29">
        <f t="shared" si="0"/>
        <v>8.3999999999999995E-3</v>
      </c>
      <c r="K16" s="29">
        <f t="shared" si="1"/>
        <v>0</v>
      </c>
      <c r="L16" s="57">
        <f t="shared" ref="L16:L79" si="6">+J16+K16</f>
        <v>8.3999999999999995E-3</v>
      </c>
      <c r="M16" s="21">
        <f t="shared" si="2"/>
        <v>220044.51755999998</v>
      </c>
      <c r="N16" s="1"/>
      <c r="O16" s="3">
        <f>+V16-P16-Q16-R16</f>
        <v>28</v>
      </c>
      <c r="P16" s="1">
        <v>73</v>
      </c>
      <c r="Q16" s="1">
        <v>73</v>
      </c>
      <c r="R16" s="1">
        <v>73</v>
      </c>
      <c r="S16" s="3">
        <f>SUM(O16:R16)</f>
        <v>247</v>
      </c>
      <c r="T16" s="77">
        <v>45775</v>
      </c>
      <c r="U16" s="75">
        <v>46022</v>
      </c>
      <c r="V16" s="3">
        <f>+U16-T16</f>
        <v>247</v>
      </c>
      <c r="W16" s="3">
        <f t="shared" ref="W16:W79" si="7">292-V16</f>
        <v>45</v>
      </c>
      <c r="X16" s="4">
        <f t="shared" ref="X16:X79" si="8">+$O$11/73*O16*L16</f>
        <v>-8432.5193937812182</v>
      </c>
      <c r="Y16" s="4">
        <f t="shared" ref="Y16:Y79" si="9">+$P$11/73*P16*L16</f>
        <v>-61688.249814784678</v>
      </c>
      <c r="Z16" s="4">
        <f t="shared" ref="Z16:Z79" si="10">+$Q$11/73*Q16*L16</f>
        <v>-57094.900799999996</v>
      </c>
      <c r="AA16" s="4">
        <f t="shared" ref="AA16:AA79" si="11">+$R$11/73*R16*L16</f>
        <v>-79276.584239999996</v>
      </c>
      <c r="AB16" s="21">
        <f>SUM(X16:AA16)</f>
        <v>-206492.25424856588</v>
      </c>
      <c r="AC16" s="21">
        <f t="shared" si="3"/>
        <v>-13552.263311434101</v>
      </c>
      <c r="AD16" s="21">
        <f t="shared" ref="AD16:AD79" si="12">+AB16+AC16</f>
        <v>-220044.51755999998</v>
      </c>
      <c r="AE16" s="3">
        <f t="shared" ref="AE16:AE79" si="13">+AD16+M16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s="40" customFormat="1" ht="15.95" customHeight="1" x14ac:dyDescent="0.25">
      <c r="A17" s="1"/>
      <c r="B17" s="14" t="s">
        <v>12</v>
      </c>
      <c r="C17" s="10">
        <v>22</v>
      </c>
      <c r="D17" s="12" t="s">
        <v>79</v>
      </c>
      <c r="E17" s="22">
        <v>84</v>
      </c>
      <c r="F17" s="22">
        <v>35</v>
      </c>
      <c r="G17" s="15">
        <f t="shared" si="4"/>
        <v>101.5</v>
      </c>
      <c r="H17" s="22">
        <v>11.5</v>
      </c>
      <c r="I17" s="15">
        <f t="shared" si="5"/>
        <v>113</v>
      </c>
      <c r="J17" s="29">
        <f t="shared" si="0"/>
        <v>2.0199999999999999E-2</v>
      </c>
      <c r="K17" s="29">
        <f t="shared" si="1"/>
        <v>2.3E-3</v>
      </c>
      <c r="L17" s="57">
        <f t="shared" si="6"/>
        <v>2.2499999999999999E-2</v>
      </c>
      <c r="M17" s="21">
        <f t="shared" si="2"/>
        <v>589404.95774999994</v>
      </c>
      <c r="N17" s="1"/>
      <c r="O17" s="3">
        <f t="shared" ref="O17:O80" si="14">+V17-P17-Q17-R17</f>
        <v>33</v>
      </c>
      <c r="P17" s="1">
        <v>73</v>
      </c>
      <c r="Q17" s="1">
        <v>73</v>
      </c>
      <c r="R17" s="1">
        <v>73</v>
      </c>
      <c r="S17" s="3">
        <f t="shared" ref="S17:S80" si="15">SUM(O17:R17)</f>
        <v>252</v>
      </c>
      <c r="T17" s="77">
        <v>45770</v>
      </c>
      <c r="U17" s="75">
        <v>46022</v>
      </c>
      <c r="V17" s="3">
        <f t="shared" ref="V17:V80" si="16">+U17-T17</f>
        <v>252</v>
      </c>
      <c r="W17" s="3">
        <f t="shared" si="7"/>
        <v>40</v>
      </c>
      <c r="X17" s="4">
        <f t="shared" si="8"/>
        <v>-26620.517218888413</v>
      </c>
      <c r="Y17" s="4">
        <f t="shared" si="9"/>
        <v>-165236.38343245897</v>
      </c>
      <c r="Z17" s="4">
        <f t="shared" si="10"/>
        <v>-152932.76999999999</v>
      </c>
      <c r="AA17" s="4">
        <f t="shared" si="11"/>
        <v>-212347.99349999998</v>
      </c>
      <c r="AB17" s="21">
        <f t="shared" ref="AB17:AB80" si="17">SUM(X17:AA17)</f>
        <v>-557137.66415134736</v>
      </c>
      <c r="AC17" s="21">
        <f t="shared" si="3"/>
        <v>-32267.293598652584</v>
      </c>
      <c r="AD17" s="21">
        <f t="shared" si="12"/>
        <v>-589404.95774999994</v>
      </c>
      <c r="AE17" s="3">
        <f t="shared" si="13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ht="15.95" customHeight="1" x14ac:dyDescent="0.25">
      <c r="B18" s="14" t="s">
        <v>39</v>
      </c>
      <c r="C18" s="10" t="s">
        <v>153</v>
      </c>
      <c r="D18" s="12" t="s">
        <v>80</v>
      </c>
      <c r="E18" s="22">
        <v>45</v>
      </c>
      <c r="F18" s="22">
        <v>5</v>
      </c>
      <c r="G18" s="15">
        <f t="shared" si="4"/>
        <v>47.5</v>
      </c>
      <c r="H18" s="22">
        <f>11.5*2</f>
        <v>23</v>
      </c>
      <c r="I18" s="15">
        <f t="shared" si="5"/>
        <v>70.5</v>
      </c>
      <c r="J18" s="29">
        <f t="shared" si="0"/>
        <v>9.4000000000000004E-3</v>
      </c>
      <c r="K18" s="29">
        <f t="shared" si="1"/>
        <v>4.5999999999999999E-3</v>
      </c>
      <c r="L18" s="57">
        <f t="shared" si="6"/>
        <v>1.4E-2</v>
      </c>
      <c r="M18" s="21">
        <f t="shared" si="2"/>
        <v>366740.86259999999</v>
      </c>
      <c r="O18" s="3"/>
      <c r="P18" s="1">
        <f>73-2</f>
        <v>71</v>
      </c>
      <c r="Q18" s="1">
        <v>73</v>
      </c>
      <c r="R18" s="1">
        <v>73</v>
      </c>
      <c r="S18" s="3">
        <f t="shared" si="15"/>
        <v>217</v>
      </c>
      <c r="T18" s="77">
        <v>45805</v>
      </c>
      <c r="U18" s="75">
        <v>46022</v>
      </c>
      <c r="V18" s="3">
        <f t="shared" si="16"/>
        <v>217</v>
      </c>
      <c r="W18" s="3">
        <f t="shared" si="7"/>
        <v>75</v>
      </c>
      <c r="X18" s="4">
        <f t="shared" si="8"/>
        <v>0</v>
      </c>
      <c r="Y18" s="4">
        <f t="shared" si="9"/>
        <v>-99996.934631271972</v>
      </c>
      <c r="Z18" s="4">
        <f t="shared" si="10"/>
        <v>-95158.168000000005</v>
      </c>
      <c r="AA18" s="4">
        <f t="shared" si="11"/>
        <v>-132127.6404</v>
      </c>
      <c r="AB18" s="21">
        <f t="shared" si="17"/>
        <v>-327282.74303127197</v>
      </c>
      <c r="AC18" s="21">
        <f t="shared" si="3"/>
        <v>-39458.119568728027</v>
      </c>
      <c r="AD18" s="21">
        <f t="shared" si="12"/>
        <v>-366740.86259999999</v>
      </c>
      <c r="AE18" s="3">
        <f t="shared" si="13"/>
        <v>0</v>
      </c>
    </row>
    <row r="19" spans="1:141" ht="15.95" customHeight="1" x14ac:dyDescent="0.25">
      <c r="B19" s="14" t="s">
        <v>40</v>
      </c>
      <c r="C19" s="10"/>
      <c r="D19" s="11" t="s">
        <v>81</v>
      </c>
      <c r="E19" s="22">
        <v>42</v>
      </c>
      <c r="F19" s="22">
        <v>4</v>
      </c>
      <c r="G19" s="15">
        <f t="shared" si="4"/>
        <v>44</v>
      </c>
      <c r="H19" s="22"/>
      <c r="I19" s="15">
        <f t="shared" si="5"/>
        <v>44</v>
      </c>
      <c r="J19" s="29">
        <f t="shared" si="0"/>
        <v>8.6999999999999994E-3</v>
      </c>
      <c r="K19" s="29">
        <f t="shared" si="1"/>
        <v>0</v>
      </c>
      <c r="L19" s="57">
        <f t="shared" si="6"/>
        <v>8.6999999999999994E-3</v>
      </c>
      <c r="M19" s="21">
        <f t="shared" si="2"/>
        <v>227903.25032999998</v>
      </c>
      <c r="O19" s="3">
        <f t="shared" si="14"/>
        <v>3</v>
      </c>
      <c r="P19" s="1">
        <v>73</v>
      </c>
      <c r="Q19" s="1">
        <v>73</v>
      </c>
      <c r="R19" s="1">
        <v>73</v>
      </c>
      <c r="S19" s="3">
        <f t="shared" si="15"/>
        <v>222</v>
      </c>
      <c r="T19" s="77">
        <v>45800</v>
      </c>
      <c r="U19" s="75">
        <v>46022</v>
      </c>
      <c r="V19" s="3">
        <f t="shared" si="16"/>
        <v>222</v>
      </c>
      <c r="W19" s="3">
        <f t="shared" si="7"/>
        <v>70</v>
      </c>
      <c r="X19" s="4">
        <f t="shared" si="8"/>
        <v>-935.75151436092597</v>
      </c>
      <c r="Y19" s="4">
        <f t="shared" si="9"/>
        <v>-63891.401593884133</v>
      </c>
      <c r="Z19" s="4">
        <f t="shared" si="10"/>
        <v>-59134.004399999998</v>
      </c>
      <c r="AA19" s="4">
        <f t="shared" si="11"/>
        <v>-82107.890819999986</v>
      </c>
      <c r="AB19" s="21">
        <f t="shared" si="17"/>
        <v>-206069.04832824506</v>
      </c>
      <c r="AC19" s="21">
        <f t="shared" si="3"/>
        <v>-21834.202001754922</v>
      </c>
      <c r="AD19" s="21">
        <f t="shared" si="12"/>
        <v>-227903.25032999998</v>
      </c>
      <c r="AE19" s="3">
        <f t="shared" si="13"/>
        <v>0</v>
      </c>
    </row>
    <row r="20" spans="1:141" ht="15.95" customHeight="1" x14ac:dyDescent="0.25">
      <c r="B20" s="14" t="s">
        <v>41</v>
      </c>
      <c r="C20" s="10" t="s">
        <v>154</v>
      </c>
      <c r="D20" s="12" t="s">
        <v>82</v>
      </c>
      <c r="E20" s="22">
        <v>45</v>
      </c>
      <c r="F20" s="22">
        <v>6</v>
      </c>
      <c r="G20" s="15">
        <f t="shared" si="4"/>
        <v>48</v>
      </c>
      <c r="H20" s="22">
        <f t="shared" ref="H20:H21" si="18">11.5*2</f>
        <v>23</v>
      </c>
      <c r="I20" s="15">
        <f t="shared" si="5"/>
        <v>71</v>
      </c>
      <c r="J20" s="29">
        <f t="shared" si="0"/>
        <v>9.4999999999999998E-3</v>
      </c>
      <c r="K20" s="29">
        <f t="shared" si="1"/>
        <v>4.5999999999999999E-3</v>
      </c>
      <c r="L20" s="57">
        <f t="shared" si="6"/>
        <v>1.41E-2</v>
      </c>
      <c r="M20" s="21">
        <f t="shared" si="2"/>
        <v>369360.44018999999</v>
      </c>
      <c r="O20" s="3">
        <f t="shared" si="14"/>
        <v>0</v>
      </c>
      <c r="P20" s="1">
        <f>73-2</f>
        <v>71</v>
      </c>
      <c r="Q20" s="1">
        <v>73</v>
      </c>
      <c r="R20" s="1">
        <v>73</v>
      </c>
      <c r="S20" s="3">
        <f t="shared" si="15"/>
        <v>217</v>
      </c>
      <c r="T20" s="77">
        <v>45805</v>
      </c>
      <c r="U20" s="75">
        <v>46022</v>
      </c>
      <c r="V20" s="3">
        <f t="shared" si="16"/>
        <v>217</v>
      </c>
      <c r="W20" s="3">
        <f t="shared" si="7"/>
        <v>75</v>
      </c>
      <c r="X20" s="4">
        <f t="shared" si="8"/>
        <v>0</v>
      </c>
      <c r="Y20" s="4">
        <f t="shared" si="9"/>
        <v>-100711.19845006676</v>
      </c>
      <c r="Z20" s="4">
        <f t="shared" si="10"/>
        <v>-95837.869200000001</v>
      </c>
      <c r="AA20" s="4">
        <f t="shared" si="11"/>
        <v>-133071.40925999999</v>
      </c>
      <c r="AB20" s="21">
        <f t="shared" si="17"/>
        <v>-329620.47691006673</v>
      </c>
      <c r="AC20" s="21">
        <f t="shared" si="3"/>
        <v>-39739.963279933261</v>
      </c>
      <c r="AD20" s="21">
        <f t="shared" si="12"/>
        <v>-369360.44018999999</v>
      </c>
      <c r="AE20" s="3">
        <f t="shared" si="13"/>
        <v>0</v>
      </c>
    </row>
    <row r="21" spans="1:141" ht="15.95" customHeight="1" x14ac:dyDescent="0.25">
      <c r="B21" s="14" t="s">
        <v>13</v>
      </c>
      <c r="C21" s="10" t="s">
        <v>155</v>
      </c>
      <c r="D21" s="12" t="s">
        <v>144</v>
      </c>
      <c r="E21" s="22">
        <v>80</v>
      </c>
      <c r="F21" s="22">
        <v>6</v>
      </c>
      <c r="G21" s="22">
        <f t="shared" si="4"/>
        <v>83</v>
      </c>
      <c r="H21" s="22">
        <f t="shared" si="18"/>
        <v>23</v>
      </c>
      <c r="I21" s="22">
        <f t="shared" si="5"/>
        <v>106</v>
      </c>
      <c r="J21" s="44">
        <f t="shared" si="0"/>
        <v>1.6500000000000001E-2</v>
      </c>
      <c r="K21" s="44">
        <f t="shared" si="1"/>
        <v>4.5999999999999999E-3</v>
      </c>
      <c r="L21" s="58">
        <f t="shared" si="6"/>
        <v>2.1100000000000001E-2</v>
      </c>
      <c r="M21" s="21">
        <f t="shared" si="2"/>
        <v>552730.87148999993</v>
      </c>
      <c r="O21" s="3">
        <f t="shared" si="14"/>
        <v>0</v>
      </c>
      <c r="P21" s="1">
        <f>73-2</f>
        <v>71</v>
      </c>
      <c r="Q21" s="1">
        <v>73</v>
      </c>
      <c r="R21" s="1">
        <v>73</v>
      </c>
      <c r="S21" s="3">
        <f t="shared" si="15"/>
        <v>217</v>
      </c>
      <c r="T21" s="77">
        <v>45805</v>
      </c>
      <c r="U21" s="75">
        <v>46022</v>
      </c>
      <c r="V21" s="3">
        <f t="shared" si="16"/>
        <v>217</v>
      </c>
      <c r="W21" s="3">
        <f t="shared" si="7"/>
        <v>75</v>
      </c>
      <c r="X21" s="4">
        <f t="shared" si="8"/>
        <v>0</v>
      </c>
      <c r="Y21" s="4">
        <f t="shared" si="9"/>
        <v>-150709.66576570275</v>
      </c>
      <c r="Z21" s="4">
        <f t="shared" si="10"/>
        <v>-143416.95320000002</v>
      </c>
      <c r="AA21" s="4">
        <f t="shared" si="11"/>
        <v>-199135.22946</v>
      </c>
      <c r="AB21" s="21">
        <f t="shared" si="17"/>
        <v>-493261.84842570277</v>
      </c>
      <c r="AC21" s="21">
        <f t="shared" si="3"/>
        <v>-59469.023064297158</v>
      </c>
      <c r="AD21" s="21">
        <f t="shared" si="12"/>
        <v>-552730.87148999993</v>
      </c>
      <c r="AE21" s="3">
        <f t="shared" si="13"/>
        <v>0</v>
      </c>
    </row>
    <row r="22" spans="1:141" ht="15.95" customHeight="1" x14ac:dyDescent="0.25">
      <c r="B22" s="14" t="s">
        <v>14</v>
      </c>
      <c r="C22" s="10"/>
      <c r="D22" s="11" t="s">
        <v>148</v>
      </c>
      <c r="E22" s="22">
        <v>35</v>
      </c>
      <c r="F22" s="22">
        <v>4</v>
      </c>
      <c r="G22" s="22">
        <f t="shared" si="4"/>
        <v>37</v>
      </c>
      <c r="H22" s="22"/>
      <c r="I22" s="22">
        <f t="shared" si="5"/>
        <v>37</v>
      </c>
      <c r="J22" s="44">
        <f t="shared" si="0"/>
        <v>7.4000000000000003E-3</v>
      </c>
      <c r="K22" s="44">
        <f t="shared" si="1"/>
        <v>0</v>
      </c>
      <c r="L22" s="58">
        <f t="shared" si="6"/>
        <v>7.4000000000000003E-3</v>
      </c>
      <c r="M22" s="21">
        <f t="shared" si="2"/>
        <v>193848.74166</v>
      </c>
      <c r="O22" s="3">
        <f t="shared" si="14"/>
        <v>0</v>
      </c>
      <c r="P22" s="1">
        <f>73-36</f>
        <v>37</v>
      </c>
      <c r="Q22" s="1">
        <v>73</v>
      </c>
      <c r="R22" s="1">
        <v>73</v>
      </c>
      <c r="S22" s="3">
        <f t="shared" si="15"/>
        <v>183</v>
      </c>
      <c r="T22" s="77">
        <v>45839</v>
      </c>
      <c r="U22" s="75">
        <v>46022</v>
      </c>
      <c r="V22" s="3">
        <f t="shared" si="16"/>
        <v>183</v>
      </c>
      <c r="W22" s="3">
        <f t="shared" si="7"/>
        <v>109</v>
      </c>
      <c r="X22" s="4">
        <f t="shared" si="8"/>
        <v>0</v>
      </c>
      <c r="Y22" s="4">
        <f t="shared" si="9"/>
        <v>-27544.427265636084</v>
      </c>
      <c r="Z22" s="4">
        <f t="shared" si="10"/>
        <v>-50297.888800000001</v>
      </c>
      <c r="AA22" s="4">
        <f t="shared" si="11"/>
        <v>-69838.895640000002</v>
      </c>
      <c r="AB22" s="21">
        <f t="shared" si="17"/>
        <v>-147681.21170563609</v>
      </c>
      <c r="AC22" s="21">
        <f t="shared" si="3"/>
        <v>-46167.529954363912</v>
      </c>
      <c r="AD22" s="21">
        <f t="shared" si="12"/>
        <v>-193848.74166</v>
      </c>
      <c r="AE22" s="3">
        <f t="shared" si="13"/>
        <v>0</v>
      </c>
    </row>
    <row r="23" spans="1:141" ht="15.95" customHeight="1" x14ac:dyDescent="0.25">
      <c r="B23" s="14" t="s">
        <v>15</v>
      </c>
      <c r="C23" s="10"/>
      <c r="D23" s="12" t="s">
        <v>82</v>
      </c>
      <c r="E23" s="22">
        <v>84</v>
      </c>
      <c r="F23" s="22">
        <v>12</v>
      </c>
      <c r="G23" s="22">
        <f t="shared" si="4"/>
        <v>90</v>
      </c>
      <c r="H23" s="22"/>
      <c r="I23" s="22">
        <f t="shared" si="5"/>
        <v>90</v>
      </c>
      <c r="J23" s="44">
        <f t="shared" si="0"/>
        <v>1.7899999999999999E-2</v>
      </c>
      <c r="K23" s="44">
        <f t="shared" si="1"/>
        <v>0</v>
      </c>
      <c r="L23" s="58">
        <f t="shared" si="6"/>
        <v>1.7899999999999999E-2</v>
      </c>
      <c r="M23" s="21">
        <f t="shared" si="2"/>
        <v>468904.38860999997</v>
      </c>
      <c r="O23" s="3">
        <f t="shared" si="14"/>
        <v>0</v>
      </c>
      <c r="P23" s="1">
        <f>73-2</f>
        <v>71</v>
      </c>
      <c r="Q23" s="1">
        <v>73</v>
      </c>
      <c r="R23" s="1">
        <v>73</v>
      </c>
      <c r="S23" s="3">
        <f t="shared" si="15"/>
        <v>217</v>
      </c>
      <c r="T23" s="77">
        <v>45805</v>
      </c>
      <c r="U23" s="75">
        <v>46022</v>
      </c>
      <c r="V23" s="3">
        <f t="shared" si="16"/>
        <v>217</v>
      </c>
      <c r="W23" s="3">
        <f t="shared" si="7"/>
        <v>75</v>
      </c>
      <c r="X23" s="4">
        <f t="shared" si="8"/>
        <v>0</v>
      </c>
      <c r="Y23" s="4">
        <f t="shared" si="9"/>
        <v>-127853.22356426915</v>
      </c>
      <c r="Z23" s="4">
        <f t="shared" si="10"/>
        <v>-121666.51479999999</v>
      </c>
      <c r="AA23" s="4">
        <f t="shared" si="11"/>
        <v>-168934.62594</v>
      </c>
      <c r="AB23" s="21">
        <f t="shared" si="17"/>
        <v>-418454.36430426914</v>
      </c>
      <c r="AC23" s="21">
        <f t="shared" si="3"/>
        <v>-50450.024305730825</v>
      </c>
      <c r="AD23" s="21">
        <f t="shared" si="12"/>
        <v>-468904.38860999997</v>
      </c>
      <c r="AE23" s="3">
        <f t="shared" si="13"/>
        <v>0</v>
      </c>
    </row>
    <row r="24" spans="1:141" ht="15.95" customHeight="1" x14ac:dyDescent="0.25">
      <c r="B24" s="14" t="s">
        <v>42</v>
      </c>
      <c r="C24" s="10"/>
      <c r="D24" s="11" t="s">
        <v>83</v>
      </c>
      <c r="E24" s="22">
        <v>45</v>
      </c>
      <c r="F24" s="22">
        <v>5</v>
      </c>
      <c r="G24" s="22">
        <f t="shared" si="4"/>
        <v>47.5</v>
      </c>
      <c r="H24" s="22"/>
      <c r="I24" s="22">
        <f t="shared" si="5"/>
        <v>47.5</v>
      </c>
      <c r="J24" s="44">
        <f t="shared" si="0"/>
        <v>9.4000000000000004E-3</v>
      </c>
      <c r="K24" s="44">
        <f t="shared" si="1"/>
        <v>0</v>
      </c>
      <c r="L24" s="58">
        <f t="shared" si="6"/>
        <v>9.4000000000000004E-3</v>
      </c>
      <c r="M24" s="21">
        <f t="shared" si="2"/>
        <v>246240.29345999999</v>
      </c>
      <c r="O24" s="3">
        <f t="shared" si="14"/>
        <v>0</v>
      </c>
      <c r="P24" s="1">
        <f>73-36</f>
        <v>37</v>
      </c>
      <c r="Q24" s="1">
        <v>73</v>
      </c>
      <c r="R24" s="1">
        <v>73</v>
      </c>
      <c r="S24" s="3">
        <f t="shared" si="15"/>
        <v>183</v>
      </c>
      <c r="T24" s="77">
        <v>45839</v>
      </c>
      <c r="U24" s="75">
        <v>46022</v>
      </c>
      <c r="V24" s="3">
        <f t="shared" si="16"/>
        <v>183</v>
      </c>
      <c r="W24" s="3">
        <f t="shared" si="7"/>
        <v>109</v>
      </c>
      <c r="X24" s="4">
        <f t="shared" si="8"/>
        <v>0</v>
      </c>
      <c r="Y24" s="4">
        <f t="shared" si="9"/>
        <v>-34988.86706715935</v>
      </c>
      <c r="Z24" s="4">
        <f t="shared" si="10"/>
        <v>-63891.912800000006</v>
      </c>
      <c r="AA24" s="4">
        <f t="shared" si="11"/>
        <v>-88714.272840000005</v>
      </c>
      <c r="AB24" s="21">
        <f t="shared" si="17"/>
        <v>-187595.05270715937</v>
      </c>
      <c r="AC24" s="21">
        <f t="shared" si="3"/>
        <v>-58645.240752840618</v>
      </c>
      <c r="AD24" s="21">
        <f t="shared" si="12"/>
        <v>-246240.29345999999</v>
      </c>
      <c r="AE24" s="3">
        <f t="shared" si="13"/>
        <v>0</v>
      </c>
    </row>
    <row r="25" spans="1:141" ht="15.95" customHeight="1" x14ac:dyDescent="0.25">
      <c r="B25" s="14" t="s">
        <v>43</v>
      </c>
      <c r="C25" s="10"/>
      <c r="D25" s="11" t="s">
        <v>147</v>
      </c>
      <c r="E25" s="22">
        <v>42</v>
      </c>
      <c r="F25" s="22">
        <v>4</v>
      </c>
      <c r="G25" s="22">
        <f t="shared" si="4"/>
        <v>44</v>
      </c>
      <c r="H25" s="22"/>
      <c r="I25" s="22">
        <f t="shared" si="5"/>
        <v>44</v>
      </c>
      <c r="J25" s="44">
        <f t="shared" si="0"/>
        <v>8.6999999999999994E-3</v>
      </c>
      <c r="K25" s="44">
        <f t="shared" si="1"/>
        <v>0</v>
      </c>
      <c r="L25" s="58">
        <f t="shared" si="6"/>
        <v>8.6999999999999994E-3</v>
      </c>
      <c r="M25" s="21">
        <f t="shared" si="2"/>
        <v>227903.25032999998</v>
      </c>
      <c r="O25" s="3">
        <f t="shared" si="14"/>
        <v>0</v>
      </c>
      <c r="P25" s="1">
        <f>73-36</f>
        <v>37</v>
      </c>
      <c r="Q25" s="1">
        <v>73</v>
      </c>
      <c r="R25" s="1">
        <v>73</v>
      </c>
      <c r="S25" s="3">
        <f t="shared" si="15"/>
        <v>183</v>
      </c>
      <c r="T25" s="77">
        <v>45839</v>
      </c>
      <c r="U25" s="75">
        <v>46022</v>
      </c>
      <c r="V25" s="3">
        <f t="shared" si="16"/>
        <v>183</v>
      </c>
      <c r="W25" s="3">
        <f t="shared" si="7"/>
        <v>109</v>
      </c>
      <c r="X25" s="4">
        <f t="shared" si="8"/>
        <v>0</v>
      </c>
      <c r="Y25" s="4">
        <f t="shared" si="9"/>
        <v>-32383.313136626202</v>
      </c>
      <c r="Z25" s="4">
        <f t="shared" si="10"/>
        <v>-59134.004399999998</v>
      </c>
      <c r="AA25" s="4">
        <f t="shared" si="11"/>
        <v>-82107.890819999986</v>
      </c>
      <c r="AB25" s="21">
        <f t="shared" si="17"/>
        <v>-173625.20835662619</v>
      </c>
      <c r="AC25" s="21">
        <f t="shared" si="3"/>
        <v>-54278.041973373794</v>
      </c>
      <c r="AD25" s="21">
        <f t="shared" si="12"/>
        <v>-227903.25032999998</v>
      </c>
      <c r="AE25" s="3">
        <f t="shared" si="13"/>
        <v>0</v>
      </c>
    </row>
    <row r="26" spans="1:141" ht="15.95" customHeight="1" x14ac:dyDescent="0.25">
      <c r="B26" s="14" t="s">
        <v>44</v>
      </c>
      <c r="C26" s="10"/>
      <c r="D26" s="11" t="s">
        <v>83</v>
      </c>
      <c r="E26" s="22">
        <v>45</v>
      </c>
      <c r="F26" s="22">
        <v>6</v>
      </c>
      <c r="G26" s="22">
        <f t="shared" si="4"/>
        <v>48</v>
      </c>
      <c r="H26" s="22"/>
      <c r="I26" s="22">
        <f t="shared" si="5"/>
        <v>48</v>
      </c>
      <c r="J26" s="44">
        <f t="shared" si="0"/>
        <v>9.4999999999999998E-3</v>
      </c>
      <c r="K26" s="44">
        <f t="shared" si="1"/>
        <v>0</v>
      </c>
      <c r="L26" s="58">
        <f t="shared" si="6"/>
        <v>9.4999999999999998E-3</v>
      </c>
      <c r="M26" s="21">
        <f t="shared" si="2"/>
        <v>248859.87104999999</v>
      </c>
      <c r="O26" s="3">
        <f t="shared" si="14"/>
        <v>0</v>
      </c>
      <c r="P26" s="1">
        <f>73-36</f>
        <v>37</v>
      </c>
      <c r="Q26" s="1">
        <v>73</v>
      </c>
      <c r="R26" s="1">
        <v>73</v>
      </c>
      <c r="S26" s="3">
        <f t="shared" si="15"/>
        <v>183</v>
      </c>
      <c r="T26" s="77">
        <v>45839</v>
      </c>
      <c r="U26" s="75">
        <v>46022</v>
      </c>
      <c r="V26" s="3">
        <f t="shared" si="16"/>
        <v>183</v>
      </c>
      <c r="W26" s="3">
        <f t="shared" si="7"/>
        <v>109</v>
      </c>
      <c r="X26" s="4">
        <f t="shared" si="8"/>
        <v>0</v>
      </c>
      <c r="Y26" s="4">
        <f t="shared" si="9"/>
        <v>-35361.089057235513</v>
      </c>
      <c r="Z26" s="4">
        <f t="shared" si="10"/>
        <v>-64571.614000000001</v>
      </c>
      <c r="AA26" s="4">
        <f t="shared" si="11"/>
        <v>-89658.041699999987</v>
      </c>
      <c r="AB26" s="21">
        <f t="shared" si="17"/>
        <v>-189590.74475723552</v>
      </c>
      <c r="AC26" s="21">
        <f t="shared" si="3"/>
        <v>-59269.126292764471</v>
      </c>
      <c r="AD26" s="21">
        <f t="shared" si="12"/>
        <v>-248859.87104999999</v>
      </c>
      <c r="AE26" s="3">
        <f t="shared" si="13"/>
        <v>0</v>
      </c>
    </row>
    <row r="27" spans="1:141" s="40" customFormat="1" ht="15.95" customHeight="1" x14ac:dyDescent="0.25">
      <c r="A27" s="1"/>
      <c r="B27" s="14" t="s">
        <v>16</v>
      </c>
      <c r="C27" s="10"/>
      <c r="D27" s="11" t="s">
        <v>84</v>
      </c>
      <c r="E27" s="22">
        <v>80</v>
      </c>
      <c r="F27" s="22">
        <v>5</v>
      </c>
      <c r="G27" s="22">
        <f t="shared" si="4"/>
        <v>82.5</v>
      </c>
      <c r="H27" s="22"/>
      <c r="I27" s="22">
        <f t="shared" si="5"/>
        <v>82.5</v>
      </c>
      <c r="J27" s="44">
        <f t="shared" si="0"/>
        <v>1.6400000000000001E-2</v>
      </c>
      <c r="K27" s="44">
        <f t="shared" si="1"/>
        <v>0</v>
      </c>
      <c r="L27" s="58">
        <f t="shared" si="6"/>
        <v>1.6400000000000001E-2</v>
      </c>
      <c r="M27" s="21">
        <f t="shared" si="2"/>
        <v>429610.72476000001</v>
      </c>
      <c r="N27" s="1"/>
      <c r="O27" s="3">
        <f t="shared" si="14"/>
        <v>28</v>
      </c>
      <c r="P27" s="1">
        <v>73</v>
      </c>
      <c r="Q27" s="1">
        <v>73</v>
      </c>
      <c r="R27" s="1">
        <v>73</v>
      </c>
      <c r="S27" s="3">
        <f t="shared" si="15"/>
        <v>247</v>
      </c>
      <c r="T27" s="77">
        <v>45775</v>
      </c>
      <c r="U27" s="75">
        <v>46022</v>
      </c>
      <c r="V27" s="3">
        <f t="shared" si="16"/>
        <v>247</v>
      </c>
      <c r="W27" s="3">
        <f t="shared" si="7"/>
        <v>45</v>
      </c>
      <c r="X27" s="4">
        <f t="shared" si="8"/>
        <v>-16463.490245001427</v>
      </c>
      <c r="Y27" s="4">
        <f t="shared" si="9"/>
        <v>-120438.96392410345</v>
      </c>
      <c r="Z27" s="4">
        <f t="shared" si="10"/>
        <v>-111470.99680000001</v>
      </c>
      <c r="AA27" s="4">
        <f t="shared" si="11"/>
        <v>-154778.09304000001</v>
      </c>
      <c r="AB27" s="21">
        <f t="shared" si="17"/>
        <v>-403151.54400910489</v>
      </c>
      <c r="AC27" s="21">
        <f t="shared" si="3"/>
        <v>-26459.180750895117</v>
      </c>
      <c r="AD27" s="21">
        <f t="shared" si="12"/>
        <v>-429610.72476000001</v>
      </c>
      <c r="AE27" s="3">
        <f t="shared" si="13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ht="15.95" customHeight="1" x14ac:dyDescent="0.25">
      <c r="B28" s="14" t="s">
        <v>17</v>
      </c>
      <c r="C28" s="10"/>
      <c r="D28" s="11" t="s">
        <v>85</v>
      </c>
      <c r="E28" s="22">
        <v>35</v>
      </c>
      <c r="F28" s="22">
        <v>3</v>
      </c>
      <c r="G28" s="22">
        <f t="shared" si="4"/>
        <v>36.5</v>
      </c>
      <c r="H28" s="22"/>
      <c r="I28" s="22">
        <f t="shared" si="5"/>
        <v>36.5</v>
      </c>
      <c r="J28" s="44">
        <f t="shared" si="0"/>
        <v>7.3000000000000001E-3</v>
      </c>
      <c r="K28" s="44">
        <f t="shared" si="1"/>
        <v>0</v>
      </c>
      <c r="L28" s="58">
        <f t="shared" si="6"/>
        <v>7.3000000000000001E-3</v>
      </c>
      <c r="M28" s="21">
        <f t="shared" si="2"/>
        <v>191229.16407</v>
      </c>
      <c r="O28" s="3">
        <f t="shared" si="14"/>
        <v>3</v>
      </c>
      <c r="P28" s="1">
        <v>73</v>
      </c>
      <c r="Q28" s="1">
        <v>73</v>
      </c>
      <c r="R28" s="1">
        <v>73</v>
      </c>
      <c r="S28" s="3">
        <f t="shared" si="15"/>
        <v>222</v>
      </c>
      <c r="T28" s="77">
        <v>45800</v>
      </c>
      <c r="U28" s="75">
        <v>46022</v>
      </c>
      <c r="V28" s="3">
        <f t="shared" si="16"/>
        <v>222</v>
      </c>
      <c r="W28" s="3">
        <f t="shared" si="7"/>
        <v>70</v>
      </c>
      <c r="X28" s="4">
        <f t="shared" si="8"/>
        <v>-785.17081090054717</v>
      </c>
      <c r="Y28" s="4">
        <f t="shared" si="9"/>
        <v>-53610.026624753358</v>
      </c>
      <c r="Z28" s="4">
        <f t="shared" si="10"/>
        <v>-49618.187599999997</v>
      </c>
      <c r="AA28" s="4">
        <f t="shared" si="11"/>
        <v>-68895.126779999991</v>
      </c>
      <c r="AB28" s="21">
        <f t="shared" si="17"/>
        <v>-172908.51181565388</v>
      </c>
      <c r="AC28" s="21">
        <f t="shared" si="3"/>
        <v>-18320.652254346118</v>
      </c>
      <c r="AD28" s="21">
        <f t="shared" si="12"/>
        <v>-191229.16407</v>
      </c>
      <c r="AE28" s="3">
        <f t="shared" si="13"/>
        <v>0</v>
      </c>
    </row>
    <row r="29" spans="1:141" s="40" customFormat="1" ht="15.95" customHeight="1" x14ac:dyDescent="0.25">
      <c r="A29" s="1"/>
      <c r="B29" s="14" t="s">
        <v>18</v>
      </c>
      <c r="C29" s="67" t="s">
        <v>86</v>
      </c>
      <c r="D29" s="11" t="s">
        <v>87</v>
      </c>
      <c r="E29" s="22">
        <v>84</v>
      </c>
      <c r="F29" s="22">
        <v>7</v>
      </c>
      <c r="G29" s="22">
        <f t="shared" si="4"/>
        <v>87.5</v>
      </c>
      <c r="H29" s="22">
        <f>11.5*2</f>
        <v>23</v>
      </c>
      <c r="I29" s="22">
        <f t="shared" si="5"/>
        <v>110.5</v>
      </c>
      <c r="J29" s="44">
        <f t="shared" si="0"/>
        <v>1.7399999999999999E-2</v>
      </c>
      <c r="K29" s="44">
        <f t="shared" si="1"/>
        <v>4.5999999999999999E-3</v>
      </c>
      <c r="L29" s="58">
        <f t="shared" si="6"/>
        <v>2.1999999999999999E-2</v>
      </c>
      <c r="M29" s="21">
        <f t="shared" si="2"/>
        <v>576307.06979999994</v>
      </c>
      <c r="N29" s="1"/>
      <c r="O29" s="3">
        <f t="shared" si="14"/>
        <v>28</v>
      </c>
      <c r="P29" s="1">
        <v>73</v>
      </c>
      <c r="Q29" s="1">
        <v>73</v>
      </c>
      <c r="R29" s="1">
        <v>73</v>
      </c>
      <c r="S29" s="3">
        <f t="shared" si="15"/>
        <v>247</v>
      </c>
      <c r="T29" s="77">
        <v>45775</v>
      </c>
      <c r="U29" s="75">
        <v>46022</v>
      </c>
      <c r="V29" s="3">
        <f t="shared" si="16"/>
        <v>247</v>
      </c>
      <c r="W29" s="3">
        <f t="shared" si="7"/>
        <v>45</v>
      </c>
      <c r="X29" s="4">
        <f t="shared" si="8"/>
        <v>-22085.169840855571</v>
      </c>
      <c r="Y29" s="4">
        <f t="shared" si="9"/>
        <v>-161564.46380062654</v>
      </c>
      <c r="Z29" s="4">
        <f t="shared" si="10"/>
        <v>-149534.264</v>
      </c>
      <c r="AA29" s="4">
        <f t="shared" si="11"/>
        <v>-207629.14919999999</v>
      </c>
      <c r="AB29" s="21">
        <f t="shared" si="17"/>
        <v>-540813.04684148217</v>
      </c>
      <c r="AC29" s="21">
        <f t="shared" si="3"/>
        <v>-35494.022958517773</v>
      </c>
      <c r="AD29" s="21">
        <f t="shared" si="12"/>
        <v>-576307.06979999994</v>
      </c>
      <c r="AE29" s="3">
        <f t="shared" si="13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ht="15.95" customHeight="1" x14ac:dyDescent="0.25">
      <c r="B30" s="14" t="s">
        <v>45</v>
      </c>
      <c r="C30" s="10"/>
      <c r="D30" s="11" t="s">
        <v>83</v>
      </c>
      <c r="E30" s="22">
        <v>45</v>
      </c>
      <c r="F30" s="22">
        <v>5</v>
      </c>
      <c r="G30" s="22">
        <f t="shared" si="4"/>
        <v>47.5</v>
      </c>
      <c r="H30" s="22"/>
      <c r="I30" s="22">
        <f t="shared" si="5"/>
        <v>47.5</v>
      </c>
      <c r="J30" s="44">
        <f t="shared" si="0"/>
        <v>9.4000000000000004E-3</v>
      </c>
      <c r="K30" s="44">
        <f t="shared" si="1"/>
        <v>0</v>
      </c>
      <c r="L30" s="58">
        <f t="shared" si="6"/>
        <v>9.4000000000000004E-3</v>
      </c>
      <c r="M30" s="21">
        <f t="shared" si="2"/>
        <v>246240.29345999999</v>
      </c>
      <c r="O30" s="3">
        <f t="shared" si="14"/>
        <v>0</v>
      </c>
      <c r="P30" s="1">
        <f>73-36</f>
        <v>37</v>
      </c>
      <c r="Q30" s="1">
        <v>73</v>
      </c>
      <c r="R30" s="1">
        <v>73</v>
      </c>
      <c r="S30" s="3">
        <f t="shared" si="15"/>
        <v>183</v>
      </c>
      <c r="T30" s="77">
        <v>45839</v>
      </c>
      <c r="U30" s="75">
        <v>46022</v>
      </c>
      <c r="V30" s="3">
        <f t="shared" si="16"/>
        <v>183</v>
      </c>
      <c r="W30" s="3">
        <f t="shared" si="7"/>
        <v>109</v>
      </c>
      <c r="X30" s="4">
        <f t="shared" si="8"/>
        <v>0</v>
      </c>
      <c r="Y30" s="4">
        <f t="shared" si="9"/>
        <v>-34988.86706715935</v>
      </c>
      <c r="Z30" s="4">
        <f t="shared" si="10"/>
        <v>-63891.912800000006</v>
      </c>
      <c r="AA30" s="4">
        <f t="shared" si="11"/>
        <v>-88714.272840000005</v>
      </c>
      <c r="AB30" s="21">
        <f t="shared" si="17"/>
        <v>-187595.05270715937</v>
      </c>
      <c r="AC30" s="21">
        <f t="shared" si="3"/>
        <v>-58645.240752840618</v>
      </c>
      <c r="AD30" s="21">
        <f t="shared" si="12"/>
        <v>-246240.29345999999</v>
      </c>
      <c r="AE30" s="3">
        <f t="shared" si="13"/>
        <v>0</v>
      </c>
    </row>
    <row r="31" spans="1:141" ht="15.95" customHeight="1" x14ac:dyDescent="0.25">
      <c r="B31" s="14" t="s">
        <v>46</v>
      </c>
      <c r="C31" s="10"/>
      <c r="D31" s="11" t="s">
        <v>149</v>
      </c>
      <c r="E31" s="22">
        <v>42</v>
      </c>
      <c r="F31" s="22">
        <v>4</v>
      </c>
      <c r="G31" s="22">
        <f t="shared" si="4"/>
        <v>44</v>
      </c>
      <c r="H31" s="22"/>
      <c r="I31" s="22">
        <f t="shared" si="5"/>
        <v>44</v>
      </c>
      <c r="J31" s="44">
        <f t="shared" si="0"/>
        <v>8.6999999999999994E-3</v>
      </c>
      <c r="K31" s="44">
        <f t="shared" si="1"/>
        <v>0</v>
      </c>
      <c r="L31" s="58">
        <f t="shared" si="6"/>
        <v>8.6999999999999994E-3</v>
      </c>
      <c r="M31" s="21">
        <f t="shared" si="2"/>
        <v>227903.25032999998</v>
      </c>
      <c r="O31" s="3">
        <f t="shared" si="14"/>
        <v>0</v>
      </c>
      <c r="P31" s="1">
        <f>73-36</f>
        <v>37</v>
      </c>
      <c r="Q31" s="1">
        <v>73</v>
      </c>
      <c r="R31" s="1">
        <v>73</v>
      </c>
      <c r="S31" s="3">
        <f t="shared" si="15"/>
        <v>183</v>
      </c>
      <c r="T31" s="77">
        <v>45839</v>
      </c>
      <c r="U31" s="75">
        <v>46022</v>
      </c>
      <c r="V31" s="3">
        <f t="shared" si="16"/>
        <v>183</v>
      </c>
      <c r="W31" s="3">
        <f t="shared" si="7"/>
        <v>109</v>
      </c>
      <c r="X31" s="4">
        <f t="shared" si="8"/>
        <v>0</v>
      </c>
      <c r="Y31" s="4">
        <f t="shared" si="9"/>
        <v>-32383.313136626202</v>
      </c>
      <c r="Z31" s="4">
        <f t="shared" si="10"/>
        <v>-59134.004399999998</v>
      </c>
      <c r="AA31" s="4">
        <f t="shared" si="11"/>
        <v>-82107.890819999986</v>
      </c>
      <c r="AB31" s="21">
        <f t="shared" si="17"/>
        <v>-173625.20835662619</v>
      </c>
      <c r="AC31" s="21">
        <f t="shared" si="3"/>
        <v>-54278.041973373794</v>
      </c>
      <c r="AD31" s="21">
        <f t="shared" si="12"/>
        <v>-227903.25032999998</v>
      </c>
      <c r="AE31" s="3">
        <f t="shared" si="13"/>
        <v>0</v>
      </c>
    </row>
    <row r="32" spans="1:141" ht="15.95" customHeight="1" x14ac:dyDescent="0.25">
      <c r="B32" s="14" t="s">
        <v>47</v>
      </c>
      <c r="C32" s="10"/>
      <c r="D32" s="11" t="s">
        <v>83</v>
      </c>
      <c r="E32" s="22">
        <v>45</v>
      </c>
      <c r="F32" s="22">
        <v>6</v>
      </c>
      <c r="G32" s="22">
        <f t="shared" si="4"/>
        <v>48</v>
      </c>
      <c r="H32" s="22"/>
      <c r="I32" s="22">
        <f t="shared" si="5"/>
        <v>48</v>
      </c>
      <c r="J32" s="44">
        <f t="shared" si="0"/>
        <v>9.4999999999999998E-3</v>
      </c>
      <c r="K32" s="44">
        <f t="shared" si="1"/>
        <v>0</v>
      </c>
      <c r="L32" s="58">
        <f t="shared" si="6"/>
        <v>9.4999999999999998E-3</v>
      </c>
      <c r="M32" s="21">
        <f t="shared" si="2"/>
        <v>248859.87104999999</v>
      </c>
      <c r="O32" s="3">
        <f t="shared" si="14"/>
        <v>0</v>
      </c>
      <c r="P32" s="1">
        <f>73-36</f>
        <v>37</v>
      </c>
      <c r="Q32" s="1">
        <v>73</v>
      </c>
      <c r="R32" s="1">
        <v>73</v>
      </c>
      <c r="S32" s="3">
        <f t="shared" si="15"/>
        <v>183</v>
      </c>
      <c r="T32" s="77">
        <v>45839</v>
      </c>
      <c r="U32" s="75">
        <v>46022</v>
      </c>
      <c r="V32" s="3">
        <f t="shared" si="16"/>
        <v>183</v>
      </c>
      <c r="W32" s="3">
        <f t="shared" si="7"/>
        <v>109</v>
      </c>
      <c r="X32" s="4">
        <f t="shared" si="8"/>
        <v>0</v>
      </c>
      <c r="Y32" s="4">
        <f t="shared" si="9"/>
        <v>-35361.089057235513</v>
      </c>
      <c r="Z32" s="4">
        <f t="shared" si="10"/>
        <v>-64571.614000000001</v>
      </c>
      <c r="AA32" s="4">
        <f t="shared" si="11"/>
        <v>-89658.041699999987</v>
      </c>
      <c r="AB32" s="21">
        <f t="shared" si="17"/>
        <v>-189590.74475723552</v>
      </c>
      <c r="AC32" s="21">
        <f t="shared" si="3"/>
        <v>-59269.126292764471</v>
      </c>
      <c r="AD32" s="21">
        <f t="shared" si="12"/>
        <v>-248859.87104999999</v>
      </c>
      <c r="AE32" s="3">
        <f t="shared" si="13"/>
        <v>0</v>
      </c>
    </row>
    <row r="33" spans="1:141" ht="15.95" customHeight="1" x14ac:dyDescent="0.25">
      <c r="B33" s="14" t="s">
        <v>19</v>
      </c>
      <c r="C33" s="10"/>
      <c r="D33" s="11" t="s">
        <v>88</v>
      </c>
      <c r="E33" s="22">
        <v>80</v>
      </c>
      <c r="F33" s="22">
        <v>5</v>
      </c>
      <c r="G33" s="22">
        <f t="shared" si="4"/>
        <v>82.5</v>
      </c>
      <c r="H33" s="22"/>
      <c r="I33" s="22">
        <f t="shared" si="5"/>
        <v>82.5</v>
      </c>
      <c r="J33" s="44">
        <f t="shared" si="0"/>
        <v>1.6400000000000001E-2</v>
      </c>
      <c r="K33" s="44">
        <f t="shared" si="1"/>
        <v>0</v>
      </c>
      <c r="L33" s="58">
        <f t="shared" si="6"/>
        <v>1.6400000000000001E-2</v>
      </c>
      <c r="M33" s="21">
        <f t="shared" si="2"/>
        <v>429610.72476000001</v>
      </c>
      <c r="O33" s="3">
        <f t="shared" si="14"/>
        <v>3</v>
      </c>
      <c r="P33" s="1">
        <v>73</v>
      </c>
      <c r="Q33" s="1">
        <v>73</v>
      </c>
      <c r="R33" s="1">
        <v>73</v>
      </c>
      <c r="S33" s="3">
        <f t="shared" si="15"/>
        <v>222</v>
      </c>
      <c r="T33" s="77">
        <v>45800</v>
      </c>
      <c r="U33" s="75">
        <v>46022</v>
      </c>
      <c r="V33" s="3">
        <f t="shared" si="16"/>
        <v>222</v>
      </c>
      <c r="W33" s="3">
        <f t="shared" si="7"/>
        <v>70</v>
      </c>
      <c r="X33" s="4">
        <f t="shared" si="8"/>
        <v>-1763.9453833930102</v>
      </c>
      <c r="Y33" s="4">
        <f t="shared" si="9"/>
        <v>-120438.96392410345</v>
      </c>
      <c r="Z33" s="4">
        <f t="shared" si="10"/>
        <v>-111470.99680000001</v>
      </c>
      <c r="AA33" s="4">
        <f t="shared" si="11"/>
        <v>-154778.09304000001</v>
      </c>
      <c r="AB33" s="21">
        <f t="shared" si="17"/>
        <v>-388451.99914749648</v>
      </c>
      <c r="AC33" s="21">
        <f t="shared" si="3"/>
        <v>-41158.725612503535</v>
      </c>
      <c r="AD33" s="21">
        <f t="shared" si="12"/>
        <v>-429610.72476000001</v>
      </c>
      <c r="AE33" s="3">
        <f t="shared" si="13"/>
        <v>0</v>
      </c>
    </row>
    <row r="34" spans="1:141" ht="15.95" customHeight="1" x14ac:dyDescent="0.25">
      <c r="B34" s="14" t="s">
        <v>20</v>
      </c>
      <c r="C34" s="10">
        <v>16</v>
      </c>
      <c r="D34" s="11" t="s">
        <v>145</v>
      </c>
      <c r="E34" s="22">
        <v>35</v>
      </c>
      <c r="F34" s="22">
        <v>3</v>
      </c>
      <c r="G34" s="22">
        <f t="shared" si="4"/>
        <v>36.5</v>
      </c>
      <c r="H34" s="22">
        <v>11.5</v>
      </c>
      <c r="I34" s="22">
        <f t="shared" si="5"/>
        <v>48</v>
      </c>
      <c r="J34" s="44">
        <f t="shared" si="0"/>
        <v>7.3000000000000001E-3</v>
      </c>
      <c r="K34" s="44">
        <f t="shared" si="1"/>
        <v>2.3E-3</v>
      </c>
      <c r="L34" s="58">
        <f t="shared" si="6"/>
        <v>9.6000000000000009E-3</v>
      </c>
      <c r="M34" s="21">
        <f t="shared" si="2"/>
        <v>251479.44864000002</v>
      </c>
      <c r="O34" s="3">
        <f t="shared" si="14"/>
        <v>0</v>
      </c>
      <c r="P34" s="1">
        <f>73-2</f>
        <v>71</v>
      </c>
      <c r="Q34" s="1">
        <v>73</v>
      </c>
      <c r="R34" s="1">
        <v>73</v>
      </c>
      <c r="S34" s="3">
        <f t="shared" si="15"/>
        <v>217</v>
      </c>
      <c r="T34" s="77">
        <v>45805</v>
      </c>
      <c r="U34" s="75">
        <v>46022</v>
      </c>
      <c r="V34" s="3">
        <f t="shared" si="16"/>
        <v>217</v>
      </c>
      <c r="W34" s="3">
        <f t="shared" si="7"/>
        <v>75</v>
      </c>
      <c r="X34" s="4">
        <f t="shared" si="8"/>
        <v>0</v>
      </c>
      <c r="Y34" s="4">
        <f t="shared" si="9"/>
        <v>-68569.32660430079</v>
      </c>
      <c r="Z34" s="4">
        <f t="shared" si="10"/>
        <v>-65251.315200000005</v>
      </c>
      <c r="AA34" s="4">
        <f t="shared" si="11"/>
        <v>-90601.810559999998</v>
      </c>
      <c r="AB34" s="21">
        <f t="shared" si="17"/>
        <v>-224422.45236430079</v>
      </c>
      <c r="AC34" s="21">
        <f t="shared" si="3"/>
        <v>-27056.996275699232</v>
      </c>
      <c r="AD34" s="21">
        <f t="shared" si="12"/>
        <v>-251479.44864000002</v>
      </c>
      <c r="AE34" s="3">
        <f t="shared" si="13"/>
        <v>0</v>
      </c>
    </row>
    <row r="35" spans="1:141" s="33" customFormat="1" ht="15.95" customHeight="1" x14ac:dyDescent="0.25">
      <c r="A35" s="1"/>
      <c r="B35" s="14" t="s">
        <v>21</v>
      </c>
      <c r="C35" s="10">
        <v>6</v>
      </c>
      <c r="D35" s="11" t="s">
        <v>89</v>
      </c>
      <c r="E35" s="22">
        <v>84</v>
      </c>
      <c r="F35" s="22">
        <v>7</v>
      </c>
      <c r="G35" s="22">
        <f t="shared" si="4"/>
        <v>87.5</v>
      </c>
      <c r="H35" s="22">
        <v>11.5</v>
      </c>
      <c r="I35" s="22">
        <f t="shared" si="5"/>
        <v>99</v>
      </c>
      <c r="J35" s="44">
        <f t="shared" si="0"/>
        <v>1.7399999999999999E-2</v>
      </c>
      <c r="K35" s="44">
        <f t="shared" si="1"/>
        <v>2.3E-3</v>
      </c>
      <c r="L35" s="58">
        <f t="shared" si="6"/>
        <v>1.9699999999999999E-2</v>
      </c>
      <c r="M35" s="21">
        <f t="shared" si="2"/>
        <v>516056.78522999992</v>
      </c>
      <c r="N35" s="1"/>
      <c r="O35" s="3">
        <f t="shared" si="14"/>
        <v>0</v>
      </c>
      <c r="P35" s="1">
        <f>73-2</f>
        <v>71</v>
      </c>
      <c r="Q35" s="1">
        <v>73</v>
      </c>
      <c r="R35" s="1">
        <v>73</v>
      </c>
      <c r="S35" s="3">
        <f t="shared" si="15"/>
        <v>217</v>
      </c>
      <c r="T35" s="77">
        <v>45805</v>
      </c>
      <c r="U35" s="75">
        <v>46022</v>
      </c>
      <c r="V35" s="3">
        <f t="shared" si="16"/>
        <v>217</v>
      </c>
      <c r="W35" s="3">
        <f t="shared" si="7"/>
        <v>75</v>
      </c>
      <c r="X35" s="4">
        <f t="shared" si="8"/>
        <v>0</v>
      </c>
      <c r="Y35" s="4">
        <f t="shared" si="9"/>
        <v>-140709.97230257554</v>
      </c>
      <c r="Z35" s="4">
        <f t="shared" si="10"/>
        <v>-133901.13639999999</v>
      </c>
      <c r="AA35" s="4">
        <f t="shared" si="11"/>
        <v>-185922.46541999999</v>
      </c>
      <c r="AB35" s="21">
        <f t="shared" si="17"/>
        <v>-460533.57412257558</v>
      </c>
      <c r="AC35" s="21">
        <f t="shared" si="3"/>
        <v>-55523.211107424344</v>
      </c>
      <c r="AD35" s="21">
        <f t="shared" si="12"/>
        <v>-516056.78522999992</v>
      </c>
      <c r="AE35" s="3">
        <f t="shared" si="13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ht="15.95" customHeight="1" x14ac:dyDescent="0.25">
      <c r="B36" s="14" t="s">
        <v>48</v>
      </c>
      <c r="C36" s="10"/>
      <c r="D36" s="11" t="s">
        <v>83</v>
      </c>
      <c r="E36" s="22">
        <v>45</v>
      </c>
      <c r="F36" s="22">
        <v>5</v>
      </c>
      <c r="G36" s="22">
        <f t="shared" si="4"/>
        <v>47.5</v>
      </c>
      <c r="H36" s="22"/>
      <c r="I36" s="22">
        <f t="shared" si="5"/>
        <v>47.5</v>
      </c>
      <c r="J36" s="44">
        <f t="shared" si="0"/>
        <v>9.4000000000000004E-3</v>
      </c>
      <c r="K36" s="44">
        <f t="shared" si="1"/>
        <v>0</v>
      </c>
      <c r="L36" s="58">
        <f t="shared" si="6"/>
        <v>9.4000000000000004E-3</v>
      </c>
      <c r="M36" s="21">
        <f t="shared" si="2"/>
        <v>246240.29345999999</v>
      </c>
      <c r="O36" s="3">
        <f t="shared" si="14"/>
        <v>0</v>
      </c>
      <c r="P36" s="1">
        <f>73-36</f>
        <v>37</v>
      </c>
      <c r="Q36" s="1">
        <v>73</v>
      </c>
      <c r="R36" s="1">
        <v>73</v>
      </c>
      <c r="S36" s="3">
        <f t="shared" si="15"/>
        <v>183</v>
      </c>
      <c r="T36" s="77">
        <v>45839</v>
      </c>
      <c r="U36" s="75">
        <v>46022</v>
      </c>
      <c r="V36" s="3">
        <f t="shared" si="16"/>
        <v>183</v>
      </c>
      <c r="W36" s="3">
        <f t="shared" si="7"/>
        <v>109</v>
      </c>
      <c r="X36" s="4">
        <f t="shared" si="8"/>
        <v>0</v>
      </c>
      <c r="Y36" s="4">
        <f t="shared" si="9"/>
        <v>-34988.86706715935</v>
      </c>
      <c r="Z36" s="4">
        <f t="shared" si="10"/>
        <v>-63891.912800000006</v>
      </c>
      <c r="AA36" s="4">
        <f t="shared" si="11"/>
        <v>-88714.272840000005</v>
      </c>
      <c r="AB36" s="21">
        <f t="shared" si="17"/>
        <v>-187595.05270715937</v>
      </c>
      <c r="AC36" s="21">
        <f t="shared" si="3"/>
        <v>-58645.240752840618</v>
      </c>
      <c r="AD36" s="21">
        <f t="shared" si="12"/>
        <v>-246240.29345999999</v>
      </c>
      <c r="AE36" s="3">
        <f t="shared" si="13"/>
        <v>0</v>
      </c>
    </row>
    <row r="37" spans="1:141" ht="15.95" customHeight="1" x14ac:dyDescent="0.25">
      <c r="B37" s="14" t="s">
        <v>49</v>
      </c>
      <c r="C37" s="10">
        <v>31</v>
      </c>
      <c r="D37" s="11" t="s">
        <v>152</v>
      </c>
      <c r="E37" s="22">
        <v>42</v>
      </c>
      <c r="F37" s="22">
        <v>4</v>
      </c>
      <c r="G37" s="22">
        <f t="shared" si="4"/>
        <v>44</v>
      </c>
      <c r="H37" s="22">
        <v>11.5</v>
      </c>
      <c r="I37" s="22">
        <f t="shared" si="5"/>
        <v>55.5</v>
      </c>
      <c r="J37" s="44">
        <f t="shared" si="0"/>
        <v>8.6999999999999994E-3</v>
      </c>
      <c r="K37" s="44">
        <f t="shared" si="1"/>
        <v>2.3E-3</v>
      </c>
      <c r="L37" s="58">
        <f t="shared" si="6"/>
        <v>1.0999999999999999E-2</v>
      </c>
      <c r="M37" s="21">
        <f t="shared" si="2"/>
        <v>288153.53489999997</v>
      </c>
      <c r="O37" s="3">
        <f t="shared" si="14"/>
        <v>0</v>
      </c>
      <c r="P37" s="1">
        <f>73-36</f>
        <v>37</v>
      </c>
      <c r="Q37" s="1">
        <v>73</v>
      </c>
      <c r="R37" s="1">
        <v>73</v>
      </c>
      <c r="S37" s="3">
        <f t="shared" si="15"/>
        <v>183</v>
      </c>
      <c r="T37" s="77">
        <v>45839</v>
      </c>
      <c r="U37" s="75">
        <v>46022</v>
      </c>
      <c r="V37" s="3">
        <f t="shared" si="16"/>
        <v>183</v>
      </c>
      <c r="W37" s="3">
        <f t="shared" si="7"/>
        <v>109</v>
      </c>
      <c r="X37" s="4">
        <f t="shared" si="8"/>
        <v>0</v>
      </c>
      <c r="Y37" s="4">
        <f t="shared" si="9"/>
        <v>-40944.418908377957</v>
      </c>
      <c r="Z37" s="4">
        <f t="shared" si="10"/>
        <v>-74767.131999999998</v>
      </c>
      <c r="AA37" s="4">
        <f t="shared" si="11"/>
        <v>-103814.57459999999</v>
      </c>
      <c r="AB37" s="21">
        <f t="shared" si="17"/>
        <v>-219526.12550837794</v>
      </c>
      <c r="AC37" s="21">
        <f t="shared" si="3"/>
        <v>-68627.40939162203</v>
      </c>
      <c r="AD37" s="21">
        <f t="shared" si="12"/>
        <v>-288153.53489999997</v>
      </c>
      <c r="AE37" s="3">
        <f t="shared" si="13"/>
        <v>0</v>
      </c>
    </row>
    <row r="38" spans="1:141" ht="15.95" customHeight="1" x14ac:dyDescent="0.25">
      <c r="B38" s="14" t="s">
        <v>50</v>
      </c>
      <c r="C38" s="10"/>
      <c r="D38" s="11" t="s">
        <v>83</v>
      </c>
      <c r="E38" s="22">
        <v>45</v>
      </c>
      <c r="F38" s="22">
        <v>6</v>
      </c>
      <c r="G38" s="22">
        <f t="shared" si="4"/>
        <v>48</v>
      </c>
      <c r="H38" s="22"/>
      <c r="I38" s="22">
        <f t="shared" si="5"/>
        <v>48</v>
      </c>
      <c r="J38" s="44">
        <f t="shared" si="0"/>
        <v>9.4999999999999998E-3</v>
      </c>
      <c r="K38" s="44">
        <f t="shared" si="1"/>
        <v>0</v>
      </c>
      <c r="L38" s="58">
        <f t="shared" si="6"/>
        <v>9.4999999999999998E-3</v>
      </c>
      <c r="M38" s="21">
        <f t="shared" si="2"/>
        <v>248859.87104999999</v>
      </c>
      <c r="O38" s="3">
        <f t="shared" si="14"/>
        <v>0</v>
      </c>
      <c r="P38" s="1">
        <f>73-36</f>
        <v>37</v>
      </c>
      <c r="Q38" s="1">
        <v>73</v>
      </c>
      <c r="R38" s="1">
        <v>73</v>
      </c>
      <c r="S38" s="3">
        <f t="shared" si="15"/>
        <v>183</v>
      </c>
      <c r="T38" s="77">
        <v>45839</v>
      </c>
      <c r="U38" s="75">
        <v>46022</v>
      </c>
      <c r="V38" s="3">
        <f t="shared" si="16"/>
        <v>183</v>
      </c>
      <c r="W38" s="3">
        <f t="shared" si="7"/>
        <v>109</v>
      </c>
      <c r="X38" s="4">
        <f t="shared" si="8"/>
        <v>0</v>
      </c>
      <c r="Y38" s="4">
        <f t="shared" si="9"/>
        <v>-35361.089057235513</v>
      </c>
      <c r="Z38" s="4">
        <f t="shared" si="10"/>
        <v>-64571.614000000001</v>
      </c>
      <c r="AA38" s="4">
        <f t="shared" si="11"/>
        <v>-89658.041699999987</v>
      </c>
      <c r="AB38" s="21">
        <f t="shared" si="17"/>
        <v>-189590.74475723552</v>
      </c>
      <c r="AC38" s="21">
        <f t="shared" si="3"/>
        <v>-59269.126292764471</v>
      </c>
      <c r="AD38" s="21">
        <f t="shared" si="12"/>
        <v>-248859.87104999999</v>
      </c>
      <c r="AE38" s="3">
        <f t="shared" si="13"/>
        <v>0</v>
      </c>
    </row>
    <row r="39" spans="1:141" ht="15.95" customHeight="1" x14ac:dyDescent="0.25">
      <c r="B39" s="14" t="s">
        <v>22</v>
      </c>
      <c r="C39" s="10">
        <v>28</v>
      </c>
      <c r="D39" s="11" t="s">
        <v>90</v>
      </c>
      <c r="E39" s="22">
        <v>80</v>
      </c>
      <c r="F39" s="22">
        <v>5</v>
      </c>
      <c r="G39" s="22">
        <f t="shared" si="4"/>
        <v>82.5</v>
      </c>
      <c r="H39" s="22">
        <v>11.5</v>
      </c>
      <c r="I39" s="22">
        <f t="shared" si="5"/>
        <v>94</v>
      </c>
      <c r="J39" s="44">
        <f t="shared" si="0"/>
        <v>1.6400000000000001E-2</v>
      </c>
      <c r="K39" s="44">
        <f t="shared" si="1"/>
        <v>2.3E-3</v>
      </c>
      <c r="L39" s="58">
        <f t="shared" si="6"/>
        <v>1.8700000000000001E-2</v>
      </c>
      <c r="M39" s="21">
        <f t="shared" si="2"/>
        <v>489861.00933000003</v>
      </c>
      <c r="O39" s="3">
        <f t="shared" si="14"/>
        <v>17</v>
      </c>
      <c r="P39" s="1">
        <v>73</v>
      </c>
      <c r="Q39" s="1">
        <v>73</v>
      </c>
      <c r="R39" s="1">
        <v>73</v>
      </c>
      <c r="S39" s="3">
        <f t="shared" si="15"/>
        <v>236</v>
      </c>
      <c r="T39" s="77">
        <v>45786</v>
      </c>
      <c r="U39" s="75">
        <v>46022</v>
      </c>
      <c r="V39" s="3">
        <f t="shared" si="16"/>
        <v>236</v>
      </c>
      <c r="W39" s="3">
        <f t="shared" si="7"/>
        <v>56</v>
      </c>
      <c r="X39" s="4">
        <f t="shared" si="8"/>
        <v>-11397.525150012965</v>
      </c>
      <c r="Y39" s="4">
        <f t="shared" si="9"/>
        <v>-137329.79423053257</v>
      </c>
      <c r="Z39" s="4">
        <f t="shared" si="10"/>
        <v>-127104.12440000002</v>
      </c>
      <c r="AA39" s="4">
        <f t="shared" si="11"/>
        <v>-176484.77682</v>
      </c>
      <c r="AB39" s="21">
        <f t="shared" si="17"/>
        <v>-452316.22060054552</v>
      </c>
      <c r="AC39" s="21">
        <f t="shared" si="3"/>
        <v>-37544.788729454507</v>
      </c>
      <c r="AD39" s="21">
        <f t="shared" si="12"/>
        <v>-489861.00933000003</v>
      </c>
      <c r="AE39" s="3">
        <f t="shared" si="13"/>
        <v>0</v>
      </c>
    </row>
    <row r="40" spans="1:141" ht="15.95" customHeight="1" x14ac:dyDescent="0.25">
      <c r="B40" s="14" t="s">
        <v>23</v>
      </c>
      <c r="C40" s="10"/>
      <c r="D40" s="11" t="s">
        <v>151</v>
      </c>
      <c r="E40" s="22">
        <v>35</v>
      </c>
      <c r="F40" s="22">
        <v>3</v>
      </c>
      <c r="G40" s="22">
        <f t="shared" si="4"/>
        <v>36.5</v>
      </c>
      <c r="H40" s="22"/>
      <c r="I40" s="22">
        <f t="shared" si="5"/>
        <v>36.5</v>
      </c>
      <c r="J40" s="44">
        <f t="shared" si="0"/>
        <v>7.3000000000000001E-3</v>
      </c>
      <c r="K40" s="44">
        <f t="shared" si="1"/>
        <v>0</v>
      </c>
      <c r="L40" s="58">
        <f t="shared" si="6"/>
        <v>7.3000000000000001E-3</v>
      </c>
      <c r="M40" s="21">
        <f t="shared" si="2"/>
        <v>191229.16407</v>
      </c>
      <c r="O40" s="3">
        <f t="shared" si="14"/>
        <v>14</v>
      </c>
      <c r="P40" s="1">
        <v>73</v>
      </c>
      <c r="Q40" s="1">
        <v>73</v>
      </c>
      <c r="R40" s="1">
        <v>73</v>
      </c>
      <c r="S40" s="3">
        <f t="shared" si="15"/>
        <v>233</v>
      </c>
      <c r="T40" s="77">
        <v>45789</v>
      </c>
      <c r="U40" s="75">
        <v>46022</v>
      </c>
      <c r="V40" s="3">
        <f t="shared" si="16"/>
        <v>233</v>
      </c>
      <c r="W40" s="3">
        <f t="shared" si="7"/>
        <v>59</v>
      </c>
      <c r="X40" s="4">
        <f t="shared" si="8"/>
        <v>-3664.1304508692201</v>
      </c>
      <c r="Y40" s="4">
        <f t="shared" si="9"/>
        <v>-53610.026624753358</v>
      </c>
      <c r="Z40" s="4">
        <f t="shared" si="10"/>
        <v>-49618.187599999997</v>
      </c>
      <c r="AA40" s="4">
        <f t="shared" si="11"/>
        <v>-68895.126779999991</v>
      </c>
      <c r="AB40" s="21">
        <f t="shared" si="17"/>
        <v>-175787.47145562258</v>
      </c>
      <c r="AC40" s="21">
        <f t="shared" si="3"/>
        <v>-15441.692614377418</v>
      </c>
      <c r="AD40" s="21">
        <f t="shared" si="12"/>
        <v>-191229.16407</v>
      </c>
      <c r="AE40" s="3">
        <f t="shared" si="13"/>
        <v>0</v>
      </c>
    </row>
    <row r="41" spans="1:141" ht="15.95" customHeight="1" x14ac:dyDescent="0.25">
      <c r="B41" s="14" t="s">
        <v>24</v>
      </c>
      <c r="C41" s="10">
        <v>33</v>
      </c>
      <c r="D41" s="12" t="s">
        <v>91</v>
      </c>
      <c r="E41" s="22">
        <v>84</v>
      </c>
      <c r="F41" s="22">
        <v>7</v>
      </c>
      <c r="G41" s="22">
        <f t="shared" si="4"/>
        <v>87.5</v>
      </c>
      <c r="H41" s="22">
        <v>11.5</v>
      </c>
      <c r="I41" s="22">
        <f t="shared" si="5"/>
        <v>99</v>
      </c>
      <c r="J41" s="44">
        <f t="shared" si="0"/>
        <v>1.7399999999999999E-2</v>
      </c>
      <c r="K41" s="44">
        <f t="shared" si="1"/>
        <v>2.3E-3</v>
      </c>
      <c r="L41" s="58">
        <f t="shared" si="6"/>
        <v>1.9699999999999999E-2</v>
      </c>
      <c r="M41" s="21">
        <f t="shared" si="2"/>
        <v>516056.78522999992</v>
      </c>
      <c r="O41" s="3">
        <f t="shared" si="14"/>
        <v>10</v>
      </c>
      <c r="P41" s="1">
        <v>73</v>
      </c>
      <c r="Q41" s="1">
        <v>73</v>
      </c>
      <c r="R41" s="1">
        <v>73</v>
      </c>
      <c r="S41" s="3">
        <f t="shared" si="15"/>
        <v>229</v>
      </c>
      <c r="T41" s="77">
        <v>45793</v>
      </c>
      <c r="U41" s="75">
        <v>46022</v>
      </c>
      <c r="V41" s="3">
        <f t="shared" si="16"/>
        <v>229</v>
      </c>
      <c r="W41" s="3">
        <f t="shared" si="7"/>
        <v>63</v>
      </c>
      <c r="X41" s="4">
        <f t="shared" si="8"/>
        <v>-7062.9520432606287</v>
      </c>
      <c r="Y41" s="4">
        <f t="shared" si="9"/>
        <v>-144673.63349419742</v>
      </c>
      <c r="Z41" s="4">
        <f t="shared" si="10"/>
        <v>-133901.13639999999</v>
      </c>
      <c r="AA41" s="4">
        <f t="shared" si="11"/>
        <v>-185922.46541999999</v>
      </c>
      <c r="AB41" s="21">
        <f t="shared" si="17"/>
        <v>-471560.18735745805</v>
      </c>
      <c r="AC41" s="21">
        <f t="shared" si="3"/>
        <v>-44496.597872541868</v>
      </c>
      <c r="AD41" s="21">
        <f t="shared" si="12"/>
        <v>-516056.78522999992</v>
      </c>
      <c r="AE41" s="3">
        <f t="shared" si="13"/>
        <v>0</v>
      </c>
    </row>
    <row r="42" spans="1:141" ht="15.95" customHeight="1" x14ac:dyDescent="0.25">
      <c r="B42" s="37" t="s">
        <v>51</v>
      </c>
      <c r="C42" s="32">
        <v>44</v>
      </c>
      <c r="D42" s="38" t="s">
        <v>157</v>
      </c>
      <c r="E42" s="39">
        <v>45</v>
      </c>
      <c r="F42" s="39">
        <v>5</v>
      </c>
      <c r="G42" s="39">
        <f t="shared" si="4"/>
        <v>47.5</v>
      </c>
      <c r="H42" s="49">
        <v>11.5</v>
      </c>
      <c r="I42" s="39">
        <f t="shared" si="5"/>
        <v>59</v>
      </c>
      <c r="J42" s="43">
        <f t="shared" si="0"/>
        <v>9.4000000000000004E-3</v>
      </c>
      <c r="K42" s="43">
        <f t="shared" si="1"/>
        <v>2.3E-3</v>
      </c>
      <c r="L42" s="56">
        <f t="shared" si="6"/>
        <v>1.17E-2</v>
      </c>
      <c r="M42" s="21">
        <f t="shared" si="2"/>
        <v>306490.57802999998</v>
      </c>
      <c r="O42" s="3">
        <f t="shared" si="14"/>
        <v>3</v>
      </c>
      <c r="P42" s="1">
        <v>73</v>
      </c>
      <c r="Q42" s="1">
        <v>73</v>
      </c>
      <c r="R42" s="1">
        <v>73</v>
      </c>
      <c r="S42" s="3">
        <f t="shared" si="15"/>
        <v>222</v>
      </c>
      <c r="T42" s="77">
        <v>45800</v>
      </c>
      <c r="U42" s="75">
        <v>46022</v>
      </c>
      <c r="V42" s="3">
        <f t="shared" si="16"/>
        <v>222</v>
      </c>
      <c r="W42" s="3">
        <f t="shared" si="7"/>
        <v>70</v>
      </c>
      <c r="X42" s="4">
        <f t="shared" si="8"/>
        <v>-1258.4244503474522</v>
      </c>
      <c r="Y42" s="4">
        <f t="shared" si="9"/>
        <v>-85922.919384878667</v>
      </c>
      <c r="Z42" s="4">
        <f t="shared" si="10"/>
        <v>-79525.040399999998</v>
      </c>
      <c r="AA42" s="4">
        <f t="shared" si="11"/>
        <v>-110420.95662</v>
      </c>
      <c r="AB42" s="21">
        <f t="shared" si="17"/>
        <v>-277127.3408552261</v>
      </c>
      <c r="AC42" s="21">
        <f t="shared" si="3"/>
        <v>-29363.23717477388</v>
      </c>
      <c r="AD42" s="21">
        <f t="shared" si="12"/>
        <v>-306490.57802999998</v>
      </c>
      <c r="AE42" s="3">
        <f t="shared" si="13"/>
        <v>0</v>
      </c>
    </row>
    <row r="43" spans="1:141" ht="15" customHeight="1" x14ac:dyDescent="0.25">
      <c r="B43" s="14" t="s">
        <v>52</v>
      </c>
      <c r="C43" s="10"/>
      <c r="D43" s="11" t="s">
        <v>81</v>
      </c>
      <c r="E43" s="22">
        <v>42</v>
      </c>
      <c r="F43" s="22">
        <v>4</v>
      </c>
      <c r="G43" s="22">
        <f t="shared" si="4"/>
        <v>44</v>
      </c>
      <c r="H43" s="22"/>
      <c r="I43" s="22">
        <f t="shared" si="5"/>
        <v>44</v>
      </c>
      <c r="J43" s="44">
        <f t="shared" si="0"/>
        <v>8.6999999999999994E-3</v>
      </c>
      <c r="K43" s="44">
        <f t="shared" si="1"/>
        <v>0</v>
      </c>
      <c r="L43" s="58">
        <f t="shared" si="6"/>
        <v>8.6999999999999994E-3</v>
      </c>
      <c r="M43" s="21">
        <f t="shared" si="2"/>
        <v>227903.25032999998</v>
      </c>
      <c r="O43" s="3">
        <f t="shared" si="14"/>
        <v>3</v>
      </c>
      <c r="P43" s="1">
        <v>73</v>
      </c>
      <c r="Q43" s="1">
        <v>73</v>
      </c>
      <c r="R43" s="1">
        <v>73</v>
      </c>
      <c r="S43" s="3">
        <f t="shared" si="15"/>
        <v>222</v>
      </c>
      <c r="T43" s="77">
        <v>45800</v>
      </c>
      <c r="U43" s="75">
        <v>46022</v>
      </c>
      <c r="V43" s="3">
        <f t="shared" si="16"/>
        <v>222</v>
      </c>
      <c r="W43" s="3">
        <f t="shared" si="7"/>
        <v>70</v>
      </c>
      <c r="X43" s="4">
        <f t="shared" si="8"/>
        <v>-935.75151436092597</v>
      </c>
      <c r="Y43" s="4">
        <f t="shared" si="9"/>
        <v>-63891.401593884133</v>
      </c>
      <c r="Z43" s="4">
        <f t="shared" si="10"/>
        <v>-59134.004399999998</v>
      </c>
      <c r="AA43" s="4">
        <f t="shared" si="11"/>
        <v>-82107.890819999986</v>
      </c>
      <c r="AB43" s="21">
        <f t="shared" si="17"/>
        <v>-206069.04832824506</v>
      </c>
      <c r="AC43" s="21">
        <f t="shared" si="3"/>
        <v>-21834.202001754922</v>
      </c>
      <c r="AD43" s="21">
        <f t="shared" si="12"/>
        <v>-227903.25032999998</v>
      </c>
      <c r="AE43" s="3">
        <f t="shared" si="13"/>
        <v>0</v>
      </c>
    </row>
    <row r="44" spans="1:141" ht="15.95" customHeight="1" x14ac:dyDescent="0.25">
      <c r="B44" s="14" t="s">
        <v>53</v>
      </c>
      <c r="C44" s="10"/>
      <c r="D44" s="11" t="s">
        <v>136</v>
      </c>
      <c r="E44" s="22">
        <v>45</v>
      </c>
      <c r="F44" s="22">
        <v>6</v>
      </c>
      <c r="G44" s="15">
        <f t="shared" si="4"/>
        <v>48</v>
      </c>
      <c r="H44" s="22"/>
      <c r="I44" s="15">
        <f t="shared" si="5"/>
        <v>48</v>
      </c>
      <c r="J44" s="29">
        <f t="shared" si="0"/>
        <v>9.4999999999999998E-3</v>
      </c>
      <c r="K44" s="29">
        <f t="shared" si="1"/>
        <v>0</v>
      </c>
      <c r="L44" s="57">
        <f t="shared" si="6"/>
        <v>9.4999999999999998E-3</v>
      </c>
      <c r="M44" s="21">
        <f t="shared" si="2"/>
        <v>248859.87104999999</v>
      </c>
      <c r="O44" s="3">
        <f t="shared" si="14"/>
        <v>3</v>
      </c>
      <c r="P44" s="1">
        <v>73</v>
      </c>
      <c r="Q44" s="1">
        <v>73</v>
      </c>
      <c r="R44" s="1">
        <v>73</v>
      </c>
      <c r="S44" s="3">
        <f t="shared" si="15"/>
        <v>222</v>
      </c>
      <c r="T44" s="77">
        <v>45800</v>
      </c>
      <c r="U44" s="75">
        <v>46022</v>
      </c>
      <c r="V44" s="3">
        <f t="shared" si="16"/>
        <v>222</v>
      </c>
      <c r="W44" s="3">
        <f t="shared" si="7"/>
        <v>70</v>
      </c>
      <c r="X44" s="4">
        <f t="shared" si="8"/>
        <v>-1021.7976306239997</v>
      </c>
      <c r="Y44" s="4">
        <f t="shared" si="9"/>
        <v>-69766.473004816013</v>
      </c>
      <c r="Z44" s="4">
        <f t="shared" si="10"/>
        <v>-64571.614000000001</v>
      </c>
      <c r="AA44" s="4">
        <f t="shared" si="11"/>
        <v>-89658.041699999987</v>
      </c>
      <c r="AB44" s="21">
        <f t="shared" si="17"/>
        <v>-225017.92633544002</v>
      </c>
      <c r="AC44" s="21">
        <f t="shared" si="3"/>
        <v>-23841.94471455997</v>
      </c>
      <c r="AD44" s="21">
        <f t="shared" si="12"/>
        <v>-248859.87104999999</v>
      </c>
      <c r="AE44" s="3">
        <f t="shared" si="13"/>
        <v>0</v>
      </c>
    </row>
    <row r="45" spans="1:141" ht="15.75" customHeight="1" x14ac:dyDescent="0.25">
      <c r="B45" s="14" t="s">
        <v>25</v>
      </c>
      <c r="C45" s="10">
        <v>7</v>
      </c>
      <c r="D45" s="11" t="s">
        <v>92</v>
      </c>
      <c r="E45" s="22">
        <v>80</v>
      </c>
      <c r="F45" s="22">
        <v>5</v>
      </c>
      <c r="G45" s="15">
        <f t="shared" si="4"/>
        <v>82.5</v>
      </c>
      <c r="H45" s="22">
        <v>11.5</v>
      </c>
      <c r="I45" s="15">
        <f t="shared" si="5"/>
        <v>94</v>
      </c>
      <c r="J45" s="29">
        <f t="shared" si="0"/>
        <v>1.6400000000000001E-2</v>
      </c>
      <c r="K45" s="29">
        <f t="shared" si="1"/>
        <v>2.3E-3</v>
      </c>
      <c r="L45" s="57">
        <f t="shared" si="6"/>
        <v>1.8700000000000001E-2</v>
      </c>
      <c r="M45" s="21">
        <f t="shared" si="2"/>
        <v>489861.00933000003</v>
      </c>
      <c r="O45" s="3">
        <f t="shared" si="14"/>
        <v>0</v>
      </c>
      <c r="P45" s="1">
        <f>73-3</f>
        <v>70</v>
      </c>
      <c r="Q45" s="1">
        <v>73</v>
      </c>
      <c r="R45" s="1">
        <v>73</v>
      </c>
      <c r="S45" s="3">
        <f t="shared" si="15"/>
        <v>216</v>
      </c>
      <c r="T45" s="77">
        <v>45806</v>
      </c>
      <c r="U45" s="75">
        <v>46022</v>
      </c>
      <c r="V45" s="3">
        <f t="shared" si="16"/>
        <v>216</v>
      </c>
      <c r="W45" s="3">
        <f t="shared" si="7"/>
        <v>76</v>
      </c>
      <c r="X45" s="4">
        <f t="shared" si="8"/>
        <v>0</v>
      </c>
      <c r="Y45" s="4">
        <f t="shared" si="9"/>
        <v>-131686.10405667507</v>
      </c>
      <c r="Z45" s="4">
        <f t="shared" si="10"/>
        <v>-127104.12440000002</v>
      </c>
      <c r="AA45" s="4">
        <f t="shared" si="11"/>
        <v>-176484.77682</v>
      </c>
      <c r="AB45" s="21">
        <f t="shared" si="17"/>
        <v>-435275.0052766751</v>
      </c>
      <c r="AC45" s="21">
        <f t="shared" si="3"/>
        <v>-54586.004053324927</v>
      </c>
      <c r="AD45" s="21">
        <f t="shared" si="12"/>
        <v>-489861.00933000003</v>
      </c>
      <c r="AE45" s="3">
        <f t="shared" si="13"/>
        <v>0</v>
      </c>
    </row>
    <row r="46" spans="1:141" s="40" customFormat="1" ht="15.95" customHeight="1" x14ac:dyDescent="0.25">
      <c r="A46" s="1"/>
      <c r="B46" s="14" t="s">
        <v>26</v>
      </c>
      <c r="C46" s="10">
        <v>3</v>
      </c>
      <c r="D46" s="11" t="s">
        <v>93</v>
      </c>
      <c r="E46" s="22">
        <v>35</v>
      </c>
      <c r="F46" s="22">
        <v>3</v>
      </c>
      <c r="G46" s="15">
        <f t="shared" si="4"/>
        <v>36.5</v>
      </c>
      <c r="H46" s="22">
        <v>11.5</v>
      </c>
      <c r="I46" s="15">
        <f t="shared" si="5"/>
        <v>48</v>
      </c>
      <c r="J46" s="29">
        <f t="shared" si="0"/>
        <v>7.3000000000000001E-3</v>
      </c>
      <c r="K46" s="29">
        <f t="shared" si="1"/>
        <v>2.3E-3</v>
      </c>
      <c r="L46" s="57">
        <f t="shared" si="6"/>
        <v>9.6000000000000009E-3</v>
      </c>
      <c r="M46" s="21">
        <f t="shared" si="2"/>
        <v>251479.44864000002</v>
      </c>
      <c r="N46" s="1"/>
      <c r="O46" s="3">
        <f t="shared" si="14"/>
        <v>28</v>
      </c>
      <c r="P46" s="1">
        <v>73</v>
      </c>
      <c r="Q46" s="1">
        <v>73</v>
      </c>
      <c r="R46" s="1">
        <v>73</v>
      </c>
      <c r="S46" s="3">
        <f t="shared" si="15"/>
        <v>247</v>
      </c>
      <c r="T46" s="77">
        <v>45775</v>
      </c>
      <c r="U46" s="75">
        <v>46022</v>
      </c>
      <c r="V46" s="3">
        <f t="shared" si="16"/>
        <v>247</v>
      </c>
      <c r="W46" s="3">
        <f t="shared" si="7"/>
        <v>45</v>
      </c>
      <c r="X46" s="4">
        <f t="shared" si="8"/>
        <v>-9637.1650214642505</v>
      </c>
      <c r="Y46" s="4">
        <f t="shared" si="9"/>
        <v>-70500.856931182498</v>
      </c>
      <c r="Z46" s="4">
        <f t="shared" si="10"/>
        <v>-65251.315200000005</v>
      </c>
      <c r="AA46" s="4">
        <f t="shared" si="11"/>
        <v>-90601.810559999998</v>
      </c>
      <c r="AB46" s="21">
        <f t="shared" si="17"/>
        <v>-235991.14771264675</v>
      </c>
      <c r="AC46" s="21">
        <f t="shared" si="3"/>
        <v>-15488.300927353266</v>
      </c>
      <c r="AD46" s="21">
        <f t="shared" si="12"/>
        <v>-251479.44864000002</v>
      </c>
      <c r="AE46" s="3">
        <f t="shared" si="13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ht="15.95" customHeight="1" x14ac:dyDescent="0.25">
      <c r="B47" s="14" t="s">
        <v>27</v>
      </c>
      <c r="C47" s="10">
        <v>24</v>
      </c>
      <c r="D47" s="11" t="s">
        <v>94</v>
      </c>
      <c r="E47" s="22">
        <v>84</v>
      </c>
      <c r="F47" s="22">
        <v>7</v>
      </c>
      <c r="G47" s="15">
        <f t="shared" si="4"/>
        <v>87.5</v>
      </c>
      <c r="H47" s="22">
        <v>11.5</v>
      </c>
      <c r="I47" s="15">
        <f t="shared" si="5"/>
        <v>99</v>
      </c>
      <c r="J47" s="29">
        <f t="shared" ref="J47:J78" si="19">ROUND(+G47/$I$91,4)</f>
        <v>1.7399999999999999E-2</v>
      </c>
      <c r="K47" s="29">
        <f t="shared" ref="K47:K78" si="20">ROUND(+H47/$I$91,4)</f>
        <v>2.3E-3</v>
      </c>
      <c r="L47" s="57">
        <f t="shared" si="6"/>
        <v>1.9699999999999999E-2</v>
      </c>
      <c r="M47" s="21">
        <f t="shared" ref="M47:M78" si="21">-$M$9*L47</f>
        <v>516056.78522999992</v>
      </c>
      <c r="O47" s="3">
        <f t="shared" si="14"/>
        <v>10</v>
      </c>
      <c r="P47" s="1">
        <v>73</v>
      </c>
      <c r="Q47" s="1">
        <v>73</v>
      </c>
      <c r="R47" s="1">
        <v>73</v>
      </c>
      <c r="S47" s="3">
        <f t="shared" si="15"/>
        <v>229</v>
      </c>
      <c r="T47" s="77">
        <v>45793</v>
      </c>
      <c r="U47" s="75">
        <v>46022</v>
      </c>
      <c r="V47" s="3">
        <f t="shared" si="16"/>
        <v>229</v>
      </c>
      <c r="W47" s="3">
        <f t="shared" si="7"/>
        <v>63</v>
      </c>
      <c r="X47" s="4">
        <f t="shared" si="8"/>
        <v>-7062.9520432606287</v>
      </c>
      <c r="Y47" s="4">
        <f t="shared" si="9"/>
        <v>-144673.63349419742</v>
      </c>
      <c r="Z47" s="4">
        <f t="shared" si="10"/>
        <v>-133901.13639999999</v>
      </c>
      <c r="AA47" s="4">
        <f t="shared" si="11"/>
        <v>-185922.46541999999</v>
      </c>
      <c r="AB47" s="21">
        <f t="shared" si="17"/>
        <v>-471560.18735745805</v>
      </c>
      <c r="AC47" s="21">
        <f t="shared" si="3"/>
        <v>-44496.597872541868</v>
      </c>
      <c r="AD47" s="21">
        <f t="shared" si="12"/>
        <v>-516056.78522999992</v>
      </c>
      <c r="AE47" s="3">
        <f t="shared" si="13"/>
        <v>0</v>
      </c>
    </row>
    <row r="48" spans="1:141" ht="15.95" customHeight="1" x14ac:dyDescent="0.25">
      <c r="B48" s="14" t="s">
        <v>54</v>
      </c>
      <c r="C48" s="10"/>
      <c r="D48" s="11" t="s">
        <v>95</v>
      </c>
      <c r="E48" s="22">
        <v>45</v>
      </c>
      <c r="F48" s="22">
        <v>5</v>
      </c>
      <c r="G48" s="15">
        <f t="shared" si="4"/>
        <v>47.5</v>
      </c>
      <c r="H48" s="22"/>
      <c r="I48" s="15">
        <f t="shared" si="5"/>
        <v>47.5</v>
      </c>
      <c r="J48" s="29">
        <f t="shared" si="19"/>
        <v>9.4000000000000004E-3</v>
      </c>
      <c r="K48" s="29">
        <f t="shared" si="20"/>
        <v>0</v>
      </c>
      <c r="L48" s="57">
        <f t="shared" si="6"/>
        <v>9.4000000000000004E-3</v>
      </c>
      <c r="M48" s="21">
        <f t="shared" si="21"/>
        <v>246240.29345999999</v>
      </c>
      <c r="O48" s="3">
        <f t="shared" si="14"/>
        <v>17</v>
      </c>
      <c r="P48" s="1">
        <v>73</v>
      </c>
      <c r="Q48" s="1">
        <v>73</v>
      </c>
      <c r="R48" s="1">
        <v>73</v>
      </c>
      <c r="S48" s="3">
        <f t="shared" si="15"/>
        <v>236</v>
      </c>
      <c r="T48" s="77">
        <v>45786</v>
      </c>
      <c r="U48" s="75">
        <v>46022</v>
      </c>
      <c r="V48" s="3">
        <f t="shared" si="16"/>
        <v>236</v>
      </c>
      <c r="W48" s="3">
        <f t="shared" si="7"/>
        <v>56</v>
      </c>
      <c r="X48" s="4">
        <f t="shared" si="8"/>
        <v>-5729.2372411829874</v>
      </c>
      <c r="Y48" s="4">
        <f t="shared" si="9"/>
        <v>-69032.089078449528</v>
      </c>
      <c r="Z48" s="4">
        <f t="shared" si="10"/>
        <v>-63891.912800000006</v>
      </c>
      <c r="AA48" s="4">
        <f t="shared" si="11"/>
        <v>-88714.272840000005</v>
      </c>
      <c r="AB48" s="21">
        <f t="shared" si="17"/>
        <v>-227367.51195963251</v>
      </c>
      <c r="AC48" s="21">
        <f t="shared" si="3"/>
        <v>-18872.781500367477</v>
      </c>
      <c r="AD48" s="21">
        <f t="shared" si="12"/>
        <v>-246240.29345999999</v>
      </c>
      <c r="AE48" s="3">
        <f t="shared" si="13"/>
        <v>0</v>
      </c>
    </row>
    <row r="49" spans="1:141 16370:16370" ht="15.95" customHeight="1" x14ac:dyDescent="0.25">
      <c r="B49" s="14" t="s">
        <v>55</v>
      </c>
      <c r="C49" s="10"/>
      <c r="D49" s="11" t="s">
        <v>146</v>
      </c>
      <c r="E49" s="22">
        <v>42</v>
      </c>
      <c r="F49" s="22">
        <v>4</v>
      </c>
      <c r="G49" s="15">
        <f t="shared" si="4"/>
        <v>44</v>
      </c>
      <c r="H49" s="22"/>
      <c r="I49" s="15">
        <f t="shared" si="5"/>
        <v>44</v>
      </c>
      <c r="J49" s="29">
        <f t="shared" si="19"/>
        <v>8.6999999999999994E-3</v>
      </c>
      <c r="K49" s="29">
        <f t="shared" si="20"/>
        <v>0</v>
      </c>
      <c r="L49" s="57">
        <f t="shared" si="6"/>
        <v>8.6999999999999994E-3</v>
      </c>
      <c r="M49" s="21">
        <f t="shared" si="21"/>
        <v>227903.25032999998</v>
      </c>
      <c r="O49" s="3">
        <f t="shared" si="14"/>
        <v>0</v>
      </c>
      <c r="P49" s="1">
        <f>73-4</f>
        <v>69</v>
      </c>
      <c r="Q49" s="1">
        <v>73</v>
      </c>
      <c r="R49" s="1">
        <v>73</v>
      </c>
      <c r="S49" s="3">
        <f t="shared" si="15"/>
        <v>215</v>
      </c>
      <c r="T49" s="77">
        <v>45807</v>
      </c>
      <c r="U49" s="75">
        <v>46022</v>
      </c>
      <c r="V49" s="3">
        <f t="shared" si="16"/>
        <v>215</v>
      </c>
      <c r="W49" s="3">
        <f t="shared" si="7"/>
        <v>77</v>
      </c>
      <c r="X49" s="4">
        <f t="shared" si="8"/>
        <v>0</v>
      </c>
      <c r="Y49" s="4">
        <f t="shared" si="9"/>
        <v>-60390.502876411025</v>
      </c>
      <c r="Z49" s="4">
        <f t="shared" si="10"/>
        <v>-59134.004399999998</v>
      </c>
      <c r="AA49" s="4">
        <f t="shared" si="11"/>
        <v>-82107.890819999986</v>
      </c>
      <c r="AB49" s="21">
        <f t="shared" si="17"/>
        <v>-201632.39809641102</v>
      </c>
      <c r="AC49" s="21">
        <f t="shared" si="3"/>
        <v>-26270.852233588957</v>
      </c>
      <c r="AD49" s="21">
        <f t="shared" si="12"/>
        <v>-227903.25032999998</v>
      </c>
      <c r="AE49" s="3">
        <f t="shared" si="13"/>
        <v>0</v>
      </c>
      <c r="XEP49" s="1">
        <f>SUM(B49:XEO49)</f>
        <v>-336850.63102641102</v>
      </c>
    </row>
    <row r="50" spans="1:141 16370:16370" ht="15.95" customHeight="1" x14ac:dyDescent="0.25">
      <c r="B50" s="14" t="s">
        <v>56</v>
      </c>
      <c r="C50" s="10"/>
      <c r="D50" s="11" t="s">
        <v>96</v>
      </c>
      <c r="E50" s="22">
        <v>45</v>
      </c>
      <c r="F50" s="22">
        <v>6</v>
      </c>
      <c r="G50" s="15">
        <f t="shared" si="4"/>
        <v>48</v>
      </c>
      <c r="H50" s="22"/>
      <c r="I50" s="15">
        <f t="shared" si="5"/>
        <v>48</v>
      </c>
      <c r="J50" s="29">
        <f t="shared" si="19"/>
        <v>9.4999999999999998E-3</v>
      </c>
      <c r="K50" s="29">
        <f t="shared" si="20"/>
        <v>0</v>
      </c>
      <c r="L50" s="57">
        <f t="shared" si="6"/>
        <v>9.4999999999999998E-3</v>
      </c>
      <c r="M50" s="21">
        <f t="shared" si="21"/>
        <v>248859.87104999999</v>
      </c>
      <c r="O50" s="3">
        <f t="shared" si="14"/>
        <v>17</v>
      </c>
      <c r="P50" s="1">
        <v>73</v>
      </c>
      <c r="Q50" s="1">
        <v>73</v>
      </c>
      <c r="R50" s="1">
        <v>73</v>
      </c>
      <c r="S50" s="3">
        <f t="shared" si="15"/>
        <v>236</v>
      </c>
      <c r="T50" s="77">
        <v>45786</v>
      </c>
      <c r="U50" s="75">
        <v>46022</v>
      </c>
      <c r="V50" s="3">
        <f t="shared" si="16"/>
        <v>236</v>
      </c>
      <c r="W50" s="3">
        <f t="shared" si="7"/>
        <v>56</v>
      </c>
      <c r="X50" s="4">
        <f t="shared" si="8"/>
        <v>-5790.1865735359979</v>
      </c>
      <c r="Y50" s="4">
        <f t="shared" si="9"/>
        <v>-69766.473004816013</v>
      </c>
      <c r="Z50" s="4">
        <f t="shared" si="10"/>
        <v>-64571.614000000001</v>
      </c>
      <c r="AA50" s="4">
        <f t="shared" si="11"/>
        <v>-89658.041699999987</v>
      </c>
      <c r="AB50" s="21">
        <f t="shared" si="17"/>
        <v>-229786.31527835201</v>
      </c>
      <c r="AC50" s="21">
        <f t="shared" si="3"/>
        <v>-19073.555771647982</v>
      </c>
      <c r="AD50" s="21">
        <f t="shared" si="12"/>
        <v>-248859.87104999999</v>
      </c>
      <c r="AE50" s="3">
        <f t="shared" si="13"/>
        <v>0</v>
      </c>
    </row>
    <row r="51" spans="1:141 16370:16370" ht="15.95" customHeight="1" x14ac:dyDescent="0.25">
      <c r="B51" s="14" t="s">
        <v>28</v>
      </c>
      <c r="C51" s="10">
        <v>8</v>
      </c>
      <c r="D51" s="11" t="s">
        <v>92</v>
      </c>
      <c r="E51" s="22">
        <v>80</v>
      </c>
      <c r="F51" s="22">
        <v>5</v>
      </c>
      <c r="G51" s="15">
        <f t="shared" si="4"/>
        <v>82.5</v>
      </c>
      <c r="H51" s="22">
        <v>11.5</v>
      </c>
      <c r="I51" s="15">
        <f t="shared" si="5"/>
        <v>94</v>
      </c>
      <c r="J51" s="29">
        <f t="shared" si="19"/>
        <v>1.6400000000000001E-2</v>
      </c>
      <c r="K51" s="29">
        <f t="shared" si="20"/>
        <v>2.3E-3</v>
      </c>
      <c r="L51" s="57">
        <f t="shared" si="6"/>
        <v>1.8700000000000001E-2</v>
      </c>
      <c r="M51" s="21">
        <f t="shared" si="21"/>
        <v>489861.00933000003</v>
      </c>
      <c r="O51" s="3">
        <f t="shared" si="14"/>
        <v>10</v>
      </c>
      <c r="P51" s="1">
        <v>73</v>
      </c>
      <c r="Q51" s="1">
        <v>73</v>
      </c>
      <c r="R51" s="1">
        <v>73</v>
      </c>
      <c r="S51" s="3">
        <f t="shared" si="15"/>
        <v>229</v>
      </c>
      <c r="T51" s="77">
        <v>45793</v>
      </c>
      <c r="U51" s="75">
        <v>46022</v>
      </c>
      <c r="V51" s="3">
        <f t="shared" si="16"/>
        <v>229</v>
      </c>
      <c r="W51" s="3">
        <f t="shared" si="7"/>
        <v>63</v>
      </c>
      <c r="X51" s="4">
        <f t="shared" si="8"/>
        <v>-6704.4265588311564</v>
      </c>
      <c r="Y51" s="4">
        <f t="shared" si="9"/>
        <v>-137329.79423053257</v>
      </c>
      <c r="Z51" s="4">
        <f t="shared" si="10"/>
        <v>-127104.12440000002</v>
      </c>
      <c r="AA51" s="4">
        <f t="shared" si="11"/>
        <v>-176484.77682</v>
      </c>
      <c r="AB51" s="21">
        <f t="shared" si="17"/>
        <v>-447623.12200936372</v>
      </c>
      <c r="AC51" s="21">
        <f t="shared" si="3"/>
        <v>-42237.887320636306</v>
      </c>
      <c r="AD51" s="21">
        <f t="shared" si="12"/>
        <v>-489861.00933000003</v>
      </c>
      <c r="AE51" s="3">
        <f t="shared" si="13"/>
        <v>0</v>
      </c>
    </row>
    <row r="52" spans="1:141 16370:16370" ht="15.95" customHeight="1" x14ac:dyDescent="0.25">
      <c r="B52" s="14" t="s">
        <v>29</v>
      </c>
      <c r="C52" s="10"/>
      <c r="D52" s="11" t="s">
        <v>97</v>
      </c>
      <c r="E52" s="22">
        <v>35</v>
      </c>
      <c r="F52" s="22">
        <v>3</v>
      </c>
      <c r="G52" s="15">
        <f t="shared" si="4"/>
        <v>36.5</v>
      </c>
      <c r="H52" s="22"/>
      <c r="I52" s="15">
        <f t="shared" si="5"/>
        <v>36.5</v>
      </c>
      <c r="J52" s="29">
        <f t="shared" si="19"/>
        <v>7.3000000000000001E-3</v>
      </c>
      <c r="K52" s="29">
        <f t="shared" si="20"/>
        <v>0</v>
      </c>
      <c r="L52" s="57">
        <f t="shared" si="6"/>
        <v>7.3000000000000001E-3</v>
      </c>
      <c r="M52" s="21">
        <f t="shared" si="21"/>
        <v>191229.16407</v>
      </c>
      <c r="O52" s="3">
        <f t="shared" si="14"/>
        <v>0</v>
      </c>
      <c r="P52" s="1">
        <f>73-2</f>
        <v>71</v>
      </c>
      <c r="Q52" s="1">
        <v>73</v>
      </c>
      <c r="R52" s="1">
        <v>73</v>
      </c>
      <c r="S52" s="3">
        <f t="shared" si="15"/>
        <v>217</v>
      </c>
      <c r="T52" s="77">
        <v>45805</v>
      </c>
      <c r="U52" s="75">
        <v>46022</v>
      </c>
      <c r="V52" s="3">
        <f t="shared" si="16"/>
        <v>217</v>
      </c>
      <c r="W52" s="3">
        <f t="shared" si="7"/>
        <v>75</v>
      </c>
      <c r="X52" s="4">
        <f t="shared" si="8"/>
        <v>0</v>
      </c>
      <c r="Y52" s="4">
        <f t="shared" si="9"/>
        <v>-52141.258772020381</v>
      </c>
      <c r="Z52" s="4">
        <f t="shared" si="10"/>
        <v>-49618.187599999997</v>
      </c>
      <c r="AA52" s="4">
        <f t="shared" si="11"/>
        <v>-68895.126779999991</v>
      </c>
      <c r="AB52" s="21">
        <f t="shared" si="17"/>
        <v>-170654.57315202037</v>
      </c>
      <c r="AC52" s="21">
        <f t="shared" si="3"/>
        <v>-20574.590917979629</v>
      </c>
      <c r="AD52" s="21">
        <f t="shared" si="12"/>
        <v>-191229.16407</v>
      </c>
      <c r="AE52" s="3">
        <f t="shared" si="13"/>
        <v>0</v>
      </c>
    </row>
    <row r="53" spans="1:141 16370:16370" ht="15.95" customHeight="1" x14ac:dyDescent="0.25">
      <c r="B53" s="14" t="s">
        <v>30</v>
      </c>
      <c r="C53" s="10">
        <v>14</v>
      </c>
      <c r="D53" s="11" t="s">
        <v>98</v>
      </c>
      <c r="E53" s="22">
        <v>84</v>
      </c>
      <c r="F53" s="22">
        <v>7</v>
      </c>
      <c r="G53" s="15">
        <f t="shared" si="4"/>
        <v>87.5</v>
      </c>
      <c r="H53" s="22">
        <v>11.5</v>
      </c>
      <c r="I53" s="15">
        <f t="shared" si="5"/>
        <v>99</v>
      </c>
      <c r="J53" s="29">
        <f t="shared" si="19"/>
        <v>1.7399999999999999E-2</v>
      </c>
      <c r="K53" s="29">
        <f t="shared" si="20"/>
        <v>2.3E-3</v>
      </c>
      <c r="L53" s="57">
        <f t="shared" si="6"/>
        <v>1.9699999999999999E-2</v>
      </c>
      <c r="M53" s="21">
        <f t="shared" si="21"/>
        <v>516056.78522999992</v>
      </c>
      <c r="O53" s="3">
        <f t="shared" si="14"/>
        <v>0</v>
      </c>
      <c r="P53" s="1">
        <f>73-2</f>
        <v>71</v>
      </c>
      <c r="Q53" s="1">
        <v>73</v>
      </c>
      <c r="R53" s="1">
        <v>73</v>
      </c>
      <c r="S53" s="3">
        <f t="shared" si="15"/>
        <v>217</v>
      </c>
      <c r="T53" s="77">
        <v>45805</v>
      </c>
      <c r="U53" s="75">
        <v>46022</v>
      </c>
      <c r="V53" s="3">
        <f t="shared" si="16"/>
        <v>217</v>
      </c>
      <c r="W53" s="3">
        <f t="shared" si="7"/>
        <v>75</v>
      </c>
      <c r="X53" s="4">
        <f t="shared" si="8"/>
        <v>0</v>
      </c>
      <c r="Y53" s="4">
        <f t="shared" si="9"/>
        <v>-140709.97230257554</v>
      </c>
      <c r="Z53" s="4">
        <f t="shared" si="10"/>
        <v>-133901.13639999999</v>
      </c>
      <c r="AA53" s="4">
        <f t="shared" si="11"/>
        <v>-185922.46541999999</v>
      </c>
      <c r="AB53" s="21">
        <f t="shared" si="17"/>
        <v>-460533.57412257558</v>
      </c>
      <c r="AC53" s="21">
        <f t="shared" si="3"/>
        <v>-55523.211107424344</v>
      </c>
      <c r="AD53" s="21">
        <f t="shared" si="12"/>
        <v>-516056.78522999992</v>
      </c>
      <c r="AE53" s="3">
        <f t="shared" si="13"/>
        <v>0</v>
      </c>
    </row>
    <row r="54" spans="1:141 16370:16370" ht="15.95" customHeight="1" x14ac:dyDescent="0.25">
      <c r="B54" s="14" t="s">
        <v>57</v>
      </c>
      <c r="C54" s="10"/>
      <c r="D54" s="11" t="s">
        <v>99</v>
      </c>
      <c r="E54" s="22">
        <v>45</v>
      </c>
      <c r="F54" s="22">
        <v>5</v>
      </c>
      <c r="G54" s="15">
        <f t="shared" si="4"/>
        <v>47.5</v>
      </c>
      <c r="H54" s="22"/>
      <c r="I54" s="15">
        <f t="shared" si="5"/>
        <v>47.5</v>
      </c>
      <c r="J54" s="29">
        <f t="shared" si="19"/>
        <v>9.4000000000000004E-3</v>
      </c>
      <c r="K54" s="29">
        <f t="shared" si="20"/>
        <v>0</v>
      </c>
      <c r="L54" s="57">
        <f t="shared" si="6"/>
        <v>9.4000000000000004E-3</v>
      </c>
      <c r="M54" s="21">
        <f t="shared" si="21"/>
        <v>246240.29345999999</v>
      </c>
      <c r="O54" s="3">
        <f t="shared" si="14"/>
        <v>10</v>
      </c>
      <c r="P54" s="1">
        <v>73</v>
      </c>
      <c r="Q54" s="1">
        <v>73</v>
      </c>
      <c r="R54" s="1">
        <v>73</v>
      </c>
      <c r="S54" s="3">
        <f t="shared" si="15"/>
        <v>229</v>
      </c>
      <c r="T54" s="77">
        <v>45793</v>
      </c>
      <c r="U54" s="75">
        <v>46022</v>
      </c>
      <c r="V54" s="3">
        <f t="shared" si="16"/>
        <v>229</v>
      </c>
      <c r="W54" s="3">
        <f t="shared" si="7"/>
        <v>63</v>
      </c>
      <c r="X54" s="4">
        <f t="shared" si="8"/>
        <v>-3370.1395536370519</v>
      </c>
      <c r="Y54" s="4">
        <f t="shared" si="9"/>
        <v>-69032.089078449528</v>
      </c>
      <c r="Z54" s="4">
        <f t="shared" si="10"/>
        <v>-63891.912800000006</v>
      </c>
      <c r="AA54" s="4">
        <f t="shared" si="11"/>
        <v>-88714.272840000005</v>
      </c>
      <c r="AB54" s="21">
        <f t="shared" si="17"/>
        <v>-225008.41427208658</v>
      </c>
      <c r="AC54" s="21">
        <f t="shared" si="3"/>
        <v>-21231.879187913408</v>
      </c>
      <c r="AD54" s="21">
        <f t="shared" si="12"/>
        <v>-246240.29345999999</v>
      </c>
      <c r="AE54" s="3">
        <f t="shared" si="13"/>
        <v>0</v>
      </c>
    </row>
    <row r="55" spans="1:141 16370:16370" ht="15.95" customHeight="1" x14ac:dyDescent="0.25">
      <c r="B55" s="14" t="s">
        <v>58</v>
      </c>
      <c r="C55" s="10"/>
      <c r="D55" s="11" t="s">
        <v>137</v>
      </c>
      <c r="E55" s="22">
        <v>42</v>
      </c>
      <c r="F55" s="22">
        <v>4</v>
      </c>
      <c r="G55" s="15">
        <f t="shared" si="4"/>
        <v>44</v>
      </c>
      <c r="H55" s="22"/>
      <c r="I55" s="15">
        <f t="shared" si="5"/>
        <v>44</v>
      </c>
      <c r="J55" s="29">
        <f t="shared" si="19"/>
        <v>8.6999999999999994E-3</v>
      </c>
      <c r="K55" s="29">
        <f t="shared" si="20"/>
        <v>0</v>
      </c>
      <c r="L55" s="57">
        <f t="shared" si="6"/>
        <v>8.6999999999999994E-3</v>
      </c>
      <c r="M55" s="21">
        <f t="shared" si="21"/>
        <v>227903.25032999998</v>
      </c>
      <c r="O55" s="3">
        <f t="shared" si="14"/>
        <v>3</v>
      </c>
      <c r="P55" s="1">
        <v>73</v>
      </c>
      <c r="Q55" s="1">
        <v>73</v>
      </c>
      <c r="R55" s="1">
        <v>73</v>
      </c>
      <c r="S55" s="3">
        <f t="shared" si="15"/>
        <v>222</v>
      </c>
      <c r="T55" s="77">
        <v>45800</v>
      </c>
      <c r="U55" s="75">
        <v>46022</v>
      </c>
      <c r="V55" s="3">
        <f t="shared" si="16"/>
        <v>222</v>
      </c>
      <c r="W55" s="3">
        <f t="shared" si="7"/>
        <v>70</v>
      </c>
      <c r="X55" s="4">
        <f t="shared" si="8"/>
        <v>-935.75151436092597</v>
      </c>
      <c r="Y55" s="4">
        <f t="shared" si="9"/>
        <v>-63891.401593884133</v>
      </c>
      <c r="Z55" s="4">
        <f t="shared" si="10"/>
        <v>-59134.004399999998</v>
      </c>
      <c r="AA55" s="4">
        <f t="shared" si="11"/>
        <v>-82107.890819999986</v>
      </c>
      <c r="AB55" s="21">
        <f t="shared" si="17"/>
        <v>-206069.04832824506</v>
      </c>
      <c r="AC55" s="21">
        <f t="shared" si="3"/>
        <v>-21834.202001754922</v>
      </c>
      <c r="AD55" s="21">
        <f t="shared" si="12"/>
        <v>-227903.25032999998</v>
      </c>
      <c r="AE55" s="3">
        <f t="shared" si="13"/>
        <v>0</v>
      </c>
    </row>
    <row r="56" spans="1:141 16370:16370" ht="15.95" customHeight="1" x14ac:dyDescent="0.25">
      <c r="B56" s="14" t="s">
        <v>59</v>
      </c>
      <c r="C56" s="68">
        <v>5</v>
      </c>
      <c r="D56" s="11" t="s">
        <v>100</v>
      </c>
      <c r="E56" s="22">
        <v>45</v>
      </c>
      <c r="F56" s="22">
        <v>6</v>
      </c>
      <c r="G56" s="15">
        <f t="shared" si="4"/>
        <v>48</v>
      </c>
      <c r="H56" s="22">
        <v>11.5</v>
      </c>
      <c r="I56" s="15">
        <f t="shared" si="5"/>
        <v>59.5</v>
      </c>
      <c r="J56" s="29">
        <f t="shared" si="19"/>
        <v>9.4999999999999998E-3</v>
      </c>
      <c r="K56" s="29">
        <f t="shared" si="20"/>
        <v>2.3E-3</v>
      </c>
      <c r="L56" s="57">
        <f t="shared" si="6"/>
        <v>1.18E-2</v>
      </c>
      <c r="M56" s="21">
        <f t="shared" si="21"/>
        <v>309110.15561999998</v>
      </c>
      <c r="O56" s="3">
        <f t="shared" si="14"/>
        <v>10</v>
      </c>
      <c r="P56" s="1">
        <v>73</v>
      </c>
      <c r="Q56" s="1">
        <v>73</v>
      </c>
      <c r="R56" s="1">
        <v>73</v>
      </c>
      <c r="S56" s="3">
        <f t="shared" si="15"/>
        <v>229</v>
      </c>
      <c r="T56" s="77">
        <v>45793</v>
      </c>
      <c r="U56" s="75">
        <v>46022</v>
      </c>
      <c r="V56" s="3">
        <f t="shared" si="16"/>
        <v>229</v>
      </c>
      <c r="W56" s="3">
        <f t="shared" si="7"/>
        <v>63</v>
      </c>
      <c r="X56" s="4">
        <f t="shared" si="8"/>
        <v>-4230.6007162677879</v>
      </c>
      <c r="Y56" s="4">
        <f t="shared" si="9"/>
        <v>-86657.303311245152</v>
      </c>
      <c r="Z56" s="4">
        <f t="shared" si="10"/>
        <v>-80204.741599999994</v>
      </c>
      <c r="AA56" s="4">
        <f t="shared" si="11"/>
        <v>-111364.72547999999</v>
      </c>
      <c r="AB56" s="21">
        <f t="shared" si="17"/>
        <v>-282457.37110751297</v>
      </c>
      <c r="AC56" s="21">
        <f t="shared" si="3"/>
        <v>-26652.784512487007</v>
      </c>
      <c r="AD56" s="21">
        <f t="shared" si="12"/>
        <v>-309110.15561999998</v>
      </c>
      <c r="AE56" s="3">
        <f t="shared" si="13"/>
        <v>0</v>
      </c>
    </row>
    <row r="57" spans="1:141 16370:16370" ht="15.95" customHeight="1" x14ac:dyDescent="0.25">
      <c r="B57" s="14" t="s">
        <v>31</v>
      </c>
      <c r="C57" s="10">
        <v>26</v>
      </c>
      <c r="D57" s="11" t="s">
        <v>101</v>
      </c>
      <c r="E57" s="22">
        <v>80</v>
      </c>
      <c r="F57" s="22">
        <v>5</v>
      </c>
      <c r="G57" s="15">
        <f t="shared" si="4"/>
        <v>82.5</v>
      </c>
      <c r="H57" s="22">
        <v>11.5</v>
      </c>
      <c r="I57" s="15">
        <f t="shared" si="5"/>
        <v>94</v>
      </c>
      <c r="J57" s="29">
        <f t="shared" si="19"/>
        <v>1.6400000000000001E-2</v>
      </c>
      <c r="K57" s="29">
        <f t="shared" si="20"/>
        <v>2.3E-3</v>
      </c>
      <c r="L57" s="57">
        <f t="shared" si="6"/>
        <v>1.8700000000000001E-2</v>
      </c>
      <c r="M57" s="21">
        <f t="shared" si="21"/>
        <v>489861.00933000003</v>
      </c>
      <c r="O57" s="3">
        <f t="shared" si="14"/>
        <v>10</v>
      </c>
      <c r="P57" s="1">
        <v>73</v>
      </c>
      <c r="Q57" s="1">
        <v>73</v>
      </c>
      <c r="R57" s="1">
        <v>73</v>
      </c>
      <c r="S57" s="3">
        <f t="shared" si="15"/>
        <v>229</v>
      </c>
      <c r="T57" s="77">
        <v>45793</v>
      </c>
      <c r="U57" s="75">
        <v>46022</v>
      </c>
      <c r="V57" s="3">
        <f t="shared" si="16"/>
        <v>229</v>
      </c>
      <c r="W57" s="3">
        <f t="shared" si="7"/>
        <v>63</v>
      </c>
      <c r="X57" s="4">
        <f t="shared" si="8"/>
        <v>-6704.4265588311564</v>
      </c>
      <c r="Y57" s="4">
        <f t="shared" si="9"/>
        <v>-137329.79423053257</v>
      </c>
      <c r="Z57" s="4">
        <f t="shared" si="10"/>
        <v>-127104.12440000002</v>
      </c>
      <c r="AA57" s="4">
        <f t="shared" si="11"/>
        <v>-176484.77682</v>
      </c>
      <c r="AB57" s="21">
        <f t="shared" si="17"/>
        <v>-447623.12200936372</v>
      </c>
      <c r="AC57" s="21">
        <f t="shared" si="3"/>
        <v>-42237.887320636306</v>
      </c>
      <c r="AD57" s="21">
        <f t="shared" si="12"/>
        <v>-489861.00933000003</v>
      </c>
      <c r="AE57" s="3">
        <f t="shared" si="13"/>
        <v>0</v>
      </c>
    </row>
    <row r="58" spans="1:141 16370:16370" ht="15.95" customHeight="1" x14ac:dyDescent="0.25">
      <c r="B58" s="14" t="s">
        <v>32</v>
      </c>
      <c r="C58" s="10"/>
      <c r="D58" s="11" t="s">
        <v>101</v>
      </c>
      <c r="E58" s="22">
        <v>35</v>
      </c>
      <c r="F58" s="22">
        <v>3</v>
      </c>
      <c r="G58" s="15">
        <f t="shared" si="4"/>
        <v>36.5</v>
      </c>
      <c r="H58" s="22"/>
      <c r="I58" s="15">
        <f t="shared" si="5"/>
        <v>36.5</v>
      </c>
      <c r="J58" s="29">
        <f t="shared" si="19"/>
        <v>7.3000000000000001E-3</v>
      </c>
      <c r="K58" s="29">
        <f t="shared" si="20"/>
        <v>0</v>
      </c>
      <c r="L58" s="57">
        <f t="shared" si="6"/>
        <v>7.3000000000000001E-3</v>
      </c>
      <c r="M58" s="21">
        <f t="shared" si="21"/>
        <v>191229.16407</v>
      </c>
      <c r="O58" s="3">
        <f t="shared" si="14"/>
        <v>10</v>
      </c>
      <c r="P58" s="1">
        <v>73</v>
      </c>
      <c r="Q58" s="1">
        <v>73</v>
      </c>
      <c r="R58" s="1">
        <v>73</v>
      </c>
      <c r="S58" s="3">
        <f t="shared" si="15"/>
        <v>229</v>
      </c>
      <c r="T58" s="77">
        <v>45793</v>
      </c>
      <c r="U58" s="75">
        <v>46022</v>
      </c>
      <c r="V58" s="3">
        <f t="shared" si="16"/>
        <v>229</v>
      </c>
      <c r="W58" s="3">
        <f t="shared" si="7"/>
        <v>63</v>
      </c>
      <c r="X58" s="4">
        <f t="shared" si="8"/>
        <v>-2617.2360363351572</v>
      </c>
      <c r="Y58" s="4">
        <f t="shared" si="9"/>
        <v>-53610.026624753358</v>
      </c>
      <c r="Z58" s="4">
        <f t="shared" si="10"/>
        <v>-49618.187599999997</v>
      </c>
      <c r="AA58" s="4">
        <f t="shared" si="11"/>
        <v>-68895.126779999991</v>
      </c>
      <c r="AB58" s="21">
        <f t="shared" si="17"/>
        <v>-174740.57704108849</v>
      </c>
      <c r="AC58" s="21">
        <f t="shared" si="3"/>
        <v>-16488.587028911512</v>
      </c>
      <c r="AD58" s="21">
        <f t="shared" si="12"/>
        <v>-191229.16407</v>
      </c>
      <c r="AE58" s="3">
        <f t="shared" si="13"/>
        <v>0</v>
      </c>
    </row>
    <row r="59" spans="1:141 16370:16370" s="40" customFormat="1" ht="15.95" customHeight="1" x14ac:dyDescent="0.25">
      <c r="A59" s="1"/>
      <c r="B59" s="14" t="s">
        <v>34</v>
      </c>
      <c r="C59" s="10">
        <v>43</v>
      </c>
      <c r="D59" s="11" t="s">
        <v>102</v>
      </c>
      <c r="E59" s="22">
        <v>84</v>
      </c>
      <c r="F59" s="22">
        <v>7</v>
      </c>
      <c r="G59" s="15">
        <f t="shared" si="4"/>
        <v>87.5</v>
      </c>
      <c r="H59" s="22">
        <v>11.5</v>
      </c>
      <c r="I59" s="15">
        <f t="shared" si="5"/>
        <v>99</v>
      </c>
      <c r="J59" s="29">
        <f t="shared" si="19"/>
        <v>1.7399999999999999E-2</v>
      </c>
      <c r="K59" s="29">
        <f t="shared" si="20"/>
        <v>2.3E-3</v>
      </c>
      <c r="L59" s="57">
        <f t="shared" si="6"/>
        <v>1.9699999999999999E-2</v>
      </c>
      <c r="M59" s="21">
        <f t="shared" si="21"/>
        <v>516056.78522999992</v>
      </c>
      <c r="N59" s="1"/>
      <c r="O59" s="3">
        <f t="shared" si="14"/>
        <v>33</v>
      </c>
      <c r="P59" s="1">
        <v>73</v>
      </c>
      <c r="Q59" s="1">
        <v>73</v>
      </c>
      <c r="R59" s="1">
        <v>73</v>
      </c>
      <c r="S59" s="3">
        <f t="shared" si="15"/>
        <v>252</v>
      </c>
      <c r="T59" s="77">
        <v>45770</v>
      </c>
      <c r="U59" s="75">
        <v>46022</v>
      </c>
      <c r="V59" s="3">
        <f t="shared" si="16"/>
        <v>252</v>
      </c>
      <c r="W59" s="3">
        <f t="shared" si="7"/>
        <v>40</v>
      </c>
      <c r="X59" s="4">
        <f t="shared" si="8"/>
        <v>-23307.741742760078</v>
      </c>
      <c r="Y59" s="4">
        <f t="shared" si="9"/>
        <v>-144673.63349419742</v>
      </c>
      <c r="Z59" s="4">
        <f t="shared" si="10"/>
        <v>-133901.13639999999</v>
      </c>
      <c r="AA59" s="4">
        <f t="shared" si="11"/>
        <v>-185922.46541999999</v>
      </c>
      <c r="AB59" s="21">
        <f t="shared" si="17"/>
        <v>-487804.97705695755</v>
      </c>
      <c r="AC59" s="21">
        <f t="shared" si="3"/>
        <v>-28251.808173042373</v>
      </c>
      <c r="AD59" s="21">
        <f t="shared" si="12"/>
        <v>-516056.78522999992</v>
      </c>
      <c r="AE59" s="3">
        <f t="shared" si="13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 16370:16370" ht="15.95" customHeight="1" x14ac:dyDescent="0.25">
      <c r="B60" s="14" t="s">
        <v>60</v>
      </c>
      <c r="C60" s="10">
        <v>10</v>
      </c>
      <c r="D60" s="11" t="s">
        <v>103</v>
      </c>
      <c r="E60" s="22">
        <v>45</v>
      </c>
      <c r="F60" s="22">
        <v>5</v>
      </c>
      <c r="G60" s="15">
        <f t="shared" si="4"/>
        <v>47.5</v>
      </c>
      <c r="H60" s="22">
        <v>11.5</v>
      </c>
      <c r="I60" s="15">
        <f t="shared" si="5"/>
        <v>59</v>
      </c>
      <c r="J60" s="29">
        <f t="shared" si="19"/>
        <v>9.4000000000000004E-3</v>
      </c>
      <c r="K60" s="29">
        <f t="shared" si="20"/>
        <v>2.3E-3</v>
      </c>
      <c r="L60" s="57">
        <f t="shared" si="6"/>
        <v>1.17E-2</v>
      </c>
      <c r="M60" s="21">
        <f t="shared" si="21"/>
        <v>306490.57802999998</v>
      </c>
      <c r="O60" s="3">
        <f t="shared" si="14"/>
        <v>10</v>
      </c>
      <c r="P60" s="1">
        <v>73</v>
      </c>
      <c r="Q60" s="1">
        <v>73</v>
      </c>
      <c r="R60" s="1">
        <v>73</v>
      </c>
      <c r="S60" s="3">
        <f t="shared" si="15"/>
        <v>229</v>
      </c>
      <c r="T60" s="77">
        <v>45793</v>
      </c>
      <c r="U60" s="75">
        <v>46022</v>
      </c>
      <c r="V60" s="3">
        <f t="shared" si="16"/>
        <v>229</v>
      </c>
      <c r="W60" s="3">
        <f t="shared" si="7"/>
        <v>63</v>
      </c>
      <c r="X60" s="4">
        <f t="shared" si="8"/>
        <v>-4194.7481678248414</v>
      </c>
      <c r="Y60" s="4">
        <f t="shared" si="9"/>
        <v>-85922.919384878667</v>
      </c>
      <c r="Z60" s="4">
        <f t="shared" si="10"/>
        <v>-79525.040399999998</v>
      </c>
      <c r="AA60" s="4">
        <f t="shared" si="11"/>
        <v>-110420.95662</v>
      </c>
      <c r="AB60" s="21">
        <f t="shared" si="17"/>
        <v>-280063.66457270354</v>
      </c>
      <c r="AC60" s="21">
        <f t="shared" si="3"/>
        <v>-26426.913457296439</v>
      </c>
      <c r="AD60" s="21">
        <f t="shared" si="12"/>
        <v>-306490.57802999998</v>
      </c>
      <c r="AE60" s="3">
        <f t="shared" si="13"/>
        <v>0</v>
      </c>
    </row>
    <row r="61" spans="1:141 16370:16370" ht="15.95" customHeight="1" x14ac:dyDescent="0.25">
      <c r="B61" s="14" t="s">
        <v>61</v>
      </c>
      <c r="C61" s="68">
        <v>12</v>
      </c>
      <c r="D61" s="11" t="s">
        <v>81</v>
      </c>
      <c r="E61" s="22">
        <v>42</v>
      </c>
      <c r="F61" s="22">
        <v>4</v>
      </c>
      <c r="G61" s="15">
        <f t="shared" si="4"/>
        <v>44</v>
      </c>
      <c r="H61" s="22">
        <v>11.5</v>
      </c>
      <c r="I61" s="15">
        <f t="shared" si="5"/>
        <v>55.5</v>
      </c>
      <c r="J61" s="29">
        <f t="shared" si="19"/>
        <v>8.6999999999999994E-3</v>
      </c>
      <c r="K61" s="29">
        <f t="shared" si="20"/>
        <v>2.3E-3</v>
      </c>
      <c r="L61" s="57">
        <f t="shared" si="6"/>
        <v>1.0999999999999999E-2</v>
      </c>
      <c r="M61" s="21">
        <f t="shared" si="21"/>
        <v>288153.53489999997</v>
      </c>
      <c r="O61" s="3">
        <f t="shared" si="14"/>
        <v>3</v>
      </c>
      <c r="P61" s="1">
        <v>73</v>
      </c>
      <c r="Q61" s="1">
        <v>73</v>
      </c>
      <c r="R61" s="1">
        <v>73</v>
      </c>
      <c r="S61" s="3">
        <f t="shared" si="15"/>
        <v>222</v>
      </c>
      <c r="T61" s="77">
        <v>45800</v>
      </c>
      <c r="U61" s="75">
        <v>46022</v>
      </c>
      <c r="V61" s="3">
        <f t="shared" si="16"/>
        <v>222</v>
      </c>
      <c r="W61" s="3">
        <f t="shared" si="7"/>
        <v>70</v>
      </c>
      <c r="X61" s="4">
        <f t="shared" si="8"/>
        <v>-1183.1340986172627</v>
      </c>
      <c r="Y61" s="4">
        <f t="shared" si="9"/>
        <v>-80782.231900313272</v>
      </c>
      <c r="Z61" s="4">
        <f t="shared" si="10"/>
        <v>-74767.131999999998</v>
      </c>
      <c r="AA61" s="4">
        <f t="shared" si="11"/>
        <v>-103814.57459999999</v>
      </c>
      <c r="AB61" s="21">
        <f t="shared" si="17"/>
        <v>-260547.07259893051</v>
      </c>
      <c r="AC61" s="21">
        <f t="shared" si="3"/>
        <v>-27606.462301069463</v>
      </c>
      <c r="AD61" s="21">
        <f t="shared" si="12"/>
        <v>-288153.53489999997</v>
      </c>
      <c r="AE61" s="3">
        <f t="shared" si="13"/>
        <v>0</v>
      </c>
    </row>
    <row r="62" spans="1:141 16370:16370" ht="15.95" customHeight="1" x14ac:dyDescent="0.25">
      <c r="B62" s="14" t="s">
        <v>62</v>
      </c>
      <c r="C62" s="10">
        <v>20</v>
      </c>
      <c r="D62" s="12" t="s">
        <v>104</v>
      </c>
      <c r="E62" s="22">
        <v>45</v>
      </c>
      <c r="F62" s="22">
        <v>6</v>
      </c>
      <c r="G62" s="15">
        <f t="shared" si="4"/>
        <v>48</v>
      </c>
      <c r="H62" s="22">
        <v>11.5</v>
      </c>
      <c r="I62" s="15">
        <f t="shared" si="5"/>
        <v>59.5</v>
      </c>
      <c r="J62" s="29">
        <f t="shared" si="19"/>
        <v>9.4999999999999998E-3</v>
      </c>
      <c r="K62" s="29">
        <f t="shared" si="20"/>
        <v>2.3E-3</v>
      </c>
      <c r="L62" s="57">
        <f t="shared" si="6"/>
        <v>1.18E-2</v>
      </c>
      <c r="M62" s="21">
        <f t="shared" si="21"/>
        <v>309110.15561999998</v>
      </c>
      <c r="O62" s="3">
        <f t="shared" si="14"/>
        <v>0</v>
      </c>
      <c r="P62" s="1">
        <f>73-2</f>
        <v>71</v>
      </c>
      <c r="Q62" s="1">
        <v>73</v>
      </c>
      <c r="R62" s="1">
        <v>73</v>
      </c>
      <c r="S62" s="3">
        <f t="shared" si="15"/>
        <v>217</v>
      </c>
      <c r="T62" s="77">
        <v>45805</v>
      </c>
      <c r="U62" s="75">
        <v>46022</v>
      </c>
      <c r="V62" s="3">
        <f t="shared" si="16"/>
        <v>217</v>
      </c>
      <c r="W62" s="3">
        <f t="shared" si="7"/>
        <v>75</v>
      </c>
      <c r="X62" s="4">
        <f t="shared" si="8"/>
        <v>0</v>
      </c>
      <c r="Y62" s="4">
        <f t="shared" si="9"/>
        <v>-84283.130617786373</v>
      </c>
      <c r="Z62" s="4">
        <f t="shared" si="10"/>
        <v>-80204.741599999994</v>
      </c>
      <c r="AA62" s="4">
        <f t="shared" si="11"/>
        <v>-111364.72547999999</v>
      </c>
      <c r="AB62" s="21">
        <f t="shared" si="17"/>
        <v>-275852.5976977864</v>
      </c>
      <c r="AC62" s="21">
        <f t="shared" si="3"/>
        <v>-33257.557922213571</v>
      </c>
      <c r="AD62" s="21">
        <f t="shared" si="12"/>
        <v>-309110.15561999998</v>
      </c>
      <c r="AE62" s="3">
        <f t="shared" si="13"/>
        <v>0</v>
      </c>
    </row>
    <row r="63" spans="1:141 16370:16370" ht="15.95" customHeight="1" x14ac:dyDescent="0.25">
      <c r="B63" s="14" t="s">
        <v>35</v>
      </c>
      <c r="C63" s="10">
        <v>4</v>
      </c>
      <c r="D63" s="11" t="s">
        <v>138</v>
      </c>
      <c r="E63" s="22">
        <v>80</v>
      </c>
      <c r="F63" s="22">
        <v>5</v>
      </c>
      <c r="G63" s="15">
        <f t="shared" si="4"/>
        <v>82.5</v>
      </c>
      <c r="H63" s="22">
        <v>11.5</v>
      </c>
      <c r="I63" s="15">
        <f t="shared" si="5"/>
        <v>94</v>
      </c>
      <c r="J63" s="29">
        <f t="shared" si="19"/>
        <v>1.6400000000000001E-2</v>
      </c>
      <c r="K63" s="29">
        <f t="shared" si="20"/>
        <v>2.3E-3</v>
      </c>
      <c r="L63" s="57">
        <f t="shared" si="6"/>
        <v>1.8700000000000001E-2</v>
      </c>
      <c r="M63" s="21">
        <f t="shared" si="21"/>
        <v>489861.00933000003</v>
      </c>
      <c r="O63" s="3">
        <f t="shared" si="14"/>
        <v>10</v>
      </c>
      <c r="P63" s="1">
        <v>73</v>
      </c>
      <c r="Q63" s="1">
        <v>73</v>
      </c>
      <c r="R63" s="1">
        <v>73</v>
      </c>
      <c r="S63" s="3">
        <f t="shared" si="15"/>
        <v>229</v>
      </c>
      <c r="T63" s="77">
        <v>45793</v>
      </c>
      <c r="U63" s="75">
        <v>46022</v>
      </c>
      <c r="V63" s="3">
        <f t="shared" si="16"/>
        <v>229</v>
      </c>
      <c r="W63" s="3">
        <f t="shared" si="7"/>
        <v>63</v>
      </c>
      <c r="X63" s="4">
        <f t="shared" si="8"/>
        <v>-6704.4265588311564</v>
      </c>
      <c r="Y63" s="4">
        <f t="shared" si="9"/>
        <v>-137329.79423053257</v>
      </c>
      <c r="Z63" s="4">
        <f t="shared" si="10"/>
        <v>-127104.12440000002</v>
      </c>
      <c r="AA63" s="4">
        <f t="shared" si="11"/>
        <v>-176484.77682</v>
      </c>
      <c r="AB63" s="21">
        <f t="shared" si="17"/>
        <v>-447623.12200936372</v>
      </c>
      <c r="AC63" s="21">
        <f t="shared" si="3"/>
        <v>-42237.887320636306</v>
      </c>
      <c r="AD63" s="21">
        <f t="shared" si="12"/>
        <v>-489861.00933000003</v>
      </c>
      <c r="AE63" s="3">
        <f t="shared" si="13"/>
        <v>0</v>
      </c>
    </row>
    <row r="64" spans="1:141 16370:16370" ht="15.95" customHeight="1" x14ac:dyDescent="0.25">
      <c r="B64" s="14" t="s">
        <v>36</v>
      </c>
      <c r="C64" s="10"/>
      <c r="D64" s="11" t="s">
        <v>105</v>
      </c>
      <c r="E64" s="22">
        <v>35</v>
      </c>
      <c r="F64" s="22">
        <v>3</v>
      </c>
      <c r="G64" s="15">
        <f t="shared" si="4"/>
        <v>36.5</v>
      </c>
      <c r="H64" s="22"/>
      <c r="I64" s="15">
        <f t="shared" si="5"/>
        <v>36.5</v>
      </c>
      <c r="J64" s="29">
        <f t="shared" si="19"/>
        <v>7.3000000000000001E-3</v>
      </c>
      <c r="K64" s="29">
        <f t="shared" si="20"/>
        <v>0</v>
      </c>
      <c r="L64" s="57">
        <f t="shared" si="6"/>
        <v>7.3000000000000001E-3</v>
      </c>
      <c r="M64" s="21">
        <f t="shared" si="21"/>
        <v>191229.16407</v>
      </c>
      <c r="O64" s="3">
        <f t="shared" si="14"/>
        <v>10</v>
      </c>
      <c r="P64" s="1">
        <v>73</v>
      </c>
      <c r="Q64" s="1">
        <v>73</v>
      </c>
      <c r="R64" s="1">
        <v>73</v>
      </c>
      <c r="S64" s="3">
        <f t="shared" si="15"/>
        <v>229</v>
      </c>
      <c r="T64" s="77">
        <v>45793</v>
      </c>
      <c r="U64" s="75">
        <v>46022</v>
      </c>
      <c r="V64" s="3">
        <f t="shared" si="16"/>
        <v>229</v>
      </c>
      <c r="W64" s="3">
        <f t="shared" si="7"/>
        <v>63</v>
      </c>
      <c r="X64" s="4">
        <f t="shared" si="8"/>
        <v>-2617.2360363351572</v>
      </c>
      <c r="Y64" s="4">
        <f t="shared" si="9"/>
        <v>-53610.026624753358</v>
      </c>
      <c r="Z64" s="4">
        <f t="shared" si="10"/>
        <v>-49618.187599999997</v>
      </c>
      <c r="AA64" s="4">
        <f t="shared" si="11"/>
        <v>-68895.126779999991</v>
      </c>
      <c r="AB64" s="21">
        <f t="shared" si="17"/>
        <v>-174740.57704108849</v>
      </c>
      <c r="AC64" s="21">
        <f t="shared" si="3"/>
        <v>-16488.587028911512</v>
      </c>
      <c r="AD64" s="21">
        <f t="shared" si="12"/>
        <v>-191229.16407</v>
      </c>
      <c r="AE64" s="3">
        <f t="shared" si="13"/>
        <v>0</v>
      </c>
    </row>
    <row r="65" spans="1:141" ht="15.95" customHeight="1" x14ac:dyDescent="0.25">
      <c r="B65" s="14" t="s">
        <v>37</v>
      </c>
      <c r="C65" s="10">
        <v>17</v>
      </c>
      <c r="D65" s="11" t="s">
        <v>106</v>
      </c>
      <c r="E65" s="22">
        <v>84</v>
      </c>
      <c r="F65" s="22">
        <v>7</v>
      </c>
      <c r="G65" s="15">
        <f t="shared" si="4"/>
        <v>87.5</v>
      </c>
      <c r="H65" s="22">
        <v>11.5</v>
      </c>
      <c r="I65" s="15">
        <f t="shared" si="5"/>
        <v>99</v>
      </c>
      <c r="J65" s="29">
        <f t="shared" si="19"/>
        <v>1.7399999999999999E-2</v>
      </c>
      <c r="K65" s="29">
        <f t="shared" si="20"/>
        <v>2.3E-3</v>
      </c>
      <c r="L65" s="57">
        <f t="shared" si="6"/>
        <v>1.9699999999999999E-2</v>
      </c>
      <c r="M65" s="21">
        <f t="shared" si="21"/>
        <v>516056.78522999992</v>
      </c>
      <c r="O65" s="3">
        <f t="shared" si="14"/>
        <v>7</v>
      </c>
      <c r="P65" s="1">
        <v>73</v>
      </c>
      <c r="Q65" s="1">
        <v>73</v>
      </c>
      <c r="R65" s="1">
        <v>73</v>
      </c>
      <c r="S65" s="3">
        <f t="shared" si="15"/>
        <v>226</v>
      </c>
      <c r="T65" s="77">
        <v>45796</v>
      </c>
      <c r="U65" s="75">
        <v>46022</v>
      </c>
      <c r="V65" s="3">
        <f t="shared" si="16"/>
        <v>226</v>
      </c>
      <c r="W65" s="3">
        <f t="shared" si="7"/>
        <v>66</v>
      </c>
      <c r="X65" s="4">
        <f t="shared" si="8"/>
        <v>-4944.0664302824407</v>
      </c>
      <c r="Y65" s="4">
        <f t="shared" si="9"/>
        <v>-144673.63349419742</v>
      </c>
      <c r="Z65" s="4">
        <f t="shared" si="10"/>
        <v>-133901.13639999999</v>
      </c>
      <c r="AA65" s="4">
        <f t="shared" si="11"/>
        <v>-185922.46541999999</v>
      </c>
      <c r="AB65" s="21">
        <f t="shared" si="17"/>
        <v>-469441.3017444798</v>
      </c>
      <c r="AC65" s="21">
        <f t="shared" si="3"/>
        <v>-46615.483485520119</v>
      </c>
      <c r="AD65" s="21">
        <f t="shared" si="12"/>
        <v>-516056.78522999992</v>
      </c>
      <c r="AE65" s="3">
        <f t="shared" si="13"/>
        <v>0</v>
      </c>
    </row>
    <row r="66" spans="1:141" ht="15.95" customHeight="1" x14ac:dyDescent="0.25">
      <c r="B66" s="14" t="s">
        <v>63</v>
      </c>
      <c r="C66" s="10"/>
      <c r="D66" s="11" t="s">
        <v>107</v>
      </c>
      <c r="E66" s="22">
        <v>45</v>
      </c>
      <c r="F66" s="22">
        <v>5</v>
      </c>
      <c r="G66" s="15">
        <f t="shared" si="4"/>
        <v>47.5</v>
      </c>
      <c r="H66" s="22"/>
      <c r="I66" s="15">
        <f t="shared" si="5"/>
        <v>47.5</v>
      </c>
      <c r="J66" s="29">
        <f t="shared" si="19"/>
        <v>9.4000000000000004E-3</v>
      </c>
      <c r="K66" s="29">
        <f t="shared" si="20"/>
        <v>0</v>
      </c>
      <c r="L66" s="57">
        <f t="shared" si="6"/>
        <v>9.4000000000000004E-3</v>
      </c>
      <c r="M66" s="21">
        <f t="shared" si="21"/>
        <v>246240.29345999999</v>
      </c>
      <c r="O66" s="3">
        <f t="shared" si="14"/>
        <v>0</v>
      </c>
      <c r="P66" s="1">
        <f>73-60</f>
        <v>13</v>
      </c>
      <c r="Q66" s="1">
        <v>73</v>
      </c>
      <c r="R66" s="1">
        <v>73</v>
      </c>
      <c r="S66" s="3">
        <f t="shared" si="15"/>
        <v>159</v>
      </c>
      <c r="T66" s="77">
        <v>45863</v>
      </c>
      <c r="U66" s="75">
        <v>46022</v>
      </c>
      <c r="V66" s="3">
        <f t="shared" si="16"/>
        <v>159</v>
      </c>
      <c r="W66" s="3">
        <f t="shared" si="7"/>
        <v>133</v>
      </c>
      <c r="X66" s="4">
        <f t="shared" si="8"/>
        <v>0</v>
      </c>
      <c r="Y66" s="4">
        <f t="shared" si="9"/>
        <v>-12293.385726299231</v>
      </c>
      <c r="Z66" s="4">
        <f t="shared" si="10"/>
        <v>-63891.912800000006</v>
      </c>
      <c r="AA66" s="4">
        <f t="shared" si="11"/>
        <v>-88714.272840000005</v>
      </c>
      <c r="AB66" s="21">
        <f t="shared" si="17"/>
        <v>-164899.57136629923</v>
      </c>
      <c r="AC66" s="21">
        <f t="shared" si="3"/>
        <v>-81340.722093700751</v>
      </c>
      <c r="AD66" s="21">
        <f t="shared" si="12"/>
        <v>-246240.29345999999</v>
      </c>
      <c r="AE66" s="3">
        <f t="shared" si="13"/>
        <v>0</v>
      </c>
    </row>
    <row r="67" spans="1:141" ht="15.95" customHeight="1" x14ac:dyDescent="0.25">
      <c r="B67" s="14" t="s">
        <v>64</v>
      </c>
      <c r="C67" s="10"/>
      <c r="D67" s="11" t="s">
        <v>108</v>
      </c>
      <c r="E67" s="22">
        <v>42</v>
      </c>
      <c r="F67" s="22">
        <v>4</v>
      </c>
      <c r="G67" s="15">
        <f t="shared" si="4"/>
        <v>44</v>
      </c>
      <c r="H67" s="22"/>
      <c r="I67" s="15">
        <f t="shared" si="5"/>
        <v>44</v>
      </c>
      <c r="J67" s="29">
        <f t="shared" si="19"/>
        <v>8.6999999999999994E-3</v>
      </c>
      <c r="K67" s="29">
        <f t="shared" si="20"/>
        <v>0</v>
      </c>
      <c r="L67" s="57">
        <f t="shared" si="6"/>
        <v>8.6999999999999994E-3</v>
      </c>
      <c r="M67" s="21">
        <f t="shared" si="21"/>
        <v>227903.25032999998</v>
      </c>
      <c r="O67" s="3">
        <f t="shared" si="14"/>
        <v>3</v>
      </c>
      <c r="P67" s="1">
        <v>73</v>
      </c>
      <c r="Q67" s="1">
        <v>73</v>
      </c>
      <c r="R67" s="1">
        <v>73</v>
      </c>
      <c r="S67" s="3">
        <f t="shared" si="15"/>
        <v>222</v>
      </c>
      <c r="T67" s="77">
        <v>45800</v>
      </c>
      <c r="U67" s="75">
        <v>46022</v>
      </c>
      <c r="V67" s="3">
        <f t="shared" si="16"/>
        <v>222</v>
      </c>
      <c r="W67" s="3">
        <f t="shared" si="7"/>
        <v>70</v>
      </c>
      <c r="X67" s="4">
        <f t="shared" si="8"/>
        <v>-935.75151436092597</v>
      </c>
      <c r="Y67" s="4">
        <f t="shared" si="9"/>
        <v>-63891.401593884133</v>
      </c>
      <c r="Z67" s="4">
        <f t="shared" si="10"/>
        <v>-59134.004399999998</v>
      </c>
      <c r="AA67" s="4">
        <f t="shared" si="11"/>
        <v>-82107.890819999986</v>
      </c>
      <c r="AB67" s="21">
        <f t="shared" si="17"/>
        <v>-206069.04832824506</v>
      </c>
      <c r="AC67" s="21">
        <f t="shared" si="3"/>
        <v>-21834.202001754922</v>
      </c>
      <c r="AD67" s="21">
        <f t="shared" si="12"/>
        <v>-227903.25032999998</v>
      </c>
      <c r="AE67" s="3">
        <f t="shared" si="13"/>
        <v>0</v>
      </c>
    </row>
    <row r="68" spans="1:141" ht="15.95" customHeight="1" x14ac:dyDescent="0.25">
      <c r="B68" s="14" t="s">
        <v>65</v>
      </c>
      <c r="C68" s="10">
        <v>23</v>
      </c>
      <c r="D68" s="11" t="s">
        <v>109</v>
      </c>
      <c r="E68" s="22">
        <v>45</v>
      </c>
      <c r="F68" s="22">
        <v>6</v>
      </c>
      <c r="G68" s="15">
        <f t="shared" si="4"/>
        <v>48</v>
      </c>
      <c r="H68" s="22">
        <v>11.5</v>
      </c>
      <c r="I68" s="15">
        <f t="shared" si="5"/>
        <v>59.5</v>
      </c>
      <c r="J68" s="29">
        <f t="shared" si="19"/>
        <v>9.4999999999999998E-3</v>
      </c>
      <c r="K68" s="29">
        <f t="shared" si="20"/>
        <v>2.3E-3</v>
      </c>
      <c r="L68" s="57">
        <f t="shared" si="6"/>
        <v>1.18E-2</v>
      </c>
      <c r="M68" s="21">
        <f t="shared" si="21"/>
        <v>309110.15561999998</v>
      </c>
      <c r="O68" s="3">
        <f t="shared" si="14"/>
        <v>17</v>
      </c>
      <c r="P68" s="1">
        <v>73</v>
      </c>
      <c r="Q68" s="1">
        <v>73</v>
      </c>
      <c r="R68" s="1">
        <v>73</v>
      </c>
      <c r="S68" s="3">
        <f t="shared" si="15"/>
        <v>236</v>
      </c>
      <c r="T68" s="77">
        <v>45786</v>
      </c>
      <c r="U68" s="75">
        <v>46022</v>
      </c>
      <c r="V68" s="3">
        <f t="shared" si="16"/>
        <v>236</v>
      </c>
      <c r="W68" s="3">
        <f t="shared" si="7"/>
        <v>56</v>
      </c>
      <c r="X68" s="4">
        <f t="shared" si="8"/>
        <v>-7192.0212176552395</v>
      </c>
      <c r="Y68" s="4">
        <f t="shared" si="9"/>
        <v>-86657.303311245152</v>
      </c>
      <c r="Z68" s="4">
        <f t="shared" si="10"/>
        <v>-80204.741599999994</v>
      </c>
      <c r="AA68" s="4">
        <f t="shared" si="11"/>
        <v>-111364.72547999999</v>
      </c>
      <c r="AB68" s="21">
        <f t="shared" si="17"/>
        <v>-285418.79160890041</v>
      </c>
      <c r="AC68" s="21">
        <f t="shared" si="3"/>
        <v>-23691.364011099562</v>
      </c>
      <c r="AD68" s="21">
        <f t="shared" si="12"/>
        <v>-309110.15561999998</v>
      </c>
      <c r="AE68" s="3">
        <f t="shared" si="13"/>
        <v>0</v>
      </c>
    </row>
    <row r="69" spans="1:141" s="40" customFormat="1" ht="15.95" customHeight="1" x14ac:dyDescent="0.25">
      <c r="A69" s="1"/>
      <c r="B69" s="14" t="s">
        <v>110</v>
      </c>
      <c r="C69" s="69">
        <v>21</v>
      </c>
      <c r="D69" s="34" t="s">
        <v>111</v>
      </c>
      <c r="E69" s="22">
        <v>114</v>
      </c>
      <c r="F69" s="22">
        <v>9</v>
      </c>
      <c r="G69" s="15">
        <f t="shared" si="4"/>
        <v>118.5</v>
      </c>
      <c r="H69" s="22">
        <v>11.5</v>
      </c>
      <c r="I69" s="15">
        <f t="shared" si="5"/>
        <v>130</v>
      </c>
      <c r="J69" s="29">
        <f t="shared" si="19"/>
        <v>2.35E-2</v>
      </c>
      <c r="K69" s="29">
        <f t="shared" si="20"/>
        <v>2.3E-3</v>
      </c>
      <c r="L69" s="57">
        <f t="shared" si="6"/>
        <v>2.58E-2</v>
      </c>
      <c r="M69" s="21">
        <f t="shared" si="21"/>
        <v>675851.01821999997</v>
      </c>
      <c r="N69" s="1"/>
      <c r="O69" s="3">
        <f t="shared" si="14"/>
        <v>28</v>
      </c>
      <c r="P69" s="1">
        <v>73</v>
      </c>
      <c r="Q69" s="1">
        <v>73</v>
      </c>
      <c r="R69" s="1">
        <v>73</v>
      </c>
      <c r="S69" s="3">
        <f t="shared" si="15"/>
        <v>247</v>
      </c>
      <c r="T69" s="77">
        <v>45775</v>
      </c>
      <c r="U69" s="75">
        <v>46022</v>
      </c>
      <c r="V69" s="3">
        <f t="shared" si="16"/>
        <v>247</v>
      </c>
      <c r="W69" s="3">
        <f t="shared" si="7"/>
        <v>45</v>
      </c>
      <c r="X69" s="4">
        <f t="shared" si="8"/>
        <v>-25899.880995185173</v>
      </c>
      <c r="Y69" s="4">
        <f t="shared" si="9"/>
        <v>-189471.05300255297</v>
      </c>
      <c r="Z69" s="4">
        <f t="shared" si="10"/>
        <v>-175362.90960000001</v>
      </c>
      <c r="AA69" s="4">
        <f t="shared" si="11"/>
        <v>-243492.36588</v>
      </c>
      <c r="AB69" s="21">
        <f t="shared" si="17"/>
        <v>-634226.20947773824</v>
      </c>
      <c r="AC69" s="21">
        <f t="shared" si="3"/>
        <v>-41624.808742261725</v>
      </c>
      <c r="AD69" s="21">
        <f t="shared" si="12"/>
        <v>-675851.01821999997</v>
      </c>
      <c r="AE69" s="3">
        <f t="shared" si="13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ht="15.95" customHeight="1" x14ac:dyDescent="0.25">
      <c r="B70" s="14" t="s">
        <v>38</v>
      </c>
      <c r="C70" s="10">
        <v>41</v>
      </c>
      <c r="D70" s="11" t="s">
        <v>139</v>
      </c>
      <c r="E70" s="22">
        <v>84</v>
      </c>
      <c r="F70" s="22">
        <v>7</v>
      </c>
      <c r="G70" s="15">
        <f t="shared" si="4"/>
        <v>87.5</v>
      </c>
      <c r="H70" s="22">
        <v>11.5</v>
      </c>
      <c r="I70" s="15">
        <f t="shared" si="5"/>
        <v>99</v>
      </c>
      <c r="J70" s="29">
        <f t="shared" si="19"/>
        <v>1.7399999999999999E-2</v>
      </c>
      <c r="K70" s="29">
        <f t="shared" si="20"/>
        <v>2.3E-3</v>
      </c>
      <c r="L70" s="57">
        <f t="shared" si="6"/>
        <v>1.9699999999999999E-2</v>
      </c>
      <c r="M70" s="21">
        <f t="shared" si="21"/>
        <v>516056.78522999992</v>
      </c>
      <c r="O70" s="3">
        <f t="shared" si="14"/>
        <v>13</v>
      </c>
      <c r="P70" s="1">
        <v>73</v>
      </c>
      <c r="Q70" s="1">
        <v>73</v>
      </c>
      <c r="R70" s="1">
        <v>73</v>
      </c>
      <c r="S70" s="3">
        <f t="shared" si="15"/>
        <v>232</v>
      </c>
      <c r="T70" s="77">
        <v>45790</v>
      </c>
      <c r="U70" s="75">
        <v>46022</v>
      </c>
      <c r="V70" s="3">
        <f t="shared" si="16"/>
        <v>232</v>
      </c>
      <c r="W70" s="3">
        <f t="shared" si="7"/>
        <v>60</v>
      </c>
      <c r="X70" s="4">
        <f t="shared" si="8"/>
        <v>-9181.8376562388166</v>
      </c>
      <c r="Y70" s="4">
        <f t="shared" si="9"/>
        <v>-144673.63349419742</v>
      </c>
      <c r="Z70" s="4">
        <f t="shared" si="10"/>
        <v>-133901.13639999999</v>
      </c>
      <c r="AA70" s="4">
        <f t="shared" si="11"/>
        <v>-185922.46541999999</v>
      </c>
      <c r="AB70" s="21">
        <f t="shared" si="17"/>
        <v>-473679.07297043619</v>
      </c>
      <c r="AC70" s="21">
        <f t="shared" si="3"/>
        <v>-42377.712259563734</v>
      </c>
      <c r="AD70" s="21">
        <f t="shared" si="12"/>
        <v>-516056.78522999992</v>
      </c>
      <c r="AE70" s="3">
        <f t="shared" si="13"/>
        <v>0</v>
      </c>
    </row>
    <row r="71" spans="1:141" ht="18.75" customHeight="1" x14ac:dyDescent="0.25">
      <c r="B71" s="14" t="s">
        <v>66</v>
      </c>
      <c r="C71" s="10">
        <v>2</v>
      </c>
      <c r="D71" s="11" t="s">
        <v>33</v>
      </c>
      <c r="E71" s="22">
        <v>45</v>
      </c>
      <c r="F71" s="22">
        <v>5</v>
      </c>
      <c r="G71" s="15">
        <f t="shared" si="4"/>
        <v>47.5</v>
      </c>
      <c r="H71" s="22">
        <v>11.5</v>
      </c>
      <c r="I71" s="15">
        <f t="shared" si="5"/>
        <v>59</v>
      </c>
      <c r="J71" s="29">
        <f t="shared" si="19"/>
        <v>9.4000000000000004E-3</v>
      </c>
      <c r="K71" s="29">
        <f t="shared" si="20"/>
        <v>2.3E-3</v>
      </c>
      <c r="L71" s="57">
        <f t="shared" si="6"/>
        <v>1.17E-2</v>
      </c>
      <c r="M71" s="21">
        <f t="shared" si="21"/>
        <v>306490.57802999998</v>
      </c>
      <c r="O71" s="3">
        <f t="shared" si="14"/>
        <v>0</v>
      </c>
      <c r="S71" s="3"/>
      <c r="T71" s="78"/>
      <c r="U71" s="75">
        <v>46022</v>
      </c>
      <c r="V71" s="3"/>
      <c r="W71" s="3">
        <f t="shared" si="7"/>
        <v>292</v>
      </c>
      <c r="X71" s="4">
        <f t="shared" si="8"/>
        <v>0</v>
      </c>
      <c r="Y71" s="4">
        <f t="shared" si="9"/>
        <v>0</v>
      </c>
      <c r="Z71" s="4">
        <f t="shared" si="10"/>
        <v>0</v>
      </c>
      <c r="AA71" s="4">
        <f t="shared" si="11"/>
        <v>0</v>
      </c>
      <c r="AB71" s="21">
        <f t="shared" si="17"/>
        <v>0</v>
      </c>
      <c r="AC71" s="21">
        <f t="shared" si="3"/>
        <v>-306490.57802999998</v>
      </c>
      <c r="AD71" s="21">
        <f t="shared" si="12"/>
        <v>-306490.57802999998</v>
      </c>
      <c r="AE71" s="3">
        <f t="shared" si="13"/>
        <v>0</v>
      </c>
    </row>
    <row r="72" spans="1:141" s="40" customFormat="1" ht="15.95" customHeight="1" x14ac:dyDescent="0.25">
      <c r="A72" s="1"/>
      <c r="B72" s="14" t="s">
        <v>67</v>
      </c>
      <c r="C72" s="10"/>
      <c r="D72" s="12" t="s">
        <v>112</v>
      </c>
      <c r="E72" s="22">
        <v>42</v>
      </c>
      <c r="F72" s="22">
        <v>4</v>
      </c>
      <c r="G72" s="15">
        <f t="shared" si="4"/>
        <v>44</v>
      </c>
      <c r="H72" s="22"/>
      <c r="I72" s="15">
        <f t="shared" si="5"/>
        <v>44</v>
      </c>
      <c r="J72" s="29">
        <f t="shared" si="19"/>
        <v>8.6999999999999994E-3</v>
      </c>
      <c r="K72" s="29">
        <f t="shared" si="20"/>
        <v>0</v>
      </c>
      <c r="L72" s="57">
        <f t="shared" si="6"/>
        <v>8.6999999999999994E-3</v>
      </c>
      <c r="M72" s="21">
        <f t="shared" si="21"/>
        <v>227903.25032999998</v>
      </c>
      <c r="N72" s="1"/>
      <c r="O72" s="3">
        <f t="shared" si="14"/>
        <v>28</v>
      </c>
      <c r="P72" s="1">
        <v>73</v>
      </c>
      <c r="Q72" s="1">
        <v>73</v>
      </c>
      <c r="R72" s="1">
        <v>73</v>
      </c>
      <c r="S72" s="3">
        <f t="shared" si="15"/>
        <v>247</v>
      </c>
      <c r="T72" s="77">
        <v>45775</v>
      </c>
      <c r="U72" s="75">
        <v>46022</v>
      </c>
      <c r="V72" s="3">
        <f t="shared" si="16"/>
        <v>247</v>
      </c>
      <c r="W72" s="3">
        <f t="shared" si="7"/>
        <v>45</v>
      </c>
      <c r="X72" s="4">
        <f t="shared" si="8"/>
        <v>-8733.6808007019754</v>
      </c>
      <c r="Y72" s="4">
        <f t="shared" si="9"/>
        <v>-63891.401593884133</v>
      </c>
      <c r="Z72" s="4">
        <f t="shared" si="10"/>
        <v>-59134.004399999998</v>
      </c>
      <c r="AA72" s="4">
        <f t="shared" si="11"/>
        <v>-82107.890819999986</v>
      </c>
      <c r="AB72" s="21">
        <f t="shared" si="17"/>
        <v>-213866.97761458607</v>
      </c>
      <c r="AC72" s="21">
        <f t="shared" si="3"/>
        <v>-14036.272715413914</v>
      </c>
      <c r="AD72" s="21">
        <f t="shared" si="12"/>
        <v>-227903.25032999998</v>
      </c>
      <c r="AE72" s="3">
        <f t="shared" si="13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ht="15.95" customHeight="1" x14ac:dyDescent="0.25">
      <c r="B73" s="14" t="s">
        <v>68</v>
      </c>
      <c r="C73" s="10">
        <v>19</v>
      </c>
      <c r="D73" s="11" t="s">
        <v>113</v>
      </c>
      <c r="E73" s="22">
        <v>45</v>
      </c>
      <c r="F73" s="22">
        <v>6</v>
      </c>
      <c r="G73" s="15">
        <f t="shared" si="4"/>
        <v>48</v>
      </c>
      <c r="H73" s="22">
        <v>11.5</v>
      </c>
      <c r="I73" s="15">
        <f t="shared" si="5"/>
        <v>59.5</v>
      </c>
      <c r="J73" s="29">
        <f t="shared" si="19"/>
        <v>9.4999999999999998E-3</v>
      </c>
      <c r="K73" s="29">
        <f t="shared" si="20"/>
        <v>2.3E-3</v>
      </c>
      <c r="L73" s="57">
        <f t="shared" si="6"/>
        <v>1.18E-2</v>
      </c>
      <c r="M73" s="21">
        <f t="shared" si="21"/>
        <v>309110.15561999998</v>
      </c>
      <c r="O73" s="3">
        <f t="shared" si="14"/>
        <v>0</v>
      </c>
      <c r="P73" s="1">
        <f>73-18</f>
        <v>55</v>
      </c>
      <c r="Q73" s="1">
        <v>73</v>
      </c>
      <c r="R73" s="1">
        <v>73</v>
      </c>
      <c r="S73" s="3">
        <f t="shared" si="15"/>
        <v>201</v>
      </c>
      <c r="T73" s="77">
        <v>45821</v>
      </c>
      <c r="U73" s="75">
        <v>46022</v>
      </c>
      <c r="V73" s="3">
        <f t="shared" si="16"/>
        <v>201</v>
      </c>
      <c r="W73" s="3">
        <f t="shared" si="7"/>
        <v>91</v>
      </c>
      <c r="X73" s="4">
        <f t="shared" si="8"/>
        <v>0</v>
      </c>
      <c r="Y73" s="4">
        <f t="shared" si="9"/>
        <v>-65289.749070116202</v>
      </c>
      <c r="Z73" s="4">
        <f t="shared" si="10"/>
        <v>-80204.741599999994</v>
      </c>
      <c r="AA73" s="4">
        <f t="shared" si="11"/>
        <v>-111364.72547999999</v>
      </c>
      <c r="AB73" s="21">
        <f t="shared" si="17"/>
        <v>-256859.2161501162</v>
      </c>
      <c r="AC73" s="21">
        <f t="shared" si="3"/>
        <v>-52250.939469883771</v>
      </c>
      <c r="AD73" s="21">
        <f t="shared" si="12"/>
        <v>-309110.15561999998</v>
      </c>
      <c r="AE73" s="3">
        <f t="shared" si="13"/>
        <v>0</v>
      </c>
    </row>
    <row r="74" spans="1:141" ht="15.95" customHeight="1" x14ac:dyDescent="0.25">
      <c r="B74" s="14" t="s">
        <v>114</v>
      </c>
      <c r="C74" s="10">
        <v>36</v>
      </c>
      <c r="D74" s="11" t="s">
        <v>115</v>
      </c>
      <c r="E74" s="22">
        <v>114</v>
      </c>
      <c r="F74" s="22">
        <v>9</v>
      </c>
      <c r="G74" s="15">
        <f t="shared" si="4"/>
        <v>118.5</v>
      </c>
      <c r="H74" s="22">
        <v>11.5</v>
      </c>
      <c r="I74" s="15">
        <f t="shared" si="5"/>
        <v>130</v>
      </c>
      <c r="J74" s="29">
        <f t="shared" si="19"/>
        <v>2.35E-2</v>
      </c>
      <c r="K74" s="29">
        <f t="shared" si="20"/>
        <v>2.3E-3</v>
      </c>
      <c r="L74" s="57">
        <f t="shared" si="6"/>
        <v>2.58E-2</v>
      </c>
      <c r="M74" s="21">
        <f t="shared" si="21"/>
        <v>675851.01821999997</v>
      </c>
      <c r="O74" s="3">
        <f t="shared" si="14"/>
        <v>0</v>
      </c>
      <c r="Q74" s="1">
        <f>73-15</f>
        <v>58</v>
      </c>
      <c r="R74" s="1">
        <v>73</v>
      </c>
      <c r="S74" s="3">
        <f t="shared" si="15"/>
        <v>131</v>
      </c>
      <c r="T74" s="77">
        <v>45891</v>
      </c>
      <c r="U74" s="75">
        <v>46022</v>
      </c>
      <c r="V74" s="3">
        <f t="shared" si="16"/>
        <v>131</v>
      </c>
      <c r="W74" s="3">
        <f t="shared" si="7"/>
        <v>161</v>
      </c>
      <c r="X74" s="4">
        <f t="shared" si="8"/>
        <v>0</v>
      </c>
      <c r="Y74" s="4">
        <f t="shared" si="9"/>
        <v>0</v>
      </c>
      <c r="Z74" s="4">
        <f t="shared" si="10"/>
        <v>-139329.43502465755</v>
      </c>
      <c r="AA74" s="4">
        <f t="shared" si="11"/>
        <v>-243492.36588</v>
      </c>
      <c r="AB74" s="21">
        <f t="shared" si="17"/>
        <v>-382821.80090465758</v>
      </c>
      <c r="AC74" s="21">
        <f t="shared" si="3"/>
        <v>-293029.21731534239</v>
      </c>
      <c r="AD74" s="21">
        <f t="shared" si="12"/>
        <v>-675851.01821999997</v>
      </c>
      <c r="AE74" s="3">
        <f t="shared" si="13"/>
        <v>0</v>
      </c>
    </row>
    <row r="75" spans="1:141" ht="15.95" customHeight="1" x14ac:dyDescent="0.25">
      <c r="B75" s="14" t="s">
        <v>69</v>
      </c>
      <c r="C75" s="10">
        <v>15</v>
      </c>
      <c r="D75" s="11" t="s">
        <v>116</v>
      </c>
      <c r="E75" s="22">
        <v>84</v>
      </c>
      <c r="F75" s="22">
        <v>7</v>
      </c>
      <c r="G75" s="15">
        <f t="shared" si="4"/>
        <v>87.5</v>
      </c>
      <c r="H75" s="22">
        <v>11.5</v>
      </c>
      <c r="I75" s="15">
        <f t="shared" si="5"/>
        <v>99</v>
      </c>
      <c r="J75" s="29">
        <f t="shared" si="19"/>
        <v>1.7399999999999999E-2</v>
      </c>
      <c r="K75" s="29">
        <f t="shared" si="20"/>
        <v>2.3E-3</v>
      </c>
      <c r="L75" s="57">
        <f t="shared" si="6"/>
        <v>1.9699999999999999E-2</v>
      </c>
      <c r="M75" s="21">
        <f t="shared" si="21"/>
        <v>516056.78522999992</v>
      </c>
      <c r="O75" s="3">
        <f t="shared" si="14"/>
        <v>3</v>
      </c>
      <c r="P75" s="1">
        <v>73</v>
      </c>
      <c r="Q75" s="1">
        <v>73</v>
      </c>
      <c r="R75" s="1">
        <v>73</v>
      </c>
      <c r="S75" s="3">
        <f t="shared" si="15"/>
        <v>222</v>
      </c>
      <c r="T75" s="77">
        <v>45800</v>
      </c>
      <c r="U75" s="75">
        <v>46022</v>
      </c>
      <c r="V75" s="3">
        <f t="shared" si="16"/>
        <v>222</v>
      </c>
      <c r="W75" s="3">
        <f t="shared" si="7"/>
        <v>70</v>
      </c>
      <c r="X75" s="4">
        <f t="shared" si="8"/>
        <v>-2118.8856129781889</v>
      </c>
      <c r="Y75" s="4">
        <f t="shared" si="9"/>
        <v>-144673.63349419742</v>
      </c>
      <c r="Z75" s="4">
        <f t="shared" si="10"/>
        <v>-133901.13639999999</v>
      </c>
      <c r="AA75" s="4">
        <f t="shared" si="11"/>
        <v>-185922.46541999999</v>
      </c>
      <c r="AB75" s="21">
        <f t="shared" si="17"/>
        <v>-466616.12092717562</v>
      </c>
      <c r="AC75" s="21">
        <f t="shared" si="3"/>
        <v>-49440.664302824298</v>
      </c>
      <c r="AD75" s="21">
        <f t="shared" si="12"/>
        <v>-516056.78522999992</v>
      </c>
      <c r="AE75" s="3">
        <f t="shared" si="13"/>
        <v>0</v>
      </c>
    </row>
    <row r="76" spans="1:141" ht="15.95" customHeight="1" x14ac:dyDescent="0.25">
      <c r="B76" s="14" t="s">
        <v>70</v>
      </c>
      <c r="C76" s="10"/>
      <c r="D76" s="11" t="s">
        <v>117</v>
      </c>
      <c r="E76" s="22">
        <v>45</v>
      </c>
      <c r="F76" s="22">
        <v>5</v>
      </c>
      <c r="G76" s="15">
        <f t="shared" si="4"/>
        <v>47.5</v>
      </c>
      <c r="H76" s="22"/>
      <c r="I76" s="15">
        <f t="shared" si="5"/>
        <v>47.5</v>
      </c>
      <c r="J76" s="29">
        <f t="shared" si="19"/>
        <v>9.4000000000000004E-3</v>
      </c>
      <c r="K76" s="29">
        <f t="shared" si="20"/>
        <v>0</v>
      </c>
      <c r="L76" s="57">
        <f t="shared" si="6"/>
        <v>9.4000000000000004E-3</v>
      </c>
      <c r="M76" s="21">
        <f t="shared" si="21"/>
        <v>246240.29345999999</v>
      </c>
      <c r="O76" s="3">
        <f t="shared" si="14"/>
        <v>19</v>
      </c>
      <c r="P76" s="1">
        <v>73</v>
      </c>
      <c r="Q76" s="1">
        <v>73</v>
      </c>
      <c r="R76" s="1">
        <v>73</v>
      </c>
      <c r="S76" s="3">
        <f t="shared" si="15"/>
        <v>238</v>
      </c>
      <c r="T76" s="77">
        <v>45784</v>
      </c>
      <c r="U76" s="75">
        <v>46022</v>
      </c>
      <c r="V76" s="3">
        <f t="shared" si="16"/>
        <v>238</v>
      </c>
      <c r="W76" s="3">
        <f t="shared" si="7"/>
        <v>54</v>
      </c>
      <c r="X76" s="4">
        <f t="shared" si="8"/>
        <v>-6403.2651519103983</v>
      </c>
      <c r="Y76" s="4">
        <f t="shared" si="9"/>
        <v>-69032.089078449528</v>
      </c>
      <c r="Z76" s="4">
        <f t="shared" si="10"/>
        <v>-63891.912800000006</v>
      </c>
      <c r="AA76" s="4">
        <f t="shared" si="11"/>
        <v>-88714.272840000005</v>
      </c>
      <c r="AB76" s="21">
        <f t="shared" si="17"/>
        <v>-228041.53987035993</v>
      </c>
      <c r="AC76" s="21">
        <f t="shared" si="3"/>
        <v>-18198.753589640051</v>
      </c>
      <c r="AD76" s="21">
        <f t="shared" si="12"/>
        <v>-246240.29345999999</v>
      </c>
      <c r="AE76" s="3">
        <f t="shared" si="13"/>
        <v>0</v>
      </c>
    </row>
    <row r="77" spans="1:141" ht="15.95" customHeight="1" x14ac:dyDescent="0.25">
      <c r="B77" s="14" t="s">
        <v>71</v>
      </c>
      <c r="C77" s="10">
        <v>40</v>
      </c>
      <c r="D77" s="11" t="s">
        <v>118</v>
      </c>
      <c r="E77" s="22">
        <v>42</v>
      </c>
      <c r="F77" s="22">
        <v>4</v>
      </c>
      <c r="G77" s="15">
        <f t="shared" si="4"/>
        <v>44</v>
      </c>
      <c r="H77" s="22">
        <v>11.5</v>
      </c>
      <c r="I77" s="15">
        <f t="shared" si="5"/>
        <v>55.5</v>
      </c>
      <c r="J77" s="29">
        <f t="shared" si="19"/>
        <v>8.6999999999999994E-3</v>
      </c>
      <c r="K77" s="29">
        <f t="shared" si="20"/>
        <v>2.3E-3</v>
      </c>
      <c r="L77" s="57">
        <f t="shared" si="6"/>
        <v>1.0999999999999999E-2</v>
      </c>
      <c r="M77" s="21">
        <f t="shared" si="21"/>
        <v>288153.53489999997</v>
      </c>
      <c r="O77" s="3">
        <f t="shared" si="14"/>
        <v>19</v>
      </c>
      <c r="P77" s="1">
        <v>73</v>
      </c>
      <c r="Q77" s="1">
        <v>73</v>
      </c>
      <c r="R77" s="1">
        <v>73</v>
      </c>
      <c r="S77" s="3">
        <f t="shared" si="15"/>
        <v>238</v>
      </c>
      <c r="T77" s="77">
        <v>45784</v>
      </c>
      <c r="U77" s="75">
        <v>46022</v>
      </c>
      <c r="V77" s="3">
        <f t="shared" si="16"/>
        <v>238</v>
      </c>
      <c r="W77" s="3">
        <f t="shared" si="7"/>
        <v>54</v>
      </c>
      <c r="X77" s="4">
        <f t="shared" si="8"/>
        <v>-7493.1826245759976</v>
      </c>
      <c r="Y77" s="4">
        <f t="shared" si="9"/>
        <v>-80782.231900313272</v>
      </c>
      <c r="Z77" s="4">
        <f t="shared" si="10"/>
        <v>-74767.131999999998</v>
      </c>
      <c r="AA77" s="4">
        <f t="shared" si="11"/>
        <v>-103814.57459999999</v>
      </c>
      <c r="AB77" s="21">
        <f t="shared" si="17"/>
        <v>-266857.12112488924</v>
      </c>
      <c r="AC77" s="21">
        <f t="shared" si="3"/>
        <v>-21296.413775110734</v>
      </c>
      <c r="AD77" s="21">
        <f t="shared" si="12"/>
        <v>-288153.53489999997</v>
      </c>
      <c r="AE77" s="3">
        <f t="shared" si="13"/>
        <v>0</v>
      </c>
    </row>
    <row r="78" spans="1:141" ht="15.95" customHeight="1" x14ac:dyDescent="0.25">
      <c r="B78" s="14" t="s">
        <v>72</v>
      </c>
      <c r="C78" s="10"/>
      <c r="D78" s="11" t="s">
        <v>119</v>
      </c>
      <c r="E78" s="22">
        <v>45</v>
      </c>
      <c r="F78" s="22">
        <v>6</v>
      </c>
      <c r="G78" s="15">
        <f t="shared" si="4"/>
        <v>48</v>
      </c>
      <c r="H78" s="22"/>
      <c r="I78" s="15">
        <f t="shared" si="5"/>
        <v>48</v>
      </c>
      <c r="J78" s="29">
        <f t="shared" si="19"/>
        <v>9.4999999999999998E-3</v>
      </c>
      <c r="K78" s="29">
        <f t="shared" si="20"/>
        <v>0</v>
      </c>
      <c r="L78" s="57">
        <f t="shared" si="6"/>
        <v>9.4999999999999998E-3</v>
      </c>
      <c r="M78" s="21">
        <f t="shared" si="21"/>
        <v>248859.87104999999</v>
      </c>
      <c r="O78" s="3">
        <f t="shared" si="14"/>
        <v>17</v>
      </c>
      <c r="P78" s="1">
        <v>73</v>
      </c>
      <c r="Q78" s="1">
        <v>73</v>
      </c>
      <c r="R78" s="1">
        <v>73</v>
      </c>
      <c r="S78" s="3">
        <f t="shared" si="15"/>
        <v>236</v>
      </c>
      <c r="T78" s="77">
        <v>45786</v>
      </c>
      <c r="U78" s="75">
        <v>46022</v>
      </c>
      <c r="V78" s="3">
        <f t="shared" si="16"/>
        <v>236</v>
      </c>
      <c r="W78" s="3">
        <f t="shared" si="7"/>
        <v>56</v>
      </c>
      <c r="X78" s="4">
        <f t="shared" si="8"/>
        <v>-5790.1865735359979</v>
      </c>
      <c r="Y78" s="4">
        <f t="shared" si="9"/>
        <v>-69766.473004816013</v>
      </c>
      <c r="Z78" s="4">
        <f t="shared" si="10"/>
        <v>-64571.614000000001</v>
      </c>
      <c r="AA78" s="4">
        <f t="shared" si="11"/>
        <v>-89658.041699999987</v>
      </c>
      <c r="AB78" s="21">
        <f t="shared" si="17"/>
        <v>-229786.31527835201</v>
      </c>
      <c r="AC78" s="21">
        <f t="shared" ref="AC78:AC87" si="22">-+M78-AB78</f>
        <v>-19073.555771647982</v>
      </c>
      <c r="AD78" s="21">
        <f t="shared" si="12"/>
        <v>-248859.87104999999</v>
      </c>
      <c r="AE78" s="3">
        <f t="shared" si="13"/>
        <v>0</v>
      </c>
    </row>
    <row r="79" spans="1:141" ht="15.95" customHeight="1" x14ac:dyDescent="0.25">
      <c r="B79" s="14" t="s">
        <v>120</v>
      </c>
      <c r="C79" s="10">
        <v>9</v>
      </c>
      <c r="D79" s="12" t="s">
        <v>150</v>
      </c>
      <c r="E79" s="22">
        <v>114</v>
      </c>
      <c r="F79" s="22">
        <v>9</v>
      </c>
      <c r="G79" s="15">
        <f t="shared" si="4"/>
        <v>118.5</v>
      </c>
      <c r="H79" s="22">
        <v>11.5</v>
      </c>
      <c r="I79" s="15">
        <f t="shared" si="5"/>
        <v>130</v>
      </c>
      <c r="J79" s="29">
        <f t="shared" ref="J79:J84" si="23">ROUND(+G79/$I$91,4)</f>
        <v>2.35E-2</v>
      </c>
      <c r="K79" s="29">
        <f t="shared" ref="K79:K84" si="24">ROUND(+H79/$I$91,4)</f>
        <v>2.3E-3</v>
      </c>
      <c r="L79" s="57">
        <f t="shared" si="6"/>
        <v>2.58E-2</v>
      </c>
      <c r="M79" s="21">
        <f t="shared" ref="M79:M91" si="25">-$M$9*L79</f>
        <v>675851.01821999997</v>
      </c>
      <c r="O79" s="3">
        <f t="shared" si="14"/>
        <v>0</v>
      </c>
      <c r="P79" s="1">
        <f>73-32</f>
        <v>41</v>
      </c>
      <c r="Q79" s="1">
        <v>73</v>
      </c>
      <c r="R79" s="1">
        <v>73</v>
      </c>
      <c r="S79" s="3">
        <f t="shared" si="15"/>
        <v>187</v>
      </c>
      <c r="T79" s="77">
        <v>45835</v>
      </c>
      <c r="U79" s="75">
        <v>46022</v>
      </c>
      <c r="V79" s="3">
        <f t="shared" si="16"/>
        <v>187</v>
      </c>
      <c r="W79" s="3">
        <f t="shared" si="7"/>
        <v>105</v>
      </c>
      <c r="X79" s="4">
        <f t="shared" si="8"/>
        <v>0</v>
      </c>
      <c r="Y79" s="4">
        <f t="shared" si="9"/>
        <v>-106415.24894663933</v>
      </c>
      <c r="Z79" s="4">
        <f t="shared" si="10"/>
        <v>-175362.90960000001</v>
      </c>
      <c r="AA79" s="4">
        <f t="shared" si="11"/>
        <v>-243492.36588</v>
      </c>
      <c r="AB79" s="21">
        <f t="shared" si="17"/>
        <v>-525270.52442663931</v>
      </c>
      <c r="AC79" s="21">
        <f t="shared" si="22"/>
        <v>-150580.49379336066</v>
      </c>
      <c r="AD79" s="21">
        <f t="shared" si="12"/>
        <v>-675851.01821999997</v>
      </c>
      <c r="AE79" s="3">
        <f t="shared" si="13"/>
        <v>0</v>
      </c>
    </row>
    <row r="80" spans="1:141" ht="15.95" customHeight="1" x14ac:dyDescent="0.25">
      <c r="B80" s="14" t="s">
        <v>73</v>
      </c>
      <c r="C80" s="10">
        <v>35</v>
      </c>
      <c r="D80" s="11" t="s">
        <v>121</v>
      </c>
      <c r="E80" s="22">
        <v>84</v>
      </c>
      <c r="F80" s="22">
        <v>7</v>
      </c>
      <c r="G80" s="15">
        <f t="shared" ref="G80:G88" si="26">+E80+F80/2</f>
        <v>87.5</v>
      </c>
      <c r="H80" s="22">
        <v>11.5</v>
      </c>
      <c r="I80" s="15">
        <f t="shared" ref="I80:I90" si="27">+G80+H80</f>
        <v>99</v>
      </c>
      <c r="J80" s="29">
        <f t="shared" si="23"/>
        <v>1.7399999999999999E-2</v>
      </c>
      <c r="K80" s="29">
        <f t="shared" si="24"/>
        <v>2.3E-3</v>
      </c>
      <c r="L80" s="57">
        <f t="shared" ref="L80:L90" si="28">+J80+K80</f>
        <v>1.9699999999999999E-2</v>
      </c>
      <c r="M80" s="21">
        <f t="shared" si="25"/>
        <v>516056.78522999992</v>
      </c>
      <c r="O80" s="3">
        <f t="shared" si="14"/>
        <v>19</v>
      </c>
      <c r="P80" s="1">
        <v>73</v>
      </c>
      <c r="Q80" s="1">
        <v>73</v>
      </c>
      <c r="R80" s="1">
        <v>73</v>
      </c>
      <c r="S80" s="3">
        <f t="shared" si="15"/>
        <v>238</v>
      </c>
      <c r="T80" s="77">
        <v>45784</v>
      </c>
      <c r="U80" s="75">
        <v>46022</v>
      </c>
      <c r="V80" s="3">
        <f t="shared" si="16"/>
        <v>238</v>
      </c>
      <c r="W80" s="3">
        <f t="shared" ref="W80:W88" si="29">292-V80</f>
        <v>54</v>
      </c>
      <c r="X80" s="4">
        <f t="shared" ref="X80:X88" si="30">+$O$11/73*O80*L80</f>
        <v>-13419.608882195196</v>
      </c>
      <c r="Y80" s="4">
        <f t="shared" ref="Y80:Y88" si="31">+$P$11/73*P80*L80</f>
        <v>-144673.63349419742</v>
      </c>
      <c r="Z80" s="4">
        <f t="shared" ref="Z80:Z88" si="32">+$Q$11/73*Q80*L80</f>
        <v>-133901.13639999999</v>
      </c>
      <c r="AA80" s="4">
        <f t="shared" ref="AA80:AA88" si="33">+$R$11/73*R80*L80</f>
        <v>-185922.46541999999</v>
      </c>
      <c r="AB80" s="21">
        <f t="shared" si="17"/>
        <v>-477916.84419639257</v>
      </c>
      <c r="AC80" s="21">
        <f t="shared" si="22"/>
        <v>-38139.941033607349</v>
      </c>
      <c r="AD80" s="21">
        <f t="shared" ref="AD80:AD88" si="34">+AB80+AC80</f>
        <v>-516056.78522999992</v>
      </c>
      <c r="AE80" s="3">
        <f t="shared" ref="AE80:AE88" si="35">+AD80+M80</f>
        <v>0</v>
      </c>
    </row>
    <row r="81" spans="1:141" ht="15.95" customHeight="1" x14ac:dyDescent="0.25">
      <c r="B81" s="14" t="s">
        <v>74</v>
      </c>
      <c r="C81" s="10" t="s">
        <v>143</v>
      </c>
      <c r="D81" s="11" t="s">
        <v>122</v>
      </c>
      <c r="E81" s="22">
        <v>45</v>
      </c>
      <c r="F81" s="22">
        <v>5</v>
      </c>
      <c r="G81" s="15">
        <f t="shared" si="26"/>
        <v>47.5</v>
      </c>
      <c r="H81" s="22">
        <f>11.5*2</f>
        <v>23</v>
      </c>
      <c r="I81" s="15">
        <f t="shared" si="27"/>
        <v>70.5</v>
      </c>
      <c r="J81" s="29">
        <f t="shared" si="23"/>
        <v>9.4000000000000004E-3</v>
      </c>
      <c r="K81" s="29">
        <f t="shared" si="24"/>
        <v>4.5999999999999999E-3</v>
      </c>
      <c r="L81" s="57">
        <f t="shared" si="28"/>
        <v>1.4E-2</v>
      </c>
      <c r="M81" s="21">
        <f t="shared" si="25"/>
        <v>366740.86259999999</v>
      </c>
      <c r="O81" s="3">
        <f t="shared" ref="O81:O88" si="36">+V81-P81-Q81-R81</f>
        <v>17</v>
      </c>
      <c r="P81" s="1">
        <v>73</v>
      </c>
      <c r="Q81" s="1">
        <v>73</v>
      </c>
      <c r="R81" s="1">
        <v>73</v>
      </c>
      <c r="S81" s="3">
        <f t="shared" ref="S81:S88" si="37">SUM(O81:R81)</f>
        <v>236</v>
      </c>
      <c r="T81" s="77">
        <v>45786</v>
      </c>
      <c r="U81" s="75">
        <v>46022</v>
      </c>
      <c r="V81" s="3">
        <f t="shared" ref="V81:V88" si="38">+U81-T81</f>
        <v>236</v>
      </c>
      <c r="W81" s="3">
        <f t="shared" si="29"/>
        <v>56</v>
      </c>
      <c r="X81" s="4">
        <f t="shared" si="30"/>
        <v>-8532.9065294214706</v>
      </c>
      <c r="Y81" s="4">
        <f t="shared" si="31"/>
        <v>-102813.74969130781</v>
      </c>
      <c r="Z81" s="4">
        <f t="shared" si="32"/>
        <v>-95158.168000000005</v>
      </c>
      <c r="AA81" s="4">
        <f t="shared" si="33"/>
        <v>-132127.6404</v>
      </c>
      <c r="AB81" s="21">
        <f t="shared" ref="AB81:AB88" si="39">SUM(X81:AA81)</f>
        <v>-338632.46462072933</v>
      </c>
      <c r="AC81" s="21">
        <f t="shared" si="22"/>
        <v>-28108.397979270667</v>
      </c>
      <c r="AD81" s="21">
        <f t="shared" si="34"/>
        <v>-366740.86259999999</v>
      </c>
      <c r="AE81" s="3">
        <f t="shared" si="35"/>
        <v>0</v>
      </c>
    </row>
    <row r="82" spans="1:141" s="40" customFormat="1" ht="15.95" customHeight="1" x14ac:dyDescent="0.25">
      <c r="A82" s="1"/>
      <c r="B82" s="14" t="s">
        <v>75</v>
      </c>
      <c r="C82" s="14">
        <v>42</v>
      </c>
      <c r="D82" s="11" t="s">
        <v>123</v>
      </c>
      <c r="E82" s="22">
        <v>42</v>
      </c>
      <c r="F82" s="22">
        <v>4</v>
      </c>
      <c r="G82" s="15">
        <f t="shared" si="26"/>
        <v>44</v>
      </c>
      <c r="H82" s="22">
        <v>11.5</v>
      </c>
      <c r="I82" s="15">
        <f t="shared" si="27"/>
        <v>55.5</v>
      </c>
      <c r="J82" s="29">
        <f t="shared" si="23"/>
        <v>8.6999999999999994E-3</v>
      </c>
      <c r="K82" s="29">
        <f t="shared" si="24"/>
        <v>2.3E-3</v>
      </c>
      <c r="L82" s="57">
        <f t="shared" si="28"/>
        <v>1.0999999999999999E-2</v>
      </c>
      <c r="M82" s="21">
        <f t="shared" si="25"/>
        <v>288153.53489999997</v>
      </c>
      <c r="N82" s="1"/>
      <c r="O82" s="3">
        <f t="shared" si="36"/>
        <v>26</v>
      </c>
      <c r="P82" s="1">
        <v>73</v>
      </c>
      <c r="Q82" s="1">
        <v>73</v>
      </c>
      <c r="R82" s="1">
        <v>73</v>
      </c>
      <c r="S82" s="3">
        <f t="shared" si="37"/>
        <v>245</v>
      </c>
      <c r="T82" s="77">
        <v>45777</v>
      </c>
      <c r="U82" s="75">
        <v>46022</v>
      </c>
      <c r="V82" s="3">
        <f t="shared" si="38"/>
        <v>245</v>
      </c>
      <c r="W82" s="3">
        <f t="shared" si="29"/>
        <v>47</v>
      </c>
      <c r="X82" s="4">
        <f t="shared" si="30"/>
        <v>-10253.828854682943</v>
      </c>
      <c r="Y82" s="4">
        <f t="shared" si="31"/>
        <v>-80782.231900313272</v>
      </c>
      <c r="Z82" s="4">
        <f t="shared" si="32"/>
        <v>-74767.131999999998</v>
      </c>
      <c r="AA82" s="4">
        <f t="shared" si="33"/>
        <v>-103814.57459999999</v>
      </c>
      <c r="AB82" s="21">
        <f t="shared" si="39"/>
        <v>-269617.76735499618</v>
      </c>
      <c r="AC82" s="21">
        <f t="shared" si="22"/>
        <v>-18535.767545003793</v>
      </c>
      <c r="AD82" s="21">
        <f t="shared" si="34"/>
        <v>-288153.53489999997</v>
      </c>
      <c r="AE82" s="3">
        <f t="shared" si="3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ht="15.95" customHeight="1" x14ac:dyDescent="0.25">
      <c r="B83" s="14" t="s">
        <v>76</v>
      </c>
      <c r="C83" s="10">
        <v>27</v>
      </c>
      <c r="D83" s="11" t="s">
        <v>124</v>
      </c>
      <c r="E83" s="22">
        <v>45</v>
      </c>
      <c r="F83" s="22">
        <v>6</v>
      </c>
      <c r="G83" s="15">
        <f t="shared" si="26"/>
        <v>48</v>
      </c>
      <c r="H83" s="22">
        <v>11.5</v>
      </c>
      <c r="I83" s="15">
        <f t="shared" si="27"/>
        <v>59.5</v>
      </c>
      <c r="J83" s="29">
        <f t="shared" si="23"/>
        <v>9.4999999999999998E-3</v>
      </c>
      <c r="K83" s="29">
        <f t="shared" si="24"/>
        <v>2.3E-3</v>
      </c>
      <c r="L83" s="57">
        <f t="shared" si="28"/>
        <v>1.18E-2</v>
      </c>
      <c r="M83" s="21">
        <f t="shared" si="25"/>
        <v>309110.15561999998</v>
      </c>
      <c r="O83" s="3">
        <f t="shared" si="36"/>
        <v>3</v>
      </c>
      <c r="P83" s="1">
        <v>73</v>
      </c>
      <c r="Q83" s="1">
        <v>73</v>
      </c>
      <c r="R83" s="1">
        <v>73</v>
      </c>
      <c r="S83" s="3">
        <f t="shared" si="37"/>
        <v>222</v>
      </c>
      <c r="T83" s="77">
        <v>45800</v>
      </c>
      <c r="U83" s="75">
        <v>46022</v>
      </c>
      <c r="V83" s="3">
        <f t="shared" si="38"/>
        <v>222</v>
      </c>
      <c r="W83" s="3">
        <f t="shared" si="29"/>
        <v>70</v>
      </c>
      <c r="X83" s="4">
        <f t="shared" si="30"/>
        <v>-1269.1802148803365</v>
      </c>
      <c r="Y83" s="4">
        <f t="shared" si="31"/>
        <v>-86657.303311245152</v>
      </c>
      <c r="Z83" s="4">
        <f t="shared" si="32"/>
        <v>-80204.741599999994</v>
      </c>
      <c r="AA83" s="4">
        <f t="shared" si="33"/>
        <v>-111364.72547999999</v>
      </c>
      <c r="AB83" s="21">
        <f t="shared" si="39"/>
        <v>-279495.95060612552</v>
      </c>
      <c r="AC83" s="21">
        <f t="shared" si="22"/>
        <v>-29614.205013874453</v>
      </c>
      <c r="AD83" s="21">
        <f t="shared" si="34"/>
        <v>-309110.15561999998</v>
      </c>
      <c r="AE83" s="3">
        <f t="shared" si="35"/>
        <v>0</v>
      </c>
    </row>
    <row r="84" spans="1:141" ht="15.95" customHeight="1" x14ac:dyDescent="0.25">
      <c r="B84" s="14" t="s">
        <v>125</v>
      </c>
      <c r="C84" s="10"/>
      <c r="D84" s="11" t="s">
        <v>126</v>
      </c>
      <c r="E84" s="22">
        <v>54.5</v>
      </c>
      <c r="F84" s="22">
        <v>0</v>
      </c>
      <c r="G84" s="15">
        <f t="shared" si="26"/>
        <v>54.5</v>
      </c>
      <c r="H84" s="22"/>
      <c r="I84" s="15">
        <f t="shared" si="27"/>
        <v>54.5</v>
      </c>
      <c r="J84" s="29">
        <f t="shared" si="23"/>
        <v>1.0800000000000001E-2</v>
      </c>
      <c r="K84" s="29">
        <f t="shared" si="24"/>
        <v>0</v>
      </c>
      <c r="L84" s="57">
        <f t="shared" si="28"/>
        <v>1.0800000000000001E-2</v>
      </c>
      <c r="M84" s="21">
        <f t="shared" si="25"/>
        <v>282914.37972000003</v>
      </c>
      <c r="O84" s="3">
        <f t="shared" si="36"/>
        <v>0</v>
      </c>
      <c r="P84" s="1">
        <f>73-53</f>
        <v>20</v>
      </c>
      <c r="Q84" s="1">
        <v>73</v>
      </c>
      <c r="R84" s="1">
        <v>73</v>
      </c>
      <c r="S84" s="3">
        <f t="shared" si="37"/>
        <v>166</v>
      </c>
      <c r="T84" s="79">
        <v>45856</v>
      </c>
      <c r="U84" s="75">
        <v>46022</v>
      </c>
      <c r="V84" s="3">
        <f t="shared" si="38"/>
        <v>166</v>
      </c>
      <c r="W84" s="3">
        <f t="shared" si="29"/>
        <v>126</v>
      </c>
      <c r="X84" s="4">
        <f t="shared" si="30"/>
        <v>0</v>
      </c>
      <c r="Y84" s="4">
        <f t="shared" si="31"/>
        <v>-21729.716177419265</v>
      </c>
      <c r="Z84" s="4">
        <f t="shared" si="32"/>
        <v>-73407.729600000006</v>
      </c>
      <c r="AA84" s="4">
        <f t="shared" si="33"/>
        <v>-101927.03688</v>
      </c>
      <c r="AB84" s="21">
        <f t="shared" si="39"/>
        <v>-197064.48265741928</v>
      </c>
      <c r="AC84" s="21">
        <f t="shared" si="22"/>
        <v>-85849.897062580741</v>
      </c>
      <c r="AD84" s="21">
        <f t="shared" si="34"/>
        <v>-282914.37972000003</v>
      </c>
      <c r="AE84" s="3">
        <f t="shared" si="35"/>
        <v>0</v>
      </c>
    </row>
    <row r="85" spans="1:141" ht="15.95" customHeight="1" x14ac:dyDescent="0.25">
      <c r="B85" s="14" t="s">
        <v>132</v>
      </c>
      <c r="C85" s="10"/>
      <c r="D85" s="12" t="s">
        <v>159</v>
      </c>
      <c r="E85" s="22">
        <v>62</v>
      </c>
      <c r="F85" s="22">
        <v>0</v>
      </c>
      <c r="G85" s="22">
        <f t="shared" si="26"/>
        <v>62</v>
      </c>
      <c r="H85" s="22"/>
      <c r="I85" s="22">
        <f t="shared" si="27"/>
        <v>62</v>
      </c>
      <c r="J85" s="44">
        <f>ROUND(+G85/$I$91,4)+0.0005</f>
        <v>1.2800000000000001E-2</v>
      </c>
      <c r="K85" s="44">
        <f>ROUND(+H85/$I$91,4)</f>
        <v>0</v>
      </c>
      <c r="L85" s="58">
        <f t="shared" si="28"/>
        <v>1.2800000000000001E-2</v>
      </c>
      <c r="M85" s="21">
        <f t="shared" si="25"/>
        <v>335305.93151999998</v>
      </c>
      <c r="O85" s="3">
        <f t="shared" si="36"/>
        <v>0</v>
      </c>
      <c r="P85" s="1">
        <v>0</v>
      </c>
      <c r="Q85" s="1">
        <v>0</v>
      </c>
      <c r="R85" s="1">
        <v>21</v>
      </c>
      <c r="S85" s="3">
        <f t="shared" si="37"/>
        <v>21</v>
      </c>
      <c r="T85" s="79">
        <v>46001</v>
      </c>
      <c r="U85" s="75">
        <v>46022</v>
      </c>
      <c r="V85" s="3">
        <f t="shared" si="38"/>
        <v>21</v>
      </c>
      <c r="W85" s="3">
        <f t="shared" si="29"/>
        <v>271</v>
      </c>
      <c r="X85" s="4">
        <f t="shared" si="30"/>
        <v>0</v>
      </c>
      <c r="Y85" s="4">
        <f t="shared" si="31"/>
        <v>0</v>
      </c>
      <c r="Z85" s="4">
        <f t="shared" si="32"/>
        <v>0</v>
      </c>
      <c r="AA85" s="4">
        <f t="shared" si="33"/>
        <v>-34751.379392876712</v>
      </c>
      <c r="AB85" s="21">
        <f t="shared" si="39"/>
        <v>-34751.379392876712</v>
      </c>
      <c r="AC85" s="21">
        <f t="shared" si="22"/>
        <v>-300554.55212712329</v>
      </c>
      <c r="AD85" s="21">
        <f t="shared" si="34"/>
        <v>-335305.93151999998</v>
      </c>
      <c r="AE85" s="3">
        <f t="shared" si="35"/>
        <v>0</v>
      </c>
    </row>
    <row r="86" spans="1:141" ht="15.95" customHeight="1" x14ac:dyDescent="0.25">
      <c r="B86" s="14" t="s">
        <v>127</v>
      </c>
      <c r="C86" s="10"/>
      <c r="D86" s="34" t="s">
        <v>140</v>
      </c>
      <c r="E86" s="22">
        <v>61</v>
      </c>
      <c r="F86" s="22">
        <v>0</v>
      </c>
      <c r="G86" s="22">
        <f t="shared" si="26"/>
        <v>61</v>
      </c>
      <c r="H86" s="22"/>
      <c r="I86" s="22">
        <f t="shared" si="27"/>
        <v>61</v>
      </c>
      <c r="J86" s="44">
        <f>ROUND(+G86/$I$91,4)</f>
        <v>1.21E-2</v>
      </c>
      <c r="K86" s="44">
        <f>ROUND(+H86/$I$91,4)</f>
        <v>0</v>
      </c>
      <c r="L86" s="58">
        <f t="shared" si="28"/>
        <v>1.21E-2</v>
      </c>
      <c r="M86" s="21">
        <f t="shared" si="25"/>
        <v>316968.88838999998</v>
      </c>
      <c r="O86" s="3">
        <f t="shared" si="36"/>
        <v>0</v>
      </c>
      <c r="P86" s="1">
        <f>73-53</f>
        <v>20</v>
      </c>
      <c r="Q86" s="1">
        <v>73</v>
      </c>
      <c r="R86" s="1">
        <v>73</v>
      </c>
      <c r="S86" s="3">
        <f t="shared" si="37"/>
        <v>166</v>
      </c>
      <c r="T86" s="79">
        <v>45856</v>
      </c>
      <c r="U86" s="75">
        <v>46022</v>
      </c>
      <c r="V86" s="3">
        <f t="shared" si="38"/>
        <v>166</v>
      </c>
      <c r="W86" s="3">
        <f t="shared" si="29"/>
        <v>126</v>
      </c>
      <c r="X86" s="4">
        <f t="shared" si="30"/>
        <v>0</v>
      </c>
      <c r="Y86" s="4">
        <f t="shared" si="31"/>
        <v>-24345.330161738246</v>
      </c>
      <c r="Z86" s="4">
        <f t="shared" si="32"/>
        <v>-82243.845199999996</v>
      </c>
      <c r="AA86" s="4">
        <f t="shared" si="33"/>
        <v>-114196.03206</v>
      </c>
      <c r="AB86" s="21">
        <f t="shared" si="39"/>
        <v>-220785.20742173825</v>
      </c>
      <c r="AC86" s="21">
        <f t="shared" si="22"/>
        <v>-96183.680968261731</v>
      </c>
      <c r="AD86" s="21">
        <f t="shared" si="34"/>
        <v>-316968.88838999998</v>
      </c>
      <c r="AE86" s="3">
        <f t="shared" si="35"/>
        <v>0</v>
      </c>
    </row>
    <row r="87" spans="1:141" ht="15.95" customHeight="1" x14ac:dyDescent="0.25">
      <c r="B87" s="14" t="s">
        <v>128</v>
      </c>
      <c r="C87" s="10"/>
      <c r="D87" s="11" t="s">
        <v>129</v>
      </c>
      <c r="E87" s="26">
        <v>75</v>
      </c>
      <c r="F87" s="22">
        <v>0</v>
      </c>
      <c r="G87" s="22">
        <f t="shared" si="26"/>
        <v>75</v>
      </c>
      <c r="H87" s="22"/>
      <c r="I87" s="22">
        <f t="shared" si="27"/>
        <v>75</v>
      </c>
      <c r="J87" s="44">
        <f>ROUND(+G87/$I$91,4)</f>
        <v>1.49E-2</v>
      </c>
      <c r="K87" s="44">
        <f>ROUND(+H87/$I$91,4)</f>
        <v>0</v>
      </c>
      <c r="L87" s="58">
        <f t="shared" si="28"/>
        <v>1.49E-2</v>
      </c>
      <c r="M87" s="21">
        <f t="shared" si="25"/>
        <v>390317.06091</v>
      </c>
      <c r="O87" s="3">
        <f t="shared" si="36"/>
        <v>0</v>
      </c>
      <c r="P87" s="1">
        <f>73-53</f>
        <v>20</v>
      </c>
      <c r="Q87" s="1">
        <v>73</v>
      </c>
      <c r="R87" s="1">
        <v>73</v>
      </c>
      <c r="S87" s="3">
        <f t="shared" si="37"/>
        <v>166</v>
      </c>
      <c r="T87" s="79">
        <v>45856</v>
      </c>
      <c r="U87" s="75">
        <v>46022</v>
      </c>
      <c r="V87" s="3">
        <f t="shared" si="38"/>
        <v>166</v>
      </c>
      <c r="W87" s="3">
        <f t="shared" si="29"/>
        <v>126</v>
      </c>
      <c r="X87" s="4">
        <f t="shared" si="30"/>
        <v>0</v>
      </c>
      <c r="Y87" s="4">
        <f t="shared" si="31"/>
        <v>-29978.960281809908</v>
      </c>
      <c r="Z87" s="4">
        <f t="shared" si="32"/>
        <v>-101275.4788</v>
      </c>
      <c r="AA87" s="4">
        <f t="shared" si="33"/>
        <v>-140621.56013999999</v>
      </c>
      <c r="AB87" s="21">
        <f t="shared" si="39"/>
        <v>-271875.99922180991</v>
      </c>
      <c r="AC87" s="21">
        <f t="shared" si="22"/>
        <v>-118441.06168819009</v>
      </c>
      <c r="AD87" s="21">
        <f t="shared" si="34"/>
        <v>-390317.06091</v>
      </c>
      <c r="AE87" s="3">
        <f t="shared" si="35"/>
        <v>0</v>
      </c>
    </row>
    <row r="88" spans="1:141" ht="15.95" customHeight="1" x14ac:dyDescent="0.25">
      <c r="B88" s="14" t="s">
        <v>130</v>
      </c>
      <c r="C88" s="10"/>
      <c r="D88" s="34" t="s">
        <v>141</v>
      </c>
      <c r="E88" s="26">
        <v>88</v>
      </c>
      <c r="F88" s="22">
        <v>0</v>
      </c>
      <c r="G88" s="22">
        <f t="shared" si="26"/>
        <v>88</v>
      </c>
      <c r="H88" s="22"/>
      <c r="I88" s="22">
        <f t="shared" si="27"/>
        <v>88</v>
      </c>
      <c r="J88" s="44">
        <f>ROUND(+G88/$I$91,4)</f>
        <v>1.7500000000000002E-2</v>
      </c>
      <c r="K88" s="44">
        <f>ROUND(+H88/$I$91,4)</f>
        <v>0</v>
      </c>
      <c r="L88" s="58">
        <f t="shared" si="28"/>
        <v>1.7500000000000002E-2</v>
      </c>
      <c r="M88" s="21">
        <f t="shared" si="25"/>
        <v>458426.07825000002</v>
      </c>
      <c r="O88" s="3">
        <f t="shared" si="36"/>
        <v>0</v>
      </c>
      <c r="P88" s="1">
        <f>73-53</f>
        <v>20</v>
      </c>
      <c r="Q88" s="1">
        <v>73</v>
      </c>
      <c r="R88" s="1">
        <v>73</v>
      </c>
      <c r="S88" s="3">
        <f t="shared" si="37"/>
        <v>166</v>
      </c>
      <c r="T88" s="79">
        <v>45856</v>
      </c>
      <c r="U88" s="75">
        <v>46022</v>
      </c>
      <c r="V88" s="3">
        <f t="shared" si="38"/>
        <v>166</v>
      </c>
      <c r="W88" s="3">
        <f t="shared" si="29"/>
        <v>126</v>
      </c>
      <c r="X88" s="4">
        <f t="shared" si="30"/>
        <v>0</v>
      </c>
      <c r="Y88" s="4">
        <f t="shared" si="31"/>
        <v>-35210.188250447878</v>
      </c>
      <c r="Z88" s="4">
        <f t="shared" si="32"/>
        <v>-118947.71</v>
      </c>
      <c r="AA88" s="4">
        <f t="shared" si="33"/>
        <v>-165159.55050000001</v>
      </c>
      <c r="AB88" s="21">
        <f t="shared" si="39"/>
        <v>-319317.44875044789</v>
      </c>
      <c r="AC88" s="21">
        <f>-+M88-AB88</f>
        <v>-139108.62949955213</v>
      </c>
      <c r="AD88" s="21">
        <f t="shared" si="34"/>
        <v>-458426.07825000002</v>
      </c>
      <c r="AE88" s="3">
        <f t="shared" si="35"/>
        <v>0</v>
      </c>
    </row>
    <row r="89" spans="1:141" ht="15.95" customHeight="1" x14ac:dyDescent="0.25">
      <c r="B89" s="14"/>
      <c r="C89" s="10"/>
      <c r="D89" s="34"/>
      <c r="E89" s="26"/>
      <c r="F89" s="22"/>
      <c r="G89" s="22"/>
      <c r="H89" s="22"/>
      <c r="I89" s="22"/>
      <c r="J89" s="44"/>
      <c r="K89" s="44"/>
      <c r="L89" s="58"/>
      <c r="M89" s="21">
        <f t="shared" si="25"/>
        <v>0</v>
      </c>
      <c r="T89" s="24"/>
      <c r="AB89" s="23"/>
      <c r="AC89" s="23"/>
      <c r="AD89" s="23"/>
    </row>
    <row r="90" spans="1:141" ht="15.95" customHeight="1" x14ac:dyDescent="0.25">
      <c r="B90" s="36"/>
      <c r="C90" s="47">
        <v>18</v>
      </c>
      <c r="D90" s="11"/>
      <c r="E90" s="26"/>
      <c r="F90" s="23"/>
      <c r="G90" s="22"/>
      <c r="H90" s="22">
        <f>1*$E$94</f>
        <v>11.5</v>
      </c>
      <c r="I90" s="22">
        <f t="shared" si="27"/>
        <v>11.5</v>
      </c>
      <c r="J90" s="44">
        <f>ROUND(+G90/$I$91,4)</f>
        <v>0</v>
      </c>
      <c r="K90" s="44">
        <f>ROUND(+H90/$I$91,4)-0.0002</f>
        <v>2.0999999999999999E-3</v>
      </c>
      <c r="L90" s="58">
        <f t="shared" si="28"/>
        <v>2.0999999999999999E-3</v>
      </c>
      <c r="M90" s="21">
        <f t="shared" si="25"/>
        <v>55011.129389999995</v>
      </c>
      <c r="T90" s="78"/>
      <c r="U90" s="75">
        <v>46022</v>
      </c>
      <c r="V90" s="3"/>
      <c r="W90" s="3">
        <f t="shared" ref="W90" si="40">292-V90</f>
        <v>292</v>
      </c>
      <c r="X90" s="4">
        <f t="shared" ref="X90" si="41">+$O$11/73*O90*L90</f>
        <v>0</v>
      </c>
      <c r="Y90" s="4">
        <f t="shared" ref="Y90" si="42">+$P$11/73*P90*L90</f>
        <v>0</v>
      </c>
      <c r="Z90" s="4">
        <f t="shared" ref="Z90" si="43">+$Q$11/73*Q90*L90</f>
        <v>0</v>
      </c>
      <c r="AA90" s="4">
        <f t="shared" ref="AA90" si="44">+$R$11/73*R90*L90</f>
        <v>0</v>
      </c>
      <c r="AB90" s="21">
        <f t="shared" ref="AB90" si="45">SUM(X90:AA90)</f>
        <v>0</v>
      </c>
      <c r="AC90" s="21">
        <f t="shared" ref="AC90" si="46">-+M90-AB90</f>
        <v>-55011.129389999995</v>
      </c>
      <c r="AD90" s="21">
        <f t="shared" ref="AD90" si="47">+AB90+AC90</f>
        <v>-55011.129389999995</v>
      </c>
      <c r="AE90" s="3">
        <f t="shared" ref="AE90" si="48">+AD90+M90</f>
        <v>0</v>
      </c>
    </row>
    <row r="91" spans="1:141" ht="15.95" customHeight="1" thickBot="1" x14ac:dyDescent="0.3">
      <c r="B91" s="14"/>
      <c r="C91" s="10"/>
      <c r="D91" s="11"/>
      <c r="E91" s="22">
        <f t="shared" ref="E91:L91" si="49">SUM(E15:E90)</f>
        <v>4309.5</v>
      </c>
      <c r="F91" s="22">
        <f t="shared" si="49"/>
        <v>435</v>
      </c>
      <c r="G91" s="22">
        <f t="shared" si="49"/>
        <v>4527</v>
      </c>
      <c r="H91" s="22">
        <f t="shared" si="49"/>
        <v>506</v>
      </c>
      <c r="I91" s="22">
        <f t="shared" si="49"/>
        <v>5033</v>
      </c>
      <c r="J91" s="22">
        <f t="shared" si="49"/>
        <v>0.89899999999999947</v>
      </c>
      <c r="K91" s="22">
        <f t="shared" si="49"/>
        <v>0.10099999999999991</v>
      </c>
      <c r="L91" s="70">
        <f t="shared" si="49"/>
        <v>1.0000000000000009</v>
      </c>
      <c r="M91" s="61">
        <f t="shared" si="25"/>
        <v>26195775.900000021</v>
      </c>
      <c r="T91" s="25"/>
      <c r="AB91" s="86"/>
      <c r="AC91" s="86"/>
      <c r="AD91" s="86"/>
    </row>
    <row r="92" spans="1:141" ht="15.95" customHeight="1" thickBot="1" x14ac:dyDescent="0.25">
      <c r="B92" s="23"/>
      <c r="C92" s="23"/>
      <c r="D92" s="28"/>
      <c r="E92" s="23"/>
      <c r="F92" s="23"/>
      <c r="G92" s="26">
        <f>+G91/I91</f>
        <v>0.89946354063182987</v>
      </c>
      <c r="H92" s="26">
        <f>+H91/I91</f>
        <v>0.10053645936817007</v>
      </c>
      <c r="I92" s="23"/>
      <c r="J92" s="21"/>
      <c r="K92" s="21"/>
      <c r="L92" s="42"/>
      <c r="M92" s="21">
        <f>M9</f>
        <v>-26195775.899999999</v>
      </c>
      <c r="T92" s="27"/>
      <c r="AB92" s="80">
        <f>SUM(AB15:AB91)</f>
        <v>-22258385.373480182</v>
      </c>
      <c r="AC92" s="80">
        <f>SUM(AC15:AC91)</f>
        <v>-3937390.5265198061</v>
      </c>
      <c r="AD92" s="80">
        <f>SUM(AD15:AD91)</f>
        <v>-26195775.900000002</v>
      </c>
    </row>
    <row r="93" spans="1:141" ht="15.95" customHeight="1" x14ac:dyDescent="0.2">
      <c r="G93" s="3">
        <f>+G91/0.9</f>
        <v>5030</v>
      </c>
      <c r="L93" s="1"/>
      <c r="M93" s="4">
        <f>M91+M92</f>
        <v>0</v>
      </c>
      <c r="T93" s="20"/>
    </row>
    <row r="94" spans="1:141" ht="15.95" hidden="1" customHeight="1" thickBot="1" x14ac:dyDescent="0.25">
      <c r="D94" s="1" t="s">
        <v>133</v>
      </c>
      <c r="E94" s="1">
        <v>11.5</v>
      </c>
      <c r="F94" s="31">
        <f>+E94*44</f>
        <v>506</v>
      </c>
      <c r="G94" s="3">
        <f>+G93-G91</f>
        <v>503</v>
      </c>
      <c r="L94" s="1"/>
      <c r="M94" s="4"/>
      <c r="T94" s="5"/>
    </row>
    <row r="95" spans="1:141" ht="15.95" hidden="1" customHeight="1" x14ac:dyDescent="0.2">
      <c r="D95" s="1" t="s">
        <v>156</v>
      </c>
      <c r="L95" s="1"/>
      <c r="T95" s="5"/>
    </row>
    <row r="96" spans="1:141" ht="15.95" hidden="1" customHeight="1" x14ac:dyDescent="0.2">
      <c r="D96" s="30" t="s">
        <v>158</v>
      </c>
      <c r="E96" s="30"/>
      <c r="H96" s="3">
        <f>32*11.5</f>
        <v>368</v>
      </c>
      <c r="L96" s="1"/>
      <c r="T96" s="5"/>
    </row>
    <row r="97" spans="3:20" ht="15.95" hidden="1" customHeight="1" x14ac:dyDescent="0.2">
      <c r="D97" s="48"/>
      <c r="L97" s="1"/>
      <c r="T97" s="5"/>
    </row>
    <row r="98" spans="3:20" ht="15.95" hidden="1" customHeight="1" x14ac:dyDescent="0.2">
      <c r="D98" s="30" t="s">
        <v>175</v>
      </c>
      <c r="L98" s="1"/>
      <c r="T98" s="5"/>
    </row>
    <row r="99" spans="3:20" ht="15.95" hidden="1" customHeight="1" x14ac:dyDescent="0.25">
      <c r="C99" s="50">
        <v>46051</v>
      </c>
      <c r="D99" s="51" t="s">
        <v>160</v>
      </c>
      <c r="E99" s="35" t="s">
        <v>142</v>
      </c>
      <c r="F99" s="35" t="s">
        <v>168</v>
      </c>
      <c r="G99" s="22">
        <v>-9961075.3000000007</v>
      </c>
      <c r="L99" s="1"/>
      <c r="T99" s="5"/>
    </row>
    <row r="100" spans="3:20" ht="15.95" hidden="1" customHeight="1" x14ac:dyDescent="0.25">
      <c r="C100" s="52"/>
      <c r="D100" s="51" t="s">
        <v>165</v>
      </c>
      <c r="E100" s="71">
        <v>-2578557.7000000002</v>
      </c>
      <c r="F100" s="1">
        <f>+E100/I100*J100</f>
        <v>-38678.336335156819</v>
      </c>
      <c r="G100" s="53">
        <f>+E100+F100</f>
        <v>-2617236.0363351572</v>
      </c>
      <c r="H100" s="1"/>
      <c r="I100" s="1">
        <f>+E100+E101</f>
        <v>-9813867.4000000004</v>
      </c>
      <c r="J100" s="3">
        <f>-+I100+G99</f>
        <v>-147207.90000000037</v>
      </c>
      <c r="K100" s="4">
        <f>+I100+J100</f>
        <v>-9961075.3000000007</v>
      </c>
      <c r="L100" s="17"/>
      <c r="T100" s="45"/>
    </row>
    <row r="101" spans="3:20" ht="15.95" hidden="1" customHeight="1" x14ac:dyDescent="0.25">
      <c r="C101" s="52"/>
      <c r="D101" s="51" t="s">
        <v>166</v>
      </c>
      <c r="E101" s="35">
        <v>-7235309.7000000002</v>
      </c>
      <c r="F101" s="26">
        <f>+E101/I100*J100</f>
        <v>-108529.56366484356</v>
      </c>
      <c r="G101" s="22">
        <f>+E101+F101</f>
        <v>-7343839.2636648435</v>
      </c>
      <c r="H101" s="1"/>
      <c r="L101" s="17"/>
      <c r="T101" s="46"/>
    </row>
    <row r="102" spans="3:20" ht="15.95" customHeight="1" x14ac:dyDescent="0.2">
      <c r="D102" s="16"/>
      <c r="E102" s="17">
        <f>+E101+E100</f>
        <v>-9813867.4000000004</v>
      </c>
      <c r="F102" s="17">
        <f>+F101+F100</f>
        <v>-147207.90000000037</v>
      </c>
      <c r="G102" s="73">
        <f>+E102+F102</f>
        <v>-9961075.3000000007</v>
      </c>
      <c r="H102" s="16"/>
      <c r="I102" s="18"/>
      <c r="L102" s="17"/>
      <c r="M102" s="60"/>
    </row>
    <row r="103" spans="3:20" ht="15.95" customHeight="1" x14ac:dyDescent="0.2">
      <c r="D103" s="16"/>
      <c r="E103" s="17"/>
      <c r="F103" s="17"/>
      <c r="G103" s="16"/>
      <c r="H103" s="16"/>
      <c r="I103" s="18"/>
      <c r="L103" s="17"/>
      <c r="M103" s="60"/>
    </row>
    <row r="104" spans="3:20" ht="15.95" customHeight="1" x14ac:dyDescent="0.2">
      <c r="D104" s="16"/>
      <c r="E104" s="17"/>
      <c r="F104" s="17"/>
      <c r="G104" s="16"/>
      <c r="H104" s="16"/>
      <c r="I104" s="18"/>
      <c r="L104" s="17"/>
      <c r="M104" s="60"/>
    </row>
    <row r="105" spans="3:20" ht="15.95" customHeight="1" x14ac:dyDescent="0.2">
      <c r="D105" s="16"/>
      <c r="E105" s="17"/>
      <c r="F105" s="17"/>
      <c r="G105" s="16"/>
      <c r="H105" s="16"/>
      <c r="I105" s="18"/>
      <c r="L105" s="17"/>
      <c r="M105" s="60"/>
    </row>
    <row r="106" spans="3:20" ht="15.95" customHeight="1" x14ac:dyDescent="0.2">
      <c r="D106" s="16"/>
      <c r="E106" s="17"/>
      <c r="F106" s="17"/>
      <c r="G106" s="16"/>
      <c r="H106" s="16"/>
      <c r="I106" s="18"/>
      <c r="L106" s="17"/>
      <c r="M106" s="60"/>
    </row>
    <row r="107" spans="3:20" ht="15.95" customHeight="1" x14ac:dyDescent="0.25">
      <c r="D107" s="16"/>
      <c r="E107" s="17"/>
      <c r="F107" s="17"/>
      <c r="G107" s="16"/>
      <c r="H107" s="16"/>
      <c r="I107" s="18"/>
      <c r="L107" s="17"/>
      <c r="M107" s="19"/>
    </row>
    <row r="108" spans="3:20" ht="15.95" customHeight="1" x14ac:dyDescent="0.25">
      <c r="E108" s="6"/>
      <c r="F108" s="6"/>
      <c r="L108" s="6"/>
      <c r="M108" s="19"/>
    </row>
    <row r="109" spans="3:20" ht="15.95" customHeight="1" x14ac:dyDescent="0.25">
      <c r="E109" s="6"/>
      <c r="F109" s="6"/>
      <c r="L109" s="6"/>
      <c r="M109" s="19"/>
    </row>
    <row r="110" spans="3:20" ht="15.95" customHeight="1" x14ac:dyDescent="0.25">
      <c r="E110" s="6"/>
      <c r="F110" s="6"/>
      <c r="L110" s="6"/>
      <c r="M110" s="19"/>
    </row>
    <row r="111" spans="3:20" ht="15.95" customHeight="1" x14ac:dyDescent="0.25">
      <c r="M111" s="19"/>
    </row>
    <row r="112" spans="3:20" ht="15.95" customHeight="1" x14ac:dyDescent="0.2"/>
    <row r="113" ht="15.95" customHeight="1" x14ac:dyDescent="0.2"/>
    <row r="114" ht="15.95" customHeight="1" x14ac:dyDescent="0.2"/>
    <row r="115" ht="15.95" customHeight="1" x14ac:dyDescent="0.2"/>
    <row r="116" ht="15.95" customHeight="1" x14ac:dyDescent="0.2"/>
    <row r="117" ht="15.95" customHeight="1" x14ac:dyDescent="0.2"/>
    <row r="118" ht="15.95" customHeight="1" x14ac:dyDescent="0.2"/>
    <row r="119" ht="15.95" customHeight="1" x14ac:dyDescent="0.2"/>
    <row r="120" ht="15.95" customHeight="1" x14ac:dyDescent="0.2"/>
    <row r="121" ht="15.95" customHeight="1" x14ac:dyDescent="0.2"/>
    <row r="122" ht="15.95" customHeight="1" x14ac:dyDescent="0.2"/>
    <row r="123" ht="15.95" customHeight="1" x14ac:dyDescent="0.2"/>
    <row r="124" ht="15.95" customHeight="1" x14ac:dyDescent="0.2"/>
    <row r="125" ht="15.95" customHeight="1" x14ac:dyDescent="0.2"/>
    <row r="126" ht="15.95" customHeight="1" x14ac:dyDescent="0.2"/>
    <row r="127" ht="15.95" customHeight="1" x14ac:dyDescent="0.2"/>
    <row r="128" ht="15.95" customHeight="1" x14ac:dyDescent="0.2"/>
    <row r="129" ht="15.95" customHeight="1" x14ac:dyDescent="0.2"/>
    <row r="130" ht="15.95" customHeight="1" x14ac:dyDescent="0.2"/>
    <row r="131" ht="15.95" customHeight="1" x14ac:dyDescent="0.2"/>
    <row r="132" ht="15.95" customHeight="1" x14ac:dyDescent="0.2"/>
    <row r="133" ht="15.95" customHeight="1" x14ac:dyDescent="0.2"/>
    <row r="134" ht="15.95" customHeight="1" x14ac:dyDescent="0.2"/>
    <row r="135" ht="15.95" customHeight="1" x14ac:dyDescent="0.2"/>
    <row r="136" ht="15.95" customHeight="1" x14ac:dyDescent="0.2"/>
    <row r="137" ht="15.95" customHeight="1" x14ac:dyDescent="0.2"/>
    <row r="138" ht="15.95" customHeight="1" x14ac:dyDescent="0.2"/>
    <row r="139" ht="15.95" customHeight="1" x14ac:dyDescent="0.2"/>
    <row r="140" ht="15.95" customHeight="1" x14ac:dyDescent="0.2"/>
    <row r="141" ht="15.95" customHeight="1" x14ac:dyDescent="0.2"/>
    <row r="142" ht="15.95" customHeight="1" x14ac:dyDescent="0.2"/>
    <row r="143" ht="15.95" customHeight="1" x14ac:dyDescent="0.2"/>
    <row r="144" ht="15.95" customHeight="1" x14ac:dyDescent="0.2"/>
    <row r="145" ht="15.95" customHeight="1" x14ac:dyDescent="0.2"/>
    <row r="146" ht="15.95" customHeight="1" x14ac:dyDescent="0.2"/>
    <row r="147" ht="15.95" customHeight="1" x14ac:dyDescent="0.2"/>
    <row r="148" ht="15.95" customHeight="1" x14ac:dyDescent="0.2"/>
    <row r="149" ht="15.95" customHeight="1" x14ac:dyDescent="0.2"/>
    <row r="150" ht="15.95" customHeight="1" x14ac:dyDescent="0.2"/>
    <row r="151" ht="15.95" customHeight="1" x14ac:dyDescent="0.2"/>
    <row r="152" ht="15.95" customHeight="1" x14ac:dyDescent="0.2"/>
    <row r="153" ht="15.95" customHeight="1" x14ac:dyDescent="0.2"/>
    <row r="154" ht="15.95" customHeight="1" x14ac:dyDescent="0.2"/>
    <row r="155" ht="15.95" customHeight="1" x14ac:dyDescent="0.2"/>
    <row r="156" ht="15.95" customHeight="1" x14ac:dyDescent="0.2"/>
    <row r="157" ht="15.95" customHeight="1" x14ac:dyDescent="0.2"/>
    <row r="158" ht="15.95" customHeight="1" x14ac:dyDescent="0.2"/>
    <row r="159" ht="15.95" customHeight="1" x14ac:dyDescent="0.2"/>
    <row r="160" ht="15.95" customHeight="1" x14ac:dyDescent="0.2"/>
    <row r="161" ht="15.95" customHeight="1" x14ac:dyDescent="0.2"/>
    <row r="162" ht="15.95" customHeight="1" x14ac:dyDescent="0.2"/>
    <row r="163" ht="15.95" customHeight="1" x14ac:dyDescent="0.2"/>
    <row r="164" ht="15.95" customHeight="1" x14ac:dyDescent="0.2"/>
    <row r="165" ht="15.95" customHeight="1" x14ac:dyDescent="0.2"/>
    <row r="166" ht="15.95" customHeight="1" x14ac:dyDescent="0.2"/>
    <row r="167" ht="15.95" customHeight="1" x14ac:dyDescent="0.2"/>
    <row r="168" ht="15.95" customHeight="1" x14ac:dyDescent="0.2"/>
    <row r="169" ht="15.95" customHeight="1" x14ac:dyDescent="0.2"/>
    <row r="170" ht="15.95" customHeight="1" x14ac:dyDescent="0.2"/>
    <row r="171" ht="15.95" customHeight="1" x14ac:dyDescent="0.2"/>
    <row r="172" ht="15.95" customHeight="1" x14ac:dyDescent="0.2"/>
    <row r="173" ht="15.95" customHeight="1" x14ac:dyDescent="0.2"/>
    <row r="174" ht="15.95" customHeight="1" x14ac:dyDescent="0.2"/>
    <row r="175" ht="15.95" customHeight="1" x14ac:dyDescent="0.2"/>
  </sheetData>
  <mergeCells count="3">
    <mergeCell ref="E13:I13"/>
    <mergeCell ref="J13:L13"/>
    <mergeCell ref="AB13:AC13"/>
  </mergeCells>
  <pageMargins left="0.70866141732283472" right="0.70866141732283472" top="0.74803149606299213" bottom="0.74803149606299213" header="0.31496062992125984" footer="0.31496062992125984"/>
  <pageSetup scale="47" orientation="portrait" r:id="rId1"/>
  <ignoredErrors>
    <ignoredError sqref="J8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3" sqref="C23"/>
    </sheetView>
  </sheetViews>
  <sheetFormatPr baseColWidth="10" defaultRowHeight="15" x14ac:dyDescent="0.25"/>
  <cols>
    <col min="3" max="3" width="10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USAR ESTA PLANILLA</vt:lpstr>
      <vt:lpstr>Hoja1</vt:lpstr>
      <vt:lpstr>'USAR ESTA PLANILLA'!Área_de_impresión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Sistemax</cp:lastModifiedBy>
  <cp:lastPrinted>2026-02-18T15:27:28Z</cp:lastPrinted>
  <dcterms:created xsi:type="dcterms:W3CDTF">2024-02-05T19:03:29Z</dcterms:created>
  <dcterms:modified xsi:type="dcterms:W3CDTF">2026-02-19T15:52:07Z</dcterms:modified>
</cp:coreProperties>
</file>