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Agosto\"/>
    </mc:Choice>
  </mc:AlternateContent>
  <xr:revisionPtr revIDLastSave="0" documentId="13_ncr:1_{81945496-AA6C-4D8F-921B-690FACB71AF9}"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 name="DEUDA AYALA" sheetId="5" r:id="rId5"/>
  </sheets>
  <definedNames>
    <definedName name="_xlnm.Print_Area" localSheetId="2">ARBA!$A$1:$O$82</definedName>
    <definedName name="_xlnm.Print_Area" localSheetId="4">'DEUDA AYALA'!$C$3:$H$20</definedName>
    <definedName name="_xlnm.Print_Area" localSheetId="1">PRORRATEO!$A$1:$O$156</definedName>
    <definedName name="_xlnm.Print_Area" localSheetId="0">RESUMEN!$A$1:$J$127</definedName>
  </definedNames>
  <calcPr calcId="181029"/>
</workbook>
</file>

<file path=xl/calcChain.xml><?xml version="1.0" encoding="utf-8"?>
<calcChain xmlns="http://schemas.openxmlformats.org/spreadsheetml/2006/main">
  <c r="G20" i="5" l="1"/>
  <c r="G15" i="5"/>
  <c r="D15" i="5"/>
  <c r="C15" i="5"/>
  <c r="G10" i="5"/>
  <c r="D10" i="5"/>
  <c r="C10" i="5"/>
  <c r="G5" i="5"/>
  <c r="D5" i="5"/>
  <c r="C5" i="5"/>
  <c r="N2" i="2"/>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L134" i="2" l="1"/>
  <c r="I28" i="4"/>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<sst xmlns="http://schemas.openxmlformats.org/spreadsheetml/2006/main" count="714" uniqueCount="419">
  <si>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</si>
  <si>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</si>
  <si>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</si>
  <si>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</si>
  <si>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</si>
  <si>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</si>
  <si>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</si>
  <si>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</si>
  <si>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</si>
  <si>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</si>
  <si>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</si>
  <si>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</si>
  <si>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</si>
  <si>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</si>
  <si>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</si>
  <si>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</si>
  <si>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</si>
  <si>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</si>
  <si>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</si>
  <si>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</si>
  <si>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</si>
  <si>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</si>
  <si>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</si>
  <si>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</si>
  <si>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</si>
  <si>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</si>
  <si>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</si>
  <si>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</si>
  <si>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</si>
  <si>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</si>
  <si>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</si>
  <si>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</si>
  <si>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</si>
  <si>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</si>
  <si>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</si>
  <si>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</si>
  <si>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</si>
  <si>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</si>
  <si>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</si>
  <si>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</si>
  <si>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</si>
  <si>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</si>
  <si>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</si>
  <si>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</si>
  <si>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</si>
  <si>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</si>
  <si>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</si>
  <si>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</si>
  <si>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</si>
  <si>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</si>
  <si>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</si>
  <si>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</si>
  <si>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</si>
  <si>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</si>
  <si>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</si>
  <si>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</si>
  <si>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</si>
  <si>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</si>
  <si>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</si>
  <si>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</si>
  <si>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</si>
  <si>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</si>
  <si>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</si>
  <si>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</si>
  <si>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</si>
  <si>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</si>
  <si>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</si>
  <si>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</si>
  <si>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</si>
  <si>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</si>
  <si>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</si>
  <si>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</si>
  <si>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</si>
  <si>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</si>
  <si>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</si>
  <si>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</si>
  <si>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</si>
  <si>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</si>
  <si>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</si>
  <si>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</si>
  <si>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</si>
  <si>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</si>
  <si>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</si>
  <si>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</si>
  <si>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</si>
  <si>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</si>
  <si>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</si>
  <si>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</si>
  <si>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</si>
  <si>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</si>
  <si>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</si>
  <si>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</si>
  <si>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</si>
  <si>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</si>
  <si>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</si>
  <si>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</si>
  <si>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</si>
  <si>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</si>
  <si>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</si>
  <si>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</si>
  <si>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</si>
  <si>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</si>
  <si>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</si>
  <si>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</si>
  <si>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</si>
  <si>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</si>
  <si>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</si>
  <si>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</si>
  <si>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</si>
  <si>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</si>
  <si>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</si>
  <si>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</si>
  <si>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</si>
  <si>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</si>
  <si>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</si>
  <si>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</si>
  <si>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</si>
  <si>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</si>
  <si>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</si>
  <si>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</si>
  <si>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</si>
  <si>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</si>
  <si>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</si>
  <si>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</si>
  <si>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</si>
  <si>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</si>
  <si>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</si>
  <si>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</si>
  <si>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</si>
  <si>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</si>
  <si>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</si>
  <si>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</si>
  <si>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</si>
  <si>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</si>
  <si>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</si>
  <si>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</si>
  <si>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</si>
  <si>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</si>
  <si>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</si>
  <si>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</si>
  <si>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</si>
  <si>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</si>
  <si>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</si>
  <si>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</si>
  <si>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</si>
  <si>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</si>
  <si>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</si>
  <si>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</si>
  <si>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</si>
  <si>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</si>
  <si>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</si>
  <si>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</si>
  <si>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</si>
  <si>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</si>
  <si>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</si>
  <si>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</si>
  <si>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</si>
  <si>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</si>
  <si>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</si>
  <si>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</si>
  <si>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</si>
  <si>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</si>
  <si>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</si>
  <si>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</si>
  <si>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</si>
  <si>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</si>
  <si>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</si>
  <si>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</si>
  <si>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</si>
  <si>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</si>
  <si>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</si>
  <si>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</si>
  <si>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</si>
  <si>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</si>
  <si>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</si>
  <si>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</si>
  <si>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</si>
  <si>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</si>
  <si>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</si>
  <si>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</si>
  <si>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</si>
  <si>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</si>
  <si>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</si>
  <si>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</si>
  <si>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</si>
  <si>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</si>
  <si>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</si>
  <si>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</si>
  <si>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</si>
  <si>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</si>
  <si>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</si>
  <si>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</si>
  <si>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</si>
  <si>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</si>
  <si>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</si>
  <si>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</si>
  <si>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</si>
  <si>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</si>
  <si>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</si>
  <si>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</si>
  <si>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</si>
  <si>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</si>
  <si>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</si>
  <si>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</si>
  <si>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</si>
  <si>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</si>
  <si>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</si>
  <si>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</si>
  <si>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</si>
  <si>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</si>
  <si>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</si>
  <si>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</si>
  <si>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</si>
  <si>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</si>
  <si>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</si>
  <si>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</si>
  <si>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</si>
  <si>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</si>
  <si>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</si>
  <si>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</si>
  <si>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</si>
  <si>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</si>
  <si>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</si>
  <si>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</si>
  <si>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</si>
  <si>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</si>
  <si>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</si>
  <si>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</si>
  <si>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</si>
  <si>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</si>
  <si>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</si>
  <si>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</si>
  <si>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</si>
  <si>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</si>
  <si>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</si>
  <si>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</si>
  <si>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</si>
  <si>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</si>
  <si>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</si>
  <si>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</si>
  <si>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</si>
  <si>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</si>
  <si>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</si>
  <si>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</si>
  <si>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</si>
  <si>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</si>
  <si>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</si>
  <si>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</si>
  <si>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</si>
  <si>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</si>
  <si>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</si>
  <si>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</si>
  <si>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</si>
  <si>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</si>
  <si>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</si>
  <si>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</si>
  <si>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</si>
  <si>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</si>
  <si>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</si>
  <si>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</si>
  <si>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</si>
  <si>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</si>
  <si>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</si>
  <si>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</si>
  <si>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</si>
  <si>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</si>
  <si>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</si>
  <si>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</si>
  <si>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</si>
  <si>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</si>
  <si>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</si>
  <si>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</si>
  <si>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</si>
  <si>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</si>
  <si>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</si>
  <si>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</si>
  <si>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</si>
  <si>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</si>
  <si>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</si>
  <si>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</si>
  <si>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</si>
  <si>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</si>
  <si>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</si>
  <si>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</si>
  <si>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</si>
  <si>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</si>
  <si>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</si>
  <si>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</si>
  <si>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</si>
  <si>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</si>
  <si>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</si>
  <si>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</si>
  <si>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</si>
  <si>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</si>
  <si>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</si>
  <si>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</si>
  <si>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</si>
  <si>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</si>
  <si>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</si>
  <si>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</si>
  <si>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</si>
  <si>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</si>
  <si>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</si>
  <si>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</si>
  <si>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</si>
  <si>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</si>
  <si>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</si>
  <si>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</si>
  <si>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</si>
  <si>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</si>
  <si>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</si>
  <si>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</si>
  <si>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</si>
  <si>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</si>
  <si>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</si>
  <si>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</si>
  <si>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</si>
  <si>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</si>
  <si>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</si>
  <si>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</si>
  <si>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</si>
  <si>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</si>
  <si>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</si>
  <si>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</si>
  <si>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</si>
  <si>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</si>
  <si>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</si>
  <si>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</si>
  <si>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</si>
  <si>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</si>
  <si>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</si>
  <si>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</si>
  <si>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</si>
  <si>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</si>
  <si>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</si>
  <si>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</si>
  <si>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</si>
  <si>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</si>
  <si>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</si>
  <si>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</si>
  <si>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</si>
  <si>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</si>
  <si>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</si>
  <si>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</si>
  <si>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</si>
  <si>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</si>
  <si>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</si>
  <si>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</si>
  <si>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</si>
  <si>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</si>
  <si>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</si>
  <si>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</si>
  <si>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</si>
  <si>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</si>
  <si>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</si>
  <si>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</si>
  <si>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</si>
  <si>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</si>
  <si>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</si>
  <si>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</si>
  <si>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</si>
  <si>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</si>
  <si>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</si>
  <si>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</si>
  <si>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</si>
  <si>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</si>
  <si>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</si>
  <si>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</si>
  <si>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</si>
  <si>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</si>
  <si>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</si>
  <si>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</si>
  <si>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</si>
  <si>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</si>
  <si>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</si>
  <si>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</si>
  <si>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</si>
  <si>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</si>
  <si>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</si>
  <si>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</si>
  <si>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</si>
  <si>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</si>
  <si>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</si>
  <si>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</si>
  <si>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</si>
  <si>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</si>
  <si>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</si>
  <si>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</si>
  <si>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</si>
  <si>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</si>
  <si>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</si>
  <si>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</si>
  <si>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</si>
  <si>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</si>
  <si>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</si>
  <si>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</si>
  <si>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</si>
  <si>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</si>
  <si>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</si>
  <si>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</si>
  <si>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</si>
  <si>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</si>
  <si>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</si>
  <si>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</si>
  <si>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</si>
  <si>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</si>
  <si>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</si>
  <si>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</si>
  <si>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</si>
  <si>
    <t>DEUDA SR. AYALA AL 04/09/2026</t>
  </si>
  <si>
    <t>UF:</t>
  </si>
  <si>
    <t>Propietario:</t>
  </si>
  <si>
    <t>Deuda a abonar antes del 17/09</t>
  </si>
  <si>
    <t>Deuda ARBA 3F</t>
  </si>
  <si>
    <t>Deuda ARBA 4F</t>
  </si>
  <si>
    <t>Deuda ARBA 5F</t>
  </si>
  <si>
    <t>TOTAL DEUDA</t>
  </si>
  <si>
    <t>Local 2</t>
  </si>
  <si>
    <t>Pago $34.752 y $770.504 de expensas y arba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</si>
</sst>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395">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0" fillId="0" borderId="16"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3" xfId="0" applyBorder="1"/>
    <xf numFmtId="0" fontId="0" fillId="0" borderId="9" xfId="0" applyBorder="1"/>
    <xf numFmtId="0" fontId="2" fillId="9" borderId="11" xfId="0" applyFont="1" applyFill="1" applyBorder="1"/>
    <xf numFmtId="0" fontId="2" fillId="9" borderId="12" xfId="0"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wrapText="1"/>
    </xf>
    <xf numFmtId="0" fontId="0" fillId="3" borderId="27"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44" fontId="0" fillId="0" borderId="0" xfId="1" applyFont="1" applyBorder="1" applyAlignment="1">
      <alignment horizontal="center"/>
    </xf>
    <xf numFmtId="44" fontId="0" fillId="0" borderId="19" xfId="1" applyFont="1" applyBorder="1" applyAlignment="1">
      <alignment horizontal="center"/>
    </xf>
    <xf numFmtId="44" fontId="0" fillId="0" borderId="9" xfId="1" applyFont="1" applyBorder="1" applyAlignment="1">
      <alignment horizontal="center"/>
    </xf>
    <xf numFmtId="44" fontId="0" fillId="0" borderId="10" xfId="1" applyFont="1" applyBorder="1" applyAlignment="1">
      <alignment horizontal="center"/>
    </xf>
    <xf numFmtId="44" fontId="2" fillId="9" borderId="12" xfId="1" applyFont="1" applyFill="1" applyBorder="1" applyAlignment="1">
      <alignment horizontal="center"/>
    </xf>
    <xf numFmtId="44" fontId="2" fillId="9" borderId="13" xfId="1" applyFont="1" applyFill="1" applyBorder="1" applyAlignment="1">
      <alignment horizontal="center"/>
    </xf>
    <xf numFmtId="0" fontId="18" fillId="16" borderId="11" xfId="0" applyFont="1" applyFill="1" applyBorder="1" applyAlignment="1">
      <alignment horizontal="center"/>
    </xf>
    <xf numFmtId="0" fontId="18" fillId="16" borderId="12" xfId="0" applyFont="1" applyFill="1" applyBorder="1" applyAlignment="1">
      <alignment horizontal="center"/>
    </xf>
    <xf numFmtId="0" fontId="18" fillId="16" borderId="13" xfId="0" applyFont="1" applyFill="1" applyBorder="1" applyAlignment="1">
      <alignment horizont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0" fontId="0" fillId="15" borderId="1" xfId="0" applyFill="1" applyBorder="1"/>
    <xf numFmtId="0" fontId="10" fillId="15" borderId="1" xfId="0" applyFont="1" applyFill="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4.5546875" customWidth="1"/>
    <col min="14" max="14" width="14.5546875" bestFit="1" customWidth="1"/>
    <col min="16" max="16" width="18" customWidth="1"/>
    <col min="17" max="17" width="18.33203125" customWidth="1"/>
  </cols>
  <sheetData>
    <row r="1" spans="1:10" ht="18" x14ac:dyDescent="0.35">
      <c r="A1" s="68"/>
      <c r="B1" s="76"/>
      <c r="C1" s="81" t="s">
        <v>247</v>
      </c>
      <c r="D1" s="81"/>
      <c r="E1" s="82"/>
      <c r="F1" s="82"/>
      <c r="G1" s="66"/>
      <c r="H1" s="66"/>
      <c r="I1" s="66"/>
      <c r="J1" s="67"/>
    </row>
    <row r="2" spans="1:10" ht="18" x14ac:dyDescent="0.35">
      <c r="A2" s="69"/>
      <c r="B2" s="77"/>
      <c r="C2" s="77" t="s">
        <v>244</v>
      </c>
      <c r="D2" s="77"/>
      <c r="E2" s="78"/>
      <c r="F2" s="78"/>
      <c r="G2" s="78"/>
      <c r="H2" s="78"/>
      <c r="I2" s="78"/>
      <c r="J2" s="65"/>
    </row>
    <row r="3" spans="1:10" ht="18" x14ac:dyDescent="0.35">
      <c r="A3" s="69"/>
      <c r="B3" s="77"/>
      <c r="C3" s="77" t="s">
        <v>273</v>
      </c>
      <c r="D3" s="77"/>
      <c r="E3" s="77" t="s">
        <v>245</v>
      </c>
      <c r="F3" s="78"/>
      <c r="G3" s="78"/>
      <c r="H3" s="78"/>
      <c r="I3" s="78"/>
      <c r="J3" s="65"/>
    </row>
    <row r="4" spans="1:10" ht="18" customHeight="1" x14ac:dyDescent="0.35">
      <c r="A4" s="69"/>
      <c r="B4" s="77"/>
      <c r="C4" s="77" t="s">
        <v>246</v>
      </c>
      <c r="D4" s="78"/>
      <c r="E4" s="78"/>
      <c r="F4" s="78"/>
      <c r="G4" s="78"/>
      <c r="H4" s="78"/>
      <c r="I4" s="78"/>
      <c r="J4" s="65"/>
    </row>
    <row r="5" spans="1:10" ht="18" x14ac:dyDescent="0.35">
      <c r="A5" s="72"/>
      <c r="B5" s="77"/>
      <c r="C5" s="77" t="s">
        <v>377</v>
      </c>
      <c r="D5" s="77"/>
      <c r="E5" s="77" t="s">
        <v>330</v>
      </c>
      <c r="F5" s="77"/>
      <c r="G5" s="77"/>
      <c r="H5" s="77"/>
      <c r="I5" s="77"/>
      <c r="J5" s="73"/>
    </row>
    <row r="6" spans="1:10" ht="18" x14ac:dyDescent="0.35">
      <c r="A6" s="72"/>
      <c r="B6" s="77"/>
      <c r="C6" s="77" t="s">
        <v>0</v>
      </c>
      <c r="D6" s="77"/>
      <c r="E6" s="77"/>
      <c r="F6" s="77"/>
      <c r="G6" s="77"/>
      <c r="H6" s="77"/>
      <c r="I6" s="77"/>
      <c r="J6" s="73"/>
    </row>
    <row r="7" spans="1:10" ht="18.600000000000001" thickBot="1" x14ac:dyDescent="0.4">
      <c r="A7" s="74"/>
      <c r="B7" s="75"/>
      <c r="C7" s="75"/>
      <c r="D7" s="75"/>
      <c r="E7" s="75"/>
      <c r="F7" s="75"/>
      <c r="G7" s="75"/>
      <c r="H7" s="75"/>
      <c r="I7" s="75"/>
      <c r="J7" s="79"/>
    </row>
    <row r="9" spans="1:10" hidden="1" x14ac:dyDescent="0.3"/>
    <row r="10" spans="1:10" hidden="1" x14ac:dyDescent="0.3"/>
    <row r="11" spans="1:10" hidden="1" x14ac:dyDescent="0.3"/>
    <row r="12" spans="1:10" hidden="1" x14ac:dyDescent="0.3"/>
    <row r="14" spans="1:10" ht="15" customHeight="1" x14ac:dyDescent="0.3">
      <c r="A14" s="315" t="s">
        <v>243</v>
      </c>
      <c r="B14" s="315"/>
      <c r="C14" s="315"/>
      <c r="D14" s="315"/>
      <c r="E14" s="315"/>
      <c r="F14" s="315"/>
      <c r="G14" s="315"/>
      <c r="H14" s="315"/>
      <c r="I14" s="315"/>
      <c r="J14" s="315"/>
    </row>
    <row r="15" spans="1:10" ht="15" customHeight="1" x14ac:dyDescent="0.3">
      <c r="A15" s="315"/>
      <c r="B15" s="315"/>
      <c r="C15" s="315"/>
      <c r="D15" s="315"/>
      <c r="E15" s="315"/>
      <c r="F15" s="315"/>
      <c r="G15" s="315"/>
      <c r="H15" s="315"/>
      <c r="I15" s="315"/>
      <c r="J15" s="315"/>
    </row>
    <row r="16" spans="1:10" ht="15" customHeight="1" x14ac:dyDescent="0.3">
      <c r="A16" s="315"/>
      <c r="B16" s="315"/>
      <c r="C16" s="315"/>
      <c r="D16" s="315"/>
      <c r="E16" s="315"/>
      <c r="F16" s="315"/>
      <c r="G16" s="315"/>
      <c r="H16" s="315"/>
      <c r="I16" s="315"/>
      <c r="J16" s="315"/>
    </row>
    <row r="17" spans="1:12" ht="25.2" customHeight="1" x14ac:dyDescent="0.3">
      <c r="A17" s="315"/>
      <c r="B17" s="315"/>
      <c r="C17" s="315"/>
      <c r="D17" s="315"/>
      <c r="E17" s="315"/>
      <c r="F17" s="315"/>
      <c r="G17" s="315"/>
      <c r="H17" s="315"/>
      <c r="I17" s="315"/>
      <c r="J17" s="315"/>
    </row>
    <row r="18" spans="1:12" ht="47.4" customHeight="1" x14ac:dyDescent="0.3">
      <c r="A18" s="315"/>
      <c r="B18" s="315"/>
      <c r="C18" s="315"/>
      <c r="D18" s="315"/>
      <c r="E18" s="315"/>
      <c r="F18" s="315"/>
      <c r="G18" s="315"/>
      <c r="H18" s="315"/>
      <c r="I18" s="315"/>
      <c r="J18" s="315"/>
    </row>
    <row r="19" spans="1:12" x14ac:dyDescent="0.3">
      <c r="A19" s="1"/>
      <c r="H19" s="60"/>
    </row>
    <row r="20" spans="1:12" x14ac:dyDescent="0.3">
      <c r="A20" s="316" t="s">
        <v>376</v>
      </c>
      <c r="B20" s="316"/>
      <c r="C20" s="316"/>
      <c r="D20" s="316"/>
      <c r="E20" s="316"/>
      <c r="F20" s="316"/>
      <c r="G20" s="316"/>
      <c r="H20" s="316"/>
      <c r="I20" s="316"/>
      <c r="J20" s="316"/>
    </row>
    <row r="21" spans="1:12" x14ac:dyDescent="0.3">
      <c r="A21" s="316"/>
      <c r="B21" s="316"/>
      <c r="C21" s="316"/>
      <c r="D21" s="316"/>
      <c r="E21" s="316"/>
      <c r="F21" s="316"/>
      <c r="G21" s="316"/>
      <c r="H21" s="316"/>
      <c r="I21" s="316"/>
      <c r="J21" s="316"/>
    </row>
    <row r="22" spans="1:12" x14ac:dyDescent="0.3">
      <c r="A22" s="316"/>
      <c r="B22" s="316"/>
      <c r="C22" s="316"/>
      <c r="D22" s="316"/>
      <c r="E22" s="316"/>
      <c r="F22" s="316"/>
      <c r="G22" s="316"/>
      <c r="H22" s="316"/>
      <c r="I22" s="316"/>
      <c r="J22" s="316"/>
    </row>
    <row r="23" spans="1:12" ht="15" thickBot="1" x14ac:dyDescent="0.35">
      <c r="A23" s="56"/>
      <c r="B23" s="56"/>
      <c r="C23" s="56"/>
      <c r="D23" s="56"/>
      <c r="E23" s="56"/>
      <c r="F23" s="56"/>
      <c r="G23" s="56"/>
      <c r="H23" s="257"/>
      <c r="I23" s="56"/>
      <c r="J23" s="56"/>
    </row>
    <row r="24" spans="1:12" ht="15" thickBot="1" x14ac:dyDescent="0.35">
      <c r="A24" s="180" t="s">
        <v>18</v>
      </c>
      <c r="B24" s="181"/>
      <c r="C24" s="182"/>
      <c r="D24" s="183"/>
      <c r="E24" s="184" t="s">
        <v>164</v>
      </c>
      <c r="F24" s="184" t="s">
        <v>165</v>
      </c>
      <c r="G24" s="184" t="s">
        <v>166</v>
      </c>
      <c r="H24" s="184" t="s">
        <v>167</v>
      </c>
      <c r="I24" s="184" t="s">
        <v>168</v>
      </c>
      <c r="J24" s="258" t="s">
        <v>169</v>
      </c>
    </row>
    <row r="25" spans="1:12" ht="15.6" x14ac:dyDescent="0.3">
      <c r="A25" s="185" t="s">
        <v>335</v>
      </c>
      <c r="B25" s="157"/>
      <c r="C25" s="157"/>
      <c r="D25" s="155"/>
      <c r="E25" s="186"/>
      <c r="F25" s="186"/>
      <c r="G25" s="186"/>
      <c r="H25" s="186"/>
      <c r="I25" s="186"/>
      <c r="J25" s="186"/>
      <c r="L25" s="43"/>
    </row>
    <row r="26" spans="1:12" x14ac:dyDescent="0.3">
      <c r="A26" s="187" t="s">
        <v>359</v>
      </c>
      <c r="B26" s="157" t="s">
        <v>378</v>
      </c>
      <c r="C26" s="157" t="s">
        <v>393</v>
      </c>
      <c r="D26" s="155">
        <v>3000000</v>
      </c>
      <c r="E26" s="157"/>
      <c r="F26" s="157"/>
      <c r="G26" s="157"/>
      <c r="H26" s="157"/>
      <c r="I26" s="157"/>
      <c r="J26" s="157"/>
      <c r="L26" s="43"/>
    </row>
    <row r="27" spans="1:12" x14ac:dyDescent="0.3">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3">
      <c r="A28" s="187" t="s">
        <v>232</v>
      </c>
      <c r="B28" s="157"/>
      <c r="C28" s="157"/>
      <c r="D28" s="155"/>
      <c r="E28" s="186"/>
      <c r="F28" s="186"/>
      <c r="G28" s="186"/>
      <c r="H28" s="186"/>
      <c r="I28" s="186"/>
      <c r="J28" s="186"/>
      <c r="L28" s="43"/>
    </row>
    <row r="29" spans="1:12" x14ac:dyDescent="0.3">
      <c r="A29" s="187"/>
      <c r="B29" s="157"/>
      <c r="C29" s="157"/>
      <c r="D29" s="155"/>
      <c r="E29" s="186"/>
      <c r="F29" s="186"/>
      <c r="G29" s="186"/>
      <c r="H29" s="186"/>
      <c r="I29" s="186"/>
      <c r="J29" s="186"/>
      <c r="L29" s="43"/>
    </row>
    <row r="30" spans="1:12" x14ac:dyDescent="0.3">
      <c r="A30" s="188" t="s">
        <v>16</v>
      </c>
      <c r="B30" s="188"/>
      <c r="C30" s="188"/>
      <c r="D30" s="30">
        <f>SUM(D29:D29)</f>
        <v>0</v>
      </c>
      <c r="E30" s="30">
        <f>D30</f>
        <v>0</v>
      </c>
      <c r="F30" s="30"/>
      <c r="G30" s="30"/>
      <c r="H30" s="30"/>
      <c r="I30" s="30"/>
      <c r="J30" s="259"/>
      <c r="K30" s="31">
        <f>E30+J30+F30+G30+H30+I30</f>
        <v>0</v>
      </c>
      <c r="L30" s="43" t="str">
        <f>IF(D30=K30, "", "Error")</f>
        <v/>
      </c>
    </row>
    <row r="31" spans="1:12" x14ac:dyDescent="0.3">
      <c r="A31" s="187" t="s">
        <v>228</v>
      </c>
      <c r="B31" s="119"/>
      <c r="C31" s="119"/>
      <c r="D31" s="155"/>
      <c r="E31" s="190"/>
      <c r="F31" s="190"/>
      <c r="G31" s="190"/>
      <c r="H31" s="190"/>
      <c r="I31" s="190"/>
      <c r="J31" s="190"/>
      <c r="L31" s="43"/>
    </row>
    <row r="32" spans="1:12" ht="28.8" x14ac:dyDescent="0.3">
      <c r="A32" s="119" t="s">
        <v>351</v>
      </c>
      <c r="B32" s="119" t="s">
        <v>379</v>
      </c>
      <c r="C32" s="222" t="s">
        <v>367</v>
      </c>
      <c r="D32" s="155">
        <v>0</v>
      </c>
      <c r="E32" s="190"/>
      <c r="F32" s="190"/>
      <c r="G32" s="190"/>
      <c r="H32" s="190"/>
      <c r="I32" s="190"/>
      <c r="J32" s="190"/>
      <c r="L32" s="43"/>
    </row>
    <row r="33" spans="1:14" ht="28.8" x14ac:dyDescent="0.3">
      <c r="A33" s="119" t="s">
        <v>231</v>
      </c>
      <c r="B33" s="119" t="s">
        <v>379</v>
      </c>
      <c r="C33" s="222" t="s">
        <v>367</v>
      </c>
      <c r="D33" s="155">
        <v>0</v>
      </c>
      <c r="E33" s="190"/>
      <c r="F33" s="190"/>
      <c r="G33" s="190"/>
      <c r="H33" s="190"/>
      <c r="I33" s="190"/>
      <c r="J33" s="190"/>
      <c r="L33" s="43"/>
    </row>
    <row r="34" spans="1:14" x14ac:dyDescent="0.3">
      <c r="A34" s="119"/>
      <c r="B34" s="119"/>
      <c r="C34" s="119"/>
      <c r="D34" s="155"/>
      <c r="E34" s="190"/>
      <c r="F34" s="190"/>
      <c r="G34" s="190"/>
      <c r="H34" s="190"/>
      <c r="I34" s="190"/>
      <c r="J34" s="190"/>
      <c r="L34" s="43"/>
    </row>
    <row r="35" spans="1:14" x14ac:dyDescent="0.3">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3">
      <c r="A36" s="187" t="s">
        <v>1</v>
      </c>
      <c r="B36" s="157"/>
      <c r="C36" s="157"/>
      <c r="D36" s="32"/>
      <c r="E36" s="191"/>
      <c r="F36" s="191"/>
      <c r="G36" s="191"/>
      <c r="H36" s="191"/>
      <c r="I36" s="191"/>
      <c r="J36" s="157"/>
      <c r="L36" s="43"/>
    </row>
    <row r="37" spans="1:14" x14ac:dyDescent="0.3">
      <c r="A37" s="157"/>
      <c r="B37" s="157"/>
      <c r="C37" s="157"/>
      <c r="D37" s="32"/>
      <c r="E37" s="192"/>
      <c r="F37" s="192"/>
      <c r="G37" s="192"/>
      <c r="H37" s="192"/>
      <c r="I37" s="192"/>
      <c r="J37" s="157"/>
      <c r="L37" s="43"/>
    </row>
    <row r="38" spans="1:14" x14ac:dyDescent="0.3">
      <c r="A38" s="157"/>
      <c r="B38" s="157"/>
      <c r="C38" s="157"/>
      <c r="D38" s="32"/>
      <c r="E38" s="192"/>
      <c r="F38" s="192"/>
      <c r="G38" s="192"/>
      <c r="H38" s="192"/>
      <c r="I38" s="192"/>
      <c r="J38" s="157"/>
      <c r="L38" s="43"/>
    </row>
    <row r="39" spans="1:14" x14ac:dyDescent="0.3">
      <c r="A39" s="157"/>
      <c r="B39" s="157"/>
      <c r="C39" s="193"/>
      <c r="D39" s="32"/>
      <c r="E39" s="194"/>
      <c r="F39" s="194"/>
      <c r="G39" s="194"/>
      <c r="H39" s="194"/>
      <c r="I39" s="194"/>
      <c r="J39" s="157"/>
      <c r="L39" s="43"/>
    </row>
    <row r="40" spans="1:14" x14ac:dyDescent="0.3">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3">
      <c r="A41" s="187" t="s">
        <v>221</v>
      </c>
      <c r="B41" s="157"/>
      <c r="C41" s="157"/>
      <c r="D41" s="157"/>
      <c r="E41" s="195"/>
      <c r="F41" s="195"/>
      <c r="G41" s="195"/>
      <c r="H41" s="195"/>
      <c r="I41" s="195"/>
      <c r="J41" s="260"/>
      <c r="L41" s="43"/>
    </row>
    <row r="42" spans="1:14" x14ac:dyDescent="0.3">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3">
      <c r="A43" s="317"/>
      <c r="B43" s="318"/>
      <c r="C43" s="157"/>
      <c r="D43" s="32"/>
      <c r="E43" s="186"/>
      <c r="F43" s="186"/>
      <c r="G43" s="186"/>
      <c r="H43" s="186"/>
      <c r="I43" s="186"/>
      <c r="J43" s="186"/>
      <c r="K43" s="31"/>
      <c r="L43" s="43"/>
    </row>
    <row r="44" spans="1:14" x14ac:dyDescent="0.3">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3">
      <c r="A45" s="187" t="s">
        <v>3</v>
      </c>
      <c r="B45" s="157"/>
      <c r="C45" s="157"/>
      <c r="D45" s="158"/>
      <c r="E45" s="195"/>
      <c r="F45" s="195"/>
      <c r="G45" s="195"/>
      <c r="H45" s="195"/>
      <c r="I45" s="195"/>
      <c r="J45" s="157"/>
      <c r="L45" s="43"/>
    </row>
    <row r="46" spans="1:14" ht="16.5" customHeight="1" x14ac:dyDescent="0.3">
      <c r="A46" s="197" t="s">
        <v>371</v>
      </c>
      <c r="B46" s="157"/>
      <c r="C46" s="240" t="s">
        <v>385</v>
      </c>
      <c r="D46" s="261">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3">
      <c r="A47" s="157" t="s">
        <v>226</v>
      </c>
      <c r="B47" s="157"/>
      <c r="C47" s="240" t="s">
        <v>392</v>
      </c>
      <c r="D47" s="261">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3">
      <c r="A48" s="157" t="s">
        <v>227</v>
      </c>
      <c r="B48" s="157"/>
      <c r="C48" s="157" t="s">
        <v>397</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3">
      <c r="A49" s="197" t="s">
        <v>380</v>
      </c>
      <c r="B49" s="157"/>
      <c r="C49" s="222" t="s">
        <v>385</v>
      </c>
      <c r="D49" s="32">
        <v>427893</v>
      </c>
      <c r="E49" s="198">
        <f t="shared" si="9"/>
        <v>427893</v>
      </c>
      <c r="F49" s="186"/>
      <c r="G49" s="186"/>
      <c r="H49" s="186"/>
      <c r="I49" s="186"/>
      <c r="J49" s="186"/>
      <c r="K49" s="31">
        <f t="shared" si="7"/>
        <v>427893</v>
      </c>
      <c r="L49" s="47">
        <f>E49+J49+I49+H49+G49+F49</f>
        <v>427893</v>
      </c>
      <c r="M49" s="55"/>
      <c r="N49" s="55"/>
    </row>
    <row r="50" spans="1:14" ht="16.2" customHeight="1" x14ac:dyDescent="0.3">
      <c r="A50" s="276" t="s">
        <v>381</v>
      </c>
      <c r="B50" s="277"/>
      <c r="C50" s="240" t="s">
        <v>393</v>
      </c>
      <c r="D50" s="32">
        <v>55000</v>
      </c>
      <c r="E50" s="198">
        <f t="shared" si="9"/>
        <v>55000</v>
      </c>
      <c r="F50" s="186"/>
      <c r="G50" s="186"/>
      <c r="H50" s="186"/>
      <c r="I50" s="186"/>
      <c r="J50" s="186"/>
      <c r="K50" s="31">
        <f>D50</f>
        <v>55000</v>
      </c>
      <c r="L50" s="47">
        <f>E50+J50+I50+H50+G50+F50</f>
        <v>55000</v>
      </c>
      <c r="M50" s="55">
        <f>L50-D50</f>
        <v>0</v>
      </c>
      <c r="N50" s="55">
        <f>K50-D50</f>
        <v>0</v>
      </c>
    </row>
    <row r="51" spans="1:14" ht="16.2" customHeight="1" x14ac:dyDescent="0.3">
      <c r="A51" s="119" t="s">
        <v>257</v>
      </c>
      <c r="B51" s="220"/>
      <c r="C51" s="240" t="s">
        <v>396</v>
      </c>
      <c r="D51" s="32">
        <v>8561.76</v>
      </c>
      <c r="E51" s="198">
        <f t="shared" si="9"/>
        <v>8561.76</v>
      </c>
      <c r="F51" s="186"/>
      <c r="G51" s="186"/>
      <c r="H51" s="186"/>
      <c r="I51" s="186"/>
      <c r="J51" s="186"/>
      <c r="K51" s="31">
        <f>D51</f>
        <v>8561.76</v>
      </c>
      <c r="L51" s="47">
        <f>E51+J51+I51+H51+G51+F51</f>
        <v>8561.76</v>
      </c>
      <c r="M51" s="55"/>
      <c r="N51" s="55"/>
    </row>
    <row r="52" spans="1:14" x14ac:dyDescent="0.3">
      <c r="A52" s="119" t="s">
        <v>258</v>
      </c>
      <c r="B52" s="119"/>
      <c r="C52" s="240" t="s">
        <v>396</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3">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3">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3">
      <c r="A55" s="157"/>
      <c r="B55" s="157"/>
      <c r="C55" s="157"/>
      <c r="D55" s="158"/>
      <c r="E55" s="195"/>
      <c r="F55" s="195"/>
      <c r="G55" s="195"/>
      <c r="H55" s="195"/>
      <c r="I55" s="195"/>
      <c r="J55" s="157"/>
      <c r="L55" s="43"/>
    </row>
    <row r="56" spans="1:14" hidden="1" x14ac:dyDescent="0.3">
      <c r="A56" s="157"/>
      <c r="B56" s="157"/>
      <c r="C56" s="157"/>
      <c r="D56" s="158"/>
      <c r="E56" s="191"/>
      <c r="F56" s="191"/>
      <c r="G56" s="191"/>
      <c r="H56" s="191"/>
      <c r="I56" s="191"/>
      <c r="J56" s="157"/>
      <c r="L56" s="43"/>
    </row>
    <row r="57" spans="1:14" x14ac:dyDescent="0.3">
      <c r="A57" s="187" t="s">
        <v>222</v>
      </c>
      <c r="B57" s="157"/>
      <c r="C57" s="157"/>
      <c r="D57" s="158"/>
      <c r="E57" s="191"/>
      <c r="F57" s="191"/>
      <c r="G57" s="191"/>
      <c r="H57" s="191"/>
      <c r="I57" s="191"/>
      <c r="J57" s="157"/>
      <c r="L57" s="43"/>
    </row>
    <row r="58" spans="1:14" x14ac:dyDescent="0.3">
      <c r="A58" s="191" t="s">
        <v>334</v>
      </c>
      <c r="B58" s="201"/>
      <c r="C58" s="119" t="s">
        <v>384</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3">
      <c r="A59" s="319" t="s">
        <v>391</v>
      </c>
      <c r="B59" s="320"/>
      <c r="C59" s="119" t="s">
        <v>390</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3">
      <c r="A60" s="319" t="s">
        <v>389</v>
      </c>
      <c r="B60" s="320"/>
      <c r="C60" s="119" t="s">
        <v>390</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3">
      <c r="A61" s="276" t="s">
        <v>398</v>
      </c>
      <c r="B61" s="277"/>
      <c r="C61" s="119" t="s">
        <v>392</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3">
      <c r="A62" s="239" t="s">
        <v>399</v>
      </c>
      <c r="B62" s="220"/>
      <c r="C62" s="119" t="s">
        <v>392</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3">
      <c r="A63" s="276" t="s">
        <v>400</v>
      </c>
      <c r="B63" s="277"/>
      <c r="C63" s="240" t="s">
        <v>385</v>
      </c>
      <c r="D63" s="32">
        <v>550000</v>
      </c>
      <c r="E63" s="198">
        <f>D63</f>
        <v>550000</v>
      </c>
      <c r="F63" s="186"/>
      <c r="G63" s="186"/>
      <c r="H63" s="186"/>
      <c r="I63" s="186"/>
      <c r="J63" s="186"/>
      <c r="K63" s="31">
        <f t="shared" si="14"/>
        <v>550000</v>
      </c>
      <c r="L63" s="47">
        <f t="shared" si="15"/>
        <v>550000</v>
      </c>
    </row>
    <row r="64" spans="1:14" ht="39.6" customHeight="1" x14ac:dyDescent="0.3">
      <c r="A64" s="276" t="s">
        <v>386</v>
      </c>
      <c r="B64" s="277"/>
      <c r="C64" s="240" t="s">
        <v>385</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3">
      <c r="A65" s="276" t="s">
        <v>395</v>
      </c>
      <c r="B65" s="277"/>
      <c r="C65" s="240" t="s">
        <v>394</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3">
      <c r="A66" s="248" t="s">
        <v>370</v>
      </c>
      <c r="B66" s="249"/>
      <c r="C66" s="240" t="s">
        <v>385</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3">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3">
      <c r="A68" s="187" t="s">
        <v>5</v>
      </c>
      <c r="B68" s="157"/>
      <c r="C68" s="157"/>
      <c r="D68" s="158"/>
      <c r="E68" s="191"/>
      <c r="F68" s="191"/>
      <c r="G68" s="191"/>
      <c r="H68" s="191"/>
      <c r="I68" s="191"/>
      <c r="J68" s="157"/>
      <c r="L68" s="43"/>
    </row>
    <row r="69" spans="1:14" ht="14.25" customHeight="1" x14ac:dyDescent="0.3">
      <c r="A69" s="202" t="s">
        <v>6</v>
      </c>
      <c r="B69" s="157" t="s">
        <v>382</v>
      </c>
      <c r="C69" s="157" t="s">
        <v>393</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3">
      <c r="A70" s="278" t="s">
        <v>401</v>
      </c>
      <c r="B70" s="279"/>
      <c r="C70" s="280"/>
      <c r="D70" s="32">
        <v>0</v>
      </c>
      <c r="E70" s="198">
        <f>D70*93.2%</f>
        <v>0</v>
      </c>
      <c r="F70" s="186">
        <f>$D70*1.08%</f>
        <v>0</v>
      </c>
      <c r="G70" s="186">
        <f>$D70*1.28%</f>
        <v>0</v>
      </c>
      <c r="H70" s="186">
        <f>$D70*1.21%</f>
        <v>0</v>
      </c>
      <c r="I70" s="186">
        <f>$D70*1.49%</f>
        <v>0</v>
      </c>
      <c r="J70" s="186">
        <f>D70*1.74%</f>
        <v>0</v>
      </c>
      <c r="L70" s="43"/>
      <c r="N70" s="32"/>
    </row>
    <row r="71" spans="1:14" x14ac:dyDescent="0.3">
      <c r="A71" s="157"/>
      <c r="B71" s="157"/>
      <c r="C71" s="157"/>
      <c r="D71" s="158"/>
      <c r="E71" s="203"/>
      <c r="F71" s="203"/>
      <c r="G71" s="203"/>
      <c r="H71" s="203"/>
      <c r="I71" s="203"/>
      <c r="J71" s="157"/>
      <c r="L71" s="43"/>
      <c r="N71" s="31"/>
    </row>
    <row r="72" spans="1:14" x14ac:dyDescent="0.3">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3">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3">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3">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 thickBot="1" x14ac:dyDescent="0.35">
      <c r="A76" s="61"/>
      <c r="B76" s="61"/>
      <c r="C76" s="61"/>
      <c r="D76" s="61"/>
      <c r="E76" s="205"/>
      <c r="F76" s="205"/>
      <c r="G76" s="205"/>
      <c r="H76" s="205"/>
      <c r="I76" s="205"/>
      <c r="J76" s="61"/>
      <c r="L76" s="43"/>
    </row>
    <row r="77" spans="1:14" ht="39.75" customHeight="1" thickBot="1" x14ac:dyDescent="0.35">
      <c r="A77" s="312" t="s">
        <v>407</v>
      </c>
      <c r="B77" s="313"/>
      <c r="C77" s="314"/>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62">
        <f>D77*1.74%</f>
        <v>191593.79128199996</v>
      </c>
      <c r="K77" s="31">
        <f>E77+J77+F77+G77+H77+I77</f>
        <v>11011137.429999996</v>
      </c>
      <c r="L77" s="43" t="str">
        <f>IF(D77=K77, "", "Error")</f>
        <v/>
      </c>
    </row>
    <row r="78" spans="1:14" ht="15" thickBot="1" x14ac:dyDescent="0.35">
      <c r="A78" s="207"/>
      <c r="B78" s="208"/>
      <c r="C78" s="208"/>
      <c r="D78" s="63"/>
      <c r="E78" s="63"/>
      <c r="F78" s="63"/>
      <c r="G78" s="63"/>
      <c r="H78" s="63"/>
      <c r="I78" s="63"/>
      <c r="J78" s="263"/>
      <c r="K78" s="31"/>
      <c r="L78" s="43"/>
    </row>
    <row r="79" spans="1:14" ht="15" thickBot="1" x14ac:dyDescent="0.35">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 thickBot="1" x14ac:dyDescent="0.35">
      <c r="A80" s="56"/>
      <c r="B80" s="56"/>
      <c r="C80" s="56"/>
      <c r="D80" s="56"/>
      <c r="E80" s="212"/>
      <c r="F80" s="212"/>
      <c r="G80" s="212"/>
      <c r="H80" s="212"/>
      <c r="I80" s="212"/>
      <c r="J80" s="56"/>
    </row>
    <row r="81" spans="1:13" ht="15" thickBot="1" x14ac:dyDescent="0.35">
      <c r="A81" s="213" t="s">
        <v>36</v>
      </c>
      <c r="B81" s="214"/>
      <c r="C81" s="214"/>
      <c r="D81" s="56"/>
      <c r="E81" s="212"/>
      <c r="F81" s="212"/>
      <c r="G81" s="212"/>
      <c r="H81" s="212"/>
      <c r="I81" s="212"/>
      <c r="J81" s="56"/>
    </row>
    <row r="82" spans="1:13" x14ac:dyDescent="0.3">
      <c r="A82" s="215" t="s">
        <v>387</v>
      </c>
      <c r="B82" s="56"/>
      <c r="C82" s="264">
        <v>300000</v>
      </c>
      <c r="D82" s="56"/>
      <c r="E82" s="212"/>
      <c r="F82" s="212"/>
      <c r="G82" s="212"/>
      <c r="H82" s="212"/>
      <c r="I82" s="212"/>
      <c r="J82" s="56"/>
    </row>
    <row r="83" spans="1:13" ht="16.2" customHeight="1" thickBot="1" x14ac:dyDescent="0.35">
      <c r="A83" s="215" t="s">
        <v>388</v>
      </c>
      <c r="B83" s="56"/>
      <c r="C83" s="264">
        <v>106464</v>
      </c>
      <c r="D83" s="212"/>
      <c r="E83" s="212"/>
      <c r="F83" s="212"/>
      <c r="G83" s="212"/>
      <c r="H83" s="212"/>
      <c r="I83" s="212"/>
      <c r="J83" s="56"/>
    </row>
    <row r="84" spans="1:13" ht="15" thickBot="1" x14ac:dyDescent="0.35">
      <c r="A84" s="216" t="s">
        <v>16</v>
      </c>
      <c r="B84" s="217"/>
      <c r="C84" s="218">
        <f>SUM(C82:C83)</f>
        <v>406464</v>
      </c>
      <c r="D84" s="56"/>
      <c r="E84" s="212"/>
      <c r="F84" s="212"/>
      <c r="G84" s="212"/>
      <c r="H84" s="212"/>
      <c r="I84" s="212"/>
      <c r="J84" s="56"/>
    </row>
    <row r="85" spans="1:13" x14ac:dyDescent="0.3">
      <c r="A85" s="56"/>
      <c r="B85" s="56"/>
      <c r="C85" s="56"/>
      <c r="D85" s="56"/>
      <c r="E85" s="212"/>
      <c r="F85" s="212"/>
      <c r="G85" s="31"/>
      <c r="H85" s="31"/>
      <c r="I85" s="31"/>
    </row>
    <row r="86" spans="1:13" x14ac:dyDescent="0.3">
      <c r="A86" s="56"/>
      <c r="B86" s="56"/>
      <c r="C86" s="56"/>
      <c r="D86" s="56"/>
      <c r="E86" s="219"/>
      <c r="F86" s="219"/>
      <c r="G86" s="40"/>
      <c r="H86" s="40"/>
      <c r="I86" s="40"/>
    </row>
    <row r="87" spans="1:13" x14ac:dyDescent="0.3">
      <c r="A87" s="299" t="s">
        <v>32</v>
      </c>
      <c r="B87" s="300"/>
      <c r="C87" s="300"/>
      <c r="D87" s="300"/>
      <c r="E87" s="51" t="s">
        <v>10</v>
      </c>
      <c r="F87" s="51" t="s">
        <v>165</v>
      </c>
      <c r="G87" s="51" t="s">
        <v>166</v>
      </c>
      <c r="H87" s="51" t="s">
        <v>167</v>
      </c>
      <c r="I87" s="51" t="s">
        <v>168</v>
      </c>
      <c r="J87" s="52" t="s">
        <v>169</v>
      </c>
    </row>
    <row r="88" spans="1:13" ht="22.5" customHeight="1" x14ac:dyDescent="0.3">
      <c r="A88" s="276"/>
      <c r="B88" s="281"/>
      <c r="C88" s="220"/>
      <c r="D88" s="32"/>
      <c r="E88" s="198">
        <f>D88</f>
        <v>0</v>
      </c>
      <c r="F88" s="198"/>
      <c r="G88" s="42"/>
      <c r="H88" s="42"/>
      <c r="I88" s="42"/>
      <c r="J88" s="38"/>
    </row>
    <row r="89" spans="1:13" ht="24.75" customHeight="1" x14ac:dyDescent="0.3">
      <c r="A89" s="301"/>
      <c r="B89" s="302"/>
      <c r="C89" s="53"/>
      <c r="D89" s="32"/>
      <c r="E89" s="42"/>
      <c r="F89" s="42"/>
      <c r="G89" s="42"/>
      <c r="H89" s="42"/>
      <c r="I89" s="42"/>
      <c r="J89" s="38"/>
    </row>
    <row r="90" spans="1:13" x14ac:dyDescent="0.3">
      <c r="A90" s="296" t="s">
        <v>16</v>
      </c>
      <c r="B90" s="297"/>
      <c r="C90" s="298"/>
      <c r="D90" s="50">
        <f>SUM(D88:D89)</f>
        <v>0</v>
      </c>
      <c r="E90" s="50">
        <f>SUM(E88:E89)</f>
        <v>0</v>
      </c>
      <c r="F90" s="50"/>
      <c r="G90" s="50"/>
      <c r="H90" s="50"/>
      <c r="I90" s="50"/>
      <c r="J90" s="50">
        <f>SUM(J88:J89)</f>
        <v>0</v>
      </c>
      <c r="L90" s="31">
        <f>E90+J90</f>
        <v>0</v>
      </c>
      <c r="M90" s="43" t="str">
        <f>IF(D90=L90, "", "Error")</f>
        <v/>
      </c>
    </row>
    <row r="92" spans="1:13" ht="15" thickBot="1" x14ac:dyDescent="0.35">
      <c r="E92" s="31"/>
      <c r="F92" s="31"/>
      <c r="G92" s="31"/>
      <c r="H92" s="31"/>
      <c r="I92" s="31"/>
    </row>
    <row r="93" spans="1:13" ht="19.5" customHeight="1" thickBot="1" x14ac:dyDescent="0.35">
      <c r="A93" s="26" t="s">
        <v>29</v>
      </c>
      <c r="B93" s="27">
        <f>D79</f>
        <v>26225955.399999999</v>
      </c>
    </row>
    <row r="94" spans="1:13" ht="18.75" customHeight="1" thickBot="1" x14ac:dyDescent="0.35">
      <c r="A94" s="28" t="s">
        <v>31</v>
      </c>
      <c r="B94" s="29">
        <f>D79-D77</f>
        <v>15214817.970000001</v>
      </c>
      <c r="D94" s="282" t="s">
        <v>373</v>
      </c>
      <c r="E94" s="282"/>
      <c r="F94" s="282"/>
      <c r="G94" s="282"/>
      <c r="H94" s="282"/>
      <c r="I94" s="282"/>
    </row>
    <row r="95" spans="1:13" x14ac:dyDescent="0.3">
      <c r="D95" s="282"/>
      <c r="E95" s="282"/>
      <c r="F95" s="282"/>
      <c r="G95" s="282"/>
      <c r="H95" s="282"/>
      <c r="I95" s="282"/>
    </row>
    <row r="96" spans="1:13" x14ac:dyDescent="0.3">
      <c r="D96" s="282"/>
      <c r="E96" s="282"/>
      <c r="F96" s="282"/>
      <c r="G96" s="282"/>
      <c r="H96" s="282"/>
      <c r="I96" s="282"/>
    </row>
    <row r="97" spans="1:11" x14ac:dyDescent="0.3">
      <c r="A97" s="7" t="s">
        <v>404</v>
      </c>
      <c r="B97" s="8"/>
      <c r="C97" s="9"/>
      <c r="D97" s="282"/>
      <c r="E97" s="282"/>
      <c r="F97" s="282"/>
      <c r="G97" s="282"/>
      <c r="H97" s="282"/>
      <c r="I97" s="282"/>
    </row>
    <row r="98" spans="1:11" x14ac:dyDescent="0.3">
      <c r="A98" s="10" t="s">
        <v>20</v>
      </c>
      <c r="B98" s="5">
        <v>1682660.59</v>
      </c>
      <c r="C98" s="11"/>
      <c r="D98" s="282"/>
      <c r="E98" s="282"/>
      <c r="F98" s="282"/>
      <c r="G98" s="282"/>
      <c r="H98" s="282"/>
      <c r="I98" s="282"/>
    </row>
    <row r="99" spans="1:11" x14ac:dyDescent="0.3">
      <c r="A99" s="12" t="s">
        <v>21</v>
      </c>
      <c r="B99" s="21">
        <f>PRORRATEO!H134</f>
        <v>16674673.139011996</v>
      </c>
      <c r="C99" s="11" t="s">
        <v>22</v>
      </c>
      <c r="D99" s="282"/>
      <c r="E99" s="282"/>
      <c r="F99" s="282"/>
      <c r="G99" s="282"/>
      <c r="H99" s="282"/>
      <c r="I99" s="282"/>
    </row>
    <row r="100" spans="1:11" x14ac:dyDescent="0.3">
      <c r="A100" s="12" t="s">
        <v>338</v>
      </c>
      <c r="B100" s="21">
        <f>ARBA!L82</f>
        <v>0</v>
      </c>
      <c r="C100" s="11"/>
      <c r="D100" s="282"/>
      <c r="E100" s="282"/>
      <c r="F100" s="282"/>
      <c r="G100" s="282"/>
      <c r="H100" s="282"/>
      <c r="I100" s="282"/>
    </row>
    <row r="101" spans="1:11" x14ac:dyDescent="0.3">
      <c r="A101" s="12" t="s">
        <v>34</v>
      </c>
      <c r="B101" s="54">
        <f>-B94</f>
        <v>-15214817.970000001</v>
      </c>
      <c r="C101" s="9"/>
      <c r="D101" s="282"/>
      <c r="E101" s="282"/>
      <c r="F101" s="282"/>
      <c r="G101" s="282"/>
      <c r="H101" s="282"/>
      <c r="I101" s="282"/>
      <c r="K101" s="32"/>
    </row>
    <row r="102" spans="1:11" x14ac:dyDescent="0.3">
      <c r="A102" s="12" t="s">
        <v>33</v>
      </c>
      <c r="B102" s="54">
        <f>-D90</f>
        <v>0</v>
      </c>
      <c r="C102" s="9"/>
      <c r="D102" s="282"/>
      <c r="E102" s="282"/>
      <c r="F102" s="282"/>
      <c r="G102" s="282"/>
      <c r="H102" s="282"/>
      <c r="I102" s="282"/>
      <c r="K102" s="33"/>
    </row>
    <row r="103" spans="1:11" x14ac:dyDescent="0.3">
      <c r="A103" s="12" t="s">
        <v>272</v>
      </c>
      <c r="B103" s="21">
        <f>B111</f>
        <v>0</v>
      </c>
      <c r="C103" s="9"/>
      <c r="D103" s="282"/>
      <c r="E103" s="282"/>
      <c r="F103" s="282"/>
      <c r="G103" s="282"/>
      <c r="H103" s="282"/>
      <c r="I103" s="282"/>
      <c r="K103" s="33"/>
    </row>
    <row r="104" spans="1:11" x14ac:dyDescent="0.3">
      <c r="A104" s="12" t="s">
        <v>405</v>
      </c>
      <c r="B104" s="54">
        <v>-141000</v>
      </c>
      <c r="C104" s="9"/>
      <c r="D104" s="282"/>
      <c r="E104" s="282"/>
      <c r="F104" s="282"/>
      <c r="G104" s="282"/>
      <c r="H104" s="282"/>
      <c r="I104" s="282"/>
      <c r="K104" s="33"/>
    </row>
    <row r="105" spans="1:11" x14ac:dyDescent="0.3">
      <c r="A105" s="12" t="s">
        <v>30</v>
      </c>
      <c r="B105" s="54">
        <f>-B123</f>
        <v>-20000</v>
      </c>
      <c r="C105" s="13"/>
      <c r="D105" s="282"/>
      <c r="E105" s="282"/>
      <c r="F105" s="282"/>
      <c r="G105" s="282"/>
      <c r="H105" s="282"/>
      <c r="I105" s="282"/>
    </row>
    <row r="106" spans="1:11" x14ac:dyDescent="0.3">
      <c r="A106" s="12" t="s">
        <v>36</v>
      </c>
      <c r="B106" s="54">
        <f>-C84</f>
        <v>-406464</v>
      </c>
      <c r="C106" s="13"/>
      <c r="D106" s="282"/>
      <c r="E106" s="282"/>
      <c r="F106" s="282"/>
      <c r="G106" s="282"/>
      <c r="H106" s="282"/>
      <c r="I106" s="282"/>
    </row>
    <row r="107" spans="1:11" x14ac:dyDescent="0.3">
      <c r="A107" s="10" t="s">
        <v>23</v>
      </c>
      <c r="B107" s="14">
        <f>SUM(B98:B106)</f>
        <v>2575051.7590119969</v>
      </c>
      <c r="C107" s="44"/>
      <c r="D107" s="282"/>
      <c r="E107" s="282"/>
      <c r="F107" s="282"/>
      <c r="G107" s="282"/>
      <c r="H107" s="282"/>
      <c r="I107" s="282"/>
    </row>
    <row r="108" spans="1:11" x14ac:dyDescent="0.3">
      <c r="A108" s="13"/>
      <c r="C108" s="9"/>
      <c r="D108" s="282"/>
      <c r="E108" s="282"/>
      <c r="F108" s="282"/>
      <c r="G108" s="282"/>
      <c r="H108" s="282"/>
      <c r="I108" s="282"/>
    </row>
    <row r="109" spans="1:11" x14ac:dyDescent="0.3">
      <c r="A109" s="7" t="s">
        <v>271</v>
      </c>
      <c r="B109" s="5"/>
      <c r="C109" s="9"/>
      <c r="D109" s="282"/>
      <c r="E109" s="282"/>
      <c r="F109" s="282"/>
      <c r="G109" s="282"/>
      <c r="H109" s="282"/>
      <c r="I109" s="282"/>
    </row>
    <row r="110" spans="1:11" ht="15.75" customHeight="1" x14ac:dyDescent="0.3">
      <c r="A110" s="177"/>
      <c r="B110" s="21">
        <v>0</v>
      </c>
      <c r="C110" s="9"/>
      <c r="D110" s="16"/>
      <c r="E110" s="16"/>
    </row>
    <row r="111" spans="1:11" x14ac:dyDescent="0.3">
      <c r="A111" s="24" t="s">
        <v>16</v>
      </c>
      <c r="B111" s="25">
        <f>SUM(B109:B110)</f>
        <v>0</v>
      </c>
      <c r="C111" s="9"/>
      <c r="E111" s="16"/>
    </row>
    <row r="112" spans="1:11" x14ac:dyDescent="0.3">
      <c r="A112" s="13"/>
      <c r="C112" s="9"/>
      <c r="D112" s="16"/>
    </row>
    <row r="113" spans="1:10" ht="15" thickBot="1" x14ac:dyDescent="0.35">
      <c r="A113" s="13"/>
      <c r="C113" s="9"/>
      <c r="D113" s="16"/>
    </row>
    <row r="114" spans="1:10" ht="19.5" customHeight="1" x14ac:dyDescent="0.3">
      <c r="A114" s="7" t="s">
        <v>19</v>
      </c>
      <c r="B114" s="5">
        <v>-25817.72</v>
      </c>
      <c r="C114" s="9"/>
      <c r="D114" s="303" t="s">
        <v>406</v>
      </c>
      <c r="E114" s="304"/>
      <c r="F114" s="304"/>
      <c r="G114" s="304"/>
      <c r="H114" s="304"/>
      <c r="I114" s="305"/>
    </row>
    <row r="115" spans="1:10" ht="36" customHeight="1" x14ac:dyDescent="0.3">
      <c r="A115" s="179" t="s">
        <v>402</v>
      </c>
      <c r="B115" s="250">
        <v>-24000</v>
      </c>
      <c r="C115" s="9"/>
      <c r="D115" s="306"/>
      <c r="E115" s="307"/>
      <c r="F115" s="307"/>
      <c r="G115" s="307"/>
      <c r="H115" s="307"/>
      <c r="I115" s="308"/>
    </row>
    <row r="116" spans="1:10" ht="34.5" customHeight="1" x14ac:dyDescent="0.3">
      <c r="A116" s="179" t="s">
        <v>403</v>
      </c>
      <c r="B116" s="250">
        <v>-24000</v>
      </c>
      <c r="C116" s="9"/>
      <c r="D116" s="306"/>
      <c r="E116" s="307"/>
      <c r="F116" s="307"/>
      <c r="G116" s="307"/>
      <c r="H116" s="307"/>
      <c r="I116" s="308"/>
    </row>
    <row r="117" spans="1:10" ht="15" thickBot="1" x14ac:dyDescent="0.35">
      <c r="A117" s="24" t="s">
        <v>16</v>
      </c>
      <c r="B117" s="25">
        <f>SUM(B114:B116)</f>
        <v>-73817.72</v>
      </c>
      <c r="C117" s="9"/>
      <c r="D117" s="309"/>
      <c r="E117" s="310"/>
      <c r="F117" s="310"/>
      <c r="G117" s="310"/>
      <c r="H117" s="310"/>
      <c r="I117" s="311"/>
    </row>
    <row r="118" spans="1:10" x14ac:dyDescent="0.3">
      <c r="A118" s="13"/>
    </row>
    <row r="119" spans="1:10" x14ac:dyDescent="0.3">
      <c r="A119" s="13"/>
      <c r="F119" s="46"/>
      <c r="G119" s="46"/>
    </row>
    <row r="120" spans="1:10" x14ac:dyDescent="0.3">
      <c r="A120" s="13"/>
      <c r="F120" s="46"/>
      <c r="G120" s="46"/>
    </row>
    <row r="121" spans="1:10" ht="15" thickBot="1" x14ac:dyDescent="0.35">
      <c r="H121" s="55"/>
      <c r="I121" s="55"/>
    </row>
    <row r="122" spans="1:10" ht="15" customHeight="1" x14ac:dyDescent="0.3">
      <c r="A122" s="7" t="s">
        <v>355</v>
      </c>
      <c r="B122" s="5">
        <v>578840</v>
      </c>
      <c r="C122" s="15"/>
      <c r="D122" s="283" t="s">
        <v>383</v>
      </c>
      <c r="E122" s="284"/>
      <c r="F122" s="284"/>
      <c r="G122" s="284"/>
      <c r="H122" s="284"/>
      <c r="I122" s="284"/>
      <c r="J122" s="285"/>
    </row>
    <row r="123" spans="1:10" ht="15" customHeight="1" x14ac:dyDescent="0.3">
      <c r="A123" s="10" t="s">
        <v>238</v>
      </c>
      <c r="B123" s="22">
        <v>20000</v>
      </c>
      <c r="C123" s="15"/>
      <c r="D123" s="286"/>
      <c r="E123" s="287"/>
      <c r="F123" s="287"/>
      <c r="G123" s="287"/>
      <c r="H123" s="287"/>
      <c r="I123" s="287"/>
      <c r="J123" s="288"/>
    </row>
    <row r="124" spans="1:10" x14ac:dyDescent="0.3">
      <c r="A124" s="24" t="s">
        <v>16</v>
      </c>
      <c r="B124" s="25">
        <f>SUM(B122:B123)</f>
        <v>598840</v>
      </c>
      <c r="C124" s="15"/>
      <c r="D124" s="286"/>
      <c r="E124" s="287"/>
      <c r="F124" s="287"/>
      <c r="G124" s="287"/>
      <c r="H124" s="287"/>
      <c r="I124" s="287"/>
      <c r="J124" s="288"/>
    </row>
    <row r="125" spans="1:10" ht="15" thickBot="1" x14ac:dyDescent="0.35">
      <c r="C125" s="16"/>
      <c r="D125" s="286"/>
      <c r="E125" s="287"/>
      <c r="F125" s="287"/>
      <c r="G125" s="287"/>
      <c r="H125" s="287"/>
      <c r="I125" s="287"/>
      <c r="J125" s="288"/>
    </row>
    <row r="126" spans="1:10" ht="18.75" customHeight="1" x14ac:dyDescent="0.3">
      <c r="A126" s="292" t="s">
        <v>356</v>
      </c>
      <c r="B126" s="294">
        <f>B124+B107+B117</f>
        <v>3100074.0390119967</v>
      </c>
      <c r="C126" s="9"/>
      <c r="D126" s="286"/>
      <c r="E126" s="287"/>
      <c r="F126" s="287"/>
      <c r="G126" s="287"/>
      <c r="H126" s="287"/>
      <c r="I126" s="287"/>
      <c r="J126" s="288"/>
    </row>
    <row r="127" spans="1:10" ht="19.5" customHeight="1" thickBot="1" x14ac:dyDescent="0.35">
      <c r="A127" s="293"/>
      <c r="B127" s="295"/>
      <c r="D127" s="289"/>
      <c r="E127" s="290"/>
      <c r="F127" s="290"/>
      <c r="G127" s="290"/>
      <c r="H127" s="290"/>
      <c r="I127" s="290"/>
      <c r="J127" s="291"/>
    </row>
    <row r="132" spans="3:8" x14ac:dyDescent="0.3">
      <c r="C132" s="46"/>
      <c r="D132" s="46"/>
      <c r="E132" s="46"/>
      <c r="F132" s="46"/>
      <c r="G132" s="46"/>
      <c r="H132" s="46"/>
    </row>
    <row r="133" spans="3:8" x14ac:dyDescent="0.3">
      <c r="C133" s="46"/>
      <c r="D133" s="46"/>
      <c r="E133" s="46"/>
      <c r="F133" s="46"/>
      <c r="G133" s="46"/>
      <c r="H133" s="46"/>
    </row>
    <row r="134" spans="3:8" x14ac:dyDescent="0.3">
      <c r="C134" s="46"/>
      <c r="D134" s="256"/>
      <c r="E134" s="46"/>
      <c r="F134" s="46"/>
      <c r="G134" s="46"/>
      <c r="H134" s="46"/>
    </row>
    <row r="135" spans="3:8" x14ac:dyDescent="0.3">
      <c r="C135" s="46"/>
      <c r="D135" s="256"/>
      <c r="E135" s="46"/>
      <c r="F135" s="46"/>
      <c r="G135" s="46"/>
      <c r="H135" s="46"/>
    </row>
    <row r="136" spans="3:8" x14ac:dyDescent="0.3">
      <c r="C136" s="46"/>
      <c r="D136" s="46"/>
      <c r="E136" s="46"/>
      <c r="F136" s="46"/>
      <c r="G136" s="46"/>
      <c r="H136" s="46"/>
    </row>
    <row r="137" spans="3:8" x14ac:dyDescent="0.3">
      <c r="C137" s="46"/>
      <c r="D137" s="46"/>
      <c r="E137" s="46"/>
      <c r="F137" s="46"/>
      <c r="G137" s="46"/>
      <c r="H137" s="46"/>
    </row>
    <row r="138" spans="3:8" x14ac:dyDescent="0.3">
      <c r="C138" s="46"/>
      <c r="D138" s="46"/>
      <c r="E138" s="46"/>
      <c r="F138" s="46"/>
      <c r="G138" s="46"/>
      <c r="H138" s="46"/>
    </row>
    <row r="139" spans="3:8" x14ac:dyDescent="0.3">
      <c r="C139" s="46"/>
      <c r="D139" s="46"/>
      <c r="E139" s="46"/>
      <c r="F139" s="46"/>
      <c r="G139" s="46"/>
      <c r="H139" s="46"/>
    </row>
    <row r="140" spans="3:8" x14ac:dyDescent="0.3">
      <c r="C140" s="46"/>
      <c r="D140" s="46"/>
      <c r="E140" s="46"/>
      <c r="F140" s="46"/>
      <c r="G140" s="46"/>
      <c r="H140" s="46"/>
    </row>
    <row r="141" spans="3:8" x14ac:dyDescent="0.3">
      <c r="C141" s="46"/>
      <c r="D141" s="46"/>
      <c r="E141" s="46"/>
      <c r="F141" s="46"/>
      <c r="G141" s="46"/>
      <c r="H141" s="46"/>
    </row>
    <row r="142" spans="3:8" x14ac:dyDescent="0.3">
      <c r="C142" s="46"/>
      <c r="D142" s="46"/>
      <c r="E142" s="46"/>
      <c r="F142" s="46"/>
      <c r="G142" s="46"/>
      <c r="H142" s="46"/>
    </row>
  </sheetData>
  <mergeCells count="21">
    <mergeCell ref="A64:B64"/>
    <mergeCell ref="A63:B63"/>
    <mergeCell ref="A14:J18"/>
    <mergeCell ref="A20:J22"/>
    <mergeCell ref="A43:B43"/>
    <mergeCell ref="A50:B50"/>
    <mergeCell ref="A61:B61"/>
    <mergeCell ref="A59:B59"/>
    <mergeCell ref="A60:B60"/>
    <mergeCell ref="A65:B65"/>
    <mergeCell ref="A70:C70"/>
    <mergeCell ref="A88:B88"/>
    <mergeCell ref="D94:I109"/>
    <mergeCell ref="D122:J127"/>
    <mergeCell ref="A126:A127"/>
    <mergeCell ref="B126:B127"/>
    <mergeCell ref="A90:C90"/>
    <mergeCell ref="A87:D87"/>
    <mergeCell ref="A89:B89"/>
    <mergeCell ref="D114:I117"/>
    <mergeCell ref="A77:C77"/>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1" zoomScale="90" zoomScaleNormal="90" workbookViewId="0">
      <selection activeCell="C16" sqref="C16:D16"/>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5.5546875" customWidth="1"/>
    <col min="9" max="9" width="15.88671875" customWidth="1"/>
    <col min="10" max="10" width="13.5546875" customWidth="1"/>
    <col min="11" max="11" width="12.5546875" customWidth="1"/>
    <col min="12" max="12" width="14.5546875" customWidth="1"/>
    <col min="13" max="13" width="12.5546875" customWidth="1"/>
    <col min="14" max="14" width="17.33203125" customWidth="1"/>
    <col min="15" max="15" width="13.6640625" customWidth="1"/>
    <col min="16" max="16" width="11.44140625" customWidth="1"/>
    <col min="17" max="17" width="14.5546875" bestFit="1" customWidth="1"/>
    <col min="18" max="18" width="14.88671875" customWidth="1"/>
    <col min="19" max="19" width="14.5546875" bestFit="1" customWidth="1"/>
  </cols>
  <sheetData>
    <row r="1" spans="1:19" x14ac:dyDescent="0.3">
      <c r="A1" s="354" t="s">
        <v>298</v>
      </c>
      <c r="B1" s="355"/>
      <c r="C1" s="355"/>
      <c r="D1" s="355"/>
      <c r="E1" s="355"/>
      <c r="F1" s="103" t="s">
        <v>274</v>
      </c>
      <c r="G1" s="103"/>
      <c r="H1" s="103"/>
      <c r="I1" s="103"/>
      <c r="J1" s="103"/>
      <c r="K1" s="103"/>
      <c r="L1" s="132" t="s">
        <v>38</v>
      </c>
      <c r="M1" s="333">
        <f>RESUMEN!D79-N4</f>
        <v>26225955.399999999</v>
      </c>
      <c r="N1" s="334"/>
      <c r="O1" s="104"/>
      <c r="P1" s="39"/>
    </row>
    <row r="2" spans="1:19" ht="36" customHeight="1" x14ac:dyDescent="0.3">
      <c r="A2" s="356"/>
      <c r="B2" s="357"/>
      <c r="C2" s="357"/>
      <c r="D2" s="357"/>
      <c r="E2" s="357"/>
      <c r="F2" s="4" t="s">
        <v>273</v>
      </c>
      <c r="G2" s="4"/>
      <c r="H2" s="4"/>
      <c r="I2" s="4"/>
      <c r="J2" s="4"/>
      <c r="K2" s="4"/>
      <c r="L2" s="133" t="s">
        <v>39</v>
      </c>
      <c r="M2" s="133"/>
      <c r="N2" s="134">
        <f>M1</f>
        <v>26225955.399999999</v>
      </c>
      <c r="O2" s="105"/>
      <c r="P2" s="39"/>
    </row>
    <row r="3" spans="1:19" ht="36" customHeight="1" x14ac:dyDescent="0.3">
      <c r="A3" s="356"/>
      <c r="B3" s="357"/>
      <c r="C3" s="357"/>
      <c r="D3" s="357"/>
      <c r="E3" s="357"/>
      <c r="F3" s="4"/>
      <c r="G3" s="4"/>
      <c r="H3" s="4"/>
      <c r="I3" s="4"/>
      <c r="J3" s="4"/>
      <c r="K3" s="4"/>
      <c r="L3" s="133" t="s">
        <v>408</v>
      </c>
      <c r="M3" s="133"/>
      <c r="N3" s="134">
        <f>L15+L16+L17+L18+L19</f>
        <v>1685380.64124</v>
      </c>
      <c r="O3" s="105"/>
      <c r="P3" s="39"/>
    </row>
    <row r="4" spans="1:19" ht="36" customHeight="1" x14ac:dyDescent="0.3">
      <c r="A4" s="356"/>
      <c r="B4" s="357"/>
      <c r="C4" s="357"/>
      <c r="D4" s="357"/>
      <c r="E4" s="357"/>
      <c r="F4" s="4" t="s">
        <v>275</v>
      </c>
      <c r="G4" s="4"/>
      <c r="H4" s="4"/>
      <c r="I4" s="4"/>
      <c r="J4" s="106"/>
      <c r="K4" s="106"/>
      <c r="L4" s="133" t="s">
        <v>357</v>
      </c>
      <c r="M4" s="4"/>
      <c r="N4" s="159">
        <v>0</v>
      </c>
      <c r="O4" s="107"/>
      <c r="P4" s="6"/>
    </row>
    <row r="5" spans="1:19" ht="2.25" customHeight="1" thickBot="1" x14ac:dyDescent="0.35">
      <c r="A5" s="358"/>
      <c r="B5" s="359"/>
      <c r="C5" s="359"/>
      <c r="D5" s="359"/>
      <c r="E5" s="359"/>
      <c r="F5" s="108"/>
      <c r="G5" s="108"/>
      <c r="H5" s="108"/>
      <c r="I5" s="108"/>
      <c r="J5" s="109"/>
      <c r="K5" s="109"/>
      <c r="L5" s="108"/>
      <c r="M5" s="108"/>
      <c r="N5" s="110"/>
      <c r="O5" s="111"/>
      <c r="P5" s="6"/>
    </row>
    <row r="6" spans="1:19" x14ac:dyDescent="0.3">
      <c r="A6" s="4"/>
      <c r="B6" s="4"/>
      <c r="C6" s="339" t="s">
        <v>368</v>
      </c>
      <c r="D6" s="340"/>
      <c r="E6" s="340"/>
      <c r="F6" s="340"/>
      <c r="G6" s="340"/>
      <c r="H6" s="340"/>
      <c r="I6" s="340"/>
      <c r="J6" s="340"/>
      <c r="K6" s="340"/>
      <c r="L6" s="340"/>
      <c r="M6" s="340"/>
      <c r="N6" s="340"/>
      <c r="O6" s="341"/>
      <c r="P6" s="6"/>
    </row>
    <row r="7" spans="1:19" x14ac:dyDescent="0.3">
      <c r="A7" s="4"/>
      <c r="B7" s="4"/>
      <c r="C7" s="342"/>
      <c r="D7" s="343"/>
      <c r="E7" s="343"/>
      <c r="F7" s="343"/>
      <c r="G7" s="343"/>
      <c r="H7" s="343"/>
      <c r="I7" s="343"/>
      <c r="J7" s="343"/>
      <c r="K7" s="343"/>
      <c r="L7" s="343"/>
      <c r="M7" s="343"/>
      <c r="N7" s="343"/>
      <c r="O7" s="344"/>
      <c r="P7" s="6"/>
    </row>
    <row r="8" spans="1:19" x14ac:dyDescent="0.3">
      <c r="A8" s="4"/>
      <c r="B8" s="4"/>
      <c r="C8" s="342"/>
      <c r="D8" s="343"/>
      <c r="E8" s="343"/>
      <c r="F8" s="343"/>
      <c r="G8" s="343"/>
      <c r="H8" s="343"/>
      <c r="I8" s="343"/>
      <c r="J8" s="343"/>
      <c r="K8" s="343"/>
      <c r="L8" s="343"/>
      <c r="M8" s="343"/>
      <c r="N8" s="343"/>
      <c r="O8" s="344"/>
      <c r="P8" s="6"/>
    </row>
    <row r="9" spans="1:19" ht="27.75" customHeight="1" thickBot="1" x14ac:dyDescent="0.35">
      <c r="A9" s="4"/>
      <c r="B9" s="4"/>
      <c r="C9" s="345"/>
      <c r="D9" s="346"/>
      <c r="E9" s="346"/>
      <c r="F9" s="346"/>
      <c r="G9" s="346"/>
      <c r="H9" s="346"/>
      <c r="I9" s="346"/>
      <c r="J9" s="346"/>
      <c r="K9" s="346"/>
      <c r="L9" s="346"/>
      <c r="M9" s="346"/>
      <c r="N9" s="346"/>
      <c r="O9" s="347"/>
      <c r="Q9" s="55"/>
    </row>
    <row r="10" spans="1:19" ht="27.75" customHeight="1" x14ac:dyDescent="0.3">
      <c r="A10" s="4"/>
      <c r="B10" s="4"/>
      <c r="C10" s="348" t="s">
        <v>286</v>
      </c>
      <c r="D10" s="349"/>
      <c r="E10" s="349"/>
      <c r="F10" s="349"/>
      <c r="G10" s="349"/>
      <c r="H10" s="349"/>
      <c r="I10" s="349"/>
      <c r="J10" s="349"/>
      <c r="K10" s="349"/>
      <c r="L10" s="349"/>
      <c r="M10" s="349"/>
      <c r="N10" s="349"/>
      <c r="O10" s="350"/>
      <c r="Q10" t="s">
        <v>233</v>
      </c>
      <c r="R10" s="31">
        <f>RESUMEN!F79</f>
        <v>267678.10184399999</v>
      </c>
    </row>
    <row r="11" spans="1:19" ht="27.75" customHeight="1" thickBot="1" x14ac:dyDescent="0.35">
      <c r="A11" s="4"/>
      <c r="B11" s="4"/>
      <c r="C11" s="351"/>
      <c r="D11" s="352"/>
      <c r="E11" s="352"/>
      <c r="F11" s="352"/>
      <c r="G11" s="352"/>
      <c r="H11" s="352"/>
      <c r="I11" s="352"/>
      <c r="J11" s="352"/>
      <c r="K11" s="352"/>
      <c r="L11" s="352"/>
      <c r="M11" s="352"/>
      <c r="N11" s="352"/>
      <c r="O11" s="353"/>
      <c r="Q11" t="s">
        <v>234</v>
      </c>
      <c r="R11" s="31">
        <f>RESUMEN!G79</f>
        <v>317248.120704</v>
      </c>
    </row>
    <row r="12" spans="1:19" ht="15" customHeight="1" x14ac:dyDescent="0.3">
      <c r="A12" s="324" t="s">
        <v>8</v>
      </c>
      <c r="B12" s="326" t="s">
        <v>9</v>
      </c>
      <c r="C12" s="324" t="s">
        <v>10</v>
      </c>
      <c r="D12" s="328" t="s">
        <v>11</v>
      </c>
      <c r="E12" s="328" t="s">
        <v>250</v>
      </c>
      <c r="F12" s="324" t="s">
        <v>25</v>
      </c>
      <c r="G12" s="324" t="s">
        <v>12</v>
      </c>
      <c r="H12" s="324" t="s">
        <v>13</v>
      </c>
      <c r="I12" s="335" t="s">
        <v>14</v>
      </c>
      <c r="J12" s="321" t="s">
        <v>15</v>
      </c>
      <c r="K12" s="321" t="s">
        <v>366</v>
      </c>
      <c r="L12" s="321" t="s">
        <v>17</v>
      </c>
      <c r="M12" s="337" t="s">
        <v>37</v>
      </c>
      <c r="N12" s="321" t="s">
        <v>260</v>
      </c>
      <c r="O12" s="321" t="s">
        <v>259</v>
      </c>
      <c r="Q12" t="s">
        <v>235</v>
      </c>
      <c r="R12" s="31">
        <f>RESUMEN!H79</f>
        <v>299898.61410299997</v>
      </c>
    </row>
    <row r="13" spans="1:19" ht="28.5" customHeight="1" x14ac:dyDescent="0.3">
      <c r="A13" s="325"/>
      <c r="B13" s="327"/>
      <c r="C13" s="325"/>
      <c r="D13" s="329"/>
      <c r="E13" s="329"/>
      <c r="F13" s="325"/>
      <c r="G13" s="325"/>
      <c r="H13" s="325"/>
      <c r="I13" s="336"/>
      <c r="J13" s="322"/>
      <c r="K13" s="322"/>
      <c r="L13" s="322"/>
      <c r="M13" s="338"/>
      <c r="N13" s="322"/>
      <c r="O13" s="322"/>
      <c r="Q13" t="s">
        <v>236</v>
      </c>
      <c r="R13" s="31">
        <f>RESUMEN!I79</f>
        <v>369296.64050699997</v>
      </c>
    </row>
    <row r="14" spans="1:19" ht="19.5" customHeight="1" x14ac:dyDescent="0.3">
      <c r="A14" s="325"/>
      <c r="B14" s="327"/>
      <c r="C14" s="325"/>
      <c r="D14" s="329"/>
      <c r="E14" s="329"/>
      <c r="F14" s="325"/>
      <c r="G14" s="325"/>
      <c r="H14" s="325"/>
      <c r="I14" s="336"/>
      <c r="J14" s="322"/>
      <c r="K14" s="323"/>
      <c r="L14" s="323"/>
      <c r="M14" s="338"/>
      <c r="N14" s="84" t="str">
        <f>RESUMEN!A20</f>
        <v>VTO 17/09</v>
      </c>
      <c r="O14" s="83" t="str">
        <f>RESUMEN!A20</f>
        <v>VTO 17/09</v>
      </c>
      <c r="Q14" t="s">
        <v>237</v>
      </c>
      <c r="R14" s="31">
        <f>RESUMEN!J79</f>
        <v>431259.16408199997</v>
      </c>
    </row>
    <row r="15" spans="1:19" x14ac:dyDescent="0.3">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30"/>
      <c r="S15" s="330"/>
    </row>
    <row r="16" spans="1:19" x14ac:dyDescent="0.3">
      <c r="A16" s="3"/>
      <c r="B16" s="3"/>
      <c r="C16" s="393" t="s">
        <v>113</v>
      </c>
      <c r="D16" s="394"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30"/>
      <c r="S16" s="330"/>
    </row>
    <row r="17" spans="1:19" x14ac:dyDescent="0.3">
      <c r="A17" s="3" t="s">
        <v>114</v>
      </c>
      <c r="B17" s="3"/>
      <c r="C17" s="23" t="s">
        <v>110</v>
      </c>
      <c r="D17" s="64" t="s">
        <v>333</v>
      </c>
      <c r="E17" s="64" t="s">
        <v>295</v>
      </c>
      <c r="F17" s="93">
        <v>1.21E-2</v>
      </c>
      <c r="G17" s="251">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3">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66">
        <v>0</v>
      </c>
      <c r="N18" s="223">
        <f t="shared" si="1"/>
        <v>1318197.13160938</v>
      </c>
      <c r="O18" s="235">
        <f t="shared" si="2"/>
        <v>1397288.9595059429</v>
      </c>
      <c r="P18" s="70"/>
      <c r="S18" s="31"/>
    </row>
    <row r="19" spans="1:19" ht="15" thickBot="1" x14ac:dyDescent="0.35">
      <c r="A19" s="3" t="s">
        <v>114</v>
      </c>
      <c r="B19" s="3"/>
      <c r="C19" s="252" t="s">
        <v>112</v>
      </c>
      <c r="D19" s="253" t="s">
        <v>249</v>
      </c>
      <c r="E19" s="253"/>
      <c r="F19" s="98">
        <v>1.7399999999999999E-2</v>
      </c>
      <c r="G19" s="99">
        <v>1296163.1476939998</v>
      </c>
      <c r="H19" s="265">
        <v>1000000</v>
      </c>
      <c r="I19" s="254">
        <f t="shared" si="0"/>
        <v>296163.14769399981</v>
      </c>
      <c r="J19" s="99">
        <v>0</v>
      </c>
      <c r="K19" s="99">
        <v>0</v>
      </c>
      <c r="L19" s="99">
        <v>431259.16408199997</v>
      </c>
      <c r="M19" s="255">
        <v>0</v>
      </c>
      <c r="N19" s="96">
        <f t="shared" si="1"/>
        <v>727422.31177599984</v>
      </c>
      <c r="O19" s="101">
        <f t="shared" si="2"/>
        <v>771067.65048255981</v>
      </c>
      <c r="P19" s="70"/>
      <c r="S19" s="31"/>
    </row>
    <row r="20" spans="1:19" x14ac:dyDescent="0.3">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493047.96152000001</v>
      </c>
      <c r="M20" s="135">
        <v>15000</v>
      </c>
      <c r="N20" s="130">
        <f>ROUND((L20+J20+I20+K20+M20),0) + P20</f>
        <v>508048.01</v>
      </c>
      <c r="O20" s="130">
        <f>ROUND((N20*6% + N20 ),0) + P20</f>
        <v>538531.01</v>
      </c>
      <c r="P20" s="85">
        <v>0.01</v>
      </c>
      <c r="S20" s="31"/>
    </row>
    <row r="21" spans="1:19" x14ac:dyDescent="0.3">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220298.02535999997</v>
      </c>
      <c r="M21" s="135">
        <v>0</v>
      </c>
      <c r="N21" s="130">
        <f t="shared" ref="N21:N84" si="5">ROUND((L21+J21+I21+K21+M21),0) + P21</f>
        <v>220298.02</v>
      </c>
      <c r="O21" s="97">
        <f t="shared" ref="O21:O84" si="6">ROUND((N21*6% + N21 ),0) + P21</f>
        <v>233516.02</v>
      </c>
      <c r="P21" s="85">
        <f>P20+0.01</f>
        <v>0.02</v>
      </c>
      <c r="S21" s="31"/>
    </row>
    <row r="22" spans="1:19" x14ac:dyDescent="0.3">
      <c r="A22" s="37" t="s">
        <v>116</v>
      </c>
      <c r="B22" s="3"/>
      <c r="C22" s="23" t="s">
        <v>42</v>
      </c>
      <c r="D22" s="64" t="s">
        <v>174</v>
      </c>
      <c r="E22" s="87"/>
      <c r="F22" s="88">
        <v>2.01E-2</v>
      </c>
      <c r="G22" s="89">
        <v>450022.03</v>
      </c>
      <c r="H22" s="32">
        <f>G22</f>
        <v>450022.03</v>
      </c>
      <c r="I22" s="94">
        <f t="shared" si="0"/>
        <v>0</v>
      </c>
      <c r="J22" s="95">
        <f t="shared" si="3"/>
        <v>0</v>
      </c>
      <c r="K22" s="129">
        <v>0</v>
      </c>
      <c r="L22" s="95">
        <f t="shared" si="4"/>
        <v>527141.70354000002</v>
      </c>
      <c r="M22" s="135">
        <v>0</v>
      </c>
      <c r="N22" s="130">
        <f t="shared" si="5"/>
        <v>527142.03</v>
      </c>
      <c r="O22" s="97">
        <f t="shared" si="6"/>
        <v>558771.03</v>
      </c>
      <c r="P22" s="85">
        <f t="shared" ref="P22:P85" si="7">P21+0.01</f>
        <v>0.03</v>
      </c>
    </row>
    <row r="23" spans="1:19" x14ac:dyDescent="0.3">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246523.98076000001</v>
      </c>
      <c r="M23" s="135">
        <v>0</v>
      </c>
      <c r="N23" s="130">
        <f t="shared" si="5"/>
        <v>246524.04</v>
      </c>
      <c r="O23" s="97">
        <f t="shared" si="6"/>
        <v>261315.04</v>
      </c>
      <c r="P23" s="85">
        <f t="shared" si="7"/>
        <v>0.04</v>
      </c>
      <c r="Q23" t="s">
        <v>285</v>
      </c>
    </row>
    <row r="24" spans="1:19" x14ac:dyDescent="0.3">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228165.81197999997</v>
      </c>
      <c r="M24" s="135">
        <v>0</v>
      </c>
      <c r="N24" s="130">
        <f t="shared" si="5"/>
        <v>228166.05</v>
      </c>
      <c r="O24" s="97">
        <f t="shared" si="6"/>
        <v>241856.05</v>
      </c>
      <c r="P24" s="85">
        <f t="shared" si="7"/>
        <v>0.05</v>
      </c>
    </row>
    <row r="25" spans="1:19" x14ac:dyDescent="0.3">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249146.57629999999</v>
      </c>
      <c r="M25" s="135">
        <v>0</v>
      </c>
      <c r="N25" s="130">
        <f t="shared" si="5"/>
        <v>339801.06</v>
      </c>
      <c r="O25" s="97">
        <f t="shared" si="6"/>
        <v>360189.06</v>
      </c>
      <c r="P25" s="85">
        <f t="shared" si="7"/>
        <v>6.0000000000000005E-2</v>
      </c>
    </row>
    <row r="26" spans="1:19" x14ac:dyDescent="0.3">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432728.26409999997</v>
      </c>
      <c r="M26" s="135">
        <v>0</v>
      </c>
      <c r="N26" s="130">
        <f t="shared" si="5"/>
        <v>717781.07</v>
      </c>
      <c r="O26" s="97">
        <f t="shared" si="6"/>
        <v>760848.07</v>
      </c>
      <c r="P26" s="85">
        <f t="shared" si="7"/>
        <v>7.0000000000000007E-2</v>
      </c>
    </row>
    <row r="27" spans="1:19" x14ac:dyDescent="0.3">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191449.47441999998</v>
      </c>
      <c r="M27" s="135">
        <v>20000</v>
      </c>
      <c r="N27" s="130">
        <f t="shared" si="5"/>
        <v>211449.08</v>
      </c>
      <c r="O27" s="97">
        <f t="shared" si="6"/>
        <v>224136.08</v>
      </c>
      <c r="P27" s="85">
        <f t="shared" si="7"/>
        <v>0.08</v>
      </c>
    </row>
    <row r="28" spans="1:19" x14ac:dyDescent="0.3">
      <c r="A28" s="64" t="s">
        <v>116</v>
      </c>
      <c r="B28" s="23"/>
      <c r="C28" s="23" t="s">
        <v>48</v>
      </c>
      <c r="D28" s="64" t="s">
        <v>177</v>
      </c>
      <c r="E28" s="87" t="s">
        <v>297</v>
      </c>
      <c r="F28" s="88">
        <v>1.78E-2</v>
      </c>
      <c r="G28" s="89">
        <v>642220.09</v>
      </c>
      <c r="H28" s="32"/>
      <c r="I28" s="94">
        <f t="shared" si="0"/>
        <v>642220.09</v>
      </c>
      <c r="J28" s="95">
        <f t="shared" si="3"/>
        <v>0</v>
      </c>
      <c r="K28" s="129">
        <v>0</v>
      </c>
      <c r="L28" s="95">
        <f t="shared" si="4"/>
        <v>466822.00611999998</v>
      </c>
      <c r="M28" s="135">
        <v>0</v>
      </c>
      <c r="N28" s="130">
        <f t="shared" si="5"/>
        <v>1109042.0900000001</v>
      </c>
      <c r="O28" s="97">
        <f t="shared" si="6"/>
        <v>1175585.0900000001</v>
      </c>
      <c r="P28" s="85">
        <f t="shared" si="7"/>
        <v>0.09</v>
      </c>
    </row>
    <row r="29" spans="1:19" x14ac:dyDescent="0.3">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246523.98076000001</v>
      </c>
      <c r="M29" s="135">
        <v>0</v>
      </c>
      <c r="N29" s="130">
        <f t="shared" si="5"/>
        <v>246524.1</v>
      </c>
      <c r="O29" s="97">
        <f t="shared" si="6"/>
        <v>261316.1</v>
      </c>
      <c r="P29" s="85">
        <f t="shared" si="7"/>
        <v>9.9999999999999992E-2</v>
      </c>
    </row>
    <row r="30" spans="1:19" x14ac:dyDescent="0.3">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228165.81197999997</v>
      </c>
      <c r="M30" s="135">
        <v>15000</v>
      </c>
      <c r="N30" s="130">
        <f t="shared" si="5"/>
        <v>243166.11</v>
      </c>
      <c r="O30" s="97">
        <f t="shared" si="6"/>
        <v>257756.11</v>
      </c>
      <c r="P30" s="85">
        <f t="shared" si="7"/>
        <v>0.10999999999999999</v>
      </c>
    </row>
    <row r="31" spans="1:19" x14ac:dyDescent="0.3">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249146.57629999999</v>
      </c>
      <c r="M31" s="233">
        <v>0</v>
      </c>
      <c r="N31" s="234">
        <f t="shared" si="5"/>
        <v>2143819.12</v>
      </c>
      <c r="O31" s="235">
        <f t="shared" si="6"/>
        <v>2272448.12</v>
      </c>
      <c r="P31" s="85">
        <f t="shared" si="7"/>
        <v>0.11999999999999998</v>
      </c>
    </row>
    <row r="32" spans="1:19" x14ac:dyDescent="0.3">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430105.66856000002</v>
      </c>
      <c r="M32" s="135">
        <v>0</v>
      </c>
      <c r="N32" s="130">
        <f t="shared" si="5"/>
        <v>430106.13</v>
      </c>
      <c r="O32" s="97">
        <f t="shared" si="6"/>
        <v>455912.13</v>
      </c>
      <c r="P32" s="85">
        <f t="shared" si="7"/>
        <v>0.12999999999999998</v>
      </c>
    </row>
    <row r="33" spans="1:114" x14ac:dyDescent="0.3">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188826.87887999997</v>
      </c>
      <c r="M33" s="135">
        <v>0</v>
      </c>
      <c r="N33" s="130">
        <f t="shared" si="5"/>
        <v>189183.14</v>
      </c>
      <c r="O33" s="97">
        <f t="shared" si="6"/>
        <v>200534.14</v>
      </c>
      <c r="P33" s="85">
        <f t="shared" si="7"/>
        <v>0.13999999999999999</v>
      </c>
    </row>
    <row r="34" spans="1:114" x14ac:dyDescent="0.3">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453709.02841999993</v>
      </c>
      <c r="M34" s="135">
        <v>30000</v>
      </c>
      <c r="N34" s="130">
        <f t="shared" si="5"/>
        <v>483709.15</v>
      </c>
      <c r="O34" s="97">
        <f t="shared" si="6"/>
        <v>512732.15</v>
      </c>
      <c r="P34" s="85">
        <f t="shared" si="7"/>
        <v>0.15</v>
      </c>
    </row>
    <row r="35" spans="1:114" x14ac:dyDescent="0.3">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246523.98076000001</v>
      </c>
      <c r="M35" s="135">
        <v>0</v>
      </c>
      <c r="N35" s="130">
        <f t="shared" si="5"/>
        <v>246524.16</v>
      </c>
      <c r="O35" s="97">
        <f t="shared" si="6"/>
        <v>261316.16</v>
      </c>
      <c r="P35" s="85">
        <f t="shared" si="7"/>
        <v>0.16</v>
      </c>
      <c r="Q35" t="s">
        <v>291</v>
      </c>
    </row>
    <row r="36" spans="1:114" x14ac:dyDescent="0.3">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228165.81197999997</v>
      </c>
      <c r="M36" s="135">
        <v>0</v>
      </c>
      <c r="N36" s="130">
        <f t="shared" si="5"/>
        <v>228166.17</v>
      </c>
      <c r="O36" s="97">
        <f t="shared" si="6"/>
        <v>241856.17</v>
      </c>
      <c r="P36" s="85">
        <f t="shared" si="7"/>
        <v>0.17</v>
      </c>
    </row>
    <row r="37" spans="1:114" x14ac:dyDescent="0.3">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249146.57629999999</v>
      </c>
      <c r="M37" s="233">
        <v>0</v>
      </c>
      <c r="N37" s="234">
        <f t="shared" si="5"/>
        <v>1626068.18</v>
      </c>
      <c r="O37" s="235">
        <f t="shared" si="6"/>
        <v>1723632.18</v>
      </c>
      <c r="P37" s="85">
        <f t="shared" si="7"/>
        <v>0.18000000000000002</v>
      </c>
    </row>
    <row r="38" spans="1:114" x14ac:dyDescent="0.3">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430105.66856000002</v>
      </c>
      <c r="M38" s="135">
        <v>0</v>
      </c>
      <c r="N38" s="130">
        <f t="shared" si="5"/>
        <v>430106.19</v>
      </c>
      <c r="O38" s="97">
        <f t="shared" si="6"/>
        <v>455913.19</v>
      </c>
      <c r="P38" s="85">
        <f t="shared" si="7"/>
        <v>0.19000000000000003</v>
      </c>
      <c r="Q38" t="s">
        <v>289</v>
      </c>
    </row>
    <row r="39" spans="1:114" x14ac:dyDescent="0.3">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188826.87887999997</v>
      </c>
      <c r="M39" s="135">
        <v>0</v>
      </c>
      <c r="N39" s="130">
        <f t="shared" si="5"/>
        <v>188827.2</v>
      </c>
      <c r="O39" s="97">
        <f t="shared" si="6"/>
        <v>200157.2</v>
      </c>
      <c r="P39" s="85">
        <f t="shared" si="7"/>
        <v>0.20000000000000004</v>
      </c>
    </row>
    <row r="40" spans="1:114" s="92" customFormat="1" x14ac:dyDescent="0.3">
      <c r="A40" s="64" t="s">
        <v>116</v>
      </c>
      <c r="B40" s="23"/>
      <c r="C40" s="23" t="s">
        <v>60</v>
      </c>
      <c r="D40" s="64" t="s">
        <v>182</v>
      </c>
      <c r="E40" s="87"/>
      <c r="F40" s="88">
        <v>1.7299999999999999E-2</v>
      </c>
      <c r="G40" s="89">
        <v>298874.21000000002</v>
      </c>
      <c r="H40" s="32">
        <f>339434-H94</f>
        <v>298873.25</v>
      </c>
      <c r="I40" s="94">
        <f t="shared" si="0"/>
        <v>0.96000000002095476</v>
      </c>
      <c r="J40" s="95">
        <f t="shared" si="3"/>
        <v>0</v>
      </c>
      <c r="K40" s="129">
        <v>0</v>
      </c>
      <c r="L40" s="95">
        <f t="shared" si="4"/>
        <v>453709.02841999993</v>
      </c>
      <c r="M40" s="135">
        <v>15000</v>
      </c>
      <c r="N40" s="130">
        <f t="shared" si="5"/>
        <v>468710.21</v>
      </c>
      <c r="O40" s="97">
        <f t="shared" si="6"/>
        <v>496833.21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3">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246523.98076000001</v>
      </c>
      <c r="M41" s="135">
        <v>0</v>
      </c>
      <c r="N41" s="130">
        <f t="shared" si="5"/>
        <v>246524.22</v>
      </c>
      <c r="O41" s="97">
        <f t="shared" si="6"/>
        <v>261316.22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3">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228165.81197999997</v>
      </c>
      <c r="M42" s="135">
        <v>0</v>
      </c>
      <c r="N42" s="130">
        <f t="shared" si="5"/>
        <v>228166.23</v>
      </c>
      <c r="O42" s="97">
        <f t="shared" si="6"/>
        <v>241856.23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3">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249146.57629999999</v>
      </c>
      <c r="M43" s="233">
        <v>0</v>
      </c>
      <c r="N43" s="234">
        <f t="shared" si="5"/>
        <v>1371288.24</v>
      </c>
      <c r="O43" s="235">
        <f t="shared" si="6"/>
        <v>1453566.24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3">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430105.66856000002</v>
      </c>
      <c r="M44" s="135">
        <v>0</v>
      </c>
      <c r="N44" s="130">
        <f t="shared" si="5"/>
        <v>430106.25</v>
      </c>
      <c r="O44" s="97">
        <f t="shared" si="6"/>
        <v>455913.25</v>
      </c>
      <c r="P44" s="85">
        <f t="shared" si="7"/>
        <v>0.25000000000000006</v>
      </c>
    </row>
    <row r="45" spans="1:114" x14ac:dyDescent="0.3">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188826.87887999997</v>
      </c>
      <c r="M45" s="135">
        <v>0</v>
      </c>
      <c r="N45" s="130">
        <f t="shared" si="5"/>
        <v>188827.26</v>
      </c>
      <c r="O45" s="97">
        <f t="shared" si="6"/>
        <v>200157.26</v>
      </c>
      <c r="P45" s="85">
        <f t="shared" si="7"/>
        <v>0.26000000000000006</v>
      </c>
    </row>
    <row r="46" spans="1:114" x14ac:dyDescent="0.3">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453709.02841999993</v>
      </c>
      <c r="M46" s="135">
        <v>0</v>
      </c>
      <c r="N46" s="130">
        <f t="shared" si="5"/>
        <v>453709.27</v>
      </c>
      <c r="O46" s="97">
        <f t="shared" si="6"/>
        <v>480932.27</v>
      </c>
      <c r="P46" s="85">
        <f t="shared" si="7"/>
        <v>0.27000000000000007</v>
      </c>
      <c r="Q46" t="s">
        <v>248</v>
      </c>
      <c r="R46" t="s">
        <v>248</v>
      </c>
    </row>
    <row r="47" spans="1:114" x14ac:dyDescent="0.3">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246523.98076000001</v>
      </c>
      <c r="M47" s="135">
        <v>15000</v>
      </c>
      <c r="N47" s="130">
        <f t="shared" si="5"/>
        <v>261524.28</v>
      </c>
      <c r="O47" s="97">
        <f t="shared" si="6"/>
        <v>277216.28000000003</v>
      </c>
      <c r="P47" s="85">
        <f t="shared" si="7"/>
        <v>0.28000000000000008</v>
      </c>
    </row>
    <row r="48" spans="1:114" x14ac:dyDescent="0.3">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228165.81197999997</v>
      </c>
      <c r="M48" s="135">
        <v>40000</v>
      </c>
      <c r="N48" s="130">
        <f t="shared" si="5"/>
        <v>268166.28999999998</v>
      </c>
      <c r="O48" s="97">
        <f t="shared" si="6"/>
        <v>284256.28999999998</v>
      </c>
      <c r="P48" s="85">
        <f t="shared" si="7"/>
        <v>0.29000000000000009</v>
      </c>
    </row>
    <row r="49" spans="1:18" x14ac:dyDescent="0.3">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249146.57629999999</v>
      </c>
      <c r="M49" s="135">
        <v>0</v>
      </c>
      <c r="N49" s="130">
        <f t="shared" si="5"/>
        <v>249147.3</v>
      </c>
      <c r="O49" s="97">
        <f t="shared" si="6"/>
        <v>264096.3</v>
      </c>
      <c r="P49" s="85">
        <f t="shared" si="7"/>
        <v>0.3000000000000001</v>
      </c>
    </row>
    <row r="50" spans="1:18" x14ac:dyDescent="0.3">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430105.66856000002</v>
      </c>
      <c r="M50" s="135">
        <v>15000</v>
      </c>
      <c r="N50" s="130">
        <f t="shared" si="5"/>
        <v>445106.31</v>
      </c>
      <c r="O50" s="97">
        <f t="shared" si="6"/>
        <v>471813.31</v>
      </c>
      <c r="P50" s="85">
        <f t="shared" si="7"/>
        <v>0.31000000000000011</v>
      </c>
    </row>
    <row r="51" spans="1:18" x14ac:dyDescent="0.3">
      <c r="A51" s="37" t="s">
        <v>117</v>
      </c>
      <c r="B51" s="3"/>
      <c r="C51" s="23" t="s">
        <v>71</v>
      </c>
      <c r="D51" s="64" t="s">
        <v>188</v>
      </c>
      <c r="E51" s="87"/>
      <c r="F51" s="88">
        <v>7.1999999999999998E-3</v>
      </c>
      <c r="G51" s="89">
        <v>124387.32</v>
      </c>
      <c r="H51" s="32">
        <v>0</v>
      </c>
      <c r="I51" s="94">
        <f t="shared" si="0"/>
        <v>124387.32</v>
      </c>
      <c r="J51" s="95">
        <f t="shared" si="3"/>
        <v>0</v>
      </c>
      <c r="K51" s="129">
        <v>0</v>
      </c>
      <c r="L51" s="95">
        <f t="shared" si="4"/>
        <v>188826.87887999997</v>
      </c>
      <c r="M51" s="135">
        <v>0</v>
      </c>
      <c r="N51" s="130">
        <f t="shared" si="5"/>
        <v>313214.32</v>
      </c>
      <c r="O51" s="97">
        <f t="shared" si="6"/>
        <v>332007.32</v>
      </c>
      <c r="P51" s="85">
        <f t="shared" si="7"/>
        <v>0.32000000000000012</v>
      </c>
      <c r="Q51" s="31"/>
    </row>
    <row r="52" spans="1:18" x14ac:dyDescent="0.3">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453709.02841999993</v>
      </c>
      <c r="M52" s="135">
        <v>15000</v>
      </c>
      <c r="N52" s="130">
        <f t="shared" si="5"/>
        <v>468709.33</v>
      </c>
      <c r="O52" s="97">
        <f t="shared" si="6"/>
        <v>496832.33</v>
      </c>
      <c r="P52" s="85">
        <f t="shared" si="7"/>
        <v>0.33000000000000013</v>
      </c>
      <c r="Q52" s="31"/>
    </row>
    <row r="53" spans="1:18" x14ac:dyDescent="0.3">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246523.98076000001</v>
      </c>
      <c r="M53" s="135">
        <v>0</v>
      </c>
      <c r="N53" s="130">
        <f t="shared" si="5"/>
        <v>246524.34</v>
      </c>
      <c r="O53" s="97">
        <f t="shared" si="6"/>
        <v>261316.34</v>
      </c>
      <c r="P53" s="85">
        <f t="shared" si="7"/>
        <v>0.34000000000000014</v>
      </c>
      <c r="Q53" t="s">
        <v>363</v>
      </c>
    </row>
    <row r="54" spans="1:18" x14ac:dyDescent="0.3">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228165.81197999997</v>
      </c>
      <c r="M54" s="135">
        <v>0</v>
      </c>
      <c r="N54" s="130">
        <f t="shared" si="5"/>
        <v>228166.35</v>
      </c>
      <c r="O54" s="97">
        <f t="shared" si="6"/>
        <v>241856.35</v>
      </c>
      <c r="P54" s="85">
        <f t="shared" si="7"/>
        <v>0.35000000000000014</v>
      </c>
    </row>
    <row r="55" spans="1:18" x14ac:dyDescent="0.3">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249146.57629999999</v>
      </c>
      <c r="M55" s="135">
        <v>0</v>
      </c>
      <c r="N55" s="130">
        <f t="shared" si="5"/>
        <v>249147.36</v>
      </c>
      <c r="O55" s="97">
        <f t="shared" si="6"/>
        <v>264096.36</v>
      </c>
      <c r="P55" s="85">
        <f t="shared" si="7"/>
        <v>0.36000000000000015</v>
      </c>
    </row>
    <row r="56" spans="1:18" x14ac:dyDescent="0.3">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430105.66856000002</v>
      </c>
      <c r="M56" s="135">
        <v>0</v>
      </c>
      <c r="N56" s="130">
        <f t="shared" si="5"/>
        <v>430106.37</v>
      </c>
      <c r="O56" s="97">
        <f t="shared" si="6"/>
        <v>455913.37</v>
      </c>
      <c r="P56" s="85">
        <f t="shared" si="7"/>
        <v>0.37000000000000016</v>
      </c>
      <c r="R56" s="39"/>
    </row>
    <row r="57" spans="1:18" x14ac:dyDescent="0.3">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188826.87887999997</v>
      </c>
      <c r="M57" s="135">
        <v>0</v>
      </c>
      <c r="N57" s="130">
        <f t="shared" si="5"/>
        <v>188827.38</v>
      </c>
      <c r="O57" s="97">
        <f t="shared" si="6"/>
        <v>200157.38</v>
      </c>
      <c r="P57" s="85">
        <f t="shared" si="7"/>
        <v>0.38000000000000017</v>
      </c>
    </row>
    <row r="58" spans="1:18" x14ac:dyDescent="0.3">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453709.02841999993</v>
      </c>
      <c r="M58" s="135">
        <v>0</v>
      </c>
      <c r="N58" s="130">
        <f t="shared" si="5"/>
        <v>453709.39</v>
      </c>
      <c r="O58" s="97">
        <f t="shared" si="6"/>
        <v>480932.39</v>
      </c>
      <c r="P58" s="85">
        <f t="shared" si="7"/>
        <v>0.39000000000000018</v>
      </c>
    </row>
    <row r="59" spans="1:18" x14ac:dyDescent="0.3">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246523.98076000001</v>
      </c>
      <c r="M59" s="135">
        <v>15000</v>
      </c>
      <c r="N59" s="130">
        <f t="shared" si="5"/>
        <v>261524.4</v>
      </c>
      <c r="O59" s="97">
        <f t="shared" si="6"/>
        <v>277216.40000000002</v>
      </c>
      <c r="P59" s="85">
        <f t="shared" si="7"/>
        <v>0.40000000000000019</v>
      </c>
    </row>
    <row r="60" spans="1:18" x14ac:dyDescent="0.3">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228165.81197999997</v>
      </c>
      <c r="M60" s="135">
        <v>0</v>
      </c>
      <c r="N60" s="130">
        <f t="shared" si="5"/>
        <v>228166.41</v>
      </c>
      <c r="O60" s="97">
        <f t="shared" si="6"/>
        <v>241856.41</v>
      </c>
      <c r="P60" s="85">
        <f t="shared" si="7"/>
        <v>0.4100000000000002</v>
      </c>
      <c r="R60" t="s">
        <v>240</v>
      </c>
    </row>
    <row r="61" spans="1:18" x14ac:dyDescent="0.3">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249146.57629999999</v>
      </c>
      <c r="M61" s="135">
        <v>0</v>
      </c>
      <c r="N61" s="130">
        <f t="shared" si="5"/>
        <v>249147.42</v>
      </c>
      <c r="O61" s="97">
        <f t="shared" si="6"/>
        <v>264096.42</v>
      </c>
      <c r="P61" s="85">
        <f t="shared" si="7"/>
        <v>0.42000000000000021</v>
      </c>
      <c r="Q61" t="s">
        <v>262</v>
      </c>
    </row>
    <row r="62" spans="1:18" x14ac:dyDescent="0.3">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430105.66856000002</v>
      </c>
      <c r="M62" s="135">
        <v>0</v>
      </c>
      <c r="N62" s="130">
        <f t="shared" si="5"/>
        <v>413109.43</v>
      </c>
      <c r="O62" s="97">
        <f t="shared" si="6"/>
        <v>437896.43</v>
      </c>
      <c r="P62" s="85">
        <f t="shared" si="7"/>
        <v>0.43000000000000022</v>
      </c>
    </row>
    <row r="63" spans="1:18" x14ac:dyDescent="0.3">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188826.87887999997</v>
      </c>
      <c r="M63" s="135">
        <v>0</v>
      </c>
      <c r="N63" s="130">
        <f t="shared" si="5"/>
        <v>181363.44</v>
      </c>
      <c r="O63" s="97">
        <f t="shared" si="6"/>
        <v>192245.44</v>
      </c>
      <c r="P63" s="85">
        <f t="shared" si="7"/>
        <v>0.44000000000000022</v>
      </c>
    </row>
    <row r="64" spans="1:18" x14ac:dyDescent="0.3">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453709.02841999993</v>
      </c>
      <c r="M64" s="135">
        <v>20000</v>
      </c>
      <c r="N64" s="130">
        <f t="shared" si="5"/>
        <v>473709.45</v>
      </c>
      <c r="O64" s="97">
        <f t="shared" si="6"/>
        <v>502132.45</v>
      </c>
      <c r="P64" s="85">
        <f t="shared" si="7"/>
        <v>0.45000000000000023</v>
      </c>
    </row>
    <row r="65" spans="1:19" x14ac:dyDescent="0.3">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246523.98076000001</v>
      </c>
      <c r="M65" s="135">
        <v>15000</v>
      </c>
      <c r="N65" s="130">
        <f t="shared" si="5"/>
        <v>261524.46</v>
      </c>
      <c r="O65" s="97">
        <f t="shared" si="6"/>
        <v>277216.46000000002</v>
      </c>
      <c r="P65" s="116">
        <f t="shared" si="7"/>
        <v>0.46000000000000024</v>
      </c>
    </row>
    <row r="66" spans="1:19" x14ac:dyDescent="0.3">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228165.81197999997</v>
      </c>
      <c r="M66" s="135">
        <v>0</v>
      </c>
      <c r="N66" s="130">
        <f t="shared" si="5"/>
        <v>228166.47</v>
      </c>
      <c r="O66" s="97">
        <f t="shared" si="6"/>
        <v>241856.47</v>
      </c>
      <c r="P66" s="116">
        <f t="shared" si="7"/>
        <v>0.47000000000000025</v>
      </c>
    </row>
    <row r="67" spans="1:19" x14ac:dyDescent="0.3">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249146.57629999999</v>
      </c>
      <c r="M67" s="135">
        <v>0</v>
      </c>
      <c r="N67" s="130">
        <f t="shared" si="5"/>
        <v>360229.48</v>
      </c>
      <c r="O67" s="97">
        <f t="shared" si="6"/>
        <v>381843.48</v>
      </c>
      <c r="P67" s="116">
        <f t="shared" si="7"/>
        <v>0.48000000000000026</v>
      </c>
      <c r="S67" s="125"/>
    </row>
    <row r="68" spans="1:19" x14ac:dyDescent="0.3">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430105.66856000002</v>
      </c>
      <c r="M68" s="135">
        <v>15000</v>
      </c>
      <c r="N68" s="130">
        <f t="shared" si="5"/>
        <v>445106.49</v>
      </c>
      <c r="O68" s="97">
        <f t="shared" si="6"/>
        <v>471813.49</v>
      </c>
      <c r="P68" s="85">
        <f t="shared" si="7"/>
        <v>0.49000000000000027</v>
      </c>
      <c r="S68" s="31"/>
    </row>
    <row r="69" spans="1:19" x14ac:dyDescent="0.3">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188826.87887999997</v>
      </c>
      <c r="M69" s="135">
        <v>0</v>
      </c>
      <c r="N69" s="130">
        <f t="shared" si="5"/>
        <v>188827.5</v>
      </c>
      <c r="O69" s="97">
        <f t="shared" si="6"/>
        <v>200157.5</v>
      </c>
      <c r="P69" s="85">
        <f t="shared" si="7"/>
        <v>0.50000000000000022</v>
      </c>
    </row>
    <row r="70" spans="1:19" x14ac:dyDescent="0.3">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453709.02841999993</v>
      </c>
      <c r="M70" s="241">
        <v>0</v>
      </c>
      <c r="N70" s="130">
        <f t="shared" si="5"/>
        <v>453709.51</v>
      </c>
      <c r="O70" s="97">
        <f t="shared" si="6"/>
        <v>480932.51</v>
      </c>
      <c r="P70" s="85">
        <f t="shared" si="7"/>
        <v>0.51000000000000023</v>
      </c>
    </row>
    <row r="71" spans="1:19" x14ac:dyDescent="0.3">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246523.98076000001</v>
      </c>
      <c r="M71" s="135">
        <v>0</v>
      </c>
      <c r="N71" s="130">
        <f t="shared" si="5"/>
        <v>408919.52</v>
      </c>
      <c r="O71" s="97">
        <f t="shared" si="6"/>
        <v>433455.52</v>
      </c>
      <c r="P71" s="85">
        <f t="shared" si="7"/>
        <v>0.52000000000000024</v>
      </c>
    </row>
    <row r="72" spans="1:19" x14ac:dyDescent="0.3">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228165.81197999997</v>
      </c>
      <c r="M72" s="135"/>
      <c r="N72" s="130">
        <f t="shared" si="5"/>
        <v>228166.53</v>
      </c>
      <c r="O72" s="97">
        <f t="shared" si="6"/>
        <v>241857.53</v>
      </c>
      <c r="P72" s="85">
        <f t="shared" si="7"/>
        <v>0.53000000000000025</v>
      </c>
      <c r="R72" t="s">
        <v>369</v>
      </c>
    </row>
    <row r="73" spans="1:19" x14ac:dyDescent="0.3">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249146.57629999999</v>
      </c>
      <c r="M73" s="233">
        <v>0</v>
      </c>
      <c r="N73" s="234">
        <f t="shared" si="5"/>
        <v>1050218.54</v>
      </c>
      <c r="O73" s="235">
        <f t="shared" si="6"/>
        <v>1113232.54</v>
      </c>
      <c r="P73" s="85">
        <f t="shared" si="7"/>
        <v>0.54000000000000026</v>
      </c>
    </row>
    <row r="74" spans="1:19" x14ac:dyDescent="0.3">
      <c r="A74" s="37" t="s">
        <v>119</v>
      </c>
      <c r="B74" s="3"/>
      <c r="C74" s="23" t="s">
        <v>94</v>
      </c>
      <c r="D74" s="64" t="s">
        <v>204</v>
      </c>
      <c r="E74" s="87"/>
      <c r="F74" s="88">
        <v>2.35E-2</v>
      </c>
      <c r="G74" s="89">
        <v>405985.55</v>
      </c>
      <c r="H74" s="32">
        <f>G74</f>
        <v>405985.55</v>
      </c>
      <c r="I74" s="94">
        <f t="shared" si="0"/>
        <v>0</v>
      </c>
      <c r="J74" s="95">
        <f t="shared" si="12"/>
        <v>0</v>
      </c>
      <c r="K74" s="129">
        <v>0</v>
      </c>
      <c r="L74" s="95">
        <f t="shared" si="13"/>
        <v>616309.95189999999</v>
      </c>
      <c r="M74" s="135">
        <v>0</v>
      </c>
      <c r="N74" s="130">
        <f t="shared" si="5"/>
        <v>616310.55000000005</v>
      </c>
      <c r="O74" s="97">
        <f t="shared" si="6"/>
        <v>653289.55000000005</v>
      </c>
      <c r="P74" s="85">
        <f t="shared" si="7"/>
        <v>0.55000000000000027</v>
      </c>
      <c r="Q74" s="46"/>
    </row>
    <row r="75" spans="1:19" x14ac:dyDescent="0.3">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453709.02841999993</v>
      </c>
      <c r="M75" s="135">
        <v>0</v>
      </c>
      <c r="N75" s="130">
        <f t="shared" si="5"/>
        <v>393398.56</v>
      </c>
      <c r="O75" s="97">
        <f t="shared" si="6"/>
        <v>417002.56</v>
      </c>
      <c r="P75" s="85">
        <f t="shared" si="7"/>
        <v>0.56000000000000028</v>
      </c>
    </row>
    <row r="76" spans="1:19" x14ac:dyDescent="0.3">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246523.98076000001</v>
      </c>
      <c r="M76" s="135">
        <v>0</v>
      </c>
      <c r="N76" s="130">
        <f t="shared" si="5"/>
        <v>246524.57</v>
      </c>
      <c r="O76" s="97">
        <f t="shared" si="6"/>
        <v>261316.57</v>
      </c>
      <c r="P76" s="85">
        <f t="shared" si="7"/>
        <v>0.57000000000000028</v>
      </c>
    </row>
    <row r="77" spans="1:19" x14ac:dyDescent="0.3">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228165.81197999997</v>
      </c>
      <c r="M77" s="135">
        <v>0</v>
      </c>
      <c r="N77" s="130">
        <f t="shared" si="5"/>
        <v>228166.58</v>
      </c>
      <c r="O77" s="97">
        <f t="shared" si="6"/>
        <v>241857.58</v>
      </c>
      <c r="P77" s="85">
        <f t="shared" si="7"/>
        <v>0.58000000000000029</v>
      </c>
    </row>
    <row r="78" spans="1:19" x14ac:dyDescent="0.3">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249146.57629999999</v>
      </c>
      <c r="M78" s="135">
        <v>0</v>
      </c>
      <c r="N78" s="130">
        <f t="shared" si="5"/>
        <v>413269.59</v>
      </c>
      <c r="O78" s="97">
        <f t="shared" si="6"/>
        <v>438066.59</v>
      </c>
      <c r="P78" s="85">
        <f t="shared" si="7"/>
        <v>0.5900000000000003</v>
      </c>
    </row>
    <row r="79" spans="1:19" x14ac:dyDescent="0.3">
      <c r="A79" s="64" t="s">
        <v>119</v>
      </c>
      <c r="B79" s="23"/>
      <c r="C79" s="23" t="s">
        <v>99</v>
      </c>
      <c r="D79" s="64" t="s">
        <v>208</v>
      </c>
      <c r="E79" s="87"/>
      <c r="F79" s="88">
        <v>2.35E-2</v>
      </c>
      <c r="G79" s="89">
        <v>405619.6</v>
      </c>
      <c r="H79" s="32">
        <f>G79</f>
        <v>405619.6</v>
      </c>
      <c r="I79" s="94">
        <f t="shared" si="0"/>
        <v>0</v>
      </c>
      <c r="J79" s="95">
        <f t="shared" si="12"/>
        <v>0</v>
      </c>
      <c r="K79" s="129">
        <v>0</v>
      </c>
      <c r="L79" s="95">
        <f t="shared" si="13"/>
        <v>616309.95189999999</v>
      </c>
      <c r="M79" s="135">
        <v>0</v>
      </c>
      <c r="N79" s="130">
        <f t="shared" si="5"/>
        <v>616310.6</v>
      </c>
      <c r="O79" s="97">
        <f t="shared" si="6"/>
        <v>653289.6</v>
      </c>
      <c r="P79" s="85">
        <f t="shared" si="7"/>
        <v>0.60000000000000031</v>
      </c>
    </row>
    <row r="80" spans="1:19" x14ac:dyDescent="0.3">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453709.02841999993</v>
      </c>
      <c r="M80" s="135">
        <v>0</v>
      </c>
      <c r="N80" s="130">
        <f t="shared" si="5"/>
        <v>453709.61</v>
      </c>
      <c r="O80" s="97">
        <f t="shared" si="6"/>
        <v>480932.61</v>
      </c>
      <c r="P80" s="85">
        <f t="shared" si="7"/>
        <v>0.61000000000000032</v>
      </c>
    </row>
    <row r="81" spans="1:17" x14ac:dyDescent="0.3">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246523.98076000001</v>
      </c>
      <c r="M81" s="233">
        <f>24000+106464</f>
        <v>130464</v>
      </c>
      <c r="N81" s="234">
        <f t="shared" si="5"/>
        <v>1372493.62</v>
      </c>
      <c r="O81" s="235">
        <f t="shared" si="6"/>
        <v>1454843.62</v>
      </c>
      <c r="P81" s="85">
        <f t="shared" si="7"/>
        <v>0.62000000000000033</v>
      </c>
    </row>
    <row r="82" spans="1:17" x14ac:dyDescent="0.3">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228165.81197999997</v>
      </c>
      <c r="M82" s="135">
        <v>0</v>
      </c>
      <c r="N82" s="130">
        <f t="shared" si="5"/>
        <v>146991.63</v>
      </c>
      <c r="O82" s="97">
        <f t="shared" si="6"/>
        <v>155811.63</v>
      </c>
      <c r="P82" s="85">
        <f t="shared" si="7"/>
        <v>0.63000000000000034</v>
      </c>
    </row>
    <row r="83" spans="1:17" x14ac:dyDescent="0.3">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249146.57629999999</v>
      </c>
      <c r="M83" s="135">
        <v>0</v>
      </c>
      <c r="N83" s="130">
        <f t="shared" si="5"/>
        <v>249147.64</v>
      </c>
      <c r="O83" s="97">
        <f t="shared" si="6"/>
        <v>264096.64000000001</v>
      </c>
      <c r="P83" s="85">
        <f t="shared" si="7"/>
        <v>0.64000000000000035</v>
      </c>
      <c r="Q83" t="s">
        <v>263</v>
      </c>
    </row>
    <row r="84" spans="1:17" x14ac:dyDescent="0.3">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616309.95189999999</v>
      </c>
      <c r="M84" s="135">
        <v>15000</v>
      </c>
      <c r="N84" s="130">
        <f t="shared" si="5"/>
        <v>631310.65</v>
      </c>
      <c r="O84" s="97">
        <f t="shared" si="6"/>
        <v>669189.65</v>
      </c>
      <c r="P84" s="85">
        <f t="shared" si="7"/>
        <v>0.65000000000000036</v>
      </c>
    </row>
    <row r="85" spans="1:17" x14ac:dyDescent="0.3">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453709.02841999993</v>
      </c>
      <c r="M85" s="135">
        <v>0</v>
      </c>
      <c r="N85" s="130">
        <f t="shared" ref="N85:N132" si="21">ROUND((L85+J85+I85+K85+M85),0) + P85</f>
        <v>453709.66</v>
      </c>
      <c r="O85" s="97">
        <f t="shared" ref="O85:O132" si="22">ROUND((N85*6% + N85 ),0) + P85</f>
        <v>480932.66</v>
      </c>
      <c r="P85" s="85">
        <f t="shared" si="7"/>
        <v>0.66000000000000036</v>
      </c>
    </row>
    <row r="86" spans="1:17" x14ac:dyDescent="0.3">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246523.98076000001</v>
      </c>
      <c r="M86" s="135">
        <v>0</v>
      </c>
      <c r="N86" s="130">
        <f t="shared" si="21"/>
        <v>246524.67</v>
      </c>
      <c r="O86" s="97">
        <f t="shared" si="22"/>
        <v>261316.67</v>
      </c>
      <c r="P86" s="85">
        <f t="shared" ref="P86:P132" si="24">P85+0.01</f>
        <v>0.67000000000000037</v>
      </c>
    </row>
    <row r="87" spans="1:17" x14ac:dyDescent="0.3">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228165.81197999997</v>
      </c>
      <c r="M87" s="135">
        <v>0</v>
      </c>
      <c r="N87" s="130">
        <f t="shared" si="21"/>
        <v>228166.68</v>
      </c>
      <c r="O87" s="97">
        <f t="shared" si="22"/>
        <v>241857.68</v>
      </c>
      <c r="P87" s="85">
        <f t="shared" si="24"/>
        <v>0.68000000000000038</v>
      </c>
    </row>
    <row r="88" spans="1:17" x14ac:dyDescent="0.3">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249146.57629999999</v>
      </c>
      <c r="M88" s="135">
        <v>40000</v>
      </c>
      <c r="N88" s="130">
        <f t="shared" si="21"/>
        <v>289147.69</v>
      </c>
      <c r="O88" s="97">
        <f t="shared" si="22"/>
        <v>306497.69</v>
      </c>
      <c r="P88" s="85">
        <f t="shared" si="24"/>
        <v>0.69000000000000039</v>
      </c>
    </row>
    <row r="89" spans="1:17" x14ac:dyDescent="0.3">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60319.697419999997</v>
      </c>
      <c r="M89" s="135">
        <v>0</v>
      </c>
      <c r="N89" s="130">
        <f t="shared" si="21"/>
        <v>60320.7</v>
      </c>
      <c r="O89" s="97">
        <f t="shared" si="22"/>
        <v>63940.7</v>
      </c>
      <c r="P89" s="85">
        <f t="shared" si="24"/>
        <v>0.7000000000000004</v>
      </c>
    </row>
    <row r="90" spans="1:17" x14ac:dyDescent="0.3">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60319.697419999997</v>
      </c>
      <c r="M90" s="135">
        <v>0</v>
      </c>
      <c r="N90" s="130">
        <f t="shared" si="21"/>
        <v>60320.71</v>
      </c>
      <c r="O90" s="97">
        <f t="shared" si="22"/>
        <v>63940.71</v>
      </c>
      <c r="P90" s="85">
        <f t="shared" si="24"/>
        <v>0.71000000000000041</v>
      </c>
    </row>
    <row r="91" spans="1:17" x14ac:dyDescent="0.3">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60319.697419999997</v>
      </c>
      <c r="M91" s="135">
        <v>0</v>
      </c>
      <c r="N91" s="130">
        <f t="shared" si="21"/>
        <v>60320.72</v>
      </c>
      <c r="O91" s="97">
        <f t="shared" si="22"/>
        <v>63940.72</v>
      </c>
      <c r="P91" s="85">
        <f t="shared" si="24"/>
        <v>0.72000000000000042</v>
      </c>
    </row>
    <row r="92" spans="1:17" x14ac:dyDescent="0.3">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60319.697419999997</v>
      </c>
      <c r="M92" s="135">
        <v>0</v>
      </c>
      <c r="N92" s="130">
        <f t="shared" si="21"/>
        <v>60320.73</v>
      </c>
      <c r="O92" s="97">
        <f t="shared" si="22"/>
        <v>63940.73</v>
      </c>
      <c r="P92" s="85">
        <f t="shared" si="24"/>
        <v>0.73000000000000043</v>
      </c>
    </row>
    <row r="93" spans="1:17" x14ac:dyDescent="0.3">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60319.697419999997</v>
      </c>
      <c r="M93" s="135">
        <v>0</v>
      </c>
      <c r="N93" s="130">
        <f t="shared" si="21"/>
        <v>60320.74</v>
      </c>
      <c r="O93" s="124">
        <f t="shared" si="22"/>
        <v>63940.74</v>
      </c>
      <c r="P93" s="85">
        <f t="shared" si="24"/>
        <v>0.74000000000000044</v>
      </c>
      <c r="Q93" t="s">
        <v>262</v>
      </c>
    </row>
    <row r="94" spans="1:17" x14ac:dyDescent="0.3">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60319.697419999997</v>
      </c>
      <c r="M94" s="135">
        <v>0</v>
      </c>
      <c r="N94" s="130">
        <f t="shared" si="21"/>
        <v>60320.75</v>
      </c>
      <c r="O94" s="97">
        <f t="shared" si="22"/>
        <v>63940.75</v>
      </c>
      <c r="P94" s="85">
        <f t="shared" si="24"/>
        <v>0.75000000000000044</v>
      </c>
    </row>
    <row r="95" spans="1:17" x14ac:dyDescent="0.3">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60319.697419999997</v>
      </c>
      <c r="M95" s="135">
        <v>0</v>
      </c>
      <c r="N95" s="130">
        <f t="shared" si="21"/>
        <v>60320.76</v>
      </c>
      <c r="O95" s="97">
        <f t="shared" si="22"/>
        <v>63940.76</v>
      </c>
      <c r="P95" s="85">
        <f t="shared" si="24"/>
        <v>0.76000000000000045</v>
      </c>
    </row>
    <row r="96" spans="1:17" x14ac:dyDescent="0.3">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60319.697419999997</v>
      </c>
      <c r="M96" s="135">
        <v>0</v>
      </c>
      <c r="N96" s="130">
        <f t="shared" si="21"/>
        <v>60320.77</v>
      </c>
      <c r="O96" s="97">
        <f t="shared" si="22"/>
        <v>63940.77</v>
      </c>
      <c r="P96" s="85">
        <f t="shared" si="24"/>
        <v>0.77000000000000046</v>
      </c>
    </row>
    <row r="97" spans="1:16" x14ac:dyDescent="0.3">
      <c r="A97" s="64"/>
      <c r="B97" s="23"/>
      <c r="C97" s="23" t="s">
        <v>128</v>
      </c>
      <c r="D97" s="64" t="s">
        <v>264</v>
      </c>
      <c r="E97" s="64"/>
      <c r="F97" s="93">
        <v>2.3E-3</v>
      </c>
      <c r="G97" s="89">
        <v>40560.78</v>
      </c>
      <c r="H97" s="32">
        <f>G97</f>
        <v>40560.78</v>
      </c>
      <c r="I97" s="94">
        <f t="shared" si="0"/>
        <v>0</v>
      </c>
      <c r="J97" s="95">
        <f t="shared" si="19"/>
        <v>0</v>
      </c>
      <c r="K97" s="129">
        <f t="shared" si="26"/>
        <v>0</v>
      </c>
      <c r="L97" s="95">
        <f t="shared" si="20"/>
        <v>60319.697419999997</v>
      </c>
      <c r="M97" s="135">
        <v>0</v>
      </c>
      <c r="N97" s="130">
        <f t="shared" si="21"/>
        <v>60320.78</v>
      </c>
      <c r="O97" s="97">
        <f t="shared" si="22"/>
        <v>63940.78</v>
      </c>
      <c r="P97" s="85">
        <f t="shared" si="24"/>
        <v>0.78000000000000047</v>
      </c>
    </row>
    <row r="98" spans="1:16" x14ac:dyDescent="0.3">
      <c r="A98" s="64"/>
      <c r="B98" s="23"/>
      <c r="C98" s="23" t="s">
        <v>129</v>
      </c>
      <c r="D98" s="64" t="s">
        <v>197</v>
      </c>
      <c r="E98" s="64"/>
      <c r="F98" s="93">
        <v>2.3E-3</v>
      </c>
      <c r="G98" s="89">
        <v>446074.79</v>
      </c>
      <c r="H98" s="32">
        <f>G98</f>
        <v>446074.79</v>
      </c>
      <c r="I98" s="94">
        <f>G98-H98</f>
        <v>0</v>
      </c>
      <c r="J98" s="95">
        <f t="shared" si="19"/>
        <v>0</v>
      </c>
      <c r="K98" s="129">
        <f t="shared" si="26"/>
        <v>0</v>
      </c>
      <c r="L98" s="95">
        <f t="shared" si="20"/>
        <v>60319.697419999997</v>
      </c>
      <c r="M98" s="135">
        <v>0</v>
      </c>
      <c r="N98" s="130">
        <f t="shared" si="21"/>
        <v>60320.79</v>
      </c>
      <c r="O98" s="97">
        <f t="shared" si="22"/>
        <v>63940.79</v>
      </c>
      <c r="P98" s="85">
        <f t="shared" si="24"/>
        <v>0.79000000000000048</v>
      </c>
    </row>
    <row r="99" spans="1:16" x14ac:dyDescent="0.3">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60319.697419999997</v>
      </c>
      <c r="M99" s="135">
        <v>0</v>
      </c>
      <c r="N99" s="130">
        <f t="shared" si="21"/>
        <v>60320.800000000003</v>
      </c>
      <c r="O99" s="97">
        <f t="shared" si="22"/>
        <v>63940.800000000003</v>
      </c>
      <c r="P99" s="85">
        <f t="shared" si="24"/>
        <v>0.80000000000000049</v>
      </c>
    </row>
    <row r="100" spans="1:16" x14ac:dyDescent="0.3">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60319.697419999997</v>
      </c>
      <c r="M100" s="135">
        <v>0</v>
      </c>
      <c r="N100" s="130">
        <f t="shared" si="21"/>
        <v>60320.81</v>
      </c>
      <c r="O100" s="5">
        <f t="shared" si="22"/>
        <v>63940.81</v>
      </c>
      <c r="P100" s="85">
        <f t="shared" si="24"/>
        <v>0.8100000000000005</v>
      </c>
    </row>
    <row r="101" spans="1:16" x14ac:dyDescent="0.3">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60319.697419999997</v>
      </c>
      <c r="M101" s="135">
        <v>0</v>
      </c>
      <c r="N101" s="130">
        <f t="shared" si="21"/>
        <v>60320.82</v>
      </c>
      <c r="O101" s="5">
        <f t="shared" si="22"/>
        <v>63940.82</v>
      </c>
      <c r="P101" s="85">
        <f t="shared" si="24"/>
        <v>0.82000000000000051</v>
      </c>
    </row>
    <row r="102" spans="1:16" x14ac:dyDescent="0.3">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60319.697419999997</v>
      </c>
      <c r="M102" s="135">
        <v>0</v>
      </c>
      <c r="N102" s="130">
        <f t="shared" si="21"/>
        <v>60320.83</v>
      </c>
      <c r="O102" s="97">
        <f t="shared" si="22"/>
        <v>63940.83</v>
      </c>
      <c r="P102" s="85">
        <f t="shared" si="24"/>
        <v>0.83000000000000052</v>
      </c>
    </row>
    <row r="103" spans="1:16" ht="15.75" customHeight="1" x14ac:dyDescent="0.3">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60319.697419999997</v>
      </c>
      <c r="M103" s="135">
        <v>0</v>
      </c>
      <c r="N103" s="130">
        <f t="shared" si="21"/>
        <v>60320.84</v>
      </c>
      <c r="O103" s="97">
        <f t="shared" si="22"/>
        <v>63940.84</v>
      </c>
      <c r="P103" s="85">
        <f t="shared" si="24"/>
        <v>0.84000000000000052</v>
      </c>
    </row>
    <row r="104" spans="1:16" ht="15.75" customHeight="1" x14ac:dyDescent="0.3">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60319.697419999997</v>
      </c>
      <c r="M104" s="135">
        <v>0</v>
      </c>
      <c r="N104" s="130">
        <f t="shared" si="21"/>
        <v>60320.85</v>
      </c>
      <c r="O104" s="97">
        <f t="shared" si="22"/>
        <v>63940.85</v>
      </c>
      <c r="P104" s="85">
        <f t="shared" si="24"/>
        <v>0.85000000000000053</v>
      </c>
    </row>
    <row r="105" spans="1:16" ht="15.75" customHeight="1" x14ac:dyDescent="0.3">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60319.697419999997</v>
      </c>
      <c r="M105" s="135">
        <v>0</v>
      </c>
      <c r="N105" s="130">
        <f t="shared" si="21"/>
        <v>60320.86</v>
      </c>
      <c r="O105" s="5">
        <f t="shared" si="22"/>
        <v>63940.86</v>
      </c>
      <c r="P105" s="85">
        <f t="shared" si="24"/>
        <v>0.86000000000000054</v>
      </c>
    </row>
    <row r="106" spans="1:16" ht="15.75" customHeight="1" x14ac:dyDescent="0.3">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60319.697419999997</v>
      </c>
      <c r="M106" s="135">
        <v>0</v>
      </c>
      <c r="N106" s="130">
        <f t="shared" si="21"/>
        <v>60320.87</v>
      </c>
      <c r="O106" s="5">
        <f t="shared" si="22"/>
        <v>63940.87</v>
      </c>
      <c r="P106" s="85">
        <f t="shared" si="24"/>
        <v>0.87000000000000055</v>
      </c>
    </row>
    <row r="107" spans="1:16" ht="15.75" customHeight="1" x14ac:dyDescent="0.3">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60319.697419999997</v>
      </c>
      <c r="M107" s="135">
        <v>0</v>
      </c>
      <c r="N107" s="130">
        <f t="shared" si="21"/>
        <v>100881.88</v>
      </c>
      <c r="O107" s="5">
        <f t="shared" si="22"/>
        <v>106935.88</v>
      </c>
      <c r="P107" s="85">
        <f t="shared" si="24"/>
        <v>0.88000000000000056</v>
      </c>
    </row>
    <row r="108" spans="1:16" ht="15.75" customHeight="1" x14ac:dyDescent="0.3">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60319.697419999997</v>
      </c>
      <c r="M108" s="135">
        <v>0</v>
      </c>
      <c r="N108" s="130">
        <f t="shared" si="21"/>
        <v>88038.89</v>
      </c>
      <c r="O108" s="5">
        <f t="shared" si="22"/>
        <v>93321.89</v>
      </c>
      <c r="P108" s="85">
        <f t="shared" si="24"/>
        <v>0.89000000000000057</v>
      </c>
    </row>
    <row r="109" spans="1:16" ht="15.75" customHeight="1" x14ac:dyDescent="0.3">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60319.697419999997</v>
      </c>
      <c r="M109" s="135">
        <v>0</v>
      </c>
      <c r="N109" s="130">
        <f t="shared" si="21"/>
        <v>60320.9</v>
      </c>
      <c r="O109" s="5">
        <f t="shared" si="22"/>
        <v>63940.9</v>
      </c>
      <c r="P109" s="85">
        <f t="shared" si="24"/>
        <v>0.90000000000000058</v>
      </c>
    </row>
    <row r="110" spans="1:16" ht="15.75" customHeight="1" x14ac:dyDescent="0.3">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60319.697419999997</v>
      </c>
      <c r="M110" s="135">
        <v>0</v>
      </c>
      <c r="N110" s="130">
        <f t="shared" si="21"/>
        <v>60320.91</v>
      </c>
      <c r="O110" s="5">
        <f t="shared" si="22"/>
        <v>63940.91</v>
      </c>
      <c r="P110" s="85">
        <f t="shared" si="24"/>
        <v>0.91000000000000059</v>
      </c>
    </row>
    <row r="111" spans="1:16" ht="15.75" customHeight="1" x14ac:dyDescent="0.3">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60319.697419999997</v>
      </c>
      <c r="M111" s="233">
        <v>0</v>
      </c>
      <c r="N111" s="234">
        <f t="shared" si="21"/>
        <v>292542.92</v>
      </c>
      <c r="O111" s="235">
        <f t="shared" si="22"/>
        <v>310095.92</v>
      </c>
      <c r="P111" s="85">
        <f t="shared" si="24"/>
        <v>0.9200000000000006</v>
      </c>
    </row>
    <row r="112" spans="1:16" ht="15.75" customHeight="1" x14ac:dyDescent="0.3">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60319.697419999997</v>
      </c>
      <c r="M112" s="135">
        <v>0</v>
      </c>
      <c r="N112" s="130">
        <f t="shared" si="21"/>
        <v>60320.93</v>
      </c>
      <c r="O112" s="97">
        <f t="shared" si="22"/>
        <v>63940.93</v>
      </c>
      <c r="P112" s="85">
        <f t="shared" si="24"/>
        <v>0.9300000000000006</v>
      </c>
    </row>
    <row r="113" spans="1:17" x14ac:dyDescent="0.3">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60319.697419999997</v>
      </c>
      <c r="M113" s="135">
        <v>0</v>
      </c>
      <c r="N113" s="130">
        <f t="shared" si="21"/>
        <v>60320.94</v>
      </c>
      <c r="O113" s="97">
        <f t="shared" si="22"/>
        <v>63940.94</v>
      </c>
      <c r="P113" s="85">
        <f t="shared" si="24"/>
        <v>0.94000000000000061</v>
      </c>
    </row>
    <row r="114" spans="1:17" x14ac:dyDescent="0.3">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60319.697419999997</v>
      </c>
      <c r="M114" s="135">
        <v>0</v>
      </c>
      <c r="N114" s="130">
        <f t="shared" si="21"/>
        <v>57885.95</v>
      </c>
      <c r="O114" s="97">
        <f t="shared" si="22"/>
        <v>61359.95</v>
      </c>
      <c r="P114" s="85">
        <f t="shared" si="24"/>
        <v>0.95000000000000062</v>
      </c>
    </row>
    <row r="115" spans="1:17" x14ac:dyDescent="0.3">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60319.697419999997</v>
      </c>
      <c r="M115" s="135">
        <v>0</v>
      </c>
      <c r="N115" s="130">
        <f t="shared" si="21"/>
        <v>60320.959999999999</v>
      </c>
      <c r="O115" s="97">
        <f t="shared" si="22"/>
        <v>63940.959999999999</v>
      </c>
      <c r="P115" s="85">
        <f t="shared" si="24"/>
        <v>0.96000000000000063</v>
      </c>
    </row>
    <row r="116" spans="1:17" x14ac:dyDescent="0.3">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60319.697419999997</v>
      </c>
      <c r="M116" s="135">
        <v>0</v>
      </c>
      <c r="N116" s="130">
        <f t="shared" si="21"/>
        <v>60320.97</v>
      </c>
      <c r="O116" s="97">
        <f t="shared" si="22"/>
        <v>63940.97</v>
      </c>
      <c r="P116" s="85">
        <f t="shared" si="24"/>
        <v>0.97000000000000064</v>
      </c>
    </row>
    <row r="117" spans="1:17" x14ac:dyDescent="0.3">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60319.697419999997</v>
      </c>
      <c r="M117" s="135">
        <v>0</v>
      </c>
      <c r="N117" s="130">
        <f t="shared" si="21"/>
        <v>100881.98</v>
      </c>
      <c r="O117" s="97">
        <f t="shared" si="22"/>
        <v>106935.98</v>
      </c>
      <c r="P117" s="85">
        <f t="shared" si="24"/>
        <v>0.98000000000000065</v>
      </c>
    </row>
    <row r="118" spans="1:17" x14ac:dyDescent="0.3">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60319.697419999997</v>
      </c>
      <c r="M118" s="135">
        <v>0</v>
      </c>
      <c r="N118" s="130">
        <f t="shared" si="21"/>
        <v>146103.99</v>
      </c>
      <c r="O118" s="97">
        <f t="shared" si="22"/>
        <v>154870.99</v>
      </c>
      <c r="P118" s="85">
        <f t="shared" si="24"/>
        <v>0.99000000000000066</v>
      </c>
    </row>
    <row r="119" spans="1:17" x14ac:dyDescent="0.3">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60319.697419999997</v>
      </c>
      <c r="M119" s="135">
        <v>0</v>
      </c>
      <c r="N119" s="130">
        <f t="shared" si="21"/>
        <v>60321</v>
      </c>
      <c r="O119" s="97">
        <f t="shared" si="22"/>
        <v>63941</v>
      </c>
      <c r="P119" s="85">
        <f t="shared" si="24"/>
        <v>1.0000000000000007</v>
      </c>
      <c r="Q119" t="s">
        <v>278</v>
      </c>
    </row>
    <row r="120" spans="1:17" x14ac:dyDescent="0.3">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60319.697419999997</v>
      </c>
      <c r="M120" s="135">
        <v>0</v>
      </c>
      <c r="N120" s="130">
        <f t="shared" si="21"/>
        <v>60321.01</v>
      </c>
      <c r="O120" s="97">
        <f t="shared" si="22"/>
        <v>63941.01</v>
      </c>
      <c r="P120" s="85">
        <f t="shared" si="24"/>
        <v>1.0100000000000007</v>
      </c>
    </row>
    <row r="121" spans="1:17" x14ac:dyDescent="0.3">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60319.697419999997</v>
      </c>
      <c r="M121" s="135">
        <v>0</v>
      </c>
      <c r="N121" s="130">
        <f t="shared" si="21"/>
        <v>60321.02</v>
      </c>
      <c r="O121" s="97">
        <f t="shared" si="22"/>
        <v>63941.02</v>
      </c>
      <c r="P121" s="85">
        <f t="shared" si="24"/>
        <v>1.0200000000000007</v>
      </c>
    </row>
    <row r="122" spans="1:17" x14ac:dyDescent="0.3">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60319.697419999997</v>
      </c>
      <c r="M122" s="135">
        <v>0</v>
      </c>
      <c r="N122" s="130">
        <f t="shared" si="21"/>
        <v>60321.03</v>
      </c>
      <c r="O122" s="97">
        <f t="shared" si="22"/>
        <v>63941.03</v>
      </c>
      <c r="P122" s="85">
        <f t="shared" si="24"/>
        <v>1.0300000000000007</v>
      </c>
    </row>
    <row r="123" spans="1:17" x14ac:dyDescent="0.3">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60319.697419999997</v>
      </c>
      <c r="M123" s="135">
        <v>0</v>
      </c>
      <c r="N123" s="130">
        <f t="shared" si="21"/>
        <v>60321.04</v>
      </c>
      <c r="O123" s="97">
        <f t="shared" si="22"/>
        <v>63941.04</v>
      </c>
      <c r="P123" s="85">
        <f t="shared" si="24"/>
        <v>1.0400000000000007</v>
      </c>
    </row>
    <row r="124" spans="1:17" x14ac:dyDescent="0.3">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60319.697419999997</v>
      </c>
      <c r="M124" s="135">
        <v>0</v>
      </c>
      <c r="N124" s="130">
        <f t="shared" si="21"/>
        <v>60321.05</v>
      </c>
      <c r="O124" s="97">
        <f t="shared" si="22"/>
        <v>63941.05</v>
      </c>
      <c r="P124" s="85">
        <f t="shared" si="24"/>
        <v>1.0500000000000007</v>
      </c>
    </row>
    <row r="125" spans="1:17" x14ac:dyDescent="0.3">
      <c r="A125" s="80"/>
      <c r="B125" s="23"/>
      <c r="C125" s="23" t="s">
        <v>156</v>
      </c>
      <c r="D125" s="64" t="s">
        <v>177</v>
      </c>
      <c r="E125" s="64"/>
      <c r="F125" s="93">
        <v>2.3E-3</v>
      </c>
      <c r="G125" s="89">
        <v>40561.06</v>
      </c>
      <c r="H125" s="32">
        <f>G125</f>
        <v>40561.06</v>
      </c>
      <c r="I125" s="94">
        <f t="shared" si="0"/>
        <v>0</v>
      </c>
      <c r="J125" s="95">
        <f t="shared" si="29"/>
        <v>0</v>
      </c>
      <c r="K125" s="129">
        <f t="shared" si="26"/>
        <v>0</v>
      </c>
      <c r="L125" s="95">
        <f t="shared" si="30"/>
        <v>60319.697419999997</v>
      </c>
      <c r="M125" s="135">
        <v>0</v>
      </c>
      <c r="N125" s="130">
        <f t="shared" si="21"/>
        <v>60321.06</v>
      </c>
      <c r="O125" s="97">
        <f t="shared" si="22"/>
        <v>63941.06</v>
      </c>
      <c r="P125" s="85">
        <f t="shared" si="24"/>
        <v>1.0600000000000007</v>
      </c>
      <c r="Q125" t="s">
        <v>292</v>
      </c>
    </row>
    <row r="126" spans="1:17" x14ac:dyDescent="0.3">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60319.697419999997</v>
      </c>
      <c r="M126" s="135">
        <v>0</v>
      </c>
      <c r="N126" s="130">
        <f t="shared" si="21"/>
        <v>97972.07</v>
      </c>
      <c r="O126" s="97">
        <f t="shared" si="22"/>
        <v>103851.07</v>
      </c>
      <c r="P126" s="85">
        <f t="shared" si="24"/>
        <v>1.0700000000000007</v>
      </c>
    </row>
    <row r="127" spans="1:17" x14ac:dyDescent="0.3">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60319.697419999997</v>
      </c>
      <c r="M127" s="135">
        <v>0</v>
      </c>
      <c r="N127" s="130">
        <f t="shared" si="21"/>
        <v>60321.08</v>
      </c>
      <c r="O127" s="97">
        <f t="shared" si="22"/>
        <v>63941.08</v>
      </c>
      <c r="P127" s="85">
        <f t="shared" si="24"/>
        <v>1.0800000000000007</v>
      </c>
    </row>
    <row r="128" spans="1:17" x14ac:dyDescent="0.3">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60319.697419999997</v>
      </c>
      <c r="M128" s="135">
        <v>0</v>
      </c>
      <c r="N128" s="130">
        <f t="shared" si="21"/>
        <v>74962.09</v>
      </c>
      <c r="O128" s="97">
        <f t="shared" si="22"/>
        <v>79461.09</v>
      </c>
      <c r="P128" s="85">
        <f t="shared" si="24"/>
        <v>1.0900000000000007</v>
      </c>
    </row>
    <row r="129" spans="1:17" x14ac:dyDescent="0.3">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60319.697419999997</v>
      </c>
      <c r="M129" s="135">
        <v>0</v>
      </c>
      <c r="N129" s="130">
        <f t="shared" si="21"/>
        <v>57886.1</v>
      </c>
      <c r="O129" s="5">
        <f t="shared" si="22"/>
        <v>61360.1</v>
      </c>
      <c r="P129" s="85">
        <f t="shared" si="24"/>
        <v>1.1000000000000008</v>
      </c>
    </row>
    <row r="130" spans="1:17" x14ac:dyDescent="0.3">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60319.697419999997</v>
      </c>
      <c r="M130" s="135">
        <v>0</v>
      </c>
      <c r="N130" s="130">
        <f t="shared" si="21"/>
        <v>60321.11</v>
      </c>
      <c r="O130" s="5">
        <f t="shared" si="22"/>
        <v>63941.11</v>
      </c>
      <c r="P130" s="85">
        <f t="shared" si="24"/>
        <v>1.1100000000000008</v>
      </c>
    </row>
    <row r="131" spans="1:17" x14ac:dyDescent="0.3">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60319.697419999997</v>
      </c>
      <c r="M131" s="135">
        <v>0</v>
      </c>
      <c r="N131" s="130">
        <f t="shared" si="21"/>
        <v>60321.120000000003</v>
      </c>
      <c r="O131" s="5">
        <f t="shared" si="22"/>
        <v>63941.120000000003</v>
      </c>
      <c r="P131" s="85">
        <f t="shared" si="24"/>
        <v>1.1200000000000008</v>
      </c>
    </row>
    <row r="132" spans="1:17" x14ac:dyDescent="0.3">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60319.697419999997</v>
      </c>
      <c r="M132" s="135">
        <v>0</v>
      </c>
      <c r="N132" s="130">
        <f t="shared" si="21"/>
        <v>60321.13</v>
      </c>
      <c r="O132" s="5">
        <f t="shared" si="22"/>
        <v>63941.13</v>
      </c>
      <c r="P132" s="85">
        <f t="shared" si="24"/>
        <v>1.1300000000000008</v>
      </c>
    </row>
    <row r="133" spans="1:17" x14ac:dyDescent="0.3">
      <c r="A133" s="34" t="s">
        <v>24</v>
      </c>
      <c r="B133" s="3"/>
      <c r="C133" s="3"/>
      <c r="D133" s="37"/>
      <c r="E133" s="37"/>
      <c r="F133" s="3"/>
      <c r="G133" s="17"/>
      <c r="H133" s="58"/>
      <c r="I133" s="36"/>
      <c r="J133" s="17"/>
      <c r="K133" s="17"/>
      <c r="L133" s="17"/>
      <c r="M133" s="48"/>
      <c r="N133" s="2"/>
      <c r="O133" s="5"/>
    </row>
    <row r="134" spans="1:17" ht="14.25" customHeight="1" x14ac:dyDescent="0.3">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26075519.163240064</v>
      </c>
      <c r="M134" s="117">
        <f t="shared" si="32"/>
        <v>430464</v>
      </c>
      <c r="N134" s="20">
        <f t="shared" si="32"/>
        <v>36347958.326048382</v>
      </c>
      <c r="O134" s="19">
        <f t="shared" si="32"/>
        <v>38528894.401011288</v>
      </c>
      <c r="Q134" s="39"/>
    </row>
    <row r="135" spans="1:17" hidden="1" x14ac:dyDescent="0.3">
      <c r="L135" s="41">
        <f>L134-M1</f>
        <v>-150436.23675993457</v>
      </c>
    </row>
    <row r="136" spans="1:17" ht="15" hidden="1" customHeight="1" x14ac:dyDescent="0.3">
      <c r="C136" s="332"/>
      <c r="D136" s="332"/>
      <c r="E136" s="332"/>
      <c r="F136" s="332"/>
      <c r="G136" s="332"/>
      <c r="H136" s="332"/>
      <c r="I136" s="332"/>
      <c r="J136" s="332"/>
      <c r="K136" s="332"/>
      <c r="L136" s="332"/>
      <c r="M136" s="332"/>
      <c r="N136" s="332"/>
      <c r="O136" s="332"/>
    </row>
    <row r="137" spans="1:17" hidden="1" x14ac:dyDescent="0.3">
      <c r="C137" s="332"/>
      <c r="D137" s="332"/>
      <c r="E137" s="332"/>
      <c r="F137" s="332"/>
      <c r="G137" s="332"/>
      <c r="H137" s="332"/>
      <c r="I137" s="332"/>
      <c r="J137" s="332"/>
      <c r="K137" s="332"/>
      <c r="L137" s="332"/>
      <c r="M137" s="332"/>
      <c r="N137" s="332"/>
      <c r="O137" s="332"/>
    </row>
    <row r="138" spans="1:17" ht="8.25" customHeight="1" x14ac:dyDescent="0.3">
      <c r="C138" s="49"/>
      <c r="D138" s="49"/>
      <c r="E138" s="49"/>
      <c r="F138" s="49"/>
      <c r="G138" s="49"/>
      <c r="H138" s="49"/>
      <c r="I138" s="49"/>
      <c r="J138" s="49"/>
      <c r="K138" s="49"/>
      <c r="L138" s="49"/>
      <c r="M138" s="49"/>
      <c r="N138" s="49"/>
      <c r="O138" s="49"/>
    </row>
    <row r="139" spans="1:17" x14ac:dyDescent="0.3">
      <c r="C139" s="282" t="s">
        <v>243</v>
      </c>
      <c r="D139" s="282"/>
      <c r="E139" s="282"/>
      <c r="F139" s="282"/>
      <c r="G139" s="282"/>
      <c r="H139" s="282"/>
      <c r="I139" s="282"/>
      <c r="J139" s="282"/>
      <c r="K139" s="282"/>
      <c r="L139" s="282"/>
      <c r="M139" s="282"/>
      <c r="N139" s="282"/>
      <c r="O139" s="282"/>
    </row>
    <row r="140" spans="1:17" x14ac:dyDescent="0.3">
      <c r="C140" s="282"/>
      <c r="D140" s="282"/>
      <c r="E140" s="282"/>
      <c r="F140" s="282"/>
      <c r="G140" s="282"/>
      <c r="H140" s="282"/>
      <c r="I140" s="282"/>
      <c r="J140" s="282"/>
      <c r="K140" s="282"/>
      <c r="L140" s="282"/>
      <c r="M140" s="282"/>
      <c r="N140" s="282"/>
      <c r="O140" s="282"/>
    </row>
    <row r="141" spans="1:17" x14ac:dyDescent="0.3">
      <c r="C141" s="282"/>
      <c r="D141" s="282"/>
      <c r="E141" s="282"/>
      <c r="F141" s="282"/>
      <c r="G141" s="282"/>
      <c r="H141" s="282"/>
      <c r="I141" s="282"/>
      <c r="J141" s="282"/>
      <c r="K141" s="282"/>
      <c r="L141" s="282"/>
      <c r="M141" s="282"/>
      <c r="N141" s="282"/>
      <c r="O141" s="282"/>
    </row>
    <row r="142" spans="1:17" x14ac:dyDescent="0.3">
      <c r="C142" s="282"/>
      <c r="D142" s="282"/>
      <c r="E142" s="282"/>
      <c r="F142" s="282"/>
      <c r="G142" s="282"/>
      <c r="H142" s="282"/>
      <c r="I142" s="282"/>
      <c r="J142" s="282"/>
      <c r="K142" s="282"/>
      <c r="L142" s="282"/>
      <c r="M142" s="282"/>
      <c r="N142" s="282"/>
      <c r="O142" s="282"/>
    </row>
    <row r="143" spans="1:17" x14ac:dyDescent="0.3">
      <c r="C143" s="282"/>
      <c r="D143" s="282"/>
      <c r="E143" s="282"/>
      <c r="F143" s="282"/>
      <c r="G143" s="282"/>
      <c r="H143" s="282"/>
      <c r="I143" s="282"/>
      <c r="J143" s="282"/>
      <c r="K143" s="282"/>
      <c r="L143" s="282"/>
      <c r="M143" s="282"/>
      <c r="N143" s="282"/>
      <c r="O143" s="282"/>
    </row>
    <row r="144" spans="1:17" x14ac:dyDescent="0.3">
      <c r="C144" s="282"/>
      <c r="D144" s="282"/>
      <c r="E144" s="282"/>
      <c r="F144" s="282"/>
      <c r="G144" s="282"/>
      <c r="H144" s="282"/>
      <c r="I144" s="282"/>
      <c r="J144" s="282"/>
      <c r="K144" s="282"/>
      <c r="L144" s="282"/>
      <c r="M144" s="282"/>
      <c r="N144" s="282"/>
      <c r="O144" s="282"/>
    </row>
    <row r="145" spans="3:17" x14ac:dyDescent="0.3">
      <c r="C145" s="282"/>
      <c r="D145" s="282"/>
      <c r="E145" s="282"/>
      <c r="F145" s="282"/>
      <c r="G145" s="282"/>
      <c r="H145" s="282"/>
      <c r="I145" s="282"/>
      <c r="J145" s="282"/>
      <c r="K145" s="282"/>
      <c r="L145" s="282"/>
      <c r="M145" s="282"/>
      <c r="N145" s="282"/>
      <c r="O145" s="282"/>
    </row>
    <row r="146" spans="3:17" x14ac:dyDescent="0.3">
      <c r="C146" s="282"/>
      <c r="D146" s="282"/>
      <c r="E146" s="282"/>
      <c r="F146" s="282"/>
      <c r="G146" s="282"/>
      <c r="H146" s="282"/>
      <c r="I146" s="282"/>
      <c r="J146" s="282"/>
      <c r="K146" s="282"/>
      <c r="L146" s="282"/>
      <c r="M146" s="282"/>
      <c r="N146" s="282"/>
      <c r="O146" s="282"/>
    </row>
    <row r="147" spans="3:17" ht="6" customHeight="1" x14ac:dyDescent="0.3">
      <c r="C147" s="49"/>
      <c r="D147" s="49"/>
      <c r="E147" s="49"/>
      <c r="F147" s="49"/>
      <c r="G147" s="49"/>
      <c r="H147" s="49"/>
      <c r="I147" s="49"/>
      <c r="J147" s="49"/>
      <c r="K147" s="49"/>
      <c r="L147" s="49"/>
      <c r="M147" s="49"/>
      <c r="N147" s="49"/>
      <c r="O147" s="49"/>
    </row>
    <row r="148" spans="3:17" ht="45" hidden="1" customHeight="1" x14ac:dyDescent="0.3">
      <c r="C148" s="49"/>
      <c r="D148" s="49"/>
      <c r="E148" s="49"/>
      <c r="F148" s="49"/>
      <c r="G148" s="49"/>
      <c r="H148" s="49"/>
      <c r="I148" s="49"/>
      <c r="J148" s="49"/>
      <c r="K148" s="49"/>
      <c r="L148" s="49"/>
      <c r="M148" s="49"/>
      <c r="N148" s="49"/>
      <c r="O148" s="49"/>
    </row>
    <row r="149" spans="3:17" x14ac:dyDescent="0.3">
      <c r="C149" s="331" t="s">
        <v>242</v>
      </c>
      <c r="D149" s="331"/>
      <c r="E149" s="331"/>
      <c r="F149" s="331"/>
      <c r="G149" s="331"/>
      <c r="H149" s="331"/>
      <c r="I149" s="331"/>
      <c r="J149" s="331"/>
      <c r="K149" s="331"/>
      <c r="L149" s="331"/>
      <c r="M149" s="331"/>
      <c r="N149" s="331"/>
      <c r="O149" s="331"/>
    </row>
    <row r="150" spans="3:17" x14ac:dyDescent="0.3">
      <c r="C150" s="331"/>
      <c r="D150" s="331"/>
      <c r="E150" s="331"/>
      <c r="F150" s="331"/>
      <c r="G150" s="331"/>
      <c r="H150" s="331"/>
      <c r="I150" s="331"/>
      <c r="J150" s="331"/>
      <c r="K150" s="331"/>
      <c r="L150" s="331"/>
      <c r="M150" s="331"/>
      <c r="N150" s="331"/>
      <c r="O150" s="331"/>
    </row>
    <row r="151" spans="3:17" x14ac:dyDescent="0.3">
      <c r="C151" s="331"/>
      <c r="D151" s="331"/>
      <c r="E151" s="331"/>
      <c r="F151" s="331"/>
      <c r="G151" s="331"/>
      <c r="H151" s="331"/>
      <c r="I151" s="331"/>
      <c r="J151" s="331"/>
      <c r="K151" s="331"/>
      <c r="L151" s="331"/>
      <c r="M151" s="331"/>
      <c r="N151" s="331"/>
      <c r="O151" s="331"/>
      <c r="Q151" s="55">
        <f>M1-L134</f>
        <v>150436.23675993457</v>
      </c>
    </row>
    <row r="152" spans="3:17" ht="22.5" customHeight="1" x14ac:dyDescent="0.3">
      <c r="C152" s="331"/>
      <c r="D152" s="331"/>
      <c r="E152" s="331"/>
      <c r="F152" s="331"/>
      <c r="G152" s="331"/>
      <c r="H152" s="331"/>
      <c r="I152" s="331"/>
      <c r="J152" s="331"/>
      <c r="K152" s="331"/>
      <c r="L152" s="331"/>
      <c r="M152" s="331"/>
      <c r="N152" s="331"/>
      <c r="O152" s="331"/>
    </row>
    <row r="153" spans="3:17" ht="5.25" customHeight="1" x14ac:dyDescent="0.3">
      <c r="C153" s="331"/>
      <c r="D153" s="331"/>
      <c r="E153" s="331"/>
      <c r="F153" s="331"/>
      <c r="G153" s="331"/>
      <c r="H153" s="331"/>
      <c r="I153" s="331"/>
      <c r="J153" s="331"/>
      <c r="K153" s="331"/>
      <c r="L153" s="331"/>
      <c r="M153" s="331"/>
      <c r="N153" s="331"/>
      <c r="O153" s="331"/>
    </row>
    <row r="154" spans="3:17" ht="15" hidden="1" customHeight="1" x14ac:dyDescent="0.3">
      <c r="C154" s="331"/>
      <c r="D154" s="331"/>
      <c r="E154" s="331"/>
      <c r="F154" s="331"/>
      <c r="G154" s="331"/>
      <c r="H154" s="331"/>
      <c r="I154" s="331"/>
      <c r="J154" s="331"/>
      <c r="K154" s="331"/>
      <c r="L154" s="331"/>
      <c r="M154" s="331"/>
      <c r="N154" s="331"/>
      <c r="O154" s="331"/>
    </row>
    <row r="155" spans="3:17" ht="15" hidden="1" customHeight="1" x14ac:dyDescent="0.3">
      <c r="C155" s="331"/>
      <c r="D155" s="331"/>
      <c r="E155" s="331"/>
      <c r="F155" s="331"/>
      <c r="G155" s="331"/>
      <c r="H155" s="331"/>
      <c r="I155" s="331"/>
      <c r="J155" s="331"/>
      <c r="K155" s="331"/>
      <c r="L155" s="331"/>
      <c r="M155" s="331"/>
      <c r="N155" s="331"/>
      <c r="O155" s="331"/>
    </row>
  </sheetData>
  <mergeCells count="23">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 ref="K12:K14"/>
    <mergeCell ref="A12:A14"/>
    <mergeCell ref="B12:B14"/>
    <mergeCell ref="C12:C14"/>
    <mergeCell ref="D12:D14"/>
    <mergeCell ref="F12:F14"/>
    <mergeCell ref="E12:E14"/>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16" zoomScale="80" zoomScaleNormal="80" workbookViewId="0">
      <selection activeCell="M35" sqref="M35"/>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71" t="s">
        <v>300</v>
      </c>
      <c r="B1" s="371"/>
      <c r="C1" s="371"/>
      <c r="D1" s="371"/>
      <c r="E1" s="371"/>
      <c r="F1" s="371"/>
      <c r="G1" s="371"/>
      <c r="H1" s="371"/>
      <c r="I1" s="371"/>
      <c r="J1" s="371"/>
      <c r="K1" s="371"/>
      <c r="L1" s="371"/>
      <c r="M1" s="371"/>
      <c r="N1" s="371"/>
      <c r="O1" s="372"/>
      <c r="R1" s="31"/>
    </row>
    <row r="2" spans="1:27" ht="36.6" customHeight="1" thickBot="1" x14ac:dyDescent="0.35">
      <c r="A2" s="373"/>
      <c r="B2" s="373"/>
      <c r="C2" s="373"/>
      <c r="D2" s="373"/>
      <c r="E2" s="373"/>
      <c r="F2" s="373"/>
      <c r="G2" s="373"/>
      <c r="H2" s="373"/>
      <c r="I2" s="373"/>
      <c r="J2" s="373"/>
      <c r="K2" s="373"/>
      <c r="L2" s="373"/>
      <c r="M2" s="373"/>
      <c r="N2" s="373"/>
      <c r="O2" s="374"/>
      <c r="R2" s="31"/>
    </row>
    <row r="3" spans="1:27" s="166" customFormat="1" ht="79.5" customHeight="1" thickBot="1" x14ac:dyDescent="0.35">
      <c r="A3" s="368" t="s">
        <v>358</v>
      </c>
      <c r="B3" s="369"/>
      <c r="C3" s="369"/>
      <c r="D3" s="369"/>
      <c r="E3" s="369"/>
      <c r="F3" s="369"/>
      <c r="G3" s="369"/>
      <c r="H3" s="369"/>
      <c r="I3" s="369"/>
      <c r="J3" s="369"/>
      <c r="K3" s="369"/>
      <c r="L3" s="369"/>
      <c r="M3" s="369"/>
      <c r="N3" s="369"/>
      <c r="O3" s="370"/>
      <c r="P3" s="167"/>
      <c r="Q3" s="167"/>
      <c r="R3" s="167"/>
      <c r="S3" s="167"/>
      <c r="T3" s="167"/>
      <c r="U3" s="167"/>
      <c r="V3" s="167"/>
      <c r="W3" s="167"/>
      <c r="X3" s="167"/>
      <c r="Y3" s="167"/>
      <c r="Z3" s="167"/>
      <c r="AA3" s="167"/>
    </row>
    <row r="4" spans="1:27" ht="15" customHeight="1" x14ac:dyDescent="0.3">
      <c r="A4" s="324" t="s">
        <v>301</v>
      </c>
      <c r="B4" s="324" t="s">
        <v>302</v>
      </c>
      <c r="C4" s="324" t="s">
        <v>11</v>
      </c>
      <c r="D4" s="324" t="s">
        <v>25</v>
      </c>
      <c r="E4" s="321" t="s">
        <v>326</v>
      </c>
      <c r="F4" s="321" t="s">
        <v>327</v>
      </c>
      <c r="G4" s="321" t="s">
        <v>260</v>
      </c>
      <c r="H4" s="321" t="s">
        <v>332</v>
      </c>
      <c r="I4" s="321" t="s">
        <v>339</v>
      </c>
      <c r="J4" s="360" t="s">
        <v>328</v>
      </c>
      <c r="K4" s="83"/>
      <c r="L4" s="365" t="s">
        <v>336</v>
      </c>
      <c r="M4" s="321" t="s">
        <v>337</v>
      </c>
      <c r="N4" s="321" t="s">
        <v>329</v>
      </c>
      <c r="O4" s="321" t="s">
        <v>16</v>
      </c>
      <c r="R4" s="31"/>
    </row>
    <row r="5" spans="1:27" ht="28.5" customHeight="1" x14ac:dyDescent="0.3">
      <c r="A5" s="325"/>
      <c r="B5" s="325"/>
      <c r="C5" s="325"/>
      <c r="D5" s="325"/>
      <c r="E5" s="322"/>
      <c r="F5" s="322"/>
      <c r="G5" s="322"/>
      <c r="H5" s="322"/>
      <c r="I5" s="322"/>
      <c r="J5" s="361"/>
      <c r="K5" s="83"/>
      <c r="L5" s="366"/>
      <c r="M5" s="322"/>
      <c r="N5" s="322"/>
      <c r="O5" s="322"/>
      <c r="R5" s="31"/>
    </row>
    <row r="6" spans="1:27" ht="19.5" customHeight="1" thickBot="1" x14ac:dyDescent="0.35">
      <c r="A6" s="364"/>
      <c r="B6" s="364"/>
      <c r="C6" s="364"/>
      <c r="D6" s="364"/>
      <c r="E6" s="363"/>
      <c r="F6" s="363"/>
      <c r="G6" s="363"/>
      <c r="H6" s="363"/>
      <c r="I6" s="363"/>
      <c r="J6" s="362"/>
      <c r="K6" s="136"/>
      <c r="L6" s="367"/>
      <c r="M6" s="363"/>
      <c r="N6" s="363"/>
      <c r="O6" s="363"/>
      <c r="R6" s="31"/>
    </row>
    <row r="7" spans="1:27" x14ac:dyDescent="0.3">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30"/>
      <c r="S7" s="330"/>
    </row>
    <row r="8" spans="1:27" x14ac:dyDescent="0.3">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30"/>
      <c r="S8" s="330"/>
    </row>
    <row r="9" spans="1:27" x14ac:dyDescent="0.3">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3">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 thickBot="1" x14ac:dyDescent="0.35">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3">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3">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3">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3">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3">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3">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3">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3">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3">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3">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3">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3">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3">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3">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3">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3">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3">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3">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3">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3">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3">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3">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3">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3">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3">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3">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3">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3">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3">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3">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3">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3">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3">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3">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3">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3">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3">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3">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3">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3">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3">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3">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3">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3">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3">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3">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3">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3">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3">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3">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3">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3">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3">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3">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3">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3">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3">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3">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3">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3">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3">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3">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3">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3">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3">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3">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3">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3">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3">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3">
      <c r="A81" s="23"/>
      <c r="B81" s="23"/>
      <c r="C81" s="64"/>
      <c r="D81" s="23"/>
      <c r="E81" s="95"/>
      <c r="F81" s="48"/>
      <c r="G81" s="96"/>
      <c r="H81" s="96"/>
      <c r="I81" s="96"/>
      <c r="J81" s="96"/>
      <c r="K81" s="96"/>
      <c r="L81" s="221"/>
      <c r="M81" s="96"/>
      <c r="N81" s="96"/>
      <c r="O81" s="97"/>
    </row>
    <row r="82" spans="1:17" x14ac:dyDescent="0.3">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8"/>
  <sheetViews>
    <sheetView workbookViewId="0">
      <selection activeCell="L8" sqref="K3:L8"/>
    </sheetView>
  </sheetViews>
  <sheetFormatPr baseColWidth="10" defaultRowHeight="14.4" x14ac:dyDescent="0.3"/>
  <sheetData>
    <row r="1" spans="3:13" ht="15" thickBot="1" x14ac:dyDescent="0.35">
      <c r="K1" s="46"/>
      <c r="L1" s="46"/>
      <c r="M1" s="46"/>
    </row>
    <row r="2" spans="3:13" x14ac:dyDescent="0.3">
      <c r="C2" s="242" t="s">
        <v>343</v>
      </c>
      <c r="D2" s="243">
        <v>1</v>
      </c>
      <c r="E2" s="243"/>
      <c r="F2" s="170"/>
      <c r="G2" s="170"/>
      <c r="H2" s="170"/>
      <c r="I2" s="170"/>
      <c r="J2" s="171"/>
      <c r="K2" s="46"/>
      <c r="L2" s="46"/>
      <c r="M2" s="46"/>
    </row>
    <row r="3" spans="3:13" x14ac:dyDescent="0.3">
      <c r="C3" s="244" t="s">
        <v>344</v>
      </c>
      <c r="D3" s="245"/>
      <c r="E3" s="246">
        <v>0</v>
      </c>
      <c r="F3" s="46"/>
      <c r="G3" s="46" t="s">
        <v>345</v>
      </c>
      <c r="H3" s="172"/>
      <c r="I3" s="173"/>
      <c r="J3" s="174"/>
      <c r="K3" s="247"/>
      <c r="L3" s="247"/>
      <c r="M3" s="247"/>
    </row>
    <row r="4" spans="3:13" x14ac:dyDescent="0.3">
      <c r="C4" s="244" t="s">
        <v>346</v>
      </c>
      <c r="D4" s="245" t="s">
        <v>347</v>
      </c>
      <c r="E4" s="245" t="s">
        <v>348</v>
      </c>
      <c r="F4" s="46"/>
      <c r="G4" s="46" t="s">
        <v>349</v>
      </c>
      <c r="H4" s="46" t="s">
        <v>417</v>
      </c>
      <c r="I4" s="173"/>
      <c r="J4" s="174"/>
      <c r="K4" s="247"/>
      <c r="L4" s="247"/>
      <c r="M4" s="247"/>
    </row>
    <row r="5" spans="3:13" ht="15" thickBot="1" x14ac:dyDescent="0.35">
      <c r="C5" s="168" t="s">
        <v>350</v>
      </c>
      <c r="D5" s="46"/>
      <c r="E5" s="46"/>
      <c r="F5" s="46"/>
      <c r="G5" s="46"/>
      <c r="H5" s="46"/>
      <c r="I5" s="46"/>
      <c r="J5" s="175"/>
      <c r="K5" s="247"/>
      <c r="L5" s="247"/>
      <c r="M5" s="247"/>
    </row>
    <row r="6" spans="3:13" x14ac:dyDescent="0.3">
      <c r="C6" s="384" t="s">
        <v>418</v>
      </c>
      <c r="D6" s="385"/>
      <c r="E6" s="385"/>
      <c r="F6" s="385"/>
      <c r="G6" s="385"/>
      <c r="H6" s="385"/>
      <c r="I6" s="385"/>
      <c r="J6" s="386"/>
      <c r="K6" s="46"/>
      <c r="L6" s="46"/>
      <c r="M6" s="46"/>
    </row>
    <row r="7" spans="3:13" x14ac:dyDescent="0.3">
      <c r="C7" s="387"/>
      <c r="D7" s="388"/>
      <c r="E7" s="388"/>
      <c r="F7" s="388"/>
      <c r="G7" s="388"/>
      <c r="H7" s="388"/>
      <c r="I7" s="388"/>
      <c r="J7" s="389"/>
      <c r="K7" s="46"/>
      <c r="L7" s="46"/>
      <c r="M7" s="46"/>
    </row>
    <row r="8" spans="3:13" ht="15" thickBot="1" x14ac:dyDescent="0.35">
      <c r="C8" s="390"/>
      <c r="D8" s="391"/>
      <c r="E8" s="391"/>
      <c r="F8" s="391"/>
      <c r="G8" s="391"/>
      <c r="H8" s="391"/>
      <c r="I8" s="391"/>
      <c r="J8" s="392"/>
      <c r="K8" s="46"/>
      <c r="L8" s="46"/>
      <c r="M8" s="46"/>
    </row>
  </sheetData>
  <mergeCells count="1">
    <mergeCell ref="C6:J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4087C-F49A-40D2-A732-EFA1FDB50C59}">
  <dimension ref="C2:H20"/>
  <sheetViews>
    <sheetView topLeftCell="A7" workbookViewId="0">
      <selection activeCell="C3" sqref="C3:H20"/>
    </sheetView>
  </sheetViews>
  <sheetFormatPr baseColWidth="10" defaultRowHeight="14.4" x14ac:dyDescent="0.3"/>
  <cols>
    <col min="8" max="8" width="18.6640625" customWidth="1"/>
  </cols>
  <sheetData>
    <row r="2" spans="3:8" ht="15" thickBot="1" x14ac:dyDescent="0.35"/>
    <row r="3" spans="3:8" ht="16.2" thickBot="1" x14ac:dyDescent="0.35">
      <c r="C3" s="381" t="s">
        <v>409</v>
      </c>
      <c r="D3" s="382"/>
      <c r="E3" s="382"/>
      <c r="F3" s="382"/>
      <c r="G3" s="382"/>
      <c r="H3" s="383"/>
    </row>
    <row r="4" spans="3:8" x14ac:dyDescent="0.3">
      <c r="C4" s="267" t="s">
        <v>410</v>
      </c>
      <c r="D4" s="268" t="s">
        <v>411</v>
      </c>
      <c r="E4" s="268"/>
      <c r="F4" s="268"/>
      <c r="G4" s="268" t="s">
        <v>412</v>
      </c>
      <c r="H4" s="269"/>
    </row>
    <row r="5" spans="3:8" x14ac:dyDescent="0.3">
      <c r="C5" s="270" t="str">
        <f>PRORRATEO!C31</f>
        <v>3ºF</v>
      </c>
      <c r="D5" t="str">
        <f>PRORRATEO!D31</f>
        <v>Ayala, Roberto Adrian</v>
      </c>
      <c r="G5" s="375">
        <f>PRORRATEO!N31</f>
        <v>2143819.12</v>
      </c>
      <c r="H5" s="376"/>
    </row>
    <row r="6" spans="3:8" x14ac:dyDescent="0.3">
      <c r="C6" s="270"/>
      <c r="H6" s="271"/>
    </row>
    <row r="7" spans="3:8" x14ac:dyDescent="0.3">
      <c r="C7" s="270"/>
      <c r="G7" t="s">
        <v>413</v>
      </c>
      <c r="H7" s="271"/>
    </row>
    <row r="8" spans="3:8" ht="15" thickBot="1" x14ac:dyDescent="0.35">
      <c r="C8" s="272"/>
      <c r="D8" s="273"/>
      <c r="E8" s="273"/>
      <c r="F8" s="273"/>
      <c r="G8" s="377">
        <v>0</v>
      </c>
      <c r="H8" s="378"/>
    </row>
    <row r="9" spans="3:8" x14ac:dyDescent="0.3">
      <c r="C9" s="267" t="s">
        <v>410</v>
      </c>
      <c r="D9" s="268" t="s">
        <v>411</v>
      </c>
      <c r="E9" s="268"/>
      <c r="F9" s="268"/>
      <c r="G9" s="268" t="s">
        <v>412</v>
      </c>
      <c r="H9" s="269"/>
    </row>
    <row r="10" spans="3:8" x14ac:dyDescent="0.3">
      <c r="C10" s="270" t="str">
        <f>PRORRATEO!C37</f>
        <v>4ºF</v>
      </c>
      <c r="D10" t="str">
        <f>PRORRATEO!D37</f>
        <v>Ayala, Roberto Adrian</v>
      </c>
      <c r="G10" s="375">
        <f>PRORRATEO!N37</f>
        <v>1626068.18</v>
      </c>
      <c r="H10" s="376"/>
    </row>
    <row r="11" spans="3:8" x14ac:dyDescent="0.3">
      <c r="C11" s="270"/>
      <c r="H11" s="271"/>
    </row>
    <row r="12" spans="3:8" x14ac:dyDescent="0.3">
      <c r="C12" s="270"/>
      <c r="G12" t="s">
        <v>414</v>
      </c>
      <c r="H12" s="271"/>
    </row>
    <row r="13" spans="3:8" ht="15" thickBot="1" x14ac:dyDescent="0.35">
      <c r="C13" s="272"/>
      <c r="D13" s="273"/>
      <c r="E13" s="273"/>
      <c r="F13" s="273"/>
      <c r="G13" s="377">
        <v>0</v>
      </c>
      <c r="H13" s="378"/>
    </row>
    <row r="14" spans="3:8" x14ac:dyDescent="0.3">
      <c r="C14" s="267" t="s">
        <v>410</v>
      </c>
      <c r="D14" s="268" t="s">
        <v>411</v>
      </c>
      <c r="E14" s="268"/>
      <c r="F14" s="268"/>
      <c r="G14" s="268" t="s">
        <v>412</v>
      </c>
      <c r="H14" s="269"/>
    </row>
    <row r="15" spans="3:8" x14ac:dyDescent="0.3">
      <c r="C15" s="270" t="str">
        <f>PRORRATEO!C43</f>
        <v>5ºF</v>
      </c>
      <c r="D15" t="str">
        <f>PRORRATEO!D43</f>
        <v>Ayala, Agustin</v>
      </c>
      <c r="G15" s="375">
        <f>PRORRATEO!N43</f>
        <v>1371288.24</v>
      </c>
      <c r="H15" s="376"/>
    </row>
    <row r="16" spans="3:8" x14ac:dyDescent="0.3">
      <c r="C16" s="270"/>
      <c r="H16" s="271"/>
    </row>
    <row r="17" spans="3:8" x14ac:dyDescent="0.3">
      <c r="C17" s="270"/>
      <c r="G17" t="s">
        <v>415</v>
      </c>
      <c r="H17" s="271"/>
    </row>
    <row r="18" spans="3:8" ht="15" thickBot="1" x14ac:dyDescent="0.35">
      <c r="C18" s="272"/>
      <c r="D18" s="273"/>
      <c r="E18" s="273"/>
      <c r="F18" s="273"/>
      <c r="G18" s="377">
        <v>0</v>
      </c>
      <c r="H18" s="378"/>
    </row>
    <row r="19" spans="3:8" ht="15" thickBot="1" x14ac:dyDescent="0.35"/>
    <row r="20" spans="3:8" ht="15" thickBot="1" x14ac:dyDescent="0.35">
      <c r="C20" s="274" t="s">
        <v>416</v>
      </c>
      <c r="D20" s="275"/>
      <c r="E20" s="275"/>
      <c r="F20" s="275"/>
      <c r="G20" s="379">
        <f>G15+G10+G5</f>
        <v>5141175.54</v>
      </c>
      <c r="H20" s="380"/>
    </row>
  </sheetData>
  <mergeCells count="8">
    <mergeCell ref="G15:H15"/>
    <mergeCell ref="G18:H18"/>
    <mergeCell ref="G20:H20"/>
    <mergeCell ref="C3:H3"/>
    <mergeCell ref="G5:H5"/>
    <mergeCell ref="G8:H8"/>
    <mergeCell ref="G10:H10"/>
    <mergeCell ref="G13:H13"/>
  </mergeCells>
  <pageMargins left="0.23622047244094491" right="0.23622047244094491" top="0.74803149606299213" bottom="0.74803149606299213" header="0.31496062992125984" footer="0.31496062992125984"/>
  <pageSetup paperSize="9" scale="115"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ARBA</vt:lpstr>
      <vt:lpstr>ANOTACIONES</vt:lpstr>
      <vt:lpstr>DEUDA AYALA</vt:lpstr>
      <vt:lpstr>ARBA!Área_de_impresión</vt:lpstr>
      <vt:lpstr>'DEUDA AYALA'!Área_de_impresión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2026-09-04T14:20:46Z</cp:lastPrinted>
  <dcterms:created xsi:type="dcterms:W3CDTF">2023-09-17T12:29:07Z</dcterms:created>
  <dcterms:modified xsi:type="dcterms:W3CDTF">2026-09-07T13:53:41Z</dcterms:modified>
</cp:coreProperties>
</file>