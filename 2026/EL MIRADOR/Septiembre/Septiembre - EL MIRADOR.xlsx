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EL MIRADOR\Septiembre\"/>
    </mc:Choice>
  </mc:AlternateContent>
  <xr:revisionPtr revIDLastSave="0" documentId="13_ncr:1_{7B1DD4D2-84F3-4F72-987C-B3CA9ABE1389}" xr6:coauthVersionLast="47" xr6:coauthVersionMax="47" xr10:uidLastSave="{00000000-0000-0000-0000-000000000000}"/>
  <bookViews>
    <workbookView xWindow="-108" yWindow="-108" windowWidth="23256" windowHeight="12576" activeTab="1" xr2:uid="{00000000-000D-0000-FFFF-FFFF00000000}"/>
  </bookViews>
  <sheets>
    <sheet name="RESUMEN" sheetId="1" r:id="rId1"/>
    <sheet name="PRORRATEO" sheetId="2" r:id="rId2"/>
    <sheet name="ANOTACIONES" sheetId="3" r:id="rId3"/>
    <sheet name="ARBA" sheetId="4" r:id="rId4"/>
    <sheet name="DEUDA AYALA" sheetId="5" r:id="rId5"/>
  </sheets>
  <definedNames>
    <definedName name="_xlnm.Print_Area" localSheetId="3">ARBA!$A$1:$O$82</definedName>
    <definedName name="_xlnm.Print_Area" localSheetId="4">'DEUDA AYALA'!$C$3:$H$20</definedName>
    <definedName name="_xlnm.Print_Area" localSheetId="1">PRORRATEO!$A$1:$O$156</definedName>
    <definedName name="_xlnm.Print_Area" localSheetId="0">RESUMEN!$A$1:$J$124</definedName>
  </definedNames>
  <calcPr calcId="181029"/>
</workbook>
</file>

<file path=xl/calcChain.xml><?xml version="1.0" encoding="utf-8"?>
<calcChain xmlns="http://schemas.openxmlformats.org/spreadsheetml/2006/main">
  <c r="K120" i="2" l="1"/>
  <c r="L76" i="1"/>
  <c r="D74" i="1"/>
  <c r="J62" i="1"/>
  <c r="I62" i="1"/>
  <c r="H62" i="1"/>
  <c r="G62" i="1"/>
  <c r="F62" i="1"/>
  <c r="E62" i="1"/>
  <c r="J61" i="1"/>
  <c r="I61" i="1"/>
  <c r="H61" i="1"/>
  <c r="G61" i="1"/>
  <c r="F61" i="1"/>
  <c r="E61" i="1"/>
  <c r="K48" i="2"/>
  <c r="K131" i="2" l="1"/>
  <c r="K128" i="2"/>
  <c r="K125" i="2"/>
  <c r="K124" i="2"/>
  <c r="K122" i="2"/>
  <c r="K119" i="2"/>
  <c r="K111" i="2"/>
  <c r="K109" i="2"/>
  <c r="K106" i="2"/>
  <c r="K105" i="2"/>
  <c r="K104" i="2"/>
  <c r="K103" i="2"/>
  <c r="K100" i="2"/>
  <c r="K93" i="2"/>
  <c r="K92" i="2"/>
  <c r="K91" i="2"/>
  <c r="K90" i="2"/>
  <c r="K88" i="2"/>
  <c r="K84" i="2"/>
  <c r="K83" i="2"/>
  <c r="K81" i="2"/>
  <c r="K79" i="2"/>
  <c r="K77" i="2"/>
  <c r="K76" i="2"/>
  <c r="K73" i="2"/>
  <c r="K72" i="2"/>
  <c r="K71" i="2"/>
  <c r="K70" i="2"/>
  <c r="K69" i="2"/>
  <c r="K68" i="2"/>
  <c r="K66" i="2"/>
  <c r="K64" i="2"/>
  <c r="K60" i="2"/>
  <c r="K59" i="2"/>
  <c r="K55" i="2"/>
  <c r="K51" i="2"/>
  <c r="K44" i="2"/>
  <c r="K42" i="2"/>
  <c r="K41" i="2"/>
  <c r="K39" i="2"/>
  <c r="K36" i="2"/>
  <c r="K30" i="2"/>
  <c r="K29" i="2"/>
  <c r="K27" i="2"/>
  <c r="K24" i="2"/>
  <c r="K21" i="2"/>
  <c r="L62" i="1"/>
  <c r="K62" i="1"/>
  <c r="H37" i="2"/>
  <c r="H31" i="2"/>
  <c r="H43" i="2"/>
  <c r="H110" i="2"/>
  <c r="H22" i="2"/>
  <c r="H77" i="2"/>
  <c r="D64" i="1"/>
  <c r="H115" i="2"/>
  <c r="H88" i="2"/>
  <c r="H116" i="2"/>
  <c r="H44" i="2"/>
  <c r="H49" i="2"/>
  <c r="H54" i="2"/>
  <c r="H16" i="2" l="1"/>
  <c r="H100" i="2"/>
  <c r="H17" i="2"/>
  <c r="H25" i="2"/>
  <c r="I128" i="2"/>
  <c r="H82" i="2"/>
  <c r="H28" i="2"/>
  <c r="H118" i="2"/>
  <c r="H74" i="2"/>
  <c r="H61" i="2"/>
  <c r="H93" i="2"/>
  <c r="H99" i="2"/>
  <c r="H34" i="2"/>
  <c r="H89" i="2"/>
  <c r="H91" i="2"/>
  <c r="H65" i="2"/>
  <c r="H103" i="2"/>
  <c r="H80" i="2"/>
  <c r="H113" i="2"/>
  <c r="H20" i="2"/>
  <c r="H59" i="2"/>
  <c r="H114" i="2"/>
  <c r="H63" i="2"/>
  <c r="H62" i="2"/>
  <c r="H67" i="2"/>
  <c r="H108" i="2"/>
  <c r="H64" i="2"/>
  <c r="H68" i="2"/>
  <c r="H129" i="2"/>
  <c r="H75" i="2"/>
  <c r="H126" i="2"/>
  <c r="H76" i="2"/>
  <c r="H40" i="2"/>
  <c r="H112" i="2"/>
  <c r="D28" i="1"/>
  <c r="D36" i="1"/>
  <c r="D35" i="1"/>
  <c r="D38" i="1" l="1"/>
  <c r="D15" i="5"/>
  <c r="C15" i="5"/>
  <c r="D10" i="5"/>
  <c r="C10" i="5"/>
  <c r="D5" i="5"/>
  <c r="C5" i="5"/>
  <c r="N3" i="2"/>
  <c r="K63" i="1" l="1"/>
  <c r="H55" i="2"/>
  <c r="H109" i="2"/>
  <c r="H36" i="2"/>
  <c r="H125" i="2"/>
  <c r="H105" i="2"/>
  <c r="H70" i="2"/>
  <c r="H121" i="2"/>
  <c r="H46" i="2"/>
  <c r="H41" i="2"/>
  <c r="H130" i="2"/>
  <c r="H87" i="2"/>
  <c r="H69" i="2"/>
  <c r="H53" i="2"/>
  <c r="H132" i="2"/>
  <c r="H97" i="2"/>
  <c r="H84" i="2"/>
  <c r="H123" i="2"/>
  <c r="H83" i="2"/>
  <c r="H52" i="2"/>
  <c r="H29" i="2"/>
  <c r="H92" i="2"/>
  <c r="H79" i="2"/>
  <c r="H27" i="2"/>
  <c r="J60" i="1" l="1"/>
  <c r="I60" i="1"/>
  <c r="H60" i="1"/>
  <c r="G60" i="1"/>
  <c r="F60" i="1"/>
  <c r="E60" i="1"/>
  <c r="H48" i="2"/>
  <c r="H122" i="2"/>
  <c r="H66" i="2"/>
  <c r="H35" i="2"/>
  <c r="H60" i="2"/>
  <c r="H86" i="2"/>
  <c r="H32" i="2"/>
  <c r="H38" i="2"/>
  <c r="H42" i="2"/>
  <c r="K134" i="2" l="1"/>
  <c r="H102" i="2"/>
  <c r="H21" i="2"/>
  <c r="I97" i="2"/>
  <c r="H131" i="2"/>
  <c r="H45" i="2"/>
  <c r="H23" i="2"/>
  <c r="H47" i="2"/>
  <c r="H30" i="2"/>
  <c r="H85" i="2"/>
  <c r="H96" i="2"/>
  <c r="H95" i="2"/>
  <c r="H56" i="2"/>
  <c r="H50" i="2"/>
  <c r="D69" i="1" l="1"/>
  <c r="L61" i="1"/>
  <c r="K60" i="1"/>
  <c r="K61" i="1"/>
  <c r="C81" i="1"/>
  <c r="E52" i="1"/>
  <c r="L52" i="1" s="1"/>
  <c r="K52" i="1"/>
  <c r="J63" i="1"/>
  <c r="I63" i="1"/>
  <c r="H63" i="1"/>
  <c r="G63" i="1"/>
  <c r="F63" i="1"/>
  <c r="E63" i="1"/>
  <c r="J53" i="1"/>
  <c r="I53" i="1"/>
  <c r="H53" i="1"/>
  <c r="G53" i="1"/>
  <c r="F53" i="1"/>
  <c r="E53" i="1"/>
  <c r="L60" i="1"/>
  <c r="H58" i="2"/>
  <c r="H124" i="2"/>
  <c r="H94" i="2"/>
  <c r="B114" i="1"/>
  <c r="L63" i="1" l="1"/>
  <c r="M61" i="4"/>
  <c r="D31" i="1" l="1"/>
  <c r="B103" i="1" l="1"/>
  <c r="K59" i="1" l="1"/>
  <c r="N54" i="4"/>
  <c r="E59" i="1" l="1"/>
  <c r="L59" i="1" s="1"/>
  <c r="E54" i="1"/>
  <c r="H106" i="2"/>
  <c r="H90" i="2"/>
  <c r="B108" i="1" l="1"/>
  <c r="N12" i="4"/>
  <c r="M68" i="4"/>
  <c r="N7" i="4"/>
  <c r="D55" i="1"/>
  <c r="J67" i="1"/>
  <c r="I67" i="1"/>
  <c r="H67" i="1"/>
  <c r="G67" i="1"/>
  <c r="F67" i="1"/>
  <c r="E67" i="1"/>
  <c r="J12" i="4" l="1"/>
  <c r="H12" i="4" l="1"/>
  <c r="I12" i="4" s="1"/>
  <c r="H101" i="2" l="1"/>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57" i="2"/>
  <c r="H120" i="2"/>
  <c r="D41" i="1"/>
  <c r="I7" i="4" l="1"/>
  <c r="O8" i="4"/>
  <c r="H8" i="4"/>
  <c r="P9" i="4"/>
  <c r="P10" i="4" s="1"/>
  <c r="P14" i="4"/>
  <c r="J13" i="4"/>
  <c r="I8" i="4" l="1"/>
  <c r="J9" i="4"/>
  <c r="O9" i="4" s="1"/>
  <c r="O13" i="4"/>
  <c r="H13" i="4"/>
  <c r="P11" i="4"/>
  <c r="J11" i="4" s="1"/>
  <c r="J10" i="4"/>
  <c r="P15" i="4"/>
  <c r="J14" i="4"/>
  <c r="H9" i="4" l="1"/>
  <c r="M9" i="4" s="1"/>
  <c r="I9" i="4"/>
  <c r="I13" i="4"/>
  <c r="O14" i="4"/>
  <c r="H14" i="4"/>
  <c r="O10" i="4"/>
  <c r="H10" i="4"/>
  <c r="O11" i="4"/>
  <c r="H11" i="4"/>
  <c r="P16" i="4"/>
  <c r="J15" i="4"/>
  <c r="D45" i="1"/>
  <c r="I10" i="4" l="1"/>
  <c r="I14" i="4"/>
  <c r="I11" i="4"/>
  <c r="O15" i="4"/>
  <c r="H15" i="4"/>
  <c r="P17" i="4"/>
  <c r="J16" i="4"/>
  <c r="H119" i="2"/>
  <c r="H134" i="2" s="1"/>
  <c r="I15" i="4" l="1"/>
  <c r="O16" i="4"/>
  <c r="H16" i="4"/>
  <c r="P18" i="4"/>
  <c r="J17" i="4"/>
  <c r="I16" i="4" l="1"/>
  <c r="O17" i="4"/>
  <c r="H17" i="4"/>
  <c r="P19" i="4"/>
  <c r="J18" i="4"/>
  <c r="I17" i="4" l="1"/>
  <c r="O18" i="4"/>
  <c r="H18" i="4"/>
  <c r="P20" i="4"/>
  <c r="J19" i="4"/>
  <c r="I39" i="2"/>
  <c r="K47" i="1"/>
  <c r="K48" i="1"/>
  <c r="J48" i="1"/>
  <c r="I48" i="1"/>
  <c r="H48" i="1"/>
  <c r="G48" i="1"/>
  <c r="F48" i="1"/>
  <c r="E48" i="1"/>
  <c r="J47" i="1"/>
  <c r="I47" i="1"/>
  <c r="H47" i="1"/>
  <c r="G47" i="1"/>
  <c r="F47" i="1"/>
  <c r="E47" i="1"/>
  <c r="I18" i="4" l="1"/>
  <c r="O19" i="4"/>
  <c r="H19" i="4"/>
  <c r="P21" i="4"/>
  <c r="J20" i="4"/>
  <c r="L47" i="1"/>
  <c r="L48" i="1"/>
  <c r="I19" i="4" l="1"/>
  <c r="O20" i="4"/>
  <c r="H20" i="4"/>
  <c r="P22" i="4"/>
  <c r="J21" i="4"/>
  <c r="I20" i="4" l="1"/>
  <c r="O21" i="4"/>
  <c r="H21" i="4"/>
  <c r="P23" i="4"/>
  <c r="J22" i="4"/>
  <c r="I21" i="4" l="1"/>
  <c r="O22" i="4"/>
  <c r="H22" i="4"/>
  <c r="P24" i="4"/>
  <c r="J23" i="4"/>
  <c r="K51" i="1"/>
  <c r="B101" i="1"/>
  <c r="I22" i="4" l="1"/>
  <c r="O23" i="4"/>
  <c r="H23" i="4"/>
  <c r="P25" i="4"/>
  <c r="J24" i="4"/>
  <c r="N14" i="2"/>
  <c r="O14" i="2"/>
  <c r="E51" i="1"/>
  <c r="L51" i="1" s="1"/>
  <c r="M51" i="1" s="1"/>
  <c r="N51" i="1"/>
  <c r="K53" i="1"/>
  <c r="N53" i="1" s="1"/>
  <c r="I23" i="4" l="1"/>
  <c r="O24" i="4"/>
  <c r="H24" i="4"/>
  <c r="P26" i="4"/>
  <c r="J25" i="4"/>
  <c r="L53" i="1"/>
  <c r="M53" i="1" s="1"/>
  <c r="I24" i="4" l="1"/>
  <c r="O25" i="4"/>
  <c r="H25" i="4"/>
  <c r="P27" i="4"/>
  <c r="J26" i="4"/>
  <c r="I25" i="4" l="1"/>
  <c r="O26" i="4"/>
  <c r="H26" i="4"/>
  <c r="P28" i="4"/>
  <c r="J27" i="4"/>
  <c r="P21" i="2"/>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P132" i="2" s="1"/>
  <c r="E74" i="1"/>
  <c r="J74" i="1"/>
  <c r="I74" i="1"/>
  <c r="H74" i="1"/>
  <c r="G74" i="1"/>
  <c r="F74" i="1"/>
  <c r="F134" i="2"/>
  <c r="E49" i="1"/>
  <c r="G38" i="1"/>
  <c r="E41" i="1"/>
  <c r="I26" i="4" l="1"/>
  <c r="O27" i="4"/>
  <c r="H27" i="4"/>
  <c r="P29" i="4"/>
  <c r="J28" i="4"/>
  <c r="K74" i="1"/>
  <c r="L74" i="1" s="1"/>
  <c r="I41" i="1"/>
  <c r="J41" i="1"/>
  <c r="F41" i="1"/>
  <c r="G41" i="1"/>
  <c r="H41" i="1"/>
  <c r="E38" i="1"/>
  <c r="I38" i="1"/>
  <c r="F38" i="1"/>
  <c r="J38" i="1"/>
  <c r="H38" i="1"/>
  <c r="K50" i="1"/>
  <c r="E50" i="1"/>
  <c r="L50" i="1" s="1"/>
  <c r="J71" i="1"/>
  <c r="I71" i="1"/>
  <c r="H71" i="1"/>
  <c r="G71" i="1"/>
  <c r="F71" i="1"/>
  <c r="J70" i="1"/>
  <c r="I70" i="1"/>
  <c r="H70" i="1"/>
  <c r="G70" i="1"/>
  <c r="F70" i="1"/>
  <c r="J66" i="1"/>
  <c r="I66" i="1"/>
  <c r="I69" i="1" s="1"/>
  <c r="H66" i="1"/>
  <c r="H69" i="1" s="1"/>
  <c r="G66" i="1"/>
  <c r="G69" i="1" s="1"/>
  <c r="F66" i="1"/>
  <c r="F69" i="1" s="1"/>
  <c r="H64" i="1"/>
  <c r="G64" i="1"/>
  <c r="K49" i="1"/>
  <c r="I43" i="1"/>
  <c r="H43" i="1"/>
  <c r="G43" i="1"/>
  <c r="F43" i="1"/>
  <c r="J43" i="1"/>
  <c r="J31" i="2"/>
  <c r="E85" i="1"/>
  <c r="E71" i="1"/>
  <c r="E70" i="1"/>
  <c r="E66" i="1"/>
  <c r="E43" i="1"/>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9" i="2"/>
  <c r="I130" i="2"/>
  <c r="I52" i="2"/>
  <c r="I20" i="2"/>
  <c r="I22" i="2"/>
  <c r="I23" i="2"/>
  <c r="I24" i="2"/>
  <c r="I26" i="2"/>
  <c r="I29" i="2"/>
  <c r="I30" i="2"/>
  <c r="I31" i="2"/>
  <c r="I33" i="2"/>
  <c r="I35" i="2"/>
  <c r="I36" i="2"/>
  <c r="I37" i="2"/>
  <c r="I38" i="2"/>
  <c r="I40" i="2"/>
  <c r="I41" i="2"/>
  <c r="I42" i="2"/>
  <c r="I43" i="2"/>
  <c r="I44" i="2"/>
  <c r="I32" i="2"/>
  <c r="I28" i="2"/>
  <c r="I47" i="2"/>
  <c r="I27" i="2"/>
  <c r="I49" i="2"/>
  <c r="I50" i="2"/>
  <c r="I51" i="2"/>
  <c r="I53" i="2"/>
  <c r="I54" i="2"/>
  <c r="I55" i="2"/>
  <c r="I25" i="2"/>
  <c r="I57" i="2"/>
  <c r="D72" i="1"/>
  <c r="D76" i="1" s="1"/>
  <c r="M1" i="2" s="1"/>
  <c r="N2" i="2" s="1"/>
  <c r="B121" i="1"/>
  <c r="L20" i="2" l="1"/>
  <c r="L101" i="2"/>
  <c r="I27" i="4"/>
  <c r="O28" i="4"/>
  <c r="H28" i="4"/>
  <c r="J29" i="4"/>
  <c r="P30" i="4"/>
  <c r="E64" i="1"/>
  <c r="I64" i="1"/>
  <c r="F64" i="1"/>
  <c r="K41" i="1"/>
  <c r="L41" i="1" s="1"/>
  <c r="K38" i="1"/>
  <c r="L38" i="1" s="1"/>
  <c r="G55" i="1"/>
  <c r="K43" i="1"/>
  <c r="H72" i="1"/>
  <c r="G72" i="1"/>
  <c r="F72" i="1"/>
  <c r="I72" i="1"/>
  <c r="I45" i="1"/>
  <c r="F55" i="1"/>
  <c r="I55" i="1"/>
  <c r="H55" i="1"/>
  <c r="F45" i="1"/>
  <c r="G45" i="1"/>
  <c r="H45" i="1"/>
  <c r="L49" i="1"/>
  <c r="J45" i="1"/>
  <c r="J20" i="2"/>
  <c r="N20" i="2" s="1"/>
  <c r="J123" i="2"/>
  <c r="J107" i="2"/>
  <c r="J91" i="2"/>
  <c r="J75" i="2"/>
  <c r="J59" i="2"/>
  <c r="J43" i="2"/>
  <c r="J27" i="2"/>
  <c r="J119" i="2"/>
  <c r="J103" i="2"/>
  <c r="J87" i="2"/>
  <c r="J71" i="2"/>
  <c r="J55" i="2"/>
  <c r="J39" i="2"/>
  <c r="J23" i="2"/>
  <c r="J131" i="2"/>
  <c r="J115" i="2"/>
  <c r="J99" i="2"/>
  <c r="J83" i="2"/>
  <c r="J67" i="2"/>
  <c r="J51" i="2"/>
  <c r="J35" i="2"/>
  <c r="J127" i="2"/>
  <c r="J111" i="2"/>
  <c r="J95" i="2"/>
  <c r="J79" i="2"/>
  <c r="J63" i="2"/>
  <c r="J47" i="2"/>
  <c r="J130" i="2"/>
  <c r="J126" i="2"/>
  <c r="J122" i="2"/>
  <c r="J118" i="2"/>
  <c r="J114" i="2"/>
  <c r="J110" i="2"/>
  <c r="J106" i="2"/>
  <c r="J102" i="2"/>
  <c r="J98" i="2"/>
  <c r="J94" i="2"/>
  <c r="J90" i="2"/>
  <c r="J86" i="2"/>
  <c r="J82" i="2"/>
  <c r="J78" i="2"/>
  <c r="J74" i="2"/>
  <c r="J70" i="2"/>
  <c r="J66" i="2"/>
  <c r="J62" i="2"/>
  <c r="J58" i="2"/>
  <c r="J54" i="2"/>
  <c r="J50" i="2"/>
  <c r="J46" i="2"/>
  <c r="J42" i="2"/>
  <c r="J38" i="2"/>
  <c r="J34" i="2"/>
  <c r="J30" i="2"/>
  <c r="J26" i="2"/>
  <c r="J22"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32"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L121" i="2"/>
  <c r="N121" i="2" s="1"/>
  <c r="L57" i="2"/>
  <c r="N57" i="2" s="1"/>
  <c r="L105" i="2"/>
  <c r="N105" i="2" s="1"/>
  <c r="L89" i="2"/>
  <c r="N89" i="2" s="1"/>
  <c r="L25" i="2"/>
  <c r="N25" i="2" s="1"/>
  <c r="L41" i="2"/>
  <c r="L73" i="2"/>
  <c r="N73" i="2" s="1"/>
  <c r="L117" i="2"/>
  <c r="N117" i="2" s="1"/>
  <c r="N101" i="2"/>
  <c r="L85" i="2"/>
  <c r="N85" i="2" s="1"/>
  <c r="L69" i="2"/>
  <c r="N69" i="2" s="1"/>
  <c r="L53" i="2"/>
  <c r="N53" i="2" s="1"/>
  <c r="L37" i="2"/>
  <c r="N37" i="2" s="1"/>
  <c r="G10" i="5" s="1"/>
  <c r="L21" i="2"/>
  <c r="L129" i="2"/>
  <c r="N129" i="2" s="1"/>
  <c r="L113" i="2"/>
  <c r="N113" i="2" s="1"/>
  <c r="L97" i="2"/>
  <c r="N97" i="2" s="1"/>
  <c r="L81" i="2"/>
  <c r="N81" i="2" s="1"/>
  <c r="L65" i="2"/>
  <c r="N65" i="2" s="1"/>
  <c r="L49" i="2"/>
  <c r="N49" i="2" s="1"/>
  <c r="L33" i="2"/>
  <c r="N33" i="2" s="1"/>
  <c r="L125" i="2"/>
  <c r="N125" i="2" s="1"/>
  <c r="L109" i="2"/>
  <c r="N109" i="2" s="1"/>
  <c r="L93" i="2"/>
  <c r="N93" i="2" s="1"/>
  <c r="L77" i="2"/>
  <c r="N77" i="2" s="1"/>
  <c r="L61" i="2"/>
  <c r="N61" i="2" s="1"/>
  <c r="L45" i="2"/>
  <c r="L29" i="2"/>
  <c r="N29" i="2" s="1"/>
  <c r="L132" i="2"/>
  <c r="L128" i="2"/>
  <c r="N128" i="2" s="1"/>
  <c r="L124" i="2"/>
  <c r="N124" i="2" s="1"/>
  <c r="L120" i="2"/>
  <c r="N120" i="2" s="1"/>
  <c r="L116" i="2"/>
  <c r="N116" i="2" s="1"/>
  <c r="L112" i="2"/>
  <c r="N112" i="2" s="1"/>
  <c r="L108" i="2"/>
  <c r="N108" i="2" s="1"/>
  <c r="L104" i="2"/>
  <c r="N104" i="2" s="1"/>
  <c r="L100" i="2"/>
  <c r="N100" i="2" s="1"/>
  <c r="L96" i="2"/>
  <c r="N96" i="2" s="1"/>
  <c r="L92" i="2"/>
  <c r="N92" i="2" s="1"/>
  <c r="L88" i="2"/>
  <c r="N88" i="2" s="1"/>
  <c r="L84" i="2"/>
  <c r="N84" i="2" s="1"/>
  <c r="L80" i="2"/>
  <c r="N80" i="2" s="1"/>
  <c r="L76" i="2"/>
  <c r="N76" i="2" s="1"/>
  <c r="L72" i="2"/>
  <c r="N72" i="2" s="1"/>
  <c r="L68" i="2"/>
  <c r="N68" i="2" s="1"/>
  <c r="L64" i="2"/>
  <c r="N64" i="2" s="1"/>
  <c r="L60" i="2"/>
  <c r="N60" i="2" s="1"/>
  <c r="L56" i="2"/>
  <c r="L52" i="2"/>
  <c r="N52" i="2" s="1"/>
  <c r="L48" i="2"/>
  <c r="L44" i="2"/>
  <c r="N44" i="2" s="1"/>
  <c r="L40" i="2"/>
  <c r="N40" i="2" s="1"/>
  <c r="L36" i="2"/>
  <c r="N36" i="2" s="1"/>
  <c r="L32" i="2"/>
  <c r="N32" i="2" s="1"/>
  <c r="L28" i="2"/>
  <c r="N28" i="2" s="1"/>
  <c r="L24" i="2"/>
  <c r="N24"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N55" i="2" s="1"/>
  <c r="L51" i="2"/>
  <c r="N51" i="2" s="1"/>
  <c r="L47" i="2"/>
  <c r="N47" i="2" s="1"/>
  <c r="L43" i="2"/>
  <c r="N43" i="2" s="1"/>
  <c r="G15" i="5" s="1"/>
  <c r="L39" i="2"/>
  <c r="N39" i="2" s="1"/>
  <c r="L35" i="2"/>
  <c r="N35" i="2" s="1"/>
  <c r="L31" i="2"/>
  <c r="N31" i="2" s="1"/>
  <c r="G5" i="5" s="1"/>
  <c r="L27" i="2"/>
  <c r="N27" i="2" s="1"/>
  <c r="L23" i="2"/>
  <c r="N23" i="2" s="1"/>
  <c r="L130" i="2"/>
  <c r="N130" i="2" s="1"/>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L42" i="2"/>
  <c r="N42" i="2" s="1"/>
  <c r="L38" i="2"/>
  <c r="N38" i="2" s="1"/>
  <c r="L34" i="2"/>
  <c r="L30" i="2"/>
  <c r="N30" i="2" s="1"/>
  <c r="L26" i="2"/>
  <c r="N26" i="2" s="1"/>
  <c r="L22" i="2"/>
  <c r="N22" i="2" s="1"/>
  <c r="I34" i="2"/>
  <c r="I45" i="2"/>
  <c r="I56" i="2"/>
  <c r="I46" i="2"/>
  <c r="G20" i="5" l="1"/>
  <c r="L134" i="2"/>
  <c r="I28" i="4"/>
  <c r="N56" i="2"/>
  <c r="N45" i="2"/>
  <c r="N46" i="2"/>
  <c r="N34" i="2"/>
  <c r="O29" i="4"/>
  <c r="H29" i="4"/>
  <c r="M134" i="2"/>
  <c r="N41" i="2"/>
  <c r="P31" i="4"/>
  <c r="J30" i="4"/>
  <c r="J134" i="2"/>
  <c r="I29" i="4" l="1"/>
  <c r="O30" i="4"/>
  <c r="H30" i="4"/>
  <c r="P32" i="4"/>
  <c r="J31" i="4"/>
  <c r="I131" i="2"/>
  <c r="N131" i="2" s="1"/>
  <c r="I30" i="4" l="1"/>
  <c r="O31" i="4"/>
  <c r="H31" i="4"/>
  <c r="J32" i="4"/>
  <c r="P33" i="4"/>
  <c r="N49" i="1"/>
  <c r="I31" i="4" l="1"/>
  <c r="O32" i="4"/>
  <c r="H32" i="4"/>
  <c r="J33" i="4"/>
  <c r="P34" i="4"/>
  <c r="M49" i="1"/>
  <c r="L54" i="1"/>
  <c r="I32" i="4" l="1"/>
  <c r="M32" i="4"/>
  <c r="O33" i="4"/>
  <c r="H33" i="4"/>
  <c r="J34" i="4"/>
  <c r="P35" i="4"/>
  <c r="D87" i="1"/>
  <c r="I33" i="4" l="1"/>
  <c r="O34" i="4"/>
  <c r="H34" i="4"/>
  <c r="J35" i="4"/>
  <c r="P36" i="4"/>
  <c r="B99" i="1"/>
  <c r="E87" i="1"/>
  <c r="J87" i="1"/>
  <c r="I34" i="4" l="1"/>
  <c r="O35" i="4"/>
  <c r="H35" i="4"/>
  <c r="J36" i="4"/>
  <c r="P37" i="4"/>
  <c r="L87" i="1"/>
  <c r="M87" i="1" s="1"/>
  <c r="I35" i="4" l="1"/>
  <c r="O36" i="4"/>
  <c r="H36" i="4"/>
  <c r="J37" i="4"/>
  <c r="P38" i="4"/>
  <c r="I36" i="4" l="1"/>
  <c r="O37" i="4"/>
  <c r="H37" i="4"/>
  <c r="J38" i="4"/>
  <c r="P39" i="4"/>
  <c r="K54" i="1"/>
  <c r="N54" i="1" s="1"/>
  <c r="I37" i="4" l="1"/>
  <c r="O38" i="4"/>
  <c r="H38" i="4"/>
  <c r="J39" i="4"/>
  <c r="P40" i="4"/>
  <c r="M54" i="1"/>
  <c r="I38" i="4" l="1"/>
  <c r="O39" i="4"/>
  <c r="H39" i="4"/>
  <c r="J40" i="4"/>
  <c r="P41" i="4"/>
  <c r="J55" i="1"/>
  <c r="E55" i="1"/>
  <c r="J72" i="1"/>
  <c r="E72" i="1"/>
  <c r="E69" i="1"/>
  <c r="J69" i="1"/>
  <c r="J64" i="1"/>
  <c r="K64" i="1" s="1"/>
  <c r="L64" i="1" l="1"/>
  <c r="I39" i="4"/>
  <c r="O40" i="4"/>
  <c r="H40" i="4"/>
  <c r="J41" i="4"/>
  <c r="P42" i="4"/>
  <c r="K55" i="1"/>
  <c r="L55" i="1" s="1"/>
  <c r="K72" i="1"/>
  <c r="K69" i="1"/>
  <c r="I40" i="4" l="1"/>
  <c r="O41" i="4"/>
  <c r="H41" i="4"/>
  <c r="J42" i="4"/>
  <c r="P43" i="4"/>
  <c r="J28" i="1"/>
  <c r="H28" i="1"/>
  <c r="G28" i="1"/>
  <c r="F28" i="1"/>
  <c r="E28" i="1"/>
  <c r="I28" i="1"/>
  <c r="M55" i="1"/>
  <c r="L72" i="1"/>
  <c r="L69" i="1"/>
  <c r="I76" i="1" l="1"/>
  <c r="R13" i="2" s="1"/>
  <c r="H76" i="1"/>
  <c r="R12" i="2" s="1"/>
  <c r="J76" i="1"/>
  <c r="R14" i="2" s="1"/>
  <c r="F76" i="1"/>
  <c r="R10" i="2" s="1"/>
  <c r="G76" i="1"/>
  <c r="R11" i="2" s="1"/>
  <c r="I41" i="4"/>
  <c r="O42" i="4"/>
  <c r="H42" i="4"/>
  <c r="J43" i="4"/>
  <c r="P44" i="4"/>
  <c r="E31" i="1"/>
  <c r="K28" i="1"/>
  <c r="L28" i="1" s="1"/>
  <c r="E45" i="1"/>
  <c r="K31" i="1" l="1"/>
  <c r="L31" i="1" s="1"/>
  <c r="E76" i="1"/>
  <c r="I42" i="4"/>
  <c r="O43" i="4"/>
  <c r="H43" i="4"/>
  <c r="J44" i="4"/>
  <c r="P45" i="4"/>
  <c r="B91" i="1"/>
  <c r="B98" i="1" s="1"/>
  <c r="K45" i="1"/>
  <c r="L45" i="1" s="1"/>
  <c r="B90" i="1"/>
  <c r="K76" i="1" l="1"/>
  <c r="I43" i="4"/>
  <c r="O44" i="4"/>
  <c r="H44" i="4"/>
  <c r="J45" i="4"/>
  <c r="P46" i="4"/>
  <c r="Q151" i="2"/>
  <c r="I44" i="4" l="1"/>
  <c r="O45" i="4"/>
  <c r="H45" i="4"/>
  <c r="J46" i="4"/>
  <c r="P47" i="4"/>
  <c r="L135" i="2"/>
  <c r="B102" i="1"/>
  <c r="I45" i="4" l="1"/>
  <c r="O46" i="4"/>
  <c r="H46" i="4"/>
  <c r="J47" i="4"/>
  <c r="P48" i="4"/>
  <c r="O22" i="2"/>
  <c r="O27" i="2"/>
  <c r="O31" i="2"/>
  <c r="O44" i="2"/>
  <c r="O52" i="2"/>
  <c r="O56" i="2"/>
  <c r="O60" i="2"/>
  <c r="O64" i="2"/>
  <c r="O72" i="2"/>
  <c r="O76" i="2"/>
  <c r="O80" i="2"/>
  <c r="O85" i="2"/>
  <c r="O90" i="2"/>
  <c r="O94" i="2"/>
  <c r="O98" i="2"/>
  <c r="O106" i="2"/>
  <c r="O110" i="2"/>
  <c r="O114" i="2"/>
  <c r="O118" i="2"/>
  <c r="O122" i="2"/>
  <c r="O130" i="2"/>
  <c r="O24" i="2"/>
  <c r="O28" i="2"/>
  <c r="O32" i="2"/>
  <c r="O37" i="2"/>
  <c r="O41" i="2"/>
  <c r="O45" i="2"/>
  <c r="O49" i="2"/>
  <c r="O53" i="2"/>
  <c r="O57" i="2"/>
  <c r="O61" i="2"/>
  <c r="O65" i="2"/>
  <c r="O69" i="2"/>
  <c r="O73" i="2"/>
  <c r="O77" i="2"/>
  <c r="O82" i="2"/>
  <c r="O86" i="2"/>
  <c r="O91" i="2"/>
  <c r="O95" i="2"/>
  <c r="O99" i="2"/>
  <c r="O103" i="2"/>
  <c r="O107" i="2"/>
  <c r="O111" i="2"/>
  <c r="O115" i="2"/>
  <c r="O119" i="2"/>
  <c r="O123" i="2"/>
  <c r="O127" i="2"/>
  <c r="O131" i="2"/>
  <c r="O20" i="2"/>
  <c r="O25" i="2"/>
  <c r="O29" i="2"/>
  <c r="O33" i="2"/>
  <c r="O38" i="2"/>
  <c r="O42" i="2"/>
  <c r="O46" i="2"/>
  <c r="O50" i="2"/>
  <c r="O54" i="2"/>
  <c r="O58" i="2"/>
  <c r="O62" i="2"/>
  <c r="O66" i="2"/>
  <c r="O70" i="2"/>
  <c r="O74" i="2"/>
  <c r="O78" i="2"/>
  <c r="O83" i="2"/>
  <c r="O87" i="2"/>
  <c r="O92" i="2"/>
  <c r="O96" i="2"/>
  <c r="O100" i="2"/>
  <c r="O104" i="2"/>
  <c r="O108" i="2"/>
  <c r="O112" i="2"/>
  <c r="O116" i="2"/>
  <c r="O120" i="2"/>
  <c r="O26" i="2"/>
  <c r="O43" i="2"/>
  <c r="O59" i="2"/>
  <c r="O75" i="2"/>
  <c r="O93" i="2"/>
  <c r="O109" i="2"/>
  <c r="O124" i="2"/>
  <c r="O30" i="2"/>
  <c r="O47" i="2"/>
  <c r="O63" i="2"/>
  <c r="O79" i="2"/>
  <c r="O97" i="2"/>
  <c r="O113" i="2"/>
  <c r="O125" i="2"/>
  <c r="O51" i="2"/>
  <c r="O67" i="2"/>
  <c r="O84" i="2"/>
  <c r="O101" i="2"/>
  <c r="O117" i="2"/>
  <c r="O128" i="2"/>
  <c r="O39" i="2"/>
  <c r="O55" i="2"/>
  <c r="O71" i="2"/>
  <c r="O89" i="2"/>
  <c r="O105" i="2"/>
  <c r="O121" i="2"/>
  <c r="O129" i="2"/>
  <c r="O34" i="2"/>
  <c r="O126" i="2"/>
  <c r="O35" i="2"/>
  <c r="O36" i="2"/>
  <c r="O81" i="2"/>
  <c r="O68" i="2"/>
  <c r="O88" i="2"/>
  <c r="O23" i="2"/>
  <c r="O102" i="2"/>
  <c r="O40" i="2"/>
  <c r="I46" i="4" l="1"/>
  <c r="O47" i="4"/>
  <c r="H47" i="4"/>
  <c r="J48" i="4"/>
  <c r="P49" i="4"/>
  <c r="I132" i="2"/>
  <c r="I47" i="4" l="1"/>
  <c r="N132" i="2"/>
  <c r="O132" i="2" s="1"/>
  <c r="O48" i="4"/>
  <c r="H48" i="4"/>
  <c r="J49" i="4"/>
  <c r="P50" i="4"/>
  <c r="I18" i="2"/>
  <c r="N18" i="2" s="1"/>
  <c r="I16" i="2"/>
  <c r="N16" i="2" s="1"/>
  <c r="I19" i="2"/>
  <c r="N19" i="2" s="1"/>
  <c r="I15" i="2"/>
  <c r="N15" i="2" s="1"/>
  <c r="I48" i="4" l="1"/>
  <c r="O49" i="4"/>
  <c r="H49" i="4"/>
  <c r="J50" i="4"/>
  <c r="P51" i="4"/>
  <c r="I17" i="2"/>
  <c r="O15" i="2"/>
  <c r="O19" i="2"/>
  <c r="O18" i="2"/>
  <c r="I49" i="4" l="1"/>
  <c r="N17" i="2"/>
  <c r="O17" i="2" s="1"/>
  <c r="O50" i="4"/>
  <c r="H50" i="4"/>
  <c r="J51" i="4"/>
  <c r="P52" i="4"/>
  <c r="O16" i="2"/>
  <c r="I50" i="4" l="1"/>
  <c r="M50" i="4"/>
  <c r="O51" i="4"/>
  <c r="H51" i="4"/>
  <c r="J52" i="4"/>
  <c r="P53" i="4"/>
  <c r="M76" i="1"/>
  <c r="I21" i="2"/>
  <c r="N21" i="2" s="1"/>
  <c r="I51" i="4" l="1"/>
  <c r="O52" i="4"/>
  <c r="H52" i="4"/>
  <c r="J53" i="4"/>
  <c r="P54" i="4"/>
  <c r="O21" i="2"/>
  <c r="G134" i="2"/>
  <c r="B96" i="1"/>
  <c r="I52" i="4" l="1"/>
  <c r="O53" i="4"/>
  <c r="H53" i="4"/>
  <c r="J54" i="4"/>
  <c r="P55" i="4"/>
  <c r="I48" i="2"/>
  <c r="N48" i="2" s="1"/>
  <c r="I53" i="4" l="1"/>
  <c r="O54" i="4"/>
  <c r="H54" i="4"/>
  <c r="J55" i="4"/>
  <c r="P56" i="4"/>
  <c r="N134" i="2"/>
  <c r="O48" i="2"/>
  <c r="O134"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O78" i="4"/>
  <c r="H78" i="4"/>
  <c r="J79" i="4"/>
  <c r="P80" i="4"/>
  <c r="J80" i="4" s="1"/>
  <c r="I78" i="4" l="1"/>
  <c r="O79" i="4"/>
  <c r="H79" i="4"/>
  <c r="O80" i="4"/>
  <c r="O82" i="4" s="1"/>
  <c r="H80" i="4"/>
  <c r="L82" i="4" l="1"/>
  <c r="B97" i="1" s="1"/>
  <c r="B104" i="1" s="1"/>
  <c r="B123" i="1" s="1"/>
  <c r="I79" i="4"/>
  <c r="I80" i="4"/>
  <c r="M82" i="4"/>
</calcChain>
</file>

<file path=xl/sharedStrings.xml><?xml version="1.0" encoding="utf-8"?>
<sst xmlns="http://schemas.openxmlformats.org/spreadsheetml/2006/main" count="735" uniqueCount="432">
  <si>
    <t>LIQUIDACION DE EXPENSAS</t>
  </si>
  <si>
    <t>APORTES Y CONTRIBUCIONES</t>
  </si>
  <si>
    <t>TOTAL Aportes y Contribuciones - Sindicato</t>
  </si>
  <si>
    <t>ABONOS Y SERVICIOS</t>
  </si>
  <si>
    <t>TOTAL ABONOS Y SERVICIOS</t>
  </si>
  <si>
    <t xml:space="preserve">GASTOS DE ADMINISTRACION </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</si>
  <si>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</si>
  <si>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</si>
  <si>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</si>
  <si>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</si>
  <si>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</si>
  <si>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</si>
  <si>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</si>
  <si>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</si>
  <si>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</si>
  <si>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</si>
  <si>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</si>
  <si>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</si>
  <si>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</si>
  <si>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</si>
  <si>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</si>
  <si>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</si>
  <si>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</si>
  <si>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</si>
  <si>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</si>
  <si>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</si>
  <si>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</si>
  <si>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</si>
  <si>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</si>
  <si>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</si>
  <si>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</si>
  <si>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</si>
  <si>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</si>
  <si>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</si>
  <si>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</si>
  <si>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</si>
  <si>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</si>
  <si>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</si>
  <si>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</si>
  <si>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</si>
  <si>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</si>
  <si>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</si>
  <si>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</si>
  <si>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</si>
  <si>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</si>
  <si>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</si>
  <si>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</si>
  <si>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</si>
  <si>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</si>
  <si>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</si>
  <si>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</si>
  <si>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</si>
  <si>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</si>
  <si>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</si>
  <si>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</si>
  <si>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</si>
  <si>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</si>
  <si>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</si>
  <si>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</si>
  <si>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</si>
  <si>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</si>
  <si>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</si>
  <si>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</si>
  <si>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</si>
  <si>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</si>
  <si>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</si>
  <si>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</si>
  <si>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</si>
  <si>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</si>
  <si>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</si>
  <si>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</si>
  <si>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</si>
  <si>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</si>
  <si>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</si>
  <si>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</si>
  <si>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</si>
  <si>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</si>
  <si>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</si>
  <si>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</si>
  <si>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</si>
  <si>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</si>
  <si>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</si>
  <si>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</si>
  <si>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</si>
  <si>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</si>
  <si>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</si>
  <si>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</si>
  <si>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</si>
  <si>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</si>
  <si>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</si>
  <si>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</si>
  <si>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</si>
  <si>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</si>
  <si>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</si>
  <si>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</si>
  <si>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</si>
  <si>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</si>
  <si>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</si>
  <si>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</si>
  <si>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</si>
  <si>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</si>
  <si>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</si>
  <si>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</si>
  <si>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</si>
  <si>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</si>
  <si>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</si>
  <si>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</si>
  <si>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</si>
  <si>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</si>
  <si>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</si>
  <si>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</si>
  <si>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</si>
  <si>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</si>
  <si>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</si>
  <si>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</si>
  <si>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</si>
  <si>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</si>
  <si>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</si>
  <si>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</si>
  <si>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</si>
  <si>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</si>
  <si>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</si>
  <si>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</si>
  <si>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</si>
  <si>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</si>
  <si>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</si>
  <si>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</si>
  <si>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</si>
  <si>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</si>
  <si>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</si>
  <si>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</si>
  <si>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</si>
  <si>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</si>
  <si>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</si>
  <si>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</si>
  <si>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</si>
  <si>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</si>
  <si>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</si>
  <si>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</si>
  <si>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</si>
  <si>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</si>
  <si>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</si>
  <si>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</si>
  <si>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</si>
  <si>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</si>
  <si>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</si>
  <si>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</si>
  <si>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</si>
  <si>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</si>
  <si>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</si>
  <si>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</si>
  <si>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</si>
  <si>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</si>
  <si>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</si>
  <si>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</si>
  <si>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</si>
  <si>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</si>
  <si>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</si>
  <si>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</si>
  <si>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</si>
  <si>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</si>
  <si>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</si>
  <si>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</si>
  <si>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</si>
  <si>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</si>
  <si>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</si>
  <si>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</si>
  <si>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</si>
  <si>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</si>
  <si>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</si>
  <si>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</si>
  <si>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</si>
  <si>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</si>
  <si>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</si>
  <si>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</si>
  <si>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</si>
  <si>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</si>
  <si>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</si>
  <si>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</si>
  <si>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</si>
  <si>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</si>
  <si>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</si>
  <si>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</si>
  <si>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</si>
  <si>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</si>
  <si>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</si>
  <si>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</si>
  <si>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</si>
  <si>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</si>
  <si>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</si>
  <si>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</si>
  <si>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</si>
  <si>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</si>
  <si>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</si>
  <si>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</si>
  <si>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</si>
  <si>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</si>
  <si>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</si>
  <si>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</si>
  <si>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</si>
  <si>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</si>
  <si>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</si>
  <si>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</si>
  <si>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</si>
  <si>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</si>
  <si>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</si>
  <si>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</si>
  <si>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</si>
  <si>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</si>
  <si>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</si>
  <si>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</si>
  <si>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</si>
  <si>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</si>
  <si>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</si>
  <si>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</si>
  <si>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</si>
  <si>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</si>
  <si>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</si>
  <si>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 xml:space="preserve">SEGUROS </t>
  </si>
  <si>
    <t>GASTOS VARIOS</t>
  </si>
  <si>
    <t>TOTAL GASTOS VARIOS</t>
  </si>
  <si>
    <t>TOTAL GASTOS BANCARIOS</t>
  </si>
  <si>
    <t>Federacion patronal - Poliza integral para consorcios nro. 2152393</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</si>
  <si>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</si>
  <si>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</si>
  <si>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</si>
  <si>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</si>
  <si>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</si>
  <si>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</si>
  <si>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</si>
  <si>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</si>
  <si>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</si>
  <si>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</si>
  <si>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</si>
  <si>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</si>
  <si>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</si>
  <si>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</si>
  <si>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</si>
  <si>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</si>
  <si>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</si>
  <si>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</si>
  <si>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</si>
  <si>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</si>
  <si>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</si>
  <si>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</si>
  <si>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</si>
  <si>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</si>
  <si>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</si>
  <si>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</si>
  <si>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</si>
  <si>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</si>
  <si>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</si>
  <si>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</si>
  <si>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</si>
  <si>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</si>
  <si>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</si>
  <si>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</si>
  <si>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alonso sabrina eugenia</t>
  </si>
  <si>
    <t xml:space="preserve"> Laura Quintas Perez</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</si>
  <si>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</si>
  <si>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</si>
  <si>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</si>
  <si>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</si>
  <si>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</si>
  <si>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</si>
  <si>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</si>
  <si>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</si>
  <si>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</si>
  <si>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</si>
  <si>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</si>
  <si>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</si>
  <si>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</si>
  <si>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</si>
  <si>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</si>
  <si>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</si>
  <si>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</si>
  <si>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</si>
  <si>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</si>
  <si>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</si>
  <si>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</si>
  <si>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</si>
  <si>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</si>
  <si>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Debito autom.</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</si>
  <si>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</si>
  <si>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</si>
  <si>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</si>
  <si>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</si>
  <si>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</si>
  <si>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</si>
  <si>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</si>
  <si>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</si>
  <si>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</si>
  <si>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</si>
  <si>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</si>
  <si>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</si>
  <si>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</si>
  <si>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</si>
  <si>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</si>
  <si>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</si>
  <si>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</si>
  <si>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</si>
  <si>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</si>
  <si>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</si>
  <si>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</si>
  <si>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</si>
  <si>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</si>
  <si>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</si>
  <si>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</si>
  <si>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</si>
  <si>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</si>
  <si>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</si>
  <si>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</si>
  <si>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</si>
  <si>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</si>
  <si>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</si>
  <si>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</si>
  <si>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</si>
  <si>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</si>
  <si>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</si>
  <si>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</si>
  <si>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</si>
  <si>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</si>
  <si>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</si>
  <si>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</si>
  <si>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</si>
  <si>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</si>
  <si>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</si>
  <si>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Fumigacion - Silva Nicolas</t>
  </si>
  <si>
    <t>Salvati - Servicios de limpieza</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</si>
  <si>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</si>
  <si>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</si>
  <si>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</si>
  <si>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</si>
  <si>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</si>
  <si>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</si>
  <si>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</si>
  <si>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</si>
  <si>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</si>
  <si>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</si>
  <si>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</si>
  <si>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</si>
  <si>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</si>
  <si>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</si>
  <si>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</si>
  <si>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TSG - Partida 197227000</t>
  </si>
  <si>
    <t xml:space="preserve"> Gustavo Fernández </t>
  </si>
  <si>
    <t>Matias Puente</t>
  </si>
  <si>
    <t>Lorenzo, Sergio Ariel</t>
  </si>
  <si>
    <t>CAJA SUM $ (pesos)</t>
  </si>
  <si>
    <t>Caja Real -Banco - SUM + Ordinaria</t>
  </si>
  <si>
    <t>Quienes adeudan ARBA deben abonar el monto coloreado en ROSADO si es que en el trancurso del mes 3 y 4 del 2026 no abonaron ninguna cuota.</t>
  </si>
  <si>
    <t>Servicio de limpieza</t>
  </si>
  <si>
    <t>Szkarlatiuk, Carina Sonia</t>
  </si>
  <si>
    <t>Basaez, Rogelio Luis  - Savino, Cecilia</t>
  </si>
  <si>
    <t>Guerra Karina, Alejandra</t>
  </si>
  <si>
    <t>Walter Javier Dimiziunas - Rosana Cavallero</t>
  </si>
  <si>
    <t>Rosana Cavallero</t>
  </si>
  <si>
    <t>Mario Gomez Alejandro</t>
  </si>
  <si>
    <t>IMPORTANTE: Si en la columna SALDO a su unidad funcional le figura un monto en negativo, significa que usted abono mas dinero del que debia abonar. Si figura un monto en positivo significa que usted abono menos de lo que realmente debia abonar. Sea positivo o negativo el numero, es contemplado en las columnas de total a abonar para al siguiente mes.</t>
  </si>
  <si>
    <t>ex mariano hecimovic</t>
  </si>
  <si>
    <t>Aysa - Cuenta 2490112</t>
  </si>
  <si>
    <t>En Jul1o deben subir a 949.849,3 + $99.000 de escaneo de documentacio</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</si>
  <si>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</si>
  <si>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Gossa Raul Ariel</t>
  </si>
  <si>
    <t>CAJA BANCARIA $ (pesos)</t>
  </si>
  <si>
    <t>SE PRORRATEA EN LOCALES:</t>
  </si>
  <si>
    <t>DEUDA SR. AYALA AL 04/09/2026</t>
  </si>
  <si>
    <t>UF:</t>
  </si>
  <si>
    <t>Propietario:</t>
  </si>
  <si>
    <t>Deuda a abonar antes del 17/09</t>
  </si>
  <si>
    <t>Deuda ARBA 3F</t>
  </si>
  <si>
    <t>Deuda ARBA 4F</t>
  </si>
  <si>
    <t>Deuda ARBA 5F</t>
  </si>
  <si>
    <t>TOTAL DEUDA</t>
  </si>
  <si>
    <t>Transf 16/09</t>
  </si>
  <si>
    <t>VTO 16/10</t>
  </si>
  <si>
    <t>PERÍODO: SEPTIEMBRE</t>
  </si>
  <si>
    <t>SE ADEUDA SEPTIEMBRE</t>
  </si>
  <si>
    <t>ADS - Abono de mantenimiento ascensores SEPTIEMBRE</t>
  </si>
  <si>
    <t>Victor Martinez - Abono mantenimiento control de accesos - AGOSTO</t>
  </si>
  <si>
    <t>Transf 11/09</t>
  </si>
  <si>
    <t>ARBA inmobiliario - Partida Nro. 024-171499-1</t>
  </si>
  <si>
    <t>Transf 07/09</t>
  </si>
  <si>
    <t>Fidiax Argentina - Redaccion, gestion y envio carta documento Aysa</t>
  </si>
  <si>
    <t>Transf 09/09</t>
  </si>
  <si>
    <t>Grispino, Eduardo Claudio</t>
  </si>
  <si>
    <t>Gomez, Adriana</t>
  </si>
  <si>
    <t>Viegas, Nancy Noemi</t>
  </si>
  <si>
    <t>Gonzalez Fedullo, Valeria</t>
  </si>
  <si>
    <t>Munsch, Walter Marcelo</t>
  </si>
  <si>
    <t xml:space="preserve">Colantuono , Juan </t>
  </si>
  <si>
    <t xml:space="preserve">Argul, Sergio Walter </t>
  </si>
  <si>
    <t>Di Sabato, Guillermo</t>
  </si>
  <si>
    <t>Alonso, Gustavo y Sra.</t>
  </si>
  <si>
    <t>Cuzzolino, Daniela Carolina</t>
  </si>
  <si>
    <t>Scaglia, Marcela</t>
  </si>
  <si>
    <t xml:space="preserve">Hernandez, Marisa Beatriz </t>
  </si>
  <si>
    <t>Argentino, Javier Leonardo y Sra.</t>
  </si>
  <si>
    <t>Gazzaneo, Francisco y Sra.</t>
  </si>
  <si>
    <t xml:space="preserve">Rosales, Marco Roman </t>
  </si>
  <si>
    <t>Mes 9</t>
  </si>
  <si>
    <t>RC Adm Cons. CANCIANI, Carolina - MP:1148 - AGOSTO - SE ADEUDA SEPTIEMBRE</t>
  </si>
  <si>
    <t>Envio carta documento correo Argentino - AYSA</t>
  </si>
  <si>
    <t>Mes 8</t>
  </si>
  <si>
    <t>Transf 15/09</t>
  </si>
  <si>
    <t>Debito 17/09</t>
  </si>
  <si>
    <t>Sr. Piletero 12/09</t>
  </si>
  <si>
    <t>Transf 25/09</t>
  </si>
  <si>
    <t>Grafica Tauge - Fotocopias BYN</t>
  </si>
  <si>
    <t>Transf 10/09</t>
  </si>
  <si>
    <t>Lasarte, Leda Isabel  y Grossa, Raul Ariel</t>
  </si>
  <si>
    <t>Lasarte, Leda Isabel y Grossa, Raul Ariel</t>
  </si>
  <si>
    <t>Se adeudan a la desarrolladora las cuotas correspondientes a ARBA, debido a la falta de disponibilidad de fondos, la desarrolladora aceptó diferir el cobro de dichos importes para permitir que el consorcio pudiera afrontar gastos de carácter obligatorio e indispensables para su normal funcionamiento</t>
  </si>
  <si>
    <t>Transf 18/09 - 30/09</t>
  </si>
  <si>
    <t>Rosales Dario -  Herrero : Fc. 00000325 - Realizacion de tapas nodo gas</t>
  </si>
  <si>
    <t>Transf 28/09</t>
  </si>
  <si>
    <t>Transf 30/09</t>
  </si>
  <si>
    <t>Locos por la limpieza - Articulos de limpieza</t>
  </si>
  <si>
    <t>RPAC: Escaneo mensual sobre toda la documentación que incluyen las expensas - Mes de AGOSTO - SE ADEUDA SEPTIEMBRE</t>
  </si>
  <si>
    <t xml:space="preserve">Campelo, Mariano </t>
  </si>
  <si>
    <t>LA CAJA EN EFECTIVO SE ELIMINARA - LOS $97.817,72 QUE SE ADEUDAN A LA ADMINISTRACION SE RECUPERARAN MEDIANTE TRANSFERENCIA</t>
  </si>
  <si>
    <t>Cuota TSG</t>
  </si>
  <si>
    <t>Lobato Lorena - Vega Maximiliano</t>
  </si>
  <si>
    <t>RECUPERO DE PREVISION - OBRA REPOSICION TAPA DE GAS HURTADA</t>
  </si>
  <si>
    <t>TSG:</t>
  </si>
  <si>
    <t>Cochera 32</t>
  </si>
  <si>
    <t>A la cochera 32 no le debemos cobrar el TSG, debe abonar:  $42.523,01</t>
  </si>
  <si>
    <t>13C</t>
  </si>
  <si>
    <t>Javier Argentino</t>
  </si>
  <si>
    <t xml:space="preserve">13C transfirio $319.842 el 09/10 </t>
  </si>
  <si>
    <t>Cocher 35</t>
  </si>
  <si>
    <t>Cochera 35 transfirio el 09/10 $42.523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</si>
</sst>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i/>
      <u/>
      <sz val="12"/>
      <name val="Calibri"/>
      <family val="2"/>
      <scheme val="minor"/>
    </font>
    <font>
      <i/>
      <u/>
      <sz val="11"/>
      <name val="Calibri"/>
      <family val="2"/>
      <scheme val="minor"/>
    </font>
    <font>
      <u/>
      <sz val="11"/>
      <name val="Calibri"/>
      <family val="2"/>
      <scheme val="minor"/>
    </font>
    <font>
      <b/>
      <sz val="16"/>
      <color theme="1"/>
      <name val="Calibri"/>
      <family val="2"/>
      <scheme val="minor"/>
    </font>
    <font>
      <b/>
      <sz val="16"/>
      <color theme="0"/>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theme="6" tint="0.39997558519241921"/>
        <bgColor indexed="64"/>
      </patternFill>
    </fill>
    <fill>
      <patternFill patternType="solid">
        <fgColor theme="5"/>
        <bgColor indexed="64"/>
      </patternFill>
    </fill>
    <fill>
      <patternFill patternType="solid">
        <fgColor rgb="FF7030A0"/>
        <bgColor indexed="64"/>
      </patternFill>
    </fill>
    <fill>
      <patternFill patternType="solid">
        <fgColor theme="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0" fillId="0" borderId="0"/>
    <xf numFmtId="0" fontId="22" fillId="0" borderId="0" applyNumberFormat="0" applyFill="0" applyBorder="0" applyAlignment="0" applyProtection="0"/>
  </cellStyleXfs>
  <cellXfs count="413">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6" fontId="10" fillId="2" borderId="1" xfId="0" applyNumberFormat="1" applyFont="1" applyFill="1" applyBorder="1"/>
    <xf numFmtId="0" fontId="2" fillId="2" borderId="0" xfId="0" applyFont="1" applyFill="1" applyAlignment="1">
      <alignment vertical="center" wrapText="1"/>
    </xf>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0" fontId="4" fillId="0" borderId="3" xfId="0" applyFont="1" applyBorder="1"/>
    <xf numFmtId="44" fontId="9" fillId="8" borderId="25" xfId="1" applyFont="1" applyFill="1" applyBorder="1"/>
    <xf numFmtId="44" fontId="9" fillId="2" borderId="0" xfId="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10" fontId="0" fillId="2" borderId="26" xfId="0" applyNumberFormat="1" applyFill="1" applyBorder="1"/>
    <xf numFmtId="165" fontId="0" fillId="2" borderId="26" xfId="1" applyNumberFormat="1" applyFont="1" applyFill="1" applyBorder="1"/>
    <xf numFmtId="3" fontId="0" fillId="2" borderId="26" xfId="0" applyNumberFormat="1" applyFill="1" applyBorder="1"/>
    <xf numFmtId="4" fontId="0" fillId="2" borderId="26" xfId="0" applyNumberFormat="1" applyFill="1" applyBorder="1"/>
    <xf numFmtId="165" fontId="11" fillId="2" borderId="1" xfId="0" applyNumberFormat="1" applyFon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7" fillId="2" borderId="1" xfId="0" applyFont="1" applyFill="1" applyBorder="1"/>
    <xf numFmtId="10" fontId="4" fillId="2" borderId="1" xfId="0" applyNumberFormat="1" applyFont="1" applyFill="1" applyBorder="1"/>
    <xf numFmtId="165" fontId="17"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0" fillId="2" borderId="4" xfId="1" applyFont="1" applyFill="1" applyBorder="1"/>
    <xf numFmtId="0" fontId="0" fillId="3" borderId="27" xfId="0" applyFill="1" applyBorder="1" applyAlignment="1">
      <alignment horizontal="center" vertical="center" wrapText="1"/>
    </xf>
    <xf numFmtId="0" fontId="20" fillId="2" borderId="1" xfId="0" applyFont="1" applyFill="1" applyBorder="1" applyAlignment="1">
      <alignment horizontal="center"/>
    </xf>
    <xf numFmtId="0" fontId="0" fillId="2" borderId="1" xfId="0" applyFill="1" applyBorder="1" applyAlignment="1">
      <alignment horizontal="center"/>
    </xf>
    <xf numFmtId="0" fontId="20" fillId="2" borderId="1" xfId="0" applyFont="1" applyFill="1" applyBorder="1"/>
    <xf numFmtId="0" fontId="20" fillId="2" borderId="1" xfId="0" applyFont="1" applyFill="1" applyBorder="1" applyAlignment="1">
      <alignment horizontal="left" vertical="center"/>
    </xf>
    <xf numFmtId="0" fontId="20" fillId="2" borderId="26" xfId="0" applyFont="1" applyFill="1" applyBorder="1" applyAlignment="1">
      <alignment horizontal="center"/>
    </xf>
    <xf numFmtId="0" fontId="0" fillId="2" borderId="26" xfId="0" applyFill="1" applyBorder="1" applyAlignment="1">
      <alignment horizontal="center"/>
    </xf>
    <xf numFmtId="0" fontId="20" fillId="2" borderId="26" xfId="0" applyFont="1" applyFill="1" applyBorder="1" applyAlignment="1">
      <alignment horizontal="left" vertical="center"/>
    </xf>
    <xf numFmtId="0" fontId="20" fillId="2" borderId="4" xfId="0" applyFont="1" applyFill="1" applyBorder="1" applyAlignment="1">
      <alignment horizontal="center"/>
    </xf>
    <xf numFmtId="0" fontId="0" fillId="2" borderId="4" xfId="0" applyFill="1" applyBorder="1" applyAlignment="1">
      <alignment horizontal="center"/>
    </xf>
    <xf numFmtId="49" fontId="20" fillId="2" borderId="1" xfId="0" applyNumberFormat="1" applyFont="1" applyFill="1" applyBorder="1" applyAlignment="1">
      <alignment horizontal="center"/>
    </xf>
    <xf numFmtId="0" fontId="21"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6"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6"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6" xfId="0" applyNumberFormat="1" applyFill="1" applyBorder="1"/>
    <xf numFmtId="4" fontId="0" fillId="13" borderId="4" xfId="0" applyNumberFormat="1" applyFill="1" applyBorder="1"/>
    <xf numFmtId="3" fontId="0" fillId="5" borderId="4" xfId="0" applyNumberFormat="1" applyFill="1" applyBorder="1"/>
    <xf numFmtId="3" fontId="0" fillId="5" borderId="26" xfId="0" applyNumberFormat="1" applyFill="1" applyBorder="1"/>
    <xf numFmtId="4" fontId="0" fillId="5" borderId="4" xfId="0" applyNumberFormat="1" applyFill="1" applyBorder="1"/>
    <xf numFmtId="1" fontId="19" fillId="5" borderId="12" xfId="0" applyNumberFormat="1" applyFont="1" applyFill="1" applyBorder="1" applyAlignment="1">
      <alignment vertical="center"/>
    </xf>
    <xf numFmtId="1" fontId="19"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0" fillId="2" borderId="14" xfId="0" applyFill="1" applyBorder="1"/>
    <xf numFmtId="0" fontId="0" fillId="2" borderId="17" xfId="0" applyFill="1" applyBorder="1"/>
    <xf numFmtId="0" fontId="22"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6" fillId="0" borderId="1" xfId="0" applyFont="1" applyBorder="1" applyAlignment="1">
      <alignment wrapText="1"/>
    </xf>
    <xf numFmtId="44" fontId="4" fillId="2" borderId="4" xfId="1" applyFont="1" applyFill="1" applyBorder="1"/>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4" fillId="0" borderId="1" xfId="0" applyFont="1" applyBorder="1"/>
    <xf numFmtId="44" fontId="4" fillId="0" borderId="1" xfId="0" applyNumberFormat="1" applyFont="1" applyBorder="1"/>
    <xf numFmtId="0" fontId="25"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0" fontId="4" fillId="0" borderId="6" xfId="0" applyFont="1" applyBorder="1"/>
    <xf numFmtId="0" fontId="4" fillId="0" borderId="2" xfId="0" applyFont="1" applyBorder="1"/>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4" fillId="2" borderId="1" xfId="0" applyFont="1" applyFill="1" applyBorder="1" applyAlignment="1">
      <alignment wrapText="1"/>
    </xf>
    <xf numFmtId="3" fontId="0" fillId="16" borderId="1" xfId="0" applyNumberFormat="1" applyFill="1" applyBorder="1"/>
    <xf numFmtId="0" fontId="0" fillId="16" borderId="1" xfId="0" applyFill="1" applyBorder="1"/>
    <xf numFmtId="0" fontId="10" fillId="16" borderId="1" xfId="0" applyFont="1" applyFill="1" applyBorder="1"/>
    <xf numFmtId="0" fontId="10" fillId="16" borderId="4" xfId="0" applyFont="1" applyFill="1" applyBorder="1"/>
    <xf numFmtId="10" fontId="0" fillId="16" borderId="4" xfId="0" applyNumberFormat="1" applyFill="1" applyBorder="1"/>
    <xf numFmtId="44" fontId="0" fillId="16" borderId="1" xfId="1" applyFont="1" applyFill="1" applyBorder="1"/>
    <xf numFmtId="44" fontId="4" fillId="16" borderId="1" xfId="1" applyFont="1" applyFill="1" applyBorder="1"/>
    <xf numFmtId="165" fontId="10" fillId="16" borderId="1" xfId="0" applyNumberFormat="1" applyFont="1" applyFill="1" applyBorder="1"/>
    <xf numFmtId="165" fontId="0" fillId="16" borderId="1" xfId="1" applyNumberFormat="1" applyFont="1" applyFill="1" applyBorder="1"/>
    <xf numFmtId="165" fontId="0" fillId="16" borderId="4" xfId="1" applyNumberFormat="1" applyFont="1" applyFill="1" applyBorder="1"/>
    <xf numFmtId="44" fontId="10" fillId="16" borderId="4" xfId="1" applyFont="1" applyFill="1" applyBorder="1"/>
    <xf numFmtId="4" fontId="0" fillId="16" borderId="4" xfId="0" applyNumberFormat="1" applyFill="1" applyBorder="1"/>
    <xf numFmtId="4" fontId="0" fillId="16" borderId="1" xfId="0" applyNumberFormat="1" applyFill="1" applyBorder="1"/>
    <xf numFmtId="10" fontId="0" fillId="16" borderId="1" xfId="0" applyNumberFormat="1" applyFill="1" applyBorder="1"/>
    <xf numFmtId="0" fontId="4" fillId="2" borderId="1" xfId="1" applyNumberFormat="1" applyFont="1" applyFill="1" applyBorder="1"/>
    <xf numFmtId="44" fontId="17" fillId="2" borderId="4" xfId="1" applyFont="1" applyFill="1" applyBorder="1"/>
    <xf numFmtId="0" fontId="12" fillId="2" borderId="0" xfId="0" applyFont="1" applyFill="1"/>
    <xf numFmtId="0" fontId="4" fillId="0" borderId="8" xfId="0" applyFont="1" applyBorder="1" applyAlignment="1">
      <alignment horizontal="left" vertical="center" wrapText="1"/>
    </xf>
    <xf numFmtId="44" fontId="12" fillId="2" borderId="1" xfId="1" applyFont="1" applyFill="1" applyBorder="1"/>
    <xf numFmtId="165" fontId="1" fillId="2" borderId="1" xfId="1" applyNumberFormat="1" applyFont="1" applyFill="1" applyBorder="1"/>
    <xf numFmtId="0" fontId="0" fillId="2" borderId="26" xfId="0" applyFill="1" applyBorder="1"/>
    <xf numFmtId="0" fontId="10" fillId="2" borderId="26" xfId="0" applyFont="1" applyFill="1" applyBorder="1"/>
    <xf numFmtId="165" fontId="10" fillId="2" borderId="26" xfId="0" applyNumberFormat="1" applyFont="1" applyFill="1" applyBorder="1"/>
    <xf numFmtId="44" fontId="10" fillId="2" borderId="26" xfId="1" applyFont="1" applyFill="1" applyBorder="1"/>
    <xf numFmtId="164" fontId="0" fillId="2" borderId="0" xfId="0" applyNumberFormat="1" applyFill="1"/>
    <xf numFmtId="10" fontId="4" fillId="0" borderId="0" xfId="0" applyNumberFormat="1" applyFont="1"/>
    <xf numFmtId="0" fontId="9" fillId="5" borderId="15" xfId="0" applyFont="1" applyFill="1" applyBorder="1" applyAlignment="1">
      <alignment horizontal="center" vertical="center"/>
    </xf>
    <xf numFmtId="8" fontId="9" fillId="4" borderId="1" xfId="0" applyNumberFormat="1" applyFont="1" applyFill="1" applyBorder="1"/>
    <xf numFmtId="0" fontId="9" fillId="0" borderId="1" xfId="0" applyFont="1" applyBorder="1"/>
    <xf numFmtId="44" fontId="9" fillId="8" borderId="13" xfId="0" applyNumberFormat="1" applyFont="1" applyFill="1" applyBorder="1"/>
    <xf numFmtId="44" fontId="9" fillId="2" borderId="19" xfId="0" applyNumberFormat="1" applyFont="1" applyFill="1" applyBorder="1"/>
    <xf numFmtId="44" fontId="4" fillId="2" borderId="19" xfId="1" applyFont="1" applyFill="1" applyBorder="1"/>
    <xf numFmtId="44" fontId="10" fillId="16" borderId="1" xfId="1" applyFont="1" applyFill="1" applyBorder="1"/>
    <xf numFmtId="0" fontId="0" fillId="0" borderId="16"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3" xfId="0" applyBorder="1"/>
    <xf numFmtId="0" fontId="0" fillId="0" borderId="9" xfId="0" applyBorder="1"/>
    <xf numFmtId="0" fontId="2" fillId="9" borderId="11" xfId="0" applyFont="1" applyFill="1" applyBorder="1"/>
    <xf numFmtId="0" fontId="2" fillId="9" borderId="12" xfId="0" applyFont="1" applyFill="1" applyBorder="1"/>
    <xf numFmtId="0" fontId="0" fillId="18" borderId="16" xfId="0" applyFill="1" applyBorder="1"/>
    <xf numFmtId="0" fontId="0" fillId="18" borderId="14" xfId="0" applyFill="1" applyBorder="1"/>
    <xf numFmtId="0" fontId="0" fillId="18" borderId="18" xfId="0" applyFill="1" applyBorder="1"/>
    <xf numFmtId="0" fontId="0" fillId="18" borderId="0" xfId="0" applyFill="1"/>
    <xf numFmtId="16" fontId="0" fillId="18" borderId="0" xfId="0" applyNumberFormat="1" applyFill="1"/>
    <xf numFmtId="0" fontId="3" fillId="0" borderId="1" xfId="0" applyFont="1" applyBorder="1" applyAlignment="1">
      <alignment horizontal="left" vertical="center" wrapText="1"/>
    </xf>
    <xf numFmtId="0" fontId="0" fillId="19" borderId="1" xfId="0" applyFill="1" applyBorder="1"/>
    <xf numFmtId="0" fontId="10" fillId="19" borderId="1" xfId="0" applyFont="1" applyFill="1" applyBorder="1"/>
    <xf numFmtId="0" fontId="10" fillId="19" borderId="4" xfId="0" applyFont="1" applyFill="1" applyBorder="1"/>
    <xf numFmtId="10" fontId="0" fillId="19" borderId="4" xfId="0" applyNumberFormat="1" applyFill="1" applyBorder="1"/>
    <xf numFmtId="44" fontId="0" fillId="19" borderId="1" xfId="1" applyFont="1" applyFill="1" applyBorder="1"/>
    <xf numFmtId="165" fontId="10" fillId="19" borderId="1" xfId="0" applyNumberFormat="1" applyFont="1" applyFill="1" applyBorder="1"/>
    <xf numFmtId="165" fontId="0" fillId="19" borderId="1" xfId="1" applyNumberFormat="1" applyFont="1" applyFill="1" applyBorder="1"/>
    <xf numFmtId="165" fontId="0" fillId="19" borderId="4" xfId="1" applyNumberFormat="1" applyFont="1" applyFill="1" applyBorder="1"/>
    <xf numFmtId="44" fontId="10" fillId="19" borderId="4" xfId="1" applyFont="1" applyFill="1" applyBorder="1"/>
    <xf numFmtId="4" fontId="0" fillId="19" borderId="4" xfId="0" applyNumberFormat="1" applyFill="1" applyBorder="1"/>
    <xf numFmtId="4" fontId="0" fillId="19" borderId="1" xfId="0" applyNumberFormat="1" applyFill="1" applyBorder="1"/>
    <xf numFmtId="0" fontId="4" fillId="0" borderId="6" xfId="0" applyFont="1" applyBorder="1" applyAlignment="1">
      <alignment horizontal="left" vertical="center"/>
    </xf>
    <xf numFmtId="44" fontId="0" fillId="2" borderId="1" xfId="0" applyNumberFormat="1" applyFill="1" applyBorder="1"/>
    <xf numFmtId="44" fontId="4" fillId="2" borderId="26" xfId="1" applyFont="1" applyFill="1" applyBorder="1"/>
    <xf numFmtId="44" fontId="4" fillId="19" borderId="1" xfId="1" applyFont="1" applyFill="1" applyBorder="1"/>
    <xf numFmtId="44" fontId="4" fillId="2" borderId="6" xfId="0" applyNumberFormat="1" applyFont="1" applyFill="1" applyBorder="1"/>
    <xf numFmtId="0" fontId="0" fillId="18" borderId="1" xfId="0" applyFill="1" applyBorder="1"/>
    <xf numFmtId="0" fontId="10" fillId="18" borderId="1" xfId="0" applyFont="1" applyFill="1" applyBorder="1"/>
    <xf numFmtId="0" fontId="28" fillId="16" borderId="16" xfId="0" applyFont="1" applyFill="1" applyBorder="1" applyAlignment="1">
      <alignment horizontal="left" vertical="center" wrapText="1"/>
    </xf>
    <xf numFmtId="0" fontId="28" fillId="16" borderId="14" xfId="0" applyFont="1" applyFill="1" applyBorder="1" applyAlignment="1">
      <alignment horizontal="left" vertical="center" wrapText="1"/>
    </xf>
    <xf numFmtId="0" fontId="28" fillId="16" borderId="17" xfId="0" applyFont="1" applyFill="1" applyBorder="1" applyAlignment="1">
      <alignment horizontal="left" vertical="center" wrapText="1"/>
    </xf>
    <xf numFmtId="0" fontId="28" fillId="16" borderId="18" xfId="0" applyFont="1" applyFill="1" applyBorder="1" applyAlignment="1">
      <alignment horizontal="left" vertical="center" wrapText="1"/>
    </xf>
    <xf numFmtId="0" fontId="28" fillId="16" borderId="0" xfId="0" applyFont="1" applyFill="1" applyAlignment="1">
      <alignment horizontal="left" vertical="center" wrapText="1"/>
    </xf>
    <xf numFmtId="0" fontId="28" fillId="16" borderId="19" xfId="0" applyFont="1" applyFill="1" applyBorder="1" applyAlignment="1">
      <alignment horizontal="left" vertical="center" wrapText="1"/>
    </xf>
    <xf numFmtId="0" fontId="28" fillId="16" borderId="23" xfId="0" applyFont="1" applyFill="1" applyBorder="1" applyAlignment="1">
      <alignment horizontal="left" vertical="center" wrapText="1"/>
    </xf>
    <xf numFmtId="0" fontId="28" fillId="16" borderId="9" xfId="0" applyFont="1" applyFill="1" applyBorder="1" applyAlignment="1">
      <alignment horizontal="left" vertical="center" wrapText="1"/>
    </xf>
    <xf numFmtId="0" fontId="28" fillId="16" borderId="10" xfId="0" applyFont="1" applyFill="1" applyBorder="1" applyAlignment="1">
      <alignment horizontal="left" vertical="center" wrapText="1"/>
    </xf>
    <xf numFmtId="0" fontId="2" fillId="15" borderId="20" xfId="0" applyFont="1" applyFill="1" applyBorder="1" applyAlignment="1">
      <alignment horizontal="left" vertical="center" wrapText="1"/>
    </xf>
    <xf numFmtId="0" fontId="2" fillId="15" borderId="27" xfId="0" applyFont="1" applyFill="1" applyBorder="1" applyAlignment="1">
      <alignment horizontal="left" vertical="center" wrapText="1"/>
    </xf>
    <xf numFmtId="44" fontId="16" fillId="15" borderId="20" xfId="0" applyNumberFormat="1" applyFont="1" applyFill="1" applyBorder="1" applyAlignment="1">
      <alignment horizontal="center" vertical="center"/>
    </xf>
    <xf numFmtId="0" fontId="16" fillId="15" borderId="27" xfId="0" applyFont="1" applyFill="1" applyBorder="1" applyAlignment="1">
      <alignment horizontal="center" vertic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4" fontId="27" fillId="17" borderId="16" xfId="0" applyNumberFormat="1" applyFont="1" applyFill="1" applyBorder="1" applyAlignment="1">
      <alignment horizontal="left" vertical="center" wrapText="1"/>
    </xf>
    <xf numFmtId="164" fontId="27" fillId="17" borderId="14" xfId="0" applyNumberFormat="1" applyFont="1" applyFill="1" applyBorder="1" applyAlignment="1">
      <alignment horizontal="left" vertical="center" wrapText="1"/>
    </xf>
    <xf numFmtId="164" fontId="27" fillId="17" borderId="17" xfId="0" applyNumberFormat="1" applyFont="1" applyFill="1" applyBorder="1" applyAlignment="1">
      <alignment horizontal="left" vertical="center" wrapText="1"/>
    </xf>
    <xf numFmtId="164" fontId="27" fillId="17" borderId="18" xfId="0" applyNumberFormat="1" applyFont="1" applyFill="1" applyBorder="1" applyAlignment="1">
      <alignment horizontal="left" vertical="center" wrapText="1"/>
    </xf>
    <xf numFmtId="164" fontId="27" fillId="17" borderId="0" xfId="0" applyNumberFormat="1" applyFont="1" applyFill="1" applyAlignment="1">
      <alignment horizontal="left" vertical="center" wrapText="1"/>
    </xf>
    <xf numFmtId="164" fontId="27" fillId="17" borderId="19" xfId="0" applyNumberFormat="1" applyFont="1" applyFill="1" applyBorder="1" applyAlignment="1">
      <alignment horizontal="left" vertical="center" wrapText="1"/>
    </xf>
    <xf numFmtId="164" fontId="27" fillId="17" borderId="23" xfId="0" applyNumberFormat="1" applyFont="1" applyFill="1" applyBorder="1" applyAlignment="1">
      <alignment horizontal="left" vertical="center" wrapText="1"/>
    </xf>
    <xf numFmtId="164" fontId="27" fillId="17" borderId="9" xfId="0" applyNumberFormat="1" applyFont="1" applyFill="1" applyBorder="1" applyAlignment="1">
      <alignment horizontal="left" vertical="center" wrapText="1"/>
    </xf>
    <xf numFmtId="164" fontId="27" fillId="17" borderId="10" xfId="0" applyNumberFormat="1" applyFont="1" applyFill="1" applyBorder="1" applyAlignment="1">
      <alignment horizontal="left" vertical="center" wrapText="1"/>
    </xf>
    <xf numFmtId="0" fontId="9" fillId="8" borderId="11" xfId="0" applyFont="1" applyFill="1" applyBorder="1" applyAlignment="1">
      <alignment horizontal="left" vertical="center" wrapText="1"/>
    </xf>
    <xf numFmtId="0" fontId="9" fillId="8" borderId="12" xfId="0" applyFont="1" applyFill="1" applyBorder="1" applyAlignment="1">
      <alignment horizontal="left" vertical="center" wrapText="1"/>
    </xf>
    <xf numFmtId="0" fontId="9" fillId="8" borderId="28" xfId="0" applyFont="1" applyFill="1" applyBorder="1" applyAlignment="1">
      <alignment horizontal="left" vertical="center" wrapText="1"/>
    </xf>
    <xf numFmtId="0" fontId="26" fillId="0" borderId="6" xfId="0" applyFont="1" applyBorder="1" applyAlignment="1">
      <alignment horizontal="left" vertical="center" wrapText="1"/>
    </xf>
    <xf numFmtId="0" fontId="26" fillId="0" borderId="8"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 fillId="9" borderId="0" xfId="0" applyFont="1" applyFill="1" applyAlignment="1">
      <alignment horizontal="left" vertical="center" wrapText="1"/>
    </xf>
    <xf numFmtId="0" fontId="4" fillId="2" borderId="8" xfId="0" applyFont="1" applyFill="1" applyBorder="1" applyAlignment="1">
      <alignment horizontal="left" vertical="center" wrapText="1"/>
    </xf>
    <xf numFmtId="0" fontId="0" fillId="9" borderId="0" xfId="0" applyFill="1" applyAlignment="1">
      <alignment horizontal="left" vertical="center" wrapText="1"/>
    </xf>
    <xf numFmtId="0" fontId="19" fillId="10" borderId="0" xfId="0" applyFont="1" applyFill="1" applyAlignment="1">
      <alignment horizontal="center" vertical="center"/>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1" fontId="16" fillId="5" borderId="16" xfId="0" applyNumberFormat="1" applyFont="1" applyFill="1" applyBorder="1" applyAlignment="1">
      <alignment horizontal="left" vertical="center" wrapText="1"/>
    </xf>
    <xf numFmtId="1" fontId="16" fillId="5" borderId="14" xfId="0" applyNumberFormat="1" applyFont="1" applyFill="1" applyBorder="1" applyAlignment="1">
      <alignment horizontal="left" vertical="center"/>
    </xf>
    <xf numFmtId="1" fontId="16" fillId="5" borderId="17" xfId="0" applyNumberFormat="1" applyFont="1" applyFill="1" applyBorder="1" applyAlignment="1">
      <alignment horizontal="left" vertical="center"/>
    </xf>
    <xf numFmtId="1" fontId="16" fillId="5" borderId="18" xfId="0" applyNumberFormat="1" applyFont="1" applyFill="1" applyBorder="1" applyAlignment="1">
      <alignment horizontal="left" vertical="center"/>
    </xf>
    <xf numFmtId="1" fontId="16" fillId="5" borderId="0" xfId="0" applyNumberFormat="1" applyFont="1" applyFill="1" applyAlignment="1">
      <alignment horizontal="left" vertical="center"/>
    </xf>
    <xf numFmtId="1" fontId="16" fillId="5" borderId="19" xfId="0" applyNumberFormat="1" applyFont="1" applyFill="1" applyBorder="1" applyAlignment="1">
      <alignment horizontal="left" vertical="center"/>
    </xf>
    <xf numFmtId="1" fontId="16" fillId="5" borderId="23" xfId="0" applyNumberFormat="1" applyFont="1" applyFill="1" applyBorder="1" applyAlignment="1">
      <alignment horizontal="left" vertical="center"/>
    </xf>
    <xf numFmtId="1" fontId="16" fillId="5" borderId="9" xfId="0" applyNumberFormat="1" applyFont="1" applyFill="1" applyBorder="1" applyAlignment="1">
      <alignment horizontal="left" vertical="center"/>
    </xf>
    <xf numFmtId="1" fontId="16" fillId="5" borderId="10" xfId="0" applyNumberFormat="1" applyFont="1" applyFill="1" applyBorder="1" applyAlignment="1">
      <alignment horizontal="left" vertical="center"/>
    </xf>
    <xf numFmtId="1" fontId="18" fillId="12" borderId="16" xfId="0" applyNumberFormat="1" applyFont="1" applyFill="1" applyBorder="1" applyAlignment="1">
      <alignment horizontal="left" vertical="center"/>
    </xf>
    <xf numFmtId="1" fontId="18" fillId="12" borderId="14" xfId="0" applyNumberFormat="1" applyFont="1" applyFill="1" applyBorder="1" applyAlignment="1">
      <alignment horizontal="left" vertical="center"/>
    </xf>
    <xf numFmtId="1" fontId="18" fillId="12" borderId="17" xfId="0" applyNumberFormat="1" applyFont="1" applyFill="1" applyBorder="1" applyAlignment="1">
      <alignment horizontal="left" vertical="center"/>
    </xf>
    <xf numFmtId="1" fontId="18" fillId="12" borderId="23" xfId="0" applyNumberFormat="1" applyFont="1" applyFill="1" applyBorder="1" applyAlignment="1">
      <alignment horizontal="left" vertical="center"/>
    </xf>
    <xf numFmtId="1" fontId="18" fillId="12" borderId="9" xfId="0" applyNumberFormat="1" applyFont="1" applyFill="1" applyBorder="1" applyAlignment="1">
      <alignment horizontal="left" vertical="center"/>
    </xf>
    <xf numFmtId="1" fontId="18"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0" fillId="3" borderId="27" xfId="0" applyFill="1" applyBorder="1" applyAlignment="1">
      <alignment horizontal="center" vertical="center" wrapText="1"/>
    </xf>
    <xf numFmtId="1" fontId="23" fillId="11" borderId="11" xfId="0" applyNumberFormat="1" applyFont="1" applyFill="1" applyBorder="1" applyAlignment="1">
      <alignment horizontal="left" vertical="center" wrapText="1"/>
    </xf>
    <xf numFmtId="1" fontId="23" fillId="11" borderId="12" xfId="0" applyNumberFormat="1" applyFont="1" applyFill="1" applyBorder="1" applyAlignment="1">
      <alignment horizontal="left" vertical="center" wrapText="1"/>
    </xf>
    <xf numFmtId="1" fontId="23" fillId="11" borderId="13" xfId="0" applyNumberFormat="1" applyFont="1" applyFill="1" applyBorder="1" applyAlignment="1">
      <alignment horizontal="left" vertical="center" wrapText="1"/>
    </xf>
    <xf numFmtId="1" fontId="19" fillId="9" borderId="0" xfId="0" applyNumberFormat="1" applyFont="1" applyFill="1" applyAlignment="1">
      <alignment horizontal="center" vertical="center"/>
    </xf>
    <xf numFmtId="1" fontId="19" fillId="9" borderId="19" xfId="0" applyNumberFormat="1" applyFont="1" applyFill="1" applyBorder="1" applyAlignment="1">
      <alignment horizontal="center" vertical="center"/>
    </xf>
    <xf numFmtId="1" fontId="19" fillId="9" borderId="9" xfId="0" applyNumberFormat="1" applyFont="1" applyFill="1" applyBorder="1" applyAlignment="1">
      <alignment horizontal="center" vertical="center"/>
    </xf>
    <xf numFmtId="1" fontId="19" fillId="9" borderId="10" xfId="0" applyNumberFormat="1"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7" xfId="0" applyFont="1" applyFill="1" applyBorder="1" applyAlignment="1">
      <alignment horizontal="center" vertical="center" wrapText="1"/>
    </xf>
    <xf numFmtId="0" fontId="0" fillId="3" borderId="27" xfId="0" applyFill="1" applyBorder="1" applyAlignment="1">
      <alignment horizontal="center" vertical="center"/>
    </xf>
    <xf numFmtId="44" fontId="0" fillId="0" borderId="0" xfId="1" applyFont="1" applyBorder="1" applyAlignment="1">
      <alignment horizontal="center"/>
    </xf>
    <xf numFmtId="44" fontId="0" fillId="0" borderId="19" xfId="1" applyFont="1" applyBorder="1" applyAlignment="1">
      <alignment horizontal="center"/>
    </xf>
    <xf numFmtId="44" fontId="0" fillId="0" borderId="9" xfId="1" applyFont="1" applyBorder="1" applyAlignment="1">
      <alignment horizontal="center"/>
    </xf>
    <xf numFmtId="44" fontId="0" fillId="0" borderId="10" xfId="1" applyFont="1" applyBorder="1" applyAlignment="1">
      <alignment horizontal="center"/>
    </xf>
    <xf numFmtId="44" fontId="2" fillId="9" borderId="12" xfId="1" applyFont="1" applyFill="1" applyBorder="1" applyAlignment="1">
      <alignment horizontal="center"/>
    </xf>
    <xf numFmtId="44" fontId="2" fillId="9" borderId="13" xfId="1" applyFont="1" applyFill="1" applyBorder="1" applyAlignment="1">
      <alignment horizontal="center"/>
    </xf>
    <xf numFmtId="0" fontId="18" fillId="16" borderId="11" xfId="0" applyFont="1" applyFill="1" applyBorder="1" applyAlignment="1">
      <alignment horizontal="center"/>
    </xf>
    <xf numFmtId="0" fontId="18" fillId="16" borderId="12" xfId="0" applyFont="1" applyFill="1" applyBorder="1" applyAlignment="1">
      <alignment horizontal="center"/>
    </xf>
    <xf numFmtId="0" fontId="18" fillId="16" borderId="13" xfId="0" applyFont="1" applyFill="1" applyBorder="1" applyAlignment="1">
      <alignment horizontal="center"/>
    </xf>
    <xf numFmtId="0" fontId="0" fillId="5" borderId="16" xfId="0" applyFill="1" applyBorder="1"/>
    <xf numFmtId="0" fontId="0" fillId="5" borderId="14" xfId="0" applyFill="1" applyBorder="1"/>
    <xf numFmtId="0" fontId="0" fillId="5" borderId="18" xfId="0" applyFill="1" applyBorder="1"/>
    <xf numFmtId="0" fontId="0" fillId="5" borderId="0" xfId="0" applyFill="1"/>
    <xf numFmtId="16" fontId="0" fillId="5" borderId="0" xfId="0" applyNumberFormat="1" applyFill="1"/>
    <xf numFmtId="0" fontId="0" fillId="20" borderId="16" xfId="0" applyFill="1" applyBorder="1"/>
    <xf numFmtId="0" fontId="0" fillId="20" borderId="14" xfId="0" applyFill="1" applyBorder="1"/>
    <xf numFmtId="0" fontId="0" fillId="20" borderId="18" xfId="0" applyFill="1" applyBorder="1"/>
    <xf numFmtId="0" fontId="0" fillId="20" borderId="0" xfId="0" applyFill="1"/>
    <xf numFmtId="16" fontId="0" fillId="20" borderId="0" xfId="0" applyNumberFormat="1" applyFill="1"/>
    <xf numFmtId="0" fontId="0" fillId="20" borderId="1" xfId="0" applyFill="1" applyBorder="1"/>
    <xf numFmtId="0" fontId="10" fillId="20" borderId="1" xfId="0" applyFont="1" applyFill="1" applyBorder="1"/>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9"/>
  <sheetViews>
    <sheetView topLeftCell="A48" zoomScale="80" zoomScaleNormal="80" workbookViewId="0">
      <selection activeCell="H70" sqref="A49:H70"/>
    </sheetView>
  </sheetViews>
  <sheetFormatPr baseColWidth="10" defaultRowHeight="14.4" x14ac:dyDescent="0.3"/>
  <cols>
    <col min="1" max="1" width="33.44140625" customWidth="1"/>
    <col min="2" max="2" width="36.88671875" customWidth="1"/>
    <col min="3" max="3" width="20.6640625" customWidth="1"/>
    <col min="4" max="4" width="21.6640625" customWidth="1"/>
    <col min="5" max="5" width="18" customWidth="1"/>
    <col min="6" max="9" width="15.6640625" customWidth="1"/>
    <col min="10" max="10" width="14.6640625" customWidth="1"/>
    <col min="11" max="11" width="18.109375" customWidth="1"/>
    <col min="12" max="12" width="17.6640625" customWidth="1"/>
    <col min="13" max="13" width="14.5546875" customWidth="1"/>
    <col min="14" max="14" width="14.5546875" bestFit="1" customWidth="1"/>
    <col min="16" max="16" width="18" customWidth="1"/>
    <col min="17" max="17" width="18.33203125" customWidth="1"/>
  </cols>
  <sheetData>
    <row r="1" spans="1:10" ht="18" x14ac:dyDescent="0.35">
      <c r="A1" s="68"/>
      <c r="B1" s="76"/>
      <c r="C1" s="81" t="s">
        <v>243</v>
      </c>
      <c r="D1" s="81"/>
      <c r="E1" s="82"/>
      <c r="F1" s="82"/>
      <c r="G1" s="66"/>
      <c r="H1" s="66"/>
      <c r="I1" s="66"/>
      <c r="J1" s="67"/>
    </row>
    <row r="2" spans="1:10" ht="18" x14ac:dyDescent="0.35">
      <c r="A2" s="69"/>
      <c r="B2" s="77"/>
      <c r="C2" s="77" t="s">
        <v>240</v>
      </c>
      <c r="D2" s="77"/>
      <c r="E2" s="78"/>
      <c r="F2" s="78"/>
      <c r="G2" s="78"/>
      <c r="H2" s="78"/>
      <c r="I2" s="78"/>
      <c r="J2" s="65"/>
    </row>
    <row r="3" spans="1:10" ht="18" x14ac:dyDescent="0.35">
      <c r="A3" s="69"/>
      <c r="B3" s="77"/>
      <c r="C3" s="77" t="s">
        <v>267</v>
      </c>
      <c r="D3" s="77"/>
      <c r="E3" s="77" t="s">
        <v>241</v>
      </c>
      <c r="F3" s="78"/>
      <c r="G3" s="78"/>
      <c r="H3" s="78"/>
      <c r="I3" s="78"/>
      <c r="J3" s="65"/>
    </row>
    <row r="4" spans="1:10" ht="18" customHeight="1" x14ac:dyDescent="0.35">
      <c r="A4" s="69"/>
      <c r="B4" s="77"/>
      <c r="C4" s="77" t="s">
        <v>242</v>
      </c>
      <c r="D4" s="78"/>
      <c r="E4" s="78"/>
      <c r="F4" s="78"/>
      <c r="G4" s="78"/>
      <c r="H4" s="78"/>
      <c r="I4" s="78"/>
      <c r="J4" s="65"/>
    </row>
    <row r="5" spans="1:10" ht="18" x14ac:dyDescent="0.35">
      <c r="A5" s="72"/>
      <c r="B5" s="77"/>
      <c r="C5" s="77" t="s">
        <v>376</v>
      </c>
      <c r="D5" s="77"/>
      <c r="E5" s="77" t="s">
        <v>323</v>
      </c>
      <c r="F5" s="77"/>
      <c r="G5" s="77"/>
      <c r="H5" s="77"/>
      <c r="I5" s="77"/>
      <c r="J5" s="73"/>
    </row>
    <row r="6" spans="1:10" ht="18" x14ac:dyDescent="0.35">
      <c r="A6" s="72"/>
      <c r="B6" s="77"/>
      <c r="C6" s="77" t="s">
        <v>0</v>
      </c>
      <c r="D6" s="77"/>
      <c r="E6" s="77"/>
      <c r="F6" s="77"/>
      <c r="G6" s="77"/>
      <c r="H6" s="77"/>
      <c r="I6" s="77"/>
      <c r="J6" s="73"/>
    </row>
    <row r="7" spans="1:10" ht="18.600000000000001" thickBot="1" x14ac:dyDescent="0.4">
      <c r="A7" s="74"/>
      <c r="B7" s="75"/>
      <c r="C7" s="75"/>
      <c r="D7" s="75"/>
      <c r="E7" s="75"/>
      <c r="F7" s="75"/>
      <c r="G7" s="75"/>
      <c r="H7" s="75"/>
      <c r="I7" s="75"/>
      <c r="J7" s="79"/>
    </row>
    <row r="9" spans="1:10" hidden="1" x14ac:dyDescent="0.3"/>
    <row r="10" spans="1:10" hidden="1" x14ac:dyDescent="0.3"/>
    <row r="11" spans="1:10" hidden="1" x14ac:dyDescent="0.3"/>
    <row r="12" spans="1:10" hidden="1" x14ac:dyDescent="0.3"/>
    <row r="14" spans="1:10" ht="15" customHeight="1" x14ac:dyDescent="0.3">
      <c r="A14" s="325" t="s">
        <v>239</v>
      </c>
      <c r="B14" s="325"/>
      <c r="C14" s="325"/>
      <c r="D14" s="325"/>
      <c r="E14" s="325"/>
      <c r="F14" s="325"/>
      <c r="G14" s="325"/>
      <c r="H14" s="325"/>
      <c r="I14" s="325"/>
      <c r="J14" s="325"/>
    </row>
    <row r="15" spans="1:10" ht="15" customHeight="1" x14ac:dyDescent="0.3">
      <c r="A15" s="325"/>
      <c r="B15" s="325"/>
      <c r="C15" s="325"/>
      <c r="D15" s="325"/>
      <c r="E15" s="325"/>
      <c r="F15" s="325"/>
      <c r="G15" s="325"/>
      <c r="H15" s="325"/>
      <c r="I15" s="325"/>
      <c r="J15" s="325"/>
    </row>
    <row r="16" spans="1:10" ht="15" customHeight="1" x14ac:dyDescent="0.3">
      <c r="A16" s="325"/>
      <c r="B16" s="325"/>
      <c r="C16" s="325"/>
      <c r="D16" s="325"/>
      <c r="E16" s="325"/>
      <c r="F16" s="325"/>
      <c r="G16" s="325"/>
      <c r="H16" s="325"/>
      <c r="I16" s="325"/>
      <c r="J16" s="325"/>
    </row>
    <row r="17" spans="1:12" ht="25.2" customHeight="1" x14ac:dyDescent="0.3">
      <c r="A17" s="325"/>
      <c r="B17" s="325"/>
      <c r="C17" s="325"/>
      <c r="D17" s="325"/>
      <c r="E17" s="325"/>
      <c r="F17" s="325"/>
      <c r="G17" s="325"/>
      <c r="H17" s="325"/>
      <c r="I17" s="325"/>
      <c r="J17" s="325"/>
    </row>
    <row r="18" spans="1:12" ht="47.4" customHeight="1" x14ac:dyDescent="0.3">
      <c r="A18" s="325"/>
      <c r="B18" s="325"/>
      <c r="C18" s="325"/>
      <c r="D18" s="325"/>
      <c r="E18" s="325"/>
      <c r="F18" s="325"/>
      <c r="G18" s="325"/>
      <c r="H18" s="325"/>
      <c r="I18" s="325"/>
      <c r="J18" s="325"/>
    </row>
    <row r="19" spans="1:12" x14ac:dyDescent="0.3">
      <c r="A19" s="1"/>
      <c r="H19" s="60"/>
    </row>
    <row r="20" spans="1:12" x14ac:dyDescent="0.3">
      <c r="A20" s="326" t="s">
        <v>375</v>
      </c>
      <c r="B20" s="326"/>
      <c r="C20" s="326"/>
      <c r="D20" s="326"/>
      <c r="E20" s="326"/>
      <c r="F20" s="326"/>
      <c r="G20" s="326"/>
      <c r="H20" s="326"/>
      <c r="I20" s="326"/>
      <c r="J20" s="326"/>
    </row>
    <row r="21" spans="1:12" x14ac:dyDescent="0.3">
      <c r="A21" s="326"/>
      <c r="B21" s="326"/>
      <c r="C21" s="326"/>
      <c r="D21" s="326"/>
      <c r="E21" s="326"/>
      <c r="F21" s="326"/>
      <c r="G21" s="326"/>
      <c r="H21" s="326"/>
      <c r="I21" s="326"/>
      <c r="J21" s="326"/>
    </row>
    <row r="22" spans="1:12" x14ac:dyDescent="0.3">
      <c r="A22" s="326"/>
      <c r="B22" s="326"/>
      <c r="C22" s="326"/>
      <c r="D22" s="326"/>
      <c r="E22" s="326"/>
      <c r="F22" s="326"/>
      <c r="G22" s="326"/>
      <c r="H22" s="326"/>
      <c r="I22" s="326"/>
      <c r="J22" s="326"/>
    </row>
    <row r="23" spans="1:12" ht="15" thickBot="1" x14ac:dyDescent="0.35">
      <c r="A23" s="56"/>
      <c r="B23" s="56"/>
      <c r="C23" s="56"/>
      <c r="D23" s="56"/>
      <c r="E23" s="56"/>
      <c r="F23" s="56"/>
      <c r="G23" s="56"/>
      <c r="H23" s="246"/>
      <c r="I23" s="56"/>
      <c r="J23" s="56"/>
    </row>
    <row r="24" spans="1:12" ht="15" thickBot="1" x14ac:dyDescent="0.35">
      <c r="A24" s="180" t="s">
        <v>17</v>
      </c>
      <c r="B24" s="181"/>
      <c r="C24" s="182"/>
      <c r="D24" s="183"/>
      <c r="E24" s="184" t="s">
        <v>163</v>
      </c>
      <c r="F24" s="184" t="s">
        <v>164</v>
      </c>
      <c r="G24" s="184" t="s">
        <v>165</v>
      </c>
      <c r="H24" s="184" t="s">
        <v>166</v>
      </c>
      <c r="I24" s="184" t="s">
        <v>167</v>
      </c>
      <c r="J24" s="247" t="s">
        <v>168</v>
      </c>
    </row>
    <row r="25" spans="1:12" ht="15.6" x14ac:dyDescent="0.3">
      <c r="A25" s="185" t="s">
        <v>328</v>
      </c>
      <c r="B25" s="157"/>
      <c r="C25" s="157"/>
      <c r="D25" s="155"/>
      <c r="E25" s="186"/>
      <c r="F25" s="186"/>
      <c r="G25" s="186"/>
      <c r="H25" s="186"/>
      <c r="I25" s="186"/>
      <c r="J25" s="186"/>
      <c r="L25" s="43"/>
    </row>
    <row r="26" spans="1:12" x14ac:dyDescent="0.3">
      <c r="A26" s="187" t="s">
        <v>351</v>
      </c>
      <c r="B26" s="157" t="s">
        <v>377</v>
      </c>
      <c r="C26" s="235" t="s">
        <v>384</v>
      </c>
      <c r="D26" s="155">
        <v>2966292</v>
      </c>
      <c r="E26" s="157"/>
      <c r="F26" s="157"/>
      <c r="G26" s="157"/>
      <c r="H26" s="157"/>
      <c r="I26" s="157"/>
      <c r="J26" s="157"/>
      <c r="L26" s="43"/>
    </row>
    <row r="27" spans="1:12" x14ac:dyDescent="0.3">
      <c r="A27" s="187" t="s">
        <v>406</v>
      </c>
      <c r="B27" s="157"/>
      <c r="C27" s="235" t="s">
        <v>407</v>
      </c>
      <c r="D27" s="155">
        <v>120000</v>
      </c>
      <c r="E27" s="191"/>
      <c r="F27" s="157"/>
      <c r="G27" s="157"/>
      <c r="H27" s="157"/>
      <c r="I27" s="157"/>
      <c r="J27" s="157"/>
      <c r="L27" s="43"/>
    </row>
    <row r="28" spans="1:12" x14ac:dyDescent="0.3">
      <c r="A28" s="188" t="s">
        <v>34</v>
      </c>
      <c r="B28" s="188"/>
      <c r="C28" s="188"/>
      <c r="D28" s="30">
        <f>SUM(D25:D27)</f>
        <v>3086292</v>
      </c>
      <c r="E28" s="30">
        <f>D28*93.2%</f>
        <v>2876424.1440000003</v>
      </c>
      <c r="F28" s="189">
        <f>$D28*1.08%</f>
        <v>33331.953600000001</v>
      </c>
      <c r="G28" s="189">
        <f>$D28*1.28%</f>
        <v>39504.537600000003</v>
      </c>
      <c r="H28" s="189">
        <f>$D28*1.21%</f>
        <v>37344.133199999997</v>
      </c>
      <c r="I28" s="189">
        <f>$D28*1.49%</f>
        <v>45985.750800000002</v>
      </c>
      <c r="J28" s="189">
        <f>D28*1.74%</f>
        <v>53701.480799999998</v>
      </c>
      <c r="K28" s="31">
        <f>E28+J28+F28+G28+H28+I28</f>
        <v>3086292.0000000005</v>
      </c>
      <c r="L28" s="43" t="str">
        <f>IF(D28=K28, "", "Error")</f>
        <v/>
      </c>
    </row>
    <row r="29" spans="1:12" x14ac:dyDescent="0.3">
      <c r="A29" s="187" t="s">
        <v>229</v>
      </c>
      <c r="B29" s="157"/>
      <c r="C29" s="157"/>
      <c r="D29" s="155"/>
      <c r="E29" s="186"/>
      <c r="F29" s="186"/>
      <c r="G29" s="186"/>
      <c r="H29" s="186"/>
      <c r="I29" s="186"/>
      <c r="J29" s="186"/>
      <c r="L29" s="43"/>
    </row>
    <row r="30" spans="1:12" x14ac:dyDescent="0.3">
      <c r="A30" s="187"/>
      <c r="B30" s="157"/>
      <c r="C30" s="157"/>
      <c r="D30" s="155"/>
      <c r="E30" s="186"/>
      <c r="F30" s="186"/>
      <c r="G30" s="186"/>
      <c r="H30" s="186"/>
      <c r="I30" s="186"/>
      <c r="J30" s="186"/>
      <c r="L30" s="43"/>
    </row>
    <row r="31" spans="1:12" x14ac:dyDescent="0.3">
      <c r="A31" s="188" t="s">
        <v>15</v>
      </c>
      <c r="B31" s="188"/>
      <c r="C31" s="188"/>
      <c r="D31" s="30">
        <f>SUM(D30:D30)</f>
        <v>0</v>
      </c>
      <c r="E31" s="30">
        <f>D31</f>
        <v>0</v>
      </c>
      <c r="F31" s="30"/>
      <c r="G31" s="30"/>
      <c r="H31" s="30"/>
      <c r="I31" s="30"/>
      <c r="J31" s="248"/>
      <c r="K31" s="31">
        <f>E31+J31+F31+G31+H31+I31</f>
        <v>0</v>
      </c>
      <c r="L31" s="43" t="str">
        <f>IF(D31=K31, "", "Error")</f>
        <v/>
      </c>
    </row>
    <row r="32" spans="1:12" x14ac:dyDescent="0.3">
      <c r="A32" s="187" t="s">
        <v>225</v>
      </c>
      <c r="B32" s="119"/>
      <c r="C32" s="119"/>
      <c r="D32" s="155"/>
      <c r="E32" s="190"/>
      <c r="F32" s="190"/>
      <c r="G32" s="190"/>
      <c r="H32" s="190"/>
      <c r="I32" s="190"/>
      <c r="J32" s="190"/>
      <c r="L32" s="43"/>
    </row>
    <row r="33" spans="1:14" x14ac:dyDescent="0.3">
      <c r="A33" s="119" t="s">
        <v>344</v>
      </c>
      <c r="B33" s="119" t="s">
        <v>400</v>
      </c>
      <c r="C33" s="220" t="s">
        <v>382</v>
      </c>
      <c r="D33" s="155">
        <v>1916441</v>
      </c>
      <c r="E33" s="190"/>
      <c r="F33" s="190"/>
      <c r="G33" s="190"/>
      <c r="H33" s="190"/>
      <c r="I33" s="190"/>
      <c r="J33" s="190"/>
      <c r="L33" s="43"/>
    </row>
    <row r="34" spans="1:14" x14ac:dyDescent="0.3">
      <c r="A34" s="119" t="s">
        <v>228</v>
      </c>
      <c r="B34" s="119" t="s">
        <v>400</v>
      </c>
      <c r="C34" s="220" t="s">
        <v>382</v>
      </c>
      <c r="D34" s="155">
        <v>1916441</v>
      </c>
      <c r="E34" s="190"/>
      <c r="F34" s="190"/>
      <c r="G34" s="190"/>
      <c r="H34" s="190"/>
      <c r="I34" s="190"/>
      <c r="J34" s="190"/>
      <c r="L34" s="43"/>
    </row>
    <row r="35" spans="1:14" x14ac:dyDescent="0.3">
      <c r="A35" s="119" t="s">
        <v>344</v>
      </c>
      <c r="B35" s="119" t="s">
        <v>403</v>
      </c>
      <c r="C35" s="220" t="s">
        <v>380</v>
      </c>
      <c r="D35" s="155">
        <f>3791724/2</f>
        <v>1895862</v>
      </c>
      <c r="E35" s="190"/>
      <c r="F35" s="190"/>
      <c r="G35" s="190"/>
      <c r="H35" s="190"/>
      <c r="I35" s="190"/>
      <c r="J35" s="190"/>
      <c r="L35" s="43"/>
    </row>
    <row r="36" spans="1:14" x14ac:dyDescent="0.3">
      <c r="A36" s="119" t="s">
        <v>228</v>
      </c>
      <c r="B36" s="119" t="s">
        <v>403</v>
      </c>
      <c r="C36" s="220" t="s">
        <v>380</v>
      </c>
      <c r="D36" s="155">
        <f>3791724/2</f>
        <v>1895862</v>
      </c>
      <c r="E36" s="190"/>
      <c r="F36" s="190"/>
      <c r="G36" s="190"/>
      <c r="H36" s="190"/>
      <c r="I36" s="190"/>
      <c r="J36" s="190"/>
      <c r="L36" s="43"/>
    </row>
    <row r="37" spans="1:14" x14ac:dyDescent="0.3">
      <c r="A37" s="119"/>
      <c r="B37" s="119"/>
      <c r="C37" s="119"/>
      <c r="D37" s="155"/>
      <c r="E37" s="190"/>
      <c r="F37" s="190"/>
      <c r="G37" s="190"/>
      <c r="H37" s="190"/>
      <c r="I37" s="190"/>
      <c r="J37" s="190"/>
      <c r="L37" s="43"/>
    </row>
    <row r="38" spans="1:14" x14ac:dyDescent="0.3">
      <c r="A38" s="188" t="s">
        <v>227</v>
      </c>
      <c r="B38" s="188"/>
      <c r="C38" s="188"/>
      <c r="D38" s="156">
        <f>SUM(D33:D37)</f>
        <v>7624606</v>
      </c>
      <c r="E38" s="30">
        <f>D38*93.2%</f>
        <v>7106132.7920000004</v>
      </c>
      <c r="F38" s="189">
        <f>$D38*1.08%</f>
        <v>82345.7448</v>
      </c>
      <c r="G38" s="189">
        <f>$D38*1.28%</f>
        <v>97594.9568</v>
      </c>
      <c r="H38" s="189">
        <f>$D38*1.21%</f>
        <v>92257.732600000003</v>
      </c>
      <c r="I38" s="189">
        <f>$D38*1.49%</f>
        <v>113606.62940000001</v>
      </c>
      <c r="J38" s="189">
        <f>D38*1.74%</f>
        <v>132668.14439999999</v>
      </c>
      <c r="K38" s="31">
        <f>E38+J38+F38+G38+H38+I38</f>
        <v>7624606</v>
      </c>
      <c r="L38" s="43" t="str">
        <f>IF(D38=K38, "", "Error")</f>
        <v/>
      </c>
    </row>
    <row r="39" spans="1:14" x14ac:dyDescent="0.3">
      <c r="A39" s="187" t="s">
        <v>1</v>
      </c>
      <c r="B39" s="157"/>
      <c r="C39" s="157"/>
      <c r="D39" s="32"/>
      <c r="E39" s="191"/>
      <c r="F39" s="191"/>
      <c r="G39" s="191"/>
      <c r="H39" s="191"/>
      <c r="I39" s="191"/>
      <c r="J39" s="157"/>
      <c r="L39" s="43"/>
    </row>
    <row r="40" spans="1:14" x14ac:dyDescent="0.3">
      <c r="A40" s="157"/>
      <c r="B40" s="157"/>
      <c r="C40" s="157"/>
      <c r="D40" s="32"/>
      <c r="E40" s="192"/>
      <c r="F40" s="192"/>
      <c r="G40" s="192"/>
      <c r="H40" s="192"/>
      <c r="I40" s="192"/>
      <c r="J40" s="157"/>
      <c r="L40" s="43"/>
    </row>
    <row r="41" spans="1:14" x14ac:dyDescent="0.3">
      <c r="A41" s="188" t="s">
        <v>226</v>
      </c>
      <c r="B41" s="188"/>
      <c r="C41" s="188"/>
      <c r="D41" s="30">
        <f>SUM(D39:D40)</f>
        <v>0</v>
      </c>
      <c r="E41" s="30">
        <f>D41*93.2%</f>
        <v>0</v>
      </c>
      <c r="F41" s="189">
        <f>$D41*1.08%</f>
        <v>0</v>
      </c>
      <c r="G41" s="189">
        <f>$D41*1.28%</f>
        <v>0</v>
      </c>
      <c r="H41" s="189">
        <f>$D41*1.21%</f>
        <v>0</v>
      </c>
      <c r="I41" s="189">
        <f>$D41*1.49%</f>
        <v>0</v>
      </c>
      <c r="J41" s="189">
        <f>D41*1.74%</f>
        <v>0</v>
      </c>
      <c r="K41" s="31">
        <f>E41+J41+F41+G41+H41+I41</f>
        <v>0</v>
      </c>
      <c r="L41" s="43" t="str">
        <f>IF(D41=K41, "", "Error")</f>
        <v/>
      </c>
    </row>
    <row r="42" spans="1:14" x14ac:dyDescent="0.3">
      <c r="A42" s="187" t="s">
        <v>218</v>
      </c>
      <c r="B42" s="157"/>
      <c r="C42" s="157"/>
      <c r="D42" s="157"/>
      <c r="E42" s="194"/>
      <c r="F42" s="194"/>
      <c r="G42" s="194"/>
      <c r="H42" s="194"/>
      <c r="I42" s="194"/>
      <c r="J42" s="249"/>
      <c r="L42" s="43"/>
    </row>
    <row r="43" spans="1:14" x14ac:dyDescent="0.3">
      <c r="A43" s="157" t="s">
        <v>222</v>
      </c>
      <c r="B43" s="157"/>
      <c r="C43" s="157" t="s">
        <v>282</v>
      </c>
      <c r="D43" s="32">
        <v>214371</v>
      </c>
      <c r="E43" s="186">
        <f>D43*93.2%</f>
        <v>199793.772</v>
      </c>
      <c r="F43" s="186">
        <f>$D43*1.08%</f>
        <v>2315.2067999999999</v>
      </c>
      <c r="G43" s="186">
        <f>$D43*1.28%</f>
        <v>2743.9488000000001</v>
      </c>
      <c r="H43" s="186">
        <f>$D43*1.21%</f>
        <v>2593.8890999999999</v>
      </c>
      <c r="I43" s="186">
        <f>$D43*1.49%</f>
        <v>3194.1279</v>
      </c>
      <c r="J43" s="186">
        <f>D43*1.74%</f>
        <v>3730.0553999999997</v>
      </c>
      <c r="K43" s="31">
        <f>SUM(E43:J43)</f>
        <v>214371</v>
      </c>
      <c r="L43" s="43"/>
    </row>
    <row r="44" spans="1:14" ht="15.75" customHeight="1" x14ac:dyDescent="0.3">
      <c r="A44" s="327"/>
      <c r="B44" s="328"/>
      <c r="C44" s="157"/>
      <c r="D44" s="32"/>
      <c r="E44" s="186"/>
      <c r="F44" s="186"/>
      <c r="G44" s="186"/>
      <c r="H44" s="186"/>
      <c r="I44" s="186"/>
      <c r="J44" s="186"/>
      <c r="K44" s="31"/>
      <c r="L44" s="43"/>
    </row>
    <row r="45" spans="1:14" x14ac:dyDescent="0.3">
      <c r="A45" s="188" t="s">
        <v>2</v>
      </c>
      <c r="B45" s="195"/>
      <c r="C45" s="195"/>
      <c r="D45" s="30">
        <f t="shared" ref="D45:J45" si="0">SUM(D43:D44)</f>
        <v>214371</v>
      </c>
      <c r="E45" s="30">
        <f t="shared" si="0"/>
        <v>199793.772</v>
      </c>
      <c r="F45" s="30">
        <f t="shared" si="0"/>
        <v>2315.2067999999999</v>
      </c>
      <c r="G45" s="30">
        <f t="shared" si="0"/>
        <v>2743.9488000000001</v>
      </c>
      <c r="H45" s="30">
        <f t="shared" si="0"/>
        <v>2593.8890999999999</v>
      </c>
      <c r="I45" s="30">
        <f t="shared" si="0"/>
        <v>3194.1279</v>
      </c>
      <c r="J45" s="30">
        <f t="shared" si="0"/>
        <v>3730.0553999999997</v>
      </c>
      <c r="K45" s="31">
        <f>E45+J45+F45+G45+H45+I45</f>
        <v>214371</v>
      </c>
      <c r="L45" s="43" t="str">
        <f>IF(D45=K45, "", "Error")</f>
        <v/>
      </c>
    </row>
    <row r="46" spans="1:14" x14ac:dyDescent="0.3">
      <c r="A46" s="187" t="s">
        <v>3</v>
      </c>
      <c r="B46" s="157"/>
      <c r="C46" s="157"/>
      <c r="D46" s="158"/>
      <c r="E46" s="194"/>
      <c r="F46" s="194"/>
      <c r="G46" s="194"/>
      <c r="H46" s="194"/>
      <c r="I46" s="194"/>
      <c r="J46" s="157"/>
      <c r="L46" s="43"/>
    </row>
    <row r="47" spans="1:14" ht="16.5" customHeight="1" x14ac:dyDescent="0.3">
      <c r="A47" s="196" t="s">
        <v>360</v>
      </c>
      <c r="B47" s="157"/>
      <c r="C47" s="235" t="s">
        <v>374</v>
      </c>
      <c r="D47" s="284">
        <v>2645102.88</v>
      </c>
      <c r="E47" s="197">
        <f>D47*93.2%</f>
        <v>2465235.8841599999</v>
      </c>
      <c r="F47" s="186">
        <f>$D47*1.08%</f>
        <v>28567.111104</v>
      </c>
      <c r="G47" s="186">
        <f>$D47*1.28%</f>
        <v>33857.316864</v>
      </c>
      <c r="H47" s="186">
        <f>$D47*1.21%</f>
        <v>32005.744847999998</v>
      </c>
      <c r="I47" s="186">
        <f>$D47*1.49%</f>
        <v>39412.032911999995</v>
      </c>
      <c r="J47" s="186">
        <f>D47*1.74%</f>
        <v>46024.790111999995</v>
      </c>
      <c r="K47" s="31">
        <f>D47</f>
        <v>2645102.88</v>
      </c>
      <c r="L47" s="47">
        <f>SUM(E47:J47)</f>
        <v>2645102.88</v>
      </c>
      <c r="M47" s="55"/>
      <c r="N47" s="55"/>
    </row>
    <row r="48" spans="1:14" x14ac:dyDescent="0.3">
      <c r="A48" s="157" t="s">
        <v>223</v>
      </c>
      <c r="B48" s="157"/>
      <c r="C48" s="235" t="s">
        <v>404</v>
      </c>
      <c r="D48" s="284">
        <v>7010415.0899999999</v>
      </c>
      <c r="E48" s="197">
        <f t="shared" ref="E48" si="1">D48*93.2%</f>
        <v>6533706.8638800001</v>
      </c>
      <c r="F48" s="186">
        <f t="shared" ref="F48" si="2">$D48*1.08%</f>
        <v>75712.482971999998</v>
      </c>
      <c r="G48" s="186">
        <f t="shared" ref="G48" si="3">$D48*1.28%</f>
        <v>89733.313152000002</v>
      </c>
      <c r="H48" s="186">
        <f t="shared" ref="H48" si="4">$D48*1.21%</f>
        <v>84826.022589</v>
      </c>
      <c r="I48" s="186">
        <f t="shared" ref="I48" si="5">$D48*1.49%</f>
        <v>104455.18484099999</v>
      </c>
      <c r="J48" s="186">
        <f t="shared" ref="J48" si="6">D48*1.74%</f>
        <v>121981.22256599998</v>
      </c>
      <c r="K48" s="31">
        <f t="shared" ref="K48:K54" si="7">D48</f>
        <v>7010415.0899999999</v>
      </c>
      <c r="L48" s="47">
        <f t="shared" ref="L48" si="8">E48+J48+I48+H48+G48+F48</f>
        <v>7010415.0899999999</v>
      </c>
      <c r="M48" s="55"/>
      <c r="N48" s="55"/>
    </row>
    <row r="49" spans="1:14" x14ac:dyDescent="0.3">
      <c r="A49" s="157" t="s">
        <v>224</v>
      </c>
      <c r="B49" s="157"/>
      <c r="C49" s="157" t="s">
        <v>405</v>
      </c>
      <c r="D49" s="32">
        <v>176275.21</v>
      </c>
      <c r="E49" s="197">
        <f t="shared" ref="E49:E52" si="9">D49</f>
        <v>176275.21</v>
      </c>
      <c r="F49" s="186"/>
      <c r="G49" s="186"/>
      <c r="H49" s="186"/>
      <c r="I49" s="186"/>
      <c r="J49" s="186"/>
      <c r="K49" s="31">
        <f>D49</f>
        <v>176275.21</v>
      </c>
      <c r="L49" s="47">
        <f>E49+J49+I49+H49+G49+F49</f>
        <v>176275.21</v>
      </c>
      <c r="M49" s="55">
        <f>L49-D49</f>
        <v>0</v>
      </c>
      <c r="N49" s="55">
        <f>K49-D49</f>
        <v>0</v>
      </c>
    </row>
    <row r="50" spans="1:14" ht="15.75" customHeight="1" x14ac:dyDescent="0.3">
      <c r="A50" s="196" t="s">
        <v>378</v>
      </c>
      <c r="B50" s="157"/>
      <c r="C50" s="220" t="s">
        <v>374</v>
      </c>
      <c r="D50" s="32">
        <v>427893</v>
      </c>
      <c r="E50" s="197">
        <f t="shared" si="9"/>
        <v>427893</v>
      </c>
      <c r="F50" s="186"/>
      <c r="G50" s="186"/>
      <c r="H50" s="186"/>
      <c r="I50" s="186"/>
      <c r="J50" s="186"/>
      <c r="K50" s="31">
        <f t="shared" si="7"/>
        <v>427893</v>
      </c>
      <c r="L50" s="47">
        <f>E50+J50+I50+H50+G50+F50</f>
        <v>427893</v>
      </c>
      <c r="M50" s="55"/>
      <c r="N50" s="55"/>
    </row>
    <row r="51" spans="1:14" ht="16.2" customHeight="1" x14ac:dyDescent="0.3">
      <c r="A51" s="321" t="s">
        <v>379</v>
      </c>
      <c r="B51" s="324"/>
      <c r="C51" s="235" t="s">
        <v>380</v>
      </c>
      <c r="D51" s="32">
        <v>55000</v>
      </c>
      <c r="E51" s="197">
        <f t="shared" si="9"/>
        <v>55000</v>
      </c>
      <c r="F51" s="186"/>
      <c r="G51" s="186"/>
      <c r="H51" s="186"/>
      <c r="I51" s="186"/>
      <c r="J51" s="186"/>
      <c r="K51" s="31">
        <f>D51</f>
        <v>55000</v>
      </c>
      <c r="L51" s="47">
        <f>E51+J51+I51+H51+G51+F51</f>
        <v>55000</v>
      </c>
      <c r="M51" s="55">
        <f>L51-D51</f>
        <v>0</v>
      </c>
      <c r="N51" s="55">
        <f>K51-D51</f>
        <v>0</v>
      </c>
    </row>
    <row r="52" spans="1:14" ht="16.2" customHeight="1" x14ac:dyDescent="0.3">
      <c r="A52" s="119" t="s">
        <v>253</v>
      </c>
      <c r="B52" s="218"/>
      <c r="C52" s="235" t="s">
        <v>384</v>
      </c>
      <c r="D52" s="32">
        <v>8144.29</v>
      </c>
      <c r="E52" s="197">
        <f t="shared" si="9"/>
        <v>8144.29</v>
      </c>
      <c r="F52" s="186"/>
      <c r="G52" s="186"/>
      <c r="H52" s="186"/>
      <c r="I52" s="186"/>
      <c r="J52" s="186"/>
      <c r="K52" s="31">
        <f>D52</f>
        <v>8144.29</v>
      </c>
      <c r="L52" s="47">
        <f>E52+J52+I52+H52+G52+F52</f>
        <v>8144.29</v>
      </c>
      <c r="M52" s="55"/>
      <c r="N52" s="55"/>
    </row>
    <row r="53" spans="1:14" x14ac:dyDescent="0.3">
      <c r="A53" s="119" t="s">
        <v>254</v>
      </c>
      <c r="B53" s="119"/>
      <c r="C53" s="235" t="s">
        <v>384</v>
      </c>
      <c r="D53" s="32">
        <v>1751133.84</v>
      </c>
      <c r="E53" s="197">
        <f>D53*93.2%</f>
        <v>1632056.7388800001</v>
      </c>
      <c r="F53" s="186">
        <f>$D53*1.08%</f>
        <v>18912.245472000002</v>
      </c>
      <c r="G53" s="186">
        <f>$D53*1.28%</f>
        <v>22414.513152000003</v>
      </c>
      <c r="H53" s="186">
        <f>$D53*1.21%</f>
        <v>21188.719464000002</v>
      </c>
      <c r="I53" s="186">
        <f>$D53*1.49%</f>
        <v>26091.894216000001</v>
      </c>
      <c r="J53" s="186">
        <f>D53*1.74%</f>
        <v>30469.728815999999</v>
      </c>
      <c r="K53" s="31">
        <f t="shared" si="7"/>
        <v>1751133.84</v>
      </c>
      <c r="L53" s="47">
        <f t="shared" ref="L53:L54" si="10">E53+J53+I53+H53+G53+F53</f>
        <v>1751133.8400000003</v>
      </c>
      <c r="M53" s="55">
        <f>L53-D53</f>
        <v>0</v>
      </c>
      <c r="N53" s="55">
        <f t="shared" ref="N53:N54" si="11">K53-D53</f>
        <v>0</v>
      </c>
    </row>
    <row r="54" spans="1:14" x14ac:dyDescent="0.3">
      <c r="A54" s="198" t="s">
        <v>252</v>
      </c>
      <c r="B54" s="199"/>
      <c r="C54" s="235" t="s">
        <v>416</v>
      </c>
      <c r="D54" s="32">
        <v>120000</v>
      </c>
      <c r="E54" s="197">
        <f>D54</f>
        <v>120000</v>
      </c>
      <c r="F54" s="197"/>
      <c r="G54" s="197"/>
      <c r="H54" s="197"/>
      <c r="I54" s="197"/>
      <c r="J54" s="186"/>
      <c r="K54" s="31">
        <f t="shared" si="7"/>
        <v>120000</v>
      </c>
      <c r="L54" s="47">
        <f t="shared" si="10"/>
        <v>120000</v>
      </c>
      <c r="M54" s="55">
        <f>L54-D54</f>
        <v>0</v>
      </c>
      <c r="N54" s="55">
        <f t="shared" si="11"/>
        <v>0</v>
      </c>
    </row>
    <row r="55" spans="1:14" ht="14.25" customHeight="1" x14ac:dyDescent="0.3">
      <c r="A55" s="188" t="s">
        <v>4</v>
      </c>
      <c r="B55" s="195"/>
      <c r="C55" s="195"/>
      <c r="D55" s="30">
        <f t="shared" ref="D55:J55" si="12">SUM(D47:D54)</f>
        <v>12193964.309999999</v>
      </c>
      <c r="E55" s="30">
        <f t="shared" si="12"/>
        <v>11418311.986919999</v>
      </c>
      <c r="F55" s="30">
        <f t="shared" si="12"/>
        <v>123191.83954799999</v>
      </c>
      <c r="G55" s="30">
        <f t="shared" si="12"/>
        <v>146005.14316800001</v>
      </c>
      <c r="H55" s="30">
        <f t="shared" si="12"/>
        <v>138020.486901</v>
      </c>
      <c r="I55" s="30">
        <f t="shared" si="12"/>
        <v>169959.11196899996</v>
      </c>
      <c r="J55" s="30">
        <f t="shared" si="12"/>
        <v>198475.74149399996</v>
      </c>
      <c r="K55" s="31">
        <f>E55+J55+F55+G55+H55+I55</f>
        <v>12193964.309999999</v>
      </c>
      <c r="L55" s="43" t="str">
        <f>IF(D55=K55, "", "Error")</f>
        <v/>
      </c>
      <c r="M55" s="55">
        <f>D55-K55</f>
        <v>0</v>
      </c>
    </row>
    <row r="56" spans="1:14" hidden="1" x14ac:dyDescent="0.3">
      <c r="A56" s="157"/>
      <c r="B56" s="157"/>
      <c r="C56" s="157"/>
      <c r="D56" s="158"/>
      <c r="E56" s="194"/>
      <c r="F56" s="194"/>
      <c r="G56" s="194"/>
      <c r="H56" s="194"/>
      <c r="I56" s="194"/>
      <c r="J56" s="157"/>
      <c r="L56" s="43"/>
    </row>
    <row r="57" spans="1:14" hidden="1" x14ac:dyDescent="0.3">
      <c r="A57" s="157"/>
      <c r="B57" s="157"/>
      <c r="C57" s="157"/>
      <c r="D57" s="158"/>
      <c r="E57" s="191"/>
      <c r="F57" s="191"/>
      <c r="G57" s="191"/>
      <c r="H57" s="191"/>
      <c r="I57" s="191"/>
      <c r="J57" s="157"/>
      <c r="L57" s="43"/>
    </row>
    <row r="58" spans="1:14" x14ac:dyDescent="0.3">
      <c r="A58" s="187" t="s">
        <v>219</v>
      </c>
      <c r="B58" s="157"/>
      <c r="C58" s="157"/>
      <c r="D58" s="32"/>
      <c r="E58" s="191"/>
      <c r="F58" s="191"/>
      <c r="G58" s="191"/>
      <c r="H58" s="191"/>
      <c r="I58" s="191"/>
      <c r="J58" s="157"/>
      <c r="L58" s="43"/>
    </row>
    <row r="59" spans="1:14" x14ac:dyDescent="0.3">
      <c r="A59" s="191" t="s">
        <v>327</v>
      </c>
      <c r="B59" s="200"/>
      <c r="C59" s="235" t="s">
        <v>415</v>
      </c>
      <c r="D59" s="32">
        <v>230000</v>
      </c>
      <c r="E59" s="197">
        <f t="shared" ref="E59" si="13">D59</f>
        <v>230000</v>
      </c>
      <c r="F59" s="193"/>
      <c r="G59" s="193"/>
      <c r="H59" s="193"/>
      <c r="I59" s="193"/>
      <c r="J59" s="186"/>
      <c r="K59" s="31">
        <f t="shared" ref="K59:K63" si="14">D59</f>
        <v>230000</v>
      </c>
      <c r="L59" s="47">
        <f t="shared" ref="L59:L63" si="15">SUM(E59:J59)</f>
        <v>230000</v>
      </c>
    </row>
    <row r="60" spans="1:14" ht="20.399999999999999" customHeight="1" x14ac:dyDescent="0.3">
      <c r="A60" s="321" t="s">
        <v>383</v>
      </c>
      <c r="B60" s="324"/>
      <c r="C60" s="119" t="s">
        <v>382</v>
      </c>
      <c r="D60" s="32">
        <v>130000</v>
      </c>
      <c r="E60" s="197">
        <f>D60*93.2%</f>
        <v>121160</v>
      </c>
      <c r="F60" s="186">
        <f>$D60*1.08%</f>
        <v>1404</v>
      </c>
      <c r="G60" s="186">
        <f>$D60*1.28%</f>
        <v>1664</v>
      </c>
      <c r="H60" s="186">
        <f>$D60*1.21%</f>
        <v>1573</v>
      </c>
      <c r="I60" s="186">
        <f>$D60*1.49%</f>
        <v>1937</v>
      </c>
      <c r="J60" s="186">
        <f>D60*1.74%</f>
        <v>2262</v>
      </c>
      <c r="K60" s="31">
        <f t="shared" si="14"/>
        <v>130000</v>
      </c>
      <c r="L60" s="47">
        <f t="shared" si="15"/>
        <v>130000</v>
      </c>
    </row>
    <row r="61" spans="1:14" ht="21.75" customHeight="1" x14ac:dyDescent="0.3">
      <c r="A61" s="321" t="s">
        <v>414</v>
      </c>
      <c r="B61" s="324"/>
      <c r="C61" s="235" t="s">
        <v>413</v>
      </c>
      <c r="D61" s="32">
        <v>1379400</v>
      </c>
      <c r="E61" s="197">
        <f>D61*93.2%</f>
        <v>1285600.8</v>
      </c>
      <c r="F61" s="186">
        <f>$D61*1.08%</f>
        <v>14897.52</v>
      </c>
      <c r="G61" s="186">
        <f>$D61*1.28%</f>
        <v>17656.32</v>
      </c>
      <c r="H61" s="186">
        <f>$D61*1.21%</f>
        <v>16690.739999999998</v>
      </c>
      <c r="I61" s="186">
        <f>$D61*1.49%</f>
        <v>20553.060000000001</v>
      </c>
      <c r="J61" s="186">
        <f>D61*1.74%</f>
        <v>24001.559999999998</v>
      </c>
      <c r="K61" s="31">
        <f t="shared" si="14"/>
        <v>1379400</v>
      </c>
      <c r="L61" s="47">
        <f t="shared" si="15"/>
        <v>1379400.0000000002</v>
      </c>
    </row>
    <row r="62" spans="1:14" ht="19.5" customHeight="1" x14ac:dyDescent="0.3">
      <c r="A62" s="280" t="s">
        <v>417</v>
      </c>
      <c r="B62" s="218"/>
      <c r="C62" s="235" t="s">
        <v>416</v>
      </c>
      <c r="D62" s="32">
        <v>516621.6</v>
      </c>
      <c r="E62" s="197">
        <f>D62*93.2%</f>
        <v>481491.33120000002</v>
      </c>
      <c r="F62" s="186">
        <f>$D62*1.08%</f>
        <v>5579.5132800000001</v>
      </c>
      <c r="G62" s="186">
        <f>$D62*1.28%</f>
        <v>6612.75648</v>
      </c>
      <c r="H62" s="186">
        <f>$D62*1.21%</f>
        <v>6251.1213599999992</v>
      </c>
      <c r="I62" s="186">
        <f>$D62*1.49%</f>
        <v>7697.6618399999998</v>
      </c>
      <c r="J62" s="186">
        <f>D62*1.74%</f>
        <v>8989.2158399999989</v>
      </c>
      <c r="K62" s="31">
        <f t="shared" ref="K62" si="16">D62</f>
        <v>516621.6</v>
      </c>
      <c r="L62" s="47">
        <f t="shared" ref="L62" si="17">SUM(E62:J62)</f>
        <v>516621.60000000003</v>
      </c>
    </row>
    <row r="63" spans="1:14" ht="17.25" customHeight="1" x14ac:dyDescent="0.3">
      <c r="A63" s="280" t="s">
        <v>417</v>
      </c>
      <c r="B63" s="238"/>
      <c r="C63" s="235" t="s">
        <v>384</v>
      </c>
      <c r="D63" s="32">
        <v>373188.2</v>
      </c>
      <c r="E63" s="197">
        <f>D63*93.2%</f>
        <v>347811.40240000002</v>
      </c>
      <c r="F63" s="186">
        <f>$D63*1.08%</f>
        <v>4030.4325600000002</v>
      </c>
      <c r="G63" s="186">
        <f>$D63*1.28%</f>
        <v>4776.8089600000003</v>
      </c>
      <c r="H63" s="186">
        <f>$D63*1.21%</f>
        <v>4515.5772200000001</v>
      </c>
      <c r="I63" s="186">
        <f>$D63*1.49%</f>
        <v>5560.5041799999999</v>
      </c>
      <c r="J63" s="186">
        <f>D63*1.74%</f>
        <v>6493.4746799999994</v>
      </c>
      <c r="K63" s="31">
        <f t="shared" si="14"/>
        <v>373188.2</v>
      </c>
      <c r="L63" s="47">
        <f t="shared" si="15"/>
        <v>373188.19999999995</v>
      </c>
    </row>
    <row r="64" spans="1:14" x14ac:dyDescent="0.3">
      <c r="A64" s="188" t="s">
        <v>220</v>
      </c>
      <c r="B64" s="188"/>
      <c r="C64" s="188"/>
      <c r="D64" s="30">
        <f t="shared" ref="D64:J64" si="18">SUM(D59:D63)</f>
        <v>2629209.8000000003</v>
      </c>
      <c r="E64" s="30">
        <f t="shared" si="18"/>
        <v>2466063.5336000002</v>
      </c>
      <c r="F64" s="30">
        <f t="shared" si="18"/>
        <v>25911.465840000001</v>
      </c>
      <c r="G64" s="30">
        <f t="shared" si="18"/>
        <v>30709.885439999998</v>
      </c>
      <c r="H64" s="30">
        <f t="shared" si="18"/>
        <v>29030.438579999995</v>
      </c>
      <c r="I64" s="30">
        <f t="shared" si="18"/>
        <v>35748.226020000002</v>
      </c>
      <c r="J64" s="30">
        <f t="shared" si="18"/>
        <v>41746.250519999994</v>
      </c>
      <c r="K64" s="31">
        <f>E64+J64+F64+G64+H64+I64</f>
        <v>2629209.7999999998</v>
      </c>
      <c r="L64" s="43" t="str">
        <f>IF(D64=K64, "", "Error")</f>
        <v/>
      </c>
      <c r="M64" s="31"/>
      <c r="N64" s="31"/>
    </row>
    <row r="65" spans="1:14" x14ac:dyDescent="0.3">
      <c r="A65" s="187" t="s">
        <v>5</v>
      </c>
      <c r="B65" s="157"/>
      <c r="C65" s="157"/>
      <c r="D65" s="158"/>
      <c r="E65" s="191"/>
      <c r="F65" s="191"/>
      <c r="G65" s="191"/>
      <c r="H65" s="191"/>
      <c r="I65" s="191"/>
      <c r="J65" s="157"/>
      <c r="L65" s="43"/>
    </row>
    <row r="66" spans="1:14" ht="38.25" customHeight="1" x14ac:dyDescent="0.3">
      <c r="A66" s="319" t="s">
        <v>401</v>
      </c>
      <c r="B66" s="320"/>
      <c r="C66" s="157" t="s">
        <v>409</v>
      </c>
      <c r="D66" s="32">
        <v>949849</v>
      </c>
      <c r="E66" s="197">
        <f>D66*93.2%</f>
        <v>885259.26800000004</v>
      </c>
      <c r="F66" s="186">
        <f>$D66*1.08%</f>
        <v>10258.369200000001</v>
      </c>
      <c r="G66" s="186">
        <f>$D66*1.28%</f>
        <v>12158.067200000001</v>
      </c>
      <c r="H66" s="186">
        <f>$D66*1.21%</f>
        <v>11493.1729</v>
      </c>
      <c r="I66" s="186">
        <f>$D66*1.49%</f>
        <v>14152.750099999999</v>
      </c>
      <c r="J66" s="186">
        <f>D66*1.74%</f>
        <v>16527.372599999999</v>
      </c>
      <c r="K66" s="11"/>
      <c r="L66" s="43" t="s">
        <v>361</v>
      </c>
    </row>
    <row r="67" spans="1:14" ht="40.5" customHeight="1" x14ac:dyDescent="0.3">
      <c r="A67" s="319" t="s">
        <v>418</v>
      </c>
      <c r="B67" s="320"/>
      <c r="C67" s="235" t="s">
        <v>416</v>
      </c>
      <c r="D67" s="32">
        <v>103000</v>
      </c>
      <c r="E67" s="197">
        <f>D67*93.2%</f>
        <v>95996</v>
      </c>
      <c r="F67" s="186">
        <f>$D67*1.08%</f>
        <v>1112.4000000000001</v>
      </c>
      <c r="G67" s="186">
        <f>$D67*1.28%</f>
        <v>1318.4</v>
      </c>
      <c r="H67" s="186">
        <f>$D67*1.21%</f>
        <v>1246.3</v>
      </c>
      <c r="I67" s="186">
        <f>$D67*1.49%</f>
        <v>1534.7</v>
      </c>
      <c r="J67" s="186">
        <f>D67*1.74%</f>
        <v>1792.1999999999998</v>
      </c>
      <c r="L67" s="43"/>
      <c r="N67" s="32"/>
    </row>
    <row r="68" spans="1:14" x14ac:dyDescent="0.3">
      <c r="A68" s="157"/>
      <c r="B68" s="157"/>
      <c r="C68" s="157"/>
      <c r="D68" s="158"/>
      <c r="E68" s="201"/>
      <c r="F68" s="201"/>
      <c r="G68" s="201"/>
      <c r="H68" s="201"/>
      <c r="I68" s="201"/>
      <c r="J68" s="157"/>
      <c r="L68" s="43"/>
      <c r="N68" s="31"/>
    </row>
    <row r="69" spans="1:14" x14ac:dyDescent="0.3">
      <c r="A69" s="188" t="s">
        <v>6</v>
      </c>
      <c r="B69" s="188"/>
      <c r="C69" s="188"/>
      <c r="D69" s="30">
        <f>SUM(D66:D68)</f>
        <v>1052849</v>
      </c>
      <c r="E69" s="30">
        <f>SUM(E66:E68)</f>
        <v>981255.26800000004</v>
      </c>
      <c r="F69" s="30">
        <f t="shared" ref="F69:I69" si="19">SUM(F66:F68)</f>
        <v>11370.769200000001</v>
      </c>
      <c r="G69" s="30">
        <f t="shared" si="19"/>
        <v>13476.467200000001</v>
      </c>
      <c r="H69" s="30">
        <f t="shared" si="19"/>
        <v>12739.472899999999</v>
      </c>
      <c r="I69" s="30">
        <f t="shared" si="19"/>
        <v>15687.4501</v>
      </c>
      <c r="J69" s="30">
        <f>SUM(J66:J68)</f>
        <v>18319.5726</v>
      </c>
      <c r="K69" s="31">
        <f>E69+J69+F69+G69+H69+I69</f>
        <v>1052849</v>
      </c>
      <c r="L69" s="43" t="str">
        <f>IF(D69=K69, "", "Error")</f>
        <v/>
      </c>
      <c r="N69" s="31"/>
    </row>
    <row r="70" spans="1:14" x14ac:dyDescent="0.3">
      <c r="A70" s="157" t="s">
        <v>25</v>
      </c>
      <c r="B70" s="157"/>
      <c r="C70" s="157"/>
      <c r="D70" s="32">
        <v>69000</v>
      </c>
      <c r="E70" s="197">
        <f>D70*93.2%</f>
        <v>64308</v>
      </c>
      <c r="F70" s="186">
        <f>$D70*1.08%</f>
        <v>745.2</v>
      </c>
      <c r="G70" s="186">
        <f>$D70*1.28%</f>
        <v>883.2</v>
      </c>
      <c r="H70" s="186">
        <f>$D70*1.21%</f>
        <v>834.9</v>
      </c>
      <c r="I70" s="186">
        <f>$D70*1.49%</f>
        <v>1028.0999999999999</v>
      </c>
      <c r="J70" s="186">
        <f>D70*1.74%</f>
        <v>1200.5999999999999</v>
      </c>
      <c r="L70" s="43"/>
    </row>
    <row r="71" spans="1:14" x14ac:dyDescent="0.3">
      <c r="A71" s="157" t="s">
        <v>26</v>
      </c>
      <c r="B71" s="157"/>
      <c r="C71" s="202"/>
      <c r="D71" s="32">
        <v>621677.73</v>
      </c>
      <c r="E71" s="197">
        <f>D71*93.2%</f>
        <v>579403.64436000003</v>
      </c>
      <c r="F71" s="186">
        <f>$D71*1.08%</f>
        <v>6714.1194839999998</v>
      </c>
      <c r="G71" s="186">
        <f>$D71*1.28%</f>
        <v>7957.4749440000005</v>
      </c>
      <c r="H71" s="186">
        <f>$D71*1.21%</f>
        <v>7522.3005329999996</v>
      </c>
      <c r="I71" s="186">
        <f>$D71*1.49%</f>
        <v>9262.9981769999995</v>
      </c>
      <c r="J71" s="186">
        <f>D71*1.74%</f>
        <v>10817.192501999998</v>
      </c>
      <c r="L71" s="43"/>
    </row>
    <row r="72" spans="1:14" x14ac:dyDescent="0.3">
      <c r="A72" s="188" t="s">
        <v>221</v>
      </c>
      <c r="B72" s="188"/>
      <c r="C72" s="188"/>
      <c r="D72" s="45">
        <f>SUM(D70:D71)</f>
        <v>690677.73</v>
      </c>
      <c r="E72" s="45">
        <f t="shared" ref="E72:J72" si="20">SUM(E70:E71)</f>
        <v>643711.64436000003</v>
      </c>
      <c r="F72" s="45">
        <f t="shared" si="20"/>
        <v>7459.3194839999996</v>
      </c>
      <c r="G72" s="45">
        <f t="shared" si="20"/>
        <v>8840.6749440000003</v>
      </c>
      <c r="H72" s="45">
        <f t="shared" si="20"/>
        <v>8357.2005329999993</v>
      </c>
      <c r="I72" s="45">
        <f t="shared" si="20"/>
        <v>10291.098177</v>
      </c>
      <c r="J72" s="45">
        <f t="shared" si="20"/>
        <v>12017.792501999998</v>
      </c>
      <c r="K72" s="31">
        <f>E72+J72+F72+G72+H72+I72</f>
        <v>690677.73</v>
      </c>
      <c r="L72" s="43" t="str">
        <f>IF(D72=K72, "", "Error")</f>
        <v/>
      </c>
    </row>
    <row r="73" spans="1:14" ht="15" thickBot="1" x14ac:dyDescent="0.35">
      <c r="A73" s="61"/>
      <c r="B73" s="61"/>
      <c r="C73" s="61"/>
      <c r="D73" s="61"/>
      <c r="E73" s="203"/>
      <c r="F73" s="203"/>
      <c r="G73" s="203"/>
      <c r="H73" s="203"/>
      <c r="I73" s="203"/>
      <c r="J73" s="61"/>
      <c r="L73" s="43"/>
    </row>
    <row r="74" spans="1:14" ht="39.75" customHeight="1" thickBot="1" x14ac:dyDescent="0.35">
      <c r="A74" s="316" t="s">
        <v>423</v>
      </c>
      <c r="B74" s="317"/>
      <c r="C74" s="318"/>
      <c r="D74" s="62">
        <f>-D61</f>
        <v>-1379400</v>
      </c>
      <c r="E74" s="204">
        <f>D74*93.2%</f>
        <v>-1285600.8</v>
      </c>
      <c r="F74" s="204">
        <f>$D74*1.08%</f>
        <v>-14897.52</v>
      </c>
      <c r="G74" s="204">
        <f>$D74*1.28%</f>
        <v>-17656.32</v>
      </c>
      <c r="H74" s="204">
        <f>$D74*1.21%</f>
        <v>-16690.739999999998</v>
      </c>
      <c r="I74" s="204">
        <f>$D74*1.49%</f>
        <v>-20553.060000000001</v>
      </c>
      <c r="J74" s="250">
        <f>D74*1.74%</f>
        <v>-24001.559999999998</v>
      </c>
      <c r="K74" s="31">
        <f>E74+J74+F74+G74+H74+I74</f>
        <v>-1379400.0000000002</v>
      </c>
      <c r="L74" s="43" t="str">
        <f>IF(D74=K74, "", "Error")</f>
        <v/>
      </c>
    </row>
    <row r="75" spans="1:14" ht="15" thickBot="1" x14ac:dyDescent="0.35">
      <c r="A75" s="205"/>
      <c r="B75" s="206"/>
      <c r="C75" s="206"/>
      <c r="D75" s="63"/>
      <c r="E75" s="63"/>
      <c r="F75" s="63"/>
      <c r="G75" s="63"/>
      <c r="H75" s="63"/>
      <c r="I75" s="63"/>
      <c r="J75" s="251"/>
      <c r="K75" s="31"/>
      <c r="L75" s="43"/>
    </row>
    <row r="76" spans="1:14" ht="15" thickBot="1" x14ac:dyDescent="0.35">
      <c r="A76" s="207" t="s">
        <v>27</v>
      </c>
      <c r="B76" s="208"/>
      <c r="C76" s="209"/>
      <c r="D76" s="57">
        <f t="shared" ref="D76:J76" si="21">SUM(D74+D38+D31+D72+D69+D64+D55+D45+D28++D41)</f>
        <v>26112569.84</v>
      </c>
      <c r="E76" s="57">
        <f t="shared" si="21"/>
        <v>24406092.340879999</v>
      </c>
      <c r="F76" s="57">
        <f t="shared" si="21"/>
        <v>271028.77927200001</v>
      </c>
      <c r="G76" s="57">
        <f t="shared" si="21"/>
        <v>321219.29395200004</v>
      </c>
      <c r="H76" s="57">
        <f t="shared" si="21"/>
        <v>303652.61381399992</v>
      </c>
      <c r="I76" s="57">
        <f t="shared" si="21"/>
        <v>373919.33436599997</v>
      </c>
      <c r="J76" s="57">
        <f t="shared" si="21"/>
        <v>436657.47771599999</v>
      </c>
      <c r="K76" s="41">
        <f>E76+J76+F76+G76+H76+I76</f>
        <v>26112569.84</v>
      </c>
      <c r="L76" s="47">
        <f>K76-D38</f>
        <v>18487963.84</v>
      </c>
      <c r="M76" s="55">
        <f>D76-K76</f>
        <v>0</v>
      </c>
    </row>
    <row r="77" spans="1:14" ht="15" thickBot="1" x14ac:dyDescent="0.35">
      <c r="A77" s="56"/>
      <c r="B77" s="56"/>
      <c r="C77" s="56"/>
      <c r="D77" s="56"/>
      <c r="E77" s="210"/>
      <c r="F77" s="210"/>
      <c r="G77" s="210"/>
      <c r="H77" s="210"/>
      <c r="I77" s="210"/>
      <c r="J77" s="56"/>
    </row>
    <row r="78" spans="1:14" ht="15" thickBot="1" x14ac:dyDescent="0.35">
      <c r="A78" s="211" t="s">
        <v>35</v>
      </c>
      <c r="B78" s="212"/>
      <c r="C78" s="212"/>
      <c r="D78" s="56"/>
      <c r="E78" s="210"/>
      <c r="F78" s="210"/>
      <c r="G78" s="210"/>
      <c r="H78" s="210"/>
      <c r="I78" s="210"/>
      <c r="J78" s="56"/>
    </row>
    <row r="79" spans="1:14" x14ac:dyDescent="0.3">
      <c r="A79" s="213"/>
      <c r="B79" s="56"/>
      <c r="C79" s="252"/>
      <c r="D79" s="56"/>
      <c r="E79" s="210"/>
      <c r="F79" s="210"/>
      <c r="G79" s="210"/>
      <c r="H79" s="210"/>
      <c r="I79" s="210"/>
      <c r="J79" s="56"/>
    </row>
    <row r="80" spans="1:14" ht="16.2" customHeight="1" thickBot="1" x14ac:dyDescent="0.35">
      <c r="A80" s="213"/>
      <c r="B80" s="56"/>
      <c r="C80" s="252"/>
      <c r="D80" s="210"/>
      <c r="E80" s="210"/>
      <c r="F80" s="210"/>
      <c r="G80" s="210"/>
      <c r="H80" s="210"/>
      <c r="I80" s="210"/>
      <c r="J80" s="56"/>
    </row>
    <row r="81" spans="1:13" ht="15" thickBot="1" x14ac:dyDescent="0.35">
      <c r="A81" s="214" t="s">
        <v>15</v>
      </c>
      <c r="B81" s="215"/>
      <c r="C81" s="216">
        <f>SUM(C79:C80)</f>
        <v>0</v>
      </c>
      <c r="D81" s="56"/>
      <c r="E81" s="210"/>
      <c r="F81" s="210"/>
      <c r="G81" s="210"/>
      <c r="H81" s="210"/>
      <c r="I81" s="210"/>
      <c r="J81" s="56"/>
    </row>
    <row r="82" spans="1:13" x14ac:dyDescent="0.3">
      <c r="A82" s="56"/>
      <c r="B82" s="56"/>
      <c r="C82" s="56"/>
      <c r="D82" s="56"/>
      <c r="E82" s="210"/>
      <c r="F82" s="210"/>
      <c r="G82" s="31"/>
      <c r="H82" s="31"/>
      <c r="I82" s="31"/>
    </row>
    <row r="83" spans="1:13" x14ac:dyDescent="0.3">
      <c r="A83" s="56"/>
      <c r="B83" s="56"/>
      <c r="C83" s="56"/>
      <c r="D83" s="56"/>
      <c r="E83" s="217"/>
      <c r="F83" s="217"/>
      <c r="G83" s="40"/>
      <c r="H83" s="40"/>
      <c r="I83" s="40"/>
    </row>
    <row r="84" spans="1:13" x14ac:dyDescent="0.3">
      <c r="A84" s="303" t="s">
        <v>31</v>
      </c>
      <c r="B84" s="304"/>
      <c r="C84" s="304"/>
      <c r="D84" s="304"/>
      <c r="E84" s="51" t="s">
        <v>9</v>
      </c>
      <c r="F84" s="51" t="s">
        <v>164</v>
      </c>
      <c r="G84" s="51" t="s">
        <v>165</v>
      </c>
      <c r="H84" s="51" t="s">
        <v>166</v>
      </c>
      <c r="I84" s="51" t="s">
        <v>167</v>
      </c>
      <c r="J84" s="52" t="s">
        <v>168</v>
      </c>
    </row>
    <row r="85" spans="1:13" ht="22.5" customHeight="1" x14ac:dyDescent="0.3">
      <c r="A85" s="321"/>
      <c r="B85" s="322"/>
      <c r="C85" s="218"/>
      <c r="D85" s="32"/>
      <c r="E85" s="197">
        <f>D85</f>
        <v>0</v>
      </c>
      <c r="F85" s="197"/>
      <c r="G85" s="42"/>
      <c r="H85" s="42"/>
      <c r="I85" s="42"/>
      <c r="J85" s="38"/>
    </row>
    <row r="86" spans="1:13" ht="24.75" customHeight="1" x14ac:dyDescent="0.3">
      <c r="A86" s="305"/>
      <c r="B86" s="306"/>
      <c r="C86" s="53"/>
      <c r="D86" s="32"/>
      <c r="E86" s="42"/>
      <c r="F86" s="42"/>
      <c r="G86" s="42"/>
      <c r="H86" s="42"/>
      <c r="I86" s="42"/>
      <c r="J86" s="38"/>
    </row>
    <row r="87" spans="1:13" x14ac:dyDescent="0.3">
      <c r="A87" s="300" t="s">
        <v>15</v>
      </c>
      <c r="B87" s="301"/>
      <c r="C87" s="302"/>
      <c r="D87" s="50">
        <f>SUM(D85:D86)</f>
        <v>0</v>
      </c>
      <c r="E87" s="50">
        <f>SUM(E85:E86)</f>
        <v>0</v>
      </c>
      <c r="F87" s="50"/>
      <c r="G87" s="50"/>
      <c r="H87" s="50"/>
      <c r="I87" s="50"/>
      <c r="J87" s="50">
        <f>SUM(J85:J86)</f>
        <v>0</v>
      </c>
      <c r="L87" s="31">
        <f>E87+J87</f>
        <v>0</v>
      </c>
      <c r="M87" s="43" t="str">
        <f>IF(D87=L87, "", "Error")</f>
        <v/>
      </c>
    </row>
    <row r="89" spans="1:13" ht="15" thickBot="1" x14ac:dyDescent="0.35">
      <c r="E89" s="31"/>
      <c r="F89" s="31"/>
      <c r="G89" s="31"/>
      <c r="H89" s="31"/>
      <c r="I89" s="31"/>
    </row>
    <row r="90" spans="1:13" ht="19.5" customHeight="1" thickBot="1" x14ac:dyDescent="0.35">
      <c r="A90" s="26" t="s">
        <v>28</v>
      </c>
      <c r="B90" s="27">
        <f>D76</f>
        <v>26112569.84</v>
      </c>
    </row>
    <row r="91" spans="1:13" ht="18.75" customHeight="1" thickBot="1" x14ac:dyDescent="0.35">
      <c r="A91" s="28" t="s">
        <v>30</v>
      </c>
      <c r="B91" s="29">
        <f>D76-D74</f>
        <v>27491969.84</v>
      </c>
      <c r="D91" s="323" t="s">
        <v>362</v>
      </c>
      <c r="E91" s="323"/>
      <c r="F91" s="323"/>
      <c r="G91" s="323"/>
      <c r="H91" s="323"/>
      <c r="I91" s="323"/>
    </row>
    <row r="92" spans="1:13" x14ac:dyDescent="0.3">
      <c r="D92" s="323"/>
      <c r="E92" s="323"/>
      <c r="F92" s="323"/>
      <c r="G92" s="323"/>
      <c r="H92" s="323"/>
      <c r="I92" s="323"/>
    </row>
    <row r="93" spans="1:13" x14ac:dyDescent="0.3">
      <c r="D93" s="323"/>
      <c r="E93" s="323"/>
      <c r="F93" s="323"/>
      <c r="G93" s="323"/>
      <c r="H93" s="323"/>
      <c r="I93" s="323"/>
    </row>
    <row r="94" spans="1:13" x14ac:dyDescent="0.3">
      <c r="A94" s="7" t="s">
        <v>364</v>
      </c>
      <c r="B94" s="8"/>
      <c r="C94" s="9"/>
      <c r="D94" s="323"/>
      <c r="E94" s="323"/>
      <c r="F94" s="323"/>
      <c r="G94" s="323"/>
      <c r="H94" s="323"/>
      <c r="I94" s="323"/>
    </row>
    <row r="95" spans="1:13" x14ac:dyDescent="0.3">
      <c r="A95" s="10" t="s">
        <v>19</v>
      </c>
      <c r="B95" s="5">
        <v>2575051.7590119969</v>
      </c>
      <c r="C95" s="11"/>
      <c r="D95" s="323"/>
      <c r="E95" s="323"/>
      <c r="F95" s="323"/>
      <c r="G95" s="323"/>
      <c r="H95" s="323"/>
      <c r="I95" s="323"/>
    </row>
    <row r="96" spans="1:13" x14ac:dyDescent="0.3">
      <c r="A96" s="12" t="s">
        <v>20</v>
      </c>
      <c r="B96" s="21">
        <f>PRORRATEO!H134</f>
        <v>31902350.383194998</v>
      </c>
      <c r="C96" s="11" t="s">
        <v>21</v>
      </c>
      <c r="D96" s="323"/>
      <c r="E96" s="323"/>
      <c r="F96" s="323"/>
      <c r="G96" s="323"/>
      <c r="H96" s="323"/>
      <c r="I96" s="323"/>
    </row>
    <row r="97" spans="1:11" x14ac:dyDescent="0.3">
      <c r="A97" s="12" t="s">
        <v>331</v>
      </c>
      <c r="B97" s="21">
        <f>ARBA!L82</f>
        <v>34752</v>
      </c>
      <c r="C97" s="11"/>
      <c r="D97" s="323"/>
      <c r="E97" s="323"/>
      <c r="F97" s="323"/>
      <c r="G97" s="323"/>
      <c r="H97" s="323"/>
      <c r="I97" s="323"/>
    </row>
    <row r="98" spans="1:11" x14ac:dyDescent="0.3">
      <c r="A98" s="12" t="s">
        <v>33</v>
      </c>
      <c r="B98" s="54">
        <f>-B91</f>
        <v>-27491969.84</v>
      </c>
      <c r="C98" s="9"/>
      <c r="D98" s="323"/>
      <c r="E98" s="323"/>
      <c r="F98" s="323"/>
      <c r="G98" s="323"/>
      <c r="H98" s="323"/>
      <c r="I98" s="323"/>
      <c r="K98" s="32"/>
    </row>
    <row r="99" spans="1:11" x14ac:dyDescent="0.3">
      <c r="A99" s="12" t="s">
        <v>32</v>
      </c>
      <c r="B99" s="54">
        <f>-D87</f>
        <v>0</v>
      </c>
      <c r="C99" s="9"/>
      <c r="D99" s="323"/>
      <c r="E99" s="323"/>
      <c r="F99" s="323"/>
      <c r="G99" s="323"/>
      <c r="H99" s="323"/>
      <c r="I99" s="323"/>
      <c r="K99" s="33"/>
    </row>
    <row r="100" spans="1:11" ht="49.5" customHeight="1" x14ac:dyDescent="0.3">
      <c r="A100" s="268" t="s">
        <v>381</v>
      </c>
      <c r="B100" s="54">
        <v>-209759.2</v>
      </c>
      <c r="C100" s="9"/>
      <c r="D100" s="323"/>
      <c r="E100" s="323"/>
      <c r="F100" s="323"/>
      <c r="G100" s="323"/>
      <c r="H100" s="323"/>
      <c r="I100" s="323"/>
      <c r="K100" s="33"/>
    </row>
    <row r="101" spans="1:11" x14ac:dyDescent="0.3">
      <c r="A101" s="12" t="s">
        <v>266</v>
      </c>
      <c r="B101" s="21">
        <f>B108</f>
        <v>0</v>
      </c>
      <c r="C101" s="9"/>
      <c r="D101" s="323"/>
      <c r="E101" s="323"/>
      <c r="F101" s="323"/>
      <c r="G101" s="323"/>
      <c r="H101" s="323"/>
      <c r="I101" s="323"/>
      <c r="K101" s="33"/>
    </row>
    <row r="102" spans="1:11" x14ac:dyDescent="0.3">
      <c r="A102" s="12" t="s">
        <v>29</v>
      </c>
      <c r="B102" s="54">
        <f>-B120</f>
        <v>0</v>
      </c>
      <c r="C102" s="13"/>
      <c r="D102" s="323"/>
      <c r="E102" s="323"/>
      <c r="F102" s="323"/>
      <c r="G102" s="323"/>
      <c r="H102" s="323"/>
      <c r="I102" s="323"/>
    </row>
    <row r="103" spans="1:11" x14ac:dyDescent="0.3">
      <c r="A103" s="12" t="s">
        <v>35</v>
      </c>
      <c r="B103" s="54">
        <f>-C81</f>
        <v>0</v>
      </c>
      <c r="C103" s="13"/>
      <c r="D103" s="323"/>
      <c r="E103" s="323"/>
      <c r="F103" s="323"/>
      <c r="G103" s="323"/>
      <c r="H103" s="323"/>
      <c r="I103" s="323"/>
    </row>
    <row r="104" spans="1:11" x14ac:dyDescent="0.3">
      <c r="A104" s="10" t="s">
        <v>22</v>
      </c>
      <c r="B104" s="14">
        <f>SUM(B95:B103)</f>
        <v>6810425.1022069966</v>
      </c>
      <c r="C104" s="44"/>
      <c r="D104" s="323"/>
      <c r="E104" s="323"/>
      <c r="F104" s="323"/>
      <c r="G104" s="323"/>
      <c r="H104" s="323"/>
      <c r="I104" s="323"/>
    </row>
    <row r="105" spans="1:11" x14ac:dyDescent="0.3">
      <c r="A105" s="13"/>
      <c r="C105" s="9"/>
      <c r="D105" s="323"/>
      <c r="E105" s="323"/>
      <c r="F105" s="323"/>
      <c r="G105" s="323"/>
      <c r="H105" s="323"/>
      <c r="I105" s="323"/>
    </row>
    <row r="106" spans="1:11" x14ac:dyDescent="0.3">
      <c r="A106" s="7" t="s">
        <v>265</v>
      </c>
      <c r="B106" s="5"/>
      <c r="C106" s="9"/>
      <c r="D106" s="323"/>
      <c r="E106" s="323"/>
      <c r="F106" s="323"/>
      <c r="G106" s="323"/>
      <c r="H106" s="323"/>
      <c r="I106" s="323"/>
    </row>
    <row r="107" spans="1:11" ht="15.75" customHeight="1" x14ac:dyDescent="0.3">
      <c r="A107" s="177"/>
      <c r="B107" s="21">
        <v>0</v>
      </c>
      <c r="C107" s="9"/>
      <c r="D107" s="16"/>
      <c r="E107" s="16"/>
    </row>
    <row r="108" spans="1:11" x14ac:dyDescent="0.3">
      <c r="A108" s="24" t="s">
        <v>15</v>
      </c>
      <c r="B108" s="25">
        <f>SUM(B106:B107)</f>
        <v>0</v>
      </c>
      <c r="C108" s="9"/>
      <c r="E108" s="16"/>
    </row>
    <row r="109" spans="1:11" x14ac:dyDescent="0.3">
      <c r="A109" s="13"/>
      <c r="C109" s="9"/>
      <c r="D109" s="16"/>
    </row>
    <row r="110" spans="1:11" ht="15" thickBot="1" x14ac:dyDescent="0.35">
      <c r="A110" s="13"/>
      <c r="C110" s="9"/>
      <c r="D110" s="16"/>
    </row>
    <row r="111" spans="1:11" ht="19.5" customHeight="1" x14ac:dyDescent="0.3">
      <c r="A111" s="7" t="s">
        <v>18</v>
      </c>
      <c r="B111" s="5">
        <v>-73817.72</v>
      </c>
      <c r="C111" s="9"/>
      <c r="D111" s="307" t="s">
        <v>420</v>
      </c>
      <c r="E111" s="308"/>
      <c r="F111" s="308"/>
      <c r="G111" s="308"/>
      <c r="H111" s="308"/>
      <c r="I111" s="309"/>
    </row>
    <row r="112" spans="1:11" ht="36" customHeight="1" x14ac:dyDescent="0.3">
      <c r="A112" s="179" t="s">
        <v>402</v>
      </c>
      <c r="B112" s="239">
        <v>-24000</v>
      </c>
      <c r="C112" s="9"/>
      <c r="D112" s="310"/>
      <c r="E112" s="311"/>
      <c r="F112" s="311"/>
      <c r="G112" s="311"/>
      <c r="H112" s="311"/>
      <c r="I112" s="312"/>
    </row>
    <row r="113" spans="1:10" ht="36" customHeight="1" x14ac:dyDescent="0.3">
      <c r="A113" s="179" t="s">
        <v>408</v>
      </c>
      <c r="B113" s="239">
        <v>-1500</v>
      </c>
      <c r="C113" s="9"/>
      <c r="D113" s="310"/>
      <c r="E113" s="311"/>
      <c r="F113" s="311"/>
      <c r="G113" s="311"/>
      <c r="H113" s="311"/>
      <c r="I113" s="312"/>
    </row>
    <row r="114" spans="1:10" ht="15" thickBot="1" x14ac:dyDescent="0.35">
      <c r="A114" s="24" t="s">
        <v>15</v>
      </c>
      <c r="B114" s="25">
        <f>SUM(B111:B112)</f>
        <v>-97817.72</v>
      </c>
      <c r="C114" s="9"/>
      <c r="D114" s="313"/>
      <c r="E114" s="314"/>
      <c r="F114" s="314"/>
      <c r="G114" s="314"/>
      <c r="H114" s="314"/>
      <c r="I114" s="315"/>
    </row>
    <row r="115" spans="1:10" x14ac:dyDescent="0.3">
      <c r="A115" s="13"/>
    </row>
    <row r="116" spans="1:10" x14ac:dyDescent="0.3">
      <c r="A116" s="13"/>
      <c r="F116" s="46"/>
      <c r="G116" s="46"/>
    </row>
    <row r="117" spans="1:10" x14ac:dyDescent="0.3">
      <c r="A117" s="13"/>
      <c r="F117" s="46"/>
      <c r="G117" s="46"/>
    </row>
    <row r="118" spans="1:10" ht="15" thickBot="1" x14ac:dyDescent="0.35">
      <c r="H118" s="55"/>
      <c r="I118" s="55"/>
    </row>
    <row r="119" spans="1:10" ht="15" customHeight="1" x14ac:dyDescent="0.3">
      <c r="A119" s="7" t="s">
        <v>348</v>
      </c>
      <c r="B119" s="5">
        <v>598840</v>
      </c>
      <c r="C119" s="15"/>
      <c r="D119" s="287" t="s">
        <v>412</v>
      </c>
      <c r="E119" s="288"/>
      <c r="F119" s="288"/>
      <c r="G119" s="288"/>
      <c r="H119" s="288"/>
      <c r="I119" s="288"/>
      <c r="J119" s="289"/>
    </row>
    <row r="120" spans="1:10" ht="15" customHeight="1" x14ac:dyDescent="0.3">
      <c r="A120" s="10" t="s">
        <v>235</v>
      </c>
      <c r="B120" s="22">
        <v>0</v>
      </c>
      <c r="C120" s="15"/>
      <c r="D120" s="290"/>
      <c r="E120" s="291"/>
      <c r="F120" s="291"/>
      <c r="G120" s="291"/>
      <c r="H120" s="291"/>
      <c r="I120" s="291"/>
      <c r="J120" s="292"/>
    </row>
    <row r="121" spans="1:10" x14ac:dyDescent="0.3">
      <c r="A121" s="24" t="s">
        <v>15</v>
      </c>
      <c r="B121" s="25">
        <f>SUM(B119:B120)</f>
        <v>598840</v>
      </c>
      <c r="C121" s="15"/>
      <c r="D121" s="290"/>
      <c r="E121" s="291"/>
      <c r="F121" s="291"/>
      <c r="G121" s="291"/>
      <c r="H121" s="291"/>
      <c r="I121" s="291"/>
      <c r="J121" s="292"/>
    </row>
    <row r="122" spans="1:10" ht="15" thickBot="1" x14ac:dyDescent="0.35">
      <c r="C122" s="16"/>
      <c r="D122" s="290"/>
      <c r="E122" s="291"/>
      <c r="F122" s="291"/>
      <c r="G122" s="291"/>
      <c r="H122" s="291"/>
      <c r="I122" s="291"/>
      <c r="J122" s="292"/>
    </row>
    <row r="123" spans="1:10" ht="18.75" customHeight="1" x14ac:dyDescent="0.3">
      <c r="A123" s="296" t="s">
        <v>349</v>
      </c>
      <c r="B123" s="298">
        <f>B121+B104+B114</f>
        <v>7311447.3822069969</v>
      </c>
      <c r="C123" s="9"/>
      <c r="D123" s="290"/>
      <c r="E123" s="291"/>
      <c r="F123" s="291"/>
      <c r="G123" s="291"/>
      <c r="H123" s="291"/>
      <c r="I123" s="291"/>
      <c r="J123" s="292"/>
    </row>
    <row r="124" spans="1:10" ht="19.5" customHeight="1" thickBot="1" x14ac:dyDescent="0.35">
      <c r="A124" s="297"/>
      <c r="B124" s="299"/>
      <c r="D124" s="293"/>
      <c r="E124" s="294"/>
      <c r="F124" s="294"/>
      <c r="G124" s="294"/>
      <c r="H124" s="294"/>
      <c r="I124" s="294"/>
      <c r="J124" s="295"/>
    </row>
    <row r="125" spans="1:10" x14ac:dyDescent="0.3">
      <c r="B125" s="31"/>
    </row>
    <row r="126" spans="1:10" x14ac:dyDescent="0.3">
      <c r="B126" s="125"/>
    </row>
    <row r="129" spans="3:8" x14ac:dyDescent="0.3">
      <c r="C129" s="46"/>
      <c r="D129" s="46"/>
      <c r="E129" s="46"/>
      <c r="F129" s="46"/>
      <c r="G129" s="46"/>
      <c r="H129" s="46"/>
    </row>
    <row r="130" spans="3:8" x14ac:dyDescent="0.3">
      <c r="C130" s="46"/>
      <c r="D130" s="46"/>
      <c r="E130" s="46"/>
      <c r="F130" s="46"/>
      <c r="G130" s="46"/>
      <c r="H130" s="46"/>
    </row>
    <row r="131" spans="3:8" x14ac:dyDescent="0.3">
      <c r="C131" s="46"/>
      <c r="D131" s="245"/>
      <c r="E131" s="46"/>
      <c r="F131" s="46"/>
      <c r="G131" s="46"/>
      <c r="H131" s="46"/>
    </row>
    <row r="132" spans="3:8" x14ac:dyDescent="0.3">
      <c r="C132" s="46"/>
      <c r="D132" s="245"/>
      <c r="E132" s="46"/>
      <c r="F132" s="46"/>
      <c r="G132" s="46"/>
      <c r="H132" s="46"/>
    </row>
    <row r="133" spans="3:8" x14ac:dyDescent="0.3">
      <c r="C133" s="46"/>
      <c r="D133" s="46"/>
      <c r="E133" s="46"/>
      <c r="F133" s="46"/>
      <c r="G133" s="46"/>
      <c r="H133" s="46"/>
    </row>
    <row r="134" spans="3:8" x14ac:dyDescent="0.3">
      <c r="C134" s="46"/>
      <c r="D134" s="46"/>
      <c r="E134" s="46"/>
      <c r="F134" s="46"/>
      <c r="G134" s="46"/>
      <c r="H134" s="46"/>
    </row>
    <row r="135" spans="3:8" x14ac:dyDescent="0.3">
      <c r="C135" s="46"/>
      <c r="D135" s="46"/>
      <c r="E135" s="46"/>
      <c r="F135" s="46"/>
      <c r="G135" s="46"/>
      <c r="H135" s="46"/>
    </row>
    <row r="136" spans="3:8" x14ac:dyDescent="0.3">
      <c r="C136" s="46"/>
      <c r="D136" s="46"/>
      <c r="E136" s="46"/>
      <c r="F136" s="46"/>
      <c r="G136" s="46"/>
      <c r="H136" s="46"/>
    </row>
    <row r="137" spans="3:8" x14ac:dyDescent="0.3">
      <c r="C137" s="46"/>
      <c r="D137" s="46"/>
      <c r="E137" s="46"/>
      <c r="F137" s="46"/>
      <c r="G137" s="46"/>
      <c r="H137" s="46"/>
    </row>
    <row r="138" spans="3:8" x14ac:dyDescent="0.3">
      <c r="C138" s="46"/>
      <c r="D138" s="46"/>
      <c r="E138" s="46"/>
      <c r="F138" s="46"/>
      <c r="G138" s="46"/>
      <c r="H138" s="46"/>
    </row>
    <row r="139" spans="3:8" x14ac:dyDescent="0.3">
      <c r="C139" s="46"/>
      <c r="D139" s="46"/>
      <c r="E139" s="46"/>
      <c r="F139" s="46"/>
      <c r="G139" s="46"/>
      <c r="H139" s="46"/>
    </row>
  </sheetData>
  <mergeCells count="18">
    <mergeCell ref="A61:B61"/>
    <mergeCell ref="A14:J18"/>
    <mergeCell ref="A20:J22"/>
    <mergeCell ref="A44:B44"/>
    <mergeCell ref="A51:B51"/>
    <mergeCell ref="A60:B60"/>
    <mergeCell ref="A74:C74"/>
    <mergeCell ref="A66:B66"/>
    <mergeCell ref="A67:B67"/>
    <mergeCell ref="A85:B85"/>
    <mergeCell ref="D91:I106"/>
    <mergeCell ref="D119:J124"/>
    <mergeCell ref="A123:A124"/>
    <mergeCell ref="B123:B124"/>
    <mergeCell ref="A87:C87"/>
    <mergeCell ref="A84:D84"/>
    <mergeCell ref="A86:B86"/>
    <mergeCell ref="D111:I114"/>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5"/>
  <sheetViews>
    <sheetView tabSelected="1" topLeftCell="C100" zoomScale="90" zoomScaleNormal="90" workbookViewId="0">
      <selection activeCell="D123" sqref="C123:D123"/>
    </sheetView>
  </sheetViews>
  <sheetFormatPr baseColWidth="10" defaultRowHeight="14.4" x14ac:dyDescent="0.3"/>
  <cols>
    <col min="1" max="1" width="4.5546875" hidden="1" customWidth="1"/>
    <col min="2" max="2" width="5.88671875" hidden="1" customWidth="1"/>
    <col min="3" max="3" width="9.33203125" customWidth="1"/>
    <col min="4" max="4" width="42.6640625" customWidth="1"/>
    <col min="5" max="5" width="25.5546875" customWidth="1"/>
    <col min="6" max="6" width="9.44140625" customWidth="1"/>
    <col min="7" max="7" width="15.88671875" customWidth="1"/>
    <col min="8" max="8" width="15.5546875" customWidth="1"/>
    <col min="9" max="9" width="15.88671875" customWidth="1"/>
    <col min="10" max="10" width="13.5546875" customWidth="1"/>
    <col min="11" max="11" width="12.5546875" customWidth="1"/>
    <col min="12" max="12" width="14.5546875" customWidth="1"/>
    <col min="13" max="13" width="12.5546875" customWidth="1"/>
    <col min="14" max="14" width="17.33203125" customWidth="1"/>
    <col min="15" max="15" width="13.6640625" customWidth="1"/>
    <col min="16" max="16" width="11.44140625" customWidth="1"/>
    <col min="17" max="17" width="14.5546875" bestFit="1" customWidth="1"/>
    <col min="18" max="18" width="14.88671875" customWidth="1"/>
    <col min="19" max="19" width="14.5546875" bestFit="1" customWidth="1"/>
  </cols>
  <sheetData>
    <row r="1" spans="1:19" x14ac:dyDescent="0.3">
      <c r="A1" s="362" t="s">
        <v>292</v>
      </c>
      <c r="B1" s="363"/>
      <c r="C1" s="363"/>
      <c r="D1" s="363"/>
      <c r="E1" s="363"/>
      <c r="F1" s="103" t="s">
        <v>268</v>
      </c>
      <c r="G1" s="103"/>
      <c r="H1" s="103"/>
      <c r="I1" s="103"/>
      <c r="J1" s="103"/>
      <c r="K1" s="103"/>
      <c r="L1" s="132" t="s">
        <v>37</v>
      </c>
      <c r="M1" s="341">
        <f>RESUMEN!D76-N4</f>
        <v>18487963.84</v>
      </c>
      <c r="N1" s="342"/>
      <c r="O1" s="104"/>
      <c r="P1" s="39"/>
    </row>
    <row r="2" spans="1:19" ht="36" customHeight="1" x14ac:dyDescent="0.3">
      <c r="A2" s="364"/>
      <c r="B2" s="365"/>
      <c r="C2" s="365"/>
      <c r="D2" s="365"/>
      <c r="E2" s="365"/>
      <c r="F2" s="4" t="s">
        <v>267</v>
      </c>
      <c r="G2" s="4"/>
      <c r="H2" s="4"/>
      <c r="I2" s="4"/>
      <c r="J2" s="4"/>
      <c r="K2" s="4"/>
      <c r="L2" s="133" t="s">
        <v>38</v>
      </c>
      <c r="M2" s="133"/>
      <c r="N2" s="134">
        <f>M1</f>
        <v>18487963.84</v>
      </c>
      <c r="O2" s="105"/>
      <c r="P2" s="39"/>
    </row>
    <row r="3" spans="1:19" ht="36" customHeight="1" x14ac:dyDescent="0.3">
      <c r="A3" s="364"/>
      <c r="B3" s="365"/>
      <c r="C3" s="365"/>
      <c r="D3" s="365"/>
      <c r="E3" s="365"/>
      <c r="F3" s="4"/>
      <c r="G3" s="4"/>
      <c r="H3" s="4"/>
      <c r="I3" s="4"/>
      <c r="J3" s="4"/>
      <c r="K3" s="4"/>
      <c r="L3" s="133" t="s">
        <v>365</v>
      </c>
      <c r="M3" s="133"/>
      <c r="N3" s="134">
        <f>L15+L16+L17+L18+L19</f>
        <v>1706477.4991200001</v>
      </c>
      <c r="O3" s="105"/>
      <c r="P3" s="39"/>
    </row>
    <row r="4" spans="1:19" ht="36" customHeight="1" x14ac:dyDescent="0.3">
      <c r="A4" s="364"/>
      <c r="B4" s="365"/>
      <c r="C4" s="365"/>
      <c r="D4" s="365"/>
      <c r="E4" s="365"/>
      <c r="F4" s="4" t="s">
        <v>269</v>
      </c>
      <c r="G4" s="4"/>
      <c r="H4" s="4"/>
      <c r="I4" s="4"/>
      <c r="J4" s="106"/>
      <c r="K4" s="106"/>
      <c r="L4" s="133" t="s">
        <v>424</v>
      </c>
      <c r="M4" s="4"/>
      <c r="N4" s="159">
        <v>7624606</v>
      </c>
      <c r="O4" s="107"/>
      <c r="P4" s="6"/>
    </row>
    <row r="5" spans="1:19" ht="2.25" customHeight="1" thickBot="1" x14ac:dyDescent="0.35">
      <c r="A5" s="366"/>
      <c r="B5" s="367"/>
      <c r="C5" s="367"/>
      <c r="D5" s="367"/>
      <c r="E5" s="367"/>
      <c r="F5" s="108"/>
      <c r="G5" s="108"/>
      <c r="H5" s="108"/>
      <c r="I5" s="108"/>
      <c r="J5" s="109"/>
      <c r="K5" s="109"/>
      <c r="L5" s="108"/>
      <c r="M5" s="108"/>
      <c r="N5" s="110"/>
      <c r="O5" s="111"/>
      <c r="P5" s="6"/>
    </row>
    <row r="6" spans="1:19" x14ac:dyDescent="0.3">
      <c r="A6" s="4"/>
      <c r="B6" s="4"/>
      <c r="C6" s="347" t="s">
        <v>358</v>
      </c>
      <c r="D6" s="348"/>
      <c r="E6" s="348"/>
      <c r="F6" s="348"/>
      <c r="G6" s="348"/>
      <c r="H6" s="348"/>
      <c r="I6" s="348"/>
      <c r="J6" s="348"/>
      <c r="K6" s="348"/>
      <c r="L6" s="348"/>
      <c r="M6" s="348"/>
      <c r="N6" s="348"/>
      <c r="O6" s="349"/>
      <c r="P6" s="6"/>
    </row>
    <row r="7" spans="1:19" x14ac:dyDescent="0.3">
      <c r="A7" s="4"/>
      <c r="B7" s="4"/>
      <c r="C7" s="350"/>
      <c r="D7" s="351"/>
      <c r="E7" s="351"/>
      <c r="F7" s="351"/>
      <c r="G7" s="351"/>
      <c r="H7" s="351"/>
      <c r="I7" s="351"/>
      <c r="J7" s="351"/>
      <c r="K7" s="351"/>
      <c r="L7" s="351"/>
      <c r="M7" s="351"/>
      <c r="N7" s="351"/>
      <c r="O7" s="352"/>
      <c r="P7" s="6"/>
    </row>
    <row r="8" spans="1:19" x14ac:dyDescent="0.3">
      <c r="A8" s="4"/>
      <c r="B8" s="4"/>
      <c r="C8" s="350"/>
      <c r="D8" s="351"/>
      <c r="E8" s="351"/>
      <c r="F8" s="351"/>
      <c r="G8" s="351"/>
      <c r="H8" s="351"/>
      <c r="I8" s="351"/>
      <c r="J8" s="351"/>
      <c r="K8" s="351"/>
      <c r="L8" s="351"/>
      <c r="M8" s="351"/>
      <c r="N8" s="351"/>
      <c r="O8" s="352"/>
      <c r="P8" s="6"/>
    </row>
    <row r="9" spans="1:19" ht="27.75" customHeight="1" thickBot="1" x14ac:dyDescent="0.35">
      <c r="A9" s="4"/>
      <c r="B9" s="4"/>
      <c r="C9" s="353"/>
      <c r="D9" s="354"/>
      <c r="E9" s="354"/>
      <c r="F9" s="354"/>
      <c r="G9" s="354"/>
      <c r="H9" s="354"/>
      <c r="I9" s="354"/>
      <c r="J9" s="354"/>
      <c r="K9" s="354"/>
      <c r="L9" s="354"/>
      <c r="M9" s="354"/>
      <c r="N9" s="354"/>
      <c r="O9" s="355"/>
      <c r="Q9" s="55"/>
    </row>
    <row r="10" spans="1:19" ht="27.75" customHeight="1" x14ac:dyDescent="0.3">
      <c r="A10" s="4"/>
      <c r="B10" s="4"/>
      <c r="C10" s="356" t="s">
        <v>280</v>
      </c>
      <c r="D10" s="357"/>
      <c r="E10" s="357"/>
      <c r="F10" s="357"/>
      <c r="G10" s="357"/>
      <c r="H10" s="357"/>
      <c r="I10" s="357"/>
      <c r="J10" s="357"/>
      <c r="K10" s="357"/>
      <c r="L10" s="357"/>
      <c r="M10" s="357"/>
      <c r="N10" s="357"/>
      <c r="O10" s="358"/>
      <c r="Q10" t="s">
        <v>230</v>
      </c>
      <c r="R10" s="31">
        <f>RESUMEN!F76</f>
        <v>271028.77927200001</v>
      </c>
    </row>
    <row r="11" spans="1:19" ht="27.75" customHeight="1" thickBot="1" x14ac:dyDescent="0.35">
      <c r="A11" s="4"/>
      <c r="B11" s="4"/>
      <c r="C11" s="359"/>
      <c r="D11" s="360"/>
      <c r="E11" s="360"/>
      <c r="F11" s="360"/>
      <c r="G11" s="360"/>
      <c r="H11" s="360"/>
      <c r="I11" s="360"/>
      <c r="J11" s="360"/>
      <c r="K11" s="360"/>
      <c r="L11" s="360"/>
      <c r="M11" s="360"/>
      <c r="N11" s="360"/>
      <c r="O11" s="361"/>
      <c r="Q11" t="s">
        <v>231</v>
      </c>
      <c r="R11" s="31">
        <f>RESUMEN!G76</f>
        <v>321219.29395200004</v>
      </c>
    </row>
    <row r="12" spans="1:19" ht="15" customHeight="1" x14ac:dyDescent="0.3">
      <c r="A12" s="332" t="s">
        <v>7</v>
      </c>
      <c r="B12" s="334" t="s">
        <v>8</v>
      </c>
      <c r="C12" s="332" t="s">
        <v>9</v>
      </c>
      <c r="D12" s="336" t="s">
        <v>10</v>
      </c>
      <c r="E12" s="336" t="s">
        <v>246</v>
      </c>
      <c r="F12" s="332" t="s">
        <v>24</v>
      </c>
      <c r="G12" s="332" t="s">
        <v>11</v>
      </c>
      <c r="H12" s="332" t="s">
        <v>12</v>
      </c>
      <c r="I12" s="343" t="s">
        <v>13</v>
      </c>
      <c r="J12" s="329" t="s">
        <v>14</v>
      </c>
      <c r="K12" s="329" t="s">
        <v>421</v>
      </c>
      <c r="L12" s="329" t="s">
        <v>16</v>
      </c>
      <c r="M12" s="345" t="s">
        <v>36</v>
      </c>
      <c r="N12" s="329" t="s">
        <v>256</v>
      </c>
      <c r="O12" s="329" t="s">
        <v>255</v>
      </c>
      <c r="Q12" t="s">
        <v>232</v>
      </c>
      <c r="R12" s="31">
        <f>RESUMEN!H76</f>
        <v>303652.61381399992</v>
      </c>
    </row>
    <row r="13" spans="1:19" ht="28.5" customHeight="1" x14ac:dyDescent="0.3">
      <c r="A13" s="333"/>
      <c r="B13" s="335"/>
      <c r="C13" s="333"/>
      <c r="D13" s="337"/>
      <c r="E13" s="337"/>
      <c r="F13" s="333"/>
      <c r="G13" s="333"/>
      <c r="H13" s="333"/>
      <c r="I13" s="344"/>
      <c r="J13" s="330"/>
      <c r="K13" s="330"/>
      <c r="L13" s="330"/>
      <c r="M13" s="346"/>
      <c r="N13" s="330"/>
      <c r="O13" s="330"/>
      <c r="Q13" t="s">
        <v>233</v>
      </c>
      <c r="R13" s="31">
        <f>RESUMEN!I76</f>
        <v>373919.33436599997</v>
      </c>
    </row>
    <row r="14" spans="1:19" ht="19.5" customHeight="1" x14ac:dyDescent="0.3">
      <c r="A14" s="333"/>
      <c r="B14" s="335"/>
      <c r="C14" s="333"/>
      <c r="D14" s="337"/>
      <c r="E14" s="337"/>
      <c r="F14" s="333"/>
      <c r="G14" s="333"/>
      <c r="H14" s="333"/>
      <c r="I14" s="344"/>
      <c r="J14" s="330"/>
      <c r="K14" s="331"/>
      <c r="L14" s="331"/>
      <c r="M14" s="346"/>
      <c r="N14" s="84" t="str">
        <f>RESUMEN!A20</f>
        <v>VTO 16/10</v>
      </c>
      <c r="O14" s="83" t="str">
        <f>RESUMEN!A20</f>
        <v>VTO 16/10</v>
      </c>
      <c r="Q14" t="s">
        <v>234</v>
      </c>
      <c r="R14" s="31">
        <f>RESUMEN!J76</f>
        <v>436657.47771599999</v>
      </c>
    </row>
    <row r="15" spans="1:19" x14ac:dyDescent="0.3">
      <c r="A15" s="176" t="s">
        <v>113</v>
      </c>
      <c r="B15" s="176"/>
      <c r="C15" s="23" t="s">
        <v>108</v>
      </c>
      <c r="D15" s="64" t="s">
        <v>169</v>
      </c>
      <c r="E15" s="64" t="s">
        <v>274</v>
      </c>
      <c r="F15" s="93">
        <v>1.0800000000000001E-2</v>
      </c>
      <c r="G15" s="95">
        <v>332345.8894680001</v>
      </c>
      <c r="H15" s="32">
        <v>267678</v>
      </c>
      <c r="I15" s="94">
        <f>G15-H15</f>
        <v>64667.889468000096</v>
      </c>
      <c r="J15" s="95">
        <v>0</v>
      </c>
      <c r="K15" s="129">
        <v>82345.7448</v>
      </c>
      <c r="L15" s="95">
        <v>271028.77927200001</v>
      </c>
      <c r="M15" s="112">
        <v>0</v>
      </c>
      <c r="N15" s="96">
        <f>L15+J15+I15+M15+K15</f>
        <v>418042.4135400001</v>
      </c>
      <c r="O15" s="97">
        <f>N15*6% + N15</f>
        <v>443124.95835240011</v>
      </c>
      <c r="P15" s="70" t="s">
        <v>335</v>
      </c>
      <c r="R15" s="338"/>
      <c r="S15" s="338"/>
    </row>
    <row r="16" spans="1:19" x14ac:dyDescent="0.3">
      <c r="A16" s="3"/>
      <c r="B16" s="3"/>
      <c r="C16" s="23" t="s">
        <v>112</v>
      </c>
      <c r="D16" s="64" t="s">
        <v>290</v>
      </c>
      <c r="E16" s="131"/>
      <c r="F16" s="93">
        <v>1.2999999999999999E-2</v>
      </c>
      <c r="G16" s="95">
        <v>770503.96909200004</v>
      </c>
      <c r="H16" s="32">
        <f>G16</f>
        <v>770503.96909200004</v>
      </c>
      <c r="I16" s="94">
        <f t="shared" ref="I16:I132" si="0">G16-H16</f>
        <v>0</v>
      </c>
      <c r="J16" s="95">
        <v>0</v>
      </c>
      <c r="K16" s="129"/>
      <c r="L16" s="95">
        <v>321219.29395200004</v>
      </c>
      <c r="M16" s="112">
        <v>0</v>
      </c>
      <c r="N16" s="96">
        <f t="shared" ref="N16:N19" si="1">L16+J16+I16+M16+K16</f>
        <v>321219.29395200004</v>
      </c>
      <c r="O16" s="97">
        <f t="shared" ref="O16:O19" si="2">N16*6% + N16</f>
        <v>340492.45158912003</v>
      </c>
      <c r="P16" s="70" t="s">
        <v>334</v>
      </c>
      <c r="R16" s="338"/>
      <c r="S16" s="338"/>
    </row>
    <row r="17" spans="1:19" x14ac:dyDescent="0.3">
      <c r="A17" s="3" t="s">
        <v>113</v>
      </c>
      <c r="B17" s="3"/>
      <c r="C17" s="23" t="s">
        <v>109</v>
      </c>
      <c r="D17" s="64" t="s">
        <v>385</v>
      </c>
      <c r="E17" s="64" t="s">
        <v>289</v>
      </c>
      <c r="F17" s="93">
        <v>1.21E-2</v>
      </c>
      <c r="G17" s="240">
        <v>299898.61410299997</v>
      </c>
      <c r="H17" s="32">
        <f>G17</f>
        <v>299898.61410299997</v>
      </c>
      <c r="I17" s="94">
        <f t="shared" si="0"/>
        <v>0</v>
      </c>
      <c r="J17" s="95">
        <v>0</v>
      </c>
      <c r="K17" s="129"/>
      <c r="L17" s="95">
        <v>303652.61381399992</v>
      </c>
      <c r="M17" s="112">
        <v>0</v>
      </c>
      <c r="N17" s="96">
        <f t="shared" si="1"/>
        <v>303652.61381399992</v>
      </c>
      <c r="O17" s="97">
        <f t="shared" si="2"/>
        <v>321871.7706428399</v>
      </c>
      <c r="P17" s="70"/>
      <c r="S17" s="31"/>
    </row>
    <row r="18" spans="1:19" x14ac:dyDescent="0.3">
      <c r="A18" s="3" t="s">
        <v>113</v>
      </c>
      <c r="B18" s="3"/>
      <c r="C18" s="222" t="s">
        <v>110</v>
      </c>
      <c r="D18" s="223" t="s">
        <v>170</v>
      </c>
      <c r="E18" s="223"/>
      <c r="F18" s="234">
        <v>1.49E-2</v>
      </c>
      <c r="G18" s="229">
        <v>1318197.13160938</v>
      </c>
      <c r="H18" s="227"/>
      <c r="I18" s="228">
        <f t="shared" si="0"/>
        <v>1318197.13160938</v>
      </c>
      <c r="J18" s="229">
        <v>0</v>
      </c>
      <c r="K18" s="230">
        <v>113606.62940000001</v>
      </c>
      <c r="L18" s="229">
        <v>373919.33436599997</v>
      </c>
      <c r="M18" s="253">
        <v>0</v>
      </c>
      <c r="N18" s="221">
        <f t="shared" si="1"/>
        <v>1805723.09537538</v>
      </c>
      <c r="O18" s="233">
        <f t="shared" si="2"/>
        <v>1914066.4810979029</v>
      </c>
      <c r="P18" s="70"/>
      <c r="S18" s="31"/>
    </row>
    <row r="19" spans="1:19" ht="15" thickBot="1" x14ac:dyDescent="0.35">
      <c r="A19" s="3" t="s">
        <v>113</v>
      </c>
      <c r="B19" s="3"/>
      <c r="C19" s="241" t="s">
        <v>111</v>
      </c>
      <c r="D19" s="242" t="s">
        <v>245</v>
      </c>
      <c r="E19" s="242"/>
      <c r="F19" s="98">
        <v>1.7399999999999999E-2</v>
      </c>
      <c r="G19" s="99">
        <v>727422.31177599984</v>
      </c>
      <c r="H19" s="282">
        <v>374000</v>
      </c>
      <c r="I19" s="243">
        <f t="shared" si="0"/>
        <v>353422.31177599984</v>
      </c>
      <c r="J19" s="99">
        <v>0</v>
      </c>
      <c r="K19" s="99">
        <v>132668.14439999999</v>
      </c>
      <c r="L19" s="99">
        <v>436657.47771599999</v>
      </c>
      <c r="M19" s="244">
        <v>0</v>
      </c>
      <c r="N19" s="96">
        <f t="shared" si="1"/>
        <v>922747.93389199988</v>
      </c>
      <c r="O19" s="101">
        <f t="shared" si="2"/>
        <v>978112.80992551986</v>
      </c>
      <c r="P19" s="70"/>
      <c r="S19" s="31"/>
    </row>
    <row r="20" spans="1:19" x14ac:dyDescent="0.3">
      <c r="A20" s="37" t="s">
        <v>115</v>
      </c>
      <c r="B20" s="3"/>
      <c r="C20" s="126" t="s">
        <v>39</v>
      </c>
      <c r="D20" s="87" t="s">
        <v>171</v>
      </c>
      <c r="E20" s="87"/>
      <c r="F20" s="88">
        <v>1.8800000000000001E-2</v>
      </c>
      <c r="G20" s="127">
        <v>508048.01</v>
      </c>
      <c r="H20" s="32">
        <f t="shared" ref="H20" si="3">G20</f>
        <v>508048.01</v>
      </c>
      <c r="I20" s="128">
        <f>G20-H20</f>
        <v>0</v>
      </c>
      <c r="J20" s="129">
        <f t="shared" ref="J20:J51" si="4">N$9*F20</f>
        <v>0</v>
      </c>
      <c r="K20" s="129"/>
      <c r="L20" s="129">
        <f>N$2*F20</f>
        <v>347573.72019200004</v>
      </c>
      <c r="M20" s="135">
        <v>0</v>
      </c>
      <c r="N20" s="130">
        <f>ROUND((L20+J20+I20+K20+M20),0) + P20</f>
        <v>347574.01</v>
      </c>
      <c r="O20" s="130">
        <f>ROUND((N20*6% + N20 ),0) + P20</f>
        <v>368428.01</v>
      </c>
      <c r="P20" s="85">
        <v>0.01</v>
      </c>
      <c r="S20" s="31"/>
    </row>
    <row r="21" spans="1:19" x14ac:dyDescent="0.3">
      <c r="A21" s="37" t="s">
        <v>116</v>
      </c>
      <c r="B21" s="3"/>
      <c r="C21" s="269" t="s">
        <v>40</v>
      </c>
      <c r="D21" s="270" t="s">
        <v>172</v>
      </c>
      <c r="E21" s="271"/>
      <c r="F21" s="272">
        <v>8.3999999999999995E-3</v>
      </c>
      <c r="G21" s="273">
        <v>220298.02</v>
      </c>
      <c r="H21" s="283">
        <f>G21</f>
        <v>220298.02</v>
      </c>
      <c r="I21" s="274">
        <f t="shared" si="0"/>
        <v>0</v>
      </c>
      <c r="J21" s="275">
        <f t="shared" si="4"/>
        <v>0</v>
      </c>
      <c r="K21" s="276">
        <f t="shared" ref="K21:K84" si="5">N$4*F21</f>
        <v>64046.690399999999</v>
      </c>
      <c r="L21" s="275">
        <f t="shared" ref="L21:L51" si="6">N$2*F21</f>
        <v>155298.89625599998</v>
      </c>
      <c r="M21" s="277">
        <v>0</v>
      </c>
      <c r="N21" s="278">
        <f t="shared" ref="N21:N84" si="7">ROUND((L21+J21+I21+K21+M21),0) + P21</f>
        <v>219346.02</v>
      </c>
      <c r="O21" s="279">
        <f t="shared" ref="O21:O84" si="8">ROUND((N21*6% + N21 ),0) + P21</f>
        <v>232507.02</v>
      </c>
      <c r="P21" s="85">
        <f>P20+0.01</f>
        <v>0.02</v>
      </c>
      <c r="S21" s="31"/>
    </row>
    <row r="22" spans="1:19" x14ac:dyDescent="0.3">
      <c r="A22" s="37" t="s">
        <v>115</v>
      </c>
      <c r="B22" s="3"/>
      <c r="C22" s="23" t="s">
        <v>41</v>
      </c>
      <c r="D22" s="64" t="s">
        <v>173</v>
      </c>
      <c r="E22" s="87"/>
      <c r="F22" s="88">
        <v>2.01E-2</v>
      </c>
      <c r="G22" s="89">
        <v>558771.03</v>
      </c>
      <c r="H22" s="32">
        <f>G22</f>
        <v>558771.03</v>
      </c>
      <c r="I22" s="94">
        <f t="shared" si="0"/>
        <v>0</v>
      </c>
      <c r="J22" s="95">
        <f t="shared" si="4"/>
        <v>0</v>
      </c>
      <c r="K22" s="129"/>
      <c r="L22" s="95">
        <f t="shared" si="6"/>
        <v>371608.07318399998</v>
      </c>
      <c r="M22" s="135">
        <v>0</v>
      </c>
      <c r="N22" s="130">
        <f t="shared" si="7"/>
        <v>371608.03</v>
      </c>
      <c r="O22" s="97">
        <f t="shared" si="8"/>
        <v>393905.03</v>
      </c>
      <c r="P22" s="85">
        <f t="shared" ref="P22:P85" si="9">P21+0.01</f>
        <v>0.03</v>
      </c>
    </row>
    <row r="23" spans="1:19" x14ac:dyDescent="0.3">
      <c r="A23" s="37" t="s">
        <v>117</v>
      </c>
      <c r="B23" s="3"/>
      <c r="C23" s="269" t="s">
        <v>42</v>
      </c>
      <c r="D23" s="270" t="s">
        <v>386</v>
      </c>
      <c r="E23" s="271" t="s">
        <v>261</v>
      </c>
      <c r="F23" s="272">
        <v>9.4000000000000004E-3</v>
      </c>
      <c r="G23" s="273">
        <v>246524.04</v>
      </c>
      <c r="H23" s="283">
        <f>G23</f>
        <v>246524.04</v>
      </c>
      <c r="I23" s="274">
        <f t="shared" si="0"/>
        <v>0</v>
      </c>
      <c r="J23" s="275">
        <f t="shared" si="4"/>
        <v>0</v>
      </c>
      <c r="K23" s="276"/>
      <c r="L23" s="275">
        <f t="shared" si="6"/>
        <v>173786.86009600002</v>
      </c>
      <c r="M23" s="277">
        <v>0</v>
      </c>
      <c r="N23" s="278">
        <f t="shared" si="7"/>
        <v>173787.04</v>
      </c>
      <c r="O23" s="279">
        <f t="shared" si="8"/>
        <v>184214.04</v>
      </c>
      <c r="P23" s="85">
        <f t="shared" si="9"/>
        <v>0.04</v>
      </c>
      <c r="Q23" t="s">
        <v>279</v>
      </c>
    </row>
    <row r="24" spans="1:19" x14ac:dyDescent="0.3">
      <c r="A24" s="37" t="s">
        <v>117</v>
      </c>
      <c r="B24" s="3"/>
      <c r="C24" s="23" t="s">
        <v>43</v>
      </c>
      <c r="D24" s="64" t="s">
        <v>175</v>
      </c>
      <c r="E24" s="87" t="s">
        <v>278</v>
      </c>
      <c r="F24" s="88">
        <v>8.6999999999999994E-3</v>
      </c>
      <c r="G24" s="89">
        <v>228166.05</v>
      </c>
      <c r="H24" s="32">
        <v>146784.04999999999</v>
      </c>
      <c r="I24" s="94">
        <f t="shared" si="0"/>
        <v>81382</v>
      </c>
      <c r="J24" s="95">
        <f t="shared" si="4"/>
        <v>0</v>
      </c>
      <c r="K24" s="129">
        <f t="shared" si="5"/>
        <v>66334.072199999995</v>
      </c>
      <c r="L24" s="95">
        <f t="shared" si="6"/>
        <v>160845.285408</v>
      </c>
      <c r="M24" s="135">
        <v>0</v>
      </c>
      <c r="N24" s="130">
        <f t="shared" si="7"/>
        <v>308561.05</v>
      </c>
      <c r="O24" s="97">
        <f t="shared" si="8"/>
        <v>327075.05</v>
      </c>
      <c r="P24" s="85">
        <f t="shared" si="9"/>
        <v>0.05</v>
      </c>
    </row>
    <row r="25" spans="1:19" x14ac:dyDescent="0.3">
      <c r="A25" s="37" t="s">
        <v>117</v>
      </c>
      <c r="B25" s="3"/>
      <c r="C25" s="23" t="s">
        <v>44</v>
      </c>
      <c r="D25" s="64" t="s">
        <v>386</v>
      </c>
      <c r="E25" s="87" t="s">
        <v>273</v>
      </c>
      <c r="F25" s="88">
        <v>9.4999999999999998E-3</v>
      </c>
      <c r="G25" s="89">
        <v>339801.06</v>
      </c>
      <c r="H25" s="32">
        <f>G25</f>
        <v>339801.06</v>
      </c>
      <c r="I25" s="94">
        <f t="shared" si="0"/>
        <v>0</v>
      </c>
      <c r="J25" s="95">
        <f t="shared" si="4"/>
        <v>0</v>
      </c>
      <c r="K25" s="129"/>
      <c r="L25" s="95">
        <f t="shared" si="6"/>
        <v>175635.65648000001</v>
      </c>
      <c r="M25" s="135">
        <v>0</v>
      </c>
      <c r="N25" s="130">
        <f t="shared" si="7"/>
        <v>175636.06</v>
      </c>
      <c r="O25" s="97">
        <f t="shared" si="8"/>
        <v>186174.06</v>
      </c>
      <c r="P25" s="85">
        <f t="shared" si="9"/>
        <v>6.0000000000000005E-2</v>
      </c>
    </row>
    <row r="26" spans="1:19" x14ac:dyDescent="0.3">
      <c r="A26" s="37" t="s">
        <v>115</v>
      </c>
      <c r="B26" s="3"/>
      <c r="C26" s="23" t="s">
        <v>45</v>
      </c>
      <c r="D26" s="64" t="s">
        <v>386</v>
      </c>
      <c r="E26" s="87" t="s">
        <v>281</v>
      </c>
      <c r="F26" s="88">
        <v>1.6500000000000001E-2</v>
      </c>
      <c r="G26" s="89">
        <v>717781.07</v>
      </c>
      <c r="H26" s="32">
        <v>302156.07</v>
      </c>
      <c r="I26" s="94">
        <f t="shared" si="0"/>
        <v>415624.99999999994</v>
      </c>
      <c r="J26" s="95">
        <f t="shared" si="4"/>
        <v>0</v>
      </c>
      <c r="K26" s="129"/>
      <c r="L26" s="95">
        <f t="shared" si="6"/>
        <v>305051.40336</v>
      </c>
      <c r="M26" s="135">
        <v>0</v>
      </c>
      <c r="N26" s="130">
        <f t="shared" si="7"/>
        <v>720676.07</v>
      </c>
      <c r="O26" s="97">
        <f t="shared" si="8"/>
        <v>763917.07</v>
      </c>
      <c r="P26" s="85">
        <f t="shared" si="9"/>
        <v>7.0000000000000007E-2</v>
      </c>
    </row>
    <row r="27" spans="1:19" x14ac:dyDescent="0.3">
      <c r="A27" s="37" t="s">
        <v>116</v>
      </c>
      <c r="B27" s="3"/>
      <c r="C27" s="23" t="s">
        <v>46</v>
      </c>
      <c r="D27" s="64" t="s">
        <v>247</v>
      </c>
      <c r="E27" s="87"/>
      <c r="F27" s="88">
        <v>7.3000000000000001E-3</v>
      </c>
      <c r="G27" s="89">
        <v>224136.08</v>
      </c>
      <c r="H27" s="32">
        <f>G27</f>
        <v>224136.08</v>
      </c>
      <c r="I27" s="94">
        <f t="shared" si="0"/>
        <v>0</v>
      </c>
      <c r="J27" s="95">
        <f t="shared" si="4"/>
        <v>0</v>
      </c>
      <c r="K27" s="129">
        <f t="shared" si="5"/>
        <v>55659.623800000001</v>
      </c>
      <c r="L27" s="95">
        <f t="shared" si="6"/>
        <v>134962.13603200001</v>
      </c>
      <c r="M27" s="135">
        <v>0</v>
      </c>
      <c r="N27" s="130">
        <f t="shared" si="7"/>
        <v>190622.07999999999</v>
      </c>
      <c r="O27" s="97">
        <f t="shared" si="8"/>
        <v>202059.08</v>
      </c>
      <c r="P27" s="85">
        <f t="shared" si="9"/>
        <v>0.08</v>
      </c>
    </row>
    <row r="28" spans="1:19" x14ac:dyDescent="0.3">
      <c r="A28" s="64" t="s">
        <v>115</v>
      </c>
      <c r="B28" s="23"/>
      <c r="C28" s="269" t="s">
        <v>47</v>
      </c>
      <c r="D28" s="270" t="s">
        <v>386</v>
      </c>
      <c r="E28" s="271" t="s">
        <v>291</v>
      </c>
      <c r="F28" s="272">
        <v>1.78E-2</v>
      </c>
      <c r="G28" s="273">
        <v>1109042.0900000001</v>
      </c>
      <c r="H28" s="283">
        <f>728003.08+(526500-G118)</f>
        <v>1108399.0899999999</v>
      </c>
      <c r="I28" s="274">
        <f t="shared" si="0"/>
        <v>643.00000000023283</v>
      </c>
      <c r="J28" s="275">
        <f t="shared" si="4"/>
        <v>0</v>
      </c>
      <c r="K28" s="276"/>
      <c r="L28" s="275">
        <f t="shared" si="6"/>
        <v>329085.756352</v>
      </c>
      <c r="M28" s="277">
        <v>0</v>
      </c>
      <c r="N28" s="278">
        <f t="shared" si="7"/>
        <v>329729.09000000003</v>
      </c>
      <c r="O28" s="279">
        <f t="shared" si="8"/>
        <v>349513.09</v>
      </c>
      <c r="P28" s="85">
        <f t="shared" si="9"/>
        <v>0.09</v>
      </c>
    </row>
    <row r="29" spans="1:19" x14ac:dyDescent="0.3">
      <c r="A29" s="64" t="s">
        <v>117</v>
      </c>
      <c r="B29" s="23"/>
      <c r="C29" s="23" t="s">
        <v>48</v>
      </c>
      <c r="D29" s="64" t="s">
        <v>324</v>
      </c>
      <c r="E29" s="87"/>
      <c r="F29" s="88">
        <v>9.4000000000000004E-3</v>
      </c>
      <c r="G29" s="32">
        <v>246524.1</v>
      </c>
      <c r="H29" s="32">
        <f>G29</f>
        <v>246524.1</v>
      </c>
      <c r="I29" s="94">
        <f t="shared" si="0"/>
        <v>0</v>
      </c>
      <c r="J29" s="95">
        <f t="shared" si="4"/>
        <v>0</v>
      </c>
      <c r="K29" s="129">
        <f t="shared" si="5"/>
        <v>71671.296400000007</v>
      </c>
      <c r="L29" s="95">
        <f t="shared" si="6"/>
        <v>173786.86009600002</v>
      </c>
      <c r="M29" s="135">
        <v>0</v>
      </c>
      <c r="N29" s="130">
        <f t="shared" si="7"/>
        <v>245458.1</v>
      </c>
      <c r="O29" s="97">
        <f t="shared" si="8"/>
        <v>260186.1</v>
      </c>
      <c r="P29" s="85">
        <f t="shared" si="9"/>
        <v>9.9999999999999992E-2</v>
      </c>
    </row>
    <row r="30" spans="1:19" x14ac:dyDescent="0.3">
      <c r="A30" s="64" t="s">
        <v>117</v>
      </c>
      <c r="B30" s="23"/>
      <c r="C30" s="23" t="s">
        <v>49</v>
      </c>
      <c r="D30" s="64" t="s">
        <v>260</v>
      </c>
      <c r="E30" s="87"/>
      <c r="F30" s="88">
        <v>8.6999999999999994E-3</v>
      </c>
      <c r="G30" s="89">
        <v>243166.11</v>
      </c>
      <c r="H30" s="32">
        <f>G30</f>
        <v>243166.11</v>
      </c>
      <c r="I30" s="94">
        <f t="shared" si="0"/>
        <v>0</v>
      </c>
      <c r="J30" s="95">
        <f t="shared" si="4"/>
        <v>0</v>
      </c>
      <c r="K30" s="129">
        <f t="shared" si="5"/>
        <v>66334.072199999995</v>
      </c>
      <c r="L30" s="95">
        <f t="shared" si="6"/>
        <v>160845.285408</v>
      </c>
      <c r="M30" s="135">
        <v>0</v>
      </c>
      <c r="N30" s="130">
        <f t="shared" si="7"/>
        <v>227179.11</v>
      </c>
      <c r="O30" s="97">
        <f t="shared" si="8"/>
        <v>240810.11</v>
      </c>
      <c r="P30" s="85">
        <f t="shared" si="9"/>
        <v>0.10999999999999999</v>
      </c>
    </row>
    <row r="31" spans="1:19" x14ac:dyDescent="0.3">
      <c r="A31" s="64" t="s">
        <v>117</v>
      </c>
      <c r="B31" s="23"/>
      <c r="C31" s="23" t="s">
        <v>50</v>
      </c>
      <c r="D31" s="64" t="s">
        <v>186</v>
      </c>
      <c r="E31" s="87"/>
      <c r="F31" s="88">
        <v>9.4999999999999998E-3</v>
      </c>
      <c r="G31" s="89">
        <v>2272449.12</v>
      </c>
      <c r="H31" s="32">
        <f>G31+182709</f>
        <v>2455158.12</v>
      </c>
      <c r="I31" s="94">
        <f t="shared" si="0"/>
        <v>-182709</v>
      </c>
      <c r="J31" s="95">
        <f t="shared" si="4"/>
        <v>0</v>
      </c>
      <c r="K31" s="129"/>
      <c r="L31" s="95">
        <f t="shared" si="6"/>
        <v>175635.65648000001</v>
      </c>
      <c r="M31" s="135">
        <v>0</v>
      </c>
      <c r="N31" s="130">
        <f t="shared" si="7"/>
        <v>-7072.88</v>
      </c>
      <c r="O31" s="97">
        <f t="shared" si="8"/>
        <v>-7496.88</v>
      </c>
      <c r="P31" s="116">
        <f t="shared" si="9"/>
        <v>0.11999999999999998</v>
      </c>
    </row>
    <row r="32" spans="1:19" x14ac:dyDescent="0.3">
      <c r="A32" s="64" t="s">
        <v>115</v>
      </c>
      <c r="B32" s="23"/>
      <c r="C32" s="23" t="s">
        <v>51</v>
      </c>
      <c r="D32" s="64" t="s">
        <v>178</v>
      </c>
      <c r="E32" s="87"/>
      <c r="F32" s="88">
        <v>1.6400000000000001E-2</v>
      </c>
      <c r="G32" s="89">
        <v>430106.13</v>
      </c>
      <c r="H32" s="32">
        <f t="shared" ref="H32:H34" si="10">G32</f>
        <v>430106.13</v>
      </c>
      <c r="I32" s="94">
        <f t="shared" si="0"/>
        <v>0</v>
      </c>
      <c r="J32" s="95">
        <f t="shared" si="4"/>
        <v>0</v>
      </c>
      <c r="K32" s="129"/>
      <c r="L32" s="95">
        <f t="shared" si="6"/>
        <v>303202.60697600001</v>
      </c>
      <c r="M32" s="135">
        <v>0</v>
      </c>
      <c r="N32" s="130">
        <f t="shared" si="7"/>
        <v>303203.13</v>
      </c>
      <c r="O32" s="97">
        <f t="shared" si="8"/>
        <v>321395.13</v>
      </c>
      <c r="P32" s="85">
        <f t="shared" si="9"/>
        <v>0.12999999999999998</v>
      </c>
    </row>
    <row r="33" spans="1:114" x14ac:dyDescent="0.3">
      <c r="A33" s="37" t="s">
        <v>116</v>
      </c>
      <c r="B33" s="3"/>
      <c r="C33" s="23" t="s">
        <v>52</v>
      </c>
      <c r="D33" s="64" t="s">
        <v>387</v>
      </c>
      <c r="E33" s="87" t="s">
        <v>248</v>
      </c>
      <c r="F33" s="88">
        <v>7.1999999999999998E-3</v>
      </c>
      <c r="G33" s="89">
        <v>189183.14</v>
      </c>
      <c r="H33" s="32">
        <v>188471.14</v>
      </c>
      <c r="I33" s="94">
        <f t="shared" si="0"/>
        <v>712</v>
      </c>
      <c r="J33" s="95">
        <f t="shared" si="4"/>
        <v>0</v>
      </c>
      <c r="K33" s="129"/>
      <c r="L33" s="95">
        <f t="shared" si="6"/>
        <v>133113.33964799999</v>
      </c>
      <c r="M33" s="135">
        <v>0</v>
      </c>
      <c r="N33" s="130">
        <f t="shared" si="7"/>
        <v>133825.14000000001</v>
      </c>
      <c r="O33" s="97">
        <f t="shared" si="8"/>
        <v>141855.14000000001</v>
      </c>
      <c r="P33" s="85">
        <f t="shared" si="9"/>
        <v>0.13999999999999999</v>
      </c>
    </row>
    <row r="34" spans="1:114" x14ac:dyDescent="0.3">
      <c r="A34" s="37" t="s">
        <v>115</v>
      </c>
      <c r="B34" s="3"/>
      <c r="C34" s="23" t="s">
        <v>53</v>
      </c>
      <c r="D34" s="64" t="s">
        <v>179</v>
      </c>
      <c r="E34" s="87"/>
      <c r="F34" s="88">
        <v>1.7299999999999999E-2</v>
      </c>
      <c r="G34" s="89">
        <v>483709.15</v>
      </c>
      <c r="H34" s="32">
        <f t="shared" si="10"/>
        <v>483709.15</v>
      </c>
      <c r="I34" s="102">
        <f t="shared" si="0"/>
        <v>0</v>
      </c>
      <c r="J34" s="95">
        <f t="shared" si="4"/>
        <v>0</v>
      </c>
      <c r="K34" s="129"/>
      <c r="L34" s="95">
        <f t="shared" si="6"/>
        <v>319841.77443200001</v>
      </c>
      <c r="M34" s="135">
        <v>0</v>
      </c>
      <c r="N34" s="130">
        <f t="shared" si="7"/>
        <v>319842.15000000002</v>
      </c>
      <c r="O34" s="97">
        <f t="shared" si="8"/>
        <v>339033.15</v>
      </c>
      <c r="P34" s="85">
        <f t="shared" si="9"/>
        <v>0.15</v>
      </c>
    </row>
    <row r="35" spans="1:114" x14ac:dyDescent="0.3">
      <c r="A35" s="91" t="s">
        <v>117</v>
      </c>
      <c r="B35" s="90"/>
      <c r="C35" s="23" t="s">
        <v>54</v>
      </c>
      <c r="D35" s="64" t="s">
        <v>276</v>
      </c>
      <c r="E35" s="87"/>
      <c r="F35" s="88">
        <v>9.4000000000000004E-3</v>
      </c>
      <c r="G35" s="89">
        <v>246524.16</v>
      </c>
      <c r="H35" s="32">
        <f>G35</f>
        <v>246524.16</v>
      </c>
      <c r="I35" s="94">
        <f t="shared" si="0"/>
        <v>0</v>
      </c>
      <c r="J35" s="95">
        <f t="shared" si="4"/>
        <v>0</v>
      </c>
      <c r="K35" s="129"/>
      <c r="L35" s="95">
        <f t="shared" si="6"/>
        <v>173786.86009600002</v>
      </c>
      <c r="M35" s="135">
        <v>0</v>
      </c>
      <c r="N35" s="130">
        <f t="shared" si="7"/>
        <v>173787.16</v>
      </c>
      <c r="O35" s="97">
        <f t="shared" si="8"/>
        <v>184214.16</v>
      </c>
      <c r="P35" s="85">
        <f t="shared" si="9"/>
        <v>0.16</v>
      </c>
      <c r="Q35" t="s">
        <v>285</v>
      </c>
    </row>
    <row r="36" spans="1:114" x14ac:dyDescent="0.3">
      <c r="A36" s="37" t="s">
        <v>117</v>
      </c>
      <c r="B36" s="3"/>
      <c r="C36" s="23" t="s">
        <v>55</v>
      </c>
      <c r="D36" s="64" t="s">
        <v>352</v>
      </c>
      <c r="E36" s="87" t="s">
        <v>264</v>
      </c>
      <c r="F36" s="88">
        <v>8.6999999999999994E-3</v>
      </c>
      <c r="G36" s="89">
        <v>228166.17</v>
      </c>
      <c r="H36" s="32">
        <f>G36</f>
        <v>228166.17</v>
      </c>
      <c r="I36" s="94">
        <f t="shared" si="0"/>
        <v>0</v>
      </c>
      <c r="J36" s="95">
        <f t="shared" si="4"/>
        <v>0</v>
      </c>
      <c r="K36" s="129">
        <f t="shared" si="5"/>
        <v>66334.072199999995</v>
      </c>
      <c r="L36" s="95">
        <f t="shared" si="6"/>
        <v>160845.285408</v>
      </c>
      <c r="M36" s="135">
        <v>0</v>
      </c>
      <c r="N36" s="130">
        <f t="shared" si="7"/>
        <v>227179.17</v>
      </c>
      <c r="O36" s="97">
        <f t="shared" si="8"/>
        <v>240810.17</v>
      </c>
      <c r="P36" s="85">
        <f t="shared" si="9"/>
        <v>0.17</v>
      </c>
    </row>
    <row r="37" spans="1:114" x14ac:dyDescent="0.3">
      <c r="A37" s="37" t="s">
        <v>117</v>
      </c>
      <c r="B37" s="3"/>
      <c r="C37" s="23" t="s">
        <v>56</v>
      </c>
      <c r="D37" s="64" t="s">
        <v>186</v>
      </c>
      <c r="E37" s="87"/>
      <c r="F37" s="88">
        <v>9.4999999999999998E-3</v>
      </c>
      <c r="G37" s="89">
        <v>1723633.18</v>
      </c>
      <c r="H37" s="32">
        <f>G37+182708</f>
        <v>1906341.18</v>
      </c>
      <c r="I37" s="102">
        <f t="shared" si="0"/>
        <v>-182708</v>
      </c>
      <c r="J37" s="95">
        <f t="shared" si="4"/>
        <v>0</v>
      </c>
      <c r="K37" s="129"/>
      <c r="L37" s="95">
        <f t="shared" si="6"/>
        <v>175635.65648000001</v>
      </c>
      <c r="M37" s="135">
        <v>0</v>
      </c>
      <c r="N37" s="130">
        <f t="shared" si="7"/>
        <v>-7071.82</v>
      </c>
      <c r="O37" s="97">
        <f t="shared" si="8"/>
        <v>-7495.82</v>
      </c>
      <c r="P37" s="116">
        <f t="shared" si="9"/>
        <v>0.18000000000000002</v>
      </c>
      <c r="Q37" s="46"/>
      <c r="R37" s="46"/>
    </row>
    <row r="38" spans="1:114" x14ac:dyDescent="0.3">
      <c r="A38" s="64" t="s">
        <v>115</v>
      </c>
      <c r="B38" s="23"/>
      <c r="C38" s="23" t="s">
        <v>57</v>
      </c>
      <c r="D38" s="64" t="s">
        <v>180</v>
      </c>
      <c r="E38" s="87" t="s">
        <v>262</v>
      </c>
      <c r="F38" s="88">
        <v>1.6400000000000001E-2</v>
      </c>
      <c r="G38" s="89">
        <v>430106.19</v>
      </c>
      <c r="H38" s="32">
        <f t="shared" ref="H38" si="11">G38</f>
        <v>430106.19</v>
      </c>
      <c r="I38" s="94">
        <f t="shared" si="0"/>
        <v>0</v>
      </c>
      <c r="J38" s="95">
        <f t="shared" si="4"/>
        <v>0</v>
      </c>
      <c r="K38" s="129"/>
      <c r="L38" s="95">
        <f t="shared" si="6"/>
        <v>303202.60697600001</v>
      </c>
      <c r="M38" s="135">
        <v>0</v>
      </c>
      <c r="N38" s="130">
        <f t="shared" si="7"/>
        <v>303203.19</v>
      </c>
      <c r="O38" s="97">
        <f t="shared" si="8"/>
        <v>321395.19</v>
      </c>
      <c r="P38" s="85">
        <f t="shared" si="9"/>
        <v>0.19000000000000003</v>
      </c>
      <c r="Q38" t="s">
        <v>283</v>
      </c>
    </row>
    <row r="39" spans="1:114" x14ac:dyDescent="0.3">
      <c r="A39" s="64" t="s">
        <v>116</v>
      </c>
      <c r="B39" s="23"/>
      <c r="C39" s="23" t="s">
        <v>58</v>
      </c>
      <c r="D39" s="64" t="s">
        <v>216</v>
      </c>
      <c r="E39" s="87"/>
      <c r="F39" s="88">
        <v>7.1999999999999998E-3</v>
      </c>
      <c r="G39" s="89">
        <v>200157.2</v>
      </c>
      <c r="H39" s="32">
        <v>188827.2</v>
      </c>
      <c r="I39" s="94">
        <f t="shared" si="0"/>
        <v>11330</v>
      </c>
      <c r="J39" s="95">
        <f t="shared" si="4"/>
        <v>0</v>
      </c>
      <c r="K39" s="129">
        <f t="shared" si="5"/>
        <v>54897.163199999995</v>
      </c>
      <c r="L39" s="95">
        <f t="shared" si="6"/>
        <v>133113.33964799999</v>
      </c>
      <c r="M39" s="135">
        <v>0</v>
      </c>
      <c r="N39" s="130">
        <f t="shared" si="7"/>
        <v>199341.2</v>
      </c>
      <c r="O39" s="97">
        <f t="shared" si="8"/>
        <v>211302.2</v>
      </c>
      <c r="P39" s="85">
        <f t="shared" si="9"/>
        <v>0.20000000000000004</v>
      </c>
    </row>
    <row r="40" spans="1:114" s="92" customFormat="1" x14ac:dyDescent="0.3">
      <c r="A40" s="64" t="s">
        <v>115</v>
      </c>
      <c r="B40" s="23"/>
      <c r="C40" s="23" t="s">
        <v>59</v>
      </c>
      <c r="D40" s="64" t="s">
        <v>410</v>
      </c>
      <c r="E40" s="87"/>
      <c r="F40" s="88">
        <v>1.7299999999999999E-2</v>
      </c>
      <c r="G40" s="89">
        <v>468710.21</v>
      </c>
      <c r="H40" s="32">
        <f>529029.96-H94</f>
        <v>468709.20999999996</v>
      </c>
      <c r="I40" s="94">
        <f t="shared" si="0"/>
        <v>1.0000000000582077</v>
      </c>
      <c r="J40" s="95">
        <f t="shared" si="4"/>
        <v>0</v>
      </c>
      <c r="K40" s="129"/>
      <c r="L40" s="95">
        <f t="shared" si="6"/>
        <v>319841.77443200001</v>
      </c>
      <c r="M40" s="135">
        <v>0</v>
      </c>
      <c r="N40" s="130">
        <f t="shared" si="7"/>
        <v>319843.21000000002</v>
      </c>
      <c r="O40" s="97">
        <f t="shared" si="8"/>
        <v>339034.21</v>
      </c>
      <c r="P40" s="116">
        <f t="shared" si="9"/>
        <v>0.21000000000000005</v>
      </c>
      <c r="Q40" s="46" t="s">
        <v>363</v>
      </c>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row>
    <row r="41" spans="1:114" s="92" customFormat="1" x14ac:dyDescent="0.3">
      <c r="A41" s="64" t="s">
        <v>117</v>
      </c>
      <c r="B41" s="23"/>
      <c r="C41" s="23" t="s">
        <v>60</v>
      </c>
      <c r="D41" s="64" t="s">
        <v>177</v>
      </c>
      <c r="E41" s="87"/>
      <c r="F41" s="88">
        <v>9.4000000000000004E-3</v>
      </c>
      <c r="G41" s="32">
        <v>246524.22</v>
      </c>
      <c r="H41" s="32">
        <f>G41</f>
        <v>246524.22</v>
      </c>
      <c r="I41" s="94">
        <f t="shared" si="0"/>
        <v>0</v>
      </c>
      <c r="J41" s="95">
        <f t="shared" si="4"/>
        <v>0</v>
      </c>
      <c r="K41" s="129">
        <f t="shared" si="5"/>
        <v>71671.296400000007</v>
      </c>
      <c r="L41" s="95">
        <f t="shared" si="6"/>
        <v>173786.86009600002</v>
      </c>
      <c r="M41" s="135">
        <v>0</v>
      </c>
      <c r="N41" s="130">
        <f t="shared" si="7"/>
        <v>245458.22</v>
      </c>
      <c r="O41" s="97">
        <f t="shared" si="8"/>
        <v>260186.22</v>
      </c>
      <c r="P41" s="116">
        <f t="shared" si="9"/>
        <v>0.22000000000000006</v>
      </c>
      <c r="Q41" s="46" t="s">
        <v>284</v>
      </c>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row>
    <row r="42" spans="1:114" s="92" customFormat="1" x14ac:dyDescent="0.3">
      <c r="A42" s="64" t="s">
        <v>117</v>
      </c>
      <c r="B42" s="23"/>
      <c r="C42" s="23" t="s">
        <v>61</v>
      </c>
      <c r="D42" s="64" t="s">
        <v>353</v>
      </c>
      <c r="E42" s="87"/>
      <c r="F42" s="88">
        <v>8.6999999999999994E-3</v>
      </c>
      <c r="G42" s="89">
        <v>228166.23</v>
      </c>
      <c r="H42" s="32">
        <f t="shared" ref="H42" si="12">G42</f>
        <v>228166.23</v>
      </c>
      <c r="I42" s="94">
        <f t="shared" si="0"/>
        <v>0</v>
      </c>
      <c r="J42" s="95">
        <f t="shared" si="4"/>
        <v>0</v>
      </c>
      <c r="K42" s="129">
        <f t="shared" si="5"/>
        <v>66334.072199999995</v>
      </c>
      <c r="L42" s="95">
        <f t="shared" si="6"/>
        <v>160845.285408</v>
      </c>
      <c r="M42" s="135">
        <v>0</v>
      </c>
      <c r="N42" s="130">
        <f t="shared" si="7"/>
        <v>227179.23</v>
      </c>
      <c r="O42" s="97">
        <f t="shared" si="8"/>
        <v>240810.23</v>
      </c>
      <c r="P42" s="116">
        <f t="shared" si="9"/>
        <v>0.23000000000000007</v>
      </c>
      <c r="Q42" s="46" t="s">
        <v>271</v>
      </c>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row>
    <row r="43" spans="1:114" s="92" customFormat="1" x14ac:dyDescent="0.3">
      <c r="A43" s="64" t="s">
        <v>117</v>
      </c>
      <c r="B43" s="23"/>
      <c r="C43" s="23" t="s">
        <v>62</v>
      </c>
      <c r="D43" s="64" t="s">
        <v>177</v>
      </c>
      <c r="E43" s="87"/>
      <c r="F43" s="88">
        <v>9.4999999999999998E-3</v>
      </c>
      <c r="G43" s="281">
        <v>1453566.24</v>
      </c>
      <c r="H43" s="32">
        <f>182708.22+1453566.24</f>
        <v>1636274.46</v>
      </c>
      <c r="I43" s="94">
        <f t="shared" si="0"/>
        <v>-182708.21999999997</v>
      </c>
      <c r="J43" s="95">
        <f t="shared" si="4"/>
        <v>0</v>
      </c>
      <c r="K43" s="129"/>
      <c r="L43" s="95">
        <f t="shared" si="6"/>
        <v>175635.65648000001</v>
      </c>
      <c r="M43" s="135">
        <v>0</v>
      </c>
      <c r="N43" s="130">
        <f t="shared" si="7"/>
        <v>-7072.76</v>
      </c>
      <c r="O43" s="97">
        <f t="shared" si="8"/>
        <v>-7496.76</v>
      </c>
      <c r="P43" s="116">
        <f t="shared" si="9"/>
        <v>0.24000000000000007</v>
      </c>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c r="CO43" s="46"/>
      <c r="CP43" s="46"/>
      <c r="CQ43" s="46"/>
      <c r="CR43" s="46"/>
      <c r="CS43" s="46"/>
      <c r="CT43" s="46"/>
      <c r="CU43" s="46"/>
      <c r="CV43" s="46"/>
      <c r="CW43" s="46"/>
      <c r="CX43" s="46"/>
      <c r="CY43" s="46"/>
      <c r="CZ43" s="46"/>
      <c r="DA43" s="46"/>
      <c r="DB43" s="46"/>
      <c r="DC43" s="46"/>
      <c r="DD43" s="46"/>
      <c r="DE43" s="46"/>
      <c r="DF43" s="46"/>
      <c r="DG43" s="46"/>
      <c r="DH43" s="46"/>
      <c r="DI43" s="46"/>
      <c r="DJ43" s="46"/>
    </row>
    <row r="44" spans="1:114" x14ac:dyDescent="0.3">
      <c r="A44" s="37" t="s">
        <v>115</v>
      </c>
      <c r="B44" s="3"/>
      <c r="C44" s="23" t="s">
        <v>63</v>
      </c>
      <c r="D44" s="64" t="s">
        <v>182</v>
      </c>
      <c r="E44" s="87"/>
      <c r="F44" s="88">
        <v>1.6400000000000001E-2</v>
      </c>
      <c r="G44" s="89">
        <v>430106.25</v>
      </c>
      <c r="H44" s="32">
        <f t="shared" ref="H44:H50" si="13">G44</f>
        <v>430106.25</v>
      </c>
      <c r="I44" s="94">
        <f t="shared" si="0"/>
        <v>0</v>
      </c>
      <c r="J44" s="95">
        <f t="shared" si="4"/>
        <v>0</v>
      </c>
      <c r="K44" s="129">
        <f t="shared" si="5"/>
        <v>125043.5384</v>
      </c>
      <c r="L44" s="95">
        <f t="shared" si="6"/>
        <v>303202.60697600001</v>
      </c>
      <c r="M44" s="135">
        <v>0</v>
      </c>
      <c r="N44" s="130">
        <f t="shared" si="7"/>
        <v>428246.25</v>
      </c>
      <c r="O44" s="97">
        <f t="shared" si="8"/>
        <v>453941.25</v>
      </c>
      <c r="P44" s="85">
        <f t="shared" si="9"/>
        <v>0.25000000000000006</v>
      </c>
    </row>
    <row r="45" spans="1:114" x14ac:dyDescent="0.3">
      <c r="A45" s="37" t="s">
        <v>116</v>
      </c>
      <c r="B45" s="3"/>
      <c r="C45" s="23" t="s">
        <v>64</v>
      </c>
      <c r="D45" s="64" t="s">
        <v>183</v>
      </c>
      <c r="E45" s="87" t="s">
        <v>249</v>
      </c>
      <c r="F45" s="88">
        <v>7.1999999999999998E-3</v>
      </c>
      <c r="G45" s="89">
        <v>188827.26</v>
      </c>
      <c r="H45" s="32">
        <f t="shared" si="13"/>
        <v>188827.26</v>
      </c>
      <c r="I45" s="94">
        <f t="shared" si="0"/>
        <v>0</v>
      </c>
      <c r="J45" s="95">
        <f t="shared" si="4"/>
        <v>0</v>
      </c>
      <c r="K45" s="129"/>
      <c r="L45" s="95">
        <f t="shared" si="6"/>
        <v>133113.33964799999</v>
      </c>
      <c r="M45" s="135">
        <v>0</v>
      </c>
      <c r="N45" s="130">
        <f t="shared" si="7"/>
        <v>133113.26</v>
      </c>
      <c r="O45" s="97">
        <f t="shared" si="8"/>
        <v>141100.26</v>
      </c>
      <c r="P45" s="85">
        <f t="shared" si="9"/>
        <v>0.26000000000000006</v>
      </c>
    </row>
    <row r="46" spans="1:114" x14ac:dyDescent="0.3">
      <c r="A46" s="37" t="s">
        <v>115</v>
      </c>
      <c r="B46" s="3"/>
      <c r="C46" s="23" t="s">
        <v>65</v>
      </c>
      <c r="D46" s="64" t="s">
        <v>184</v>
      </c>
      <c r="E46" s="87"/>
      <c r="F46" s="88">
        <v>1.7299999999999999E-2</v>
      </c>
      <c r="G46" s="89">
        <v>453709.27</v>
      </c>
      <c r="H46" s="32">
        <f t="shared" si="13"/>
        <v>453709.27</v>
      </c>
      <c r="I46" s="94">
        <f t="shared" si="0"/>
        <v>0</v>
      </c>
      <c r="J46" s="95">
        <f t="shared" si="4"/>
        <v>0</v>
      </c>
      <c r="K46" s="129"/>
      <c r="L46" s="95">
        <f t="shared" si="6"/>
        <v>319841.77443200001</v>
      </c>
      <c r="M46" s="135">
        <v>0</v>
      </c>
      <c r="N46" s="130">
        <f t="shared" si="7"/>
        <v>319842.27</v>
      </c>
      <c r="O46" s="97">
        <f t="shared" si="8"/>
        <v>339033.27</v>
      </c>
      <c r="P46" s="85">
        <f t="shared" si="9"/>
        <v>0.27000000000000007</v>
      </c>
      <c r="Q46" t="s">
        <v>244</v>
      </c>
      <c r="R46" t="s">
        <v>244</v>
      </c>
    </row>
    <row r="47" spans="1:114" x14ac:dyDescent="0.3">
      <c r="A47" s="115" t="s">
        <v>117</v>
      </c>
      <c r="B47" s="114"/>
      <c r="C47" s="23" t="s">
        <v>66</v>
      </c>
      <c r="D47" s="64" t="s">
        <v>287</v>
      </c>
      <c r="E47" s="87"/>
      <c r="F47" s="88">
        <v>9.4000000000000004E-3</v>
      </c>
      <c r="G47" s="89">
        <v>261524.28</v>
      </c>
      <c r="H47" s="32">
        <f t="shared" si="13"/>
        <v>261524.28</v>
      </c>
      <c r="I47" s="94">
        <f t="shared" si="0"/>
        <v>0</v>
      </c>
      <c r="J47" s="95">
        <f t="shared" si="4"/>
        <v>0</v>
      </c>
      <c r="K47" s="129"/>
      <c r="L47" s="95">
        <f t="shared" si="6"/>
        <v>173786.86009600002</v>
      </c>
      <c r="M47" s="135">
        <v>0</v>
      </c>
      <c r="N47" s="130">
        <f t="shared" si="7"/>
        <v>173787.28</v>
      </c>
      <c r="O47" s="97">
        <f t="shared" si="8"/>
        <v>184215.28</v>
      </c>
      <c r="P47" s="85">
        <f t="shared" si="9"/>
        <v>0.28000000000000008</v>
      </c>
    </row>
    <row r="48" spans="1:114" x14ac:dyDescent="0.3">
      <c r="A48" s="37" t="s">
        <v>117</v>
      </c>
      <c r="B48" s="3"/>
      <c r="C48" s="23" t="s">
        <v>67</v>
      </c>
      <c r="D48" s="64" t="s">
        <v>175</v>
      </c>
      <c r="E48" s="87" t="s">
        <v>277</v>
      </c>
      <c r="F48" s="88">
        <v>8.6999999999999994E-3</v>
      </c>
      <c r="G48" s="97">
        <v>284256.28999999998</v>
      </c>
      <c r="H48" s="32">
        <f t="shared" si="13"/>
        <v>284256.28999999998</v>
      </c>
      <c r="I48" s="94">
        <f t="shared" si="0"/>
        <v>0</v>
      </c>
      <c r="J48" s="95">
        <f t="shared" si="4"/>
        <v>0</v>
      </c>
      <c r="K48" s="129">
        <f t="shared" si="5"/>
        <v>66334.072199999995</v>
      </c>
      <c r="L48" s="95">
        <f t="shared" si="6"/>
        <v>160845.285408</v>
      </c>
      <c r="M48" s="135">
        <v>0</v>
      </c>
      <c r="N48" s="130">
        <f t="shared" si="7"/>
        <v>227179.29</v>
      </c>
      <c r="O48" s="97">
        <f t="shared" si="8"/>
        <v>240810.29</v>
      </c>
      <c r="P48" s="85">
        <f t="shared" si="9"/>
        <v>0.29000000000000009</v>
      </c>
    </row>
    <row r="49" spans="1:18" x14ac:dyDescent="0.3">
      <c r="A49" s="37" t="s">
        <v>117</v>
      </c>
      <c r="B49" s="3"/>
      <c r="C49" s="23" t="s">
        <v>68</v>
      </c>
      <c r="D49" s="64" t="s">
        <v>185</v>
      </c>
      <c r="E49" s="87"/>
      <c r="F49" s="88">
        <v>9.4999999999999998E-3</v>
      </c>
      <c r="G49" s="89">
        <v>249147.3</v>
      </c>
      <c r="H49" s="32">
        <f>G49</f>
        <v>249147.3</v>
      </c>
      <c r="I49" s="94">
        <f t="shared" si="0"/>
        <v>0</v>
      </c>
      <c r="J49" s="95">
        <f t="shared" si="4"/>
        <v>0</v>
      </c>
      <c r="K49" s="129"/>
      <c r="L49" s="95">
        <f t="shared" si="6"/>
        <v>175635.65648000001</v>
      </c>
      <c r="M49" s="135">
        <v>0</v>
      </c>
      <c r="N49" s="130">
        <f t="shared" si="7"/>
        <v>175636.3</v>
      </c>
      <c r="O49" s="97">
        <f t="shared" si="8"/>
        <v>186174.3</v>
      </c>
      <c r="P49" s="85">
        <f t="shared" si="9"/>
        <v>0.3000000000000001</v>
      </c>
    </row>
    <row r="50" spans="1:18" x14ac:dyDescent="0.3">
      <c r="A50" s="37" t="s">
        <v>115</v>
      </c>
      <c r="B50" s="3"/>
      <c r="C50" s="23" t="s">
        <v>69</v>
      </c>
      <c r="D50" s="64" t="s">
        <v>389</v>
      </c>
      <c r="E50" s="87"/>
      <c r="F50" s="88">
        <v>1.6400000000000001E-2</v>
      </c>
      <c r="G50" s="89">
        <v>445106.31</v>
      </c>
      <c r="H50" s="32">
        <f t="shared" si="13"/>
        <v>445106.31</v>
      </c>
      <c r="I50" s="94">
        <f t="shared" si="0"/>
        <v>0</v>
      </c>
      <c r="J50" s="95">
        <f t="shared" si="4"/>
        <v>0</v>
      </c>
      <c r="K50" s="129"/>
      <c r="L50" s="95">
        <f t="shared" si="6"/>
        <v>303202.60697600001</v>
      </c>
      <c r="M50" s="135">
        <v>0</v>
      </c>
      <c r="N50" s="130">
        <f t="shared" si="7"/>
        <v>303203.31</v>
      </c>
      <c r="O50" s="97">
        <f t="shared" si="8"/>
        <v>321396.31</v>
      </c>
      <c r="P50" s="85">
        <f t="shared" si="9"/>
        <v>0.31000000000000011</v>
      </c>
    </row>
    <row r="51" spans="1:18" x14ac:dyDescent="0.3">
      <c r="A51" s="37" t="s">
        <v>116</v>
      </c>
      <c r="B51" s="3"/>
      <c r="C51" s="23" t="s">
        <v>70</v>
      </c>
      <c r="D51" s="64" t="s">
        <v>187</v>
      </c>
      <c r="E51" s="87"/>
      <c r="F51" s="88">
        <v>7.1999999999999998E-3</v>
      </c>
      <c r="G51" s="89">
        <v>313214.32</v>
      </c>
      <c r="H51" s="32">
        <v>332007.32</v>
      </c>
      <c r="I51" s="94">
        <f t="shared" si="0"/>
        <v>-18793</v>
      </c>
      <c r="J51" s="95">
        <f t="shared" si="4"/>
        <v>0</v>
      </c>
      <c r="K51" s="129">
        <f t="shared" si="5"/>
        <v>54897.163199999995</v>
      </c>
      <c r="L51" s="95">
        <f t="shared" si="6"/>
        <v>133113.33964799999</v>
      </c>
      <c r="M51" s="135">
        <v>0</v>
      </c>
      <c r="N51" s="130">
        <f t="shared" si="7"/>
        <v>169218.32</v>
      </c>
      <c r="O51" s="97">
        <f t="shared" si="8"/>
        <v>179371.32</v>
      </c>
      <c r="P51" s="85">
        <f t="shared" si="9"/>
        <v>0.32000000000000012</v>
      </c>
      <c r="Q51" s="31"/>
    </row>
    <row r="52" spans="1:18" x14ac:dyDescent="0.3">
      <c r="A52" s="37" t="s">
        <v>115</v>
      </c>
      <c r="B52" s="3"/>
      <c r="C52" s="23" t="s">
        <v>71</v>
      </c>
      <c r="D52" s="64" t="s">
        <v>388</v>
      </c>
      <c r="E52" s="87"/>
      <c r="F52" s="88">
        <v>1.7299999999999999E-2</v>
      </c>
      <c r="G52" s="89">
        <v>468709.33</v>
      </c>
      <c r="H52" s="32">
        <f>G52</f>
        <v>468709.33</v>
      </c>
      <c r="I52" s="94">
        <f t="shared" si="0"/>
        <v>0</v>
      </c>
      <c r="J52" s="95">
        <f t="shared" ref="J52:J83" si="14">N$9*F52</f>
        <v>0</v>
      </c>
      <c r="K52" s="129"/>
      <c r="L52" s="95">
        <f t="shared" ref="L52:L83" si="15">N$2*F52</f>
        <v>319841.77443200001</v>
      </c>
      <c r="M52" s="135">
        <v>0</v>
      </c>
      <c r="N52" s="130">
        <f t="shared" si="7"/>
        <v>319842.33</v>
      </c>
      <c r="O52" s="97">
        <f t="shared" si="8"/>
        <v>339033.33</v>
      </c>
      <c r="P52" s="85">
        <f t="shared" si="9"/>
        <v>0.33000000000000013</v>
      </c>
      <c r="Q52" s="31"/>
    </row>
    <row r="53" spans="1:18" x14ac:dyDescent="0.3">
      <c r="A53" s="37" t="s">
        <v>117</v>
      </c>
      <c r="B53" s="3"/>
      <c r="C53" s="23" t="s">
        <v>72</v>
      </c>
      <c r="D53" s="64" t="s">
        <v>259</v>
      </c>
      <c r="E53" s="87" t="s">
        <v>356</v>
      </c>
      <c r="F53" s="88">
        <v>9.4000000000000004E-3</v>
      </c>
      <c r="G53" s="89">
        <v>246524.34</v>
      </c>
      <c r="H53" s="32">
        <f>G53</f>
        <v>246524.34</v>
      </c>
      <c r="I53" s="94">
        <f t="shared" si="0"/>
        <v>0</v>
      </c>
      <c r="J53" s="95">
        <f t="shared" si="14"/>
        <v>0</v>
      </c>
      <c r="K53" s="129"/>
      <c r="L53" s="95">
        <f t="shared" si="15"/>
        <v>173786.86009600002</v>
      </c>
      <c r="M53" s="135">
        <v>0</v>
      </c>
      <c r="N53" s="130">
        <f t="shared" si="7"/>
        <v>173787.34</v>
      </c>
      <c r="O53" s="97">
        <f t="shared" si="8"/>
        <v>184215.34</v>
      </c>
      <c r="P53" s="85">
        <f t="shared" si="9"/>
        <v>0.34000000000000014</v>
      </c>
      <c r="Q53" t="s">
        <v>355</v>
      </c>
    </row>
    <row r="54" spans="1:18" x14ac:dyDescent="0.3">
      <c r="A54" s="37" t="s">
        <v>117</v>
      </c>
      <c r="B54" s="3"/>
      <c r="C54" s="23" t="s">
        <v>73</v>
      </c>
      <c r="D54" s="64" t="s">
        <v>217</v>
      </c>
      <c r="E54" s="87"/>
      <c r="F54" s="88">
        <v>8.6999999999999994E-3</v>
      </c>
      <c r="G54" s="89">
        <v>228166.35</v>
      </c>
      <c r="H54" s="32">
        <f>G54</f>
        <v>228166.35</v>
      </c>
      <c r="I54" s="94">
        <f>G54-H54</f>
        <v>0</v>
      </c>
      <c r="J54" s="95">
        <f t="shared" si="14"/>
        <v>0</v>
      </c>
      <c r="K54" s="129"/>
      <c r="L54" s="95">
        <f t="shared" si="15"/>
        <v>160845.285408</v>
      </c>
      <c r="M54" s="135">
        <v>0</v>
      </c>
      <c r="N54" s="130">
        <f t="shared" si="7"/>
        <v>160845.35</v>
      </c>
      <c r="O54" s="97">
        <f t="shared" si="8"/>
        <v>170496.35</v>
      </c>
      <c r="P54" s="85">
        <f t="shared" si="9"/>
        <v>0.35000000000000014</v>
      </c>
    </row>
    <row r="55" spans="1:18" x14ac:dyDescent="0.3">
      <c r="A55" s="64" t="s">
        <v>117</v>
      </c>
      <c r="B55" s="23"/>
      <c r="C55" s="23" t="s">
        <v>74</v>
      </c>
      <c r="D55" s="64" t="s">
        <v>189</v>
      </c>
      <c r="E55" s="87"/>
      <c r="F55" s="88">
        <v>9.4999999999999998E-3</v>
      </c>
      <c r="G55" s="89">
        <v>249147.36</v>
      </c>
      <c r="H55" s="32">
        <f>G55</f>
        <v>249147.36</v>
      </c>
      <c r="I55" s="94">
        <f>G55-H55</f>
        <v>0</v>
      </c>
      <c r="J55" s="95">
        <f t="shared" si="14"/>
        <v>0</v>
      </c>
      <c r="K55" s="129">
        <f t="shared" si="5"/>
        <v>72433.756999999998</v>
      </c>
      <c r="L55" s="95">
        <f t="shared" si="15"/>
        <v>175635.65648000001</v>
      </c>
      <c r="M55" s="135">
        <v>20000</v>
      </c>
      <c r="N55" s="130">
        <f t="shared" si="7"/>
        <v>268069.36</v>
      </c>
      <c r="O55" s="97">
        <f t="shared" si="8"/>
        <v>284154.36</v>
      </c>
      <c r="P55" s="85">
        <f t="shared" si="9"/>
        <v>0.36000000000000015</v>
      </c>
    </row>
    <row r="56" spans="1:18" x14ac:dyDescent="0.3">
      <c r="A56" s="37" t="s">
        <v>115</v>
      </c>
      <c r="B56" s="3"/>
      <c r="C56" s="23" t="s">
        <v>75</v>
      </c>
      <c r="D56" s="64" t="s">
        <v>419</v>
      </c>
      <c r="E56" s="87"/>
      <c r="F56" s="88">
        <v>1.6400000000000001E-2</v>
      </c>
      <c r="G56" s="89">
        <v>430106.37</v>
      </c>
      <c r="H56" s="32">
        <f>G56</f>
        <v>430106.37</v>
      </c>
      <c r="I56" s="94">
        <f t="shared" si="0"/>
        <v>0</v>
      </c>
      <c r="J56" s="95">
        <f t="shared" si="14"/>
        <v>0</v>
      </c>
      <c r="K56" s="129"/>
      <c r="L56" s="95">
        <f t="shared" si="15"/>
        <v>303202.60697600001</v>
      </c>
      <c r="M56" s="135">
        <v>15000</v>
      </c>
      <c r="N56" s="130">
        <f t="shared" si="7"/>
        <v>318203.37</v>
      </c>
      <c r="O56" s="97">
        <f t="shared" si="8"/>
        <v>337296.37</v>
      </c>
      <c r="P56" s="85">
        <f t="shared" si="9"/>
        <v>0.37000000000000016</v>
      </c>
      <c r="R56" s="39"/>
    </row>
    <row r="57" spans="1:18" x14ac:dyDescent="0.3">
      <c r="A57" s="37" t="s">
        <v>116</v>
      </c>
      <c r="B57" s="3"/>
      <c r="C57" s="23" t="s">
        <v>76</v>
      </c>
      <c r="D57" s="64" t="s">
        <v>190</v>
      </c>
      <c r="E57" s="87" t="s">
        <v>250</v>
      </c>
      <c r="F57" s="88">
        <v>7.1999999999999998E-3</v>
      </c>
      <c r="G57" s="89">
        <v>188827.38</v>
      </c>
      <c r="H57" s="32">
        <f t="shared" ref="H57" si="16">G57</f>
        <v>188827.38</v>
      </c>
      <c r="I57" s="94">
        <f t="shared" si="0"/>
        <v>0</v>
      </c>
      <c r="J57" s="95">
        <f t="shared" si="14"/>
        <v>0</v>
      </c>
      <c r="K57" s="129"/>
      <c r="L57" s="95">
        <f t="shared" si="15"/>
        <v>133113.33964799999</v>
      </c>
      <c r="M57" s="135">
        <v>0</v>
      </c>
      <c r="N57" s="130">
        <f t="shared" si="7"/>
        <v>133113.38</v>
      </c>
      <c r="O57" s="97">
        <f t="shared" si="8"/>
        <v>141100.38</v>
      </c>
      <c r="P57" s="85">
        <f t="shared" si="9"/>
        <v>0.38000000000000017</v>
      </c>
    </row>
    <row r="58" spans="1:18" x14ac:dyDescent="0.3">
      <c r="A58" s="37" t="s">
        <v>115</v>
      </c>
      <c r="B58" s="3"/>
      <c r="C58" s="23" t="s">
        <v>77</v>
      </c>
      <c r="D58" s="64" t="s">
        <v>390</v>
      </c>
      <c r="E58" s="87"/>
      <c r="F58" s="88">
        <v>1.7299999999999999E-2</v>
      </c>
      <c r="G58" s="89">
        <v>453709.39</v>
      </c>
      <c r="H58" s="32">
        <f>G58</f>
        <v>453709.39</v>
      </c>
      <c r="I58" s="94">
        <f t="shared" si="0"/>
        <v>0</v>
      </c>
      <c r="J58" s="95">
        <f t="shared" si="14"/>
        <v>0</v>
      </c>
      <c r="K58" s="129"/>
      <c r="L58" s="95">
        <f t="shared" si="15"/>
        <v>319841.77443200001</v>
      </c>
      <c r="M58" s="135">
        <v>0</v>
      </c>
      <c r="N58" s="130">
        <f t="shared" si="7"/>
        <v>319842.39</v>
      </c>
      <c r="O58" s="97">
        <f t="shared" si="8"/>
        <v>339033.39</v>
      </c>
      <c r="P58" s="85">
        <f t="shared" si="9"/>
        <v>0.39000000000000018</v>
      </c>
    </row>
    <row r="59" spans="1:18" x14ac:dyDescent="0.3">
      <c r="A59" s="37" t="s">
        <v>117</v>
      </c>
      <c r="B59" s="3"/>
      <c r="C59" s="23" t="s">
        <v>78</v>
      </c>
      <c r="D59" s="64" t="s">
        <v>391</v>
      </c>
      <c r="E59" s="87" t="s">
        <v>288</v>
      </c>
      <c r="F59" s="88">
        <v>9.4000000000000004E-3</v>
      </c>
      <c r="G59" s="89">
        <v>261524.4</v>
      </c>
      <c r="H59" s="32">
        <f t="shared" ref="H59" si="17">G59</f>
        <v>261524.4</v>
      </c>
      <c r="I59" s="94">
        <f t="shared" si="0"/>
        <v>0</v>
      </c>
      <c r="J59" s="95">
        <f t="shared" si="14"/>
        <v>0</v>
      </c>
      <c r="K59" s="129">
        <f t="shared" si="5"/>
        <v>71671.296400000007</v>
      </c>
      <c r="L59" s="95">
        <f t="shared" si="15"/>
        <v>173786.86009600002</v>
      </c>
      <c r="M59" s="135">
        <v>0</v>
      </c>
      <c r="N59" s="130">
        <f t="shared" si="7"/>
        <v>245458.4</v>
      </c>
      <c r="O59" s="97">
        <f t="shared" si="8"/>
        <v>260186.4</v>
      </c>
      <c r="P59" s="85">
        <f t="shared" si="9"/>
        <v>0.40000000000000019</v>
      </c>
    </row>
    <row r="60" spans="1:18" x14ac:dyDescent="0.3">
      <c r="A60" s="64" t="s">
        <v>117</v>
      </c>
      <c r="B60" s="23"/>
      <c r="C60" s="23" t="s">
        <v>79</v>
      </c>
      <c r="D60" s="64" t="s">
        <v>392</v>
      </c>
      <c r="E60" s="87"/>
      <c r="F60" s="88">
        <v>8.6999999999999994E-3</v>
      </c>
      <c r="G60" s="32">
        <v>228166.41</v>
      </c>
      <c r="H60" s="32">
        <f t="shared" ref="H60:H61" si="18">G60</f>
        <v>228166.41</v>
      </c>
      <c r="I60" s="94">
        <f t="shared" si="0"/>
        <v>0</v>
      </c>
      <c r="J60" s="95">
        <f t="shared" si="14"/>
        <v>0</v>
      </c>
      <c r="K60" s="129">
        <f t="shared" si="5"/>
        <v>66334.072199999995</v>
      </c>
      <c r="L60" s="95">
        <f t="shared" si="15"/>
        <v>160845.285408</v>
      </c>
      <c r="M60" s="135">
        <v>0</v>
      </c>
      <c r="N60" s="130">
        <f t="shared" si="7"/>
        <v>227179.41</v>
      </c>
      <c r="O60" s="97">
        <f t="shared" si="8"/>
        <v>240810.41</v>
      </c>
      <c r="P60" s="85">
        <f t="shared" si="9"/>
        <v>0.4100000000000002</v>
      </c>
      <c r="R60" t="s">
        <v>236</v>
      </c>
    </row>
    <row r="61" spans="1:18" x14ac:dyDescent="0.3">
      <c r="A61" s="64" t="s">
        <v>117</v>
      </c>
      <c r="B61" s="23"/>
      <c r="C61" s="23" t="s">
        <v>80</v>
      </c>
      <c r="D61" s="64" t="s">
        <v>393</v>
      </c>
      <c r="E61" s="87"/>
      <c r="F61" s="88">
        <v>9.4999999999999998E-3</v>
      </c>
      <c r="G61" s="89">
        <v>249147.42</v>
      </c>
      <c r="H61" s="32">
        <f t="shared" si="18"/>
        <v>249147.42</v>
      </c>
      <c r="I61" s="94">
        <f t="shared" si="0"/>
        <v>0</v>
      </c>
      <c r="J61" s="95">
        <f t="shared" si="14"/>
        <v>0</v>
      </c>
      <c r="K61" s="129"/>
      <c r="L61" s="95">
        <f t="shared" si="15"/>
        <v>175635.65648000001</v>
      </c>
      <c r="M61" s="135">
        <v>0</v>
      </c>
      <c r="N61" s="130">
        <f t="shared" si="7"/>
        <v>175636.42</v>
      </c>
      <c r="O61" s="97">
        <f t="shared" si="8"/>
        <v>186175.42</v>
      </c>
      <c r="P61" s="85">
        <f t="shared" si="9"/>
        <v>0.42000000000000021</v>
      </c>
      <c r="Q61" t="s">
        <v>257</v>
      </c>
    </row>
    <row r="62" spans="1:18" x14ac:dyDescent="0.3">
      <c r="A62" s="64" t="s">
        <v>115</v>
      </c>
      <c r="B62" s="23"/>
      <c r="C62" s="23" t="s">
        <v>81</v>
      </c>
      <c r="D62" s="64" t="s">
        <v>194</v>
      </c>
      <c r="E62" s="87"/>
      <c r="F62" s="88">
        <v>1.6400000000000001E-2</v>
      </c>
      <c r="G62" s="89">
        <v>413109.43</v>
      </c>
      <c r="H62" s="32">
        <f t="shared" ref="H62:H63" si="19">G62</f>
        <v>413109.43</v>
      </c>
      <c r="I62" s="94">
        <f t="shared" si="0"/>
        <v>0</v>
      </c>
      <c r="J62" s="95">
        <f t="shared" si="14"/>
        <v>0</v>
      </c>
      <c r="K62" s="129"/>
      <c r="L62" s="95">
        <f t="shared" si="15"/>
        <v>303202.60697600001</v>
      </c>
      <c r="M62" s="135">
        <v>0</v>
      </c>
      <c r="N62" s="130">
        <f t="shared" si="7"/>
        <v>303203.43</v>
      </c>
      <c r="O62" s="97">
        <f t="shared" si="8"/>
        <v>321396.43</v>
      </c>
      <c r="P62" s="85">
        <f t="shared" si="9"/>
        <v>0.43000000000000022</v>
      </c>
    </row>
    <row r="63" spans="1:18" x14ac:dyDescent="0.3">
      <c r="A63" s="64" t="s">
        <v>116</v>
      </c>
      <c r="B63" s="23"/>
      <c r="C63" s="23" t="s">
        <v>82</v>
      </c>
      <c r="D63" s="64" t="s">
        <v>194</v>
      </c>
      <c r="E63" s="87"/>
      <c r="F63" s="88">
        <v>7.1999999999999998E-3</v>
      </c>
      <c r="G63" s="89">
        <v>181363.44</v>
      </c>
      <c r="H63" s="32">
        <f t="shared" si="19"/>
        <v>181363.44</v>
      </c>
      <c r="I63" s="94">
        <f t="shared" si="0"/>
        <v>0</v>
      </c>
      <c r="J63" s="95">
        <f t="shared" si="14"/>
        <v>0</v>
      </c>
      <c r="K63" s="129"/>
      <c r="L63" s="95">
        <f t="shared" si="15"/>
        <v>133113.33964799999</v>
      </c>
      <c r="M63" s="135">
        <v>0</v>
      </c>
      <c r="N63" s="130">
        <f t="shared" si="7"/>
        <v>133113.44</v>
      </c>
      <c r="O63" s="97">
        <f t="shared" si="8"/>
        <v>141100.44</v>
      </c>
      <c r="P63" s="85">
        <f t="shared" si="9"/>
        <v>0.44000000000000022</v>
      </c>
    </row>
    <row r="64" spans="1:18" x14ac:dyDescent="0.3">
      <c r="A64" s="64" t="s">
        <v>115</v>
      </c>
      <c r="B64" s="23"/>
      <c r="C64" s="269" t="s">
        <v>83</v>
      </c>
      <c r="D64" s="270" t="s">
        <v>195</v>
      </c>
      <c r="E64" s="271"/>
      <c r="F64" s="272">
        <v>1.7299999999999999E-2</v>
      </c>
      <c r="G64" s="273">
        <v>473709.45</v>
      </c>
      <c r="H64" s="283">
        <f>G64</f>
        <v>473709.45</v>
      </c>
      <c r="I64" s="274">
        <f t="shared" si="0"/>
        <v>0</v>
      </c>
      <c r="J64" s="275">
        <f t="shared" si="14"/>
        <v>0</v>
      </c>
      <c r="K64" s="276">
        <f t="shared" si="5"/>
        <v>131905.6838</v>
      </c>
      <c r="L64" s="275">
        <f t="shared" si="15"/>
        <v>319841.77443200001</v>
      </c>
      <c r="M64" s="277">
        <v>0</v>
      </c>
      <c r="N64" s="278">
        <f t="shared" si="7"/>
        <v>451747.45</v>
      </c>
      <c r="O64" s="279">
        <f t="shared" si="8"/>
        <v>478852.45</v>
      </c>
      <c r="P64" s="85">
        <f t="shared" si="9"/>
        <v>0.45000000000000023</v>
      </c>
    </row>
    <row r="65" spans="1:19" x14ac:dyDescent="0.3">
      <c r="A65" s="270" t="s">
        <v>117</v>
      </c>
      <c r="B65" s="269"/>
      <c r="C65" s="269" t="s">
        <v>84</v>
      </c>
      <c r="D65" s="270" t="s">
        <v>196</v>
      </c>
      <c r="E65" s="271" t="s">
        <v>357</v>
      </c>
      <c r="F65" s="272">
        <v>9.4000000000000004E-3</v>
      </c>
      <c r="G65" s="273">
        <v>261524.46</v>
      </c>
      <c r="H65" s="283">
        <f>G65+15000</f>
        <v>276524.45999999996</v>
      </c>
      <c r="I65" s="274">
        <f t="shared" si="0"/>
        <v>-14999.999999999971</v>
      </c>
      <c r="J65" s="275">
        <f t="shared" si="14"/>
        <v>0</v>
      </c>
      <c r="K65" s="276"/>
      <c r="L65" s="275">
        <f t="shared" si="15"/>
        <v>173786.86009600002</v>
      </c>
      <c r="M65" s="277">
        <v>0</v>
      </c>
      <c r="N65" s="278">
        <f t="shared" si="7"/>
        <v>158787.46</v>
      </c>
      <c r="O65" s="279">
        <f t="shared" si="8"/>
        <v>168315.46</v>
      </c>
      <c r="P65" s="116">
        <f t="shared" si="9"/>
        <v>0.46000000000000024</v>
      </c>
    </row>
    <row r="66" spans="1:19" x14ac:dyDescent="0.3">
      <c r="A66" s="64" t="s">
        <v>117</v>
      </c>
      <c r="B66" s="23"/>
      <c r="C66" s="23" t="s">
        <v>85</v>
      </c>
      <c r="D66" s="64" t="s">
        <v>175</v>
      </c>
      <c r="E66" s="87"/>
      <c r="F66" s="88">
        <v>8.6999999999999994E-3</v>
      </c>
      <c r="G66" s="89">
        <v>241856.47</v>
      </c>
      <c r="H66" s="32">
        <f>G66</f>
        <v>241856.47</v>
      </c>
      <c r="I66" s="94">
        <f t="shared" si="0"/>
        <v>0</v>
      </c>
      <c r="J66" s="95">
        <f t="shared" si="14"/>
        <v>0</v>
      </c>
      <c r="K66" s="129">
        <f t="shared" si="5"/>
        <v>66334.072199999995</v>
      </c>
      <c r="L66" s="95">
        <f t="shared" si="15"/>
        <v>160845.285408</v>
      </c>
      <c r="M66" s="135">
        <v>0</v>
      </c>
      <c r="N66" s="130">
        <f t="shared" si="7"/>
        <v>227179.47</v>
      </c>
      <c r="O66" s="97">
        <f t="shared" si="8"/>
        <v>240810.47</v>
      </c>
      <c r="P66" s="116">
        <f t="shared" si="9"/>
        <v>0.47000000000000025</v>
      </c>
    </row>
    <row r="67" spans="1:19" x14ac:dyDescent="0.3">
      <c r="A67" s="64" t="s">
        <v>117</v>
      </c>
      <c r="B67" s="23"/>
      <c r="C67" s="23" t="s">
        <v>86</v>
      </c>
      <c r="D67" s="64" t="s">
        <v>197</v>
      </c>
      <c r="E67" s="87"/>
      <c r="F67" s="88">
        <v>9.4999999999999998E-3</v>
      </c>
      <c r="G67" s="89">
        <v>360229.48</v>
      </c>
      <c r="H67" s="32">
        <f>249147+111082.48</f>
        <v>360229.48</v>
      </c>
      <c r="I67" s="94">
        <f t="shared" si="0"/>
        <v>0</v>
      </c>
      <c r="J67" s="95">
        <f t="shared" si="14"/>
        <v>0</v>
      </c>
      <c r="K67" s="129"/>
      <c r="L67" s="95">
        <f t="shared" si="15"/>
        <v>175635.65648000001</v>
      </c>
      <c r="M67" s="135">
        <v>0</v>
      </c>
      <c r="N67" s="130">
        <f t="shared" si="7"/>
        <v>175636.48000000001</v>
      </c>
      <c r="O67" s="97">
        <f t="shared" si="8"/>
        <v>186175.48</v>
      </c>
      <c r="P67" s="116">
        <f t="shared" si="9"/>
        <v>0.48000000000000026</v>
      </c>
      <c r="S67" s="125"/>
    </row>
    <row r="68" spans="1:19" x14ac:dyDescent="0.3">
      <c r="A68" s="64" t="s">
        <v>115</v>
      </c>
      <c r="B68" s="23"/>
      <c r="C68" s="23" t="s">
        <v>87</v>
      </c>
      <c r="D68" s="64" t="s">
        <v>198</v>
      </c>
      <c r="E68" s="87"/>
      <c r="F68" s="88">
        <v>1.6400000000000001E-2</v>
      </c>
      <c r="G68" s="89">
        <v>445106.49</v>
      </c>
      <c r="H68" s="32">
        <f>G68</f>
        <v>445106.49</v>
      </c>
      <c r="I68" s="94">
        <f t="shared" si="0"/>
        <v>0</v>
      </c>
      <c r="J68" s="95">
        <f t="shared" si="14"/>
        <v>0</v>
      </c>
      <c r="K68" s="129">
        <f t="shared" si="5"/>
        <v>125043.5384</v>
      </c>
      <c r="L68" s="95">
        <f t="shared" si="15"/>
        <v>303202.60697600001</v>
      </c>
      <c r="M68" s="135">
        <v>0</v>
      </c>
      <c r="N68" s="130">
        <f t="shared" si="7"/>
        <v>428246.49</v>
      </c>
      <c r="O68" s="97">
        <f t="shared" si="8"/>
        <v>453941.49</v>
      </c>
      <c r="P68" s="85">
        <f t="shared" si="9"/>
        <v>0.49000000000000027</v>
      </c>
      <c r="S68" s="31"/>
    </row>
    <row r="69" spans="1:19" x14ac:dyDescent="0.3">
      <c r="A69" s="91" t="s">
        <v>116</v>
      </c>
      <c r="B69" s="90"/>
      <c r="C69" s="23" t="s">
        <v>88</v>
      </c>
      <c r="D69" s="64" t="s">
        <v>354</v>
      </c>
      <c r="E69" s="87"/>
      <c r="F69" s="88">
        <v>7.1999999999999998E-3</v>
      </c>
      <c r="G69" s="89">
        <v>188827.5</v>
      </c>
      <c r="H69" s="32">
        <f>G69</f>
        <v>188827.5</v>
      </c>
      <c r="I69" s="94">
        <f t="shared" si="0"/>
        <v>0</v>
      </c>
      <c r="J69" s="95">
        <f t="shared" si="14"/>
        <v>0</v>
      </c>
      <c r="K69" s="129">
        <f t="shared" si="5"/>
        <v>54897.163199999995</v>
      </c>
      <c r="L69" s="95">
        <f t="shared" si="15"/>
        <v>133113.33964799999</v>
      </c>
      <c r="M69" s="135">
        <v>0</v>
      </c>
      <c r="N69" s="130">
        <f t="shared" si="7"/>
        <v>188011.5</v>
      </c>
      <c r="O69" s="97">
        <f t="shared" si="8"/>
        <v>199292.5</v>
      </c>
      <c r="P69" s="85">
        <f t="shared" si="9"/>
        <v>0.50000000000000022</v>
      </c>
    </row>
    <row r="70" spans="1:19" x14ac:dyDescent="0.3">
      <c r="A70" s="37" t="s">
        <v>115</v>
      </c>
      <c r="B70" s="3"/>
      <c r="C70" s="23" t="s">
        <v>89</v>
      </c>
      <c r="D70" s="64" t="s">
        <v>200</v>
      </c>
      <c r="E70" s="87"/>
      <c r="F70" s="88">
        <v>1.7299999999999999E-2</v>
      </c>
      <c r="G70" s="89">
        <v>453709.51</v>
      </c>
      <c r="H70" s="32">
        <f>G70</f>
        <v>453709.51</v>
      </c>
      <c r="I70" s="94">
        <f t="shared" si="0"/>
        <v>0</v>
      </c>
      <c r="J70" s="95">
        <f t="shared" si="14"/>
        <v>0</v>
      </c>
      <c r="K70" s="129">
        <f t="shared" si="5"/>
        <v>131905.6838</v>
      </c>
      <c r="L70" s="95">
        <f t="shared" si="15"/>
        <v>319841.77443200001</v>
      </c>
      <c r="M70" s="236">
        <v>0</v>
      </c>
      <c r="N70" s="130">
        <f t="shared" si="7"/>
        <v>451747.51</v>
      </c>
      <c r="O70" s="97">
        <f t="shared" si="8"/>
        <v>478852.51</v>
      </c>
      <c r="P70" s="85">
        <f t="shared" si="9"/>
        <v>0.51000000000000023</v>
      </c>
    </row>
    <row r="71" spans="1:19" x14ac:dyDescent="0.3">
      <c r="A71" s="37" t="s">
        <v>117</v>
      </c>
      <c r="B71" s="3"/>
      <c r="C71" s="23" t="s">
        <v>90</v>
      </c>
      <c r="D71" s="64" t="s">
        <v>201</v>
      </c>
      <c r="E71" s="87"/>
      <c r="F71" s="88">
        <v>9.4000000000000004E-3</v>
      </c>
      <c r="G71" s="89">
        <v>408919.52</v>
      </c>
      <c r="H71" s="32">
        <v>172138.52</v>
      </c>
      <c r="I71" s="94">
        <f t="shared" si="0"/>
        <v>236781.00000000003</v>
      </c>
      <c r="J71" s="95">
        <f t="shared" si="14"/>
        <v>0</v>
      </c>
      <c r="K71" s="129">
        <f t="shared" si="5"/>
        <v>71671.296400000007</v>
      </c>
      <c r="L71" s="95">
        <f t="shared" si="15"/>
        <v>173786.86009600002</v>
      </c>
      <c r="M71" s="135">
        <v>0</v>
      </c>
      <c r="N71" s="130">
        <f t="shared" si="7"/>
        <v>482239.52</v>
      </c>
      <c r="O71" s="97">
        <f t="shared" si="8"/>
        <v>511174.52</v>
      </c>
      <c r="P71" s="85">
        <f t="shared" si="9"/>
        <v>0.52000000000000024</v>
      </c>
    </row>
    <row r="72" spans="1:19" x14ac:dyDescent="0.3">
      <c r="A72" s="37" t="s">
        <v>117</v>
      </c>
      <c r="B72" s="3"/>
      <c r="C72" s="23" t="s">
        <v>91</v>
      </c>
      <c r="D72" s="64" t="s">
        <v>114</v>
      </c>
      <c r="E72" s="87"/>
      <c r="F72" s="88">
        <v>8.6999999999999994E-3</v>
      </c>
      <c r="G72" s="89">
        <v>241857.53</v>
      </c>
      <c r="H72" s="32">
        <v>228166.53</v>
      </c>
      <c r="I72" s="94">
        <f t="shared" si="0"/>
        <v>13691</v>
      </c>
      <c r="J72" s="95">
        <f t="shared" si="14"/>
        <v>0</v>
      </c>
      <c r="K72" s="129">
        <f t="shared" si="5"/>
        <v>66334.072199999995</v>
      </c>
      <c r="L72" s="95">
        <f t="shared" si="15"/>
        <v>160845.285408</v>
      </c>
      <c r="M72" s="135"/>
      <c r="N72" s="130">
        <f t="shared" si="7"/>
        <v>240870.53</v>
      </c>
      <c r="O72" s="97">
        <f t="shared" si="8"/>
        <v>255323.53</v>
      </c>
      <c r="P72" s="85">
        <f t="shared" si="9"/>
        <v>0.53000000000000025</v>
      </c>
      <c r="R72" t="s">
        <v>359</v>
      </c>
    </row>
    <row r="73" spans="1:19" x14ac:dyDescent="0.3">
      <c r="A73" s="37" t="s">
        <v>117</v>
      </c>
      <c r="B73" s="3"/>
      <c r="C73" s="222" t="s">
        <v>92</v>
      </c>
      <c r="D73" s="223" t="s">
        <v>202</v>
      </c>
      <c r="E73" s="224"/>
      <c r="F73" s="225">
        <v>9.4999999999999998E-3</v>
      </c>
      <c r="G73" s="226">
        <v>1050218.54</v>
      </c>
      <c r="H73" s="227"/>
      <c r="I73" s="228">
        <f t="shared" si="0"/>
        <v>1050218.54</v>
      </c>
      <c r="J73" s="229">
        <f t="shared" si="14"/>
        <v>0</v>
      </c>
      <c r="K73" s="230">
        <f t="shared" si="5"/>
        <v>72433.756999999998</v>
      </c>
      <c r="L73" s="229">
        <f t="shared" si="15"/>
        <v>175635.65648000001</v>
      </c>
      <c r="M73" s="231">
        <v>0</v>
      </c>
      <c r="N73" s="232">
        <f t="shared" si="7"/>
        <v>1298288.54</v>
      </c>
      <c r="O73" s="233">
        <f t="shared" si="8"/>
        <v>1376186.54</v>
      </c>
      <c r="P73" s="85">
        <f t="shared" si="9"/>
        <v>0.54000000000000026</v>
      </c>
    </row>
    <row r="74" spans="1:19" x14ac:dyDescent="0.3">
      <c r="A74" s="37" t="s">
        <v>118</v>
      </c>
      <c r="B74" s="3"/>
      <c r="C74" s="23" t="s">
        <v>93</v>
      </c>
      <c r="D74" s="64" t="s">
        <v>394</v>
      </c>
      <c r="E74" s="87"/>
      <c r="F74" s="88">
        <v>2.35E-2</v>
      </c>
      <c r="G74" s="89">
        <v>616310.55000000005</v>
      </c>
      <c r="H74" s="32">
        <f>G74</f>
        <v>616310.55000000005</v>
      </c>
      <c r="I74" s="94">
        <f t="shared" si="0"/>
        <v>0</v>
      </c>
      <c r="J74" s="95">
        <f t="shared" si="14"/>
        <v>0</v>
      </c>
      <c r="K74" s="129"/>
      <c r="L74" s="95">
        <f t="shared" si="15"/>
        <v>434467.15023999999</v>
      </c>
      <c r="M74" s="135">
        <v>0</v>
      </c>
      <c r="N74" s="130">
        <f t="shared" si="7"/>
        <v>434467.55</v>
      </c>
      <c r="O74" s="97">
        <f t="shared" si="8"/>
        <v>460536.55</v>
      </c>
      <c r="P74" s="85">
        <f t="shared" si="9"/>
        <v>0.55000000000000027</v>
      </c>
      <c r="Q74" s="46"/>
    </row>
    <row r="75" spans="1:19" x14ac:dyDescent="0.3">
      <c r="A75" s="37" t="s">
        <v>115</v>
      </c>
      <c r="B75" s="3"/>
      <c r="C75" s="23" t="s">
        <v>94</v>
      </c>
      <c r="D75" s="64" t="s">
        <v>204</v>
      </c>
      <c r="E75" s="87"/>
      <c r="F75" s="88">
        <v>1.7299999999999999E-2</v>
      </c>
      <c r="G75" s="89">
        <v>393398.56</v>
      </c>
      <c r="H75" s="32">
        <f>G75</f>
        <v>393398.56</v>
      </c>
      <c r="I75" s="94">
        <f t="shared" si="0"/>
        <v>0</v>
      </c>
      <c r="J75" s="95">
        <f t="shared" si="14"/>
        <v>0</v>
      </c>
      <c r="K75" s="129"/>
      <c r="L75" s="95">
        <f t="shared" si="15"/>
        <v>319841.77443200001</v>
      </c>
      <c r="M75" s="135">
        <v>0</v>
      </c>
      <c r="N75" s="130">
        <f t="shared" si="7"/>
        <v>319842.56</v>
      </c>
      <c r="O75" s="97">
        <f t="shared" si="8"/>
        <v>339033.56</v>
      </c>
      <c r="P75" s="85">
        <f t="shared" si="9"/>
        <v>0.56000000000000028</v>
      </c>
    </row>
    <row r="76" spans="1:19" x14ac:dyDescent="0.3">
      <c r="A76" s="37" t="s">
        <v>117</v>
      </c>
      <c r="B76" s="3"/>
      <c r="C76" s="23" t="s">
        <v>95</v>
      </c>
      <c r="D76" s="64" t="s">
        <v>395</v>
      </c>
      <c r="E76" s="87"/>
      <c r="F76" s="88">
        <v>9.4000000000000004E-3</v>
      </c>
      <c r="G76" s="89">
        <v>246524.57</v>
      </c>
      <c r="H76" s="32">
        <f>366657.15-H90-H106</f>
        <v>246015.57</v>
      </c>
      <c r="I76" s="94">
        <f t="shared" si="0"/>
        <v>509</v>
      </c>
      <c r="J76" s="95">
        <f t="shared" si="14"/>
        <v>0</v>
      </c>
      <c r="K76" s="129">
        <f t="shared" si="5"/>
        <v>71671.296400000007</v>
      </c>
      <c r="L76" s="95">
        <f t="shared" si="15"/>
        <v>173786.86009600002</v>
      </c>
      <c r="M76" s="135">
        <v>15000</v>
      </c>
      <c r="N76" s="130">
        <f t="shared" si="7"/>
        <v>260967.57</v>
      </c>
      <c r="O76" s="97">
        <f t="shared" si="8"/>
        <v>276626.57</v>
      </c>
      <c r="P76" s="85">
        <f t="shared" si="9"/>
        <v>0.57000000000000028</v>
      </c>
    </row>
    <row r="77" spans="1:19" x14ac:dyDescent="0.3">
      <c r="A77" s="37" t="s">
        <v>117</v>
      </c>
      <c r="B77" s="3"/>
      <c r="C77" s="23" t="s">
        <v>96</v>
      </c>
      <c r="D77" s="64" t="s">
        <v>205</v>
      </c>
      <c r="E77" s="87" t="s">
        <v>263</v>
      </c>
      <c r="F77" s="88">
        <v>8.6999999999999994E-3</v>
      </c>
      <c r="G77" s="32">
        <v>241857.58</v>
      </c>
      <c r="H77" s="32">
        <f>G77</f>
        <v>241857.58</v>
      </c>
      <c r="I77" s="94">
        <f t="shared" si="0"/>
        <v>0</v>
      </c>
      <c r="J77" s="95">
        <f t="shared" si="14"/>
        <v>0</v>
      </c>
      <c r="K77" s="129">
        <f t="shared" si="5"/>
        <v>66334.072199999995</v>
      </c>
      <c r="L77" s="95">
        <f t="shared" si="15"/>
        <v>160845.285408</v>
      </c>
      <c r="M77" s="135">
        <v>0</v>
      </c>
      <c r="N77" s="130">
        <f t="shared" si="7"/>
        <v>227179.58</v>
      </c>
      <c r="O77" s="97">
        <f t="shared" si="8"/>
        <v>240810.58</v>
      </c>
      <c r="P77" s="85">
        <f t="shared" si="9"/>
        <v>0.58000000000000029</v>
      </c>
    </row>
    <row r="78" spans="1:19" x14ac:dyDescent="0.3">
      <c r="A78" s="64" t="s">
        <v>117</v>
      </c>
      <c r="B78" s="23"/>
      <c r="C78" s="23" t="s">
        <v>97</v>
      </c>
      <c r="D78" s="64" t="s">
        <v>206</v>
      </c>
      <c r="E78" s="87"/>
      <c r="F78" s="88">
        <v>9.4999999999999998E-3</v>
      </c>
      <c r="G78" s="89">
        <v>413269.59</v>
      </c>
      <c r="H78" s="32">
        <v>173970.59</v>
      </c>
      <c r="I78" s="94">
        <f t="shared" si="0"/>
        <v>239299.00000000003</v>
      </c>
      <c r="J78" s="95">
        <f t="shared" si="14"/>
        <v>0</v>
      </c>
      <c r="K78" s="129"/>
      <c r="L78" s="95">
        <f t="shared" si="15"/>
        <v>175635.65648000001</v>
      </c>
      <c r="M78" s="135">
        <v>0</v>
      </c>
      <c r="N78" s="130">
        <f t="shared" si="7"/>
        <v>414935.59</v>
      </c>
      <c r="O78" s="97">
        <f t="shared" si="8"/>
        <v>439832.59</v>
      </c>
      <c r="P78" s="85">
        <f t="shared" si="9"/>
        <v>0.5900000000000003</v>
      </c>
    </row>
    <row r="79" spans="1:19" x14ac:dyDescent="0.3">
      <c r="A79" s="64" t="s">
        <v>118</v>
      </c>
      <c r="B79" s="23"/>
      <c r="C79" s="23" t="s">
        <v>98</v>
      </c>
      <c r="D79" s="64" t="s">
        <v>207</v>
      </c>
      <c r="E79" s="87"/>
      <c r="F79" s="88">
        <v>2.35E-2</v>
      </c>
      <c r="G79" s="89">
        <v>616310.6</v>
      </c>
      <c r="H79" s="32">
        <f>G79</f>
        <v>616310.6</v>
      </c>
      <c r="I79" s="94">
        <f t="shared" si="0"/>
        <v>0</v>
      </c>
      <c r="J79" s="95">
        <f t="shared" si="14"/>
        <v>0</v>
      </c>
      <c r="K79" s="129">
        <f t="shared" si="5"/>
        <v>179178.24100000001</v>
      </c>
      <c r="L79" s="95">
        <f t="shared" si="15"/>
        <v>434467.15023999999</v>
      </c>
      <c r="M79" s="135">
        <v>20000</v>
      </c>
      <c r="N79" s="130">
        <f t="shared" si="7"/>
        <v>633645.6</v>
      </c>
      <c r="O79" s="97">
        <f t="shared" si="8"/>
        <v>671664.6</v>
      </c>
      <c r="P79" s="85">
        <f t="shared" si="9"/>
        <v>0.60000000000000031</v>
      </c>
    </row>
    <row r="80" spans="1:19" x14ac:dyDescent="0.3">
      <c r="A80" s="37" t="s">
        <v>115</v>
      </c>
      <c r="B80" s="3"/>
      <c r="C80" s="23" t="s">
        <v>99</v>
      </c>
      <c r="D80" s="64" t="s">
        <v>396</v>
      </c>
      <c r="E80" s="87"/>
      <c r="F80" s="88">
        <v>1.7299999999999999E-2</v>
      </c>
      <c r="G80" s="89">
        <v>453709.61</v>
      </c>
      <c r="H80" s="32">
        <f>G80</f>
        <v>453709.61</v>
      </c>
      <c r="I80" s="94">
        <f>G80-H80</f>
        <v>0</v>
      </c>
      <c r="J80" s="95">
        <f t="shared" si="14"/>
        <v>0</v>
      </c>
      <c r="K80" s="129"/>
      <c r="L80" s="95">
        <f t="shared" si="15"/>
        <v>319841.77443200001</v>
      </c>
      <c r="M80" s="135">
        <v>0</v>
      </c>
      <c r="N80" s="130">
        <f t="shared" si="7"/>
        <v>319842.61</v>
      </c>
      <c r="O80" s="97">
        <f t="shared" si="8"/>
        <v>339033.61</v>
      </c>
      <c r="P80" s="85">
        <f t="shared" si="9"/>
        <v>0.61000000000000032</v>
      </c>
    </row>
    <row r="81" spans="1:17" x14ac:dyDescent="0.3">
      <c r="A81" s="37" t="s">
        <v>117</v>
      </c>
      <c r="B81" s="3"/>
      <c r="C81" s="222" t="s">
        <v>100</v>
      </c>
      <c r="D81" s="223" t="s">
        <v>209</v>
      </c>
      <c r="E81" s="224"/>
      <c r="F81" s="225">
        <v>9.4000000000000004E-3</v>
      </c>
      <c r="G81" s="226">
        <v>1372493.62</v>
      </c>
      <c r="H81" s="227">
        <v>246524.62</v>
      </c>
      <c r="I81" s="228">
        <f t="shared" si="0"/>
        <v>1125969</v>
      </c>
      <c r="J81" s="229">
        <f t="shared" si="14"/>
        <v>0</v>
      </c>
      <c r="K81" s="230">
        <f t="shared" si="5"/>
        <v>71671.296400000007</v>
      </c>
      <c r="L81" s="229">
        <f t="shared" si="15"/>
        <v>173786.86009600002</v>
      </c>
      <c r="M81" s="231">
        <v>0</v>
      </c>
      <c r="N81" s="232">
        <f t="shared" si="7"/>
        <v>1371427.62</v>
      </c>
      <c r="O81" s="233">
        <f t="shared" si="8"/>
        <v>1453713.62</v>
      </c>
      <c r="P81" s="85">
        <f t="shared" si="9"/>
        <v>0.62000000000000033</v>
      </c>
    </row>
    <row r="82" spans="1:17" x14ac:dyDescent="0.3">
      <c r="A82" s="37" t="s">
        <v>117</v>
      </c>
      <c r="B82" s="3"/>
      <c r="C82" s="23" t="s">
        <v>101</v>
      </c>
      <c r="D82" s="64" t="s">
        <v>210</v>
      </c>
      <c r="E82" s="87" t="s">
        <v>251</v>
      </c>
      <c r="F82" s="88">
        <v>8.6999999999999994E-3</v>
      </c>
      <c r="G82" s="89">
        <v>146991.63</v>
      </c>
      <c r="H82" s="32">
        <f>G82</f>
        <v>146991.63</v>
      </c>
      <c r="I82" s="94">
        <f t="shared" si="0"/>
        <v>0</v>
      </c>
      <c r="J82" s="95">
        <f t="shared" si="14"/>
        <v>0</v>
      </c>
      <c r="K82" s="129"/>
      <c r="L82" s="95">
        <f t="shared" si="15"/>
        <v>160845.285408</v>
      </c>
      <c r="M82" s="135">
        <v>0</v>
      </c>
      <c r="N82" s="130">
        <f t="shared" si="7"/>
        <v>160845.63</v>
      </c>
      <c r="O82" s="97">
        <f t="shared" si="8"/>
        <v>170496.63</v>
      </c>
      <c r="P82" s="85">
        <f t="shared" si="9"/>
        <v>0.63000000000000034</v>
      </c>
    </row>
    <row r="83" spans="1:17" x14ac:dyDescent="0.3">
      <c r="A83" s="37" t="s">
        <v>117</v>
      </c>
      <c r="B83" s="3"/>
      <c r="C83" s="23" t="s">
        <v>102</v>
      </c>
      <c r="D83" s="64" t="s">
        <v>211</v>
      </c>
      <c r="E83" s="87"/>
      <c r="F83" s="88">
        <v>9.4999999999999998E-3</v>
      </c>
      <c r="G83" s="89">
        <v>249147.64</v>
      </c>
      <c r="H83" s="32">
        <f>G83</f>
        <v>249147.64</v>
      </c>
      <c r="I83" s="94">
        <f t="shared" si="0"/>
        <v>0</v>
      </c>
      <c r="J83" s="95">
        <f t="shared" si="14"/>
        <v>0</v>
      </c>
      <c r="K83" s="129">
        <f t="shared" si="5"/>
        <v>72433.756999999998</v>
      </c>
      <c r="L83" s="95">
        <f t="shared" si="15"/>
        <v>175635.65648000001</v>
      </c>
      <c r="M83" s="135">
        <v>0</v>
      </c>
      <c r="N83" s="130">
        <f t="shared" si="7"/>
        <v>248069.64</v>
      </c>
      <c r="O83" s="97">
        <f t="shared" si="8"/>
        <v>262954.64</v>
      </c>
      <c r="P83" s="85">
        <f t="shared" si="9"/>
        <v>0.64000000000000035</v>
      </c>
      <c r="Q83" t="s">
        <v>258</v>
      </c>
    </row>
    <row r="84" spans="1:17" x14ac:dyDescent="0.3">
      <c r="A84" s="37" t="s">
        <v>118</v>
      </c>
      <c r="B84" s="3"/>
      <c r="C84" s="23" t="s">
        <v>103</v>
      </c>
      <c r="D84" s="64" t="s">
        <v>398</v>
      </c>
      <c r="E84" s="87"/>
      <c r="F84" s="88">
        <v>2.35E-2</v>
      </c>
      <c r="G84" s="89">
        <v>631310.65</v>
      </c>
      <c r="H84" s="32">
        <f>G84</f>
        <v>631310.65</v>
      </c>
      <c r="I84" s="94">
        <f t="shared" si="0"/>
        <v>0</v>
      </c>
      <c r="J84" s="95">
        <f t="shared" ref="J84:J115" si="20">N$9*F84</f>
        <v>0</v>
      </c>
      <c r="K84" s="129">
        <f t="shared" si="5"/>
        <v>179178.24100000001</v>
      </c>
      <c r="L84" s="95">
        <f t="shared" ref="L84:L115" si="21">N$2*F84</f>
        <v>434467.15023999999</v>
      </c>
      <c r="M84" s="135"/>
      <c r="N84" s="130">
        <f t="shared" si="7"/>
        <v>613645.65</v>
      </c>
      <c r="O84" s="97">
        <f t="shared" si="8"/>
        <v>650464.65</v>
      </c>
      <c r="P84" s="85">
        <f t="shared" si="9"/>
        <v>0.65000000000000036</v>
      </c>
    </row>
    <row r="85" spans="1:17" x14ac:dyDescent="0.3">
      <c r="A85" s="37" t="s">
        <v>115</v>
      </c>
      <c r="B85" s="3"/>
      <c r="C85" s="114" t="s">
        <v>104</v>
      </c>
      <c r="D85" s="115" t="s">
        <v>397</v>
      </c>
      <c r="E85" s="87"/>
      <c r="F85" s="88">
        <v>1.7299999999999999E-2</v>
      </c>
      <c r="G85" s="89">
        <v>453709.66</v>
      </c>
      <c r="H85" s="32">
        <f>G85</f>
        <v>453709.66</v>
      </c>
      <c r="I85" s="94">
        <f t="shared" si="0"/>
        <v>0</v>
      </c>
      <c r="J85" s="95">
        <f t="shared" si="20"/>
        <v>0</v>
      </c>
      <c r="K85" s="129"/>
      <c r="L85" s="95">
        <f t="shared" si="21"/>
        <v>319841.77443200001</v>
      </c>
      <c r="M85" s="135"/>
      <c r="N85" s="130">
        <f t="shared" ref="N85:N132" si="22">ROUND((L85+J85+I85+K85+M85),0) + P85</f>
        <v>319842.65999999997</v>
      </c>
      <c r="O85" s="97">
        <f t="shared" ref="O85:O132" si="23">ROUND((N85*6% + N85 ),0) + P85</f>
        <v>339033.66</v>
      </c>
      <c r="P85" s="85">
        <f t="shared" si="9"/>
        <v>0.66000000000000036</v>
      </c>
    </row>
    <row r="86" spans="1:17" x14ac:dyDescent="0.3">
      <c r="A86" s="37" t="s">
        <v>117</v>
      </c>
      <c r="B86" s="3"/>
      <c r="C86" s="23" t="s">
        <v>105</v>
      </c>
      <c r="D86" s="64" t="s">
        <v>213</v>
      </c>
      <c r="E86" s="87"/>
      <c r="F86" s="88">
        <v>9.4000000000000004E-3</v>
      </c>
      <c r="G86" s="89">
        <v>246524.67</v>
      </c>
      <c r="H86" s="32">
        <f t="shared" ref="H86" si="24">G86</f>
        <v>246524.67</v>
      </c>
      <c r="I86" s="94">
        <f t="shared" si="0"/>
        <v>0</v>
      </c>
      <c r="J86" s="95">
        <f t="shared" si="20"/>
        <v>0</v>
      </c>
      <c r="K86" s="129"/>
      <c r="L86" s="95">
        <f t="shared" si="21"/>
        <v>173786.86009600002</v>
      </c>
      <c r="M86" s="135"/>
      <c r="N86" s="130">
        <f t="shared" si="22"/>
        <v>173787.67</v>
      </c>
      <c r="O86" s="97">
        <f t="shared" si="23"/>
        <v>184215.67</v>
      </c>
      <c r="P86" s="85">
        <f t="shared" ref="P86:P132" si="25">P85+0.01</f>
        <v>0.67000000000000037</v>
      </c>
    </row>
    <row r="87" spans="1:17" x14ac:dyDescent="0.3">
      <c r="A87" s="37" t="s">
        <v>117</v>
      </c>
      <c r="B87" s="3"/>
      <c r="C87" s="23" t="s">
        <v>106</v>
      </c>
      <c r="D87" s="64" t="s">
        <v>214</v>
      </c>
      <c r="E87" s="87"/>
      <c r="F87" s="88">
        <v>8.6999999999999994E-3</v>
      </c>
      <c r="G87" s="89">
        <v>228166.68</v>
      </c>
      <c r="H87" s="32">
        <f>G87</f>
        <v>228166.68</v>
      </c>
      <c r="I87" s="94">
        <f t="shared" si="0"/>
        <v>0</v>
      </c>
      <c r="J87" s="95">
        <f t="shared" si="20"/>
        <v>0</v>
      </c>
      <c r="K87" s="129"/>
      <c r="L87" s="95">
        <f t="shared" si="21"/>
        <v>160845.285408</v>
      </c>
      <c r="M87" s="135"/>
      <c r="N87" s="130">
        <f t="shared" si="22"/>
        <v>160845.68</v>
      </c>
      <c r="O87" s="97">
        <f t="shared" si="23"/>
        <v>170496.68</v>
      </c>
      <c r="P87" s="85">
        <f t="shared" si="25"/>
        <v>0.68000000000000038</v>
      </c>
    </row>
    <row r="88" spans="1:17" x14ac:dyDescent="0.3">
      <c r="A88" s="64" t="s">
        <v>117</v>
      </c>
      <c r="B88" s="23"/>
      <c r="C88" s="23" t="s">
        <v>107</v>
      </c>
      <c r="D88" s="64" t="s">
        <v>215</v>
      </c>
      <c r="E88" s="87"/>
      <c r="F88" s="88">
        <v>9.4999999999999998E-3</v>
      </c>
      <c r="G88" s="89">
        <v>289147.69</v>
      </c>
      <c r="H88" s="32">
        <f>G88</f>
        <v>289147.69</v>
      </c>
      <c r="I88" s="94">
        <f t="shared" si="0"/>
        <v>0</v>
      </c>
      <c r="J88" s="95">
        <f t="shared" si="20"/>
        <v>0</v>
      </c>
      <c r="K88" s="129">
        <f t="shared" ref="K88:K131" si="26">N$4*F88</f>
        <v>72433.756999999998</v>
      </c>
      <c r="L88" s="95">
        <f t="shared" si="21"/>
        <v>175635.65648000001</v>
      </c>
      <c r="M88" s="135">
        <v>20000</v>
      </c>
      <c r="N88" s="130">
        <f t="shared" si="22"/>
        <v>268069.69</v>
      </c>
      <c r="O88" s="97">
        <f t="shared" si="23"/>
        <v>284154.69</v>
      </c>
      <c r="P88" s="85">
        <f t="shared" si="25"/>
        <v>0.69000000000000039</v>
      </c>
    </row>
    <row r="89" spans="1:17" x14ac:dyDescent="0.3">
      <c r="A89" s="64"/>
      <c r="B89" s="23"/>
      <c r="C89" s="23" t="s">
        <v>119</v>
      </c>
      <c r="D89" s="64" t="s">
        <v>179</v>
      </c>
      <c r="E89" s="64"/>
      <c r="F89" s="93">
        <v>2.3E-3</v>
      </c>
      <c r="G89" s="89">
        <v>60320.7</v>
      </c>
      <c r="H89" s="32">
        <f t="shared" ref="H89" si="27">G89</f>
        <v>60320.7</v>
      </c>
      <c r="I89" s="94">
        <f t="shared" si="0"/>
        <v>0</v>
      </c>
      <c r="J89" s="95">
        <f t="shared" si="20"/>
        <v>0</v>
      </c>
      <c r="K89" s="129"/>
      <c r="L89" s="95">
        <f t="shared" si="21"/>
        <v>42522.316831999997</v>
      </c>
      <c r="M89" s="135"/>
      <c r="N89" s="130">
        <f t="shared" si="22"/>
        <v>42522.7</v>
      </c>
      <c r="O89" s="97">
        <f t="shared" si="23"/>
        <v>45074.7</v>
      </c>
      <c r="P89" s="85">
        <f t="shared" si="25"/>
        <v>0.7000000000000004</v>
      </c>
    </row>
    <row r="90" spans="1:17" x14ac:dyDescent="0.3">
      <c r="A90" s="64"/>
      <c r="B90" s="23"/>
      <c r="C90" s="23" t="s">
        <v>120</v>
      </c>
      <c r="D90" s="64" t="s">
        <v>114</v>
      </c>
      <c r="E90" s="64"/>
      <c r="F90" s="93">
        <v>2.3E-3</v>
      </c>
      <c r="G90" s="89">
        <v>60320.71</v>
      </c>
      <c r="H90" s="32">
        <f t="shared" ref="H90:H96" si="28">G90</f>
        <v>60320.71</v>
      </c>
      <c r="I90" s="94">
        <f t="shared" si="0"/>
        <v>0</v>
      </c>
      <c r="J90" s="95">
        <f t="shared" si="20"/>
        <v>0</v>
      </c>
      <c r="K90" s="129">
        <f t="shared" si="26"/>
        <v>17536.593799999999</v>
      </c>
      <c r="L90" s="95">
        <f t="shared" si="21"/>
        <v>42522.316831999997</v>
      </c>
      <c r="M90" s="135">
        <v>0</v>
      </c>
      <c r="N90" s="130">
        <f t="shared" si="22"/>
        <v>60059.71</v>
      </c>
      <c r="O90" s="97">
        <f t="shared" si="23"/>
        <v>63663.71</v>
      </c>
      <c r="P90" s="85">
        <f t="shared" si="25"/>
        <v>0.71000000000000041</v>
      </c>
    </row>
    <row r="91" spans="1:17" x14ac:dyDescent="0.3">
      <c r="A91" s="64"/>
      <c r="B91" s="23"/>
      <c r="C91" s="23" t="s">
        <v>121</v>
      </c>
      <c r="D91" s="64" t="s">
        <v>187</v>
      </c>
      <c r="E91" s="64"/>
      <c r="F91" s="93">
        <v>2.3E-3</v>
      </c>
      <c r="G91" s="89">
        <v>60320.72</v>
      </c>
      <c r="H91" s="32">
        <f t="shared" si="28"/>
        <v>60320.72</v>
      </c>
      <c r="I91" s="94">
        <f t="shared" si="0"/>
        <v>0</v>
      </c>
      <c r="J91" s="95">
        <f t="shared" si="20"/>
        <v>0</v>
      </c>
      <c r="K91" s="129">
        <f t="shared" si="26"/>
        <v>17536.593799999999</v>
      </c>
      <c r="L91" s="95">
        <f t="shared" si="21"/>
        <v>42522.316831999997</v>
      </c>
      <c r="M91" s="135">
        <v>0</v>
      </c>
      <c r="N91" s="130">
        <f t="shared" si="22"/>
        <v>60059.72</v>
      </c>
      <c r="O91" s="97">
        <f t="shared" si="23"/>
        <v>63663.72</v>
      </c>
      <c r="P91" s="85">
        <f t="shared" si="25"/>
        <v>0.72000000000000042</v>
      </c>
    </row>
    <row r="92" spans="1:17" x14ac:dyDescent="0.3">
      <c r="A92" s="64"/>
      <c r="B92" s="23"/>
      <c r="C92" s="23" t="s">
        <v>122</v>
      </c>
      <c r="D92" s="64" t="s">
        <v>198</v>
      </c>
      <c r="E92" s="64"/>
      <c r="F92" s="93">
        <v>2.3E-3</v>
      </c>
      <c r="G92" s="89">
        <v>60320.73</v>
      </c>
      <c r="H92" s="32">
        <f>G92</f>
        <v>60320.73</v>
      </c>
      <c r="I92" s="94">
        <f t="shared" si="0"/>
        <v>0</v>
      </c>
      <c r="J92" s="95">
        <f t="shared" si="20"/>
        <v>0</v>
      </c>
      <c r="K92" s="129">
        <f t="shared" si="26"/>
        <v>17536.593799999999</v>
      </c>
      <c r="L92" s="95">
        <f t="shared" si="21"/>
        <v>42522.316831999997</v>
      </c>
      <c r="M92" s="135">
        <v>0</v>
      </c>
      <c r="N92" s="130">
        <f t="shared" si="22"/>
        <v>60059.73</v>
      </c>
      <c r="O92" s="97">
        <f t="shared" si="23"/>
        <v>63663.73</v>
      </c>
      <c r="P92" s="85">
        <f t="shared" si="25"/>
        <v>0.73000000000000043</v>
      </c>
    </row>
    <row r="93" spans="1:17" x14ac:dyDescent="0.3">
      <c r="A93" s="64"/>
      <c r="B93" s="23"/>
      <c r="C93" s="119" t="s">
        <v>123</v>
      </c>
      <c r="D93" s="120" t="s">
        <v>393</v>
      </c>
      <c r="E93" s="120"/>
      <c r="F93" s="121">
        <v>2.3E-3</v>
      </c>
      <c r="G93" s="32">
        <v>60320.74</v>
      </c>
      <c r="H93" s="32">
        <f t="shared" si="28"/>
        <v>60320.74</v>
      </c>
      <c r="I93" s="122">
        <f t="shared" si="0"/>
        <v>0</v>
      </c>
      <c r="J93" s="123">
        <f t="shared" si="20"/>
        <v>0</v>
      </c>
      <c r="K93" s="129">
        <f t="shared" si="26"/>
        <v>17536.593799999999</v>
      </c>
      <c r="L93" s="123">
        <f t="shared" si="21"/>
        <v>42522.316831999997</v>
      </c>
      <c r="M93" s="135">
        <v>0</v>
      </c>
      <c r="N93" s="130">
        <f t="shared" si="22"/>
        <v>60059.74</v>
      </c>
      <c r="O93" s="124">
        <f t="shared" si="23"/>
        <v>63663.74</v>
      </c>
      <c r="P93" s="85">
        <f t="shared" si="25"/>
        <v>0.74000000000000044</v>
      </c>
      <c r="Q93" t="s">
        <v>257</v>
      </c>
    </row>
    <row r="94" spans="1:17" x14ac:dyDescent="0.3">
      <c r="A94" s="64"/>
      <c r="B94" s="23"/>
      <c r="C94" s="23" t="s">
        <v>124</v>
      </c>
      <c r="D94" s="64" t="s">
        <v>411</v>
      </c>
      <c r="E94" s="64"/>
      <c r="F94" s="93">
        <v>2.3E-3</v>
      </c>
      <c r="G94" s="32">
        <v>60320.75</v>
      </c>
      <c r="H94" s="32">
        <f t="shared" si="28"/>
        <v>60320.75</v>
      </c>
      <c r="I94" s="94">
        <f t="shared" si="0"/>
        <v>0</v>
      </c>
      <c r="J94" s="95">
        <f t="shared" si="20"/>
        <v>0</v>
      </c>
      <c r="K94" s="129"/>
      <c r="L94" s="95">
        <f t="shared" si="21"/>
        <v>42522.316831999997</v>
      </c>
      <c r="M94" s="135">
        <v>0</v>
      </c>
      <c r="N94" s="130">
        <f t="shared" si="22"/>
        <v>42522.75</v>
      </c>
      <c r="O94" s="97">
        <f t="shared" si="23"/>
        <v>45074.75</v>
      </c>
      <c r="P94" s="85">
        <f t="shared" si="25"/>
        <v>0.75000000000000044</v>
      </c>
    </row>
    <row r="95" spans="1:17" x14ac:dyDescent="0.3">
      <c r="A95" s="64"/>
      <c r="B95" s="23"/>
      <c r="C95" s="23" t="s">
        <v>125</v>
      </c>
      <c r="D95" s="64" t="s">
        <v>389</v>
      </c>
      <c r="E95" s="64"/>
      <c r="F95" s="93">
        <v>2.3E-3</v>
      </c>
      <c r="G95" s="89">
        <v>60320.76</v>
      </c>
      <c r="H95" s="32">
        <f t="shared" si="28"/>
        <v>60320.76</v>
      </c>
      <c r="I95" s="94">
        <f t="shared" si="0"/>
        <v>0</v>
      </c>
      <c r="J95" s="95">
        <f t="shared" si="20"/>
        <v>0</v>
      </c>
      <c r="K95" s="129"/>
      <c r="L95" s="95">
        <f t="shared" si="21"/>
        <v>42522.316831999997</v>
      </c>
      <c r="M95" s="135">
        <v>0</v>
      </c>
      <c r="N95" s="130">
        <f t="shared" si="22"/>
        <v>42522.76</v>
      </c>
      <c r="O95" s="97">
        <f t="shared" si="23"/>
        <v>45074.76</v>
      </c>
      <c r="P95" s="85">
        <f t="shared" si="25"/>
        <v>0.76000000000000045</v>
      </c>
    </row>
    <row r="96" spans="1:17" x14ac:dyDescent="0.3">
      <c r="A96" s="64"/>
      <c r="B96" s="23"/>
      <c r="C96" s="23" t="s">
        <v>126</v>
      </c>
      <c r="D96" s="64" t="s">
        <v>186</v>
      </c>
      <c r="E96" s="64"/>
      <c r="F96" s="93">
        <v>2.3E-3</v>
      </c>
      <c r="G96" s="89">
        <v>60320.77</v>
      </c>
      <c r="H96" s="32">
        <f t="shared" si="28"/>
        <v>60320.77</v>
      </c>
      <c r="I96" s="94">
        <f t="shared" si="0"/>
        <v>0</v>
      </c>
      <c r="J96" s="95">
        <f t="shared" si="20"/>
        <v>0</v>
      </c>
      <c r="K96" s="129"/>
      <c r="L96" s="95">
        <f t="shared" si="21"/>
        <v>42522.316831999997</v>
      </c>
      <c r="M96" s="135">
        <v>0</v>
      </c>
      <c r="N96" s="130">
        <f t="shared" si="22"/>
        <v>42522.77</v>
      </c>
      <c r="O96" s="97">
        <f t="shared" si="23"/>
        <v>45074.77</v>
      </c>
      <c r="P96" s="85">
        <f t="shared" si="25"/>
        <v>0.77000000000000046</v>
      </c>
    </row>
    <row r="97" spans="1:16" x14ac:dyDescent="0.3">
      <c r="A97" s="64"/>
      <c r="B97" s="23"/>
      <c r="C97" s="23" t="s">
        <v>127</v>
      </c>
      <c r="D97" s="64" t="s">
        <v>398</v>
      </c>
      <c r="E97" s="64"/>
      <c r="F97" s="93">
        <v>2.3E-3</v>
      </c>
      <c r="G97" s="89">
        <v>60320.78</v>
      </c>
      <c r="H97" s="32">
        <f>G97</f>
        <v>60320.78</v>
      </c>
      <c r="I97" s="94">
        <f t="shared" si="0"/>
        <v>0</v>
      </c>
      <c r="J97" s="95">
        <f t="shared" si="20"/>
        <v>0</v>
      </c>
      <c r="K97" s="129"/>
      <c r="L97" s="95">
        <f t="shared" si="21"/>
        <v>42522.316831999997</v>
      </c>
      <c r="M97" s="135">
        <v>0</v>
      </c>
      <c r="N97" s="130">
        <f t="shared" si="22"/>
        <v>42522.78</v>
      </c>
      <c r="O97" s="97">
        <f t="shared" si="23"/>
        <v>45074.78</v>
      </c>
      <c r="P97" s="85">
        <f t="shared" si="25"/>
        <v>0.78000000000000047</v>
      </c>
    </row>
    <row r="98" spans="1:16" x14ac:dyDescent="0.3">
      <c r="A98" s="64"/>
      <c r="B98" s="23"/>
      <c r="C98" s="23" t="s">
        <v>128</v>
      </c>
      <c r="D98" s="64" t="s">
        <v>196</v>
      </c>
      <c r="E98" s="64"/>
      <c r="F98" s="93">
        <v>2.3E-3</v>
      </c>
      <c r="G98" s="89">
        <v>60320.79</v>
      </c>
      <c r="H98" s="32">
        <v>0</v>
      </c>
      <c r="I98" s="94">
        <f>G98-H98</f>
        <v>60320.79</v>
      </c>
      <c r="J98" s="95">
        <f t="shared" si="20"/>
        <v>0</v>
      </c>
      <c r="K98" s="129"/>
      <c r="L98" s="95">
        <f t="shared" si="21"/>
        <v>42522.316831999997</v>
      </c>
      <c r="M98" s="135">
        <v>0</v>
      </c>
      <c r="N98" s="130">
        <f t="shared" si="22"/>
        <v>102843.79</v>
      </c>
      <c r="O98" s="97">
        <f t="shared" si="23"/>
        <v>109014.79</v>
      </c>
      <c r="P98" s="85">
        <f t="shared" si="25"/>
        <v>0.79000000000000048</v>
      </c>
    </row>
    <row r="99" spans="1:16" x14ac:dyDescent="0.3">
      <c r="A99" s="64"/>
      <c r="B99" s="23"/>
      <c r="C99" s="23" t="s">
        <v>129</v>
      </c>
      <c r="D99" s="64" t="s">
        <v>179</v>
      </c>
      <c r="E99" s="64"/>
      <c r="F99" s="93">
        <v>2.3E-3</v>
      </c>
      <c r="G99" s="89">
        <v>60320.800000000003</v>
      </c>
      <c r="H99" s="32">
        <f t="shared" ref="H99" si="29">G99</f>
        <v>60320.800000000003</v>
      </c>
      <c r="I99" s="94">
        <f t="shared" si="0"/>
        <v>0</v>
      </c>
      <c r="J99" s="95">
        <f t="shared" si="20"/>
        <v>0</v>
      </c>
      <c r="K99" s="129"/>
      <c r="L99" s="95">
        <f t="shared" si="21"/>
        <v>42522.316831999997</v>
      </c>
      <c r="M99" s="135">
        <v>0</v>
      </c>
      <c r="N99" s="130">
        <f t="shared" si="22"/>
        <v>42522.8</v>
      </c>
      <c r="O99" s="97">
        <f t="shared" si="23"/>
        <v>45074.8</v>
      </c>
      <c r="P99" s="85">
        <f t="shared" si="25"/>
        <v>0.80000000000000049</v>
      </c>
    </row>
    <row r="100" spans="1:16" x14ac:dyDescent="0.3">
      <c r="A100" s="64"/>
      <c r="B100" s="23"/>
      <c r="C100" s="23" t="s">
        <v>130</v>
      </c>
      <c r="D100" s="64" t="s">
        <v>175</v>
      </c>
      <c r="E100" s="64"/>
      <c r="F100" s="59">
        <v>2.3E-3</v>
      </c>
      <c r="G100" s="86">
        <v>63940.81</v>
      </c>
      <c r="H100" s="32">
        <f>G100</f>
        <v>63940.81</v>
      </c>
      <c r="I100" s="36">
        <f t="shared" si="0"/>
        <v>0</v>
      </c>
      <c r="J100" s="17">
        <f t="shared" si="20"/>
        <v>0</v>
      </c>
      <c r="K100" s="129">
        <f t="shared" si="26"/>
        <v>17536.593799999999</v>
      </c>
      <c r="L100" s="17">
        <f t="shared" si="21"/>
        <v>42522.316831999997</v>
      </c>
      <c r="M100" s="135">
        <v>0</v>
      </c>
      <c r="N100" s="130">
        <f t="shared" si="22"/>
        <v>60059.81</v>
      </c>
      <c r="O100" s="5">
        <f t="shared" si="23"/>
        <v>63663.81</v>
      </c>
      <c r="P100" s="85">
        <f t="shared" si="25"/>
        <v>0.8100000000000005</v>
      </c>
    </row>
    <row r="101" spans="1:16" x14ac:dyDescent="0.3">
      <c r="A101" s="64"/>
      <c r="B101" s="23"/>
      <c r="C101" s="23" t="s">
        <v>131</v>
      </c>
      <c r="D101" s="64" t="s">
        <v>270</v>
      </c>
      <c r="E101" s="64"/>
      <c r="F101" s="59">
        <v>2.3E-3</v>
      </c>
      <c r="G101" s="86">
        <v>60320.82</v>
      </c>
      <c r="H101" s="32">
        <f t="shared" ref="H101" si="30">G101</f>
        <v>60320.82</v>
      </c>
      <c r="I101" s="36">
        <f t="shared" si="0"/>
        <v>0</v>
      </c>
      <c r="J101" s="17">
        <f t="shared" si="20"/>
        <v>0</v>
      </c>
      <c r="K101" s="129"/>
      <c r="L101" s="17">
        <f t="shared" si="21"/>
        <v>42522.316831999997</v>
      </c>
      <c r="M101" s="135">
        <v>0</v>
      </c>
      <c r="N101" s="130">
        <f t="shared" si="22"/>
        <v>42522.82</v>
      </c>
      <c r="O101" s="5">
        <f t="shared" si="23"/>
        <v>45074.82</v>
      </c>
      <c r="P101" s="85">
        <f t="shared" si="25"/>
        <v>0.82000000000000051</v>
      </c>
    </row>
    <row r="102" spans="1:16" x14ac:dyDescent="0.3">
      <c r="A102" s="64"/>
      <c r="B102" s="23"/>
      <c r="C102" s="23" t="s">
        <v>132</v>
      </c>
      <c r="D102" s="64" t="s">
        <v>390</v>
      </c>
      <c r="E102" s="64"/>
      <c r="F102" s="93">
        <v>2.3E-3</v>
      </c>
      <c r="G102" s="89">
        <v>60320.83</v>
      </c>
      <c r="H102" s="32">
        <f>G102</f>
        <v>60320.83</v>
      </c>
      <c r="I102" s="94">
        <f t="shared" si="0"/>
        <v>0</v>
      </c>
      <c r="J102" s="95">
        <f t="shared" si="20"/>
        <v>0</v>
      </c>
      <c r="K102" s="129"/>
      <c r="L102" s="95">
        <f t="shared" si="21"/>
        <v>42522.316831999997</v>
      </c>
      <c r="M102" s="135">
        <v>0</v>
      </c>
      <c r="N102" s="130">
        <f t="shared" si="22"/>
        <v>42522.83</v>
      </c>
      <c r="O102" s="97">
        <f t="shared" si="23"/>
        <v>45074.83</v>
      </c>
      <c r="P102" s="85">
        <f t="shared" si="25"/>
        <v>0.83000000000000052</v>
      </c>
    </row>
    <row r="103" spans="1:16" ht="15.75" customHeight="1" x14ac:dyDescent="0.3">
      <c r="A103" s="64"/>
      <c r="B103" s="23"/>
      <c r="C103" s="23" t="s">
        <v>133</v>
      </c>
      <c r="D103" s="64" t="s">
        <v>396</v>
      </c>
      <c r="E103" s="64"/>
      <c r="F103" s="93">
        <v>2.3E-3</v>
      </c>
      <c r="G103" s="89">
        <v>60320.84</v>
      </c>
      <c r="H103" s="32">
        <f>G103</f>
        <v>60320.84</v>
      </c>
      <c r="I103" s="94">
        <f t="shared" si="0"/>
        <v>0</v>
      </c>
      <c r="J103" s="95">
        <f t="shared" si="20"/>
        <v>0</v>
      </c>
      <c r="K103" s="129">
        <f t="shared" si="26"/>
        <v>17536.593799999999</v>
      </c>
      <c r="L103" s="95">
        <f t="shared" si="21"/>
        <v>42522.316831999997</v>
      </c>
      <c r="M103" s="135">
        <v>0</v>
      </c>
      <c r="N103" s="130">
        <f t="shared" si="22"/>
        <v>60059.839999999997</v>
      </c>
      <c r="O103" s="97">
        <f t="shared" si="23"/>
        <v>63663.839999999997</v>
      </c>
      <c r="P103" s="85">
        <f t="shared" si="25"/>
        <v>0.84000000000000052</v>
      </c>
    </row>
    <row r="104" spans="1:16" ht="15.75" customHeight="1" x14ac:dyDescent="0.3">
      <c r="A104" s="64"/>
      <c r="B104" s="23"/>
      <c r="C104" s="23" t="s">
        <v>134</v>
      </c>
      <c r="D104" s="64" t="s">
        <v>216</v>
      </c>
      <c r="E104" s="64"/>
      <c r="F104" s="93">
        <v>2.3E-3</v>
      </c>
      <c r="G104" s="89">
        <v>63940.85</v>
      </c>
      <c r="H104" s="32">
        <v>60320.85</v>
      </c>
      <c r="I104" s="94">
        <f t="shared" si="0"/>
        <v>3620</v>
      </c>
      <c r="J104" s="95">
        <f t="shared" si="20"/>
        <v>0</v>
      </c>
      <c r="K104" s="129">
        <f t="shared" si="26"/>
        <v>17536.593799999999</v>
      </c>
      <c r="L104" s="95">
        <f t="shared" si="21"/>
        <v>42522.316831999997</v>
      </c>
      <c r="M104" s="135">
        <v>0</v>
      </c>
      <c r="N104" s="130">
        <f t="shared" si="22"/>
        <v>63679.85</v>
      </c>
      <c r="O104" s="97">
        <f t="shared" si="23"/>
        <v>67501.850000000006</v>
      </c>
      <c r="P104" s="85">
        <f t="shared" si="25"/>
        <v>0.85000000000000053</v>
      </c>
    </row>
    <row r="105" spans="1:16" ht="15.75" customHeight="1" x14ac:dyDescent="0.3">
      <c r="A105" s="64"/>
      <c r="B105" s="23"/>
      <c r="C105" s="23" t="s">
        <v>135</v>
      </c>
      <c r="D105" s="64" t="s">
        <v>200</v>
      </c>
      <c r="E105" s="64"/>
      <c r="F105" s="59">
        <v>2.3E-3</v>
      </c>
      <c r="G105" s="86">
        <v>60320.86</v>
      </c>
      <c r="H105" s="32">
        <f t="shared" ref="H105" si="31">G105</f>
        <v>60320.86</v>
      </c>
      <c r="I105" s="36">
        <f t="shared" si="0"/>
        <v>0</v>
      </c>
      <c r="J105" s="17">
        <f t="shared" si="20"/>
        <v>0</v>
      </c>
      <c r="K105" s="129">
        <f t="shared" si="26"/>
        <v>17536.593799999999</v>
      </c>
      <c r="L105" s="17">
        <f t="shared" si="21"/>
        <v>42522.316831999997</v>
      </c>
      <c r="M105" s="135">
        <v>0</v>
      </c>
      <c r="N105" s="130">
        <f t="shared" si="22"/>
        <v>60059.86</v>
      </c>
      <c r="O105" s="5">
        <f t="shared" si="23"/>
        <v>63663.86</v>
      </c>
      <c r="P105" s="85">
        <f t="shared" si="25"/>
        <v>0.86000000000000054</v>
      </c>
    </row>
    <row r="106" spans="1:16" ht="15.75" customHeight="1" x14ac:dyDescent="0.3">
      <c r="A106" s="64"/>
      <c r="B106" s="23"/>
      <c r="C106" s="23" t="s">
        <v>136</v>
      </c>
      <c r="D106" s="64" t="s">
        <v>114</v>
      </c>
      <c r="E106" s="64"/>
      <c r="F106" s="59">
        <v>2.3E-3</v>
      </c>
      <c r="G106" s="86">
        <v>60320.87</v>
      </c>
      <c r="H106" s="158">
        <f>G106</f>
        <v>60320.87</v>
      </c>
      <c r="I106" s="36">
        <f t="shared" si="0"/>
        <v>0</v>
      </c>
      <c r="J106" s="17">
        <f t="shared" si="20"/>
        <v>0</v>
      </c>
      <c r="K106" s="129">
        <f t="shared" si="26"/>
        <v>17536.593799999999</v>
      </c>
      <c r="L106" s="17">
        <f t="shared" si="21"/>
        <v>42522.316831999997</v>
      </c>
      <c r="M106" s="135">
        <v>0</v>
      </c>
      <c r="N106" s="130">
        <f t="shared" si="22"/>
        <v>60059.87</v>
      </c>
      <c r="O106" s="5">
        <f t="shared" si="23"/>
        <v>63663.87</v>
      </c>
      <c r="P106" s="85">
        <f t="shared" si="25"/>
        <v>0.87000000000000055</v>
      </c>
    </row>
    <row r="107" spans="1:16" ht="15.75" customHeight="1" x14ac:dyDescent="0.3">
      <c r="A107" s="64"/>
      <c r="B107" s="23"/>
      <c r="C107" s="23" t="s">
        <v>137</v>
      </c>
      <c r="D107" s="64" t="s">
        <v>422</v>
      </c>
      <c r="E107" s="64"/>
      <c r="F107" s="59">
        <v>2.3E-3</v>
      </c>
      <c r="G107" s="86">
        <v>100881.88</v>
      </c>
      <c r="H107" s="32">
        <v>42995.88</v>
      </c>
      <c r="I107" s="36">
        <f t="shared" si="0"/>
        <v>57886.000000000007</v>
      </c>
      <c r="J107" s="17">
        <f t="shared" si="20"/>
        <v>0</v>
      </c>
      <c r="K107" s="129"/>
      <c r="L107" s="17">
        <f t="shared" si="21"/>
        <v>42522.316831999997</v>
      </c>
      <c r="M107" s="135">
        <v>0</v>
      </c>
      <c r="N107" s="130">
        <f t="shared" si="22"/>
        <v>100408.88</v>
      </c>
      <c r="O107" s="5">
        <f t="shared" si="23"/>
        <v>106433.88</v>
      </c>
      <c r="P107" s="85">
        <f t="shared" si="25"/>
        <v>0.88000000000000056</v>
      </c>
    </row>
    <row r="108" spans="1:16" ht="15.75" customHeight="1" x14ac:dyDescent="0.3">
      <c r="A108" s="64"/>
      <c r="B108" s="23"/>
      <c r="C108" s="23" t="s">
        <v>138</v>
      </c>
      <c r="D108" s="64" t="s">
        <v>399</v>
      </c>
      <c r="E108" s="64"/>
      <c r="F108" s="59">
        <v>2.3E-3</v>
      </c>
      <c r="G108" s="86">
        <v>88038.89</v>
      </c>
      <c r="H108" s="32">
        <f>60320+27718.89</f>
        <v>88038.89</v>
      </c>
      <c r="I108" s="36">
        <f t="shared" si="0"/>
        <v>0</v>
      </c>
      <c r="J108" s="17">
        <f t="shared" si="20"/>
        <v>0</v>
      </c>
      <c r="K108" s="129"/>
      <c r="L108" s="17">
        <f t="shared" si="21"/>
        <v>42522.316831999997</v>
      </c>
      <c r="M108" s="135">
        <v>0</v>
      </c>
      <c r="N108" s="130">
        <f t="shared" si="22"/>
        <v>42522.89</v>
      </c>
      <c r="O108" s="5">
        <f t="shared" si="23"/>
        <v>45074.89</v>
      </c>
      <c r="P108" s="85">
        <f t="shared" si="25"/>
        <v>0.89000000000000057</v>
      </c>
    </row>
    <row r="109" spans="1:16" ht="15.75" customHeight="1" x14ac:dyDescent="0.3">
      <c r="A109" s="64"/>
      <c r="B109" s="23"/>
      <c r="C109" s="23" t="s">
        <v>139</v>
      </c>
      <c r="D109" s="64" t="s">
        <v>394</v>
      </c>
      <c r="E109" s="64"/>
      <c r="F109" s="59">
        <v>2.3E-3</v>
      </c>
      <c r="G109" s="86">
        <v>60320.9</v>
      </c>
      <c r="H109" s="158">
        <f>G109</f>
        <v>60320.9</v>
      </c>
      <c r="I109" s="36">
        <f t="shared" si="0"/>
        <v>0</v>
      </c>
      <c r="J109" s="17">
        <f t="shared" si="20"/>
        <v>0</v>
      </c>
      <c r="K109" s="129">
        <f t="shared" si="26"/>
        <v>17536.593799999999</v>
      </c>
      <c r="L109" s="17">
        <f t="shared" si="21"/>
        <v>42522.316831999997</v>
      </c>
      <c r="M109" s="135">
        <v>0</v>
      </c>
      <c r="N109" s="130">
        <f t="shared" si="22"/>
        <v>60059.9</v>
      </c>
      <c r="O109" s="5">
        <f t="shared" si="23"/>
        <v>63663.9</v>
      </c>
      <c r="P109" s="85">
        <f t="shared" si="25"/>
        <v>0.90000000000000058</v>
      </c>
    </row>
    <row r="110" spans="1:16" ht="15.75" customHeight="1" x14ac:dyDescent="0.3">
      <c r="A110" s="64"/>
      <c r="B110" s="23"/>
      <c r="C110" s="23" t="s">
        <v>140</v>
      </c>
      <c r="D110" s="64" t="s">
        <v>173</v>
      </c>
      <c r="E110" s="64"/>
      <c r="F110" s="59">
        <v>2.3E-3</v>
      </c>
      <c r="G110" s="86">
        <v>63940.91</v>
      </c>
      <c r="H110" s="32">
        <f>G110</f>
        <v>63940.91</v>
      </c>
      <c r="I110" s="36">
        <f t="shared" si="0"/>
        <v>0</v>
      </c>
      <c r="J110" s="17">
        <f t="shared" si="20"/>
        <v>0</v>
      </c>
      <c r="K110" s="129"/>
      <c r="L110" s="17">
        <f t="shared" si="21"/>
        <v>42522.316831999997</v>
      </c>
      <c r="M110" s="135">
        <v>0</v>
      </c>
      <c r="N110" s="130">
        <f t="shared" si="22"/>
        <v>42522.91</v>
      </c>
      <c r="O110" s="5">
        <f t="shared" si="23"/>
        <v>45074.91</v>
      </c>
      <c r="P110" s="85">
        <f t="shared" si="25"/>
        <v>0.91000000000000059</v>
      </c>
    </row>
    <row r="111" spans="1:16" ht="15.75" customHeight="1" x14ac:dyDescent="0.3">
      <c r="A111" s="64"/>
      <c r="B111" s="23"/>
      <c r="C111" s="222" t="s">
        <v>141</v>
      </c>
      <c r="D111" s="223" t="s">
        <v>202</v>
      </c>
      <c r="E111" s="223"/>
      <c r="F111" s="234">
        <v>2.3E-3</v>
      </c>
      <c r="G111" s="226">
        <v>292542.92</v>
      </c>
      <c r="H111" s="227">
        <v>0</v>
      </c>
      <c r="I111" s="228">
        <f t="shared" si="0"/>
        <v>292542.92</v>
      </c>
      <c r="J111" s="229">
        <f t="shared" si="20"/>
        <v>0</v>
      </c>
      <c r="K111" s="230">
        <f t="shared" si="26"/>
        <v>17536.593799999999</v>
      </c>
      <c r="L111" s="229">
        <f t="shared" si="21"/>
        <v>42522.316831999997</v>
      </c>
      <c r="M111" s="231">
        <v>0</v>
      </c>
      <c r="N111" s="232">
        <f t="shared" si="22"/>
        <v>352602.92</v>
      </c>
      <c r="O111" s="233">
        <f t="shared" si="23"/>
        <v>373759.92</v>
      </c>
      <c r="P111" s="85">
        <f t="shared" si="25"/>
        <v>0.9200000000000006</v>
      </c>
    </row>
    <row r="112" spans="1:16" ht="15.75" customHeight="1" x14ac:dyDescent="0.3">
      <c r="A112" s="64"/>
      <c r="B112" s="23"/>
      <c r="C112" s="23" t="s">
        <v>142</v>
      </c>
      <c r="D112" s="64" t="s">
        <v>388</v>
      </c>
      <c r="E112" s="64"/>
      <c r="F112" s="93">
        <v>2.3E-3</v>
      </c>
      <c r="G112" s="89">
        <v>60320.93</v>
      </c>
      <c r="H112" s="32">
        <f>G112</f>
        <v>60320.93</v>
      </c>
      <c r="I112" s="94">
        <f t="shared" si="0"/>
        <v>0</v>
      </c>
      <c r="J112" s="95">
        <f t="shared" si="20"/>
        <v>0</v>
      </c>
      <c r="K112" s="129"/>
      <c r="L112" s="95">
        <f t="shared" si="21"/>
        <v>42522.316831999997</v>
      </c>
      <c r="M112" s="135">
        <v>0</v>
      </c>
      <c r="N112" s="130">
        <f t="shared" si="22"/>
        <v>42522.93</v>
      </c>
      <c r="O112" s="97">
        <f t="shared" si="23"/>
        <v>45074.93</v>
      </c>
      <c r="P112" s="85">
        <f t="shared" si="25"/>
        <v>0.9300000000000006</v>
      </c>
    </row>
    <row r="113" spans="1:17" x14ac:dyDescent="0.3">
      <c r="A113" s="64"/>
      <c r="B113" s="23"/>
      <c r="C113" s="23" t="s">
        <v>143</v>
      </c>
      <c r="D113" s="64" t="s">
        <v>171</v>
      </c>
      <c r="E113" s="64"/>
      <c r="F113" s="93">
        <v>2.3E-3</v>
      </c>
      <c r="G113" s="89">
        <v>60320.94</v>
      </c>
      <c r="H113" s="32">
        <f t="shared" ref="H113" si="32">G113</f>
        <v>60320.94</v>
      </c>
      <c r="I113" s="94">
        <f t="shared" si="0"/>
        <v>0</v>
      </c>
      <c r="J113" s="95">
        <f t="shared" si="20"/>
        <v>0</v>
      </c>
      <c r="K113" s="129"/>
      <c r="L113" s="95">
        <f t="shared" si="21"/>
        <v>42522.316831999997</v>
      </c>
      <c r="M113" s="135">
        <v>0</v>
      </c>
      <c r="N113" s="130">
        <f t="shared" si="22"/>
        <v>42522.94</v>
      </c>
      <c r="O113" s="97">
        <f t="shared" si="23"/>
        <v>45074.94</v>
      </c>
      <c r="P113" s="85">
        <f t="shared" si="25"/>
        <v>0.94000000000000061</v>
      </c>
    </row>
    <row r="114" spans="1:17" x14ac:dyDescent="0.3">
      <c r="A114" s="64"/>
      <c r="B114" s="23"/>
      <c r="C114" s="23" t="s">
        <v>144</v>
      </c>
      <c r="D114" s="64" t="s">
        <v>194</v>
      </c>
      <c r="E114" s="64"/>
      <c r="F114" s="93">
        <v>2.3E-3</v>
      </c>
      <c r="G114" s="89">
        <v>57885.95</v>
      </c>
      <c r="H114" s="32">
        <f t="shared" ref="H114:H116" si="33">G114</f>
        <v>57885.95</v>
      </c>
      <c r="I114" s="94">
        <f t="shared" si="0"/>
        <v>0</v>
      </c>
      <c r="J114" s="95">
        <f t="shared" si="20"/>
        <v>0</v>
      </c>
      <c r="K114" s="129"/>
      <c r="L114" s="95">
        <f t="shared" si="21"/>
        <v>42522.316831999997</v>
      </c>
      <c r="M114" s="135">
        <v>0</v>
      </c>
      <c r="N114" s="130">
        <f t="shared" si="22"/>
        <v>42522.95</v>
      </c>
      <c r="O114" s="97">
        <f t="shared" si="23"/>
        <v>45074.95</v>
      </c>
      <c r="P114" s="85">
        <f t="shared" si="25"/>
        <v>0.95000000000000062</v>
      </c>
    </row>
    <row r="115" spans="1:17" x14ac:dyDescent="0.3">
      <c r="A115" s="64"/>
      <c r="B115" s="23"/>
      <c r="C115" s="23" t="s">
        <v>145</v>
      </c>
      <c r="D115" s="64" t="s">
        <v>215</v>
      </c>
      <c r="E115" s="64"/>
      <c r="F115" s="93">
        <v>2.3E-3</v>
      </c>
      <c r="G115" s="89">
        <v>60320.959999999999</v>
      </c>
      <c r="H115" s="158">
        <f>G115</f>
        <v>60320.959999999999</v>
      </c>
      <c r="I115" s="94">
        <f t="shared" si="0"/>
        <v>0</v>
      </c>
      <c r="J115" s="95">
        <f t="shared" si="20"/>
        <v>0</v>
      </c>
      <c r="K115" s="129"/>
      <c r="L115" s="95">
        <f t="shared" si="21"/>
        <v>42522.316831999997</v>
      </c>
      <c r="M115" s="135">
        <v>0</v>
      </c>
      <c r="N115" s="130">
        <f t="shared" si="22"/>
        <v>42522.96</v>
      </c>
      <c r="O115" s="97">
        <f t="shared" si="23"/>
        <v>45074.96</v>
      </c>
      <c r="P115" s="85">
        <f t="shared" si="25"/>
        <v>0.96000000000000063</v>
      </c>
    </row>
    <row r="116" spans="1:17" x14ac:dyDescent="0.3">
      <c r="A116" s="64"/>
      <c r="B116" s="23"/>
      <c r="C116" s="23" t="s">
        <v>146</v>
      </c>
      <c r="D116" s="64" t="s">
        <v>182</v>
      </c>
      <c r="E116" s="64"/>
      <c r="F116" s="93">
        <v>2.3E-3</v>
      </c>
      <c r="G116" s="89">
        <v>60320.97</v>
      </c>
      <c r="H116" s="32">
        <f t="shared" si="33"/>
        <v>60320.97</v>
      </c>
      <c r="I116" s="94">
        <f t="shared" si="0"/>
        <v>0</v>
      </c>
      <c r="J116" s="95">
        <f t="shared" ref="J116:J132" si="34">N$9*F116</f>
        <v>0</v>
      </c>
      <c r="K116" s="129"/>
      <c r="L116" s="95">
        <f t="shared" ref="L116:L132" si="35">N$2*F116</f>
        <v>42522.316831999997</v>
      </c>
      <c r="M116" s="135">
        <v>0</v>
      </c>
      <c r="N116" s="130">
        <f t="shared" si="22"/>
        <v>42522.97</v>
      </c>
      <c r="O116" s="97">
        <f t="shared" si="23"/>
        <v>45074.97</v>
      </c>
      <c r="P116" s="85">
        <f t="shared" si="25"/>
        <v>0.97000000000000064</v>
      </c>
    </row>
    <row r="117" spans="1:17" x14ac:dyDescent="0.3">
      <c r="A117" s="64"/>
      <c r="B117" s="23"/>
      <c r="C117" s="23" t="s">
        <v>147</v>
      </c>
      <c r="D117" s="64" t="s">
        <v>386</v>
      </c>
      <c r="E117" s="64" t="s">
        <v>281</v>
      </c>
      <c r="F117" s="93">
        <v>2.3E-3</v>
      </c>
      <c r="G117" s="89">
        <v>100881.98</v>
      </c>
      <c r="H117" s="32">
        <v>42995.48</v>
      </c>
      <c r="I117" s="94">
        <f t="shared" si="0"/>
        <v>57886.499999999993</v>
      </c>
      <c r="J117" s="95">
        <f t="shared" si="34"/>
        <v>0</v>
      </c>
      <c r="K117" s="129"/>
      <c r="L117" s="95">
        <f t="shared" si="35"/>
        <v>42522.316831999997</v>
      </c>
      <c r="M117" s="135">
        <v>0</v>
      </c>
      <c r="N117" s="130">
        <f t="shared" si="22"/>
        <v>100409.98</v>
      </c>
      <c r="O117" s="97">
        <f t="shared" si="23"/>
        <v>106435.98</v>
      </c>
      <c r="P117" s="85">
        <f t="shared" si="25"/>
        <v>0.98000000000000065</v>
      </c>
    </row>
    <row r="118" spans="1:17" x14ac:dyDescent="0.3">
      <c r="A118" s="64"/>
      <c r="B118" s="23"/>
      <c r="C118" s="23" t="s">
        <v>148</v>
      </c>
      <c r="D118" s="64" t="s">
        <v>386</v>
      </c>
      <c r="E118" s="64" t="s">
        <v>345</v>
      </c>
      <c r="F118" s="93">
        <v>2.3E-3</v>
      </c>
      <c r="G118" s="89">
        <v>146103.99</v>
      </c>
      <c r="H118" s="32">
        <f>G118</f>
        <v>146103.99</v>
      </c>
      <c r="I118" s="94">
        <f t="shared" si="0"/>
        <v>0</v>
      </c>
      <c r="J118" s="95">
        <f t="shared" si="34"/>
        <v>0</v>
      </c>
      <c r="K118" s="129"/>
      <c r="L118" s="95">
        <f t="shared" si="35"/>
        <v>42522.316831999997</v>
      </c>
      <c r="M118" s="135">
        <v>0</v>
      </c>
      <c r="N118" s="130">
        <f t="shared" si="22"/>
        <v>42522.99</v>
      </c>
      <c r="O118" s="97">
        <f t="shared" si="23"/>
        <v>45074.99</v>
      </c>
      <c r="P118" s="85">
        <f t="shared" si="25"/>
        <v>0.99000000000000066</v>
      </c>
    </row>
    <row r="119" spans="1:17" x14ac:dyDescent="0.3">
      <c r="A119" s="64"/>
      <c r="B119" s="23"/>
      <c r="C119" s="23" t="s">
        <v>149</v>
      </c>
      <c r="D119" s="64" t="s">
        <v>177</v>
      </c>
      <c r="E119" s="87" t="s">
        <v>333</v>
      </c>
      <c r="F119" s="93">
        <v>2.3E-3</v>
      </c>
      <c r="G119" s="89">
        <v>60321</v>
      </c>
      <c r="H119" s="32">
        <f t="shared" ref="H119:H120" si="36">G119</f>
        <v>60321</v>
      </c>
      <c r="I119" s="94">
        <f t="shared" si="0"/>
        <v>0</v>
      </c>
      <c r="J119" s="95">
        <f t="shared" si="34"/>
        <v>0</v>
      </c>
      <c r="K119" s="129">
        <f t="shared" si="26"/>
        <v>17536.593799999999</v>
      </c>
      <c r="L119" s="95">
        <f t="shared" si="35"/>
        <v>42522.316831999997</v>
      </c>
      <c r="M119" s="135">
        <v>0</v>
      </c>
      <c r="N119" s="130">
        <f t="shared" si="22"/>
        <v>60060</v>
      </c>
      <c r="O119" s="97">
        <f t="shared" si="23"/>
        <v>63665</v>
      </c>
      <c r="P119" s="85">
        <f t="shared" si="25"/>
        <v>1.0000000000000007</v>
      </c>
      <c r="Q119" t="s">
        <v>272</v>
      </c>
    </row>
    <row r="120" spans="1:17" x14ac:dyDescent="0.3">
      <c r="A120" s="80"/>
      <c r="B120" s="23"/>
      <c r="C120" s="285" t="s">
        <v>150</v>
      </c>
      <c r="D120" s="286" t="s">
        <v>270</v>
      </c>
      <c r="E120" s="64"/>
      <c r="F120" s="93">
        <v>2.3E-3</v>
      </c>
      <c r="G120" s="89">
        <v>60321.01</v>
      </c>
      <c r="H120" s="32">
        <f t="shared" si="36"/>
        <v>60321.01</v>
      </c>
      <c r="I120" s="94">
        <f t="shared" si="0"/>
        <v>0</v>
      </c>
      <c r="J120" s="95">
        <f t="shared" si="34"/>
        <v>0</v>
      </c>
      <c r="K120" s="129">
        <f t="shared" si="26"/>
        <v>17536.593799999999</v>
      </c>
      <c r="L120" s="95">
        <f t="shared" si="35"/>
        <v>42522.316831999997</v>
      </c>
      <c r="M120" s="135">
        <v>0</v>
      </c>
      <c r="N120" s="130">
        <f t="shared" si="22"/>
        <v>60060.01</v>
      </c>
      <c r="O120" s="97">
        <f t="shared" si="23"/>
        <v>63665.01</v>
      </c>
      <c r="P120" s="85">
        <f t="shared" si="25"/>
        <v>1.0100000000000007</v>
      </c>
    </row>
    <row r="121" spans="1:17" x14ac:dyDescent="0.3">
      <c r="A121" s="80"/>
      <c r="B121" s="23"/>
      <c r="C121" s="23" t="s">
        <v>151</v>
      </c>
      <c r="D121" s="64" t="s">
        <v>184</v>
      </c>
      <c r="E121" s="64"/>
      <c r="F121" s="93">
        <v>2.3E-3</v>
      </c>
      <c r="G121" s="89">
        <v>60321.02</v>
      </c>
      <c r="H121" s="32">
        <f t="shared" ref="H121:H126" si="37">G121</f>
        <v>60321.02</v>
      </c>
      <c r="I121" s="94">
        <f t="shared" si="0"/>
        <v>0</v>
      </c>
      <c r="J121" s="95">
        <f t="shared" si="34"/>
        <v>0</v>
      </c>
      <c r="K121" s="129"/>
      <c r="L121" s="95">
        <f t="shared" si="35"/>
        <v>42522.316831999997</v>
      </c>
      <c r="M121" s="135">
        <v>0</v>
      </c>
      <c r="N121" s="130">
        <f t="shared" si="22"/>
        <v>42523.02</v>
      </c>
      <c r="O121" s="97">
        <f t="shared" si="23"/>
        <v>45075.02</v>
      </c>
      <c r="P121" s="85">
        <f t="shared" si="25"/>
        <v>1.0200000000000007</v>
      </c>
    </row>
    <row r="122" spans="1:17" x14ac:dyDescent="0.3">
      <c r="A122" s="80"/>
      <c r="B122" s="23"/>
      <c r="C122" s="23" t="s">
        <v>152</v>
      </c>
      <c r="D122" s="64" t="s">
        <v>386</v>
      </c>
      <c r="E122" s="64" t="s">
        <v>346</v>
      </c>
      <c r="F122" s="93">
        <v>2.3E-3</v>
      </c>
      <c r="G122" s="89">
        <v>60321.03</v>
      </c>
      <c r="H122" s="32">
        <f t="shared" si="37"/>
        <v>60321.03</v>
      </c>
      <c r="I122" s="94">
        <f t="shared" si="0"/>
        <v>0</v>
      </c>
      <c r="J122" s="95">
        <f t="shared" si="34"/>
        <v>0</v>
      </c>
      <c r="K122" s="129">
        <f t="shared" si="26"/>
        <v>17536.593799999999</v>
      </c>
      <c r="L122" s="95">
        <f t="shared" si="35"/>
        <v>42522.316831999997</v>
      </c>
      <c r="M122" s="135">
        <v>0</v>
      </c>
      <c r="N122" s="130">
        <f t="shared" si="22"/>
        <v>60060.03</v>
      </c>
      <c r="O122" s="97">
        <f t="shared" si="23"/>
        <v>63665.03</v>
      </c>
      <c r="P122" s="85">
        <f t="shared" si="25"/>
        <v>1.0300000000000007</v>
      </c>
    </row>
    <row r="123" spans="1:17" x14ac:dyDescent="0.3">
      <c r="A123" s="80"/>
      <c r="B123" s="23"/>
      <c r="C123" s="411" t="s">
        <v>153</v>
      </c>
      <c r="D123" s="412" t="s">
        <v>212</v>
      </c>
      <c r="E123" s="64"/>
      <c r="F123" s="93">
        <v>2.3E-3</v>
      </c>
      <c r="G123" s="89">
        <v>60321.04</v>
      </c>
      <c r="H123" s="32">
        <f t="shared" si="37"/>
        <v>60321.04</v>
      </c>
      <c r="I123" s="94">
        <f t="shared" si="0"/>
        <v>0</v>
      </c>
      <c r="J123" s="95">
        <f t="shared" si="34"/>
        <v>0</v>
      </c>
      <c r="K123" s="129"/>
      <c r="L123" s="95">
        <f t="shared" si="35"/>
        <v>42522.316831999997</v>
      </c>
      <c r="M123" s="135">
        <v>0</v>
      </c>
      <c r="N123" s="130">
        <f t="shared" si="22"/>
        <v>42523.040000000001</v>
      </c>
      <c r="O123" s="97">
        <f t="shared" si="23"/>
        <v>45075.040000000001</v>
      </c>
      <c r="P123" s="85">
        <f t="shared" si="25"/>
        <v>1.0400000000000007</v>
      </c>
    </row>
    <row r="124" spans="1:17" x14ac:dyDescent="0.3">
      <c r="A124" s="80"/>
      <c r="B124" s="23"/>
      <c r="C124" s="23" t="s">
        <v>154</v>
      </c>
      <c r="D124" s="64" t="s">
        <v>207</v>
      </c>
      <c r="E124" s="64"/>
      <c r="F124" s="93">
        <v>2.3E-3</v>
      </c>
      <c r="G124" s="89">
        <v>60321.05</v>
      </c>
      <c r="H124" s="32">
        <f t="shared" si="37"/>
        <v>60321.05</v>
      </c>
      <c r="I124" s="94">
        <f t="shared" si="0"/>
        <v>0</v>
      </c>
      <c r="J124" s="95">
        <f t="shared" si="34"/>
        <v>0</v>
      </c>
      <c r="K124" s="129">
        <f t="shared" si="26"/>
        <v>17536.593799999999</v>
      </c>
      <c r="L124" s="95">
        <f t="shared" si="35"/>
        <v>42522.316831999997</v>
      </c>
      <c r="M124" s="135">
        <v>0</v>
      </c>
      <c r="N124" s="130">
        <f t="shared" si="22"/>
        <v>60060.05</v>
      </c>
      <c r="O124" s="97">
        <f t="shared" si="23"/>
        <v>63665.05</v>
      </c>
      <c r="P124" s="85">
        <f t="shared" si="25"/>
        <v>1.0500000000000007</v>
      </c>
    </row>
    <row r="125" spans="1:17" x14ac:dyDescent="0.3">
      <c r="A125" s="80"/>
      <c r="B125" s="23"/>
      <c r="C125" s="23" t="s">
        <v>155</v>
      </c>
      <c r="D125" s="64" t="s">
        <v>386</v>
      </c>
      <c r="E125" s="64"/>
      <c r="F125" s="93">
        <v>2.3E-3</v>
      </c>
      <c r="G125" s="89">
        <v>60321.06</v>
      </c>
      <c r="H125" s="32">
        <f t="shared" si="37"/>
        <v>60321.06</v>
      </c>
      <c r="I125" s="94">
        <f t="shared" si="0"/>
        <v>0</v>
      </c>
      <c r="J125" s="95">
        <f t="shared" si="34"/>
        <v>0</v>
      </c>
      <c r="K125" s="129">
        <f t="shared" si="26"/>
        <v>17536.593799999999</v>
      </c>
      <c r="L125" s="95">
        <f t="shared" si="35"/>
        <v>42522.316831999997</v>
      </c>
      <c r="M125" s="135">
        <v>0</v>
      </c>
      <c r="N125" s="130">
        <f t="shared" si="22"/>
        <v>60060.06</v>
      </c>
      <c r="O125" s="97">
        <f t="shared" si="23"/>
        <v>63665.06</v>
      </c>
      <c r="P125" s="85">
        <f t="shared" si="25"/>
        <v>1.0600000000000007</v>
      </c>
      <c r="Q125" t="s">
        <v>286</v>
      </c>
    </row>
    <row r="126" spans="1:17" x14ac:dyDescent="0.3">
      <c r="A126" s="118"/>
      <c r="B126" s="113"/>
      <c r="C126" s="23" t="s">
        <v>156</v>
      </c>
      <c r="D126" s="64" t="s">
        <v>386</v>
      </c>
      <c r="E126" s="87" t="s">
        <v>262</v>
      </c>
      <c r="F126" s="93">
        <v>2.3E-3</v>
      </c>
      <c r="G126" s="89">
        <v>97972.07</v>
      </c>
      <c r="H126" s="32">
        <f t="shared" si="37"/>
        <v>97972.07</v>
      </c>
      <c r="I126" s="94">
        <f t="shared" si="0"/>
        <v>0</v>
      </c>
      <c r="J126" s="95">
        <f t="shared" si="34"/>
        <v>0</v>
      </c>
      <c r="K126" s="129"/>
      <c r="L126" s="95">
        <f t="shared" si="35"/>
        <v>42522.316831999997</v>
      </c>
      <c r="M126" s="135">
        <v>0</v>
      </c>
      <c r="N126" s="130">
        <f t="shared" si="22"/>
        <v>42523.07</v>
      </c>
      <c r="O126" s="97">
        <f t="shared" si="23"/>
        <v>45075.07</v>
      </c>
      <c r="P126" s="85">
        <f t="shared" si="25"/>
        <v>1.0700000000000007</v>
      </c>
    </row>
    <row r="127" spans="1:17" x14ac:dyDescent="0.3">
      <c r="A127" s="118"/>
      <c r="B127" s="113"/>
      <c r="C127" s="23" t="s">
        <v>157</v>
      </c>
      <c r="D127" s="64" t="s">
        <v>386</v>
      </c>
      <c r="E127" s="64"/>
      <c r="F127" s="93">
        <v>2.3E-3</v>
      </c>
      <c r="G127" s="89">
        <v>60321.08</v>
      </c>
      <c r="H127" s="32">
        <v>0</v>
      </c>
      <c r="I127" s="94">
        <f t="shared" si="0"/>
        <v>60321.08</v>
      </c>
      <c r="J127" s="95">
        <f t="shared" si="34"/>
        <v>0</v>
      </c>
      <c r="K127" s="129"/>
      <c r="L127" s="95">
        <f t="shared" si="35"/>
        <v>42522.316831999997</v>
      </c>
      <c r="M127" s="135">
        <v>0</v>
      </c>
      <c r="N127" s="130">
        <f t="shared" si="22"/>
        <v>102844.08</v>
      </c>
      <c r="O127" s="97">
        <f t="shared" si="23"/>
        <v>109016.08</v>
      </c>
      <c r="P127" s="85">
        <f t="shared" si="25"/>
        <v>1.0800000000000007</v>
      </c>
    </row>
    <row r="128" spans="1:17" x14ac:dyDescent="0.3">
      <c r="A128" s="80"/>
      <c r="B128" s="23"/>
      <c r="C128" s="23" t="s">
        <v>158</v>
      </c>
      <c r="D128" s="64" t="s">
        <v>210</v>
      </c>
      <c r="E128" s="64"/>
      <c r="F128" s="93">
        <v>2.3E-3</v>
      </c>
      <c r="G128" s="89">
        <v>74962.09</v>
      </c>
      <c r="H128" s="32">
        <v>60320.09</v>
      </c>
      <c r="I128" s="94">
        <f>G128-H128</f>
        <v>14642</v>
      </c>
      <c r="J128" s="95">
        <f t="shared" si="34"/>
        <v>0</v>
      </c>
      <c r="K128" s="129">
        <f t="shared" si="26"/>
        <v>17536.593799999999</v>
      </c>
      <c r="L128" s="95">
        <f t="shared" si="35"/>
        <v>42522.316831999997</v>
      </c>
      <c r="M128" s="135">
        <v>0</v>
      </c>
      <c r="N128" s="130">
        <f t="shared" si="22"/>
        <v>74702.09</v>
      </c>
      <c r="O128" s="97">
        <f t="shared" si="23"/>
        <v>79185.09</v>
      </c>
      <c r="P128" s="85">
        <f t="shared" si="25"/>
        <v>1.0900000000000007</v>
      </c>
    </row>
    <row r="129" spans="1:17" x14ac:dyDescent="0.3">
      <c r="A129" s="80"/>
      <c r="B129" s="23"/>
      <c r="C129" s="23" t="s">
        <v>159</v>
      </c>
      <c r="D129" s="64" t="s">
        <v>204</v>
      </c>
      <c r="E129" s="64"/>
      <c r="F129" s="59">
        <v>2.3E-3</v>
      </c>
      <c r="G129" s="86">
        <v>57886.1</v>
      </c>
      <c r="H129" s="32">
        <f>G129</f>
        <v>57886.1</v>
      </c>
      <c r="I129" s="36">
        <f t="shared" si="0"/>
        <v>0</v>
      </c>
      <c r="J129" s="17">
        <f t="shared" si="34"/>
        <v>0</v>
      </c>
      <c r="K129" s="129"/>
      <c r="L129" s="17">
        <f t="shared" si="35"/>
        <v>42522.316831999997</v>
      </c>
      <c r="M129" s="135">
        <v>0</v>
      </c>
      <c r="N129" s="130">
        <f t="shared" si="22"/>
        <v>42523.1</v>
      </c>
      <c r="O129" s="5">
        <f t="shared" si="23"/>
        <v>45075.1</v>
      </c>
      <c r="P129" s="85">
        <f t="shared" si="25"/>
        <v>1.1000000000000008</v>
      </c>
    </row>
    <row r="130" spans="1:17" x14ac:dyDescent="0.3">
      <c r="A130" s="80"/>
      <c r="B130" s="23"/>
      <c r="C130" s="23" t="s">
        <v>160</v>
      </c>
      <c r="D130" s="64" t="s">
        <v>214</v>
      </c>
      <c r="E130" s="64"/>
      <c r="F130" s="59">
        <v>2.3E-3</v>
      </c>
      <c r="G130" s="86">
        <v>60321.11</v>
      </c>
      <c r="H130" s="32">
        <f>G130</f>
        <v>60321.11</v>
      </c>
      <c r="I130" s="36">
        <f t="shared" si="0"/>
        <v>0</v>
      </c>
      <c r="J130" s="17">
        <f t="shared" si="34"/>
        <v>0</v>
      </c>
      <c r="K130" s="129"/>
      <c r="L130" s="17">
        <f t="shared" si="35"/>
        <v>42522.316831999997</v>
      </c>
      <c r="M130" s="135">
        <v>0</v>
      </c>
      <c r="N130" s="130">
        <f t="shared" si="22"/>
        <v>42523.11</v>
      </c>
      <c r="O130" s="5">
        <f t="shared" si="23"/>
        <v>45075.11</v>
      </c>
      <c r="P130" s="85">
        <f t="shared" si="25"/>
        <v>1.1100000000000008</v>
      </c>
    </row>
    <row r="131" spans="1:17" x14ac:dyDescent="0.3">
      <c r="A131" s="80" t="s">
        <v>23</v>
      </c>
      <c r="B131" s="23"/>
      <c r="C131" s="23" t="s">
        <v>161</v>
      </c>
      <c r="D131" s="64" t="s">
        <v>195</v>
      </c>
      <c r="E131" s="64"/>
      <c r="F131" s="59">
        <v>2.3E-3</v>
      </c>
      <c r="G131" s="86">
        <v>60321.120000000003</v>
      </c>
      <c r="H131" s="32">
        <f>G131</f>
        <v>60321.120000000003</v>
      </c>
      <c r="I131" s="36">
        <f t="shared" si="0"/>
        <v>0</v>
      </c>
      <c r="J131" s="17">
        <f t="shared" si="34"/>
        <v>0</v>
      </c>
      <c r="K131" s="129">
        <f t="shared" si="26"/>
        <v>17536.593799999999</v>
      </c>
      <c r="L131" s="17">
        <f t="shared" si="35"/>
        <v>42522.316831999997</v>
      </c>
      <c r="M131" s="135">
        <v>0</v>
      </c>
      <c r="N131" s="130">
        <f t="shared" si="22"/>
        <v>60060.12</v>
      </c>
      <c r="O131" s="5">
        <f t="shared" si="23"/>
        <v>63665.120000000003</v>
      </c>
      <c r="P131" s="85">
        <f t="shared" si="25"/>
        <v>1.1200000000000008</v>
      </c>
    </row>
    <row r="132" spans="1:17" x14ac:dyDescent="0.3">
      <c r="A132" s="80" t="s">
        <v>23</v>
      </c>
      <c r="B132" s="23"/>
      <c r="C132" s="23" t="s">
        <v>162</v>
      </c>
      <c r="D132" s="64" t="s">
        <v>287</v>
      </c>
      <c r="E132" s="64"/>
      <c r="F132" s="59">
        <v>2.3E-3</v>
      </c>
      <c r="G132" s="86">
        <v>60321.13</v>
      </c>
      <c r="H132" s="32">
        <f>G132</f>
        <v>60321.13</v>
      </c>
      <c r="I132" s="36">
        <f t="shared" si="0"/>
        <v>0</v>
      </c>
      <c r="J132" s="17">
        <f t="shared" si="34"/>
        <v>0</v>
      </c>
      <c r="K132" s="129"/>
      <c r="L132" s="17">
        <f t="shared" si="35"/>
        <v>42522.316831999997</v>
      </c>
      <c r="M132" s="135">
        <v>0</v>
      </c>
      <c r="N132" s="130">
        <f t="shared" si="22"/>
        <v>42523.13</v>
      </c>
      <c r="O132" s="5">
        <f t="shared" si="23"/>
        <v>45076.13</v>
      </c>
      <c r="P132" s="85">
        <f t="shared" si="25"/>
        <v>1.1300000000000008</v>
      </c>
    </row>
    <row r="133" spans="1:17" x14ac:dyDescent="0.3">
      <c r="A133" s="34" t="s">
        <v>23</v>
      </c>
      <c r="B133" s="3"/>
      <c r="C133" s="3"/>
      <c r="D133" s="37"/>
      <c r="E133" s="37"/>
      <c r="F133" s="3"/>
      <c r="G133" s="17"/>
      <c r="H133" s="58"/>
      <c r="I133" s="36"/>
      <c r="J133" s="17"/>
      <c r="K133" s="17"/>
      <c r="L133" s="17"/>
      <c r="M133" s="48"/>
      <c r="N133" s="2"/>
      <c r="O133" s="5"/>
    </row>
    <row r="134" spans="1:17" ht="14.25" customHeight="1" x14ac:dyDescent="0.3">
      <c r="A134" s="18"/>
      <c r="B134" s="18"/>
      <c r="C134" s="18"/>
      <c r="D134" s="18"/>
      <c r="E134" s="18"/>
      <c r="F134" s="71">
        <f>SUM(F15:F133)</f>
        <v>0.99819999999999809</v>
      </c>
      <c r="G134" s="19">
        <f>SUM(G15:G133)</f>
        <v>36780099.326048389</v>
      </c>
      <c r="H134" s="19">
        <f>SUM(H15:H133)</f>
        <v>31902350.383194998</v>
      </c>
      <c r="I134" s="18"/>
      <c r="J134" s="35">
        <f t="shared" ref="J134:O134" si="38">SUM(J15:J133)</f>
        <v>0</v>
      </c>
      <c r="K134" s="19">
        <f t="shared" si="38"/>
        <v>3117701.393399999</v>
      </c>
      <c r="L134" s="19">
        <f>SUM(L15:L133)</f>
        <v>18900283.870319936</v>
      </c>
      <c r="M134" s="117">
        <f t="shared" si="38"/>
        <v>90000</v>
      </c>
      <c r="N134" s="20">
        <f t="shared" si="38"/>
        <v>26985791.76057338</v>
      </c>
      <c r="O134" s="19">
        <f t="shared" si="38"/>
        <v>28604998.881607782</v>
      </c>
      <c r="Q134" s="39"/>
    </row>
    <row r="135" spans="1:17" hidden="1" x14ac:dyDescent="0.3">
      <c r="L135" s="41">
        <f>L134-M1</f>
        <v>412320.03031993657</v>
      </c>
    </row>
    <row r="136" spans="1:17" ht="15" hidden="1" customHeight="1" x14ac:dyDescent="0.3">
      <c r="C136" s="340"/>
      <c r="D136" s="340"/>
      <c r="E136" s="340"/>
      <c r="F136" s="340"/>
      <c r="G136" s="340"/>
      <c r="H136" s="340"/>
      <c r="I136" s="340"/>
      <c r="J136" s="340"/>
      <c r="K136" s="340"/>
      <c r="L136" s="340"/>
      <c r="M136" s="340"/>
      <c r="N136" s="340"/>
      <c r="O136" s="340"/>
    </row>
    <row r="137" spans="1:17" hidden="1" x14ac:dyDescent="0.3">
      <c r="C137" s="340"/>
      <c r="D137" s="340"/>
      <c r="E137" s="340"/>
      <c r="F137" s="340"/>
      <c r="G137" s="340"/>
      <c r="H137" s="340"/>
      <c r="I137" s="340"/>
      <c r="J137" s="340"/>
      <c r="K137" s="340"/>
      <c r="L137" s="340"/>
      <c r="M137" s="340"/>
      <c r="N137" s="340"/>
      <c r="O137" s="340"/>
    </row>
    <row r="138" spans="1:17" ht="8.25" customHeight="1" x14ac:dyDescent="0.3">
      <c r="C138" s="49"/>
      <c r="D138" s="49"/>
      <c r="E138" s="49"/>
      <c r="F138" s="49"/>
      <c r="G138" s="49"/>
      <c r="H138" s="49"/>
      <c r="I138" s="49"/>
      <c r="J138" s="49"/>
      <c r="K138" s="49"/>
      <c r="L138" s="49"/>
      <c r="M138" s="49"/>
      <c r="N138" s="49"/>
      <c r="O138" s="49"/>
    </row>
    <row r="139" spans="1:17" x14ac:dyDescent="0.3">
      <c r="C139" s="323" t="s">
        <v>239</v>
      </c>
      <c r="D139" s="323"/>
      <c r="E139" s="323"/>
      <c r="F139" s="323"/>
      <c r="G139" s="323"/>
      <c r="H139" s="323"/>
      <c r="I139" s="323"/>
      <c r="J139" s="323"/>
      <c r="K139" s="323"/>
      <c r="L139" s="323"/>
      <c r="M139" s="323"/>
      <c r="N139" s="323"/>
      <c r="O139" s="323"/>
    </row>
    <row r="140" spans="1:17" x14ac:dyDescent="0.3">
      <c r="C140" s="323"/>
      <c r="D140" s="323"/>
      <c r="E140" s="323"/>
      <c r="F140" s="323"/>
      <c r="G140" s="323"/>
      <c r="H140" s="323"/>
      <c r="I140" s="323"/>
      <c r="J140" s="323"/>
      <c r="K140" s="323"/>
      <c r="L140" s="323"/>
      <c r="M140" s="323"/>
      <c r="N140" s="323"/>
      <c r="O140" s="323"/>
    </row>
    <row r="141" spans="1:17" x14ac:dyDescent="0.3">
      <c r="C141" s="323"/>
      <c r="D141" s="323"/>
      <c r="E141" s="323"/>
      <c r="F141" s="323"/>
      <c r="G141" s="323"/>
      <c r="H141" s="323"/>
      <c r="I141" s="323"/>
      <c r="J141" s="323"/>
      <c r="K141" s="323"/>
      <c r="L141" s="323"/>
      <c r="M141" s="323"/>
      <c r="N141" s="323"/>
      <c r="O141" s="323"/>
    </row>
    <row r="142" spans="1:17" x14ac:dyDescent="0.3">
      <c r="C142" s="323"/>
      <c r="D142" s="323"/>
      <c r="E142" s="323"/>
      <c r="F142" s="323"/>
      <c r="G142" s="323"/>
      <c r="H142" s="323"/>
      <c r="I142" s="323"/>
      <c r="J142" s="323"/>
      <c r="K142" s="323"/>
      <c r="L142" s="323"/>
      <c r="M142" s="323"/>
      <c r="N142" s="323"/>
      <c r="O142" s="323"/>
    </row>
    <row r="143" spans="1:17" x14ac:dyDescent="0.3">
      <c r="C143" s="323"/>
      <c r="D143" s="323"/>
      <c r="E143" s="323"/>
      <c r="F143" s="323"/>
      <c r="G143" s="323"/>
      <c r="H143" s="323"/>
      <c r="I143" s="323"/>
      <c r="J143" s="323"/>
      <c r="K143" s="323"/>
      <c r="L143" s="323"/>
      <c r="M143" s="323"/>
      <c r="N143" s="323"/>
      <c r="O143" s="323"/>
    </row>
    <row r="144" spans="1:17" x14ac:dyDescent="0.3">
      <c r="C144" s="323"/>
      <c r="D144" s="323"/>
      <c r="E144" s="323"/>
      <c r="F144" s="323"/>
      <c r="G144" s="323"/>
      <c r="H144" s="323"/>
      <c r="I144" s="323"/>
      <c r="J144" s="323"/>
      <c r="K144" s="323"/>
      <c r="L144" s="323"/>
      <c r="M144" s="323"/>
      <c r="N144" s="323"/>
      <c r="O144" s="323"/>
    </row>
    <row r="145" spans="3:17" x14ac:dyDescent="0.3">
      <c r="C145" s="323"/>
      <c r="D145" s="323"/>
      <c r="E145" s="323"/>
      <c r="F145" s="323"/>
      <c r="G145" s="323"/>
      <c r="H145" s="323"/>
      <c r="I145" s="323"/>
      <c r="J145" s="323"/>
      <c r="K145" s="323"/>
      <c r="L145" s="323"/>
      <c r="M145" s="323"/>
      <c r="N145" s="323"/>
      <c r="O145" s="323"/>
    </row>
    <row r="146" spans="3:17" x14ac:dyDescent="0.3">
      <c r="C146" s="323"/>
      <c r="D146" s="323"/>
      <c r="E146" s="323"/>
      <c r="F146" s="323"/>
      <c r="G146" s="323"/>
      <c r="H146" s="323"/>
      <c r="I146" s="323"/>
      <c r="J146" s="323"/>
      <c r="K146" s="323"/>
      <c r="L146" s="323"/>
      <c r="M146" s="323"/>
      <c r="N146" s="323"/>
      <c r="O146" s="323"/>
    </row>
    <row r="147" spans="3:17" ht="6" customHeight="1" x14ac:dyDescent="0.3">
      <c r="C147" s="49"/>
      <c r="D147" s="49"/>
      <c r="E147" s="49"/>
      <c r="F147" s="49"/>
      <c r="G147" s="49"/>
      <c r="H147" s="49"/>
      <c r="I147" s="49"/>
      <c r="J147" s="49"/>
      <c r="K147" s="49"/>
      <c r="L147" s="49"/>
      <c r="M147" s="49"/>
      <c r="N147" s="49"/>
      <c r="O147" s="49"/>
    </row>
    <row r="148" spans="3:17" ht="45" hidden="1" customHeight="1" x14ac:dyDescent="0.3">
      <c r="C148" s="49"/>
      <c r="D148" s="49"/>
      <c r="E148" s="49"/>
      <c r="F148" s="49"/>
      <c r="G148" s="49"/>
      <c r="H148" s="49"/>
      <c r="I148" s="49"/>
      <c r="J148" s="49"/>
      <c r="K148" s="49"/>
      <c r="L148" s="49"/>
      <c r="M148" s="49"/>
      <c r="N148" s="49"/>
      <c r="O148" s="49"/>
    </row>
    <row r="149" spans="3:17" x14ac:dyDescent="0.3">
      <c r="C149" s="339" t="s">
        <v>238</v>
      </c>
      <c r="D149" s="339"/>
      <c r="E149" s="339"/>
      <c r="F149" s="339"/>
      <c r="G149" s="339"/>
      <c r="H149" s="339"/>
      <c r="I149" s="339"/>
      <c r="J149" s="339"/>
      <c r="K149" s="339"/>
      <c r="L149" s="339"/>
      <c r="M149" s="339"/>
      <c r="N149" s="339"/>
      <c r="O149" s="339"/>
    </row>
    <row r="150" spans="3:17" x14ac:dyDescent="0.3">
      <c r="C150" s="339"/>
      <c r="D150" s="339"/>
      <c r="E150" s="339"/>
      <c r="F150" s="339"/>
      <c r="G150" s="339"/>
      <c r="H150" s="339"/>
      <c r="I150" s="339"/>
      <c r="J150" s="339"/>
      <c r="K150" s="339"/>
      <c r="L150" s="339"/>
      <c r="M150" s="339"/>
      <c r="N150" s="339"/>
      <c r="O150" s="339"/>
    </row>
    <row r="151" spans="3:17" x14ac:dyDescent="0.3">
      <c r="C151" s="339"/>
      <c r="D151" s="339"/>
      <c r="E151" s="339"/>
      <c r="F151" s="339"/>
      <c r="G151" s="339"/>
      <c r="H151" s="339"/>
      <c r="I151" s="339"/>
      <c r="J151" s="339"/>
      <c r="K151" s="339"/>
      <c r="L151" s="339"/>
      <c r="M151" s="339"/>
      <c r="N151" s="339"/>
      <c r="O151" s="339"/>
      <c r="Q151" s="55">
        <f>M1-L134</f>
        <v>-412320.03031993657</v>
      </c>
    </row>
    <row r="152" spans="3:17" ht="22.5" customHeight="1" x14ac:dyDescent="0.3">
      <c r="C152" s="339"/>
      <c r="D152" s="339"/>
      <c r="E152" s="339"/>
      <c r="F152" s="339"/>
      <c r="G152" s="339"/>
      <c r="H152" s="339"/>
      <c r="I152" s="339"/>
      <c r="J152" s="339"/>
      <c r="K152" s="339"/>
      <c r="L152" s="339"/>
      <c r="M152" s="339"/>
      <c r="N152" s="339"/>
      <c r="O152" s="339"/>
    </row>
    <row r="153" spans="3:17" ht="5.25" customHeight="1" x14ac:dyDescent="0.3">
      <c r="C153" s="339"/>
      <c r="D153" s="339"/>
      <c r="E153" s="339"/>
      <c r="F153" s="339"/>
      <c r="G153" s="339"/>
      <c r="H153" s="339"/>
      <c r="I153" s="339"/>
      <c r="J153" s="339"/>
      <c r="K153" s="339"/>
      <c r="L153" s="339"/>
      <c r="M153" s="339"/>
      <c r="N153" s="339"/>
      <c r="O153" s="339"/>
    </row>
    <row r="154" spans="3:17" ht="15" hidden="1" customHeight="1" x14ac:dyDescent="0.3">
      <c r="C154" s="339"/>
      <c r="D154" s="339"/>
      <c r="E154" s="339"/>
      <c r="F154" s="339"/>
      <c r="G154" s="339"/>
      <c r="H154" s="339"/>
      <c r="I154" s="339"/>
      <c r="J154" s="339"/>
      <c r="K154" s="339"/>
      <c r="L154" s="339"/>
      <c r="M154" s="339"/>
      <c r="N154" s="339"/>
      <c r="O154" s="339"/>
    </row>
    <row r="155" spans="3:17" ht="15" hidden="1" customHeight="1" x14ac:dyDescent="0.3">
      <c r="C155" s="339"/>
      <c r="D155" s="339"/>
      <c r="E155" s="339"/>
      <c r="F155" s="339"/>
      <c r="G155" s="339"/>
      <c r="H155" s="339"/>
      <c r="I155" s="339"/>
      <c r="J155" s="339"/>
      <c r="K155" s="339"/>
      <c r="L155" s="339"/>
      <c r="M155" s="339"/>
      <c r="N155" s="339"/>
      <c r="O155" s="339"/>
    </row>
  </sheetData>
  <mergeCells count="23">
    <mergeCell ref="R15:S16"/>
    <mergeCell ref="G12:G14"/>
    <mergeCell ref="C149:O155"/>
    <mergeCell ref="C136:O137"/>
    <mergeCell ref="M1:N1"/>
    <mergeCell ref="H12:H14"/>
    <mergeCell ref="I12:I14"/>
    <mergeCell ref="J12:J14"/>
    <mergeCell ref="L12:L14"/>
    <mergeCell ref="M12:M14"/>
    <mergeCell ref="C139:O146"/>
    <mergeCell ref="N12:N13"/>
    <mergeCell ref="O12:O13"/>
    <mergeCell ref="C6:O9"/>
    <mergeCell ref="C10:O11"/>
    <mergeCell ref="A1:E5"/>
    <mergeCell ref="K12:K14"/>
    <mergeCell ref="A12:A14"/>
    <mergeCell ref="B12:B14"/>
    <mergeCell ref="C12:C14"/>
    <mergeCell ref="D12:D14"/>
    <mergeCell ref="F12:F14"/>
    <mergeCell ref="E12:E14"/>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M25"/>
  <sheetViews>
    <sheetView topLeftCell="A2" workbookViewId="0">
      <selection activeCell="E22" sqref="C19:E22"/>
    </sheetView>
  </sheetViews>
  <sheetFormatPr baseColWidth="10" defaultRowHeight="14.4" x14ac:dyDescent="0.3"/>
  <sheetData>
    <row r="1" spans="3:13" ht="15" thickBot="1" x14ac:dyDescent="0.35">
      <c r="K1" s="46"/>
      <c r="L1" s="46"/>
      <c r="M1" s="46"/>
    </row>
    <row r="2" spans="3:13" x14ac:dyDescent="0.3">
      <c r="C2" s="263" t="s">
        <v>336</v>
      </c>
      <c r="D2" s="264">
        <v>1</v>
      </c>
      <c r="E2" s="264"/>
      <c r="F2" s="170"/>
      <c r="G2" s="170"/>
      <c r="H2" s="170"/>
      <c r="I2" s="170"/>
      <c r="J2" s="171"/>
      <c r="K2" s="46"/>
      <c r="L2" s="46"/>
      <c r="M2" s="46"/>
    </row>
    <row r="3" spans="3:13" x14ac:dyDescent="0.3">
      <c r="C3" s="265" t="s">
        <v>337</v>
      </c>
      <c r="D3" s="266"/>
      <c r="E3" s="267">
        <v>0</v>
      </c>
      <c r="F3" s="46"/>
      <c r="G3" s="46" t="s">
        <v>338</v>
      </c>
      <c r="H3" s="172"/>
      <c r="I3" s="173"/>
      <c r="J3" s="174"/>
      <c r="K3" s="237"/>
      <c r="L3" s="237"/>
      <c r="M3" s="237"/>
    </row>
    <row r="4" spans="3:13" x14ac:dyDescent="0.3">
      <c r="C4" s="265" t="s">
        <v>339</v>
      </c>
      <c r="D4" s="266" t="s">
        <v>340</v>
      </c>
      <c r="E4" s="266" t="s">
        <v>341</v>
      </c>
      <c r="F4" s="46"/>
      <c r="G4" s="46" t="s">
        <v>342</v>
      </c>
      <c r="H4" s="46" t="s">
        <v>425</v>
      </c>
      <c r="I4" s="173"/>
      <c r="J4" s="174"/>
      <c r="K4" s="237"/>
      <c r="L4" s="237"/>
      <c r="M4" s="237"/>
    </row>
    <row r="5" spans="3:13" ht="15" thickBot="1" x14ac:dyDescent="0.35">
      <c r="C5" s="168" t="s">
        <v>343</v>
      </c>
      <c r="D5" s="46"/>
      <c r="E5" s="46"/>
      <c r="F5" s="46"/>
      <c r="G5" s="46"/>
      <c r="H5" s="46"/>
      <c r="I5" s="46"/>
      <c r="J5" s="175"/>
      <c r="K5" s="237"/>
      <c r="L5" s="237"/>
      <c r="M5" s="237"/>
    </row>
    <row r="6" spans="3:13" x14ac:dyDescent="0.3">
      <c r="C6" s="368" t="s">
        <v>426</v>
      </c>
      <c r="D6" s="369"/>
      <c r="E6" s="369"/>
      <c r="F6" s="369"/>
      <c r="G6" s="369"/>
      <c r="H6" s="369"/>
      <c r="I6" s="369"/>
      <c r="J6" s="370"/>
      <c r="K6" s="46"/>
      <c r="L6" s="46"/>
      <c r="M6" s="46"/>
    </row>
    <row r="7" spans="3:13" x14ac:dyDescent="0.3">
      <c r="C7" s="371"/>
      <c r="D7" s="372"/>
      <c r="E7" s="372"/>
      <c r="F7" s="372"/>
      <c r="G7" s="372"/>
      <c r="H7" s="372"/>
      <c r="I7" s="372"/>
      <c r="J7" s="373"/>
      <c r="K7" s="46"/>
      <c r="L7" s="46"/>
      <c r="M7" s="46"/>
    </row>
    <row r="8" spans="3:13" ht="15" thickBot="1" x14ac:dyDescent="0.35">
      <c r="C8" s="374"/>
      <c r="D8" s="375"/>
      <c r="E8" s="375"/>
      <c r="F8" s="375"/>
      <c r="G8" s="375"/>
      <c r="H8" s="375"/>
      <c r="I8" s="375"/>
      <c r="J8" s="376"/>
      <c r="K8" s="46"/>
      <c r="L8" s="46"/>
      <c r="M8" s="46"/>
    </row>
    <row r="10" spans="3:13" ht="15" thickBot="1" x14ac:dyDescent="0.35"/>
    <row r="11" spans="3:13" x14ac:dyDescent="0.3">
      <c r="C11" s="401" t="s">
        <v>336</v>
      </c>
      <c r="D11" s="402">
        <v>1</v>
      </c>
      <c r="E11" s="402"/>
      <c r="F11" s="170"/>
      <c r="G11" s="170"/>
      <c r="H11" s="170"/>
      <c r="I11" s="170"/>
      <c r="J11" s="171"/>
    </row>
    <row r="12" spans="3:13" x14ac:dyDescent="0.3">
      <c r="C12" s="403" t="s">
        <v>337</v>
      </c>
      <c r="D12" s="404"/>
      <c r="E12" s="405">
        <v>0</v>
      </c>
      <c r="F12" s="46"/>
      <c r="G12" s="46" t="s">
        <v>338</v>
      </c>
      <c r="H12" s="172" t="s">
        <v>428</v>
      </c>
      <c r="I12" s="173"/>
      <c r="J12" s="174"/>
    </row>
    <row r="13" spans="3:13" x14ac:dyDescent="0.3">
      <c r="C13" s="403" t="s">
        <v>339</v>
      </c>
      <c r="D13" s="404" t="s">
        <v>340</v>
      </c>
      <c r="E13" s="404" t="s">
        <v>341</v>
      </c>
      <c r="F13" s="46"/>
      <c r="G13" s="46" t="s">
        <v>342</v>
      </c>
      <c r="H13" s="46" t="s">
        <v>427</v>
      </c>
      <c r="I13" s="173"/>
      <c r="J13" s="174"/>
    </row>
    <row r="14" spans="3:13" ht="15" thickBot="1" x14ac:dyDescent="0.35">
      <c r="C14" s="403" t="s">
        <v>343</v>
      </c>
      <c r="D14" s="404"/>
      <c r="E14" s="404"/>
      <c r="F14" s="46"/>
      <c r="G14" s="46"/>
      <c r="H14" s="46"/>
      <c r="I14" s="46"/>
      <c r="J14" s="175"/>
    </row>
    <row r="15" spans="3:13" x14ac:dyDescent="0.3">
      <c r="C15" s="368" t="s">
        <v>429</v>
      </c>
      <c r="D15" s="369"/>
      <c r="E15" s="369"/>
      <c r="F15" s="369"/>
      <c r="G15" s="369"/>
      <c r="H15" s="369"/>
      <c r="I15" s="369"/>
      <c r="J15" s="370"/>
    </row>
    <row r="16" spans="3:13" x14ac:dyDescent="0.3">
      <c r="C16" s="371"/>
      <c r="D16" s="372"/>
      <c r="E16" s="372"/>
      <c r="F16" s="372"/>
      <c r="G16" s="372"/>
      <c r="H16" s="372"/>
      <c r="I16" s="372"/>
      <c r="J16" s="373"/>
    </row>
    <row r="17" spans="3:10" ht="15" thickBot="1" x14ac:dyDescent="0.35">
      <c r="C17" s="374"/>
      <c r="D17" s="375"/>
      <c r="E17" s="375"/>
      <c r="F17" s="375"/>
      <c r="G17" s="375"/>
      <c r="H17" s="375"/>
      <c r="I17" s="375"/>
      <c r="J17" s="376"/>
    </row>
    <row r="18" spans="3:10" ht="15" thickBot="1" x14ac:dyDescent="0.35"/>
    <row r="19" spans="3:10" x14ac:dyDescent="0.3">
      <c r="C19" s="406" t="s">
        <v>336</v>
      </c>
      <c r="D19" s="407">
        <v>1</v>
      </c>
      <c r="E19" s="407"/>
      <c r="F19" s="170"/>
      <c r="G19" s="170"/>
      <c r="H19" s="170"/>
      <c r="I19" s="170"/>
      <c r="J19" s="171"/>
    </row>
    <row r="20" spans="3:10" x14ac:dyDescent="0.3">
      <c r="C20" s="408" t="s">
        <v>337</v>
      </c>
      <c r="D20" s="409"/>
      <c r="E20" s="410">
        <v>0</v>
      </c>
      <c r="F20" s="46"/>
      <c r="G20" s="46" t="s">
        <v>338</v>
      </c>
      <c r="H20" s="172" t="s">
        <v>428</v>
      </c>
      <c r="I20" s="173"/>
      <c r="J20" s="174"/>
    </row>
    <row r="21" spans="3:10" x14ac:dyDescent="0.3">
      <c r="C21" s="408" t="s">
        <v>339</v>
      </c>
      <c r="D21" s="409" t="s">
        <v>340</v>
      </c>
      <c r="E21" s="409" t="s">
        <v>341</v>
      </c>
      <c r="F21" s="46"/>
      <c r="G21" s="46" t="s">
        <v>342</v>
      </c>
      <c r="H21" s="46" t="s">
        <v>430</v>
      </c>
      <c r="I21" s="173"/>
      <c r="J21" s="174"/>
    </row>
    <row r="22" spans="3:10" ht="15" thickBot="1" x14ac:dyDescent="0.35">
      <c r="C22" s="408" t="s">
        <v>343</v>
      </c>
      <c r="D22" s="409"/>
      <c r="E22" s="409"/>
      <c r="F22" s="46"/>
      <c r="G22" s="46"/>
      <c r="H22" s="46"/>
      <c r="I22" s="46"/>
      <c r="J22" s="175"/>
    </row>
    <row r="23" spans="3:10" x14ac:dyDescent="0.3">
      <c r="C23" s="368" t="s">
        <v>431</v>
      </c>
      <c r="D23" s="369"/>
      <c r="E23" s="369"/>
      <c r="F23" s="369"/>
      <c r="G23" s="369"/>
      <c r="H23" s="369"/>
      <c r="I23" s="369"/>
      <c r="J23" s="370"/>
    </row>
    <row r="24" spans="3:10" x14ac:dyDescent="0.3">
      <c r="C24" s="371"/>
      <c r="D24" s="372"/>
      <c r="E24" s="372"/>
      <c r="F24" s="372"/>
      <c r="G24" s="372"/>
      <c r="H24" s="372"/>
      <c r="I24" s="372"/>
      <c r="J24" s="373"/>
    </row>
    <row r="25" spans="3:10" ht="15" thickBot="1" x14ac:dyDescent="0.35">
      <c r="C25" s="374"/>
      <c r="D25" s="375"/>
      <c r="E25" s="375"/>
      <c r="F25" s="375"/>
      <c r="G25" s="375"/>
      <c r="H25" s="375"/>
      <c r="I25" s="375"/>
      <c r="J25" s="376"/>
    </row>
  </sheetData>
  <mergeCells count="3">
    <mergeCell ref="C6:J8"/>
    <mergeCell ref="C15:J17"/>
    <mergeCell ref="C23:J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topLeftCell="A55" zoomScale="80" zoomScaleNormal="80" workbookViewId="0">
      <selection activeCell="M77" sqref="M77"/>
    </sheetView>
  </sheetViews>
  <sheetFormatPr baseColWidth="10" defaultRowHeight="14.4" x14ac:dyDescent="0.3"/>
  <cols>
    <col min="1" max="1" width="7.109375" customWidth="1"/>
    <col min="2" max="2" width="8.44140625" bestFit="1" customWidth="1"/>
    <col min="3" max="3" width="47.33203125" bestFit="1" customWidth="1"/>
    <col min="4" max="4" width="10.33203125" customWidth="1"/>
    <col min="5" max="5" width="14.109375" customWidth="1"/>
    <col min="6" max="6" width="13.33203125" customWidth="1"/>
    <col min="7" max="7" width="21.44140625" hidden="1" customWidth="1"/>
    <col min="8" max="9" width="17.33203125" customWidth="1"/>
    <col min="10" max="10" width="15" customWidth="1"/>
    <col min="11" max="11" width="0.109375" customWidth="1"/>
    <col min="12" max="12" width="16.33203125" customWidth="1"/>
    <col min="13" max="13" width="16.5546875" customWidth="1"/>
    <col min="14" max="14" width="15.109375" customWidth="1"/>
    <col min="15" max="15" width="19.5546875" customWidth="1"/>
    <col min="16" max="16" width="7.6640625" customWidth="1"/>
    <col min="17" max="17" width="43.33203125" bestFit="1" customWidth="1"/>
    <col min="18" max="18" width="17.88671875" bestFit="1" customWidth="1"/>
    <col min="19" max="19" width="14.5546875" bestFit="1" customWidth="1"/>
  </cols>
  <sheetData>
    <row r="1" spans="1:27" ht="27.75" customHeight="1" x14ac:dyDescent="0.3">
      <c r="A1" s="384" t="s">
        <v>293</v>
      </c>
      <c r="B1" s="384"/>
      <c r="C1" s="384"/>
      <c r="D1" s="384"/>
      <c r="E1" s="384"/>
      <c r="F1" s="384"/>
      <c r="G1" s="384"/>
      <c r="H1" s="384"/>
      <c r="I1" s="384"/>
      <c r="J1" s="384"/>
      <c r="K1" s="384"/>
      <c r="L1" s="384"/>
      <c r="M1" s="384"/>
      <c r="N1" s="384"/>
      <c r="O1" s="385"/>
      <c r="R1" s="31"/>
    </row>
    <row r="2" spans="1:27" ht="36.6" customHeight="1" thickBot="1" x14ac:dyDescent="0.35">
      <c r="A2" s="386"/>
      <c r="B2" s="386"/>
      <c r="C2" s="386"/>
      <c r="D2" s="386"/>
      <c r="E2" s="386"/>
      <c r="F2" s="386"/>
      <c r="G2" s="386"/>
      <c r="H2" s="386"/>
      <c r="I2" s="386"/>
      <c r="J2" s="386"/>
      <c r="K2" s="386"/>
      <c r="L2" s="386"/>
      <c r="M2" s="386"/>
      <c r="N2" s="386"/>
      <c r="O2" s="387"/>
      <c r="R2" s="31"/>
    </row>
    <row r="3" spans="1:27" s="166" customFormat="1" ht="79.5" customHeight="1" thickBot="1" x14ac:dyDescent="0.35">
      <c r="A3" s="381" t="s">
        <v>350</v>
      </c>
      <c r="B3" s="382"/>
      <c r="C3" s="382"/>
      <c r="D3" s="382"/>
      <c r="E3" s="382"/>
      <c r="F3" s="382"/>
      <c r="G3" s="382"/>
      <c r="H3" s="382"/>
      <c r="I3" s="382"/>
      <c r="J3" s="382"/>
      <c r="K3" s="382"/>
      <c r="L3" s="382"/>
      <c r="M3" s="382"/>
      <c r="N3" s="382"/>
      <c r="O3" s="383"/>
      <c r="P3" s="167"/>
      <c r="Q3" s="167"/>
      <c r="R3" s="167"/>
      <c r="S3" s="167"/>
      <c r="T3" s="167"/>
      <c r="U3" s="167"/>
      <c r="V3" s="167"/>
      <c r="W3" s="167"/>
      <c r="X3" s="167"/>
      <c r="Y3" s="167"/>
      <c r="Z3" s="167"/>
      <c r="AA3" s="167"/>
    </row>
    <row r="4" spans="1:27" ht="15" customHeight="1" x14ac:dyDescent="0.3">
      <c r="A4" s="332" t="s">
        <v>294</v>
      </c>
      <c r="B4" s="332" t="s">
        <v>295</v>
      </c>
      <c r="C4" s="332" t="s">
        <v>10</v>
      </c>
      <c r="D4" s="332" t="s">
        <v>24</v>
      </c>
      <c r="E4" s="329" t="s">
        <v>319</v>
      </c>
      <c r="F4" s="329" t="s">
        <v>320</v>
      </c>
      <c r="G4" s="329" t="s">
        <v>256</v>
      </c>
      <c r="H4" s="329" t="s">
        <v>325</v>
      </c>
      <c r="I4" s="329" t="s">
        <v>332</v>
      </c>
      <c r="J4" s="388" t="s">
        <v>321</v>
      </c>
      <c r="K4" s="83"/>
      <c r="L4" s="377" t="s">
        <v>329</v>
      </c>
      <c r="M4" s="329" t="s">
        <v>330</v>
      </c>
      <c r="N4" s="329" t="s">
        <v>322</v>
      </c>
      <c r="O4" s="329" t="s">
        <v>15</v>
      </c>
      <c r="R4" s="31"/>
    </row>
    <row r="5" spans="1:27" ht="28.5" customHeight="1" x14ac:dyDescent="0.3">
      <c r="A5" s="333"/>
      <c r="B5" s="333"/>
      <c r="C5" s="333"/>
      <c r="D5" s="333"/>
      <c r="E5" s="330"/>
      <c r="F5" s="330"/>
      <c r="G5" s="330"/>
      <c r="H5" s="330"/>
      <c r="I5" s="330"/>
      <c r="J5" s="389"/>
      <c r="K5" s="83"/>
      <c r="L5" s="378"/>
      <c r="M5" s="330"/>
      <c r="N5" s="330"/>
      <c r="O5" s="330"/>
      <c r="R5" s="31"/>
    </row>
    <row r="6" spans="1:27" ht="19.5" customHeight="1" thickBot="1" x14ac:dyDescent="0.35">
      <c r="A6" s="391"/>
      <c r="B6" s="391"/>
      <c r="C6" s="391"/>
      <c r="D6" s="391"/>
      <c r="E6" s="380"/>
      <c r="F6" s="380"/>
      <c r="G6" s="380"/>
      <c r="H6" s="380"/>
      <c r="I6" s="380"/>
      <c r="J6" s="390"/>
      <c r="K6" s="136"/>
      <c r="L6" s="379"/>
      <c r="M6" s="380"/>
      <c r="N6" s="380"/>
      <c r="O6" s="380"/>
      <c r="R6" s="31"/>
    </row>
    <row r="7" spans="1:27" x14ac:dyDescent="0.3">
      <c r="A7" s="137" t="s">
        <v>108</v>
      </c>
      <c r="B7" s="138"/>
      <c r="C7" s="139" t="s">
        <v>169</v>
      </c>
      <c r="D7" s="88">
        <v>1.0800000000000001E-2</v>
      </c>
      <c r="E7" s="129">
        <v>282914.37972000003</v>
      </c>
      <c r="F7" s="149">
        <v>45856</v>
      </c>
      <c r="G7" s="152">
        <v>-197064.48265741928</v>
      </c>
      <c r="H7" s="160">
        <f>J7/2</f>
        <v>98532.35</v>
      </c>
      <c r="I7" s="163">
        <f>H7</f>
        <v>98532.35</v>
      </c>
      <c r="J7" s="153">
        <f>ROUND((-G7),0)+P7</f>
        <v>197064.7</v>
      </c>
      <c r="K7" s="152">
        <v>-85849.897062580741</v>
      </c>
      <c r="L7" s="178">
        <v>0</v>
      </c>
      <c r="M7" s="129">
        <v>98532.35</v>
      </c>
      <c r="N7" s="152">
        <f>-K7</f>
        <v>85849.897062580741</v>
      </c>
      <c r="O7" s="130">
        <f>ROUND((J7+N7),0) + P7</f>
        <v>282915.7</v>
      </c>
      <c r="P7" s="70">
        <v>0.7</v>
      </c>
      <c r="R7" s="338"/>
      <c r="S7" s="338"/>
    </row>
    <row r="8" spans="1:27" x14ac:dyDescent="0.3">
      <c r="A8" s="137" t="s">
        <v>301</v>
      </c>
      <c r="B8" s="138"/>
      <c r="C8" s="23" t="s">
        <v>302</v>
      </c>
      <c r="D8" s="93">
        <v>1.2800000000000001E-2</v>
      </c>
      <c r="E8" s="95">
        <v>335305.93151999998</v>
      </c>
      <c r="F8" s="149">
        <v>46001</v>
      </c>
      <c r="G8" s="96">
        <v>-34751.379392876712</v>
      </c>
      <c r="H8" s="160">
        <f t="shared" ref="H8:H11" si="0">J8/2</f>
        <v>17375.855</v>
      </c>
      <c r="I8" s="163">
        <f t="shared" ref="I8:I11" si="1">H8</f>
        <v>17375.855</v>
      </c>
      <c r="J8" s="153">
        <f t="shared" ref="J8:J71" si="2">ROUND((-G8),0)+P8</f>
        <v>34751.71</v>
      </c>
      <c r="K8" s="96">
        <v>-300554.55212712329</v>
      </c>
      <c r="L8" s="178">
        <v>34752</v>
      </c>
      <c r="M8" s="129">
        <v>0</v>
      </c>
      <c r="N8" s="152">
        <f t="shared" ref="N8:N11" si="3">-K8</f>
        <v>300554.55212712329</v>
      </c>
      <c r="O8" s="130">
        <f t="shared" ref="O8:O11" si="4">ROUND((J8+N8),0) + P8</f>
        <v>335306.71000000002</v>
      </c>
      <c r="P8" s="70">
        <f>P7+0.01</f>
        <v>0.71</v>
      </c>
      <c r="R8" s="338"/>
      <c r="S8" s="338"/>
    </row>
    <row r="9" spans="1:27" x14ac:dyDescent="0.3">
      <c r="A9" s="137" t="s">
        <v>109</v>
      </c>
      <c r="B9" s="138"/>
      <c r="C9" s="140" t="s">
        <v>326</v>
      </c>
      <c r="D9" s="93">
        <v>1.21E-2</v>
      </c>
      <c r="E9" s="95">
        <v>316968.88838999998</v>
      </c>
      <c r="F9" s="149">
        <v>45856</v>
      </c>
      <c r="G9" s="96">
        <v>-220785.20742173825</v>
      </c>
      <c r="H9" s="160">
        <f t="shared" si="0"/>
        <v>110392.86</v>
      </c>
      <c r="I9" s="163">
        <f t="shared" si="1"/>
        <v>110392.86</v>
      </c>
      <c r="J9" s="153">
        <f t="shared" si="2"/>
        <v>220785.72</v>
      </c>
      <c r="K9" s="96">
        <v>-96183.680968261731</v>
      </c>
      <c r="L9" s="178">
        <v>0</v>
      </c>
      <c r="M9" s="129">
        <f t="shared" ref="M9:M69" si="5">IF(L9=H9,I9,J9)</f>
        <v>220785.72</v>
      </c>
      <c r="N9" s="152">
        <f t="shared" si="3"/>
        <v>96183.680968261731</v>
      </c>
      <c r="O9" s="130">
        <f t="shared" si="4"/>
        <v>316969.71999999997</v>
      </c>
      <c r="P9" s="70">
        <f t="shared" ref="P9:P11" si="6">P8+0.01</f>
        <v>0.72</v>
      </c>
      <c r="S9" s="31"/>
    </row>
    <row r="10" spans="1:27" x14ac:dyDescent="0.3">
      <c r="A10" s="137" t="s">
        <v>110</v>
      </c>
      <c r="B10" s="138"/>
      <c r="C10" s="139" t="s">
        <v>170</v>
      </c>
      <c r="D10" s="93">
        <v>1.49E-2</v>
      </c>
      <c r="E10" s="95">
        <v>390317.06091</v>
      </c>
      <c r="F10" s="149">
        <v>45856</v>
      </c>
      <c r="G10" s="96">
        <v>-271875.99922180991</v>
      </c>
      <c r="H10" s="160">
        <f t="shared" si="0"/>
        <v>135938.36499999999</v>
      </c>
      <c r="I10" s="163">
        <f t="shared" si="1"/>
        <v>135938.36499999999</v>
      </c>
      <c r="J10" s="153">
        <f t="shared" si="2"/>
        <v>271876.73</v>
      </c>
      <c r="K10" s="96">
        <v>-118441.06168819009</v>
      </c>
      <c r="L10" s="178">
        <v>0</v>
      </c>
      <c r="M10" s="129">
        <v>0</v>
      </c>
      <c r="N10" s="152">
        <f t="shared" si="3"/>
        <v>118441.06168819009</v>
      </c>
      <c r="O10" s="130">
        <f t="shared" si="4"/>
        <v>390318.73</v>
      </c>
      <c r="P10" s="70">
        <f t="shared" si="6"/>
        <v>0.73</v>
      </c>
      <c r="S10" s="31"/>
    </row>
    <row r="11" spans="1:27" ht="15" thickBot="1" x14ac:dyDescent="0.35">
      <c r="A11" s="141" t="s">
        <v>111</v>
      </c>
      <c r="B11" s="142"/>
      <c r="C11" s="143" t="s">
        <v>303</v>
      </c>
      <c r="D11" s="98">
        <v>1.7500000000000002E-2</v>
      </c>
      <c r="E11" s="99">
        <v>458426.07825000002</v>
      </c>
      <c r="F11" s="150">
        <v>45856</v>
      </c>
      <c r="G11" s="100">
        <v>-319317.44875044789</v>
      </c>
      <c r="H11" s="161">
        <f t="shared" si="0"/>
        <v>159658.87</v>
      </c>
      <c r="I11" s="164">
        <f t="shared" si="1"/>
        <v>159658.87</v>
      </c>
      <c r="J11" s="154">
        <f t="shared" si="2"/>
        <v>319317.74</v>
      </c>
      <c r="K11" s="100">
        <v>-139108.62949955213</v>
      </c>
      <c r="L11" s="178">
        <v>0</v>
      </c>
      <c r="M11" s="99">
        <v>159658.87</v>
      </c>
      <c r="N11" s="100">
        <f t="shared" si="3"/>
        <v>139108.62949955213</v>
      </c>
      <c r="O11" s="101">
        <f t="shared" si="4"/>
        <v>458426.74</v>
      </c>
      <c r="P11" s="70">
        <f t="shared" si="6"/>
        <v>0.74</v>
      </c>
      <c r="S11" s="31"/>
    </row>
    <row r="12" spans="1:27" x14ac:dyDescent="0.3">
      <c r="A12" s="144" t="s">
        <v>39</v>
      </c>
      <c r="B12" s="145">
        <v>25</v>
      </c>
      <c r="C12" s="87" t="s">
        <v>171</v>
      </c>
      <c r="D12" s="88">
        <v>2.12E-2</v>
      </c>
      <c r="E12" s="129">
        <v>555350.44907999993</v>
      </c>
      <c r="F12" s="151">
        <v>45777</v>
      </c>
      <c r="G12" s="130">
        <v>-519626.96981144731</v>
      </c>
      <c r="H12" s="162">
        <f>ROUND((J12/2),0)+P12</f>
        <v>259814.01</v>
      </c>
      <c r="I12" s="165">
        <f>H12</f>
        <v>259814.01</v>
      </c>
      <c r="J12" s="153">
        <f>ROUND((-G12),0)+P12</f>
        <v>519627.01</v>
      </c>
      <c r="K12" s="130">
        <v>-35723.479268552619</v>
      </c>
      <c r="L12" s="178">
        <v>0</v>
      </c>
      <c r="M12" s="127">
        <v>0</v>
      </c>
      <c r="N12" s="130">
        <f>-K12</f>
        <v>35723.479268552619</v>
      </c>
      <c r="O12" s="130">
        <f>ROUND((J12+N12),0) + P12</f>
        <v>555350.01</v>
      </c>
      <c r="P12" s="85">
        <v>0.01</v>
      </c>
      <c r="S12" s="31"/>
    </row>
    <row r="13" spans="1:27" x14ac:dyDescent="0.3">
      <c r="A13" s="137" t="s">
        <v>40</v>
      </c>
      <c r="B13" s="138"/>
      <c r="C13" s="64" t="s">
        <v>172</v>
      </c>
      <c r="D13" s="88">
        <v>8.3999999999999995E-3</v>
      </c>
      <c r="E13" s="95">
        <v>220044.51755999998</v>
      </c>
      <c r="F13" s="149">
        <v>45775</v>
      </c>
      <c r="G13" s="97">
        <v>-206492.25424856588</v>
      </c>
      <c r="H13" s="162">
        <f t="shared" ref="H13:H76" si="7">ROUND((J13/2),0)+P13</f>
        <v>103246.02</v>
      </c>
      <c r="I13" s="165">
        <f t="shared" ref="I13:I76" si="8">H13</f>
        <v>103246.02</v>
      </c>
      <c r="J13" s="153">
        <f t="shared" si="2"/>
        <v>206492.02</v>
      </c>
      <c r="K13" s="97">
        <v>-13552.263311434101</v>
      </c>
      <c r="L13" s="178">
        <v>0</v>
      </c>
      <c r="M13" s="127">
        <v>0</v>
      </c>
      <c r="N13" s="130">
        <f t="shared" ref="N13:N76" si="9">-K13</f>
        <v>13552.263311434101</v>
      </c>
      <c r="O13" s="130">
        <f t="shared" ref="O13:O76" si="10">ROUND((J13+N13),0) + P13</f>
        <v>220044.02</v>
      </c>
      <c r="P13" s="85">
        <f>P12+0.01</f>
        <v>0.02</v>
      </c>
      <c r="S13" s="31"/>
    </row>
    <row r="14" spans="1:27" x14ac:dyDescent="0.3">
      <c r="A14" s="137" t="s">
        <v>41</v>
      </c>
      <c r="B14" s="138">
        <v>22</v>
      </c>
      <c r="C14" s="64" t="s">
        <v>173</v>
      </c>
      <c r="D14" s="88">
        <v>2.2499999999999999E-2</v>
      </c>
      <c r="E14" s="95">
        <v>589404.95774999994</v>
      </c>
      <c r="F14" s="149">
        <v>45770</v>
      </c>
      <c r="G14" s="97">
        <v>-557137.66415134736</v>
      </c>
      <c r="H14" s="162">
        <f t="shared" si="7"/>
        <v>278569.03000000003</v>
      </c>
      <c r="I14" s="165">
        <f t="shared" si="8"/>
        <v>278569.03000000003</v>
      </c>
      <c r="J14" s="153">
        <f t="shared" si="2"/>
        <v>557138.03</v>
      </c>
      <c r="K14" s="97">
        <v>-32267.293598652584</v>
      </c>
      <c r="L14" s="178">
        <v>0</v>
      </c>
      <c r="M14" s="127">
        <v>0</v>
      </c>
      <c r="N14" s="130">
        <f t="shared" si="9"/>
        <v>32267.293598652584</v>
      </c>
      <c r="O14" s="130">
        <f t="shared" si="10"/>
        <v>589405.03</v>
      </c>
      <c r="P14" s="85">
        <f t="shared" ref="P14:P77" si="11">P13+0.01</f>
        <v>0.03</v>
      </c>
    </row>
    <row r="15" spans="1:27" x14ac:dyDescent="0.3">
      <c r="A15" s="137" t="s">
        <v>42</v>
      </c>
      <c r="B15" s="138" t="s">
        <v>296</v>
      </c>
      <c r="C15" s="64" t="s">
        <v>174</v>
      </c>
      <c r="D15" s="88">
        <v>1.4E-2</v>
      </c>
      <c r="E15" s="95">
        <v>366740.86259999999</v>
      </c>
      <c r="F15" s="149">
        <v>45805</v>
      </c>
      <c r="G15" s="97">
        <v>-327282.74303127197</v>
      </c>
      <c r="H15" s="162">
        <f t="shared" si="7"/>
        <v>163642.04</v>
      </c>
      <c r="I15" s="165">
        <f t="shared" si="8"/>
        <v>163642.04</v>
      </c>
      <c r="J15" s="153">
        <f t="shared" si="2"/>
        <v>327283.03999999998</v>
      </c>
      <c r="K15" s="97">
        <v>-39458.119568728027</v>
      </c>
      <c r="L15" s="178">
        <v>0</v>
      </c>
      <c r="M15" s="127">
        <v>0</v>
      </c>
      <c r="N15" s="130">
        <f t="shared" si="9"/>
        <v>39458.119568728027</v>
      </c>
      <c r="O15" s="130">
        <f t="shared" si="10"/>
        <v>366741.04</v>
      </c>
      <c r="P15" s="85">
        <f t="shared" si="11"/>
        <v>0.04</v>
      </c>
    </row>
    <row r="16" spans="1:27" x14ac:dyDescent="0.3">
      <c r="A16" s="137" t="s">
        <v>43</v>
      </c>
      <c r="B16" s="138"/>
      <c r="C16" s="64" t="s">
        <v>175</v>
      </c>
      <c r="D16" s="88">
        <v>8.6999999999999994E-3</v>
      </c>
      <c r="E16" s="95">
        <v>227903.25032999998</v>
      </c>
      <c r="F16" s="149">
        <v>45800</v>
      </c>
      <c r="G16" s="97">
        <v>-206069.04832824506</v>
      </c>
      <c r="H16" s="162">
        <f t="shared" si="7"/>
        <v>103035.05</v>
      </c>
      <c r="I16" s="165">
        <f t="shared" si="8"/>
        <v>103035.05</v>
      </c>
      <c r="J16" s="153">
        <f t="shared" si="2"/>
        <v>206069.05</v>
      </c>
      <c r="K16" s="97">
        <v>-21834.202001754922</v>
      </c>
      <c r="L16" s="178">
        <v>0</v>
      </c>
      <c r="M16" s="127">
        <v>0</v>
      </c>
      <c r="N16" s="130">
        <f t="shared" si="9"/>
        <v>21834.202001754922</v>
      </c>
      <c r="O16" s="130">
        <f t="shared" si="10"/>
        <v>227903.05</v>
      </c>
      <c r="P16" s="85">
        <f t="shared" si="11"/>
        <v>0.05</v>
      </c>
    </row>
    <row r="17" spans="1:114" x14ac:dyDescent="0.3">
      <c r="A17" s="137" t="s">
        <v>44</v>
      </c>
      <c r="B17" s="138" t="s">
        <v>297</v>
      </c>
      <c r="C17" s="64" t="s">
        <v>176</v>
      </c>
      <c r="D17" s="88">
        <v>1.41E-2</v>
      </c>
      <c r="E17" s="95">
        <v>369360.44018999999</v>
      </c>
      <c r="F17" s="149">
        <v>45805</v>
      </c>
      <c r="G17" s="97">
        <v>-329620.47691006673</v>
      </c>
      <c r="H17" s="162">
        <f t="shared" si="7"/>
        <v>164810.06</v>
      </c>
      <c r="I17" s="165">
        <f t="shared" si="8"/>
        <v>164810.06</v>
      </c>
      <c r="J17" s="153">
        <f t="shared" si="2"/>
        <v>329620.06</v>
      </c>
      <c r="K17" s="97">
        <v>-39739.963279933261</v>
      </c>
      <c r="L17" s="178">
        <v>0</v>
      </c>
      <c r="M17" s="127">
        <v>0</v>
      </c>
      <c r="N17" s="130">
        <f t="shared" si="9"/>
        <v>39739.963279933261</v>
      </c>
      <c r="O17" s="130">
        <f t="shared" si="10"/>
        <v>369360.06</v>
      </c>
      <c r="P17" s="85">
        <f t="shared" si="11"/>
        <v>6.0000000000000005E-2</v>
      </c>
    </row>
    <row r="18" spans="1:114" x14ac:dyDescent="0.3">
      <c r="A18" s="137" t="s">
        <v>45</v>
      </c>
      <c r="B18" s="138" t="s">
        <v>298</v>
      </c>
      <c r="C18" s="64" t="s">
        <v>304</v>
      </c>
      <c r="D18" s="88">
        <v>2.1100000000000001E-2</v>
      </c>
      <c r="E18" s="95">
        <v>552730.87148999993</v>
      </c>
      <c r="F18" s="149">
        <v>45805</v>
      </c>
      <c r="G18" s="97">
        <v>-493261.84842570277</v>
      </c>
      <c r="H18" s="162">
        <f t="shared" si="7"/>
        <v>246631.07</v>
      </c>
      <c r="I18" s="165">
        <f t="shared" si="8"/>
        <v>246631.07</v>
      </c>
      <c r="J18" s="153">
        <f t="shared" si="2"/>
        <v>493262.07</v>
      </c>
      <c r="K18" s="97">
        <v>-59469.023064297158</v>
      </c>
      <c r="L18" s="178">
        <v>0</v>
      </c>
      <c r="M18" s="127">
        <v>0</v>
      </c>
      <c r="N18" s="130">
        <f t="shared" si="9"/>
        <v>59469.023064297158</v>
      </c>
      <c r="O18" s="130">
        <f t="shared" si="10"/>
        <v>552731.06999999995</v>
      </c>
      <c r="P18" s="85">
        <f t="shared" si="11"/>
        <v>7.0000000000000007E-2</v>
      </c>
    </row>
    <row r="19" spans="1:114" x14ac:dyDescent="0.3">
      <c r="A19" s="137" t="s">
        <v>46</v>
      </c>
      <c r="B19" s="138"/>
      <c r="C19" s="64" t="s">
        <v>305</v>
      </c>
      <c r="D19" s="88">
        <v>7.4000000000000003E-3</v>
      </c>
      <c r="E19" s="95">
        <v>193848.74166</v>
      </c>
      <c r="F19" s="149">
        <v>45839</v>
      </c>
      <c r="G19" s="97">
        <v>-147681.21170563609</v>
      </c>
      <c r="H19" s="162">
        <f t="shared" si="7"/>
        <v>73841.08</v>
      </c>
      <c r="I19" s="165">
        <f t="shared" si="8"/>
        <v>73841.08</v>
      </c>
      <c r="J19" s="153">
        <f t="shared" si="2"/>
        <v>147681.07999999999</v>
      </c>
      <c r="K19" s="97">
        <v>-46167.529954363912</v>
      </c>
      <c r="L19" s="178">
        <v>0</v>
      </c>
      <c r="M19" s="127">
        <v>0</v>
      </c>
      <c r="N19" s="130">
        <f t="shared" si="9"/>
        <v>46167.529954363912</v>
      </c>
      <c r="O19" s="130">
        <f t="shared" si="10"/>
        <v>193849.08</v>
      </c>
      <c r="P19" s="85">
        <f t="shared" si="11"/>
        <v>0.08</v>
      </c>
    </row>
    <row r="20" spans="1:114" x14ac:dyDescent="0.3">
      <c r="A20" s="137" t="s">
        <v>47</v>
      </c>
      <c r="B20" s="138"/>
      <c r="C20" s="64" t="s">
        <v>176</v>
      </c>
      <c r="D20" s="88">
        <v>1.7899999999999999E-2</v>
      </c>
      <c r="E20" s="95">
        <v>468904.38860999997</v>
      </c>
      <c r="F20" s="149">
        <v>45805</v>
      </c>
      <c r="G20" s="97">
        <v>-418454.36430426914</v>
      </c>
      <c r="H20" s="162">
        <f t="shared" si="7"/>
        <v>209227.09</v>
      </c>
      <c r="I20" s="165">
        <f t="shared" si="8"/>
        <v>209227.09</v>
      </c>
      <c r="J20" s="153">
        <f t="shared" si="2"/>
        <v>418454.09</v>
      </c>
      <c r="K20" s="97">
        <v>-50450.024305730825</v>
      </c>
      <c r="L20" s="178">
        <v>0</v>
      </c>
      <c r="M20" s="127">
        <v>0</v>
      </c>
      <c r="N20" s="130">
        <f t="shared" si="9"/>
        <v>50450.024305730825</v>
      </c>
      <c r="O20" s="130">
        <f t="shared" si="10"/>
        <v>468904.09</v>
      </c>
      <c r="P20" s="85">
        <f t="shared" si="11"/>
        <v>0.09</v>
      </c>
    </row>
    <row r="21" spans="1:114" x14ac:dyDescent="0.3">
      <c r="A21" s="137" t="s">
        <v>48</v>
      </c>
      <c r="B21" s="138"/>
      <c r="C21" s="64" t="s">
        <v>177</v>
      </c>
      <c r="D21" s="88">
        <v>9.4000000000000004E-3</v>
      </c>
      <c r="E21" s="95">
        <v>246240.29345999999</v>
      </c>
      <c r="F21" s="149">
        <v>45839</v>
      </c>
      <c r="G21" s="97">
        <v>-187595.05270715937</v>
      </c>
      <c r="H21" s="162">
        <f t="shared" si="7"/>
        <v>93798.1</v>
      </c>
      <c r="I21" s="165">
        <f t="shared" si="8"/>
        <v>93798.1</v>
      </c>
      <c r="J21" s="153">
        <f t="shared" si="2"/>
        <v>187595.1</v>
      </c>
      <c r="K21" s="97">
        <v>-58645.240752840618</v>
      </c>
      <c r="L21" s="178">
        <v>0</v>
      </c>
      <c r="M21" s="127">
        <v>0</v>
      </c>
      <c r="N21" s="130">
        <f t="shared" si="9"/>
        <v>58645.240752840618</v>
      </c>
      <c r="O21" s="130">
        <f t="shared" si="10"/>
        <v>246240.1</v>
      </c>
      <c r="P21" s="85">
        <f t="shared" si="11"/>
        <v>9.9999999999999992E-2</v>
      </c>
    </row>
    <row r="22" spans="1:114" x14ac:dyDescent="0.3">
      <c r="A22" s="137" t="s">
        <v>49</v>
      </c>
      <c r="B22" s="138"/>
      <c r="C22" s="64" t="s">
        <v>306</v>
      </c>
      <c r="D22" s="88">
        <v>8.6999999999999994E-3</v>
      </c>
      <c r="E22" s="95">
        <v>227903.25032999998</v>
      </c>
      <c r="F22" s="149">
        <v>45839</v>
      </c>
      <c r="G22" s="97">
        <v>-173625.20835662619</v>
      </c>
      <c r="H22" s="162">
        <f t="shared" si="7"/>
        <v>86813.11</v>
      </c>
      <c r="I22" s="165">
        <f t="shared" si="8"/>
        <v>86813.11</v>
      </c>
      <c r="J22" s="153">
        <f t="shared" si="2"/>
        <v>173625.11</v>
      </c>
      <c r="K22" s="97">
        <v>-54278.041973373794</v>
      </c>
      <c r="L22" s="178">
        <v>0</v>
      </c>
      <c r="M22" s="127">
        <v>0</v>
      </c>
      <c r="N22" s="130">
        <f t="shared" si="9"/>
        <v>54278.041973373794</v>
      </c>
      <c r="O22" s="130">
        <f t="shared" si="10"/>
        <v>227903.11</v>
      </c>
      <c r="P22" s="85">
        <f t="shared" si="11"/>
        <v>0.10999999999999999</v>
      </c>
    </row>
    <row r="23" spans="1:114" x14ac:dyDescent="0.3">
      <c r="A23" s="137" t="s">
        <v>50</v>
      </c>
      <c r="B23" s="138"/>
      <c r="C23" s="64" t="s">
        <v>177</v>
      </c>
      <c r="D23" s="88">
        <v>9.4999999999999998E-3</v>
      </c>
      <c r="E23" s="95">
        <v>248859.87104999999</v>
      </c>
      <c r="F23" s="149">
        <v>45839</v>
      </c>
      <c r="G23" s="97">
        <v>-189590.74475723552</v>
      </c>
      <c r="H23" s="162">
        <f t="shared" si="7"/>
        <v>94796.12</v>
      </c>
      <c r="I23" s="165">
        <f t="shared" si="8"/>
        <v>94796.12</v>
      </c>
      <c r="J23" s="153">
        <f t="shared" si="2"/>
        <v>189591.12</v>
      </c>
      <c r="K23" s="97">
        <v>-59269.126292764471</v>
      </c>
      <c r="L23" s="178">
        <v>0</v>
      </c>
      <c r="M23" s="127">
        <v>0</v>
      </c>
      <c r="N23" s="130">
        <f t="shared" si="9"/>
        <v>59269.126292764471</v>
      </c>
      <c r="O23" s="130">
        <f t="shared" si="10"/>
        <v>248860.12</v>
      </c>
      <c r="P23" s="85">
        <f t="shared" si="11"/>
        <v>0.11999999999999998</v>
      </c>
    </row>
    <row r="24" spans="1:114" x14ac:dyDescent="0.3">
      <c r="A24" s="137" t="s">
        <v>51</v>
      </c>
      <c r="B24" s="138"/>
      <c r="C24" s="64" t="s">
        <v>178</v>
      </c>
      <c r="D24" s="88">
        <v>1.6400000000000001E-2</v>
      </c>
      <c r="E24" s="95">
        <v>429610.72476000001</v>
      </c>
      <c r="F24" s="149">
        <v>45775</v>
      </c>
      <c r="G24" s="97">
        <v>-403151.54400910489</v>
      </c>
      <c r="H24" s="162">
        <f t="shared" si="7"/>
        <v>201576.13</v>
      </c>
      <c r="I24" s="165">
        <f t="shared" si="8"/>
        <v>201576.13</v>
      </c>
      <c r="J24" s="153">
        <f t="shared" si="2"/>
        <v>403152.13</v>
      </c>
      <c r="K24" s="97">
        <v>-26459.180750895117</v>
      </c>
      <c r="L24" s="178">
        <v>0</v>
      </c>
      <c r="M24" s="127">
        <v>0</v>
      </c>
      <c r="N24" s="130">
        <f t="shared" si="9"/>
        <v>26459.180750895117</v>
      </c>
      <c r="O24" s="130">
        <f t="shared" si="10"/>
        <v>429611.13</v>
      </c>
      <c r="P24" s="85">
        <f t="shared" si="11"/>
        <v>0.12999999999999998</v>
      </c>
    </row>
    <row r="25" spans="1:114" x14ac:dyDescent="0.3">
      <c r="A25" s="137" t="s">
        <v>52</v>
      </c>
      <c r="B25" s="138"/>
      <c r="C25" s="64" t="s">
        <v>307</v>
      </c>
      <c r="D25" s="88">
        <v>7.3000000000000001E-3</v>
      </c>
      <c r="E25" s="95">
        <v>191229.16407</v>
      </c>
      <c r="F25" s="149">
        <v>45800</v>
      </c>
      <c r="G25" s="97">
        <v>-172908.51181565388</v>
      </c>
      <c r="H25" s="162">
        <f t="shared" si="7"/>
        <v>86455.14</v>
      </c>
      <c r="I25" s="165">
        <f t="shared" si="8"/>
        <v>86455.14</v>
      </c>
      <c r="J25" s="153">
        <f t="shared" si="2"/>
        <v>172909.14</v>
      </c>
      <c r="K25" s="97">
        <v>-18320.652254346118</v>
      </c>
      <c r="L25" s="178">
        <v>0</v>
      </c>
      <c r="M25" s="127">
        <v>0</v>
      </c>
      <c r="N25" s="130">
        <f t="shared" si="9"/>
        <v>18320.652254346118</v>
      </c>
      <c r="O25" s="130">
        <f t="shared" si="10"/>
        <v>191230.14</v>
      </c>
      <c r="P25" s="85">
        <f t="shared" si="11"/>
        <v>0.13999999999999999</v>
      </c>
    </row>
    <row r="26" spans="1:114" x14ac:dyDescent="0.3">
      <c r="A26" s="137" t="s">
        <v>53</v>
      </c>
      <c r="B26" s="146" t="s">
        <v>299</v>
      </c>
      <c r="C26" s="64" t="s">
        <v>179</v>
      </c>
      <c r="D26" s="88">
        <v>2.1999999999999999E-2</v>
      </c>
      <c r="E26" s="95">
        <v>576307.06979999994</v>
      </c>
      <c r="F26" s="149">
        <v>45775</v>
      </c>
      <c r="G26" s="97">
        <v>-540813.04684148217</v>
      </c>
      <c r="H26" s="162">
        <f t="shared" si="7"/>
        <v>270407.15000000002</v>
      </c>
      <c r="I26" s="165">
        <f t="shared" si="8"/>
        <v>270407.15000000002</v>
      </c>
      <c r="J26" s="153">
        <f t="shared" si="2"/>
        <v>540813.15</v>
      </c>
      <c r="K26" s="97">
        <v>-35494.022958517773</v>
      </c>
      <c r="L26" s="178">
        <v>0</v>
      </c>
      <c r="M26" s="127">
        <v>0</v>
      </c>
      <c r="N26" s="130">
        <f t="shared" si="9"/>
        <v>35494.022958517773</v>
      </c>
      <c r="O26" s="130">
        <f t="shared" si="10"/>
        <v>576307.15</v>
      </c>
      <c r="P26" s="85">
        <f t="shared" si="11"/>
        <v>0.15</v>
      </c>
    </row>
    <row r="27" spans="1:114" x14ac:dyDescent="0.3">
      <c r="A27" s="137" t="s">
        <v>54</v>
      </c>
      <c r="B27" s="138"/>
      <c r="C27" s="64" t="s">
        <v>177</v>
      </c>
      <c r="D27" s="88">
        <v>9.4000000000000004E-3</v>
      </c>
      <c r="E27" s="95">
        <v>246240.29345999999</v>
      </c>
      <c r="F27" s="149">
        <v>45839</v>
      </c>
      <c r="G27" s="97">
        <v>-187595.05270715937</v>
      </c>
      <c r="H27" s="162">
        <f t="shared" si="7"/>
        <v>93798.16</v>
      </c>
      <c r="I27" s="165">
        <f t="shared" si="8"/>
        <v>93798.16</v>
      </c>
      <c r="J27" s="153">
        <f t="shared" si="2"/>
        <v>187595.16</v>
      </c>
      <c r="K27" s="97">
        <v>-58645.240752840618</v>
      </c>
      <c r="L27" s="178">
        <v>0</v>
      </c>
      <c r="M27" s="127">
        <v>0</v>
      </c>
      <c r="N27" s="130">
        <f t="shared" si="9"/>
        <v>58645.240752840618</v>
      </c>
      <c r="O27" s="130">
        <f t="shared" si="10"/>
        <v>246240.16</v>
      </c>
      <c r="P27" s="85">
        <f t="shared" si="11"/>
        <v>0.16</v>
      </c>
      <c r="Q27" t="s">
        <v>285</v>
      </c>
    </row>
    <row r="28" spans="1:114" x14ac:dyDescent="0.3">
      <c r="A28" s="137" t="s">
        <v>55</v>
      </c>
      <c r="B28" s="138"/>
      <c r="C28" s="64" t="s">
        <v>308</v>
      </c>
      <c r="D28" s="88">
        <v>8.6999999999999994E-3</v>
      </c>
      <c r="E28" s="95">
        <v>227903.25032999998</v>
      </c>
      <c r="F28" s="149">
        <v>45839</v>
      </c>
      <c r="G28" s="97">
        <v>-173625.20835662619</v>
      </c>
      <c r="H28" s="162">
        <f t="shared" si="7"/>
        <v>86813.17</v>
      </c>
      <c r="I28" s="165">
        <f t="shared" si="8"/>
        <v>86813.17</v>
      </c>
      <c r="J28" s="153">
        <f t="shared" si="2"/>
        <v>173625.17</v>
      </c>
      <c r="K28" s="97">
        <v>-54278.041973373794</v>
      </c>
      <c r="L28" s="178">
        <v>0</v>
      </c>
      <c r="M28" s="127">
        <v>0</v>
      </c>
      <c r="N28" s="130">
        <f t="shared" si="9"/>
        <v>54278.041973373794</v>
      </c>
      <c r="O28" s="130">
        <f t="shared" si="10"/>
        <v>227903.17</v>
      </c>
      <c r="P28" s="85">
        <f t="shared" si="11"/>
        <v>0.17</v>
      </c>
    </row>
    <row r="29" spans="1:114" x14ac:dyDescent="0.3">
      <c r="A29" s="137" t="s">
        <v>56</v>
      </c>
      <c r="B29" s="138"/>
      <c r="C29" s="64" t="s">
        <v>177</v>
      </c>
      <c r="D29" s="88">
        <v>9.4999999999999998E-3</v>
      </c>
      <c r="E29" s="95">
        <v>248859.87104999999</v>
      </c>
      <c r="F29" s="149">
        <v>45839</v>
      </c>
      <c r="G29" s="97">
        <v>-189590.74475723552</v>
      </c>
      <c r="H29" s="162">
        <f t="shared" si="7"/>
        <v>94796.18</v>
      </c>
      <c r="I29" s="165">
        <f t="shared" si="8"/>
        <v>94796.18</v>
      </c>
      <c r="J29" s="153">
        <f t="shared" si="2"/>
        <v>189591.18</v>
      </c>
      <c r="K29" s="97">
        <v>-59269.126292764471</v>
      </c>
      <c r="L29" s="178">
        <v>0</v>
      </c>
      <c r="M29" s="127"/>
      <c r="N29" s="130">
        <f t="shared" si="9"/>
        <v>59269.126292764471</v>
      </c>
      <c r="O29" s="130">
        <f t="shared" si="10"/>
        <v>248860.18</v>
      </c>
      <c r="P29" s="85">
        <f t="shared" si="11"/>
        <v>0.18000000000000002</v>
      </c>
    </row>
    <row r="30" spans="1:114" x14ac:dyDescent="0.3">
      <c r="A30" s="137" t="s">
        <v>57</v>
      </c>
      <c r="B30" s="138"/>
      <c r="C30" s="64" t="s">
        <v>180</v>
      </c>
      <c r="D30" s="88">
        <v>1.6400000000000001E-2</v>
      </c>
      <c r="E30" s="95">
        <v>429610.72476000001</v>
      </c>
      <c r="F30" s="149">
        <v>45800</v>
      </c>
      <c r="G30" s="97">
        <v>-388451.99914749648</v>
      </c>
      <c r="H30" s="162">
        <f t="shared" si="7"/>
        <v>194226.19</v>
      </c>
      <c r="I30" s="165">
        <f t="shared" si="8"/>
        <v>194226.19</v>
      </c>
      <c r="J30" s="153">
        <f t="shared" si="2"/>
        <v>388452.19</v>
      </c>
      <c r="K30" s="97">
        <v>-41158.725612503535</v>
      </c>
      <c r="L30" s="178">
        <v>0</v>
      </c>
      <c r="M30" s="127">
        <v>0</v>
      </c>
      <c r="N30" s="130">
        <f t="shared" si="9"/>
        <v>41158.725612503535</v>
      </c>
      <c r="O30" s="130">
        <f t="shared" si="10"/>
        <v>429611.19</v>
      </c>
      <c r="P30" s="85">
        <f t="shared" si="11"/>
        <v>0.19000000000000003</v>
      </c>
      <c r="Q30" t="s">
        <v>283</v>
      </c>
    </row>
    <row r="31" spans="1:114" x14ac:dyDescent="0.3">
      <c r="A31" s="137" t="s">
        <v>58</v>
      </c>
      <c r="B31" s="138">
        <v>16</v>
      </c>
      <c r="C31" s="64" t="s">
        <v>216</v>
      </c>
      <c r="D31" s="88">
        <v>9.6000000000000009E-3</v>
      </c>
      <c r="E31" s="95">
        <v>251479.44864000002</v>
      </c>
      <c r="F31" s="149">
        <v>45805</v>
      </c>
      <c r="G31" s="97">
        <v>-224422.45236430079</v>
      </c>
      <c r="H31" s="162">
        <f t="shared" si="7"/>
        <v>112211.2</v>
      </c>
      <c r="I31" s="165">
        <f t="shared" si="8"/>
        <v>112211.2</v>
      </c>
      <c r="J31" s="153">
        <f t="shared" si="2"/>
        <v>224422.2</v>
      </c>
      <c r="K31" s="97">
        <v>-27056.996275699232</v>
      </c>
      <c r="L31" s="178">
        <v>0</v>
      </c>
      <c r="M31" s="127">
        <v>0</v>
      </c>
      <c r="N31" s="130">
        <f t="shared" si="9"/>
        <v>27056.996275699232</v>
      </c>
      <c r="O31" s="130">
        <f t="shared" si="10"/>
        <v>251479.2</v>
      </c>
      <c r="P31" s="85">
        <f t="shared" si="11"/>
        <v>0.20000000000000004</v>
      </c>
    </row>
    <row r="32" spans="1:114" s="92" customFormat="1" x14ac:dyDescent="0.3">
      <c r="A32" s="137" t="s">
        <v>59</v>
      </c>
      <c r="B32" s="138">
        <v>6</v>
      </c>
      <c r="C32" s="64" t="s">
        <v>181</v>
      </c>
      <c r="D32" s="88">
        <v>1.9699999999999999E-2</v>
      </c>
      <c r="E32" s="95">
        <v>516056.78522999992</v>
      </c>
      <c r="F32" s="149">
        <v>45805</v>
      </c>
      <c r="G32" s="97">
        <v>-460533.57412257558</v>
      </c>
      <c r="H32" s="162">
        <f t="shared" si="7"/>
        <v>230267.21</v>
      </c>
      <c r="I32" s="165">
        <f t="shared" si="8"/>
        <v>230267.21</v>
      </c>
      <c r="J32" s="153">
        <f t="shared" si="2"/>
        <v>460534.21</v>
      </c>
      <c r="K32" s="97">
        <v>-55523.211107424344</v>
      </c>
      <c r="L32" s="178">
        <v>0</v>
      </c>
      <c r="M32" s="127">
        <f t="shared" si="5"/>
        <v>460534.21</v>
      </c>
      <c r="N32" s="130">
        <f t="shared" si="9"/>
        <v>55523.211107424344</v>
      </c>
      <c r="O32" s="130">
        <f t="shared" si="10"/>
        <v>516057.21</v>
      </c>
      <c r="P32" s="116">
        <f t="shared" si="11"/>
        <v>0.21000000000000005</v>
      </c>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row>
    <row r="33" spans="1:114" s="92" customFormat="1" x14ac:dyDescent="0.3">
      <c r="A33" s="137" t="s">
        <v>60</v>
      </c>
      <c r="B33" s="138"/>
      <c r="C33" s="64" t="s">
        <v>177</v>
      </c>
      <c r="D33" s="88">
        <v>9.4000000000000004E-3</v>
      </c>
      <c r="E33" s="95">
        <v>246240.29345999999</v>
      </c>
      <c r="F33" s="149">
        <v>45839</v>
      </c>
      <c r="G33" s="97">
        <v>-187595.05270715937</v>
      </c>
      <c r="H33" s="162">
        <f t="shared" si="7"/>
        <v>93798.22</v>
      </c>
      <c r="I33" s="165">
        <f t="shared" si="8"/>
        <v>93798.22</v>
      </c>
      <c r="J33" s="153">
        <f t="shared" si="2"/>
        <v>187595.22</v>
      </c>
      <c r="K33" s="97">
        <v>-58645.240752840618</v>
      </c>
      <c r="L33" s="178">
        <v>0</v>
      </c>
      <c r="M33" s="127">
        <v>0</v>
      </c>
      <c r="N33" s="130">
        <f t="shared" si="9"/>
        <v>58645.240752840618</v>
      </c>
      <c r="O33" s="130">
        <f t="shared" si="10"/>
        <v>246240.22</v>
      </c>
      <c r="P33" s="116">
        <f t="shared" si="11"/>
        <v>0.22000000000000006</v>
      </c>
      <c r="Q33" s="46" t="s">
        <v>284</v>
      </c>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row>
    <row r="34" spans="1:114" s="92" customFormat="1" x14ac:dyDescent="0.3">
      <c r="A34" s="137" t="s">
        <v>61</v>
      </c>
      <c r="B34" s="138">
        <v>31</v>
      </c>
      <c r="C34" s="64" t="s">
        <v>309</v>
      </c>
      <c r="D34" s="88">
        <v>1.0999999999999999E-2</v>
      </c>
      <c r="E34" s="95">
        <v>288153.53489999997</v>
      </c>
      <c r="F34" s="149">
        <v>45839</v>
      </c>
      <c r="G34" s="97">
        <v>-219526.12550837794</v>
      </c>
      <c r="H34" s="162">
        <f t="shared" si="7"/>
        <v>109763.23</v>
      </c>
      <c r="I34" s="165">
        <f t="shared" si="8"/>
        <v>109763.23</v>
      </c>
      <c r="J34" s="153">
        <f t="shared" si="2"/>
        <v>219526.23</v>
      </c>
      <c r="K34" s="97">
        <v>-68627.40939162203</v>
      </c>
      <c r="L34" s="178">
        <v>0</v>
      </c>
      <c r="M34" s="127">
        <v>0</v>
      </c>
      <c r="N34" s="130">
        <f t="shared" si="9"/>
        <v>68627.40939162203</v>
      </c>
      <c r="O34" s="130">
        <f t="shared" si="10"/>
        <v>288154.23</v>
      </c>
      <c r="P34" s="116">
        <f t="shared" si="11"/>
        <v>0.23000000000000007</v>
      </c>
      <c r="Q34" s="46" t="s">
        <v>271</v>
      </c>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row>
    <row r="35" spans="1:114" s="92" customFormat="1" x14ac:dyDescent="0.3">
      <c r="A35" s="137" t="s">
        <v>62</v>
      </c>
      <c r="B35" s="138"/>
      <c r="C35" s="64" t="s">
        <v>177</v>
      </c>
      <c r="D35" s="88">
        <v>9.4999999999999998E-3</v>
      </c>
      <c r="E35" s="95">
        <v>248859.87104999999</v>
      </c>
      <c r="F35" s="149">
        <v>45839</v>
      </c>
      <c r="G35" s="97">
        <v>-189590.74475723552</v>
      </c>
      <c r="H35" s="162">
        <f t="shared" si="7"/>
        <v>94796.24</v>
      </c>
      <c r="I35" s="165">
        <f t="shared" si="8"/>
        <v>94796.24</v>
      </c>
      <c r="J35" s="153">
        <f t="shared" si="2"/>
        <v>189591.24</v>
      </c>
      <c r="K35" s="97">
        <v>-59269.126292764471</v>
      </c>
      <c r="L35" s="178">
        <v>0</v>
      </c>
      <c r="M35" s="127"/>
      <c r="N35" s="130">
        <f t="shared" si="9"/>
        <v>59269.126292764471</v>
      </c>
      <c r="O35" s="130">
        <f t="shared" si="10"/>
        <v>248860.24</v>
      </c>
      <c r="P35" s="116">
        <f t="shared" si="11"/>
        <v>0.24000000000000007</v>
      </c>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row>
    <row r="36" spans="1:114" x14ac:dyDescent="0.3">
      <c r="A36" s="137" t="s">
        <v>63</v>
      </c>
      <c r="B36" s="138">
        <v>28</v>
      </c>
      <c r="C36" s="64" t="s">
        <v>182</v>
      </c>
      <c r="D36" s="88">
        <v>1.8700000000000001E-2</v>
      </c>
      <c r="E36" s="95">
        <v>489861.00933000003</v>
      </c>
      <c r="F36" s="149">
        <v>45786</v>
      </c>
      <c r="G36" s="97">
        <v>-452316.22060054552</v>
      </c>
      <c r="H36" s="162">
        <f t="shared" si="7"/>
        <v>226158.25</v>
      </c>
      <c r="I36" s="165">
        <f t="shared" si="8"/>
        <v>226158.25</v>
      </c>
      <c r="J36" s="153">
        <f t="shared" si="2"/>
        <v>452316.25</v>
      </c>
      <c r="K36" s="97">
        <v>-37544.788729454507</v>
      </c>
      <c r="L36" s="178">
        <v>0</v>
      </c>
      <c r="M36" s="127">
        <v>0</v>
      </c>
      <c r="N36" s="130">
        <f t="shared" si="9"/>
        <v>37544.788729454507</v>
      </c>
      <c r="O36" s="130">
        <f t="shared" si="10"/>
        <v>489861.25</v>
      </c>
      <c r="P36" s="85">
        <f t="shared" si="11"/>
        <v>0.25000000000000006</v>
      </c>
    </row>
    <row r="37" spans="1:114" x14ac:dyDescent="0.3">
      <c r="A37" s="137" t="s">
        <v>64</v>
      </c>
      <c r="B37" s="138"/>
      <c r="C37" s="64" t="s">
        <v>310</v>
      </c>
      <c r="D37" s="88">
        <v>7.3000000000000001E-3</v>
      </c>
      <c r="E37" s="95">
        <v>191229.16407</v>
      </c>
      <c r="F37" s="149">
        <v>45789</v>
      </c>
      <c r="G37" s="97">
        <v>-175787.47145562258</v>
      </c>
      <c r="H37" s="162">
        <f t="shared" si="7"/>
        <v>87894.26</v>
      </c>
      <c r="I37" s="165">
        <f t="shared" si="8"/>
        <v>87894.26</v>
      </c>
      <c r="J37" s="153">
        <f t="shared" si="2"/>
        <v>175787.26</v>
      </c>
      <c r="K37" s="97">
        <v>-15441.692614377418</v>
      </c>
      <c r="L37" s="178">
        <v>0</v>
      </c>
      <c r="M37" s="127">
        <v>0</v>
      </c>
      <c r="N37" s="130">
        <f t="shared" si="9"/>
        <v>15441.692614377418</v>
      </c>
      <c r="O37" s="130">
        <f t="shared" si="10"/>
        <v>191229.26</v>
      </c>
      <c r="P37" s="85">
        <f t="shared" si="11"/>
        <v>0.26000000000000006</v>
      </c>
    </row>
    <row r="38" spans="1:114" x14ac:dyDescent="0.3">
      <c r="A38" s="137" t="s">
        <v>65</v>
      </c>
      <c r="B38" s="138">
        <v>33</v>
      </c>
      <c r="C38" s="64" t="s">
        <v>184</v>
      </c>
      <c r="D38" s="88">
        <v>1.9699999999999999E-2</v>
      </c>
      <c r="E38" s="95">
        <v>516056.78522999992</v>
      </c>
      <c r="F38" s="149">
        <v>45793</v>
      </c>
      <c r="G38" s="97">
        <v>-471560.18735745805</v>
      </c>
      <c r="H38" s="162">
        <f t="shared" si="7"/>
        <v>235780.27</v>
      </c>
      <c r="I38" s="165">
        <f t="shared" si="8"/>
        <v>235780.27</v>
      </c>
      <c r="J38" s="153">
        <f t="shared" si="2"/>
        <v>471560.27</v>
      </c>
      <c r="K38" s="97">
        <v>-44496.597872541868</v>
      </c>
      <c r="L38" s="178">
        <v>0</v>
      </c>
      <c r="M38" s="127">
        <v>0</v>
      </c>
      <c r="N38" s="130">
        <f t="shared" si="9"/>
        <v>44496.597872541868</v>
      </c>
      <c r="O38" s="130">
        <f t="shared" si="10"/>
        <v>516057.27</v>
      </c>
      <c r="P38" s="85">
        <f t="shared" si="11"/>
        <v>0.27000000000000007</v>
      </c>
      <c r="Q38" t="s">
        <v>244</v>
      </c>
      <c r="R38" t="s">
        <v>244</v>
      </c>
    </row>
    <row r="39" spans="1:114" x14ac:dyDescent="0.3">
      <c r="A39" s="137" t="s">
        <v>66</v>
      </c>
      <c r="B39" s="138">
        <v>44</v>
      </c>
      <c r="C39" s="64" t="s">
        <v>311</v>
      </c>
      <c r="D39" s="88">
        <v>1.17E-2</v>
      </c>
      <c r="E39" s="95">
        <v>306490.57802999998</v>
      </c>
      <c r="F39" s="149">
        <v>45800</v>
      </c>
      <c r="G39" s="97">
        <v>-277127.3408552261</v>
      </c>
      <c r="H39" s="162">
        <f t="shared" si="7"/>
        <v>138564.28</v>
      </c>
      <c r="I39" s="165">
        <f t="shared" si="8"/>
        <v>138564.28</v>
      </c>
      <c r="J39" s="153">
        <f t="shared" si="2"/>
        <v>277127.28000000003</v>
      </c>
      <c r="K39" s="97">
        <v>-29363.23717477388</v>
      </c>
      <c r="L39" s="178">
        <v>0</v>
      </c>
      <c r="M39" s="127">
        <v>238127.28000000003</v>
      </c>
      <c r="N39" s="130">
        <f t="shared" si="9"/>
        <v>29363.23717477388</v>
      </c>
      <c r="O39" s="130">
        <f t="shared" si="10"/>
        <v>306491.28000000003</v>
      </c>
      <c r="P39" s="85">
        <f t="shared" si="11"/>
        <v>0.28000000000000008</v>
      </c>
    </row>
    <row r="40" spans="1:114" x14ac:dyDescent="0.3">
      <c r="A40" s="137" t="s">
        <v>67</v>
      </c>
      <c r="B40" s="138"/>
      <c r="C40" s="64" t="s">
        <v>175</v>
      </c>
      <c r="D40" s="88">
        <v>8.6999999999999994E-3</v>
      </c>
      <c r="E40" s="95">
        <v>227903.25032999998</v>
      </c>
      <c r="F40" s="149">
        <v>45800</v>
      </c>
      <c r="G40" s="97">
        <v>-206069.04832824506</v>
      </c>
      <c r="H40" s="162">
        <f t="shared" si="7"/>
        <v>103035.29</v>
      </c>
      <c r="I40" s="165">
        <f t="shared" si="8"/>
        <v>103035.29</v>
      </c>
      <c r="J40" s="153">
        <f t="shared" si="2"/>
        <v>206069.29</v>
      </c>
      <c r="K40" s="97">
        <v>-21834.202001754922</v>
      </c>
      <c r="L40" s="178">
        <v>0</v>
      </c>
      <c r="M40" s="127">
        <v>0</v>
      </c>
      <c r="N40" s="130">
        <f t="shared" si="9"/>
        <v>21834.202001754922</v>
      </c>
      <c r="O40" s="130">
        <f t="shared" si="10"/>
        <v>227903.29</v>
      </c>
      <c r="P40" s="85">
        <f t="shared" si="11"/>
        <v>0.29000000000000009</v>
      </c>
    </row>
    <row r="41" spans="1:114" x14ac:dyDescent="0.3">
      <c r="A41" s="137" t="s">
        <v>68</v>
      </c>
      <c r="B41" s="138"/>
      <c r="C41" s="64" t="s">
        <v>312</v>
      </c>
      <c r="D41" s="88">
        <v>9.4999999999999998E-3</v>
      </c>
      <c r="E41" s="95">
        <v>248859.87104999999</v>
      </c>
      <c r="F41" s="149">
        <v>45800</v>
      </c>
      <c r="G41" s="97">
        <v>-225017.92633544002</v>
      </c>
      <c r="H41" s="162">
        <f t="shared" si="7"/>
        <v>112509.3</v>
      </c>
      <c r="I41" s="165">
        <f t="shared" si="8"/>
        <v>112509.3</v>
      </c>
      <c r="J41" s="153">
        <f t="shared" si="2"/>
        <v>225018.3</v>
      </c>
      <c r="K41" s="97">
        <v>-23841.94471455997</v>
      </c>
      <c r="L41" s="178">
        <v>0</v>
      </c>
      <c r="M41" s="127">
        <v>0</v>
      </c>
      <c r="N41" s="130">
        <f t="shared" si="9"/>
        <v>23841.94471455997</v>
      </c>
      <c r="O41" s="130">
        <f t="shared" si="10"/>
        <v>248860.3</v>
      </c>
      <c r="P41" s="85">
        <f t="shared" si="11"/>
        <v>0.3000000000000001</v>
      </c>
    </row>
    <row r="42" spans="1:114" x14ac:dyDescent="0.3">
      <c r="A42" s="137" t="s">
        <v>69</v>
      </c>
      <c r="B42" s="138">
        <v>7</v>
      </c>
      <c r="C42" s="64" t="s">
        <v>186</v>
      </c>
      <c r="D42" s="88">
        <v>1.8700000000000001E-2</v>
      </c>
      <c r="E42" s="95">
        <v>489861.00933000003</v>
      </c>
      <c r="F42" s="149">
        <v>45806</v>
      </c>
      <c r="G42" s="97">
        <v>-435275.0052766751</v>
      </c>
      <c r="H42" s="162">
        <f t="shared" si="7"/>
        <v>217638.31</v>
      </c>
      <c r="I42" s="165">
        <f t="shared" si="8"/>
        <v>217638.31</v>
      </c>
      <c r="J42" s="153">
        <f t="shared" si="2"/>
        <v>435275.31</v>
      </c>
      <c r="K42" s="97">
        <v>-54586.004053324927</v>
      </c>
      <c r="L42" s="178">
        <v>0</v>
      </c>
      <c r="M42" s="127">
        <v>0</v>
      </c>
      <c r="N42" s="130">
        <f t="shared" si="9"/>
        <v>54586.004053324927</v>
      </c>
      <c r="O42" s="130">
        <f t="shared" si="10"/>
        <v>489861.31</v>
      </c>
      <c r="P42" s="85">
        <f t="shared" si="11"/>
        <v>0.31000000000000011</v>
      </c>
    </row>
    <row r="43" spans="1:114" x14ac:dyDescent="0.3">
      <c r="A43" s="137" t="s">
        <v>70</v>
      </c>
      <c r="B43" s="138">
        <v>3</v>
      </c>
      <c r="C43" s="64" t="s">
        <v>187</v>
      </c>
      <c r="D43" s="88">
        <v>9.6000000000000009E-3</v>
      </c>
      <c r="E43" s="95">
        <v>251479.44864000002</v>
      </c>
      <c r="F43" s="149">
        <v>45775</v>
      </c>
      <c r="G43" s="97">
        <v>-235991.14771264675</v>
      </c>
      <c r="H43" s="162">
        <f t="shared" si="7"/>
        <v>117996.32</v>
      </c>
      <c r="I43" s="165">
        <f t="shared" si="8"/>
        <v>117996.32</v>
      </c>
      <c r="J43" s="153">
        <f t="shared" si="2"/>
        <v>235991.32</v>
      </c>
      <c r="K43" s="97">
        <v>-15488.300927353266</v>
      </c>
      <c r="L43" s="178">
        <v>0</v>
      </c>
      <c r="M43" s="127">
        <v>0</v>
      </c>
      <c r="N43" s="130">
        <f t="shared" si="9"/>
        <v>15488.300927353266</v>
      </c>
      <c r="O43" s="130">
        <f t="shared" si="10"/>
        <v>251480.32000000001</v>
      </c>
      <c r="P43" s="85">
        <f t="shared" si="11"/>
        <v>0.32000000000000012</v>
      </c>
      <c r="Q43" s="31"/>
    </row>
    <row r="44" spans="1:114" x14ac:dyDescent="0.3">
      <c r="A44" s="137" t="s">
        <v>71</v>
      </c>
      <c r="B44" s="138">
        <v>24</v>
      </c>
      <c r="C44" s="64" t="s">
        <v>188</v>
      </c>
      <c r="D44" s="88">
        <v>1.9699999999999999E-2</v>
      </c>
      <c r="E44" s="95">
        <v>516056.78522999992</v>
      </c>
      <c r="F44" s="149">
        <v>45793</v>
      </c>
      <c r="G44" s="97">
        <v>-471560.18735745805</v>
      </c>
      <c r="H44" s="162">
        <f t="shared" si="7"/>
        <v>235780.33</v>
      </c>
      <c r="I44" s="165">
        <f t="shared" si="8"/>
        <v>235780.33</v>
      </c>
      <c r="J44" s="153">
        <f t="shared" si="2"/>
        <v>471560.33</v>
      </c>
      <c r="K44" s="97">
        <v>-44496.597872541868</v>
      </c>
      <c r="L44" s="178">
        <v>0</v>
      </c>
      <c r="M44" s="127">
        <v>0</v>
      </c>
      <c r="N44" s="130">
        <f t="shared" si="9"/>
        <v>44496.597872541868</v>
      </c>
      <c r="O44" s="130">
        <f t="shared" si="10"/>
        <v>516057.33</v>
      </c>
      <c r="P44" s="85">
        <f t="shared" si="11"/>
        <v>0.33000000000000013</v>
      </c>
      <c r="Q44" s="31"/>
    </row>
    <row r="45" spans="1:114" x14ac:dyDescent="0.3">
      <c r="A45" s="137" t="s">
        <v>72</v>
      </c>
      <c r="B45" s="138"/>
      <c r="C45" s="64" t="s">
        <v>259</v>
      </c>
      <c r="D45" s="88">
        <v>9.4000000000000004E-3</v>
      </c>
      <c r="E45" s="95">
        <v>246240.29345999999</v>
      </c>
      <c r="F45" s="149">
        <v>45786</v>
      </c>
      <c r="G45" s="97">
        <v>-227367.51195963251</v>
      </c>
      <c r="H45" s="162">
        <f t="shared" si="7"/>
        <v>113684.34</v>
      </c>
      <c r="I45" s="165">
        <f t="shared" si="8"/>
        <v>113684.34</v>
      </c>
      <c r="J45" s="153">
        <f t="shared" si="2"/>
        <v>227368.34</v>
      </c>
      <c r="K45" s="97">
        <v>-18872.781500367477</v>
      </c>
      <c r="L45" s="178">
        <v>0</v>
      </c>
      <c r="M45" s="127">
        <v>21247</v>
      </c>
      <c r="N45" s="130">
        <f t="shared" si="9"/>
        <v>18872.781500367477</v>
      </c>
      <c r="O45" s="130">
        <f t="shared" si="10"/>
        <v>246241.34</v>
      </c>
      <c r="P45" s="85">
        <f t="shared" si="11"/>
        <v>0.34000000000000014</v>
      </c>
      <c r="Q45" t="s">
        <v>275</v>
      </c>
    </row>
    <row r="46" spans="1:114" x14ac:dyDescent="0.3">
      <c r="A46" s="137" t="s">
        <v>73</v>
      </c>
      <c r="B46" s="138"/>
      <c r="C46" s="64" t="s">
        <v>313</v>
      </c>
      <c r="D46" s="88">
        <v>8.6999999999999994E-3</v>
      </c>
      <c r="E46" s="95">
        <v>227903.25032999998</v>
      </c>
      <c r="F46" s="149">
        <v>45807</v>
      </c>
      <c r="G46" s="97">
        <v>-201632.39809641102</v>
      </c>
      <c r="H46" s="162">
        <f t="shared" si="7"/>
        <v>100816.35</v>
      </c>
      <c r="I46" s="165">
        <f t="shared" si="8"/>
        <v>100816.35</v>
      </c>
      <c r="J46" s="153">
        <f t="shared" si="2"/>
        <v>201632.35</v>
      </c>
      <c r="K46" s="97">
        <v>-26270.852233588957</v>
      </c>
      <c r="L46" s="178">
        <v>0</v>
      </c>
      <c r="M46" s="127">
        <v>0</v>
      </c>
      <c r="N46" s="130">
        <f t="shared" si="9"/>
        <v>26270.852233588957</v>
      </c>
      <c r="O46" s="130">
        <f t="shared" si="10"/>
        <v>227903.35</v>
      </c>
      <c r="P46" s="85">
        <f t="shared" si="11"/>
        <v>0.35000000000000014</v>
      </c>
    </row>
    <row r="47" spans="1:114" x14ac:dyDescent="0.3">
      <c r="A47" s="137" t="s">
        <v>74</v>
      </c>
      <c r="B47" s="138"/>
      <c r="C47" s="64" t="s">
        <v>189</v>
      </c>
      <c r="D47" s="88">
        <v>9.4999999999999998E-3</v>
      </c>
      <c r="E47" s="95">
        <v>248859.87104999999</v>
      </c>
      <c r="F47" s="149">
        <v>45786</v>
      </c>
      <c r="G47" s="97">
        <v>-229786.31527835201</v>
      </c>
      <c r="H47" s="162">
        <f t="shared" si="7"/>
        <v>114893.36</v>
      </c>
      <c r="I47" s="165">
        <f t="shared" si="8"/>
        <v>114893.36</v>
      </c>
      <c r="J47" s="153">
        <f t="shared" si="2"/>
        <v>229786.36</v>
      </c>
      <c r="K47" s="97">
        <v>-19073.555771647982</v>
      </c>
      <c r="L47" s="178">
        <v>0</v>
      </c>
      <c r="M47" s="127">
        <v>0</v>
      </c>
      <c r="N47" s="130">
        <f t="shared" si="9"/>
        <v>19073.555771647982</v>
      </c>
      <c r="O47" s="130">
        <f t="shared" si="10"/>
        <v>248860.36</v>
      </c>
      <c r="P47" s="85">
        <f t="shared" si="11"/>
        <v>0.36000000000000015</v>
      </c>
    </row>
    <row r="48" spans="1:114" x14ac:dyDescent="0.3">
      <c r="A48" s="137" t="s">
        <v>75</v>
      </c>
      <c r="B48" s="138">
        <v>8</v>
      </c>
      <c r="C48" s="64" t="s">
        <v>186</v>
      </c>
      <c r="D48" s="88">
        <v>1.8700000000000001E-2</v>
      </c>
      <c r="E48" s="95">
        <v>489861.00933000003</v>
      </c>
      <c r="F48" s="149">
        <v>45793</v>
      </c>
      <c r="G48" s="97">
        <v>-447623.12200936372</v>
      </c>
      <c r="H48" s="162">
        <f t="shared" si="7"/>
        <v>223812.37</v>
      </c>
      <c r="I48" s="165">
        <f t="shared" si="8"/>
        <v>223812.37</v>
      </c>
      <c r="J48" s="153">
        <f t="shared" si="2"/>
        <v>447623.37</v>
      </c>
      <c r="K48" s="97">
        <v>-42237.887320636306</v>
      </c>
      <c r="L48" s="178">
        <v>0</v>
      </c>
      <c r="M48" s="127">
        <v>0</v>
      </c>
      <c r="N48" s="130">
        <f t="shared" si="9"/>
        <v>42237.887320636306</v>
      </c>
      <c r="O48" s="130">
        <f t="shared" si="10"/>
        <v>489861.37</v>
      </c>
      <c r="P48" s="85">
        <f t="shared" si="11"/>
        <v>0.37000000000000016</v>
      </c>
      <c r="R48" s="39"/>
    </row>
    <row r="49" spans="1:19" x14ac:dyDescent="0.3">
      <c r="A49" s="137" t="s">
        <v>76</v>
      </c>
      <c r="B49" s="138"/>
      <c r="C49" s="64" t="s">
        <v>190</v>
      </c>
      <c r="D49" s="88">
        <v>7.3000000000000001E-3</v>
      </c>
      <c r="E49" s="95">
        <v>191229.16407</v>
      </c>
      <c r="F49" s="149">
        <v>45805</v>
      </c>
      <c r="G49" s="97">
        <v>-170654.57315202037</v>
      </c>
      <c r="H49" s="162">
        <f t="shared" si="7"/>
        <v>85328.38</v>
      </c>
      <c r="I49" s="165">
        <f t="shared" si="8"/>
        <v>85328.38</v>
      </c>
      <c r="J49" s="153">
        <f t="shared" si="2"/>
        <v>170655.38</v>
      </c>
      <c r="K49" s="97">
        <v>-20574.590917979629</v>
      </c>
      <c r="L49" s="178">
        <v>0</v>
      </c>
      <c r="M49" s="127">
        <v>0</v>
      </c>
      <c r="N49" s="130">
        <f t="shared" si="9"/>
        <v>20574.590917979629</v>
      </c>
      <c r="O49" s="130">
        <f t="shared" si="10"/>
        <v>191230.38</v>
      </c>
      <c r="P49" s="85">
        <f t="shared" si="11"/>
        <v>0.38000000000000017</v>
      </c>
    </row>
    <row r="50" spans="1:19" x14ac:dyDescent="0.3">
      <c r="A50" s="137" t="s">
        <v>77</v>
      </c>
      <c r="B50" s="138">
        <v>14</v>
      </c>
      <c r="C50" s="64" t="s">
        <v>191</v>
      </c>
      <c r="D50" s="88">
        <v>1.9699999999999999E-2</v>
      </c>
      <c r="E50" s="95">
        <v>516056.78522999992</v>
      </c>
      <c r="F50" s="149">
        <v>45805</v>
      </c>
      <c r="G50" s="97">
        <v>-460533.57412257558</v>
      </c>
      <c r="H50" s="162">
        <f t="shared" si="7"/>
        <v>230267.39</v>
      </c>
      <c r="I50" s="165">
        <f t="shared" si="8"/>
        <v>230267.39</v>
      </c>
      <c r="J50" s="153">
        <f t="shared" si="2"/>
        <v>460534.39</v>
      </c>
      <c r="K50" s="97">
        <v>-55523.211107424344</v>
      </c>
      <c r="L50" s="178">
        <v>0</v>
      </c>
      <c r="M50" s="127">
        <f t="shared" si="5"/>
        <v>460534.39</v>
      </c>
      <c r="N50" s="130">
        <f t="shared" si="9"/>
        <v>55523.211107424344</v>
      </c>
      <c r="O50" s="130">
        <f t="shared" si="10"/>
        <v>516058.39</v>
      </c>
      <c r="P50" s="85">
        <f t="shared" si="11"/>
        <v>0.39000000000000018</v>
      </c>
    </row>
    <row r="51" spans="1:19" x14ac:dyDescent="0.3">
      <c r="A51" s="137" t="s">
        <v>78</v>
      </c>
      <c r="B51" s="138"/>
      <c r="C51" s="64" t="s">
        <v>192</v>
      </c>
      <c r="D51" s="88">
        <v>9.4000000000000004E-3</v>
      </c>
      <c r="E51" s="95">
        <v>246240.29345999999</v>
      </c>
      <c r="F51" s="149">
        <v>45793</v>
      </c>
      <c r="G51" s="97">
        <v>-225008.41427208658</v>
      </c>
      <c r="H51" s="162">
        <f t="shared" si="7"/>
        <v>112504.4</v>
      </c>
      <c r="I51" s="165">
        <f t="shared" si="8"/>
        <v>112504.4</v>
      </c>
      <c r="J51" s="153">
        <f t="shared" si="2"/>
        <v>225008.4</v>
      </c>
      <c r="K51" s="97">
        <v>-21231.879187913408</v>
      </c>
      <c r="L51" s="178">
        <v>0</v>
      </c>
      <c r="M51" s="127">
        <v>0</v>
      </c>
      <c r="N51" s="130">
        <f t="shared" si="9"/>
        <v>21231.879187913408</v>
      </c>
      <c r="O51" s="130">
        <f t="shared" si="10"/>
        <v>246240.4</v>
      </c>
      <c r="P51" s="85">
        <f t="shared" si="11"/>
        <v>0.40000000000000019</v>
      </c>
    </row>
    <row r="52" spans="1:19" x14ac:dyDescent="0.3">
      <c r="A52" s="137" t="s">
        <v>79</v>
      </c>
      <c r="B52" s="138"/>
      <c r="C52" s="64" t="s">
        <v>347</v>
      </c>
      <c r="D52" s="88">
        <v>8.6999999999999994E-3</v>
      </c>
      <c r="E52" s="95">
        <v>227903.25032999998</v>
      </c>
      <c r="F52" s="149">
        <v>45800</v>
      </c>
      <c r="G52" s="97">
        <v>-206069.04832824506</v>
      </c>
      <c r="H52" s="162">
        <f t="shared" si="7"/>
        <v>103035.41</v>
      </c>
      <c r="I52" s="165">
        <f t="shared" si="8"/>
        <v>103035.41</v>
      </c>
      <c r="J52" s="153">
        <f t="shared" si="2"/>
        <v>206069.41</v>
      </c>
      <c r="K52" s="97">
        <v>-21834.202001754922</v>
      </c>
      <c r="L52" s="178">
        <v>0</v>
      </c>
      <c r="M52" s="127">
        <v>0</v>
      </c>
      <c r="N52" s="130">
        <f t="shared" si="9"/>
        <v>21834.202001754922</v>
      </c>
      <c r="O52" s="130">
        <f t="shared" si="10"/>
        <v>227904.41</v>
      </c>
      <c r="P52" s="85">
        <f t="shared" si="11"/>
        <v>0.4100000000000002</v>
      </c>
      <c r="R52" t="s">
        <v>236</v>
      </c>
    </row>
    <row r="53" spans="1:19" x14ac:dyDescent="0.3">
      <c r="A53" s="137" t="s">
        <v>80</v>
      </c>
      <c r="B53" s="147">
        <v>5</v>
      </c>
      <c r="C53" s="64" t="s">
        <v>193</v>
      </c>
      <c r="D53" s="88">
        <v>1.18E-2</v>
      </c>
      <c r="E53" s="95">
        <v>309110.15561999998</v>
      </c>
      <c r="F53" s="149">
        <v>45793</v>
      </c>
      <c r="G53" s="97">
        <v>-282457.37110751297</v>
      </c>
      <c r="H53" s="162">
        <f t="shared" si="7"/>
        <v>141229.42000000001</v>
      </c>
      <c r="I53" s="165">
        <f t="shared" si="8"/>
        <v>141229.42000000001</v>
      </c>
      <c r="J53" s="153">
        <f t="shared" si="2"/>
        <v>282457.42</v>
      </c>
      <c r="K53" s="97">
        <v>-26652.784512487007</v>
      </c>
      <c r="L53" s="178">
        <v>0</v>
      </c>
      <c r="M53" s="127">
        <v>0</v>
      </c>
      <c r="N53" s="130">
        <f t="shared" si="9"/>
        <v>26652.784512487007</v>
      </c>
      <c r="O53" s="130">
        <f t="shared" si="10"/>
        <v>309110.42</v>
      </c>
      <c r="P53" s="85">
        <f t="shared" si="11"/>
        <v>0.42000000000000021</v>
      </c>
      <c r="Q53" t="s">
        <v>257</v>
      </c>
    </row>
    <row r="54" spans="1:19" x14ac:dyDescent="0.3">
      <c r="A54" s="137" t="s">
        <v>81</v>
      </c>
      <c r="B54" s="138">
        <v>26</v>
      </c>
      <c r="C54" s="64" t="s">
        <v>194</v>
      </c>
      <c r="D54" s="88">
        <v>1.8700000000000001E-2</v>
      </c>
      <c r="E54" s="95">
        <v>489861.00933000003</v>
      </c>
      <c r="F54" s="149">
        <v>45793</v>
      </c>
      <c r="G54" s="97">
        <v>-447623.12200936372</v>
      </c>
      <c r="H54" s="162">
        <f t="shared" si="7"/>
        <v>223812.43</v>
      </c>
      <c r="I54" s="165">
        <f t="shared" si="8"/>
        <v>223812.43</v>
      </c>
      <c r="J54" s="153">
        <f t="shared" si="2"/>
        <v>447623.43</v>
      </c>
      <c r="K54" s="97">
        <v>-42237.887320636306</v>
      </c>
      <c r="L54" s="178">
        <v>0</v>
      </c>
      <c r="M54" s="127">
        <v>0</v>
      </c>
      <c r="N54" s="130">
        <f>-K54</f>
        <v>42237.887320636306</v>
      </c>
      <c r="O54" s="130">
        <f t="shared" si="10"/>
        <v>489861.43</v>
      </c>
      <c r="P54" s="85">
        <f t="shared" si="11"/>
        <v>0.43000000000000022</v>
      </c>
    </row>
    <row r="55" spans="1:19" x14ac:dyDescent="0.3">
      <c r="A55" s="137" t="s">
        <v>82</v>
      </c>
      <c r="B55" s="138"/>
      <c r="C55" s="64" t="s">
        <v>194</v>
      </c>
      <c r="D55" s="88">
        <v>7.3000000000000001E-3</v>
      </c>
      <c r="E55" s="95">
        <v>191229.16407</v>
      </c>
      <c r="F55" s="149">
        <v>45793</v>
      </c>
      <c r="G55" s="97">
        <v>-174740.57704108849</v>
      </c>
      <c r="H55" s="162">
        <f t="shared" si="7"/>
        <v>87371.44</v>
      </c>
      <c r="I55" s="165">
        <f t="shared" si="8"/>
        <v>87371.44</v>
      </c>
      <c r="J55" s="153">
        <f t="shared" si="2"/>
        <v>174741.44</v>
      </c>
      <c r="K55" s="97">
        <v>-16488.587028911512</v>
      </c>
      <c r="L55" s="178">
        <v>0</v>
      </c>
      <c r="M55" s="127">
        <v>0</v>
      </c>
      <c r="N55" s="130">
        <f t="shared" si="9"/>
        <v>16488.587028911512</v>
      </c>
      <c r="O55" s="130">
        <f t="shared" si="10"/>
        <v>191230.44</v>
      </c>
      <c r="P55" s="85">
        <f t="shared" si="11"/>
        <v>0.44000000000000022</v>
      </c>
    </row>
    <row r="56" spans="1:19" x14ac:dyDescent="0.3">
      <c r="A56" s="137" t="s">
        <v>83</v>
      </c>
      <c r="B56" s="138">
        <v>43</v>
      </c>
      <c r="C56" s="64" t="s">
        <v>195</v>
      </c>
      <c r="D56" s="88">
        <v>1.9699999999999999E-2</v>
      </c>
      <c r="E56" s="95">
        <v>516056.78522999992</v>
      </c>
      <c r="F56" s="149">
        <v>45770</v>
      </c>
      <c r="G56" s="97">
        <v>-487804.97705695755</v>
      </c>
      <c r="H56" s="162">
        <f t="shared" si="7"/>
        <v>243903.45</v>
      </c>
      <c r="I56" s="165">
        <f t="shared" si="8"/>
        <v>243903.45</v>
      </c>
      <c r="J56" s="153">
        <f t="shared" si="2"/>
        <v>487805.45</v>
      </c>
      <c r="K56" s="97">
        <v>-28251.808173042373</v>
      </c>
      <c r="L56" s="178">
        <v>0</v>
      </c>
      <c r="M56" s="127">
        <v>0</v>
      </c>
      <c r="N56" s="130">
        <f t="shared" si="9"/>
        <v>28251.808173042373</v>
      </c>
      <c r="O56" s="130">
        <f t="shared" si="10"/>
        <v>516057.45</v>
      </c>
      <c r="P56" s="85">
        <f t="shared" si="11"/>
        <v>0.45000000000000023</v>
      </c>
    </row>
    <row r="57" spans="1:19" x14ac:dyDescent="0.3">
      <c r="A57" s="137" t="s">
        <v>84</v>
      </c>
      <c r="B57" s="138">
        <v>10</v>
      </c>
      <c r="C57" s="64" t="s">
        <v>196</v>
      </c>
      <c r="D57" s="88">
        <v>1.17E-2</v>
      </c>
      <c r="E57" s="95">
        <v>306490.57802999998</v>
      </c>
      <c r="F57" s="149">
        <v>45793</v>
      </c>
      <c r="G57" s="97">
        <v>-280063.66457270354</v>
      </c>
      <c r="H57" s="162">
        <f t="shared" si="7"/>
        <v>140032.46</v>
      </c>
      <c r="I57" s="165">
        <f t="shared" si="8"/>
        <v>140032.46</v>
      </c>
      <c r="J57" s="153">
        <f t="shared" si="2"/>
        <v>280064.46000000002</v>
      </c>
      <c r="K57" s="97">
        <v>-26426.913457296439</v>
      </c>
      <c r="L57" s="178">
        <v>0</v>
      </c>
      <c r="M57" s="127">
        <v>0</v>
      </c>
      <c r="N57" s="130">
        <f t="shared" si="9"/>
        <v>26426.913457296439</v>
      </c>
      <c r="O57" s="130">
        <f t="shared" si="10"/>
        <v>306491.46000000002</v>
      </c>
      <c r="P57" s="116">
        <f t="shared" si="11"/>
        <v>0.46000000000000024</v>
      </c>
    </row>
    <row r="58" spans="1:19" x14ac:dyDescent="0.3">
      <c r="A58" s="137" t="s">
        <v>85</v>
      </c>
      <c r="B58" s="147">
        <v>12</v>
      </c>
      <c r="C58" s="64" t="s">
        <v>175</v>
      </c>
      <c r="D58" s="88">
        <v>1.0999999999999999E-2</v>
      </c>
      <c r="E58" s="95">
        <v>288153.53489999997</v>
      </c>
      <c r="F58" s="149">
        <v>45800</v>
      </c>
      <c r="G58" s="97">
        <v>-260547.07259893051</v>
      </c>
      <c r="H58" s="162">
        <f t="shared" si="7"/>
        <v>130274.47</v>
      </c>
      <c r="I58" s="165">
        <f t="shared" si="8"/>
        <v>130274.47</v>
      </c>
      <c r="J58" s="153">
        <f t="shared" si="2"/>
        <v>260547.47</v>
      </c>
      <c r="K58" s="97">
        <v>-27606.462301069463</v>
      </c>
      <c r="L58" s="178">
        <v>0</v>
      </c>
      <c r="M58" s="127">
        <v>0</v>
      </c>
      <c r="N58" s="130">
        <f t="shared" si="9"/>
        <v>27606.462301069463</v>
      </c>
      <c r="O58" s="130">
        <f t="shared" si="10"/>
        <v>288154.46999999997</v>
      </c>
      <c r="P58" s="116">
        <f t="shared" si="11"/>
        <v>0.47000000000000025</v>
      </c>
    </row>
    <row r="59" spans="1:19" x14ac:dyDescent="0.3">
      <c r="A59" s="137" t="s">
        <v>86</v>
      </c>
      <c r="B59" s="138">
        <v>20</v>
      </c>
      <c r="C59" s="64" t="s">
        <v>197</v>
      </c>
      <c r="D59" s="88">
        <v>1.18E-2</v>
      </c>
      <c r="E59" s="95">
        <v>309110.15561999998</v>
      </c>
      <c r="F59" s="149">
        <v>45805</v>
      </c>
      <c r="G59" s="97">
        <v>-275852.5976977864</v>
      </c>
      <c r="H59" s="162">
        <f t="shared" si="7"/>
        <v>137927.48000000001</v>
      </c>
      <c r="I59" s="165">
        <f t="shared" si="8"/>
        <v>137927.48000000001</v>
      </c>
      <c r="J59" s="153">
        <f t="shared" si="2"/>
        <v>275853.48</v>
      </c>
      <c r="K59" s="97">
        <v>-33257.557922213571</v>
      </c>
      <c r="L59" s="178">
        <v>0</v>
      </c>
      <c r="M59" s="127">
        <v>0</v>
      </c>
      <c r="N59" s="130">
        <f t="shared" si="9"/>
        <v>33257.557922213571</v>
      </c>
      <c r="O59" s="130">
        <f t="shared" si="10"/>
        <v>309111.48</v>
      </c>
      <c r="P59" s="116">
        <f t="shared" si="11"/>
        <v>0.48000000000000026</v>
      </c>
      <c r="S59" s="125"/>
    </row>
    <row r="60" spans="1:19" x14ac:dyDescent="0.3">
      <c r="A60" s="137" t="s">
        <v>87</v>
      </c>
      <c r="B60" s="138">
        <v>4</v>
      </c>
      <c r="C60" s="64" t="s">
        <v>314</v>
      </c>
      <c r="D60" s="88">
        <v>1.8700000000000001E-2</v>
      </c>
      <c r="E60" s="95">
        <v>489861.00933000003</v>
      </c>
      <c r="F60" s="149">
        <v>45793</v>
      </c>
      <c r="G60" s="97">
        <v>-447623.12200936372</v>
      </c>
      <c r="H60" s="162">
        <f t="shared" si="7"/>
        <v>223812.49</v>
      </c>
      <c r="I60" s="165">
        <f t="shared" si="8"/>
        <v>223812.49</v>
      </c>
      <c r="J60" s="153">
        <f t="shared" si="2"/>
        <v>447623.49</v>
      </c>
      <c r="K60" s="97">
        <v>-42237.887320636306</v>
      </c>
      <c r="L60" s="178">
        <v>0</v>
      </c>
      <c r="M60" s="127">
        <v>0</v>
      </c>
      <c r="N60" s="130">
        <f t="shared" si="9"/>
        <v>42237.887320636306</v>
      </c>
      <c r="O60" s="130">
        <f t="shared" si="10"/>
        <v>489861.49</v>
      </c>
      <c r="P60" s="85">
        <f t="shared" si="11"/>
        <v>0.49000000000000027</v>
      </c>
      <c r="S60" s="31"/>
    </row>
    <row r="61" spans="1:19" x14ac:dyDescent="0.3">
      <c r="A61" s="137" t="s">
        <v>88</v>
      </c>
      <c r="B61" s="138"/>
      <c r="C61" s="64" t="s">
        <v>199</v>
      </c>
      <c r="D61" s="88">
        <v>7.3000000000000001E-3</v>
      </c>
      <c r="E61" s="95">
        <v>191229.16407</v>
      </c>
      <c r="F61" s="149">
        <v>45793</v>
      </c>
      <c r="G61" s="97">
        <v>-174740.57704108849</v>
      </c>
      <c r="H61" s="162">
        <f t="shared" si="7"/>
        <v>87371.5</v>
      </c>
      <c r="I61" s="165">
        <f t="shared" si="8"/>
        <v>87371.5</v>
      </c>
      <c r="J61" s="153">
        <f>ROUND((-G61),0)+P61</f>
        <v>174741.5</v>
      </c>
      <c r="K61" s="97">
        <v>-16488.587028911512</v>
      </c>
      <c r="L61" s="178">
        <v>0</v>
      </c>
      <c r="M61" s="127">
        <f>IF(L61=H61,I61,J61)</f>
        <v>174741.5</v>
      </c>
      <c r="N61" s="130">
        <f t="shared" si="9"/>
        <v>16488.587028911512</v>
      </c>
      <c r="O61" s="130">
        <f t="shared" si="10"/>
        <v>191230.5</v>
      </c>
      <c r="P61" s="85">
        <f t="shared" si="11"/>
        <v>0.50000000000000022</v>
      </c>
    </row>
    <row r="62" spans="1:19" x14ac:dyDescent="0.3">
      <c r="A62" s="137" t="s">
        <v>89</v>
      </c>
      <c r="B62" s="138">
        <v>17</v>
      </c>
      <c r="C62" s="64" t="s">
        <v>200</v>
      </c>
      <c r="D62" s="88">
        <v>1.9699999999999999E-2</v>
      </c>
      <c r="E62" s="95">
        <v>516056.78522999992</v>
      </c>
      <c r="F62" s="149">
        <v>45796</v>
      </c>
      <c r="G62" s="97">
        <v>-469441.3017444798</v>
      </c>
      <c r="H62" s="162">
        <f t="shared" si="7"/>
        <v>234721.51</v>
      </c>
      <c r="I62" s="165">
        <f t="shared" si="8"/>
        <v>234721.51</v>
      </c>
      <c r="J62" s="153">
        <f t="shared" si="2"/>
        <v>469441.51</v>
      </c>
      <c r="K62" s="97">
        <v>-46615.483485520119</v>
      </c>
      <c r="L62" s="178">
        <v>0</v>
      </c>
      <c r="M62" s="127">
        <v>0</v>
      </c>
      <c r="N62" s="130">
        <f t="shared" si="9"/>
        <v>46615.483485520119</v>
      </c>
      <c r="O62" s="130">
        <f t="shared" si="10"/>
        <v>516057.51</v>
      </c>
      <c r="P62" s="85">
        <f t="shared" si="11"/>
        <v>0.51000000000000023</v>
      </c>
    </row>
    <row r="63" spans="1:19" x14ac:dyDescent="0.3">
      <c r="A63" s="137" t="s">
        <v>90</v>
      </c>
      <c r="B63" s="138"/>
      <c r="C63" s="64" t="s">
        <v>201</v>
      </c>
      <c r="D63" s="88">
        <v>9.4000000000000004E-3</v>
      </c>
      <c r="E63" s="95">
        <v>246240.29345999999</v>
      </c>
      <c r="F63" s="149">
        <v>45863</v>
      </c>
      <c r="G63" s="97">
        <v>-164899.57136629923</v>
      </c>
      <c r="H63" s="162">
        <f t="shared" si="7"/>
        <v>82450.52</v>
      </c>
      <c r="I63" s="165">
        <f t="shared" si="8"/>
        <v>82450.52</v>
      </c>
      <c r="J63" s="153">
        <f t="shared" si="2"/>
        <v>164900.51999999999</v>
      </c>
      <c r="K63" s="97">
        <v>-81340.722093700751</v>
      </c>
      <c r="L63" s="178">
        <v>0</v>
      </c>
      <c r="M63" s="127">
        <v>0</v>
      </c>
      <c r="N63" s="130">
        <f t="shared" si="9"/>
        <v>81340.722093700751</v>
      </c>
      <c r="O63" s="130">
        <f t="shared" si="10"/>
        <v>246241.52</v>
      </c>
      <c r="P63" s="85">
        <f t="shared" si="11"/>
        <v>0.52000000000000024</v>
      </c>
    </row>
    <row r="64" spans="1:19" x14ac:dyDescent="0.3">
      <c r="A64" s="137" t="s">
        <v>91</v>
      </c>
      <c r="B64" s="138"/>
      <c r="C64" s="64" t="s">
        <v>315</v>
      </c>
      <c r="D64" s="88">
        <v>8.6999999999999994E-3</v>
      </c>
      <c r="E64" s="95">
        <v>227903.25032999998</v>
      </c>
      <c r="F64" s="149">
        <v>45800</v>
      </c>
      <c r="G64" s="97">
        <v>-206069.04832824506</v>
      </c>
      <c r="H64" s="162">
        <f t="shared" si="7"/>
        <v>103035.53</v>
      </c>
      <c r="I64" s="165">
        <f t="shared" si="8"/>
        <v>103035.53</v>
      </c>
      <c r="J64" s="153">
        <f t="shared" si="2"/>
        <v>206069.53</v>
      </c>
      <c r="K64" s="97">
        <v>-21834.202001754922</v>
      </c>
      <c r="L64" s="178">
        <v>0</v>
      </c>
      <c r="M64" s="127">
        <v>0</v>
      </c>
      <c r="N64" s="130">
        <f t="shared" si="9"/>
        <v>21834.202001754922</v>
      </c>
      <c r="O64" s="130">
        <f t="shared" si="10"/>
        <v>227904.53</v>
      </c>
      <c r="P64" s="85">
        <f t="shared" si="11"/>
        <v>0.53000000000000025</v>
      </c>
      <c r="R64" t="s">
        <v>237</v>
      </c>
    </row>
    <row r="65" spans="1:17" x14ac:dyDescent="0.3">
      <c r="A65" s="137" t="s">
        <v>92</v>
      </c>
      <c r="B65" s="138">
        <v>23</v>
      </c>
      <c r="C65" s="64" t="s">
        <v>202</v>
      </c>
      <c r="D65" s="88">
        <v>1.18E-2</v>
      </c>
      <c r="E65" s="95">
        <v>309110.15561999998</v>
      </c>
      <c r="F65" s="149">
        <v>45786</v>
      </c>
      <c r="G65" s="97">
        <v>-285418.79160890041</v>
      </c>
      <c r="H65" s="162">
        <f t="shared" si="7"/>
        <v>142710.54</v>
      </c>
      <c r="I65" s="165">
        <f t="shared" si="8"/>
        <v>142710.54</v>
      </c>
      <c r="J65" s="153">
        <f t="shared" si="2"/>
        <v>285419.53999999998</v>
      </c>
      <c r="K65" s="97">
        <v>-23691.364011099562</v>
      </c>
      <c r="L65" s="178">
        <v>0</v>
      </c>
      <c r="M65" s="127">
        <f t="shared" si="5"/>
        <v>285419.53999999998</v>
      </c>
      <c r="N65" s="130">
        <f t="shared" si="9"/>
        <v>23691.364011099562</v>
      </c>
      <c r="O65" s="130">
        <f t="shared" si="10"/>
        <v>309111.53999999998</v>
      </c>
      <c r="P65" s="85">
        <f t="shared" si="11"/>
        <v>0.54000000000000026</v>
      </c>
    </row>
    <row r="66" spans="1:17" x14ac:dyDescent="0.3">
      <c r="A66" s="137" t="s">
        <v>93</v>
      </c>
      <c r="B66" s="148">
        <v>21</v>
      </c>
      <c r="C66" s="64" t="s">
        <v>203</v>
      </c>
      <c r="D66" s="88">
        <v>2.58E-2</v>
      </c>
      <c r="E66" s="95">
        <v>675851.01821999997</v>
      </c>
      <c r="F66" s="149">
        <v>45775</v>
      </c>
      <c r="G66" s="97">
        <v>-634226.20947773824</v>
      </c>
      <c r="H66" s="162">
        <f t="shared" si="7"/>
        <v>317113.55</v>
      </c>
      <c r="I66" s="165">
        <f t="shared" si="8"/>
        <v>317113.55</v>
      </c>
      <c r="J66" s="153">
        <f t="shared" si="2"/>
        <v>634226.55000000005</v>
      </c>
      <c r="K66" s="97">
        <v>-41624.808742261725</v>
      </c>
      <c r="L66" s="178">
        <v>0</v>
      </c>
      <c r="M66" s="127">
        <v>0</v>
      </c>
      <c r="N66" s="130">
        <f t="shared" si="9"/>
        <v>41624.808742261725</v>
      </c>
      <c r="O66" s="130">
        <f t="shared" si="10"/>
        <v>675851.55</v>
      </c>
      <c r="P66" s="85">
        <f t="shared" si="11"/>
        <v>0.55000000000000027</v>
      </c>
      <c r="Q66" s="46"/>
    </row>
    <row r="67" spans="1:17" x14ac:dyDescent="0.3">
      <c r="A67" s="137" t="s">
        <v>94</v>
      </c>
      <c r="B67" s="138">
        <v>41</v>
      </c>
      <c r="C67" s="64" t="s">
        <v>316</v>
      </c>
      <c r="D67" s="88">
        <v>1.9699999999999999E-2</v>
      </c>
      <c r="E67" s="95">
        <v>516056.78522999992</v>
      </c>
      <c r="F67" s="149">
        <v>45790</v>
      </c>
      <c r="G67" s="97">
        <v>-473679.07297043619</v>
      </c>
      <c r="H67" s="162">
        <f t="shared" si="7"/>
        <v>236840.56</v>
      </c>
      <c r="I67" s="165">
        <f t="shared" si="8"/>
        <v>236840.56</v>
      </c>
      <c r="J67" s="153">
        <f t="shared" si="2"/>
        <v>473679.56</v>
      </c>
      <c r="K67" s="97">
        <v>-42377.712259563734</v>
      </c>
      <c r="L67" s="178">
        <v>0</v>
      </c>
      <c r="M67" s="127">
        <v>0</v>
      </c>
      <c r="N67" s="130">
        <f t="shared" si="9"/>
        <v>42377.712259563734</v>
      </c>
      <c r="O67" s="130">
        <f t="shared" si="10"/>
        <v>516057.56</v>
      </c>
      <c r="P67" s="85">
        <f t="shared" si="11"/>
        <v>0.56000000000000028</v>
      </c>
    </row>
    <row r="68" spans="1:17" x14ac:dyDescent="0.3">
      <c r="A68" s="137" t="s">
        <v>95</v>
      </c>
      <c r="B68" s="138">
        <v>2</v>
      </c>
      <c r="C68" s="64" t="s">
        <v>317</v>
      </c>
      <c r="D68" s="88">
        <v>1.17E-2</v>
      </c>
      <c r="E68" s="95">
        <v>306490.57802999998</v>
      </c>
      <c r="F68" s="149"/>
      <c r="G68" s="97">
        <v>0</v>
      </c>
      <c r="H68" s="162"/>
      <c r="I68" s="165"/>
      <c r="J68" s="153"/>
      <c r="K68" s="97">
        <v>-306490.57802999998</v>
      </c>
      <c r="L68" s="178">
        <v>0</v>
      </c>
      <c r="M68" s="127">
        <f t="shared" si="5"/>
        <v>0</v>
      </c>
      <c r="N68" s="130">
        <f t="shared" si="9"/>
        <v>306490.57802999998</v>
      </c>
      <c r="O68" s="130">
        <f t="shared" si="10"/>
        <v>306491.57</v>
      </c>
      <c r="P68" s="85">
        <f t="shared" si="11"/>
        <v>0.57000000000000028</v>
      </c>
    </row>
    <row r="69" spans="1:17" x14ac:dyDescent="0.3">
      <c r="A69" s="137" t="s">
        <v>96</v>
      </c>
      <c r="B69" s="138"/>
      <c r="C69" s="64" t="s">
        <v>205</v>
      </c>
      <c r="D69" s="88">
        <v>8.6999999999999994E-3</v>
      </c>
      <c r="E69" s="95">
        <v>227903.25032999998</v>
      </c>
      <c r="F69" s="149">
        <v>45775</v>
      </c>
      <c r="G69" s="97">
        <v>-213866.97761458607</v>
      </c>
      <c r="H69" s="162">
        <f t="shared" si="7"/>
        <v>106934.58</v>
      </c>
      <c r="I69" s="165">
        <f t="shared" si="8"/>
        <v>106934.58</v>
      </c>
      <c r="J69" s="153">
        <f t="shared" si="2"/>
        <v>213867.58</v>
      </c>
      <c r="K69" s="97">
        <v>-14036.272715413914</v>
      </c>
      <c r="L69" s="178">
        <v>0</v>
      </c>
      <c r="M69" s="127">
        <f t="shared" si="5"/>
        <v>213867.58</v>
      </c>
      <c r="N69" s="130">
        <f t="shared" si="9"/>
        <v>14036.272715413914</v>
      </c>
      <c r="O69" s="130">
        <f t="shared" si="10"/>
        <v>227904.58</v>
      </c>
      <c r="P69" s="85">
        <f t="shared" si="11"/>
        <v>0.58000000000000029</v>
      </c>
    </row>
    <row r="70" spans="1:17" x14ac:dyDescent="0.3">
      <c r="A70" s="137" t="s">
        <v>97</v>
      </c>
      <c r="B70" s="138">
        <v>19</v>
      </c>
      <c r="C70" s="64" t="s">
        <v>206</v>
      </c>
      <c r="D70" s="88">
        <v>1.18E-2</v>
      </c>
      <c r="E70" s="95">
        <v>309110.15561999998</v>
      </c>
      <c r="F70" s="149">
        <v>45821</v>
      </c>
      <c r="G70" s="97">
        <v>-256859.2161501162</v>
      </c>
      <c r="H70" s="162">
        <f t="shared" si="7"/>
        <v>128430.59</v>
      </c>
      <c r="I70" s="165">
        <f t="shared" si="8"/>
        <v>128430.59</v>
      </c>
      <c r="J70" s="153">
        <f t="shared" si="2"/>
        <v>256859.59</v>
      </c>
      <c r="K70" s="97">
        <v>-52250.939469883771</v>
      </c>
      <c r="L70" s="178">
        <v>0</v>
      </c>
      <c r="M70" s="127">
        <v>0</v>
      </c>
      <c r="N70" s="130">
        <f t="shared" si="9"/>
        <v>52250.939469883771</v>
      </c>
      <c r="O70" s="130">
        <f t="shared" si="10"/>
        <v>309111.59000000003</v>
      </c>
      <c r="P70" s="85">
        <f t="shared" si="11"/>
        <v>0.5900000000000003</v>
      </c>
    </row>
    <row r="71" spans="1:17" x14ac:dyDescent="0.3">
      <c r="A71" s="137" t="s">
        <v>98</v>
      </c>
      <c r="B71" s="138">
        <v>36</v>
      </c>
      <c r="C71" s="64" t="s">
        <v>207</v>
      </c>
      <c r="D71" s="88">
        <v>2.58E-2</v>
      </c>
      <c r="E71" s="95">
        <v>675851.01821999997</v>
      </c>
      <c r="F71" s="149">
        <v>45891</v>
      </c>
      <c r="G71" s="97">
        <v>-382821.80090465758</v>
      </c>
      <c r="H71" s="162">
        <f t="shared" si="7"/>
        <v>191411.6</v>
      </c>
      <c r="I71" s="165">
        <f t="shared" si="8"/>
        <v>191411.6</v>
      </c>
      <c r="J71" s="153">
        <f t="shared" si="2"/>
        <v>382822.6</v>
      </c>
      <c r="K71" s="97">
        <v>-293029.21731534239</v>
      </c>
      <c r="L71" s="178">
        <v>0</v>
      </c>
      <c r="M71" s="127">
        <v>0</v>
      </c>
      <c r="N71" s="130">
        <f t="shared" si="9"/>
        <v>293029.21731534239</v>
      </c>
      <c r="O71" s="130">
        <f t="shared" si="10"/>
        <v>675852.6</v>
      </c>
      <c r="P71" s="85">
        <f t="shared" si="11"/>
        <v>0.60000000000000031</v>
      </c>
    </row>
    <row r="72" spans="1:17" x14ac:dyDescent="0.3">
      <c r="A72" s="137" t="s">
        <v>99</v>
      </c>
      <c r="B72" s="138">
        <v>15</v>
      </c>
      <c r="C72" s="64" t="s">
        <v>208</v>
      </c>
      <c r="D72" s="88">
        <v>1.9699999999999999E-2</v>
      </c>
      <c r="E72" s="95">
        <v>516056.78522999992</v>
      </c>
      <c r="F72" s="149">
        <v>45800</v>
      </c>
      <c r="G72" s="97">
        <v>-466616.12092717562</v>
      </c>
      <c r="H72" s="162">
        <f t="shared" si="7"/>
        <v>233308.61</v>
      </c>
      <c r="I72" s="165">
        <f t="shared" si="8"/>
        <v>233308.61</v>
      </c>
      <c r="J72" s="153">
        <f t="shared" ref="J72:J80" si="12">ROUND((-G72),0)+P72</f>
        <v>466616.61</v>
      </c>
      <c r="K72" s="97">
        <v>-49440.664302824298</v>
      </c>
      <c r="L72" s="178">
        <v>0</v>
      </c>
      <c r="M72" s="127">
        <v>0</v>
      </c>
      <c r="N72" s="130">
        <f t="shared" si="9"/>
        <v>49440.664302824298</v>
      </c>
      <c r="O72" s="130">
        <f t="shared" si="10"/>
        <v>516057.61</v>
      </c>
      <c r="P72" s="85">
        <f t="shared" si="11"/>
        <v>0.61000000000000032</v>
      </c>
    </row>
    <row r="73" spans="1:17" x14ac:dyDescent="0.3">
      <c r="A73" s="137" t="s">
        <v>100</v>
      </c>
      <c r="B73" s="138"/>
      <c r="C73" s="64" t="s">
        <v>209</v>
      </c>
      <c r="D73" s="88">
        <v>9.4000000000000004E-3</v>
      </c>
      <c r="E73" s="95">
        <v>246240.29345999999</v>
      </c>
      <c r="F73" s="149">
        <v>45784</v>
      </c>
      <c r="G73" s="97">
        <v>-228041.53987035993</v>
      </c>
      <c r="H73" s="162">
        <f t="shared" si="7"/>
        <v>114021.62</v>
      </c>
      <c r="I73" s="165">
        <f t="shared" si="8"/>
        <v>114021.62</v>
      </c>
      <c r="J73" s="153">
        <f t="shared" si="12"/>
        <v>228042.62</v>
      </c>
      <c r="K73" s="97">
        <v>-18198.753589640051</v>
      </c>
      <c r="L73" s="178">
        <v>0</v>
      </c>
      <c r="M73" s="127">
        <f t="shared" ref="M73" si="13">IF(L73=H73,I73,J73)</f>
        <v>228042.62</v>
      </c>
      <c r="N73" s="130">
        <f t="shared" si="9"/>
        <v>18198.753589640051</v>
      </c>
      <c r="O73" s="130">
        <f t="shared" si="10"/>
        <v>246241.62</v>
      </c>
      <c r="P73" s="85">
        <f t="shared" si="11"/>
        <v>0.62000000000000033</v>
      </c>
    </row>
    <row r="74" spans="1:17" x14ac:dyDescent="0.3">
      <c r="A74" s="137" t="s">
        <v>101</v>
      </c>
      <c r="B74" s="138">
        <v>40</v>
      </c>
      <c r="C74" s="64" t="s">
        <v>210</v>
      </c>
      <c r="D74" s="88">
        <v>1.0999999999999999E-2</v>
      </c>
      <c r="E74" s="95">
        <v>288153.53489999997</v>
      </c>
      <c r="F74" s="149">
        <v>45784</v>
      </c>
      <c r="G74" s="97">
        <v>-266857.12112488924</v>
      </c>
      <c r="H74" s="162">
        <f t="shared" si="7"/>
        <v>133429.63</v>
      </c>
      <c r="I74" s="165">
        <f t="shared" si="8"/>
        <v>133429.63</v>
      </c>
      <c r="J74" s="153">
        <f t="shared" si="12"/>
        <v>266857.63</v>
      </c>
      <c r="K74" s="97">
        <v>-21296.413775110734</v>
      </c>
      <c r="L74" s="178">
        <v>0</v>
      </c>
      <c r="M74" s="127">
        <v>133429.63</v>
      </c>
      <c r="N74" s="130">
        <f t="shared" si="9"/>
        <v>21296.413775110734</v>
      </c>
      <c r="O74" s="130">
        <f t="shared" si="10"/>
        <v>288154.63</v>
      </c>
      <c r="P74" s="85">
        <f t="shared" si="11"/>
        <v>0.63000000000000034</v>
      </c>
    </row>
    <row r="75" spans="1:17" x14ac:dyDescent="0.3">
      <c r="A75" s="137" t="s">
        <v>102</v>
      </c>
      <c r="B75" s="138"/>
      <c r="C75" s="64" t="s">
        <v>211</v>
      </c>
      <c r="D75" s="88">
        <v>9.4999999999999998E-3</v>
      </c>
      <c r="E75" s="95">
        <v>248859.87104999999</v>
      </c>
      <c r="F75" s="149">
        <v>45786</v>
      </c>
      <c r="G75" s="97">
        <v>-229786.31527835201</v>
      </c>
      <c r="H75" s="162">
        <f t="shared" si="7"/>
        <v>114893.64</v>
      </c>
      <c r="I75" s="165">
        <f t="shared" si="8"/>
        <v>114893.64</v>
      </c>
      <c r="J75" s="153">
        <f t="shared" si="12"/>
        <v>229786.64</v>
      </c>
      <c r="K75" s="97">
        <v>-19073.555771647982</v>
      </c>
      <c r="L75" s="178">
        <v>0</v>
      </c>
      <c r="M75" s="127">
        <v>0</v>
      </c>
      <c r="N75" s="130">
        <f t="shared" si="9"/>
        <v>19073.555771647982</v>
      </c>
      <c r="O75" s="130">
        <f t="shared" si="10"/>
        <v>248860.64</v>
      </c>
      <c r="P75" s="85">
        <f t="shared" si="11"/>
        <v>0.64000000000000035</v>
      </c>
    </row>
    <row r="76" spans="1:17" x14ac:dyDescent="0.3">
      <c r="A76" s="137" t="s">
        <v>103</v>
      </c>
      <c r="B76" s="138">
        <v>9</v>
      </c>
      <c r="C76" s="64" t="s">
        <v>318</v>
      </c>
      <c r="D76" s="88">
        <v>2.58E-2</v>
      </c>
      <c r="E76" s="95">
        <v>675851.01821999997</v>
      </c>
      <c r="F76" s="149">
        <v>45835</v>
      </c>
      <c r="G76" s="97">
        <v>-525270.52442663931</v>
      </c>
      <c r="H76" s="162">
        <f t="shared" si="7"/>
        <v>262636.65000000002</v>
      </c>
      <c r="I76" s="165">
        <f t="shared" si="8"/>
        <v>262636.65000000002</v>
      </c>
      <c r="J76" s="153">
        <f t="shared" si="12"/>
        <v>525271.65</v>
      </c>
      <c r="K76" s="97">
        <v>-150580.49379336066</v>
      </c>
      <c r="L76" s="178">
        <v>0</v>
      </c>
      <c r="M76" s="127">
        <v>0</v>
      </c>
      <c r="N76" s="130">
        <f t="shared" si="9"/>
        <v>150580.49379336066</v>
      </c>
      <c r="O76" s="130">
        <f t="shared" si="10"/>
        <v>675852.65</v>
      </c>
      <c r="P76" s="85">
        <f t="shared" si="11"/>
        <v>0.65000000000000036</v>
      </c>
    </row>
    <row r="77" spans="1:17" x14ac:dyDescent="0.3">
      <c r="A77" s="137" t="s">
        <v>104</v>
      </c>
      <c r="B77" s="138">
        <v>35</v>
      </c>
      <c r="C77" s="64" t="s">
        <v>212</v>
      </c>
      <c r="D77" s="88">
        <v>1.9699999999999999E-2</v>
      </c>
      <c r="E77" s="95">
        <v>516056.78522999992</v>
      </c>
      <c r="F77" s="149">
        <v>45784</v>
      </c>
      <c r="G77" s="97">
        <v>-477916.84419639257</v>
      </c>
      <c r="H77" s="162">
        <f t="shared" ref="H77:H80" si="14">ROUND((J77/2),0)+P77</f>
        <v>238959.66</v>
      </c>
      <c r="I77" s="165">
        <f t="shared" ref="I77:I80" si="15">H77</f>
        <v>238959.66</v>
      </c>
      <c r="J77" s="153">
        <f t="shared" si="12"/>
        <v>477917.66</v>
      </c>
      <c r="K77" s="97">
        <v>-38139.941033607349</v>
      </c>
      <c r="L77" s="178">
        <v>0</v>
      </c>
      <c r="M77" s="127">
        <v>238959.66</v>
      </c>
      <c r="N77" s="130">
        <f t="shared" ref="N77:N80" si="16">-K77</f>
        <v>38139.941033607349</v>
      </c>
      <c r="O77" s="130">
        <f t="shared" ref="O77:O80" si="17">ROUND((J77+N77),0) + P77</f>
        <v>516058.66</v>
      </c>
      <c r="P77" s="85">
        <f t="shared" si="11"/>
        <v>0.66000000000000036</v>
      </c>
    </row>
    <row r="78" spans="1:17" x14ac:dyDescent="0.3">
      <c r="A78" s="137" t="s">
        <v>105</v>
      </c>
      <c r="B78" s="138" t="s">
        <v>300</v>
      </c>
      <c r="C78" s="64" t="s">
        <v>213</v>
      </c>
      <c r="D78" s="88">
        <v>1.4E-2</v>
      </c>
      <c r="E78" s="95">
        <v>366740.86259999999</v>
      </c>
      <c r="F78" s="149">
        <v>45786</v>
      </c>
      <c r="G78" s="97">
        <v>-338632.46462072933</v>
      </c>
      <c r="H78" s="162">
        <f t="shared" si="14"/>
        <v>169316.67</v>
      </c>
      <c r="I78" s="165">
        <f t="shared" si="15"/>
        <v>169316.67</v>
      </c>
      <c r="J78" s="153">
        <f t="shared" si="12"/>
        <v>338632.67</v>
      </c>
      <c r="K78" s="97">
        <v>-28108.397979270667</v>
      </c>
      <c r="L78" s="178">
        <v>0</v>
      </c>
      <c r="M78" s="127">
        <v>0</v>
      </c>
      <c r="N78" s="130">
        <f t="shared" si="16"/>
        <v>28108.397979270667</v>
      </c>
      <c r="O78" s="130">
        <f t="shared" si="17"/>
        <v>366741.67</v>
      </c>
      <c r="P78" s="85">
        <f t="shared" ref="P78:P80" si="18">P77+0.01</f>
        <v>0.67000000000000037</v>
      </c>
    </row>
    <row r="79" spans="1:17" x14ac:dyDescent="0.3">
      <c r="A79" s="137" t="s">
        <v>106</v>
      </c>
      <c r="B79" s="137">
        <v>42</v>
      </c>
      <c r="C79" s="64" t="s">
        <v>214</v>
      </c>
      <c r="D79" s="88">
        <v>1.0999999999999999E-2</v>
      </c>
      <c r="E79" s="95">
        <v>288153.53489999997</v>
      </c>
      <c r="F79" s="149">
        <v>45777</v>
      </c>
      <c r="G79" s="97">
        <v>-269617.76735499618</v>
      </c>
      <c r="H79" s="162">
        <f t="shared" si="14"/>
        <v>134809.68</v>
      </c>
      <c r="I79" s="165">
        <f t="shared" si="15"/>
        <v>134809.68</v>
      </c>
      <c r="J79" s="153">
        <f t="shared" si="12"/>
        <v>269618.68</v>
      </c>
      <c r="K79" s="97">
        <v>-18535.767545003793</v>
      </c>
      <c r="L79" s="178">
        <v>0</v>
      </c>
      <c r="M79" s="127">
        <v>0</v>
      </c>
      <c r="N79" s="130">
        <f t="shared" si="16"/>
        <v>18535.767545003793</v>
      </c>
      <c r="O79" s="130">
        <f t="shared" si="17"/>
        <v>288154.68</v>
      </c>
      <c r="P79" s="85">
        <f t="shared" si="18"/>
        <v>0.68000000000000038</v>
      </c>
    </row>
    <row r="80" spans="1:17" x14ac:dyDescent="0.3">
      <c r="A80" s="137" t="s">
        <v>107</v>
      </c>
      <c r="B80" s="138">
        <v>27</v>
      </c>
      <c r="C80" s="64" t="s">
        <v>215</v>
      </c>
      <c r="D80" s="88">
        <v>1.18E-2</v>
      </c>
      <c r="E80" s="95">
        <v>309110.15561999998</v>
      </c>
      <c r="F80" s="149">
        <v>45800</v>
      </c>
      <c r="G80" s="97">
        <v>-279495.95060612552</v>
      </c>
      <c r="H80" s="162">
        <f t="shared" si="14"/>
        <v>139748.69</v>
      </c>
      <c r="I80" s="165">
        <f t="shared" si="15"/>
        <v>139748.69</v>
      </c>
      <c r="J80" s="153">
        <f t="shared" si="12"/>
        <v>279496.69</v>
      </c>
      <c r="K80" s="97">
        <v>-29614.205013874453</v>
      </c>
      <c r="L80" s="178">
        <v>0</v>
      </c>
      <c r="M80" s="127">
        <v>0</v>
      </c>
      <c r="N80" s="130">
        <f t="shared" si="16"/>
        <v>29614.205013874453</v>
      </c>
      <c r="O80" s="130">
        <f t="shared" si="17"/>
        <v>309111.69</v>
      </c>
      <c r="P80" s="85">
        <f t="shared" si="18"/>
        <v>0.69000000000000039</v>
      </c>
    </row>
    <row r="81" spans="1:17" x14ac:dyDescent="0.3">
      <c r="A81" s="23"/>
      <c r="B81" s="23"/>
      <c r="C81" s="64"/>
      <c r="D81" s="23"/>
      <c r="E81" s="95"/>
      <c r="F81" s="48"/>
      <c r="G81" s="96"/>
      <c r="H81" s="96"/>
      <c r="I81" s="96"/>
      <c r="J81" s="96"/>
      <c r="K81" s="96"/>
      <c r="L81" s="219"/>
      <c r="M81" s="96"/>
      <c r="N81" s="96"/>
      <c r="O81" s="97"/>
    </row>
    <row r="82" spans="1:17" x14ac:dyDescent="0.3">
      <c r="A82" s="18"/>
      <c r="B82" s="18"/>
      <c r="C82" s="18"/>
      <c r="D82" s="71">
        <f>SUM(D7:D81)</f>
        <v>0.99790000000000079</v>
      </c>
      <c r="E82" s="19">
        <f>SUM(E7:E81)</f>
        <v>26140764.770610008</v>
      </c>
      <c r="F82" s="117">
        <f>SUM(F7:F81)</f>
        <v>3344000</v>
      </c>
      <c r="G82" s="20">
        <f>SUM(G7:G81)</f>
        <v>-22258385.373480178</v>
      </c>
      <c r="H82" s="20"/>
      <c r="I82" s="20"/>
      <c r="J82" s="20"/>
      <c r="K82" s="20"/>
      <c r="L82" s="169">
        <f>SUM(L7:L80)</f>
        <v>34752</v>
      </c>
      <c r="M82" s="169">
        <f>SUM(M7:M80)</f>
        <v>2933880.3500000006</v>
      </c>
      <c r="N82" s="20"/>
      <c r="O82" s="19">
        <f>SUM(O7:O81)</f>
        <v>26140811.75</v>
      </c>
      <c r="Q82" s="39"/>
    </row>
  </sheetData>
  <mergeCells count="17">
    <mergeCell ref="I4:I6"/>
    <mergeCell ref="L4:L6"/>
    <mergeCell ref="M4:M6"/>
    <mergeCell ref="A3:O3"/>
    <mergeCell ref="A1:O2"/>
    <mergeCell ref="R7:S8"/>
    <mergeCell ref="J4:J6"/>
    <mergeCell ref="N4:N6"/>
    <mergeCell ref="A4:A6"/>
    <mergeCell ref="G4:G6"/>
    <mergeCell ref="O4:O6"/>
    <mergeCell ref="E4:E6"/>
    <mergeCell ref="F4:F6"/>
    <mergeCell ref="B4:B6"/>
    <mergeCell ref="C4:C6"/>
    <mergeCell ref="D4:D6"/>
    <mergeCell ref="H4:H6"/>
  </mergeCells>
  <pageMargins left="0.25" right="0.25" top="0.75" bottom="0.75" header="0.3" footer="0.3"/>
  <pageSetup paperSize="8"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087C-F49A-40D2-A732-EFA1FDB50C59}">
  <dimension ref="C2:H20"/>
  <sheetViews>
    <sheetView workbookViewId="0">
      <selection activeCell="C3" sqref="C3:H20"/>
    </sheetView>
  </sheetViews>
  <sheetFormatPr baseColWidth="10" defaultRowHeight="14.4" x14ac:dyDescent="0.3"/>
  <cols>
    <col min="8" max="8" width="18.6640625" customWidth="1"/>
  </cols>
  <sheetData>
    <row r="2" spans="3:8" ht="15" thickBot="1" x14ac:dyDescent="0.35"/>
    <row r="3" spans="3:8" ht="16.2" thickBot="1" x14ac:dyDescent="0.35">
      <c r="C3" s="398" t="s">
        <v>366</v>
      </c>
      <c r="D3" s="399"/>
      <c r="E3" s="399"/>
      <c r="F3" s="399"/>
      <c r="G3" s="399"/>
      <c r="H3" s="400"/>
    </row>
    <row r="4" spans="3:8" x14ac:dyDescent="0.3">
      <c r="C4" s="254" t="s">
        <v>367</v>
      </c>
      <c r="D4" s="255" t="s">
        <v>368</v>
      </c>
      <c r="E4" s="255"/>
      <c r="F4" s="255"/>
      <c r="G4" s="255" t="s">
        <v>369</v>
      </c>
      <c r="H4" s="256"/>
    </row>
    <row r="5" spans="3:8" x14ac:dyDescent="0.3">
      <c r="C5" s="257" t="str">
        <f>PRORRATEO!C31</f>
        <v>3ºF</v>
      </c>
      <c r="D5" t="str">
        <f>PRORRATEO!D31</f>
        <v>Campelo, Mariano</v>
      </c>
      <c r="G5" s="392">
        <f>PRORRATEO!N31</f>
        <v>-7072.88</v>
      </c>
      <c r="H5" s="393"/>
    </row>
    <row r="6" spans="3:8" x14ac:dyDescent="0.3">
      <c r="C6" s="257"/>
      <c r="H6" s="258"/>
    </row>
    <row r="7" spans="3:8" x14ac:dyDescent="0.3">
      <c r="C7" s="257"/>
      <c r="G7" t="s">
        <v>370</v>
      </c>
      <c r="H7" s="258"/>
    </row>
    <row r="8" spans="3:8" ht="15" thickBot="1" x14ac:dyDescent="0.35">
      <c r="C8" s="259"/>
      <c r="D8" s="260"/>
      <c r="E8" s="260"/>
      <c r="F8" s="260"/>
      <c r="G8" s="394">
        <v>0</v>
      </c>
      <c r="H8" s="395"/>
    </row>
    <row r="9" spans="3:8" x14ac:dyDescent="0.3">
      <c r="C9" s="254" t="s">
        <v>367</v>
      </c>
      <c r="D9" s="255" t="s">
        <v>368</v>
      </c>
      <c r="E9" s="255"/>
      <c r="F9" s="255"/>
      <c r="G9" s="255" t="s">
        <v>369</v>
      </c>
      <c r="H9" s="256"/>
    </row>
    <row r="10" spans="3:8" x14ac:dyDescent="0.3">
      <c r="C10" s="257" t="str">
        <f>PRORRATEO!C37</f>
        <v>4ºF</v>
      </c>
      <c r="D10" t="str">
        <f>PRORRATEO!D37</f>
        <v>Campelo, Mariano</v>
      </c>
      <c r="G10" s="392">
        <f>PRORRATEO!N37</f>
        <v>-7071.82</v>
      </c>
      <c r="H10" s="393"/>
    </row>
    <row r="11" spans="3:8" x14ac:dyDescent="0.3">
      <c r="C11" s="257"/>
      <c r="H11" s="258"/>
    </row>
    <row r="12" spans="3:8" x14ac:dyDescent="0.3">
      <c r="C12" s="257"/>
      <c r="G12" t="s">
        <v>371</v>
      </c>
      <c r="H12" s="258"/>
    </row>
    <row r="13" spans="3:8" ht="15" thickBot="1" x14ac:dyDescent="0.35">
      <c r="C13" s="259"/>
      <c r="D13" s="260"/>
      <c r="E13" s="260"/>
      <c r="F13" s="260"/>
      <c r="G13" s="394">
        <v>0</v>
      </c>
      <c r="H13" s="395"/>
    </row>
    <row r="14" spans="3:8" x14ac:dyDescent="0.3">
      <c r="C14" s="254" t="s">
        <v>367</v>
      </c>
      <c r="D14" s="255" t="s">
        <v>368</v>
      </c>
      <c r="E14" s="255"/>
      <c r="F14" s="255"/>
      <c r="G14" s="255" t="s">
        <v>369</v>
      </c>
      <c r="H14" s="256"/>
    </row>
    <row r="15" spans="3:8" x14ac:dyDescent="0.3">
      <c r="C15" s="257" t="str">
        <f>PRORRATEO!C43</f>
        <v>5ºF</v>
      </c>
      <c r="D15" t="str">
        <f>PRORRATEO!D43</f>
        <v>Ayala, Roberto Adrian</v>
      </c>
      <c r="G15" s="392">
        <f>PRORRATEO!N43</f>
        <v>-7072.76</v>
      </c>
      <c r="H15" s="393"/>
    </row>
    <row r="16" spans="3:8" x14ac:dyDescent="0.3">
      <c r="C16" s="257"/>
      <c r="H16" s="258"/>
    </row>
    <row r="17" spans="3:8" x14ac:dyDescent="0.3">
      <c r="C17" s="257"/>
      <c r="G17" t="s">
        <v>372</v>
      </c>
      <c r="H17" s="258"/>
    </row>
    <row r="18" spans="3:8" ht="15" thickBot="1" x14ac:dyDescent="0.35">
      <c r="C18" s="259"/>
      <c r="D18" s="260"/>
      <c r="E18" s="260"/>
      <c r="F18" s="260"/>
      <c r="G18" s="394">
        <v>0</v>
      </c>
      <c r="H18" s="395"/>
    </row>
    <row r="19" spans="3:8" ht="15" thickBot="1" x14ac:dyDescent="0.35"/>
    <row r="20" spans="3:8" ht="15" thickBot="1" x14ac:dyDescent="0.35">
      <c r="C20" s="261" t="s">
        <v>373</v>
      </c>
      <c r="D20" s="262"/>
      <c r="E20" s="262"/>
      <c r="F20" s="262"/>
      <c r="G20" s="396">
        <f>G15+G10+G5</f>
        <v>-21217.46</v>
      </c>
      <c r="H20" s="397"/>
    </row>
  </sheetData>
  <mergeCells count="8">
    <mergeCell ref="G15:H15"/>
    <mergeCell ref="G18:H18"/>
    <mergeCell ref="G20:H20"/>
    <mergeCell ref="C3:H3"/>
    <mergeCell ref="G5:H5"/>
    <mergeCell ref="G8:H8"/>
    <mergeCell ref="G10:H10"/>
    <mergeCell ref="G13:H13"/>
  </mergeCells>
  <pageMargins left="0.23622047244094491" right="0.23622047244094491" top="0.74803149606299213" bottom="0.74803149606299213" header="0.31496062992125984" footer="0.31496062992125984"/>
  <pageSetup paperSize="9" scale="115"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RESUMEN</vt:lpstr>
      <vt:lpstr>PRORRATEO</vt:lpstr>
      <vt:lpstr>ANOTACIONES</vt:lpstr>
      <vt:lpstr>ARBA</vt:lpstr>
      <vt:lpstr>DEUDA AYALA</vt:lpstr>
      <vt:lpstr>ARBA!Área_de_impresión</vt:lpstr>
      <vt:lpstr>'DEUDA AYALA'!Área_de_impresión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2026-10-04T20:50:16Z</cp:lastPrinted>
  <dcterms:created xsi:type="dcterms:W3CDTF">2023-09-17T12:29:07Z</dcterms:created>
  <dcterms:modified xsi:type="dcterms:W3CDTF">2026-10-13T17:18:39Z</dcterms:modified>
</cp:coreProperties>
</file>