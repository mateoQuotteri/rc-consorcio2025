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BELGRANO 1646\ENERO\"/>
    </mc:Choice>
  </mc:AlternateContent>
  <xr:revisionPtr revIDLastSave="0" documentId="13_ncr:1_{4619159F-9CBB-4B73-AD4F-30DAF12C41B4}" xr6:coauthVersionLast="47" xr6:coauthVersionMax="47" xr10:uidLastSave="{00000000-0000-0000-0000-000000000000}"/>
  <bookViews>
    <workbookView xWindow="-108" yWindow="-108" windowWidth="23256" windowHeight="12576" xr2:uid="{00000000-000D-0000-FFFF-FFFF00000000}"/>
  </bookViews>
  <sheets>
    <sheet name="RESUMEN" sheetId="1" r:id="rId1"/>
    <sheet name="PRORRATEO" sheetId="2" r:id="rId2"/>
    <sheet name="Hoja1" sheetId="4" r:id="rId3"/>
    <sheet name="COCHERA" sheetId="3" r:id="rId4"/>
  </sheets>
  <definedNames>
    <definedName name="_xlnm.Print_Area" localSheetId="1">PRORRATEO!$A$1:$N$64</definedName>
    <definedName name="_xlnm.Print_Area" localSheetId="0">RESUMEN!$A$1:$F$120</definedName>
  </definedNames>
  <calcPr calcId="181029"/>
</workbook>
</file>

<file path=xl/calcChain.xml><?xml version="1.0" encoding="utf-8"?>
<calcChain xmlns="http://schemas.openxmlformats.org/spreadsheetml/2006/main">
  <c r="G52" i="1" l="1"/>
  <c r="E52" i="1"/>
  <c r="H52" i="1" s="1"/>
  <c r="D47" i="1"/>
  <c r="L25" i="2"/>
  <c r="F71" i="1"/>
  <c r="E71" i="1"/>
  <c r="F65" i="1"/>
  <c r="E65" i="1"/>
  <c r="E63" i="1"/>
  <c r="G7" i="2"/>
  <c r="G43" i="2"/>
  <c r="G29" i="2" s="1"/>
  <c r="G44" i="2"/>
  <c r="G42" i="2"/>
  <c r="G18" i="2" l="1"/>
  <c r="G27" i="2"/>
  <c r="G17" i="2"/>
  <c r="G24" i="2"/>
  <c r="G9" i="2"/>
  <c r="G21" i="2"/>
  <c r="G16" i="2"/>
  <c r="G22" i="2"/>
  <c r="G25" i="2"/>
  <c r="G26" i="2"/>
  <c r="G13" i="2"/>
  <c r="D62" i="1" l="1"/>
  <c r="E60" i="1"/>
  <c r="H60" i="1" s="1"/>
  <c r="I60" i="1" s="1"/>
  <c r="G60" i="1"/>
  <c r="J60" i="1" s="1"/>
  <c r="D41" i="1"/>
  <c r="D26" i="1"/>
  <c r="F26" i="1" s="1"/>
  <c r="F57" i="1"/>
  <c r="E57" i="1"/>
  <c r="E62" i="1" l="1"/>
  <c r="F62" i="1"/>
  <c r="E26" i="1"/>
  <c r="D66" i="1" l="1"/>
  <c r="G62" i="1"/>
  <c r="F85" i="1"/>
  <c r="G51" i="2" l="1"/>
  <c r="G36" i="2"/>
  <c r="G31" i="2"/>
  <c r="G30" i="2"/>
  <c r="E64" i="1" l="1"/>
  <c r="E61" i="1"/>
  <c r="G10" i="2"/>
  <c r="E97" i="1"/>
  <c r="F97" i="1"/>
  <c r="G65" i="1"/>
  <c r="H65" i="1" l="1"/>
  <c r="G61" i="1" l="1"/>
  <c r="F96" i="1"/>
  <c r="D98" i="1"/>
  <c r="M3" i="2" s="1"/>
  <c r="O4" i="2" s="1"/>
  <c r="E96" i="1"/>
  <c r="H61" i="1" l="1"/>
  <c r="G11" i="2"/>
  <c r="D22" i="4" l="1"/>
  <c r="D17" i="4"/>
  <c r="G56" i="1"/>
  <c r="J56" i="1" s="1"/>
  <c r="F56" i="1"/>
  <c r="E56" i="1"/>
  <c r="H56" i="1" l="1"/>
  <c r="I56" i="1" s="1"/>
  <c r="G53" i="1" l="1"/>
  <c r="F53" i="1"/>
  <c r="E53" i="1"/>
  <c r="H53" i="1" l="1"/>
  <c r="F41" i="1" l="1"/>
  <c r="E41" i="1"/>
  <c r="G51" i="1"/>
  <c r="E51" i="1"/>
  <c r="D79" i="1"/>
  <c r="D27" i="1"/>
  <c r="E55" i="1"/>
  <c r="B119" i="1"/>
  <c r="G64" i="1"/>
  <c r="J64" i="1" s="1"/>
  <c r="H51" i="1" l="1"/>
  <c r="I51" i="1" s="1"/>
  <c r="H64" i="1"/>
  <c r="I64" i="1" s="1"/>
  <c r="D49" i="1" l="1"/>
  <c r="D49" i="2"/>
  <c r="G49" i="2" l="1"/>
  <c r="G54" i="1"/>
  <c r="J54" i="1" s="1"/>
  <c r="E54" i="1" l="1"/>
  <c r="F54" i="1"/>
  <c r="H54" i="1" l="1"/>
  <c r="I54" i="1" s="1"/>
  <c r="F52" i="2" l="1"/>
  <c r="F42" i="1"/>
  <c r="E42" i="1"/>
  <c r="D72" i="1"/>
  <c r="E59" i="1" l="1"/>
  <c r="D44" i="1"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B108" i="1" l="1"/>
  <c r="E98" i="1"/>
  <c r="F98" i="1"/>
  <c r="H98" i="1" l="1"/>
  <c r="I98" i="1" s="1"/>
  <c r="E43" i="1" l="1"/>
  <c r="E44" i="1" l="1"/>
  <c r="F43" i="1"/>
  <c r="F44" i="1" s="1"/>
  <c r="G44" i="1" l="1"/>
  <c r="F35" i="1"/>
  <c r="F34" i="1"/>
  <c r="F33" i="1"/>
  <c r="E35" i="1"/>
  <c r="E34" i="1"/>
  <c r="E33" i="1"/>
  <c r="G55" i="1" l="1"/>
  <c r="J55" i="1" s="1"/>
  <c r="G58" i="1"/>
  <c r="J58" i="1" s="1"/>
  <c r="G59" i="1"/>
  <c r="J59" i="1" s="1"/>
  <c r="H59" i="1" l="1"/>
  <c r="I59" i="1" s="1"/>
  <c r="E85" i="1" l="1"/>
  <c r="G85" i="1" l="1"/>
  <c r="H85" i="1" s="1"/>
  <c r="F81" i="1" l="1"/>
  <c r="E81" i="1"/>
  <c r="F77" i="1"/>
  <c r="F76" i="1"/>
  <c r="E77" i="1"/>
  <c r="E76" i="1"/>
  <c r="F70" i="1"/>
  <c r="E70" i="1"/>
  <c r="F58" i="1"/>
  <c r="F55" i="1"/>
  <c r="E58" i="1"/>
  <c r="E66" i="1" s="1"/>
  <c r="F29" i="1"/>
  <c r="F28" i="1"/>
  <c r="E29" i="1"/>
  <c r="E28" i="1"/>
  <c r="F48" i="1"/>
  <c r="F46" i="1"/>
  <c r="E48" i="1"/>
  <c r="E46" i="1"/>
  <c r="F24" i="1"/>
  <c r="F25" i="1"/>
  <c r="F23" i="1"/>
  <c r="E23" i="1"/>
  <c r="E24" i="1"/>
  <c r="E25" i="1"/>
  <c r="F66" i="1" l="1"/>
  <c r="H55" i="1"/>
  <c r="I55" i="1" s="1"/>
  <c r="H58" i="1"/>
  <c r="I58" i="1" s="1"/>
  <c r="F27" i="1"/>
  <c r="E79" i="1"/>
  <c r="F79" i="1"/>
  <c r="E72" i="1"/>
  <c r="F72" i="1"/>
  <c r="E32" i="1"/>
  <c r="E36" i="1" s="1"/>
  <c r="F32" i="1"/>
  <c r="E27" i="1"/>
  <c r="G27" i="1" s="1"/>
  <c r="G66" i="1" l="1"/>
  <c r="H66" i="1" s="1"/>
  <c r="H27" i="1"/>
  <c r="G79" i="1"/>
  <c r="G72" i="1"/>
  <c r="G32" i="1"/>
  <c r="D32" i="1"/>
  <c r="I66" i="1" l="1"/>
  <c r="D36" i="1"/>
  <c r="H72" i="1"/>
  <c r="H32" i="1"/>
  <c r="H79" i="1"/>
  <c r="C92" i="1"/>
  <c r="B110" i="1" s="1"/>
  <c r="E47" i="1" l="1"/>
  <c r="E49" i="1" s="1"/>
  <c r="F47" i="1"/>
  <c r="F49" i="1" s="1"/>
  <c r="G49" i="1" l="1"/>
  <c r="H49" i="1" l="1"/>
  <c r="E40" i="1" l="1"/>
  <c r="F40" i="1"/>
  <c r="K12" i="2" l="1"/>
  <c r="K47" i="2"/>
  <c r="K25" i="2"/>
  <c r="K50" i="2"/>
  <c r="K27" i="2"/>
  <c r="K8" i="2"/>
  <c r="K30" i="2"/>
  <c r="K49" i="2"/>
  <c r="K32" i="2"/>
  <c r="K10" i="2"/>
  <c r="K29" i="2"/>
  <c r="K51" i="2"/>
  <c r="K31" i="2"/>
  <c r="K9" i="2"/>
  <c r="K34" i="2"/>
  <c r="K11" i="2"/>
  <c r="K36" i="2"/>
  <c r="K14" i="2"/>
  <c r="K33" i="2"/>
  <c r="K16" i="2"/>
  <c r="K35" i="2"/>
  <c r="K13" i="2"/>
  <c r="K38" i="2"/>
  <c r="K15" i="2"/>
  <c r="K40" i="2"/>
  <c r="K18" i="2"/>
  <c r="K37" i="2"/>
  <c r="K20" i="2"/>
  <c r="K39" i="2"/>
  <c r="K17" i="2"/>
  <c r="K42" i="2"/>
  <c r="K19" i="2"/>
  <c r="K44" i="2"/>
  <c r="K22" i="2"/>
  <c r="K41" i="2"/>
  <c r="K24" i="2"/>
  <c r="K43" i="2"/>
  <c r="K21" i="2"/>
  <c r="K46" i="2"/>
  <c r="K23" i="2"/>
  <c r="K48" i="2"/>
  <c r="K26" i="2"/>
  <c r="K45" i="2"/>
  <c r="K28" i="2"/>
  <c r="K52" i="2" l="1"/>
  <c r="J52" i="2" l="1"/>
  <c r="Q47" i="2" s="1"/>
  <c r="B109" i="1"/>
  <c r="G32" i="2" l="1"/>
  <c r="G12" i="2"/>
  <c r="H12" i="2" s="1"/>
  <c r="G50" i="2" l="1"/>
  <c r="G35" i="2" l="1"/>
  <c r="G15" i="2" s="1"/>
  <c r="F36" i="1" l="1"/>
  <c r="N1" i="3" l="1"/>
  <c r="L52" i="2" l="1"/>
  <c r="E52" i="2"/>
  <c r="H43" i="2" l="1"/>
  <c r="M43" i="2" s="1"/>
  <c r="N43" i="2" s="1"/>
  <c r="H44" i="2"/>
  <c r="G33" i="2"/>
  <c r="G28" i="2" s="1"/>
  <c r="G40" i="2"/>
  <c r="H40" i="2" s="1"/>
  <c r="M40" i="2" s="1"/>
  <c r="N40" i="2" s="1"/>
  <c r="G39" i="2"/>
  <c r="H36" i="2"/>
  <c r="H31" i="2"/>
  <c r="G37" i="2"/>
  <c r="G45" i="2"/>
  <c r="G38" i="2"/>
  <c r="G20" i="2" s="1"/>
  <c r="G41" i="2"/>
  <c r="G19" i="2" s="1"/>
  <c r="G48" i="2"/>
  <c r="H48" i="2" s="1"/>
  <c r="M48" i="2" s="1"/>
  <c r="N48" i="2" s="1"/>
  <c r="G47" i="2"/>
  <c r="M12" i="2"/>
  <c r="N12" i="2" s="1"/>
  <c r="H10" i="2"/>
  <c r="G34" i="2"/>
  <c r="H8" i="2"/>
  <c r="M8" i="2" s="1"/>
  <c r="H11" i="2"/>
  <c r="H13" i="2"/>
  <c r="M13" i="2" s="1"/>
  <c r="N13" i="2" s="1"/>
  <c r="H14" i="2"/>
  <c r="M14" i="2" s="1"/>
  <c r="N14" i="2" s="1"/>
  <c r="H15" i="2"/>
  <c r="H22" i="2"/>
  <c r="M22" i="2" s="1"/>
  <c r="N22" i="2" s="1"/>
  <c r="H25" i="2"/>
  <c r="M25" i="2" s="1"/>
  <c r="N25" i="2" s="1"/>
  <c r="H35" i="2"/>
  <c r="H50" i="2"/>
  <c r="M50" i="2" s="1"/>
  <c r="N50" i="2" s="1"/>
  <c r="H7" i="2"/>
  <c r="M7" i="2" s="1"/>
  <c r="E8" i="3"/>
  <c r="E9" i="3"/>
  <c r="E10" i="3"/>
  <c r="E11" i="3"/>
  <c r="E12" i="3"/>
  <c r="E13" i="3"/>
  <c r="E14" i="3"/>
  <c r="E15" i="3"/>
  <c r="E16" i="3"/>
  <c r="E17" i="3"/>
  <c r="E18" i="3"/>
  <c r="E19" i="3"/>
  <c r="E20" i="3"/>
  <c r="E21" i="3"/>
  <c r="E22" i="3"/>
  <c r="E23" i="3"/>
  <c r="E24" i="3"/>
  <c r="E25" i="3"/>
  <c r="E26" i="3"/>
  <c r="E27" i="3"/>
  <c r="E28" i="3"/>
  <c r="E7" i="3"/>
  <c r="H38" i="2" l="1"/>
  <c r="M38" i="2" s="1"/>
  <c r="N38" i="2" s="1"/>
  <c r="H26" i="2"/>
  <c r="M26" i="2" s="1"/>
  <c r="N26" i="2" s="1"/>
  <c r="H17" i="2"/>
  <c r="M17" i="2" s="1"/>
  <c r="N17" i="2" s="1"/>
  <c r="H46" i="2"/>
  <c r="M46" i="2" s="1"/>
  <c r="N46" i="2" s="1"/>
  <c r="H20" i="2"/>
  <c r="M20" i="2" s="1"/>
  <c r="N20" i="2" s="1"/>
  <c r="H21" i="2"/>
  <c r="M21" i="2" s="1"/>
  <c r="N21" i="2" s="1"/>
  <c r="H45" i="2"/>
  <c r="M45" i="2" s="1"/>
  <c r="N45" i="2" s="1"/>
  <c r="H30" i="2"/>
  <c r="M30" i="2" s="1"/>
  <c r="N30" i="2" s="1"/>
  <c r="H18" i="2"/>
  <c r="M18" i="2" s="1"/>
  <c r="N18" i="2" s="1"/>
  <c r="H33" i="2"/>
  <c r="M33" i="2" s="1"/>
  <c r="N33" i="2" s="1"/>
  <c r="H51" i="2"/>
  <c r="M51" i="2" s="1"/>
  <c r="N51" i="2" s="1"/>
  <c r="H16" i="2"/>
  <c r="M16" i="2" s="1"/>
  <c r="N16" i="2" s="1"/>
  <c r="H29" i="2"/>
  <c r="M29" i="2" s="1"/>
  <c r="N29" i="2" s="1"/>
  <c r="H19" i="2"/>
  <c r="M19" i="2" s="1"/>
  <c r="N19" i="2" s="1"/>
  <c r="H23" i="2"/>
  <c r="M23" i="2" s="1"/>
  <c r="N23" i="2" s="1"/>
  <c r="H9" i="2"/>
  <c r="M9" i="2" s="1"/>
  <c r="N9" i="2" s="1"/>
  <c r="H24" i="2"/>
  <c r="M24" i="2" s="1"/>
  <c r="N24" i="2" s="1"/>
  <c r="H49" i="2"/>
  <c r="M49" i="2" s="1"/>
  <c r="N49" i="2" s="1"/>
  <c r="H34" i="2"/>
  <c r="M34" i="2" s="1"/>
  <c r="N34" i="2" s="1"/>
  <c r="H28" i="2"/>
  <c r="M28" i="2" s="1"/>
  <c r="N28" i="2" s="1"/>
  <c r="H42" i="2"/>
  <c r="M42" i="2" s="1"/>
  <c r="N42" i="2" s="1"/>
  <c r="N7" i="2"/>
  <c r="H47" i="2"/>
  <c r="M47" i="2" s="1"/>
  <c r="N47" i="2" s="1"/>
  <c r="H37" i="2"/>
  <c r="M37" i="2" s="1"/>
  <c r="N37" i="2" s="1"/>
  <c r="H27" i="2"/>
  <c r="M27" i="2" s="1"/>
  <c r="N27" i="2" s="1"/>
  <c r="H41" i="2"/>
  <c r="M41" i="2" s="1"/>
  <c r="N41" i="2" s="1"/>
  <c r="H32" i="2"/>
  <c r="M32" i="2" s="1"/>
  <c r="N32" i="2" s="1"/>
  <c r="M36" i="2"/>
  <c r="N36" i="2" s="1"/>
  <c r="M15" i="2"/>
  <c r="N15" i="2" s="1"/>
  <c r="M11" i="2"/>
  <c r="N11" i="2" s="1"/>
  <c r="M35" i="2"/>
  <c r="N35" i="2" s="1"/>
  <c r="M31" i="2"/>
  <c r="N31" i="2" s="1"/>
  <c r="M10" i="2"/>
  <c r="N10" i="2" s="1"/>
  <c r="M44" i="2"/>
  <c r="N44" i="2" s="1"/>
  <c r="H39" i="2"/>
  <c r="M39" i="2" s="1"/>
  <c r="N39" i="2" s="1"/>
  <c r="G52" i="2" l="1"/>
  <c r="B106" i="1" s="1"/>
  <c r="N8" i="2"/>
  <c r="N52" i="2" s="1"/>
  <c r="M52" i="2"/>
  <c r="F82" i="1"/>
  <c r="F83" i="1" s="1"/>
  <c r="E82" i="1"/>
  <c r="E83" i="1" s="1"/>
  <c r="E87" i="1" s="1"/>
  <c r="D83" i="1"/>
  <c r="F87" i="1" l="1"/>
  <c r="G87" i="1" s="1"/>
  <c r="G83" i="1"/>
  <c r="H83" i="1" s="1"/>
  <c r="D87" i="1"/>
  <c r="I87" i="1" l="1"/>
  <c r="B102" i="1"/>
  <c r="B107" i="1" s="1"/>
  <c r="B112" i="1" s="1"/>
  <c r="H87" i="1"/>
  <c r="L1" i="2"/>
  <c r="B101" i="1"/>
  <c r="P43" i="2" l="1"/>
  <c r="K53" i="2"/>
  <c r="O1" i="2"/>
  <c r="O2" i="2" s="1"/>
</calcChain>
</file>

<file path=xl/sharedStrings.xml><?xml version="1.0" encoding="utf-8"?>
<sst xmlns="http://schemas.openxmlformats.org/spreadsheetml/2006/main" count="270" uniqueCount="175">
  <si>
    <t>consorciobelgrano1640@gmail.com</t>
  </si>
  <si>
    <t>LIQUIDACION DE EXPENSAS</t>
  </si>
  <si>
    <t>Deducciones</t>
  </si>
  <si>
    <t>TOTAL SUELDO</t>
  </si>
  <si>
    <t>APORTES Y CONTRIBUCIONES</t>
  </si>
  <si>
    <t>SUTERH - FATERYH - SARACAH</t>
  </si>
  <si>
    <t>TOTAL Aportes y Contribuciones - Sindicato</t>
  </si>
  <si>
    <t>ABONOS Y SERVICIOS</t>
  </si>
  <si>
    <t xml:space="preserve">Riesgo Uno </t>
  </si>
  <si>
    <t xml:space="preserve">Seguro Poliza </t>
  </si>
  <si>
    <t>EDESUR</t>
  </si>
  <si>
    <t>AYSA</t>
  </si>
  <si>
    <t>TOTAL ABONOS Y SERVICIOS</t>
  </si>
  <si>
    <t xml:space="preserve">GASTOS DE ADMINISTRACION </t>
  </si>
  <si>
    <t>RC Adm Cons. CANCIANI, Carolina</t>
  </si>
  <si>
    <t>TOTAL GASTOS DE ADMINISTRACION</t>
  </si>
  <si>
    <t>TOTAL GASTOS GENERALES / MANTENIMIENTO</t>
  </si>
  <si>
    <t>ESTADO DE CUENTA Y PRORRATEO</t>
  </si>
  <si>
    <t>BELGRANO Nº 1640</t>
  </si>
  <si>
    <t>Piso</t>
  </si>
  <si>
    <t>Dpto.</t>
  </si>
  <si>
    <t>UF</t>
  </si>
  <si>
    <t>Propietario</t>
  </si>
  <si>
    <t xml:space="preserve">Saldo </t>
  </si>
  <si>
    <t xml:space="preserve">Ingreso </t>
  </si>
  <si>
    <t>SALDO</t>
  </si>
  <si>
    <t>Expensas extraor.</t>
  </si>
  <si>
    <t>Intereses</t>
  </si>
  <si>
    <t>Expensas</t>
  </si>
  <si>
    <t>TOTAL</t>
  </si>
  <si>
    <t>Anterior</t>
  </si>
  <si>
    <t>Exp. Ord.</t>
  </si>
  <si>
    <t>Ord.</t>
  </si>
  <si>
    <t>PB</t>
  </si>
  <si>
    <t>LOCAL 1 - DANIEL VIDAL</t>
  </si>
  <si>
    <t>3º</t>
  </si>
  <si>
    <t>RODRIGUEZ, MARIA ROSA</t>
  </si>
  <si>
    <t>RUSSO, JUAN ANTONIO</t>
  </si>
  <si>
    <t>4º</t>
  </si>
  <si>
    <t>SALLABER, MARIA</t>
  </si>
  <si>
    <t>COLATRELLA, CAROLINA</t>
  </si>
  <si>
    <t>5º</t>
  </si>
  <si>
    <t>DI TORO, ALEJANDRO</t>
  </si>
  <si>
    <t>6º</t>
  </si>
  <si>
    <t>PERAZA, MARTHA</t>
  </si>
  <si>
    <t>MARANTE, MAURO</t>
  </si>
  <si>
    <t>7º</t>
  </si>
  <si>
    <t>CAMPANA, NESTOR</t>
  </si>
  <si>
    <t>8º</t>
  </si>
  <si>
    <t>JARA, CLAUDIO</t>
  </si>
  <si>
    <t>MIRAMONTES, HORACIO</t>
  </si>
  <si>
    <t>9º</t>
  </si>
  <si>
    <t>MELINA, ANDRES</t>
  </si>
  <si>
    <t>GARCIA, MARIA SOL</t>
  </si>
  <si>
    <t>10º</t>
  </si>
  <si>
    <t>DAVIN, ALEJANDRO</t>
  </si>
  <si>
    <t>11º</t>
  </si>
  <si>
    <t>VROONLAND, DANIEL</t>
  </si>
  <si>
    <t>SIMONASSI, ALEJO</t>
  </si>
  <si>
    <t>12º</t>
  </si>
  <si>
    <t>VELAZ, ATILIO</t>
  </si>
  <si>
    <t>13º</t>
  </si>
  <si>
    <t>AGÜERO, MIRIAM S</t>
  </si>
  <si>
    <t>14º</t>
  </si>
  <si>
    <t>VILLA, JUAN MANUEL</t>
  </si>
  <si>
    <t>15º</t>
  </si>
  <si>
    <t>TOLOSA, FABIO</t>
  </si>
  <si>
    <t>TOTAL EXPENSAS 1er VTO</t>
  </si>
  <si>
    <t>TOTAL EXPENSAS 2do VTO</t>
  </si>
  <si>
    <t>Expensas ord</t>
  </si>
  <si>
    <t xml:space="preserve">Vencimiento </t>
  </si>
  <si>
    <t>Gastos Ordinario:</t>
  </si>
  <si>
    <t>Gastos Extr.:</t>
  </si>
  <si>
    <t>Cochera</t>
  </si>
  <si>
    <t xml:space="preserve">Porcentaje </t>
  </si>
  <si>
    <t>DEUDAS</t>
  </si>
  <si>
    <t>Deuda exp</t>
  </si>
  <si>
    <t>porcentaje</t>
  </si>
  <si>
    <t>1ER Vto.</t>
  </si>
  <si>
    <t>2DO Vto.</t>
  </si>
  <si>
    <t>(%)</t>
  </si>
  <si>
    <t>Extraord</t>
  </si>
  <si>
    <t>%</t>
  </si>
  <si>
    <t>Extr.</t>
  </si>
  <si>
    <t>EXPENSAS</t>
  </si>
  <si>
    <t>RUIZ, DIEGO ARIEL</t>
  </si>
  <si>
    <t>GASTOS ORDINARIOS UNIDADES FUNCIONALES:</t>
  </si>
  <si>
    <t>LOCAL 8,09%</t>
  </si>
  <si>
    <t>Santander cuenta 039-010552/1</t>
  </si>
  <si>
    <t>CBU: 0720039720000001055218</t>
  </si>
  <si>
    <t>CAJA EFECTIVO $ (pesos)</t>
  </si>
  <si>
    <t xml:space="preserve">Saldo anterior </t>
  </si>
  <si>
    <t>Ingresos</t>
  </si>
  <si>
    <t xml:space="preserve">  </t>
  </si>
  <si>
    <t>Saldo al cierre</t>
  </si>
  <si>
    <t>CAJA EFECTIVO SUM $ (pesos)</t>
  </si>
  <si>
    <t>COC</t>
  </si>
  <si>
    <t xml:space="preserve"> (%)</t>
  </si>
  <si>
    <t>CONSORCIO DE PROPIETARIOS DEL EDIFICIO CALLE BELGRANO NUMERO 1640/1646 BANFIELD PARTIDO DE LOMAS DE ZAMORA</t>
  </si>
  <si>
    <t>CUIT: 33-71826987-9</t>
  </si>
  <si>
    <t>GASTOS BANCARIOS</t>
  </si>
  <si>
    <t>Gastos bancarios</t>
  </si>
  <si>
    <t>Mantenimiento de cuenta</t>
  </si>
  <si>
    <t xml:space="preserve">TOTAL ORDINARIOS </t>
  </si>
  <si>
    <t>GASTOS ORDINARIOS + PREVISION :</t>
  </si>
  <si>
    <t>Dinero ingreso SUM</t>
  </si>
  <si>
    <t>GASTOS ORDINARIOS SIN PREVISION:</t>
  </si>
  <si>
    <t xml:space="preserve">Gustavo Padron contador </t>
  </si>
  <si>
    <t>Fecha</t>
  </si>
  <si>
    <t>SAC</t>
  </si>
  <si>
    <t>TOTAL SAC</t>
  </si>
  <si>
    <t>LUSENSKY, CARLOS</t>
  </si>
  <si>
    <t>Redondeo</t>
  </si>
  <si>
    <t>GASTOS EXTRAORDINARIOS</t>
  </si>
  <si>
    <t>Egresos Extraordinarios</t>
  </si>
  <si>
    <t>Egresos Ordinarios</t>
  </si>
  <si>
    <t>MP:1148</t>
  </si>
  <si>
    <t xml:space="preserve">TOTAL </t>
  </si>
  <si>
    <t>Domicilio: Dr. Melo Nº 2958 - 8VO PISO - Con cita previa</t>
  </si>
  <si>
    <t xml:space="preserve">Central vigia </t>
  </si>
  <si>
    <t>Gastos particulares</t>
  </si>
  <si>
    <t>UF 91,91%</t>
  </si>
  <si>
    <t>LOCAL</t>
  </si>
  <si>
    <t>SUM/ GASTOS PART</t>
  </si>
  <si>
    <t>SE GASTO:</t>
  </si>
  <si>
    <t>SE PRORRATEA EN LAS UF:</t>
  </si>
  <si>
    <t xml:space="preserve">Haberes </t>
  </si>
  <si>
    <t>TOTAL REEMPLAZO</t>
  </si>
  <si>
    <t>RATON, MARIELA</t>
  </si>
  <si>
    <t>EL MONTO QUE SE PRORRATEA EN LAS UNIDADES FUNCIONALES ES MAYOR AL MONTO QUE SE GASTO YA QUE DE PRORRATEAR EL MONTO GASTADO NO SE ALCANZA A JUNTAR EL DINERO NECESARIO PARA CUBRIR EL 100% DE LOS GASTOS. ESTO SE DEBE A QUE EL LOCAL NO ABONA ESTRICTAMENTE EL 8,09% DE TODA LA LIQUIDACION, SINO QUE ABONA EL 8,09% DE ALGUNOS GASTOS SI Y DE OTROS NO. ES POR ESO MISMO QUE SE DEBE PRORRATEAR UN MONTO MAYOR A LO GASTADO PARA CON LAS UNIDADES FUNCIONALES CON EL OBJETIVO DE A FIN DE CUENTAS SI PODER REACAUDAR LO GASTADO</t>
  </si>
  <si>
    <t xml:space="preserve">Redondeo </t>
  </si>
  <si>
    <t>EXPENSAS EXTRA:</t>
  </si>
  <si>
    <t>extra</t>
  </si>
  <si>
    <t xml:space="preserve">FONDO DE GASTOS ORDINARIOS </t>
  </si>
  <si>
    <r>
      <t xml:space="preserve">Los gastos que se encuentras </t>
    </r>
    <r>
      <rPr>
        <b/>
        <u/>
        <sz val="14"/>
        <color theme="1"/>
        <rFont val="Calibri"/>
        <family val="2"/>
        <scheme val="minor"/>
      </rPr>
      <t>subrayados</t>
    </r>
    <r>
      <rPr>
        <sz val="14"/>
        <color theme="1"/>
        <rFont val="Calibri"/>
        <family val="2"/>
        <scheme val="minor"/>
      </rPr>
      <t xml:space="preserve"> </t>
    </r>
    <r>
      <rPr>
        <b/>
        <sz val="14"/>
        <color theme="1"/>
        <rFont val="Calibri"/>
        <family val="2"/>
        <scheme val="minor"/>
      </rPr>
      <t>son los que corresponden tanto a las unidades funcionales como tambien al local</t>
    </r>
  </si>
  <si>
    <t>ARCA</t>
  </si>
  <si>
    <t>FEUILLANT, GASTON</t>
  </si>
  <si>
    <t>Contessi - Mantenimiento de ascensores</t>
  </si>
  <si>
    <t>Subidos en jun de 2025</t>
  </si>
  <si>
    <t>BALBOA, ARIEL</t>
  </si>
  <si>
    <t>Articulos de limpieza - Montoya Alejandra</t>
  </si>
  <si>
    <t xml:space="preserve">Sr. Diego Britez </t>
  </si>
  <si>
    <t>EL MES ANTERIOR ATILIO QUEDO CON UN SALDO A FAVOR DE:</t>
  </si>
  <si>
    <t>UF 42</t>
  </si>
  <si>
    <t>COCHERA 1</t>
  </si>
  <si>
    <t>COCHERA 2</t>
  </si>
  <si>
    <t>COCHERA 7</t>
  </si>
  <si>
    <t>SI A LAS EXPENSAS DEL MES PASADO LES CONTEMPLAMOS EL DINERO A FAVOR:</t>
  </si>
  <si>
    <t>LAS EXPENSAS DEL MES PASADO FUERON (AL 01/07):</t>
  </si>
  <si>
    <t>DINERO TOTAL A ABONAR:</t>
  </si>
  <si>
    <t>YA ABONO:</t>
  </si>
  <si>
    <t>GASTOS PARTICULARES</t>
  </si>
  <si>
    <t>Energroup - SERVICE DE MANTENIMIENTO PREVENTIVO</t>
  </si>
  <si>
    <t>Las expensas extraordinarias ascendieron a un total de $2.900.000. Sin embargo, considerando que pasar de un prorrateo de $450.000 a dicho monto implicaría un incremento significativo en el valor final de las expensas, se resolvió distribuir este importe en tres cuotas.
Por lo tanto, en el presente período se prorratea una tercera parte del monto total correspondiente a las extraordinarias, con el fin de mantener un equilibrio en los valores a abonar.</t>
  </si>
  <si>
    <t>Debito 12/11</t>
  </si>
  <si>
    <t xml:space="preserve">Numero 1859135 Debito automatico </t>
  </si>
  <si>
    <t>Debito 04/12</t>
  </si>
  <si>
    <t>Mozart SRL - Recarga de matafuegos y prueba hidraulica</t>
  </si>
  <si>
    <t>Debito 30/12</t>
  </si>
  <si>
    <t>Fumigacion 22/12</t>
  </si>
  <si>
    <t>Debito 26/12</t>
  </si>
  <si>
    <t>Reemplazo Sr. Diego - Vacaciones - Sra. Monica Gorosito</t>
  </si>
  <si>
    <t>Sr. Antonio piletero</t>
  </si>
  <si>
    <t>Ferreteria el herrero - compra de insumos</t>
  </si>
  <si>
    <t>Alterini Guido - Puesta a punto de jardineria</t>
  </si>
  <si>
    <t>Vea - Compra canasta navideña</t>
  </si>
  <si>
    <t>SEGURO OBLIGATORIO SR DIEGO BRITEZ FEDERACION PATRONAL DEBITO AUTOMATICO</t>
  </si>
  <si>
    <t>Macarena</t>
  </si>
  <si>
    <t xml:space="preserve">Seguro Sra. Monica </t>
  </si>
  <si>
    <t>VTO: 16/02</t>
  </si>
  <si>
    <t>PERÍODO: ENERO</t>
  </si>
  <si>
    <t>Honorarios ENERO</t>
  </si>
  <si>
    <t>Ingreso mes de DICIEMBRE</t>
  </si>
  <si>
    <t>Pago mis cuentas 09/1</t>
  </si>
  <si>
    <t>Contessi - Cambio de tubos led ascensor 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</si>
</sst>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Calibri"/>
      <family val="2"/>
      <scheme val="minor"/>
    </font>
    <font>
      <sz val="11"/>
      <color theme="3" tint="0.79998168889431442"/>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8"/>
      <color rgb="FF000000"/>
      <name val="Arial"/>
      <family val="2"/>
    </font>
    <font>
      <sz val="8"/>
      <name val="Arial"/>
      <family val="2"/>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b/>
      <u/>
      <sz val="14"/>
      <color theme="1"/>
      <name val="Calibri"/>
      <family val="2"/>
      <scheme val="minor"/>
    </font>
    <font>
      <sz val="9"/>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61">
    <xf numFmtId="0" fontId="0" fillId="0" borderId="0" xfId="0"/>
    <xf numFmtId="0" fontId="0" fillId="0" borderId="33" xfId="0" applyBorder="1"/>
    <xf numFmtId="0" fontId="0" fillId="0" borderId="34" xfId="0" applyBorder="1"/>
    <xf numFmtId="0" fontId="2" fillId="0" borderId="0" xfId="0" applyFont="1"/>
    <xf numFmtId="0" fontId="2" fillId="7" borderId="25" xfId="0" applyFont="1" applyFill="1" applyBorder="1"/>
    <xf numFmtId="0" fontId="2" fillId="7" borderId="26" xfId="0" applyFont="1" applyFill="1" applyBorder="1"/>
    <xf numFmtId="3" fontId="0" fillId="0" borderId="1" xfId="0" applyNumberFormat="1" applyBorder="1"/>
    <xf numFmtId="0" fontId="0" fillId="0" borderId="1" xfId="0" applyBorder="1"/>
    <xf numFmtId="0" fontId="0" fillId="5" borderId="0" xfId="0" applyFill="1"/>
    <xf numFmtId="0" fontId="0" fillId="0" borderId="36" xfId="0" applyBorder="1"/>
    <xf numFmtId="4" fontId="0" fillId="0" borderId="1" xfId="0" applyNumberFormat="1" applyBorder="1"/>
    <xf numFmtId="0" fontId="0" fillId="0" borderId="9" xfId="0" applyBorder="1"/>
    <xf numFmtId="0" fontId="0" fillId="2" borderId="4" xfId="0" applyFill="1" applyBorder="1" applyAlignment="1">
      <alignment horizontal="center"/>
    </xf>
    <xf numFmtId="0" fontId="0" fillId="2" borderId="4" xfId="0" applyFill="1" applyBorder="1"/>
    <xf numFmtId="0" fontId="3" fillId="0" borderId="1" xfId="0" applyFont="1" applyBorder="1" applyAlignment="1">
      <alignment horizontal="center" wrapText="1"/>
    </xf>
    <xf numFmtId="4" fontId="2" fillId="2" borderId="4" xfId="0" applyNumberFormat="1" applyFont="1" applyFill="1" applyBorder="1"/>
    <xf numFmtId="165" fontId="0" fillId="0" borderId="11" xfId="0" applyNumberFormat="1" applyBorder="1"/>
    <xf numFmtId="4" fontId="0" fillId="0" borderId="13" xfId="0" applyNumberFormat="1" applyBorder="1"/>
    <xf numFmtId="0" fontId="0" fillId="2" borderId="5" xfId="0" applyFill="1" applyBorder="1"/>
    <xf numFmtId="3" fontId="2" fillId="2" borderId="5" xfId="2" applyNumberFormat="1" applyFont="1" applyFill="1" applyBorder="1"/>
    <xf numFmtId="3" fontId="0" fillId="0" borderId="19" xfId="0" applyNumberFormat="1" applyBorder="1"/>
    <xf numFmtId="3" fontId="2" fillId="2" borderId="22" xfId="2" applyNumberFormat="1" applyFont="1" applyFill="1" applyBorder="1"/>
    <xf numFmtId="3" fontId="0" fillId="0" borderId="18" xfId="0" applyNumberFormat="1" applyBorder="1"/>
    <xf numFmtId="3" fontId="2" fillId="2" borderId="20" xfId="2" applyNumberFormat="1" applyFont="1" applyFill="1" applyBorder="1"/>
    <xf numFmtId="3" fontId="2" fillId="2" borderId="21" xfId="2" applyNumberFormat="1" applyFont="1" applyFill="1" applyBorder="1"/>
    <xf numFmtId="3" fontId="2" fillId="2" borderId="7" xfId="2" applyNumberFormat="1" applyFont="1" applyFill="1" applyBorder="1"/>
    <xf numFmtId="3" fontId="0" fillId="0" borderId="12" xfId="0" applyNumberFormat="1" applyBorder="1"/>
    <xf numFmtId="164" fontId="2" fillId="2" borderId="20" xfId="2" applyFont="1" applyFill="1" applyBorder="1"/>
    <xf numFmtId="3" fontId="0" fillId="0" borderId="13" xfId="0" applyNumberFormat="1" applyBorder="1"/>
    <xf numFmtId="166" fontId="2" fillId="2" borderId="7" xfId="2" applyNumberFormat="1" applyFont="1" applyFill="1" applyBorder="1"/>
    <xf numFmtId="3" fontId="2" fillId="2" borderId="13" xfId="0" applyNumberFormat="1" applyFont="1" applyFill="1" applyBorder="1"/>
    <xf numFmtId="3" fontId="2" fillId="2" borderId="24" xfId="0" applyNumberFormat="1" applyFont="1" applyFill="1" applyBorder="1"/>
    <xf numFmtId="166" fontId="0" fillId="0" borderId="0" xfId="0" applyNumberFormat="1"/>
    <xf numFmtId="0" fontId="3" fillId="0" borderId="1" xfId="0" applyFont="1" applyBorder="1" applyAlignment="1">
      <alignment wrapText="1"/>
    </xf>
    <xf numFmtId="0" fontId="2" fillId="5" borderId="6" xfId="0" applyFont="1" applyFill="1" applyBorder="1" applyAlignment="1">
      <alignment horizontal="center"/>
    </xf>
    <xf numFmtId="0" fontId="2" fillId="5" borderId="2" xfId="0" applyFont="1" applyFill="1" applyBorder="1" applyAlignment="1">
      <alignment horizontal="center"/>
    </xf>
    <xf numFmtId="0" fontId="2" fillId="5" borderId="15" xfId="0" applyFont="1" applyFill="1" applyBorder="1" applyAlignment="1">
      <alignment horizontal="center"/>
    </xf>
    <xf numFmtId="0" fontId="2" fillId="5" borderId="23" xfId="0" applyFont="1" applyFill="1" applyBorder="1" applyAlignment="1">
      <alignment horizontal="center"/>
    </xf>
    <xf numFmtId="0" fontId="2" fillId="5" borderId="14" xfId="0" applyFont="1" applyFill="1" applyBorder="1" applyAlignment="1">
      <alignment horizontal="center"/>
    </xf>
    <xf numFmtId="0" fontId="2" fillId="5" borderId="28"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7" xfId="0" applyFont="1" applyFill="1" applyBorder="1" applyAlignment="1">
      <alignment horizontal="center"/>
    </xf>
    <xf numFmtId="9" fontId="2" fillId="5" borderId="0" xfId="0" applyNumberFormat="1" applyFont="1" applyFill="1" applyAlignment="1">
      <alignment horizontal="center"/>
    </xf>
    <xf numFmtId="0" fontId="2" fillId="5" borderId="16" xfId="0" applyFont="1" applyFill="1" applyBorder="1" applyAlignment="1">
      <alignment horizontal="center"/>
    </xf>
    <xf numFmtId="0" fontId="2" fillId="5" borderId="10" xfId="0" applyFont="1" applyFill="1" applyBorder="1" applyAlignment="1">
      <alignment horizontal="center"/>
    </xf>
    <xf numFmtId="0" fontId="0" fillId="4" borderId="0" xfId="0" applyFill="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16" fontId="0" fillId="4" borderId="0" xfId="0" applyNumberFormat="1" applyFill="1"/>
    <xf numFmtId="164" fontId="2" fillId="4" borderId="0" xfId="2" applyFont="1" applyFill="1"/>
    <xf numFmtId="0" fontId="5" fillId="4" borderId="0" xfId="0" applyFont="1" applyFill="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165" fontId="0" fillId="2" borderId="4" xfId="0" applyNumberFormat="1" applyFill="1" applyBorder="1"/>
    <xf numFmtId="3" fontId="6" fillId="0" borderId="1" xfId="0" applyNumberFormat="1" applyFont="1" applyBorder="1"/>
    <xf numFmtId="0" fontId="0" fillId="7" borderId="29" xfId="0" applyFill="1" applyBorder="1"/>
    <xf numFmtId="10" fontId="2" fillId="7" borderId="26" xfId="0" applyNumberFormat="1" applyFont="1" applyFill="1" applyBorder="1"/>
    <xf numFmtId="0" fontId="2" fillId="7" borderId="31" xfId="0" applyFont="1" applyFill="1" applyBorder="1"/>
    <xf numFmtId="0" fontId="2" fillId="7" borderId="29" xfId="0" applyFont="1" applyFill="1" applyBorder="1"/>
    <xf numFmtId="10" fontId="2" fillId="7" borderId="29" xfId="0" applyNumberFormat="1" applyFont="1" applyFill="1" applyBorder="1"/>
    <xf numFmtId="0" fontId="2" fillId="5" borderId="31" xfId="0" applyFont="1" applyFill="1" applyBorder="1"/>
    <xf numFmtId="0" fontId="2" fillId="5" borderId="29" xfId="0" applyFont="1" applyFill="1" applyBorder="1"/>
    <xf numFmtId="0" fontId="2" fillId="5" borderId="32" xfId="0" applyFont="1" applyFill="1" applyBorder="1"/>
    <xf numFmtId="0" fontId="2" fillId="5" borderId="33" xfId="0" applyFont="1" applyFill="1" applyBorder="1"/>
    <xf numFmtId="0" fontId="2" fillId="5" borderId="0" xfId="0" applyFont="1" applyFill="1"/>
    <xf numFmtId="0" fontId="2" fillId="5" borderId="34" xfId="0" applyFont="1" applyFill="1" applyBorder="1"/>
    <xf numFmtId="0" fontId="2" fillId="5" borderId="25" xfId="0" applyFont="1" applyFill="1" applyBorder="1"/>
    <xf numFmtId="0" fontId="2" fillId="5" borderId="26" xfId="0" applyFont="1" applyFill="1" applyBorder="1"/>
    <xf numFmtId="0" fontId="2" fillId="5" borderId="27" xfId="0" applyFont="1" applyFill="1" applyBorder="1"/>
    <xf numFmtId="8" fontId="0" fillId="0" borderId="0" xfId="0" applyNumberFormat="1"/>
    <xf numFmtId="0" fontId="7" fillId="8" borderId="0" xfId="0" applyFont="1" applyFill="1"/>
    <xf numFmtId="164" fontId="8" fillId="0" borderId="1" xfId="2" applyFont="1" applyBorder="1"/>
    <xf numFmtId="164" fontId="4" fillId="0" borderId="0" xfId="0" applyNumberFormat="1" applyFont="1"/>
    <xf numFmtId="0" fontId="8" fillId="0" borderId="1" xfId="0" applyFont="1" applyBorder="1"/>
    <xf numFmtId="4" fontId="0" fillId="0" borderId="0" xfId="0" applyNumberFormat="1"/>
    <xf numFmtId="0" fontId="4" fillId="0" borderId="1" xfId="0" applyFont="1" applyBorder="1"/>
    <xf numFmtId="0" fontId="4" fillId="0" borderId="0" xfId="0" applyFont="1"/>
    <xf numFmtId="164" fontId="4" fillId="0" borderId="1" xfId="0" applyNumberFormat="1" applyFont="1" applyBorder="1"/>
    <xf numFmtId="4" fontId="8" fillId="0" borderId="0" xfId="0" applyNumberFormat="1" applyFont="1"/>
    <xf numFmtId="164" fontId="0" fillId="0" borderId="0" xfId="0" applyNumberFormat="1"/>
    <xf numFmtId="0" fontId="10" fillId="0" borderId="1" xfId="0" applyFont="1" applyBorder="1" applyAlignment="1">
      <alignment wrapText="1"/>
    </xf>
    <xf numFmtId="0" fontId="10" fillId="3" borderId="1" xfId="0" applyFont="1" applyFill="1" applyBorder="1" applyAlignment="1">
      <alignment wrapText="1"/>
    </xf>
    <xf numFmtId="0" fontId="11" fillId="0" borderId="1" xfId="0" applyFont="1" applyBorder="1" applyAlignment="1">
      <alignment wrapText="1"/>
    </xf>
    <xf numFmtId="4" fontId="3" fillId="0" borderId="1" xfId="0" applyNumberFormat="1" applyFont="1" applyBorder="1" applyAlignment="1">
      <alignment wrapText="1"/>
    </xf>
    <xf numFmtId="167" fontId="0" fillId="0" borderId="1" xfId="1" applyNumberFormat="1" applyFont="1" applyBorder="1"/>
    <xf numFmtId="0" fontId="0" fillId="9" borderId="1" xfId="0" applyFill="1" applyBorder="1"/>
    <xf numFmtId="167" fontId="0" fillId="9" borderId="1" xfId="0" applyNumberFormat="1" applyFill="1" applyBorder="1"/>
    <xf numFmtId="3" fontId="0" fillId="9" borderId="1" xfId="0" applyNumberFormat="1" applyFill="1" applyBorder="1"/>
    <xf numFmtId="164" fontId="9" fillId="3" borderId="1" xfId="2" applyFont="1" applyFill="1" applyBorder="1"/>
    <xf numFmtId="164" fontId="4" fillId="3" borderId="1" xfId="2" applyFont="1" applyFill="1" applyBorder="1"/>
    <xf numFmtId="0" fontId="12" fillId="0" borderId="1" xfId="0" applyFont="1" applyBorder="1"/>
    <xf numFmtId="0" fontId="2" fillId="6" borderId="1" xfId="0" applyFont="1" applyFill="1" applyBorder="1"/>
    <xf numFmtId="0" fontId="0" fillId="6" borderId="1" xfId="0" applyFill="1" applyBorder="1"/>
    <xf numFmtId="43" fontId="0" fillId="5" borderId="0" xfId="3" applyFont="1" applyFill="1"/>
    <xf numFmtId="0" fontId="0" fillId="3" borderId="1" xfId="0" applyFill="1" applyBorder="1"/>
    <xf numFmtId="0" fontId="2" fillId="10" borderId="1" xfId="0" applyFont="1" applyFill="1" applyBorder="1"/>
    <xf numFmtId="0" fontId="2" fillId="0" borderId="1" xfId="0" applyFont="1" applyBorder="1"/>
    <xf numFmtId="164" fontId="2" fillId="0" borderId="1" xfId="2" applyFont="1" applyBorder="1"/>
    <xf numFmtId="0" fontId="2" fillId="9" borderId="25" xfId="0" applyFont="1" applyFill="1" applyBorder="1"/>
    <xf numFmtId="44" fontId="2" fillId="9" borderId="27" xfId="0" applyNumberFormat="1" applyFont="1" applyFill="1" applyBorder="1"/>
    <xf numFmtId="0" fontId="2" fillId="9" borderId="38" xfId="0" applyFont="1" applyFill="1" applyBorder="1"/>
    <xf numFmtId="44" fontId="2" fillId="9" borderId="22" xfId="0" applyNumberFormat="1" applyFont="1" applyFill="1" applyBorder="1"/>
    <xf numFmtId="0" fontId="0" fillId="0" borderId="1" xfId="0" applyBorder="1" applyAlignment="1">
      <alignment horizontal="center" vertical="center"/>
    </xf>
    <xf numFmtId="44" fontId="14" fillId="6" borderId="11" xfId="1" applyFont="1" applyFill="1" applyBorder="1"/>
    <xf numFmtId="44" fontId="0" fillId="0" borderId="0" xfId="0" applyNumberFormat="1"/>
    <xf numFmtId="8" fontId="2" fillId="6" borderId="34" xfId="0" applyNumberFormat="1" applyFont="1" applyFill="1" applyBorder="1"/>
    <xf numFmtId="0" fontId="2" fillId="3" borderId="1" xfId="0" applyFont="1" applyFill="1" applyBorder="1"/>
    <xf numFmtId="44" fontId="2" fillId="6" borderId="0" xfId="0" applyNumberFormat="1" applyFont="1" applyFill="1"/>
    <xf numFmtId="44" fontId="6" fillId="3" borderId="1" xfId="1" applyFont="1" applyFill="1" applyBorder="1"/>
    <xf numFmtId="0" fontId="0" fillId="0" borderId="11" xfId="0" applyBorder="1"/>
    <xf numFmtId="0" fontId="0" fillId="0" borderId="39" xfId="0" applyBorder="1"/>
    <xf numFmtId="0" fontId="0" fillId="3" borderId="2" xfId="0" applyFill="1" applyBorder="1"/>
    <xf numFmtId="0" fontId="0" fillId="3" borderId="39" xfId="0" applyFill="1" applyBorder="1"/>
    <xf numFmtId="44" fontId="2" fillId="10" borderId="25" xfId="1" applyFont="1" applyFill="1" applyBorder="1"/>
    <xf numFmtId="8" fontId="2" fillId="6" borderId="1" xfId="0" applyNumberFormat="1" applyFont="1" applyFill="1" applyBorder="1"/>
    <xf numFmtId="8" fontId="2" fillId="3" borderId="1" xfId="0" applyNumberFormat="1" applyFont="1" applyFill="1" applyBorder="1"/>
    <xf numFmtId="0" fontId="16" fillId="0" borderId="1" xfId="0" applyFont="1" applyBorder="1"/>
    <xf numFmtId="0" fontId="0" fillId="0" borderId="1" xfId="0" applyBorder="1" applyAlignment="1">
      <alignment horizontal="center"/>
    </xf>
    <xf numFmtId="44" fontId="6" fillId="3" borderId="0" xfId="1" applyFont="1" applyFill="1" applyBorder="1"/>
    <xf numFmtId="0" fontId="18" fillId="0" borderId="1" xfId="0" applyFont="1" applyBorder="1"/>
    <xf numFmtId="167" fontId="0" fillId="9" borderId="1" xfId="1" applyNumberFormat="1" applyFont="1" applyFill="1" applyBorder="1"/>
    <xf numFmtId="0" fontId="12" fillId="3" borderId="1" xfId="0" applyFont="1" applyFill="1" applyBorder="1"/>
    <xf numFmtId="0" fontId="6" fillId="3" borderId="11" xfId="0" applyFont="1" applyFill="1" applyBorder="1"/>
    <xf numFmtId="167" fontId="15" fillId="0" borderId="1" xfId="0" applyNumberFormat="1" applyFont="1" applyBorder="1"/>
    <xf numFmtId="167" fontId="18" fillId="0" borderId="1" xfId="0" applyNumberFormat="1" applyFont="1" applyBorder="1"/>
    <xf numFmtId="0" fontId="15" fillId="0" borderId="1" xfId="0" applyFont="1" applyBorder="1"/>
    <xf numFmtId="44" fontId="0" fillId="0" borderId="1" xfId="0" applyNumberFormat="1" applyBorder="1"/>
    <xf numFmtId="6" fontId="0" fillId="0" borderId="0" xfId="0" applyNumberFormat="1"/>
    <xf numFmtId="44" fontId="2" fillId="10" borderId="1" xfId="0" applyNumberFormat="1" applyFont="1" applyFill="1" applyBorder="1"/>
    <xf numFmtId="6" fontId="0" fillId="3" borderId="0" xfId="0" applyNumberFormat="1" applyFill="1" applyAlignment="1">
      <alignment horizontal="right" wrapText="1"/>
    </xf>
    <xf numFmtId="167" fontId="0" fillId="0" borderId="0" xfId="0" applyNumberFormat="1"/>
    <xf numFmtId="44" fontId="0" fillId="0" borderId="34" xfId="1" applyFont="1" applyBorder="1"/>
    <xf numFmtId="44" fontId="0" fillId="0" borderId="30" xfId="1" applyFont="1" applyBorder="1"/>
    <xf numFmtId="0" fontId="0" fillId="11" borderId="30" xfId="0" applyFill="1" applyBorder="1"/>
    <xf numFmtId="0" fontId="0" fillId="0" borderId="25" xfId="0" applyBorder="1"/>
    <xf numFmtId="0" fontId="0" fillId="0" borderId="27" xfId="0" applyBorder="1"/>
    <xf numFmtId="44" fontId="2" fillId="6" borderId="11" xfId="0" applyNumberFormat="1" applyFont="1" applyFill="1" applyBorder="1"/>
    <xf numFmtId="44" fontId="2" fillId="7" borderId="26" xfId="0" applyNumberFormat="1" applyFont="1" applyFill="1" applyBorder="1"/>
    <xf numFmtId="44" fontId="0" fillId="0" borderId="11" xfId="0" applyNumberFormat="1" applyBorder="1"/>
    <xf numFmtId="0" fontId="19" fillId="0" borderId="0" xfId="0" applyFont="1"/>
    <xf numFmtId="44" fontId="4" fillId="0" borderId="0" xfId="0" applyNumberFormat="1" applyFont="1"/>
    <xf numFmtId="44" fontId="0" fillId="0" borderId="0" xfId="1" applyFont="1"/>
    <xf numFmtId="44" fontId="14" fillId="6" borderId="11" xfId="0" applyNumberFormat="1" applyFont="1" applyFill="1" applyBorder="1"/>
    <xf numFmtId="44" fontId="2" fillId="6" borderId="25" xfId="0" applyNumberFormat="1" applyFont="1" applyFill="1" applyBorder="1"/>
    <xf numFmtId="0" fontId="0" fillId="3" borderId="0" xfId="0" applyFill="1"/>
    <xf numFmtId="44" fontId="19" fillId="0" borderId="0" xfId="0" applyNumberFormat="1" applyFont="1"/>
    <xf numFmtId="16" fontId="0" fillId="0" borderId="1" xfId="0" applyNumberFormat="1" applyBorder="1" applyAlignment="1">
      <alignment horizontal="left"/>
    </xf>
    <xf numFmtId="6" fontId="15" fillId="3" borderId="1" xfId="0" applyNumberFormat="1" applyFont="1" applyFill="1" applyBorder="1"/>
    <xf numFmtId="0" fontId="15" fillId="3" borderId="1" xfId="0" applyFont="1" applyFill="1" applyBorder="1"/>
    <xf numFmtId="0" fontId="2" fillId="3" borderId="0" xfId="0" applyFont="1" applyFill="1" applyAlignment="1">
      <alignment vertical="center" wrapText="1"/>
    </xf>
    <xf numFmtId="44" fontId="2" fillId="6" borderId="1" xfId="0" applyNumberFormat="1" applyFont="1" applyFill="1" applyBorder="1"/>
    <xf numFmtId="44" fontId="2" fillId="6" borderId="1" xfId="1" applyFont="1" applyFill="1" applyBorder="1"/>
    <xf numFmtId="44" fontId="14" fillId="6" borderId="1" xfId="1" applyFont="1" applyFill="1" applyBorder="1" applyAlignment="1">
      <alignment horizontal="center"/>
    </xf>
    <xf numFmtId="0" fontId="2" fillId="6" borderId="1" xfId="0" applyFont="1" applyFill="1" applyBorder="1" applyAlignment="1">
      <alignment horizontal="center"/>
    </xf>
    <xf numFmtId="164" fontId="20" fillId="3" borderId="1" xfId="2" applyFont="1" applyFill="1" applyBorder="1"/>
    <xf numFmtId="0" fontId="0" fillId="0" borderId="12" xfId="0" applyBorder="1"/>
    <xf numFmtId="0" fontId="0" fillId="0" borderId="13" xfId="0" applyBorder="1"/>
    <xf numFmtId="43" fontId="0" fillId="0" borderId="0" xfId="0" applyNumberFormat="1"/>
    <xf numFmtId="0" fontId="6" fillId="0" borderId="1" xfId="0" applyFont="1" applyBorder="1" applyAlignment="1">
      <alignment horizontal="center" vertical="center"/>
    </xf>
    <xf numFmtId="0" fontId="6" fillId="0" borderId="0" xfId="0" applyFont="1"/>
    <xf numFmtId="0" fontId="6" fillId="0" borderId="1" xfId="0" applyFont="1" applyBorder="1"/>
    <xf numFmtId="44" fontId="14" fillId="10" borderId="11" xfId="1" applyFont="1" applyFill="1" applyBorder="1"/>
    <xf numFmtId="44" fontId="14" fillId="7" borderId="26" xfId="0" applyNumberFormat="1" applyFont="1" applyFill="1" applyBorder="1"/>
    <xf numFmtId="0" fontId="0" fillId="0" borderId="11" xfId="0" applyBorder="1" applyAlignment="1">
      <alignment vertical="center"/>
    </xf>
    <xf numFmtId="44" fontId="0" fillId="0" borderId="0" xfId="0" applyNumberFormat="1" applyAlignment="1">
      <alignment horizontal="left"/>
    </xf>
    <xf numFmtId="168" fontId="0" fillId="0" borderId="0" xfId="0" applyNumberFormat="1"/>
    <xf numFmtId="0" fontId="2" fillId="11" borderId="25" xfId="0" applyFont="1" applyFill="1" applyBorder="1"/>
    <xf numFmtId="0" fontId="0" fillId="0" borderId="7" xfId="0" applyBorder="1"/>
    <xf numFmtId="10"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167" fontId="4" fillId="9" borderId="1" xfId="0" applyNumberFormat="1" applyFont="1" applyFill="1" applyBorder="1"/>
    <xf numFmtId="4" fontId="6" fillId="0" borderId="1" xfId="0" applyNumberFormat="1" applyFont="1" applyBorder="1"/>
    <xf numFmtId="167" fontId="15" fillId="9" borderId="1" xfId="1" applyNumberFormat="1" applyFont="1" applyFill="1" applyBorder="1"/>
    <xf numFmtId="6" fontId="23" fillId="3" borderId="1" xfId="0" applyNumberFormat="1" applyFont="1" applyFill="1" applyBorder="1"/>
    <xf numFmtId="166" fontId="9" fillId="3" borderId="1" xfId="2" applyNumberFormat="1" applyFont="1" applyFill="1" applyBorder="1"/>
    <xf numFmtId="0" fontId="0" fillId="5" borderId="31" xfId="0" applyFill="1" applyBorder="1"/>
    <xf numFmtId="44" fontId="6" fillId="5" borderId="32" xfId="0" applyNumberFormat="1" applyFont="1" applyFill="1" applyBorder="1"/>
    <xf numFmtId="0" fontId="0" fillId="5" borderId="33" xfId="0" applyFill="1" applyBorder="1"/>
    <xf numFmtId="44" fontId="6" fillId="5" borderId="0" xfId="0" applyNumberFormat="1" applyFont="1" applyFill="1"/>
    <xf numFmtId="6" fontId="6" fillId="5" borderId="34" xfId="0" applyNumberFormat="1" applyFont="1" applyFill="1" applyBorder="1"/>
    <xf numFmtId="6" fontId="0" fillId="5" borderId="0" xfId="0" applyNumberFormat="1" applyFill="1" applyAlignment="1">
      <alignment horizontal="right" wrapText="1"/>
    </xf>
    <xf numFmtId="6" fontId="6" fillId="5" borderId="34" xfId="0" applyNumberFormat="1" applyFont="1" applyFill="1" applyBorder="1" applyAlignment="1">
      <alignment horizontal="right" wrapText="1"/>
    </xf>
    <xf numFmtId="0" fontId="0" fillId="5" borderId="38" xfId="0" applyFill="1" applyBorder="1"/>
    <xf numFmtId="0" fontId="0" fillId="5" borderId="21" xfId="0" applyFill="1" applyBorder="1"/>
    <xf numFmtId="6" fontId="0" fillId="5" borderId="21" xfId="0" applyNumberFormat="1" applyFill="1" applyBorder="1" applyAlignment="1">
      <alignment horizontal="right" wrapText="1"/>
    </xf>
    <xf numFmtId="0" fontId="17" fillId="5" borderId="22" xfId="0" applyFont="1" applyFill="1" applyBorder="1"/>
    <xf numFmtId="0" fontId="6" fillId="3" borderId="1" xfId="0" applyFont="1" applyFill="1" applyBorder="1"/>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xf>
    <xf numFmtId="44" fontId="6" fillId="3" borderId="11" xfId="1" applyFont="1" applyFill="1" applyBorder="1"/>
    <xf numFmtId="44" fontId="6" fillId="0" borderId="11" xfId="1" applyFont="1" applyBorder="1"/>
    <xf numFmtId="44" fontId="6" fillId="0" borderId="1" xfId="1" applyFont="1" applyBorder="1"/>
    <xf numFmtId="167" fontId="6" fillId="0" borderId="1" xfId="1" applyNumberFormat="1" applyFont="1" applyBorder="1"/>
    <xf numFmtId="167" fontId="6" fillId="3" borderId="1" xfId="1" applyNumberFormat="1" applyFont="1" applyFill="1" applyBorder="1"/>
    <xf numFmtId="0" fontId="0" fillId="11" borderId="0" xfId="0" applyFill="1" applyAlignment="1">
      <alignment horizontal="center" vertical="center" wrapText="1"/>
    </xf>
    <xf numFmtId="0" fontId="2" fillId="3"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9" borderId="10"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2" fillId="6" borderId="11" xfId="0" applyFont="1" applyFill="1" applyBorder="1" applyAlignment="1">
      <alignment horizontal="left"/>
    </xf>
    <xf numFmtId="0" fontId="2" fillId="6" borderId="12" xfId="0" applyFont="1" applyFill="1" applyBorder="1" applyAlignment="1">
      <alignment horizontal="left"/>
    </xf>
    <xf numFmtId="0" fontId="2" fillId="6" borderId="13" xfId="0" applyFont="1" applyFill="1" applyBorder="1" applyAlignment="1">
      <alignment horizontal="left"/>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2" fillId="6" borderId="11" xfId="0" applyFont="1" applyFill="1" applyBorder="1" applyAlignment="1">
      <alignment horizontal="center"/>
    </xf>
    <xf numFmtId="0" fontId="2" fillId="6" borderId="12"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2" fillId="11" borderId="0" xfId="0" applyFont="1" applyFill="1" applyAlignment="1">
      <alignment horizontal="center" vertical="center" wrapText="1"/>
    </xf>
    <xf numFmtId="44" fontId="0" fillId="5" borderId="29" xfId="0" applyNumberFormat="1" applyFill="1" applyBorder="1" applyAlignment="1">
      <alignment horizontal="center" wrapText="1"/>
    </xf>
    <xf numFmtId="6" fontId="0" fillId="5" borderId="29" xfId="0" applyNumberFormat="1" applyFill="1" applyBorder="1" applyAlignment="1">
      <alignment horizontal="center" wrapText="1"/>
    </xf>
    <xf numFmtId="0" fontId="0" fillId="5" borderId="35" xfId="0" applyFill="1" applyBorder="1" applyAlignment="1">
      <alignment horizontal="center" vertical="center" wrapText="1"/>
    </xf>
    <xf numFmtId="0" fontId="0" fillId="5" borderId="36" xfId="0" applyFill="1" applyBorder="1" applyAlignment="1">
      <alignment horizontal="center" vertical="center" wrapText="1"/>
    </xf>
    <xf numFmtId="0" fontId="15" fillId="5" borderId="31" xfId="0" applyFont="1" applyFill="1" applyBorder="1" applyAlignment="1">
      <alignment horizontal="center" vertical="center"/>
    </xf>
    <xf numFmtId="0" fontId="15" fillId="5" borderId="33" xfId="0" applyFont="1" applyFill="1" applyBorder="1" applyAlignment="1">
      <alignment horizontal="center" vertical="center"/>
    </xf>
    <xf numFmtId="0" fontId="0" fillId="5" borderId="37" xfId="0" applyFill="1" applyBorder="1" applyAlignment="1">
      <alignment horizontal="center" vertical="center" wrapText="1"/>
    </xf>
    <xf numFmtId="0" fontId="18" fillId="5" borderId="35" xfId="0" applyFont="1" applyFill="1" applyBorder="1" applyAlignment="1">
      <alignment horizontal="center" vertical="center" wrapText="1"/>
    </xf>
    <xf numFmtId="0" fontId="18" fillId="5" borderId="36" xfId="0" applyFont="1" applyFill="1" applyBorder="1" applyAlignment="1">
      <alignment horizontal="center" vertical="center" wrapText="1"/>
    </xf>
    <xf numFmtId="0" fontId="15" fillId="5" borderId="35" xfId="0" applyFont="1" applyFill="1" applyBorder="1" applyAlignment="1">
      <alignment horizontal="center" vertical="center"/>
    </xf>
    <xf numFmtId="0" fontId="15" fillId="5" borderId="37" xfId="0" applyFont="1" applyFill="1" applyBorder="1" applyAlignment="1">
      <alignment horizontal="center" vertical="center"/>
    </xf>
    <xf numFmtId="0" fontId="0" fillId="5" borderId="31" xfId="0" applyFill="1" applyBorder="1" applyAlignment="1">
      <alignment horizontal="left" vertical="center" wrapText="1"/>
    </xf>
    <xf numFmtId="0" fontId="0" fillId="5" borderId="29" xfId="0" applyFill="1" applyBorder="1" applyAlignment="1">
      <alignment horizontal="left" vertical="center" wrapText="1"/>
    </xf>
    <xf numFmtId="0" fontId="0" fillId="5" borderId="32" xfId="0" applyFill="1" applyBorder="1" applyAlignment="1">
      <alignment horizontal="left" vertical="center" wrapText="1"/>
    </xf>
    <xf numFmtId="0" fontId="0" fillId="5" borderId="33" xfId="0" applyFill="1" applyBorder="1" applyAlignment="1">
      <alignment horizontal="left" vertical="center" wrapText="1"/>
    </xf>
    <xf numFmtId="0" fontId="0" fillId="5" borderId="0" xfId="0" applyFill="1" applyAlignment="1">
      <alignment horizontal="left" vertical="center" wrapText="1"/>
    </xf>
    <xf numFmtId="0" fontId="0" fillId="5" borderId="34" xfId="0" applyFill="1" applyBorder="1" applyAlignment="1">
      <alignment horizontal="left" vertical="center" wrapText="1"/>
    </xf>
    <xf numFmtId="0" fontId="0" fillId="5" borderId="38" xfId="0" applyFill="1" applyBorder="1" applyAlignment="1">
      <alignment horizontal="left" vertical="center" wrapText="1"/>
    </xf>
    <xf numFmtId="0" fontId="0" fillId="5" borderId="21" xfId="0" applyFill="1" applyBorder="1" applyAlignment="1">
      <alignment horizontal="left" vertical="center" wrapText="1"/>
    </xf>
    <xf numFmtId="0" fontId="0" fillId="5" borderId="22" xfId="0" applyFill="1" applyBorder="1" applyAlignment="1">
      <alignment horizontal="left" vertical="center" wrapText="1"/>
    </xf>
    <xf numFmtId="0" fontId="0" fillId="5" borderId="31" xfId="0" applyFill="1" applyBorder="1" applyAlignment="1">
      <alignment horizontal="center" vertical="center"/>
    </xf>
    <xf numFmtId="0" fontId="0" fillId="5" borderId="33" xfId="0" applyFill="1" applyBorder="1" applyAlignment="1">
      <alignment horizontal="center" vertical="center"/>
    </xf>
    <xf numFmtId="0" fontId="15" fillId="5" borderId="36" xfId="0" applyFont="1" applyFill="1" applyBorder="1" applyAlignment="1">
      <alignment horizontal="center" vertical="center"/>
    </xf>
    <xf numFmtId="0" fontId="2" fillId="11" borderId="31" xfId="0" applyFont="1" applyFill="1" applyBorder="1" applyAlignment="1">
      <alignment horizontal="center" vertical="center" wrapText="1"/>
    </xf>
    <xf numFmtId="0" fontId="2" fillId="11" borderId="33" xfId="0" applyFont="1" applyFill="1" applyBorder="1" applyAlignment="1">
      <alignment horizontal="center" vertical="center" wrapText="1"/>
    </xf>
    <xf numFmtId="0" fontId="2" fillId="11" borderId="38" xfId="0" applyFont="1" applyFill="1" applyBorder="1" applyAlignment="1">
      <alignment horizontal="center" vertical="center" wrapText="1"/>
    </xf>
    <xf numFmtId="168" fontId="2" fillId="11" borderId="32" xfId="0" applyNumberFormat="1" applyFont="1" applyFill="1" applyBorder="1" applyAlignment="1">
      <alignment horizontal="center" vertical="center"/>
    </xf>
    <xf numFmtId="0" fontId="2" fillId="11" borderId="34" xfId="0" applyFont="1" applyFill="1" applyBorder="1" applyAlignment="1">
      <alignment horizontal="center" vertical="center"/>
    </xf>
    <xf numFmtId="0" fontId="2" fillId="11" borderId="22"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44" fontId="19" fillId="3" borderId="1" xfId="1"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76200</xdr:rowOff>
    </xdr:from>
    <xdr:to>
      <xdr:col>0</xdr:col>
      <xdr:colOff>2190750</xdr:colOff>
      <xdr:row>3</xdr:row>
      <xdr:rowOff>333375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0"/>
          <a:ext cx="2162175" cy="838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0"/>
  <sheetViews>
    <sheetView tabSelected="1" topLeftCell="A49" workbookViewId="0">
      <selection activeCell="A55" sqref="A55:XFD55"/>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5.6640625" customWidth="1"/>
    <col min="6" max="6" width="13" bestFit="1" customWidth="1"/>
    <col min="7" max="7" width="15.88671875" customWidth="1"/>
    <col min="8" max="8" width="14.88671875" customWidth="1"/>
    <col min="9" max="9" width="13" bestFit="1" customWidth="1"/>
    <col min="10" max="10" width="14.5546875" bestFit="1" customWidth="1"/>
    <col min="12" max="12" width="18" customWidth="1"/>
    <col min="13" max="13" width="18.33203125" customWidth="1"/>
  </cols>
  <sheetData>
    <row r="1" spans="1:5" ht="15" thickBot="1" x14ac:dyDescent="0.35">
      <c r="A1" s="8"/>
      <c r="B1" s="96" t="s">
        <v>118</v>
      </c>
      <c r="C1" s="8"/>
      <c r="D1" s="8"/>
      <c r="E1" s="8"/>
    </row>
    <row r="2" spans="1:5" x14ac:dyDescent="0.3">
      <c r="A2" s="63"/>
      <c r="B2" s="64" t="s">
        <v>0</v>
      </c>
      <c r="C2" s="64"/>
      <c r="D2" s="64"/>
      <c r="E2" s="65"/>
    </row>
    <row r="3" spans="1:5" x14ac:dyDescent="0.3">
      <c r="A3" s="66"/>
      <c r="B3" s="67" t="s">
        <v>88</v>
      </c>
      <c r="C3" s="67"/>
      <c r="D3" s="67"/>
      <c r="E3" s="68"/>
    </row>
    <row r="4" spans="1:5" ht="33.75" customHeight="1" thickBot="1" x14ac:dyDescent="0.35">
      <c r="A4" s="66"/>
      <c r="B4" s="67" t="s">
        <v>89</v>
      </c>
      <c r="C4" s="67"/>
      <c r="D4" s="67"/>
      <c r="E4" s="68"/>
    </row>
    <row r="5" spans="1:5" ht="15" thickBot="1" x14ac:dyDescent="0.35">
      <c r="A5" s="69" t="s">
        <v>1</v>
      </c>
      <c r="B5" s="70" t="s">
        <v>170</v>
      </c>
      <c r="C5" s="70" t="s">
        <v>169</v>
      </c>
      <c r="D5" s="70"/>
      <c r="E5" s="71"/>
    </row>
    <row r="6" spans="1:5" ht="15" thickBot="1" x14ac:dyDescent="0.35">
      <c r="A6" s="66" t="s">
        <v>99</v>
      </c>
      <c r="B6" s="67"/>
      <c r="C6" s="67"/>
      <c r="D6" s="67"/>
      <c r="E6" s="68"/>
    </row>
    <row r="7" spans="1:5" ht="15" thickBot="1" x14ac:dyDescent="0.35">
      <c r="A7" s="69" t="s">
        <v>98</v>
      </c>
      <c r="B7" s="70"/>
      <c r="C7" s="70"/>
      <c r="D7" s="70"/>
      <c r="E7" s="71"/>
    </row>
    <row r="9" spans="1:5" hidden="1" x14ac:dyDescent="0.3"/>
    <row r="10" spans="1:5" hidden="1" x14ac:dyDescent="0.3"/>
    <row r="11" spans="1:5" hidden="1" x14ac:dyDescent="0.3"/>
    <row r="12" spans="1:5" hidden="1" x14ac:dyDescent="0.3"/>
    <row r="14" spans="1:5" x14ac:dyDescent="0.3">
      <c r="B14" s="200" t="s">
        <v>134</v>
      </c>
      <c r="C14" s="201"/>
      <c r="D14" s="202"/>
    </row>
    <row r="15" spans="1:5" x14ac:dyDescent="0.3">
      <c r="B15" s="203"/>
      <c r="C15" s="204"/>
      <c r="D15" s="205"/>
    </row>
    <row r="16" spans="1:5" x14ac:dyDescent="0.3">
      <c r="B16" s="203"/>
      <c r="C16" s="204"/>
      <c r="D16" s="205"/>
    </row>
    <row r="17" spans="1:8" x14ac:dyDescent="0.3">
      <c r="B17" s="206"/>
      <c r="C17" s="207"/>
      <c r="D17" s="208"/>
    </row>
    <row r="19" spans="1:8" x14ac:dyDescent="0.3">
      <c r="A19" s="3"/>
    </row>
    <row r="20" spans="1:8" ht="15" thickBot="1" x14ac:dyDescent="0.35"/>
    <row r="21" spans="1:8" ht="15" thickBot="1" x14ac:dyDescent="0.35">
      <c r="A21" s="60" t="s">
        <v>86</v>
      </c>
      <c r="B21" s="61"/>
      <c r="C21" s="62"/>
      <c r="D21" s="58"/>
      <c r="E21" s="171" t="s">
        <v>121</v>
      </c>
      <c r="F21" s="172" t="s">
        <v>87</v>
      </c>
    </row>
    <row r="22" spans="1:8" x14ac:dyDescent="0.3">
      <c r="A22" s="119" t="s">
        <v>141</v>
      </c>
      <c r="B22" s="7" t="s">
        <v>171</v>
      </c>
      <c r="C22" s="7"/>
      <c r="D22" s="125"/>
      <c r="E22" s="170"/>
      <c r="F22" s="170"/>
    </row>
    <row r="23" spans="1:8" x14ac:dyDescent="0.3">
      <c r="A23" s="119" t="s">
        <v>126</v>
      </c>
      <c r="B23" s="7"/>
      <c r="C23" s="7"/>
      <c r="D23" s="193">
        <v>1512458.96</v>
      </c>
      <c r="E23" s="129">
        <f>D23*91.91%</f>
        <v>1390101.0301359999</v>
      </c>
      <c r="F23" s="129">
        <f>D23*8.09%</f>
        <v>122357.92986399999</v>
      </c>
    </row>
    <row r="24" spans="1:8" x14ac:dyDescent="0.3">
      <c r="A24" s="119" t="s">
        <v>2</v>
      </c>
      <c r="B24" s="7"/>
      <c r="C24" s="7"/>
      <c r="D24" s="193">
        <v>-328959.83</v>
      </c>
      <c r="E24" s="129">
        <f t="shared" ref="E24:E26" si="0">D24*91.91%</f>
        <v>-302346.97975299996</v>
      </c>
      <c r="F24" s="129">
        <f t="shared" ref="F24:F26" si="1">D24*8.09%</f>
        <v>-26612.850247000002</v>
      </c>
      <c r="G24" s="107"/>
    </row>
    <row r="25" spans="1:8" x14ac:dyDescent="0.3">
      <c r="A25" s="119" t="s">
        <v>112</v>
      </c>
      <c r="B25" s="7"/>
      <c r="C25" s="7"/>
      <c r="D25" s="193">
        <v>0.87</v>
      </c>
      <c r="E25" s="129">
        <f t="shared" si="0"/>
        <v>0.79961699999999991</v>
      </c>
      <c r="F25" s="129">
        <f t="shared" si="1"/>
        <v>7.0383000000000001E-2</v>
      </c>
    </row>
    <row r="26" spans="1:8" x14ac:dyDescent="0.3">
      <c r="A26" s="119" t="s">
        <v>109</v>
      </c>
      <c r="B26" s="7"/>
      <c r="C26" s="7"/>
      <c r="D26" s="193">
        <f>695568</f>
        <v>695568</v>
      </c>
      <c r="E26" s="129">
        <f t="shared" si="0"/>
        <v>639296.54879999999</v>
      </c>
      <c r="F26" s="129">
        <f t="shared" si="1"/>
        <v>56271.451200000003</v>
      </c>
    </row>
    <row r="27" spans="1:8" x14ac:dyDescent="0.3">
      <c r="A27" s="94" t="s">
        <v>3</v>
      </c>
      <c r="B27" s="94"/>
      <c r="C27" s="94"/>
      <c r="D27" s="106">
        <f>SUM(D23:D26)</f>
        <v>1879068</v>
      </c>
      <c r="E27" s="106">
        <f>SUM(E23:E26)</f>
        <v>1727051.3987999998</v>
      </c>
      <c r="F27" s="106">
        <f>SUM(F23:F26)</f>
        <v>152016.60119999998</v>
      </c>
      <c r="G27" s="107">
        <f>E27+F27</f>
        <v>1879067.9999999998</v>
      </c>
      <c r="H27" s="142" t="str">
        <f>IF(D27=G27, "", "Error")</f>
        <v/>
      </c>
    </row>
    <row r="28" spans="1:8" hidden="1" x14ac:dyDescent="0.3">
      <c r="A28" s="93" t="s">
        <v>109</v>
      </c>
      <c r="B28" s="7"/>
      <c r="C28" s="7"/>
      <c r="D28" s="194">
        <v>0</v>
      </c>
      <c r="E28" s="129">
        <f>D28*91.91%</f>
        <v>0</v>
      </c>
      <c r="F28" s="129">
        <f>D28*8.09%</f>
        <v>0</v>
      </c>
      <c r="H28" s="142"/>
    </row>
    <row r="29" spans="1:8" hidden="1" x14ac:dyDescent="0.3">
      <c r="A29" s="93"/>
      <c r="B29" s="7"/>
      <c r="C29" s="7"/>
      <c r="D29" s="193">
        <v>0</v>
      </c>
      <c r="E29" s="129">
        <f>D29*91.91%</f>
        <v>0</v>
      </c>
      <c r="F29" s="129">
        <f>D29*8.09%</f>
        <v>0</v>
      </c>
      <c r="H29" s="142"/>
    </row>
    <row r="30" spans="1:8" hidden="1" x14ac:dyDescent="0.3">
      <c r="A30" s="93"/>
      <c r="B30" s="7"/>
      <c r="C30" s="7"/>
      <c r="D30" s="193"/>
      <c r="E30" s="7"/>
      <c r="F30" s="7"/>
      <c r="H30" s="142"/>
    </row>
    <row r="31" spans="1:8" hidden="1" x14ac:dyDescent="0.3">
      <c r="A31" s="93"/>
      <c r="B31" s="7"/>
      <c r="C31" s="7"/>
      <c r="D31" s="193"/>
      <c r="E31" s="7"/>
      <c r="F31" s="7"/>
      <c r="H31" s="142"/>
    </row>
    <row r="32" spans="1:8" hidden="1" x14ac:dyDescent="0.3">
      <c r="A32" s="94" t="s">
        <v>117</v>
      </c>
      <c r="B32" s="94"/>
      <c r="C32" s="94"/>
      <c r="D32" s="106">
        <f>SUM(D28:D30)</f>
        <v>0</v>
      </c>
      <c r="E32" s="106">
        <f t="shared" ref="E32:F32" si="2">SUM(E28:E30)</f>
        <v>0</v>
      </c>
      <c r="F32" s="106">
        <f t="shared" si="2"/>
        <v>0</v>
      </c>
      <c r="G32" s="107">
        <f>E32+F32</f>
        <v>0</v>
      </c>
      <c r="H32" s="142" t="str">
        <f>IF(D32=G32, "", "Error")</f>
        <v/>
      </c>
    </row>
    <row r="33" spans="1:8" hidden="1" x14ac:dyDescent="0.3">
      <c r="A33" s="93" t="s">
        <v>109</v>
      </c>
      <c r="B33" s="7"/>
      <c r="C33" s="7"/>
      <c r="D33" s="194"/>
      <c r="E33" s="129">
        <f>D33*91.91%</f>
        <v>0</v>
      </c>
      <c r="F33" s="129">
        <f>D33*8.09%</f>
        <v>0</v>
      </c>
      <c r="H33" s="142"/>
    </row>
    <row r="34" spans="1:8" hidden="1" x14ac:dyDescent="0.3">
      <c r="A34" s="7" t="s">
        <v>130</v>
      </c>
      <c r="B34" s="7"/>
      <c r="C34" s="7"/>
      <c r="D34" s="193"/>
      <c r="E34" s="129">
        <f t="shared" ref="E34:E35" si="3">D34*91.91%</f>
        <v>0</v>
      </c>
      <c r="F34" s="129">
        <f t="shared" ref="F34:F35" si="4">D34*8.09%</f>
        <v>0</v>
      </c>
      <c r="H34" s="142"/>
    </row>
    <row r="35" spans="1:8" hidden="1" x14ac:dyDescent="0.3">
      <c r="A35" s="93" t="s">
        <v>2</v>
      </c>
      <c r="B35" s="7"/>
      <c r="C35" s="7"/>
      <c r="D35" s="193"/>
      <c r="E35" s="129">
        <f t="shared" si="3"/>
        <v>0</v>
      </c>
      <c r="F35" s="129">
        <f t="shared" si="4"/>
        <v>0</v>
      </c>
      <c r="H35" s="142"/>
    </row>
    <row r="36" spans="1:8" hidden="1" x14ac:dyDescent="0.3">
      <c r="A36" s="94" t="s">
        <v>110</v>
      </c>
      <c r="B36" s="94"/>
      <c r="C36" s="94"/>
      <c r="D36" s="106">
        <f>SUM(D29:D35)</f>
        <v>0</v>
      </c>
      <c r="E36" s="106">
        <f t="shared" ref="E36" si="5">SUM(E29:E35)</f>
        <v>0</v>
      </c>
      <c r="F36" s="117">
        <f>E36*8.09%</f>
        <v>0</v>
      </c>
      <c r="H36" s="142"/>
    </row>
    <row r="37" spans="1:8" ht="0.75" hidden="1" customHeight="1" x14ac:dyDescent="0.3">
      <c r="A37" s="124"/>
      <c r="B37" s="97"/>
      <c r="C37" s="97"/>
      <c r="D37" s="193"/>
      <c r="E37" s="118"/>
      <c r="F37" s="118"/>
      <c r="H37" s="142"/>
    </row>
    <row r="38" spans="1:8" hidden="1" x14ac:dyDescent="0.3">
      <c r="A38" s="124"/>
      <c r="B38" s="97"/>
      <c r="C38" s="97"/>
      <c r="D38" s="193"/>
      <c r="E38" s="118"/>
      <c r="F38" s="118"/>
      <c r="H38" s="142"/>
    </row>
    <row r="39" spans="1:8" hidden="1" x14ac:dyDescent="0.3">
      <c r="A39" s="97"/>
      <c r="B39" s="97"/>
      <c r="C39" s="109"/>
      <c r="D39" s="193"/>
      <c r="E39" s="118"/>
      <c r="F39" s="118"/>
      <c r="H39" s="142"/>
    </row>
    <row r="40" spans="1:8" ht="1.5" customHeight="1" x14ac:dyDescent="0.3">
      <c r="A40" s="94" t="s">
        <v>117</v>
      </c>
      <c r="B40" s="94"/>
      <c r="C40" s="94"/>
      <c r="D40" s="106"/>
      <c r="E40" s="110">
        <f>SUM(D37:D39)</f>
        <v>0</v>
      </c>
      <c r="F40" s="108">
        <f>(D37)*8.09%</f>
        <v>0</v>
      </c>
      <c r="H40" s="142"/>
    </row>
    <row r="41" spans="1:8" x14ac:dyDescent="0.3">
      <c r="A41" s="93" t="s">
        <v>161</v>
      </c>
      <c r="B41" s="7"/>
      <c r="C41" s="7"/>
      <c r="D41" s="111">
        <f>100000+12000+180000+105869</f>
        <v>397869</v>
      </c>
      <c r="E41" s="129">
        <f>D41*91.91%</f>
        <v>365681.39789999998</v>
      </c>
      <c r="F41" s="129">
        <f>D41*8.09%</f>
        <v>32187.6021</v>
      </c>
      <c r="H41" s="142"/>
    </row>
    <row r="42" spans="1:8" x14ac:dyDescent="0.3">
      <c r="A42" s="93" t="s">
        <v>168</v>
      </c>
      <c r="B42" s="7"/>
      <c r="C42" s="97"/>
      <c r="D42" s="111">
        <v>4519.75</v>
      </c>
      <c r="E42" s="129">
        <f>D42*91.91%</f>
        <v>4154.1022249999996</v>
      </c>
      <c r="F42" s="129">
        <f>D42*8.09%</f>
        <v>365.64777500000002</v>
      </c>
      <c r="H42" s="142"/>
    </row>
    <row r="43" spans="1:8" ht="15" thickBot="1" x14ac:dyDescent="0.35">
      <c r="A43" s="93"/>
      <c r="B43" s="7"/>
      <c r="C43" s="7"/>
      <c r="D43" s="195"/>
      <c r="E43" s="129">
        <f>D43*91.91%</f>
        <v>0</v>
      </c>
      <c r="F43" s="129">
        <f>D43*8.09%</f>
        <v>0</v>
      </c>
      <c r="H43" s="142"/>
    </row>
    <row r="44" spans="1:8" ht="15" thickBot="1" x14ac:dyDescent="0.35">
      <c r="A44" s="94" t="s">
        <v>127</v>
      </c>
      <c r="B44" s="94"/>
      <c r="C44" s="94"/>
      <c r="D44" s="106">
        <f>SUM(D41:D43)</f>
        <v>402388.75</v>
      </c>
      <c r="E44" s="146">
        <f>SUM(E41:E43)</f>
        <v>369835.50012499996</v>
      </c>
      <c r="F44" s="153">
        <f>SUM(F41:F43)</f>
        <v>32553.249875000001</v>
      </c>
      <c r="G44" s="107">
        <f>E44+F44</f>
        <v>402388.74999999994</v>
      </c>
      <c r="H44" s="142"/>
    </row>
    <row r="45" spans="1:8" x14ac:dyDescent="0.3">
      <c r="A45" s="93" t="s">
        <v>4</v>
      </c>
      <c r="B45" s="7"/>
      <c r="C45" s="7"/>
      <c r="D45" s="195"/>
      <c r="E45" s="112"/>
      <c r="F45" s="99"/>
      <c r="H45" s="142"/>
    </row>
    <row r="46" spans="1:8" x14ac:dyDescent="0.3">
      <c r="A46" s="93" t="s">
        <v>166</v>
      </c>
      <c r="B46" s="7"/>
      <c r="C46" s="97"/>
      <c r="D46" s="111">
        <v>6642</v>
      </c>
      <c r="E46" s="129">
        <f>D46*91.91%</f>
        <v>6104.6621999999998</v>
      </c>
      <c r="F46" s="129">
        <f>D46*8.09%</f>
        <v>537.33780000000002</v>
      </c>
      <c r="H46" s="142"/>
    </row>
    <row r="47" spans="1:8" x14ac:dyDescent="0.3">
      <c r="A47" s="93" t="s">
        <v>5</v>
      </c>
      <c r="B47" s="7" t="s">
        <v>154</v>
      </c>
      <c r="C47" s="7"/>
      <c r="D47" s="260">
        <f>198148.58+12006.81+108061.32</f>
        <v>318216.70999999996</v>
      </c>
      <c r="E47" s="129">
        <f>D47*91.91%</f>
        <v>292472.97816099995</v>
      </c>
      <c r="F47" s="129">
        <f>D47*8.09%</f>
        <v>25743.731838999996</v>
      </c>
      <c r="H47" s="142"/>
    </row>
    <row r="48" spans="1:8" x14ac:dyDescent="0.3">
      <c r="A48" s="93" t="s">
        <v>135</v>
      </c>
      <c r="B48" s="97" t="s">
        <v>173</v>
      </c>
      <c r="C48" s="7"/>
      <c r="D48" s="260">
        <v>1064942.8600000001</v>
      </c>
      <c r="E48" s="129">
        <f>D48*91.91%</f>
        <v>978788.98262599995</v>
      </c>
      <c r="F48" s="129">
        <f>D48*8.09%</f>
        <v>86153.877374000003</v>
      </c>
      <c r="H48" s="142"/>
    </row>
    <row r="49" spans="1:10" x14ac:dyDescent="0.3">
      <c r="A49" s="94" t="s">
        <v>6</v>
      </c>
      <c r="B49" s="95"/>
      <c r="C49" s="95"/>
      <c r="D49" s="106">
        <f>SUM(D46:D48)</f>
        <v>1389801.57</v>
      </c>
      <c r="E49" s="106">
        <f t="shared" ref="E49:F49" si="6">SUM(E46:E48)</f>
        <v>1277366.6229869998</v>
      </c>
      <c r="F49" s="106">
        <f t="shared" si="6"/>
        <v>112434.947013</v>
      </c>
      <c r="G49" s="107">
        <f>E49+F49</f>
        <v>1389801.5699999998</v>
      </c>
      <c r="H49" s="142" t="str">
        <f>IF(D49=G49, "", "Error")</f>
        <v/>
      </c>
    </row>
    <row r="50" spans="1:10" x14ac:dyDescent="0.3">
      <c r="A50" s="7" t="s">
        <v>7</v>
      </c>
      <c r="B50" s="7"/>
      <c r="C50" s="7"/>
      <c r="D50" s="195"/>
      <c r="E50" s="113"/>
      <c r="F50" s="7"/>
      <c r="H50" s="142"/>
    </row>
    <row r="51" spans="1:10" ht="16.5" customHeight="1" x14ac:dyDescent="0.3">
      <c r="A51" s="166" t="s">
        <v>137</v>
      </c>
      <c r="B51" s="158"/>
      <c r="C51" s="159"/>
      <c r="D51" s="260">
        <v>434000</v>
      </c>
      <c r="E51" s="141">
        <f>D51</f>
        <v>434000</v>
      </c>
      <c r="F51" s="7"/>
      <c r="G51" s="107">
        <f>D51</f>
        <v>434000</v>
      </c>
      <c r="H51" s="148">
        <f>E51+F51</f>
        <v>434000</v>
      </c>
      <c r="I51" s="160">
        <f>H51-D51</f>
        <v>0</v>
      </c>
      <c r="J51" s="160"/>
    </row>
    <row r="52" spans="1:10" ht="16.5" customHeight="1" x14ac:dyDescent="0.3">
      <c r="A52" s="166" t="s">
        <v>174</v>
      </c>
      <c r="B52" s="158"/>
      <c r="C52" s="159"/>
      <c r="D52" s="260">
        <v>16000</v>
      </c>
      <c r="E52" s="141">
        <f>D52</f>
        <v>16000</v>
      </c>
      <c r="F52" s="7"/>
      <c r="G52" s="107">
        <f>D52</f>
        <v>16000</v>
      </c>
      <c r="H52" s="148">
        <f>E52+F52</f>
        <v>16000</v>
      </c>
      <c r="I52" s="160"/>
      <c r="J52" s="160"/>
    </row>
    <row r="53" spans="1:10" ht="14.25" customHeight="1" x14ac:dyDescent="0.3">
      <c r="A53" s="119" t="s">
        <v>8</v>
      </c>
      <c r="B53" s="149"/>
      <c r="C53" s="7"/>
      <c r="D53" s="111">
        <v>0</v>
      </c>
      <c r="E53" s="141">
        <f t="shared" ref="E53:E58" si="7">D53*91.91%</f>
        <v>0</v>
      </c>
      <c r="F53" s="129">
        <f t="shared" ref="F53:F58" si="8">D53*8.09%</f>
        <v>0</v>
      </c>
      <c r="G53" s="107">
        <f t="shared" ref="G53:G65" si="9">D53</f>
        <v>0</v>
      </c>
      <c r="H53" s="148">
        <f t="shared" ref="H53:H65" si="10">E53+F53</f>
        <v>0</v>
      </c>
      <c r="I53" s="160"/>
      <c r="J53" s="160"/>
    </row>
    <row r="54" spans="1:10" x14ac:dyDescent="0.3">
      <c r="A54" s="93" t="s">
        <v>152</v>
      </c>
      <c r="B54" s="7"/>
      <c r="C54" s="7"/>
      <c r="D54" s="260">
        <v>175450</v>
      </c>
      <c r="E54" s="141">
        <f t="shared" si="7"/>
        <v>161256.09499999997</v>
      </c>
      <c r="F54" s="129">
        <f t="shared" si="8"/>
        <v>14193.905000000001</v>
      </c>
      <c r="G54" s="107">
        <f t="shared" si="9"/>
        <v>175450</v>
      </c>
      <c r="H54" s="148">
        <f t="shared" si="10"/>
        <v>175449.99999999997</v>
      </c>
      <c r="I54" s="160">
        <f t="shared" ref="I54:I64" si="11">H54-D54</f>
        <v>0</v>
      </c>
      <c r="J54" s="160">
        <f t="shared" ref="J54:J64" si="12">G54-D54</f>
        <v>0</v>
      </c>
    </row>
    <row r="55" spans="1:10" x14ac:dyDescent="0.3">
      <c r="A55" s="93" t="s">
        <v>9</v>
      </c>
      <c r="B55" s="7" t="s">
        <v>155</v>
      </c>
      <c r="C55" s="7"/>
      <c r="D55" s="111">
        <v>129320</v>
      </c>
      <c r="E55" s="141">
        <f>D55*91.91%</f>
        <v>118858.01199999999</v>
      </c>
      <c r="F55" s="129">
        <f t="shared" si="8"/>
        <v>10461.987999999999</v>
      </c>
      <c r="G55" s="107">
        <f t="shared" si="9"/>
        <v>129320</v>
      </c>
      <c r="H55" s="148">
        <f>E55+F55</f>
        <v>129319.99999999999</v>
      </c>
      <c r="I55" s="160">
        <f t="shared" si="11"/>
        <v>0</v>
      </c>
      <c r="J55" s="160">
        <f t="shared" si="12"/>
        <v>0</v>
      </c>
    </row>
    <row r="56" spans="1:10" x14ac:dyDescent="0.3">
      <c r="A56" s="93" t="s">
        <v>11</v>
      </c>
      <c r="B56" s="97" t="s">
        <v>156</v>
      </c>
      <c r="C56" s="7"/>
      <c r="D56" s="111">
        <v>632643.17000000004</v>
      </c>
      <c r="E56" s="141">
        <f t="shared" si="7"/>
        <v>581462.33754700003</v>
      </c>
      <c r="F56" s="129">
        <f t="shared" si="8"/>
        <v>51180.832453000003</v>
      </c>
      <c r="G56" s="107">
        <f t="shared" si="9"/>
        <v>632643.17000000004</v>
      </c>
      <c r="H56" s="148">
        <f t="shared" si="10"/>
        <v>632643.17000000004</v>
      </c>
      <c r="I56" s="160">
        <f t="shared" si="11"/>
        <v>0</v>
      </c>
      <c r="J56" s="160">
        <f t="shared" si="12"/>
        <v>0</v>
      </c>
    </row>
    <row r="57" spans="1:10" x14ac:dyDescent="0.3">
      <c r="A57" s="93" t="s">
        <v>11</v>
      </c>
      <c r="B57" s="97" t="s">
        <v>158</v>
      </c>
      <c r="C57" s="7"/>
      <c r="D57" s="111">
        <v>632643.17000000004</v>
      </c>
      <c r="E57" s="141">
        <f t="shared" si="7"/>
        <v>581462.33754700003</v>
      </c>
      <c r="F57" s="129">
        <f t="shared" si="8"/>
        <v>51180.832453000003</v>
      </c>
      <c r="G57" s="107"/>
      <c r="H57" s="148"/>
      <c r="I57" s="160"/>
      <c r="J57" s="160"/>
    </row>
    <row r="58" spans="1:10" x14ac:dyDescent="0.3">
      <c r="A58" s="124" t="s">
        <v>10</v>
      </c>
      <c r="B58" s="97" t="s">
        <v>160</v>
      </c>
      <c r="C58" s="97"/>
      <c r="D58" s="111">
        <v>1080005.93</v>
      </c>
      <c r="E58" s="141">
        <f t="shared" si="7"/>
        <v>992633.45026299986</v>
      </c>
      <c r="F58" s="129">
        <f t="shared" si="8"/>
        <v>87372.479737000001</v>
      </c>
      <c r="G58" s="107">
        <f t="shared" si="9"/>
        <v>1080005.93</v>
      </c>
      <c r="H58" s="148">
        <f t="shared" si="10"/>
        <v>1080005.93</v>
      </c>
      <c r="I58" s="160">
        <f t="shared" si="11"/>
        <v>0</v>
      </c>
      <c r="J58" s="160">
        <f t="shared" si="12"/>
        <v>0</v>
      </c>
    </row>
    <row r="59" spans="1:10" x14ac:dyDescent="0.3">
      <c r="A59" s="217" t="s">
        <v>159</v>
      </c>
      <c r="B59" s="218"/>
      <c r="C59" s="219"/>
      <c r="D59" s="111">
        <v>53400</v>
      </c>
      <c r="E59" s="141">
        <f t="shared" ref="E59:E60" si="13">D59</f>
        <v>53400</v>
      </c>
      <c r="F59" s="129"/>
      <c r="G59" s="107">
        <f t="shared" si="9"/>
        <v>53400</v>
      </c>
      <c r="H59" s="148">
        <f t="shared" si="10"/>
        <v>53400</v>
      </c>
      <c r="I59" s="160">
        <f t="shared" si="11"/>
        <v>0</v>
      </c>
      <c r="J59" s="160">
        <f t="shared" si="12"/>
        <v>0</v>
      </c>
    </row>
    <row r="60" spans="1:10" x14ac:dyDescent="0.3">
      <c r="A60" s="192" t="s">
        <v>164</v>
      </c>
      <c r="B60" s="190"/>
      <c r="C60" s="191"/>
      <c r="D60" s="111">
        <v>180000</v>
      </c>
      <c r="E60" s="141">
        <f t="shared" si="13"/>
        <v>180000</v>
      </c>
      <c r="F60" s="129"/>
      <c r="G60" s="107">
        <f t="shared" si="9"/>
        <v>180000</v>
      </c>
      <c r="H60" s="148">
        <f t="shared" si="10"/>
        <v>180000</v>
      </c>
      <c r="I60" s="160">
        <f t="shared" si="11"/>
        <v>0</v>
      </c>
      <c r="J60" s="160">
        <f t="shared" si="12"/>
        <v>0</v>
      </c>
    </row>
    <row r="61" spans="1:10" x14ac:dyDescent="0.3">
      <c r="A61" s="189" t="s">
        <v>162</v>
      </c>
      <c r="B61" s="97"/>
      <c r="C61" s="97"/>
      <c r="D61" s="111">
        <v>90000</v>
      </c>
      <c r="E61" s="141">
        <f t="shared" ref="E61:E64" si="14">D61</f>
        <v>90000</v>
      </c>
      <c r="F61" s="129"/>
      <c r="G61" s="107">
        <f t="shared" si="9"/>
        <v>90000</v>
      </c>
      <c r="H61" s="148">
        <f t="shared" si="10"/>
        <v>90000</v>
      </c>
      <c r="I61" s="160"/>
      <c r="J61" s="160"/>
    </row>
    <row r="62" spans="1:10" x14ac:dyDescent="0.3">
      <c r="A62" s="124" t="s">
        <v>163</v>
      </c>
      <c r="B62" s="97"/>
      <c r="C62" s="97"/>
      <c r="D62" s="111">
        <f>105869</f>
        <v>105869</v>
      </c>
      <c r="E62" s="141">
        <f t="shared" ref="E62" si="15">D62*91.91%</f>
        <v>97304.197899999985</v>
      </c>
      <c r="F62" s="129">
        <f t="shared" ref="F62" si="16">D62*8.09%</f>
        <v>8564.8021000000008</v>
      </c>
      <c r="G62" s="107">
        <f t="shared" si="9"/>
        <v>105869</v>
      </c>
      <c r="H62" s="148"/>
      <c r="I62" s="160"/>
      <c r="J62" s="160"/>
    </row>
    <row r="63" spans="1:10" x14ac:dyDescent="0.3">
      <c r="A63" s="97" t="s">
        <v>163</v>
      </c>
      <c r="B63" s="97"/>
      <c r="C63" s="97"/>
      <c r="D63" s="111">
        <v>64963</v>
      </c>
      <c r="E63" s="141">
        <f t="shared" si="14"/>
        <v>64963</v>
      </c>
      <c r="F63" s="129"/>
      <c r="G63" s="107"/>
      <c r="H63" s="148"/>
      <c r="I63" s="160"/>
      <c r="J63" s="160"/>
    </row>
    <row r="64" spans="1:10" ht="14.25" customHeight="1" x14ac:dyDescent="0.3">
      <c r="A64" s="7" t="s">
        <v>119</v>
      </c>
      <c r="B64" s="7"/>
      <c r="C64" s="7"/>
      <c r="D64" s="111">
        <v>90325</v>
      </c>
      <c r="E64" s="141">
        <f t="shared" si="14"/>
        <v>90325</v>
      </c>
      <c r="F64" s="129"/>
      <c r="G64" s="107">
        <f t="shared" si="9"/>
        <v>90325</v>
      </c>
      <c r="H64" s="148">
        <f t="shared" si="10"/>
        <v>90325</v>
      </c>
      <c r="I64" s="160">
        <f t="shared" si="11"/>
        <v>0</v>
      </c>
      <c r="J64" s="160">
        <f t="shared" si="12"/>
        <v>0</v>
      </c>
    </row>
    <row r="65" spans="1:10" ht="13.5" customHeight="1" x14ac:dyDescent="0.3">
      <c r="A65" s="223" t="s">
        <v>157</v>
      </c>
      <c r="B65" s="224"/>
      <c r="C65" s="225"/>
      <c r="D65" s="111">
        <v>1056623.9099999999</v>
      </c>
      <c r="E65" s="141">
        <f t="shared" ref="E65" si="17">D65*91.91%</f>
        <v>971143.03568099986</v>
      </c>
      <c r="F65" s="129">
        <f t="shared" ref="F65" si="18">D65*8.09%</f>
        <v>85480.874318999995</v>
      </c>
      <c r="G65" s="107">
        <f t="shared" si="9"/>
        <v>1056623.9099999999</v>
      </c>
      <c r="H65" s="148">
        <f t="shared" si="10"/>
        <v>1056623.9099999999</v>
      </c>
      <c r="I65" s="160"/>
      <c r="J65" s="160"/>
    </row>
    <row r="66" spans="1:10" x14ac:dyDescent="0.3">
      <c r="A66" s="94" t="s">
        <v>12</v>
      </c>
      <c r="B66" s="95"/>
      <c r="C66" s="95"/>
      <c r="D66" s="106">
        <f>SUM(D51:D65)</f>
        <v>4741243.18</v>
      </c>
      <c r="E66" s="106">
        <f>SUM(E51:E65)</f>
        <v>4432807.465938</v>
      </c>
      <c r="F66" s="106">
        <f>SUM(F51:F65)</f>
        <v>308435.71406200004</v>
      </c>
      <c r="G66" s="107">
        <f>E66+F66</f>
        <v>4741243.18</v>
      </c>
      <c r="H66" s="142" t="str">
        <f>IF(D66=G66, "", "Error")</f>
        <v/>
      </c>
      <c r="I66" s="160">
        <f>D66-G66</f>
        <v>0</v>
      </c>
    </row>
    <row r="67" spans="1:10" hidden="1" x14ac:dyDescent="0.3">
      <c r="A67" s="7"/>
      <c r="B67" s="7"/>
      <c r="C67" s="7"/>
      <c r="D67" s="195"/>
      <c r="E67" s="113"/>
      <c r="F67" s="7"/>
      <c r="H67" s="142"/>
    </row>
    <row r="68" spans="1:10" hidden="1" x14ac:dyDescent="0.3">
      <c r="A68" s="7"/>
      <c r="B68" s="7"/>
      <c r="C68" s="7"/>
      <c r="D68" s="195"/>
      <c r="E68" s="112"/>
      <c r="F68" s="7"/>
      <c r="H68" s="142"/>
    </row>
    <row r="69" spans="1:10" hidden="1" x14ac:dyDescent="0.3">
      <c r="A69" s="7"/>
      <c r="B69" s="7"/>
      <c r="C69" s="7"/>
      <c r="D69" s="195"/>
      <c r="E69" s="112"/>
      <c r="F69" s="7"/>
      <c r="H69" s="142"/>
    </row>
    <row r="70" spans="1:10" x14ac:dyDescent="0.3">
      <c r="A70" s="93" t="s">
        <v>140</v>
      </c>
      <c r="B70" s="97"/>
      <c r="C70" s="7"/>
      <c r="D70" s="260">
        <v>230700</v>
      </c>
      <c r="E70" s="141">
        <f>D70*91.91%</f>
        <v>212036.37</v>
      </c>
      <c r="F70" s="129">
        <f>D70*8.09%</f>
        <v>18663.63</v>
      </c>
      <c r="G70" s="147"/>
      <c r="H70" s="142"/>
    </row>
    <row r="71" spans="1:10" x14ac:dyDescent="0.3">
      <c r="A71" s="124" t="s">
        <v>165</v>
      </c>
      <c r="B71" s="7"/>
      <c r="C71" s="7"/>
      <c r="D71" s="111">
        <v>30097.79</v>
      </c>
      <c r="E71" s="141">
        <f>D71*91.91%</f>
        <v>27662.878788999999</v>
      </c>
      <c r="F71" s="129">
        <f>D71*8.09%</f>
        <v>2434.9112110000001</v>
      </c>
      <c r="H71" s="142"/>
      <c r="I71" s="107"/>
    </row>
    <row r="72" spans="1:10" ht="13.5" customHeight="1" x14ac:dyDescent="0.3">
      <c r="A72" s="94" t="s">
        <v>16</v>
      </c>
      <c r="B72" s="94"/>
      <c r="C72" s="94"/>
      <c r="D72" s="106">
        <f>SUM(D70:D71)</f>
        <v>260797.79</v>
      </c>
      <c r="E72" s="106">
        <f>SUM(E70:E71)</f>
        <v>239699.248789</v>
      </c>
      <c r="F72" s="106">
        <f>SUM(F70:F71)</f>
        <v>21098.541211</v>
      </c>
      <c r="G72" s="107">
        <f>E72+F72</f>
        <v>260797.79</v>
      </c>
      <c r="H72" s="142" t="str">
        <f>IF(D72=G72, "", "Error")</f>
        <v/>
      </c>
      <c r="J72" s="107"/>
    </row>
    <row r="73" spans="1:10" hidden="1" x14ac:dyDescent="0.3">
      <c r="A73" s="7"/>
      <c r="B73" s="7"/>
      <c r="C73" s="7"/>
      <c r="D73" s="195"/>
      <c r="E73" s="113"/>
      <c r="F73" s="7"/>
      <c r="H73" s="142"/>
    </row>
    <row r="74" spans="1:10" hidden="1" x14ac:dyDescent="0.3">
      <c r="A74" s="7"/>
      <c r="B74" s="7"/>
      <c r="C74" s="7"/>
      <c r="D74" s="195"/>
      <c r="E74" s="112"/>
      <c r="F74" s="7"/>
      <c r="H74" s="142"/>
    </row>
    <row r="75" spans="1:10" x14ac:dyDescent="0.3">
      <c r="A75" s="93" t="s">
        <v>13</v>
      </c>
      <c r="B75" s="7"/>
      <c r="C75" s="7"/>
      <c r="D75" s="195"/>
      <c r="E75" s="112"/>
      <c r="F75" s="7"/>
      <c r="H75" s="142"/>
    </row>
    <row r="76" spans="1:10" ht="14.25" customHeight="1" x14ac:dyDescent="0.3">
      <c r="A76" s="93" t="s">
        <v>14</v>
      </c>
      <c r="B76" s="7" t="s">
        <v>116</v>
      </c>
      <c r="C76" s="7"/>
      <c r="D76" s="111">
        <v>246000</v>
      </c>
      <c r="E76" s="141">
        <f>D76*91.91%</f>
        <v>226098.59999999998</v>
      </c>
      <c r="F76" s="129">
        <f>D76*8.09%</f>
        <v>19901.400000000001</v>
      </c>
      <c r="G76" t="s">
        <v>138</v>
      </c>
      <c r="H76" s="142"/>
    </row>
    <row r="77" spans="1:10" x14ac:dyDescent="0.3">
      <c r="A77" s="93" t="s">
        <v>107</v>
      </c>
      <c r="B77" s="7"/>
      <c r="C77" s="7"/>
      <c r="D77" s="111">
        <v>35000</v>
      </c>
      <c r="E77" s="141">
        <f>D77*91.91%</f>
        <v>32168.499999999996</v>
      </c>
      <c r="F77" s="129">
        <f>D77*8.09%</f>
        <v>2831.5</v>
      </c>
      <c r="H77" s="142"/>
      <c r="J77" s="111"/>
    </row>
    <row r="78" spans="1:10" x14ac:dyDescent="0.3">
      <c r="A78" s="7"/>
      <c r="B78" s="7"/>
      <c r="C78" s="7"/>
      <c r="D78" s="195"/>
      <c r="E78" s="114"/>
      <c r="F78" s="7"/>
      <c r="H78" s="142"/>
      <c r="J78" s="107"/>
    </row>
    <row r="79" spans="1:10" x14ac:dyDescent="0.3">
      <c r="A79" s="94" t="s">
        <v>100</v>
      </c>
      <c r="B79" s="94"/>
      <c r="C79" s="94"/>
      <c r="D79" s="106">
        <f>SUM(D76:D78)</f>
        <v>281000</v>
      </c>
      <c r="E79" s="106">
        <f>SUM(E76:E78)</f>
        <v>258267.09999999998</v>
      </c>
      <c r="F79" s="106">
        <f>SUM(F76:F78)</f>
        <v>22732.9</v>
      </c>
      <c r="G79" s="107">
        <f>E79+F79</f>
        <v>281000</v>
      </c>
      <c r="H79" s="142" t="str">
        <f>IF(D79=G79, "", "Error")</f>
        <v/>
      </c>
      <c r="J79" s="107"/>
    </row>
    <row r="80" spans="1:10" ht="14.25" customHeight="1" x14ac:dyDescent="0.3">
      <c r="A80" s="93" t="s">
        <v>100</v>
      </c>
      <c r="B80" s="7"/>
      <c r="C80" s="7"/>
      <c r="D80" s="111"/>
      <c r="E80" s="115"/>
      <c r="F80" s="7"/>
      <c r="H80" s="142"/>
    </row>
    <row r="81" spans="1:9" x14ac:dyDescent="0.3">
      <c r="A81" s="93" t="s">
        <v>101</v>
      </c>
      <c r="B81" s="7"/>
      <c r="C81" s="7"/>
      <c r="D81" s="111">
        <v>131525.10999999999</v>
      </c>
      <c r="E81" s="141">
        <f>D81*91.91%</f>
        <v>120884.72860099998</v>
      </c>
      <c r="F81" s="129">
        <f>D81*8.09%</f>
        <v>10640.381398999998</v>
      </c>
      <c r="H81" s="142"/>
    </row>
    <row r="82" spans="1:9" x14ac:dyDescent="0.3">
      <c r="A82" s="93" t="s">
        <v>102</v>
      </c>
      <c r="B82" s="7"/>
      <c r="C82" s="120"/>
      <c r="D82" s="111">
        <v>57500</v>
      </c>
      <c r="E82" s="141">
        <f>D82*91.91%</f>
        <v>52848.249999999993</v>
      </c>
      <c r="F82" s="129">
        <f>D82*8.09%</f>
        <v>4651.75</v>
      </c>
      <c r="H82" s="142"/>
    </row>
    <row r="83" spans="1:9" x14ac:dyDescent="0.3">
      <c r="A83" s="94" t="s">
        <v>15</v>
      </c>
      <c r="B83" s="94"/>
      <c r="C83" s="94"/>
      <c r="D83" s="145">
        <f>SUM(D81:D82)</f>
        <v>189025.11</v>
      </c>
      <c r="E83" s="139">
        <f t="shared" ref="E83:F83" si="19">SUM(E81:E82)</f>
        <v>173732.97860099998</v>
      </c>
      <c r="F83" s="139">
        <f t="shared" si="19"/>
        <v>15292.131398999998</v>
      </c>
      <c r="G83" s="107">
        <f>E83+F83</f>
        <v>189025.11</v>
      </c>
      <c r="H83" s="142" t="str">
        <f>IF(D83=G83, "", "Error")</f>
        <v/>
      </c>
    </row>
    <row r="84" spans="1:9" ht="15" thickBot="1" x14ac:dyDescent="0.35">
      <c r="A84" s="7"/>
      <c r="B84" s="7"/>
      <c r="C84" s="7"/>
      <c r="D84" s="163"/>
      <c r="E84" s="11"/>
      <c r="F84" s="7"/>
      <c r="H84" s="142"/>
    </row>
    <row r="85" spans="1:9" ht="15" thickBot="1" x14ac:dyDescent="0.35">
      <c r="A85" s="98" t="s">
        <v>133</v>
      </c>
      <c r="B85" s="98"/>
      <c r="C85" s="98"/>
      <c r="D85" s="164"/>
      <c r="E85" s="116">
        <f>D85*91.91%</f>
        <v>0</v>
      </c>
      <c r="F85" s="131">
        <f>D85*8.09%</f>
        <v>0</v>
      </c>
      <c r="G85" s="107">
        <f>E85+F85</f>
        <v>0</v>
      </c>
      <c r="H85" s="142" t="str">
        <f>IF(D85=G85, "", "Error")</f>
        <v/>
      </c>
    </row>
    <row r="86" spans="1:9" ht="15" thickBot="1" x14ac:dyDescent="0.35">
      <c r="A86" s="1"/>
      <c r="D86" s="162"/>
      <c r="E86" s="2"/>
      <c r="F86" s="9"/>
      <c r="G86" s="144"/>
      <c r="H86" s="142"/>
    </row>
    <row r="87" spans="1:9" ht="15" thickBot="1" x14ac:dyDescent="0.35">
      <c r="A87" s="4" t="s">
        <v>103</v>
      </c>
      <c r="B87" s="59"/>
      <c r="C87" s="5"/>
      <c r="D87" s="165">
        <f>SUM(D85+D83+D79+D72+D66+D49+D32+D27+D44)</f>
        <v>9143324.4000000004</v>
      </c>
      <c r="E87" s="140">
        <f>SUM(E85+E83+E79+E72+E66+E49+E32+E27+E44)</f>
        <v>8478760.3152399994</v>
      </c>
      <c r="F87" s="140">
        <f>SUM(F85+F83+F79+F72+F66+F49+F32+F27+F44)</f>
        <v>664564.08476</v>
      </c>
      <c r="G87" s="107">
        <f>E87+F87</f>
        <v>9143324.3999999985</v>
      </c>
      <c r="H87" s="142" t="str">
        <f>IF(D87=G87, "", "Error")</f>
        <v/>
      </c>
      <c r="I87" s="160">
        <f>D87-G87</f>
        <v>0</v>
      </c>
    </row>
    <row r="88" spans="1:9" ht="15" thickBot="1" x14ac:dyDescent="0.35">
      <c r="D88" s="162"/>
      <c r="E88" s="107"/>
    </row>
    <row r="89" spans="1:9" ht="15" thickBot="1" x14ac:dyDescent="0.35">
      <c r="A89" s="169" t="s">
        <v>151</v>
      </c>
      <c r="B89" s="136"/>
      <c r="C89" s="136"/>
      <c r="E89" s="107"/>
    </row>
    <row r="90" spans="1:9" x14ac:dyDescent="0.3">
      <c r="A90" s="1"/>
      <c r="C90" s="134"/>
      <c r="E90" s="107"/>
    </row>
    <row r="91" spans="1:9" ht="15" thickBot="1" x14ac:dyDescent="0.35">
      <c r="A91" s="1"/>
      <c r="C91" s="134"/>
      <c r="E91" s="107"/>
    </row>
    <row r="92" spans="1:9" ht="15" thickBot="1" x14ac:dyDescent="0.35">
      <c r="A92" s="137" t="s">
        <v>29</v>
      </c>
      <c r="B92" s="138"/>
      <c r="C92" s="135">
        <f>SUM(C90:C91)</f>
        <v>0</v>
      </c>
      <c r="E92" s="107"/>
    </row>
    <row r="93" spans="1:9" x14ac:dyDescent="0.3">
      <c r="E93" s="107"/>
    </row>
    <row r="94" spans="1:9" x14ac:dyDescent="0.3">
      <c r="E94" s="132"/>
    </row>
    <row r="95" spans="1:9" x14ac:dyDescent="0.3">
      <c r="A95" s="215" t="s">
        <v>113</v>
      </c>
      <c r="B95" s="216"/>
      <c r="C95" s="216"/>
      <c r="D95" s="216"/>
      <c r="E95" s="155" t="s">
        <v>21</v>
      </c>
      <c r="F95" s="156" t="s">
        <v>122</v>
      </c>
    </row>
    <row r="96" spans="1:9" ht="15" customHeight="1" x14ac:dyDescent="0.3">
      <c r="A96" s="212"/>
      <c r="B96" s="213"/>
      <c r="C96" s="214"/>
      <c r="D96" s="111"/>
      <c r="E96" s="141">
        <f t="shared" ref="E96:E97" si="20">D96*91.91%</f>
        <v>0</v>
      </c>
      <c r="F96" s="129">
        <f t="shared" ref="F96:F97" si="21">D96*8.09%</f>
        <v>0</v>
      </c>
    </row>
    <row r="97" spans="1:9" ht="14.25" customHeight="1" x14ac:dyDescent="0.3">
      <c r="A97" s="220"/>
      <c r="B97" s="221"/>
      <c r="C97" s="222"/>
      <c r="D97" s="111"/>
      <c r="E97" s="141">
        <f t="shared" si="20"/>
        <v>0</v>
      </c>
      <c r="F97" s="129">
        <f t="shared" si="21"/>
        <v>0</v>
      </c>
    </row>
    <row r="98" spans="1:9" x14ac:dyDescent="0.3">
      <c r="A98" s="209" t="s">
        <v>29</v>
      </c>
      <c r="B98" s="210"/>
      <c r="C98" s="211"/>
      <c r="D98" s="154">
        <f>SUM(D96:D97)</f>
        <v>0</v>
      </c>
      <c r="E98" s="154">
        <f>SUM(E96:E97)</f>
        <v>0</v>
      </c>
      <c r="F98" s="154">
        <f>SUM(F96:F97)</f>
        <v>0</v>
      </c>
      <c r="H98" s="107">
        <f>E98+F98</f>
        <v>0</v>
      </c>
      <c r="I98" s="142" t="str">
        <f>IF(D98=H98, "", "Error")</f>
        <v/>
      </c>
    </row>
    <row r="100" spans="1:9" ht="15" thickBot="1" x14ac:dyDescent="0.35">
      <c r="E100" s="107"/>
    </row>
    <row r="101" spans="1:9" ht="15" thickBot="1" x14ac:dyDescent="0.35">
      <c r="A101" s="101" t="s">
        <v>104</v>
      </c>
      <c r="B101" s="102">
        <f>D87</f>
        <v>9143324.4000000004</v>
      </c>
    </row>
    <row r="102" spans="1:9" ht="15" thickBot="1" x14ac:dyDescent="0.35">
      <c r="A102" s="103" t="s">
        <v>106</v>
      </c>
      <c r="B102" s="104">
        <f>D87-D85</f>
        <v>9143324.4000000004</v>
      </c>
    </row>
    <row r="103" spans="1:9" x14ac:dyDescent="0.3">
      <c r="D103" s="199"/>
      <c r="E103" s="199"/>
    </row>
    <row r="104" spans="1:9" x14ac:dyDescent="0.3">
      <c r="A104" s="73" t="s">
        <v>90</v>
      </c>
      <c r="B104" s="74"/>
      <c r="C104" s="75"/>
      <c r="D104" s="199"/>
      <c r="E104" s="199"/>
    </row>
    <row r="105" spans="1:9" x14ac:dyDescent="0.3">
      <c r="A105" s="76" t="s">
        <v>91</v>
      </c>
      <c r="B105" s="10">
        <v>2735299.703127617</v>
      </c>
      <c r="C105" s="77"/>
      <c r="D105" s="199"/>
      <c r="E105" s="199"/>
    </row>
    <row r="106" spans="1:9" x14ac:dyDescent="0.3">
      <c r="A106" s="78" t="s">
        <v>92</v>
      </c>
      <c r="B106" s="91">
        <f>PRORRATEO!G52</f>
        <v>8413417.1728006657</v>
      </c>
      <c r="C106" s="77" t="s">
        <v>93</v>
      </c>
      <c r="D106" s="199"/>
      <c r="E106" s="199"/>
    </row>
    <row r="107" spans="1:9" x14ac:dyDescent="0.3">
      <c r="A107" s="78" t="s">
        <v>115</v>
      </c>
      <c r="B107" s="157">
        <f>-B102</f>
        <v>-9143324.4000000004</v>
      </c>
      <c r="C107" s="75"/>
      <c r="D107" s="199"/>
      <c r="E107" s="199"/>
      <c r="G107" s="111"/>
    </row>
    <row r="108" spans="1:9" x14ac:dyDescent="0.3">
      <c r="A108" s="78" t="s">
        <v>114</v>
      </c>
      <c r="B108" s="157">
        <f>-D98</f>
        <v>0</v>
      </c>
      <c r="C108" s="75"/>
      <c r="D108" s="199"/>
      <c r="E108" s="199"/>
      <c r="G108" s="121"/>
    </row>
    <row r="109" spans="1:9" x14ac:dyDescent="0.3">
      <c r="A109" s="78" t="s">
        <v>105</v>
      </c>
      <c r="B109" s="157">
        <f>-B116</f>
        <v>-10000</v>
      </c>
      <c r="C109" s="79"/>
    </row>
    <row r="110" spans="1:9" x14ac:dyDescent="0.3">
      <c r="A110" s="78" t="s">
        <v>120</v>
      </c>
      <c r="B110" s="92">
        <f>-C92</f>
        <v>0</v>
      </c>
      <c r="C110" s="79"/>
    </row>
    <row r="111" spans="1:9" x14ac:dyDescent="0.3">
      <c r="A111" s="78"/>
      <c r="B111" s="74"/>
      <c r="C111" s="143"/>
    </row>
    <row r="112" spans="1:9" x14ac:dyDescent="0.3">
      <c r="A112" s="76" t="s">
        <v>94</v>
      </c>
      <c r="B112" s="80">
        <f>SUM(B105:B111)</f>
        <v>1995392.4759282824</v>
      </c>
      <c r="C112" s="143"/>
    </row>
    <row r="113" spans="1:14" x14ac:dyDescent="0.3">
      <c r="A113" s="79"/>
      <c r="C113" s="75"/>
      <c r="D113" s="82"/>
    </row>
    <row r="114" spans="1:14" x14ac:dyDescent="0.3">
      <c r="C114" s="75"/>
      <c r="D114" s="107"/>
      <c r="E114" s="160"/>
    </row>
    <row r="115" spans="1:14" x14ac:dyDescent="0.3">
      <c r="A115" s="73" t="s">
        <v>95</v>
      </c>
      <c r="B115" s="174">
        <v>-192694.54000000004</v>
      </c>
      <c r="C115" s="81"/>
      <c r="D115" s="160"/>
      <c r="E115" s="160"/>
      <c r="F115" s="160"/>
    </row>
    <row r="116" spans="1:14" ht="15" customHeight="1" x14ac:dyDescent="0.3">
      <c r="A116" s="76" t="s">
        <v>172</v>
      </c>
      <c r="B116" s="92">
        <v>10000</v>
      </c>
      <c r="C116" s="81"/>
      <c r="D116" s="160"/>
      <c r="E116" s="167"/>
    </row>
    <row r="117" spans="1:14" x14ac:dyDescent="0.3">
      <c r="A117" s="76"/>
      <c r="B117" s="157"/>
      <c r="C117" s="81"/>
      <c r="E117" s="107"/>
    </row>
    <row r="118" spans="1:14" x14ac:dyDescent="0.3">
      <c r="A118" s="76"/>
      <c r="B118" s="157"/>
      <c r="C118" s="81"/>
      <c r="E118" s="107"/>
    </row>
    <row r="119" spans="1:14" x14ac:dyDescent="0.3">
      <c r="A119" s="99" t="s">
        <v>29</v>
      </c>
      <c r="B119" s="100">
        <f>SUM(B115:B118)</f>
        <v>-182694.54000000004</v>
      </c>
      <c r="C119" s="81"/>
    </row>
    <row r="120" spans="1:14" x14ac:dyDescent="0.3">
      <c r="C120" s="82"/>
      <c r="D120" s="160"/>
    </row>
    <row r="121" spans="1:14" x14ac:dyDescent="0.3">
      <c r="B121" s="79"/>
      <c r="C121" s="75"/>
    </row>
    <row r="123" spans="1:14" x14ac:dyDescent="0.3">
      <c r="N123" s="11"/>
    </row>
    <row r="126" spans="1:14" x14ac:dyDescent="0.3">
      <c r="B126" s="198"/>
      <c r="C126" s="198"/>
      <c r="D126" s="198"/>
      <c r="E126" s="198"/>
    </row>
    <row r="127" spans="1:14" x14ac:dyDescent="0.3">
      <c r="B127" s="198"/>
      <c r="C127" s="198"/>
      <c r="D127" s="198"/>
      <c r="E127" s="198"/>
    </row>
    <row r="128" spans="1:14" x14ac:dyDescent="0.3">
      <c r="B128" s="198"/>
      <c r="C128" s="198"/>
      <c r="D128" s="198"/>
      <c r="E128" s="198"/>
    </row>
    <row r="129" spans="2:5" x14ac:dyDescent="0.3">
      <c r="B129" s="198"/>
      <c r="C129" s="198"/>
      <c r="D129" s="198"/>
      <c r="E129" s="198"/>
    </row>
    <row r="130" spans="2:5" x14ac:dyDescent="0.3">
      <c r="B130" s="198"/>
      <c r="C130" s="198"/>
      <c r="D130" s="198"/>
      <c r="E130" s="198"/>
    </row>
  </sheetData>
  <mergeCells count="9">
    <mergeCell ref="B126:E130"/>
    <mergeCell ref="D103:E108"/>
    <mergeCell ref="B14:D17"/>
    <mergeCell ref="A98:C98"/>
    <mergeCell ref="A96:C96"/>
    <mergeCell ref="A95:D95"/>
    <mergeCell ref="A59:C59"/>
    <mergeCell ref="A97:C97"/>
    <mergeCell ref="A65:C65"/>
  </mergeCell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3"/>
  <sheetViews>
    <sheetView topLeftCell="A13" zoomScaleNormal="100" workbookViewId="0">
      <selection activeCell="L26" sqref="L26"/>
    </sheetView>
  </sheetViews>
  <sheetFormatPr baseColWidth="10" defaultRowHeight="14.4" x14ac:dyDescent="0.3"/>
  <cols>
    <col min="1" max="1" width="4.5546875" customWidth="1"/>
    <col min="2" max="2" width="5.88671875" hidden="1" customWidth="1"/>
    <col min="3" max="3" width="5.33203125" customWidth="1"/>
    <col min="4" max="4" width="21.6640625" customWidth="1"/>
    <col min="5" max="5" width="6.109375" customWidth="1"/>
    <col min="6" max="7" width="12.44140625" bestFit="1" customWidth="1"/>
    <col min="8" max="8" width="11.109375" customWidth="1"/>
    <col min="9" max="9" width="6" customWidth="1"/>
    <col min="10" max="10" width="13.6640625" customWidth="1"/>
    <col min="11" max="11" width="13.33203125" customWidth="1"/>
    <col min="12" max="12" width="11.5546875" customWidth="1"/>
    <col min="13" max="13" width="14.33203125" customWidth="1"/>
    <col min="14" max="14" width="13.6640625" customWidth="1"/>
    <col min="15" max="15" width="11.44140625" customWidth="1"/>
    <col min="16" max="16" width="14.5546875" bestFit="1" customWidth="1"/>
    <col min="18" max="18" width="12" bestFit="1" customWidth="1"/>
  </cols>
  <sheetData>
    <row r="1" spans="1:16" ht="15" customHeight="1" x14ac:dyDescent="0.3">
      <c r="A1" s="240" t="s">
        <v>153</v>
      </c>
      <c r="B1" s="241"/>
      <c r="C1" s="241"/>
      <c r="D1" s="241"/>
      <c r="E1" s="241"/>
      <c r="F1" s="241"/>
      <c r="G1" s="241"/>
      <c r="H1" s="241"/>
      <c r="I1" s="241"/>
      <c r="J1" s="242"/>
      <c r="K1" s="178" t="s">
        <v>124</v>
      </c>
      <c r="L1" s="229">
        <f>RESUMEN!D87</f>
        <v>9143324.4000000004</v>
      </c>
      <c r="M1" s="230"/>
      <c r="N1" s="179"/>
      <c r="O1" s="130">
        <f>L1*8.09%</f>
        <v>739694.94396000006</v>
      </c>
    </row>
    <row r="2" spans="1:16" x14ac:dyDescent="0.3">
      <c r="A2" s="243"/>
      <c r="B2" s="244"/>
      <c r="C2" s="244"/>
      <c r="D2" s="244"/>
      <c r="E2" s="244"/>
      <c r="F2" s="244"/>
      <c r="G2" s="244"/>
      <c r="H2" s="244"/>
      <c r="I2" s="244"/>
      <c r="J2" s="245"/>
      <c r="K2" s="180" t="s">
        <v>125</v>
      </c>
      <c r="L2" s="8"/>
      <c r="M2" s="181">
        <v>8500000</v>
      </c>
      <c r="N2" s="182"/>
      <c r="O2" s="130">
        <f>O1-K7-553-50-86-8</f>
        <v>115765.15710300021</v>
      </c>
    </row>
    <row r="3" spans="1:16" x14ac:dyDescent="0.3">
      <c r="A3" s="243"/>
      <c r="B3" s="244"/>
      <c r="C3" s="244"/>
      <c r="D3" s="244"/>
      <c r="E3" s="244"/>
      <c r="F3" s="244"/>
      <c r="G3" s="244"/>
      <c r="H3" s="244"/>
      <c r="I3" s="244"/>
      <c r="J3" s="245"/>
      <c r="K3" s="180" t="s">
        <v>131</v>
      </c>
      <c r="L3" s="8"/>
      <c r="M3" s="183">
        <f>RESUMEN!D98</f>
        <v>0</v>
      </c>
      <c r="N3" s="184"/>
      <c r="O3" s="72"/>
    </row>
    <row r="4" spans="1:16" ht="51" customHeight="1" thickBot="1" x14ac:dyDescent="0.35">
      <c r="A4" s="246"/>
      <c r="B4" s="247"/>
      <c r="C4" s="247"/>
      <c r="D4" s="247"/>
      <c r="E4" s="247"/>
      <c r="F4" s="247"/>
      <c r="G4" s="247"/>
      <c r="H4" s="247"/>
      <c r="I4" s="247"/>
      <c r="J4" s="248"/>
      <c r="K4" s="185" t="s">
        <v>125</v>
      </c>
      <c r="L4" s="186"/>
      <c r="M4" s="187">
        <v>966666.66666666663</v>
      </c>
      <c r="N4" s="188"/>
      <c r="O4" s="130">
        <f>M3/3</f>
        <v>0</v>
      </c>
    </row>
    <row r="5" spans="1:16" x14ac:dyDescent="0.3">
      <c r="A5" s="226" t="s">
        <v>19</v>
      </c>
      <c r="B5" s="249" t="s">
        <v>20</v>
      </c>
      <c r="C5" s="226" t="s">
        <v>21</v>
      </c>
      <c r="D5" s="238" t="s">
        <v>22</v>
      </c>
      <c r="E5" s="226" t="s">
        <v>97</v>
      </c>
      <c r="F5" s="226" t="s">
        <v>23</v>
      </c>
      <c r="G5" s="226" t="s">
        <v>24</v>
      </c>
      <c r="H5" s="233" t="s">
        <v>25</v>
      </c>
      <c r="I5" s="238" t="s">
        <v>108</v>
      </c>
      <c r="J5" s="231" t="s">
        <v>26</v>
      </c>
      <c r="K5" s="231" t="s">
        <v>69</v>
      </c>
      <c r="L5" s="236" t="s">
        <v>123</v>
      </c>
      <c r="M5" s="231" t="s">
        <v>67</v>
      </c>
      <c r="N5" s="231" t="s">
        <v>68</v>
      </c>
    </row>
    <row r="6" spans="1:16" x14ac:dyDescent="0.3">
      <c r="A6" s="227"/>
      <c r="B6" s="250"/>
      <c r="C6" s="227"/>
      <c r="D6" s="251"/>
      <c r="E6" s="227"/>
      <c r="F6" s="227"/>
      <c r="G6" s="227"/>
      <c r="H6" s="234"/>
      <c r="I6" s="239"/>
      <c r="J6" s="232"/>
      <c r="K6" s="235"/>
      <c r="L6" s="237"/>
      <c r="M6" s="235"/>
      <c r="N6" s="232"/>
    </row>
    <row r="7" spans="1:16" x14ac:dyDescent="0.3">
      <c r="A7" s="7" t="s">
        <v>33</v>
      </c>
      <c r="B7" s="7"/>
      <c r="C7" s="7">
        <v>1</v>
      </c>
      <c r="D7" s="128" t="s">
        <v>34</v>
      </c>
      <c r="E7" s="7">
        <v>8.09</v>
      </c>
      <c r="F7" s="87">
        <v>436413.50613400002</v>
      </c>
      <c r="G7" s="196">
        <f>F7</f>
        <v>436413.50613400002</v>
      </c>
      <c r="H7" s="126">
        <f>F7-G7</f>
        <v>0</v>
      </c>
      <c r="I7" s="105">
        <v>12</v>
      </c>
      <c r="J7" s="87">
        <v>0</v>
      </c>
      <c r="K7" s="87">
        <v>623232.78685699985</v>
      </c>
      <c r="L7" s="97"/>
      <c r="M7" s="6">
        <f>K7+J7+H7+L7</f>
        <v>623232.78685699985</v>
      </c>
      <c r="N7" s="10">
        <f>M7*6% + M7</f>
        <v>660626.7540684198</v>
      </c>
    </row>
    <row r="8" spans="1:16" x14ac:dyDescent="0.3">
      <c r="A8" s="7" t="s">
        <v>35</v>
      </c>
      <c r="B8" s="7"/>
      <c r="C8" s="7">
        <v>24</v>
      </c>
      <c r="D8" s="128" t="s">
        <v>36</v>
      </c>
      <c r="E8" s="7">
        <v>2.21</v>
      </c>
      <c r="F8" s="87">
        <v>175332.93683118251</v>
      </c>
      <c r="G8" s="196">
        <v>176000</v>
      </c>
      <c r="H8" s="126">
        <f t="shared" ref="H8:H51" si="0">F8-G8</f>
        <v>-667.0631688174908</v>
      </c>
      <c r="I8" s="105">
        <v>9</v>
      </c>
      <c r="J8" s="87">
        <f>M$4*E8%</f>
        <v>21363.333333333332</v>
      </c>
      <c r="K8" s="87">
        <f>M$2*E8 /100</f>
        <v>187850</v>
      </c>
      <c r="L8" s="176"/>
      <c r="M8" s="6">
        <f>K8+J8+H8+L8</f>
        <v>208546.27016451585</v>
      </c>
      <c r="N8" s="10">
        <f t="shared" ref="N8:N51" si="1">M8*6% + M8</f>
        <v>221059.04637438682</v>
      </c>
    </row>
    <row r="9" spans="1:16" x14ac:dyDescent="0.3">
      <c r="A9" s="7" t="s">
        <v>35</v>
      </c>
      <c r="B9" s="7"/>
      <c r="C9" s="7">
        <v>25</v>
      </c>
      <c r="D9" s="128" t="s">
        <v>37</v>
      </c>
      <c r="E9" s="7">
        <v>4.21</v>
      </c>
      <c r="F9" s="87">
        <v>335396.60286759667</v>
      </c>
      <c r="G9" s="197">
        <f>378417-G34</f>
        <v>335397</v>
      </c>
      <c r="H9" s="126">
        <f t="shared" si="0"/>
        <v>-0.39713240333367139</v>
      </c>
      <c r="I9" s="105">
        <v>10</v>
      </c>
      <c r="J9" s="87">
        <f t="shared" ref="J9:J51" si="2">M$4*E9%</f>
        <v>40696.666666666664</v>
      </c>
      <c r="K9" s="87">
        <f t="shared" ref="K9:K51" si="3">M$2*E9 /100</f>
        <v>357850</v>
      </c>
      <c r="L9" s="176"/>
      <c r="M9" s="6">
        <f t="shared" ref="M9:M51" si="4">K9+J9+H9+L9</f>
        <v>398546.26953426335</v>
      </c>
      <c r="N9" s="10">
        <f t="shared" si="1"/>
        <v>422459.04570631916</v>
      </c>
    </row>
    <row r="10" spans="1:16" x14ac:dyDescent="0.3">
      <c r="A10" s="7" t="s">
        <v>38</v>
      </c>
      <c r="B10" s="7"/>
      <c r="C10" s="7">
        <v>26</v>
      </c>
      <c r="D10" s="128" t="s">
        <v>39</v>
      </c>
      <c r="E10" s="7">
        <v>2.84</v>
      </c>
      <c r="F10" s="87">
        <v>226253.33333333334</v>
      </c>
      <c r="G10" s="196">
        <f>F10</f>
        <v>226253.33333333334</v>
      </c>
      <c r="H10" s="126">
        <f t="shared" si="0"/>
        <v>0</v>
      </c>
      <c r="I10" s="105">
        <v>14</v>
      </c>
      <c r="J10" s="87">
        <f t="shared" si="2"/>
        <v>27453.333333333332</v>
      </c>
      <c r="K10" s="87">
        <f t="shared" si="3"/>
        <v>241400</v>
      </c>
      <c r="L10" s="176"/>
      <c r="M10" s="6">
        <f t="shared" si="4"/>
        <v>268853.33333333331</v>
      </c>
      <c r="N10" s="10">
        <f t="shared" si="1"/>
        <v>284984.53333333333</v>
      </c>
    </row>
    <row r="11" spans="1:16" x14ac:dyDescent="0.3">
      <c r="A11" s="7" t="s">
        <v>38</v>
      </c>
      <c r="B11" s="7"/>
      <c r="C11" s="7">
        <v>27</v>
      </c>
      <c r="D11" s="128" t="s">
        <v>40</v>
      </c>
      <c r="E11" s="7">
        <v>3.43</v>
      </c>
      <c r="F11" s="87">
        <v>273256.66666666669</v>
      </c>
      <c r="G11" s="196">
        <f>F11</f>
        <v>273256.66666666669</v>
      </c>
      <c r="H11" s="126">
        <f t="shared" si="0"/>
        <v>0</v>
      </c>
      <c r="I11" s="105">
        <v>9</v>
      </c>
      <c r="J11" s="87">
        <f t="shared" si="2"/>
        <v>33156.666666666672</v>
      </c>
      <c r="K11" s="87">
        <f t="shared" si="3"/>
        <v>291550</v>
      </c>
      <c r="L11" s="176"/>
      <c r="M11" s="6">
        <f t="shared" si="4"/>
        <v>324706.66666666669</v>
      </c>
      <c r="N11" s="10">
        <f t="shared" si="1"/>
        <v>344189.06666666671</v>
      </c>
      <c r="P11" s="107"/>
    </row>
    <row r="12" spans="1:16" x14ac:dyDescent="0.3">
      <c r="A12" s="7" t="s">
        <v>41</v>
      </c>
      <c r="B12" s="7"/>
      <c r="C12" s="7">
        <v>28</v>
      </c>
      <c r="D12" s="128" t="s">
        <v>111</v>
      </c>
      <c r="E12" s="7">
        <v>2.84</v>
      </c>
      <c r="F12" s="87">
        <v>226253.33333333334</v>
      </c>
      <c r="G12" s="197">
        <f>F12</f>
        <v>226253.33333333334</v>
      </c>
      <c r="H12" s="126">
        <f>F12-G12</f>
        <v>0</v>
      </c>
      <c r="I12" s="105">
        <v>8</v>
      </c>
      <c r="J12" s="87">
        <f t="shared" si="2"/>
        <v>27453.333333333332</v>
      </c>
      <c r="K12" s="87">
        <f t="shared" si="3"/>
        <v>241400</v>
      </c>
      <c r="L12" s="176"/>
      <c r="M12" s="6">
        <f t="shared" si="4"/>
        <v>268853.33333333331</v>
      </c>
      <c r="N12" s="10">
        <f t="shared" si="1"/>
        <v>284984.53333333333</v>
      </c>
    </row>
    <row r="13" spans="1:16" x14ac:dyDescent="0.3">
      <c r="A13" s="7" t="s">
        <v>41</v>
      </c>
      <c r="B13" s="7"/>
      <c r="C13" s="7">
        <v>29</v>
      </c>
      <c r="D13" s="128" t="s">
        <v>42</v>
      </c>
      <c r="E13" s="7">
        <v>3.43</v>
      </c>
      <c r="F13" s="87">
        <v>273256.48408590845</v>
      </c>
      <c r="G13" s="197">
        <f>320260-G50</f>
        <v>273256.66666666669</v>
      </c>
      <c r="H13" s="126">
        <f t="shared" si="0"/>
        <v>-0.18258075823541731</v>
      </c>
      <c r="I13" s="105">
        <v>9</v>
      </c>
      <c r="J13" s="87">
        <f t="shared" si="2"/>
        <v>33156.666666666672</v>
      </c>
      <c r="K13" s="87">
        <f t="shared" si="3"/>
        <v>291550</v>
      </c>
      <c r="L13" s="176"/>
      <c r="M13" s="6">
        <f t="shared" si="4"/>
        <v>324706.48408590845</v>
      </c>
      <c r="N13" s="10">
        <f t="shared" si="1"/>
        <v>344188.87313106295</v>
      </c>
    </row>
    <row r="14" spans="1:16" x14ac:dyDescent="0.3">
      <c r="A14" s="7" t="s">
        <v>43</v>
      </c>
      <c r="B14" s="7"/>
      <c r="C14" s="7">
        <v>30</v>
      </c>
      <c r="D14" s="128" t="s">
        <v>44</v>
      </c>
      <c r="E14" s="7">
        <v>2.84</v>
      </c>
      <c r="F14" s="87">
        <v>223995.45466666669</v>
      </c>
      <c r="G14" s="196">
        <v>211300</v>
      </c>
      <c r="H14" s="126">
        <f t="shared" si="0"/>
        <v>12695.454666666687</v>
      </c>
      <c r="I14" s="105">
        <v>18</v>
      </c>
      <c r="J14" s="87">
        <f t="shared" si="2"/>
        <v>27453.333333333332</v>
      </c>
      <c r="K14" s="87">
        <f t="shared" si="3"/>
        <v>241400</v>
      </c>
      <c r="L14" s="176"/>
      <c r="M14" s="6">
        <f t="shared" si="4"/>
        <v>281548.788</v>
      </c>
      <c r="N14" s="10">
        <f t="shared" si="1"/>
        <v>298441.71528</v>
      </c>
    </row>
    <row r="15" spans="1:16" x14ac:dyDescent="0.3">
      <c r="A15" s="7" t="s">
        <v>43</v>
      </c>
      <c r="B15" s="7"/>
      <c r="C15" s="7">
        <v>31</v>
      </c>
      <c r="D15" s="128" t="s">
        <v>139</v>
      </c>
      <c r="E15" s="7">
        <v>3.43</v>
      </c>
      <c r="F15" s="87">
        <v>273256.53766320064</v>
      </c>
      <c r="G15" s="197">
        <f>313090-G35</f>
        <v>273256.66666666669</v>
      </c>
      <c r="H15" s="126">
        <f t="shared" si="0"/>
        <v>-0.12900346604874358</v>
      </c>
      <c r="I15" s="105">
        <v>9</v>
      </c>
      <c r="J15" s="87">
        <f t="shared" si="2"/>
        <v>33156.666666666672</v>
      </c>
      <c r="K15" s="87">
        <f t="shared" si="3"/>
        <v>291550</v>
      </c>
      <c r="L15" s="176"/>
      <c r="M15" s="6">
        <f t="shared" si="4"/>
        <v>324706.53766320064</v>
      </c>
      <c r="N15" s="10">
        <f t="shared" si="1"/>
        <v>344188.92992299265</v>
      </c>
    </row>
    <row r="16" spans="1:16" x14ac:dyDescent="0.3">
      <c r="A16" s="7" t="s">
        <v>46</v>
      </c>
      <c r="B16" s="7"/>
      <c r="C16" s="7">
        <v>32</v>
      </c>
      <c r="D16" s="128" t="s">
        <v>136</v>
      </c>
      <c r="E16" s="7">
        <v>2.84</v>
      </c>
      <c r="F16" s="87">
        <v>211229.0312833334</v>
      </c>
      <c r="G16" s="197">
        <f>250266-G49</f>
        <v>211229.33333333334</v>
      </c>
      <c r="H16" s="126">
        <f t="shared" si="0"/>
        <v>-0.30204999994020909</v>
      </c>
      <c r="I16" s="105">
        <v>4</v>
      </c>
      <c r="J16" s="87">
        <f t="shared" si="2"/>
        <v>27453.333333333332</v>
      </c>
      <c r="K16" s="87">
        <f t="shared" si="3"/>
        <v>241400</v>
      </c>
      <c r="L16" s="176"/>
      <c r="M16" s="6">
        <f t="shared" si="4"/>
        <v>268853.03128333337</v>
      </c>
      <c r="N16" s="10">
        <f t="shared" si="1"/>
        <v>284984.2131603334</v>
      </c>
    </row>
    <row r="17" spans="1:18" x14ac:dyDescent="0.3">
      <c r="A17" s="7" t="s">
        <v>46</v>
      </c>
      <c r="B17" s="7"/>
      <c r="C17" s="7">
        <v>33</v>
      </c>
      <c r="D17" s="128" t="s">
        <v>47</v>
      </c>
      <c r="E17" s="7">
        <v>3.43</v>
      </c>
      <c r="F17" s="87">
        <v>273256.30734444811</v>
      </c>
      <c r="G17" s="196">
        <f>352126-G47-G48</f>
        <v>273256</v>
      </c>
      <c r="H17" s="126">
        <f t="shared" si="0"/>
        <v>0.30734444811241701</v>
      </c>
      <c r="I17" s="105">
        <v>12</v>
      </c>
      <c r="J17" s="87">
        <f t="shared" si="2"/>
        <v>33156.666666666672</v>
      </c>
      <c r="K17" s="87">
        <f t="shared" si="3"/>
        <v>291550</v>
      </c>
      <c r="L17" s="176"/>
      <c r="M17" s="6">
        <f t="shared" si="4"/>
        <v>324706.9740111148</v>
      </c>
      <c r="N17" s="10">
        <f t="shared" si="1"/>
        <v>344189.39245178166</v>
      </c>
    </row>
    <row r="18" spans="1:18" x14ac:dyDescent="0.3">
      <c r="A18" s="7" t="s">
        <v>48</v>
      </c>
      <c r="B18" s="7"/>
      <c r="C18" s="7">
        <v>34</v>
      </c>
      <c r="D18" s="128" t="s">
        <v>49</v>
      </c>
      <c r="E18" s="7">
        <v>2.84</v>
      </c>
      <c r="F18" s="87">
        <v>225086.09379991802</v>
      </c>
      <c r="G18" s="196">
        <f>271000-G51</f>
        <v>225590</v>
      </c>
      <c r="H18" s="126">
        <f t="shared" si="0"/>
        <v>-503.90620008198312</v>
      </c>
      <c r="I18" s="105">
        <v>15</v>
      </c>
      <c r="J18" s="87">
        <f t="shared" si="2"/>
        <v>27453.333333333332</v>
      </c>
      <c r="K18" s="87">
        <f t="shared" si="3"/>
        <v>241400</v>
      </c>
      <c r="L18" s="176"/>
      <c r="M18" s="6">
        <f t="shared" si="4"/>
        <v>268349.42713325133</v>
      </c>
      <c r="N18" s="10">
        <f t="shared" si="1"/>
        <v>284450.39276124642</v>
      </c>
      <c r="P18" t="s">
        <v>167</v>
      </c>
    </row>
    <row r="19" spans="1:18" x14ac:dyDescent="0.3">
      <c r="A19" s="7" t="s">
        <v>48</v>
      </c>
      <c r="B19" s="7"/>
      <c r="C19" s="7">
        <v>35</v>
      </c>
      <c r="D19" s="128" t="s">
        <v>50</v>
      </c>
      <c r="E19" s="7">
        <v>3.43</v>
      </c>
      <c r="F19" s="87">
        <v>273256.81964850141</v>
      </c>
      <c r="G19" s="197">
        <f>316277-G41</f>
        <v>273257</v>
      </c>
      <c r="H19" s="126">
        <f t="shared" si="0"/>
        <v>-0.18035149859497324</v>
      </c>
      <c r="I19" s="105">
        <v>3</v>
      </c>
      <c r="J19" s="87">
        <f t="shared" si="2"/>
        <v>33156.666666666672</v>
      </c>
      <c r="K19" s="87">
        <f t="shared" si="3"/>
        <v>291550</v>
      </c>
      <c r="L19" s="176"/>
      <c r="M19" s="6">
        <f t="shared" si="4"/>
        <v>324706.48631516809</v>
      </c>
      <c r="N19" s="10">
        <f t="shared" si="1"/>
        <v>344188.87549407815</v>
      </c>
    </row>
    <row r="20" spans="1:18" x14ac:dyDescent="0.3">
      <c r="A20" s="7" t="s">
        <v>51</v>
      </c>
      <c r="B20" s="7"/>
      <c r="C20" s="7">
        <v>36</v>
      </c>
      <c r="D20" s="128" t="s">
        <v>52</v>
      </c>
      <c r="E20" s="7">
        <v>2.84</v>
      </c>
      <c r="F20" s="87">
        <v>226252.98919040806</v>
      </c>
      <c r="G20" s="196">
        <f>265290-G38</f>
        <v>226253.33333333334</v>
      </c>
      <c r="H20" s="126">
        <f t="shared" si="0"/>
        <v>-0.34414292528526857</v>
      </c>
      <c r="I20" s="105">
        <v>8</v>
      </c>
      <c r="J20" s="87">
        <f t="shared" si="2"/>
        <v>27453.333333333332</v>
      </c>
      <c r="K20" s="87">
        <f t="shared" si="3"/>
        <v>241400</v>
      </c>
      <c r="L20" s="176"/>
      <c r="M20" s="6">
        <f t="shared" si="4"/>
        <v>268852.98919040803</v>
      </c>
      <c r="N20" s="10">
        <f t="shared" si="1"/>
        <v>284984.16854183254</v>
      </c>
    </row>
    <row r="21" spans="1:18" x14ac:dyDescent="0.3">
      <c r="A21" s="7" t="s">
        <v>51</v>
      </c>
      <c r="B21" s="7"/>
      <c r="C21" s="7">
        <v>37</v>
      </c>
      <c r="D21" s="128" t="s">
        <v>53</v>
      </c>
      <c r="E21" s="7">
        <v>3.43</v>
      </c>
      <c r="F21" s="87">
        <v>273256.22197512927</v>
      </c>
      <c r="G21" s="196">
        <f>316276-G45</f>
        <v>273256</v>
      </c>
      <c r="H21" s="126">
        <f t="shared" si="0"/>
        <v>0.2219751292723231</v>
      </c>
      <c r="I21" s="105">
        <v>9</v>
      </c>
      <c r="J21" s="87">
        <f t="shared" si="2"/>
        <v>33156.666666666672</v>
      </c>
      <c r="K21" s="87">
        <f t="shared" si="3"/>
        <v>291550</v>
      </c>
      <c r="L21" s="176"/>
      <c r="M21" s="6">
        <f t="shared" si="4"/>
        <v>324706.88864179596</v>
      </c>
      <c r="N21" s="10">
        <f t="shared" si="1"/>
        <v>344189.30196030374</v>
      </c>
    </row>
    <row r="22" spans="1:18" x14ac:dyDescent="0.3">
      <c r="A22" s="7" t="s">
        <v>54</v>
      </c>
      <c r="B22" s="7"/>
      <c r="C22" s="7">
        <v>38</v>
      </c>
      <c r="D22" s="151" t="s">
        <v>128</v>
      </c>
      <c r="E22" s="7">
        <v>2.84</v>
      </c>
      <c r="F22" s="87">
        <v>226253.33333333334</v>
      </c>
      <c r="G22" s="196">
        <f>F22</f>
        <v>226253.33333333334</v>
      </c>
      <c r="H22" s="126">
        <f t="shared" si="0"/>
        <v>0</v>
      </c>
      <c r="I22" s="105">
        <v>8</v>
      </c>
      <c r="J22" s="87">
        <f t="shared" si="2"/>
        <v>27453.333333333332</v>
      </c>
      <c r="K22" s="87">
        <f t="shared" si="3"/>
        <v>241400</v>
      </c>
      <c r="L22" s="176"/>
      <c r="M22" s="6">
        <f t="shared" si="4"/>
        <v>268853.33333333331</v>
      </c>
      <c r="N22" s="10">
        <f t="shared" si="1"/>
        <v>284984.53333333333</v>
      </c>
    </row>
    <row r="23" spans="1:18" x14ac:dyDescent="0.3">
      <c r="A23" s="7" t="s">
        <v>54</v>
      </c>
      <c r="B23" s="7"/>
      <c r="C23" s="7">
        <v>39</v>
      </c>
      <c r="D23" s="128" t="s">
        <v>55</v>
      </c>
      <c r="E23" s="7">
        <v>3.43</v>
      </c>
      <c r="F23" s="87">
        <v>291660.88166989514</v>
      </c>
      <c r="G23" s="197"/>
      <c r="H23" s="126">
        <f t="shared" si="0"/>
        <v>291660.88166989514</v>
      </c>
      <c r="I23" s="105">
        <v>19</v>
      </c>
      <c r="J23" s="87">
        <f t="shared" si="2"/>
        <v>33156.666666666672</v>
      </c>
      <c r="K23" s="87">
        <f t="shared" si="3"/>
        <v>291550</v>
      </c>
      <c r="L23" s="176"/>
      <c r="M23" s="6">
        <f t="shared" si="4"/>
        <v>616367.54833656177</v>
      </c>
      <c r="N23" s="10">
        <f t="shared" si="1"/>
        <v>653349.60123675549</v>
      </c>
    </row>
    <row r="24" spans="1:18" x14ac:dyDescent="0.3">
      <c r="A24" s="7" t="s">
        <v>56</v>
      </c>
      <c r="B24" s="7"/>
      <c r="C24" s="7">
        <v>40</v>
      </c>
      <c r="D24" s="128" t="s">
        <v>57</v>
      </c>
      <c r="E24" s="7">
        <v>2.84</v>
      </c>
      <c r="F24" s="87">
        <v>230628.70675440805</v>
      </c>
      <c r="G24" s="196">
        <f>270500-G37</f>
        <v>231463.33333333334</v>
      </c>
      <c r="H24" s="126">
        <f t="shared" si="0"/>
        <v>-834.62657892529387</v>
      </c>
      <c r="I24" s="161">
        <v>11</v>
      </c>
      <c r="J24" s="87">
        <f t="shared" si="2"/>
        <v>27453.333333333332</v>
      </c>
      <c r="K24" s="87">
        <f t="shared" si="3"/>
        <v>241400</v>
      </c>
      <c r="L24" s="176">
        <v>20000</v>
      </c>
      <c r="M24" s="6">
        <f t="shared" si="4"/>
        <v>288018.70675440802</v>
      </c>
      <c r="N24" s="10">
        <f t="shared" si="1"/>
        <v>305299.82915967249</v>
      </c>
    </row>
    <row r="25" spans="1:18" x14ac:dyDescent="0.3">
      <c r="A25" s="7" t="s">
        <v>56</v>
      </c>
      <c r="B25" s="7"/>
      <c r="C25" s="7">
        <v>41</v>
      </c>
      <c r="D25" s="128" t="s">
        <v>58</v>
      </c>
      <c r="E25" s="7">
        <v>3.43</v>
      </c>
      <c r="F25" s="87">
        <v>273256.33333333349</v>
      </c>
      <c r="G25" s="197">
        <f>273856</f>
        <v>273856</v>
      </c>
      <c r="H25" s="126">
        <f t="shared" si="0"/>
        <v>-599.66666666651145</v>
      </c>
      <c r="I25" s="105">
        <v>4</v>
      </c>
      <c r="J25" s="87">
        <f t="shared" si="2"/>
        <v>33156.666666666672</v>
      </c>
      <c r="K25" s="87">
        <f t="shared" si="3"/>
        <v>291550</v>
      </c>
      <c r="L25" s="177">
        <f>K25*0.3</f>
        <v>87465</v>
      </c>
      <c r="M25" s="6">
        <f t="shared" si="4"/>
        <v>411572.00000000017</v>
      </c>
      <c r="N25" s="10">
        <f t="shared" si="1"/>
        <v>436266.32000000018</v>
      </c>
      <c r="P25" s="133"/>
      <c r="Q25" s="133"/>
      <c r="R25" s="133"/>
    </row>
    <row r="26" spans="1:18" x14ac:dyDescent="0.3">
      <c r="A26" s="7" t="s">
        <v>59</v>
      </c>
      <c r="B26" s="7"/>
      <c r="C26" s="7">
        <v>42</v>
      </c>
      <c r="D26" s="128" t="s">
        <v>60</v>
      </c>
      <c r="E26" s="7">
        <v>6</v>
      </c>
      <c r="F26" s="87">
        <v>366291.99266603705</v>
      </c>
      <c r="G26" s="197">
        <f>1000000-G36-G30-G31</f>
        <v>873330</v>
      </c>
      <c r="H26" s="127">
        <f t="shared" si="0"/>
        <v>-507038.00733396295</v>
      </c>
      <c r="I26" s="105">
        <v>4</v>
      </c>
      <c r="J26" s="87">
        <f t="shared" si="2"/>
        <v>57999.999999999993</v>
      </c>
      <c r="K26" s="87">
        <f t="shared" si="3"/>
        <v>510000</v>
      </c>
      <c r="L26" s="176"/>
      <c r="M26" s="6">
        <f t="shared" si="4"/>
        <v>60961.992666037055</v>
      </c>
      <c r="N26" s="10">
        <f t="shared" si="1"/>
        <v>64619.712225999276</v>
      </c>
    </row>
    <row r="27" spans="1:18" x14ac:dyDescent="0.3">
      <c r="A27" s="7" t="s">
        <v>61</v>
      </c>
      <c r="B27" s="7"/>
      <c r="C27" s="7">
        <v>43</v>
      </c>
      <c r="D27" s="128" t="s">
        <v>62</v>
      </c>
      <c r="E27" s="7">
        <v>5.89</v>
      </c>
      <c r="F27" s="87">
        <v>469107.037951932</v>
      </c>
      <c r="G27" s="196">
        <f>561420-G39-G40</f>
        <v>469006.66666666669</v>
      </c>
      <c r="H27" s="126">
        <f t="shared" si="0"/>
        <v>100.3712852653116</v>
      </c>
      <c r="I27" s="105">
        <v>14</v>
      </c>
      <c r="J27" s="87">
        <f t="shared" si="2"/>
        <v>56936.666666666657</v>
      </c>
      <c r="K27" s="87">
        <f t="shared" si="3"/>
        <v>500650</v>
      </c>
      <c r="L27" s="176"/>
      <c r="M27" s="6">
        <f t="shared" si="4"/>
        <v>557687.03795193194</v>
      </c>
      <c r="N27" s="10">
        <f t="shared" si="1"/>
        <v>591148.26022904785</v>
      </c>
      <c r="R27" s="133"/>
    </row>
    <row r="28" spans="1:18" x14ac:dyDescent="0.3">
      <c r="A28" s="7" t="s">
        <v>63</v>
      </c>
      <c r="B28" s="7"/>
      <c r="C28" s="7">
        <v>44</v>
      </c>
      <c r="D28" s="128" t="s">
        <v>64</v>
      </c>
      <c r="E28" s="7">
        <v>5.89</v>
      </c>
      <c r="F28" s="87">
        <v>468694.50782654091</v>
      </c>
      <c r="G28" s="196">
        <f>554000-G32-G33</f>
        <v>469553.33333333331</v>
      </c>
      <c r="H28" s="126">
        <f t="shared" si="0"/>
        <v>-858.82550679240376</v>
      </c>
      <c r="I28" s="105">
        <v>12</v>
      </c>
      <c r="J28" s="87">
        <f t="shared" si="2"/>
        <v>56936.666666666657</v>
      </c>
      <c r="K28" s="87">
        <f t="shared" si="3"/>
        <v>500650</v>
      </c>
      <c r="L28" s="176"/>
      <c r="M28" s="6">
        <f t="shared" si="4"/>
        <v>556727.84115987422</v>
      </c>
      <c r="N28" s="10">
        <f t="shared" si="1"/>
        <v>590131.51162946667</v>
      </c>
    </row>
    <row r="29" spans="1:18" x14ac:dyDescent="0.3">
      <c r="A29" s="7" t="s">
        <v>65</v>
      </c>
      <c r="B29" s="7"/>
      <c r="C29" s="7">
        <v>45</v>
      </c>
      <c r="D29" s="128" t="s">
        <v>66</v>
      </c>
      <c r="E29" s="7">
        <v>5.89</v>
      </c>
      <c r="F29" s="87">
        <v>938383.0372900333</v>
      </c>
      <c r="G29" s="197">
        <f>1194909-G42-G43-G44</f>
        <v>938382.33333333337</v>
      </c>
      <c r="H29" s="127">
        <f t="shared" si="0"/>
        <v>0.70395669993013144</v>
      </c>
      <c r="I29" s="105">
        <v>15</v>
      </c>
      <c r="J29" s="87">
        <f t="shared" si="2"/>
        <v>56936.666666666657</v>
      </c>
      <c r="K29" s="87">
        <f t="shared" si="3"/>
        <v>500650</v>
      </c>
      <c r="L29" s="176"/>
      <c r="M29" s="6">
        <f t="shared" si="4"/>
        <v>557587.37062336656</v>
      </c>
      <c r="N29" s="10">
        <f t="shared" si="1"/>
        <v>591042.61286076857</v>
      </c>
    </row>
    <row r="30" spans="1:18" x14ac:dyDescent="0.3">
      <c r="A30" s="122" t="s">
        <v>96</v>
      </c>
      <c r="B30" s="7"/>
      <c r="C30" s="7">
        <v>1</v>
      </c>
      <c r="D30" s="128" t="s">
        <v>60</v>
      </c>
      <c r="E30" s="7">
        <v>0.54</v>
      </c>
      <c r="F30" s="87">
        <v>43020.000000000007</v>
      </c>
      <c r="G30" s="196">
        <f>F30</f>
        <v>43020.000000000007</v>
      </c>
      <c r="H30" s="126">
        <f t="shared" si="0"/>
        <v>0</v>
      </c>
      <c r="I30" s="105"/>
      <c r="J30" s="87">
        <f t="shared" si="2"/>
        <v>5220</v>
      </c>
      <c r="K30" s="87">
        <f t="shared" si="3"/>
        <v>45900</v>
      </c>
      <c r="L30" s="176"/>
      <c r="M30" s="6">
        <f t="shared" si="4"/>
        <v>51120</v>
      </c>
      <c r="N30" s="10">
        <f t="shared" si="1"/>
        <v>54187.199999999997</v>
      </c>
    </row>
    <row r="31" spans="1:18" x14ac:dyDescent="0.3">
      <c r="A31" s="122" t="s">
        <v>96</v>
      </c>
      <c r="B31" s="7"/>
      <c r="C31" s="7">
        <v>2</v>
      </c>
      <c r="D31" s="128" t="s">
        <v>60</v>
      </c>
      <c r="E31" s="7">
        <v>0.55000000000000004</v>
      </c>
      <c r="F31" s="87">
        <v>43816.666666666672</v>
      </c>
      <c r="G31" s="196">
        <f>F31</f>
        <v>43816.666666666672</v>
      </c>
      <c r="H31" s="126">
        <f t="shared" si="0"/>
        <v>0</v>
      </c>
      <c r="I31" s="105"/>
      <c r="J31" s="87">
        <f t="shared" si="2"/>
        <v>5316.666666666667</v>
      </c>
      <c r="K31" s="87">
        <f t="shared" si="3"/>
        <v>46750</v>
      </c>
      <c r="L31" s="176"/>
      <c r="M31" s="6">
        <f t="shared" si="4"/>
        <v>52066.666666666664</v>
      </c>
      <c r="N31" s="10">
        <f t="shared" si="1"/>
        <v>55190.666666666664</v>
      </c>
    </row>
    <row r="32" spans="1:18" x14ac:dyDescent="0.3">
      <c r="A32" s="122" t="s">
        <v>96</v>
      </c>
      <c r="B32" s="7"/>
      <c r="C32" s="7">
        <v>3</v>
      </c>
      <c r="D32" s="128" t="s">
        <v>64</v>
      </c>
      <c r="E32" s="7">
        <v>0.45</v>
      </c>
      <c r="F32" s="87">
        <v>35850</v>
      </c>
      <c r="G32" s="196">
        <f>F32</f>
        <v>35850</v>
      </c>
      <c r="H32" s="126">
        <f t="shared" si="0"/>
        <v>0</v>
      </c>
      <c r="I32" s="105"/>
      <c r="J32" s="87">
        <f t="shared" si="2"/>
        <v>4350</v>
      </c>
      <c r="K32" s="87">
        <f t="shared" si="3"/>
        <v>38250</v>
      </c>
      <c r="L32" s="150"/>
      <c r="M32" s="6">
        <f t="shared" si="4"/>
        <v>42600</v>
      </c>
      <c r="N32" s="10">
        <f t="shared" si="1"/>
        <v>45156</v>
      </c>
    </row>
    <row r="33" spans="1:17" x14ac:dyDescent="0.3">
      <c r="A33" s="122" t="s">
        <v>96</v>
      </c>
      <c r="B33" s="7"/>
      <c r="C33" s="7">
        <v>4</v>
      </c>
      <c r="D33" s="128" t="s">
        <v>64</v>
      </c>
      <c r="E33" s="7">
        <v>0.61</v>
      </c>
      <c r="F33" s="87">
        <v>48596.666666666664</v>
      </c>
      <c r="G33" s="196">
        <f t="shared" ref="G33:G34" si="5">F33</f>
        <v>48596.666666666664</v>
      </c>
      <c r="H33" s="126">
        <f t="shared" si="0"/>
        <v>0</v>
      </c>
      <c r="I33" s="105"/>
      <c r="J33" s="87">
        <f t="shared" si="2"/>
        <v>5896.6666666666661</v>
      </c>
      <c r="K33" s="87">
        <f t="shared" si="3"/>
        <v>51850</v>
      </c>
      <c r="L33" s="150"/>
      <c r="M33" s="6">
        <f t="shared" si="4"/>
        <v>57746.666666666664</v>
      </c>
      <c r="N33" s="10">
        <f t="shared" si="1"/>
        <v>61211.466666666667</v>
      </c>
    </row>
    <row r="34" spans="1:17" x14ac:dyDescent="0.3">
      <c r="A34" s="122" t="s">
        <v>96</v>
      </c>
      <c r="B34" s="7"/>
      <c r="C34" s="7">
        <v>5</v>
      </c>
      <c r="D34" s="128" t="s">
        <v>37</v>
      </c>
      <c r="E34" s="7">
        <v>0.54</v>
      </c>
      <c r="F34" s="87">
        <v>43020.000000000007</v>
      </c>
      <c r="G34" s="196">
        <f t="shared" si="5"/>
        <v>43020.000000000007</v>
      </c>
      <c r="H34" s="126">
        <f t="shared" si="0"/>
        <v>0</v>
      </c>
      <c r="I34" s="105"/>
      <c r="J34" s="87">
        <f t="shared" si="2"/>
        <v>5220</v>
      </c>
      <c r="K34" s="87">
        <f t="shared" si="3"/>
        <v>45900</v>
      </c>
      <c r="L34" s="150"/>
      <c r="M34" s="6">
        <f t="shared" si="4"/>
        <v>51120</v>
      </c>
      <c r="N34" s="10">
        <f t="shared" si="1"/>
        <v>54187.199999999997</v>
      </c>
    </row>
    <row r="35" spans="1:17" x14ac:dyDescent="0.3">
      <c r="A35" s="122" t="s">
        <v>96</v>
      </c>
      <c r="B35" s="7"/>
      <c r="C35" s="7">
        <v>6</v>
      </c>
      <c r="D35" s="128" t="s">
        <v>139</v>
      </c>
      <c r="E35" s="7">
        <v>0.5</v>
      </c>
      <c r="F35" s="10">
        <v>39833.333333333336</v>
      </c>
      <c r="G35" s="197">
        <f>F35</f>
        <v>39833.333333333336</v>
      </c>
      <c r="H35" s="126">
        <f t="shared" si="0"/>
        <v>0</v>
      </c>
      <c r="I35" s="105"/>
      <c r="J35" s="87">
        <f t="shared" si="2"/>
        <v>4833.333333333333</v>
      </c>
      <c r="K35" s="87">
        <f t="shared" si="3"/>
        <v>42500</v>
      </c>
      <c r="L35" s="150"/>
      <c r="M35" s="6">
        <f t="shared" si="4"/>
        <v>47333.333333333336</v>
      </c>
      <c r="N35" s="10">
        <f t="shared" si="1"/>
        <v>50173.333333333336</v>
      </c>
    </row>
    <row r="36" spans="1:17" x14ac:dyDescent="0.3">
      <c r="A36" s="122" t="s">
        <v>96</v>
      </c>
      <c r="B36" s="7"/>
      <c r="C36" s="7">
        <v>7</v>
      </c>
      <c r="D36" s="128" t="s">
        <v>60</v>
      </c>
      <c r="E36" s="7">
        <v>0.5</v>
      </c>
      <c r="F36" s="87">
        <v>39833.333333333336</v>
      </c>
      <c r="G36" s="196">
        <f>F36</f>
        <v>39833.333333333336</v>
      </c>
      <c r="H36" s="126">
        <f t="shared" si="0"/>
        <v>0</v>
      </c>
      <c r="I36" s="105"/>
      <c r="J36" s="87">
        <f t="shared" si="2"/>
        <v>4833.333333333333</v>
      </c>
      <c r="K36" s="87">
        <f t="shared" si="3"/>
        <v>42500</v>
      </c>
      <c r="L36" s="150"/>
      <c r="M36" s="6">
        <f t="shared" si="4"/>
        <v>47333.333333333336</v>
      </c>
      <c r="N36" s="10">
        <f t="shared" si="1"/>
        <v>50173.333333333336</v>
      </c>
    </row>
    <row r="37" spans="1:17" x14ac:dyDescent="0.3">
      <c r="A37" s="122" t="s">
        <v>96</v>
      </c>
      <c r="B37" s="7"/>
      <c r="C37" s="7">
        <v>8</v>
      </c>
      <c r="D37" s="128" t="s">
        <v>57</v>
      </c>
      <c r="E37" s="7">
        <v>0.49</v>
      </c>
      <c r="F37" s="87">
        <v>39036.666666666664</v>
      </c>
      <c r="G37" s="196">
        <f t="shared" ref="G37:G41" si="6">F37</f>
        <v>39036.666666666664</v>
      </c>
      <c r="H37" s="126">
        <f t="shared" si="0"/>
        <v>0</v>
      </c>
      <c r="I37" s="105"/>
      <c r="J37" s="87">
        <f t="shared" si="2"/>
        <v>4736.6666666666661</v>
      </c>
      <c r="K37" s="87">
        <f t="shared" si="3"/>
        <v>41650</v>
      </c>
      <c r="L37" s="150"/>
      <c r="M37" s="6">
        <f t="shared" si="4"/>
        <v>46386.666666666664</v>
      </c>
      <c r="N37" s="10">
        <f t="shared" si="1"/>
        <v>49169.866666666661</v>
      </c>
    </row>
    <row r="38" spans="1:17" x14ac:dyDescent="0.3">
      <c r="A38" s="122" t="s">
        <v>96</v>
      </c>
      <c r="B38" s="7"/>
      <c r="C38" s="7">
        <v>9</v>
      </c>
      <c r="D38" s="128" t="s">
        <v>52</v>
      </c>
      <c r="E38" s="7">
        <v>0.49</v>
      </c>
      <c r="F38" s="87">
        <v>39036.666666666664</v>
      </c>
      <c r="G38" s="196">
        <f t="shared" si="6"/>
        <v>39036.666666666664</v>
      </c>
      <c r="H38" s="126">
        <f t="shared" si="0"/>
        <v>0</v>
      </c>
      <c r="I38" s="105"/>
      <c r="J38" s="87">
        <f t="shared" si="2"/>
        <v>4736.6666666666661</v>
      </c>
      <c r="K38" s="87">
        <f t="shared" si="3"/>
        <v>41650</v>
      </c>
      <c r="L38" s="150"/>
      <c r="M38" s="6">
        <f t="shared" si="4"/>
        <v>46386.666666666664</v>
      </c>
      <c r="N38" s="10">
        <f t="shared" si="1"/>
        <v>49169.866666666661</v>
      </c>
    </row>
    <row r="39" spans="1:17" x14ac:dyDescent="0.3">
      <c r="A39" s="122" t="s">
        <v>96</v>
      </c>
      <c r="B39" s="7"/>
      <c r="C39" s="7">
        <v>10</v>
      </c>
      <c r="D39" s="128" t="s">
        <v>62</v>
      </c>
      <c r="E39" s="7">
        <v>0.59</v>
      </c>
      <c r="F39" s="87">
        <v>47003.333333333336</v>
      </c>
      <c r="G39" s="196">
        <f t="shared" si="6"/>
        <v>47003.333333333336</v>
      </c>
      <c r="H39" s="126">
        <f t="shared" si="0"/>
        <v>0</v>
      </c>
      <c r="I39" s="105"/>
      <c r="J39" s="87">
        <f t="shared" si="2"/>
        <v>5703.333333333333</v>
      </c>
      <c r="K39" s="87">
        <f t="shared" si="3"/>
        <v>50150</v>
      </c>
      <c r="L39" s="150"/>
      <c r="M39" s="6">
        <f t="shared" si="4"/>
        <v>55853.333333333336</v>
      </c>
      <c r="N39" s="10">
        <f t="shared" si="1"/>
        <v>59204.533333333333</v>
      </c>
    </row>
    <row r="40" spans="1:17" x14ac:dyDescent="0.3">
      <c r="A40" s="122" t="s">
        <v>96</v>
      </c>
      <c r="B40" s="7"/>
      <c r="C40" s="7">
        <v>11</v>
      </c>
      <c r="D40" s="128" t="s">
        <v>62</v>
      </c>
      <c r="E40" s="7">
        <v>0.56999999999999995</v>
      </c>
      <c r="F40" s="87">
        <v>45409.999999999993</v>
      </c>
      <c r="G40" s="196">
        <f t="shared" si="6"/>
        <v>45409.999999999993</v>
      </c>
      <c r="H40" s="126">
        <f t="shared" si="0"/>
        <v>0</v>
      </c>
      <c r="I40" s="105"/>
      <c r="J40" s="87">
        <f t="shared" si="2"/>
        <v>5509.9999999999991</v>
      </c>
      <c r="K40" s="87">
        <f t="shared" si="3"/>
        <v>48450</v>
      </c>
      <c r="L40" s="150"/>
      <c r="M40" s="6">
        <f t="shared" si="4"/>
        <v>53960</v>
      </c>
      <c r="N40" s="10">
        <f t="shared" si="1"/>
        <v>57197.599999999999</v>
      </c>
    </row>
    <row r="41" spans="1:17" x14ac:dyDescent="0.3">
      <c r="A41" s="122" t="s">
        <v>96</v>
      </c>
      <c r="B41" s="7"/>
      <c r="C41" s="7">
        <v>12</v>
      </c>
      <c r="D41" s="128" t="s">
        <v>50</v>
      </c>
      <c r="E41" s="7">
        <v>0.54</v>
      </c>
      <c r="F41" s="87">
        <v>43020.000000000007</v>
      </c>
      <c r="G41" s="196">
        <f t="shared" si="6"/>
        <v>43020.000000000007</v>
      </c>
      <c r="H41" s="126">
        <f t="shared" si="0"/>
        <v>0</v>
      </c>
      <c r="I41" s="105"/>
      <c r="J41" s="87">
        <f t="shared" si="2"/>
        <v>5220</v>
      </c>
      <c r="K41" s="87">
        <f t="shared" si="3"/>
        <v>45900</v>
      </c>
      <c r="L41" s="150"/>
      <c r="M41" s="6">
        <f t="shared" si="4"/>
        <v>51120</v>
      </c>
      <c r="N41" s="10">
        <f t="shared" si="1"/>
        <v>54187.199999999997</v>
      </c>
    </row>
    <row r="42" spans="1:17" x14ac:dyDescent="0.3">
      <c r="A42" s="122" t="s">
        <v>96</v>
      </c>
      <c r="B42" s="7"/>
      <c r="C42" s="7">
        <v>13</v>
      </c>
      <c r="D42" s="128" t="s">
        <v>66</v>
      </c>
      <c r="E42" s="7">
        <v>0.55000000000000004</v>
      </c>
      <c r="F42" s="87">
        <v>87633.333333333343</v>
      </c>
      <c r="G42" s="196">
        <f>F42</f>
        <v>87633.333333333343</v>
      </c>
      <c r="H42" s="126">
        <f t="shared" si="0"/>
        <v>0</v>
      </c>
      <c r="I42" s="105"/>
      <c r="J42" s="87">
        <f t="shared" si="2"/>
        <v>5316.666666666667</v>
      </c>
      <c r="K42" s="87">
        <f t="shared" si="3"/>
        <v>46750</v>
      </c>
      <c r="L42" s="150"/>
      <c r="M42" s="6">
        <f t="shared" si="4"/>
        <v>52066.666666666664</v>
      </c>
      <c r="N42" s="10">
        <f t="shared" si="1"/>
        <v>55190.666666666664</v>
      </c>
    </row>
    <row r="43" spans="1:17" x14ac:dyDescent="0.3">
      <c r="A43" s="122" t="s">
        <v>96</v>
      </c>
      <c r="B43" s="7"/>
      <c r="C43" s="7">
        <v>14</v>
      </c>
      <c r="D43" s="128" t="s">
        <v>66</v>
      </c>
      <c r="E43" s="7">
        <v>0.45</v>
      </c>
      <c r="F43" s="87">
        <v>71700</v>
      </c>
      <c r="G43" s="196">
        <f t="shared" ref="G43:G44" si="7">F43</f>
        <v>71700</v>
      </c>
      <c r="H43" s="126">
        <f t="shared" si="0"/>
        <v>0</v>
      </c>
      <c r="I43" s="105"/>
      <c r="J43" s="87">
        <f t="shared" si="2"/>
        <v>4350</v>
      </c>
      <c r="K43" s="87">
        <f t="shared" si="3"/>
        <v>38250</v>
      </c>
      <c r="L43" s="150"/>
      <c r="M43" s="6">
        <f t="shared" si="4"/>
        <v>42600</v>
      </c>
      <c r="N43" s="10">
        <f t="shared" si="1"/>
        <v>45156</v>
      </c>
      <c r="P43" s="107">
        <f>L1-K52</f>
        <v>707741.61314300075</v>
      </c>
    </row>
    <row r="44" spans="1:17" x14ac:dyDescent="0.3">
      <c r="A44" s="122" t="s">
        <v>96</v>
      </c>
      <c r="B44" s="7"/>
      <c r="C44" s="7">
        <v>15</v>
      </c>
      <c r="D44" s="128" t="s">
        <v>66</v>
      </c>
      <c r="E44" s="7">
        <v>0.61</v>
      </c>
      <c r="F44" s="87">
        <v>97193.333333333328</v>
      </c>
      <c r="G44" s="196">
        <f t="shared" si="7"/>
        <v>97193.333333333328</v>
      </c>
      <c r="H44" s="126">
        <f t="shared" si="0"/>
        <v>0</v>
      </c>
      <c r="I44" s="105"/>
      <c r="J44" s="87">
        <f t="shared" si="2"/>
        <v>5896.6666666666661</v>
      </c>
      <c r="K44" s="87">
        <f t="shared" si="3"/>
        <v>51850</v>
      </c>
      <c r="L44" s="150"/>
      <c r="M44" s="6">
        <f t="shared" si="4"/>
        <v>57746.666666666664</v>
      </c>
      <c r="N44" s="10">
        <f t="shared" si="1"/>
        <v>61211.466666666667</v>
      </c>
    </row>
    <row r="45" spans="1:17" x14ac:dyDescent="0.3">
      <c r="A45" s="122" t="s">
        <v>96</v>
      </c>
      <c r="B45" s="7"/>
      <c r="C45" s="7">
        <v>16</v>
      </c>
      <c r="D45" s="128" t="s">
        <v>53</v>
      </c>
      <c r="E45" s="7">
        <v>0.54</v>
      </c>
      <c r="F45" s="87">
        <v>43020.000000000007</v>
      </c>
      <c r="G45" s="196">
        <f t="shared" ref="G45:G48" si="8">F45</f>
        <v>43020.000000000007</v>
      </c>
      <c r="H45" s="126">
        <f t="shared" si="0"/>
        <v>0</v>
      </c>
      <c r="I45" s="105"/>
      <c r="J45" s="87">
        <f t="shared" si="2"/>
        <v>5220</v>
      </c>
      <c r="K45" s="87">
        <f t="shared" si="3"/>
        <v>45900</v>
      </c>
      <c r="L45" s="150"/>
      <c r="M45" s="6">
        <f t="shared" si="4"/>
        <v>51120</v>
      </c>
      <c r="N45" s="10">
        <f t="shared" si="1"/>
        <v>54187.199999999997</v>
      </c>
    </row>
    <row r="46" spans="1:17" x14ac:dyDescent="0.3">
      <c r="A46" s="122" t="s">
        <v>96</v>
      </c>
      <c r="B46" s="7"/>
      <c r="C46" s="7">
        <v>17</v>
      </c>
      <c r="D46" s="128" t="s">
        <v>55</v>
      </c>
      <c r="E46" s="7">
        <v>0.5</v>
      </c>
      <c r="F46" s="87">
        <v>39833.333333333336</v>
      </c>
      <c r="G46" s="196"/>
      <c r="H46" s="126">
        <f t="shared" si="0"/>
        <v>39833.333333333336</v>
      </c>
      <c r="I46" s="105"/>
      <c r="J46" s="87">
        <f t="shared" si="2"/>
        <v>4833.333333333333</v>
      </c>
      <c r="K46" s="87">
        <f t="shared" si="3"/>
        <v>42500</v>
      </c>
      <c r="L46" s="150"/>
      <c r="M46" s="6">
        <f t="shared" si="4"/>
        <v>87166.666666666672</v>
      </c>
      <c r="N46" s="10">
        <f t="shared" si="1"/>
        <v>92396.666666666672</v>
      </c>
      <c r="Q46" t="s">
        <v>132</v>
      </c>
    </row>
    <row r="47" spans="1:17" x14ac:dyDescent="0.3">
      <c r="A47" s="122" t="s">
        <v>96</v>
      </c>
      <c r="B47" s="7"/>
      <c r="C47" s="7">
        <v>18</v>
      </c>
      <c r="D47" s="128" t="s">
        <v>47</v>
      </c>
      <c r="E47" s="7">
        <v>0.5</v>
      </c>
      <c r="F47" s="87">
        <v>39833.333333333336</v>
      </c>
      <c r="G47" s="196">
        <f t="shared" si="8"/>
        <v>39833.333333333336</v>
      </c>
      <c r="H47" s="126">
        <f t="shared" si="0"/>
        <v>0</v>
      </c>
      <c r="I47" s="105"/>
      <c r="J47" s="87">
        <f t="shared" si="2"/>
        <v>4833.333333333333</v>
      </c>
      <c r="K47" s="87">
        <f t="shared" si="3"/>
        <v>42500</v>
      </c>
      <c r="L47" s="150"/>
      <c r="M47" s="6">
        <f t="shared" si="4"/>
        <v>47333.333333333336</v>
      </c>
      <c r="N47" s="10">
        <f t="shared" si="1"/>
        <v>50173.333333333336</v>
      </c>
      <c r="O47" s="133"/>
      <c r="Q47" s="130">
        <f>M3-J52</f>
        <v>-888463.33333333314</v>
      </c>
    </row>
    <row r="48" spans="1:17" x14ac:dyDescent="0.3">
      <c r="A48" s="122" t="s">
        <v>96</v>
      </c>
      <c r="B48" s="7"/>
      <c r="C48" s="7">
        <v>19</v>
      </c>
      <c r="D48" s="128" t="s">
        <v>47</v>
      </c>
      <c r="E48" s="7">
        <v>0.49</v>
      </c>
      <c r="F48" s="87">
        <v>39036.666666666664</v>
      </c>
      <c r="G48" s="196">
        <f t="shared" si="8"/>
        <v>39036.666666666664</v>
      </c>
      <c r="H48" s="126">
        <f t="shared" si="0"/>
        <v>0</v>
      </c>
      <c r="I48" s="105"/>
      <c r="J48" s="87">
        <f t="shared" si="2"/>
        <v>4736.6666666666661</v>
      </c>
      <c r="K48" s="87">
        <f t="shared" si="3"/>
        <v>41650</v>
      </c>
      <c r="L48" s="150"/>
      <c r="M48" s="6">
        <f t="shared" si="4"/>
        <v>46386.666666666664</v>
      </c>
      <c r="N48" s="10">
        <f t="shared" si="1"/>
        <v>49169.866666666661</v>
      </c>
    </row>
    <row r="49" spans="1:16" x14ac:dyDescent="0.3">
      <c r="A49" s="122" t="s">
        <v>96</v>
      </c>
      <c r="B49" s="7"/>
      <c r="C49" s="7">
        <v>20</v>
      </c>
      <c r="D49" s="128" t="str">
        <f>D16</f>
        <v>FEUILLANT, GASTON</v>
      </c>
      <c r="E49" s="7">
        <v>0.49</v>
      </c>
      <c r="F49" s="87">
        <v>39036.666666666664</v>
      </c>
      <c r="G49" s="196">
        <f>F49</f>
        <v>39036.666666666664</v>
      </c>
      <c r="H49" s="126">
        <f t="shared" si="0"/>
        <v>0</v>
      </c>
      <c r="I49" s="105"/>
      <c r="J49" s="87">
        <f t="shared" si="2"/>
        <v>4736.6666666666661</v>
      </c>
      <c r="K49" s="87">
        <f t="shared" si="3"/>
        <v>41650</v>
      </c>
      <c r="L49" s="150"/>
      <c r="M49" s="6">
        <f t="shared" si="4"/>
        <v>46386.666666666664</v>
      </c>
      <c r="N49" s="10">
        <f t="shared" si="1"/>
        <v>49169.866666666661</v>
      </c>
    </row>
    <row r="50" spans="1:16" x14ac:dyDescent="0.3">
      <c r="A50" s="122" t="s">
        <v>96</v>
      </c>
      <c r="B50" s="7"/>
      <c r="C50" s="7">
        <v>21</v>
      </c>
      <c r="D50" s="128" t="s">
        <v>42</v>
      </c>
      <c r="E50" s="7">
        <v>0.59</v>
      </c>
      <c r="F50" s="87">
        <v>47003.333333333336</v>
      </c>
      <c r="G50" s="197">
        <f>F50</f>
        <v>47003.333333333336</v>
      </c>
      <c r="H50" s="126">
        <f t="shared" si="0"/>
        <v>0</v>
      </c>
      <c r="I50" s="105"/>
      <c r="J50" s="87">
        <f t="shared" si="2"/>
        <v>5703.333333333333</v>
      </c>
      <c r="K50" s="87">
        <f t="shared" si="3"/>
        <v>50150</v>
      </c>
      <c r="L50" s="150"/>
      <c r="M50" s="6">
        <f t="shared" si="4"/>
        <v>55853.333333333336</v>
      </c>
      <c r="N50" s="10">
        <f t="shared" si="1"/>
        <v>59204.533333333333</v>
      </c>
    </row>
    <row r="51" spans="1:16" x14ac:dyDescent="0.3">
      <c r="A51" s="122" t="s">
        <v>96</v>
      </c>
      <c r="B51" s="7"/>
      <c r="C51" s="7">
        <v>22</v>
      </c>
      <c r="D51" s="128" t="s">
        <v>49</v>
      </c>
      <c r="E51" s="7">
        <v>0.56999999999999995</v>
      </c>
      <c r="F51" s="87">
        <v>45409.999999999993</v>
      </c>
      <c r="G51" s="196">
        <f>F51</f>
        <v>45409.999999999993</v>
      </c>
      <c r="H51" s="126">
        <f t="shared" si="0"/>
        <v>0</v>
      </c>
      <c r="I51" s="105"/>
      <c r="J51" s="87">
        <f t="shared" si="2"/>
        <v>5509.9999999999991</v>
      </c>
      <c r="K51" s="87">
        <f t="shared" si="3"/>
        <v>48450</v>
      </c>
      <c r="L51" s="150"/>
      <c r="M51" s="6">
        <f t="shared" si="4"/>
        <v>53960</v>
      </c>
      <c r="N51" s="10">
        <f t="shared" si="1"/>
        <v>57197.599999999999</v>
      </c>
    </row>
    <row r="52" spans="1:16" ht="14.25" customHeight="1" x14ac:dyDescent="0.3">
      <c r="A52" s="88"/>
      <c r="B52" s="88"/>
      <c r="C52" s="88"/>
      <c r="D52" s="88"/>
      <c r="E52" s="88">
        <f>SUM(E7:E51)</f>
        <v>99.999999999999986</v>
      </c>
      <c r="F52" s="173">
        <f>SUM(F7:F51)</f>
        <v>8247204.8163158055</v>
      </c>
      <c r="G52" s="173">
        <f>SUM(G7:G51)</f>
        <v>8413417.1728006657</v>
      </c>
      <c r="H52" s="88"/>
      <c r="I52" s="88"/>
      <c r="J52" s="123">
        <f>SUM(J8:J51)</f>
        <v>888463.33333333314</v>
      </c>
      <c r="K52" s="89">
        <f>SUM(K7:K51)</f>
        <v>8435582.7868569996</v>
      </c>
      <c r="L52" s="175">
        <f>SUM(L7:L51)</f>
        <v>107465</v>
      </c>
      <c r="M52" s="90">
        <f>SUM(M7:M51)</f>
        <v>9265298.7637054734</v>
      </c>
      <c r="N52" s="89">
        <f>SUM(N7:N51)</f>
        <v>9821216.6895278003</v>
      </c>
      <c r="P52" s="130"/>
    </row>
    <row r="53" spans="1:16" hidden="1" x14ac:dyDescent="0.3">
      <c r="K53" s="133">
        <f>K52-L1</f>
        <v>-707741.61314300075</v>
      </c>
    </row>
    <row r="54" spans="1:16" ht="15" hidden="1" customHeight="1" x14ac:dyDescent="0.3">
      <c r="C54" s="228"/>
      <c r="D54" s="228"/>
      <c r="E54" s="228"/>
      <c r="F54" s="228"/>
      <c r="G54" s="228"/>
      <c r="H54" s="228"/>
      <c r="I54" s="228"/>
      <c r="J54" s="228"/>
      <c r="K54" s="228"/>
      <c r="L54" s="228"/>
      <c r="M54" s="228"/>
      <c r="N54" s="228"/>
    </row>
    <row r="55" spans="1:16" hidden="1" x14ac:dyDescent="0.3">
      <c r="C55" s="228"/>
      <c r="D55" s="228"/>
      <c r="E55" s="228"/>
      <c r="F55" s="228"/>
      <c r="G55" s="228"/>
      <c r="H55" s="228"/>
      <c r="I55" s="228"/>
      <c r="J55" s="228"/>
      <c r="K55" s="228"/>
      <c r="L55" s="228"/>
      <c r="M55" s="228"/>
      <c r="N55" s="228"/>
    </row>
    <row r="56" spans="1:16" x14ac:dyDescent="0.3">
      <c r="C56" s="152"/>
      <c r="D56" s="152"/>
      <c r="E56" s="152"/>
      <c r="F56" s="152"/>
      <c r="G56" s="152"/>
      <c r="H56" s="152"/>
      <c r="I56" s="152"/>
      <c r="J56" s="152"/>
      <c r="K56" s="152"/>
      <c r="L56" s="152"/>
      <c r="M56" s="152"/>
      <c r="N56" s="152"/>
    </row>
    <row r="57" spans="1:16" x14ac:dyDescent="0.3">
      <c r="C57" s="228" t="s">
        <v>129</v>
      </c>
      <c r="D57" s="228"/>
      <c r="E57" s="228"/>
      <c r="F57" s="228"/>
      <c r="G57" s="228"/>
      <c r="H57" s="228"/>
      <c r="I57" s="228"/>
      <c r="J57" s="228"/>
      <c r="K57" s="228"/>
      <c r="L57" s="228"/>
      <c r="M57" s="228"/>
      <c r="N57" s="228"/>
    </row>
    <row r="58" spans="1:16" x14ac:dyDescent="0.3">
      <c r="C58" s="228"/>
      <c r="D58" s="228"/>
      <c r="E58" s="228"/>
      <c r="F58" s="228"/>
      <c r="G58" s="228"/>
      <c r="H58" s="228"/>
      <c r="I58" s="228"/>
      <c r="J58" s="228"/>
      <c r="K58" s="228"/>
      <c r="L58" s="228"/>
      <c r="M58" s="228"/>
      <c r="N58" s="228"/>
    </row>
    <row r="59" spans="1:16" x14ac:dyDescent="0.3">
      <c r="C59" s="228"/>
      <c r="D59" s="228"/>
      <c r="E59" s="228"/>
      <c r="F59" s="228"/>
      <c r="G59" s="228"/>
      <c r="H59" s="228"/>
      <c r="I59" s="228"/>
      <c r="J59" s="228"/>
      <c r="K59" s="228"/>
      <c r="L59" s="228"/>
      <c r="M59" s="228"/>
      <c r="N59" s="228"/>
    </row>
    <row r="60" spans="1:16" x14ac:dyDescent="0.3">
      <c r="C60" s="228"/>
      <c r="D60" s="228"/>
      <c r="E60" s="228"/>
      <c r="F60" s="228"/>
      <c r="G60" s="228"/>
      <c r="H60" s="228"/>
      <c r="I60" s="228"/>
      <c r="J60" s="228"/>
      <c r="K60" s="228"/>
      <c r="L60" s="228"/>
      <c r="M60" s="228"/>
      <c r="N60" s="228"/>
    </row>
    <row r="61" spans="1:16" x14ac:dyDescent="0.3">
      <c r="C61" s="228"/>
      <c r="D61" s="228"/>
      <c r="E61" s="228"/>
      <c r="F61" s="228"/>
      <c r="G61" s="228"/>
      <c r="H61" s="228"/>
      <c r="I61" s="228"/>
      <c r="J61" s="228"/>
      <c r="K61" s="228"/>
      <c r="L61" s="228"/>
      <c r="M61" s="228"/>
      <c r="N61" s="228"/>
    </row>
    <row r="62" spans="1:16" x14ac:dyDescent="0.3">
      <c r="C62" s="228"/>
      <c r="D62" s="228"/>
      <c r="E62" s="228"/>
      <c r="F62" s="228"/>
      <c r="G62" s="228"/>
      <c r="H62" s="228"/>
      <c r="I62" s="228"/>
      <c r="J62" s="228"/>
      <c r="K62" s="228"/>
      <c r="L62" s="228"/>
      <c r="M62" s="228"/>
      <c r="N62" s="228"/>
    </row>
    <row r="63" spans="1:16" x14ac:dyDescent="0.3">
      <c r="C63" s="228"/>
      <c r="D63" s="228"/>
      <c r="E63" s="228"/>
      <c r="F63" s="228"/>
      <c r="G63" s="228"/>
      <c r="H63" s="228"/>
      <c r="I63" s="228"/>
      <c r="J63" s="228"/>
      <c r="K63" s="228"/>
      <c r="L63" s="228"/>
      <c r="M63" s="228"/>
      <c r="N63" s="228"/>
    </row>
  </sheetData>
  <mergeCells count="18">
    <mergeCell ref="C5:C6"/>
    <mergeCell ref="D5:D6"/>
    <mergeCell ref="E5:E6"/>
    <mergeCell ref="F5:F6"/>
    <mergeCell ref="C57:N63"/>
    <mergeCell ref="C54:N55"/>
    <mergeCell ref="L1:M1"/>
    <mergeCell ref="N5:N6"/>
    <mergeCell ref="G5:G6"/>
    <mergeCell ref="H5:H6"/>
    <mergeCell ref="J5:J6"/>
    <mergeCell ref="K5:K6"/>
    <mergeCell ref="L5:L6"/>
    <mergeCell ref="M5:M6"/>
    <mergeCell ref="I5:I6"/>
    <mergeCell ref="A1:J4"/>
    <mergeCell ref="A5:A6"/>
    <mergeCell ref="B5:B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2FF5-218B-41A1-9BCB-F43114942886}">
  <dimension ref="C4:H25"/>
  <sheetViews>
    <sheetView topLeftCell="A7" workbookViewId="0">
      <selection activeCell="C29" sqref="C29"/>
    </sheetView>
  </sheetViews>
  <sheetFormatPr baseColWidth="10" defaultRowHeight="14.4" x14ac:dyDescent="0.3"/>
  <cols>
    <col min="4" max="4" width="14.88671875" customWidth="1"/>
  </cols>
  <sheetData>
    <row r="4" spans="3:8" x14ac:dyDescent="0.3">
      <c r="C4" s="3" t="s">
        <v>142</v>
      </c>
    </row>
    <row r="5" spans="3:8" x14ac:dyDescent="0.3">
      <c r="C5" t="s">
        <v>143</v>
      </c>
      <c r="D5" s="168">
        <v>-447223.45918396302</v>
      </c>
    </row>
    <row r="6" spans="3:8" x14ac:dyDescent="0.3">
      <c r="C6" t="s">
        <v>144</v>
      </c>
      <c r="D6" s="168">
        <v>0</v>
      </c>
    </row>
    <row r="7" spans="3:8" x14ac:dyDescent="0.3">
      <c r="C7" t="s">
        <v>145</v>
      </c>
      <c r="D7" s="168">
        <v>0</v>
      </c>
    </row>
    <row r="8" spans="3:8" x14ac:dyDescent="0.3">
      <c r="C8" t="s">
        <v>146</v>
      </c>
      <c r="D8" s="168">
        <v>0</v>
      </c>
    </row>
    <row r="10" spans="3:8" x14ac:dyDescent="0.3">
      <c r="C10" s="3" t="s">
        <v>148</v>
      </c>
    </row>
    <row r="11" spans="3:8" x14ac:dyDescent="0.3">
      <c r="C11" t="s">
        <v>143</v>
      </c>
      <c r="D11" s="168">
        <v>451182</v>
      </c>
    </row>
    <row r="12" spans="3:8" x14ac:dyDescent="0.3">
      <c r="C12" t="s">
        <v>144</v>
      </c>
      <c r="D12" s="168">
        <v>40606.380000000005</v>
      </c>
    </row>
    <row r="13" spans="3:8" x14ac:dyDescent="0.3">
      <c r="C13" t="s">
        <v>145</v>
      </c>
      <c r="D13" s="168">
        <v>41358.350000000006</v>
      </c>
    </row>
    <row r="14" spans="3:8" x14ac:dyDescent="0.3">
      <c r="C14" t="s">
        <v>146</v>
      </c>
      <c r="D14" s="168">
        <v>37598.5</v>
      </c>
    </row>
    <row r="16" spans="3:8" x14ac:dyDescent="0.3">
      <c r="C16" s="3" t="s">
        <v>147</v>
      </c>
      <c r="D16" s="3"/>
      <c r="E16" s="3"/>
      <c r="F16" s="3"/>
      <c r="G16" s="3"/>
      <c r="H16" s="3"/>
    </row>
    <row r="17" spans="3:4" x14ac:dyDescent="0.3">
      <c r="C17" t="s">
        <v>143</v>
      </c>
      <c r="D17" s="168">
        <f>D11+D5</f>
        <v>3958.5408160369843</v>
      </c>
    </row>
    <row r="18" spans="3:4" x14ac:dyDescent="0.3">
      <c r="C18" t="s">
        <v>144</v>
      </c>
      <c r="D18" s="168">
        <v>40606.380000000005</v>
      </c>
    </row>
    <row r="19" spans="3:4" x14ac:dyDescent="0.3">
      <c r="C19" t="s">
        <v>145</v>
      </c>
      <c r="D19" s="168">
        <v>41358.350000000006</v>
      </c>
    </row>
    <row r="20" spans="3:4" x14ac:dyDescent="0.3">
      <c r="C20" t="s">
        <v>146</v>
      </c>
      <c r="D20" s="168">
        <v>37598.5</v>
      </c>
    </row>
    <row r="21" spans="3:4" ht="15" thickBot="1" x14ac:dyDescent="0.35">
      <c r="C21" t="s">
        <v>150</v>
      </c>
      <c r="D21" s="168">
        <v>-25000</v>
      </c>
    </row>
    <row r="22" spans="3:4" x14ac:dyDescent="0.3">
      <c r="C22" s="252" t="s">
        <v>149</v>
      </c>
      <c r="D22" s="255">
        <f>SUM(D17:D21)</f>
        <v>98521.770816036995</v>
      </c>
    </row>
    <row r="23" spans="3:4" x14ac:dyDescent="0.3">
      <c r="C23" s="253"/>
      <c r="D23" s="256"/>
    </row>
    <row r="24" spans="3:4" x14ac:dyDescent="0.3">
      <c r="C24" s="253"/>
      <c r="D24" s="256"/>
    </row>
    <row r="25" spans="3:4" ht="15" thickBot="1" x14ac:dyDescent="0.35">
      <c r="C25" s="254"/>
      <c r="D25" s="257"/>
    </row>
  </sheetData>
  <mergeCells count="2">
    <mergeCell ref="C22:C25"/>
    <mergeCell ref="D22:D2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
  <sheetViews>
    <sheetView topLeftCell="A7" workbookViewId="0">
      <selection activeCell="N2" sqref="N2"/>
    </sheetView>
  </sheetViews>
  <sheetFormatPr baseColWidth="10" defaultRowHeight="14.4" x14ac:dyDescent="0.3"/>
  <cols>
    <col min="1" max="1" width="8.44140625" customWidth="1"/>
    <col min="2" max="2" width="17.6640625" customWidth="1"/>
    <col min="3" max="3" width="8.88671875" customWidth="1"/>
    <col min="12" max="12" width="13.6640625" customWidth="1"/>
    <col min="13" max="13" width="11.44140625" hidden="1" customWidth="1"/>
  </cols>
  <sheetData>
    <row r="1" spans="1:15" x14ac:dyDescent="0.3">
      <c r="A1" s="47"/>
      <c r="B1" s="48"/>
      <c r="C1" s="48"/>
      <c r="D1" s="49" t="s">
        <v>17</v>
      </c>
      <c r="E1" s="49"/>
      <c r="F1" s="48"/>
      <c r="G1" s="48"/>
      <c r="H1" s="48"/>
      <c r="I1" s="48"/>
      <c r="J1" s="48"/>
      <c r="K1" s="48"/>
      <c r="L1" s="49" t="s">
        <v>70</v>
      </c>
      <c r="M1" s="48"/>
      <c r="N1" s="51" t="str">
        <f>RESUMEN!C5</f>
        <v>VTO: 16/02</v>
      </c>
      <c r="O1" s="51"/>
    </row>
    <row r="2" spans="1:15" x14ac:dyDescent="0.3">
      <c r="A2" s="48"/>
      <c r="B2" s="50"/>
      <c r="C2" s="50"/>
      <c r="D2" s="49" t="s">
        <v>18</v>
      </c>
      <c r="E2" s="48"/>
      <c r="F2" s="48"/>
      <c r="G2" s="48"/>
      <c r="H2" s="48"/>
      <c r="I2" s="48"/>
      <c r="J2" s="48"/>
      <c r="K2" s="48"/>
      <c r="L2" s="48"/>
      <c r="M2" s="48"/>
      <c r="N2" s="48"/>
      <c r="O2" s="48"/>
    </row>
    <row r="3" spans="1:15" x14ac:dyDescent="0.3">
      <c r="A3" s="48"/>
      <c r="B3" s="50"/>
      <c r="C3" s="50"/>
      <c r="D3" s="49"/>
      <c r="E3" s="48"/>
      <c r="F3" s="48"/>
      <c r="G3" s="48"/>
      <c r="H3" s="48"/>
      <c r="I3" s="48"/>
      <c r="J3" s="49" t="s">
        <v>71</v>
      </c>
      <c r="K3" s="49"/>
      <c r="L3" s="52">
        <v>249991.29847799998</v>
      </c>
      <c r="M3" s="48"/>
      <c r="N3" s="53">
        <v>-1891.33</v>
      </c>
      <c r="O3" s="53"/>
    </row>
    <row r="4" spans="1:15" ht="15" thickBot="1" x14ac:dyDescent="0.35">
      <c r="A4" s="48"/>
      <c r="B4" s="50"/>
      <c r="C4" s="50"/>
      <c r="D4" s="49"/>
      <c r="E4" s="48"/>
      <c r="F4" s="48"/>
      <c r="G4" s="48"/>
      <c r="H4" s="48"/>
      <c r="I4" s="48"/>
      <c r="J4" s="49" t="s">
        <v>72</v>
      </c>
      <c r="K4" s="49"/>
      <c r="L4" s="52">
        <v>0</v>
      </c>
      <c r="M4" s="48"/>
      <c r="N4" s="48"/>
      <c r="O4" s="48"/>
    </row>
    <row r="5" spans="1:15" ht="28.8" x14ac:dyDescent="0.3">
      <c r="A5" s="258" t="s">
        <v>73</v>
      </c>
      <c r="B5" s="258" t="s">
        <v>22</v>
      </c>
      <c r="C5" s="54" t="s">
        <v>74</v>
      </c>
      <c r="D5" s="34" t="s">
        <v>23</v>
      </c>
      <c r="E5" s="34" t="s">
        <v>24</v>
      </c>
      <c r="F5" s="258" t="s">
        <v>75</v>
      </c>
      <c r="G5" s="36" t="s">
        <v>76</v>
      </c>
      <c r="H5" s="37" t="s">
        <v>27</v>
      </c>
      <c r="I5" s="35" t="s">
        <v>77</v>
      </c>
      <c r="J5" s="38" t="s">
        <v>28</v>
      </c>
      <c r="K5" s="39" t="s">
        <v>28</v>
      </c>
      <c r="L5" s="36" t="s">
        <v>29</v>
      </c>
      <c r="M5" s="40"/>
      <c r="N5" s="258" t="s">
        <v>78</v>
      </c>
      <c r="O5" s="258" t="s">
        <v>79</v>
      </c>
    </row>
    <row r="6" spans="1:15" x14ac:dyDescent="0.3">
      <c r="A6" s="259"/>
      <c r="B6" s="259"/>
      <c r="C6" s="55" t="s">
        <v>80</v>
      </c>
      <c r="D6" s="41" t="s">
        <v>30</v>
      </c>
      <c r="E6" s="41" t="s">
        <v>31</v>
      </c>
      <c r="F6" s="259"/>
      <c r="G6" s="43" t="s">
        <v>81</v>
      </c>
      <c r="H6" s="44">
        <v>0.06</v>
      </c>
      <c r="I6" s="42" t="s">
        <v>82</v>
      </c>
      <c r="J6" s="45" t="s">
        <v>32</v>
      </c>
      <c r="K6" s="46" t="s">
        <v>83</v>
      </c>
      <c r="L6" s="43" t="s">
        <v>84</v>
      </c>
      <c r="M6" s="46"/>
      <c r="N6" s="259"/>
      <c r="O6" s="259"/>
    </row>
    <row r="7" spans="1:15" ht="15" customHeight="1" x14ac:dyDescent="0.3">
      <c r="A7" s="14">
        <v>1</v>
      </c>
      <c r="B7" s="83" t="s">
        <v>60</v>
      </c>
      <c r="C7" s="86">
        <v>5.4</v>
      </c>
      <c r="D7" s="6">
        <v>13967.239436680005</v>
      </c>
      <c r="E7" s="57">
        <f>D7</f>
        <v>13967.239436680005</v>
      </c>
      <c r="F7" s="22">
        <v>0</v>
      </c>
      <c r="G7" s="20">
        <v>0</v>
      </c>
      <c r="H7" s="26">
        <v>0</v>
      </c>
      <c r="I7" s="16">
        <v>0.54</v>
      </c>
      <c r="J7" s="22">
        <v>11608.200117812001</v>
      </c>
      <c r="K7" s="28">
        <v>0</v>
      </c>
      <c r="L7" s="20">
        <v>11608.200117812001</v>
      </c>
      <c r="M7" s="17"/>
      <c r="N7" s="6">
        <v>11608.200117812001</v>
      </c>
      <c r="O7" s="6">
        <v>12304.692124880721</v>
      </c>
    </row>
    <row r="8" spans="1:15" ht="15" customHeight="1" x14ac:dyDescent="0.3">
      <c r="A8" s="14">
        <v>2</v>
      </c>
      <c r="B8" s="83" t="s">
        <v>60</v>
      </c>
      <c r="C8" s="86">
        <v>5.5</v>
      </c>
      <c r="D8" s="6">
        <v>14267.901278100004</v>
      </c>
      <c r="E8" s="57">
        <f t="shared" ref="E8:E28" si="0">D8</f>
        <v>14267.901278100004</v>
      </c>
      <c r="F8" s="22">
        <v>0</v>
      </c>
      <c r="G8" s="20">
        <v>0</v>
      </c>
      <c r="H8" s="26">
        <v>0</v>
      </c>
      <c r="I8" s="16">
        <v>0.55000000000000004</v>
      </c>
      <c r="J8" s="22">
        <v>11858.191416289999</v>
      </c>
      <c r="K8" s="28">
        <v>0</v>
      </c>
      <c r="L8" s="20">
        <v>11858.191416289999</v>
      </c>
      <c r="M8" s="17"/>
      <c r="N8" s="6">
        <v>11858.191416289999</v>
      </c>
      <c r="O8" s="6">
        <v>12569.682901267399</v>
      </c>
    </row>
    <row r="9" spans="1:15" ht="15" customHeight="1" x14ac:dyDescent="0.3">
      <c r="A9" s="14">
        <v>3</v>
      </c>
      <c r="B9" s="83" t="s">
        <v>64</v>
      </c>
      <c r="C9" s="86">
        <v>4.5</v>
      </c>
      <c r="D9" s="6">
        <v>11261.282863900002</v>
      </c>
      <c r="E9" s="57">
        <f t="shared" si="0"/>
        <v>11261.282863900002</v>
      </c>
      <c r="F9" s="22">
        <v>0</v>
      </c>
      <c r="G9" s="20">
        <v>0</v>
      </c>
      <c r="H9" s="26">
        <v>0</v>
      </c>
      <c r="I9" s="16">
        <v>0.45</v>
      </c>
      <c r="J9" s="22">
        <v>9358.278431509998</v>
      </c>
      <c r="K9" s="28">
        <v>0</v>
      </c>
      <c r="L9" s="20">
        <v>9358.278431509998</v>
      </c>
      <c r="M9" s="17"/>
      <c r="N9" s="6">
        <v>9358.278431509998</v>
      </c>
      <c r="O9" s="6">
        <v>9919.7751374005984</v>
      </c>
    </row>
    <row r="10" spans="1:15" ht="15" customHeight="1" x14ac:dyDescent="0.3">
      <c r="A10" s="14">
        <v>4</v>
      </c>
      <c r="B10" s="83" t="s">
        <v>64</v>
      </c>
      <c r="C10" s="86">
        <v>6.1</v>
      </c>
      <c r="D10" s="6">
        <v>16071.872326620005</v>
      </c>
      <c r="E10" s="57">
        <f t="shared" si="0"/>
        <v>16071.872326620005</v>
      </c>
      <c r="F10" s="22">
        <v>0</v>
      </c>
      <c r="G10" s="20">
        <v>0</v>
      </c>
      <c r="H10" s="26">
        <v>0</v>
      </c>
      <c r="I10" s="16">
        <v>0.61</v>
      </c>
      <c r="J10" s="22">
        <v>13358.139207157999</v>
      </c>
      <c r="K10" s="28">
        <v>0</v>
      </c>
      <c r="L10" s="20">
        <v>13358.139207157999</v>
      </c>
      <c r="M10" s="17"/>
      <c r="N10" s="6">
        <v>13358.139207157999</v>
      </c>
      <c r="O10" s="6">
        <v>14159.627559587479</v>
      </c>
    </row>
    <row r="11" spans="1:15" ht="15" customHeight="1" x14ac:dyDescent="0.3">
      <c r="A11" s="14">
        <v>5</v>
      </c>
      <c r="B11" s="83" t="s">
        <v>37</v>
      </c>
      <c r="C11" s="86">
        <v>5.4</v>
      </c>
      <c r="D11" s="6">
        <v>13967.239436680005</v>
      </c>
      <c r="E11" s="57">
        <f t="shared" si="0"/>
        <v>13967.239436680005</v>
      </c>
      <c r="F11" s="22">
        <v>0</v>
      </c>
      <c r="G11" s="20">
        <v>0</v>
      </c>
      <c r="H11" s="26">
        <v>0</v>
      </c>
      <c r="I11" s="16">
        <v>0.54</v>
      </c>
      <c r="J11" s="22">
        <v>11608.200117812001</v>
      </c>
      <c r="K11" s="28">
        <v>0</v>
      </c>
      <c r="L11" s="20">
        <v>11608.200117812001</v>
      </c>
      <c r="M11" s="17"/>
      <c r="N11" s="6">
        <v>11608.200117812001</v>
      </c>
      <c r="O11" s="6">
        <v>12304.692124880721</v>
      </c>
    </row>
    <row r="12" spans="1:15" ht="15" customHeight="1" x14ac:dyDescent="0.3">
      <c r="A12" s="14">
        <v>6</v>
      </c>
      <c r="B12" s="84" t="s">
        <v>45</v>
      </c>
      <c r="C12" s="86">
        <v>5</v>
      </c>
      <c r="D12" s="6">
        <v>12764.592071000003</v>
      </c>
      <c r="E12" s="57">
        <f t="shared" si="0"/>
        <v>12764.592071000003</v>
      </c>
      <c r="F12" s="22">
        <v>0</v>
      </c>
      <c r="G12" s="20">
        <v>0</v>
      </c>
      <c r="H12" s="26">
        <v>0</v>
      </c>
      <c r="I12" s="16">
        <v>0.5</v>
      </c>
      <c r="J12" s="22">
        <v>10608.2349239</v>
      </c>
      <c r="K12" s="28">
        <v>0</v>
      </c>
      <c r="L12" s="20">
        <v>10608.2349239</v>
      </c>
      <c r="M12" s="17"/>
      <c r="N12" s="6">
        <v>10608.2349239</v>
      </c>
      <c r="O12" s="6">
        <v>11244.729019334</v>
      </c>
    </row>
    <row r="13" spans="1:15" ht="15" customHeight="1" x14ac:dyDescent="0.3">
      <c r="A13" s="14">
        <v>7</v>
      </c>
      <c r="B13" s="83" t="s">
        <v>60</v>
      </c>
      <c r="C13" s="86">
        <v>5</v>
      </c>
      <c r="D13" s="6">
        <v>12764.592071000003</v>
      </c>
      <c r="E13" s="57">
        <f t="shared" si="0"/>
        <v>12764.592071000003</v>
      </c>
      <c r="F13" s="22">
        <v>0</v>
      </c>
      <c r="G13" s="20">
        <v>0</v>
      </c>
      <c r="H13" s="26">
        <v>0</v>
      </c>
      <c r="I13" s="16">
        <v>0.5</v>
      </c>
      <c r="J13" s="22">
        <v>10608.2349239</v>
      </c>
      <c r="K13" s="28">
        <v>0</v>
      </c>
      <c r="L13" s="20">
        <v>10608.2349239</v>
      </c>
      <c r="M13" s="17"/>
      <c r="N13" s="6">
        <v>10608.2349239</v>
      </c>
      <c r="O13" s="6">
        <v>11244.729019334</v>
      </c>
    </row>
    <row r="14" spans="1:15" ht="15" customHeight="1" x14ac:dyDescent="0.3">
      <c r="A14" s="14">
        <v>8</v>
      </c>
      <c r="B14" s="83" t="s">
        <v>57</v>
      </c>
      <c r="C14" s="86">
        <v>4.9000000000000004</v>
      </c>
      <c r="D14" s="6">
        <v>12463.930229580003</v>
      </c>
      <c r="E14" s="57">
        <f t="shared" si="0"/>
        <v>12463.930229580003</v>
      </c>
      <c r="F14" s="22">
        <v>0</v>
      </c>
      <c r="G14" s="20">
        <v>0</v>
      </c>
      <c r="H14" s="26">
        <v>0</v>
      </c>
      <c r="I14" s="16">
        <v>0.49</v>
      </c>
      <c r="J14" s="22">
        <v>10358.243625421999</v>
      </c>
      <c r="K14" s="28">
        <v>0</v>
      </c>
      <c r="L14" s="20">
        <v>10358.243625421999</v>
      </c>
      <c r="M14" s="17"/>
      <c r="N14" s="6">
        <v>10358.243625421999</v>
      </c>
      <c r="O14" s="6">
        <v>10979.738242947318</v>
      </c>
    </row>
    <row r="15" spans="1:15" ht="15" customHeight="1" x14ac:dyDescent="0.3">
      <c r="A15" s="14">
        <v>9</v>
      </c>
      <c r="B15" s="83" t="s">
        <v>52</v>
      </c>
      <c r="C15" s="86">
        <v>4.9000000000000004</v>
      </c>
      <c r="D15" s="6">
        <v>12463.930229580003</v>
      </c>
      <c r="E15" s="57">
        <f t="shared" si="0"/>
        <v>12463.930229580003</v>
      </c>
      <c r="F15" s="22">
        <v>0</v>
      </c>
      <c r="G15" s="20">
        <v>0</v>
      </c>
      <c r="H15" s="26">
        <v>0</v>
      </c>
      <c r="I15" s="16">
        <v>0.49</v>
      </c>
      <c r="J15" s="22">
        <v>10358.243625421999</v>
      </c>
      <c r="K15" s="28">
        <v>0</v>
      </c>
      <c r="L15" s="20">
        <v>10358.243625421999</v>
      </c>
      <c r="M15" s="17"/>
      <c r="N15" s="6">
        <v>10358.243625421999</v>
      </c>
      <c r="O15" s="6">
        <v>10979.738242947318</v>
      </c>
    </row>
    <row r="16" spans="1:15" ht="15" customHeight="1" x14ac:dyDescent="0.3">
      <c r="A16" s="14">
        <v>10</v>
      </c>
      <c r="B16" s="83" t="s">
        <v>62</v>
      </c>
      <c r="C16" s="86">
        <v>5.9</v>
      </c>
      <c r="D16" s="6">
        <v>15470.548643780005</v>
      </c>
      <c r="E16" s="57">
        <f t="shared" si="0"/>
        <v>15470.548643780005</v>
      </c>
      <c r="F16" s="22">
        <v>0</v>
      </c>
      <c r="G16" s="20">
        <v>0</v>
      </c>
      <c r="H16" s="26">
        <v>0</v>
      </c>
      <c r="I16" s="16">
        <v>0.59</v>
      </c>
      <c r="J16" s="22">
        <v>12858.156610202001</v>
      </c>
      <c r="K16" s="28">
        <v>0</v>
      </c>
      <c r="L16" s="20">
        <v>12858.156610202001</v>
      </c>
      <c r="M16" s="17"/>
      <c r="N16" s="6">
        <v>12858.156610202001</v>
      </c>
      <c r="O16" s="6">
        <v>13629.64600681412</v>
      </c>
    </row>
    <row r="17" spans="1:15" ht="15" customHeight="1" x14ac:dyDescent="0.3">
      <c r="A17" s="14">
        <v>11</v>
      </c>
      <c r="B17" s="83" t="s">
        <v>62</v>
      </c>
      <c r="C17" s="86">
        <v>5.7</v>
      </c>
      <c r="D17" s="6">
        <v>14869.224960940002</v>
      </c>
      <c r="E17" s="57">
        <f t="shared" si="0"/>
        <v>14869.224960940002</v>
      </c>
      <c r="F17" s="22">
        <v>0</v>
      </c>
      <c r="G17" s="20">
        <v>0</v>
      </c>
      <c r="H17" s="26">
        <v>0</v>
      </c>
      <c r="I17" s="16">
        <v>0.56999999999999995</v>
      </c>
      <c r="J17" s="22">
        <v>12358.174013246</v>
      </c>
      <c r="K17" s="28">
        <v>0</v>
      </c>
      <c r="L17" s="20">
        <v>12358.174013246</v>
      </c>
      <c r="M17" s="17"/>
      <c r="N17" s="6">
        <v>12358.174013246</v>
      </c>
      <c r="O17" s="6">
        <v>13099.66445404076</v>
      </c>
    </row>
    <row r="18" spans="1:15" ht="15" customHeight="1" x14ac:dyDescent="0.3">
      <c r="A18" s="14">
        <v>12</v>
      </c>
      <c r="B18" s="83" t="s">
        <v>50</v>
      </c>
      <c r="C18" s="86">
        <v>5.4</v>
      </c>
      <c r="D18" s="6">
        <v>13967.239436680005</v>
      </c>
      <c r="E18" s="57">
        <f t="shared" si="0"/>
        <v>13967.239436680005</v>
      </c>
      <c r="F18" s="22">
        <v>0</v>
      </c>
      <c r="G18" s="20">
        <v>0</v>
      </c>
      <c r="H18" s="26">
        <v>0</v>
      </c>
      <c r="I18" s="16">
        <v>0.54</v>
      </c>
      <c r="J18" s="22">
        <v>11608.200117812001</v>
      </c>
      <c r="K18" s="28">
        <v>0</v>
      </c>
      <c r="L18" s="20">
        <v>11608.200117812001</v>
      </c>
      <c r="M18" s="17"/>
      <c r="N18" s="6">
        <v>11608.200117812001</v>
      </c>
      <c r="O18" s="6">
        <v>12304.692124880721</v>
      </c>
    </row>
    <row r="19" spans="1:15" ht="15" customHeight="1" x14ac:dyDescent="0.3">
      <c r="A19" s="14">
        <v>13</v>
      </c>
      <c r="B19" s="83" t="s">
        <v>66</v>
      </c>
      <c r="C19" s="86">
        <v>5.5</v>
      </c>
      <c r="D19" s="6">
        <v>14267.901278100004</v>
      </c>
      <c r="E19" s="57">
        <f t="shared" si="0"/>
        <v>14267.901278100004</v>
      </c>
      <c r="F19" s="22">
        <v>0</v>
      </c>
      <c r="G19" s="20">
        <v>0</v>
      </c>
      <c r="H19" s="26">
        <v>0</v>
      </c>
      <c r="I19" s="16">
        <v>0.55000000000000004</v>
      </c>
      <c r="J19" s="22">
        <v>11858.191416289999</v>
      </c>
      <c r="K19" s="28">
        <v>0</v>
      </c>
      <c r="L19" s="20">
        <v>11858.191416289999</v>
      </c>
      <c r="M19" s="17"/>
      <c r="N19" s="6">
        <v>11858.191416289999</v>
      </c>
      <c r="O19" s="6">
        <v>12569.682901267399</v>
      </c>
    </row>
    <row r="20" spans="1:15" ht="15" customHeight="1" x14ac:dyDescent="0.3">
      <c r="A20" s="14">
        <v>14</v>
      </c>
      <c r="B20" s="83" t="s">
        <v>66</v>
      </c>
      <c r="C20" s="86">
        <v>4.5</v>
      </c>
      <c r="D20" s="6">
        <v>11261.282863900002</v>
      </c>
      <c r="E20" s="57">
        <f t="shared" si="0"/>
        <v>11261.282863900002</v>
      </c>
      <c r="F20" s="22">
        <v>0</v>
      </c>
      <c r="G20" s="20">
        <v>0</v>
      </c>
      <c r="H20" s="26">
        <v>0</v>
      </c>
      <c r="I20" s="16">
        <v>0.45</v>
      </c>
      <c r="J20" s="22">
        <v>9358.278431509998</v>
      </c>
      <c r="K20" s="28">
        <v>0</v>
      </c>
      <c r="L20" s="20">
        <v>9358.278431509998</v>
      </c>
      <c r="M20" s="17"/>
      <c r="N20" s="6">
        <v>9358.278431509998</v>
      </c>
      <c r="O20" s="6">
        <v>9919.7751374005984</v>
      </c>
    </row>
    <row r="21" spans="1:15" ht="15" customHeight="1" x14ac:dyDescent="0.3">
      <c r="A21" s="14">
        <v>15</v>
      </c>
      <c r="B21" s="83" t="s">
        <v>66</v>
      </c>
      <c r="C21" s="86">
        <v>6.1</v>
      </c>
      <c r="D21" s="6">
        <v>16071.872326620005</v>
      </c>
      <c r="E21" s="57">
        <f t="shared" si="0"/>
        <v>16071.872326620005</v>
      </c>
      <c r="F21" s="22">
        <v>0</v>
      </c>
      <c r="G21" s="20">
        <v>0</v>
      </c>
      <c r="H21" s="6">
        <v>0</v>
      </c>
      <c r="I21" s="16">
        <v>0.61</v>
      </c>
      <c r="J21" s="22">
        <v>13358.139207157999</v>
      </c>
      <c r="K21" s="28">
        <v>0</v>
      </c>
      <c r="L21" s="20">
        <v>13358.139207157999</v>
      </c>
      <c r="M21" s="17"/>
      <c r="N21" s="6">
        <v>13358.139207157999</v>
      </c>
      <c r="O21" s="6">
        <v>14159.627559587479</v>
      </c>
    </row>
    <row r="22" spans="1:15" ht="15" customHeight="1" x14ac:dyDescent="0.3">
      <c r="A22" s="14">
        <v>16</v>
      </c>
      <c r="B22" s="83" t="s">
        <v>53</v>
      </c>
      <c r="C22" s="86">
        <v>5.4</v>
      </c>
      <c r="D22" s="6">
        <v>13967.239436680005</v>
      </c>
      <c r="E22" s="57">
        <f t="shared" si="0"/>
        <v>13967.239436680005</v>
      </c>
      <c r="F22" s="22">
        <v>0</v>
      </c>
      <c r="G22" s="20">
        <v>0</v>
      </c>
      <c r="H22" s="26">
        <v>0</v>
      </c>
      <c r="I22" s="16">
        <v>0.54</v>
      </c>
      <c r="J22" s="22">
        <v>11608.200117812001</v>
      </c>
      <c r="K22" s="28">
        <v>0</v>
      </c>
      <c r="L22" s="20">
        <v>11608.200117812001</v>
      </c>
      <c r="M22" s="17"/>
      <c r="N22" s="6">
        <v>11608.200117812001</v>
      </c>
      <c r="O22" s="6">
        <v>12304.692124880721</v>
      </c>
    </row>
    <row r="23" spans="1:15" ht="15" customHeight="1" x14ac:dyDescent="0.3">
      <c r="A23" s="14">
        <v>17</v>
      </c>
      <c r="B23" s="83" t="s">
        <v>55</v>
      </c>
      <c r="C23" s="86">
        <v>5</v>
      </c>
      <c r="D23" s="6">
        <v>12764.592071000003</v>
      </c>
      <c r="E23" s="57">
        <f t="shared" si="0"/>
        <v>12764.592071000003</v>
      </c>
      <c r="F23" s="22">
        <v>0</v>
      </c>
      <c r="G23" s="20">
        <v>0</v>
      </c>
      <c r="H23" s="26">
        <v>0</v>
      </c>
      <c r="I23" s="16">
        <v>0.5</v>
      </c>
      <c r="J23" s="22">
        <v>10608.2349239</v>
      </c>
      <c r="K23" s="28">
        <v>0</v>
      </c>
      <c r="L23" s="20">
        <v>10608.2349239</v>
      </c>
      <c r="M23" s="17"/>
      <c r="N23" s="6">
        <v>10608.2349239</v>
      </c>
      <c r="O23" s="6">
        <v>11244.729019334</v>
      </c>
    </row>
    <row r="24" spans="1:15" ht="15" customHeight="1" x14ac:dyDescent="0.3">
      <c r="A24" s="14">
        <v>18</v>
      </c>
      <c r="B24" s="83" t="s">
        <v>47</v>
      </c>
      <c r="C24" s="86">
        <v>5</v>
      </c>
      <c r="D24" s="6">
        <v>12764.592071000003</v>
      </c>
      <c r="E24" s="57">
        <f t="shared" si="0"/>
        <v>12764.592071000003</v>
      </c>
      <c r="F24" s="22">
        <v>0</v>
      </c>
      <c r="G24" s="20">
        <v>0</v>
      </c>
      <c r="H24" s="26">
        <v>0</v>
      </c>
      <c r="I24" s="16">
        <v>0.5</v>
      </c>
      <c r="J24" s="22">
        <v>10608.2349239</v>
      </c>
      <c r="K24" s="28">
        <v>0</v>
      </c>
      <c r="L24" s="20">
        <v>10608.2349239</v>
      </c>
      <c r="M24" s="17"/>
      <c r="N24" s="6">
        <v>10608.2349239</v>
      </c>
      <c r="O24" s="6">
        <v>11244.729019334</v>
      </c>
    </row>
    <row r="25" spans="1:15" ht="15" customHeight="1" x14ac:dyDescent="0.3">
      <c r="A25" s="14">
        <v>19</v>
      </c>
      <c r="B25" s="83" t="s">
        <v>47</v>
      </c>
      <c r="C25" s="86">
        <v>4.9000000000000004</v>
      </c>
      <c r="D25" s="6">
        <v>12463.930229580003</v>
      </c>
      <c r="E25" s="57">
        <f t="shared" si="0"/>
        <v>12463.930229580003</v>
      </c>
      <c r="F25" s="22">
        <v>0</v>
      </c>
      <c r="G25" s="20">
        <v>0</v>
      </c>
      <c r="H25" s="26">
        <v>0</v>
      </c>
      <c r="I25" s="16">
        <v>0.49</v>
      </c>
      <c r="J25" s="22">
        <v>10358.243625421999</v>
      </c>
      <c r="K25" s="28">
        <v>0</v>
      </c>
      <c r="L25" s="20">
        <v>10358.243625421999</v>
      </c>
      <c r="M25" s="17"/>
      <c r="N25" s="6">
        <v>10358.243625421999</v>
      </c>
      <c r="O25" s="6">
        <v>10979.738242947318</v>
      </c>
    </row>
    <row r="26" spans="1:15" ht="15" customHeight="1" x14ac:dyDescent="0.3">
      <c r="A26" s="14">
        <v>20</v>
      </c>
      <c r="B26" s="83" t="s">
        <v>85</v>
      </c>
      <c r="C26" s="86">
        <v>4.9000000000000004</v>
      </c>
      <c r="D26" s="6">
        <v>12463.930229580003</v>
      </c>
      <c r="E26" s="57">
        <f t="shared" si="0"/>
        <v>12463.930229580003</v>
      </c>
      <c r="F26" s="22">
        <v>0</v>
      </c>
      <c r="G26" s="20">
        <v>0</v>
      </c>
      <c r="H26" s="26">
        <v>0</v>
      </c>
      <c r="I26" s="16">
        <v>0.49</v>
      </c>
      <c r="J26" s="22">
        <v>10358.243625421999</v>
      </c>
      <c r="K26" s="28">
        <v>0</v>
      </c>
      <c r="L26" s="20">
        <v>10358.243625421999</v>
      </c>
      <c r="M26" s="17"/>
      <c r="N26" s="6">
        <v>10358.243625421999</v>
      </c>
      <c r="O26" s="6">
        <v>10979.738242947318</v>
      </c>
    </row>
    <row r="27" spans="1:15" ht="15" customHeight="1" x14ac:dyDescent="0.3">
      <c r="A27" s="14">
        <v>21</v>
      </c>
      <c r="B27" s="83" t="s">
        <v>42</v>
      </c>
      <c r="C27" s="86">
        <v>5.9</v>
      </c>
      <c r="D27" s="6">
        <v>15470.548643780005</v>
      </c>
      <c r="E27" s="57">
        <f t="shared" si="0"/>
        <v>15470.548643780005</v>
      </c>
      <c r="F27" s="22">
        <v>0</v>
      </c>
      <c r="G27" s="20">
        <v>0</v>
      </c>
      <c r="H27" s="26">
        <v>0</v>
      </c>
      <c r="I27" s="16">
        <v>0.59</v>
      </c>
      <c r="J27" s="22">
        <v>12858.156610202001</v>
      </c>
      <c r="K27" s="28">
        <v>0</v>
      </c>
      <c r="L27" s="20">
        <v>12858.156610202001</v>
      </c>
      <c r="M27" s="17"/>
      <c r="N27" s="6">
        <v>12858.156610202001</v>
      </c>
      <c r="O27" s="6">
        <v>13629.64600681412</v>
      </c>
    </row>
    <row r="28" spans="1:15" ht="15" customHeight="1" x14ac:dyDescent="0.3">
      <c r="A28" s="14">
        <v>22</v>
      </c>
      <c r="B28" s="85" t="s">
        <v>49</v>
      </c>
      <c r="C28" s="86">
        <v>5.7</v>
      </c>
      <c r="D28" s="6">
        <v>14869.224960940002</v>
      </c>
      <c r="E28" s="57">
        <f t="shared" si="0"/>
        <v>14869.224960940002</v>
      </c>
      <c r="F28" s="22">
        <v>0</v>
      </c>
      <c r="G28" s="20">
        <v>0</v>
      </c>
      <c r="H28" s="26">
        <v>0</v>
      </c>
      <c r="I28" s="16">
        <v>0.56999999999999995</v>
      </c>
      <c r="J28" s="22">
        <v>12358.174013246</v>
      </c>
      <c r="K28" s="28">
        <v>0</v>
      </c>
      <c r="L28" s="20">
        <v>12358.174013246</v>
      </c>
      <c r="M28" s="17"/>
      <c r="N28" s="6">
        <v>12358.174013246</v>
      </c>
      <c r="O28" s="6">
        <v>13099.66445404076</v>
      </c>
    </row>
    <row r="29" spans="1:15" x14ac:dyDescent="0.3">
      <c r="A29" s="14"/>
      <c r="B29" s="33"/>
      <c r="C29" s="33"/>
      <c r="D29" s="6"/>
      <c r="E29" s="6"/>
      <c r="F29" s="22"/>
      <c r="G29" s="20"/>
      <c r="H29" s="26"/>
      <c r="I29" s="16"/>
      <c r="J29" s="22"/>
      <c r="K29" s="28"/>
      <c r="L29" s="20"/>
      <c r="M29" s="17"/>
      <c r="N29" s="6"/>
      <c r="O29" s="6"/>
    </row>
    <row r="30" spans="1:15" ht="15" thickBot="1" x14ac:dyDescent="0.35">
      <c r="A30" s="12"/>
      <c r="B30" s="13"/>
      <c r="C30" s="56">
        <v>116.60000000000001</v>
      </c>
      <c r="D30" s="25">
        <v>161487.47195715201</v>
      </c>
      <c r="E30" s="29">
        <v>161487.47195715201</v>
      </c>
      <c r="F30" s="27">
        <v>0</v>
      </c>
      <c r="G30" s="31">
        <v>0</v>
      </c>
      <c r="H30" s="30">
        <v>0</v>
      </c>
      <c r="I30" s="15">
        <v>11.66</v>
      </c>
      <c r="J30" s="23">
        <v>249880.59402534799</v>
      </c>
      <c r="K30" s="24">
        <v>0</v>
      </c>
      <c r="L30" s="21">
        <v>249880.59402534799</v>
      </c>
      <c r="M30" s="18"/>
      <c r="N30" s="19">
        <v>249880.59402534799</v>
      </c>
      <c r="O30" s="19">
        <v>264873.42966686888</v>
      </c>
    </row>
    <row r="33" spans="5:6" x14ac:dyDescent="0.3">
      <c r="E33" s="32"/>
      <c r="F33" s="32"/>
    </row>
  </sheetData>
  <mergeCells count="5">
    <mergeCell ref="A5:A6"/>
    <mergeCell ref="B5:B6"/>
    <mergeCell ref="F5:F6"/>
    <mergeCell ref="N5:N6"/>
    <mergeCell ref="O5:O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Hoja1</vt:lpstr>
      <vt:lpstr>COCHERA</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2025-12-31T16:03:12Z</cp:lastPrinted>
  <dcterms:created xsi:type="dcterms:W3CDTF">2023-09-17T12:29:07Z</dcterms:created>
  <dcterms:modified xsi:type="dcterms:W3CDTF">2026-01-25T15:17:03Z</dcterms:modified>
</cp:coreProperties>
</file>