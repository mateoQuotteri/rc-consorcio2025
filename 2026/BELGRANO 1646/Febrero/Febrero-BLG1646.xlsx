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ritorio\rc-consorcio2025\2026\BELGRANO 1646\Febrero\"/>
    </mc:Choice>
  </mc:AlternateContent>
  <xr:revisionPtr revIDLastSave="0" documentId="13_ncr:1_{48CC2B12-3124-4BD0-A972-61678A24098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PRORRATEO!$A$1:$N$64</definedName>
    <definedName name="_xlnm.Print_Area" localSheetId="0">RESUMEN!$A$1:$F$116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D82" i="1"/>
  <c r="G26" i="2"/>
  <c r="G24" i="2"/>
  <c r="G27" i="2"/>
  <c r="G17" i="2"/>
  <c r="G18" i="2"/>
  <c r="G9" i="2"/>
  <c r="G16" i="2"/>
  <c r="G19" i="2"/>
  <c r="G13" i="2"/>
  <c r="G28" i="2"/>
  <c r="A1" i="2"/>
  <c r="F42" i="1"/>
  <c r="E42" i="1"/>
  <c r="E68" i="1"/>
  <c r="D48" i="1"/>
  <c r="G48" i="2" l="1"/>
  <c r="G47" i="2"/>
  <c r="G25" i="2"/>
  <c r="G46" i="2"/>
  <c r="G23" i="2" s="1"/>
  <c r="F54" i="1"/>
  <c r="E54" i="1"/>
  <c r="G54" i="1"/>
  <c r="G60" i="1"/>
  <c r="E60" i="1"/>
  <c r="H60" i="1" s="1"/>
  <c r="H54" i="1" l="1"/>
  <c r="G7" i="2" l="1"/>
  <c r="G22" i="2" l="1"/>
  <c r="H59" i="1" l="1"/>
  <c r="I59" i="1" s="1"/>
  <c r="G59" i="1"/>
  <c r="J59" i="1" s="1"/>
  <c r="F26" i="1"/>
  <c r="E26" i="1" l="1"/>
  <c r="D63" i="1" l="1"/>
  <c r="F82" i="1"/>
  <c r="G51" i="2" l="1"/>
  <c r="G36" i="2"/>
  <c r="G31" i="2"/>
  <c r="G30" i="2"/>
  <c r="E61" i="1" l="1"/>
  <c r="G10" i="2"/>
  <c r="E94" i="1"/>
  <c r="F94" i="1"/>
  <c r="G62" i="1"/>
  <c r="H62" i="1" l="1"/>
  <c r="F93" i="1" l="1"/>
  <c r="D95" i="1"/>
  <c r="M3" i="2" s="1"/>
  <c r="O4" i="2" s="1"/>
  <c r="E93" i="1"/>
  <c r="G11" i="2" l="1"/>
  <c r="G56" i="1" l="1"/>
  <c r="J56" i="1" s="1"/>
  <c r="F56" i="1"/>
  <c r="E56" i="1"/>
  <c r="H56" i="1" l="1"/>
  <c r="I56" i="1" s="1"/>
  <c r="G53" i="1" l="1"/>
  <c r="F53" i="1"/>
  <c r="E53" i="1"/>
  <c r="H53" i="1" l="1"/>
  <c r="F41" i="1" l="1"/>
  <c r="E41" i="1"/>
  <c r="G52" i="1"/>
  <c r="E52" i="1"/>
  <c r="D76" i="1"/>
  <c r="D27" i="1"/>
  <c r="E55" i="1"/>
  <c r="B115" i="1"/>
  <c r="G61" i="1"/>
  <c r="J61" i="1" s="1"/>
  <c r="H52" i="1" l="1"/>
  <c r="I52" i="1" s="1"/>
  <c r="H61" i="1"/>
  <c r="I61" i="1" s="1"/>
  <c r="D50" i="1" l="1"/>
  <c r="D49" i="2"/>
  <c r="G49" i="2" l="1"/>
  <c r="F52" i="2" l="1"/>
  <c r="F43" i="1"/>
  <c r="E43" i="1"/>
  <c r="D69" i="1"/>
  <c r="E58" i="1" l="1"/>
  <c r="D45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05" i="1" l="1"/>
  <c r="E95" i="1"/>
  <c r="F95" i="1"/>
  <c r="H95" i="1" l="1"/>
  <c r="I95" i="1" s="1"/>
  <c r="E44" i="1" l="1"/>
  <c r="E45" i="1" l="1"/>
  <c r="F44" i="1"/>
  <c r="F45" i="1" s="1"/>
  <c r="G45" i="1" l="1"/>
  <c r="F35" i="1"/>
  <c r="F34" i="1"/>
  <c r="F33" i="1"/>
  <c r="E35" i="1"/>
  <c r="E34" i="1"/>
  <c r="E33" i="1"/>
  <c r="G55" i="1" l="1"/>
  <c r="J55" i="1" s="1"/>
  <c r="G57" i="1"/>
  <c r="J57" i="1" s="1"/>
  <c r="G58" i="1"/>
  <c r="J58" i="1" s="1"/>
  <c r="H58" i="1" l="1"/>
  <c r="I58" i="1" s="1"/>
  <c r="E82" i="1" l="1"/>
  <c r="G82" i="1" l="1"/>
  <c r="H82" i="1" s="1"/>
  <c r="F78" i="1" l="1"/>
  <c r="E78" i="1"/>
  <c r="F74" i="1"/>
  <c r="F73" i="1"/>
  <c r="E74" i="1"/>
  <c r="E73" i="1"/>
  <c r="F67" i="1"/>
  <c r="E67" i="1"/>
  <c r="F57" i="1"/>
  <c r="F55" i="1"/>
  <c r="E57" i="1"/>
  <c r="E63" i="1" s="1"/>
  <c r="F29" i="1"/>
  <c r="F28" i="1"/>
  <c r="E29" i="1"/>
  <c r="E28" i="1"/>
  <c r="F49" i="1"/>
  <c r="F47" i="1"/>
  <c r="E49" i="1"/>
  <c r="E47" i="1"/>
  <c r="F24" i="1"/>
  <c r="F25" i="1"/>
  <c r="F23" i="1"/>
  <c r="E23" i="1"/>
  <c r="E24" i="1"/>
  <c r="E25" i="1"/>
  <c r="F63" i="1" l="1"/>
  <c r="H55" i="1"/>
  <c r="I55" i="1" s="1"/>
  <c r="H57" i="1"/>
  <c r="I57" i="1" s="1"/>
  <c r="F27" i="1"/>
  <c r="E76" i="1"/>
  <c r="F76" i="1"/>
  <c r="E69" i="1"/>
  <c r="F69" i="1"/>
  <c r="E32" i="1"/>
  <c r="E36" i="1" s="1"/>
  <c r="F32" i="1"/>
  <c r="E27" i="1"/>
  <c r="G27" i="1" l="1"/>
  <c r="H27" i="1" s="1"/>
  <c r="G63" i="1"/>
  <c r="H63" i="1" s="1"/>
  <c r="G76" i="1"/>
  <c r="G69" i="1"/>
  <c r="G32" i="1"/>
  <c r="D32" i="1"/>
  <c r="I63" i="1" l="1"/>
  <c r="D36" i="1"/>
  <c r="H69" i="1"/>
  <c r="H32" i="1"/>
  <c r="H76" i="1"/>
  <c r="C89" i="1"/>
  <c r="B107" i="1" s="1"/>
  <c r="E48" i="1" l="1"/>
  <c r="E50" i="1" s="1"/>
  <c r="F48" i="1"/>
  <c r="F50" i="1" s="1"/>
  <c r="G50" i="1" l="1"/>
  <c r="H50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06" i="1"/>
  <c r="G32" i="2" l="1"/>
  <c r="G12" i="2"/>
  <c r="H12" i="2" s="1"/>
  <c r="G50" i="2" l="1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21" i="2" s="1"/>
  <c r="G38" i="2"/>
  <c r="G20" i="2" s="1"/>
  <c r="G41" i="2"/>
  <c r="H48" i="2"/>
  <c r="M48" i="2" s="1"/>
  <c r="N48" i="2" s="1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H38" i="2" l="1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03" i="1" s="1"/>
  <c r="N8" i="2"/>
  <c r="N52" i="2" s="1"/>
  <c r="M52" i="2"/>
  <c r="F79" i="1"/>
  <c r="F80" i="1" s="1"/>
  <c r="E79" i="1"/>
  <c r="E80" i="1" s="1"/>
  <c r="E84" i="1" s="1"/>
  <c r="D80" i="1"/>
  <c r="D84" i="1" s="1"/>
  <c r="F84" i="1" l="1"/>
  <c r="G84" i="1" s="1"/>
  <c r="G80" i="1"/>
  <c r="H80" i="1" s="1"/>
  <c r="I84" i="1" l="1"/>
  <c r="B99" i="1"/>
  <c r="B104" i="1" s="1"/>
  <c r="B108" i="1" s="1"/>
  <c r="H84" i="1"/>
  <c r="L1" i="2"/>
  <c r="B98" i="1"/>
  <c r="P43" i="2" l="1"/>
  <c r="K53" i="2"/>
  <c r="O1" i="2"/>
  <c r="O2" i="2" s="1"/>
</calcChain>
</file>

<file path=xl/sharedStrings.xml><?xml version="1.0" encoding="utf-8"?>
<sst xmlns="http://schemas.openxmlformats.org/spreadsheetml/2006/main" count="198" uniqueCount="141">
  <si>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</si>
  <si>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</si>
  <si>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</si>
  <si>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</si>
  <si>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</si>
  <si>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</si>
  <si>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</si>
  <si>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</si>
  <si>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</si>
  <si>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</si>
  <si>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</si>
  <si>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</si>
  <si>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</si>
  <si>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</si>
  <si>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</si>
  <si>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</si>
  <si>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</si>
  <si>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</si>
  <si>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</si>
  <si>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</si>
  <si>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</si>
  <si>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</si>
  <si>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</si>
  <si>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</si>
  <si>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</si>
  <si>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</si>
  <si>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</si>
  <si>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</si>
  <si>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</si>
  <si>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</si>
  <si>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</si>
  <si>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</si>
  <si>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</si>
  <si>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</si>
  <si>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</si>
  <si>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</si>
  <si>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</si>
  <si>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</si>
  <si>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</si>
  <si>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</si>
  <si>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</si>
  <si>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</si>
  <si>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</si>
  <si>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</si>
  <si>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</si>
  <si>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</si>
  <si>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</si>
  <si>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</si>
  <si>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</si>
  <si>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</si>
  <si>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</si>
  <si>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</si>
  <si>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</si>
  <si>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</si>
  <si>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</si>
  <si>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</si>
  <si>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</si>
  <si>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</si>
  <si>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</si>
  <si>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</si>
  <si>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</si>
  <si>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</si>
  <si>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</si>
  <si>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</si>
  <si>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</si>
  <si>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</si>
  <si>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</si>
  <si>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</si>
  <si>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</si>
  <si>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</si>
  <si>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</si>
  <si>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</si>
  <si>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</si>
  <si>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</si>
  <si>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</si>
  <si>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</si>
  <si>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</si>
  <si>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</si>
  <si>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</si>
  <si>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</si>
  <si>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</si>
  <si>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</si>
  <si>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</si>
  <si>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</si>
  <si>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</si>
  <si>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</si>
  <si>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</si>
  <si>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</si>
  <si>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</si>
  <si>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</si>
  <si>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</si>
  <si>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</si>
  <si>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</si>
  <si>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</si>
  <si>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</si>
  <si>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</si>
  <si>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</si>
  <si>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</si>
  <si>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</si>
  <si>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</si>
  <si>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</si>
  <si>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</si>
  <si>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</si>
  <si>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</si>
  <si>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</si>
  <si>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</si>
  <si>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</si>
  <si>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</si>
  <si>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</si>
  <si>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</si>
  <si>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>Articulos de limpieza - Montoya Alejandra</t>
  </si>
  <si>
    <t xml:space="preserve">Sr. Diego Britez </t>
  </si>
  <si>
    <t>GASTOS PARTICULARES</t>
  </si>
  <si>
    <t>Energroup - SERVICE DE MANTENIMIENTO PREVENTIVO</t>
  </si>
  <si>
    <t xml:space="preserve">Numero 1859135 Debito automatico </t>
  </si>
  <si>
    <t>SEGURO OBLIGATORIO SR DIEGO BRITEZ FEDERACION PATRONAL DEBITO AUTOMATICO</t>
  </si>
  <si>
    <t>Macarena</t>
  </si>
  <si>
    <t xml:space="preserve">Fumigacion </t>
  </si>
  <si>
    <t>Subidos en en3r0 de 2026</t>
  </si>
  <si>
    <t>RODRIGUEZ, JORGE AGUSTIN</t>
  </si>
  <si>
    <t>PERÍODO: FEBRERO</t>
  </si>
  <si>
    <t>Honorarios FEBRERO</t>
  </si>
  <si>
    <t>Ingreso mes de enero</t>
  </si>
  <si>
    <t>VTO: 13/03</t>
  </si>
  <si>
    <t>Julio Doartero - Cambio de canilla garage</t>
  </si>
  <si>
    <t>SA seguridad - Servicio tecnicno emergencia realizado por sistema cctv de camaras de seguridad</t>
  </si>
  <si>
    <t>Pago mis cuentas 04/2</t>
  </si>
  <si>
    <t>Debito 04/02</t>
  </si>
  <si>
    <t>Reemplazo Sr. Diego (Por enfermedad) Sra Monica</t>
  </si>
  <si>
    <t>Debito 12/02</t>
  </si>
  <si>
    <t>Fabian antonio Vivas - Trabajo en zona de pileta - Ausencias de Diego y vacaciones de Diciembre</t>
  </si>
  <si>
    <t>La factura llego en $0</t>
  </si>
  <si>
    <t>Articulos de limpieza - Montoya Alejandra - Para pileta: cloro, clarificador, alargue.</t>
  </si>
  <si>
    <t>No llego factura</t>
  </si>
  <si>
    <t>Seguro Sra. Monica</t>
  </si>
  <si>
    <t>Reemplazo Sr. Diego (Por vacacciones) Sra Monica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</si>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</sst>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_ &quot;$&quot;\ * #,##0_ ;_ &quot;$&quot;\ * \-#,##0_ ;_ &quot;$&quot;\ * &quot;-&quot;??_ ;_ @_ "/>
    <numFmt numFmtId="169" formatCode="_-&quot;$&quot;\ * #,##0_-;\-&quot;$&quot;\ * #,##0_-;_-&quot;$&quot;\ * &quot;-&quot;??_-;_-@_-"/>
    <numFmt numFmtId="170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1">
    <xf numFmtId="0" fontId="0" fillId="0" borderId="0" xfId="0"/>
    <xf numFmtId="0" fontId="0" fillId="0" borderId="22" xfId="0" applyBorder="1"/>
    <xf numFmtId="0" fontId="0" fillId="0" borderId="23" xfId="0" applyBorder="1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0" fontId="0" fillId="0" borderId="25" xfId="0" applyBorder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165" fontId="0" fillId="0" borderId="0" xfId="0" applyNumberFormat="1"/>
    <xf numFmtId="0" fontId="5" fillId="6" borderId="0" xfId="0" applyFont="1" applyFill="1"/>
    <xf numFmtId="167" fontId="6" fillId="0" borderId="1" xfId="2" applyFont="1" applyBorder="1"/>
    <xf numFmtId="167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7" fontId="3" fillId="0" borderId="1" xfId="0" applyNumberFormat="1" applyFont="1" applyBorder="1"/>
    <xf numFmtId="4" fontId="6" fillId="0" borderId="0" xfId="0" applyNumberFormat="1" applyFont="1"/>
    <xf numFmtId="167" fontId="0" fillId="0" borderId="0" xfId="0" applyNumberFormat="1"/>
    <xf numFmtId="169" fontId="0" fillId="0" borderId="1" xfId="1" applyNumberFormat="1" applyFont="1" applyBorder="1"/>
    <xf numFmtId="0" fontId="0" fillId="7" borderId="1" xfId="0" applyFill="1" applyBorder="1"/>
    <xf numFmtId="169" fontId="0" fillId="7" borderId="1" xfId="0" applyNumberFormat="1" applyFill="1" applyBorder="1"/>
    <xf numFmtId="3" fontId="0" fillId="7" borderId="1" xfId="0" applyNumberFormat="1" applyFill="1" applyBorder="1"/>
    <xf numFmtId="167" fontId="7" fillId="2" borderId="1" xfId="2" applyFont="1" applyFill="1" applyBorder="1"/>
    <xf numFmtId="167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7" fontId="2" fillId="0" borderId="1" xfId="2" applyFont="1" applyBorder="1"/>
    <xf numFmtId="0" fontId="2" fillId="7" borderId="15" xfId="0" applyFont="1" applyFill="1" applyBorder="1"/>
    <xf numFmtId="166" fontId="2" fillId="7" borderId="17" xfId="0" applyNumberFormat="1" applyFont="1" applyFill="1" applyBorder="1"/>
    <xf numFmtId="0" fontId="2" fillId="7" borderId="27" xfId="0" applyFont="1" applyFill="1" applyBorder="1"/>
    <xf numFmtId="166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166" fontId="8" fillId="4" borderId="9" xfId="1" applyFont="1" applyFill="1" applyBorder="1"/>
    <xf numFmtId="166" fontId="0" fillId="0" borderId="0" xfId="0" applyNumberFormat="1"/>
    <xf numFmtId="165" fontId="2" fillId="4" borderId="23" xfId="0" applyNumberFormat="1" applyFont="1" applyFill="1" applyBorder="1"/>
    <xf numFmtId="166" fontId="2" fillId="4" borderId="0" xfId="0" applyNumberFormat="1" applyFont="1" applyFill="1"/>
    <xf numFmtId="166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" xfId="0" applyFill="1" applyBorder="1"/>
    <xf numFmtId="0" fontId="0" fillId="2" borderId="28" xfId="0" applyFill="1" applyBorder="1"/>
    <xf numFmtId="166" fontId="2" fillId="8" borderId="15" xfId="1" applyFont="1" applyFill="1" applyBorder="1"/>
    <xf numFmtId="165" fontId="2" fillId="4" borderId="1" xfId="0" applyNumberFormat="1" applyFont="1" applyFill="1" applyBorder="1"/>
    <xf numFmtId="165" fontId="2" fillId="2" borderId="1" xfId="0" applyNumberFormat="1" applyFont="1" applyFill="1" applyBorder="1"/>
    <xf numFmtId="166" fontId="4" fillId="2" borderId="0" xfId="1" applyFont="1" applyFill="1" applyBorder="1"/>
    <xf numFmtId="0" fontId="12" fillId="0" borderId="1" xfId="0" applyFont="1" applyBorder="1"/>
    <xf numFmtId="169" fontId="0" fillId="7" borderId="1" xfId="1" applyNumberFormat="1" applyFont="1" applyFill="1" applyBorder="1"/>
    <xf numFmtId="0" fontId="4" fillId="2" borderId="9" xfId="0" applyFont="1" applyFill="1" applyBorder="1"/>
    <xf numFmtId="169" fontId="9" fillId="0" borderId="1" xfId="0" applyNumberFormat="1" applyFont="1" applyBorder="1"/>
    <xf numFmtId="169" fontId="12" fillId="0" borderId="1" xfId="0" applyNumberFormat="1" applyFont="1" applyBorder="1"/>
    <xf numFmtId="0" fontId="9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8" borderId="1" xfId="0" applyNumberFormat="1" applyFont="1" applyFill="1" applyBorder="1"/>
    <xf numFmtId="164" fontId="0" fillId="2" borderId="0" xfId="0" applyNumberFormat="1" applyFill="1" applyAlignment="1">
      <alignment horizontal="right" wrapText="1"/>
    </xf>
    <xf numFmtId="169" fontId="0" fillId="0" borderId="0" xfId="0" applyNumberFormat="1"/>
    <xf numFmtId="166" fontId="0" fillId="0" borderId="23" xfId="1" applyFont="1" applyBorder="1"/>
    <xf numFmtId="166" fontId="0" fillId="0" borderId="19" xfId="1" applyFont="1" applyBorder="1"/>
    <xf numFmtId="0" fontId="0" fillId="0" borderId="15" xfId="0" applyBorder="1"/>
    <xf numFmtId="0" fontId="0" fillId="0" borderId="17" xfId="0" applyBorder="1"/>
    <xf numFmtId="166" fontId="2" fillId="4" borderId="9" xfId="0" applyNumberFormat="1" applyFont="1" applyFill="1" applyBorder="1"/>
    <xf numFmtId="166" fontId="2" fillId="5" borderId="16" xfId="0" applyNumberFormat="1" applyFont="1" applyFill="1" applyBorder="1"/>
    <xf numFmtId="166" fontId="0" fillId="0" borderId="9" xfId="0" applyNumberFormat="1" applyBorder="1"/>
    <xf numFmtId="0" fontId="13" fillId="0" borderId="0" xfId="0" applyFont="1"/>
    <xf numFmtId="166" fontId="3" fillId="0" borderId="0" xfId="0" applyNumberFormat="1" applyFont="1"/>
    <xf numFmtId="166" fontId="0" fillId="0" borderId="0" xfId="1" applyFont="1"/>
    <xf numFmtId="166" fontId="8" fillId="4" borderId="9" xfId="0" applyNumberFormat="1" applyFont="1" applyFill="1" applyBorder="1"/>
    <xf numFmtId="166" fontId="2" fillId="4" borderId="15" xfId="0" applyNumberFormat="1" applyFont="1" applyFill="1" applyBorder="1"/>
    <xf numFmtId="0" fontId="0" fillId="2" borderId="0" xfId="0" applyFill="1"/>
    <xf numFmtId="166" fontId="13" fillId="0" borderId="0" xfId="0" applyNumberFormat="1" applyFont="1"/>
    <xf numFmtId="164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166" fontId="2" fillId="4" borderId="1" xfId="0" applyNumberFormat="1" applyFont="1" applyFill="1" applyBorder="1"/>
    <xf numFmtId="166" fontId="2" fillId="4" borderId="1" xfId="1" applyFont="1" applyFill="1" applyBorder="1"/>
    <xf numFmtId="166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7" fontId="14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166" fontId="8" fillId="8" borderId="9" xfId="1" applyFont="1" applyFill="1" applyBorder="1"/>
    <xf numFmtId="166" fontId="8" fillId="5" borderId="16" xfId="0" applyNumberFormat="1" applyFont="1" applyFill="1" applyBorder="1"/>
    <xf numFmtId="166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9" fontId="3" fillId="7" borderId="1" xfId="0" applyNumberFormat="1" applyFont="1" applyFill="1" applyBorder="1"/>
    <xf numFmtId="4" fontId="4" fillId="0" borderId="1" xfId="0" applyNumberFormat="1" applyFont="1" applyBorder="1"/>
    <xf numFmtId="169" fontId="9" fillId="7" borderId="1" xfId="1" applyNumberFormat="1" applyFont="1" applyFill="1" applyBorder="1"/>
    <xf numFmtId="164" fontId="15" fillId="2" borderId="1" xfId="0" applyNumberFormat="1" applyFont="1" applyFill="1" applyBorder="1"/>
    <xf numFmtId="168" fontId="7" fillId="2" borderId="1" xfId="2" applyNumberFormat="1" applyFont="1" applyFill="1" applyBorder="1"/>
    <xf numFmtId="0" fontId="0" fillId="3" borderId="20" xfId="0" applyFill="1" applyBorder="1"/>
    <xf numFmtId="166" fontId="4" fillId="3" borderId="21" xfId="0" applyNumberFormat="1" applyFont="1" applyFill="1" applyBorder="1"/>
    <xf numFmtId="0" fontId="0" fillId="3" borderId="22" xfId="0" applyFill="1" applyBorder="1"/>
    <xf numFmtId="166" fontId="4" fillId="3" borderId="0" xfId="0" applyNumberFormat="1" applyFont="1" applyFill="1"/>
    <xf numFmtId="164" fontId="4" fillId="3" borderId="23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64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164" fontId="0" fillId="3" borderId="12" xfId="0" applyNumberFormat="1" applyFill="1" applyBorder="1" applyAlignment="1">
      <alignment horizontal="right" wrapText="1"/>
    </xf>
    <xf numFmtId="0" fontId="11" fillId="3" borderId="13" xfId="0" applyFont="1" applyFill="1" applyBorder="1"/>
    <xf numFmtId="0" fontId="4" fillId="2" borderId="1" xfId="0" applyFont="1" applyFill="1" applyBorder="1"/>
    <xf numFmtId="166" fontId="4" fillId="2" borderId="9" xfId="1" applyFont="1" applyFill="1" applyBorder="1"/>
    <xf numFmtId="166" fontId="4" fillId="0" borderId="9" xfId="1" applyFont="1" applyBorder="1"/>
    <xf numFmtId="166" fontId="4" fillId="0" borderId="1" xfId="1" applyFont="1" applyBorder="1"/>
    <xf numFmtId="169" fontId="4" fillId="0" borderId="1" xfId="1" applyNumberFormat="1" applyFont="1" applyBorder="1"/>
    <xf numFmtId="169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1" fillId="0" borderId="1" xfId="0" applyFont="1" applyBorder="1"/>
    <xf numFmtId="0" fontId="8" fillId="4" borderId="1" xfId="0" applyFont="1" applyFill="1" applyBorder="1"/>
    <xf numFmtId="0" fontId="16" fillId="0" borderId="1" xfId="0" applyFont="1" applyBorder="1"/>
    <xf numFmtId="0" fontId="16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16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70" fontId="0" fillId="0" borderId="0" xfId="0" applyNumberFormat="1"/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left" vertical="center" wrapText="1"/>
    </xf>
    <xf numFmtId="166" fontId="16" fillId="0" borderId="9" xfId="0" applyNumberFormat="1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166" fontId="0" fillId="3" borderId="18" xfId="0" applyNumberFormat="1" applyFill="1" applyBorder="1" applyAlignment="1">
      <alignment horizontal="center" wrapText="1"/>
    </xf>
    <xf numFmtId="164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</cellXfs>
  <cellStyles count="4">
    <cellStyle name="Comma" xfId="3" builtinId="3"/>
    <cellStyle name="Currency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opLeftCell="A61" workbookViewId="0">
      <selection activeCell="F84" sqref="F84"/>
    </sheetView>
  </sheetViews>
  <sheetFormatPr defaultColWidth="10.90625" defaultRowHeight="14.5" x14ac:dyDescent="0.35"/>
  <cols>
    <col min="1" max="1" width="33.453125" customWidth="1"/>
    <col min="2" max="2" width="36.90625" customWidth="1"/>
    <col min="3" max="3" width="17.453125" customWidth="1"/>
    <col min="4" max="4" width="21.6328125" customWidth="1"/>
    <col min="5" max="5" width="15.6328125" customWidth="1"/>
    <col min="6" max="6" width="13" bestFit="1" customWidth="1"/>
    <col min="7" max="7" width="15.90625" customWidth="1"/>
    <col min="8" max="8" width="14.90625" customWidth="1"/>
    <col min="9" max="9" width="13" bestFit="1" customWidth="1"/>
    <col min="10" max="10" width="14.54296875" bestFit="1" customWidth="1"/>
    <col min="12" max="12" width="18" customWidth="1"/>
    <col min="13" max="13" width="18.36328125" customWidth="1"/>
  </cols>
  <sheetData>
    <row r="1" spans="1:6" x14ac:dyDescent="0.35">
      <c r="A1" s="96"/>
      <c r="B1" s="147" t="s">
        <v>91</v>
      </c>
      <c r="C1" s="147"/>
      <c r="D1" s="147"/>
      <c r="E1" s="147"/>
      <c r="F1" s="148"/>
    </row>
    <row r="2" spans="1:6" x14ac:dyDescent="0.35">
      <c r="A2" s="9"/>
      <c r="B2" s="113" t="s">
        <v>0</v>
      </c>
      <c r="C2" s="113"/>
      <c r="D2" s="113"/>
      <c r="E2" s="113"/>
      <c r="F2" s="114"/>
    </row>
    <row r="3" spans="1:6" x14ac:dyDescent="0.35">
      <c r="A3" s="9"/>
      <c r="B3" s="113" t="s">
        <v>61</v>
      </c>
      <c r="C3" s="113"/>
      <c r="D3" s="113"/>
      <c r="E3" s="113"/>
      <c r="F3" s="114"/>
    </row>
    <row r="4" spans="1:6" ht="33.75" customHeight="1" x14ac:dyDescent="0.35">
      <c r="A4" s="9"/>
      <c r="B4" s="113" t="s">
        <v>62</v>
      </c>
      <c r="C4" s="113"/>
      <c r="D4" s="113"/>
      <c r="E4" s="113"/>
      <c r="F4" s="114"/>
    </row>
    <row r="5" spans="1:6" x14ac:dyDescent="0.35">
      <c r="A5" s="9" t="s">
        <v>1</v>
      </c>
      <c r="B5" s="113" t="s">
        <v>120</v>
      </c>
      <c r="C5" s="113" t="s">
        <v>123</v>
      </c>
      <c r="D5" s="113"/>
      <c r="E5" s="113"/>
      <c r="F5" s="114"/>
    </row>
    <row r="6" spans="1:6" x14ac:dyDescent="0.35">
      <c r="A6" s="9" t="s">
        <v>72</v>
      </c>
      <c r="B6" s="113"/>
      <c r="C6" s="113"/>
      <c r="D6" s="113"/>
      <c r="E6" s="113"/>
      <c r="F6" s="114"/>
    </row>
    <row r="7" spans="1:6" ht="15" thickBot="1" x14ac:dyDescent="0.4">
      <c r="A7" s="117" t="s">
        <v>71</v>
      </c>
      <c r="B7" s="118"/>
      <c r="C7" s="118"/>
      <c r="D7" s="118"/>
      <c r="E7" s="115"/>
      <c r="F7" s="116"/>
    </row>
    <row r="8" spans="1:6" x14ac:dyDescent="0.35">
      <c r="A8" s="83"/>
      <c r="B8" s="83"/>
      <c r="C8" s="83"/>
      <c r="D8" s="83"/>
    </row>
    <row r="9" spans="1:6" hidden="1" x14ac:dyDescent="0.35">
      <c r="A9" s="83"/>
      <c r="B9" s="83"/>
      <c r="C9" s="83"/>
      <c r="D9" s="83"/>
    </row>
    <row r="10" spans="1:6" hidden="1" x14ac:dyDescent="0.35">
      <c r="A10" s="83"/>
      <c r="B10" s="83"/>
      <c r="C10" s="83"/>
      <c r="D10" s="83"/>
    </row>
    <row r="11" spans="1:6" hidden="1" x14ac:dyDescent="0.35">
      <c r="A11" s="83"/>
      <c r="B11" s="83"/>
      <c r="C11" s="83"/>
      <c r="D11" s="83"/>
    </row>
    <row r="12" spans="1:6" hidden="1" x14ac:dyDescent="0.35">
      <c r="A12" s="83"/>
      <c r="B12" s="83"/>
      <c r="C12" s="83"/>
      <c r="D12" s="83"/>
    </row>
    <row r="13" spans="1:6" x14ac:dyDescent="0.35">
      <c r="A13" s="83"/>
      <c r="B13" s="83"/>
      <c r="C13" s="83"/>
      <c r="D13" s="83"/>
    </row>
    <row r="14" spans="1:6" x14ac:dyDescent="0.35">
      <c r="A14" s="83"/>
      <c r="B14" s="151" t="s">
        <v>140</v>
      </c>
      <c r="C14" s="152"/>
      <c r="D14" s="153"/>
    </row>
    <row r="15" spans="1:6" x14ac:dyDescent="0.35">
      <c r="A15" s="83"/>
      <c r="B15" s="154"/>
      <c r="C15" s="155"/>
      <c r="D15" s="156"/>
    </row>
    <row r="16" spans="1:6" x14ac:dyDescent="0.35">
      <c r="A16" s="83"/>
      <c r="B16" s="154"/>
      <c r="C16" s="155"/>
      <c r="D16" s="156"/>
    </row>
    <row r="17" spans="1:8" x14ac:dyDescent="0.35">
      <c r="A17" s="83"/>
      <c r="B17" s="157"/>
      <c r="C17" s="158"/>
      <c r="D17" s="159"/>
    </row>
    <row r="18" spans="1:8" x14ac:dyDescent="0.35">
      <c r="A18" s="83"/>
      <c r="B18" s="83"/>
      <c r="C18" s="83"/>
      <c r="D18" s="83"/>
    </row>
    <row r="19" spans="1:8" x14ac:dyDescent="0.35">
      <c r="A19" s="119"/>
      <c r="B19" s="83"/>
      <c r="C19" s="83"/>
      <c r="D19" s="83"/>
    </row>
    <row r="20" spans="1:8" ht="15" thickBot="1" x14ac:dyDescent="0.4">
      <c r="A20" s="83"/>
      <c r="B20" s="83"/>
      <c r="C20" s="83"/>
      <c r="D20" s="83"/>
    </row>
    <row r="21" spans="1:8" ht="15" thickBot="1" x14ac:dyDescent="0.4">
      <c r="A21" s="120" t="s">
        <v>59</v>
      </c>
      <c r="B21" s="121"/>
      <c r="C21" s="122"/>
      <c r="D21" s="123"/>
      <c r="E21" s="89" t="s">
        <v>94</v>
      </c>
      <c r="F21" s="90" t="s">
        <v>60</v>
      </c>
    </row>
    <row r="22" spans="1:8" x14ac:dyDescent="0.35">
      <c r="A22" s="124" t="s">
        <v>111</v>
      </c>
      <c r="B22" s="84" t="s">
        <v>121</v>
      </c>
      <c r="C22" s="84"/>
      <c r="D22" s="50"/>
      <c r="E22" s="88"/>
      <c r="F22" s="88"/>
    </row>
    <row r="23" spans="1:8" x14ac:dyDescent="0.35">
      <c r="A23" s="124" t="s">
        <v>98</v>
      </c>
      <c r="B23" s="84"/>
      <c r="C23" s="84"/>
      <c r="D23" s="108">
        <v>1568057.71</v>
      </c>
      <c r="E23" s="54">
        <f>D23*91.91%</f>
        <v>1441201.8412609999</v>
      </c>
      <c r="F23" s="54">
        <f>D23*8.09%</f>
        <v>126855.868739</v>
      </c>
    </row>
    <row r="24" spans="1:8" x14ac:dyDescent="0.35">
      <c r="A24" s="124" t="s">
        <v>2</v>
      </c>
      <c r="B24" s="84"/>
      <c r="C24" s="84"/>
      <c r="D24" s="108">
        <v>-341052.55</v>
      </c>
      <c r="E24" s="54">
        <f t="shared" ref="E24:E26" si="0">D24*91.91%</f>
        <v>-313461.39870499994</v>
      </c>
      <c r="F24" s="54">
        <f t="shared" ref="F24:F26" si="1">D24*8.09%</f>
        <v>-27591.151295</v>
      </c>
      <c r="G24" s="36"/>
    </row>
    <row r="25" spans="1:8" x14ac:dyDescent="0.35">
      <c r="A25" s="124" t="s">
        <v>85</v>
      </c>
      <c r="B25" s="84"/>
      <c r="C25" s="84"/>
      <c r="D25" s="108">
        <v>0.84</v>
      </c>
      <c r="E25" s="54">
        <f t="shared" si="0"/>
        <v>0.77204399999999995</v>
      </c>
      <c r="F25" s="54">
        <f t="shared" si="1"/>
        <v>6.7956000000000003E-2</v>
      </c>
    </row>
    <row r="26" spans="1:8" x14ac:dyDescent="0.35">
      <c r="A26" s="124"/>
      <c r="B26" s="84"/>
      <c r="C26" s="84"/>
      <c r="D26" s="108"/>
      <c r="E26" s="54">
        <f t="shared" si="0"/>
        <v>0</v>
      </c>
      <c r="F26" s="54">
        <f t="shared" si="1"/>
        <v>0</v>
      </c>
    </row>
    <row r="27" spans="1:8" ht="15" customHeight="1" x14ac:dyDescent="0.35">
      <c r="A27" s="125" t="s">
        <v>3</v>
      </c>
      <c r="B27" s="125"/>
      <c r="C27" s="125"/>
      <c r="D27" s="35">
        <f>SUM(D23:D26)</f>
        <v>1227006</v>
      </c>
      <c r="E27" s="35">
        <f>SUM(E23:E26)</f>
        <v>1127741.2145999998</v>
      </c>
      <c r="F27" s="35">
        <f>SUM(F23:F26)</f>
        <v>99264.785399999993</v>
      </c>
      <c r="G27" s="36">
        <f>E27+F27</f>
        <v>1227005.9999999998</v>
      </c>
      <c r="H27" s="66" t="str">
        <f>IF(D27=G27, "", "Error")</f>
        <v/>
      </c>
    </row>
    <row r="28" spans="1:8" hidden="1" x14ac:dyDescent="0.35">
      <c r="A28" s="126" t="s">
        <v>82</v>
      </c>
      <c r="B28" s="84"/>
      <c r="C28" s="84"/>
      <c r="D28" s="109">
        <v>0</v>
      </c>
      <c r="E28" s="54">
        <f>D28*91.91%</f>
        <v>0</v>
      </c>
      <c r="F28" s="54">
        <f>D28*8.09%</f>
        <v>0</v>
      </c>
      <c r="H28" s="66"/>
    </row>
    <row r="29" spans="1:8" hidden="1" x14ac:dyDescent="0.35">
      <c r="A29" s="126"/>
      <c r="B29" s="84"/>
      <c r="C29" s="84"/>
      <c r="D29" s="108">
        <v>0</v>
      </c>
      <c r="E29" s="54">
        <f>D29*91.91%</f>
        <v>0</v>
      </c>
      <c r="F29" s="54">
        <f>D29*8.09%</f>
        <v>0</v>
      </c>
      <c r="H29" s="66"/>
    </row>
    <row r="30" spans="1:8" hidden="1" x14ac:dyDescent="0.35">
      <c r="A30" s="126"/>
      <c r="B30" s="84"/>
      <c r="C30" s="84"/>
      <c r="D30" s="108"/>
      <c r="E30" s="4"/>
      <c r="F30" s="4"/>
      <c r="H30" s="66"/>
    </row>
    <row r="31" spans="1:8" hidden="1" x14ac:dyDescent="0.35">
      <c r="A31" s="126"/>
      <c r="B31" s="84"/>
      <c r="C31" s="84"/>
      <c r="D31" s="108"/>
      <c r="E31" s="4"/>
      <c r="F31" s="4"/>
      <c r="H31" s="66"/>
    </row>
    <row r="32" spans="1:8" hidden="1" x14ac:dyDescent="0.35">
      <c r="A32" s="125" t="s">
        <v>90</v>
      </c>
      <c r="B32" s="125"/>
      <c r="C32" s="125"/>
      <c r="D32" s="35">
        <f>SUM(D28:D30)</f>
        <v>0</v>
      </c>
      <c r="E32" s="35">
        <f t="shared" ref="E32:F32" si="2">SUM(E28:E30)</f>
        <v>0</v>
      </c>
      <c r="F32" s="35">
        <f t="shared" si="2"/>
        <v>0</v>
      </c>
      <c r="G32" s="36">
        <f>E32+F32</f>
        <v>0</v>
      </c>
      <c r="H32" s="66" t="str">
        <f>IF(D32=G32, "", "Error")</f>
        <v/>
      </c>
    </row>
    <row r="33" spans="1:8" hidden="1" x14ac:dyDescent="0.35">
      <c r="A33" s="126" t="s">
        <v>82</v>
      </c>
      <c r="B33" s="84"/>
      <c r="C33" s="84"/>
      <c r="D33" s="109"/>
      <c r="E33" s="54">
        <f>D33*91.91%</f>
        <v>0</v>
      </c>
      <c r="F33" s="54">
        <f>D33*8.09%</f>
        <v>0</v>
      </c>
      <c r="H33" s="66"/>
    </row>
    <row r="34" spans="1:8" hidden="1" x14ac:dyDescent="0.35">
      <c r="A34" s="84" t="s">
        <v>102</v>
      </c>
      <c r="B34" s="84"/>
      <c r="C34" s="84"/>
      <c r="D34" s="108"/>
      <c r="E34" s="54">
        <f t="shared" ref="E34:E35" si="3">D34*91.91%</f>
        <v>0</v>
      </c>
      <c r="F34" s="54">
        <f t="shared" ref="F34:F35" si="4">D34*8.09%</f>
        <v>0</v>
      </c>
      <c r="H34" s="66"/>
    </row>
    <row r="35" spans="1:8" hidden="1" x14ac:dyDescent="0.35">
      <c r="A35" s="126" t="s">
        <v>2</v>
      </c>
      <c r="B35" s="84"/>
      <c r="C35" s="84"/>
      <c r="D35" s="108"/>
      <c r="E35" s="54">
        <f t="shared" si="3"/>
        <v>0</v>
      </c>
      <c r="F35" s="54">
        <f t="shared" si="4"/>
        <v>0</v>
      </c>
      <c r="H35" s="66"/>
    </row>
    <row r="36" spans="1:8" hidden="1" x14ac:dyDescent="0.35">
      <c r="A36" s="125" t="s">
        <v>83</v>
      </c>
      <c r="B36" s="125"/>
      <c r="C36" s="125"/>
      <c r="D36" s="35">
        <f>SUM(D29:D35)</f>
        <v>0</v>
      </c>
      <c r="E36" s="35">
        <f t="shared" ref="E36" si="5">SUM(E29:E35)</f>
        <v>0</v>
      </c>
      <c r="F36" s="45">
        <f>E36*8.09%</f>
        <v>0</v>
      </c>
      <c r="H36" s="66"/>
    </row>
    <row r="37" spans="1:8" ht="0.75" hidden="1" customHeight="1" x14ac:dyDescent="0.35">
      <c r="A37" s="127"/>
      <c r="B37" s="107"/>
      <c r="C37" s="107"/>
      <c r="D37" s="108"/>
      <c r="E37" s="46"/>
      <c r="F37" s="46"/>
      <c r="H37" s="66"/>
    </row>
    <row r="38" spans="1:8" hidden="1" x14ac:dyDescent="0.35">
      <c r="A38" s="127"/>
      <c r="B38" s="107"/>
      <c r="C38" s="107"/>
      <c r="D38" s="108"/>
      <c r="E38" s="46"/>
      <c r="F38" s="46"/>
      <c r="H38" s="66"/>
    </row>
    <row r="39" spans="1:8" hidden="1" x14ac:dyDescent="0.35">
      <c r="A39" s="107"/>
      <c r="B39" s="107"/>
      <c r="C39" s="128"/>
      <c r="D39" s="108"/>
      <c r="E39" s="46"/>
      <c r="F39" s="46"/>
      <c r="H39" s="66"/>
    </row>
    <row r="40" spans="1:8" ht="1.5" hidden="1" customHeight="1" x14ac:dyDescent="0.35">
      <c r="A40" s="125" t="s">
        <v>90</v>
      </c>
      <c r="B40" s="125"/>
      <c r="C40" s="125"/>
      <c r="D40" s="35"/>
      <c r="E40" s="38">
        <f>SUM(D37:D39)</f>
        <v>0</v>
      </c>
      <c r="F40" s="37">
        <f>(D37)*8.09%</f>
        <v>0</v>
      </c>
      <c r="H40" s="66"/>
    </row>
    <row r="41" spans="1:8" x14ac:dyDescent="0.35">
      <c r="A41" s="126" t="s">
        <v>128</v>
      </c>
      <c r="B41" s="84"/>
      <c r="C41" s="84"/>
      <c r="D41" s="39">
        <v>110000</v>
      </c>
      <c r="E41" s="54">
        <f>D41*91.91%</f>
        <v>101100.99999999999</v>
      </c>
      <c r="F41" s="54">
        <f>D41*8.09%</f>
        <v>8899</v>
      </c>
      <c r="H41" s="66"/>
    </row>
    <row r="42" spans="1:8" x14ac:dyDescent="0.35">
      <c r="A42" s="126" t="s">
        <v>135</v>
      </c>
      <c r="B42" s="84"/>
      <c r="C42" s="84"/>
      <c r="D42" s="39">
        <v>514552.8</v>
      </c>
      <c r="E42" s="54">
        <f>D42*91.91%</f>
        <v>472925.47847999993</v>
      </c>
      <c r="F42" s="54">
        <f>D42*8.09%</f>
        <v>41627.321519999998</v>
      </c>
      <c r="H42" s="66"/>
    </row>
    <row r="43" spans="1:8" x14ac:dyDescent="0.35">
      <c r="A43" s="126" t="s">
        <v>130</v>
      </c>
      <c r="B43" s="84"/>
      <c r="C43" s="107"/>
      <c r="D43" s="39">
        <v>90000</v>
      </c>
      <c r="E43" s="54">
        <f>D43*91.91%</f>
        <v>82718.999999999985</v>
      </c>
      <c r="F43" s="54">
        <f>D43*8.09%</f>
        <v>7281</v>
      </c>
      <c r="H43" s="66"/>
    </row>
    <row r="44" spans="1:8" ht="15" thickBot="1" x14ac:dyDescent="0.4">
      <c r="A44" s="126" t="s">
        <v>134</v>
      </c>
      <c r="B44" s="84"/>
      <c r="C44" s="84"/>
      <c r="D44" s="110">
        <v>5842.51</v>
      </c>
      <c r="E44" s="54">
        <f>D44*91.91%</f>
        <v>5369.8509409999997</v>
      </c>
      <c r="F44" s="54">
        <f>D44*8.09%</f>
        <v>472.65905900000001</v>
      </c>
      <c r="H44" s="66"/>
    </row>
    <row r="45" spans="1:8" ht="15" thickBot="1" x14ac:dyDescent="0.4">
      <c r="A45" s="125" t="s">
        <v>99</v>
      </c>
      <c r="B45" s="125"/>
      <c r="C45" s="125"/>
      <c r="D45" s="35">
        <f>SUM(D41:D44)</f>
        <v>720395.31</v>
      </c>
      <c r="E45" s="70">
        <f>SUM(E41:E44)</f>
        <v>662115.32942099997</v>
      </c>
      <c r="F45" s="76">
        <f>SUM(F41:F44)</f>
        <v>58279.980578999995</v>
      </c>
      <c r="G45" s="36">
        <f>E45+F45</f>
        <v>720395.30999999994</v>
      </c>
      <c r="H45" s="66"/>
    </row>
    <row r="46" spans="1:8" x14ac:dyDescent="0.35">
      <c r="A46" s="126" t="s">
        <v>4</v>
      </c>
      <c r="B46" s="84"/>
      <c r="C46" s="84"/>
      <c r="D46" s="110"/>
      <c r="E46" s="40"/>
      <c r="F46" s="28"/>
      <c r="H46" s="66"/>
    </row>
    <row r="47" spans="1:8" x14ac:dyDescent="0.35">
      <c r="A47" s="126" t="s">
        <v>115</v>
      </c>
      <c r="B47" s="84"/>
      <c r="C47" s="107"/>
      <c r="D47" s="39">
        <v>6642</v>
      </c>
      <c r="E47" s="54">
        <f>D47*91.91%</f>
        <v>6104.6621999999998</v>
      </c>
      <c r="F47" s="54">
        <f>D47*8.09%</f>
        <v>537.33780000000002</v>
      </c>
      <c r="H47" s="66"/>
    </row>
    <row r="48" spans="1:8" x14ac:dyDescent="0.35">
      <c r="A48" s="126" t="s">
        <v>5</v>
      </c>
      <c r="B48" s="84" t="s">
        <v>129</v>
      </c>
      <c r="C48" s="84"/>
      <c r="D48" s="39">
        <f>161958.81+7175+64567</f>
        <v>233700.81</v>
      </c>
      <c r="E48" s="54">
        <f>D48*91.91%</f>
        <v>214794.41447099997</v>
      </c>
      <c r="F48" s="54">
        <f>D48*8.09%</f>
        <v>18906.395529000001</v>
      </c>
      <c r="H48" s="66"/>
    </row>
    <row r="49" spans="1:10" x14ac:dyDescent="0.35">
      <c r="A49" s="126" t="s">
        <v>106</v>
      </c>
      <c r="B49" s="107" t="s">
        <v>126</v>
      </c>
      <c r="C49" s="84"/>
      <c r="D49" s="39">
        <v>677540.91</v>
      </c>
      <c r="E49" s="54">
        <f>D49*91.91%</f>
        <v>622727.85038099997</v>
      </c>
      <c r="F49" s="54">
        <f>D49*8.09%</f>
        <v>54813.059619</v>
      </c>
      <c r="H49" s="66"/>
    </row>
    <row r="50" spans="1:10" x14ac:dyDescent="0.35">
      <c r="A50" s="125" t="s">
        <v>6</v>
      </c>
      <c r="B50" s="129"/>
      <c r="C50" s="129"/>
      <c r="D50" s="35">
        <f>SUM(D47:D49)</f>
        <v>917883.72</v>
      </c>
      <c r="E50" s="35">
        <f t="shared" ref="E50:F50" si="6">SUM(E47:E49)</f>
        <v>843626.92705199996</v>
      </c>
      <c r="F50" s="35">
        <f t="shared" si="6"/>
        <v>74256.792948000002</v>
      </c>
      <c r="G50" s="36">
        <f>E50+F50</f>
        <v>917883.72</v>
      </c>
      <c r="H50" s="66" t="str">
        <f>IF(D50=G50, "", "Error")</f>
        <v/>
      </c>
    </row>
    <row r="51" spans="1:10" x14ac:dyDescent="0.35">
      <c r="A51" s="84" t="s">
        <v>7</v>
      </c>
      <c r="B51" s="84"/>
      <c r="C51" s="84"/>
      <c r="D51" s="110"/>
      <c r="E51" s="41"/>
      <c r="F51" s="4"/>
      <c r="H51" s="66"/>
    </row>
    <row r="52" spans="1:10" ht="16.5" customHeight="1" x14ac:dyDescent="0.35">
      <c r="A52" s="130" t="s">
        <v>108</v>
      </c>
      <c r="B52" s="131"/>
      <c r="C52" s="132"/>
      <c r="D52" s="39">
        <v>434000</v>
      </c>
      <c r="E52" s="65">
        <f>D52</f>
        <v>434000</v>
      </c>
      <c r="F52" s="4"/>
      <c r="G52" s="36">
        <f>D52</f>
        <v>434000</v>
      </c>
      <c r="H52" s="72">
        <f>E52+F52</f>
        <v>434000</v>
      </c>
      <c r="I52" s="81">
        <f>H52-D52</f>
        <v>0</v>
      </c>
      <c r="J52" s="81"/>
    </row>
    <row r="53" spans="1:10" ht="14.25" customHeight="1" x14ac:dyDescent="0.35">
      <c r="A53" s="124" t="s">
        <v>8</v>
      </c>
      <c r="B53" s="133"/>
      <c r="C53" s="84"/>
      <c r="D53" s="39">
        <v>0</v>
      </c>
      <c r="E53" s="65">
        <f t="shared" ref="E53:E59" si="7">D53*91.91%</f>
        <v>0</v>
      </c>
      <c r="F53" s="54">
        <f t="shared" ref="F53:F59" si="8">D53*8.09%</f>
        <v>0</v>
      </c>
      <c r="G53" s="36">
        <f t="shared" ref="G53:G62" si="9">D53</f>
        <v>0</v>
      </c>
      <c r="H53" s="72">
        <f t="shared" ref="H53:H62" si="10">E53+F53</f>
        <v>0</v>
      </c>
      <c r="I53" s="81"/>
      <c r="J53" s="81"/>
    </row>
    <row r="54" spans="1:10" x14ac:dyDescent="0.35">
      <c r="A54" s="126" t="s">
        <v>113</v>
      </c>
      <c r="B54" s="84"/>
      <c r="C54" s="84"/>
      <c r="D54" s="39">
        <v>176418</v>
      </c>
      <c r="E54" s="65">
        <f t="shared" si="7"/>
        <v>162145.78379999998</v>
      </c>
      <c r="F54" s="54">
        <f t="shared" si="8"/>
        <v>14272.216200000001</v>
      </c>
      <c r="G54" s="36">
        <f t="shared" si="9"/>
        <v>176418</v>
      </c>
      <c r="H54" s="72">
        <f t="shared" si="10"/>
        <v>176417.99999999997</v>
      </c>
      <c r="I54" s="81"/>
      <c r="J54" s="81"/>
    </row>
    <row r="55" spans="1:10" x14ac:dyDescent="0.35">
      <c r="A55" s="126" t="s">
        <v>9</v>
      </c>
      <c r="B55" s="84" t="s">
        <v>114</v>
      </c>
      <c r="C55" s="84"/>
      <c r="D55" s="39">
        <v>129320</v>
      </c>
      <c r="E55" s="65">
        <f>D55*91.91%</f>
        <v>118858.01199999999</v>
      </c>
      <c r="F55" s="54">
        <f t="shared" si="8"/>
        <v>10461.987999999999</v>
      </c>
      <c r="G55" s="36">
        <f t="shared" si="9"/>
        <v>129320</v>
      </c>
      <c r="H55" s="72">
        <f>E55+F55</f>
        <v>129319.99999999999</v>
      </c>
      <c r="I55" s="81">
        <f t="shared" ref="I55:I61" si="11">H55-D55</f>
        <v>0</v>
      </c>
      <c r="J55" s="81">
        <f t="shared" ref="J55:J61" si="12">G55-D55</f>
        <v>0</v>
      </c>
    </row>
    <row r="56" spans="1:10" x14ac:dyDescent="0.35">
      <c r="A56" s="126" t="s">
        <v>11</v>
      </c>
      <c r="B56" s="107" t="s">
        <v>127</v>
      </c>
      <c r="C56" s="84"/>
      <c r="D56" s="39">
        <v>843680.39</v>
      </c>
      <c r="E56" s="65">
        <f t="shared" si="7"/>
        <v>775426.64644899999</v>
      </c>
      <c r="F56" s="54">
        <f t="shared" si="8"/>
        <v>68253.743551000007</v>
      </c>
      <c r="G56" s="36">
        <f t="shared" si="9"/>
        <v>843680.39</v>
      </c>
      <c r="H56" s="72">
        <f t="shared" si="10"/>
        <v>843680.39</v>
      </c>
      <c r="I56" s="81">
        <f t="shared" si="11"/>
        <v>0</v>
      </c>
      <c r="J56" s="81">
        <f t="shared" si="12"/>
        <v>0</v>
      </c>
    </row>
    <row r="57" spans="1:10" x14ac:dyDescent="0.35">
      <c r="A57" s="127" t="s">
        <v>10</v>
      </c>
      <c r="B57" s="107" t="s">
        <v>131</v>
      </c>
      <c r="C57" s="107"/>
      <c r="D57" s="39">
        <v>0</v>
      </c>
      <c r="E57" s="65">
        <f t="shared" si="7"/>
        <v>0</v>
      </c>
      <c r="F57" s="54">
        <f t="shared" si="8"/>
        <v>0</v>
      </c>
      <c r="G57" s="36">
        <f t="shared" si="9"/>
        <v>0</v>
      </c>
      <c r="H57" s="72">
        <f t="shared" si="10"/>
        <v>0</v>
      </c>
      <c r="I57" s="81">
        <f t="shared" si="11"/>
        <v>0</v>
      </c>
      <c r="J57" s="81">
        <f t="shared" si="12"/>
        <v>0</v>
      </c>
    </row>
    <row r="58" spans="1:10" x14ac:dyDescent="0.35">
      <c r="A58" s="134" t="s">
        <v>117</v>
      </c>
      <c r="B58" s="134" t="s">
        <v>133</v>
      </c>
      <c r="C58" s="134"/>
      <c r="D58" s="39">
        <v>0</v>
      </c>
      <c r="E58" s="65">
        <f t="shared" ref="E58" si="13">D58</f>
        <v>0</v>
      </c>
      <c r="F58" s="54"/>
      <c r="G58" s="36">
        <f t="shared" si="9"/>
        <v>0</v>
      </c>
      <c r="H58" s="72">
        <f t="shared" si="10"/>
        <v>0</v>
      </c>
      <c r="I58" s="81">
        <f t="shared" si="11"/>
        <v>0</v>
      </c>
      <c r="J58" s="81">
        <f t="shared" si="12"/>
        <v>0</v>
      </c>
    </row>
    <row r="59" spans="1:10" x14ac:dyDescent="0.35">
      <c r="A59" s="135" t="s">
        <v>124</v>
      </c>
      <c r="B59" s="136"/>
      <c r="C59" s="137"/>
      <c r="D59" s="39">
        <v>55000</v>
      </c>
      <c r="E59" s="65">
        <f>D59</f>
        <v>55000</v>
      </c>
      <c r="F59" s="54"/>
      <c r="G59" s="36">
        <f t="shared" si="9"/>
        <v>55000</v>
      </c>
      <c r="H59" s="72">
        <f t="shared" si="10"/>
        <v>55000</v>
      </c>
      <c r="I59" s="81">
        <f t="shared" si="11"/>
        <v>0</v>
      </c>
      <c r="J59" s="81">
        <f t="shared" si="12"/>
        <v>0</v>
      </c>
    </row>
    <row r="60" spans="1:10" x14ac:dyDescent="0.35">
      <c r="A60" s="174" t="s">
        <v>125</v>
      </c>
      <c r="B60" s="175"/>
      <c r="C60" s="176"/>
      <c r="D60" s="39">
        <v>84700</v>
      </c>
      <c r="E60" s="65">
        <f t="shared" ref="E60" si="14">D60</f>
        <v>84700</v>
      </c>
      <c r="F60" s="54"/>
      <c r="G60" s="36">
        <f t="shared" ref="G60" si="15">D60</f>
        <v>84700</v>
      </c>
      <c r="H60" s="72">
        <f t="shared" ref="H60" si="16">E60+F60</f>
        <v>84700</v>
      </c>
      <c r="I60" s="81"/>
      <c r="J60" s="81"/>
    </row>
    <row r="61" spans="1:10" ht="14.25" customHeight="1" x14ac:dyDescent="0.35">
      <c r="A61" s="84" t="s">
        <v>92</v>
      </c>
      <c r="B61" s="84"/>
      <c r="C61" s="84"/>
      <c r="D61" s="39">
        <v>97935</v>
      </c>
      <c r="E61" s="65">
        <f t="shared" ref="E61" si="17">D61</f>
        <v>97935</v>
      </c>
      <c r="F61" s="54"/>
      <c r="G61" s="36">
        <f t="shared" si="9"/>
        <v>97935</v>
      </c>
      <c r="H61" s="72">
        <f t="shared" si="10"/>
        <v>97935</v>
      </c>
      <c r="I61" s="81">
        <f t="shared" si="11"/>
        <v>0</v>
      </c>
      <c r="J61" s="81">
        <f t="shared" si="12"/>
        <v>0</v>
      </c>
    </row>
    <row r="62" spans="1:10" ht="13.5" customHeight="1" x14ac:dyDescent="0.35">
      <c r="A62" s="171"/>
      <c r="B62" s="172"/>
      <c r="C62" s="173"/>
      <c r="D62" s="39"/>
      <c r="E62" s="65"/>
      <c r="F62" s="54"/>
      <c r="G62" s="36">
        <f t="shared" si="9"/>
        <v>0</v>
      </c>
      <c r="H62" s="72">
        <f t="shared" si="10"/>
        <v>0</v>
      </c>
      <c r="I62" s="81"/>
      <c r="J62" s="81"/>
    </row>
    <row r="63" spans="1:10" x14ac:dyDescent="0.35">
      <c r="A63" s="125" t="s">
        <v>12</v>
      </c>
      <c r="B63" s="129"/>
      <c r="C63" s="129"/>
      <c r="D63" s="35">
        <f>SUM(D52:D62)</f>
        <v>1821053.3900000001</v>
      </c>
      <c r="E63" s="35">
        <f>SUM(E52:E62)</f>
        <v>1728065.4422490001</v>
      </c>
      <c r="F63" s="35">
        <f>SUM(F52:F62)</f>
        <v>92987.947751</v>
      </c>
      <c r="G63" s="36">
        <f>E63+F63</f>
        <v>1821053.3900000001</v>
      </c>
      <c r="H63" s="66" t="str">
        <f>IF(D63=G63, "", "Error")</f>
        <v/>
      </c>
      <c r="I63" s="81">
        <f>D63-G63</f>
        <v>0</v>
      </c>
    </row>
    <row r="64" spans="1:10" hidden="1" x14ac:dyDescent="0.35">
      <c r="A64" s="84"/>
      <c r="B64" s="84"/>
      <c r="C64" s="84"/>
      <c r="D64" s="110"/>
      <c r="E64" s="41"/>
      <c r="F64" s="4"/>
      <c r="H64" s="66"/>
    </row>
    <row r="65" spans="1:10" hidden="1" x14ac:dyDescent="0.35">
      <c r="A65" s="84"/>
      <c r="B65" s="84"/>
      <c r="C65" s="84"/>
      <c r="D65" s="110"/>
      <c r="E65" s="40"/>
      <c r="F65" s="4"/>
      <c r="H65" s="66"/>
    </row>
    <row r="66" spans="1:10" hidden="1" x14ac:dyDescent="0.35">
      <c r="A66" s="84"/>
      <c r="B66" s="84"/>
      <c r="C66" s="84"/>
      <c r="D66" s="110"/>
      <c r="E66" s="40"/>
      <c r="F66" s="4"/>
      <c r="H66" s="66"/>
    </row>
    <row r="67" spans="1:10" x14ac:dyDescent="0.35">
      <c r="A67" s="127" t="s">
        <v>110</v>
      </c>
      <c r="B67" s="107"/>
      <c r="C67" s="84"/>
      <c r="D67" s="39">
        <v>157150</v>
      </c>
      <c r="E67" s="65">
        <f>D67*91.91%</f>
        <v>144436.56499999997</v>
      </c>
      <c r="F67" s="54">
        <f>D67*8.09%</f>
        <v>12713.434999999999</v>
      </c>
      <c r="G67" s="71"/>
      <c r="H67" s="66"/>
    </row>
    <row r="68" spans="1:10" ht="15.5" customHeight="1" x14ac:dyDescent="0.35">
      <c r="A68" s="174" t="s">
        <v>132</v>
      </c>
      <c r="B68" s="175"/>
      <c r="C68" s="176"/>
      <c r="D68" s="39">
        <v>227600</v>
      </c>
      <c r="E68" s="65">
        <f t="shared" ref="E68" si="18">D68</f>
        <v>227600</v>
      </c>
      <c r="F68" s="54"/>
      <c r="H68" s="66"/>
      <c r="I68" s="36"/>
    </row>
    <row r="69" spans="1:10" ht="13.5" customHeight="1" x14ac:dyDescent="0.35">
      <c r="A69" s="125" t="s">
        <v>16</v>
      </c>
      <c r="B69" s="125"/>
      <c r="C69" s="125"/>
      <c r="D69" s="35">
        <f>SUM(D67:D68)</f>
        <v>384750</v>
      </c>
      <c r="E69" s="35">
        <f>SUM(E67:E68)</f>
        <v>372036.56499999994</v>
      </c>
      <c r="F69" s="35">
        <f>SUM(F67:F68)</f>
        <v>12713.434999999999</v>
      </c>
      <c r="G69" s="36">
        <f>E69+F69</f>
        <v>384749.99999999994</v>
      </c>
      <c r="H69" s="66" t="str">
        <f>IF(D69=G69, "", "Error")</f>
        <v/>
      </c>
      <c r="J69" s="36"/>
    </row>
    <row r="70" spans="1:10" hidden="1" x14ac:dyDescent="0.35">
      <c r="A70" s="84"/>
      <c r="B70" s="84"/>
      <c r="C70" s="84"/>
      <c r="D70" s="110"/>
      <c r="E70" s="41"/>
      <c r="F70" s="4"/>
      <c r="H70" s="66"/>
    </row>
    <row r="71" spans="1:10" hidden="1" x14ac:dyDescent="0.35">
      <c r="A71" s="84"/>
      <c r="B71" s="84"/>
      <c r="C71" s="84"/>
      <c r="D71" s="110"/>
      <c r="E71" s="40"/>
      <c r="F71" s="4"/>
      <c r="H71" s="66"/>
    </row>
    <row r="72" spans="1:10" x14ac:dyDescent="0.35">
      <c r="A72" s="126" t="s">
        <v>13</v>
      </c>
      <c r="B72" s="84"/>
      <c r="C72" s="84"/>
      <c r="D72" s="110"/>
      <c r="E72" s="40"/>
      <c r="F72" s="4"/>
      <c r="H72" s="66"/>
    </row>
    <row r="73" spans="1:10" ht="14.25" customHeight="1" x14ac:dyDescent="0.35">
      <c r="A73" s="126" t="s">
        <v>14</v>
      </c>
      <c r="B73" s="84" t="s">
        <v>89</v>
      </c>
      <c r="C73" s="84"/>
      <c r="D73" s="39">
        <v>285700</v>
      </c>
      <c r="E73" s="65">
        <f>D73*91.91%</f>
        <v>262586.87</v>
      </c>
      <c r="F73" s="54">
        <f>D73*8.09%</f>
        <v>23113.13</v>
      </c>
      <c r="G73" t="s">
        <v>118</v>
      </c>
      <c r="H73" s="66"/>
    </row>
    <row r="74" spans="1:10" x14ac:dyDescent="0.35">
      <c r="A74" s="126" t="s">
        <v>80</v>
      </c>
      <c r="B74" s="84"/>
      <c r="C74" s="84"/>
      <c r="D74" s="39">
        <v>45000</v>
      </c>
      <c r="E74" s="65">
        <f>D74*91.91%</f>
        <v>41359.499999999993</v>
      </c>
      <c r="F74" s="54">
        <f>D74*8.09%</f>
        <v>3640.5</v>
      </c>
      <c r="H74" s="66"/>
      <c r="J74" s="39"/>
    </row>
    <row r="75" spans="1:10" x14ac:dyDescent="0.35">
      <c r="A75" s="84"/>
      <c r="B75" s="84"/>
      <c r="C75" s="84"/>
      <c r="D75" s="110"/>
      <c r="E75" s="42"/>
      <c r="F75" s="4"/>
      <c r="H75" s="66"/>
      <c r="J75" s="36"/>
    </row>
    <row r="76" spans="1:10" x14ac:dyDescent="0.35">
      <c r="A76" s="125"/>
      <c r="B76" s="125"/>
      <c r="C76" s="125"/>
      <c r="D76" s="35">
        <f>SUM(D73:D75)</f>
        <v>330700</v>
      </c>
      <c r="E76" s="35">
        <f>SUM(E73:E75)</f>
        <v>303946.37</v>
      </c>
      <c r="F76" s="35">
        <f>SUM(F73:F75)</f>
        <v>26753.63</v>
      </c>
      <c r="G76" s="36">
        <f>E76+F76</f>
        <v>330700</v>
      </c>
      <c r="H76" s="66" t="str">
        <f>IF(D76=G76, "", "Error")</f>
        <v/>
      </c>
      <c r="J76" s="36"/>
    </row>
    <row r="77" spans="1:10" ht="14.25" customHeight="1" x14ac:dyDescent="0.35">
      <c r="A77" s="126" t="s">
        <v>73</v>
      </c>
      <c r="B77" s="84"/>
      <c r="C77" s="84"/>
      <c r="D77" s="39"/>
      <c r="E77" s="43"/>
      <c r="F77" s="4"/>
      <c r="H77" s="66"/>
    </row>
    <row r="78" spans="1:10" x14ac:dyDescent="0.35">
      <c r="A78" s="126" t="s">
        <v>74</v>
      </c>
      <c r="B78" s="84"/>
      <c r="C78" s="84"/>
      <c r="D78" s="39">
        <v>100705.49</v>
      </c>
      <c r="E78" s="65">
        <f>D78*91.91%</f>
        <v>92558.415859000001</v>
      </c>
      <c r="F78" s="54">
        <f>D78*8.09%</f>
        <v>8147.0741410000001</v>
      </c>
      <c r="H78" s="66"/>
    </row>
    <row r="79" spans="1:10" x14ac:dyDescent="0.35">
      <c r="A79" s="126" t="s">
        <v>75</v>
      </c>
      <c r="B79" s="84"/>
      <c r="C79" s="138"/>
      <c r="D79" s="39">
        <v>57500</v>
      </c>
      <c r="E79" s="65">
        <f>D79*91.91%</f>
        <v>52848.249999999993</v>
      </c>
      <c r="F79" s="54">
        <f>D79*8.09%</f>
        <v>4651.75</v>
      </c>
      <c r="H79" s="66"/>
    </row>
    <row r="80" spans="1:10" x14ac:dyDescent="0.35">
      <c r="A80" s="125" t="s">
        <v>15</v>
      </c>
      <c r="B80" s="125"/>
      <c r="C80" s="125"/>
      <c r="D80" s="69">
        <f>SUM(D78:D79)</f>
        <v>158205.49</v>
      </c>
      <c r="E80" s="63">
        <f t="shared" ref="E80:F80" si="19">SUM(E78:E79)</f>
        <v>145406.665859</v>
      </c>
      <c r="F80" s="63">
        <f t="shared" si="19"/>
        <v>12798.824141000001</v>
      </c>
      <c r="G80" s="36">
        <f>E80+F80</f>
        <v>158205.49</v>
      </c>
      <c r="H80" s="66" t="str">
        <f>IF(D80=G80, "", "Error")</f>
        <v/>
      </c>
    </row>
    <row r="81" spans="1:9" ht="15" thickBot="1" x14ac:dyDescent="0.4">
      <c r="A81" s="84"/>
      <c r="B81" s="84"/>
      <c r="C81" s="84"/>
      <c r="D81" s="84"/>
      <c r="E81" s="8"/>
      <c r="F81" s="4"/>
      <c r="H81" s="66"/>
    </row>
    <row r="82" spans="1:9" ht="15" thickBot="1" x14ac:dyDescent="0.4">
      <c r="A82" s="139" t="s">
        <v>105</v>
      </c>
      <c r="B82" s="139"/>
      <c r="C82" s="139"/>
      <c r="D82" s="85">
        <f>8500000-5559993.91</f>
        <v>2940006.09</v>
      </c>
      <c r="E82" s="44">
        <f>D82*91.91%</f>
        <v>2702159.5973189995</v>
      </c>
      <c r="F82" s="56">
        <f>D82*8.09%</f>
        <v>237846.49268099997</v>
      </c>
      <c r="G82" s="36">
        <f>E82+F82</f>
        <v>2940006.0899999994</v>
      </c>
      <c r="H82" s="66" t="str">
        <f>IF(D82=G82, "", "Error")</f>
        <v/>
      </c>
    </row>
    <row r="83" spans="1:9" ht="15" thickBot="1" x14ac:dyDescent="0.4">
      <c r="A83" s="140"/>
      <c r="B83" s="83"/>
      <c r="C83" s="83"/>
      <c r="D83" s="83"/>
      <c r="E83" s="2"/>
      <c r="F83" s="6"/>
      <c r="G83" s="68"/>
      <c r="H83" s="66"/>
    </row>
    <row r="84" spans="1:9" ht="15" thickBot="1" x14ac:dyDescent="0.4">
      <c r="A84" s="141" t="s">
        <v>76</v>
      </c>
      <c r="B84" s="142"/>
      <c r="C84" s="143"/>
      <c r="D84" s="86">
        <f>SUM(D82+D80+D76+D69+D63+D50+D32+D27+D45)</f>
        <v>8500000</v>
      </c>
      <c r="E84" s="64">
        <f>SUM(E82+E80+E76+E69+E63+E50+E32+E27+E45)</f>
        <v>7885098.1114999978</v>
      </c>
      <c r="F84" s="64">
        <f>SUM(F82+F80+F76+F69+F63+F50+F32+F27+F45)</f>
        <v>614901.88849999988</v>
      </c>
      <c r="G84" s="36">
        <f>E84+F84</f>
        <v>8499999.9999999981</v>
      </c>
      <c r="H84" s="66" t="str">
        <f>IF(D84=G84, "", "Error")</f>
        <v/>
      </c>
      <c r="I84" s="81">
        <f>D84-G84</f>
        <v>0</v>
      </c>
    </row>
    <row r="85" spans="1:9" ht="15" thickBot="1" x14ac:dyDescent="0.4">
      <c r="A85" s="83"/>
      <c r="B85" s="83"/>
      <c r="C85" s="83"/>
      <c r="D85" s="83"/>
      <c r="E85" s="36"/>
    </row>
    <row r="86" spans="1:9" ht="15" thickBot="1" x14ac:dyDescent="0.4">
      <c r="A86" s="144" t="s">
        <v>112</v>
      </c>
      <c r="B86" s="145"/>
      <c r="C86" s="145"/>
      <c r="D86" s="83"/>
      <c r="E86" s="36"/>
    </row>
    <row r="87" spans="1:9" x14ac:dyDescent="0.35">
      <c r="A87" s="1"/>
      <c r="C87" s="59"/>
      <c r="E87" s="36"/>
    </row>
    <row r="88" spans="1:9" ht="15" thickBot="1" x14ac:dyDescent="0.4">
      <c r="A88" s="1"/>
      <c r="C88" s="59"/>
      <c r="E88" s="36"/>
    </row>
    <row r="89" spans="1:9" ht="15" thickBot="1" x14ac:dyDescent="0.4">
      <c r="A89" s="61" t="s">
        <v>25</v>
      </c>
      <c r="B89" s="62"/>
      <c r="C89" s="60">
        <f>SUM(C87:C88)</f>
        <v>0</v>
      </c>
      <c r="E89" s="36"/>
    </row>
    <row r="90" spans="1:9" x14ac:dyDescent="0.35">
      <c r="E90" s="36"/>
    </row>
    <row r="91" spans="1:9" x14ac:dyDescent="0.35">
      <c r="E91" s="57"/>
    </row>
    <row r="92" spans="1:9" x14ac:dyDescent="0.35">
      <c r="A92" s="166" t="s">
        <v>86</v>
      </c>
      <c r="B92" s="167"/>
      <c r="C92" s="167"/>
      <c r="D92" s="167"/>
      <c r="E92" s="78" t="s">
        <v>19</v>
      </c>
      <c r="F92" s="79" t="s">
        <v>95</v>
      </c>
    </row>
    <row r="93" spans="1:9" ht="15" customHeight="1" x14ac:dyDescent="0.35">
      <c r="A93" s="163"/>
      <c r="B93" s="164"/>
      <c r="C93" s="165"/>
      <c r="D93" s="39"/>
      <c r="E93" s="65">
        <f t="shared" ref="E93:E94" si="20">D93*91.91%</f>
        <v>0</v>
      </c>
      <c r="F93" s="54">
        <f t="shared" ref="F93:F94" si="21">D93*8.09%</f>
        <v>0</v>
      </c>
    </row>
    <row r="94" spans="1:9" ht="14.25" customHeight="1" x14ac:dyDescent="0.35">
      <c r="A94" s="168"/>
      <c r="B94" s="169"/>
      <c r="C94" s="170"/>
      <c r="D94" s="39"/>
      <c r="E94" s="65">
        <f t="shared" si="20"/>
        <v>0</v>
      </c>
      <c r="F94" s="54">
        <f t="shared" si="21"/>
        <v>0</v>
      </c>
    </row>
    <row r="95" spans="1:9" x14ac:dyDescent="0.35">
      <c r="A95" s="160" t="s">
        <v>25</v>
      </c>
      <c r="B95" s="161"/>
      <c r="C95" s="162"/>
      <c r="D95" s="77">
        <f>SUM(D93:D94)</f>
        <v>0</v>
      </c>
      <c r="E95" s="77">
        <f>SUM(E93:E94)</f>
        <v>0</v>
      </c>
      <c r="F95" s="77">
        <f>SUM(F93:F94)</f>
        <v>0</v>
      </c>
      <c r="H95" s="36">
        <f>E95+F95</f>
        <v>0</v>
      </c>
      <c r="I95" s="66" t="str">
        <f>IF(D95=H95, "", "Error")</f>
        <v/>
      </c>
    </row>
    <row r="97" spans="1:7" ht="15" thickBot="1" x14ac:dyDescent="0.4">
      <c r="E97" s="36"/>
    </row>
    <row r="98" spans="1:7" ht="15" thickBot="1" x14ac:dyDescent="0.4">
      <c r="A98" s="30" t="s">
        <v>77</v>
      </c>
      <c r="B98" s="31">
        <f>D84</f>
        <v>8500000</v>
      </c>
    </row>
    <row r="99" spans="1:7" ht="15" thickBot="1" x14ac:dyDescent="0.4">
      <c r="A99" s="32" t="s">
        <v>79</v>
      </c>
      <c r="B99" s="33">
        <f>D84-D82</f>
        <v>5559993.9100000001</v>
      </c>
    </row>
    <row r="100" spans="1:7" x14ac:dyDescent="0.35">
      <c r="D100" s="150"/>
      <c r="E100" s="150"/>
    </row>
    <row r="101" spans="1:7" x14ac:dyDescent="0.35">
      <c r="A101" s="11" t="s">
        <v>63</v>
      </c>
      <c r="B101" s="12"/>
      <c r="C101" s="13"/>
      <c r="D101" s="150"/>
      <c r="E101" s="150"/>
    </row>
    <row r="102" spans="1:7" x14ac:dyDescent="0.35">
      <c r="A102" s="14" t="s">
        <v>64</v>
      </c>
      <c r="B102" s="7">
        <v>4069066.0394519484</v>
      </c>
      <c r="C102" s="15"/>
      <c r="D102" s="150"/>
      <c r="E102" s="150"/>
    </row>
    <row r="103" spans="1:7" x14ac:dyDescent="0.35">
      <c r="A103" s="16" t="s">
        <v>65</v>
      </c>
      <c r="B103" s="25">
        <f>PRORRATEO!G52</f>
        <v>7423417.4468569998</v>
      </c>
      <c r="C103" s="15" t="s">
        <v>66</v>
      </c>
      <c r="D103" s="150"/>
      <c r="E103" s="150"/>
    </row>
    <row r="104" spans="1:7" x14ac:dyDescent="0.35">
      <c r="A104" s="16" t="s">
        <v>88</v>
      </c>
      <c r="B104" s="80">
        <f>-B99</f>
        <v>-5559993.9100000001</v>
      </c>
      <c r="C104" s="13"/>
      <c r="D104" s="150"/>
      <c r="E104" s="150"/>
      <c r="G104" s="39"/>
    </row>
    <row r="105" spans="1:7" x14ac:dyDescent="0.35">
      <c r="A105" s="16" t="s">
        <v>87</v>
      </c>
      <c r="B105" s="80">
        <f>-D95</f>
        <v>0</v>
      </c>
      <c r="C105" s="13"/>
      <c r="D105" s="150"/>
      <c r="E105" s="150"/>
      <c r="G105" s="47"/>
    </row>
    <row r="106" spans="1:7" x14ac:dyDescent="0.35">
      <c r="A106" s="16" t="s">
        <v>78</v>
      </c>
      <c r="B106" s="80">
        <f>-B112</f>
        <v>-40000</v>
      </c>
      <c r="C106" s="17"/>
    </row>
    <row r="107" spans="1:7" x14ac:dyDescent="0.35">
      <c r="A107" s="16" t="s">
        <v>93</v>
      </c>
      <c r="B107" s="26">
        <f>-C89</f>
        <v>0</v>
      </c>
      <c r="C107" s="17"/>
    </row>
    <row r="108" spans="1:7" x14ac:dyDescent="0.35">
      <c r="A108" s="14" t="s">
        <v>67</v>
      </c>
      <c r="B108" s="18">
        <f>SUM(B102:B107)</f>
        <v>5892489.5763089471</v>
      </c>
      <c r="C108" s="67"/>
    </row>
    <row r="109" spans="1:7" x14ac:dyDescent="0.35">
      <c r="A109" s="17"/>
      <c r="C109" s="13"/>
      <c r="D109" s="20"/>
    </row>
    <row r="110" spans="1:7" x14ac:dyDescent="0.35">
      <c r="C110" s="13"/>
      <c r="D110" s="36"/>
      <c r="E110" s="81"/>
    </row>
    <row r="111" spans="1:7" x14ac:dyDescent="0.35">
      <c r="A111" s="11" t="s">
        <v>68</v>
      </c>
      <c r="B111" s="92">
        <v>-162694.54000000004</v>
      </c>
      <c r="C111" s="19"/>
      <c r="D111" s="81"/>
      <c r="E111" s="81"/>
      <c r="F111" s="81"/>
    </row>
    <row r="112" spans="1:7" ht="15" customHeight="1" x14ac:dyDescent="0.35">
      <c r="A112" s="14" t="s">
        <v>122</v>
      </c>
      <c r="B112" s="26">
        <v>40000</v>
      </c>
      <c r="C112" s="19"/>
      <c r="D112" s="81"/>
      <c r="E112" s="87"/>
    </row>
    <row r="113" spans="1:14" x14ac:dyDescent="0.35">
      <c r="A113" s="14"/>
      <c r="B113" s="80"/>
      <c r="C113" s="19"/>
      <c r="E113" s="36"/>
    </row>
    <row r="114" spans="1:14" x14ac:dyDescent="0.35">
      <c r="A114" s="14"/>
      <c r="B114" s="80"/>
      <c r="C114" s="19"/>
      <c r="D114" s="146"/>
      <c r="E114" s="36"/>
    </row>
    <row r="115" spans="1:14" x14ac:dyDescent="0.35">
      <c r="A115" s="28" t="s">
        <v>25</v>
      </c>
      <c r="B115" s="29">
        <f>SUM(B111:B114)</f>
        <v>-122694.54000000004</v>
      </c>
      <c r="C115" s="19"/>
    </row>
    <row r="116" spans="1:14" x14ac:dyDescent="0.35">
      <c r="C116" s="20"/>
      <c r="D116" s="81"/>
    </row>
    <row r="117" spans="1:14" x14ac:dyDescent="0.35">
      <c r="B117" s="17"/>
      <c r="C117" s="13"/>
    </row>
    <row r="119" spans="1:14" x14ac:dyDescent="0.35">
      <c r="N119" s="8"/>
    </row>
    <row r="122" spans="1:14" x14ac:dyDescent="0.35">
      <c r="B122" s="149"/>
      <c r="C122" s="149"/>
      <c r="D122" s="149"/>
      <c r="E122" s="149"/>
    </row>
    <row r="123" spans="1:14" x14ac:dyDescent="0.35">
      <c r="B123" s="149"/>
      <c r="C123" s="149"/>
      <c r="D123" s="149"/>
      <c r="E123" s="149"/>
    </row>
    <row r="124" spans="1:14" x14ac:dyDescent="0.35">
      <c r="B124" s="149"/>
      <c r="C124" s="149"/>
      <c r="D124" s="149"/>
      <c r="E124" s="149"/>
    </row>
    <row r="125" spans="1:14" x14ac:dyDescent="0.35">
      <c r="B125" s="149"/>
      <c r="C125" s="149"/>
      <c r="D125" s="149"/>
      <c r="E125" s="149"/>
    </row>
    <row r="126" spans="1:14" x14ac:dyDescent="0.35">
      <c r="B126" s="149"/>
      <c r="C126" s="149"/>
      <c r="D126" s="149"/>
      <c r="E126" s="149"/>
    </row>
  </sheetData>
  <mergeCells count="11">
    <mergeCell ref="B1:F1"/>
    <mergeCell ref="B122:E126"/>
    <mergeCell ref="D100:E105"/>
    <mergeCell ref="B14:D17"/>
    <mergeCell ref="A95:C95"/>
    <mergeCell ref="A93:C93"/>
    <mergeCell ref="A92:D92"/>
    <mergeCell ref="A94:C94"/>
    <mergeCell ref="A62:C62"/>
    <mergeCell ref="A60:C60"/>
    <mergeCell ref="A68:C68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abSelected="1" zoomScaleNormal="100" workbookViewId="0">
      <selection activeCell="K7" sqref="K7"/>
    </sheetView>
  </sheetViews>
  <sheetFormatPr defaultColWidth="10.90625" defaultRowHeight="14.5" x14ac:dyDescent="0.35"/>
  <cols>
    <col min="1" max="1" width="4.54296875" customWidth="1"/>
    <col min="2" max="2" width="5.90625" hidden="1" customWidth="1"/>
    <col min="3" max="3" width="5.36328125" customWidth="1"/>
    <col min="4" max="4" width="21.6328125" customWidth="1"/>
    <col min="5" max="5" width="6.08984375" customWidth="1"/>
    <col min="6" max="7" width="12.453125" bestFit="1" customWidth="1"/>
    <col min="8" max="8" width="11.08984375" customWidth="1"/>
    <col min="9" max="9" width="6" customWidth="1"/>
    <col min="10" max="10" width="13.6328125" customWidth="1"/>
    <col min="11" max="11" width="13.36328125" customWidth="1"/>
    <col min="12" max="12" width="11.54296875" customWidth="1"/>
    <col min="13" max="13" width="14.36328125" customWidth="1"/>
    <col min="14" max="14" width="13.6328125" customWidth="1"/>
    <col min="15" max="15" width="11.453125" customWidth="1"/>
    <col min="16" max="16" width="14.54296875" bestFit="1" customWidth="1"/>
    <col min="18" max="18" width="12" bestFit="1" customWidth="1"/>
  </cols>
  <sheetData>
    <row r="1" spans="1:16" ht="15" customHeight="1" x14ac:dyDescent="0.35">
      <c r="A1" s="188" t="str">
        <f>RESUMEN!C5</f>
        <v>VTO: 13/03</v>
      </c>
      <c r="B1" s="189"/>
      <c r="C1" s="189"/>
      <c r="D1" s="189"/>
      <c r="E1" s="189"/>
      <c r="F1" s="189"/>
      <c r="G1" s="189"/>
      <c r="H1" s="189"/>
      <c r="I1" s="189"/>
      <c r="J1" s="190"/>
      <c r="K1" s="96" t="s">
        <v>96</v>
      </c>
      <c r="L1" s="177">
        <f>RESUMEN!D84</f>
        <v>8500000</v>
      </c>
      <c r="M1" s="178"/>
      <c r="N1" s="97"/>
      <c r="O1" s="55">
        <f>L1*8.09%</f>
        <v>687650</v>
      </c>
    </row>
    <row r="2" spans="1:16" x14ac:dyDescent="0.35">
      <c r="A2" s="191"/>
      <c r="B2" s="192"/>
      <c r="C2" s="192"/>
      <c r="D2" s="192"/>
      <c r="E2" s="192"/>
      <c r="F2" s="192"/>
      <c r="G2" s="192"/>
      <c r="H2" s="192"/>
      <c r="I2" s="192"/>
      <c r="J2" s="193"/>
      <c r="K2" s="98" t="s">
        <v>97</v>
      </c>
      <c r="L2" s="5"/>
      <c r="M2" s="99">
        <v>8500000</v>
      </c>
      <c r="N2" s="100"/>
      <c r="O2" s="55">
        <f>O1-K7-553-50-86-8</f>
        <v>72051.111500000115</v>
      </c>
    </row>
    <row r="3" spans="1:16" x14ac:dyDescent="0.35">
      <c r="A3" s="191"/>
      <c r="B3" s="192"/>
      <c r="C3" s="192"/>
      <c r="D3" s="192"/>
      <c r="E3" s="192"/>
      <c r="F3" s="192"/>
      <c r="G3" s="192"/>
      <c r="H3" s="192"/>
      <c r="I3" s="192"/>
      <c r="J3" s="193"/>
      <c r="K3" s="98" t="s">
        <v>103</v>
      </c>
      <c r="L3" s="5"/>
      <c r="M3" s="101">
        <f>RESUMEN!D95</f>
        <v>0</v>
      </c>
      <c r="N3" s="102"/>
      <c r="O3" s="10"/>
    </row>
    <row r="4" spans="1:16" ht="19.5" customHeight="1" thickBot="1" x14ac:dyDescent="0.4">
      <c r="A4" s="194"/>
      <c r="B4" s="195"/>
      <c r="C4" s="195"/>
      <c r="D4" s="195"/>
      <c r="E4" s="195"/>
      <c r="F4" s="195"/>
      <c r="G4" s="195"/>
      <c r="H4" s="195"/>
      <c r="I4" s="195"/>
      <c r="J4" s="196"/>
      <c r="K4" s="103" t="s">
        <v>97</v>
      </c>
      <c r="L4" s="104"/>
      <c r="M4" s="105">
        <v>966666.66666666663</v>
      </c>
      <c r="N4" s="106"/>
      <c r="O4" s="55">
        <f>M3/3</f>
        <v>0</v>
      </c>
    </row>
    <row r="5" spans="1:16" ht="14.5" customHeight="1" x14ac:dyDescent="0.35">
      <c r="A5" s="181" t="s">
        <v>17</v>
      </c>
      <c r="B5" s="197" t="s">
        <v>18</v>
      </c>
      <c r="C5" s="181" t="s">
        <v>19</v>
      </c>
      <c r="D5" s="186" t="s">
        <v>20</v>
      </c>
      <c r="E5" s="181" t="s">
        <v>70</v>
      </c>
      <c r="F5" s="181" t="s">
        <v>21</v>
      </c>
      <c r="G5" s="181" t="s">
        <v>22</v>
      </c>
      <c r="H5" s="183" t="s">
        <v>23</v>
      </c>
      <c r="I5" s="186" t="s">
        <v>81</v>
      </c>
      <c r="J5" s="179" t="s">
        <v>24</v>
      </c>
      <c r="K5" s="179" t="s">
        <v>58</v>
      </c>
      <c r="L5" s="179" t="s">
        <v>136</v>
      </c>
      <c r="M5" s="179" t="s">
        <v>138</v>
      </c>
      <c r="N5" s="179" t="s">
        <v>137</v>
      </c>
    </row>
    <row r="6" spans="1:16" x14ac:dyDescent="0.35">
      <c r="A6" s="182"/>
      <c r="B6" s="198"/>
      <c r="C6" s="182"/>
      <c r="D6" s="199"/>
      <c r="E6" s="182"/>
      <c r="F6" s="182"/>
      <c r="G6" s="182"/>
      <c r="H6" s="184"/>
      <c r="I6" s="187"/>
      <c r="J6" s="185"/>
      <c r="K6" s="180"/>
      <c r="L6" s="185"/>
      <c r="M6" s="180"/>
      <c r="N6" s="180"/>
    </row>
    <row r="7" spans="1:16" x14ac:dyDescent="0.35">
      <c r="A7" s="4" t="s">
        <v>26</v>
      </c>
      <c r="B7" s="4"/>
      <c r="C7" s="4">
        <v>1</v>
      </c>
      <c r="D7" s="53" t="s">
        <v>27</v>
      </c>
      <c r="E7" s="4">
        <v>8.09</v>
      </c>
      <c r="F7" s="21">
        <v>623232.78685699985</v>
      </c>
      <c r="G7" s="111">
        <f>F7</f>
        <v>623232.78685699985</v>
      </c>
      <c r="H7" s="51">
        <f>F7-G7</f>
        <v>0</v>
      </c>
      <c r="I7" s="34">
        <v>12</v>
      </c>
      <c r="J7" s="21">
        <v>0</v>
      </c>
      <c r="K7" s="21">
        <v>614901.88849999988</v>
      </c>
      <c r="L7" s="27"/>
      <c r="M7" s="3">
        <f>K7+J7+H7+L7</f>
        <v>614901.88849999988</v>
      </c>
      <c r="N7" s="7">
        <f>M7*6% + M7</f>
        <v>651796.00180999993</v>
      </c>
    </row>
    <row r="8" spans="1:16" x14ac:dyDescent="0.35">
      <c r="A8" s="4" t="s">
        <v>28</v>
      </c>
      <c r="B8" s="4"/>
      <c r="C8" s="4">
        <v>24</v>
      </c>
      <c r="D8" s="53" t="s">
        <v>29</v>
      </c>
      <c r="E8" s="4">
        <v>2.21</v>
      </c>
      <c r="F8" s="21">
        <v>208759.6034978492</v>
      </c>
      <c r="G8" s="111">
        <v>210000</v>
      </c>
      <c r="H8" s="51">
        <f t="shared" ref="H8:H51" si="0">F8-G8</f>
        <v>-1240.3965021508047</v>
      </c>
      <c r="I8" s="34">
        <v>11</v>
      </c>
      <c r="J8" s="21">
        <f>M$4*E8%</f>
        <v>21363.333333333332</v>
      </c>
      <c r="K8" s="21">
        <f>M$2*E8 /100</f>
        <v>187850</v>
      </c>
      <c r="L8" s="94"/>
      <c r="M8" s="3">
        <f>K8+J8+H8+L8</f>
        <v>207972.93683118254</v>
      </c>
      <c r="N8" s="7">
        <f t="shared" ref="N8:N51" si="1">M8*6% + M8</f>
        <v>220451.31304105348</v>
      </c>
    </row>
    <row r="9" spans="1:16" x14ac:dyDescent="0.35">
      <c r="A9" s="4" t="s">
        <v>28</v>
      </c>
      <c r="B9" s="4"/>
      <c r="C9" s="4">
        <v>25</v>
      </c>
      <c r="D9" s="53" t="s">
        <v>30</v>
      </c>
      <c r="E9" s="4">
        <v>4.21</v>
      </c>
      <c r="F9" s="21">
        <v>398546.93620093004</v>
      </c>
      <c r="G9" s="112">
        <f>449667-G34</f>
        <v>398547</v>
      </c>
      <c r="H9" s="51">
        <f t="shared" si="0"/>
        <v>-6.379906996153295E-2</v>
      </c>
      <c r="I9" s="34">
        <v>9</v>
      </c>
      <c r="J9" s="21">
        <f t="shared" ref="J9:J51" si="2">M$4*E9%</f>
        <v>40696.666666666664</v>
      </c>
      <c r="K9" s="21">
        <f t="shared" ref="K9:K51" si="3">M$2*E9 /100</f>
        <v>357850</v>
      </c>
      <c r="L9" s="94"/>
      <c r="M9" s="3">
        <f t="shared" ref="M9:M51" si="4">K9+J9+H9+L9</f>
        <v>398546.60286759672</v>
      </c>
      <c r="N9" s="7">
        <f t="shared" si="1"/>
        <v>422459.39903965255</v>
      </c>
    </row>
    <row r="10" spans="1:16" x14ac:dyDescent="0.35">
      <c r="A10" s="4" t="s">
        <v>31</v>
      </c>
      <c r="B10" s="4"/>
      <c r="C10" s="4">
        <v>26</v>
      </c>
      <c r="D10" s="53" t="s">
        <v>32</v>
      </c>
      <c r="E10" s="4">
        <v>2.84</v>
      </c>
      <c r="F10" s="21">
        <v>268853.33333333331</v>
      </c>
      <c r="G10" s="111">
        <f>F10</f>
        <v>268853.33333333331</v>
      </c>
      <c r="H10" s="51">
        <f t="shared" si="0"/>
        <v>0</v>
      </c>
      <c r="I10" s="34">
        <v>11</v>
      </c>
      <c r="J10" s="21">
        <f t="shared" si="2"/>
        <v>27453.333333333332</v>
      </c>
      <c r="K10" s="21">
        <f t="shared" si="3"/>
        <v>241400</v>
      </c>
      <c r="L10" s="94"/>
      <c r="M10" s="3">
        <f t="shared" si="4"/>
        <v>268853.33333333331</v>
      </c>
      <c r="N10" s="7">
        <f t="shared" si="1"/>
        <v>284984.53333333333</v>
      </c>
    </row>
    <row r="11" spans="1:16" x14ac:dyDescent="0.35">
      <c r="A11" s="4" t="s">
        <v>31</v>
      </c>
      <c r="B11" s="4"/>
      <c r="C11" s="4">
        <v>27</v>
      </c>
      <c r="D11" s="53" t="s">
        <v>33</v>
      </c>
      <c r="E11" s="4">
        <v>3.43</v>
      </c>
      <c r="F11" s="21">
        <v>324706.66666666669</v>
      </c>
      <c r="G11" s="111">
        <f>F11</f>
        <v>324706.66666666669</v>
      </c>
      <c r="H11" s="51">
        <f t="shared" si="0"/>
        <v>0</v>
      </c>
      <c r="I11" s="34">
        <v>12</v>
      </c>
      <c r="J11" s="21">
        <f t="shared" si="2"/>
        <v>33156.666666666672</v>
      </c>
      <c r="K11" s="21">
        <f t="shared" si="3"/>
        <v>291550</v>
      </c>
      <c r="L11" s="94"/>
      <c r="M11" s="3">
        <f t="shared" si="4"/>
        <v>324706.66666666669</v>
      </c>
      <c r="N11" s="7">
        <f t="shared" si="1"/>
        <v>344189.06666666671</v>
      </c>
      <c r="P11" s="36"/>
    </row>
    <row r="12" spans="1:16" x14ac:dyDescent="0.35">
      <c r="A12" s="4" t="s">
        <v>34</v>
      </c>
      <c r="B12" s="4"/>
      <c r="C12" s="4">
        <v>28</v>
      </c>
      <c r="D12" s="53" t="s">
        <v>84</v>
      </c>
      <c r="E12" s="4">
        <v>2.84</v>
      </c>
      <c r="F12" s="21">
        <v>268853.33333333331</v>
      </c>
      <c r="G12" s="112">
        <f>F12</f>
        <v>268853.33333333331</v>
      </c>
      <c r="H12" s="51">
        <f>F12-G12</f>
        <v>0</v>
      </c>
      <c r="I12" s="34">
        <v>11</v>
      </c>
      <c r="J12" s="21">
        <f t="shared" si="2"/>
        <v>27453.333333333332</v>
      </c>
      <c r="K12" s="21">
        <f t="shared" si="3"/>
        <v>241400</v>
      </c>
      <c r="L12" s="94"/>
      <c r="M12" s="3">
        <f t="shared" si="4"/>
        <v>268853.33333333331</v>
      </c>
      <c r="N12" s="7">
        <f t="shared" si="1"/>
        <v>284984.53333333333</v>
      </c>
    </row>
    <row r="13" spans="1:16" x14ac:dyDescent="0.35">
      <c r="A13" s="4" t="s">
        <v>34</v>
      </c>
      <c r="B13" s="4"/>
      <c r="C13" s="4">
        <v>29</v>
      </c>
      <c r="D13" s="53" t="s">
        <v>35</v>
      </c>
      <c r="E13" s="4">
        <v>3.43</v>
      </c>
      <c r="F13" s="21">
        <v>324707.48408590845</v>
      </c>
      <c r="G13" s="112">
        <f>380560-G50</f>
        <v>324706.66666666669</v>
      </c>
      <c r="H13" s="51">
        <f t="shared" si="0"/>
        <v>0.81741924176458269</v>
      </c>
      <c r="I13" s="34">
        <v>9</v>
      </c>
      <c r="J13" s="21">
        <f t="shared" si="2"/>
        <v>33156.666666666672</v>
      </c>
      <c r="K13" s="21">
        <f t="shared" si="3"/>
        <v>291550</v>
      </c>
      <c r="L13" s="94"/>
      <c r="M13" s="3">
        <f t="shared" si="4"/>
        <v>324707.48408590845</v>
      </c>
      <c r="N13" s="7">
        <f t="shared" si="1"/>
        <v>344189.93313106295</v>
      </c>
    </row>
    <row r="14" spans="1:16" x14ac:dyDescent="0.35">
      <c r="A14" s="4" t="s">
        <v>36</v>
      </c>
      <c r="B14" s="4"/>
      <c r="C14" s="4">
        <v>30</v>
      </c>
      <c r="D14" s="53" t="s">
        <v>37</v>
      </c>
      <c r="E14" s="4">
        <v>2.84</v>
      </c>
      <c r="F14" s="21">
        <v>268853.33333333331</v>
      </c>
      <c r="G14" s="111"/>
      <c r="H14" s="51">
        <f t="shared" si="0"/>
        <v>268853.33333333331</v>
      </c>
      <c r="I14" s="34">
        <v>29</v>
      </c>
      <c r="J14" s="21">
        <f t="shared" si="2"/>
        <v>27453.333333333332</v>
      </c>
      <c r="K14" s="21">
        <f t="shared" si="3"/>
        <v>241400</v>
      </c>
      <c r="L14" s="94"/>
      <c r="M14" s="3">
        <f t="shared" si="4"/>
        <v>537706.66666666663</v>
      </c>
      <c r="N14" s="7">
        <f t="shared" si="1"/>
        <v>569969.06666666665</v>
      </c>
    </row>
    <row r="15" spans="1:16" x14ac:dyDescent="0.35">
      <c r="A15" s="4" t="s">
        <v>36</v>
      </c>
      <c r="B15" s="4"/>
      <c r="C15" s="4">
        <v>31</v>
      </c>
      <c r="D15" s="53" t="s">
        <v>109</v>
      </c>
      <c r="E15" s="4">
        <v>3.43</v>
      </c>
      <c r="F15" s="21">
        <v>649413.20432986738</v>
      </c>
      <c r="G15" s="112"/>
      <c r="H15" s="51">
        <f t="shared" si="0"/>
        <v>649413.20432986738</v>
      </c>
      <c r="I15" s="34"/>
      <c r="J15" s="21">
        <f t="shared" si="2"/>
        <v>33156.666666666672</v>
      </c>
      <c r="K15" s="21">
        <f t="shared" si="3"/>
        <v>291550</v>
      </c>
      <c r="L15" s="94"/>
      <c r="M15" s="3">
        <f t="shared" si="4"/>
        <v>974119.87099653413</v>
      </c>
      <c r="N15" s="7">
        <f t="shared" si="1"/>
        <v>1032567.0632563261</v>
      </c>
    </row>
    <row r="16" spans="1:16" x14ac:dyDescent="0.35">
      <c r="A16" s="4" t="s">
        <v>38</v>
      </c>
      <c r="B16" s="4"/>
      <c r="C16" s="4">
        <v>32</v>
      </c>
      <c r="D16" s="53" t="s">
        <v>107</v>
      </c>
      <c r="E16" s="4">
        <v>2.84</v>
      </c>
      <c r="F16" s="21">
        <v>287767.41316033335</v>
      </c>
      <c r="G16" s="112">
        <f>334154-G49</f>
        <v>287767.33333333331</v>
      </c>
      <c r="H16" s="51">
        <f t="shared" si="0"/>
        <v>7.9827000037766993E-2</v>
      </c>
      <c r="I16" s="34">
        <v>9</v>
      </c>
      <c r="J16" s="21">
        <f t="shared" si="2"/>
        <v>27453.333333333332</v>
      </c>
      <c r="K16" s="21">
        <f t="shared" si="3"/>
        <v>241400</v>
      </c>
      <c r="L16" s="94"/>
      <c r="M16" s="3">
        <f t="shared" si="4"/>
        <v>268853.41316033335</v>
      </c>
      <c r="N16" s="7">
        <f t="shared" si="1"/>
        <v>284984.61794995336</v>
      </c>
    </row>
    <row r="17" spans="1:18" x14ac:dyDescent="0.35">
      <c r="A17" s="4" t="s">
        <v>38</v>
      </c>
      <c r="B17" s="4"/>
      <c r="C17" s="4">
        <v>33</v>
      </c>
      <c r="D17" s="53" t="s">
        <v>39</v>
      </c>
      <c r="E17" s="4">
        <v>3.43</v>
      </c>
      <c r="F17" s="21">
        <v>344706.64067778148</v>
      </c>
      <c r="G17" s="111">
        <f>438427-G47-G48</f>
        <v>344707</v>
      </c>
      <c r="H17" s="51">
        <f t="shared" si="0"/>
        <v>-0.35932221851544455</v>
      </c>
      <c r="I17" s="34">
        <v>13</v>
      </c>
      <c r="J17" s="21">
        <f t="shared" si="2"/>
        <v>33156.666666666672</v>
      </c>
      <c r="K17" s="21">
        <f t="shared" si="3"/>
        <v>291550</v>
      </c>
      <c r="L17" s="94">
        <v>20000</v>
      </c>
      <c r="M17" s="3">
        <f t="shared" si="4"/>
        <v>344706.30734444817</v>
      </c>
      <c r="N17" s="7">
        <f t="shared" si="1"/>
        <v>365388.68578511506</v>
      </c>
    </row>
    <row r="18" spans="1:18" x14ac:dyDescent="0.35">
      <c r="A18" s="4" t="s">
        <v>40</v>
      </c>
      <c r="B18" s="4"/>
      <c r="C18" s="4">
        <v>34</v>
      </c>
      <c r="D18" s="53" t="s">
        <v>119</v>
      </c>
      <c r="E18" s="4">
        <v>2.84</v>
      </c>
      <c r="F18" s="21">
        <v>268853.76046658464</v>
      </c>
      <c r="G18" s="111">
        <f>342182.59-G51</f>
        <v>288222.59000000003</v>
      </c>
      <c r="H18" s="51">
        <f t="shared" si="0"/>
        <v>-19368.829533415381</v>
      </c>
      <c r="I18" s="34">
        <v>11</v>
      </c>
      <c r="J18" s="21">
        <f t="shared" si="2"/>
        <v>27453.333333333332</v>
      </c>
      <c r="K18" s="21">
        <f t="shared" si="3"/>
        <v>241400</v>
      </c>
      <c r="L18" s="94"/>
      <c r="M18" s="3">
        <f t="shared" si="4"/>
        <v>249484.50379991793</v>
      </c>
      <c r="N18" s="7">
        <f t="shared" si="1"/>
        <v>264453.57402791298</v>
      </c>
      <c r="P18" t="s">
        <v>116</v>
      </c>
    </row>
    <row r="19" spans="1:18" x14ac:dyDescent="0.35">
      <c r="A19" s="4" t="s">
        <v>40</v>
      </c>
      <c r="B19" s="4"/>
      <c r="C19" s="4">
        <v>35</v>
      </c>
      <c r="D19" s="53" t="s">
        <v>42</v>
      </c>
      <c r="E19" s="4">
        <v>3.43</v>
      </c>
      <c r="F19" s="21">
        <v>324707.15298183478</v>
      </c>
      <c r="G19" s="112">
        <f>375827-G41</f>
        <v>324707</v>
      </c>
      <c r="H19" s="51">
        <f t="shared" si="0"/>
        <v>0.1529818347771652</v>
      </c>
      <c r="I19" s="34">
        <v>9</v>
      </c>
      <c r="J19" s="21">
        <f t="shared" si="2"/>
        <v>33156.666666666672</v>
      </c>
      <c r="K19" s="21">
        <f t="shared" si="3"/>
        <v>291550</v>
      </c>
      <c r="L19" s="94"/>
      <c r="M19" s="3">
        <f t="shared" si="4"/>
        <v>324706.81964850146</v>
      </c>
      <c r="N19" s="7">
        <f t="shared" si="1"/>
        <v>344189.22882741154</v>
      </c>
    </row>
    <row r="20" spans="1:18" x14ac:dyDescent="0.35">
      <c r="A20" s="4" t="s">
        <v>43</v>
      </c>
      <c r="B20" s="4"/>
      <c r="C20" s="4">
        <v>36</v>
      </c>
      <c r="D20" s="53" t="s">
        <v>44</v>
      </c>
      <c r="E20" s="4">
        <v>2.84</v>
      </c>
      <c r="F20" s="21">
        <v>268852.98919040803</v>
      </c>
      <c r="G20" s="111">
        <f>315240-G38</f>
        <v>268853.33333333331</v>
      </c>
      <c r="H20" s="51">
        <f t="shared" si="0"/>
        <v>-0.34414292528526857</v>
      </c>
      <c r="I20" s="34">
        <v>9</v>
      </c>
      <c r="J20" s="21">
        <f t="shared" si="2"/>
        <v>27453.333333333332</v>
      </c>
      <c r="K20" s="21">
        <f t="shared" si="3"/>
        <v>241400</v>
      </c>
      <c r="L20" s="94"/>
      <c r="M20" s="3">
        <f t="shared" si="4"/>
        <v>268852.98919040803</v>
      </c>
      <c r="N20" s="7">
        <f t="shared" si="1"/>
        <v>284984.16854183254</v>
      </c>
    </row>
    <row r="21" spans="1:18" x14ac:dyDescent="0.35">
      <c r="A21" s="4" t="s">
        <v>43</v>
      </c>
      <c r="B21" s="4"/>
      <c r="C21" s="4">
        <v>37</v>
      </c>
      <c r="D21" s="53" t="s">
        <v>45</v>
      </c>
      <c r="E21" s="4">
        <v>3.43</v>
      </c>
      <c r="F21" s="21">
        <v>324706.55530846264</v>
      </c>
      <c r="G21" s="111">
        <f>375827-G45</f>
        <v>324707</v>
      </c>
      <c r="H21" s="51">
        <f t="shared" si="0"/>
        <v>-0.44469153735553846</v>
      </c>
      <c r="I21" s="34">
        <v>11</v>
      </c>
      <c r="J21" s="21">
        <f t="shared" si="2"/>
        <v>33156.666666666672</v>
      </c>
      <c r="K21" s="21">
        <f t="shared" si="3"/>
        <v>291550</v>
      </c>
      <c r="L21" s="94"/>
      <c r="M21" s="3">
        <f t="shared" si="4"/>
        <v>324706.22197512933</v>
      </c>
      <c r="N21" s="7">
        <f t="shared" si="1"/>
        <v>344188.59529363707</v>
      </c>
    </row>
    <row r="22" spans="1:18" x14ac:dyDescent="0.35">
      <c r="A22" s="4" t="s">
        <v>46</v>
      </c>
      <c r="B22" s="4"/>
      <c r="C22" s="4">
        <v>38</v>
      </c>
      <c r="D22" s="74" t="s">
        <v>100</v>
      </c>
      <c r="E22" s="4">
        <v>2.84</v>
      </c>
      <c r="F22" s="21">
        <v>268853.33333333331</v>
      </c>
      <c r="G22" s="111">
        <f>F22</f>
        <v>268853.33333333331</v>
      </c>
      <c r="H22" s="51">
        <f t="shared" si="0"/>
        <v>0</v>
      </c>
      <c r="I22" s="34">
        <v>11</v>
      </c>
      <c r="J22" s="21">
        <f t="shared" si="2"/>
        <v>27453.333333333332</v>
      </c>
      <c r="K22" s="21">
        <f t="shared" si="3"/>
        <v>241400</v>
      </c>
      <c r="L22" s="94"/>
      <c r="M22" s="3">
        <f t="shared" si="4"/>
        <v>268853.33333333331</v>
      </c>
      <c r="N22" s="7">
        <f t="shared" si="1"/>
        <v>284984.53333333333</v>
      </c>
    </row>
    <row r="23" spans="1:18" x14ac:dyDescent="0.35">
      <c r="A23" s="4" t="s">
        <v>46</v>
      </c>
      <c r="B23" s="4"/>
      <c r="C23" s="4">
        <v>39</v>
      </c>
      <c r="D23" s="53" t="s">
        <v>47</v>
      </c>
      <c r="E23" s="4">
        <v>3.43</v>
      </c>
      <c r="F23" s="21">
        <v>665935.33457008889</v>
      </c>
      <c r="G23" s="112">
        <f>400000-G46</f>
        <v>349826.66666666669</v>
      </c>
      <c r="H23" s="51">
        <f t="shared" si="0"/>
        <v>316108.6679034222</v>
      </c>
      <c r="I23" s="34">
        <v>24</v>
      </c>
      <c r="J23" s="21">
        <f t="shared" si="2"/>
        <v>33156.666666666672</v>
      </c>
      <c r="K23" s="21">
        <f t="shared" si="3"/>
        <v>291550</v>
      </c>
      <c r="L23" s="94"/>
      <c r="M23" s="3">
        <f t="shared" si="4"/>
        <v>640815.33457008889</v>
      </c>
      <c r="N23" s="7">
        <f t="shared" si="1"/>
        <v>679264.25464429427</v>
      </c>
    </row>
    <row r="24" spans="1:18" x14ac:dyDescent="0.35">
      <c r="A24" s="4" t="s">
        <v>48</v>
      </c>
      <c r="B24" s="4"/>
      <c r="C24" s="4">
        <v>40</v>
      </c>
      <c r="D24" s="53" t="s">
        <v>49</v>
      </c>
      <c r="E24" s="4">
        <v>2.84</v>
      </c>
      <c r="F24" s="21">
        <v>268258.70675440802</v>
      </c>
      <c r="G24" s="111">
        <f>315500-G37</f>
        <v>269113.33333333331</v>
      </c>
      <c r="H24" s="51">
        <f t="shared" si="0"/>
        <v>-854.62657892529387</v>
      </c>
      <c r="I24" s="82">
        <v>16</v>
      </c>
      <c r="J24" s="21">
        <f t="shared" si="2"/>
        <v>27453.333333333332</v>
      </c>
      <c r="K24" s="21">
        <f t="shared" si="3"/>
        <v>241400</v>
      </c>
      <c r="L24" s="94"/>
      <c r="M24" s="3">
        <f t="shared" si="4"/>
        <v>267998.70675440802</v>
      </c>
      <c r="N24" s="7">
        <f t="shared" si="1"/>
        <v>284078.62915967248</v>
      </c>
    </row>
    <row r="25" spans="1:18" x14ac:dyDescent="0.35">
      <c r="A25" s="4" t="s">
        <v>48</v>
      </c>
      <c r="B25" s="4"/>
      <c r="C25" s="4">
        <v>41</v>
      </c>
      <c r="D25" s="53" t="s">
        <v>139</v>
      </c>
      <c r="E25" s="4">
        <v>3.43</v>
      </c>
      <c r="F25" s="21">
        <v>365389.07</v>
      </c>
      <c r="G25" s="112">
        <f>F25</f>
        <v>365389.07</v>
      </c>
      <c r="H25" s="51">
        <f t="shared" si="0"/>
        <v>0</v>
      </c>
      <c r="I25" s="34">
        <v>23</v>
      </c>
      <c r="J25" s="21">
        <f t="shared" si="2"/>
        <v>33156.666666666672</v>
      </c>
      <c r="K25" s="21">
        <f t="shared" si="3"/>
        <v>291550</v>
      </c>
      <c r="L25" s="95"/>
      <c r="M25" s="3">
        <f t="shared" si="4"/>
        <v>324706.66666666669</v>
      </c>
      <c r="N25" s="7">
        <f t="shared" si="1"/>
        <v>344189.06666666671</v>
      </c>
      <c r="P25" s="58"/>
      <c r="Q25" s="58"/>
      <c r="R25" s="58"/>
    </row>
    <row r="26" spans="1:18" x14ac:dyDescent="0.35">
      <c r="A26" s="4" t="s">
        <v>50</v>
      </c>
      <c r="B26" s="4"/>
      <c r="C26" s="4">
        <v>42</v>
      </c>
      <c r="D26" s="53" t="s">
        <v>51</v>
      </c>
      <c r="E26" s="4">
        <v>6</v>
      </c>
      <c r="F26" s="21">
        <v>-1020518.0073339629</v>
      </c>
      <c r="G26" s="112">
        <f>-G30-G31</f>
        <v>-103186.66666666666</v>
      </c>
      <c r="H26" s="52">
        <f t="shared" si="0"/>
        <v>-917331.34066729632</v>
      </c>
      <c r="I26" s="34"/>
      <c r="J26" s="21">
        <f t="shared" si="2"/>
        <v>57999.999999999993</v>
      </c>
      <c r="K26" s="21">
        <f t="shared" si="3"/>
        <v>510000</v>
      </c>
      <c r="L26" s="94"/>
      <c r="M26" s="3">
        <f t="shared" si="4"/>
        <v>-349331.34066729632</v>
      </c>
      <c r="N26" s="7">
        <f t="shared" si="1"/>
        <v>-370291.22110733407</v>
      </c>
    </row>
    <row r="27" spans="1:18" x14ac:dyDescent="0.35">
      <c r="A27" s="4" t="s">
        <v>52</v>
      </c>
      <c r="B27" s="4"/>
      <c r="C27" s="4">
        <v>43</v>
      </c>
      <c r="D27" s="53" t="s">
        <v>53</v>
      </c>
      <c r="E27" s="4">
        <v>5.89</v>
      </c>
      <c r="F27" s="21">
        <v>550998.03795193194</v>
      </c>
      <c r="G27" s="111">
        <f>660811-G39-G40</f>
        <v>550997.66666666663</v>
      </c>
      <c r="H27" s="51">
        <f t="shared" si="0"/>
        <v>0.37128526531159878</v>
      </c>
      <c r="I27" s="34">
        <v>13</v>
      </c>
      <c r="J27" s="21">
        <f t="shared" si="2"/>
        <v>56936.666666666657</v>
      </c>
      <c r="K27" s="21">
        <f t="shared" si="3"/>
        <v>500650</v>
      </c>
      <c r="L27" s="94"/>
      <c r="M27" s="3">
        <f t="shared" si="4"/>
        <v>557587.03795193194</v>
      </c>
      <c r="N27" s="7">
        <f t="shared" si="1"/>
        <v>591042.26022904785</v>
      </c>
      <c r="R27" s="58"/>
    </row>
    <row r="28" spans="1:18" x14ac:dyDescent="0.35">
      <c r="A28" s="4" t="s">
        <v>54</v>
      </c>
      <c r="B28" s="4"/>
      <c r="C28" s="4">
        <v>44</v>
      </c>
      <c r="D28" s="53" t="s">
        <v>55</v>
      </c>
      <c r="E28" s="4">
        <v>5.89</v>
      </c>
      <c r="F28" s="21">
        <v>556661.17449320748</v>
      </c>
      <c r="G28" s="111">
        <f>658000-G32-G33</f>
        <v>557653.33333333337</v>
      </c>
      <c r="H28" s="51">
        <f t="shared" si="0"/>
        <v>-992.15884012589231</v>
      </c>
      <c r="I28" s="34">
        <v>9</v>
      </c>
      <c r="J28" s="21">
        <f t="shared" si="2"/>
        <v>56936.666666666657</v>
      </c>
      <c r="K28" s="21">
        <f t="shared" si="3"/>
        <v>500650</v>
      </c>
      <c r="L28" s="94"/>
      <c r="M28" s="3">
        <f t="shared" si="4"/>
        <v>556594.50782654074</v>
      </c>
      <c r="N28" s="7">
        <f t="shared" si="1"/>
        <v>589990.17829613318</v>
      </c>
    </row>
    <row r="29" spans="1:18" x14ac:dyDescent="0.35">
      <c r="A29" s="4" t="s">
        <v>56</v>
      </c>
      <c r="B29" s="4"/>
      <c r="C29" s="4">
        <v>45</v>
      </c>
      <c r="D29" s="53" t="s">
        <v>57</v>
      </c>
      <c r="E29" s="4">
        <v>5.89</v>
      </c>
      <c r="F29" s="21">
        <v>1115174.0372900332</v>
      </c>
      <c r="G29" s="112"/>
      <c r="H29" s="52">
        <f t="shared" si="0"/>
        <v>1115174.0372900332</v>
      </c>
      <c r="I29" s="34"/>
      <c r="J29" s="21">
        <f t="shared" si="2"/>
        <v>56936.666666666657</v>
      </c>
      <c r="K29" s="21">
        <f t="shared" si="3"/>
        <v>500650</v>
      </c>
      <c r="L29" s="94"/>
      <c r="M29" s="3">
        <f t="shared" si="4"/>
        <v>1672760.7039566999</v>
      </c>
      <c r="N29" s="7">
        <f t="shared" si="1"/>
        <v>1773126.346194102</v>
      </c>
    </row>
    <row r="30" spans="1:18" x14ac:dyDescent="0.35">
      <c r="A30" s="48" t="s">
        <v>69</v>
      </c>
      <c r="B30" s="4"/>
      <c r="C30" s="4">
        <v>1</v>
      </c>
      <c r="D30" s="53" t="s">
        <v>51</v>
      </c>
      <c r="E30" s="4">
        <v>0.54</v>
      </c>
      <c r="F30" s="21">
        <v>51120</v>
      </c>
      <c r="G30" s="111">
        <f>F30</f>
        <v>51120</v>
      </c>
      <c r="H30" s="51">
        <f t="shared" si="0"/>
        <v>0</v>
      </c>
      <c r="I30" s="34"/>
      <c r="J30" s="21">
        <f t="shared" si="2"/>
        <v>5220</v>
      </c>
      <c r="K30" s="21">
        <f t="shared" si="3"/>
        <v>45900</v>
      </c>
      <c r="L30" s="94"/>
      <c r="M30" s="3">
        <f t="shared" si="4"/>
        <v>51120</v>
      </c>
      <c r="N30" s="7">
        <f t="shared" si="1"/>
        <v>54187.199999999997</v>
      </c>
    </row>
    <row r="31" spans="1:18" x14ac:dyDescent="0.35">
      <c r="A31" s="48" t="s">
        <v>69</v>
      </c>
      <c r="B31" s="4"/>
      <c r="C31" s="4">
        <v>2</v>
      </c>
      <c r="D31" s="53" t="s">
        <v>51</v>
      </c>
      <c r="E31" s="4">
        <v>0.55000000000000004</v>
      </c>
      <c r="F31" s="21">
        <v>52066.666666666664</v>
      </c>
      <c r="G31" s="111">
        <f>F31</f>
        <v>52066.666666666664</v>
      </c>
      <c r="H31" s="51">
        <f t="shared" si="0"/>
        <v>0</v>
      </c>
      <c r="I31" s="34"/>
      <c r="J31" s="21">
        <f t="shared" si="2"/>
        <v>5316.666666666667</v>
      </c>
      <c r="K31" s="21">
        <f t="shared" si="3"/>
        <v>46750</v>
      </c>
      <c r="L31" s="94"/>
      <c r="M31" s="3">
        <f t="shared" si="4"/>
        <v>52066.666666666664</v>
      </c>
      <c r="N31" s="7">
        <f t="shared" si="1"/>
        <v>55190.666666666664</v>
      </c>
    </row>
    <row r="32" spans="1:18" x14ac:dyDescent="0.35">
      <c r="A32" s="48" t="s">
        <v>69</v>
      </c>
      <c r="B32" s="4"/>
      <c r="C32" s="4">
        <v>3</v>
      </c>
      <c r="D32" s="53" t="s">
        <v>55</v>
      </c>
      <c r="E32" s="4">
        <v>0.45</v>
      </c>
      <c r="F32" s="21">
        <v>42600</v>
      </c>
      <c r="G32" s="111">
        <f>F32</f>
        <v>42600</v>
      </c>
      <c r="H32" s="51">
        <f t="shared" si="0"/>
        <v>0</v>
      </c>
      <c r="I32" s="34"/>
      <c r="J32" s="21">
        <f t="shared" si="2"/>
        <v>4350</v>
      </c>
      <c r="K32" s="21">
        <f t="shared" si="3"/>
        <v>38250</v>
      </c>
      <c r="L32" s="73"/>
      <c r="M32" s="3">
        <f t="shared" si="4"/>
        <v>42600</v>
      </c>
      <c r="N32" s="7">
        <f t="shared" si="1"/>
        <v>45156</v>
      </c>
    </row>
    <row r="33" spans="1:17" x14ac:dyDescent="0.35">
      <c r="A33" s="48" t="s">
        <v>69</v>
      </c>
      <c r="B33" s="4"/>
      <c r="C33" s="4">
        <v>4</v>
      </c>
      <c r="D33" s="53" t="s">
        <v>55</v>
      </c>
      <c r="E33" s="4">
        <v>0.61</v>
      </c>
      <c r="F33" s="21">
        <v>57746.666666666664</v>
      </c>
      <c r="G33" s="111">
        <f t="shared" ref="G33:G34" si="5">F33</f>
        <v>57746.666666666664</v>
      </c>
      <c r="H33" s="51">
        <f t="shared" si="0"/>
        <v>0</v>
      </c>
      <c r="I33" s="34"/>
      <c r="J33" s="21">
        <f t="shared" si="2"/>
        <v>5896.6666666666661</v>
      </c>
      <c r="K33" s="21">
        <f t="shared" si="3"/>
        <v>51850</v>
      </c>
      <c r="L33" s="73"/>
      <c r="M33" s="3">
        <f t="shared" si="4"/>
        <v>57746.666666666664</v>
      </c>
      <c r="N33" s="7">
        <f t="shared" si="1"/>
        <v>61211.466666666667</v>
      </c>
    </row>
    <row r="34" spans="1:17" x14ac:dyDescent="0.35">
      <c r="A34" s="48" t="s">
        <v>69</v>
      </c>
      <c r="B34" s="4"/>
      <c r="C34" s="4">
        <v>5</v>
      </c>
      <c r="D34" s="53" t="s">
        <v>30</v>
      </c>
      <c r="E34" s="4">
        <v>0.54</v>
      </c>
      <c r="F34" s="21">
        <v>51120</v>
      </c>
      <c r="G34" s="111">
        <f t="shared" si="5"/>
        <v>51120</v>
      </c>
      <c r="H34" s="51">
        <f t="shared" si="0"/>
        <v>0</v>
      </c>
      <c r="I34" s="34"/>
      <c r="J34" s="21">
        <f t="shared" si="2"/>
        <v>5220</v>
      </c>
      <c r="K34" s="21">
        <f t="shared" si="3"/>
        <v>45900</v>
      </c>
      <c r="L34" s="73"/>
      <c r="M34" s="3">
        <f t="shared" si="4"/>
        <v>51120</v>
      </c>
      <c r="N34" s="7">
        <f t="shared" si="1"/>
        <v>54187.199999999997</v>
      </c>
    </row>
    <row r="35" spans="1:17" x14ac:dyDescent="0.35">
      <c r="A35" s="48" t="s">
        <v>69</v>
      </c>
      <c r="B35" s="4"/>
      <c r="C35" s="4">
        <v>6</v>
      </c>
      <c r="D35" s="53" t="s">
        <v>109</v>
      </c>
      <c r="E35" s="4">
        <v>0.5</v>
      </c>
      <c r="F35" s="3">
        <v>94666.666666666672</v>
      </c>
      <c r="G35" s="112"/>
      <c r="H35" s="51">
        <f t="shared" si="0"/>
        <v>94666.666666666672</v>
      </c>
      <c r="I35" s="34"/>
      <c r="J35" s="21">
        <f t="shared" si="2"/>
        <v>4833.333333333333</v>
      </c>
      <c r="K35" s="21">
        <f t="shared" si="3"/>
        <v>42500</v>
      </c>
      <c r="L35" s="73"/>
      <c r="M35" s="3">
        <f t="shared" si="4"/>
        <v>142000</v>
      </c>
      <c r="N35" s="7">
        <f t="shared" si="1"/>
        <v>150520</v>
      </c>
    </row>
    <row r="36" spans="1:17" x14ac:dyDescent="0.35">
      <c r="A36" s="48" t="s">
        <v>69</v>
      </c>
      <c r="B36" s="4"/>
      <c r="C36" s="4">
        <v>7</v>
      </c>
      <c r="D36" s="53" t="s">
        <v>51</v>
      </c>
      <c r="E36" s="4">
        <v>0.5</v>
      </c>
      <c r="F36" s="21">
        <v>47333.333333333336</v>
      </c>
      <c r="G36" s="111">
        <f>F36</f>
        <v>47333.333333333336</v>
      </c>
      <c r="H36" s="51">
        <f t="shared" si="0"/>
        <v>0</v>
      </c>
      <c r="I36" s="34"/>
      <c r="J36" s="21">
        <f t="shared" si="2"/>
        <v>4833.333333333333</v>
      </c>
      <c r="K36" s="21">
        <f t="shared" si="3"/>
        <v>42500</v>
      </c>
      <c r="L36" s="73"/>
      <c r="M36" s="3">
        <f t="shared" si="4"/>
        <v>47333.333333333336</v>
      </c>
      <c r="N36" s="7">
        <f t="shared" si="1"/>
        <v>50173.333333333336</v>
      </c>
    </row>
    <row r="37" spans="1:17" x14ac:dyDescent="0.35">
      <c r="A37" s="48" t="s">
        <v>69</v>
      </c>
      <c r="B37" s="4"/>
      <c r="C37" s="4">
        <v>8</v>
      </c>
      <c r="D37" s="53" t="s">
        <v>49</v>
      </c>
      <c r="E37" s="4">
        <v>0.49</v>
      </c>
      <c r="F37" s="21">
        <v>46386.666666666664</v>
      </c>
      <c r="G37" s="111">
        <f t="shared" ref="G37:G41" si="6">F37</f>
        <v>46386.666666666664</v>
      </c>
      <c r="H37" s="51">
        <f t="shared" si="0"/>
        <v>0</v>
      </c>
      <c r="I37" s="34"/>
      <c r="J37" s="21">
        <f t="shared" si="2"/>
        <v>4736.6666666666661</v>
      </c>
      <c r="K37" s="21">
        <f t="shared" si="3"/>
        <v>41650</v>
      </c>
      <c r="L37" s="73"/>
      <c r="M37" s="3">
        <f t="shared" si="4"/>
        <v>46386.666666666664</v>
      </c>
      <c r="N37" s="7">
        <f t="shared" si="1"/>
        <v>49169.866666666661</v>
      </c>
    </row>
    <row r="38" spans="1:17" x14ac:dyDescent="0.35">
      <c r="A38" s="48" t="s">
        <v>69</v>
      </c>
      <c r="B38" s="4"/>
      <c r="C38" s="4">
        <v>9</v>
      </c>
      <c r="D38" s="53" t="s">
        <v>44</v>
      </c>
      <c r="E38" s="4">
        <v>0.49</v>
      </c>
      <c r="F38" s="21">
        <v>46386.666666666664</v>
      </c>
      <c r="G38" s="111">
        <f t="shared" si="6"/>
        <v>46386.666666666664</v>
      </c>
      <c r="H38" s="51">
        <f t="shared" si="0"/>
        <v>0</v>
      </c>
      <c r="I38" s="34"/>
      <c r="J38" s="21">
        <f t="shared" si="2"/>
        <v>4736.6666666666661</v>
      </c>
      <c r="K38" s="21">
        <f t="shared" si="3"/>
        <v>41650</v>
      </c>
      <c r="L38" s="73"/>
      <c r="M38" s="3">
        <f t="shared" si="4"/>
        <v>46386.666666666664</v>
      </c>
      <c r="N38" s="7">
        <f t="shared" si="1"/>
        <v>49169.866666666661</v>
      </c>
    </row>
    <row r="39" spans="1:17" x14ac:dyDescent="0.35">
      <c r="A39" s="48" t="s">
        <v>69</v>
      </c>
      <c r="B39" s="4"/>
      <c r="C39" s="4">
        <v>10</v>
      </c>
      <c r="D39" s="53" t="s">
        <v>53</v>
      </c>
      <c r="E39" s="4">
        <v>0.59</v>
      </c>
      <c r="F39" s="21">
        <v>55853.333333333336</v>
      </c>
      <c r="G39" s="111">
        <f t="shared" si="6"/>
        <v>55853.333333333336</v>
      </c>
      <c r="H39" s="51">
        <f t="shared" si="0"/>
        <v>0</v>
      </c>
      <c r="I39" s="34"/>
      <c r="J39" s="21">
        <f t="shared" si="2"/>
        <v>5703.333333333333</v>
      </c>
      <c r="K39" s="21">
        <f t="shared" si="3"/>
        <v>50150</v>
      </c>
      <c r="L39" s="73"/>
      <c r="M39" s="3">
        <f t="shared" si="4"/>
        <v>55853.333333333336</v>
      </c>
      <c r="N39" s="7">
        <f t="shared" si="1"/>
        <v>59204.533333333333</v>
      </c>
    </row>
    <row r="40" spans="1:17" x14ac:dyDescent="0.35">
      <c r="A40" s="48" t="s">
        <v>69</v>
      </c>
      <c r="B40" s="4"/>
      <c r="C40" s="4">
        <v>11</v>
      </c>
      <c r="D40" s="53" t="s">
        <v>53</v>
      </c>
      <c r="E40" s="4">
        <v>0.56999999999999995</v>
      </c>
      <c r="F40" s="21">
        <v>53960</v>
      </c>
      <c r="G40" s="111">
        <f t="shared" si="6"/>
        <v>53960</v>
      </c>
      <c r="H40" s="51">
        <f t="shared" si="0"/>
        <v>0</v>
      </c>
      <c r="I40" s="34"/>
      <c r="J40" s="21">
        <f t="shared" si="2"/>
        <v>5509.9999999999991</v>
      </c>
      <c r="K40" s="21">
        <f t="shared" si="3"/>
        <v>48450</v>
      </c>
      <c r="L40" s="73"/>
      <c r="M40" s="3">
        <f t="shared" si="4"/>
        <v>53960</v>
      </c>
      <c r="N40" s="7">
        <f t="shared" si="1"/>
        <v>57197.599999999999</v>
      </c>
    </row>
    <row r="41" spans="1:17" x14ac:dyDescent="0.35">
      <c r="A41" s="48" t="s">
        <v>69</v>
      </c>
      <c r="B41" s="4"/>
      <c r="C41" s="4">
        <v>12</v>
      </c>
      <c r="D41" s="53" t="s">
        <v>42</v>
      </c>
      <c r="E41" s="4">
        <v>0.54</v>
      </c>
      <c r="F41" s="21">
        <v>51120</v>
      </c>
      <c r="G41" s="111">
        <f t="shared" si="6"/>
        <v>51120</v>
      </c>
      <c r="H41" s="51">
        <f t="shared" si="0"/>
        <v>0</v>
      </c>
      <c r="I41" s="34"/>
      <c r="J41" s="21">
        <f t="shared" si="2"/>
        <v>5220</v>
      </c>
      <c r="K41" s="21">
        <f t="shared" si="3"/>
        <v>45900</v>
      </c>
      <c r="L41" s="73"/>
      <c r="M41" s="3">
        <f t="shared" si="4"/>
        <v>51120</v>
      </c>
      <c r="N41" s="7">
        <f t="shared" si="1"/>
        <v>54187.199999999997</v>
      </c>
    </row>
    <row r="42" spans="1:17" x14ac:dyDescent="0.35">
      <c r="A42" s="48" t="s">
        <v>69</v>
      </c>
      <c r="B42" s="4"/>
      <c r="C42" s="4">
        <v>13</v>
      </c>
      <c r="D42" s="53" t="s">
        <v>57</v>
      </c>
      <c r="E42" s="4">
        <v>0.55000000000000004</v>
      </c>
      <c r="F42" s="21">
        <v>104133.33333333333</v>
      </c>
      <c r="G42" s="111"/>
      <c r="H42" s="51">
        <f t="shared" si="0"/>
        <v>104133.33333333333</v>
      </c>
      <c r="I42" s="34"/>
      <c r="J42" s="21">
        <f t="shared" si="2"/>
        <v>5316.666666666667</v>
      </c>
      <c r="K42" s="21">
        <f t="shared" si="3"/>
        <v>46750</v>
      </c>
      <c r="L42" s="73"/>
      <c r="M42" s="3">
        <f t="shared" si="4"/>
        <v>156200</v>
      </c>
      <c r="N42" s="7">
        <f t="shared" si="1"/>
        <v>165572</v>
      </c>
    </row>
    <row r="43" spans="1:17" x14ac:dyDescent="0.35">
      <c r="A43" s="48" t="s">
        <v>69</v>
      </c>
      <c r="B43" s="4"/>
      <c r="C43" s="4">
        <v>14</v>
      </c>
      <c r="D43" s="53" t="s">
        <v>57</v>
      </c>
      <c r="E43" s="4">
        <v>0.45</v>
      </c>
      <c r="F43" s="21">
        <v>85200</v>
      </c>
      <c r="G43" s="111"/>
      <c r="H43" s="51">
        <f t="shared" si="0"/>
        <v>85200</v>
      </c>
      <c r="I43" s="34"/>
      <c r="J43" s="21">
        <f t="shared" si="2"/>
        <v>4350</v>
      </c>
      <c r="K43" s="21">
        <f t="shared" si="3"/>
        <v>38250</v>
      </c>
      <c r="L43" s="73"/>
      <c r="M43" s="3">
        <f t="shared" si="4"/>
        <v>127800</v>
      </c>
      <c r="N43" s="7">
        <f t="shared" si="1"/>
        <v>135468</v>
      </c>
      <c r="P43" s="36">
        <f>L1-K52</f>
        <v>72748.111500000581</v>
      </c>
    </row>
    <row r="44" spans="1:17" x14ac:dyDescent="0.35">
      <c r="A44" s="48" t="s">
        <v>69</v>
      </c>
      <c r="B44" s="4"/>
      <c r="C44" s="4">
        <v>15</v>
      </c>
      <c r="D44" s="53" t="s">
        <v>57</v>
      </c>
      <c r="E44" s="4">
        <v>0.61</v>
      </c>
      <c r="F44" s="21">
        <v>115493.33333333333</v>
      </c>
      <c r="G44" s="111"/>
      <c r="H44" s="51">
        <f t="shared" si="0"/>
        <v>115493.33333333333</v>
      </c>
      <c r="I44" s="34"/>
      <c r="J44" s="21">
        <f t="shared" si="2"/>
        <v>5896.6666666666661</v>
      </c>
      <c r="K44" s="21">
        <f t="shared" si="3"/>
        <v>51850</v>
      </c>
      <c r="L44" s="73"/>
      <c r="M44" s="3">
        <f t="shared" si="4"/>
        <v>173240</v>
      </c>
      <c r="N44" s="7">
        <f t="shared" si="1"/>
        <v>183634.4</v>
      </c>
    </row>
    <row r="45" spans="1:17" x14ac:dyDescent="0.35">
      <c r="A45" s="48" t="s">
        <v>69</v>
      </c>
      <c r="B45" s="4"/>
      <c r="C45" s="4">
        <v>16</v>
      </c>
      <c r="D45" s="53" t="s">
        <v>45</v>
      </c>
      <c r="E45" s="4">
        <v>0.54</v>
      </c>
      <c r="F45" s="21">
        <v>51120</v>
      </c>
      <c r="G45" s="111">
        <f t="shared" ref="G45" si="7">F45</f>
        <v>51120</v>
      </c>
      <c r="H45" s="51">
        <f t="shared" si="0"/>
        <v>0</v>
      </c>
      <c r="I45" s="34"/>
      <c r="J45" s="21">
        <f t="shared" si="2"/>
        <v>5220</v>
      </c>
      <c r="K45" s="21">
        <f t="shared" si="3"/>
        <v>45900</v>
      </c>
      <c r="L45" s="73"/>
      <c r="M45" s="3">
        <f t="shared" si="4"/>
        <v>51120</v>
      </c>
      <c r="N45" s="7">
        <f t="shared" si="1"/>
        <v>54187.199999999997</v>
      </c>
    </row>
    <row r="46" spans="1:17" x14ac:dyDescent="0.35">
      <c r="A46" s="48" t="s">
        <v>69</v>
      </c>
      <c r="B46" s="4"/>
      <c r="C46" s="4">
        <v>17</v>
      </c>
      <c r="D46" s="53" t="s">
        <v>47</v>
      </c>
      <c r="E46" s="4">
        <v>0.5</v>
      </c>
      <c r="F46" s="21">
        <v>50173.333333333336</v>
      </c>
      <c r="G46" s="111">
        <f t="shared" ref="G46:G51" si="8">F46</f>
        <v>50173.333333333336</v>
      </c>
      <c r="H46" s="51">
        <f t="shared" si="0"/>
        <v>0</v>
      </c>
      <c r="I46" s="34"/>
      <c r="J46" s="21">
        <f t="shared" si="2"/>
        <v>4833.333333333333</v>
      </c>
      <c r="K46" s="21">
        <f t="shared" si="3"/>
        <v>42500</v>
      </c>
      <c r="L46" s="73"/>
      <c r="M46" s="3">
        <f t="shared" si="4"/>
        <v>47333.333333333336</v>
      </c>
      <c r="N46" s="7">
        <f t="shared" si="1"/>
        <v>50173.333333333336</v>
      </c>
      <c r="Q46" t="s">
        <v>104</v>
      </c>
    </row>
    <row r="47" spans="1:17" x14ac:dyDescent="0.35">
      <c r="A47" s="48" t="s">
        <v>69</v>
      </c>
      <c r="B47" s="4"/>
      <c r="C47" s="4">
        <v>18</v>
      </c>
      <c r="D47" s="53" t="s">
        <v>39</v>
      </c>
      <c r="E47" s="4">
        <v>0.5</v>
      </c>
      <c r="F47" s="21">
        <v>47333.333333333336</v>
      </c>
      <c r="G47" s="111">
        <f t="shared" si="8"/>
        <v>47333.333333333336</v>
      </c>
      <c r="H47" s="51">
        <f t="shared" si="0"/>
        <v>0</v>
      </c>
      <c r="I47" s="34"/>
      <c r="J47" s="21">
        <f t="shared" si="2"/>
        <v>4833.333333333333</v>
      </c>
      <c r="K47" s="21">
        <f t="shared" si="3"/>
        <v>42500</v>
      </c>
      <c r="L47" s="73"/>
      <c r="M47" s="3">
        <f t="shared" si="4"/>
        <v>47333.333333333336</v>
      </c>
      <c r="N47" s="7">
        <f t="shared" si="1"/>
        <v>50173.333333333336</v>
      </c>
      <c r="O47" s="58"/>
      <c r="Q47" s="55">
        <f>M3-J52</f>
        <v>-888463.33333333314</v>
      </c>
    </row>
    <row r="48" spans="1:17" x14ac:dyDescent="0.35">
      <c r="A48" s="48" t="s">
        <v>69</v>
      </c>
      <c r="B48" s="4"/>
      <c r="C48" s="4">
        <v>19</v>
      </c>
      <c r="D48" s="53" t="s">
        <v>39</v>
      </c>
      <c r="E48" s="4">
        <v>0.49</v>
      </c>
      <c r="F48" s="21">
        <v>46386.666666666664</v>
      </c>
      <c r="G48" s="111">
        <f t="shared" si="8"/>
        <v>46386.666666666664</v>
      </c>
      <c r="H48" s="51">
        <f t="shared" si="0"/>
        <v>0</v>
      </c>
      <c r="I48" s="34"/>
      <c r="J48" s="21">
        <f t="shared" si="2"/>
        <v>4736.6666666666661</v>
      </c>
      <c r="K48" s="21">
        <f t="shared" si="3"/>
        <v>41650</v>
      </c>
      <c r="L48" s="73"/>
      <c r="M48" s="3">
        <f t="shared" si="4"/>
        <v>46386.666666666664</v>
      </c>
      <c r="N48" s="7">
        <f t="shared" si="1"/>
        <v>49169.866666666661</v>
      </c>
    </row>
    <row r="49" spans="1:16" x14ac:dyDescent="0.35">
      <c r="A49" s="48" t="s">
        <v>69</v>
      </c>
      <c r="B49" s="4"/>
      <c r="C49" s="4">
        <v>20</v>
      </c>
      <c r="D49" s="53" t="str">
        <f>D16</f>
        <v>FEUILLANT, GASTON</v>
      </c>
      <c r="E49" s="4">
        <v>0.49</v>
      </c>
      <c r="F49" s="21">
        <v>46386.666666666664</v>
      </c>
      <c r="G49" s="111">
        <f t="shared" si="8"/>
        <v>46386.666666666664</v>
      </c>
      <c r="H49" s="51">
        <f t="shared" si="0"/>
        <v>0</v>
      </c>
      <c r="I49" s="34"/>
      <c r="J49" s="21">
        <f t="shared" si="2"/>
        <v>4736.6666666666661</v>
      </c>
      <c r="K49" s="21">
        <f t="shared" si="3"/>
        <v>41650</v>
      </c>
      <c r="L49" s="73"/>
      <c r="M49" s="3">
        <f t="shared" si="4"/>
        <v>46386.666666666664</v>
      </c>
      <c r="N49" s="7">
        <f t="shared" si="1"/>
        <v>49169.866666666661</v>
      </c>
    </row>
    <row r="50" spans="1:16" x14ac:dyDescent="0.35">
      <c r="A50" s="48" t="s">
        <v>69</v>
      </c>
      <c r="B50" s="4"/>
      <c r="C50" s="4">
        <v>21</v>
      </c>
      <c r="D50" s="53" t="s">
        <v>35</v>
      </c>
      <c r="E50" s="4">
        <v>0.59</v>
      </c>
      <c r="F50" s="21">
        <v>55853.333333333336</v>
      </c>
      <c r="G50" s="112">
        <f t="shared" si="8"/>
        <v>55853.333333333336</v>
      </c>
      <c r="H50" s="51">
        <f t="shared" si="0"/>
        <v>0</v>
      </c>
      <c r="I50" s="34"/>
      <c r="J50" s="21">
        <f t="shared" si="2"/>
        <v>5703.333333333333</v>
      </c>
      <c r="K50" s="21">
        <f t="shared" si="3"/>
        <v>50150</v>
      </c>
      <c r="L50" s="73"/>
      <c r="M50" s="3">
        <f t="shared" si="4"/>
        <v>55853.333333333336</v>
      </c>
      <c r="N50" s="7">
        <f t="shared" si="1"/>
        <v>59204.533333333333</v>
      </c>
    </row>
    <row r="51" spans="1:16" x14ac:dyDescent="0.35">
      <c r="A51" s="48" t="s">
        <v>69</v>
      </c>
      <c r="B51" s="4"/>
      <c r="C51" s="4">
        <v>22</v>
      </c>
      <c r="D51" s="53" t="s">
        <v>41</v>
      </c>
      <c r="E51" s="4">
        <v>0.56999999999999995</v>
      </c>
      <c r="F51" s="21">
        <v>53960</v>
      </c>
      <c r="G51" s="111">
        <f t="shared" si="8"/>
        <v>53960</v>
      </c>
      <c r="H51" s="51">
        <f t="shared" si="0"/>
        <v>0</v>
      </c>
      <c r="I51" s="34"/>
      <c r="J51" s="21">
        <f t="shared" si="2"/>
        <v>5509.9999999999991</v>
      </c>
      <c r="K51" s="21">
        <f t="shared" si="3"/>
        <v>48450</v>
      </c>
      <c r="L51" s="73"/>
      <c r="M51" s="3">
        <f t="shared" si="4"/>
        <v>53960</v>
      </c>
      <c r="N51" s="7">
        <f t="shared" si="1"/>
        <v>57197.599999999999</v>
      </c>
    </row>
    <row r="52" spans="1:16" ht="14.25" customHeight="1" x14ac:dyDescent="0.35">
      <c r="A52" s="22"/>
      <c r="B52" s="22"/>
      <c r="C52" s="22"/>
      <c r="D52" s="22"/>
      <c r="E52" s="22">
        <f>SUM(E7:E51)</f>
        <v>99.999999999999986</v>
      </c>
      <c r="F52" s="91">
        <f>SUM(F7:F51)</f>
        <v>9232672.8804826699</v>
      </c>
      <c r="G52" s="91">
        <f>SUM(G7:G51)</f>
        <v>7423417.4468569998</v>
      </c>
      <c r="H52" s="22"/>
      <c r="I52" s="22"/>
      <c r="J52" s="49">
        <f>SUM(J8:J51)</f>
        <v>888463.33333333314</v>
      </c>
      <c r="K52" s="23">
        <f>SUM(K7:K51)</f>
        <v>8427251.8884999994</v>
      </c>
      <c r="L52" s="93">
        <f>SUM(L7:L51)</f>
        <v>20000</v>
      </c>
      <c r="M52" s="24">
        <f>SUM(M7:M51)</f>
        <v>11144970.655459</v>
      </c>
      <c r="N52" s="23">
        <f>SUM(N7:N51)</f>
        <v>11813668.894786539</v>
      </c>
      <c r="P52" s="55"/>
    </row>
    <row r="53" spans="1:16" hidden="1" x14ac:dyDescent="0.35">
      <c r="K53" s="58">
        <f>K52-L1</f>
        <v>-72748.111500000581</v>
      </c>
    </row>
    <row r="54" spans="1:16" ht="15" hidden="1" customHeight="1" x14ac:dyDescent="0.35"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</row>
    <row r="55" spans="1:16" hidden="1" x14ac:dyDescent="0.35"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</row>
    <row r="56" spans="1:16" x14ac:dyDescent="0.35"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</row>
    <row r="57" spans="1:16" x14ac:dyDescent="0.35">
      <c r="C57" s="200" t="s">
        <v>101</v>
      </c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</row>
    <row r="58" spans="1:16" x14ac:dyDescent="0.35"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</row>
    <row r="59" spans="1:16" x14ac:dyDescent="0.35"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</row>
    <row r="60" spans="1:16" x14ac:dyDescent="0.35"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</row>
    <row r="61" spans="1:16" x14ac:dyDescent="0.35"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</row>
    <row r="62" spans="1:16" x14ac:dyDescent="0.35"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</row>
    <row r="63" spans="1:16" x14ac:dyDescent="0.35"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</row>
  </sheetData>
  <mergeCells count="18"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  <mergeCell ref="C5:C6"/>
    <mergeCell ref="D5:D6"/>
    <mergeCell ref="E5:E6"/>
    <mergeCell ref="F5:F6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PRORRATEO!Print_Area</vt:lpstr>
      <vt:lpstr>RESUMEN!Print_Area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Quotteri Mateo Tobias</cp:lastModifiedBy>
  <cp:lastPrinted>2026-02-28T20:00:47Z</cp:lastPrinted>
  <dcterms:created xsi:type="dcterms:W3CDTF">2023-09-17T12:29:07Z</dcterms:created>
  <dcterms:modified xsi:type="dcterms:W3CDTF">2026-02-28T20:02:40Z</dcterms:modified>
</cp:coreProperties>
</file>