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BELGRANO 1646\Mayo\"/>
    </mc:Choice>
  </mc:AlternateContent>
  <xr:revisionPtr revIDLastSave="0" documentId="13_ncr:1_{DB214C37-AABA-484F-BD6E-333F8268756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PRORRATEO!$A$1:$N$64</definedName>
    <definedName name="_xlnm.Print_Area" localSheetId="0">RESUMEN!$A$1:$F$124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6" i="1" l="1"/>
  <c r="D77" i="1"/>
  <c r="F62" i="1"/>
  <c r="E62" i="1"/>
  <c r="E59" i="1"/>
  <c r="H59" i="1" s="1"/>
  <c r="E53" i="1"/>
  <c r="E52" i="1"/>
  <c r="G59" i="1"/>
  <c r="G24" i="2"/>
  <c r="G26" i="2"/>
  <c r="G23" i="2"/>
  <c r="G27" i="2"/>
  <c r="G18" i="2"/>
  <c r="G32" i="2"/>
  <c r="G28" i="2"/>
  <c r="G19" i="2"/>
  <c r="G44" i="2"/>
  <c r="G43" i="2"/>
  <c r="G42" i="2"/>
  <c r="G29" i="2"/>
  <c r="G13" i="2"/>
  <c r="F75" i="1" l="1"/>
  <c r="E75" i="1"/>
  <c r="D45" i="1"/>
  <c r="E65" i="1"/>
  <c r="G65" i="1"/>
  <c r="J65" i="1"/>
  <c r="E61" i="1"/>
  <c r="G61" i="1"/>
  <c r="E50" i="1"/>
  <c r="E57" i="1" l="1"/>
  <c r="F57" i="1"/>
  <c r="G57" i="1"/>
  <c r="M2" i="2"/>
  <c r="E66" i="1"/>
  <c r="G11" i="2"/>
  <c r="E76" i="1"/>
  <c r="H57" i="1" l="1"/>
  <c r="E63" i="1"/>
  <c r="H63" i="1" s="1"/>
  <c r="G63" i="1"/>
  <c r="J63" i="1" s="1"/>
  <c r="G54" i="1"/>
  <c r="F54" i="1"/>
  <c r="E54" i="1"/>
  <c r="D70" i="1"/>
  <c r="G34" i="2"/>
  <c r="G9" i="2" s="1"/>
  <c r="E64" i="1"/>
  <c r="H64" i="1" s="1"/>
  <c r="G64" i="1"/>
  <c r="J64" i="1" s="1"/>
  <c r="E60" i="1"/>
  <c r="G60" i="1"/>
  <c r="J60" i="1" s="1"/>
  <c r="F83" i="1"/>
  <c r="E83" i="1"/>
  <c r="E68" i="1"/>
  <c r="H68" i="1" s="1"/>
  <c r="I68" i="1" s="1"/>
  <c r="G68" i="1"/>
  <c r="J68" i="1" s="1"/>
  <c r="E67" i="1"/>
  <c r="H67" i="1" s="1"/>
  <c r="I67" i="1" s="1"/>
  <c r="G67" i="1"/>
  <c r="J67" i="1" s="1"/>
  <c r="E41" i="1"/>
  <c r="H54" i="1" l="1"/>
  <c r="E69" i="1"/>
  <c r="A1" i="2"/>
  <c r="G48" i="2" l="1"/>
  <c r="G47" i="2"/>
  <c r="G17" i="2" s="1"/>
  <c r="G46" i="2"/>
  <c r="G52" i="1"/>
  <c r="G66" i="1"/>
  <c r="H66" i="1"/>
  <c r="H52" i="1" l="1"/>
  <c r="G7" i="2" l="1"/>
  <c r="G22" i="2" l="1"/>
  <c r="H62" i="1" l="1"/>
  <c r="I62" i="1" s="1"/>
  <c r="G62" i="1"/>
  <c r="J62" i="1" s="1"/>
  <c r="F26" i="1"/>
  <c r="E26" i="1" l="1"/>
  <c r="F90" i="1" l="1"/>
  <c r="G51" i="2" l="1"/>
  <c r="G36" i="2"/>
  <c r="G31" i="2"/>
  <c r="G30" i="2"/>
  <c r="E102" i="1" l="1"/>
  <c r="F102" i="1"/>
  <c r="G69" i="1"/>
  <c r="J69" i="1" s="1"/>
  <c r="H69" i="1" l="1"/>
  <c r="I69" i="1" s="1"/>
  <c r="F101" i="1" l="1"/>
  <c r="D103" i="1"/>
  <c r="M3" i="2" s="1"/>
  <c r="O4" i="2" s="1"/>
  <c r="E101" i="1"/>
  <c r="G56" i="1" l="1"/>
  <c r="J56" i="1" s="1"/>
  <c r="F56" i="1"/>
  <c r="E56" i="1"/>
  <c r="H56" i="1" l="1"/>
  <c r="I56" i="1" s="1"/>
  <c r="G51" i="1" l="1"/>
  <c r="F51" i="1"/>
  <c r="E51" i="1"/>
  <c r="H51" i="1" l="1"/>
  <c r="G49" i="1" l="1"/>
  <c r="E49" i="1"/>
  <c r="D84" i="1"/>
  <c r="D27" i="1"/>
  <c r="E55" i="1"/>
  <c r="B123" i="1"/>
  <c r="H49" i="1" l="1"/>
  <c r="I49" i="1" s="1"/>
  <c r="D47" i="1" l="1"/>
  <c r="D49" i="2"/>
  <c r="G49" i="2" l="1"/>
  <c r="G16" i="2" s="1"/>
  <c r="F52" i="2" l="1"/>
  <c r="D42" i="1" l="1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B113" i="1" l="1"/>
  <c r="E103" i="1"/>
  <c r="F103" i="1"/>
  <c r="H103" i="1" l="1"/>
  <c r="I103" i="1" s="1"/>
  <c r="E42" i="1" l="1"/>
  <c r="F42" i="1"/>
  <c r="G42" i="1" l="1"/>
  <c r="F35" i="1"/>
  <c r="F34" i="1"/>
  <c r="F33" i="1"/>
  <c r="E35" i="1"/>
  <c r="E34" i="1"/>
  <c r="E33" i="1"/>
  <c r="G55" i="1" l="1"/>
  <c r="J55" i="1" s="1"/>
  <c r="G58" i="1"/>
  <c r="J58" i="1" s="1"/>
  <c r="E90" i="1" l="1"/>
  <c r="G90" i="1" l="1"/>
  <c r="H90" i="1" s="1"/>
  <c r="F86" i="1" l="1"/>
  <c r="E86" i="1"/>
  <c r="F82" i="1"/>
  <c r="F81" i="1"/>
  <c r="E82" i="1"/>
  <c r="E81" i="1"/>
  <c r="F74" i="1"/>
  <c r="E74" i="1"/>
  <c r="F58" i="1"/>
  <c r="F55" i="1"/>
  <c r="E58" i="1"/>
  <c r="E70" i="1" s="1"/>
  <c r="F29" i="1"/>
  <c r="F28" i="1"/>
  <c r="E29" i="1"/>
  <c r="E28" i="1"/>
  <c r="F46" i="1"/>
  <c r="F44" i="1"/>
  <c r="E46" i="1"/>
  <c r="E44" i="1"/>
  <c r="F24" i="1"/>
  <c r="F25" i="1"/>
  <c r="F23" i="1"/>
  <c r="E23" i="1"/>
  <c r="E24" i="1"/>
  <c r="E25" i="1"/>
  <c r="F70" i="1" l="1"/>
  <c r="H55" i="1"/>
  <c r="I55" i="1" s="1"/>
  <c r="H58" i="1"/>
  <c r="I58" i="1" s="1"/>
  <c r="F27" i="1"/>
  <c r="E84" i="1"/>
  <c r="F84" i="1"/>
  <c r="E77" i="1"/>
  <c r="F77" i="1"/>
  <c r="E32" i="1"/>
  <c r="E36" i="1" s="1"/>
  <c r="F32" i="1"/>
  <c r="E27" i="1"/>
  <c r="G27" i="1" l="1"/>
  <c r="H27" i="1" s="1"/>
  <c r="G70" i="1"/>
  <c r="H70" i="1" s="1"/>
  <c r="G84" i="1"/>
  <c r="G77" i="1"/>
  <c r="G32" i="1"/>
  <c r="D32" i="1"/>
  <c r="I70" i="1" l="1"/>
  <c r="D36" i="1"/>
  <c r="H77" i="1"/>
  <c r="H32" i="1"/>
  <c r="H84" i="1"/>
  <c r="C97" i="1"/>
  <c r="B115" i="1" s="1"/>
  <c r="E45" i="1" l="1"/>
  <c r="E47" i="1" s="1"/>
  <c r="F45" i="1"/>
  <c r="F47" i="1" s="1"/>
  <c r="G47" i="1" l="1"/>
  <c r="H47" i="1" l="1"/>
  <c r="E40" i="1" l="1"/>
  <c r="F40" i="1"/>
  <c r="K12" i="2" l="1"/>
  <c r="K47" i="2"/>
  <c r="K25" i="2"/>
  <c r="K50" i="2"/>
  <c r="K27" i="2"/>
  <c r="K8" i="2"/>
  <c r="K30" i="2"/>
  <c r="K49" i="2"/>
  <c r="K32" i="2"/>
  <c r="K10" i="2"/>
  <c r="K29" i="2"/>
  <c r="K51" i="2"/>
  <c r="K31" i="2"/>
  <c r="K9" i="2"/>
  <c r="K34" i="2"/>
  <c r="K11" i="2"/>
  <c r="K36" i="2"/>
  <c r="K14" i="2"/>
  <c r="K33" i="2"/>
  <c r="K16" i="2"/>
  <c r="K35" i="2"/>
  <c r="K13" i="2"/>
  <c r="K38" i="2"/>
  <c r="K15" i="2"/>
  <c r="K40" i="2"/>
  <c r="K18" i="2"/>
  <c r="K37" i="2"/>
  <c r="K20" i="2"/>
  <c r="K39" i="2"/>
  <c r="K17" i="2"/>
  <c r="K42" i="2"/>
  <c r="K19" i="2"/>
  <c r="K44" i="2"/>
  <c r="K22" i="2"/>
  <c r="K41" i="2"/>
  <c r="K24" i="2"/>
  <c r="K43" i="2"/>
  <c r="K21" i="2"/>
  <c r="K46" i="2"/>
  <c r="K23" i="2"/>
  <c r="K48" i="2"/>
  <c r="K26" i="2"/>
  <c r="K45" i="2"/>
  <c r="K28" i="2"/>
  <c r="K52" i="2" l="1"/>
  <c r="J52" i="2" l="1"/>
  <c r="Q47" i="2" s="1"/>
  <c r="B114" i="1"/>
  <c r="G12" i="2" l="1"/>
  <c r="H12" i="2" s="1"/>
  <c r="G50" i="2" l="1"/>
  <c r="F36" i="1" l="1"/>
  <c r="L52" i="2" l="1"/>
  <c r="E52" i="2"/>
  <c r="H43" i="2" l="1"/>
  <c r="M43" i="2" s="1"/>
  <c r="N43" i="2" s="1"/>
  <c r="H44" i="2"/>
  <c r="G33" i="2"/>
  <c r="G40" i="2"/>
  <c r="H40" i="2" s="1"/>
  <c r="M40" i="2" s="1"/>
  <c r="N40" i="2" s="1"/>
  <c r="G39" i="2"/>
  <c r="H36" i="2"/>
  <c r="H31" i="2"/>
  <c r="G37" i="2"/>
  <c r="G45" i="2"/>
  <c r="G21" i="2" s="1"/>
  <c r="G38" i="2"/>
  <c r="G20" i="2" s="1"/>
  <c r="G41" i="2"/>
  <c r="H48" i="2"/>
  <c r="M48" i="2" s="1"/>
  <c r="N48" i="2" s="1"/>
  <c r="M12" i="2"/>
  <c r="N12" i="2" s="1"/>
  <c r="H10" i="2"/>
  <c r="H8" i="2"/>
  <c r="M8" i="2" s="1"/>
  <c r="H11" i="2"/>
  <c r="H13" i="2"/>
  <c r="M13" i="2" s="1"/>
  <c r="N13" i="2" s="1"/>
  <c r="H14" i="2"/>
  <c r="M14" i="2" s="1"/>
  <c r="N14" i="2" s="1"/>
  <c r="H15" i="2"/>
  <c r="H22" i="2"/>
  <c r="M22" i="2" s="1"/>
  <c r="N22" i="2" s="1"/>
  <c r="H25" i="2"/>
  <c r="M25" i="2" s="1"/>
  <c r="N25" i="2" s="1"/>
  <c r="H35" i="2"/>
  <c r="H50" i="2"/>
  <c r="M50" i="2" s="1"/>
  <c r="N50" i="2" s="1"/>
  <c r="H7" i="2"/>
  <c r="M7" i="2" s="1"/>
  <c r="H38" i="2" l="1"/>
  <c r="M38" i="2" s="1"/>
  <c r="N38" i="2" s="1"/>
  <c r="H26" i="2"/>
  <c r="M26" i="2" s="1"/>
  <c r="N26" i="2" s="1"/>
  <c r="H17" i="2"/>
  <c r="M17" i="2" s="1"/>
  <c r="N17" i="2" s="1"/>
  <c r="H46" i="2"/>
  <c r="M46" i="2" s="1"/>
  <c r="N46" i="2" s="1"/>
  <c r="H20" i="2"/>
  <c r="M20" i="2" s="1"/>
  <c r="N20" i="2" s="1"/>
  <c r="H21" i="2"/>
  <c r="M21" i="2" s="1"/>
  <c r="N21" i="2" s="1"/>
  <c r="H45" i="2"/>
  <c r="M45" i="2" s="1"/>
  <c r="N45" i="2" s="1"/>
  <c r="H30" i="2"/>
  <c r="M30" i="2" s="1"/>
  <c r="N30" i="2" s="1"/>
  <c r="H18" i="2"/>
  <c r="M18" i="2" s="1"/>
  <c r="N18" i="2" s="1"/>
  <c r="H33" i="2"/>
  <c r="M33" i="2" s="1"/>
  <c r="N33" i="2" s="1"/>
  <c r="H51" i="2"/>
  <c r="M51" i="2" s="1"/>
  <c r="N51" i="2" s="1"/>
  <c r="H16" i="2"/>
  <c r="M16" i="2" s="1"/>
  <c r="N16" i="2" s="1"/>
  <c r="H29" i="2"/>
  <c r="M29" i="2" s="1"/>
  <c r="N29" i="2" s="1"/>
  <c r="H19" i="2"/>
  <c r="M19" i="2" s="1"/>
  <c r="N19" i="2" s="1"/>
  <c r="H23" i="2"/>
  <c r="M23" i="2" s="1"/>
  <c r="N23" i="2" s="1"/>
  <c r="H9" i="2"/>
  <c r="M9" i="2" s="1"/>
  <c r="N9" i="2" s="1"/>
  <c r="H24" i="2"/>
  <c r="M24" i="2" s="1"/>
  <c r="N24" i="2" s="1"/>
  <c r="H49" i="2"/>
  <c r="M49" i="2" s="1"/>
  <c r="N49" i="2" s="1"/>
  <c r="H34" i="2"/>
  <c r="M34" i="2" s="1"/>
  <c r="N34" i="2" s="1"/>
  <c r="H28" i="2"/>
  <c r="M28" i="2" s="1"/>
  <c r="N28" i="2" s="1"/>
  <c r="H42" i="2"/>
  <c r="M42" i="2" s="1"/>
  <c r="N42" i="2" s="1"/>
  <c r="N7" i="2"/>
  <c r="H47" i="2"/>
  <c r="M47" i="2" s="1"/>
  <c r="N47" i="2" s="1"/>
  <c r="H37" i="2"/>
  <c r="M37" i="2" s="1"/>
  <c r="N37" i="2" s="1"/>
  <c r="H27" i="2"/>
  <c r="M27" i="2" s="1"/>
  <c r="N27" i="2" s="1"/>
  <c r="H41" i="2"/>
  <c r="M41" i="2" s="1"/>
  <c r="N41" i="2" s="1"/>
  <c r="H32" i="2"/>
  <c r="M32" i="2" s="1"/>
  <c r="N32" i="2" s="1"/>
  <c r="M36" i="2"/>
  <c r="N36" i="2" s="1"/>
  <c r="M15" i="2"/>
  <c r="N15" i="2" s="1"/>
  <c r="M11" i="2"/>
  <c r="N11" i="2" s="1"/>
  <c r="M35" i="2"/>
  <c r="N35" i="2" s="1"/>
  <c r="M31" i="2"/>
  <c r="N31" i="2" s="1"/>
  <c r="M10" i="2"/>
  <c r="N10" i="2" s="1"/>
  <c r="M44" i="2"/>
  <c r="N44" i="2" s="1"/>
  <c r="H39" i="2"/>
  <c r="M39" i="2" s="1"/>
  <c r="N39" i="2" s="1"/>
  <c r="G52" i="2" l="1"/>
  <c r="B111" i="1" s="1"/>
  <c r="N8" i="2"/>
  <c r="N52" i="2" s="1"/>
  <c r="M52" i="2"/>
  <c r="F87" i="1"/>
  <c r="F88" i="1" s="1"/>
  <c r="F92" i="1" s="1"/>
  <c r="E87" i="1"/>
  <c r="E88" i="1" s="1"/>
  <c r="E92" i="1" s="1"/>
  <c r="D88" i="1"/>
  <c r="D92" i="1" s="1"/>
  <c r="G92" i="1" l="1"/>
  <c r="G88" i="1"/>
  <c r="H88" i="1" s="1"/>
  <c r="I92" i="1" l="1"/>
  <c r="B107" i="1"/>
  <c r="B112" i="1" s="1"/>
  <c r="B116" i="1" s="1"/>
  <c r="H92" i="1"/>
  <c r="L1" i="2"/>
  <c r="B106" i="1"/>
  <c r="P43" i="2" l="1"/>
  <c r="K53" i="2"/>
  <c r="O1" i="2"/>
  <c r="O2" i="2" s="1"/>
</calcChain>
</file>

<file path=xl/sharedStrings.xml><?xml version="1.0" encoding="utf-8"?>
<sst xmlns="http://schemas.openxmlformats.org/spreadsheetml/2006/main" count="204" uniqueCount="147">
  <si>
    <t>consorciobelgrano1640@gmail.com</t>
  </si>
  <si>
    <t>LIQUIDACION DE EXPENSAS</t>
  </si>
  <si>
    <t>Deducciones</t>
  </si>
  <si>
    <t>TOTAL SUELDO</t>
  </si>
  <si>
    <t>APORTES Y CONTRIBUCIONES</t>
  </si>
  <si>
    <t>SUTERH - FATERYH - SARACAH</t>
  </si>
  <si>
    <t>TOTAL Aportes y Contribuciones - Sindicato</t>
  </si>
  <si>
    <t>ABONOS Y SERVICIOS</t>
  </si>
  <si>
    <t xml:space="preserve">Riesgo Uno </t>
  </si>
  <si>
    <t xml:space="preserve">Seguro Poliza </t>
  </si>
  <si>
    <t>EDESUR</t>
  </si>
  <si>
    <t>AYSA</t>
  </si>
  <si>
    <t>TOTAL ABONOS Y SERVICIOS</t>
  </si>
  <si>
    <t xml:space="preserve">GASTOS DE ADMINISTRACION </t>
  </si>
  <si>
    <t>RC Adm Cons. CANCIANI, Carolina</t>
  </si>
  <si>
    <t>TOTAL GASTOS DE ADMINISTRACION</t>
  </si>
  <si>
    <t>TOTAL GASTOS GENERALES / MANTENIMIENTO</t>
  </si>
  <si>
    <t>Piso</t>
  </si>
  <si>
    <t>Dpto.</t>
  </si>
  <si>
    <t>UF</t>
  </si>
  <si>
    <t>Propietario</t>
  </si>
  <si>
    <t xml:space="preserve">Saldo </t>
  </si>
  <si>
    <t xml:space="preserve">Ingreso </t>
  </si>
  <si>
    <t>SALDO</t>
  </si>
  <si>
    <t>Expensas extraor.</t>
  </si>
  <si>
    <t>TOTAL</t>
  </si>
  <si>
    <t>PB</t>
  </si>
  <si>
    <t>LOCAL 1 - DANIEL VIDAL</t>
  </si>
  <si>
    <t>3º</t>
  </si>
  <si>
    <t>RODRIGUEZ, MARIA ROSA</t>
  </si>
  <si>
    <t>RUSSO, JUAN ANTONIO</t>
  </si>
  <si>
    <t>4º</t>
  </si>
  <si>
    <t>SALLABER, MARIA</t>
  </si>
  <si>
    <t>COLATRELLA, CAROLINA</t>
  </si>
  <si>
    <t>5º</t>
  </si>
  <si>
    <t>DI TORO, ALEJANDRO</t>
  </si>
  <si>
    <t>6º</t>
  </si>
  <si>
    <t>PERAZA, MARTHA</t>
  </si>
  <si>
    <t>7º</t>
  </si>
  <si>
    <t>CAMPANA, NESTOR</t>
  </si>
  <si>
    <t>8º</t>
  </si>
  <si>
    <t>JARA, CLAUDIO</t>
  </si>
  <si>
    <t>MIRAMONTES, HORACIO</t>
  </si>
  <si>
    <t>9º</t>
  </si>
  <si>
    <t>MELINA, ANDRES</t>
  </si>
  <si>
    <t>GARCIA, MARIA SOL</t>
  </si>
  <si>
    <t>10º</t>
  </si>
  <si>
    <t>DAVIN, ALEJANDRO</t>
  </si>
  <si>
    <t>11º</t>
  </si>
  <si>
    <t>VROONLAND, DANIEL</t>
  </si>
  <si>
    <t>12º</t>
  </si>
  <si>
    <t>VELAZ, ATILIO</t>
  </si>
  <si>
    <t>13º</t>
  </si>
  <si>
    <t>AGÜERO, MIRIAM S</t>
  </si>
  <si>
    <t>14º</t>
  </si>
  <si>
    <t>VILLA, JUAN MANUEL</t>
  </si>
  <si>
    <t>15º</t>
  </si>
  <si>
    <t>TOLOSA, FABIO</t>
  </si>
  <si>
    <t>Expensas ord</t>
  </si>
  <si>
    <t>GASTOS ORDINARIOS UNIDADES FUNCIONALES:</t>
  </si>
  <si>
    <t>LOCAL 8,09%</t>
  </si>
  <si>
    <t>Santander cuenta 039-010552/1</t>
  </si>
  <si>
    <t>CBU: 0720039720000001055218</t>
  </si>
  <si>
    <t>CAJA EFECTIVO $ (pesos)</t>
  </si>
  <si>
    <t xml:space="preserve">Saldo anterior </t>
  </si>
  <si>
    <t>Ingresos</t>
  </si>
  <si>
    <t xml:space="preserve">  </t>
  </si>
  <si>
    <t>Saldo al cierre</t>
  </si>
  <si>
    <t>CAJA EFECTIVO SUM $ (pesos)</t>
  </si>
  <si>
    <t>COC</t>
  </si>
  <si>
    <t xml:space="preserve"> (%)</t>
  </si>
  <si>
    <t>CONSORCIO DE PROPIETARIOS DEL EDIFICIO CALLE BELGRANO NUMERO 1640/1646 BANFIELD PARTIDO DE LOMAS DE ZAMORA</t>
  </si>
  <si>
    <t>CUIT: 33-71826987-9</t>
  </si>
  <si>
    <t>GASTOS BANCARIOS</t>
  </si>
  <si>
    <t>Gastos bancarios</t>
  </si>
  <si>
    <t>Mantenimiento de cuenta</t>
  </si>
  <si>
    <t xml:space="preserve">TOTAL ORDINARIOS </t>
  </si>
  <si>
    <t>GASTOS ORDINARIOS + PREVISION :</t>
  </si>
  <si>
    <t>Dinero ingreso SUM</t>
  </si>
  <si>
    <t>GASTOS ORDINARIOS SIN PREVISION:</t>
  </si>
  <si>
    <t xml:space="preserve">Gustavo Padron contador </t>
  </si>
  <si>
    <t>Fecha</t>
  </si>
  <si>
    <t>SAC</t>
  </si>
  <si>
    <t>LUSENSKY, CARLOS</t>
  </si>
  <si>
    <t>Redondeo</t>
  </si>
  <si>
    <t>GASTOS EXTRAORDINARIOS</t>
  </si>
  <si>
    <t>Egresos Extraordinarios</t>
  </si>
  <si>
    <t>Egresos Ordinarios</t>
  </si>
  <si>
    <t xml:space="preserve">TOTAL </t>
  </si>
  <si>
    <t>Domicilio: Dr. Melo Nº 2958 - 8VO PISO - Con cita previa</t>
  </si>
  <si>
    <t xml:space="preserve">Central vigia </t>
  </si>
  <si>
    <t>Gastos particulares</t>
  </si>
  <si>
    <t>UF 91,91%</t>
  </si>
  <si>
    <t>LOCAL</t>
  </si>
  <si>
    <t>SE GASTO:</t>
  </si>
  <si>
    <t>SE PRORRATEA EN LAS UF:</t>
  </si>
  <si>
    <t xml:space="preserve">Haberes </t>
  </si>
  <si>
    <t>TOTAL REEMPLAZO</t>
  </si>
  <si>
    <t>RATON, MARIELA</t>
  </si>
  <si>
    <t>EL MONTO QUE SE PRORRATEA EN LAS UNIDADES FUNCIONALES ES MAYOR AL MONTO QUE SE GASTO YA QUE DE PRORRATEAR EL MONTO GASTADO NO SE ALCANZA A JUNTAR EL DINERO NECESARIO PARA CUBRIR EL 100% DE LOS GASTOS. ESTO SE DEBE A QUE EL LOCAL NO ABONA ESTRICTAMENTE EL 8,09% DE TODA LA LIQUIDACION, SINO QUE ABONA EL 8,09% DE ALGUNOS GASTOS SI Y DE OTROS NO. ES POR ESO MISMO QUE SE DEBE PRORRATEAR UN MONTO MAYOR A LO GASTADO PARA CON LAS UNIDADES FUNCIONALES CON EL OBJETIVO DE A FIN DE CUENTAS SI PODER REACAUDAR LO GASTADO</t>
  </si>
  <si>
    <t>EXPENSAS EXTRA:</t>
  </si>
  <si>
    <t>extra</t>
  </si>
  <si>
    <t xml:space="preserve">FONDO DE GASTOS ORDINARIOS </t>
  </si>
  <si>
    <t>ARCA</t>
  </si>
  <si>
    <t>FEUILLANT, GASTON</t>
  </si>
  <si>
    <t>Contessi - Mantenimiento de ascensores</t>
  </si>
  <si>
    <t>BALBOA, ARIEL</t>
  </si>
  <si>
    <t xml:space="preserve">Sr. Diego Britez </t>
  </si>
  <si>
    <t>GASTOS PARTICULARES</t>
  </si>
  <si>
    <t xml:space="preserve">Numero 1859135 Debito automatico </t>
  </si>
  <si>
    <t>SEGURO OBLIGATORIO SR DIEGO BRITEZ FEDERACION PATRONAL DEBITO AUTOMATICO</t>
  </si>
  <si>
    <t>Macarena</t>
  </si>
  <si>
    <t>Subidos en en3r0 de 2026</t>
  </si>
  <si>
    <t>RODRIGUEZ, JORGE AGUSTIN</t>
  </si>
  <si>
    <t>Sum - Gastos Part.</t>
  </si>
  <si>
    <t>A abonar 2do Vto.</t>
  </si>
  <si>
    <t>A abonar 1er Vto.</t>
  </si>
  <si>
    <t>CABARITI, JOSE LUIS</t>
  </si>
  <si>
    <r>
      <t xml:space="preserve">Los gastos que se encuentras </t>
    </r>
    <r>
      <rPr>
        <b/>
        <u/>
        <sz val="14"/>
        <rFont val="Calibri"/>
        <family val="2"/>
        <scheme val="minor"/>
      </rPr>
      <t>subrayados</t>
    </r>
    <r>
      <rPr>
        <sz val="14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>son los que corresponden tanto a las unidades funcionales como tambien al local</t>
    </r>
  </si>
  <si>
    <t>BORRAR A MAURO MARANTE DE MAILS</t>
  </si>
  <si>
    <t>Debito 13/04</t>
  </si>
  <si>
    <t>VTO: 18/06</t>
  </si>
  <si>
    <t>PERÍODO: MAYO</t>
  </si>
  <si>
    <t>Honorarios MAYO</t>
  </si>
  <si>
    <t>Energroup - SERVICE DE MANTENIMIENTO PREVENTIVO - MAYO</t>
  </si>
  <si>
    <t>Fumigacion - Mes de MAYO</t>
  </si>
  <si>
    <t>Mes de ABRIL</t>
  </si>
  <si>
    <t>MP:1148 - Mes de ABRIL - Se adeuda MAYO</t>
  </si>
  <si>
    <t>Ingreso mes de ABRIL</t>
  </si>
  <si>
    <t>Cortinas metalicas - Cambio de soporte izquierdo, cojinete ruleman y punta de eje, cambio de fletes, nivelacion de paño metalico y lubricacion de persiana metalica en primer y segundo piso</t>
  </si>
  <si>
    <t>Servisur - Reloj timer, iluminacion y reconeccion de circuito toma corriente - Lamparitas en apliques de terraza</t>
  </si>
  <si>
    <t>Casa Ruan - Lamparas y reloj</t>
  </si>
  <si>
    <t>Debito 05/05</t>
  </si>
  <si>
    <t>Julio Doartero - Cambio de automatico, mano de obra y materiales</t>
  </si>
  <si>
    <t>SA Seguridad - Servicio realizado por sistema CCTV de camaras de seguridad</t>
  </si>
  <si>
    <t>Contessi - Reparacion de tensor trasero izquierdo de cabina de montacoches</t>
  </si>
  <si>
    <t>Urbeco - limpieza y desinfecion de tanques de agua potable, analisis y certificado corrrespondiente</t>
  </si>
  <si>
    <t>Servisur - Plafones de 12w en escaleras y lamparas en hall de entrada</t>
  </si>
  <si>
    <t>Casa Ruan - Compra de materiales electricos</t>
  </si>
  <si>
    <t>Pago mis cuentas 06/05</t>
  </si>
  <si>
    <t>Alterini Guido - Mantenimiento jardineria</t>
  </si>
  <si>
    <t>Debito 22/05</t>
  </si>
  <si>
    <t>Articulos de limpieza - Para pileta</t>
  </si>
  <si>
    <t xml:space="preserve">Articulos de limpieza </t>
  </si>
  <si>
    <t>SA Seguridad - Emergencia porton rejas</t>
  </si>
  <si>
    <t>-</t>
  </si>
  <si>
    <t>SGP colocacion de 4 cajas de paso en empalmes de luces de cantero patio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</si>
</sst>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 &quot;$&quot;\ * #,##0_ ;_ &quot;$&quot;\ * \-#,##0_ ;_ &quot;$&quot;\ * &quot;-&quot;??_ ;_ @_ "/>
    <numFmt numFmtId="166" formatCode="_-&quot;$&quot;\ * #,##0_-;\-&quot;$&quot;\ * #,##0_-;_-&quot;$&quot;\ * &quot;-&quot;??_-;_-@_-"/>
    <numFmt numFmtId="167" formatCode="_-* #,##0.00\ _€_-;\-* #,##0.00\ _€_-;_-* &quot;-&quot;??\ _€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name val="Calibri"/>
      <family val="2"/>
      <scheme val="minor"/>
    </font>
    <font>
      <i/>
      <u/>
      <sz val="1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4"/>
      <name val="Calibri"/>
      <family val="2"/>
      <scheme val="minor"/>
    </font>
    <font>
      <sz val="14"/>
      <name val="Calibri"/>
      <family val="2"/>
      <scheme val="minor"/>
    </font>
    <font>
      <u/>
      <sz val="11"/>
      <name val="Calibri"/>
      <family val="2"/>
      <scheme val="minor"/>
    </font>
    <font>
      <i/>
      <u val="singleAccounting"/>
      <sz val="11"/>
      <name val="Calibri"/>
      <family val="2"/>
      <scheme val="minor"/>
    </font>
    <font>
      <i/>
      <u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0">
    <xf numFmtId="0" fontId="0" fillId="0" borderId="0" xfId="0"/>
    <xf numFmtId="0" fontId="0" fillId="0" borderId="22" xfId="0" applyBorder="1"/>
    <xf numFmtId="3" fontId="0" fillId="0" borderId="1" xfId="0" applyNumberFormat="1" applyBorder="1"/>
    <xf numFmtId="0" fontId="0" fillId="0" borderId="1" xfId="0" applyBorder="1"/>
    <xf numFmtId="0" fontId="0" fillId="3" borderId="0" xfId="0" applyFill="1"/>
    <xf numFmtId="4" fontId="0" fillId="0" borderId="1" xfId="0" applyNumberFormat="1" applyBorder="1"/>
    <xf numFmtId="0" fontId="0" fillId="0" borderId="7" xfId="0" applyBorder="1"/>
    <xf numFmtId="0" fontId="2" fillId="3" borderId="22" xfId="0" applyFont="1" applyFill="1" applyBorder="1"/>
    <xf numFmtId="8" fontId="0" fillId="0" borderId="0" xfId="0" applyNumberFormat="1"/>
    <xf numFmtId="0" fontId="5" fillId="6" borderId="0" xfId="0" applyFont="1" applyFill="1"/>
    <xf numFmtId="164" fontId="6" fillId="0" borderId="1" xfId="2" applyFont="1" applyBorder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0" fontId="3" fillId="0" borderId="1" xfId="0" applyFont="1" applyBorder="1"/>
    <xf numFmtId="0" fontId="3" fillId="0" borderId="0" xfId="0" applyFont="1"/>
    <xf numFmtId="164" fontId="3" fillId="0" borderId="1" xfId="0" applyNumberFormat="1" applyFont="1" applyBorder="1"/>
    <xf numFmtId="4" fontId="6" fillId="0" borderId="0" xfId="0" applyNumberFormat="1" applyFont="1"/>
    <xf numFmtId="164" fontId="0" fillId="0" borderId="0" xfId="0" applyNumberFormat="1"/>
    <xf numFmtId="166" fontId="0" fillId="0" borderId="1" xfId="1" applyNumberFormat="1" applyFont="1" applyBorder="1"/>
    <xf numFmtId="0" fontId="0" fillId="7" borderId="1" xfId="0" applyFill="1" applyBorder="1"/>
    <xf numFmtId="166" fontId="0" fillId="7" borderId="1" xfId="0" applyNumberFormat="1" applyFill="1" applyBorder="1"/>
    <xf numFmtId="3" fontId="0" fillId="7" borderId="1" xfId="0" applyNumberFormat="1" applyFill="1" applyBorder="1"/>
    <xf numFmtId="164" fontId="7" fillId="2" borderId="1" xfId="2" applyFont="1" applyFill="1" applyBorder="1"/>
    <xf numFmtId="164" fontId="3" fillId="2" borderId="1" xfId="2" applyFont="1" applyFill="1" applyBorder="1"/>
    <xf numFmtId="0" fontId="0" fillId="2" borderId="1" xfId="0" applyFill="1" applyBorder="1"/>
    <xf numFmtId="0" fontId="2" fillId="0" borderId="1" xfId="0" applyFont="1" applyBorder="1"/>
    <xf numFmtId="164" fontId="2" fillId="0" borderId="1" xfId="2" applyFont="1" applyBorder="1"/>
    <xf numFmtId="0" fontId="2" fillId="7" borderId="15" xfId="0" applyFont="1" applyFill="1" applyBorder="1"/>
    <xf numFmtId="44" fontId="2" fillId="7" borderId="17" xfId="0" applyNumberFormat="1" applyFont="1" applyFill="1" applyBorder="1"/>
    <xf numFmtId="0" fontId="2" fillId="7" borderId="27" xfId="0" applyFont="1" applyFill="1" applyBorder="1"/>
    <xf numFmtId="44" fontId="2" fillId="7" borderId="13" xfId="0" applyNumberFormat="1" applyFont="1" applyFill="1" applyBorder="1"/>
    <xf numFmtId="0" fontId="0" fillId="0" borderId="1" xfId="0" applyBorder="1" applyAlignment="1">
      <alignment horizontal="center" vertical="center"/>
    </xf>
    <xf numFmtId="44" fontId="8" fillId="4" borderId="9" xfId="1" applyFont="1" applyFill="1" applyBorder="1"/>
    <xf numFmtId="44" fontId="0" fillId="0" borderId="0" xfId="0" applyNumberFormat="1"/>
    <xf numFmtId="8" fontId="2" fillId="4" borderId="23" xfId="0" applyNumberFormat="1" applyFont="1" applyFill="1" applyBorder="1"/>
    <xf numFmtId="44" fontId="2" fillId="4" borderId="0" xfId="0" applyNumberFormat="1" applyFont="1" applyFill="1"/>
    <xf numFmtId="44" fontId="4" fillId="2" borderId="1" xfId="1" applyFont="1" applyFill="1" applyBorder="1"/>
    <xf numFmtId="0" fontId="0" fillId="0" borderId="9" xfId="0" applyBorder="1"/>
    <xf numFmtId="0" fontId="0" fillId="0" borderId="28" xfId="0" applyBorder="1"/>
    <xf numFmtId="0" fontId="0" fillId="2" borderId="28" xfId="0" applyFill="1" applyBorder="1"/>
    <xf numFmtId="8" fontId="2" fillId="4" borderId="1" xfId="0" applyNumberFormat="1" applyFont="1" applyFill="1" applyBorder="1"/>
    <xf numFmtId="8" fontId="2" fillId="2" borderId="1" xfId="0" applyNumberFormat="1" applyFont="1" applyFill="1" applyBorder="1"/>
    <xf numFmtId="44" fontId="4" fillId="2" borderId="0" xfId="1" applyFont="1" applyFill="1" applyBorder="1"/>
    <xf numFmtId="0" fontId="11" fillId="0" borderId="1" xfId="0" applyFont="1" applyBorder="1"/>
    <xf numFmtId="166" fontId="0" fillId="7" borderId="1" xfId="1" applyNumberFormat="1" applyFont="1" applyFill="1" applyBorder="1"/>
    <xf numFmtId="166" fontId="9" fillId="0" borderId="1" xfId="0" applyNumberFormat="1" applyFont="1" applyBorder="1"/>
    <xf numFmtId="166" fontId="11" fillId="0" borderId="1" xfId="0" applyNumberFormat="1" applyFont="1" applyBorder="1"/>
    <xf numFmtId="0" fontId="9" fillId="0" borderId="1" xfId="0" applyFont="1" applyBorder="1"/>
    <xf numFmtId="44" fontId="0" fillId="0" borderId="1" xfId="0" applyNumberFormat="1" applyBorder="1"/>
    <xf numFmtId="6" fontId="0" fillId="0" borderId="0" xfId="0" applyNumberFormat="1"/>
    <xf numFmtId="44" fontId="2" fillId="8" borderId="1" xfId="0" applyNumberFormat="1" applyFont="1" applyFill="1" applyBorder="1"/>
    <xf numFmtId="6" fontId="0" fillId="2" borderId="0" xfId="0" applyNumberFormat="1" applyFill="1" applyAlignment="1">
      <alignment horizontal="right" wrapText="1"/>
    </xf>
    <xf numFmtId="166" fontId="0" fillId="0" borderId="0" xfId="0" applyNumberFormat="1"/>
    <xf numFmtId="44" fontId="0" fillId="0" borderId="23" xfId="1" applyFont="1" applyBorder="1"/>
    <xf numFmtId="44" fontId="0" fillId="0" borderId="19" xfId="1" applyFont="1" applyBorder="1"/>
    <xf numFmtId="0" fontId="0" fillId="0" borderId="15" xfId="0" applyBorder="1"/>
    <xf numFmtId="0" fontId="0" fillId="0" borderId="17" xfId="0" applyBorder="1"/>
    <xf numFmtId="44" fontId="2" fillId="4" borderId="9" xfId="0" applyNumberFormat="1" applyFont="1" applyFill="1" applyBorder="1"/>
    <xf numFmtId="44" fontId="2" fillId="5" borderId="16" xfId="0" applyNumberFormat="1" applyFont="1" applyFill="1" applyBorder="1"/>
    <xf numFmtId="44" fontId="0" fillId="0" borderId="9" xfId="0" applyNumberFormat="1" applyBorder="1"/>
    <xf numFmtId="0" fontId="12" fillId="0" borderId="0" xfId="0" applyFont="1"/>
    <xf numFmtId="44" fontId="3" fillId="0" borderId="0" xfId="0" applyNumberFormat="1" applyFont="1"/>
    <xf numFmtId="44" fontId="0" fillId="0" borderId="0" xfId="1" applyFont="1"/>
    <xf numFmtId="44" fontId="8" fillId="4" borderId="9" xfId="0" applyNumberFormat="1" applyFont="1" applyFill="1" applyBorder="1"/>
    <xf numFmtId="44" fontId="2" fillId="4" borderId="15" xfId="0" applyNumberFormat="1" applyFont="1" applyFill="1" applyBorder="1"/>
    <xf numFmtId="0" fontId="0" fillId="2" borderId="0" xfId="0" applyFill="1"/>
    <xf numFmtId="44" fontId="12" fillId="0" borderId="0" xfId="0" applyNumberFormat="1" applyFont="1"/>
    <xf numFmtId="6" fontId="9" fillId="2" borderId="1" xfId="0" applyNumberFormat="1" applyFont="1" applyFill="1" applyBorder="1"/>
    <xf numFmtId="0" fontId="9" fillId="2" borderId="1" xfId="0" applyFont="1" applyFill="1" applyBorder="1"/>
    <xf numFmtId="0" fontId="2" fillId="2" borderId="0" xfId="0" applyFont="1" applyFill="1" applyAlignment="1">
      <alignment vertical="center" wrapText="1"/>
    </xf>
    <xf numFmtId="44" fontId="2" fillId="4" borderId="1" xfId="0" applyNumberFormat="1" applyFont="1" applyFill="1" applyBorder="1"/>
    <xf numFmtId="44" fontId="2" fillId="4" borderId="1" xfId="1" applyFont="1" applyFill="1" applyBorder="1"/>
    <xf numFmtId="44" fontId="8" fillId="4" borderId="1" xfId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13" fillId="2" borderId="1" xfId="2" applyFont="1" applyFill="1" applyBorder="1"/>
    <xf numFmtId="43" fontId="0" fillId="0" borderId="0" xfId="0" applyNumberFormat="1"/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44" fontId="8" fillId="5" borderId="16" xfId="0" applyNumberFormat="1" applyFont="1" applyFill="1" applyBorder="1"/>
    <xf numFmtId="44" fontId="0" fillId="0" borderId="0" xfId="0" applyNumberFormat="1" applyAlignment="1">
      <alignment horizontal="left"/>
    </xf>
    <xf numFmtId="0" fontId="0" fillId="0" borderId="6" xfId="0" applyBorder="1"/>
    <xf numFmtId="10" fontId="2" fillId="5" borderId="19" xfId="0" applyNumberFormat="1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166" fontId="3" fillId="7" borderId="1" xfId="0" applyNumberFormat="1" applyFont="1" applyFill="1" applyBorder="1"/>
    <xf numFmtId="4" fontId="4" fillId="0" borderId="1" xfId="0" applyNumberFormat="1" applyFont="1" applyBorder="1"/>
    <xf numFmtId="166" fontId="9" fillId="7" borderId="1" xfId="1" applyNumberFormat="1" applyFont="1" applyFill="1" applyBorder="1"/>
    <xf numFmtId="6" fontId="14" fillId="2" borderId="1" xfId="0" applyNumberFormat="1" applyFont="1" applyFill="1" applyBorder="1"/>
    <xf numFmtId="165" fontId="7" fillId="2" borderId="1" xfId="2" applyNumberFormat="1" applyFont="1" applyFill="1" applyBorder="1"/>
    <xf numFmtId="0" fontId="0" fillId="3" borderId="20" xfId="0" applyFill="1" applyBorder="1"/>
    <xf numFmtId="44" fontId="4" fillId="3" borderId="21" xfId="0" applyNumberFormat="1" applyFont="1" applyFill="1" applyBorder="1"/>
    <xf numFmtId="0" fontId="0" fillId="3" borderId="22" xfId="0" applyFill="1" applyBorder="1"/>
    <xf numFmtId="44" fontId="4" fillId="3" borderId="0" xfId="0" applyNumberFormat="1" applyFont="1" applyFill="1"/>
    <xf numFmtId="6" fontId="4" fillId="3" borderId="23" xfId="0" applyNumberFormat="1" applyFont="1" applyFill="1" applyBorder="1"/>
    <xf numFmtId="6" fontId="0" fillId="3" borderId="0" xfId="0" applyNumberFormat="1" applyFill="1" applyAlignment="1">
      <alignment horizontal="right" wrapText="1"/>
    </xf>
    <xf numFmtId="6" fontId="4" fillId="3" borderId="23" xfId="0" applyNumberFormat="1" applyFont="1" applyFill="1" applyBorder="1" applyAlignment="1">
      <alignment horizontal="right" wrapText="1"/>
    </xf>
    <xf numFmtId="0" fontId="0" fillId="3" borderId="27" xfId="0" applyFill="1" applyBorder="1"/>
    <xf numFmtId="0" fontId="0" fillId="3" borderId="12" xfId="0" applyFill="1" applyBorder="1"/>
    <xf numFmtId="6" fontId="0" fillId="3" borderId="12" xfId="0" applyNumberFormat="1" applyFill="1" applyBorder="1" applyAlignment="1">
      <alignment horizontal="right" wrapText="1"/>
    </xf>
    <xf numFmtId="0" fontId="10" fillId="3" borderId="13" xfId="0" applyFont="1" applyFill="1" applyBorder="1"/>
    <xf numFmtId="0" fontId="4" fillId="2" borderId="1" xfId="0" applyFont="1" applyFill="1" applyBorder="1"/>
    <xf numFmtId="44" fontId="4" fillId="2" borderId="9" xfId="1" applyFont="1" applyFill="1" applyBorder="1"/>
    <xf numFmtId="44" fontId="4" fillId="0" borderId="9" xfId="1" applyFont="1" applyBorder="1"/>
    <xf numFmtId="44" fontId="4" fillId="0" borderId="1" xfId="1" applyFont="1" applyBorder="1"/>
    <xf numFmtId="166" fontId="4" fillId="2" borderId="1" xfId="1" applyNumberFormat="1" applyFont="1" applyFill="1" applyBorder="1"/>
    <xf numFmtId="0" fontId="2" fillId="3" borderId="0" xfId="0" applyFont="1" applyFill="1"/>
    <xf numFmtId="0" fontId="0" fillId="3" borderId="23" xfId="0" applyFill="1" applyBorder="1"/>
    <xf numFmtId="0" fontId="2" fillId="3" borderId="12" xfId="0" applyFont="1" applyFill="1" applyBorder="1"/>
    <xf numFmtId="0" fontId="0" fillId="3" borderId="13" xfId="0" applyFill="1" applyBorder="1"/>
    <xf numFmtId="0" fontId="8" fillId="3" borderId="27" xfId="0" applyFont="1" applyFill="1" applyBorder="1"/>
    <xf numFmtId="0" fontId="8" fillId="3" borderId="12" xfId="0" applyFont="1" applyFill="1" applyBorder="1"/>
    <xf numFmtId="0" fontId="8" fillId="0" borderId="0" xfId="0" applyFont="1"/>
    <xf numFmtId="0" fontId="8" fillId="5" borderId="20" xfId="0" applyFont="1" applyFill="1" applyBorder="1"/>
    <xf numFmtId="0" fontId="8" fillId="5" borderId="18" xfId="0" applyFont="1" applyFill="1" applyBorder="1"/>
    <xf numFmtId="10" fontId="8" fillId="5" borderId="18" xfId="0" applyNumberFormat="1" applyFont="1" applyFill="1" applyBorder="1"/>
    <xf numFmtId="0" fontId="4" fillId="5" borderId="18" xfId="0" applyFont="1" applyFill="1" applyBorder="1"/>
    <xf numFmtId="0" fontId="20" fillId="0" borderId="1" xfId="0" applyFont="1" applyBorder="1"/>
    <xf numFmtId="0" fontId="8" fillId="4" borderId="1" xfId="0" applyFont="1" applyFill="1" applyBorder="1"/>
    <xf numFmtId="0" fontId="15" fillId="0" borderId="1" xfId="0" applyFont="1" applyBorder="1"/>
    <xf numFmtId="0" fontId="15" fillId="2" borderId="1" xfId="0" applyFont="1" applyFill="1" applyBorder="1"/>
    <xf numFmtId="0" fontId="8" fillId="2" borderId="1" xfId="0" applyFont="1" applyFill="1" applyBorder="1"/>
    <xf numFmtId="0" fontId="4" fillId="4" borderId="1" xfId="0" applyFont="1" applyFill="1" applyBorder="1"/>
    <xf numFmtId="0" fontId="4" fillId="0" borderId="9" xfId="0" applyFont="1" applyBorder="1" applyAlignment="1">
      <alignment vertical="center"/>
    </xf>
    <xf numFmtId="0" fontId="4" fillId="0" borderId="10" xfId="0" applyFont="1" applyBorder="1"/>
    <xf numFmtId="0" fontId="4" fillId="0" borderId="11" xfId="0" applyFont="1" applyBorder="1"/>
    <xf numFmtId="16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/>
    </xf>
    <xf numFmtId="0" fontId="8" fillId="8" borderId="1" xfId="0" applyFont="1" applyFill="1" applyBorder="1"/>
    <xf numFmtId="0" fontId="4" fillId="0" borderId="22" xfId="0" applyFont="1" applyBorder="1"/>
    <xf numFmtId="0" fontId="8" fillId="5" borderId="15" xfId="0" applyFont="1" applyFill="1" applyBorder="1"/>
    <xf numFmtId="10" fontId="8" fillId="5" borderId="16" xfId="0" applyNumberFormat="1" applyFont="1" applyFill="1" applyBorder="1"/>
    <xf numFmtId="0" fontId="8" fillId="5" borderId="16" xfId="0" applyFont="1" applyFill="1" applyBorder="1"/>
    <xf numFmtId="0" fontId="8" fillId="9" borderId="15" xfId="0" applyFont="1" applyFill="1" applyBorder="1"/>
    <xf numFmtId="0" fontId="4" fillId="9" borderId="19" xfId="0" applyFont="1" applyFill="1" applyBorder="1"/>
    <xf numFmtId="167" fontId="0" fillId="0" borderId="0" xfId="0" applyNumberFormat="1"/>
    <xf numFmtId="44" fontId="4" fillId="0" borderId="11" xfId="0" applyNumberFormat="1" applyFont="1" applyBorder="1"/>
    <xf numFmtId="0" fontId="4" fillId="2" borderId="10" xfId="0" applyFont="1" applyFill="1" applyBorder="1"/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44" fontId="2" fillId="8" borderId="1" xfId="1" applyFont="1" applyFill="1" applyBorder="1"/>
    <xf numFmtId="0" fontId="8" fillId="8" borderId="9" xfId="0" applyFont="1" applyFill="1" applyBorder="1"/>
    <xf numFmtId="44" fontId="8" fillId="8" borderId="1" xfId="1" applyFont="1" applyFill="1" applyBorder="1"/>
    <xf numFmtId="0" fontId="4" fillId="0" borderId="29" xfId="0" applyFont="1" applyBorder="1"/>
    <xf numFmtId="0" fontId="0" fillId="0" borderId="29" xfId="0" applyBorder="1"/>
    <xf numFmtId="44" fontId="2" fillId="5" borderId="17" xfId="0" applyNumberFormat="1" applyFont="1" applyFill="1" applyBorder="1"/>
    <xf numFmtId="0" fontId="9" fillId="0" borderId="1" xfId="0" applyFont="1" applyBorder="1" applyAlignment="1">
      <alignment horizontal="center" vertical="center"/>
    </xf>
    <xf numFmtId="0" fontId="4" fillId="2" borderId="9" xfId="0" applyFont="1" applyFill="1" applyBorder="1"/>
    <xf numFmtId="0" fontId="4" fillId="2" borderId="9" xfId="0" applyFont="1" applyFill="1" applyBorder="1" applyAlignment="1">
      <alignment vertical="center"/>
    </xf>
    <xf numFmtId="0" fontId="4" fillId="2" borderId="11" xfId="0" applyFont="1" applyFill="1" applyBorder="1"/>
    <xf numFmtId="0" fontId="15" fillId="0" borderId="9" xfId="0" applyFont="1" applyBorder="1" applyAlignment="1">
      <alignment horizontal="left" vertical="center"/>
    </xf>
    <xf numFmtId="166" fontId="4" fillId="0" borderId="1" xfId="1" applyNumberFormat="1" applyFont="1" applyBorder="1"/>
    <xf numFmtId="43" fontId="2" fillId="3" borderId="18" xfId="3" applyFont="1" applyFill="1" applyBorder="1" applyAlignment="1"/>
    <xf numFmtId="43" fontId="2" fillId="3" borderId="21" xfId="3" applyFont="1" applyFill="1" applyBorder="1" applyAlignment="1"/>
    <xf numFmtId="0" fontId="0" fillId="9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 wrapText="1"/>
    </xf>
    <xf numFmtId="0" fontId="17" fillId="7" borderId="14" xfId="0" applyFont="1" applyFill="1" applyBorder="1" applyAlignment="1">
      <alignment horizontal="center" vertical="center" wrapText="1"/>
    </xf>
    <xf numFmtId="0" fontId="17" fillId="7" borderId="3" xfId="0" applyFont="1" applyFill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center" vertical="center" wrapText="1"/>
    </xf>
    <xf numFmtId="0" fontId="17" fillId="7" borderId="0" xfId="0" applyFont="1" applyFill="1" applyAlignment="1">
      <alignment horizontal="center" vertical="center" wrapText="1"/>
    </xf>
    <xf numFmtId="0" fontId="17" fillId="7" borderId="8" xfId="0" applyFont="1" applyFill="1" applyBorder="1" applyAlignment="1">
      <alignment horizontal="center" vertical="center" wrapText="1"/>
    </xf>
    <xf numFmtId="0" fontId="17" fillId="7" borderId="28" xfId="0" applyFont="1" applyFill="1" applyBorder="1" applyAlignment="1">
      <alignment horizontal="center" vertical="center" wrapText="1"/>
    </xf>
    <xf numFmtId="0" fontId="17" fillId="7" borderId="4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left"/>
    </xf>
    <xf numFmtId="0" fontId="2" fillId="4" borderId="10" xfId="0" applyFont="1" applyFill="1" applyBorder="1" applyAlignment="1">
      <alignment horizontal="left"/>
    </xf>
    <xf numFmtId="0" fontId="2" fillId="4" borderId="11" xfId="0" applyFont="1" applyFill="1" applyBorder="1" applyAlignment="1">
      <alignment horizontal="left"/>
    </xf>
    <xf numFmtId="44" fontId="21" fillId="0" borderId="9" xfId="0" applyNumberFormat="1" applyFont="1" applyBorder="1" applyAlignment="1">
      <alignment horizontal="left" vertical="center" wrapText="1"/>
    </xf>
    <xf numFmtId="0" fontId="21" fillId="0" borderId="10" xfId="0" applyFont="1" applyBorder="1" applyAlignment="1">
      <alignment horizontal="left" vertical="center" wrapText="1"/>
    </xf>
    <xf numFmtId="0" fontId="21" fillId="0" borderId="11" xfId="0" applyFont="1" applyBorder="1" applyAlignment="1">
      <alignment horizontal="left" vertical="center" wrapText="1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2" fillId="2" borderId="9" xfId="0" applyFont="1" applyFill="1" applyBorder="1" applyAlignment="1">
      <alignment horizontal="left" vertical="center" wrapText="1"/>
    </xf>
    <xf numFmtId="0" fontId="22" fillId="2" borderId="10" xfId="0" applyFont="1" applyFill="1" applyBorder="1" applyAlignment="1">
      <alignment horizontal="left" vertical="center" wrapText="1"/>
    </xf>
    <xf numFmtId="0" fontId="22" fillId="2" borderId="11" xfId="0" applyFont="1" applyFill="1" applyBorder="1" applyAlignment="1">
      <alignment horizontal="left" vertical="center" wrapText="1"/>
    </xf>
    <xf numFmtId="44" fontId="4" fillId="0" borderId="9" xfId="0" applyNumberFormat="1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0" fillId="3" borderId="24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  <xf numFmtId="44" fontId="0" fillId="3" borderId="18" xfId="0" applyNumberFormat="1" applyFill="1" applyBorder="1" applyAlignment="1">
      <alignment horizontal="center" wrapText="1"/>
    </xf>
    <xf numFmtId="6" fontId="0" fillId="3" borderId="18" xfId="0" applyNumberFormat="1" applyFill="1" applyBorder="1" applyAlignment="1">
      <alignment horizontal="center" wrapText="1"/>
    </xf>
    <xf numFmtId="0" fontId="0" fillId="3" borderId="24" xfId="0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center" vertical="center"/>
    </xf>
    <xf numFmtId="0" fontId="9" fillId="3" borderId="26" xfId="0" applyFont="1" applyFill="1" applyBorder="1" applyAlignment="1">
      <alignment horizontal="center" vertical="center"/>
    </xf>
    <xf numFmtId="0" fontId="16" fillId="3" borderId="20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16" fillId="3" borderId="21" xfId="0" applyFont="1" applyFill="1" applyBorder="1" applyAlignment="1">
      <alignment horizontal="center" vertical="center" wrapText="1"/>
    </xf>
    <xf numFmtId="0" fontId="16" fillId="3" borderId="22" xfId="0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0" fontId="16" fillId="3" borderId="23" xfId="0" applyFont="1" applyFill="1" applyBorder="1" applyAlignment="1">
      <alignment horizontal="center" vertical="center" wrapText="1"/>
    </xf>
    <xf numFmtId="0" fontId="16" fillId="3" borderId="27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9" fillId="3" borderId="25" xfId="0" applyFont="1" applyFill="1" applyBorder="1" applyAlignment="1">
      <alignment horizontal="center" vertical="center"/>
    </xf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76200</xdr:rowOff>
    </xdr:from>
    <xdr:to>
      <xdr:col>0</xdr:col>
      <xdr:colOff>2190750</xdr:colOff>
      <xdr:row>3</xdr:row>
      <xdr:rowOff>339725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76200"/>
          <a:ext cx="2162175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4"/>
  <sheetViews>
    <sheetView topLeftCell="A89" workbookViewId="0">
      <selection activeCell="C122" sqref="C122"/>
    </sheetView>
  </sheetViews>
  <sheetFormatPr baseColWidth="10" defaultColWidth="10.85546875" defaultRowHeight="15" x14ac:dyDescent="0.25"/>
  <cols>
    <col min="1" max="1" width="33.42578125" customWidth="1"/>
    <col min="2" max="2" width="36.85546875" customWidth="1"/>
    <col min="3" max="3" width="17.42578125" customWidth="1"/>
    <col min="4" max="4" width="21.7109375" customWidth="1"/>
    <col min="5" max="5" width="15.7109375" customWidth="1"/>
    <col min="6" max="6" width="13" bestFit="1" customWidth="1"/>
    <col min="7" max="7" width="15.85546875" customWidth="1"/>
    <col min="8" max="8" width="14.85546875" customWidth="1"/>
    <col min="9" max="9" width="13" bestFit="1" customWidth="1"/>
    <col min="10" max="10" width="14.5703125" bestFit="1" customWidth="1"/>
    <col min="12" max="12" width="18" customWidth="1"/>
    <col min="13" max="13" width="18.28515625" customWidth="1"/>
  </cols>
  <sheetData>
    <row r="1" spans="1:6" x14ac:dyDescent="0.25">
      <c r="A1" s="90"/>
      <c r="B1" s="155" t="s">
        <v>89</v>
      </c>
      <c r="C1" s="155"/>
      <c r="D1" s="155"/>
      <c r="E1" s="155"/>
      <c r="F1" s="156"/>
    </row>
    <row r="2" spans="1:6" x14ac:dyDescent="0.25">
      <c r="A2" s="7"/>
      <c r="B2" s="106" t="s">
        <v>0</v>
      </c>
      <c r="C2" s="106"/>
      <c r="D2" s="106"/>
      <c r="E2" s="106"/>
      <c r="F2" s="107"/>
    </row>
    <row r="3" spans="1:6" x14ac:dyDescent="0.25">
      <c r="A3" s="7"/>
      <c r="B3" s="106" t="s">
        <v>61</v>
      </c>
      <c r="C3" s="106"/>
      <c r="D3" s="106"/>
      <c r="E3" s="106"/>
      <c r="F3" s="107"/>
    </row>
    <row r="4" spans="1:6" ht="33.75" customHeight="1" x14ac:dyDescent="0.25">
      <c r="A4" s="7"/>
      <c r="B4" s="106" t="s">
        <v>62</v>
      </c>
      <c r="C4" s="106"/>
      <c r="D4" s="106"/>
      <c r="E4" s="106"/>
      <c r="F4" s="107"/>
    </row>
    <row r="5" spans="1:6" x14ac:dyDescent="0.25">
      <c r="A5" s="7" t="s">
        <v>1</v>
      </c>
      <c r="B5" s="106" t="s">
        <v>122</v>
      </c>
      <c r="C5" s="106" t="s">
        <v>121</v>
      </c>
      <c r="D5" s="106"/>
      <c r="E5" s="106"/>
      <c r="F5" s="107"/>
    </row>
    <row r="6" spans="1:6" x14ac:dyDescent="0.25">
      <c r="A6" s="7" t="s">
        <v>72</v>
      </c>
      <c r="B6" s="106"/>
      <c r="C6" s="106"/>
      <c r="D6" s="106"/>
      <c r="E6" s="106"/>
      <c r="F6" s="107"/>
    </row>
    <row r="7" spans="1:6" ht="15.75" thickBot="1" x14ac:dyDescent="0.3">
      <c r="A7" s="110" t="s">
        <v>71</v>
      </c>
      <c r="B7" s="111"/>
      <c r="C7" s="111"/>
      <c r="D7" s="111"/>
      <c r="E7" s="108"/>
      <c r="F7" s="109"/>
    </row>
    <row r="8" spans="1:6" x14ac:dyDescent="0.25">
      <c r="A8" s="78"/>
      <c r="B8" s="78"/>
      <c r="C8" s="78"/>
      <c r="D8" s="78"/>
    </row>
    <row r="9" spans="1:6" hidden="1" x14ac:dyDescent="0.25">
      <c r="A9" s="78"/>
      <c r="B9" s="78"/>
      <c r="C9" s="78"/>
      <c r="D9" s="78"/>
    </row>
    <row r="10" spans="1:6" hidden="1" x14ac:dyDescent="0.25">
      <c r="A10" s="78"/>
      <c r="B10" s="78"/>
      <c r="C10" s="78"/>
      <c r="D10" s="78"/>
    </row>
    <row r="11" spans="1:6" hidden="1" x14ac:dyDescent="0.25">
      <c r="A11" s="78"/>
      <c r="B11" s="78"/>
      <c r="C11" s="78"/>
      <c r="D11" s="78"/>
    </row>
    <row r="12" spans="1:6" hidden="1" x14ac:dyDescent="0.25">
      <c r="A12" s="78"/>
      <c r="B12" s="78"/>
      <c r="C12" s="78"/>
      <c r="D12" s="78"/>
    </row>
    <row r="13" spans="1:6" x14ac:dyDescent="0.25">
      <c r="A13" s="78"/>
      <c r="B13" s="78"/>
      <c r="C13" s="78"/>
      <c r="D13" s="78"/>
    </row>
    <row r="14" spans="1:6" x14ac:dyDescent="0.25">
      <c r="A14" s="78"/>
      <c r="B14" s="159" t="s">
        <v>118</v>
      </c>
      <c r="C14" s="160"/>
      <c r="D14" s="161"/>
    </row>
    <row r="15" spans="1:6" x14ac:dyDescent="0.25">
      <c r="A15" s="78"/>
      <c r="B15" s="162"/>
      <c r="C15" s="163"/>
      <c r="D15" s="164"/>
    </row>
    <row r="16" spans="1:6" x14ac:dyDescent="0.25">
      <c r="A16" s="78"/>
      <c r="B16" s="162"/>
      <c r="C16" s="163"/>
      <c r="D16" s="164"/>
    </row>
    <row r="17" spans="1:8" x14ac:dyDescent="0.25">
      <c r="A17" s="78"/>
      <c r="B17" s="165"/>
      <c r="C17" s="166"/>
      <c r="D17" s="167"/>
    </row>
    <row r="18" spans="1:8" x14ac:dyDescent="0.25">
      <c r="A18" s="78"/>
      <c r="B18" s="78"/>
      <c r="C18" s="78"/>
      <c r="D18" s="78"/>
    </row>
    <row r="19" spans="1:8" x14ac:dyDescent="0.25">
      <c r="A19" s="112"/>
      <c r="B19" s="78"/>
      <c r="C19" s="78"/>
      <c r="D19" s="78"/>
    </row>
    <row r="20" spans="1:8" ht="15.75" thickBot="1" x14ac:dyDescent="0.3">
      <c r="A20" s="78"/>
      <c r="B20" s="78"/>
      <c r="C20" s="78"/>
      <c r="D20" s="78"/>
    </row>
    <row r="21" spans="1:8" ht="15.75" thickBot="1" x14ac:dyDescent="0.3">
      <c r="A21" s="113" t="s">
        <v>59</v>
      </c>
      <c r="B21" s="114"/>
      <c r="C21" s="115"/>
      <c r="D21" s="116"/>
      <c r="E21" s="83" t="s">
        <v>92</v>
      </c>
      <c r="F21" s="84" t="s">
        <v>60</v>
      </c>
    </row>
    <row r="22" spans="1:8" x14ac:dyDescent="0.25">
      <c r="A22" s="117" t="s">
        <v>107</v>
      </c>
      <c r="B22" s="79" t="s">
        <v>123</v>
      </c>
      <c r="C22" s="79"/>
      <c r="D22" s="150"/>
      <c r="E22" s="82"/>
      <c r="F22" s="82"/>
    </row>
    <row r="23" spans="1:8" x14ac:dyDescent="0.25">
      <c r="A23" s="117" t="s">
        <v>96</v>
      </c>
      <c r="B23" s="79"/>
      <c r="C23" s="79"/>
      <c r="D23" s="102">
        <v>1575703.3</v>
      </c>
      <c r="E23" s="49">
        <f>D23*91.91%</f>
        <v>1448228.9030299999</v>
      </c>
      <c r="F23" s="49">
        <f>D23*8.09%</f>
        <v>127474.39697</v>
      </c>
    </row>
    <row r="24" spans="1:8" x14ac:dyDescent="0.25">
      <c r="A24" s="117" t="s">
        <v>2</v>
      </c>
      <c r="B24" s="79"/>
      <c r="C24" s="79"/>
      <c r="D24" s="102">
        <v>-342715.56</v>
      </c>
      <c r="E24" s="49">
        <f t="shared" ref="E24:E26" si="0">D24*91.91%</f>
        <v>-314989.87119599996</v>
      </c>
      <c r="F24" s="49">
        <f t="shared" ref="F24:F26" si="1">D24*8.09%</f>
        <v>-27725.688804000001</v>
      </c>
      <c r="G24" s="34"/>
    </row>
    <row r="25" spans="1:8" x14ac:dyDescent="0.25">
      <c r="A25" s="117" t="s">
        <v>84</v>
      </c>
      <c r="B25" s="79"/>
      <c r="C25" s="79"/>
      <c r="D25" s="102">
        <v>0.16</v>
      </c>
      <c r="E25" s="49">
        <f t="shared" si="0"/>
        <v>0.14705599999999999</v>
      </c>
      <c r="F25" s="49">
        <f t="shared" si="1"/>
        <v>1.2944000000000001E-2</v>
      </c>
    </row>
    <row r="26" spans="1:8" x14ac:dyDescent="0.25">
      <c r="A26" s="117"/>
      <c r="B26" s="79"/>
      <c r="C26" s="79"/>
      <c r="D26" s="102"/>
      <c r="E26" s="49">
        <f t="shared" si="0"/>
        <v>0</v>
      </c>
      <c r="F26" s="49">
        <f t="shared" si="1"/>
        <v>0</v>
      </c>
    </row>
    <row r="27" spans="1:8" x14ac:dyDescent="0.25">
      <c r="A27" s="118" t="s">
        <v>3</v>
      </c>
      <c r="B27" s="118"/>
      <c r="C27" s="118"/>
      <c r="D27" s="33">
        <f>SUM(D23:D26)</f>
        <v>1232987.8999999999</v>
      </c>
      <c r="E27" s="33">
        <f>SUM(E23:E26)</f>
        <v>1133239.1788900001</v>
      </c>
      <c r="F27" s="33">
        <f>SUM(F23:F26)</f>
        <v>99748.721109999999</v>
      </c>
      <c r="G27" s="34">
        <f>E27+F27</f>
        <v>1232987.9000000001</v>
      </c>
      <c r="H27" s="61" t="str">
        <f>IF(D27=G27, "", "Error")</f>
        <v/>
      </c>
    </row>
    <row r="28" spans="1:8" hidden="1" x14ac:dyDescent="0.25">
      <c r="A28" s="119" t="s">
        <v>82</v>
      </c>
      <c r="B28" s="79"/>
      <c r="C28" s="79"/>
      <c r="D28" s="103">
        <v>0</v>
      </c>
      <c r="E28" s="49">
        <f>D28*91.91%</f>
        <v>0</v>
      </c>
      <c r="F28" s="49">
        <f>D28*8.09%</f>
        <v>0</v>
      </c>
      <c r="H28" s="61"/>
    </row>
    <row r="29" spans="1:8" hidden="1" x14ac:dyDescent="0.25">
      <c r="A29" s="119"/>
      <c r="B29" s="79"/>
      <c r="C29" s="79"/>
      <c r="D29" s="102">
        <v>0</v>
      </c>
      <c r="E29" s="49">
        <f>D29*91.91%</f>
        <v>0</v>
      </c>
      <c r="F29" s="49">
        <f>D29*8.09%</f>
        <v>0</v>
      </c>
      <c r="H29" s="61"/>
    </row>
    <row r="30" spans="1:8" hidden="1" x14ac:dyDescent="0.25">
      <c r="A30" s="119"/>
      <c r="B30" s="79"/>
      <c r="C30" s="79"/>
      <c r="D30" s="102"/>
      <c r="E30" s="3"/>
      <c r="F30" s="3"/>
      <c r="H30" s="61"/>
    </row>
    <row r="31" spans="1:8" hidden="1" x14ac:dyDescent="0.25">
      <c r="A31" s="119"/>
      <c r="B31" s="79"/>
      <c r="C31" s="79"/>
      <c r="D31" s="102"/>
      <c r="E31" s="3"/>
      <c r="F31" s="3"/>
      <c r="H31" s="61"/>
    </row>
    <row r="32" spans="1:8" hidden="1" x14ac:dyDescent="0.25">
      <c r="A32" s="118" t="s">
        <v>88</v>
      </c>
      <c r="B32" s="118"/>
      <c r="C32" s="118"/>
      <c r="D32" s="33">
        <f>SUM(D28:D30)</f>
        <v>0</v>
      </c>
      <c r="E32" s="33">
        <f t="shared" ref="E32:F32" si="2">SUM(E28:E30)</f>
        <v>0</v>
      </c>
      <c r="F32" s="33">
        <f t="shared" si="2"/>
        <v>0</v>
      </c>
      <c r="G32" s="34">
        <f>E32+F32</f>
        <v>0</v>
      </c>
      <c r="H32" s="61" t="str">
        <f>IF(D32=G32, "", "Error")</f>
        <v/>
      </c>
    </row>
    <row r="33" spans="1:8" x14ac:dyDescent="0.25">
      <c r="A33" s="119"/>
      <c r="B33" s="79"/>
      <c r="C33" s="79"/>
      <c r="D33" s="103"/>
      <c r="E33" s="49">
        <f>D33*91.91%</f>
        <v>0</v>
      </c>
      <c r="F33" s="49">
        <f>D33*8.09%</f>
        <v>0</v>
      </c>
      <c r="H33" s="61"/>
    </row>
    <row r="34" spans="1:8" x14ac:dyDescent="0.25">
      <c r="A34" s="79"/>
      <c r="B34" s="79"/>
      <c r="C34" s="79"/>
      <c r="D34" s="102"/>
      <c r="E34" s="49">
        <f t="shared" ref="E34:E35" si="3">D34*91.91%</f>
        <v>0</v>
      </c>
      <c r="F34" s="49">
        <f t="shared" ref="F34:F35" si="4">D34*8.09%</f>
        <v>0</v>
      </c>
      <c r="H34" s="61"/>
    </row>
    <row r="35" spans="1:8" ht="12.6" customHeight="1" x14ac:dyDescent="0.25">
      <c r="A35" s="119"/>
      <c r="B35" s="79"/>
      <c r="C35" s="79"/>
      <c r="D35" s="102"/>
      <c r="E35" s="49">
        <f t="shared" si="3"/>
        <v>0</v>
      </c>
      <c r="F35" s="49">
        <f t="shared" si="4"/>
        <v>0</v>
      </c>
      <c r="H35" s="61"/>
    </row>
    <row r="36" spans="1:8" ht="14.25" customHeight="1" x14ac:dyDescent="0.25">
      <c r="A36" s="118" t="s">
        <v>97</v>
      </c>
      <c r="B36" s="118"/>
      <c r="C36" s="118"/>
      <c r="D36" s="33">
        <f>SUM(D29:D35)</f>
        <v>0</v>
      </c>
      <c r="E36" s="33">
        <f t="shared" ref="E36" si="5">SUM(E29:E35)</f>
        <v>0</v>
      </c>
      <c r="F36" s="41">
        <f>E36*8.09%</f>
        <v>0</v>
      </c>
      <c r="H36" s="61"/>
    </row>
    <row r="37" spans="1:8" ht="0.6" hidden="1" customHeight="1" x14ac:dyDescent="0.25">
      <c r="A37" s="120"/>
      <c r="B37" s="101"/>
      <c r="C37" s="101"/>
      <c r="D37" s="102"/>
      <c r="E37" s="42"/>
      <c r="F37" s="42"/>
      <c r="H37" s="61"/>
    </row>
    <row r="38" spans="1:8" hidden="1" x14ac:dyDescent="0.25">
      <c r="A38" s="120"/>
      <c r="B38" s="101"/>
      <c r="C38" s="101"/>
      <c r="D38" s="102"/>
      <c r="E38" s="42"/>
      <c r="F38" s="42"/>
      <c r="H38" s="61"/>
    </row>
    <row r="39" spans="1:8" hidden="1" x14ac:dyDescent="0.25">
      <c r="A39" s="101"/>
      <c r="B39" s="101"/>
      <c r="C39" s="121"/>
      <c r="D39" s="102"/>
      <c r="E39" s="42"/>
      <c r="F39" s="42"/>
      <c r="H39" s="61"/>
    </row>
    <row r="40" spans="1:8" hidden="1" x14ac:dyDescent="0.25">
      <c r="A40" s="118" t="s">
        <v>88</v>
      </c>
      <c r="B40" s="118"/>
      <c r="C40" s="118"/>
      <c r="D40" s="33"/>
      <c r="E40" s="36">
        <f>SUM(D37:D39)</f>
        <v>0</v>
      </c>
      <c r="F40" s="35">
        <f>(D37)*8.09%</f>
        <v>0</v>
      </c>
      <c r="H40" s="61"/>
    </row>
    <row r="41" spans="1:8" hidden="1" x14ac:dyDescent="0.25">
      <c r="A41" s="79"/>
      <c r="B41" s="79"/>
      <c r="C41" s="101"/>
      <c r="D41" s="37">
        <v>0</v>
      </c>
      <c r="E41" s="49">
        <f>D41</f>
        <v>0</v>
      </c>
      <c r="F41" s="49"/>
      <c r="H41" s="61"/>
    </row>
    <row r="42" spans="1:8" ht="15.75" hidden="1" thickBot="1" x14ac:dyDescent="0.3">
      <c r="A42" s="118" t="s">
        <v>97</v>
      </c>
      <c r="B42" s="118"/>
      <c r="C42" s="118"/>
      <c r="D42" s="33">
        <f>SUM(D41:D41)</f>
        <v>0</v>
      </c>
      <c r="E42" s="65">
        <f>SUM(E41:E41)</f>
        <v>0</v>
      </c>
      <c r="F42" s="71">
        <f>SUM(F41:F41)</f>
        <v>0</v>
      </c>
      <c r="G42" s="34">
        <f>E42+F42</f>
        <v>0</v>
      </c>
      <c r="H42" s="61"/>
    </row>
    <row r="43" spans="1:8" x14ac:dyDescent="0.25">
      <c r="A43" s="119" t="s">
        <v>4</v>
      </c>
      <c r="B43" s="79"/>
      <c r="C43" s="79"/>
      <c r="D43" s="104"/>
      <c r="E43" s="38"/>
      <c r="F43" s="26"/>
      <c r="H43" s="61"/>
    </row>
    <row r="44" spans="1:8" x14ac:dyDescent="0.25">
      <c r="A44" s="119" t="s">
        <v>110</v>
      </c>
      <c r="B44" s="79"/>
      <c r="C44" s="101"/>
      <c r="D44" s="37">
        <v>6642</v>
      </c>
      <c r="E44" s="49">
        <f>D44*91.91%</f>
        <v>6104.6621999999998</v>
      </c>
      <c r="F44" s="49">
        <f>D44*8.09%</f>
        <v>537.33780000000002</v>
      </c>
      <c r="H44" s="61"/>
    </row>
    <row r="45" spans="1:8" x14ac:dyDescent="0.25">
      <c r="A45" s="119" t="s">
        <v>5</v>
      </c>
      <c r="B45" s="79" t="s">
        <v>120</v>
      </c>
      <c r="C45" s="79"/>
      <c r="D45" s="37">
        <f>75057.3+8339.7+151650.1</f>
        <v>235047.1</v>
      </c>
      <c r="E45" s="49">
        <f>D45*91.91%</f>
        <v>216031.78960999998</v>
      </c>
      <c r="F45" s="49">
        <f>D45*8.09%</f>
        <v>19015.310389999999</v>
      </c>
      <c r="H45" s="61"/>
    </row>
    <row r="46" spans="1:8" x14ac:dyDescent="0.25">
      <c r="A46" s="119" t="s">
        <v>103</v>
      </c>
      <c r="B46" s="101" t="s">
        <v>139</v>
      </c>
      <c r="C46" s="79"/>
      <c r="D46" s="37">
        <v>739569.96</v>
      </c>
      <c r="E46" s="49">
        <f>D46*91.91%</f>
        <v>679738.75023599993</v>
      </c>
      <c r="F46" s="49">
        <f>D46*8.09%</f>
        <v>59831.209763999999</v>
      </c>
      <c r="H46" s="61"/>
    </row>
    <row r="47" spans="1:8" x14ac:dyDescent="0.25">
      <c r="A47" s="118" t="s">
        <v>6</v>
      </c>
      <c r="B47" s="122"/>
      <c r="C47" s="122"/>
      <c r="D47" s="33">
        <f>SUM(D44:D46)</f>
        <v>981259.05999999994</v>
      </c>
      <c r="E47" s="33">
        <f t="shared" ref="E47:F47" si="6">SUM(E44:E46)</f>
        <v>901875.20204599993</v>
      </c>
      <c r="F47" s="33">
        <f t="shared" si="6"/>
        <v>79383.857954000006</v>
      </c>
      <c r="G47" s="34">
        <f>E47+F47</f>
        <v>981259.05999999994</v>
      </c>
      <c r="H47" s="61" t="str">
        <f>IF(D47=G47, "", "Error")</f>
        <v/>
      </c>
    </row>
    <row r="48" spans="1:8" x14ac:dyDescent="0.25">
      <c r="A48" s="79" t="s">
        <v>7</v>
      </c>
      <c r="B48" s="79"/>
      <c r="C48" s="79"/>
      <c r="D48" s="104"/>
      <c r="E48" s="39"/>
      <c r="F48" s="3"/>
      <c r="H48" s="61"/>
    </row>
    <row r="49" spans="1:10" ht="16.5" customHeight="1" x14ac:dyDescent="0.25">
      <c r="A49" s="123" t="s">
        <v>105</v>
      </c>
      <c r="B49" s="79"/>
      <c r="C49" s="79"/>
      <c r="D49" s="37">
        <v>434000</v>
      </c>
      <c r="E49" s="60">
        <f>D49</f>
        <v>434000</v>
      </c>
      <c r="F49" s="3"/>
      <c r="G49" s="34">
        <f>D49</f>
        <v>434000</v>
      </c>
      <c r="H49" s="67">
        <f>E49+F49</f>
        <v>434000</v>
      </c>
      <c r="I49" s="76">
        <f>H49-D49</f>
        <v>0</v>
      </c>
      <c r="J49" s="76"/>
    </row>
    <row r="50" spans="1:10" ht="16.5" customHeight="1" x14ac:dyDescent="0.25">
      <c r="A50" s="123" t="s">
        <v>135</v>
      </c>
      <c r="B50" s="79"/>
      <c r="C50" s="79"/>
      <c r="D50" s="37">
        <v>380000</v>
      </c>
      <c r="E50" s="60">
        <f>D50</f>
        <v>380000</v>
      </c>
      <c r="F50" s="3"/>
      <c r="G50" s="34"/>
      <c r="H50" s="67"/>
      <c r="I50" s="76"/>
      <c r="J50" s="76"/>
    </row>
    <row r="51" spans="1:10" ht="14.25" customHeight="1" x14ac:dyDescent="0.25">
      <c r="A51" s="117" t="s">
        <v>8</v>
      </c>
      <c r="B51" s="126"/>
      <c r="C51" s="79"/>
      <c r="D51" s="37">
        <v>255779</v>
      </c>
      <c r="E51" s="60">
        <f t="shared" ref="E51:E58" si="7">D51*91.91%</f>
        <v>235086.47889999999</v>
      </c>
      <c r="F51" s="49">
        <f t="shared" ref="F51:F58" si="8">D51*8.09%</f>
        <v>20692.521099999998</v>
      </c>
      <c r="G51" s="34">
        <f t="shared" ref="G51:G69" si="9">D51</f>
        <v>255779</v>
      </c>
      <c r="H51" s="67">
        <f t="shared" ref="H51:H69" si="10">E51+F51</f>
        <v>255779</v>
      </c>
      <c r="I51" s="76"/>
      <c r="J51" s="76"/>
    </row>
    <row r="52" spans="1:10" x14ac:dyDescent="0.25">
      <c r="A52" s="79" t="s">
        <v>134</v>
      </c>
      <c r="B52" s="79"/>
      <c r="C52" s="79"/>
      <c r="D52" s="37">
        <v>59169</v>
      </c>
      <c r="E52" s="60">
        <f>D52</f>
        <v>59169</v>
      </c>
      <c r="F52" s="49">
        <v>0</v>
      </c>
      <c r="G52" s="34">
        <f t="shared" si="9"/>
        <v>59169</v>
      </c>
      <c r="H52" s="67">
        <f t="shared" si="10"/>
        <v>59169</v>
      </c>
      <c r="I52" s="76"/>
      <c r="J52" s="76"/>
    </row>
    <row r="53" spans="1:10" x14ac:dyDescent="0.25">
      <c r="A53" s="79" t="s">
        <v>144</v>
      </c>
      <c r="B53" s="79"/>
      <c r="C53" s="79"/>
      <c r="D53" s="37">
        <v>108900</v>
      </c>
      <c r="E53" s="60">
        <f>D53</f>
        <v>108900</v>
      </c>
      <c r="F53" s="49">
        <v>0</v>
      </c>
      <c r="G53" s="34"/>
      <c r="H53" s="67"/>
      <c r="I53" s="76"/>
      <c r="J53" s="76"/>
    </row>
    <row r="54" spans="1:10" x14ac:dyDescent="0.25">
      <c r="A54" s="119" t="s">
        <v>124</v>
      </c>
      <c r="B54" s="79"/>
      <c r="C54" s="79"/>
      <c r="D54" s="37">
        <v>205404</v>
      </c>
      <c r="E54" s="60">
        <f t="shared" ref="E54" si="11">D54*91.91%</f>
        <v>188786.81639999998</v>
      </c>
      <c r="F54" s="49">
        <f t="shared" ref="F54" si="12">D54*8.09%</f>
        <v>16617.1836</v>
      </c>
      <c r="G54" s="34">
        <f t="shared" ref="G54" si="13">D54</f>
        <v>205404</v>
      </c>
      <c r="H54" s="67">
        <f t="shared" ref="H54" si="14">E54+F54</f>
        <v>205403.99999999997</v>
      </c>
      <c r="I54" s="76"/>
      <c r="J54" s="76"/>
    </row>
    <row r="55" spans="1:10" x14ac:dyDescent="0.25">
      <c r="A55" s="119" t="s">
        <v>9</v>
      </c>
      <c r="B55" s="79" t="s">
        <v>109</v>
      </c>
      <c r="C55" s="79" t="s">
        <v>141</v>
      </c>
      <c r="D55" s="37">
        <v>129315.21</v>
      </c>
      <c r="E55" s="60">
        <f>D55*91.91%</f>
        <v>118853.609511</v>
      </c>
      <c r="F55" s="49">
        <f t="shared" si="8"/>
        <v>10461.600489</v>
      </c>
      <c r="G55" s="34">
        <f t="shared" si="9"/>
        <v>129315.21</v>
      </c>
      <c r="H55" s="67">
        <f>E55+F55</f>
        <v>129315.21</v>
      </c>
      <c r="I55" s="76">
        <f t="shared" ref="I55:I69" si="15">H55-D55</f>
        <v>0</v>
      </c>
      <c r="J55" s="76">
        <f t="shared" ref="J55:J69" si="16">G55-D55</f>
        <v>0</v>
      </c>
    </row>
    <row r="56" spans="1:10" x14ac:dyDescent="0.25">
      <c r="A56" s="119" t="s">
        <v>11</v>
      </c>
      <c r="B56" s="101" t="s">
        <v>132</v>
      </c>
      <c r="C56" s="79"/>
      <c r="D56" s="37">
        <v>353513.62</v>
      </c>
      <c r="E56" s="60">
        <f t="shared" si="7"/>
        <v>324914.36814199999</v>
      </c>
      <c r="F56" s="49">
        <f t="shared" si="8"/>
        <v>28599.251858</v>
      </c>
      <c r="G56" s="34">
        <f t="shared" si="9"/>
        <v>353513.62</v>
      </c>
      <c r="H56" s="67">
        <f t="shared" si="10"/>
        <v>353513.62</v>
      </c>
      <c r="I56" s="76">
        <f t="shared" si="15"/>
        <v>0</v>
      </c>
      <c r="J56" s="76">
        <f t="shared" si="16"/>
        <v>0</v>
      </c>
    </row>
    <row r="57" spans="1:10" x14ac:dyDescent="0.25">
      <c r="A57" s="119" t="s">
        <v>136</v>
      </c>
      <c r="B57" s="79"/>
      <c r="C57" s="79"/>
      <c r="D57" s="37">
        <v>544500</v>
      </c>
      <c r="E57" s="60">
        <f t="shared" si="7"/>
        <v>500449.94999999995</v>
      </c>
      <c r="F57" s="49">
        <f t="shared" si="8"/>
        <v>44050.05</v>
      </c>
      <c r="G57" s="34">
        <f t="shared" si="9"/>
        <v>544500</v>
      </c>
      <c r="H57" s="67">
        <f t="shared" si="10"/>
        <v>544500</v>
      </c>
      <c r="I57" s="76"/>
      <c r="J57" s="76"/>
    </row>
    <row r="58" spans="1:10" x14ac:dyDescent="0.25">
      <c r="A58" s="120" t="s">
        <v>10</v>
      </c>
      <c r="B58" s="101"/>
      <c r="C58" s="101"/>
      <c r="D58" s="37">
        <v>37141.58</v>
      </c>
      <c r="E58" s="60">
        <f t="shared" si="7"/>
        <v>34136.826177999996</v>
      </c>
      <c r="F58" s="49">
        <f t="shared" si="8"/>
        <v>3004.7538220000001</v>
      </c>
      <c r="G58" s="34">
        <f t="shared" si="9"/>
        <v>37141.58</v>
      </c>
      <c r="H58" s="67">
        <f t="shared" si="10"/>
        <v>37141.579999999994</v>
      </c>
      <c r="I58" s="76">
        <f t="shared" si="15"/>
        <v>0</v>
      </c>
      <c r="J58" s="76">
        <f t="shared" si="16"/>
        <v>0</v>
      </c>
    </row>
    <row r="59" spans="1:10" x14ac:dyDescent="0.25">
      <c r="A59" s="101" t="s">
        <v>146</v>
      </c>
      <c r="B59" s="140"/>
      <c r="C59" s="152"/>
      <c r="D59" s="37">
        <v>150000</v>
      </c>
      <c r="E59" s="60">
        <f>D59</f>
        <v>150000</v>
      </c>
      <c r="F59" s="49">
        <v>0</v>
      </c>
      <c r="G59" s="34">
        <f t="shared" si="9"/>
        <v>150000</v>
      </c>
      <c r="H59" s="67">
        <f t="shared" si="10"/>
        <v>150000</v>
      </c>
      <c r="I59" s="76"/>
      <c r="J59" s="76"/>
    </row>
    <row r="60" spans="1:10" x14ac:dyDescent="0.25">
      <c r="A60" s="127" t="s">
        <v>125</v>
      </c>
      <c r="B60" s="141"/>
      <c r="C60" s="142"/>
      <c r="D60" s="37">
        <v>62000</v>
      </c>
      <c r="E60" s="60">
        <f t="shared" ref="E60:E61" si="17">D60</f>
        <v>62000</v>
      </c>
      <c r="F60" s="49"/>
      <c r="G60" s="34">
        <f t="shared" si="9"/>
        <v>62000</v>
      </c>
      <c r="H60" s="67"/>
      <c r="I60" s="76"/>
      <c r="J60" s="76">
        <f t="shared" si="16"/>
        <v>0</v>
      </c>
    </row>
    <row r="61" spans="1:10" x14ac:dyDescent="0.25">
      <c r="A61" s="151" t="s">
        <v>140</v>
      </c>
      <c r="B61" s="141"/>
      <c r="C61" s="142"/>
      <c r="D61" s="37">
        <v>90000</v>
      </c>
      <c r="E61" s="60">
        <f t="shared" si="17"/>
        <v>90000</v>
      </c>
      <c r="F61" s="49"/>
      <c r="G61" s="34">
        <f t="shared" si="9"/>
        <v>90000</v>
      </c>
      <c r="H61" s="67"/>
      <c r="I61" s="76"/>
      <c r="J61" s="76"/>
    </row>
    <row r="62" spans="1:10" x14ac:dyDescent="0.25">
      <c r="A62" s="153" t="s">
        <v>133</v>
      </c>
      <c r="B62" s="128"/>
      <c r="C62" s="129"/>
      <c r="D62" s="37">
        <v>55000</v>
      </c>
      <c r="E62" s="60">
        <f t="shared" ref="E62" si="18">D62*91.91%</f>
        <v>50550.499999999993</v>
      </c>
      <c r="F62" s="49">
        <f t="shared" ref="F62" si="19">D62*8.09%</f>
        <v>4449.5</v>
      </c>
      <c r="G62" s="34">
        <f t="shared" si="9"/>
        <v>55000</v>
      </c>
      <c r="H62" s="67">
        <f t="shared" si="10"/>
        <v>54999.999999999993</v>
      </c>
      <c r="I62" s="76">
        <f t="shared" si="15"/>
        <v>0</v>
      </c>
      <c r="J62" s="76">
        <f t="shared" si="16"/>
        <v>0</v>
      </c>
    </row>
    <row r="63" spans="1:10" ht="47.25" customHeight="1" x14ac:dyDescent="0.25">
      <c r="A63" s="182" t="s">
        <v>129</v>
      </c>
      <c r="B63" s="183"/>
      <c r="C63" s="184"/>
      <c r="D63" s="37">
        <v>420000</v>
      </c>
      <c r="E63" s="60">
        <f t="shared" ref="E63:E66" si="20">D63</f>
        <v>420000</v>
      </c>
      <c r="F63" s="49"/>
      <c r="G63" s="34">
        <f t="shared" si="9"/>
        <v>420000</v>
      </c>
      <c r="H63" s="67">
        <f t="shared" si="10"/>
        <v>420000</v>
      </c>
      <c r="I63" s="76"/>
      <c r="J63" s="76">
        <f t="shared" si="16"/>
        <v>0</v>
      </c>
    </row>
    <row r="64" spans="1:10" ht="32.25" customHeight="1" x14ac:dyDescent="0.25">
      <c r="A64" s="185" t="s">
        <v>130</v>
      </c>
      <c r="B64" s="180"/>
      <c r="C64" s="181"/>
      <c r="D64" s="37">
        <v>90000</v>
      </c>
      <c r="E64" s="60">
        <f t="shared" si="20"/>
        <v>90000</v>
      </c>
      <c r="F64" s="49"/>
      <c r="G64" s="34">
        <f t="shared" si="9"/>
        <v>90000</v>
      </c>
      <c r="H64" s="67">
        <f t="shared" si="10"/>
        <v>90000</v>
      </c>
      <c r="I64" s="76"/>
      <c r="J64" s="76">
        <f t="shared" si="16"/>
        <v>0</v>
      </c>
    </row>
    <row r="65" spans="1:10" ht="19.5" customHeight="1" x14ac:dyDescent="0.25">
      <c r="A65" s="185" t="s">
        <v>137</v>
      </c>
      <c r="B65" s="180"/>
      <c r="C65" s="181"/>
      <c r="D65" s="37">
        <v>70000</v>
      </c>
      <c r="E65" s="60">
        <f t="shared" si="20"/>
        <v>70000</v>
      </c>
      <c r="F65" s="49"/>
      <c r="G65" s="34">
        <f t="shared" si="9"/>
        <v>70000</v>
      </c>
      <c r="H65" s="67"/>
      <c r="I65" s="76"/>
      <c r="J65" s="76">
        <f t="shared" si="16"/>
        <v>0</v>
      </c>
    </row>
    <row r="66" spans="1:10" x14ac:dyDescent="0.25">
      <c r="A66" s="182" t="s">
        <v>131</v>
      </c>
      <c r="B66" s="183"/>
      <c r="C66" s="184"/>
      <c r="D66" s="37">
        <v>33000</v>
      </c>
      <c r="E66" s="60">
        <f t="shared" si="20"/>
        <v>33000</v>
      </c>
      <c r="F66" s="49">
        <v>0</v>
      </c>
      <c r="G66" s="34">
        <f t="shared" ref="G66" si="21">D66</f>
        <v>33000</v>
      </c>
      <c r="H66" s="67">
        <f t="shared" ref="H66" si="22">E66+F66</f>
        <v>33000</v>
      </c>
      <c r="I66" s="76"/>
      <c r="J66" s="76"/>
    </row>
    <row r="67" spans="1:10" ht="14.25" customHeight="1" x14ac:dyDescent="0.25">
      <c r="A67" s="182" t="s">
        <v>138</v>
      </c>
      <c r="B67" s="183"/>
      <c r="C67" s="184"/>
      <c r="D67" s="37">
        <v>25200</v>
      </c>
      <c r="E67" s="60">
        <f t="shared" ref="E67:E69" si="23">D67</f>
        <v>25200</v>
      </c>
      <c r="F67" s="49"/>
      <c r="G67" s="34">
        <f t="shared" si="9"/>
        <v>25200</v>
      </c>
      <c r="H67" s="67">
        <f t="shared" si="10"/>
        <v>25200</v>
      </c>
      <c r="I67" s="76">
        <f t="shared" si="15"/>
        <v>0</v>
      </c>
      <c r="J67" s="76">
        <f t="shared" si="16"/>
        <v>0</v>
      </c>
    </row>
    <row r="68" spans="1:10" ht="14.25" customHeight="1" x14ac:dyDescent="0.25">
      <c r="A68" s="79" t="s">
        <v>90</v>
      </c>
      <c r="B68" s="124" t="s">
        <v>126</v>
      </c>
      <c r="C68" s="139"/>
      <c r="D68" s="37">
        <v>103395</v>
      </c>
      <c r="E68" s="60">
        <f t="shared" si="23"/>
        <v>103395</v>
      </c>
      <c r="F68" s="49"/>
      <c r="G68" s="34">
        <f t="shared" si="9"/>
        <v>103395</v>
      </c>
      <c r="H68" s="67">
        <f t="shared" si="10"/>
        <v>103395</v>
      </c>
      <c r="I68" s="76">
        <f t="shared" si="15"/>
        <v>0</v>
      </c>
      <c r="J68" s="76">
        <f t="shared" si="16"/>
        <v>0</v>
      </c>
    </row>
    <row r="69" spans="1:10" ht="13.5" customHeight="1" x14ac:dyDescent="0.25">
      <c r="A69" s="179"/>
      <c r="B69" s="180"/>
      <c r="C69" s="181"/>
      <c r="D69" s="37"/>
      <c r="E69" s="60">
        <f t="shared" si="23"/>
        <v>0</v>
      </c>
      <c r="F69" s="49"/>
      <c r="G69" s="34">
        <f t="shared" si="9"/>
        <v>0</v>
      </c>
      <c r="H69" s="67">
        <f t="shared" si="10"/>
        <v>0</v>
      </c>
      <c r="I69" s="76">
        <f t="shared" si="15"/>
        <v>0</v>
      </c>
      <c r="J69" s="76">
        <f t="shared" si="16"/>
        <v>0</v>
      </c>
    </row>
    <row r="70" spans="1:10" x14ac:dyDescent="0.25">
      <c r="A70" s="118" t="s">
        <v>12</v>
      </c>
      <c r="B70" s="122"/>
      <c r="C70" s="122"/>
      <c r="D70" s="33">
        <f>SUM(D49:D69)</f>
        <v>3606317.41</v>
      </c>
      <c r="E70" s="33">
        <f>SUM(E49:E69)</f>
        <v>3478442.5491309999</v>
      </c>
      <c r="F70" s="33">
        <f>SUM(F49:F69)</f>
        <v>127874.86086900001</v>
      </c>
      <c r="G70" s="34">
        <f>E70+F70</f>
        <v>3606317.41</v>
      </c>
      <c r="H70" s="61" t="str">
        <f>IF(D70=G70, "", "Error")</f>
        <v/>
      </c>
      <c r="I70" s="76">
        <f>D70-G70</f>
        <v>0</v>
      </c>
    </row>
    <row r="71" spans="1:10" hidden="1" x14ac:dyDescent="0.25">
      <c r="A71" s="79"/>
      <c r="B71" s="79"/>
      <c r="C71" s="79"/>
      <c r="D71" s="104"/>
      <c r="E71" s="39"/>
      <c r="F71" s="3"/>
      <c r="H71" s="61"/>
    </row>
    <row r="72" spans="1:10" hidden="1" x14ac:dyDescent="0.25">
      <c r="A72" s="79"/>
      <c r="B72" s="79"/>
      <c r="C72" s="79"/>
      <c r="D72" s="104"/>
      <c r="E72" s="38"/>
      <c r="F72" s="3"/>
      <c r="H72" s="61"/>
    </row>
    <row r="73" spans="1:10" hidden="1" x14ac:dyDescent="0.25">
      <c r="A73" s="79"/>
      <c r="B73" s="79"/>
      <c r="C73" s="79"/>
      <c r="D73" s="104"/>
      <c r="E73" s="38"/>
      <c r="F73" s="3"/>
      <c r="H73" s="61"/>
    </row>
    <row r="74" spans="1:10" x14ac:dyDescent="0.25">
      <c r="A74" s="120" t="s">
        <v>143</v>
      </c>
      <c r="B74" s="101"/>
      <c r="C74" s="79"/>
      <c r="D74" s="37">
        <v>252200</v>
      </c>
      <c r="E74" s="60">
        <f>D74*91.91%</f>
        <v>231797.02</v>
      </c>
      <c r="F74" s="49">
        <f>D74*8.09%</f>
        <v>20402.98</v>
      </c>
      <c r="G74" s="66"/>
      <c r="H74" s="61"/>
    </row>
    <row r="75" spans="1:10" x14ac:dyDescent="0.25">
      <c r="A75" s="120" t="s">
        <v>143</v>
      </c>
      <c r="B75" s="140"/>
      <c r="C75" s="125"/>
      <c r="D75" s="37">
        <v>155650</v>
      </c>
      <c r="E75" s="60">
        <f>D75*91.91%</f>
        <v>143057.91499999998</v>
      </c>
      <c r="F75" s="49">
        <f>D75*8.09%</f>
        <v>12592.084999999999</v>
      </c>
      <c r="G75" s="66"/>
      <c r="H75" s="61"/>
    </row>
    <row r="76" spans="1:10" x14ac:dyDescent="0.25">
      <c r="A76" s="101" t="s">
        <v>142</v>
      </c>
      <c r="B76" s="140"/>
      <c r="C76" s="125"/>
      <c r="D76" s="37">
        <v>112800</v>
      </c>
      <c r="E76" s="60">
        <f>D76</f>
        <v>112800</v>
      </c>
      <c r="F76" s="49">
        <v>0</v>
      </c>
      <c r="G76" s="66"/>
      <c r="H76" s="61"/>
    </row>
    <row r="77" spans="1:10" ht="13.5" customHeight="1" x14ac:dyDescent="0.25">
      <c r="A77" s="118" t="s">
        <v>16</v>
      </c>
      <c r="B77" s="118"/>
      <c r="C77" s="118"/>
      <c r="D77" s="33">
        <f>SUM(D74:D76)</f>
        <v>520650</v>
      </c>
      <c r="E77" s="33">
        <f>SUM(E74:E76)</f>
        <v>487654.93499999994</v>
      </c>
      <c r="F77" s="33">
        <f>SUM(F74:F76)</f>
        <v>32995.065000000002</v>
      </c>
      <c r="G77" s="34">
        <f>E77+F77</f>
        <v>520649.99999999994</v>
      </c>
      <c r="H77" s="61" t="str">
        <f>IF(D77=G77, "", "Error")</f>
        <v/>
      </c>
      <c r="J77" s="34"/>
    </row>
    <row r="78" spans="1:10" hidden="1" x14ac:dyDescent="0.25">
      <c r="A78" s="79"/>
      <c r="B78" s="79"/>
      <c r="C78" s="79"/>
      <c r="D78" s="104"/>
      <c r="E78" s="39"/>
      <c r="F78" s="3"/>
      <c r="H78" s="61"/>
    </row>
    <row r="79" spans="1:10" hidden="1" x14ac:dyDescent="0.25">
      <c r="A79" s="79"/>
      <c r="B79" s="79"/>
      <c r="C79" s="79"/>
      <c r="D79" s="104"/>
      <c r="E79" s="38"/>
      <c r="F79" s="3"/>
      <c r="H79" s="61"/>
    </row>
    <row r="80" spans="1:10" x14ac:dyDescent="0.25">
      <c r="A80" s="119" t="s">
        <v>13</v>
      </c>
      <c r="B80" s="79"/>
      <c r="C80" s="79"/>
      <c r="D80" s="104"/>
      <c r="E80" s="38"/>
      <c r="F80" s="3"/>
      <c r="H80" s="61"/>
    </row>
    <row r="81" spans="1:10" ht="14.25" customHeight="1" x14ac:dyDescent="0.25">
      <c r="A81" s="119" t="s">
        <v>14</v>
      </c>
      <c r="B81" s="79" t="s">
        <v>127</v>
      </c>
      <c r="C81" s="79"/>
      <c r="D81" s="37">
        <v>285700</v>
      </c>
      <c r="E81" s="60">
        <f>D81*91.91%</f>
        <v>262586.87</v>
      </c>
      <c r="F81" s="49">
        <f>D81*8.09%</f>
        <v>23113.13</v>
      </c>
      <c r="G81" t="s">
        <v>112</v>
      </c>
      <c r="H81" s="61"/>
    </row>
    <row r="82" spans="1:10" x14ac:dyDescent="0.25">
      <c r="A82" s="119" t="s">
        <v>80</v>
      </c>
      <c r="B82" s="79"/>
      <c r="C82" s="79"/>
      <c r="D82" s="37">
        <v>45000</v>
      </c>
      <c r="E82" s="60">
        <f>D82*91.91%</f>
        <v>41359.499999999993</v>
      </c>
      <c r="F82" s="49">
        <f>D82*8.09%</f>
        <v>3640.5</v>
      </c>
      <c r="H82" s="61"/>
      <c r="J82" s="37"/>
    </row>
    <row r="83" spans="1:10" x14ac:dyDescent="0.25">
      <c r="A83" s="119"/>
      <c r="B83" s="79"/>
      <c r="C83" s="79"/>
      <c r="D83" s="104"/>
      <c r="E83" s="60">
        <f>D83*91.91%</f>
        <v>0</v>
      </c>
      <c r="F83" s="49">
        <f>D83*8.09%</f>
        <v>0</v>
      </c>
      <c r="H83" s="61"/>
      <c r="J83" s="34"/>
    </row>
    <row r="84" spans="1:10" x14ac:dyDescent="0.25">
      <c r="A84" s="118"/>
      <c r="B84" s="118"/>
      <c r="C84" s="118"/>
      <c r="D84" s="33">
        <f>SUM(D81:D83)</f>
        <v>330700</v>
      </c>
      <c r="E84" s="33">
        <f>SUM(E81:E83)</f>
        <v>303946.37</v>
      </c>
      <c r="F84" s="33">
        <f>SUM(F81:F83)</f>
        <v>26753.63</v>
      </c>
      <c r="G84" s="34">
        <f>E84+F84</f>
        <v>330700</v>
      </c>
      <c r="H84" s="61" t="str">
        <f>IF(D84=G84, "", "Error")</f>
        <v/>
      </c>
      <c r="J84" s="34"/>
    </row>
    <row r="85" spans="1:10" ht="14.25" customHeight="1" x14ac:dyDescent="0.25">
      <c r="A85" s="119" t="s">
        <v>73</v>
      </c>
      <c r="B85" s="79"/>
      <c r="C85" s="79"/>
      <c r="D85" s="37"/>
      <c r="E85" s="40"/>
      <c r="F85" s="3"/>
      <c r="H85" s="61"/>
    </row>
    <row r="86" spans="1:10" x14ac:dyDescent="0.25">
      <c r="A86" s="119" t="s">
        <v>74</v>
      </c>
      <c r="B86" s="79"/>
      <c r="C86" s="79"/>
      <c r="D86" s="37">
        <f>124723.15-7000</f>
        <v>117723.15</v>
      </c>
      <c r="E86" s="60">
        <f>D86*91.91%</f>
        <v>108199.34716499998</v>
      </c>
      <c r="F86" s="49">
        <f>D86*8.09%</f>
        <v>9523.8028349999986</v>
      </c>
      <c r="H86" s="61"/>
    </row>
    <row r="87" spans="1:10" x14ac:dyDescent="0.25">
      <c r="A87" s="119" t="s">
        <v>75</v>
      </c>
      <c r="B87" s="79"/>
      <c r="C87" s="130"/>
      <c r="D87" s="37">
        <v>69000</v>
      </c>
      <c r="E87" s="60">
        <f>D87*91.91%</f>
        <v>63417.899999999994</v>
      </c>
      <c r="F87" s="49">
        <f>D87*8.09%</f>
        <v>5582.1</v>
      </c>
      <c r="H87" s="61"/>
    </row>
    <row r="88" spans="1:10" x14ac:dyDescent="0.25">
      <c r="A88" s="118" t="s">
        <v>15</v>
      </c>
      <c r="B88" s="118"/>
      <c r="C88" s="118"/>
      <c r="D88" s="64">
        <f>SUM(D86:D87)</f>
        <v>186723.15</v>
      </c>
      <c r="E88" s="58">
        <f t="shared" ref="E88:F88" si="24">SUM(E86:E87)</f>
        <v>171617.24716499998</v>
      </c>
      <c r="F88" s="58">
        <f t="shared" si="24"/>
        <v>15105.902834999999</v>
      </c>
      <c r="G88" s="34">
        <f>E88+F88</f>
        <v>186723.14999999997</v>
      </c>
      <c r="H88" s="61" t="str">
        <f>IF(D88=G88, "", "Error")</f>
        <v/>
      </c>
    </row>
    <row r="89" spans="1:10" x14ac:dyDescent="0.25">
      <c r="A89" s="79"/>
      <c r="B89" s="79"/>
      <c r="C89" s="79"/>
      <c r="D89" s="79"/>
      <c r="E89" s="6"/>
      <c r="F89" s="3"/>
      <c r="H89" s="61"/>
    </row>
    <row r="90" spans="1:10" x14ac:dyDescent="0.25">
      <c r="A90" s="131" t="s">
        <v>102</v>
      </c>
      <c r="B90" s="131"/>
      <c r="C90" s="144"/>
      <c r="D90" s="145"/>
      <c r="E90" s="143">
        <f>D90*91.91%</f>
        <v>0</v>
      </c>
      <c r="F90" s="51">
        <f>D90*8.09%</f>
        <v>0</v>
      </c>
      <c r="G90" s="34">
        <f>E90+F90</f>
        <v>0</v>
      </c>
      <c r="H90" s="61" t="str">
        <f>IF(D90=G90, "", "Error")</f>
        <v/>
      </c>
    </row>
    <row r="91" spans="1:10" ht="15.75" thickBot="1" x14ac:dyDescent="0.3">
      <c r="A91" s="132"/>
      <c r="B91" s="78"/>
      <c r="C91" s="78"/>
      <c r="D91" s="146"/>
      <c r="E91" s="147"/>
      <c r="F91" s="147"/>
      <c r="G91" s="63"/>
      <c r="H91" s="61"/>
    </row>
    <row r="92" spans="1:10" ht="15.75" thickBot="1" x14ac:dyDescent="0.3">
      <c r="A92" s="133" t="s">
        <v>76</v>
      </c>
      <c r="B92" s="134"/>
      <c r="C92" s="135"/>
      <c r="D92" s="80">
        <f>SUM(D90+D88+D84+D77+D70+D47+D32+D27+D42)</f>
        <v>6858637.5199999996</v>
      </c>
      <c r="E92" s="59">
        <f>SUM(E90+E88+E84+E77+E70+E47+E32+E27+E42)</f>
        <v>6476775.4822319997</v>
      </c>
      <c r="F92" s="148">
        <f>SUM(F27+F42+F47+F70+F77+F84+F88+F90)</f>
        <v>381862.03776800004</v>
      </c>
      <c r="G92" s="34">
        <f>E92+F92</f>
        <v>6858637.5199999996</v>
      </c>
      <c r="H92" s="61" t="str">
        <f>IF(D92=G92, "", "Error")</f>
        <v/>
      </c>
      <c r="I92" s="76">
        <f>D92-G92</f>
        <v>0</v>
      </c>
    </row>
    <row r="93" spans="1:10" ht="15.75" thickBot="1" x14ac:dyDescent="0.3">
      <c r="A93" s="78"/>
      <c r="B93" s="78"/>
      <c r="C93" s="78"/>
      <c r="D93" s="78"/>
      <c r="E93" s="34"/>
    </row>
    <row r="94" spans="1:10" ht="15.75" thickBot="1" x14ac:dyDescent="0.3">
      <c r="A94" s="136" t="s">
        <v>108</v>
      </c>
      <c r="B94" s="137"/>
      <c r="C94" s="137"/>
      <c r="D94" s="78"/>
      <c r="E94" s="34"/>
    </row>
    <row r="95" spans="1:10" x14ac:dyDescent="0.25">
      <c r="A95" s="1"/>
      <c r="C95" s="54"/>
      <c r="D95" s="78"/>
      <c r="E95" s="34"/>
    </row>
    <row r="96" spans="1:10" ht="15.75" thickBot="1" x14ac:dyDescent="0.3">
      <c r="A96" s="1"/>
      <c r="C96" s="54"/>
      <c r="D96" s="78"/>
      <c r="E96" s="34"/>
    </row>
    <row r="97" spans="1:9" ht="15.75" thickBot="1" x14ac:dyDescent="0.3">
      <c r="A97" s="56" t="s">
        <v>25</v>
      </c>
      <c r="B97" s="57"/>
      <c r="C97" s="55">
        <f>SUM(C95:C96)</f>
        <v>0</v>
      </c>
      <c r="E97" s="34"/>
    </row>
    <row r="98" spans="1:9" x14ac:dyDescent="0.25">
      <c r="E98" s="34"/>
    </row>
    <row r="99" spans="1:9" x14ac:dyDescent="0.25">
      <c r="E99" s="52"/>
    </row>
    <row r="100" spans="1:9" x14ac:dyDescent="0.25">
      <c r="A100" s="174" t="s">
        <v>85</v>
      </c>
      <c r="B100" s="175"/>
      <c r="C100" s="175"/>
      <c r="D100" s="175"/>
      <c r="E100" s="73" t="s">
        <v>19</v>
      </c>
      <c r="F100" s="74" t="s">
        <v>93</v>
      </c>
    </row>
    <row r="101" spans="1:9" ht="17.25" x14ac:dyDescent="0.25">
      <c r="A101" s="171"/>
      <c r="B101" s="172"/>
      <c r="C101" s="173"/>
      <c r="D101" s="37"/>
      <c r="E101" s="60">
        <f t="shared" ref="E101:E102" si="25">D101*91.91%</f>
        <v>0</v>
      </c>
      <c r="F101" s="49">
        <f t="shared" ref="F101:F102" si="26">D101*8.09%</f>
        <v>0</v>
      </c>
    </row>
    <row r="102" spans="1:9" ht="14.25" customHeight="1" x14ac:dyDescent="0.25">
      <c r="A102" s="176"/>
      <c r="B102" s="177"/>
      <c r="C102" s="178"/>
      <c r="D102" s="37"/>
      <c r="E102" s="60">
        <f t="shared" si="25"/>
        <v>0</v>
      </c>
      <c r="F102" s="49">
        <f t="shared" si="26"/>
        <v>0</v>
      </c>
    </row>
    <row r="103" spans="1:9" x14ac:dyDescent="0.25">
      <c r="A103" s="168" t="s">
        <v>25</v>
      </c>
      <c r="B103" s="169"/>
      <c r="C103" s="170"/>
      <c r="D103" s="72">
        <f>SUM(D101:D102)</f>
        <v>0</v>
      </c>
      <c r="E103" s="72">
        <f>SUM(E101:E102)</f>
        <v>0</v>
      </c>
      <c r="F103" s="72">
        <f>SUM(F101:F102)</f>
        <v>0</v>
      </c>
      <c r="H103" s="34">
        <f>E103+F103</f>
        <v>0</v>
      </c>
      <c r="I103" s="61" t="str">
        <f>IF(D103=H103, "", "Error")</f>
        <v/>
      </c>
    </row>
    <row r="105" spans="1:9" ht="15.75" thickBot="1" x14ac:dyDescent="0.3">
      <c r="E105" s="34"/>
    </row>
    <row r="106" spans="1:9" ht="15.75" thickBot="1" x14ac:dyDescent="0.3">
      <c r="A106" s="28" t="s">
        <v>77</v>
      </c>
      <c r="B106" s="29">
        <f>D92</f>
        <v>6858637.5199999996</v>
      </c>
    </row>
    <row r="107" spans="1:9" ht="15.75" thickBot="1" x14ac:dyDescent="0.3">
      <c r="A107" s="30" t="s">
        <v>79</v>
      </c>
      <c r="B107" s="31">
        <f>D92-D90</f>
        <v>6858637.5199999996</v>
      </c>
    </row>
    <row r="108" spans="1:9" x14ac:dyDescent="0.25">
      <c r="D108" s="158"/>
      <c r="E108" s="158"/>
    </row>
    <row r="109" spans="1:9" x14ac:dyDescent="0.25">
      <c r="A109" s="9" t="s">
        <v>63</v>
      </c>
      <c r="B109" s="10"/>
      <c r="C109" s="11"/>
      <c r="D109" s="158"/>
      <c r="E109" s="158"/>
    </row>
    <row r="110" spans="1:9" x14ac:dyDescent="0.25">
      <c r="A110" s="12" t="s">
        <v>64</v>
      </c>
      <c r="B110" s="5">
        <v>12981485.379368611</v>
      </c>
      <c r="C110" s="13"/>
      <c r="D110" s="158"/>
      <c r="E110" s="158"/>
    </row>
    <row r="111" spans="1:9" x14ac:dyDescent="0.25">
      <c r="A111" s="14" t="s">
        <v>65</v>
      </c>
      <c r="B111" s="23">
        <f>PRORRATEO!G52</f>
        <v>7986260.3999579996</v>
      </c>
      <c r="C111" s="13" t="s">
        <v>66</v>
      </c>
      <c r="D111" s="158"/>
      <c r="E111" s="158"/>
    </row>
    <row r="112" spans="1:9" x14ac:dyDescent="0.25">
      <c r="A112" s="14" t="s">
        <v>87</v>
      </c>
      <c r="B112" s="75">
        <f>-B107</f>
        <v>-6858637.5199999996</v>
      </c>
      <c r="C112" s="11"/>
      <c r="D112" s="158"/>
      <c r="E112" s="158"/>
      <c r="G112" s="37"/>
    </row>
    <row r="113" spans="1:14" x14ac:dyDescent="0.25">
      <c r="A113" s="14" t="s">
        <v>86</v>
      </c>
      <c r="B113" s="75">
        <f>-D103</f>
        <v>0</v>
      </c>
      <c r="C113" s="11"/>
      <c r="D113" s="158"/>
      <c r="E113" s="158"/>
      <c r="G113" s="43"/>
    </row>
    <row r="114" spans="1:14" x14ac:dyDescent="0.25">
      <c r="A114" s="14" t="s">
        <v>78</v>
      </c>
      <c r="B114" s="75">
        <f>-B120</f>
        <v>-20000</v>
      </c>
      <c r="C114" s="15"/>
    </row>
    <row r="115" spans="1:14" x14ac:dyDescent="0.25">
      <c r="A115" s="14" t="s">
        <v>91</v>
      </c>
      <c r="B115" s="24">
        <f>-C97</f>
        <v>0</v>
      </c>
      <c r="C115" s="15"/>
      <c r="E115" s="34"/>
    </row>
    <row r="116" spans="1:14" x14ac:dyDescent="0.25">
      <c r="A116" s="12" t="s">
        <v>67</v>
      </c>
      <c r="B116" s="16">
        <f>SUM(B110:B115)</f>
        <v>14089108.259326611</v>
      </c>
      <c r="C116" s="62"/>
      <c r="D116" s="34"/>
    </row>
    <row r="117" spans="1:14" x14ac:dyDescent="0.25">
      <c r="A117" s="15"/>
      <c r="C117" s="11"/>
      <c r="D117" s="18"/>
    </row>
    <row r="118" spans="1:14" x14ac:dyDescent="0.25">
      <c r="C118" s="11"/>
      <c r="D118" s="34"/>
      <c r="E118" s="76"/>
    </row>
    <row r="119" spans="1:14" x14ac:dyDescent="0.25">
      <c r="A119" s="9" t="s">
        <v>68</v>
      </c>
      <c r="B119" s="86">
        <v>-102694.54000000004</v>
      </c>
      <c r="C119" s="17"/>
      <c r="D119" s="76"/>
      <c r="E119" s="76"/>
      <c r="F119" s="76"/>
    </row>
    <row r="120" spans="1:14" ht="15" customHeight="1" x14ac:dyDescent="0.25">
      <c r="A120" s="12" t="s">
        <v>128</v>
      </c>
      <c r="B120" s="24">
        <v>20000</v>
      </c>
      <c r="C120" s="17"/>
      <c r="D120" s="76"/>
      <c r="E120" s="81"/>
    </row>
    <row r="121" spans="1:14" x14ac:dyDescent="0.25">
      <c r="A121" s="12"/>
      <c r="B121" s="75"/>
      <c r="C121" s="17"/>
      <c r="E121" s="34"/>
    </row>
    <row r="122" spans="1:14" x14ac:dyDescent="0.25">
      <c r="A122" s="12"/>
      <c r="B122" s="75"/>
      <c r="C122" s="17"/>
      <c r="D122" s="138"/>
      <c r="E122" s="34"/>
    </row>
    <row r="123" spans="1:14" x14ac:dyDescent="0.25">
      <c r="A123" s="26" t="s">
        <v>25</v>
      </c>
      <c r="B123" s="27">
        <f>SUM(B119:B122)</f>
        <v>-82694.540000000037</v>
      </c>
      <c r="C123" s="17"/>
    </row>
    <row r="124" spans="1:14" x14ac:dyDescent="0.25">
      <c r="C124" s="18"/>
      <c r="D124" s="76"/>
    </row>
    <row r="125" spans="1:14" x14ac:dyDescent="0.25">
      <c r="B125" s="15"/>
      <c r="C125" s="11"/>
    </row>
    <row r="127" spans="1:14" x14ac:dyDescent="0.25">
      <c r="N127" s="6"/>
    </row>
    <row r="130" spans="2:5" x14ac:dyDescent="0.25">
      <c r="B130" s="157"/>
      <c r="C130" s="157"/>
      <c r="D130" s="157"/>
      <c r="E130" s="157"/>
    </row>
    <row r="131" spans="2:5" x14ac:dyDescent="0.25">
      <c r="B131" s="157"/>
      <c r="C131" s="157"/>
      <c r="D131" s="157"/>
      <c r="E131" s="157"/>
    </row>
    <row r="132" spans="2:5" x14ac:dyDescent="0.25">
      <c r="B132" s="157"/>
      <c r="C132" s="157"/>
      <c r="D132" s="157"/>
      <c r="E132" s="157"/>
    </row>
    <row r="133" spans="2:5" x14ac:dyDescent="0.25">
      <c r="B133" s="157"/>
      <c r="C133" s="157"/>
      <c r="D133" s="157"/>
      <c r="E133" s="157"/>
    </row>
    <row r="134" spans="2:5" x14ac:dyDescent="0.25">
      <c r="B134" s="157"/>
      <c r="C134" s="157"/>
      <c r="D134" s="157"/>
      <c r="E134" s="157"/>
    </row>
  </sheetData>
  <mergeCells count="14">
    <mergeCell ref="B1:F1"/>
    <mergeCell ref="B130:E134"/>
    <mergeCell ref="D108:E113"/>
    <mergeCell ref="B14:D17"/>
    <mergeCell ref="A103:C103"/>
    <mergeCell ref="A101:C101"/>
    <mergeCell ref="A100:D100"/>
    <mergeCell ref="A102:C102"/>
    <mergeCell ref="A69:C69"/>
    <mergeCell ref="A66:C66"/>
    <mergeCell ref="A63:C63"/>
    <mergeCell ref="A64:C64"/>
    <mergeCell ref="A65:C65"/>
    <mergeCell ref="A67:C67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3"/>
  <sheetViews>
    <sheetView tabSelected="1" topLeftCell="A22" zoomScaleNormal="100" workbookViewId="0">
      <selection activeCell="I36" sqref="I36"/>
    </sheetView>
  </sheetViews>
  <sheetFormatPr baseColWidth="10" defaultColWidth="10.85546875" defaultRowHeight="15" x14ac:dyDescent="0.25"/>
  <cols>
    <col min="1" max="1" width="4.5703125" customWidth="1"/>
    <col min="2" max="2" width="5.85546875" hidden="1" customWidth="1"/>
    <col min="3" max="3" width="5.28515625" customWidth="1"/>
    <col min="4" max="4" width="21.7109375" customWidth="1"/>
    <col min="5" max="5" width="6.140625" customWidth="1"/>
    <col min="6" max="7" width="12.42578125" bestFit="1" customWidth="1"/>
    <col min="8" max="8" width="11.140625" customWidth="1"/>
    <col min="9" max="9" width="6" customWidth="1"/>
    <col min="10" max="10" width="13.7109375" customWidth="1"/>
    <col min="11" max="11" width="13.28515625" customWidth="1"/>
    <col min="12" max="12" width="11.5703125" customWidth="1"/>
    <col min="13" max="13" width="14.28515625" customWidth="1"/>
    <col min="14" max="14" width="13.7109375" customWidth="1"/>
    <col min="15" max="15" width="11.42578125" customWidth="1"/>
    <col min="16" max="16" width="14.5703125" bestFit="1" customWidth="1"/>
    <col min="18" max="18" width="12" bestFit="1" customWidth="1"/>
  </cols>
  <sheetData>
    <row r="1" spans="1:16" ht="15" customHeight="1" x14ac:dyDescent="0.25">
      <c r="A1" s="198" t="str">
        <f>RESUMEN!C5</f>
        <v>VTO: 18/06</v>
      </c>
      <c r="B1" s="199"/>
      <c r="C1" s="199"/>
      <c r="D1" s="199"/>
      <c r="E1" s="199"/>
      <c r="F1" s="199"/>
      <c r="G1" s="199"/>
      <c r="H1" s="199"/>
      <c r="I1" s="199"/>
      <c r="J1" s="200"/>
      <c r="K1" s="90" t="s">
        <v>94</v>
      </c>
      <c r="L1" s="189">
        <f>RESUMEN!D92</f>
        <v>6858637.5199999996</v>
      </c>
      <c r="M1" s="190"/>
      <c r="N1" s="91"/>
      <c r="O1" s="50">
        <f>L1*8.09%</f>
        <v>554863.77536799992</v>
      </c>
    </row>
    <row r="2" spans="1:16" x14ac:dyDescent="0.25">
      <c r="A2" s="201"/>
      <c r="B2" s="202"/>
      <c r="C2" s="202"/>
      <c r="D2" s="202"/>
      <c r="E2" s="202"/>
      <c r="F2" s="202"/>
      <c r="G2" s="202"/>
      <c r="H2" s="202"/>
      <c r="I2" s="202"/>
      <c r="J2" s="203"/>
      <c r="K2" s="92" t="s">
        <v>95</v>
      </c>
      <c r="L2" s="4"/>
      <c r="M2" s="93">
        <f>8500000-812600</f>
        <v>7687400</v>
      </c>
      <c r="N2" s="94"/>
      <c r="O2" s="50">
        <f>O1-K7-553-50-86-8</f>
        <v>243743.55540999991</v>
      </c>
    </row>
    <row r="3" spans="1:16" x14ac:dyDescent="0.25">
      <c r="A3" s="201"/>
      <c r="B3" s="202"/>
      <c r="C3" s="202"/>
      <c r="D3" s="202"/>
      <c r="E3" s="202"/>
      <c r="F3" s="202"/>
      <c r="G3" s="202"/>
      <c r="H3" s="202"/>
      <c r="I3" s="202"/>
      <c r="J3" s="203"/>
      <c r="K3" s="92" t="s">
        <v>100</v>
      </c>
      <c r="L3" s="4"/>
      <c r="M3" s="95">
        <f>RESUMEN!D103</f>
        <v>0</v>
      </c>
      <c r="N3" s="96"/>
      <c r="O3" s="8"/>
    </row>
    <row r="4" spans="1:16" ht="19.5" customHeight="1" thickBot="1" x14ac:dyDescent="0.3">
      <c r="A4" s="204"/>
      <c r="B4" s="205"/>
      <c r="C4" s="205"/>
      <c r="D4" s="205"/>
      <c r="E4" s="205"/>
      <c r="F4" s="205"/>
      <c r="G4" s="205"/>
      <c r="H4" s="205"/>
      <c r="I4" s="205"/>
      <c r="J4" s="206"/>
      <c r="K4" s="97" t="s">
        <v>95</v>
      </c>
      <c r="L4" s="98"/>
      <c r="M4" s="99">
        <v>0</v>
      </c>
      <c r="N4" s="100"/>
      <c r="O4" s="50">
        <f>M3/3</f>
        <v>0</v>
      </c>
    </row>
    <row r="5" spans="1:16" ht="14.65" customHeight="1" x14ac:dyDescent="0.25">
      <c r="A5" s="186" t="s">
        <v>17</v>
      </c>
      <c r="B5" s="207" t="s">
        <v>18</v>
      </c>
      <c r="C5" s="186" t="s">
        <v>19</v>
      </c>
      <c r="D5" s="196" t="s">
        <v>20</v>
      </c>
      <c r="E5" s="186" t="s">
        <v>70</v>
      </c>
      <c r="F5" s="186" t="s">
        <v>21</v>
      </c>
      <c r="G5" s="186" t="s">
        <v>22</v>
      </c>
      <c r="H5" s="193" t="s">
        <v>23</v>
      </c>
      <c r="I5" s="196" t="s">
        <v>81</v>
      </c>
      <c r="J5" s="191" t="s">
        <v>24</v>
      </c>
      <c r="K5" s="191" t="s">
        <v>58</v>
      </c>
      <c r="L5" s="191" t="s">
        <v>114</v>
      </c>
      <c r="M5" s="191" t="s">
        <v>116</v>
      </c>
      <c r="N5" s="191" t="s">
        <v>115</v>
      </c>
    </row>
    <row r="6" spans="1:16" x14ac:dyDescent="0.25">
      <c r="A6" s="187"/>
      <c r="B6" s="208"/>
      <c r="C6" s="187"/>
      <c r="D6" s="209"/>
      <c r="E6" s="187"/>
      <c r="F6" s="187"/>
      <c r="G6" s="187"/>
      <c r="H6" s="194"/>
      <c r="I6" s="197"/>
      <c r="J6" s="195"/>
      <c r="K6" s="192"/>
      <c r="L6" s="195"/>
      <c r="M6" s="192"/>
      <c r="N6" s="192"/>
    </row>
    <row r="7" spans="1:16" x14ac:dyDescent="0.25">
      <c r="A7" s="3" t="s">
        <v>26</v>
      </c>
      <c r="B7" s="3"/>
      <c r="C7" s="3">
        <v>1</v>
      </c>
      <c r="D7" s="48" t="s">
        <v>27</v>
      </c>
      <c r="E7" s="3">
        <v>8.09</v>
      </c>
      <c r="F7" s="19">
        <v>376162.55995799997</v>
      </c>
      <c r="G7" s="154">
        <f>F7</f>
        <v>376162.55995799997</v>
      </c>
      <c r="H7" s="46">
        <f>F7-G7</f>
        <v>0</v>
      </c>
      <c r="I7" s="32">
        <v>13</v>
      </c>
      <c r="J7" s="19">
        <v>0</v>
      </c>
      <c r="K7" s="19">
        <v>310423.219958</v>
      </c>
      <c r="L7" s="25"/>
      <c r="M7" s="2">
        <f>K7+J7+H7+L7</f>
        <v>310423.219958</v>
      </c>
      <c r="N7" s="5">
        <f>M7*6% + M7</f>
        <v>329048.61315548001</v>
      </c>
    </row>
    <row r="8" spans="1:16" x14ac:dyDescent="0.25">
      <c r="A8" s="3" t="s">
        <v>28</v>
      </c>
      <c r="B8" s="3"/>
      <c r="C8" s="3">
        <v>24</v>
      </c>
      <c r="D8" s="48" t="s">
        <v>29</v>
      </c>
      <c r="E8" s="3">
        <v>2.21</v>
      </c>
      <c r="F8" s="19">
        <v>187672.93683118254</v>
      </c>
      <c r="G8" s="154">
        <v>190000</v>
      </c>
      <c r="H8" s="46">
        <f t="shared" ref="H8:H51" si="0">F8-G8</f>
        <v>-2327.0631688174617</v>
      </c>
      <c r="I8" s="32">
        <v>12</v>
      </c>
      <c r="J8" s="19">
        <f>M$4*E8%</f>
        <v>0</v>
      </c>
      <c r="K8" s="19">
        <f>M$2*E8 /100</f>
        <v>169891.54</v>
      </c>
      <c r="L8" s="88"/>
      <c r="M8" s="2">
        <f>K8+J8+H8+L8</f>
        <v>167564.47683118255</v>
      </c>
      <c r="N8" s="5">
        <f t="shared" ref="N8:N51" si="1">M8*6% + M8</f>
        <v>177618.34544105351</v>
      </c>
    </row>
    <row r="9" spans="1:16" x14ac:dyDescent="0.25">
      <c r="A9" s="3" t="s">
        <v>28</v>
      </c>
      <c r="B9" s="3"/>
      <c r="C9" s="3">
        <v>25</v>
      </c>
      <c r="D9" s="48" t="s">
        <v>30</v>
      </c>
      <c r="E9" s="3">
        <v>4.21</v>
      </c>
      <c r="F9" s="19">
        <v>357849.60286759672</v>
      </c>
      <c r="G9" s="105">
        <f>403750-G34</f>
        <v>357850</v>
      </c>
      <c r="H9" s="46">
        <f t="shared" si="0"/>
        <v>-0.39713240327546373</v>
      </c>
      <c r="I9" s="32">
        <v>9</v>
      </c>
      <c r="J9" s="19">
        <f t="shared" ref="J9:J51" si="2">M$4*E9%</f>
        <v>0</v>
      </c>
      <c r="K9" s="19">
        <f t="shared" ref="K9:K51" si="3">M$2*E9 /100</f>
        <v>323639.53999999998</v>
      </c>
      <c r="L9" s="88"/>
      <c r="M9" s="2">
        <f t="shared" ref="M9:M51" si="4">K9+J9+H9+L9</f>
        <v>323639.1428675967</v>
      </c>
      <c r="N9" s="5">
        <f t="shared" si="1"/>
        <v>343057.49143965251</v>
      </c>
    </row>
    <row r="10" spans="1:16" x14ac:dyDescent="0.25">
      <c r="A10" s="3" t="s">
        <v>31</v>
      </c>
      <c r="B10" s="3"/>
      <c r="C10" s="3">
        <v>26</v>
      </c>
      <c r="D10" s="48" t="s">
        <v>32</v>
      </c>
      <c r="E10" s="3">
        <v>2.84</v>
      </c>
      <c r="F10" s="19">
        <v>241800</v>
      </c>
      <c r="G10" s="154">
        <v>218000</v>
      </c>
      <c r="H10" s="46">
        <f t="shared" si="0"/>
        <v>23800</v>
      </c>
      <c r="I10" s="32">
        <v>7</v>
      </c>
      <c r="J10" s="19">
        <f t="shared" si="2"/>
        <v>0</v>
      </c>
      <c r="K10" s="19">
        <f t="shared" si="3"/>
        <v>218322.16</v>
      </c>
      <c r="L10" s="88"/>
      <c r="M10" s="2">
        <f t="shared" si="4"/>
        <v>242122.16</v>
      </c>
      <c r="N10" s="5">
        <f t="shared" si="1"/>
        <v>256649.4896</v>
      </c>
    </row>
    <row r="11" spans="1:16" x14ac:dyDescent="0.25">
      <c r="A11" s="3" t="s">
        <v>31</v>
      </c>
      <c r="B11" s="3"/>
      <c r="C11" s="3">
        <v>27</v>
      </c>
      <c r="D11" s="48" t="s">
        <v>33</v>
      </c>
      <c r="E11" s="3">
        <v>3.43</v>
      </c>
      <c r="F11" s="19">
        <v>291550</v>
      </c>
      <c r="G11" s="154">
        <f>F11</f>
        <v>291550</v>
      </c>
      <c r="H11" s="46">
        <f t="shared" si="0"/>
        <v>0</v>
      </c>
      <c r="I11" s="32">
        <v>11</v>
      </c>
      <c r="J11" s="19">
        <f t="shared" si="2"/>
        <v>0</v>
      </c>
      <c r="K11" s="19">
        <f t="shared" si="3"/>
        <v>263677.82</v>
      </c>
      <c r="L11" s="88"/>
      <c r="M11" s="2">
        <f t="shared" si="4"/>
        <v>263677.82</v>
      </c>
      <c r="N11" s="5">
        <f t="shared" si="1"/>
        <v>279498.48920000001</v>
      </c>
      <c r="P11" s="34"/>
    </row>
    <row r="12" spans="1:16" x14ac:dyDescent="0.25">
      <c r="A12" s="3" t="s">
        <v>34</v>
      </c>
      <c r="B12" s="3"/>
      <c r="C12" s="3">
        <v>28</v>
      </c>
      <c r="D12" s="48" t="s">
        <v>83</v>
      </c>
      <c r="E12" s="3">
        <v>2.84</v>
      </c>
      <c r="F12" s="19">
        <v>241400</v>
      </c>
      <c r="G12" s="105">
        <f>F12</f>
        <v>241400</v>
      </c>
      <c r="H12" s="46">
        <f>F12-G12</f>
        <v>0</v>
      </c>
      <c r="I12" s="32">
        <v>9</v>
      </c>
      <c r="J12" s="19">
        <f t="shared" si="2"/>
        <v>0</v>
      </c>
      <c r="K12" s="19">
        <f t="shared" si="3"/>
        <v>218322.16</v>
      </c>
      <c r="L12" s="88"/>
      <c r="M12" s="2">
        <f t="shared" si="4"/>
        <v>218322.16</v>
      </c>
      <c r="N12" s="5">
        <f t="shared" si="1"/>
        <v>231421.4896</v>
      </c>
    </row>
    <row r="13" spans="1:16" x14ac:dyDescent="0.25">
      <c r="A13" s="3" t="s">
        <v>34</v>
      </c>
      <c r="B13" s="3"/>
      <c r="C13" s="3">
        <v>29</v>
      </c>
      <c r="D13" s="48" t="s">
        <v>35</v>
      </c>
      <c r="E13" s="3">
        <v>3.43</v>
      </c>
      <c r="F13" s="19">
        <v>291550.81741924176</v>
      </c>
      <c r="G13" s="105">
        <f>341701-G50</f>
        <v>291551</v>
      </c>
      <c r="H13" s="46">
        <f t="shared" si="0"/>
        <v>-0.18258075823541731</v>
      </c>
      <c r="I13" s="32">
        <v>6</v>
      </c>
      <c r="J13" s="19">
        <f t="shared" si="2"/>
        <v>0</v>
      </c>
      <c r="K13" s="19">
        <f t="shared" si="3"/>
        <v>263677.82</v>
      </c>
      <c r="L13" s="88"/>
      <c r="M13" s="2">
        <f t="shared" si="4"/>
        <v>263677.63741924177</v>
      </c>
      <c r="N13" s="5">
        <f t="shared" si="1"/>
        <v>279498.29566439625</v>
      </c>
    </row>
    <row r="14" spans="1:16" x14ac:dyDescent="0.25">
      <c r="A14" s="3" t="s">
        <v>36</v>
      </c>
      <c r="B14" s="3"/>
      <c r="C14" s="3">
        <v>30</v>
      </c>
      <c r="D14" s="48" t="s">
        <v>37</v>
      </c>
      <c r="E14" s="3">
        <v>2.84</v>
      </c>
      <c r="F14" s="19">
        <v>555195.10466666659</v>
      </c>
      <c r="G14" s="154">
        <v>218322</v>
      </c>
      <c r="H14" s="46">
        <f t="shared" si="0"/>
        <v>336873.10466666659</v>
      </c>
      <c r="I14" s="32">
        <v>19</v>
      </c>
      <c r="J14" s="19">
        <f t="shared" si="2"/>
        <v>0</v>
      </c>
      <c r="K14" s="19">
        <f t="shared" si="3"/>
        <v>218322.16</v>
      </c>
      <c r="L14" s="88"/>
      <c r="M14" s="2">
        <f t="shared" si="4"/>
        <v>555195.26466666663</v>
      </c>
      <c r="N14" s="5">
        <f t="shared" si="1"/>
        <v>588506.98054666666</v>
      </c>
    </row>
    <row r="15" spans="1:16" x14ac:dyDescent="0.25">
      <c r="A15" s="3" t="s">
        <v>36</v>
      </c>
      <c r="B15" s="3"/>
      <c r="C15" s="3">
        <v>31</v>
      </c>
      <c r="D15" s="48" t="s">
        <v>106</v>
      </c>
      <c r="E15" s="3">
        <v>3.43</v>
      </c>
      <c r="F15" s="19">
        <v>291550.06325632613</v>
      </c>
      <c r="G15" s="105"/>
      <c r="H15" s="46">
        <f t="shared" si="0"/>
        <v>291550.06325632613</v>
      </c>
      <c r="I15" s="32">
        <v>9</v>
      </c>
      <c r="J15" s="19">
        <f t="shared" si="2"/>
        <v>0</v>
      </c>
      <c r="K15" s="19">
        <f t="shared" si="3"/>
        <v>263677.82</v>
      </c>
      <c r="L15" s="88"/>
      <c r="M15" s="2">
        <f t="shared" si="4"/>
        <v>555227.8832563262</v>
      </c>
      <c r="N15" s="5">
        <f t="shared" si="1"/>
        <v>588541.55625170574</v>
      </c>
    </row>
    <row r="16" spans="1:16" x14ac:dyDescent="0.25">
      <c r="A16" s="3" t="s">
        <v>38</v>
      </c>
      <c r="B16" s="3"/>
      <c r="C16" s="3">
        <v>32</v>
      </c>
      <c r="D16" s="48" t="s">
        <v>104</v>
      </c>
      <c r="E16" s="3">
        <v>2.84</v>
      </c>
      <c r="F16" s="19">
        <v>241400.07982700004</v>
      </c>
      <c r="G16" s="105">
        <f>283050-G49</f>
        <v>241400</v>
      </c>
      <c r="H16" s="46">
        <f t="shared" si="0"/>
        <v>7.9827000037766993E-2</v>
      </c>
      <c r="I16" s="32">
        <v>7</v>
      </c>
      <c r="J16" s="19">
        <f t="shared" si="2"/>
        <v>0</v>
      </c>
      <c r="K16" s="19">
        <f t="shared" si="3"/>
        <v>218322.16</v>
      </c>
      <c r="L16" s="88"/>
      <c r="M16" s="2">
        <f t="shared" si="4"/>
        <v>218322.23982700004</v>
      </c>
      <c r="N16" s="5">
        <f t="shared" si="1"/>
        <v>231421.57421662004</v>
      </c>
    </row>
    <row r="17" spans="1:18" x14ac:dyDescent="0.25">
      <c r="A17" s="3" t="s">
        <v>38</v>
      </c>
      <c r="B17" s="3"/>
      <c r="C17" s="3">
        <v>33</v>
      </c>
      <c r="D17" s="48" t="s">
        <v>39</v>
      </c>
      <c r="E17" s="3">
        <v>3.43</v>
      </c>
      <c r="F17" s="19">
        <v>324891.38578511507</v>
      </c>
      <c r="G17" s="154">
        <f>380749-G47-G48+14951</f>
        <v>306501</v>
      </c>
      <c r="H17" s="46">
        <f t="shared" si="0"/>
        <v>18390.385785115068</v>
      </c>
      <c r="I17" s="32">
        <v>18</v>
      </c>
      <c r="J17" s="19">
        <f t="shared" si="2"/>
        <v>0</v>
      </c>
      <c r="K17" s="19">
        <f t="shared" si="3"/>
        <v>263677.82</v>
      </c>
      <c r="L17" s="88"/>
      <c r="M17" s="2">
        <f t="shared" si="4"/>
        <v>282068.20578511507</v>
      </c>
      <c r="N17" s="5">
        <f t="shared" si="1"/>
        <v>298992.29813222197</v>
      </c>
    </row>
    <row r="18" spans="1:18" x14ac:dyDescent="0.25">
      <c r="A18" s="3" t="s">
        <v>40</v>
      </c>
      <c r="B18" s="3"/>
      <c r="C18" s="3">
        <v>34</v>
      </c>
      <c r="D18" s="48" t="s">
        <v>113</v>
      </c>
      <c r="E18" s="3">
        <v>2.84</v>
      </c>
      <c r="F18" s="19">
        <v>261399.50379991793</v>
      </c>
      <c r="G18" s="154">
        <f>309850-G51</f>
        <v>261400</v>
      </c>
      <c r="H18" s="46">
        <f t="shared" si="0"/>
        <v>-0.49620008206693456</v>
      </c>
      <c r="I18" s="32">
        <v>13</v>
      </c>
      <c r="J18" s="19">
        <f t="shared" si="2"/>
        <v>0</v>
      </c>
      <c r="K18" s="19">
        <f t="shared" si="3"/>
        <v>218322.16</v>
      </c>
      <c r="L18" s="88"/>
      <c r="M18" s="2">
        <f t="shared" si="4"/>
        <v>218321.66379991794</v>
      </c>
      <c r="N18" s="5">
        <f t="shared" si="1"/>
        <v>231420.96362791301</v>
      </c>
      <c r="P18" t="s">
        <v>111</v>
      </c>
    </row>
    <row r="19" spans="1:18" x14ac:dyDescent="0.25">
      <c r="A19" s="3" t="s">
        <v>40</v>
      </c>
      <c r="B19" s="3"/>
      <c r="C19" s="3">
        <v>35</v>
      </c>
      <c r="D19" s="48" t="s">
        <v>42</v>
      </c>
      <c r="E19" s="3">
        <v>3.43</v>
      </c>
      <c r="F19" s="19">
        <v>291549.81964850146</v>
      </c>
      <c r="G19" s="105">
        <f>309578-G41</f>
        <v>263678</v>
      </c>
      <c r="H19" s="46">
        <f t="shared" si="0"/>
        <v>27871.819648501463</v>
      </c>
      <c r="I19" s="32">
        <v>9</v>
      </c>
      <c r="J19" s="19">
        <f t="shared" si="2"/>
        <v>0</v>
      </c>
      <c r="K19" s="19">
        <f t="shared" si="3"/>
        <v>263677.82</v>
      </c>
      <c r="L19" s="88"/>
      <c r="M19" s="2">
        <f t="shared" si="4"/>
        <v>291549.63964850147</v>
      </c>
      <c r="N19" s="5">
        <f t="shared" si="1"/>
        <v>309042.61802741158</v>
      </c>
    </row>
    <row r="20" spans="1:18" x14ac:dyDescent="0.25">
      <c r="A20" s="3" t="s">
        <v>43</v>
      </c>
      <c r="B20" s="3"/>
      <c r="C20" s="3">
        <v>36</v>
      </c>
      <c r="D20" s="48" t="s">
        <v>44</v>
      </c>
      <c r="E20" s="3">
        <v>2.84</v>
      </c>
      <c r="F20" s="19">
        <v>241399.65585707471</v>
      </c>
      <c r="G20" s="154">
        <f>283050-G38</f>
        <v>241400</v>
      </c>
      <c r="H20" s="46">
        <f t="shared" si="0"/>
        <v>-0.34414292528526857</v>
      </c>
      <c r="I20" s="32">
        <v>6</v>
      </c>
      <c r="J20" s="19">
        <f t="shared" si="2"/>
        <v>0</v>
      </c>
      <c r="K20" s="19">
        <f t="shared" si="3"/>
        <v>218322.16</v>
      </c>
      <c r="L20" s="88"/>
      <c r="M20" s="2">
        <f t="shared" si="4"/>
        <v>218321.81585707472</v>
      </c>
      <c r="N20" s="5">
        <f t="shared" si="1"/>
        <v>231421.12480849921</v>
      </c>
    </row>
    <row r="21" spans="1:18" x14ac:dyDescent="0.25">
      <c r="A21" s="3" t="s">
        <v>43</v>
      </c>
      <c r="B21" s="3"/>
      <c r="C21" s="3">
        <v>37</v>
      </c>
      <c r="D21" s="48" t="s">
        <v>45</v>
      </c>
      <c r="E21" s="3">
        <v>3.43</v>
      </c>
      <c r="F21" s="19">
        <v>291549.9952936371</v>
      </c>
      <c r="G21" s="154">
        <f>337450-G45</f>
        <v>291550</v>
      </c>
      <c r="H21" s="46">
        <f t="shared" si="0"/>
        <v>-4.7063629026524723E-3</v>
      </c>
      <c r="I21" s="32">
        <v>7</v>
      </c>
      <c r="J21" s="19">
        <f t="shared" si="2"/>
        <v>0</v>
      </c>
      <c r="K21" s="19">
        <f t="shared" si="3"/>
        <v>263677.82</v>
      </c>
      <c r="L21" s="88"/>
      <c r="M21" s="2">
        <f t="shared" si="4"/>
        <v>263677.8152936371</v>
      </c>
      <c r="N21" s="5">
        <f t="shared" si="1"/>
        <v>279498.48421125533</v>
      </c>
    </row>
    <row r="22" spans="1:18" x14ac:dyDescent="0.25">
      <c r="A22" s="3" t="s">
        <v>46</v>
      </c>
      <c r="B22" s="3"/>
      <c r="C22" s="3">
        <v>38</v>
      </c>
      <c r="D22" s="69" t="s">
        <v>98</v>
      </c>
      <c r="E22" s="3">
        <v>2.84</v>
      </c>
      <c r="F22" s="19">
        <v>241400</v>
      </c>
      <c r="G22" s="154">
        <f>F22</f>
        <v>241400</v>
      </c>
      <c r="H22" s="46">
        <f t="shared" si="0"/>
        <v>0</v>
      </c>
      <c r="I22" s="32">
        <v>7</v>
      </c>
      <c r="J22" s="19">
        <f t="shared" si="2"/>
        <v>0</v>
      </c>
      <c r="K22" s="19">
        <f t="shared" si="3"/>
        <v>218322.16</v>
      </c>
      <c r="L22" s="88"/>
      <c r="M22" s="2">
        <f t="shared" si="4"/>
        <v>218322.16</v>
      </c>
      <c r="N22" s="5">
        <f t="shared" si="1"/>
        <v>231421.4896</v>
      </c>
    </row>
    <row r="23" spans="1:18" x14ac:dyDescent="0.25">
      <c r="A23" s="3" t="s">
        <v>46</v>
      </c>
      <c r="B23" s="3"/>
      <c r="C23" s="3">
        <v>39</v>
      </c>
      <c r="D23" s="48" t="s">
        <v>47</v>
      </c>
      <c r="E23" s="3">
        <v>3.43</v>
      </c>
      <c r="F23" s="19">
        <v>290748.66790342226</v>
      </c>
      <c r="G23" s="105">
        <f>335000-G46</f>
        <v>292500</v>
      </c>
      <c r="H23" s="46">
        <f t="shared" si="0"/>
        <v>-1751.3320965777384</v>
      </c>
      <c r="I23" s="32">
        <v>14</v>
      </c>
      <c r="J23" s="19">
        <f t="shared" si="2"/>
        <v>0</v>
      </c>
      <c r="K23" s="19">
        <f t="shared" si="3"/>
        <v>263677.82</v>
      </c>
      <c r="L23" s="88"/>
      <c r="M23" s="2">
        <f t="shared" si="4"/>
        <v>261926.48790342227</v>
      </c>
      <c r="N23" s="5">
        <f t="shared" si="1"/>
        <v>277642.07717762759</v>
      </c>
    </row>
    <row r="24" spans="1:18" x14ac:dyDescent="0.25">
      <c r="A24" s="3" t="s">
        <v>48</v>
      </c>
      <c r="B24" s="3"/>
      <c r="C24" s="3">
        <v>40</v>
      </c>
      <c r="D24" s="48" t="s">
        <v>49</v>
      </c>
      <c r="E24" s="3">
        <v>2.84</v>
      </c>
      <c r="F24" s="19">
        <v>240835.37342107471</v>
      </c>
      <c r="G24" s="154">
        <f>290000-G37</f>
        <v>248350</v>
      </c>
      <c r="H24" s="46">
        <f t="shared" si="0"/>
        <v>-7514.6265789252939</v>
      </c>
      <c r="I24" s="77">
        <v>7</v>
      </c>
      <c r="J24" s="19">
        <f t="shared" si="2"/>
        <v>0</v>
      </c>
      <c r="K24" s="19">
        <f t="shared" si="3"/>
        <v>218322.16</v>
      </c>
      <c r="L24" s="88"/>
      <c r="M24" s="2">
        <f t="shared" si="4"/>
        <v>210807.53342107471</v>
      </c>
      <c r="N24" s="5">
        <f t="shared" si="1"/>
        <v>223455.9854263392</v>
      </c>
    </row>
    <row r="25" spans="1:18" x14ac:dyDescent="0.25">
      <c r="A25" s="3" t="s">
        <v>48</v>
      </c>
      <c r="B25" s="3"/>
      <c r="C25" s="3">
        <v>41</v>
      </c>
      <c r="D25" s="48" t="s">
        <v>117</v>
      </c>
      <c r="E25" s="3">
        <v>3.43</v>
      </c>
      <c r="F25" s="19">
        <v>275750.79666666669</v>
      </c>
      <c r="G25" s="105">
        <v>292296.84000000003</v>
      </c>
      <c r="H25" s="46">
        <f t="shared" si="0"/>
        <v>-16546.043333333335</v>
      </c>
      <c r="I25" s="32">
        <v>7</v>
      </c>
      <c r="J25" s="19">
        <f t="shared" si="2"/>
        <v>0</v>
      </c>
      <c r="K25" s="19">
        <f t="shared" si="3"/>
        <v>263677.82</v>
      </c>
      <c r="L25" s="89"/>
      <c r="M25" s="2">
        <f t="shared" si="4"/>
        <v>247131.77666666667</v>
      </c>
      <c r="N25" s="5">
        <f t="shared" si="1"/>
        <v>261959.68326666666</v>
      </c>
      <c r="P25" s="53"/>
      <c r="Q25" s="53"/>
      <c r="R25" s="53"/>
    </row>
    <row r="26" spans="1:18" x14ac:dyDescent="0.25">
      <c r="A26" s="3" t="s">
        <v>50</v>
      </c>
      <c r="B26" s="3"/>
      <c r="C26" s="3">
        <v>42</v>
      </c>
      <c r="D26" s="48" t="s">
        <v>51</v>
      </c>
      <c r="E26" s="3">
        <v>6</v>
      </c>
      <c r="F26" s="19">
        <v>-2243661.3406672962</v>
      </c>
      <c r="G26" s="105">
        <f>-G30-G31-G36</f>
        <v>-135150</v>
      </c>
      <c r="H26" s="47">
        <f t="shared" si="0"/>
        <v>-2108511.3406672962</v>
      </c>
      <c r="I26" s="149" t="s">
        <v>145</v>
      </c>
      <c r="J26" s="19">
        <f t="shared" si="2"/>
        <v>0</v>
      </c>
      <c r="K26" s="19">
        <f t="shared" si="3"/>
        <v>461244</v>
      </c>
      <c r="L26" s="88"/>
      <c r="M26" s="2">
        <f t="shared" si="4"/>
        <v>-1647267.3406672962</v>
      </c>
      <c r="N26" s="5">
        <f t="shared" si="1"/>
        <v>-1746103.381107334</v>
      </c>
    </row>
    <row r="27" spans="1:18" x14ac:dyDescent="0.25">
      <c r="A27" s="3" t="s">
        <v>52</v>
      </c>
      <c r="B27" s="3"/>
      <c r="C27" s="3">
        <v>43</v>
      </c>
      <c r="D27" s="48" t="s">
        <v>53</v>
      </c>
      <c r="E27" s="3">
        <v>5.89</v>
      </c>
      <c r="F27" s="19">
        <v>500650.37128526531</v>
      </c>
      <c r="G27" s="154">
        <f>600000-G39-G40</f>
        <v>501400</v>
      </c>
      <c r="H27" s="46">
        <f t="shared" si="0"/>
        <v>-749.6287147346884</v>
      </c>
      <c r="I27" s="32">
        <v>13</v>
      </c>
      <c r="J27" s="19">
        <f t="shared" si="2"/>
        <v>0</v>
      </c>
      <c r="K27" s="19">
        <f t="shared" si="3"/>
        <v>452787.86</v>
      </c>
      <c r="L27" s="88"/>
      <c r="M27" s="2">
        <f t="shared" si="4"/>
        <v>452038.2312852653</v>
      </c>
      <c r="N27" s="5">
        <f t="shared" si="1"/>
        <v>479160.52516238124</v>
      </c>
      <c r="R27" s="53"/>
    </row>
    <row r="28" spans="1:18" x14ac:dyDescent="0.25">
      <c r="A28" s="3" t="s">
        <v>54</v>
      </c>
      <c r="B28" s="3"/>
      <c r="C28" s="3">
        <v>44</v>
      </c>
      <c r="D28" s="48" t="s">
        <v>55</v>
      </c>
      <c r="E28" s="3">
        <v>5.89</v>
      </c>
      <c r="F28" s="19">
        <v>499341.17449320736</v>
      </c>
      <c r="G28" s="154">
        <f>600000-G32-G33</f>
        <v>509900</v>
      </c>
      <c r="H28" s="46">
        <f t="shared" si="0"/>
        <v>-10558.825506792637</v>
      </c>
      <c r="I28" s="32">
        <v>11</v>
      </c>
      <c r="J28" s="19">
        <f t="shared" si="2"/>
        <v>0</v>
      </c>
      <c r="K28" s="19">
        <f t="shared" si="3"/>
        <v>452787.86</v>
      </c>
      <c r="L28" s="88"/>
      <c r="M28" s="2">
        <f t="shared" si="4"/>
        <v>442229.03449320735</v>
      </c>
      <c r="N28" s="5">
        <f t="shared" si="1"/>
        <v>468762.77656279982</v>
      </c>
    </row>
    <row r="29" spans="1:18" x14ac:dyDescent="0.25">
      <c r="A29" s="3" t="s">
        <v>56</v>
      </c>
      <c r="B29" s="3"/>
      <c r="C29" s="3">
        <v>45</v>
      </c>
      <c r="D29" s="48" t="s">
        <v>57</v>
      </c>
      <c r="E29" s="3">
        <v>5.89</v>
      </c>
      <c r="F29" s="19">
        <v>1129090.7461941019</v>
      </c>
      <c r="G29" s="105">
        <f>1428000-G42-G43-G44</f>
        <v>1154300</v>
      </c>
      <c r="H29" s="47">
        <f t="shared" si="0"/>
        <v>-25209.25380589813</v>
      </c>
      <c r="I29" s="32">
        <v>7</v>
      </c>
      <c r="J29" s="19">
        <f t="shared" si="2"/>
        <v>0</v>
      </c>
      <c r="K29" s="19">
        <f t="shared" si="3"/>
        <v>452787.86</v>
      </c>
      <c r="L29" s="88"/>
      <c r="M29" s="2">
        <f t="shared" si="4"/>
        <v>427578.60619410186</v>
      </c>
      <c r="N29" s="5">
        <f t="shared" si="1"/>
        <v>453233.32256574795</v>
      </c>
    </row>
    <row r="30" spans="1:18" x14ac:dyDescent="0.25">
      <c r="A30" s="44" t="s">
        <v>69</v>
      </c>
      <c r="B30" s="3"/>
      <c r="C30" s="3">
        <v>1</v>
      </c>
      <c r="D30" s="48" t="s">
        <v>51</v>
      </c>
      <c r="E30" s="3">
        <v>0.54</v>
      </c>
      <c r="F30" s="19">
        <v>45900.000000000007</v>
      </c>
      <c r="G30" s="154">
        <f>F30</f>
        <v>45900.000000000007</v>
      </c>
      <c r="H30" s="46">
        <f t="shared" si="0"/>
        <v>0</v>
      </c>
      <c r="I30" s="32"/>
      <c r="J30" s="19">
        <f t="shared" si="2"/>
        <v>0</v>
      </c>
      <c r="K30" s="19">
        <f t="shared" si="3"/>
        <v>41511.960000000006</v>
      </c>
      <c r="L30" s="88"/>
      <c r="M30" s="2">
        <f t="shared" si="4"/>
        <v>41511.960000000006</v>
      </c>
      <c r="N30" s="5">
        <f t="shared" si="1"/>
        <v>44002.67760000001</v>
      </c>
    </row>
    <row r="31" spans="1:18" x14ac:dyDescent="0.25">
      <c r="A31" s="44" t="s">
        <v>69</v>
      </c>
      <c r="B31" s="3"/>
      <c r="C31" s="3">
        <v>2</v>
      </c>
      <c r="D31" s="48" t="s">
        <v>51</v>
      </c>
      <c r="E31" s="3">
        <v>0.55000000000000004</v>
      </c>
      <c r="F31" s="19">
        <v>46750</v>
      </c>
      <c r="G31" s="154">
        <f>F31</f>
        <v>46750</v>
      </c>
      <c r="H31" s="46">
        <f t="shared" si="0"/>
        <v>0</v>
      </c>
      <c r="I31" s="32"/>
      <c r="J31" s="19">
        <f t="shared" si="2"/>
        <v>0</v>
      </c>
      <c r="K31" s="19">
        <f t="shared" si="3"/>
        <v>42280.7</v>
      </c>
      <c r="L31" s="88"/>
      <c r="M31" s="2">
        <f t="shared" si="4"/>
        <v>42280.7</v>
      </c>
      <c r="N31" s="5">
        <f t="shared" si="1"/>
        <v>44817.541999999994</v>
      </c>
    </row>
    <row r="32" spans="1:18" x14ac:dyDescent="0.25">
      <c r="A32" s="44" t="s">
        <v>69</v>
      </c>
      <c r="B32" s="3"/>
      <c r="C32" s="3">
        <v>3</v>
      </c>
      <c r="D32" s="48" t="s">
        <v>55</v>
      </c>
      <c r="E32" s="3">
        <v>0.45</v>
      </c>
      <c r="F32" s="19">
        <v>38250</v>
      </c>
      <c r="G32" s="154">
        <f>F32</f>
        <v>38250</v>
      </c>
      <c r="H32" s="46">
        <f t="shared" si="0"/>
        <v>0</v>
      </c>
      <c r="I32" s="32"/>
      <c r="J32" s="19">
        <f t="shared" si="2"/>
        <v>0</v>
      </c>
      <c r="K32" s="19">
        <f t="shared" si="3"/>
        <v>34593.300000000003</v>
      </c>
      <c r="L32" s="68"/>
      <c r="M32" s="2">
        <f t="shared" si="4"/>
        <v>34593.300000000003</v>
      </c>
      <c r="N32" s="5">
        <f t="shared" si="1"/>
        <v>36668.898000000001</v>
      </c>
    </row>
    <row r="33" spans="1:17" x14ac:dyDescent="0.25">
      <c r="A33" s="44" t="s">
        <v>69</v>
      </c>
      <c r="B33" s="3"/>
      <c r="C33" s="3">
        <v>4</v>
      </c>
      <c r="D33" s="48" t="s">
        <v>55</v>
      </c>
      <c r="E33" s="3">
        <v>0.61</v>
      </c>
      <c r="F33" s="19">
        <v>51850</v>
      </c>
      <c r="G33" s="154">
        <f t="shared" ref="G33" si="5">F33</f>
        <v>51850</v>
      </c>
      <c r="H33" s="46">
        <f t="shared" si="0"/>
        <v>0</v>
      </c>
      <c r="I33" s="32"/>
      <c r="J33" s="19">
        <f t="shared" si="2"/>
        <v>0</v>
      </c>
      <c r="K33" s="19">
        <f t="shared" si="3"/>
        <v>46893.14</v>
      </c>
      <c r="L33" s="68"/>
      <c r="M33" s="2">
        <f t="shared" si="4"/>
        <v>46893.14</v>
      </c>
      <c r="N33" s="5">
        <f t="shared" si="1"/>
        <v>49706.7284</v>
      </c>
    </row>
    <row r="34" spans="1:17" x14ac:dyDescent="0.25">
      <c r="A34" s="44" t="s">
        <v>69</v>
      </c>
      <c r="B34" s="3"/>
      <c r="C34" s="3">
        <v>5</v>
      </c>
      <c r="D34" s="48" t="s">
        <v>30</v>
      </c>
      <c r="E34" s="3">
        <v>0.54</v>
      </c>
      <c r="F34" s="19">
        <v>45900.000000000007</v>
      </c>
      <c r="G34" s="154">
        <f>F34</f>
        <v>45900.000000000007</v>
      </c>
      <c r="H34" s="46">
        <f t="shared" si="0"/>
        <v>0</v>
      </c>
      <c r="I34" s="32"/>
      <c r="J34" s="19">
        <f t="shared" si="2"/>
        <v>0</v>
      </c>
      <c r="K34" s="19">
        <f t="shared" si="3"/>
        <v>41511.960000000006</v>
      </c>
      <c r="L34" s="68"/>
      <c r="M34" s="2">
        <f t="shared" si="4"/>
        <v>41511.960000000006</v>
      </c>
      <c r="N34" s="5">
        <f t="shared" si="1"/>
        <v>44002.67760000001</v>
      </c>
    </row>
    <row r="35" spans="1:17" x14ac:dyDescent="0.25">
      <c r="A35" s="44" t="s">
        <v>69</v>
      </c>
      <c r="B35" s="3"/>
      <c r="C35" s="3">
        <v>6</v>
      </c>
      <c r="D35" s="48" t="s">
        <v>106</v>
      </c>
      <c r="E35" s="3">
        <v>0.5</v>
      </c>
      <c r="F35" s="2">
        <v>42500</v>
      </c>
      <c r="G35" s="105"/>
      <c r="H35" s="46">
        <f t="shared" si="0"/>
        <v>42500</v>
      </c>
      <c r="I35" s="32"/>
      <c r="J35" s="19">
        <f t="shared" si="2"/>
        <v>0</v>
      </c>
      <c r="K35" s="19">
        <f t="shared" si="3"/>
        <v>38437</v>
      </c>
      <c r="L35" s="68"/>
      <c r="M35" s="2">
        <f t="shared" si="4"/>
        <v>80937</v>
      </c>
      <c r="N35" s="5">
        <f t="shared" si="1"/>
        <v>85793.22</v>
      </c>
    </row>
    <row r="36" spans="1:17" x14ac:dyDescent="0.25">
      <c r="A36" s="44" t="s">
        <v>69</v>
      </c>
      <c r="B36" s="3"/>
      <c r="C36" s="3">
        <v>7</v>
      </c>
      <c r="D36" s="48" t="s">
        <v>51</v>
      </c>
      <c r="E36" s="3">
        <v>0.5</v>
      </c>
      <c r="F36" s="19">
        <v>42500</v>
      </c>
      <c r="G36" s="154">
        <f>F36</f>
        <v>42500</v>
      </c>
      <c r="H36" s="46">
        <f t="shared" si="0"/>
        <v>0</v>
      </c>
      <c r="I36" s="32"/>
      <c r="J36" s="19">
        <f t="shared" si="2"/>
        <v>0</v>
      </c>
      <c r="K36" s="19">
        <f t="shared" si="3"/>
        <v>38437</v>
      </c>
      <c r="L36" s="68"/>
      <c r="M36" s="2">
        <f t="shared" si="4"/>
        <v>38437</v>
      </c>
      <c r="N36" s="5">
        <f t="shared" si="1"/>
        <v>40743.22</v>
      </c>
    </row>
    <row r="37" spans="1:17" x14ac:dyDescent="0.25">
      <c r="A37" s="44" t="s">
        <v>69</v>
      </c>
      <c r="B37" s="3"/>
      <c r="C37" s="3">
        <v>8</v>
      </c>
      <c r="D37" s="48" t="s">
        <v>49</v>
      </c>
      <c r="E37" s="3">
        <v>0.49</v>
      </c>
      <c r="F37" s="19">
        <v>41650</v>
      </c>
      <c r="G37" s="154">
        <f t="shared" ref="G37:G41" si="6">F37</f>
        <v>41650</v>
      </c>
      <c r="H37" s="46">
        <f t="shared" si="0"/>
        <v>0</v>
      </c>
      <c r="I37" s="32"/>
      <c r="J37" s="19">
        <f t="shared" si="2"/>
        <v>0</v>
      </c>
      <c r="K37" s="19">
        <f t="shared" si="3"/>
        <v>37668.26</v>
      </c>
      <c r="L37" s="68"/>
      <c r="M37" s="2">
        <f t="shared" si="4"/>
        <v>37668.26</v>
      </c>
      <c r="N37" s="5">
        <f t="shared" si="1"/>
        <v>39928.355600000003</v>
      </c>
    </row>
    <row r="38" spans="1:17" x14ac:dyDescent="0.25">
      <c r="A38" s="44" t="s">
        <v>69</v>
      </c>
      <c r="B38" s="3"/>
      <c r="C38" s="3">
        <v>9</v>
      </c>
      <c r="D38" s="48" t="s">
        <v>44</v>
      </c>
      <c r="E38" s="3">
        <v>0.49</v>
      </c>
      <c r="F38" s="19">
        <v>41650</v>
      </c>
      <c r="G38" s="154">
        <f t="shared" si="6"/>
        <v>41650</v>
      </c>
      <c r="H38" s="46">
        <f t="shared" si="0"/>
        <v>0</v>
      </c>
      <c r="I38" s="32"/>
      <c r="J38" s="19">
        <f t="shared" si="2"/>
        <v>0</v>
      </c>
      <c r="K38" s="19">
        <f t="shared" si="3"/>
        <v>37668.26</v>
      </c>
      <c r="L38" s="68"/>
      <c r="M38" s="2">
        <f t="shared" si="4"/>
        <v>37668.26</v>
      </c>
      <c r="N38" s="5">
        <f t="shared" si="1"/>
        <v>39928.355600000003</v>
      </c>
    </row>
    <row r="39" spans="1:17" x14ac:dyDescent="0.25">
      <c r="A39" s="44" t="s">
        <v>69</v>
      </c>
      <c r="B39" s="3"/>
      <c r="C39" s="3">
        <v>10</v>
      </c>
      <c r="D39" s="48" t="s">
        <v>53</v>
      </c>
      <c r="E39" s="3">
        <v>0.59</v>
      </c>
      <c r="F39" s="19">
        <v>50150</v>
      </c>
      <c r="G39" s="154">
        <f t="shared" si="6"/>
        <v>50150</v>
      </c>
      <c r="H39" s="46">
        <f t="shared" si="0"/>
        <v>0</v>
      </c>
      <c r="I39" s="32"/>
      <c r="J39" s="19">
        <f t="shared" si="2"/>
        <v>0</v>
      </c>
      <c r="K39" s="19">
        <f t="shared" si="3"/>
        <v>45355.66</v>
      </c>
      <c r="L39" s="68"/>
      <c r="M39" s="2">
        <f t="shared" si="4"/>
        <v>45355.66</v>
      </c>
      <c r="N39" s="5">
        <f t="shared" si="1"/>
        <v>48076.999600000003</v>
      </c>
    </row>
    <row r="40" spans="1:17" x14ac:dyDescent="0.25">
      <c r="A40" s="44" t="s">
        <v>69</v>
      </c>
      <c r="B40" s="3"/>
      <c r="C40" s="3">
        <v>11</v>
      </c>
      <c r="D40" s="48" t="s">
        <v>53</v>
      </c>
      <c r="E40" s="3">
        <v>0.56999999999999995</v>
      </c>
      <c r="F40" s="19">
        <v>48450</v>
      </c>
      <c r="G40" s="154">
        <f t="shared" si="6"/>
        <v>48450</v>
      </c>
      <c r="H40" s="46">
        <f t="shared" si="0"/>
        <v>0</v>
      </c>
      <c r="I40" s="32"/>
      <c r="J40" s="19">
        <f t="shared" si="2"/>
        <v>0</v>
      </c>
      <c r="K40" s="19">
        <f t="shared" si="3"/>
        <v>43818.18</v>
      </c>
      <c r="L40" s="68"/>
      <c r="M40" s="2">
        <f t="shared" si="4"/>
        <v>43818.18</v>
      </c>
      <c r="N40" s="5">
        <f t="shared" si="1"/>
        <v>46447.270799999998</v>
      </c>
    </row>
    <row r="41" spans="1:17" x14ac:dyDescent="0.25">
      <c r="A41" s="44" t="s">
        <v>69</v>
      </c>
      <c r="B41" s="3"/>
      <c r="C41" s="3">
        <v>12</v>
      </c>
      <c r="D41" s="48" t="s">
        <v>42</v>
      </c>
      <c r="E41" s="3">
        <v>0.54</v>
      </c>
      <c r="F41" s="19">
        <v>45900.000000000007</v>
      </c>
      <c r="G41" s="154">
        <f t="shared" si="6"/>
        <v>45900.000000000007</v>
      </c>
      <c r="H41" s="46">
        <f t="shared" si="0"/>
        <v>0</v>
      </c>
      <c r="I41" s="32"/>
      <c r="J41" s="19">
        <f t="shared" si="2"/>
        <v>0</v>
      </c>
      <c r="K41" s="19">
        <f t="shared" si="3"/>
        <v>41511.960000000006</v>
      </c>
      <c r="L41" s="68"/>
      <c r="M41" s="2">
        <f t="shared" si="4"/>
        <v>41511.960000000006</v>
      </c>
      <c r="N41" s="5">
        <f t="shared" si="1"/>
        <v>44002.67760000001</v>
      </c>
    </row>
    <row r="42" spans="1:17" x14ac:dyDescent="0.25">
      <c r="A42" s="44" t="s">
        <v>69</v>
      </c>
      <c r="B42" s="3"/>
      <c r="C42" s="3">
        <v>13</v>
      </c>
      <c r="D42" s="48" t="s">
        <v>57</v>
      </c>
      <c r="E42" s="3">
        <v>0.55000000000000004</v>
      </c>
      <c r="F42" s="19">
        <v>93500</v>
      </c>
      <c r="G42" s="154">
        <f>F42</f>
        <v>93500</v>
      </c>
      <c r="H42" s="46">
        <f t="shared" si="0"/>
        <v>0</v>
      </c>
      <c r="I42" s="32"/>
      <c r="J42" s="19">
        <f t="shared" si="2"/>
        <v>0</v>
      </c>
      <c r="K42" s="19">
        <f t="shared" si="3"/>
        <v>42280.7</v>
      </c>
      <c r="L42" s="68"/>
      <c r="M42" s="2">
        <f t="shared" si="4"/>
        <v>42280.7</v>
      </c>
      <c r="N42" s="5">
        <f t="shared" si="1"/>
        <v>44817.541999999994</v>
      </c>
    </row>
    <row r="43" spans="1:17" x14ac:dyDescent="0.25">
      <c r="A43" s="44" t="s">
        <v>69</v>
      </c>
      <c r="B43" s="3"/>
      <c r="C43" s="3">
        <v>14</v>
      </c>
      <c r="D43" s="48" t="s">
        <v>57</v>
      </c>
      <c r="E43" s="3">
        <v>0.45</v>
      </c>
      <c r="F43" s="19">
        <v>76500</v>
      </c>
      <c r="G43" s="154">
        <f>F43</f>
        <v>76500</v>
      </c>
      <c r="H43" s="46">
        <f t="shared" si="0"/>
        <v>0</v>
      </c>
      <c r="I43" s="32"/>
      <c r="J43" s="19">
        <f t="shared" si="2"/>
        <v>0</v>
      </c>
      <c r="K43" s="19">
        <f t="shared" si="3"/>
        <v>34593.300000000003</v>
      </c>
      <c r="L43" s="68"/>
      <c r="M43" s="2">
        <f t="shared" si="4"/>
        <v>34593.300000000003</v>
      </c>
      <c r="N43" s="5">
        <f t="shared" si="1"/>
        <v>36668.898000000001</v>
      </c>
      <c r="P43" s="34">
        <f>L1-K52</f>
        <v>-517275.03995799925</v>
      </c>
    </row>
    <row r="44" spans="1:17" x14ac:dyDescent="0.25">
      <c r="A44" s="44" t="s">
        <v>69</v>
      </c>
      <c r="B44" s="3"/>
      <c r="C44" s="3">
        <v>15</v>
      </c>
      <c r="D44" s="48" t="s">
        <v>57</v>
      </c>
      <c r="E44" s="3">
        <v>0.61</v>
      </c>
      <c r="F44" s="19">
        <v>103700</v>
      </c>
      <c r="G44" s="154">
        <f>F44</f>
        <v>103700</v>
      </c>
      <c r="H44" s="46">
        <f t="shared" si="0"/>
        <v>0</v>
      </c>
      <c r="I44" s="32"/>
      <c r="J44" s="19">
        <f t="shared" si="2"/>
        <v>0</v>
      </c>
      <c r="K44" s="19">
        <f t="shared" si="3"/>
        <v>46893.14</v>
      </c>
      <c r="L44" s="68"/>
      <c r="M44" s="2">
        <f t="shared" si="4"/>
        <v>46893.14</v>
      </c>
      <c r="N44" s="5">
        <f t="shared" si="1"/>
        <v>49706.7284</v>
      </c>
    </row>
    <row r="45" spans="1:17" x14ac:dyDescent="0.25">
      <c r="A45" s="44" t="s">
        <v>69</v>
      </c>
      <c r="B45" s="3"/>
      <c r="C45" s="3">
        <v>16</v>
      </c>
      <c r="D45" s="48" t="s">
        <v>45</v>
      </c>
      <c r="E45" s="3">
        <v>0.54</v>
      </c>
      <c r="F45" s="19">
        <v>45900.000000000007</v>
      </c>
      <c r="G45" s="154">
        <f t="shared" ref="G45" si="7">F45</f>
        <v>45900.000000000007</v>
      </c>
      <c r="H45" s="46">
        <f t="shared" si="0"/>
        <v>0</v>
      </c>
      <c r="I45" s="32"/>
      <c r="J45" s="19">
        <f t="shared" si="2"/>
        <v>0</v>
      </c>
      <c r="K45" s="19">
        <f t="shared" si="3"/>
        <v>41511.960000000006</v>
      </c>
      <c r="L45" s="68"/>
      <c r="M45" s="2">
        <f t="shared" si="4"/>
        <v>41511.960000000006</v>
      </c>
      <c r="N45" s="5">
        <f t="shared" si="1"/>
        <v>44002.67760000001</v>
      </c>
    </row>
    <row r="46" spans="1:17" x14ac:dyDescent="0.25">
      <c r="A46" s="44" t="s">
        <v>69</v>
      </c>
      <c r="B46" s="3"/>
      <c r="C46" s="3">
        <v>17</v>
      </c>
      <c r="D46" s="48" t="s">
        <v>47</v>
      </c>
      <c r="E46" s="3">
        <v>0.5</v>
      </c>
      <c r="F46" s="19">
        <v>42500</v>
      </c>
      <c r="G46" s="154">
        <f t="shared" ref="G46:G51" si="8">F46</f>
        <v>42500</v>
      </c>
      <c r="H46" s="46">
        <f t="shared" si="0"/>
        <v>0</v>
      </c>
      <c r="I46" s="32"/>
      <c r="J46" s="19">
        <f t="shared" si="2"/>
        <v>0</v>
      </c>
      <c r="K46" s="19">
        <f t="shared" si="3"/>
        <v>38437</v>
      </c>
      <c r="L46" s="68"/>
      <c r="M46" s="2">
        <f t="shared" si="4"/>
        <v>38437</v>
      </c>
      <c r="N46" s="5">
        <f t="shared" si="1"/>
        <v>40743.22</v>
      </c>
      <c r="Q46" t="s">
        <v>101</v>
      </c>
    </row>
    <row r="47" spans="1:17" x14ac:dyDescent="0.25">
      <c r="A47" s="44" t="s">
        <v>69</v>
      </c>
      <c r="B47" s="3"/>
      <c r="C47" s="3">
        <v>18</v>
      </c>
      <c r="D47" s="48" t="s">
        <v>39</v>
      </c>
      <c r="E47" s="3">
        <v>0.5</v>
      </c>
      <c r="F47" s="19">
        <v>45050</v>
      </c>
      <c r="G47" s="154">
        <f t="shared" si="8"/>
        <v>45050</v>
      </c>
      <c r="H47" s="46">
        <f t="shared" si="0"/>
        <v>0</v>
      </c>
      <c r="I47" s="32"/>
      <c r="J47" s="19">
        <f t="shared" si="2"/>
        <v>0</v>
      </c>
      <c r="K47" s="19">
        <f t="shared" si="3"/>
        <v>38437</v>
      </c>
      <c r="L47" s="68"/>
      <c r="M47" s="2">
        <f t="shared" si="4"/>
        <v>38437</v>
      </c>
      <c r="N47" s="5">
        <f t="shared" si="1"/>
        <v>40743.22</v>
      </c>
      <c r="O47" s="53"/>
      <c r="Q47" s="50">
        <f>M3-J52</f>
        <v>0</v>
      </c>
    </row>
    <row r="48" spans="1:17" x14ac:dyDescent="0.25">
      <c r="A48" s="44" t="s">
        <v>69</v>
      </c>
      <c r="B48" s="3"/>
      <c r="C48" s="3">
        <v>19</v>
      </c>
      <c r="D48" s="48" t="s">
        <v>39</v>
      </c>
      <c r="E48" s="3">
        <v>0.49</v>
      </c>
      <c r="F48" s="19">
        <v>44149</v>
      </c>
      <c r="G48" s="154">
        <f t="shared" si="8"/>
        <v>44149</v>
      </c>
      <c r="H48" s="46">
        <f t="shared" si="0"/>
        <v>0</v>
      </c>
      <c r="I48" s="32"/>
      <c r="J48" s="19">
        <f t="shared" si="2"/>
        <v>0</v>
      </c>
      <c r="K48" s="19">
        <f t="shared" si="3"/>
        <v>37668.26</v>
      </c>
      <c r="L48" s="68"/>
      <c r="M48" s="2">
        <f t="shared" si="4"/>
        <v>37668.26</v>
      </c>
      <c r="N48" s="5">
        <f t="shared" si="1"/>
        <v>39928.355600000003</v>
      </c>
    </row>
    <row r="49" spans="1:16" x14ac:dyDescent="0.25">
      <c r="A49" s="44" t="s">
        <v>69</v>
      </c>
      <c r="B49" s="3"/>
      <c r="C49" s="3">
        <v>20</v>
      </c>
      <c r="D49" s="48" t="str">
        <f>D16</f>
        <v>FEUILLANT, GASTON</v>
      </c>
      <c r="E49" s="3">
        <v>0.49</v>
      </c>
      <c r="F49" s="19">
        <v>41650</v>
      </c>
      <c r="G49" s="154">
        <f t="shared" si="8"/>
        <v>41650</v>
      </c>
      <c r="H49" s="46">
        <f t="shared" si="0"/>
        <v>0</v>
      </c>
      <c r="I49" s="32"/>
      <c r="J49" s="19">
        <f t="shared" si="2"/>
        <v>0</v>
      </c>
      <c r="K49" s="19">
        <f t="shared" si="3"/>
        <v>37668.26</v>
      </c>
      <c r="L49" s="68"/>
      <c r="M49" s="2">
        <f t="shared" si="4"/>
        <v>37668.26</v>
      </c>
      <c r="N49" s="5">
        <f t="shared" si="1"/>
        <v>39928.355600000003</v>
      </c>
    </row>
    <row r="50" spans="1:16" x14ac:dyDescent="0.25">
      <c r="A50" s="44" t="s">
        <v>69</v>
      </c>
      <c r="B50" s="3"/>
      <c r="C50" s="3">
        <v>21</v>
      </c>
      <c r="D50" s="48" t="s">
        <v>35</v>
      </c>
      <c r="E50" s="3">
        <v>0.59</v>
      </c>
      <c r="F50" s="19">
        <v>50150</v>
      </c>
      <c r="G50" s="105">
        <f t="shared" si="8"/>
        <v>50150</v>
      </c>
      <c r="H50" s="46">
        <f t="shared" si="0"/>
        <v>0</v>
      </c>
      <c r="I50" s="32"/>
      <c r="J50" s="19">
        <f t="shared" si="2"/>
        <v>0</v>
      </c>
      <c r="K50" s="19">
        <f t="shared" si="3"/>
        <v>45355.66</v>
      </c>
      <c r="L50" s="68"/>
      <c r="M50" s="2">
        <f t="shared" si="4"/>
        <v>45355.66</v>
      </c>
      <c r="N50" s="5">
        <f t="shared" si="1"/>
        <v>48076.999600000003</v>
      </c>
    </row>
    <row r="51" spans="1:16" x14ac:dyDescent="0.25">
      <c r="A51" s="44" t="s">
        <v>69</v>
      </c>
      <c r="B51" s="3"/>
      <c r="C51" s="3">
        <v>22</v>
      </c>
      <c r="D51" s="48" t="s">
        <v>41</v>
      </c>
      <c r="E51" s="3">
        <v>0.56999999999999995</v>
      </c>
      <c r="F51" s="19">
        <v>48450</v>
      </c>
      <c r="G51" s="154">
        <f t="shared" si="8"/>
        <v>48450</v>
      </c>
      <c r="H51" s="46">
        <f t="shared" si="0"/>
        <v>0</v>
      </c>
      <c r="I51" s="32"/>
      <c r="J51" s="19">
        <f t="shared" si="2"/>
        <v>0</v>
      </c>
      <c r="K51" s="19">
        <f t="shared" si="3"/>
        <v>43818.18</v>
      </c>
      <c r="L51" s="68"/>
      <c r="M51" s="2">
        <f t="shared" si="4"/>
        <v>43818.18</v>
      </c>
      <c r="N51" s="5">
        <f t="shared" si="1"/>
        <v>46447.270799999998</v>
      </c>
    </row>
    <row r="52" spans="1:16" ht="14.25" customHeight="1" x14ac:dyDescent="0.25">
      <c r="A52" s="20"/>
      <c r="B52" s="20"/>
      <c r="C52" s="20"/>
      <c r="D52" s="20"/>
      <c r="E52" s="20">
        <f>SUM(E7:E51)</f>
        <v>99.999999999999986</v>
      </c>
      <c r="F52" s="85">
        <f>SUM(F7:F51)</f>
        <v>6554076.3145067021</v>
      </c>
      <c r="G52" s="85">
        <f>SUM(G7:G51)</f>
        <v>7986260.3999579996</v>
      </c>
      <c r="H52" s="20"/>
      <c r="I52" s="20"/>
      <c r="J52" s="45">
        <f>SUM(J8:J51)</f>
        <v>0</v>
      </c>
      <c r="K52" s="21">
        <f>SUM(K7:K51)</f>
        <v>7375912.5599579988</v>
      </c>
      <c r="L52" s="87">
        <f>SUM(L7:L51)</f>
        <v>0</v>
      </c>
      <c r="M52" s="22">
        <f>SUM(M7:M51)</f>
        <v>5943728.4745067004</v>
      </c>
      <c r="N52" s="21">
        <f>SUM(N7:N51)</f>
        <v>6300352.1829771074</v>
      </c>
      <c r="P52" s="50"/>
    </row>
    <row r="53" spans="1:16" hidden="1" x14ac:dyDescent="0.25">
      <c r="K53" s="53">
        <f>K52-L1</f>
        <v>517275.03995799925</v>
      </c>
    </row>
    <row r="54" spans="1:16" ht="15" hidden="1" customHeight="1" x14ac:dyDescent="0.25">
      <c r="C54" s="188"/>
      <c r="D54" s="188"/>
      <c r="E54" s="188"/>
      <c r="F54" s="188"/>
      <c r="G54" s="188"/>
      <c r="H54" s="188"/>
      <c r="I54" s="188"/>
      <c r="J54" s="188"/>
      <c r="K54" s="188"/>
      <c r="L54" s="188"/>
      <c r="M54" s="188"/>
      <c r="N54" s="188"/>
    </row>
    <row r="55" spans="1:16" hidden="1" x14ac:dyDescent="0.25">
      <c r="C55" s="188"/>
      <c r="D55" s="188"/>
      <c r="E55" s="188"/>
      <c r="F55" s="188"/>
      <c r="G55" s="188"/>
      <c r="H55" s="188"/>
      <c r="I55" s="188"/>
      <c r="J55" s="188"/>
      <c r="K55" s="188"/>
      <c r="L55" s="188"/>
      <c r="M55" s="188"/>
      <c r="N55" s="188"/>
    </row>
    <row r="56" spans="1:16" x14ac:dyDescent="0.25"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</row>
    <row r="57" spans="1:16" x14ac:dyDescent="0.25">
      <c r="C57" s="188" t="s">
        <v>99</v>
      </c>
      <c r="D57" s="188"/>
      <c r="E57" s="188"/>
      <c r="F57" s="188"/>
      <c r="G57" s="188"/>
      <c r="H57" s="188"/>
      <c r="I57" s="188"/>
      <c r="J57" s="188"/>
      <c r="K57" s="188"/>
      <c r="L57" s="188"/>
      <c r="M57" s="188"/>
      <c r="N57" s="188"/>
    </row>
    <row r="58" spans="1:16" x14ac:dyDescent="0.25">
      <c r="C58" s="188"/>
      <c r="D58" s="188"/>
      <c r="E58" s="188"/>
      <c r="F58" s="188"/>
      <c r="G58" s="188"/>
      <c r="H58" s="188"/>
      <c r="I58" s="188"/>
      <c r="J58" s="188"/>
      <c r="K58" s="188"/>
      <c r="L58" s="188"/>
      <c r="M58" s="188"/>
      <c r="N58" s="188"/>
    </row>
    <row r="59" spans="1:16" x14ac:dyDescent="0.25">
      <c r="C59" s="188"/>
      <c r="D59" s="188"/>
      <c r="E59" s="188"/>
      <c r="F59" s="188"/>
      <c r="G59" s="188"/>
      <c r="H59" s="188"/>
      <c r="I59" s="188"/>
      <c r="J59" s="188"/>
      <c r="K59" s="188"/>
      <c r="L59" s="188"/>
      <c r="M59" s="188"/>
      <c r="N59" s="188"/>
    </row>
    <row r="60" spans="1:16" x14ac:dyDescent="0.25">
      <c r="C60" s="188"/>
      <c r="D60" s="188"/>
      <c r="E60" s="188"/>
      <c r="F60" s="188"/>
      <c r="G60" s="188"/>
      <c r="H60" s="188"/>
      <c r="I60" s="188"/>
      <c r="J60" s="188"/>
      <c r="K60" s="188"/>
      <c r="L60" s="188"/>
      <c r="M60" s="188"/>
      <c r="N60" s="188"/>
    </row>
    <row r="61" spans="1:16" x14ac:dyDescent="0.25">
      <c r="C61" s="188"/>
      <c r="D61" s="188"/>
      <c r="E61" s="188"/>
      <c r="F61" s="188"/>
      <c r="G61" s="188"/>
      <c r="H61" s="188"/>
      <c r="I61" s="188"/>
      <c r="J61" s="188"/>
      <c r="K61" s="188"/>
      <c r="L61" s="188"/>
      <c r="M61" s="188"/>
      <c r="N61" s="188"/>
    </row>
    <row r="62" spans="1:16" x14ac:dyDescent="0.25">
      <c r="C62" s="188"/>
      <c r="D62" s="188"/>
      <c r="E62" s="188"/>
      <c r="F62" s="188"/>
      <c r="G62" s="188"/>
      <c r="H62" s="188"/>
      <c r="I62" s="188"/>
      <c r="J62" s="188"/>
      <c r="K62" s="188"/>
      <c r="L62" s="188"/>
      <c r="M62" s="188"/>
      <c r="N62" s="188"/>
    </row>
    <row r="63" spans="1:16" x14ac:dyDescent="0.25">
      <c r="C63" s="188"/>
      <c r="D63" s="188"/>
      <c r="E63" s="188"/>
      <c r="F63" s="188"/>
      <c r="G63" s="188"/>
      <c r="H63" s="188"/>
      <c r="I63" s="188"/>
      <c r="J63" s="188"/>
      <c r="K63" s="188"/>
      <c r="L63" s="188"/>
      <c r="M63" s="188"/>
      <c r="N63" s="188"/>
    </row>
  </sheetData>
  <mergeCells count="18">
    <mergeCell ref="C5:C6"/>
    <mergeCell ref="D5:D6"/>
    <mergeCell ref="E5:E6"/>
    <mergeCell ref="F5:F6"/>
    <mergeCell ref="C57:N63"/>
    <mergeCell ref="C54:N55"/>
    <mergeCell ref="L1:M1"/>
    <mergeCell ref="N5:N6"/>
    <mergeCell ref="G5:G6"/>
    <mergeCell ref="H5:H6"/>
    <mergeCell ref="J5:J6"/>
    <mergeCell ref="K5:K6"/>
    <mergeCell ref="L5:L6"/>
    <mergeCell ref="M5:M6"/>
    <mergeCell ref="I5:I6"/>
    <mergeCell ref="A1:J4"/>
    <mergeCell ref="A5:A6"/>
    <mergeCell ref="B5:B6"/>
  </mergeCells>
  <pageMargins left="0.25" right="0.25" top="0.75" bottom="0.75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6E70F-CDC7-456F-AF96-2906778A9145}">
  <dimension ref="C4"/>
  <sheetViews>
    <sheetView workbookViewId="0">
      <selection activeCell="C5" sqref="C5"/>
    </sheetView>
  </sheetViews>
  <sheetFormatPr baseColWidth="10" defaultRowHeight="15" x14ac:dyDescent="0.25"/>
  <sheetData>
    <row r="4" spans="3:3" x14ac:dyDescent="0.25">
      <c r="C4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2026-06-01T19:45:30Z</cp:lastPrinted>
  <dcterms:created xsi:type="dcterms:W3CDTF">2023-09-17T12:29:07Z</dcterms:created>
  <dcterms:modified xsi:type="dcterms:W3CDTF">2026-06-01T19:46:32Z</dcterms:modified>
</cp:coreProperties>
</file>