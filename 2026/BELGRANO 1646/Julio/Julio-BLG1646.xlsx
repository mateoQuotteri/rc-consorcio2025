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BELGRANO 1646\Julio\"/>
    </mc:Choice>
  </mc:AlternateContent>
  <xr:revisionPtr revIDLastSave="0" documentId="13_ncr:1_{AF79FA4F-F6DF-4F79-B6AB-B7E927FC500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PRORRATEO!$A$1:$N$64</definedName>
    <definedName name="_xlnm.Print_Area" localSheetId="0">RESUMEN!$A$1:$F$130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2" l="1"/>
  <c r="E66" i="1"/>
  <c r="G66" i="1"/>
  <c r="G27" i="2"/>
  <c r="G24" i="2"/>
  <c r="G17" i="2"/>
  <c r="G9" i="2"/>
  <c r="G29" i="2"/>
  <c r="G18" i="2"/>
  <c r="G28" i="2"/>
  <c r="G16" i="2"/>
  <c r="G13" i="2"/>
  <c r="G21" i="2"/>
  <c r="G20" i="2"/>
  <c r="G19" i="2"/>
  <c r="G25" i="2"/>
  <c r="G15" i="2"/>
  <c r="E42" i="1"/>
  <c r="D43" i="1" l="1"/>
  <c r="D46" i="1"/>
  <c r="F46" i="1" s="1"/>
  <c r="E62" i="1"/>
  <c r="G62" i="1"/>
  <c r="E52" i="1"/>
  <c r="F80" i="1"/>
  <c r="E80" i="1"/>
  <c r="D47" i="1"/>
  <c r="D85" i="1"/>
  <c r="F102" i="1"/>
  <c r="E102" i="1"/>
  <c r="J7" i="2"/>
  <c r="D68" i="1"/>
  <c r="D83" i="1"/>
  <c r="D75" i="1"/>
  <c r="D105" i="1"/>
  <c r="B125" i="1"/>
  <c r="G35" i="2"/>
  <c r="E61" i="1"/>
  <c r="G61" i="1"/>
  <c r="G53" i="1"/>
  <c r="G54" i="1"/>
  <c r="G55" i="1"/>
  <c r="E46" i="1" l="1"/>
  <c r="F103" i="1"/>
  <c r="E103" i="1"/>
  <c r="F101" i="1"/>
  <c r="E101" i="1"/>
  <c r="D49" i="1"/>
  <c r="E54" i="1"/>
  <c r="H54" i="1" s="1"/>
  <c r="G32" i="2"/>
  <c r="G44" i="2"/>
  <c r="G43" i="2"/>
  <c r="G42" i="2"/>
  <c r="F73" i="1" l="1"/>
  <c r="E73" i="1"/>
  <c r="E60" i="1"/>
  <c r="H60" i="1" s="1"/>
  <c r="G60" i="1"/>
  <c r="M2" i="2" l="1"/>
  <c r="G11" i="2"/>
  <c r="E74" i="1"/>
  <c r="E63" i="1" l="1"/>
  <c r="H63" i="1" s="1"/>
  <c r="G63" i="1"/>
  <c r="J63" i="1" s="1"/>
  <c r="F55" i="1"/>
  <c r="E55" i="1"/>
  <c r="G34" i="2"/>
  <c r="E64" i="1"/>
  <c r="H64" i="1" s="1"/>
  <c r="G64" i="1"/>
  <c r="J64" i="1" s="1"/>
  <c r="E59" i="1"/>
  <c r="H59" i="1" s="1"/>
  <c r="G59" i="1"/>
  <c r="J59" i="1" s="1"/>
  <c r="F82" i="1"/>
  <c r="E82" i="1"/>
  <c r="E65" i="1"/>
  <c r="H65" i="1" s="1"/>
  <c r="I65" i="1" s="1"/>
  <c r="G65" i="1"/>
  <c r="J65" i="1" s="1"/>
  <c r="E41" i="1"/>
  <c r="E43" i="1" s="1"/>
  <c r="H55" i="1" l="1"/>
  <c r="E67" i="1"/>
  <c r="A1" i="2"/>
  <c r="G48" i="2" l="1"/>
  <c r="G47" i="2"/>
  <c r="G46" i="2"/>
  <c r="G23" i="2" s="1"/>
  <c r="G7" i="2" l="1"/>
  <c r="G22" i="2" l="1"/>
  <c r="F26" i="1" l="1"/>
  <c r="E26" i="1" l="1"/>
  <c r="F89" i="1" l="1"/>
  <c r="G51" i="2" l="1"/>
  <c r="G36" i="2"/>
  <c r="G31" i="2"/>
  <c r="G30" i="2"/>
  <c r="E104" i="1" l="1"/>
  <c r="F104" i="1"/>
  <c r="G67" i="1"/>
  <c r="J67" i="1" s="1"/>
  <c r="H67" i="1" l="1"/>
  <c r="I67" i="1" s="1"/>
  <c r="F100" i="1" l="1"/>
  <c r="M3" i="2"/>
  <c r="O4" i="2" s="1"/>
  <c r="E100" i="1"/>
  <c r="G57" i="1" l="1"/>
  <c r="J57" i="1" s="1"/>
  <c r="F57" i="1"/>
  <c r="E57" i="1"/>
  <c r="H57" i="1" l="1"/>
  <c r="I57" i="1" s="1"/>
  <c r="F53" i="1" l="1"/>
  <c r="E53" i="1"/>
  <c r="H53" i="1" l="1"/>
  <c r="G51" i="1"/>
  <c r="E51" i="1"/>
  <c r="D27" i="1"/>
  <c r="E56" i="1"/>
  <c r="B129" i="1"/>
  <c r="H51" i="1" l="1"/>
  <c r="I51" i="1" s="1"/>
  <c r="D49" i="2" l="1"/>
  <c r="G49" i="2" l="1"/>
  <c r="F52" i="2" l="1"/>
  <c r="J8" i="2" l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B119" i="1" l="1"/>
  <c r="E105" i="1"/>
  <c r="F105" i="1"/>
  <c r="I105" i="1" l="1"/>
  <c r="F43" i="1" l="1"/>
  <c r="G43" i="1" l="1"/>
  <c r="F35" i="1"/>
  <c r="F34" i="1"/>
  <c r="F33" i="1"/>
  <c r="E35" i="1"/>
  <c r="E34" i="1"/>
  <c r="E33" i="1"/>
  <c r="G56" i="1" l="1"/>
  <c r="J56" i="1" s="1"/>
  <c r="G58" i="1"/>
  <c r="J58" i="1" s="1"/>
  <c r="E89" i="1" l="1"/>
  <c r="G89" i="1" l="1"/>
  <c r="H89" i="1" s="1"/>
  <c r="F85" i="1" l="1"/>
  <c r="E85" i="1"/>
  <c r="F81" i="1"/>
  <c r="F79" i="1"/>
  <c r="E81" i="1"/>
  <c r="E79" i="1"/>
  <c r="F72" i="1"/>
  <c r="E72" i="1"/>
  <c r="F58" i="1"/>
  <c r="F56" i="1"/>
  <c r="E58" i="1"/>
  <c r="E68" i="1" s="1"/>
  <c r="F29" i="1"/>
  <c r="F28" i="1"/>
  <c r="E29" i="1"/>
  <c r="E28" i="1"/>
  <c r="F48" i="1"/>
  <c r="F45" i="1"/>
  <c r="E48" i="1"/>
  <c r="E45" i="1"/>
  <c r="F24" i="1"/>
  <c r="F25" i="1"/>
  <c r="F23" i="1"/>
  <c r="E23" i="1"/>
  <c r="E24" i="1"/>
  <c r="E25" i="1"/>
  <c r="F68" i="1" l="1"/>
  <c r="H56" i="1"/>
  <c r="I56" i="1" s="1"/>
  <c r="H58" i="1"/>
  <c r="I58" i="1" s="1"/>
  <c r="F27" i="1"/>
  <c r="E83" i="1"/>
  <c r="F83" i="1"/>
  <c r="E75" i="1"/>
  <c r="F75" i="1"/>
  <c r="E32" i="1"/>
  <c r="E36" i="1" s="1"/>
  <c r="F32" i="1"/>
  <c r="E27" i="1"/>
  <c r="G27" i="1" l="1"/>
  <c r="H27" i="1" s="1"/>
  <c r="G68" i="1"/>
  <c r="H68" i="1" s="1"/>
  <c r="G83" i="1"/>
  <c r="G75" i="1"/>
  <c r="G32" i="1"/>
  <c r="D32" i="1"/>
  <c r="I68" i="1" l="1"/>
  <c r="D36" i="1"/>
  <c r="H75" i="1"/>
  <c r="H32" i="1"/>
  <c r="H83" i="1"/>
  <c r="C96" i="1"/>
  <c r="B121" i="1" s="1"/>
  <c r="E47" i="1" l="1"/>
  <c r="E49" i="1" s="1"/>
  <c r="F47" i="1"/>
  <c r="F49" i="1" s="1"/>
  <c r="G49" i="1" l="1"/>
  <c r="H49" i="1" l="1"/>
  <c r="E40" i="1" l="1"/>
  <c r="F40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K52" i="2" l="1"/>
  <c r="J52" i="2" l="1"/>
  <c r="Q47" i="2" s="1"/>
  <c r="B120" i="1"/>
  <c r="G12" i="2" l="1"/>
  <c r="H12" i="2" l="1"/>
  <c r="G50" i="2"/>
  <c r="F36" i="1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H36" i="2"/>
  <c r="H31" i="2"/>
  <c r="G37" i="2"/>
  <c r="G45" i="2"/>
  <c r="G38" i="2"/>
  <c r="G41" i="2"/>
  <c r="H48" i="2"/>
  <c r="M48" i="2" s="1"/>
  <c r="N48" i="2" s="1"/>
  <c r="M12" i="2"/>
  <c r="N12" i="2" s="1"/>
  <c r="H10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50" i="2"/>
  <c r="M50" i="2" s="1"/>
  <c r="N50" i="2" s="1"/>
  <c r="H7" i="2"/>
  <c r="M7" i="2" s="1"/>
  <c r="G52" i="2" l="1"/>
  <c r="H38" i="2"/>
  <c r="M38" i="2" s="1"/>
  <c r="N38" i="2" s="1"/>
  <c r="H26" i="2"/>
  <c r="M26" i="2" s="1"/>
  <c r="N26" i="2" s="1"/>
  <c r="H17" i="2"/>
  <c r="M17" i="2" s="1"/>
  <c r="N17" i="2" s="1"/>
  <c r="H46" i="2"/>
  <c r="M46" i="2" s="1"/>
  <c r="N46" i="2" s="1"/>
  <c r="H20" i="2"/>
  <c r="M20" i="2" s="1"/>
  <c r="N20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H21" i="2" l="1"/>
  <c r="M21" i="2" s="1"/>
  <c r="N21" i="2" s="1"/>
  <c r="B117" i="1"/>
  <c r="N8" i="2"/>
  <c r="F86" i="1"/>
  <c r="F87" i="1" s="1"/>
  <c r="F91" i="1" s="1"/>
  <c r="E86" i="1"/>
  <c r="E87" i="1" s="1"/>
  <c r="E91" i="1" s="1"/>
  <c r="D87" i="1"/>
  <c r="D91" i="1" s="1"/>
  <c r="M52" i="2" l="1"/>
  <c r="N52" i="2"/>
  <c r="G91" i="1"/>
  <c r="G87" i="1"/>
  <c r="H87" i="1" s="1"/>
  <c r="I91" i="1" l="1"/>
  <c r="B113" i="1"/>
  <c r="B118" i="1" s="1"/>
  <c r="B122" i="1" s="1"/>
  <c r="H91" i="1"/>
  <c r="L1" i="2"/>
  <c r="B112" i="1"/>
  <c r="P43" i="2" l="1"/>
  <c r="K53" i="2"/>
  <c r="O1" i="2"/>
  <c r="O2" i="2" s="1"/>
</calcChain>
</file>

<file path=xl/sharedStrings.xml><?xml version="1.0" encoding="utf-8"?>
<sst xmlns="http://schemas.openxmlformats.org/spreadsheetml/2006/main" count="204" uniqueCount="146">
  <si>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</si>
  <si>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</si>
  <si>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</si>
  <si>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</si>
  <si>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</si>
  <si>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</si>
  <si>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</si>
  <si>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</si>
  <si>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</si>
  <si>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</si>
  <si>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</si>
  <si>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</si>
  <si>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</si>
  <si>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</si>
  <si>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</si>
  <si>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</si>
  <si>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TOTAL GASTOS GENERALES / MANTENIMIENTO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</si>
  <si>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</si>
  <si>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</si>
  <si>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</si>
  <si>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</si>
  <si>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</si>
  <si>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</si>
  <si>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</si>
  <si>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</si>
  <si>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TOTAL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</si>
  <si>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</si>
  <si>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</si>
  <si>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</si>
  <si>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</si>
  <si>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</si>
  <si>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</si>
  <si>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</si>
  <si>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</si>
  <si>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</si>
  <si>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</si>
  <si>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</si>
  <si>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</si>
  <si>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</si>
  <si>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</si>
  <si>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</si>
  <si>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</si>
  <si>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</si>
  <si>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</si>
  <si>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</si>
  <si>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</si>
  <si>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</si>
  <si>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</si>
  <si>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</si>
  <si>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</si>
  <si>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</si>
  <si>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</si>
  <si>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</si>
  <si>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</si>
  <si>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</si>
  <si>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</si>
  <si>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</si>
  <si>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</si>
  <si>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Expensas ord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</si>
  <si>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</si>
  <si>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</si>
  <si>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</si>
  <si>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</si>
  <si>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</si>
  <si>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</si>
  <si>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</si>
  <si>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</si>
  <si>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</si>
  <si>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</si>
  <si>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</si>
  <si>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</si>
  <si>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</si>
  <si>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</si>
  <si>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</si>
  <si>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</si>
  <si>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</si>
  <si>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</si>
  <si>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</si>
  <si>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</si>
  <si>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</si>
  <si>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</si>
  <si>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</si>
  <si>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</si>
  <si>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LUSENSKY, CARLOS</t>
  </si>
  <si>
    <t>Redondeo</t>
  </si>
  <si>
    <t>GASTOS EXTRAORDINARIOS</t>
  </si>
  <si>
    <t>Egresos Extraordinarios</t>
  </si>
  <si>
    <t>Egresos Ordinarios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</si>
  <si>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</si>
  <si>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</si>
  <si>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</si>
  <si>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</si>
  <si>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</si>
  <si>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</si>
  <si>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</si>
  <si>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</si>
  <si>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</si>
  <si>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</si>
  <si>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</si>
  <si>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</si>
  <si>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>EXPENSAS EXTRA:</t>
  </si>
  <si>
    <t>extra</t>
  </si>
  <si>
    <t xml:space="preserve">FONDO DE GASTOS ORDINARIOS </t>
  </si>
  <si>
    <t>ARCA</t>
  </si>
  <si>
    <t>FEUILLANT, GASTON</t>
  </si>
  <si>
    <t>Contessi - Mantenimiento de ascensores</t>
  </si>
  <si>
    <t>BALBOA, ARIEL</t>
  </si>
  <si>
    <t xml:space="preserve">Sr. Diego Britez </t>
  </si>
  <si>
    <t>GASTOS PARTICULARES</t>
  </si>
  <si>
    <t xml:space="preserve">Numero 1859135 Debito automatico </t>
  </si>
  <si>
    <t>SEGURO OBLIGATORIO SR DIEGO BRITEZ FEDERACION PATRONAL DEBITO AUTOMATICO</t>
  </si>
  <si>
    <t>Macarena</t>
  </si>
  <si>
    <t>Subidos en en3r0 de 2026</t>
  </si>
  <si>
    <t>RODRIGUEZ, JORGE AGUSTIN</t>
  </si>
  <si>
    <t>Sum - Gastos Part.</t>
  </si>
  <si>
    <t>A abonar 2do Vto.</t>
  </si>
  <si>
    <t>A abonar 1er Vto.</t>
  </si>
  <si>
    <t>CABARITI, JOSE LUIS</t>
  </si>
  <si>
    <r>
      <t xml:space="preserve">Los gastos que se encuentras </t>
    </r>
    <r>
      <rPr>
        <b/>
        <u/>
        <sz val="14"/>
        <rFont val="Calibri"/>
        <family val="2"/>
        <scheme val="minor"/>
      </rPr>
      <t>subrayados</t>
    </r>
    <r>
      <rPr>
        <sz val="14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son los que corresponden tanto a las unidades funcionales como tambien al local</t>
    </r>
  </si>
  <si>
    <t>BORRAR A MAURO MARANTE DE MAILS</t>
  </si>
  <si>
    <t>Alterini Guido - Mantenimiento jardineria</t>
  </si>
  <si>
    <t>Articulos de limpieza - Para pileta</t>
  </si>
  <si>
    <t xml:space="preserve">Articulos de limpieza </t>
  </si>
  <si>
    <t>Cerrajeria - Servicio de cerrajeria sobre control de acceso</t>
  </si>
  <si>
    <t>Entendiendo que en su momento, se le habia cobrado al Sr. Simonassi $3.000.000, la diferencia entre lo gastado ($6.579.071,62) y el monto mencionado se prorrateara como extraordinario en los proximos dos meses ($1.789.535)</t>
  </si>
  <si>
    <t>VTO: 17/08</t>
  </si>
  <si>
    <t>PERÍODO: JULIO</t>
  </si>
  <si>
    <t>Honorarios JULIO + SAC</t>
  </si>
  <si>
    <t>Fumigacion - Mes de JULIO</t>
  </si>
  <si>
    <t>Mes de JUNIO</t>
  </si>
  <si>
    <t>MP:1148 - Mes de JUNIO - Se adeuda JULIO</t>
  </si>
  <si>
    <t>Ingreso mes de JUNIO</t>
  </si>
  <si>
    <t>SA seguridad - En concepto de servicio tecnico realizado por sistema cctv camaras de seguridad</t>
  </si>
  <si>
    <t>Gastañaga Sebastian - Encarrilar y destrabar paño metalico instalacion automatica</t>
  </si>
  <si>
    <t>Mediacion Sr. Simonassi</t>
  </si>
  <si>
    <t>Doartero julio - Rreparacion techo de baño - Mano de obra y materiales</t>
  </si>
  <si>
    <t>Contessi - Provision y colocacion de 40 litros de aceite hidraulico a la central del montaautos</t>
  </si>
  <si>
    <t>Energroup - Mes anterior</t>
  </si>
  <si>
    <t>Casa Ruan - Compra de materiales electricos - Luces de emergencias</t>
  </si>
  <si>
    <t>Gastañaga Sebastian - Compra de motor persiana cochera</t>
  </si>
  <si>
    <t>DÉBITO AUTOMÁTICO – DEUDA POR OBRA SOCIAL MAL LIQUIDADA (EXPLICADO EN EXPENSAS ANTERIORES)</t>
  </si>
  <si>
    <t>Sra. Monica  - Reemplazo</t>
  </si>
  <si>
    <t>Seguro Sra. Monica</t>
  </si>
  <si>
    <t>Gastañaga Sebastian - Desinstalacion e instalacion del paño metalico con soldaduras laterales - Sustitucion de 6 barillas metalicas galvaizadas microperforadas - Cambio de flejes y renovacion de paños</t>
  </si>
  <si>
    <t xml:space="preserve">Casa Ruan - compra de materiales electricos  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</si>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</sst>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-&quot;$&quot;\ * #,##0_-;\-&quot;$&quot;\ * #,##0_-;_-&quot;$&quot;\ * &quot;-&quot;??_-;_-@_-"/>
    <numFmt numFmtId="167" formatCode="_-* #,##0.00\ _€_-;\-* #,##0.00\ _€_-;_-* &quot;-&quot;??\ _€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u/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u/>
      <sz val="11"/>
      <name val="Calibri"/>
      <family val="2"/>
      <scheme val="minor"/>
    </font>
    <font>
      <i/>
      <u val="singleAccounting"/>
      <sz val="1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3">
    <xf numFmtId="0" fontId="0" fillId="0" borderId="0" xfId="0"/>
    <xf numFmtId="3" fontId="0" fillId="0" borderId="1" xfId="0" applyNumberFormat="1" applyBorder="1"/>
    <xf numFmtId="0" fontId="0" fillId="0" borderId="1" xfId="0" applyBorder="1"/>
    <xf numFmtId="0" fontId="0" fillId="3" borderId="0" xfId="0" applyFill="1"/>
    <xf numFmtId="4" fontId="0" fillId="0" borderId="1" xfId="0" applyNumberFormat="1" applyBorder="1"/>
    <xf numFmtId="0" fontId="0" fillId="0" borderId="7" xfId="0" applyBorder="1"/>
    <xf numFmtId="0" fontId="2" fillId="3" borderId="22" xfId="0" applyFont="1" applyFill="1" applyBorder="1"/>
    <xf numFmtId="8" fontId="0" fillId="0" borderId="0" xfId="0" applyNumberFormat="1"/>
    <xf numFmtId="0" fontId="5" fillId="6" borderId="0" xfId="0" applyFont="1" applyFill="1"/>
    <xf numFmtId="164" fontId="6" fillId="0" borderId="1" xfId="2" applyFont="1" applyBorder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0" fontId="3" fillId="0" borderId="1" xfId="0" applyFont="1" applyBorder="1"/>
    <xf numFmtId="0" fontId="3" fillId="0" borderId="0" xfId="0" applyFont="1"/>
    <xf numFmtId="164" fontId="3" fillId="0" borderId="1" xfId="0" applyNumberFormat="1" applyFont="1" applyBorder="1"/>
    <xf numFmtId="4" fontId="6" fillId="0" borderId="0" xfId="0" applyNumberFormat="1" applyFont="1"/>
    <xf numFmtId="164" fontId="0" fillId="0" borderId="0" xfId="0" applyNumberFormat="1"/>
    <xf numFmtId="166" fontId="0" fillId="0" borderId="1" xfId="1" applyNumberFormat="1" applyFont="1" applyBorder="1"/>
    <xf numFmtId="0" fontId="0" fillId="7" borderId="1" xfId="0" applyFill="1" applyBorder="1"/>
    <xf numFmtId="166" fontId="0" fillId="7" borderId="1" xfId="0" applyNumberFormat="1" applyFill="1" applyBorder="1"/>
    <xf numFmtId="3" fontId="0" fillId="7" borderId="1" xfId="0" applyNumberFormat="1" applyFill="1" applyBorder="1"/>
    <xf numFmtId="164" fontId="7" fillId="2" borderId="1" xfId="2" applyFont="1" applyFill="1" applyBorder="1"/>
    <xf numFmtId="164" fontId="3" fillId="2" borderId="1" xfId="2" applyFont="1" applyFill="1" applyBorder="1"/>
    <xf numFmtId="0" fontId="0" fillId="2" borderId="1" xfId="0" applyFill="1" applyBorder="1"/>
    <xf numFmtId="0" fontId="2" fillId="0" borderId="1" xfId="0" applyFont="1" applyBorder="1"/>
    <xf numFmtId="164" fontId="2" fillId="0" borderId="1" xfId="2" applyFont="1" applyBorder="1"/>
    <xf numFmtId="0" fontId="2" fillId="7" borderId="15" xfId="0" applyFont="1" applyFill="1" applyBorder="1"/>
    <xf numFmtId="44" fontId="2" fillId="7" borderId="17" xfId="0" applyNumberFormat="1" applyFont="1" applyFill="1" applyBorder="1"/>
    <xf numFmtId="0" fontId="2" fillId="7" borderId="27" xfId="0" applyFont="1" applyFill="1" applyBorder="1"/>
    <xf numFmtId="44" fontId="2" fillId="7" borderId="13" xfId="0" applyNumberFormat="1" applyFont="1" applyFill="1" applyBorder="1"/>
    <xf numFmtId="0" fontId="0" fillId="0" borderId="1" xfId="0" applyBorder="1" applyAlignment="1">
      <alignment horizontal="center" vertical="center"/>
    </xf>
    <xf numFmtId="44" fontId="8" fillId="4" borderId="9" xfId="1" applyFont="1" applyFill="1" applyBorder="1"/>
    <xf numFmtId="44" fontId="0" fillId="0" borderId="0" xfId="0" applyNumberFormat="1"/>
    <xf numFmtId="8" fontId="2" fillId="4" borderId="23" xfId="0" applyNumberFormat="1" applyFont="1" applyFill="1" applyBorder="1"/>
    <xf numFmtId="44" fontId="2" fillId="4" borderId="0" xfId="0" applyNumberFormat="1" applyFont="1" applyFill="1"/>
    <xf numFmtId="44" fontId="4" fillId="2" borderId="1" xfId="1" applyFont="1" applyFill="1" applyBorder="1"/>
    <xf numFmtId="0" fontId="0" fillId="0" borderId="9" xfId="0" applyBorder="1"/>
    <xf numFmtId="0" fontId="0" fillId="0" borderId="28" xfId="0" applyBorder="1"/>
    <xf numFmtId="0" fontId="0" fillId="2" borderId="28" xfId="0" applyFill="1" applyBorder="1"/>
    <xf numFmtId="8" fontId="2" fillId="4" borderId="1" xfId="0" applyNumberFormat="1" applyFont="1" applyFill="1" applyBorder="1"/>
    <xf numFmtId="8" fontId="2" fillId="2" borderId="1" xfId="0" applyNumberFormat="1" applyFont="1" applyFill="1" applyBorder="1"/>
    <xf numFmtId="44" fontId="4" fillId="2" borderId="0" xfId="1" applyFont="1" applyFill="1" applyBorder="1"/>
    <xf numFmtId="0" fontId="11" fillId="0" borderId="1" xfId="0" applyFont="1" applyBorder="1"/>
    <xf numFmtId="166" fontId="0" fillId="7" borderId="1" xfId="1" applyNumberFormat="1" applyFont="1" applyFill="1" applyBorder="1"/>
    <xf numFmtId="166" fontId="9" fillId="0" borderId="1" xfId="0" applyNumberFormat="1" applyFont="1" applyBorder="1"/>
    <xf numFmtId="166" fontId="11" fillId="0" borderId="1" xfId="0" applyNumberFormat="1" applyFont="1" applyBorder="1"/>
    <xf numFmtId="0" fontId="9" fillId="0" borderId="1" xfId="0" applyFont="1" applyBorder="1"/>
    <xf numFmtId="44" fontId="0" fillId="0" borderId="1" xfId="0" applyNumberFormat="1" applyBorder="1"/>
    <xf numFmtId="6" fontId="0" fillId="0" borderId="0" xfId="0" applyNumberFormat="1"/>
    <xf numFmtId="44" fontId="2" fillId="8" borderId="1" xfId="0" applyNumberFormat="1" applyFont="1" applyFill="1" applyBorder="1"/>
    <xf numFmtId="6" fontId="0" fillId="2" borderId="0" xfId="0" applyNumberFormat="1" applyFill="1" applyAlignment="1">
      <alignment horizontal="right" wrapText="1"/>
    </xf>
    <xf numFmtId="166" fontId="0" fillId="0" borderId="0" xfId="0" applyNumberFormat="1"/>
    <xf numFmtId="44" fontId="0" fillId="0" borderId="19" xfId="1" applyFont="1" applyBorder="1"/>
    <xf numFmtId="0" fontId="0" fillId="0" borderId="15" xfId="0" applyBorder="1"/>
    <xf numFmtId="0" fontId="0" fillId="0" borderId="17" xfId="0" applyBorder="1"/>
    <xf numFmtId="44" fontId="2" fillId="4" borderId="9" xfId="0" applyNumberFormat="1" applyFont="1" applyFill="1" applyBorder="1"/>
    <xf numFmtId="44" fontId="2" fillId="5" borderId="16" xfId="0" applyNumberFormat="1" applyFont="1" applyFill="1" applyBorder="1"/>
    <xf numFmtId="44" fontId="0" fillId="0" borderId="9" xfId="0" applyNumberFormat="1" applyBorder="1"/>
    <xf numFmtId="0" fontId="12" fillId="0" borderId="0" xfId="0" applyFont="1"/>
    <xf numFmtId="44" fontId="3" fillId="0" borderId="0" xfId="0" applyNumberFormat="1" applyFont="1"/>
    <xf numFmtId="44" fontId="0" fillId="0" borderId="0" xfId="1" applyFont="1"/>
    <xf numFmtId="44" fontId="8" fillId="4" borderId="9" xfId="0" applyNumberFormat="1" applyFont="1" applyFill="1" applyBorder="1"/>
    <xf numFmtId="44" fontId="2" fillId="4" borderId="15" xfId="0" applyNumberFormat="1" applyFont="1" applyFill="1" applyBorder="1"/>
    <xf numFmtId="0" fontId="0" fillId="2" borderId="0" xfId="0" applyFill="1"/>
    <xf numFmtId="44" fontId="12" fillId="0" borderId="0" xfId="0" applyNumberFormat="1" applyFont="1"/>
    <xf numFmtId="6" fontId="9" fillId="2" borderId="1" xfId="0" applyNumberFormat="1" applyFont="1" applyFill="1" applyBorder="1"/>
    <xf numFmtId="0" fontId="9" fillId="2" borderId="1" xfId="0" applyFont="1" applyFill="1" applyBorder="1"/>
    <xf numFmtId="0" fontId="2" fillId="2" borderId="0" xfId="0" applyFont="1" applyFill="1" applyAlignment="1">
      <alignment vertical="center" wrapText="1"/>
    </xf>
    <xf numFmtId="44" fontId="2" fillId="4" borderId="1" xfId="0" applyNumberFormat="1" applyFont="1" applyFill="1" applyBorder="1"/>
    <xf numFmtId="44" fontId="2" fillId="4" borderId="1" xfId="1" applyFont="1" applyFill="1" applyBorder="1"/>
    <xf numFmtId="44" fontId="8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13" fillId="2" borderId="1" xfId="2" applyFont="1" applyFill="1" applyBorder="1"/>
    <xf numFmtId="43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44" fontId="8" fillId="5" borderId="16" xfId="0" applyNumberFormat="1" applyFont="1" applyFill="1" applyBorder="1"/>
    <xf numFmtId="44" fontId="0" fillId="0" borderId="0" xfId="0" applyNumberFormat="1" applyAlignment="1">
      <alignment horizontal="left"/>
    </xf>
    <xf numFmtId="0" fontId="0" fillId="0" borderId="6" xfId="0" applyBorder="1"/>
    <xf numFmtId="10" fontId="2" fillId="5" borderId="19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66" fontId="3" fillId="7" borderId="1" xfId="0" applyNumberFormat="1" applyFont="1" applyFill="1" applyBorder="1"/>
    <xf numFmtId="4" fontId="4" fillId="0" borderId="1" xfId="0" applyNumberFormat="1" applyFont="1" applyBorder="1"/>
    <xf numFmtId="166" fontId="9" fillId="7" borderId="1" xfId="1" applyNumberFormat="1" applyFont="1" applyFill="1" applyBorder="1"/>
    <xf numFmtId="6" fontId="14" fillId="2" borderId="1" xfId="0" applyNumberFormat="1" applyFont="1" applyFill="1" applyBorder="1"/>
    <xf numFmtId="165" fontId="7" fillId="2" borderId="1" xfId="2" applyNumberFormat="1" applyFont="1" applyFill="1" applyBorder="1"/>
    <xf numFmtId="0" fontId="0" fillId="3" borderId="20" xfId="0" applyFill="1" applyBorder="1"/>
    <xf numFmtId="44" fontId="4" fillId="3" borderId="21" xfId="0" applyNumberFormat="1" applyFont="1" applyFill="1" applyBorder="1"/>
    <xf numFmtId="0" fontId="0" fillId="3" borderId="22" xfId="0" applyFill="1" applyBorder="1"/>
    <xf numFmtId="44" fontId="4" fillId="3" borderId="0" xfId="0" applyNumberFormat="1" applyFont="1" applyFill="1"/>
    <xf numFmtId="6" fontId="4" fillId="3" borderId="23" xfId="0" applyNumberFormat="1" applyFont="1" applyFill="1" applyBorder="1"/>
    <xf numFmtId="6" fontId="0" fillId="3" borderId="0" xfId="0" applyNumberFormat="1" applyFill="1" applyAlignment="1">
      <alignment horizontal="right" wrapText="1"/>
    </xf>
    <xf numFmtId="6" fontId="4" fillId="3" borderId="23" xfId="0" applyNumberFormat="1" applyFont="1" applyFill="1" applyBorder="1" applyAlignment="1">
      <alignment horizontal="right" wrapText="1"/>
    </xf>
    <xf numFmtId="0" fontId="0" fillId="3" borderId="27" xfId="0" applyFill="1" applyBorder="1"/>
    <xf numFmtId="0" fontId="0" fillId="3" borderId="12" xfId="0" applyFill="1" applyBorder="1"/>
    <xf numFmtId="6" fontId="0" fillId="3" borderId="12" xfId="0" applyNumberFormat="1" applyFill="1" applyBorder="1" applyAlignment="1">
      <alignment horizontal="right" wrapText="1"/>
    </xf>
    <xf numFmtId="0" fontId="10" fillId="3" borderId="13" xfId="0" applyFont="1" applyFill="1" applyBorder="1"/>
    <xf numFmtId="0" fontId="4" fillId="2" borderId="1" xfId="0" applyFont="1" applyFill="1" applyBorder="1"/>
    <xf numFmtId="44" fontId="4" fillId="2" borderId="9" xfId="1" applyFont="1" applyFill="1" applyBorder="1"/>
    <xf numFmtId="44" fontId="4" fillId="0" borderId="9" xfId="1" applyFont="1" applyBorder="1"/>
    <xf numFmtId="44" fontId="4" fillId="0" borderId="1" xfId="1" applyFont="1" applyBorder="1"/>
    <xf numFmtId="166" fontId="4" fillId="2" borderId="1" xfId="1" applyNumberFormat="1" applyFont="1" applyFill="1" applyBorder="1"/>
    <xf numFmtId="0" fontId="2" fillId="3" borderId="0" xfId="0" applyFont="1" applyFill="1"/>
    <xf numFmtId="0" fontId="0" fillId="3" borderId="23" xfId="0" applyFill="1" applyBorder="1"/>
    <xf numFmtId="0" fontId="2" fillId="3" borderId="12" xfId="0" applyFont="1" applyFill="1" applyBorder="1"/>
    <xf numFmtId="0" fontId="0" fillId="3" borderId="13" xfId="0" applyFill="1" applyBorder="1"/>
    <xf numFmtId="0" fontId="8" fillId="3" borderId="27" xfId="0" applyFont="1" applyFill="1" applyBorder="1"/>
    <xf numFmtId="0" fontId="8" fillId="3" borderId="12" xfId="0" applyFont="1" applyFill="1" applyBorder="1"/>
    <xf numFmtId="0" fontId="8" fillId="0" borderId="0" xfId="0" applyFont="1"/>
    <xf numFmtId="0" fontId="8" fillId="5" borderId="20" xfId="0" applyFont="1" applyFill="1" applyBorder="1"/>
    <xf numFmtId="0" fontId="8" fillId="5" borderId="18" xfId="0" applyFont="1" applyFill="1" applyBorder="1"/>
    <xf numFmtId="10" fontId="8" fillId="5" borderId="18" xfId="0" applyNumberFormat="1" applyFont="1" applyFill="1" applyBorder="1"/>
    <xf numFmtId="0" fontId="4" fillId="5" borderId="18" xfId="0" applyFont="1" applyFill="1" applyBorder="1"/>
    <xf numFmtId="0" fontId="20" fillId="0" borderId="1" xfId="0" applyFont="1" applyBorder="1"/>
    <xf numFmtId="0" fontId="8" fillId="4" borderId="1" xfId="0" applyFont="1" applyFill="1" applyBorder="1"/>
    <xf numFmtId="0" fontId="15" fillId="0" borderId="1" xfId="0" applyFont="1" applyBorder="1"/>
    <xf numFmtId="0" fontId="15" fillId="2" borderId="1" xfId="0" applyFont="1" applyFill="1" applyBorder="1"/>
    <xf numFmtId="0" fontId="8" fillId="2" borderId="1" xfId="0" applyFont="1" applyFill="1" applyBorder="1"/>
    <xf numFmtId="0" fontId="4" fillId="4" borderId="1" xfId="0" applyFont="1" applyFill="1" applyBorder="1"/>
    <xf numFmtId="0" fontId="4" fillId="0" borderId="9" xfId="0" applyFont="1" applyBorder="1" applyAlignment="1">
      <alignment vertical="center"/>
    </xf>
    <xf numFmtId="0" fontId="4" fillId="0" borderId="10" xfId="0" applyFont="1" applyBorder="1"/>
    <xf numFmtId="0" fontId="4" fillId="0" borderId="11" xfId="0" applyFont="1" applyBorder="1"/>
    <xf numFmtId="16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8" fillId="8" borderId="1" xfId="0" applyFont="1" applyFill="1" applyBorder="1"/>
    <xf numFmtId="0" fontId="4" fillId="0" borderId="22" xfId="0" applyFont="1" applyBorder="1"/>
    <xf numFmtId="0" fontId="8" fillId="5" borderId="15" xfId="0" applyFont="1" applyFill="1" applyBorder="1"/>
    <xf numFmtId="10" fontId="8" fillId="5" borderId="16" xfId="0" applyNumberFormat="1" applyFont="1" applyFill="1" applyBorder="1"/>
    <xf numFmtId="0" fontId="8" fillId="5" borderId="16" xfId="0" applyFont="1" applyFill="1" applyBorder="1"/>
    <xf numFmtId="0" fontId="8" fillId="9" borderId="15" xfId="0" applyFont="1" applyFill="1" applyBorder="1"/>
    <xf numFmtId="0" fontId="4" fillId="9" borderId="19" xfId="0" applyFont="1" applyFill="1" applyBorder="1"/>
    <xf numFmtId="167" fontId="0" fillId="0" borderId="0" xfId="0" applyNumberFormat="1"/>
    <xf numFmtId="44" fontId="4" fillId="0" borderId="11" xfId="0" applyNumberFormat="1" applyFont="1" applyBorder="1"/>
    <xf numFmtId="0" fontId="4" fillId="2" borderId="10" xfId="0" applyFont="1" applyFill="1" applyBorder="1"/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44" fontId="2" fillId="8" borderId="1" xfId="1" applyFont="1" applyFill="1" applyBorder="1"/>
    <xf numFmtId="0" fontId="8" fillId="8" borderId="9" xfId="0" applyFont="1" applyFill="1" applyBorder="1"/>
    <xf numFmtId="44" fontId="8" fillId="8" borderId="1" xfId="1" applyFont="1" applyFill="1" applyBorder="1"/>
    <xf numFmtId="0" fontId="4" fillId="0" borderId="29" xfId="0" applyFont="1" applyBorder="1"/>
    <xf numFmtId="0" fontId="0" fillId="0" borderId="29" xfId="0" applyBorder="1"/>
    <xf numFmtId="44" fontId="2" fillId="5" borderId="17" xfId="0" applyNumberFormat="1" applyFont="1" applyFill="1" applyBorder="1"/>
    <xf numFmtId="0" fontId="9" fillId="0" borderId="1" xfId="0" applyFont="1" applyBorder="1" applyAlignment="1">
      <alignment horizontal="center" vertical="center"/>
    </xf>
    <xf numFmtId="0" fontId="4" fillId="2" borderId="9" xfId="0" applyFont="1" applyFill="1" applyBorder="1"/>
    <xf numFmtId="0" fontId="4" fillId="2" borderId="9" xfId="0" applyFont="1" applyFill="1" applyBorder="1" applyAlignment="1">
      <alignment vertical="center"/>
    </xf>
    <xf numFmtId="166" fontId="4" fillId="0" borderId="1" xfId="1" applyNumberFormat="1" applyFont="1" applyBorder="1"/>
    <xf numFmtId="0" fontId="22" fillId="2" borderId="10" xfId="0" applyFont="1" applyFill="1" applyBorder="1" applyAlignment="1">
      <alignment horizontal="left" vertical="center" wrapText="1"/>
    </xf>
    <xf numFmtId="0" fontId="22" fillId="2" borderId="11" xfId="0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left" vertical="center"/>
    </xf>
    <xf numFmtId="44" fontId="0" fillId="0" borderId="1" xfId="1" applyFont="1" applyBorder="1"/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43" fontId="2" fillId="3" borderId="18" xfId="3" applyFont="1" applyFill="1" applyBorder="1" applyAlignment="1"/>
    <xf numFmtId="43" fontId="2" fillId="3" borderId="21" xfId="3" applyFont="1" applyFill="1" applyBorder="1" applyAlignment="1"/>
    <xf numFmtId="0" fontId="0" fillId="9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7" fillId="7" borderId="8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44" fontId="21" fillId="0" borderId="9" xfId="0" applyNumberFormat="1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left" vertical="center" wrapText="1"/>
    </xf>
    <xf numFmtId="0" fontId="22" fillId="2" borderId="11" xfId="0" applyFont="1" applyFill="1" applyBorder="1" applyAlignment="1">
      <alignment horizontal="left" vertical="center" wrapText="1"/>
    </xf>
    <xf numFmtId="44" fontId="4" fillId="0" borderId="9" xfId="0" applyNumberFormat="1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23" fillId="9" borderId="0" xfId="0" applyFont="1" applyFill="1" applyAlignment="1">
      <alignment horizontal="left" vertical="center" wrapText="1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44" fontId="0" fillId="3" borderId="18" xfId="0" applyNumberFormat="1" applyFill="1" applyBorder="1" applyAlignment="1">
      <alignment horizontal="center" wrapText="1"/>
    </xf>
    <xf numFmtId="6" fontId="0" fillId="3" borderId="18" xfId="0" applyNumberFormat="1" applyFill="1" applyBorder="1" applyAlignment="1">
      <alignment horizont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44" fontId="12" fillId="10" borderId="1" xfId="1" applyFont="1" applyFill="1" applyBorder="1"/>
    <xf numFmtId="0" fontId="15" fillId="0" borderId="9" xfId="0" applyFont="1" applyBorder="1" applyAlignment="1">
      <alignment horizontal="left" wrapText="1"/>
    </xf>
    <xf numFmtId="0" fontId="15" fillId="0" borderId="10" xfId="0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44" fontId="12" fillId="10" borderId="9" xfId="1" applyFont="1" applyFill="1" applyBorder="1"/>
    <xf numFmtId="0" fontId="0" fillId="0" borderId="20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166" fontId="12" fillId="2" borderId="1" xfId="1" applyNumberFormat="1" applyFont="1" applyFill="1" applyBorder="1"/>
    <xf numFmtId="166" fontId="12" fillId="0" borderId="1" xfId="1" applyNumberFormat="1" applyFont="1" applyBorder="1"/>
    <xf numFmtId="0" fontId="4" fillId="9" borderId="9" xfId="0" applyFont="1" applyFill="1" applyBorder="1"/>
    <xf numFmtId="44" fontId="0" fillId="0" borderId="21" xfId="1" applyFont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339725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0"/>
  <sheetViews>
    <sheetView topLeftCell="A114" workbookViewId="0">
      <selection activeCell="H102" sqref="H102"/>
    </sheetView>
  </sheetViews>
  <sheetFormatPr baseColWidth="10" defaultColWidth="10.85546875" defaultRowHeight="15" x14ac:dyDescent="0.25"/>
  <cols>
    <col min="1" max="1" width="34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7" width="15.85546875" customWidth="1"/>
    <col min="8" max="8" width="14.85546875" customWidth="1"/>
    <col min="9" max="9" width="13" bestFit="1" customWidth="1"/>
    <col min="10" max="10" width="14.5703125" bestFit="1" customWidth="1"/>
    <col min="12" max="12" width="18" customWidth="1"/>
    <col min="13" max="13" width="18.28515625" customWidth="1"/>
  </cols>
  <sheetData>
    <row r="1" spans="1:6" x14ac:dyDescent="0.25">
      <c r="A1" s="88"/>
      <c r="B1" s="156" t="s">
        <v>89</v>
      </c>
      <c r="C1" s="156"/>
      <c r="D1" s="156"/>
      <c r="E1" s="156"/>
      <c r="F1" s="157"/>
    </row>
    <row r="2" spans="1:6" x14ac:dyDescent="0.25">
      <c r="A2" s="6"/>
      <c r="B2" s="104" t="s">
        <v>0</v>
      </c>
      <c r="C2" s="104"/>
      <c r="D2" s="104"/>
      <c r="E2" s="104"/>
      <c r="F2" s="105"/>
    </row>
    <row r="3" spans="1:6" x14ac:dyDescent="0.25">
      <c r="A3" s="6"/>
      <c r="B3" s="104" t="s">
        <v>61</v>
      </c>
      <c r="C3" s="104"/>
      <c r="D3" s="104"/>
      <c r="E3" s="104"/>
      <c r="F3" s="105"/>
    </row>
    <row r="4" spans="1:6" ht="33.75" customHeight="1" x14ac:dyDescent="0.25">
      <c r="A4" s="6"/>
      <c r="B4" s="104" t="s">
        <v>62</v>
      </c>
      <c r="C4" s="104"/>
      <c r="D4" s="104"/>
      <c r="E4" s="104"/>
      <c r="F4" s="105"/>
    </row>
    <row r="5" spans="1:6" x14ac:dyDescent="0.25">
      <c r="A5" s="6" t="s">
        <v>1</v>
      </c>
      <c r="B5" s="104" t="s">
        <v>126</v>
      </c>
      <c r="C5" s="104" t="s">
        <v>125</v>
      </c>
      <c r="D5" s="104"/>
      <c r="E5" s="104"/>
      <c r="F5" s="105"/>
    </row>
    <row r="6" spans="1:6" x14ac:dyDescent="0.25">
      <c r="A6" s="6" t="s">
        <v>72</v>
      </c>
      <c r="B6" s="104"/>
      <c r="C6" s="104"/>
      <c r="D6" s="104"/>
      <c r="E6" s="104"/>
      <c r="F6" s="105"/>
    </row>
    <row r="7" spans="1:6" ht="15.75" thickBot="1" x14ac:dyDescent="0.3">
      <c r="A7" s="108" t="s">
        <v>71</v>
      </c>
      <c r="B7" s="109"/>
      <c r="C7" s="109"/>
      <c r="D7" s="109"/>
      <c r="E7" s="106"/>
      <c r="F7" s="107"/>
    </row>
    <row r="8" spans="1:6" x14ac:dyDescent="0.25">
      <c r="A8" s="76"/>
      <c r="B8" s="76"/>
      <c r="C8" s="76"/>
      <c r="D8" s="76"/>
    </row>
    <row r="9" spans="1:6" hidden="1" x14ac:dyDescent="0.25">
      <c r="A9" s="76"/>
      <c r="B9" s="76"/>
      <c r="C9" s="76"/>
      <c r="D9" s="76"/>
    </row>
    <row r="10" spans="1:6" hidden="1" x14ac:dyDescent="0.25">
      <c r="A10" s="76"/>
      <c r="B10" s="76"/>
      <c r="C10" s="76"/>
      <c r="D10" s="76"/>
    </row>
    <row r="11" spans="1:6" hidden="1" x14ac:dyDescent="0.25">
      <c r="A11" s="76"/>
      <c r="B11" s="76"/>
      <c r="C11" s="76"/>
      <c r="D11" s="76"/>
    </row>
    <row r="12" spans="1:6" hidden="1" x14ac:dyDescent="0.25">
      <c r="A12" s="76"/>
      <c r="B12" s="76"/>
      <c r="C12" s="76"/>
      <c r="D12" s="76"/>
    </row>
    <row r="13" spans="1:6" x14ac:dyDescent="0.25">
      <c r="A13" s="76"/>
      <c r="B13" s="76"/>
      <c r="C13" s="76"/>
      <c r="D13" s="76"/>
    </row>
    <row r="14" spans="1:6" x14ac:dyDescent="0.25">
      <c r="A14" s="76"/>
      <c r="B14" s="160" t="s">
        <v>118</v>
      </c>
      <c r="C14" s="161"/>
      <c r="D14" s="162"/>
    </row>
    <row r="15" spans="1:6" x14ac:dyDescent="0.25">
      <c r="A15" s="76"/>
      <c r="B15" s="163"/>
      <c r="C15" s="164"/>
      <c r="D15" s="165"/>
    </row>
    <row r="16" spans="1:6" x14ac:dyDescent="0.25">
      <c r="A16" s="76"/>
      <c r="B16" s="163"/>
      <c r="C16" s="164"/>
      <c r="D16" s="165"/>
    </row>
    <row r="17" spans="1:8" x14ac:dyDescent="0.25">
      <c r="A17" s="76"/>
      <c r="B17" s="166"/>
      <c r="C17" s="167"/>
      <c r="D17" s="168"/>
    </row>
    <row r="18" spans="1:8" x14ac:dyDescent="0.25">
      <c r="A18" s="76"/>
      <c r="B18" s="76"/>
      <c r="C18" s="76"/>
      <c r="D18" s="76"/>
    </row>
    <row r="19" spans="1:8" x14ac:dyDescent="0.25">
      <c r="A19" s="110"/>
      <c r="B19" s="76"/>
      <c r="C19" s="76"/>
      <c r="D19" s="76"/>
    </row>
    <row r="20" spans="1:8" ht="15.75" thickBot="1" x14ac:dyDescent="0.3">
      <c r="A20" s="76"/>
      <c r="B20" s="76"/>
      <c r="C20" s="76"/>
      <c r="D20" s="76"/>
    </row>
    <row r="21" spans="1:8" ht="15.75" thickBot="1" x14ac:dyDescent="0.3">
      <c r="A21" s="111" t="s">
        <v>59</v>
      </c>
      <c r="B21" s="112"/>
      <c r="C21" s="113"/>
      <c r="D21" s="114"/>
      <c r="E21" s="81" t="s">
        <v>92</v>
      </c>
      <c r="F21" s="82" t="s">
        <v>60</v>
      </c>
    </row>
    <row r="22" spans="1:8" x14ac:dyDescent="0.25">
      <c r="A22" s="115" t="s">
        <v>107</v>
      </c>
      <c r="B22" s="77" t="s">
        <v>127</v>
      </c>
      <c r="C22" s="77"/>
      <c r="D22" s="146"/>
      <c r="E22" s="80"/>
      <c r="F22" s="80"/>
    </row>
    <row r="23" spans="1:8" x14ac:dyDescent="0.25">
      <c r="A23" s="115" t="s">
        <v>96</v>
      </c>
      <c r="B23" s="77"/>
      <c r="C23" s="77"/>
      <c r="D23" s="213">
        <v>1721576.91</v>
      </c>
      <c r="E23" s="48">
        <f>D23*91.91%</f>
        <v>1582301.3379809998</v>
      </c>
      <c r="F23" s="48">
        <f>D23*8.09%</f>
        <v>139275.57201899998</v>
      </c>
    </row>
    <row r="24" spans="1:8" x14ac:dyDescent="0.25">
      <c r="A24" s="115" t="s">
        <v>2</v>
      </c>
      <c r="B24" s="77"/>
      <c r="C24" s="77"/>
      <c r="D24" s="213">
        <v>-374442.91</v>
      </c>
      <c r="E24" s="48">
        <f t="shared" ref="E24:E26" si="0">D24*91.91%</f>
        <v>-344150.47858099994</v>
      </c>
      <c r="F24" s="48">
        <f t="shared" ref="F24:F26" si="1">D24*8.09%</f>
        <v>-30292.431418999997</v>
      </c>
      <c r="G24" s="33"/>
    </row>
    <row r="25" spans="1:8" x14ac:dyDescent="0.25">
      <c r="A25" s="115" t="s">
        <v>84</v>
      </c>
      <c r="B25" s="77"/>
      <c r="C25" s="77"/>
      <c r="D25" s="100">
        <v>0</v>
      </c>
      <c r="E25" s="48">
        <f t="shared" si="0"/>
        <v>0</v>
      </c>
      <c r="F25" s="48">
        <f t="shared" si="1"/>
        <v>0</v>
      </c>
    </row>
    <row r="26" spans="1:8" x14ac:dyDescent="0.25">
      <c r="A26" s="115"/>
      <c r="B26" s="77"/>
      <c r="C26" s="77"/>
      <c r="D26" s="100"/>
      <c r="E26" s="48">
        <f t="shared" si="0"/>
        <v>0</v>
      </c>
      <c r="F26" s="48">
        <f t="shared" si="1"/>
        <v>0</v>
      </c>
    </row>
    <row r="27" spans="1:8" ht="14.25" customHeight="1" x14ac:dyDescent="0.25">
      <c r="A27" s="116" t="s">
        <v>3</v>
      </c>
      <c r="B27" s="116"/>
      <c r="C27" s="116"/>
      <c r="D27" s="32">
        <f>SUM(D23:D26)</f>
        <v>1347134</v>
      </c>
      <c r="E27" s="32">
        <f>SUM(E23:E26)</f>
        <v>1238150.8594</v>
      </c>
      <c r="F27" s="32">
        <f>SUM(F23:F26)</f>
        <v>108983.14059999998</v>
      </c>
      <c r="G27" s="33">
        <f>E27+F27</f>
        <v>1347134</v>
      </c>
      <c r="H27" s="59" t="str">
        <f>IF(D27=G27, "", "Error")</f>
        <v/>
      </c>
    </row>
    <row r="28" spans="1:8" hidden="1" x14ac:dyDescent="0.25">
      <c r="A28" s="117" t="s">
        <v>82</v>
      </c>
      <c r="B28" s="77"/>
      <c r="C28" s="77"/>
      <c r="D28" s="101">
        <v>0</v>
      </c>
      <c r="E28" s="48">
        <f>D28*91.91%</f>
        <v>0</v>
      </c>
      <c r="F28" s="48">
        <f>D28*8.09%</f>
        <v>0</v>
      </c>
      <c r="H28" s="59"/>
    </row>
    <row r="29" spans="1:8" hidden="1" x14ac:dyDescent="0.25">
      <c r="A29" s="117"/>
      <c r="B29" s="77"/>
      <c r="C29" s="77"/>
      <c r="D29" s="100">
        <v>0</v>
      </c>
      <c r="E29" s="48">
        <f>D29*91.91%</f>
        <v>0</v>
      </c>
      <c r="F29" s="48">
        <f>D29*8.09%</f>
        <v>0</v>
      </c>
      <c r="H29" s="59"/>
    </row>
    <row r="30" spans="1:8" hidden="1" x14ac:dyDescent="0.25">
      <c r="A30" s="117"/>
      <c r="B30" s="77"/>
      <c r="C30" s="77"/>
      <c r="D30" s="100"/>
      <c r="E30" s="2"/>
      <c r="F30" s="2"/>
      <c r="H30" s="59"/>
    </row>
    <row r="31" spans="1:8" hidden="1" x14ac:dyDescent="0.25">
      <c r="A31" s="117"/>
      <c r="B31" s="77"/>
      <c r="C31" s="77"/>
      <c r="D31" s="100"/>
      <c r="E31" s="2"/>
      <c r="F31" s="2"/>
      <c r="H31" s="59"/>
    </row>
    <row r="32" spans="1:8" hidden="1" x14ac:dyDescent="0.25">
      <c r="A32" s="116" t="s">
        <v>88</v>
      </c>
      <c r="B32" s="116"/>
      <c r="C32" s="116"/>
      <c r="D32" s="32">
        <f>SUM(D28:D30)</f>
        <v>0</v>
      </c>
      <c r="E32" s="32">
        <f t="shared" ref="E32:F32" si="2">SUM(E28:E30)</f>
        <v>0</v>
      </c>
      <c r="F32" s="32">
        <f t="shared" si="2"/>
        <v>0</v>
      </c>
      <c r="G32" s="33">
        <f>E32+F32</f>
        <v>0</v>
      </c>
      <c r="H32" s="59" t="str">
        <f>IF(D32=G32, "", "Error")</f>
        <v/>
      </c>
    </row>
    <row r="33" spans="1:8" hidden="1" x14ac:dyDescent="0.25">
      <c r="A33" s="117"/>
      <c r="B33" s="77"/>
      <c r="C33" s="77"/>
      <c r="D33" s="101"/>
      <c r="E33" s="48">
        <f>D33*91.91%</f>
        <v>0</v>
      </c>
      <c r="F33" s="48">
        <f>D33*8.09%</f>
        <v>0</v>
      </c>
      <c r="H33" s="59"/>
    </row>
    <row r="34" spans="1:8" hidden="1" x14ac:dyDescent="0.25">
      <c r="A34" s="77"/>
      <c r="B34" s="77"/>
      <c r="C34" s="77"/>
      <c r="D34" s="100"/>
      <c r="E34" s="48">
        <f t="shared" ref="E34:E35" si="3">D34*91.91%</f>
        <v>0</v>
      </c>
      <c r="F34" s="48">
        <f t="shared" ref="F34:F35" si="4">D34*8.09%</f>
        <v>0</v>
      </c>
      <c r="H34" s="59"/>
    </row>
    <row r="35" spans="1:8" ht="12" hidden="1" customHeight="1" x14ac:dyDescent="0.25">
      <c r="A35" s="117"/>
      <c r="B35" s="77"/>
      <c r="C35" s="77"/>
      <c r="D35" s="100"/>
      <c r="E35" s="48">
        <f t="shared" si="3"/>
        <v>0</v>
      </c>
      <c r="F35" s="48">
        <f t="shared" si="4"/>
        <v>0</v>
      </c>
      <c r="H35" s="59"/>
    </row>
    <row r="36" spans="1:8" ht="14.25" hidden="1" customHeight="1" x14ac:dyDescent="0.25">
      <c r="A36" s="116" t="s">
        <v>97</v>
      </c>
      <c r="B36" s="116"/>
      <c r="C36" s="116"/>
      <c r="D36" s="32">
        <f>SUM(D29:D35)</f>
        <v>0</v>
      </c>
      <c r="E36" s="32">
        <f t="shared" ref="E36" si="5">SUM(E29:E35)</f>
        <v>0</v>
      </c>
      <c r="F36" s="40">
        <f>E36*8.09%</f>
        <v>0</v>
      </c>
      <c r="H36" s="59"/>
    </row>
    <row r="37" spans="1:8" ht="0.6" hidden="1" customHeight="1" x14ac:dyDescent="0.25">
      <c r="A37" s="118"/>
      <c r="B37" s="99"/>
      <c r="C37" s="99"/>
      <c r="D37" s="100"/>
      <c r="E37" s="41"/>
      <c r="F37" s="41"/>
      <c r="H37" s="59"/>
    </row>
    <row r="38" spans="1:8" hidden="1" x14ac:dyDescent="0.25">
      <c r="A38" s="118"/>
      <c r="B38" s="99"/>
      <c r="C38" s="99"/>
      <c r="D38" s="100"/>
      <c r="E38" s="41"/>
      <c r="F38" s="41"/>
      <c r="H38" s="59"/>
    </row>
    <row r="39" spans="1:8" hidden="1" x14ac:dyDescent="0.25">
      <c r="A39" s="99"/>
      <c r="B39" s="99"/>
      <c r="C39" s="119"/>
      <c r="D39" s="100"/>
      <c r="E39" s="41"/>
      <c r="F39" s="41"/>
      <c r="H39" s="59"/>
    </row>
    <row r="40" spans="1:8" ht="1.1499999999999999" customHeight="1" x14ac:dyDescent="0.25">
      <c r="A40" s="116" t="s">
        <v>88</v>
      </c>
      <c r="B40" s="116"/>
      <c r="C40" s="116"/>
      <c r="D40" s="32"/>
      <c r="E40" s="35">
        <f>SUM(D37:D39)</f>
        <v>0</v>
      </c>
      <c r="F40" s="34">
        <f>(D37)*8.09%</f>
        <v>0</v>
      </c>
      <c r="H40" s="59"/>
    </row>
    <row r="41" spans="1:8" x14ac:dyDescent="0.25">
      <c r="A41" s="77" t="s">
        <v>141</v>
      </c>
      <c r="B41" s="77"/>
      <c r="C41" s="99"/>
      <c r="D41" s="209">
        <v>68000</v>
      </c>
      <c r="E41" s="48">
        <f>D41</f>
        <v>68000</v>
      </c>
      <c r="F41" s="48"/>
      <c r="H41" s="59"/>
    </row>
    <row r="42" spans="1:8" ht="15.75" thickBot="1" x14ac:dyDescent="0.3">
      <c r="A42" s="77" t="s">
        <v>142</v>
      </c>
      <c r="B42" s="77"/>
      <c r="C42" s="99"/>
      <c r="D42" s="213">
        <v>5837.2</v>
      </c>
      <c r="E42" s="48">
        <f>D42</f>
        <v>5837.2</v>
      </c>
      <c r="F42" s="48"/>
      <c r="H42" s="59"/>
    </row>
    <row r="43" spans="1:8" ht="15.75" thickBot="1" x14ac:dyDescent="0.3">
      <c r="A43" s="116" t="s">
        <v>97</v>
      </c>
      <c r="B43" s="116"/>
      <c r="C43" s="116"/>
      <c r="D43" s="32">
        <f>SUM(D41:D42)</f>
        <v>73837.2</v>
      </c>
      <c r="E43" s="63">
        <f>SUM(E41:E42)</f>
        <v>73837.2</v>
      </c>
      <c r="F43" s="69">
        <f>SUM(F41:F41)</f>
        <v>0</v>
      </c>
      <c r="G43" s="33">
        <f>E43+F43</f>
        <v>73837.2</v>
      </c>
      <c r="H43" s="59"/>
    </row>
    <row r="44" spans="1:8" x14ac:dyDescent="0.25">
      <c r="A44" s="117" t="s">
        <v>4</v>
      </c>
      <c r="B44" s="77"/>
      <c r="C44" s="77"/>
      <c r="D44" s="36"/>
      <c r="E44" s="37"/>
      <c r="F44" s="25"/>
      <c r="H44" s="59"/>
    </row>
    <row r="45" spans="1:8" x14ac:dyDescent="0.25">
      <c r="A45" s="117" t="s">
        <v>110</v>
      </c>
      <c r="B45" s="77"/>
      <c r="C45" s="99"/>
      <c r="D45" s="209">
        <v>6642</v>
      </c>
      <c r="E45" s="48">
        <f>D45*91.91%</f>
        <v>6104.6621999999998</v>
      </c>
      <c r="F45" s="48">
        <f>D45*8.09%</f>
        <v>537.33780000000002</v>
      </c>
      <c r="H45" s="59"/>
    </row>
    <row r="46" spans="1:8" ht="29.25" customHeight="1" x14ac:dyDescent="0.25">
      <c r="A46" s="210" t="s">
        <v>140</v>
      </c>
      <c r="B46" s="211"/>
      <c r="C46" s="212"/>
      <c r="D46" s="209">
        <f>1774.18+778867.29</f>
        <v>780641.47000000009</v>
      </c>
      <c r="E46" s="48">
        <f>D46*91.91%</f>
        <v>717487.57507700007</v>
      </c>
      <c r="F46" s="48">
        <f>D46*8.09%</f>
        <v>63153.894923000007</v>
      </c>
      <c r="H46" s="59"/>
    </row>
    <row r="47" spans="1:8" x14ac:dyDescent="0.25">
      <c r="A47" s="117" t="s">
        <v>5</v>
      </c>
      <c r="B47" s="77"/>
      <c r="C47" s="77"/>
      <c r="D47" s="209">
        <f>13204.01+244288.08+118836.05</f>
        <v>376328.14</v>
      </c>
      <c r="E47" s="48">
        <f>D47*91.91%</f>
        <v>345883.19347399997</v>
      </c>
      <c r="F47" s="48">
        <f>D47*8.09%</f>
        <v>30444.946526</v>
      </c>
      <c r="H47" s="59"/>
    </row>
    <row r="48" spans="1:8" x14ac:dyDescent="0.25">
      <c r="A48" s="117" t="s">
        <v>103</v>
      </c>
      <c r="B48" s="99"/>
      <c r="C48" s="77"/>
      <c r="D48" s="209">
        <v>1170944.31</v>
      </c>
      <c r="E48" s="48">
        <f>D48*91.91%</f>
        <v>1076214.9153209999</v>
      </c>
      <c r="F48" s="48">
        <f>D48*8.09%</f>
        <v>94729.394679000005</v>
      </c>
      <c r="H48" s="59"/>
    </row>
    <row r="49" spans="1:10" x14ac:dyDescent="0.25">
      <c r="A49" s="116" t="s">
        <v>6</v>
      </c>
      <c r="B49" s="120"/>
      <c r="C49" s="120"/>
      <c r="D49" s="32">
        <f>SUM(D45:D48)</f>
        <v>2334555.92</v>
      </c>
      <c r="E49" s="32">
        <f t="shared" ref="E49:F49" si="6">SUM(E45:E48)</f>
        <v>2145690.346072</v>
      </c>
      <c r="F49" s="32">
        <f t="shared" si="6"/>
        <v>188865.573928</v>
      </c>
      <c r="G49" s="33">
        <f>E49+F49</f>
        <v>2334555.92</v>
      </c>
      <c r="H49" s="59" t="str">
        <f>IF(D49=G49, "", "Error")</f>
        <v/>
      </c>
    </row>
    <row r="50" spans="1:10" x14ac:dyDescent="0.25">
      <c r="A50" s="77" t="s">
        <v>7</v>
      </c>
      <c r="B50" s="77"/>
      <c r="C50" s="77"/>
      <c r="D50" s="102"/>
      <c r="E50" s="38"/>
      <c r="F50" s="2"/>
      <c r="H50" s="59"/>
    </row>
    <row r="51" spans="1:10" ht="16.5" customHeight="1" x14ac:dyDescent="0.25">
      <c r="A51" s="121" t="s">
        <v>105</v>
      </c>
      <c r="B51" s="77"/>
      <c r="C51" s="77"/>
      <c r="D51" s="209">
        <v>520800</v>
      </c>
      <c r="E51" s="58">
        <f>D51</f>
        <v>520800</v>
      </c>
      <c r="F51" s="2"/>
      <c r="G51" s="33">
        <f>D51</f>
        <v>520800</v>
      </c>
      <c r="H51" s="65">
        <f>E51+F51</f>
        <v>520800</v>
      </c>
      <c r="I51" s="74">
        <f>H51-D51</f>
        <v>0</v>
      </c>
      <c r="J51" s="74"/>
    </row>
    <row r="52" spans="1:10" ht="16.5" customHeight="1" x14ac:dyDescent="0.25">
      <c r="A52" s="147" t="s">
        <v>136</v>
      </c>
      <c r="B52" s="77"/>
      <c r="C52" s="77"/>
      <c r="D52" s="209">
        <v>780000</v>
      </c>
      <c r="E52" s="58">
        <f>D52</f>
        <v>780000</v>
      </c>
      <c r="F52" s="2"/>
      <c r="G52" s="33"/>
      <c r="H52" s="65"/>
      <c r="I52" s="74"/>
      <c r="J52" s="74"/>
    </row>
    <row r="53" spans="1:10" ht="14.25" customHeight="1" x14ac:dyDescent="0.25">
      <c r="A53" s="115" t="s">
        <v>8</v>
      </c>
      <c r="B53" s="124"/>
      <c r="C53" s="77"/>
      <c r="D53" s="209">
        <v>266112.3</v>
      </c>
      <c r="E53" s="58">
        <f t="shared" ref="E53:E58" si="7">D53*91.91%</f>
        <v>244583.81492999996</v>
      </c>
      <c r="F53" s="48">
        <f t="shared" ref="F53:F58" si="8">D53*8.09%</f>
        <v>21528.485069999999</v>
      </c>
      <c r="G53" s="33">
        <f t="shared" ref="G53:G55" si="9">D53</f>
        <v>266112.3</v>
      </c>
      <c r="H53" s="65">
        <f t="shared" ref="H53:H55" si="10">E53+F53</f>
        <v>266112.3</v>
      </c>
      <c r="I53" s="74"/>
      <c r="J53" s="74"/>
    </row>
    <row r="54" spans="1:10" x14ac:dyDescent="0.25">
      <c r="A54" s="77" t="s">
        <v>123</v>
      </c>
      <c r="B54" s="77"/>
      <c r="C54" s="77"/>
      <c r="D54" s="36">
        <v>45000</v>
      </c>
      <c r="E54" s="58">
        <f>D54</f>
        <v>45000</v>
      </c>
      <c r="F54" s="48">
        <v>0</v>
      </c>
      <c r="G54" s="33">
        <f t="shared" si="9"/>
        <v>45000</v>
      </c>
      <c r="H54" s="65">
        <f t="shared" si="10"/>
        <v>45000</v>
      </c>
      <c r="I54" s="74"/>
      <c r="J54" s="74"/>
    </row>
    <row r="55" spans="1:10" x14ac:dyDescent="0.25">
      <c r="A55" s="117" t="s">
        <v>137</v>
      </c>
      <c r="B55" s="77"/>
      <c r="C55" s="77"/>
      <c r="D55" s="209">
        <v>192118.26</v>
      </c>
      <c r="E55" s="58">
        <f t="shared" ref="E55" si="11">D55*91.91%</f>
        <v>176575.892766</v>
      </c>
      <c r="F55" s="48">
        <f t="shared" ref="F55" si="12">D55*8.09%</f>
        <v>15542.367234000001</v>
      </c>
      <c r="G55" s="33">
        <f t="shared" si="9"/>
        <v>192118.26</v>
      </c>
      <c r="H55" s="65">
        <f t="shared" si="10"/>
        <v>192118.26</v>
      </c>
      <c r="I55" s="74"/>
      <c r="J55" s="74"/>
    </row>
    <row r="56" spans="1:10" x14ac:dyDescent="0.25">
      <c r="A56" s="117" t="s">
        <v>9</v>
      </c>
      <c r="B56" s="77" t="s">
        <v>109</v>
      </c>
      <c r="C56" s="77"/>
      <c r="D56" s="209">
        <v>173191</v>
      </c>
      <c r="E56" s="58">
        <f>D56*91.91%</f>
        <v>159179.84809999997</v>
      </c>
      <c r="F56" s="48">
        <f t="shared" si="8"/>
        <v>14011.151900000001</v>
      </c>
      <c r="G56" s="33">
        <f t="shared" ref="G56:G67" si="13">D56</f>
        <v>173191</v>
      </c>
      <c r="H56" s="65">
        <f>E56+F56</f>
        <v>173190.99999999997</v>
      </c>
      <c r="I56" s="74">
        <f t="shared" ref="I56:I67" si="14">H56-D56</f>
        <v>0</v>
      </c>
      <c r="J56" s="74">
        <f t="shared" ref="J56:J67" si="15">G56-D56</f>
        <v>0</v>
      </c>
    </row>
    <row r="57" spans="1:10" x14ac:dyDescent="0.25">
      <c r="A57" s="117" t="s">
        <v>11</v>
      </c>
      <c r="B57" s="99"/>
      <c r="C57" s="77"/>
      <c r="D57" s="209">
        <v>515749.85</v>
      </c>
      <c r="E57" s="58">
        <f t="shared" si="7"/>
        <v>474025.68713499996</v>
      </c>
      <c r="F57" s="48">
        <f t="shared" si="8"/>
        <v>41724.162864999998</v>
      </c>
      <c r="G57" s="33">
        <f t="shared" si="13"/>
        <v>515749.85</v>
      </c>
      <c r="H57" s="65">
        <f t="shared" ref="H57:H67" si="16">E57+F57</f>
        <v>515749.85</v>
      </c>
      <c r="I57" s="74">
        <f t="shared" si="14"/>
        <v>0</v>
      </c>
      <c r="J57" s="74">
        <f t="shared" si="15"/>
        <v>0</v>
      </c>
    </row>
    <row r="58" spans="1:10" x14ac:dyDescent="0.25">
      <c r="A58" s="118" t="s">
        <v>10</v>
      </c>
      <c r="B58" s="99"/>
      <c r="C58" s="99"/>
      <c r="D58" s="209">
        <v>1516824.98</v>
      </c>
      <c r="E58" s="58">
        <f t="shared" si="7"/>
        <v>1394113.8391179999</v>
      </c>
      <c r="F58" s="48">
        <f t="shared" si="8"/>
        <v>122711.14088199999</v>
      </c>
      <c r="G58" s="33">
        <f t="shared" si="13"/>
        <v>1516824.98</v>
      </c>
      <c r="H58" s="65">
        <f t="shared" si="16"/>
        <v>1516824.98</v>
      </c>
      <c r="I58" s="74">
        <f t="shared" si="14"/>
        <v>0</v>
      </c>
      <c r="J58" s="74">
        <f t="shared" si="15"/>
        <v>0</v>
      </c>
    </row>
    <row r="59" spans="1:10" x14ac:dyDescent="0.25">
      <c r="A59" s="125" t="s">
        <v>128</v>
      </c>
      <c r="B59" s="137"/>
      <c r="C59" s="138"/>
      <c r="D59" s="36">
        <v>63300</v>
      </c>
      <c r="E59" s="58">
        <f t="shared" ref="E59:E60" si="17">D59</f>
        <v>63300</v>
      </c>
      <c r="F59" s="48"/>
      <c r="G59" s="33">
        <f t="shared" si="13"/>
        <v>63300</v>
      </c>
      <c r="H59" s="65">
        <f t="shared" si="16"/>
        <v>63300</v>
      </c>
      <c r="I59" s="74"/>
      <c r="J59" s="74">
        <f t="shared" si="15"/>
        <v>0</v>
      </c>
    </row>
    <row r="60" spans="1:10" x14ac:dyDescent="0.25">
      <c r="A60" s="147" t="s">
        <v>120</v>
      </c>
      <c r="B60" s="137"/>
      <c r="C60" s="138"/>
      <c r="D60" s="36">
        <v>237000</v>
      </c>
      <c r="E60" s="58">
        <f t="shared" si="17"/>
        <v>237000</v>
      </c>
      <c r="F60" s="48"/>
      <c r="G60" s="33">
        <f t="shared" si="13"/>
        <v>237000</v>
      </c>
      <c r="H60" s="65">
        <f t="shared" si="16"/>
        <v>237000</v>
      </c>
      <c r="I60" s="74"/>
      <c r="J60" s="74"/>
    </row>
    <row r="61" spans="1:10" ht="15.75" customHeight="1" x14ac:dyDescent="0.25">
      <c r="A61" s="153" t="s">
        <v>132</v>
      </c>
      <c r="B61" s="154"/>
      <c r="C61" s="155"/>
      <c r="D61" s="209">
        <v>59169</v>
      </c>
      <c r="E61" s="58">
        <f>D61</f>
        <v>59169</v>
      </c>
      <c r="F61" s="48"/>
      <c r="G61" s="33">
        <f t="shared" si="13"/>
        <v>59169</v>
      </c>
      <c r="H61" s="65"/>
      <c r="I61" s="74"/>
      <c r="J61" s="74"/>
    </row>
    <row r="62" spans="1:10" ht="15.75" customHeight="1" x14ac:dyDescent="0.25">
      <c r="A62" s="181" t="s">
        <v>139</v>
      </c>
      <c r="B62" s="182"/>
      <c r="C62" s="183"/>
      <c r="D62" s="209">
        <v>1150000</v>
      </c>
      <c r="E62" s="58">
        <f>D62</f>
        <v>1150000</v>
      </c>
      <c r="F62" s="48"/>
      <c r="G62" s="33">
        <f t="shared" si="13"/>
        <v>1150000</v>
      </c>
      <c r="H62" s="65"/>
      <c r="I62" s="74"/>
      <c r="J62" s="74"/>
    </row>
    <row r="63" spans="1:10" ht="57.75" customHeight="1" x14ac:dyDescent="0.25">
      <c r="A63" s="181" t="s">
        <v>143</v>
      </c>
      <c r="B63" s="182"/>
      <c r="C63" s="183"/>
      <c r="D63" s="209">
        <v>650000</v>
      </c>
      <c r="E63" s="58">
        <f t="shared" ref="E63:E64" si="18">D63</f>
        <v>650000</v>
      </c>
      <c r="F63" s="48"/>
      <c r="G63" s="33">
        <f t="shared" si="13"/>
        <v>650000</v>
      </c>
      <c r="H63" s="65">
        <f t="shared" si="16"/>
        <v>650000</v>
      </c>
      <c r="I63" s="74"/>
      <c r="J63" s="74">
        <f t="shared" si="15"/>
        <v>0</v>
      </c>
    </row>
    <row r="64" spans="1:10" ht="14.45" customHeight="1" x14ac:dyDescent="0.25">
      <c r="A64" s="153" t="s">
        <v>135</v>
      </c>
      <c r="B64" s="154"/>
      <c r="C64" s="155"/>
      <c r="D64" s="209">
        <v>110000</v>
      </c>
      <c r="E64" s="58">
        <f t="shared" si="18"/>
        <v>110000</v>
      </c>
      <c r="F64" s="48"/>
      <c r="G64" s="33">
        <f t="shared" si="13"/>
        <v>110000</v>
      </c>
      <c r="H64" s="65">
        <f t="shared" si="16"/>
        <v>110000</v>
      </c>
      <c r="I64" s="74"/>
      <c r="J64" s="74">
        <f t="shared" si="15"/>
        <v>0</v>
      </c>
    </row>
    <row r="65" spans="1:10" ht="14.25" customHeight="1" x14ac:dyDescent="0.25">
      <c r="A65" s="77" t="s">
        <v>90</v>
      </c>
      <c r="B65" s="122" t="s">
        <v>129</v>
      </c>
      <c r="C65" s="135"/>
      <c r="D65" s="36">
        <v>103395</v>
      </c>
      <c r="E65" s="58">
        <f t="shared" ref="E65:E67" si="19">D65</f>
        <v>103395</v>
      </c>
      <c r="F65" s="48"/>
      <c r="G65" s="33">
        <f t="shared" si="13"/>
        <v>103395</v>
      </c>
      <c r="H65" s="65">
        <f t="shared" si="16"/>
        <v>103395</v>
      </c>
      <c r="I65" s="74">
        <f t="shared" si="14"/>
        <v>0</v>
      </c>
      <c r="J65" s="74">
        <f t="shared" si="15"/>
        <v>0</v>
      </c>
    </row>
    <row r="66" spans="1:10" ht="14.25" customHeight="1" x14ac:dyDescent="0.25">
      <c r="A66" s="220" t="s">
        <v>144</v>
      </c>
      <c r="B66" s="122"/>
      <c r="C66" s="135"/>
      <c r="D66" s="209">
        <v>49600</v>
      </c>
      <c r="E66" s="58">
        <f t="shared" si="19"/>
        <v>49600</v>
      </c>
      <c r="F66" s="48"/>
      <c r="G66" s="33">
        <f t="shared" si="13"/>
        <v>49600</v>
      </c>
      <c r="H66" s="65"/>
      <c r="I66" s="74"/>
      <c r="J66" s="74"/>
    </row>
    <row r="67" spans="1:10" ht="18" customHeight="1" x14ac:dyDescent="0.25">
      <c r="A67" s="180" t="s">
        <v>138</v>
      </c>
      <c r="B67" s="154"/>
      <c r="C67" s="155"/>
      <c r="D67" s="209">
        <v>938000</v>
      </c>
      <c r="E67" s="58">
        <f t="shared" si="19"/>
        <v>938000</v>
      </c>
      <c r="F67" s="48"/>
      <c r="G67" s="33">
        <f t="shared" si="13"/>
        <v>938000</v>
      </c>
      <c r="H67" s="65">
        <f t="shared" si="16"/>
        <v>938000</v>
      </c>
      <c r="I67" s="74">
        <f t="shared" si="14"/>
        <v>0</v>
      </c>
      <c r="J67" s="74">
        <f t="shared" si="15"/>
        <v>0</v>
      </c>
    </row>
    <row r="68" spans="1:10" x14ac:dyDescent="0.25">
      <c r="A68" s="116" t="s">
        <v>12</v>
      </c>
      <c r="B68" s="120"/>
      <c r="C68" s="120"/>
      <c r="D68" s="32">
        <f>SUM(D51:D67)</f>
        <v>7370260.3900000006</v>
      </c>
      <c r="E68" s="32">
        <f>SUM(E51:E67)</f>
        <v>7154743.0820490001</v>
      </c>
      <c r="F68" s="32">
        <f>SUM(F51:F67)</f>
        <v>215517.307951</v>
      </c>
      <c r="G68" s="33">
        <f>E68+F68</f>
        <v>7370260.3899999997</v>
      </c>
      <c r="H68" s="59" t="str">
        <f>IF(D68=G68, "", "Error")</f>
        <v/>
      </c>
      <c r="I68" s="74">
        <f>D68-G68</f>
        <v>0</v>
      </c>
    </row>
    <row r="69" spans="1:10" hidden="1" x14ac:dyDescent="0.25">
      <c r="A69" s="77"/>
      <c r="B69" s="77"/>
      <c r="C69" s="77"/>
      <c r="D69" s="102"/>
      <c r="E69" s="38"/>
      <c r="F69" s="2"/>
      <c r="H69" s="59"/>
    </row>
    <row r="70" spans="1:10" hidden="1" x14ac:dyDescent="0.25">
      <c r="A70" s="77"/>
      <c r="B70" s="77"/>
      <c r="C70" s="77"/>
      <c r="D70" s="102"/>
      <c r="E70" s="37"/>
      <c r="F70" s="2"/>
      <c r="H70" s="59"/>
    </row>
    <row r="71" spans="1:10" hidden="1" x14ac:dyDescent="0.25">
      <c r="A71" s="77"/>
      <c r="B71" s="77"/>
      <c r="C71" s="77"/>
      <c r="D71" s="102"/>
      <c r="E71" s="37"/>
      <c r="F71" s="2"/>
      <c r="H71" s="59"/>
    </row>
    <row r="72" spans="1:10" x14ac:dyDescent="0.25">
      <c r="A72" s="118" t="s">
        <v>122</v>
      </c>
      <c r="B72" s="99"/>
      <c r="C72" s="77"/>
      <c r="D72" s="36">
        <v>139000</v>
      </c>
      <c r="E72" s="58">
        <f>D72*91.91%</f>
        <v>127754.9</v>
      </c>
      <c r="F72" s="48">
        <f>D72*8.09%</f>
        <v>11245.1</v>
      </c>
      <c r="G72" s="64"/>
      <c r="H72" s="59"/>
    </row>
    <row r="73" spans="1:10" x14ac:dyDescent="0.25">
      <c r="A73" s="118" t="s">
        <v>122</v>
      </c>
      <c r="B73" s="136"/>
      <c r="C73" s="123"/>
      <c r="D73" s="36">
        <v>134050</v>
      </c>
      <c r="E73" s="58">
        <f>D73*91.91%</f>
        <v>123205.355</v>
      </c>
      <c r="F73" s="48">
        <f>D73*8.09%</f>
        <v>10844.645</v>
      </c>
      <c r="G73" s="64"/>
      <c r="H73" s="59"/>
    </row>
    <row r="74" spans="1:10" x14ac:dyDescent="0.25">
      <c r="A74" s="99" t="s">
        <v>121</v>
      </c>
      <c r="B74" s="136"/>
      <c r="C74" s="123"/>
      <c r="D74" s="36">
        <v>112800</v>
      </c>
      <c r="E74" s="58">
        <f>D74</f>
        <v>112800</v>
      </c>
      <c r="F74" s="48">
        <v>0</v>
      </c>
      <c r="G74" s="64"/>
      <c r="H74" s="59"/>
    </row>
    <row r="75" spans="1:10" ht="13.5" customHeight="1" x14ac:dyDescent="0.25">
      <c r="A75" s="116" t="s">
        <v>16</v>
      </c>
      <c r="B75" s="116"/>
      <c r="C75" s="116"/>
      <c r="D75" s="32">
        <f>SUM(D72:D74)</f>
        <v>385850</v>
      </c>
      <c r="E75" s="32">
        <f>SUM(E72:E74)</f>
        <v>363760.255</v>
      </c>
      <c r="F75" s="32">
        <f>SUM(F72:F74)</f>
        <v>22089.745000000003</v>
      </c>
      <c r="G75" s="33">
        <f>E75+F75</f>
        <v>385850</v>
      </c>
      <c r="H75" s="59" t="str">
        <f>IF(D75=G75, "", "Error")</f>
        <v/>
      </c>
      <c r="J75" s="33"/>
    </row>
    <row r="76" spans="1:10" hidden="1" x14ac:dyDescent="0.25">
      <c r="A76" s="77"/>
      <c r="B76" s="77"/>
      <c r="C76" s="77"/>
      <c r="D76" s="102"/>
      <c r="E76" s="38"/>
      <c r="F76" s="2"/>
      <c r="H76" s="59"/>
    </row>
    <row r="77" spans="1:10" hidden="1" x14ac:dyDescent="0.25">
      <c r="A77" s="77"/>
      <c r="B77" s="77"/>
      <c r="C77" s="77"/>
      <c r="D77" s="102"/>
      <c r="E77" s="37"/>
      <c r="F77" s="2"/>
      <c r="H77" s="59"/>
    </row>
    <row r="78" spans="1:10" x14ac:dyDescent="0.25">
      <c r="A78" s="117" t="s">
        <v>13</v>
      </c>
      <c r="B78" s="77"/>
      <c r="C78" s="77"/>
      <c r="D78" s="102"/>
      <c r="E78" s="37"/>
      <c r="F78" s="2"/>
      <c r="H78" s="59"/>
    </row>
    <row r="79" spans="1:10" ht="14.25" customHeight="1" x14ac:dyDescent="0.25">
      <c r="A79" s="117" t="s">
        <v>14</v>
      </c>
      <c r="B79" s="77" t="s">
        <v>130</v>
      </c>
      <c r="C79" s="77"/>
      <c r="D79" s="209">
        <v>285700</v>
      </c>
      <c r="E79" s="58">
        <f>D79*91.91%</f>
        <v>262586.87</v>
      </c>
      <c r="F79" s="48">
        <f>D79*8.09%</f>
        <v>23113.13</v>
      </c>
      <c r="G79" t="s">
        <v>112</v>
      </c>
      <c r="H79" s="59"/>
    </row>
    <row r="80" spans="1:10" ht="14.25" customHeight="1" x14ac:dyDescent="0.25">
      <c r="A80" s="117" t="s">
        <v>14</v>
      </c>
      <c r="B80" s="77" t="s">
        <v>134</v>
      </c>
      <c r="C80" s="77"/>
      <c r="D80" s="209">
        <v>119000</v>
      </c>
      <c r="E80" s="58">
        <f>D80*91.91%</f>
        <v>109372.9</v>
      </c>
      <c r="F80" s="48">
        <f>D80*8.09%</f>
        <v>9627.1</v>
      </c>
      <c r="H80" s="65"/>
    </row>
    <row r="81" spans="1:10" x14ac:dyDescent="0.25">
      <c r="A81" s="117" t="s">
        <v>80</v>
      </c>
      <c r="B81" s="77"/>
      <c r="C81" s="77"/>
      <c r="D81" s="209">
        <v>50000</v>
      </c>
      <c r="E81" s="58">
        <f>D81*91.91%</f>
        <v>45954.999999999993</v>
      </c>
      <c r="F81" s="48">
        <f>D81*8.09%</f>
        <v>4045</v>
      </c>
      <c r="H81" s="59"/>
      <c r="J81" s="36"/>
    </row>
    <row r="82" spans="1:10" x14ac:dyDescent="0.25">
      <c r="A82" s="117"/>
      <c r="B82" s="77"/>
      <c r="C82" s="77"/>
      <c r="D82" s="102"/>
      <c r="E82" s="58">
        <f>D82*91.91%</f>
        <v>0</v>
      </c>
      <c r="F82" s="48">
        <f>D82*8.09%</f>
        <v>0</v>
      </c>
      <c r="H82" s="59"/>
      <c r="J82" s="33"/>
    </row>
    <row r="83" spans="1:10" x14ac:dyDescent="0.25">
      <c r="A83" s="116"/>
      <c r="B83" s="116"/>
      <c r="C83" s="116"/>
      <c r="D83" s="32">
        <f>SUM(D79:D82)</f>
        <v>454700</v>
      </c>
      <c r="E83" s="32">
        <f>SUM(E79:E82)</f>
        <v>417914.77</v>
      </c>
      <c r="F83" s="32">
        <f>SUM(F79:F82)</f>
        <v>36785.230000000003</v>
      </c>
      <c r="G83" s="33">
        <f>E83+F83</f>
        <v>454700</v>
      </c>
      <c r="H83" s="59" t="str">
        <f>IF(D83=G83, "", "Error")</f>
        <v/>
      </c>
      <c r="J83" s="33"/>
    </row>
    <row r="84" spans="1:10" ht="14.25" customHeight="1" x14ac:dyDescent="0.25">
      <c r="A84" s="117" t="s">
        <v>73</v>
      </c>
      <c r="B84" s="77"/>
      <c r="C84" s="77"/>
      <c r="D84" s="36"/>
      <c r="E84" s="39"/>
      <c r="F84" s="2"/>
      <c r="H84" s="59"/>
    </row>
    <row r="85" spans="1:10" x14ac:dyDescent="0.25">
      <c r="A85" s="117" t="s">
        <v>74</v>
      </c>
      <c r="B85" s="77"/>
      <c r="C85" s="77"/>
      <c r="D85" s="36">
        <f>152+180218.02</f>
        <v>180370.02</v>
      </c>
      <c r="E85" s="58">
        <f>D85*91.91%</f>
        <v>165778.08538199996</v>
      </c>
      <c r="F85" s="48">
        <f>D85*8.09%</f>
        <v>14591.934617999999</v>
      </c>
      <c r="H85" s="59"/>
    </row>
    <row r="86" spans="1:10" x14ac:dyDescent="0.25">
      <c r="A86" s="117" t="s">
        <v>75</v>
      </c>
      <c r="B86" s="77"/>
      <c r="C86" s="126"/>
      <c r="D86" s="36">
        <v>69000</v>
      </c>
      <c r="E86" s="58">
        <f>D86*91.91%</f>
        <v>63417.899999999994</v>
      </c>
      <c r="F86" s="48">
        <f>D86*8.09%</f>
        <v>5582.1</v>
      </c>
      <c r="H86" s="59"/>
    </row>
    <row r="87" spans="1:10" x14ac:dyDescent="0.25">
      <c r="A87" s="116" t="s">
        <v>15</v>
      </c>
      <c r="B87" s="116"/>
      <c r="C87" s="116"/>
      <c r="D87" s="62">
        <f>SUM(D85:D86)</f>
        <v>249370.02</v>
      </c>
      <c r="E87" s="56">
        <f t="shared" ref="E87:F87" si="20">SUM(E85:E86)</f>
        <v>229195.98538199996</v>
      </c>
      <c r="F87" s="56">
        <f t="shared" si="20"/>
        <v>20174.034617999998</v>
      </c>
      <c r="G87" s="33">
        <f>E87+F87</f>
        <v>249370.01999999996</v>
      </c>
      <c r="H87" s="59" t="str">
        <f>IF(D87=G87, "", "Error")</f>
        <v/>
      </c>
    </row>
    <row r="88" spans="1:10" x14ac:dyDescent="0.25">
      <c r="A88" s="77"/>
      <c r="B88" s="77"/>
      <c r="C88" s="77"/>
      <c r="D88" s="77"/>
      <c r="E88" s="5"/>
      <c r="F88" s="2"/>
      <c r="H88" s="59"/>
    </row>
    <row r="89" spans="1:10" x14ac:dyDescent="0.25">
      <c r="A89" s="127" t="s">
        <v>102</v>
      </c>
      <c r="B89" s="127"/>
      <c r="C89" s="140"/>
      <c r="D89" s="141"/>
      <c r="E89" s="139">
        <f>D89*91.91%</f>
        <v>0</v>
      </c>
      <c r="F89" s="50">
        <f>D89*8.09%</f>
        <v>0</v>
      </c>
      <c r="G89" s="33">
        <f>E89+F89</f>
        <v>0</v>
      </c>
      <c r="H89" s="59" t="str">
        <f>IF(D89=G89, "", "Error")</f>
        <v/>
      </c>
    </row>
    <row r="90" spans="1:10" ht="15.75" thickBot="1" x14ac:dyDescent="0.3">
      <c r="A90" s="128"/>
      <c r="B90" s="76"/>
      <c r="C90" s="76"/>
      <c r="D90" s="142"/>
      <c r="E90" s="143"/>
      <c r="F90" s="143"/>
      <c r="G90" s="61"/>
      <c r="H90" s="59"/>
    </row>
    <row r="91" spans="1:10" ht="15.75" thickBot="1" x14ac:dyDescent="0.3">
      <c r="A91" s="129" t="s">
        <v>76</v>
      </c>
      <c r="B91" s="130"/>
      <c r="C91" s="131"/>
      <c r="D91" s="78">
        <f>SUM(D89+D87+D83+D75+D68+D49+D32+D27+D43)</f>
        <v>12215707.529999999</v>
      </c>
      <c r="E91" s="57">
        <f>SUM(E89+E87+E83+E75+E68+E49+E32+E27+E43)</f>
        <v>11623292.497903001</v>
      </c>
      <c r="F91" s="144">
        <f>SUM(F27+F43+F49+F68+F75+F83+F87+F89)</f>
        <v>592415.03209700005</v>
      </c>
      <c r="G91" s="33">
        <f>E91+F91</f>
        <v>12215707.530000001</v>
      </c>
      <c r="H91" s="59" t="str">
        <f>IF(D91=G91, "", "Error")</f>
        <v/>
      </c>
      <c r="I91" s="74">
        <f>D91-G91</f>
        <v>0</v>
      </c>
    </row>
    <row r="92" spans="1:10" ht="15.75" thickBot="1" x14ac:dyDescent="0.3">
      <c r="A92" s="76"/>
      <c r="B92" s="76"/>
      <c r="C92" s="76"/>
      <c r="D92" s="76"/>
      <c r="E92" s="33"/>
    </row>
    <row r="93" spans="1:10" ht="15.75" thickBot="1" x14ac:dyDescent="0.3">
      <c r="A93" s="132" t="s">
        <v>108</v>
      </c>
      <c r="B93" s="133"/>
      <c r="C93" s="133"/>
      <c r="D93" s="76"/>
      <c r="E93" s="33"/>
    </row>
    <row r="94" spans="1:10" ht="15" customHeight="1" x14ac:dyDescent="0.25">
      <c r="A94" s="214" t="s">
        <v>133</v>
      </c>
      <c r="B94" s="215"/>
      <c r="C94" s="221">
        <v>320000</v>
      </c>
      <c r="D94" s="76"/>
      <c r="E94" s="33"/>
    </row>
    <row r="95" spans="1:10" ht="21" customHeight="1" thickBot="1" x14ac:dyDescent="0.3">
      <c r="A95" s="216"/>
      <c r="B95" s="217"/>
      <c r="C95" s="222"/>
      <c r="D95" s="76"/>
      <c r="E95" s="33"/>
    </row>
    <row r="96" spans="1:10" ht="15.75" thickBot="1" x14ac:dyDescent="0.3">
      <c r="A96" s="54" t="s">
        <v>25</v>
      </c>
      <c r="B96" s="55"/>
      <c r="C96" s="53">
        <f>SUM(C94:C95)</f>
        <v>320000</v>
      </c>
      <c r="E96" s="33"/>
    </row>
    <row r="97" spans="1:9" x14ac:dyDescent="0.25">
      <c r="E97" s="33"/>
    </row>
    <row r="98" spans="1:9" x14ac:dyDescent="0.25">
      <c r="E98" s="51"/>
    </row>
    <row r="99" spans="1:9" x14ac:dyDescent="0.25">
      <c r="A99" s="175" t="s">
        <v>85</v>
      </c>
      <c r="B99" s="176"/>
      <c r="C99" s="176"/>
      <c r="D99" s="176"/>
      <c r="E99" s="71" t="s">
        <v>19</v>
      </c>
      <c r="F99" s="72" t="s">
        <v>93</v>
      </c>
    </row>
    <row r="100" spans="1:9" ht="17.25" x14ac:dyDescent="0.25">
      <c r="A100" s="172"/>
      <c r="B100" s="173"/>
      <c r="C100" s="174"/>
      <c r="D100" s="36"/>
      <c r="E100" s="58">
        <f t="shared" ref="E100:E104" si="21">D100*91.91%</f>
        <v>0</v>
      </c>
      <c r="F100" s="48">
        <f t="shared" ref="F100:F104" si="22">D100*8.09%</f>
        <v>0</v>
      </c>
    </row>
    <row r="101" spans="1:9" x14ac:dyDescent="0.25">
      <c r="A101" s="177"/>
      <c r="B101" s="178"/>
      <c r="C101" s="179"/>
      <c r="D101" s="36"/>
      <c r="E101" s="58">
        <f t="shared" si="21"/>
        <v>0</v>
      </c>
      <c r="F101" s="48">
        <f t="shared" si="22"/>
        <v>0</v>
      </c>
    </row>
    <row r="102" spans="1:9" x14ac:dyDescent="0.25">
      <c r="A102" s="151"/>
      <c r="B102" s="149"/>
      <c r="C102" s="150"/>
      <c r="D102" s="36"/>
      <c r="E102" s="58">
        <f t="shared" si="21"/>
        <v>0</v>
      </c>
      <c r="F102" s="48">
        <f t="shared" si="22"/>
        <v>0</v>
      </c>
    </row>
    <row r="103" spans="1:9" x14ac:dyDescent="0.25">
      <c r="A103" s="151"/>
      <c r="B103" s="149"/>
      <c r="C103" s="150"/>
      <c r="D103" s="36"/>
      <c r="E103" s="58">
        <f t="shared" si="21"/>
        <v>0</v>
      </c>
      <c r="F103" s="48">
        <f t="shared" si="22"/>
        <v>0</v>
      </c>
    </row>
    <row r="104" spans="1:9" ht="14.25" customHeight="1" x14ac:dyDescent="0.25">
      <c r="A104" s="177"/>
      <c r="B104" s="178"/>
      <c r="C104" s="179"/>
      <c r="D104" s="36"/>
      <c r="E104" s="58">
        <f t="shared" si="21"/>
        <v>0</v>
      </c>
      <c r="F104" s="48">
        <f t="shared" si="22"/>
        <v>0</v>
      </c>
    </row>
    <row r="105" spans="1:9" x14ac:dyDescent="0.25">
      <c r="A105" s="169" t="s">
        <v>25</v>
      </c>
      <c r="B105" s="170"/>
      <c r="C105" s="171"/>
      <c r="D105" s="70">
        <f>SUM(D100:D104)</f>
        <v>0</v>
      </c>
      <c r="E105" s="70">
        <f>SUM(E100:E104)</f>
        <v>0</v>
      </c>
      <c r="F105" s="70">
        <f>SUM(F100:F104)</f>
        <v>0</v>
      </c>
      <c r="H105" s="33"/>
      <c r="I105" s="59" t="str">
        <f>IF(D105=H105, "", "Error")</f>
        <v/>
      </c>
    </row>
    <row r="106" spans="1:9" x14ac:dyDescent="0.25">
      <c r="D106" s="33"/>
      <c r="H106" s="33"/>
    </row>
    <row r="107" spans="1:9" x14ac:dyDescent="0.25">
      <c r="A107" s="184" t="s">
        <v>124</v>
      </c>
      <c r="B107" s="184"/>
      <c r="C107" s="184"/>
      <c r="D107" s="184"/>
      <c r="E107" s="184"/>
      <c r="F107" s="184"/>
      <c r="H107" s="33"/>
    </row>
    <row r="108" spans="1:9" x14ac:dyDescent="0.25">
      <c r="A108" s="184"/>
      <c r="B108" s="184"/>
      <c r="C108" s="184"/>
      <c r="D108" s="184"/>
      <c r="E108" s="184"/>
      <c r="F108" s="184"/>
    </row>
    <row r="109" spans="1:9" x14ac:dyDescent="0.25">
      <c r="A109" s="184"/>
      <c r="B109" s="184"/>
      <c r="C109" s="184"/>
      <c r="D109" s="184"/>
      <c r="E109" s="184"/>
      <c r="F109" s="184"/>
    </row>
    <row r="110" spans="1:9" x14ac:dyDescent="0.25">
      <c r="A110" s="184"/>
      <c r="B110" s="184"/>
      <c r="C110" s="184"/>
      <c r="D110" s="184"/>
      <c r="E110" s="184"/>
      <c r="F110" s="184"/>
    </row>
    <row r="111" spans="1:9" ht="15.75" thickBot="1" x14ac:dyDescent="0.3">
      <c r="E111" s="33"/>
    </row>
    <row r="112" spans="1:9" ht="15.75" thickBot="1" x14ac:dyDescent="0.3">
      <c r="A112" s="27" t="s">
        <v>77</v>
      </c>
      <c r="B112" s="28">
        <f>D91</f>
        <v>12215707.529999999</v>
      </c>
    </row>
    <row r="113" spans="1:7" ht="15.75" thickBot="1" x14ac:dyDescent="0.3">
      <c r="A113" s="29" t="s">
        <v>79</v>
      </c>
      <c r="B113" s="30">
        <f>D91-D89</f>
        <v>12215707.529999999</v>
      </c>
    </row>
    <row r="114" spans="1:7" x14ac:dyDescent="0.25">
      <c r="D114" s="159"/>
      <c r="E114" s="159"/>
    </row>
    <row r="115" spans="1:7" x14ac:dyDescent="0.25">
      <c r="A115" s="8" t="s">
        <v>63</v>
      </c>
      <c r="B115" s="9"/>
      <c r="C115" s="10"/>
      <c r="D115" s="159"/>
      <c r="E115" s="159"/>
    </row>
    <row r="116" spans="1:7" x14ac:dyDescent="0.25">
      <c r="A116" s="11" t="s">
        <v>64</v>
      </c>
      <c r="B116" s="4">
        <v>14089108.26</v>
      </c>
      <c r="C116" s="12"/>
      <c r="D116" s="159"/>
      <c r="E116" s="159"/>
    </row>
    <row r="117" spans="1:7" x14ac:dyDescent="0.25">
      <c r="A117" s="13" t="s">
        <v>65</v>
      </c>
      <c r="B117" s="22">
        <f>PRORRATEO!G52</f>
        <v>8264798.2205740046</v>
      </c>
      <c r="C117" s="12" t="s">
        <v>66</v>
      </c>
      <c r="D117" s="159"/>
      <c r="E117" s="159"/>
    </row>
    <row r="118" spans="1:7" x14ac:dyDescent="0.25">
      <c r="A118" s="13" t="s">
        <v>87</v>
      </c>
      <c r="B118" s="73">
        <f>-B113</f>
        <v>-12215707.529999999</v>
      </c>
      <c r="C118" s="10"/>
      <c r="D118" s="159"/>
      <c r="E118" s="159"/>
      <c r="G118" s="36"/>
    </row>
    <row r="119" spans="1:7" x14ac:dyDescent="0.25">
      <c r="A119" s="13" t="s">
        <v>86</v>
      </c>
      <c r="B119" s="73">
        <f>-D105</f>
        <v>0</v>
      </c>
      <c r="C119" s="10"/>
      <c r="D119" s="159"/>
      <c r="E119" s="159"/>
      <c r="G119" s="42"/>
    </row>
    <row r="120" spans="1:7" x14ac:dyDescent="0.25">
      <c r="A120" s="13" t="s">
        <v>78</v>
      </c>
      <c r="B120" s="73">
        <f>-B126</f>
        <v>0</v>
      </c>
      <c r="C120" s="14"/>
    </row>
    <row r="121" spans="1:7" x14ac:dyDescent="0.25">
      <c r="A121" s="13" t="s">
        <v>91</v>
      </c>
      <c r="B121" s="23">
        <f>-C96</f>
        <v>-320000</v>
      </c>
      <c r="C121" s="14"/>
      <c r="E121" s="33"/>
    </row>
    <row r="122" spans="1:7" x14ac:dyDescent="0.25">
      <c r="A122" s="11" t="s">
        <v>67</v>
      </c>
      <c r="B122" s="15">
        <f>SUM(B116:B121)</f>
        <v>9818198.950574005</v>
      </c>
      <c r="C122" s="60"/>
      <c r="D122" s="33"/>
    </row>
    <row r="123" spans="1:7" x14ac:dyDescent="0.25">
      <c r="A123" s="14"/>
      <c r="C123" s="10"/>
      <c r="D123" s="17"/>
    </row>
    <row r="124" spans="1:7" x14ac:dyDescent="0.25">
      <c r="C124" s="10"/>
      <c r="D124" s="33"/>
      <c r="E124" s="74"/>
    </row>
    <row r="125" spans="1:7" x14ac:dyDescent="0.25">
      <c r="A125" s="8" t="s">
        <v>68</v>
      </c>
      <c r="B125" s="84">
        <f>-82694.54</f>
        <v>-82694.539999999994</v>
      </c>
      <c r="C125" s="16"/>
      <c r="D125" s="74"/>
      <c r="E125" s="74"/>
      <c r="F125" s="74"/>
    </row>
    <row r="126" spans="1:7" ht="15" customHeight="1" x14ac:dyDescent="0.25">
      <c r="A126" s="11" t="s">
        <v>131</v>
      </c>
      <c r="B126" s="23">
        <v>0</v>
      </c>
      <c r="C126" s="16"/>
      <c r="D126" s="74"/>
      <c r="E126" s="79"/>
    </row>
    <row r="127" spans="1:7" x14ac:dyDescent="0.25">
      <c r="A127" s="11"/>
      <c r="B127" s="73"/>
      <c r="C127" s="16"/>
      <c r="E127" s="33"/>
    </row>
    <row r="128" spans="1:7" x14ac:dyDescent="0.25">
      <c r="A128" s="11"/>
      <c r="B128" s="73"/>
      <c r="C128" s="16"/>
      <c r="D128" s="134"/>
      <c r="E128" s="33"/>
    </row>
    <row r="129" spans="1:14" x14ac:dyDescent="0.25">
      <c r="A129" s="25" t="s">
        <v>25</v>
      </c>
      <c r="B129" s="26">
        <f>SUM(B125:B128)</f>
        <v>-82694.539999999994</v>
      </c>
      <c r="C129" s="16"/>
    </row>
    <row r="130" spans="1:14" x14ac:dyDescent="0.25">
      <c r="C130" s="17"/>
      <c r="D130" s="74"/>
    </row>
    <row r="131" spans="1:14" x14ac:dyDescent="0.25">
      <c r="B131" s="14"/>
      <c r="C131" s="10"/>
    </row>
    <row r="133" spans="1:14" x14ac:dyDescent="0.25">
      <c r="N133" s="5"/>
    </row>
    <row r="136" spans="1:14" x14ac:dyDescent="0.25">
      <c r="B136" s="158"/>
      <c r="C136" s="158"/>
      <c r="D136" s="158"/>
      <c r="E136" s="158"/>
    </row>
    <row r="137" spans="1:14" x14ac:dyDescent="0.25">
      <c r="B137" s="158"/>
      <c r="C137" s="158"/>
      <c r="D137" s="158"/>
      <c r="E137" s="158"/>
    </row>
    <row r="138" spans="1:14" x14ac:dyDescent="0.25">
      <c r="B138" s="158"/>
      <c r="C138" s="158"/>
      <c r="D138" s="158"/>
      <c r="E138" s="158"/>
    </row>
    <row r="139" spans="1:14" x14ac:dyDescent="0.25">
      <c r="B139" s="158"/>
      <c r="C139" s="158"/>
      <c r="D139" s="158"/>
      <c r="E139" s="158"/>
    </row>
    <row r="140" spans="1:14" x14ac:dyDescent="0.25">
      <c r="B140" s="158"/>
      <c r="C140" s="158"/>
      <c r="D140" s="158"/>
      <c r="E140" s="158"/>
    </row>
  </sheetData>
  <mergeCells count="18">
    <mergeCell ref="A46:C46"/>
    <mergeCell ref="A94:B95"/>
    <mergeCell ref="C94:C95"/>
    <mergeCell ref="A61:C61"/>
    <mergeCell ref="B1:F1"/>
    <mergeCell ref="B136:E140"/>
    <mergeCell ref="D114:E119"/>
    <mergeCell ref="B14:D17"/>
    <mergeCell ref="A105:C105"/>
    <mergeCell ref="A100:C100"/>
    <mergeCell ref="A99:D99"/>
    <mergeCell ref="A104:C104"/>
    <mergeCell ref="A67:C67"/>
    <mergeCell ref="A63:C63"/>
    <mergeCell ref="A64:C64"/>
    <mergeCell ref="A101:C101"/>
    <mergeCell ref="A107:F110"/>
    <mergeCell ref="A62:C62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tabSelected="1" topLeftCell="A16" zoomScaleNormal="100" workbookViewId="0">
      <selection activeCell="A26" sqref="A26"/>
    </sheetView>
  </sheetViews>
  <sheetFormatPr baseColWidth="10" defaultColWidth="10.85546875" defaultRowHeight="15" x14ac:dyDescent="0.25"/>
  <cols>
    <col min="1" max="1" width="4.5703125" customWidth="1"/>
    <col min="2" max="2" width="5.85546875" hidden="1" customWidth="1"/>
    <col min="3" max="3" width="5.28515625" customWidth="1"/>
    <col min="4" max="4" width="21.7109375" customWidth="1"/>
    <col min="5" max="5" width="6.140625" customWidth="1"/>
    <col min="6" max="7" width="12.42578125" bestFit="1" customWidth="1"/>
    <col min="8" max="8" width="11.140625" customWidth="1"/>
    <col min="9" max="9" width="6" customWidth="1"/>
    <col min="10" max="10" width="13.7109375" customWidth="1"/>
    <col min="11" max="11" width="13.28515625" customWidth="1"/>
    <col min="12" max="12" width="11.5703125" customWidth="1"/>
    <col min="13" max="13" width="14.28515625" customWidth="1"/>
    <col min="14" max="14" width="13.7109375" customWidth="1"/>
    <col min="15" max="15" width="11.42578125" customWidth="1"/>
    <col min="16" max="16" width="14.5703125" bestFit="1" customWidth="1"/>
    <col min="18" max="18" width="12" bestFit="1" customWidth="1"/>
  </cols>
  <sheetData>
    <row r="1" spans="1:16" ht="15" customHeight="1" x14ac:dyDescent="0.25">
      <c r="A1" s="198" t="str">
        <f>RESUMEN!C5</f>
        <v>VTO: 17/08</v>
      </c>
      <c r="B1" s="199"/>
      <c r="C1" s="199"/>
      <c r="D1" s="199"/>
      <c r="E1" s="199"/>
      <c r="F1" s="199"/>
      <c r="G1" s="199"/>
      <c r="H1" s="199"/>
      <c r="I1" s="199"/>
      <c r="J1" s="200"/>
      <c r="K1" s="88" t="s">
        <v>94</v>
      </c>
      <c r="L1" s="190">
        <f>RESUMEN!D91</f>
        <v>12215707.529999999</v>
      </c>
      <c r="M1" s="191"/>
      <c r="N1" s="89"/>
      <c r="O1" s="49">
        <f>L1*8.09%</f>
        <v>988250.73917699989</v>
      </c>
    </row>
    <row r="2" spans="1:16" x14ac:dyDescent="0.25">
      <c r="A2" s="201"/>
      <c r="B2" s="202"/>
      <c r="C2" s="202"/>
      <c r="D2" s="202"/>
      <c r="E2" s="202"/>
      <c r="F2" s="202"/>
      <c r="G2" s="202"/>
      <c r="H2" s="202"/>
      <c r="I2" s="202"/>
      <c r="J2" s="203"/>
      <c r="K2" s="90" t="s">
        <v>95</v>
      </c>
      <c r="L2" s="3"/>
      <c r="M2" s="91">
        <f>8500000-812600</f>
        <v>7687400</v>
      </c>
      <c r="N2" s="92"/>
      <c r="O2" s="49">
        <f>O1-K7-553-50-86-8</f>
        <v>677130.51921899989</v>
      </c>
    </row>
    <row r="3" spans="1:16" x14ac:dyDescent="0.25">
      <c r="A3" s="201"/>
      <c r="B3" s="202"/>
      <c r="C3" s="202"/>
      <c r="D3" s="202"/>
      <c r="E3" s="202"/>
      <c r="F3" s="202"/>
      <c r="G3" s="202"/>
      <c r="H3" s="202"/>
      <c r="I3" s="202"/>
      <c r="J3" s="203"/>
      <c r="K3" s="90" t="s">
        <v>100</v>
      </c>
      <c r="L3" s="3"/>
      <c r="M3" s="93">
        <f>RESUMEN!D105</f>
        <v>0</v>
      </c>
      <c r="N3" s="94"/>
      <c r="O3" s="7"/>
    </row>
    <row r="4" spans="1:16" ht="19.5" customHeight="1" thickBot="1" x14ac:dyDescent="0.3">
      <c r="A4" s="204"/>
      <c r="B4" s="205"/>
      <c r="C4" s="205"/>
      <c r="D4" s="205"/>
      <c r="E4" s="205"/>
      <c r="F4" s="205"/>
      <c r="G4" s="205"/>
      <c r="H4" s="205"/>
      <c r="I4" s="205"/>
      <c r="J4" s="206"/>
      <c r="K4" s="95" t="s">
        <v>95</v>
      </c>
      <c r="L4" s="96"/>
      <c r="M4" s="97">
        <v>1789535.8099999996</v>
      </c>
      <c r="N4" s="98"/>
      <c r="O4" s="49">
        <f>M3/3</f>
        <v>0</v>
      </c>
    </row>
    <row r="5" spans="1:16" ht="14.65" customHeight="1" x14ac:dyDescent="0.25">
      <c r="A5" s="185" t="s">
        <v>17</v>
      </c>
      <c r="B5" s="207" t="s">
        <v>18</v>
      </c>
      <c r="C5" s="185" t="s">
        <v>19</v>
      </c>
      <c r="D5" s="187" t="s">
        <v>20</v>
      </c>
      <c r="E5" s="185" t="s">
        <v>70</v>
      </c>
      <c r="F5" s="185" t="s">
        <v>21</v>
      </c>
      <c r="G5" s="185" t="s">
        <v>22</v>
      </c>
      <c r="H5" s="194" t="s">
        <v>23</v>
      </c>
      <c r="I5" s="187" t="s">
        <v>81</v>
      </c>
      <c r="J5" s="192" t="s">
        <v>24</v>
      </c>
      <c r="K5" s="192" t="s">
        <v>58</v>
      </c>
      <c r="L5" s="192" t="s">
        <v>114</v>
      </c>
      <c r="M5" s="192" t="s">
        <v>116</v>
      </c>
      <c r="N5" s="192" t="s">
        <v>115</v>
      </c>
    </row>
    <row r="6" spans="1:16" x14ac:dyDescent="0.25">
      <c r="A6" s="186"/>
      <c r="B6" s="208"/>
      <c r="C6" s="186"/>
      <c r="D6" s="188"/>
      <c r="E6" s="186"/>
      <c r="F6" s="186"/>
      <c r="G6" s="186"/>
      <c r="H6" s="195"/>
      <c r="I6" s="197"/>
      <c r="J6" s="196"/>
      <c r="K6" s="193"/>
      <c r="L6" s="196"/>
      <c r="M6" s="193"/>
      <c r="N6" s="193"/>
    </row>
    <row r="7" spans="1:16" x14ac:dyDescent="0.25">
      <c r="A7" s="2" t="s">
        <v>26</v>
      </c>
      <c r="B7" s="2"/>
      <c r="C7" s="2">
        <v>1</v>
      </c>
      <c r="D7" s="47" t="s">
        <v>27</v>
      </c>
      <c r="E7" s="2">
        <v>8.09</v>
      </c>
      <c r="F7" s="18">
        <v>482508.47</v>
      </c>
      <c r="G7" s="219">
        <f>F7</f>
        <v>482508.47</v>
      </c>
      <c r="H7" s="45">
        <f>F7-G7</f>
        <v>0</v>
      </c>
      <c r="I7" s="31">
        <v>20</v>
      </c>
      <c r="J7" s="18">
        <f>M$4*E7%</f>
        <v>144773.44702899997</v>
      </c>
      <c r="K7" s="18">
        <v>310423.219958</v>
      </c>
      <c r="L7" s="24"/>
      <c r="M7" s="1">
        <f>K7+J7+H7+L7</f>
        <v>455196.66698699998</v>
      </c>
      <c r="N7" s="4">
        <f>M7*6% + M7</f>
        <v>482508.46700621996</v>
      </c>
    </row>
    <row r="8" spans="1:16" x14ac:dyDescent="0.25">
      <c r="A8" s="2" t="s">
        <v>28</v>
      </c>
      <c r="B8" s="2"/>
      <c r="C8" s="2">
        <v>24</v>
      </c>
      <c r="D8" s="47" t="s">
        <v>29</v>
      </c>
      <c r="E8" s="2">
        <v>2.21</v>
      </c>
      <c r="F8" s="18">
        <v>197004.75823218253</v>
      </c>
      <c r="G8" s="219">
        <v>200000</v>
      </c>
      <c r="H8" s="45">
        <f t="shared" ref="H8:H51" si="0">F8-G8</f>
        <v>-2995.2417678174679</v>
      </c>
      <c r="I8" s="31">
        <v>13</v>
      </c>
      <c r="J8" s="18">
        <f>M$4*E8%</f>
        <v>39548.741400999985</v>
      </c>
      <c r="K8" s="18">
        <f>M$2*E8 /100</f>
        <v>169891.54</v>
      </c>
      <c r="L8" s="86"/>
      <c r="M8" s="1">
        <f>K8+J8+H8+L8</f>
        <v>206445.03963318252</v>
      </c>
      <c r="N8" s="4">
        <f t="shared" ref="N8:N51" si="1">M8*6% + M8</f>
        <v>218831.74201117345</v>
      </c>
    </row>
    <row r="9" spans="1:16" x14ac:dyDescent="0.25">
      <c r="A9" s="2" t="s">
        <v>28</v>
      </c>
      <c r="B9" s="2"/>
      <c r="C9" s="2">
        <v>25</v>
      </c>
      <c r="D9" s="47" t="s">
        <v>30</v>
      </c>
      <c r="E9" s="2">
        <v>4.21</v>
      </c>
      <c r="F9" s="18">
        <v>398979.10046859668</v>
      </c>
      <c r="G9" s="218">
        <f>450154-G34</f>
        <v>398978.54662599997</v>
      </c>
      <c r="H9" s="45">
        <f t="shared" si="0"/>
        <v>0.55384259670972824</v>
      </c>
      <c r="I9" s="31">
        <v>13</v>
      </c>
      <c r="J9" s="18">
        <f t="shared" ref="J9:J51" si="2">M$4*E9%</f>
        <v>75339.457600999987</v>
      </c>
      <c r="K9" s="18">
        <f t="shared" ref="K9:K51" si="3">M$2*E9 /100</f>
        <v>323639.53999999998</v>
      </c>
      <c r="L9" s="86"/>
      <c r="M9" s="1">
        <f t="shared" ref="M9:M51" si="4">K9+J9+H9+L9</f>
        <v>398979.55144359666</v>
      </c>
      <c r="N9" s="4">
        <f t="shared" si="1"/>
        <v>422918.32453021244</v>
      </c>
    </row>
    <row r="10" spans="1:16" x14ac:dyDescent="0.25">
      <c r="A10" s="2" t="s">
        <v>31</v>
      </c>
      <c r="B10" s="2"/>
      <c r="C10" s="2">
        <v>26</v>
      </c>
      <c r="D10" s="47" t="s">
        <v>32</v>
      </c>
      <c r="E10" s="2">
        <v>2.84</v>
      </c>
      <c r="F10" s="18">
        <v>292945.13700400002</v>
      </c>
      <c r="G10" s="148">
        <v>218322</v>
      </c>
      <c r="H10" s="45">
        <f t="shared" si="0"/>
        <v>74623.137004000018</v>
      </c>
      <c r="I10" s="31">
        <v>12</v>
      </c>
      <c r="J10" s="18">
        <f t="shared" si="2"/>
        <v>50822.817003999982</v>
      </c>
      <c r="K10" s="18">
        <f t="shared" si="3"/>
        <v>218322.16</v>
      </c>
      <c r="L10" s="86"/>
      <c r="M10" s="1">
        <f t="shared" si="4"/>
        <v>343768.114008</v>
      </c>
      <c r="N10" s="4">
        <f t="shared" si="1"/>
        <v>364394.20084847999</v>
      </c>
    </row>
    <row r="11" spans="1:16" x14ac:dyDescent="0.25">
      <c r="A11" s="2" t="s">
        <v>31</v>
      </c>
      <c r="B11" s="2"/>
      <c r="C11" s="2">
        <v>27</v>
      </c>
      <c r="D11" s="47" t="s">
        <v>33</v>
      </c>
      <c r="E11" s="2">
        <v>3.43</v>
      </c>
      <c r="F11" s="18">
        <v>325058.89828299999</v>
      </c>
      <c r="G11" s="219">
        <f>F11</f>
        <v>325058.89828299999</v>
      </c>
      <c r="H11" s="45">
        <f t="shared" si="0"/>
        <v>0</v>
      </c>
      <c r="I11" s="31">
        <v>13</v>
      </c>
      <c r="J11" s="18">
        <f t="shared" si="2"/>
        <v>61381.078282999995</v>
      </c>
      <c r="K11" s="18">
        <f t="shared" si="3"/>
        <v>263677.82</v>
      </c>
      <c r="L11" s="86"/>
      <c r="M11" s="1">
        <f t="shared" si="4"/>
        <v>325058.89828299999</v>
      </c>
      <c r="N11" s="4">
        <f t="shared" si="1"/>
        <v>344562.43217997998</v>
      </c>
      <c r="P11" s="33"/>
    </row>
    <row r="12" spans="1:16" x14ac:dyDescent="0.25">
      <c r="A12" s="2" t="s">
        <v>34</v>
      </c>
      <c r="B12" s="2"/>
      <c r="C12" s="2">
        <v>28</v>
      </c>
      <c r="D12" s="47" t="s">
        <v>83</v>
      </c>
      <c r="E12" s="2">
        <v>2.84</v>
      </c>
      <c r="F12" s="18">
        <v>269144.97700399999</v>
      </c>
      <c r="G12" s="218">
        <f>F12</f>
        <v>269144.97700399999</v>
      </c>
      <c r="H12" s="45">
        <f>F12-G12</f>
        <v>0</v>
      </c>
      <c r="I12" s="31">
        <v>7</v>
      </c>
      <c r="J12" s="18">
        <f t="shared" si="2"/>
        <v>50822.817003999982</v>
      </c>
      <c r="K12" s="18">
        <f t="shared" si="3"/>
        <v>218322.16</v>
      </c>
      <c r="L12" s="86"/>
      <c r="M12" s="1">
        <f t="shared" si="4"/>
        <v>269144.97700399999</v>
      </c>
      <c r="N12" s="4">
        <f t="shared" si="1"/>
        <v>285293.67562423996</v>
      </c>
    </row>
    <row r="13" spans="1:16" x14ac:dyDescent="0.25">
      <c r="A13" s="2" t="s">
        <v>34</v>
      </c>
      <c r="B13" s="2"/>
      <c r="C13" s="2">
        <v>29</v>
      </c>
      <c r="D13" s="47" t="s">
        <v>35</v>
      </c>
      <c r="E13" s="2">
        <v>3.43</v>
      </c>
      <c r="F13" s="18">
        <v>325058.19570224179</v>
      </c>
      <c r="G13" s="218">
        <f>380972-G50</f>
        <v>325058.078721</v>
      </c>
      <c r="H13" s="45">
        <f t="shared" si="0"/>
        <v>0.1169812417938374</v>
      </c>
      <c r="I13" s="31">
        <v>7</v>
      </c>
      <c r="J13" s="18">
        <f t="shared" si="2"/>
        <v>61381.078282999995</v>
      </c>
      <c r="K13" s="18">
        <f t="shared" si="3"/>
        <v>263677.82</v>
      </c>
      <c r="L13" s="86"/>
      <c r="M13" s="1">
        <f t="shared" si="4"/>
        <v>325059.01526424178</v>
      </c>
      <c r="N13" s="4">
        <f t="shared" si="1"/>
        <v>344562.55618009629</v>
      </c>
    </row>
    <row r="14" spans="1:16" x14ac:dyDescent="0.25">
      <c r="A14" s="2" t="s">
        <v>36</v>
      </c>
      <c r="B14" s="2"/>
      <c r="C14" s="2">
        <v>30</v>
      </c>
      <c r="D14" s="47" t="s">
        <v>37</v>
      </c>
      <c r="E14" s="2">
        <v>2.84</v>
      </c>
      <c r="F14" s="18">
        <v>639329.95755066664</v>
      </c>
      <c r="G14" s="148">
        <v>218322</v>
      </c>
      <c r="H14" s="45">
        <f t="shared" si="0"/>
        <v>421007.95755066664</v>
      </c>
      <c r="I14" s="31">
        <v>27</v>
      </c>
      <c r="J14" s="18">
        <f t="shared" si="2"/>
        <v>50822.817003999982</v>
      </c>
      <c r="K14" s="18">
        <f t="shared" si="3"/>
        <v>218322.16</v>
      </c>
      <c r="L14" s="86"/>
      <c r="M14" s="1">
        <f t="shared" si="4"/>
        <v>690152.93455466663</v>
      </c>
      <c r="N14" s="4">
        <f t="shared" si="1"/>
        <v>731562.11062794668</v>
      </c>
    </row>
    <row r="15" spans="1:16" x14ac:dyDescent="0.25">
      <c r="A15" s="2" t="s">
        <v>36</v>
      </c>
      <c r="B15" s="2"/>
      <c r="C15" s="2">
        <v>31</v>
      </c>
      <c r="D15" s="47" t="s">
        <v>106</v>
      </c>
      <c r="E15" s="2">
        <v>3.43</v>
      </c>
      <c r="F15" s="18">
        <v>325058.78153932618</v>
      </c>
      <c r="G15" s="218">
        <f>372444-G35</f>
        <v>325059.32095000002</v>
      </c>
      <c r="H15" s="45">
        <f t="shared" si="0"/>
        <v>-0.53941067383857444</v>
      </c>
      <c r="I15" s="31">
        <v>6</v>
      </c>
      <c r="J15" s="18">
        <f t="shared" si="2"/>
        <v>61381.078282999995</v>
      </c>
      <c r="K15" s="18">
        <f t="shared" si="3"/>
        <v>263677.82</v>
      </c>
      <c r="L15" s="86"/>
      <c r="M15" s="1">
        <f t="shared" si="4"/>
        <v>325058.35887232615</v>
      </c>
      <c r="N15" s="4">
        <f t="shared" si="1"/>
        <v>344561.8604046657</v>
      </c>
    </row>
    <row r="16" spans="1:16" x14ac:dyDescent="0.25">
      <c r="A16" s="2" t="s">
        <v>38</v>
      </c>
      <c r="B16" s="2"/>
      <c r="C16" s="2">
        <v>32</v>
      </c>
      <c r="D16" s="47" t="s">
        <v>104</v>
      </c>
      <c r="E16" s="2">
        <v>2.84</v>
      </c>
      <c r="F16" s="18">
        <v>269145.47683100007</v>
      </c>
      <c r="G16" s="218">
        <f>315582-G49</f>
        <v>269145.01453099999</v>
      </c>
      <c r="H16" s="45">
        <f t="shared" si="0"/>
        <v>0.46230000007199124</v>
      </c>
      <c r="I16" s="31">
        <v>7</v>
      </c>
      <c r="J16" s="18">
        <f t="shared" si="2"/>
        <v>50822.817003999982</v>
      </c>
      <c r="K16" s="18">
        <f t="shared" si="3"/>
        <v>218322.16</v>
      </c>
      <c r="L16" s="86"/>
      <c r="M16" s="1">
        <f t="shared" si="4"/>
        <v>269145.43930400006</v>
      </c>
      <c r="N16" s="4">
        <f t="shared" si="1"/>
        <v>285294.16566224006</v>
      </c>
    </row>
    <row r="17" spans="1:18" x14ac:dyDescent="0.25">
      <c r="A17" s="2" t="s">
        <v>38</v>
      </c>
      <c r="B17" s="2"/>
      <c r="C17" s="2">
        <v>33</v>
      </c>
      <c r="D17" s="47" t="s">
        <v>39</v>
      </c>
      <c r="E17" s="2">
        <v>3.43</v>
      </c>
      <c r="F17" s="18">
        <v>320492.77406811505</v>
      </c>
      <c r="G17" s="219">
        <f>414315-G47-G48</f>
        <v>320493.33548100002</v>
      </c>
      <c r="H17" s="45">
        <f t="shared" si="0"/>
        <v>-0.56141288497019559</v>
      </c>
      <c r="I17" s="31">
        <v>15</v>
      </c>
      <c r="J17" s="18">
        <f t="shared" si="2"/>
        <v>61381.078282999995</v>
      </c>
      <c r="K17" s="18">
        <f t="shared" si="3"/>
        <v>263677.82</v>
      </c>
      <c r="L17" s="86"/>
      <c r="M17" s="1">
        <f t="shared" si="4"/>
        <v>325058.33687011502</v>
      </c>
      <c r="N17" s="4">
        <f t="shared" si="1"/>
        <v>344561.83708232193</v>
      </c>
    </row>
    <row r="18" spans="1:18" x14ac:dyDescent="0.25">
      <c r="A18" s="2" t="s">
        <v>40</v>
      </c>
      <c r="B18" s="2"/>
      <c r="C18" s="2">
        <v>34</v>
      </c>
      <c r="D18" s="47" t="s">
        <v>113</v>
      </c>
      <c r="E18" s="2">
        <v>2.84</v>
      </c>
      <c r="F18" s="18">
        <v>269120.82080391794</v>
      </c>
      <c r="G18" s="219">
        <f>262140-G51</f>
        <v>208121.465883</v>
      </c>
      <c r="H18" s="45">
        <f t="shared" si="0"/>
        <v>60999.354920917947</v>
      </c>
      <c r="I18" s="31">
        <v>7</v>
      </c>
      <c r="J18" s="18">
        <f t="shared" si="2"/>
        <v>50822.817003999982</v>
      </c>
      <c r="K18" s="18">
        <f t="shared" si="3"/>
        <v>218322.16</v>
      </c>
      <c r="L18" s="86"/>
      <c r="M18" s="1">
        <f t="shared" si="4"/>
        <v>330144.33192491793</v>
      </c>
      <c r="N18" s="4">
        <f t="shared" si="1"/>
        <v>349952.99184041301</v>
      </c>
      <c r="P18" t="s">
        <v>111</v>
      </c>
    </row>
    <row r="19" spans="1:18" x14ac:dyDescent="0.25">
      <c r="A19" s="2" t="s">
        <v>40</v>
      </c>
      <c r="B19" s="2"/>
      <c r="C19" s="2">
        <v>35</v>
      </c>
      <c r="D19" s="47" t="s">
        <v>42</v>
      </c>
      <c r="E19" s="2">
        <v>3.43</v>
      </c>
      <c r="F19" s="18">
        <v>325058.49793150148</v>
      </c>
      <c r="G19" s="218">
        <f>376233-G41</f>
        <v>325057.54662599997</v>
      </c>
      <c r="H19" s="45">
        <f t="shared" si="0"/>
        <v>0.95130550151225179</v>
      </c>
      <c r="I19" s="31">
        <v>6</v>
      </c>
      <c r="J19" s="18">
        <f t="shared" si="2"/>
        <v>61381.078282999995</v>
      </c>
      <c r="K19" s="18">
        <f t="shared" si="3"/>
        <v>263677.82</v>
      </c>
      <c r="L19" s="86"/>
      <c r="M19" s="1">
        <f t="shared" si="4"/>
        <v>325059.8495885015</v>
      </c>
      <c r="N19" s="4">
        <f t="shared" si="1"/>
        <v>344563.44056381157</v>
      </c>
    </row>
    <row r="20" spans="1:18" x14ac:dyDescent="0.25">
      <c r="A20" s="2" t="s">
        <v>43</v>
      </c>
      <c r="B20" s="2"/>
      <c r="C20" s="2">
        <v>36</v>
      </c>
      <c r="D20" s="47" t="s">
        <v>44</v>
      </c>
      <c r="E20" s="2">
        <v>2.84</v>
      </c>
      <c r="F20" s="18">
        <v>269145.05286107468</v>
      </c>
      <c r="G20" s="219">
        <f>315582-G38</f>
        <v>269145.01453099999</v>
      </c>
      <c r="H20" s="45">
        <f t="shared" si="0"/>
        <v>3.8330074690748006E-2</v>
      </c>
      <c r="I20" s="31">
        <v>7</v>
      </c>
      <c r="J20" s="18">
        <f t="shared" si="2"/>
        <v>50822.817003999982</v>
      </c>
      <c r="K20" s="18">
        <f t="shared" si="3"/>
        <v>218322.16</v>
      </c>
      <c r="L20" s="86"/>
      <c r="M20" s="1">
        <f t="shared" si="4"/>
        <v>269145.01533407468</v>
      </c>
      <c r="N20" s="4">
        <f t="shared" si="1"/>
        <v>285293.71625411918</v>
      </c>
    </row>
    <row r="21" spans="1:18" x14ac:dyDescent="0.25">
      <c r="A21" s="2" t="s">
        <v>43</v>
      </c>
      <c r="B21" s="2"/>
      <c r="C21" s="2">
        <v>37</v>
      </c>
      <c r="D21" s="47" t="s">
        <v>45</v>
      </c>
      <c r="E21" s="2">
        <v>3.43</v>
      </c>
      <c r="F21" s="18">
        <v>325058.67357663711</v>
      </c>
      <c r="G21" s="219">
        <f>376234-G45</f>
        <v>325058.54662599997</v>
      </c>
      <c r="H21" s="45">
        <f t="shared" si="0"/>
        <v>0.1269506371463649</v>
      </c>
      <c r="I21" s="31">
        <v>7</v>
      </c>
      <c r="J21" s="18">
        <f t="shared" si="2"/>
        <v>61381.078282999995</v>
      </c>
      <c r="K21" s="18">
        <f t="shared" si="3"/>
        <v>263677.82</v>
      </c>
      <c r="L21" s="86"/>
      <c r="M21" s="1">
        <f t="shared" si="4"/>
        <v>325059.02523363713</v>
      </c>
      <c r="N21" s="4">
        <f t="shared" si="1"/>
        <v>344562.56674765534</v>
      </c>
    </row>
    <row r="22" spans="1:18" x14ac:dyDescent="0.25">
      <c r="A22" s="2" t="s">
        <v>46</v>
      </c>
      <c r="B22" s="2"/>
      <c r="C22" s="2">
        <v>38</v>
      </c>
      <c r="D22" s="67" t="s">
        <v>98</v>
      </c>
      <c r="E22" s="2">
        <v>2.84</v>
      </c>
      <c r="F22" s="18">
        <v>269144.97700399999</v>
      </c>
      <c r="G22" s="219">
        <f>F22</f>
        <v>269144.97700399999</v>
      </c>
      <c r="H22" s="45">
        <f t="shared" si="0"/>
        <v>0</v>
      </c>
      <c r="I22" s="31">
        <v>7</v>
      </c>
      <c r="J22" s="18">
        <f t="shared" si="2"/>
        <v>50822.817003999982</v>
      </c>
      <c r="K22" s="18">
        <f t="shared" si="3"/>
        <v>218322.16</v>
      </c>
      <c r="L22" s="86"/>
      <c r="M22" s="1">
        <f t="shared" si="4"/>
        <v>269144.97700399999</v>
      </c>
      <c r="N22" s="4">
        <f t="shared" si="1"/>
        <v>285293.67562423996</v>
      </c>
    </row>
    <row r="23" spans="1:18" x14ac:dyDescent="0.25">
      <c r="A23" s="2" t="s">
        <v>46</v>
      </c>
      <c r="B23" s="2"/>
      <c r="C23" s="2">
        <v>39</v>
      </c>
      <c r="D23" s="47" t="s">
        <v>47</v>
      </c>
      <c r="E23" s="2">
        <v>3.43</v>
      </c>
      <c r="F23" s="18">
        <v>285422.38618642226</v>
      </c>
      <c r="G23" s="103">
        <f>340000-G46</f>
        <v>292615.32095000002</v>
      </c>
      <c r="H23" s="45">
        <f t="shared" si="0"/>
        <v>-7192.9347635777667</v>
      </c>
      <c r="I23" s="31">
        <v>17</v>
      </c>
      <c r="J23" s="18">
        <f t="shared" si="2"/>
        <v>61381.078282999995</v>
      </c>
      <c r="K23" s="18">
        <f t="shared" si="3"/>
        <v>263677.82</v>
      </c>
      <c r="L23" s="86"/>
      <c r="M23" s="1">
        <f t="shared" si="4"/>
        <v>317865.96351942222</v>
      </c>
      <c r="N23" s="4">
        <f t="shared" si="1"/>
        <v>336937.92133058753</v>
      </c>
    </row>
    <row r="24" spans="1:18" x14ac:dyDescent="0.25">
      <c r="A24" s="2" t="s">
        <v>48</v>
      </c>
      <c r="B24" s="2"/>
      <c r="C24" s="2">
        <v>40</v>
      </c>
      <c r="D24" s="47" t="s">
        <v>49</v>
      </c>
      <c r="E24" s="2">
        <v>2.84</v>
      </c>
      <c r="F24" s="18">
        <v>269144.77042507473</v>
      </c>
      <c r="G24" s="219">
        <f>315582-G37</f>
        <v>269145.01453099999</v>
      </c>
      <c r="H24" s="45">
        <f t="shared" si="0"/>
        <v>-0.24410592525964603</v>
      </c>
      <c r="I24" s="75">
        <v>16</v>
      </c>
      <c r="J24" s="18">
        <f t="shared" si="2"/>
        <v>50822.817003999982</v>
      </c>
      <c r="K24" s="18">
        <f t="shared" si="3"/>
        <v>218322.16</v>
      </c>
      <c r="L24" s="86"/>
      <c r="M24" s="1">
        <f t="shared" si="4"/>
        <v>269144.73289807473</v>
      </c>
      <c r="N24" s="4">
        <f t="shared" si="1"/>
        <v>285293.41687195923</v>
      </c>
    </row>
    <row r="25" spans="1:18" x14ac:dyDescent="0.25">
      <c r="A25" s="2" t="s">
        <v>48</v>
      </c>
      <c r="B25" s="2"/>
      <c r="C25" s="2">
        <v>41</v>
      </c>
      <c r="D25" s="47" t="s">
        <v>117</v>
      </c>
      <c r="E25" s="2">
        <v>3.43</v>
      </c>
      <c r="F25" s="18">
        <v>325058.89828299999</v>
      </c>
      <c r="G25" s="218">
        <f>F25+1000</f>
        <v>326058.89828299999</v>
      </c>
      <c r="H25" s="45">
        <f t="shared" si="0"/>
        <v>-1000</v>
      </c>
      <c r="I25" s="31">
        <v>6</v>
      </c>
      <c r="J25" s="18">
        <f t="shared" si="2"/>
        <v>61381.078282999995</v>
      </c>
      <c r="K25" s="18">
        <f t="shared" si="3"/>
        <v>263677.82</v>
      </c>
      <c r="L25" s="87"/>
      <c r="M25" s="1">
        <f t="shared" si="4"/>
        <v>324058.89828299999</v>
      </c>
      <c r="N25" s="4">
        <f t="shared" si="1"/>
        <v>343502.43217997998</v>
      </c>
      <c r="P25" s="52"/>
      <c r="Q25" s="52"/>
      <c r="R25" s="52"/>
    </row>
    <row r="26" spans="1:18" x14ac:dyDescent="0.25">
      <c r="A26" s="2" t="s">
        <v>50</v>
      </c>
      <c r="B26" s="2"/>
      <c r="C26" s="2">
        <v>42</v>
      </c>
      <c r="D26" s="47" t="s">
        <v>51</v>
      </c>
      <c r="E26" s="2">
        <v>6</v>
      </c>
      <c r="F26" s="18">
        <v>-2456421.5320672961</v>
      </c>
      <c r="G26" s="218">
        <f>-G30-G31-G36</f>
        <v>-150683.27937900001</v>
      </c>
      <c r="H26" s="46">
        <f t="shared" si="0"/>
        <v>-2305738.2526882961</v>
      </c>
      <c r="I26" s="145" t="s">
        <v>145</v>
      </c>
      <c r="J26" s="18">
        <f t="shared" si="2"/>
        <v>107372.14859999997</v>
      </c>
      <c r="K26" s="18">
        <f t="shared" si="3"/>
        <v>461244</v>
      </c>
      <c r="L26" s="86"/>
      <c r="M26" s="1">
        <f t="shared" si="4"/>
        <v>-1737122.1040882962</v>
      </c>
      <c r="N26" s="4">
        <f t="shared" si="1"/>
        <v>-1841349.4303335939</v>
      </c>
    </row>
    <row r="27" spans="1:18" x14ac:dyDescent="0.25">
      <c r="A27" s="2" t="s">
        <v>52</v>
      </c>
      <c r="B27" s="2"/>
      <c r="C27" s="2">
        <v>43</v>
      </c>
      <c r="D27" s="47" t="s">
        <v>53</v>
      </c>
      <c r="E27" s="2">
        <v>5.89</v>
      </c>
      <c r="F27" s="18">
        <v>558303.59049426531</v>
      </c>
      <c r="G27" s="219">
        <f>668000-G39-G40</f>
        <v>558067.54460400005</v>
      </c>
      <c r="H27" s="45">
        <f t="shared" si="0"/>
        <v>236.04589026526082</v>
      </c>
      <c r="I27" s="31">
        <v>17</v>
      </c>
      <c r="J27" s="18">
        <f t="shared" si="2"/>
        <v>105403.65920899996</v>
      </c>
      <c r="K27" s="18">
        <f t="shared" si="3"/>
        <v>452787.86</v>
      </c>
      <c r="L27" s="86"/>
      <c r="M27" s="1">
        <f t="shared" si="4"/>
        <v>558427.56509926519</v>
      </c>
      <c r="N27" s="4">
        <f t="shared" si="1"/>
        <v>591933.21900522115</v>
      </c>
      <c r="R27" s="52"/>
    </row>
    <row r="28" spans="1:18" x14ac:dyDescent="0.25">
      <c r="A28" s="2" t="s">
        <v>54</v>
      </c>
      <c r="B28" s="2"/>
      <c r="C28" s="2">
        <v>44</v>
      </c>
      <c r="D28" s="47" t="s">
        <v>55</v>
      </c>
      <c r="E28" s="2">
        <v>5.89</v>
      </c>
      <c r="F28" s="18">
        <v>556906.99370220723</v>
      </c>
      <c r="G28" s="219">
        <f>658000-G32-G33</f>
        <v>557544.48041400011</v>
      </c>
      <c r="H28" s="45">
        <f t="shared" si="0"/>
        <v>-637.48671179288067</v>
      </c>
      <c r="I28" s="31">
        <v>8</v>
      </c>
      <c r="J28" s="18">
        <f t="shared" si="2"/>
        <v>105403.65920899996</v>
      </c>
      <c r="K28" s="18">
        <f t="shared" si="3"/>
        <v>452787.86</v>
      </c>
      <c r="L28" s="86"/>
      <c r="M28" s="1">
        <f t="shared" si="4"/>
        <v>557554.03249720705</v>
      </c>
      <c r="N28" s="4">
        <f t="shared" si="1"/>
        <v>591007.27444703947</v>
      </c>
    </row>
    <row r="29" spans="1:18" x14ac:dyDescent="0.25">
      <c r="A29" s="2" t="s">
        <v>56</v>
      </c>
      <c r="B29" s="2"/>
      <c r="C29" s="2">
        <v>45</v>
      </c>
      <c r="D29" s="47" t="s">
        <v>57</v>
      </c>
      <c r="E29" s="2">
        <v>5.89</v>
      </c>
      <c r="F29" s="18">
        <v>557837.2654031018</v>
      </c>
      <c r="G29" s="218">
        <f>558000+153000-G42-G43-G44</f>
        <v>558421.3334590001</v>
      </c>
      <c r="H29" s="46">
        <f t="shared" si="0"/>
        <v>-584.06805589830037</v>
      </c>
      <c r="I29" s="31">
        <v>11</v>
      </c>
      <c r="J29" s="18">
        <f t="shared" si="2"/>
        <v>105403.65920899996</v>
      </c>
      <c r="K29" s="18">
        <f t="shared" si="3"/>
        <v>452787.86</v>
      </c>
      <c r="L29" s="86"/>
      <c r="M29" s="1">
        <f t="shared" si="4"/>
        <v>557607.45115310163</v>
      </c>
      <c r="N29" s="4">
        <f t="shared" si="1"/>
        <v>591063.89822228777</v>
      </c>
    </row>
    <row r="30" spans="1:18" x14ac:dyDescent="0.25">
      <c r="A30" s="43" t="s">
        <v>69</v>
      </c>
      <c r="B30" s="2"/>
      <c r="C30" s="2">
        <v>1</v>
      </c>
      <c r="D30" s="47" t="s">
        <v>51</v>
      </c>
      <c r="E30" s="2">
        <v>0.54</v>
      </c>
      <c r="F30" s="18">
        <v>51175.453374000004</v>
      </c>
      <c r="G30" s="219">
        <f>F30</f>
        <v>51175.453374000004</v>
      </c>
      <c r="H30" s="45">
        <f t="shared" si="0"/>
        <v>0</v>
      </c>
      <c r="I30" s="31"/>
      <c r="J30" s="18">
        <f t="shared" si="2"/>
        <v>9663.4933739999979</v>
      </c>
      <c r="K30" s="18">
        <f t="shared" si="3"/>
        <v>41511.960000000006</v>
      </c>
      <c r="L30" s="86"/>
      <c r="M30" s="1">
        <f t="shared" si="4"/>
        <v>51175.453374000004</v>
      </c>
      <c r="N30" s="4">
        <f t="shared" si="1"/>
        <v>54245.980576440008</v>
      </c>
    </row>
    <row r="31" spans="1:18" x14ac:dyDescent="0.25">
      <c r="A31" s="43" t="s">
        <v>69</v>
      </c>
      <c r="B31" s="2"/>
      <c r="C31" s="2">
        <v>2</v>
      </c>
      <c r="D31" s="47" t="s">
        <v>51</v>
      </c>
      <c r="E31" s="2">
        <v>0.55000000000000004</v>
      </c>
      <c r="F31" s="18">
        <v>52123.146954999997</v>
      </c>
      <c r="G31" s="219">
        <f>F31</f>
        <v>52123.146954999997</v>
      </c>
      <c r="H31" s="45">
        <f t="shared" si="0"/>
        <v>0</v>
      </c>
      <c r="I31" s="31"/>
      <c r="J31" s="18">
        <f t="shared" si="2"/>
        <v>9842.4469549999994</v>
      </c>
      <c r="K31" s="18">
        <f t="shared" si="3"/>
        <v>42280.7</v>
      </c>
      <c r="L31" s="86"/>
      <c r="M31" s="1">
        <f t="shared" si="4"/>
        <v>52123.146954999997</v>
      </c>
      <c r="N31" s="4">
        <f t="shared" si="1"/>
        <v>55250.535772299998</v>
      </c>
    </row>
    <row r="32" spans="1:18" x14ac:dyDescent="0.25">
      <c r="A32" s="43" t="s">
        <v>69</v>
      </c>
      <c r="B32" s="2"/>
      <c r="C32" s="2">
        <v>3</v>
      </c>
      <c r="D32" s="47" t="s">
        <v>55</v>
      </c>
      <c r="E32" s="2">
        <v>0.45</v>
      </c>
      <c r="F32" s="18">
        <v>42646.211145000001</v>
      </c>
      <c r="G32" s="219">
        <f>F32</f>
        <v>42646.211145000001</v>
      </c>
      <c r="H32" s="45">
        <f t="shared" si="0"/>
        <v>0</v>
      </c>
      <c r="I32" s="31"/>
      <c r="J32" s="18">
        <f t="shared" si="2"/>
        <v>8052.9111449999991</v>
      </c>
      <c r="K32" s="18">
        <f t="shared" si="3"/>
        <v>34593.300000000003</v>
      </c>
      <c r="L32" s="66"/>
      <c r="M32" s="1">
        <f t="shared" si="4"/>
        <v>42646.211145000001</v>
      </c>
      <c r="N32" s="4">
        <f t="shared" si="1"/>
        <v>45204.983813700004</v>
      </c>
    </row>
    <row r="33" spans="1:17" x14ac:dyDescent="0.25">
      <c r="A33" s="43" t="s">
        <v>69</v>
      </c>
      <c r="B33" s="2"/>
      <c r="C33" s="2">
        <v>4</v>
      </c>
      <c r="D33" s="47" t="s">
        <v>55</v>
      </c>
      <c r="E33" s="2">
        <v>0.61</v>
      </c>
      <c r="F33" s="18">
        <v>57809.308440999994</v>
      </c>
      <c r="G33" s="219">
        <f t="shared" ref="G33" si="5">F33</f>
        <v>57809.308440999994</v>
      </c>
      <c r="H33" s="45">
        <f t="shared" si="0"/>
        <v>0</v>
      </c>
      <c r="I33" s="31"/>
      <c r="J33" s="18">
        <f t="shared" si="2"/>
        <v>10916.168440999996</v>
      </c>
      <c r="K33" s="18">
        <f t="shared" si="3"/>
        <v>46893.14</v>
      </c>
      <c r="L33" s="66"/>
      <c r="M33" s="1">
        <f t="shared" si="4"/>
        <v>57809.308440999994</v>
      </c>
      <c r="N33" s="4">
        <f t="shared" si="1"/>
        <v>61277.866947459996</v>
      </c>
    </row>
    <row r="34" spans="1:17" x14ac:dyDescent="0.25">
      <c r="A34" s="43" t="s">
        <v>69</v>
      </c>
      <c r="B34" s="2"/>
      <c r="C34" s="2">
        <v>5</v>
      </c>
      <c r="D34" s="47" t="s">
        <v>30</v>
      </c>
      <c r="E34" s="2">
        <v>0.54</v>
      </c>
      <c r="F34" s="18">
        <v>51175.453374000004</v>
      </c>
      <c r="G34" s="148">
        <f>F34</f>
        <v>51175.453374000004</v>
      </c>
      <c r="H34" s="45">
        <f t="shared" si="0"/>
        <v>0</v>
      </c>
      <c r="I34" s="31"/>
      <c r="J34" s="18">
        <f t="shared" si="2"/>
        <v>9663.4933739999979</v>
      </c>
      <c r="K34" s="18">
        <f t="shared" si="3"/>
        <v>41511.960000000006</v>
      </c>
      <c r="L34" s="66"/>
      <c r="M34" s="1">
        <f t="shared" si="4"/>
        <v>51175.453374000004</v>
      </c>
      <c r="N34" s="4">
        <f t="shared" si="1"/>
        <v>54245.980576440008</v>
      </c>
    </row>
    <row r="35" spans="1:17" x14ac:dyDescent="0.25">
      <c r="A35" s="43" t="s">
        <v>69</v>
      </c>
      <c r="B35" s="2"/>
      <c r="C35" s="2">
        <v>6</v>
      </c>
      <c r="D35" s="47" t="s">
        <v>106</v>
      </c>
      <c r="E35" s="2">
        <v>0.5</v>
      </c>
      <c r="F35" s="152">
        <v>47384.679049999999</v>
      </c>
      <c r="G35" s="218">
        <f>F35</f>
        <v>47384.679049999999</v>
      </c>
      <c r="H35" s="45">
        <f t="shared" si="0"/>
        <v>0</v>
      </c>
      <c r="I35" s="31"/>
      <c r="J35" s="18">
        <f t="shared" si="2"/>
        <v>8947.6790499999988</v>
      </c>
      <c r="K35" s="18">
        <f t="shared" si="3"/>
        <v>38437</v>
      </c>
      <c r="L35" s="66"/>
      <c r="M35" s="1">
        <f t="shared" si="4"/>
        <v>47384.679049999999</v>
      </c>
      <c r="N35" s="4">
        <f t="shared" si="1"/>
        <v>50227.759792999997</v>
      </c>
    </row>
    <row r="36" spans="1:17" x14ac:dyDescent="0.25">
      <c r="A36" s="43" t="s">
        <v>69</v>
      </c>
      <c r="B36" s="2"/>
      <c r="C36" s="2">
        <v>7</v>
      </c>
      <c r="D36" s="47" t="s">
        <v>51</v>
      </c>
      <c r="E36" s="2">
        <v>0.5</v>
      </c>
      <c r="F36" s="18">
        <v>47384.679049999999</v>
      </c>
      <c r="G36" s="219">
        <f>F36</f>
        <v>47384.679049999999</v>
      </c>
      <c r="H36" s="45">
        <f t="shared" si="0"/>
        <v>0</v>
      </c>
      <c r="I36" s="31"/>
      <c r="J36" s="18">
        <f t="shared" si="2"/>
        <v>8947.6790499999988</v>
      </c>
      <c r="K36" s="18">
        <f t="shared" si="3"/>
        <v>38437</v>
      </c>
      <c r="L36" s="66"/>
      <c r="M36" s="1">
        <f t="shared" si="4"/>
        <v>47384.679049999999</v>
      </c>
      <c r="N36" s="4">
        <f t="shared" si="1"/>
        <v>50227.759792999997</v>
      </c>
    </row>
    <row r="37" spans="1:17" x14ac:dyDescent="0.25">
      <c r="A37" s="43" t="s">
        <v>69</v>
      </c>
      <c r="B37" s="2"/>
      <c r="C37" s="2">
        <v>8</v>
      </c>
      <c r="D37" s="47" t="s">
        <v>49</v>
      </c>
      <c r="E37" s="2">
        <v>0.49</v>
      </c>
      <c r="F37" s="18">
        <v>46436.985468999999</v>
      </c>
      <c r="G37" s="219">
        <f t="shared" ref="G37:G41" si="6">F37</f>
        <v>46436.985468999999</v>
      </c>
      <c r="H37" s="45">
        <f t="shared" si="0"/>
        <v>0</v>
      </c>
      <c r="I37" s="31"/>
      <c r="J37" s="18">
        <f t="shared" si="2"/>
        <v>8768.7254689999972</v>
      </c>
      <c r="K37" s="18">
        <f t="shared" si="3"/>
        <v>37668.26</v>
      </c>
      <c r="L37" s="66"/>
      <c r="M37" s="1">
        <f t="shared" si="4"/>
        <v>46436.985468999999</v>
      </c>
      <c r="N37" s="4">
        <f t="shared" si="1"/>
        <v>49223.20459714</v>
      </c>
    </row>
    <row r="38" spans="1:17" x14ac:dyDescent="0.25">
      <c r="A38" s="43" t="s">
        <v>69</v>
      </c>
      <c r="B38" s="2"/>
      <c r="C38" s="2">
        <v>9</v>
      </c>
      <c r="D38" s="47" t="s">
        <v>44</v>
      </c>
      <c r="E38" s="2">
        <v>0.49</v>
      </c>
      <c r="F38" s="18">
        <v>46436.985468999999</v>
      </c>
      <c r="G38" s="219">
        <f t="shared" si="6"/>
        <v>46436.985468999999</v>
      </c>
      <c r="H38" s="45">
        <f t="shared" si="0"/>
        <v>0</v>
      </c>
      <c r="I38" s="31"/>
      <c r="J38" s="18">
        <f t="shared" si="2"/>
        <v>8768.7254689999972</v>
      </c>
      <c r="K38" s="18">
        <f t="shared" si="3"/>
        <v>37668.26</v>
      </c>
      <c r="L38" s="66"/>
      <c r="M38" s="1">
        <f t="shared" si="4"/>
        <v>46436.985468999999</v>
      </c>
      <c r="N38" s="4">
        <f t="shared" si="1"/>
        <v>49223.20459714</v>
      </c>
    </row>
    <row r="39" spans="1:17" x14ac:dyDescent="0.25">
      <c r="A39" s="43" t="s">
        <v>69</v>
      </c>
      <c r="B39" s="2"/>
      <c r="C39" s="2">
        <v>10</v>
      </c>
      <c r="D39" s="47" t="s">
        <v>53</v>
      </c>
      <c r="E39" s="2">
        <v>0.59</v>
      </c>
      <c r="F39" s="18">
        <v>55913.921279000002</v>
      </c>
      <c r="G39" s="219">
        <f t="shared" si="6"/>
        <v>55913.921279000002</v>
      </c>
      <c r="H39" s="45">
        <f t="shared" si="0"/>
        <v>0</v>
      </c>
      <c r="I39" s="31"/>
      <c r="J39" s="18">
        <f t="shared" si="2"/>
        <v>10558.261278999997</v>
      </c>
      <c r="K39" s="18">
        <f t="shared" si="3"/>
        <v>45355.66</v>
      </c>
      <c r="L39" s="66"/>
      <c r="M39" s="1">
        <f t="shared" si="4"/>
        <v>55913.921279000002</v>
      </c>
      <c r="N39" s="4">
        <f t="shared" si="1"/>
        <v>59268.756555740001</v>
      </c>
    </row>
    <row r="40" spans="1:17" x14ac:dyDescent="0.25">
      <c r="A40" s="43" t="s">
        <v>69</v>
      </c>
      <c r="B40" s="2"/>
      <c r="C40" s="2">
        <v>11</v>
      </c>
      <c r="D40" s="47" t="s">
        <v>53</v>
      </c>
      <c r="E40" s="2">
        <v>0.56999999999999995</v>
      </c>
      <c r="F40" s="18">
        <v>54018.534116999996</v>
      </c>
      <c r="G40" s="219">
        <f t="shared" si="6"/>
        <v>54018.534116999996</v>
      </c>
      <c r="H40" s="45">
        <f t="shared" si="0"/>
        <v>0</v>
      </c>
      <c r="I40" s="31"/>
      <c r="J40" s="18">
        <f t="shared" si="2"/>
        <v>10200.354116999997</v>
      </c>
      <c r="K40" s="18">
        <f t="shared" si="3"/>
        <v>43818.18</v>
      </c>
      <c r="L40" s="66"/>
      <c r="M40" s="1">
        <f t="shared" si="4"/>
        <v>54018.534116999996</v>
      </c>
      <c r="N40" s="4">
        <f t="shared" si="1"/>
        <v>57259.646164019992</v>
      </c>
    </row>
    <row r="41" spans="1:17" x14ac:dyDescent="0.25">
      <c r="A41" s="43" t="s">
        <v>69</v>
      </c>
      <c r="B41" s="2"/>
      <c r="C41" s="2">
        <v>12</v>
      </c>
      <c r="D41" s="47" t="s">
        <v>42</v>
      </c>
      <c r="E41" s="2">
        <v>0.54</v>
      </c>
      <c r="F41" s="18">
        <v>51175.453374000004</v>
      </c>
      <c r="G41" s="219">
        <f t="shared" si="6"/>
        <v>51175.453374000004</v>
      </c>
      <c r="H41" s="45">
        <f t="shared" si="0"/>
        <v>0</v>
      </c>
      <c r="I41" s="31"/>
      <c r="J41" s="18">
        <f t="shared" si="2"/>
        <v>9663.4933739999979</v>
      </c>
      <c r="K41" s="18">
        <f t="shared" si="3"/>
        <v>41511.960000000006</v>
      </c>
      <c r="L41" s="66"/>
      <c r="M41" s="1">
        <f t="shared" si="4"/>
        <v>51175.453374000004</v>
      </c>
      <c r="N41" s="4">
        <f t="shared" si="1"/>
        <v>54245.980576440008</v>
      </c>
    </row>
    <row r="42" spans="1:17" x14ac:dyDescent="0.25">
      <c r="A42" s="43" t="s">
        <v>69</v>
      </c>
      <c r="B42" s="2"/>
      <c r="C42" s="2">
        <v>13</v>
      </c>
      <c r="D42" s="47" t="s">
        <v>57</v>
      </c>
      <c r="E42" s="2">
        <v>0.55000000000000004</v>
      </c>
      <c r="F42" s="18">
        <v>52123.146954999997</v>
      </c>
      <c r="G42" s="219">
        <f>F42</f>
        <v>52123.146954999997</v>
      </c>
      <c r="H42" s="45">
        <f t="shared" si="0"/>
        <v>0</v>
      </c>
      <c r="I42" s="31"/>
      <c r="J42" s="18">
        <f t="shared" si="2"/>
        <v>9842.4469549999994</v>
      </c>
      <c r="K42" s="18">
        <f t="shared" si="3"/>
        <v>42280.7</v>
      </c>
      <c r="L42" s="66"/>
      <c r="M42" s="1">
        <f t="shared" si="4"/>
        <v>52123.146954999997</v>
      </c>
      <c r="N42" s="4">
        <f t="shared" si="1"/>
        <v>55250.535772299998</v>
      </c>
    </row>
    <row r="43" spans="1:17" x14ac:dyDescent="0.25">
      <c r="A43" s="43" t="s">
        <v>69</v>
      </c>
      <c r="B43" s="2"/>
      <c r="C43" s="2">
        <v>14</v>
      </c>
      <c r="D43" s="47" t="s">
        <v>57</v>
      </c>
      <c r="E43" s="2">
        <v>0.45</v>
      </c>
      <c r="F43" s="18">
        <v>42646.211145000001</v>
      </c>
      <c r="G43" s="219">
        <f>F43</f>
        <v>42646.211145000001</v>
      </c>
      <c r="H43" s="45">
        <f t="shared" si="0"/>
        <v>0</v>
      </c>
      <c r="I43" s="31"/>
      <c r="J43" s="18">
        <f t="shared" si="2"/>
        <v>8052.9111449999991</v>
      </c>
      <c r="K43" s="18">
        <f t="shared" si="3"/>
        <v>34593.300000000003</v>
      </c>
      <c r="L43" s="66"/>
      <c r="M43" s="1">
        <f t="shared" si="4"/>
        <v>42646.211145000001</v>
      </c>
      <c r="N43" s="4">
        <f t="shared" si="1"/>
        <v>45204.983813700004</v>
      </c>
      <c r="P43" s="33">
        <f>L1-K52</f>
        <v>4839794.9700420005</v>
      </c>
    </row>
    <row r="44" spans="1:17" x14ac:dyDescent="0.25">
      <c r="A44" s="43" t="s">
        <v>69</v>
      </c>
      <c r="B44" s="2"/>
      <c r="C44" s="2">
        <v>15</v>
      </c>
      <c r="D44" s="47" t="s">
        <v>57</v>
      </c>
      <c r="E44" s="2">
        <v>0.61</v>
      </c>
      <c r="F44" s="18">
        <v>57809.308440999994</v>
      </c>
      <c r="G44" s="219">
        <f>F44</f>
        <v>57809.308440999994</v>
      </c>
      <c r="H44" s="45">
        <f t="shared" si="0"/>
        <v>0</v>
      </c>
      <c r="I44" s="31"/>
      <c r="J44" s="18">
        <f t="shared" si="2"/>
        <v>10916.168440999996</v>
      </c>
      <c r="K44" s="18">
        <f t="shared" si="3"/>
        <v>46893.14</v>
      </c>
      <c r="L44" s="66"/>
      <c r="M44" s="1">
        <f t="shared" si="4"/>
        <v>57809.308440999994</v>
      </c>
      <c r="N44" s="4">
        <f t="shared" si="1"/>
        <v>61277.866947459996</v>
      </c>
    </row>
    <row r="45" spans="1:17" x14ac:dyDescent="0.25">
      <c r="A45" s="43" t="s">
        <v>69</v>
      </c>
      <c r="B45" s="2"/>
      <c r="C45" s="2">
        <v>16</v>
      </c>
      <c r="D45" s="47" t="s">
        <v>45</v>
      </c>
      <c r="E45" s="2">
        <v>0.54</v>
      </c>
      <c r="F45" s="18">
        <v>51175.453374000004</v>
      </c>
      <c r="G45" s="219">
        <f t="shared" ref="G45" si="7">F45</f>
        <v>51175.453374000004</v>
      </c>
      <c r="H45" s="45">
        <f t="shared" si="0"/>
        <v>0</v>
      </c>
      <c r="I45" s="31"/>
      <c r="J45" s="18">
        <f t="shared" si="2"/>
        <v>9663.4933739999979</v>
      </c>
      <c r="K45" s="18">
        <f t="shared" si="3"/>
        <v>41511.960000000006</v>
      </c>
      <c r="L45" s="66"/>
      <c r="M45" s="1">
        <f t="shared" si="4"/>
        <v>51175.453374000004</v>
      </c>
      <c r="N45" s="4">
        <f t="shared" si="1"/>
        <v>54245.980576440008</v>
      </c>
    </row>
    <row r="46" spans="1:17" x14ac:dyDescent="0.25">
      <c r="A46" s="43" t="s">
        <v>69</v>
      </c>
      <c r="B46" s="2"/>
      <c r="C46" s="2">
        <v>17</v>
      </c>
      <c r="D46" s="47" t="s">
        <v>47</v>
      </c>
      <c r="E46" s="2">
        <v>0.5</v>
      </c>
      <c r="F46" s="18">
        <v>47384.679049999999</v>
      </c>
      <c r="G46" s="219">
        <f t="shared" ref="G46:G51" si="8">F46</f>
        <v>47384.679049999999</v>
      </c>
      <c r="H46" s="45">
        <f t="shared" si="0"/>
        <v>0</v>
      </c>
      <c r="I46" s="31"/>
      <c r="J46" s="18">
        <f t="shared" si="2"/>
        <v>8947.6790499999988</v>
      </c>
      <c r="K46" s="18">
        <f t="shared" si="3"/>
        <v>38437</v>
      </c>
      <c r="L46" s="66"/>
      <c r="M46" s="1">
        <f t="shared" si="4"/>
        <v>47384.679049999999</v>
      </c>
      <c r="N46" s="4">
        <f t="shared" si="1"/>
        <v>50227.759792999997</v>
      </c>
      <c r="Q46" t="s">
        <v>101</v>
      </c>
    </row>
    <row r="47" spans="1:17" x14ac:dyDescent="0.25">
      <c r="A47" s="43" t="s">
        <v>69</v>
      </c>
      <c r="B47" s="2"/>
      <c r="C47" s="2">
        <v>18</v>
      </c>
      <c r="D47" s="47" t="s">
        <v>39</v>
      </c>
      <c r="E47" s="2">
        <v>0.5</v>
      </c>
      <c r="F47" s="18">
        <v>47384.679049999999</v>
      </c>
      <c r="G47" s="219">
        <f t="shared" si="8"/>
        <v>47384.679049999999</v>
      </c>
      <c r="H47" s="45">
        <f t="shared" si="0"/>
        <v>0</v>
      </c>
      <c r="I47" s="31"/>
      <c r="J47" s="18">
        <f t="shared" si="2"/>
        <v>8947.6790499999988</v>
      </c>
      <c r="K47" s="18">
        <f t="shared" si="3"/>
        <v>38437</v>
      </c>
      <c r="L47" s="66"/>
      <c r="M47" s="1">
        <f t="shared" si="4"/>
        <v>47384.679049999999</v>
      </c>
      <c r="N47" s="4">
        <f t="shared" si="1"/>
        <v>50227.759792999997</v>
      </c>
      <c r="O47" s="52"/>
      <c r="Q47" s="49">
        <f>M3-J52</f>
        <v>-1644762.3629709994</v>
      </c>
    </row>
    <row r="48" spans="1:17" x14ac:dyDescent="0.25">
      <c r="A48" s="43" t="s">
        <v>69</v>
      </c>
      <c r="B48" s="2"/>
      <c r="C48" s="2">
        <v>19</v>
      </c>
      <c r="D48" s="47" t="s">
        <v>39</v>
      </c>
      <c r="E48" s="2">
        <v>0.49</v>
      </c>
      <c r="F48" s="18">
        <v>46436.985468999999</v>
      </c>
      <c r="G48" s="148">
        <f t="shared" si="8"/>
        <v>46436.985468999999</v>
      </c>
      <c r="H48" s="45">
        <f t="shared" si="0"/>
        <v>0</v>
      </c>
      <c r="I48" s="31"/>
      <c r="J48" s="18">
        <f t="shared" si="2"/>
        <v>8768.7254689999972</v>
      </c>
      <c r="K48" s="18">
        <f t="shared" si="3"/>
        <v>37668.26</v>
      </c>
      <c r="L48" s="66"/>
      <c r="M48" s="1">
        <f t="shared" si="4"/>
        <v>46436.985468999999</v>
      </c>
      <c r="N48" s="4">
        <f t="shared" si="1"/>
        <v>49223.20459714</v>
      </c>
    </row>
    <row r="49" spans="1:16" x14ac:dyDescent="0.25">
      <c r="A49" s="43" t="s">
        <v>69</v>
      </c>
      <c r="B49" s="2"/>
      <c r="C49" s="2">
        <v>20</v>
      </c>
      <c r="D49" s="47" t="str">
        <f>D16</f>
        <v>FEUILLANT, GASTON</v>
      </c>
      <c r="E49" s="2">
        <v>0.49</v>
      </c>
      <c r="F49" s="18">
        <v>46436.985468999999</v>
      </c>
      <c r="G49" s="219">
        <f t="shared" si="8"/>
        <v>46436.985468999999</v>
      </c>
      <c r="H49" s="45">
        <f t="shared" si="0"/>
        <v>0</v>
      </c>
      <c r="I49" s="31"/>
      <c r="J49" s="18">
        <f t="shared" si="2"/>
        <v>8768.7254689999972</v>
      </c>
      <c r="K49" s="18">
        <f t="shared" si="3"/>
        <v>37668.26</v>
      </c>
      <c r="L49" s="66"/>
      <c r="M49" s="1">
        <f t="shared" si="4"/>
        <v>46436.985468999999</v>
      </c>
      <c r="N49" s="4">
        <f t="shared" si="1"/>
        <v>49223.20459714</v>
      </c>
    </row>
    <row r="50" spans="1:16" x14ac:dyDescent="0.25">
      <c r="A50" s="43" t="s">
        <v>69</v>
      </c>
      <c r="B50" s="2"/>
      <c r="C50" s="2">
        <v>21</v>
      </c>
      <c r="D50" s="47" t="s">
        <v>35</v>
      </c>
      <c r="E50" s="2">
        <v>0.59</v>
      </c>
      <c r="F50" s="18">
        <v>55913.921279000002</v>
      </c>
      <c r="G50" s="218">
        <f t="shared" si="8"/>
        <v>55913.921279000002</v>
      </c>
      <c r="H50" s="45">
        <f t="shared" si="0"/>
        <v>0</v>
      </c>
      <c r="I50" s="31"/>
      <c r="J50" s="18">
        <f t="shared" si="2"/>
        <v>10558.261278999997</v>
      </c>
      <c r="K50" s="18">
        <f t="shared" si="3"/>
        <v>45355.66</v>
      </c>
      <c r="L50" s="66"/>
      <c r="M50" s="1">
        <f t="shared" si="4"/>
        <v>55913.921279000002</v>
      </c>
      <c r="N50" s="4">
        <f t="shared" si="1"/>
        <v>59268.756555740001</v>
      </c>
    </row>
    <row r="51" spans="1:16" x14ac:dyDescent="0.25">
      <c r="A51" s="43" t="s">
        <v>69</v>
      </c>
      <c r="B51" s="2"/>
      <c r="C51" s="2">
        <v>22</v>
      </c>
      <c r="D51" s="47" t="s">
        <v>41</v>
      </c>
      <c r="E51" s="2">
        <v>0.56999999999999995</v>
      </c>
      <c r="F51" s="18">
        <v>54018.534116999996</v>
      </c>
      <c r="G51" s="219">
        <f t="shared" si="8"/>
        <v>54018.534116999996</v>
      </c>
      <c r="H51" s="45">
        <f t="shared" si="0"/>
        <v>0</v>
      </c>
      <c r="I51" s="31"/>
      <c r="J51" s="18">
        <f t="shared" si="2"/>
        <v>10200.354116999997</v>
      </c>
      <c r="K51" s="18">
        <f t="shared" si="3"/>
        <v>43818.18</v>
      </c>
      <c r="L51" s="66"/>
      <c r="M51" s="1">
        <f t="shared" si="4"/>
        <v>54018.534116999996</v>
      </c>
      <c r="N51" s="4">
        <f t="shared" si="1"/>
        <v>57259.646164019992</v>
      </c>
    </row>
    <row r="52" spans="1:16" ht="14.25" customHeight="1" x14ac:dyDescent="0.25">
      <c r="A52" s="19"/>
      <c r="B52" s="19"/>
      <c r="C52" s="19"/>
      <c r="D52" s="19"/>
      <c r="E52" s="19">
        <f>SUM(E7:E51)</f>
        <v>99.999999999999986</v>
      </c>
      <c r="F52" s="83">
        <f>SUM(F7:F51)</f>
        <v>6503517.6367330411</v>
      </c>
      <c r="G52" s="83">
        <f>SUM(G7:G51)</f>
        <v>8264798.2205740046</v>
      </c>
      <c r="H52" s="19"/>
      <c r="I52" s="19"/>
      <c r="J52" s="44">
        <f>SUM(J8:J51)</f>
        <v>1644762.3629709994</v>
      </c>
      <c r="K52" s="20">
        <f>SUM(K7:K51)</f>
        <v>7375912.5599579988</v>
      </c>
      <c r="L52" s="85">
        <f>SUM(L7:L51)</f>
        <v>0</v>
      </c>
      <c r="M52" s="21">
        <f>SUM(M7:M51)</f>
        <v>7404167.7861170406</v>
      </c>
      <c r="N52" s="20">
        <f>SUM(N7:N51)</f>
        <v>7848417.8532840572</v>
      </c>
      <c r="P52" s="49"/>
    </row>
    <row r="53" spans="1:16" hidden="1" x14ac:dyDescent="0.25">
      <c r="K53" s="52">
        <f>K52-L1</f>
        <v>-4839794.9700420005</v>
      </c>
    </row>
    <row r="54" spans="1:16" ht="15" hidden="1" customHeight="1" x14ac:dyDescent="0.25"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</row>
    <row r="55" spans="1:16" hidden="1" x14ac:dyDescent="0.25"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</row>
    <row r="56" spans="1:16" x14ac:dyDescent="0.25"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spans="1:16" x14ac:dyDescent="0.25">
      <c r="C57" s="189" t="s">
        <v>99</v>
      </c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</row>
    <row r="58" spans="1:16" x14ac:dyDescent="0.25"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</row>
    <row r="59" spans="1:16" x14ac:dyDescent="0.25"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</row>
    <row r="60" spans="1:16" x14ac:dyDescent="0.25"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</row>
    <row r="61" spans="1:16" x14ac:dyDescent="0.25"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</row>
    <row r="62" spans="1:16" x14ac:dyDescent="0.25"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</row>
    <row r="63" spans="1:16" x14ac:dyDescent="0.25"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</row>
  </sheetData>
  <mergeCells count="18">
    <mergeCell ref="L1:M1"/>
    <mergeCell ref="N5:N6"/>
    <mergeCell ref="G5:G6"/>
    <mergeCell ref="H5:H6"/>
    <mergeCell ref="J5:J6"/>
    <mergeCell ref="K5:K6"/>
    <mergeCell ref="L5:L6"/>
    <mergeCell ref="M5:M6"/>
    <mergeCell ref="I5:I6"/>
    <mergeCell ref="A1:J4"/>
    <mergeCell ref="A5:A6"/>
    <mergeCell ref="B5:B6"/>
    <mergeCell ref="C5:C6"/>
    <mergeCell ref="D5:D6"/>
    <mergeCell ref="E5:E6"/>
    <mergeCell ref="F5:F6"/>
    <mergeCell ref="C57:N63"/>
    <mergeCell ref="C54:N55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E70F-CDC7-456F-AF96-2906778A9145}">
  <dimension ref="C4"/>
  <sheetViews>
    <sheetView workbookViewId="0">
      <selection activeCell="C5" sqref="C5"/>
    </sheetView>
  </sheetViews>
  <sheetFormatPr baseColWidth="10" defaultRowHeight="15" x14ac:dyDescent="0.25"/>
  <sheetData>
    <row r="4" spans="3:3" x14ac:dyDescent="0.25">
      <c r="C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2026-07-02T16:18:01Z</cp:lastPrinted>
  <dcterms:created xsi:type="dcterms:W3CDTF">2023-09-17T12:29:07Z</dcterms:created>
  <dcterms:modified xsi:type="dcterms:W3CDTF">2026-07-30T13:18:21Z</dcterms:modified>
</cp:coreProperties>
</file>