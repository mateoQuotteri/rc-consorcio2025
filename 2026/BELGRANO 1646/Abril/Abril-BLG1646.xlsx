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x\Desktop\rc-consorcio2025\2026\BELGRANO 1646\Abril\"/>
    </mc:Choice>
  </mc:AlternateContent>
  <xr:revisionPtr revIDLastSave="0" documentId="13_ncr:1_{2BA97ED2-7E99-4934-A5B7-0E12C8E59D1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SUMEN" sheetId="1" r:id="rId1"/>
    <sheet name="PRORRATEO" sheetId="2" r:id="rId2"/>
    <sheet name="ANOTACIONES" sheetId="3" r:id="rId3"/>
  </sheets>
  <definedNames>
    <definedName name="_xlnm.Print_Area" localSheetId="1">PRORRATEO!$A$1:$N$64</definedName>
    <definedName name="_xlnm.Print_Area" localSheetId="0">RESUMEN!$A$1:$F$121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6" i="1" l="1"/>
  <c r="H56" i="1" s="1"/>
  <c r="F56" i="1"/>
  <c r="G56" i="1"/>
  <c r="M2" i="2"/>
  <c r="E62" i="1"/>
  <c r="G17" i="2"/>
  <c r="G23" i="2"/>
  <c r="G9" i="2"/>
  <c r="G27" i="2"/>
  <c r="G18" i="2"/>
  <c r="G15" i="2"/>
  <c r="G24" i="2"/>
  <c r="G21" i="2"/>
  <c r="G28" i="2"/>
  <c r="G16" i="2"/>
  <c r="G19" i="2"/>
  <c r="G13" i="2"/>
  <c r="G20" i="2"/>
  <c r="G11" i="2"/>
  <c r="G26" i="2"/>
  <c r="F78" i="1"/>
  <c r="E78" i="1"/>
  <c r="F54" i="1"/>
  <c r="E54" i="1"/>
  <c r="E72" i="1"/>
  <c r="D45" i="1" l="1"/>
  <c r="E60" i="1"/>
  <c r="H60" i="1" s="1"/>
  <c r="G60" i="1"/>
  <c r="J60" i="1" s="1"/>
  <c r="G52" i="1"/>
  <c r="F52" i="1"/>
  <c r="E52" i="1"/>
  <c r="D73" i="1"/>
  <c r="D67" i="1"/>
  <c r="G35" i="2"/>
  <c r="G34" i="2"/>
  <c r="E61" i="1"/>
  <c r="H61" i="1" s="1"/>
  <c r="G61" i="1"/>
  <c r="J61" i="1" s="1"/>
  <c r="E58" i="1"/>
  <c r="G58" i="1"/>
  <c r="J58" i="1" s="1"/>
  <c r="F80" i="1"/>
  <c r="E80" i="1"/>
  <c r="E65" i="1"/>
  <c r="H65" i="1" s="1"/>
  <c r="I65" i="1" s="1"/>
  <c r="G65" i="1"/>
  <c r="J65" i="1" s="1"/>
  <c r="E64" i="1"/>
  <c r="H64" i="1" s="1"/>
  <c r="I64" i="1" s="1"/>
  <c r="G64" i="1"/>
  <c r="J64" i="1" s="1"/>
  <c r="E41" i="1"/>
  <c r="H52" i="1" l="1"/>
  <c r="E66" i="1"/>
  <c r="E59" i="1"/>
  <c r="A1" i="2"/>
  <c r="G48" i="2" l="1"/>
  <c r="G47" i="2"/>
  <c r="G46" i="2"/>
  <c r="F51" i="1"/>
  <c r="E51" i="1"/>
  <c r="G51" i="1"/>
  <c r="G62" i="1"/>
  <c r="H62" i="1"/>
  <c r="H51" i="1" l="1"/>
  <c r="G7" i="2" l="1"/>
  <c r="G22" i="2" l="1"/>
  <c r="H59" i="1" l="1"/>
  <c r="I59" i="1" s="1"/>
  <c r="G59" i="1"/>
  <c r="J59" i="1" s="1"/>
  <c r="F26" i="1"/>
  <c r="E26" i="1" l="1"/>
  <c r="F87" i="1" l="1"/>
  <c r="G51" i="2" l="1"/>
  <c r="G36" i="2"/>
  <c r="G31" i="2"/>
  <c r="G30" i="2"/>
  <c r="E63" i="1" l="1"/>
  <c r="E99" i="1"/>
  <c r="F99" i="1"/>
  <c r="G66" i="1"/>
  <c r="J66" i="1" s="1"/>
  <c r="H66" i="1" l="1"/>
  <c r="I66" i="1" s="1"/>
  <c r="F98" i="1" l="1"/>
  <c r="D100" i="1"/>
  <c r="M3" i="2" s="1"/>
  <c r="O4" i="2" s="1"/>
  <c r="E98" i="1"/>
  <c r="G55" i="1" l="1"/>
  <c r="J55" i="1" s="1"/>
  <c r="F55" i="1"/>
  <c r="E55" i="1"/>
  <c r="H55" i="1" l="1"/>
  <c r="I55" i="1" s="1"/>
  <c r="G50" i="1" l="1"/>
  <c r="F50" i="1"/>
  <c r="E50" i="1"/>
  <c r="H50" i="1" l="1"/>
  <c r="G49" i="1" l="1"/>
  <c r="E49" i="1"/>
  <c r="D81" i="1"/>
  <c r="D27" i="1"/>
  <c r="E53" i="1"/>
  <c r="B120" i="1"/>
  <c r="G63" i="1"/>
  <c r="J63" i="1" s="1"/>
  <c r="H49" i="1" l="1"/>
  <c r="I49" i="1" s="1"/>
  <c r="H63" i="1"/>
  <c r="I63" i="1" s="1"/>
  <c r="D47" i="1" l="1"/>
  <c r="D49" i="2"/>
  <c r="G49" i="2" l="1"/>
  <c r="F52" i="2" l="1"/>
  <c r="D42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B110" i="1" l="1"/>
  <c r="E100" i="1"/>
  <c r="F100" i="1"/>
  <c r="H100" i="1" l="1"/>
  <c r="I100" i="1" s="1"/>
  <c r="E42" i="1" l="1"/>
  <c r="F42" i="1"/>
  <c r="G42" i="1" l="1"/>
  <c r="F35" i="1"/>
  <c r="F34" i="1"/>
  <c r="F33" i="1"/>
  <c r="E35" i="1"/>
  <c r="E34" i="1"/>
  <c r="E33" i="1"/>
  <c r="G53" i="1" l="1"/>
  <c r="J53" i="1" s="1"/>
  <c r="G57" i="1"/>
  <c r="J57" i="1" s="1"/>
  <c r="E87" i="1" l="1"/>
  <c r="G87" i="1" l="1"/>
  <c r="H87" i="1" s="1"/>
  <c r="F83" i="1" l="1"/>
  <c r="E83" i="1"/>
  <c r="F79" i="1"/>
  <c r="F77" i="1"/>
  <c r="E79" i="1"/>
  <c r="E77" i="1"/>
  <c r="F71" i="1"/>
  <c r="E71" i="1"/>
  <c r="F57" i="1"/>
  <c r="F53" i="1"/>
  <c r="E57" i="1"/>
  <c r="E67" i="1" s="1"/>
  <c r="F29" i="1"/>
  <c r="F28" i="1"/>
  <c r="E29" i="1"/>
  <c r="E28" i="1"/>
  <c r="F46" i="1"/>
  <c r="F44" i="1"/>
  <c r="E46" i="1"/>
  <c r="E44" i="1"/>
  <c r="F24" i="1"/>
  <c r="F25" i="1"/>
  <c r="F23" i="1"/>
  <c r="E23" i="1"/>
  <c r="E24" i="1"/>
  <c r="E25" i="1"/>
  <c r="F67" i="1" l="1"/>
  <c r="H53" i="1"/>
  <c r="I53" i="1" s="1"/>
  <c r="H57" i="1"/>
  <c r="I57" i="1" s="1"/>
  <c r="F27" i="1"/>
  <c r="E81" i="1"/>
  <c r="F81" i="1"/>
  <c r="E73" i="1"/>
  <c r="F73" i="1"/>
  <c r="E32" i="1"/>
  <c r="E36" i="1" s="1"/>
  <c r="F32" i="1"/>
  <c r="E27" i="1"/>
  <c r="G27" i="1" l="1"/>
  <c r="H27" i="1" s="1"/>
  <c r="G67" i="1"/>
  <c r="H67" i="1" s="1"/>
  <c r="G81" i="1"/>
  <c r="G73" i="1"/>
  <c r="G32" i="1"/>
  <c r="D32" i="1"/>
  <c r="I67" i="1" l="1"/>
  <c r="D36" i="1"/>
  <c r="H73" i="1"/>
  <c r="H32" i="1"/>
  <c r="H81" i="1"/>
  <c r="C94" i="1"/>
  <c r="B112" i="1" s="1"/>
  <c r="E45" i="1" l="1"/>
  <c r="E47" i="1" s="1"/>
  <c r="F45" i="1"/>
  <c r="F47" i="1" s="1"/>
  <c r="G47" i="1" l="1"/>
  <c r="H47" i="1" l="1"/>
  <c r="E40" i="1" l="1"/>
  <c r="F40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K52" i="2" l="1"/>
  <c r="J52" i="2" l="1"/>
  <c r="Q47" i="2" s="1"/>
  <c r="B111" i="1"/>
  <c r="G32" i="2" l="1"/>
  <c r="G12" i="2"/>
  <c r="H12" i="2" s="1"/>
  <c r="G50" i="2" l="1"/>
  <c r="F36" i="1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H36" i="2"/>
  <c r="H31" i="2"/>
  <c r="G37" i="2"/>
  <c r="G45" i="2"/>
  <c r="G38" i="2"/>
  <c r="G41" i="2"/>
  <c r="H48" i="2"/>
  <c r="M48" i="2" s="1"/>
  <c r="N48" i="2" s="1"/>
  <c r="M12" i="2"/>
  <c r="N12" i="2" s="1"/>
  <c r="H10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50" i="2"/>
  <c r="M50" i="2" s="1"/>
  <c r="N50" i="2" s="1"/>
  <c r="H7" i="2"/>
  <c r="M7" i="2" s="1"/>
  <c r="H38" i="2" l="1"/>
  <c r="M38" i="2" s="1"/>
  <c r="N38" i="2" s="1"/>
  <c r="H26" i="2"/>
  <c r="M26" i="2" s="1"/>
  <c r="N26" i="2" s="1"/>
  <c r="H17" i="2"/>
  <c r="M17" i="2" s="1"/>
  <c r="N17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G52" i="2" l="1"/>
  <c r="B108" i="1" s="1"/>
  <c r="N8" i="2"/>
  <c r="N52" i="2" s="1"/>
  <c r="M52" i="2"/>
  <c r="F84" i="1"/>
  <c r="F85" i="1" s="1"/>
  <c r="F89" i="1" s="1"/>
  <c r="E84" i="1"/>
  <c r="E85" i="1" s="1"/>
  <c r="E89" i="1" s="1"/>
  <c r="D85" i="1"/>
  <c r="D89" i="1" s="1"/>
  <c r="G89" i="1" l="1"/>
  <c r="G85" i="1"/>
  <c r="H85" i="1" s="1"/>
  <c r="I89" i="1" l="1"/>
  <c r="B104" i="1"/>
  <c r="B109" i="1" s="1"/>
  <c r="B113" i="1" s="1"/>
  <c r="H89" i="1"/>
  <c r="L1" i="2"/>
  <c r="B103" i="1"/>
  <c r="P43" i="2" l="1"/>
  <c r="K53" i="2"/>
  <c r="O1" i="2"/>
  <c r="O2" i="2" s="1"/>
</calcChain>
</file>

<file path=xl/sharedStrings.xml><?xml version="1.0" encoding="utf-8"?>
<sst xmlns="http://schemas.openxmlformats.org/spreadsheetml/2006/main" count="208" uniqueCount="148">
  <si>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</si>
  <si>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</si>
  <si>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</si>
  <si>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</si>
  <si>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</si>
  <si>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</si>
  <si>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</si>
  <si>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</si>
  <si>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</si>
  <si>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</si>
  <si>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</si>
  <si>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</si>
  <si>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</si>
  <si>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</si>
  <si>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</si>
  <si>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</si>
  <si>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TOTAL GASTOS GENERALES / MANTENIMIENTO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</si>
  <si>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</si>
  <si>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</si>
  <si>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</si>
  <si>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</si>
  <si>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</si>
  <si>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</si>
  <si>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</si>
  <si>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</si>
  <si>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TOTAL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</si>
  <si>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</si>
  <si>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</si>
  <si>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</si>
  <si>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</si>
  <si>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</si>
  <si>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</si>
  <si>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</si>
  <si>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</si>
  <si>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</si>
  <si>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</si>
  <si>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</si>
  <si>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</si>
  <si>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</si>
  <si>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</si>
  <si>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</si>
  <si>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</si>
  <si>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</si>
  <si>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</si>
  <si>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</si>
  <si>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</si>
  <si>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</si>
  <si>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</si>
  <si>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</si>
  <si>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</si>
  <si>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</si>
  <si>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</si>
  <si>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</si>
  <si>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</si>
  <si>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</si>
  <si>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</si>
  <si>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</si>
  <si>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</si>
  <si>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Expensas ord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</si>
  <si>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</si>
  <si>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</si>
  <si>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</si>
  <si>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</si>
  <si>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</si>
  <si>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</si>
  <si>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</si>
  <si>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</si>
  <si>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</si>
  <si>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</si>
  <si>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</si>
  <si>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</si>
  <si>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</si>
  <si>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</si>
  <si>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</si>
  <si>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</si>
  <si>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</si>
  <si>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</si>
  <si>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</si>
  <si>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</si>
  <si>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</si>
  <si>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</si>
  <si>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</si>
  <si>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</si>
  <si>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LUSENSKY, CARLOS</t>
  </si>
  <si>
    <t>Redondeo</t>
  </si>
  <si>
    <t>GASTOS EXTRAORDINARIOS</t>
  </si>
  <si>
    <t>Egresos Extraordinarios</t>
  </si>
  <si>
    <t>Egresos Ordinarios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</si>
  <si>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</si>
  <si>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</si>
  <si>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</si>
  <si>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</si>
  <si>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</si>
  <si>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</si>
  <si>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</si>
  <si>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</si>
  <si>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</si>
  <si>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</si>
  <si>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</si>
  <si>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</si>
  <si>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>EXPENSAS EXTRA:</t>
  </si>
  <si>
    <t>extra</t>
  </si>
  <si>
    <t xml:space="preserve">FONDO DE GASTOS ORDINARIOS </t>
  </si>
  <si>
    <t>ARCA</t>
  </si>
  <si>
    <t>FEUILLANT, GASTON</t>
  </si>
  <si>
    <t>Contessi - Mantenimiento de ascensores</t>
  </si>
  <si>
    <t>BALBOA, ARIEL</t>
  </si>
  <si>
    <t xml:space="preserve">Sr. Diego Britez </t>
  </si>
  <si>
    <t>GASTOS PARTICULARES</t>
  </si>
  <si>
    <t xml:space="preserve">Numero 1859135 Debito automatico </t>
  </si>
  <si>
    <t>SEGURO OBLIGATORIO SR DIEGO BRITEZ FEDERACION PATRONAL DEBITO AUTOMATICO</t>
  </si>
  <si>
    <t>Macarena</t>
  </si>
  <si>
    <t>Subidos en en3r0 de 2026</t>
  </si>
  <si>
    <t>RODRIGUEZ, JORGE AGUSTIN</t>
  </si>
  <si>
    <t>Sum - Gastos Part.</t>
  </si>
  <si>
    <t>A abonar 2do Vto.</t>
  </si>
  <si>
    <t>A abonar 1er Vto.</t>
  </si>
  <si>
    <t>CABARITI, JOSE LUIS</t>
  </si>
  <si>
    <r>
      <t xml:space="preserve">Los gastos que se encuentras </t>
    </r>
    <r>
      <rPr>
        <b/>
        <u/>
        <sz val="14"/>
        <rFont val="Calibri"/>
        <family val="2"/>
        <scheme val="minor"/>
      </rPr>
      <t>subrayados</t>
    </r>
    <r>
      <rPr>
        <sz val="14"/>
        <rFont val="Calibri"/>
        <family val="2"/>
        <scheme val="minor"/>
      </rPr>
      <t xml:space="preserve"> </t>
    </r>
    <r>
      <rPr>
        <b/>
        <sz val="14"/>
        <rFont val="Calibri"/>
        <family val="2"/>
        <scheme val="minor"/>
      </rPr>
      <t>son los que corresponden tanto a las unidades funcionales como tambien al local</t>
    </r>
  </si>
  <si>
    <t>BORRAR A MAURO MARANTE DE MAILS</t>
  </si>
  <si>
    <t>VTO: 15/05</t>
  </si>
  <si>
    <t>PERÍODO: ABRIL</t>
  </si>
  <si>
    <t>Honorarios ABRIL</t>
  </si>
  <si>
    <t>Fumigacion - Mes de ABRIL</t>
  </si>
  <si>
    <t>Ingreso mes de marzo</t>
  </si>
  <si>
    <t>Reemplazo Sr. Diego - Sra Monica</t>
  </si>
  <si>
    <t>Energroup - SERVICE DE MANTENIMIENTO PREVENTIVO - MARZO</t>
  </si>
  <si>
    <t>Energroup - SERVICE DE MANTENIMIENTO PREVENTIVO - ABRIL</t>
  </si>
  <si>
    <t>Distribuidora Barbiero - Lamparas y plafones</t>
  </si>
  <si>
    <t>Casa Ruan - Sensor de movimiento pared</t>
  </si>
  <si>
    <t>Servisur - Colocacion de lamparas, sensores, plafones y programacion de reloj filtro pileta</t>
  </si>
  <si>
    <t>Debito 06/04</t>
  </si>
  <si>
    <t>Pago mis cuentas 06/04</t>
  </si>
  <si>
    <t>Citro Nicolas Hugo -  Pago de franquicia - Chevtrolex Onix 5A</t>
  </si>
  <si>
    <t>Debito 13/04</t>
  </si>
  <si>
    <t>Gastañaga Sebastian - Destrabe y encarrilamiento persiana metalica</t>
  </si>
  <si>
    <t>Gastañaga Sebastian - Arreglo persiana montavehiculos : Desinstalacion e instalacion paño metalico con soldadura laterales, sustitucion de 6 varillas galvanizadas, cambio de flejes y nivelacion de paño</t>
  </si>
  <si>
    <t>Remis Sr. Diego</t>
  </si>
  <si>
    <t>Debito 29/04</t>
  </si>
  <si>
    <t>Debito 01/04</t>
  </si>
  <si>
    <t>Mes de Marzo</t>
  </si>
  <si>
    <t>Mes de Abril</t>
  </si>
  <si>
    <t xml:space="preserve">Gabriel Villegas - Honorarios mediacion </t>
  </si>
  <si>
    <t>MP:1148 - Mes de marzo - Se adeuda abril</t>
  </si>
  <si>
    <t>Mediacion Sr. Simonassi</t>
  </si>
  <si>
    <t>Sum mal cobrado UF 35</t>
  </si>
  <si>
    <t>AYSA Destapacion cloacal PB</t>
  </si>
  <si>
    <t>Pago efectivo 27/04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</si>
</sst>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-&quot;$&quot;\ * #,##0_-;\-&quot;$&quot;\ * #,##0_-;_-&quot;$&quot;\ * &quot;-&quot;??_-;_-@_-"/>
    <numFmt numFmtId="167" formatCode="_-* #,##0.00\ _€_-;\-* #,##0.00\ _€_-;_-* &quot;-&quot;??\ _€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  <scheme val="minor"/>
    </font>
    <font>
      <i/>
      <u/>
      <sz val="1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sz val="14"/>
      <name val="Calibri"/>
      <family val="2"/>
      <scheme val="minor"/>
    </font>
    <font>
      <u/>
      <sz val="11"/>
      <name val="Calibri"/>
      <family val="2"/>
      <scheme val="minor"/>
    </font>
    <font>
      <i/>
      <u val="singleAccounting"/>
      <sz val="1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8">
    <xf numFmtId="0" fontId="0" fillId="0" borderId="0" xfId="0"/>
    <xf numFmtId="0" fontId="0" fillId="0" borderId="22" xfId="0" applyBorder="1"/>
    <xf numFmtId="3" fontId="0" fillId="0" borderId="1" xfId="0" applyNumberFormat="1" applyBorder="1"/>
    <xf numFmtId="0" fontId="0" fillId="0" borderId="1" xfId="0" applyBorder="1"/>
    <xf numFmtId="0" fontId="0" fillId="3" borderId="0" xfId="0" applyFill="1"/>
    <xf numFmtId="4" fontId="0" fillId="0" borderId="1" xfId="0" applyNumberFormat="1" applyBorder="1"/>
    <xf numFmtId="0" fontId="0" fillId="0" borderId="7" xfId="0" applyBorder="1"/>
    <xf numFmtId="0" fontId="2" fillId="3" borderId="22" xfId="0" applyFont="1" applyFill="1" applyBorder="1"/>
    <xf numFmtId="8" fontId="0" fillId="0" borderId="0" xfId="0" applyNumberFormat="1"/>
    <xf numFmtId="0" fontId="5" fillId="6" borderId="0" xfId="0" applyFont="1" applyFill="1"/>
    <xf numFmtId="164" fontId="6" fillId="0" borderId="1" xfId="2" applyFont="1" applyBorder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0" fontId="3" fillId="0" borderId="1" xfId="0" applyFont="1" applyBorder="1"/>
    <xf numFmtId="0" fontId="3" fillId="0" borderId="0" xfId="0" applyFont="1"/>
    <xf numFmtId="164" fontId="3" fillId="0" borderId="1" xfId="0" applyNumberFormat="1" applyFont="1" applyBorder="1"/>
    <xf numFmtId="4" fontId="6" fillId="0" borderId="0" xfId="0" applyNumberFormat="1" applyFont="1"/>
    <xf numFmtId="164" fontId="0" fillId="0" borderId="0" xfId="0" applyNumberFormat="1"/>
    <xf numFmtId="166" fontId="0" fillId="0" borderId="1" xfId="1" applyNumberFormat="1" applyFont="1" applyBorder="1"/>
    <xf numFmtId="0" fontId="0" fillId="7" borderId="1" xfId="0" applyFill="1" applyBorder="1"/>
    <xf numFmtId="166" fontId="0" fillId="7" borderId="1" xfId="0" applyNumberFormat="1" applyFill="1" applyBorder="1"/>
    <xf numFmtId="3" fontId="0" fillId="7" borderId="1" xfId="0" applyNumberFormat="1" applyFill="1" applyBorder="1"/>
    <xf numFmtId="164" fontId="7" fillId="2" borderId="1" xfId="2" applyFont="1" applyFill="1" applyBorder="1"/>
    <xf numFmtId="164" fontId="3" fillId="2" borderId="1" xfId="2" applyFont="1" applyFill="1" applyBorder="1"/>
    <xf numFmtId="0" fontId="0" fillId="2" borderId="1" xfId="0" applyFill="1" applyBorder="1"/>
    <xf numFmtId="0" fontId="2" fillId="0" borderId="1" xfId="0" applyFont="1" applyBorder="1"/>
    <xf numFmtId="164" fontId="2" fillId="0" borderId="1" xfId="2" applyFont="1" applyBorder="1"/>
    <xf numFmtId="0" fontId="2" fillId="7" borderId="15" xfId="0" applyFont="1" applyFill="1" applyBorder="1"/>
    <xf numFmtId="44" fontId="2" fillId="7" borderId="17" xfId="0" applyNumberFormat="1" applyFont="1" applyFill="1" applyBorder="1"/>
    <xf numFmtId="0" fontId="2" fillId="7" borderId="27" xfId="0" applyFont="1" applyFill="1" applyBorder="1"/>
    <xf numFmtId="44" fontId="2" fillId="7" borderId="13" xfId="0" applyNumberFormat="1" applyFont="1" applyFill="1" applyBorder="1"/>
    <xf numFmtId="0" fontId="0" fillId="0" borderId="1" xfId="0" applyBorder="1" applyAlignment="1">
      <alignment horizontal="center" vertical="center"/>
    </xf>
    <xf numFmtId="44" fontId="8" fillId="4" borderId="9" xfId="1" applyFont="1" applyFill="1" applyBorder="1"/>
    <xf numFmtId="44" fontId="0" fillId="0" borderId="0" xfId="0" applyNumberFormat="1"/>
    <xf numFmtId="8" fontId="2" fillId="4" borderId="23" xfId="0" applyNumberFormat="1" applyFont="1" applyFill="1" applyBorder="1"/>
    <xf numFmtId="44" fontId="2" fillId="4" borderId="0" xfId="0" applyNumberFormat="1" applyFont="1" applyFill="1"/>
    <xf numFmtId="44" fontId="4" fillId="2" borderId="1" xfId="1" applyFont="1" applyFill="1" applyBorder="1"/>
    <xf numFmtId="0" fontId="0" fillId="0" borderId="9" xfId="0" applyBorder="1"/>
    <xf numFmtId="0" fontId="0" fillId="0" borderId="28" xfId="0" applyBorder="1"/>
    <xf numFmtId="0" fontId="0" fillId="2" borderId="28" xfId="0" applyFill="1" applyBorder="1"/>
    <xf numFmtId="8" fontId="2" fillId="4" borderId="1" xfId="0" applyNumberFormat="1" applyFont="1" applyFill="1" applyBorder="1"/>
    <xf numFmtId="8" fontId="2" fillId="2" borderId="1" xfId="0" applyNumberFormat="1" applyFont="1" applyFill="1" applyBorder="1"/>
    <xf numFmtId="44" fontId="4" fillId="2" borderId="0" xfId="1" applyFont="1" applyFill="1" applyBorder="1"/>
    <xf numFmtId="0" fontId="11" fillId="0" borderId="1" xfId="0" applyFont="1" applyBorder="1"/>
    <xf numFmtId="166" fontId="0" fillId="7" borderId="1" xfId="1" applyNumberFormat="1" applyFont="1" applyFill="1" applyBorder="1"/>
    <xf numFmtId="166" fontId="9" fillId="0" borderId="1" xfId="0" applyNumberFormat="1" applyFont="1" applyBorder="1"/>
    <xf numFmtId="166" fontId="11" fillId="0" borderId="1" xfId="0" applyNumberFormat="1" applyFont="1" applyBorder="1"/>
    <xf numFmtId="0" fontId="9" fillId="0" borderId="1" xfId="0" applyFont="1" applyBorder="1"/>
    <xf numFmtId="44" fontId="0" fillId="0" borderId="1" xfId="0" applyNumberFormat="1" applyBorder="1"/>
    <xf numFmtId="6" fontId="0" fillId="0" borderId="0" xfId="0" applyNumberFormat="1"/>
    <xf numFmtId="44" fontId="2" fillId="8" borderId="1" xfId="0" applyNumberFormat="1" applyFont="1" applyFill="1" applyBorder="1"/>
    <xf numFmtId="6" fontId="0" fillId="2" borderId="0" xfId="0" applyNumberFormat="1" applyFill="1" applyAlignment="1">
      <alignment horizontal="right" wrapText="1"/>
    </xf>
    <xf numFmtId="166" fontId="0" fillId="0" borderId="0" xfId="0" applyNumberFormat="1"/>
    <xf numFmtId="44" fontId="0" fillId="0" borderId="23" xfId="1" applyFont="1" applyBorder="1"/>
    <xf numFmtId="44" fontId="0" fillId="0" borderId="19" xfId="1" applyFont="1" applyBorder="1"/>
    <xf numFmtId="0" fontId="0" fillId="0" borderId="15" xfId="0" applyBorder="1"/>
    <xf numFmtId="0" fontId="0" fillId="0" borderId="17" xfId="0" applyBorder="1"/>
    <xf numFmtId="44" fontId="2" fillId="4" borderId="9" xfId="0" applyNumberFormat="1" applyFont="1" applyFill="1" applyBorder="1"/>
    <xf numFmtId="44" fontId="2" fillId="5" borderId="16" xfId="0" applyNumberFormat="1" applyFont="1" applyFill="1" applyBorder="1"/>
    <xf numFmtId="44" fontId="0" fillId="0" borderId="9" xfId="0" applyNumberFormat="1" applyBorder="1"/>
    <xf numFmtId="0" fontId="12" fillId="0" borderId="0" xfId="0" applyFont="1"/>
    <xf numFmtId="44" fontId="3" fillId="0" borderId="0" xfId="0" applyNumberFormat="1" applyFont="1"/>
    <xf numFmtId="44" fontId="0" fillId="0" borderId="0" xfId="1" applyFont="1"/>
    <xf numFmtId="44" fontId="8" fillId="4" borderId="9" xfId="0" applyNumberFormat="1" applyFont="1" applyFill="1" applyBorder="1"/>
    <xf numFmtId="44" fontId="2" fillId="4" borderId="15" xfId="0" applyNumberFormat="1" applyFont="1" applyFill="1" applyBorder="1"/>
    <xf numFmtId="0" fontId="0" fillId="2" borderId="0" xfId="0" applyFill="1"/>
    <xf numFmtId="44" fontId="12" fillId="0" borderId="0" xfId="0" applyNumberFormat="1" applyFont="1"/>
    <xf numFmtId="6" fontId="9" fillId="2" borderId="1" xfId="0" applyNumberFormat="1" applyFont="1" applyFill="1" applyBorder="1"/>
    <xf numFmtId="0" fontId="9" fillId="2" borderId="1" xfId="0" applyFont="1" applyFill="1" applyBorder="1"/>
    <xf numFmtId="0" fontId="2" fillId="2" borderId="0" xfId="0" applyFont="1" applyFill="1" applyAlignment="1">
      <alignment vertical="center" wrapText="1"/>
    </xf>
    <xf numFmtId="44" fontId="2" fillId="4" borderId="1" xfId="0" applyNumberFormat="1" applyFont="1" applyFill="1" applyBorder="1"/>
    <xf numFmtId="44" fontId="2" fillId="4" borderId="1" xfId="1" applyFont="1" applyFill="1" applyBorder="1"/>
    <xf numFmtId="44" fontId="8" fillId="4" borderId="1" xfId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13" fillId="2" borderId="1" xfId="2" applyFont="1" applyFill="1" applyBorder="1"/>
    <xf numFmtId="43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44" fontId="8" fillId="5" borderId="16" xfId="0" applyNumberFormat="1" applyFont="1" applyFill="1" applyBorder="1"/>
    <xf numFmtId="44" fontId="0" fillId="0" borderId="0" xfId="0" applyNumberFormat="1" applyAlignment="1">
      <alignment horizontal="left"/>
    </xf>
    <xf numFmtId="0" fontId="0" fillId="0" borderId="6" xfId="0" applyBorder="1"/>
    <xf numFmtId="10" fontId="2" fillId="5" borderId="19" xfId="0" applyNumberFormat="1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166" fontId="3" fillId="7" borderId="1" xfId="0" applyNumberFormat="1" applyFont="1" applyFill="1" applyBorder="1"/>
    <xf numFmtId="4" fontId="4" fillId="0" borderId="1" xfId="0" applyNumberFormat="1" applyFont="1" applyBorder="1"/>
    <xf numFmtId="166" fontId="9" fillId="7" borderId="1" xfId="1" applyNumberFormat="1" applyFont="1" applyFill="1" applyBorder="1"/>
    <xf numFmtId="6" fontId="14" fillId="2" borderId="1" xfId="0" applyNumberFormat="1" applyFont="1" applyFill="1" applyBorder="1"/>
    <xf numFmtId="165" fontId="7" fillId="2" borderId="1" xfId="2" applyNumberFormat="1" applyFont="1" applyFill="1" applyBorder="1"/>
    <xf numFmtId="0" fontId="0" fillId="3" borderId="20" xfId="0" applyFill="1" applyBorder="1"/>
    <xf numFmtId="44" fontId="4" fillId="3" borderId="21" xfId="0" applyNumberFormat="1" applyFont="1" applyFill="1" applyBorder="1"/>
    <xf numFmtId="0" fontId="0" fillId="3" borderId="22" xfId="0" applyFill="1" applyBorder="1"/>
    <xf numFmtId="44" fontId="4" fillId="3" borderId="0" xfId="0" applyNumberFormat="1" applyFont="1" applyFill="1"/>
    <xf numFmtId="6" fontId="4" fillId="3" borderId="23" xfId="0" applyNumberFormat="1" applyFont="1" applyFill="1" applyBorder="1"/>
    <xf numFmtId="6" fontId="0" fillId="3" borderId="0" xfId="0" applyNumberFormat="1" applyFill="1" applyAlignment="1">
      <alignment horizontal="right" wrapText="1"/>
    </xf>
    <xf numFmtId="6" fontId="4" fillId="3" borderId="23" xfId="0" applyNumberFormat="1" applyFont="1" applyFill="1" applyBorder="1" applyAlignment="1">
      <alignment horizontal="right" wrapText="1"/>
    </xf>
    <xf numFmtId="0" fontId="0" fillId="3" borderId="27" xfId="0" applyFill="1" applyBorder="1"/>
    <xf numFmtId="0" fontId="0" fillId="3" borderId="12" xfId="0" applyFill="1" applyBorder="1"/>
    <xf numFmtId="6" fontId="0" fillId="3" borderId="12" xfId="0" applyNumberFormat="1" applyFill="1" applyBorder="1" applyAlignment="1">
      <alignment horizontal="right" wrapText="1"/>
    </xf>
    <xf numFmtId="0" fontId="10" fillId="3" borderId="13" xfId="0" applyFont="1" applyFill="1" applyBorder="1"/>
    <xf numFmtId="0" fontId="4" fillId="2" borderId="1" xfId="0" applyFont="1" applyFill="1" applyBorder="1"/>
    <xf numFmtId="44" fontId="4" fillId="2" borderId="9" xfId="1" applyFont="1" applyFill="1" applyBorder="1"/>
    <xf numFmtId="44" fontId="4" fillId="0" borderId="9" xfId="1" applyFont="1" applyBorder="1"/>
    <xf numFmtId="44" fontId="4" fillId="0" borderId="1" xfId="1" applyFont="1" applyBorder="1"/>
    <xf numFmtId="166" fontId="4" fillId="0" borderId="1" xfId="1" applyNumberFormat="1" applyFont="1" applyBorder="1"/>
    <xf numFmtId="166" fontId="4" fillId="2" borderId="1" xfId="1" applyNumberFormat="1" applyFont="1" applyFill="1" applyBorder="1"/>
    <xf numFmtId="0" fontId="2" fillId="3" borderId="0" xfId="0" applyFont="1" applyFill="1"/>
    <xf numFmtId="0" fontId="0" fillId="3" borderId="23" xfId="0" applyFill="1" applyBorder="1"/>
    <xf numFmtId="0" fontId="2" fillId="3" borderId="12" xfId="0" applyFont="1" applyFill="1" applyBorder="1"/>
    <xf numFmtId="0" fontId="0" fillId="3" borderId="13" xfId="0" applyFill="1" applyBorder="1"/>
    <xf numFmtId="0" fontId="8" fillId="3" borderId="27" xfId="0" applyFont="1" applyFill="1" applyBorder="1"/>
    <xf numFmtId="0" fontId="8" fillId="3" borderId="12" xfId="0" applyFont="1" applyFill="1" applyBorder="1"/>
    <xf numFmtId="0" fontId="8" fillId="0" borderId="0" xfId="0" applyFont="1"/>
    <xf numFmtId="0" fontId="8" fillId="5" borderId="20" xfId="0" applyFont="1" applyFill="1" applyBorder="1"/>
    <xf numFmtId="0" fontId="8" fillId="5" borderId="18" xfId="0" applyFont="1" applyFill="1" applyBorder="1"/>
    <xf numFmtId="10" fontId="8" fillId="5" borderId="18" xfId="0" applyNumberFormat="1" applyFont="1" applyFill="1" applyBorder="1"/>
    <xf numFmtId="0" fontId="4" fillId="5" borderId="18" xfId="0" applyFont="1" applyFill="1" applyBorder="1"/>
    <xf numFmtId="0" fontId="20" fillId="0" borderId="1" xfId="0" applyFont="1" applyBorder="1"/>
    <xf numFmtId="0" fontId="8" fillId="4" borderId="1" xfId="0" applyFont="1" applyFill="1" applyBorder="1"/>
    <xf numFmtId="0" fontId="15" fillId="0" borderId="1" xfId="0" applyFont="1" applyBorder="1"/>
    <xf numFmtId="0" fontId="15" fillId="2" borderId="1" xfId="0" applyFont="1" applyFill="1" applyBorder="1"/>
    <xf numFmtId="0" fontId="8" fillId="2" borderId="1" xfId="0" applyFont="1" applyFill="1" applyBorder="1"/>
    <xf numFmtId="0" fontId="4" fillId="4" borderId="1" xfId="0" applyFont="1" applyFill="1" applyBorder="1"/>
    <xf numFmtId="0" fontId="4" fillId="0" borderId="9" xfId="0" applyFont="1" applyBorder="1" applyAlignment="1">
      <alignment vertical="center"/>
    </xf>
    <xf numFmtId="0" fontId="4" fillId="0" borderId="10" xfId="0" applyFont="1" applyBorder="1"/>
    <xf numFmtId="0" fontId="4" fillId="0" borderId="11" xfId="0" applyFont="1" applyBorder="1"/>
    <xf numFmtId="16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8" fillId="8" borderId="1" xfId="0" applyFont="1" applyFill="1" applyBorder="1"/>
    <xf numFmtId="0" fontId="4" fillId="0" borderId="22" xfId="0" applyFont="1" applyBorder="1"/>
    <xf numFmtId="0" fontId="8" fillId="5" borderId="15" xfId="0" applyFont="1" applyFill="1" applyBorder="1"/>
    <xf numFmtId="10" fontId="8" fillId="5" borderId="16" xfId="0" applyNumberFormat="1" applyFont="1" applyFill="1" applyBorder="1"/>
    <xf numFmtId="0" fontId="8" fillId="5" borderId="16" xfId="0" applyFont="1" applyFill="1" applyBorder="1"/>
    <xf numFmtId="0" fontId="8" fillId="9" borderId="15" xfId="0" applyFont="1" applyFill="1" applyBorder="1"/>
    <xf numFmtId="0" fontId="4" fillId="9" borderId="19" xfId="0" applyFont="1" applyFill="1" applyBorder="1"/>
    <xf numFmtId="167" fontId="0" fillId="0" borderId="0" xfId="0" applyNumberFormat="1"/>
    <xf numFmtId="0" fontId="4" fillId="0" borderId="9" xfId="0" applyFont="1" applyBorder="1" applyAlignment="1">
      <alignment horizontal="left" vertical="center"/>
    </xf>
    <xf numFmtId="44" fontId="4" fillId="0" borderId="11" xfId="0" applyNumberFormat="1" applyFont="1" applyBorder="1"/>
    <xf numFmtId="0" fontId="4" fillId="2" borderId="10" xfId="0" applyFont="1" applyFill="1" applyBorder="1"/>
    <xf numFmtId="0" fontId="4" fillId="0" borderId="10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44" fontId="4" fillId="0" borderId="11" xfId="0" applyNumberFormat="1" applyFont="1" applyBorder="1" applyAlignment="1">
      <alignment horizontal="left" vertical="center" wrapText="1"/>
    </xf>
    <xf numFmtId="44" fontId="2" fillId="8" borderId="1" xfId="1" applyFont="1" applyFill="1" applyBorder="1"/>
    <xf numFmtId="0" fontId="8" fillId="8" borderId="9" xfId="0" applyFont="1" applyFill="1" applyBorder="1"/>
    <xf numFmtId="44" fontId="8" fillId="8" borderId="1" xfId="1" applyFont="1" applyFill="1" applyBorder="1"/>
    <xf numFmtId="0" fontId="4" fillId="0" borderId="29" xfId="0" applyFont="1" applyBorder="1"/>
    <xf numFmtId="0" fontId="0" fillId="0" borderId="29" xfId="0" applyBorder="1"/>
    <xf numFmtId="44" fontId="2" fillId="5" borderId="17" xfId="0" applyNumberFormat="1" applyFont="1" applyFill="1" applyBorder="1"/>
    <xf numFmtId="0" fontId="9" fillId="0" borderId="1" xfId="0" applyNumberFormat="1" applyFont="1" applyBorder="1" applyAlignment="1">
      <alignment horizontal="center" vertical="center"/>
    </xf>
    <xf numFmtId="0" fontId="4" fillId="2" borderId="9" xfId="0" applyFont="1" applyFill="1" applyBorder="1"/>
    <xf numFmtId="43" fontId="2" fillId="3" borderId="18" xfId="3" applyFont="1" applyFill="1" applyBorder="1" applyAlignment="1"/>
    <xf numFmtId="43" fontId="2" fillId="3" borderId="21" xfId="3" applyFont="1" applyFill="1" applyBorder="1" applyAlignment="1"/>
    <xf numFmtId="0" fontId="0" fillId="9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17" fillId="7" borderId="14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 wrapText="1"/>
    </xf>
    <xf numFmtId="0" fontId="17" fillId="7" borderId="8" xfId="0" applyFont="1" applyFill="1" applyBorder="1" applyAlignment="1">
      <alignment horizontal="center" vertical="center" wrapText="1"/>
    </xf>
    <xf numFmtId="0" fontId="17" fillId="7" borderId="28" xfId="0" applyFont="1" applyFill="1" applyBorder="1" applyAlignment="1">
      <alignment horizontal="center" vertical="center" wrapText="1"/>
    </xf>
    <xf numFmtId="0" fontId="17" fillId="7" borderId="4" xfId="0" applyFont="1" applyFill="1" applyBorder="1" applyAlignment="1">
      <alignment horizontal="center" vertical="center" wrapText="1"/>
    </xf>
    <xf numFmtId="0" fontId="17" fillId="7" borderId="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44" fontId="21" fillId="0" borderId="9" xfId="0" applyNumberFormat="1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left" vertical="center" wrapText="1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2" fillId="2" borderId="9" xfId="0" applyFont="1" applyFill="1" applyBorder="1" applyAlignment="1">
      <alignment horizontal="left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22" fillId="2" borderId="11" xfId="0" applyFont="1" applyFill="1" applyBorder="1" applyAlignment="1">
      <alignment horizontal="left" vertical="center" wrapText="1"/>
    </xf>
    <xf numFmtId="44" fontId="4" fillId="0" borderId="9" xfId="0" applyNumberFormat="1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44" fontId="0" fillId="3" borderId="18" xfId="0" applyNumberFormat="1" applyFill="1" applyBorder="1" applyAlignment="1">
      <alignment horizontal="center" wrapText="1"/>
    </xf>
    <xf numFmtId="6" fontId="0" fillId="3" borderId="18" xfId="0" applyNumberFormat="1" applyFill="1" applyBorder="1" applyAlignment="1">
      <alignment horizont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 wrapText="1"/>
    </xf>
    <xf numFmtId="0" fontId="9" fillId="3" borderId="24" xfId="0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21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0" fontId="16" fillId="3" borderId="27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339725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1"/>
  <sheetViews>
    <sheetView topLeftCell="A106" workbookViewId="0">
      <selection activeCell="B120" sqref="B120"/>
    </sheetView>
  </sheetViews>
  <sheetFormatPr baseColWidth="10" defaultColWidth="10.85546875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8" width="14.85546875" customWidth="1"/>
    <col min="9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6" x14ac:dyDescent="0.25">
      <c r="A1" s="90"/>
      <c r="B1" s="154" t="s">
        <v>89</v>
      </c>
      <c r="C1" s="154"/>
      <c r="D1" s="154"/>
      <c r="E1" s="154"/>
      <c r="F1" s="155"/>
    </row>
    <row r="2" spans="1:6" x14ac:dyDescent="0.25">
      <c r="A2" s="7"/>
      <c r="B2" s="107" t="s">
        <v>0</v>
      </c>
      <c r="C2" s="107"/>
      <c r="D2" s="107"/>
      <c r="E2" s="107"/>
      <c r="F2" s="108"/>
    </row>
    <row r="3" spans="1:6" x14ac:dyDescent="0.25">
      <c r="A3" s="7"/>
      <c r="B3" s="107" t="s">
        <v>61</v>
      </c>
      <c r="C3" s="107"/>
      <c r="D3" s="107"/>
      <c r="E3" s="107"/>
      <c r="F3" s="108"/>
    </row>
    <row r="4" spans="1:6" ht="33.75" customHeight="1" x14ac:dyDescent="0.25">
      <c r="A4" s="7"/>
      <c r="B4" s="107" t="s">
        <v>62</v>
      </c>
      <c r="C4" s="107"/>
      <c r="D4" s="107"/>
      <c r="E4" s="107"/>
      <c r="F4" s="108"/>
    </row>
    <row r="5" spans="1:6" x14ac:dyDescent="0.25">
      <c r="A5" s="7" t="s">
        <v>1</v>
      </c>
      <c r="B5" s="107" t="s">
        <v>121</v>
      </c>
      <c r="C5" s="107" t="s">
        <v>120</v>
      </c>
      <c r="D5" s="107"/>
      <c r="E5" s="107"/>
      <c r="F5" s="108"/>
    </row>
    <row r="6" spans="1:6" x14ac:dyDescent="0.25">
      <c r="A6" s="7" t="s">
        <v>72</v>
      </c>
      <c r="B6" s="107"/>
      <c r="C6" s="107"/>
      <c r="D6" s="107"/>
      <c r="E6" s="107"/>
      <c r="F6" s="108"/>
    </row>
    <row r="7" spans="1:6" ht="15.75" thickBot="1" x14ac:dyDescent="0.3">
      <c r="A7" s="111" t="s">
        <v>71</v>
      </c>
      <c r="B7" s="112"/>
      <c r="C7" s="112"/>
      <c r="D7" s="112"/>
      <c r="E7" s="109"/>
      <c r="F7" s="110"/>
    </row>
    <row r="8" spans="1:6" x14ac:dyDescent="0.25">
      <c r="A8" s="78"/>
      <c r="B8" s="78"/>
      <c r="C8" s="78"/>
      <c r="D8" s="78"/>
    </row>
    <row r="9" spans="1:6" hidden="1" x14ac:dyDescent="0.25">
      <c r="A9" s="78"/>
      <c r="B9" s="78"/>
      <c r="C9" s="78"/>
      <c r="D9" s="78"/>
    </row>
    <row r="10" spans="1:6" hidden="1" x14ac:dyDescent="0.25">
      <c r="A10" s="78"/>
      <c r="B10" s="78"/>
      <c r="C10" s="78"/>
      <c r="D10" s="78"/>
    </row>
    <row r="11" spans="1:6" hidden="1" x14ac:dyDescent="0.25">
      <c r="A11" s="78"/>
      <c r="B11" s="78"/>
      <c r="C11" s="78"/>
      <c r="D11" s="78"/>
    </row>
    <row r="12" spans="1:6" hidden="1" x14ac:dyDescent="0.25">
      <c r="A12" s="78"/>
      <c r="B12" s="78"/>
      <c r="C12" s="78"/>
      <c r="D12" s="78"/>
    </row>
    <row r="13" spans="1:6" x14ac:dyDescent="0.25">
      <c r="A13" s="78"/>
      <c r="B13" s="78"/>
      <c r="C13" s="78"/>
      <c r="D13" s="78"/>
    </row>
    <row r="14" spans="1:6" x14ac:dyDescent="0.25">
      <c r="A14" s="78"/>
      <c r="B14" s="158" t="s">
        <v>118</v>
      </c>
      <c r="C14" s="159"/>
      <c r="D14" s="160"/>
    </row>
    <row r="15" spans="1:6" x14ac:dyDescent="0.25">
      <c r="A15" s="78"/>
      <c r="B15" s="161"/>
      <c r="C15" s="162"/>
      <c r="D15" s="163"/>
    </row>
    <row r="16" spans="1:6" x14ac:dyDescent="0.25">
      <c r="A16" s="78"/>
      <c r="B16" s="161"/>
      <c r="C16" s="162"/>
      <c r="D16" s="163"/>
    </row>
    <row r="17" spans="1:8" x14ac:dyDescent="0.25">
      <c r="A17" s="78"/>
      <c r="B17" s="164"/>
      <c r="C17" s="165"/>
      <c r="D17" s="166"/>
    </row>
    <row r="18" spans="1:8" x14ac:dyDescent="0.25">
      <c r="A18" s="78"/>
      <c r="B18" s="78"/>
      <c r="C18" s="78"/>
      <c r="D18" s="78"/>
    </row>
    <row r="19" spans="1:8" x14ac:dyDescent="0.25">
      <c r="A19" s="113"/>
      <c r="B19" s="78"/>
      <c r="C19" s="78"/>
      <c r="D19" s="78"/>
    </row>
    <row r="20" spans="1:8" ht="15.75" thickBot="1" x14ac:dyDescent="0.3">
      <c r="A20" s="78"/>
      <c r="B20" s="78"/>
      <c r="C20" s="78"/>
      <c r="D20" s="78"/>
    </row>
    <row r="21" spans="1:8" ht="15.75" thickBot="1" x14ac:dyDescent="0.3">
      <c r="A21" s="114" t="s">
        <v>59</v>
      </c>
      <c r="B21" s="115"/>
      <c r="C21" s="116"/>
      <c r="D21" s="117"/>
      <c r="E21" s="83" t="s">
        <v>92</v>
      </c>
      <c r="F21" s="84" t="s">
        <v>60</v>
      </c>
    </row>
    <row r="22" spans="1:8" x14ac:dyDescent="0.25">
      <c r="A22" s="118" t="s">
        <v>107</v>
      </c>
      <c r="B22" s="79" t="s">
        <v>122</v>
      </c>
      <c r="C22" s="79"/>
      <c r="D22" s="153"/>
      <c r="E22" s="82"/>
      <c r="F22" s="82"/>
    </row>
    <row r="23" spans="1:8" x14ac:dyDescent="0.25">
      <c r="A23" s="118" t="s">
        <v>96</v>
      </c>
      <c r="B23" s="79"/>
      <c r="C23" s="79"/>
      <c r="D23" s="102">
        <v>1667940.12</v>
      </c>
      <c r="E23" s="49">
        <f>D23*91.91%</f>
        <v>1533003.7642919999</v>
      </c>
      <c r="F23" s="49">
        <f>D23*8.09%</f>
        <v>134936.35570800002</v>
      </c>
    </row>
    <row r="24" spans="1:8" x14ac:dyDescent="0.25">
      <c r="A24" s="118" t="s">
        <v>2</v>
      </c>
      <c r="B24" s="79"/>
      <c r="C24" s="79"/>
      <c r="D24" s="102">
        <v>-362776.96</v>
      </c>
      <c r="E24" s="49">
        <f t="shared" ref="E24:E26" si="0">D24*91.91%</f>
        <v>-333428.30393599998</v>
      </c>
      <c r="F24" s="49">
        <f t="shared" ref="F24:F26" si="1">D24*8.09%</f>
        <v>-29348.656064000003</v>
      </c>
      <c r="G24" s="34"/>
    </row>
    <row r="25" spans="1:8" x14ac:dyDescent="0.25">
      <c r="A25" s="118" t="s">
        <v>84</v>
      </c>
      <c r="B25" s="79"/>
      <c r="C25" s="79"/>
      <c r="D25" s="102">
        <v>0.84</v>
      </c>
      <c r="E25" s="49">
        <f t="shared" si="0"/>
        <v>0.77204399999999995</v>
      </c>
      <c r="F25" s="49">
        <f t="shared" si="1"/>
        <v>6.7956000000000003E-2</v>
      </c>
    </row>
    <row r="26" spans="1:8" x14ac:dyDescent="0.25">
      <c r="A26" s="118" t="s">
        <v>137</v>
      </c>
      <c r="B26" s="79"/>
      <c r="C26" s="79"/>
      <c r="D26" s="102">
        <v>20000</v>
      </c>
      <c r="E26" s="49">
        <f t="shared" si="0"/>
        <v>18382</v>
      </c>
      <c r="F26" s="49">
        <f t="shared" si="1"/>
        <v>1618</v>
      </c>
    </row>
    <row r="27" spans="1:8" x14ac:dyDescent="0.25">
      <c r="A27" s="119" t="s">
        <v>3</v>
      </c>
      <c r="B27" s="119"/>
      <c r="C27" s="119"/>
      <c r="D27" s="33">
        <f>SUM(D23:D26)</f>
        <v>1325164.0000000002</v>
      </c>
      <c r="E27" s="33">
        <f>SUM(E23:E26)</f>
        <v>1217958.2323999999</v>
      </c>
      <c r="F27" s="33">
        <f>SUM(F23:F26)</f>
        <v>107205.76760000001</v>
      </c>
      <c r="G27" s="34">
        <f>E27+F27</f>
        <v>1325163.9999999998</v>
      </c>
      <c r="H27" s="61" t="str">
        <f>IF(D27=G27, "", "Error")</f>
        <v/>
      </c>
    </row>
    <row r="28" spans="1:8" hidden="1" x14ac:dyDescent="0.25">
      <c r="A28" s="120" t="s">
        <v>82</v>
      </c>
      <c r="B28" s="79"/>
      <c r="C28" s="79"/>
      <c r="D28" s="103">
        <v>0</v>
      </c>
      <c r="E28" s="49">
        <f>D28*91.91%</f>
        <v>0</v>
      </c>
      <c r="F28" s="49">
        <f>D28*8.09%</f>
        <v>0</v>
      </c>
      <c r="H28" s="61"/>
    </row>
    <row r="29" spans="1:8" hidden="1" x14ac:dyDescent="0.25">
      <c r="A29" s="120"/>
      <c r="B29" s="79"/>
      <c r="C29" s="79"/>
      <c r="D29" s="102">
        <v>0</v>
      </c>
      <c r="E29" s="49">
        <f>D29*91.91%</f>
        <v>0</v>
      </c>
      <c r="F29" s="49">
        <f>D29*8.09%</f>
        <v>0</v>
      </c>
      <c r="H29" s="61"/>
    </row>
    <row r="30" spans="1:8" hidden="1" x14ac:dyDescent="0.25">
      <c r="A30" s="120"/>
      <c r="B30" s="79"/>
      <c r="C30" s="79"/>
      <c r="D30" s="102"/>
      <c r="E30" s="3"/>
      <c r="F30" s="3"/>
      <c r="H30" s="61"/>
    </row>
    <row r="31" spans="1:8" hidden="1" x14ac:dyDescent="0.25">
      <c r="A31" s="120"/>
      <c r="B31" s="79"/>
      <c r="C31" s="79"/>
      <c r="D31" s="102"/>
      <c r="E31" s="3"/>
      <c r="F31" s="3"/>
      <c r="H31" s="61"/>
    </row>
    <row r="32" spans="1:8" hidden="1" x14ac:dyDescent="0.25">
      <c r="A32" s="119" t="s">
        <v>88</v>
      </c>
      <c r="B32" s="119"/>
      <c r="C32" s="119"/>
      <c r="D32" s="33">
        <f>SUM(D28:D30)</f>
        <v>0</v>
      </c>
      <c r="E32" s="33">
        <f t="shared" ref="E32:F32" si="2">SUM(E28:E30)</f>
        <v>0</v>
      </c>
      <c r="F32" s="33">
        <f t="shared" si="2"/>
        <v>0</v>
      </c>
      <c r="G32" s="34">
        <f>E32+F32</f>
        <v>0</v>
      </c>
      <c r="H32" s="61" t="str">
        <f>IF(D32=G32, "", "Error")</f>
        <v/>
      </c>
    </row>
    <row r="33" spans="1:8" x14ac:dyDescent="0.25">
      <c r="A33" s="120" t="s">
        <v>125</v>
      </c>
      <c r="B33" s="79"/>
      <c r="C33" s="79"/>
      <c r="D33" s="103">
        <v>84000</v>
      </c>
      <c r="E33" s="49">
        <f>D33*91.91%</f>
        <v>77204.399999999994</v>
      </c>
      <c r="F33" s="49">
        <f>D33*8.09%</f>
        <v>6795.6</v>
      </c>
      <c r="H33" s="61"/>
    </row>
    <row r="34" spans="1:8" x14ac:dyDescent="0.25">
      <c r="A34" s="79"/>
      <c r="B34" s="79"/>
      <c r="C34" s="79"/>
      <c r="D34" s="102"/>
      <c r="E34" s="49">
        <f t="shared" ref="E34:E35" si="3">D34*91.91%</f>
        <v>0</v>
      </c>
      <c r="F34" s="49">
        <f t="shared" ref="F34:F35" si="4">D34*8.09%</f>
        <v>0</v>
      </c>
      <c r="H34" s="61"/>
    </row>
    <row r="35" spans="1:8" ht="12.6" customHeight="1" x14ac:dyDescent="0.25">
      <c r="A35" s="120"/>
      <c r="B35" s="79"/>
      <c r="C35" s="79"/>
      <c r="D35" s="102"/>
      <c r="E35" s="49">
        <f t="shared" si="3"/>
        <v>0</v>
      </c>
      <c r="F35" s="49">
        <f t="shared" si="4"/>
        <v>0</v>
      </c>
      <c r="H35" s="61"/>
    </row>
    <row r="36" spans="1:8" ht="14.25" customHeight="1" x14ac:dyDescent="0.25">
      <c r="A36" s="119" t="s">
        <v>97</v>
      </c>
      <c r="B36" s="119"/>
      <c r="C36" s="119"/>
      <c r="D36" s="33">
        <f>SUM(D29:D35)</f>
        <v>84000</v>
      </c>
      <c r="E36" s="33">
        <f t="shared" ref="E36" si="5">SUM(E29:E35)</f>
        <v>77204.399999999994</v>
      </c>
      <c r="F36" s="41">
        <f>E36*8.09%</f>
        <v>6245.8359599999994</v>
      </c>
      <c r="H36" s="61"/>
    </row>
    <row r="37" spans="1:8" ht="0.6" hidden="1" customHeight="1" x14ac:dyDescent="0.25">
      <c r="A37" s="121"/>
      <c r="B37" s="101"/>
      <c r="C37" s="101"/>
      <c r="D37" s="102"/>
      <c r="E37" s="42"/>
      <c r="F37" s="42"/>
      <c r="H37" s="61"/>
    </row>
    <row r="38" spans="1:8" hidden="1" x14ac:dyDescent="0.25">
      <c r="A38" s="121"/>
      <c r="B38" s="101"/>
      <c r="C38" s="101"/>
      <c r="D38" s="102"/>
      <c r="E38" s="42"/>
      <c r="F38" s="42"/>
      <c r="H38" s="61"/>
    </row>
    <row r="39" spans="1:8" hidden="1" x14ac:dyDescent="0.25">
      <c r="A39" s="101"/>
      <c r="B39" s="101"/>
      <c r="C39" s="122"/>
      <c r="D39" s="102"/>
      <c r="E39" s="42"/>
      <c r="F39" s="42"/>
      <c r="H39" s="61"/>
    </row>
    <row r="40" spans="1:8" hidden="1" x14ac:dyDescent="0.25">
      <c r="A40" s="119" t="s">
        <v>88</v>
      </c>
      <c r="B40" s="119"/>
      <c r="C40" s="119"/>
      <c r="D40" s="33"/>
      <c r="E40" s="36">
        <f>SUM(D37:D39)</f>
        <v>0</v>
      </c>
      <c r="F40" s="35">
        <f>(D37)*8.09%</f>
        <v>0</v>
      </c>
      <c r="H40" s="61"/>
    </row>
    <row r="41" spans="1:8" hidden="1" x14ac:dyDescent="0.25">
      <c r="A41" s="79"/>
      <c r="B41" s="79"/>
      <c r="C41" s="101"/>
      <c r="D41" s="37">
        <v>0</v>
      </c>
      <c r="E41" s="49">
        <f>D41</f>
        <v>0</v>
      </c>
      <c r="F41" s="49"/>
      <c r="H41" s="61"/>
    </row>
    <row r="42" spans="1:8" ht="15.75" hidden="1" thickBot="1" x14ac:dyDescent="0.3">
      <c r="A42" s="119" t="s">
        <v>97</v>
      </c>
      <c r="B42" s="119"/>
      <c r="C42" s="119"/>
      <c r="D42" s="33">
        <f>SUM(D41:D41)</f>
        <v>0</v>
      </c>
      <c r="E42" s="65">
        <f>SUM(E41:E41)</f>
        <v>0</v>
      </c>
      <c r="F42" s="71">
        <f>SUM(F41:F41)</f>
        <v>0</v>
      </c>
      <c r="G42" s="34">
        <f>E42+F42</f>
        <v>0</v>
      </c>
      <c r="H42" s="61"/>
    </row>
    <row r="43" spans="1:8" x14ac:dyDescent="0.25">
      <c r="A43" s="120" t="s">
        <v>4</v>
      </c>
      <c r="B43" s="79"/>
      <c r="C43" s="79"/>
      <c r="D43" s="104"/>
      <c r="E43" s="38"/>
      <c r="F43" s="26"/>
      <c r="H43" s="61"/>
    </row>
    <row r="44" spans="1:8" x14ac:dyDescent="0.25">
      <c r="A44" s="120" t="s">
        <v>110</v>
      </c>
      <c r="B44" s="79"/>
      <c r="C44" s="101"/>
      <c r="D44" s="37">
        <v>6642</v>
      </c>
      <c r="E44" s="49">
        <f>D44*91.91%</f>
        <v>6104.6621999999998</v>
      </c>
      <c r="F44" s="49">
        <f>D44*8.09%</f>
        <v>537.33780000000002</v>
      </c>
      <c r="H44" s="61"/>
    </row>
    <row r="45" spans="1:8" x14ac:dyDescent="0.25">
      <c r="A45" s="120" t="s">
        <v>5</v>
      </c>
      <c r="B45" s="79" t="s">
        <v>134</v>
      </c>
      <c r="C45" s="79"/>
      <c r="D45" s="37">
        <f>70013.65+7779.29+142542.82</f>
        <v>220335.76</v>
      </c>
      <c r="E45" s="49">
        <f>D45*91.91%</f>
        <v>202510.59701599999</v>
      </c>
      <c r="F45" s="49">
        <f>D45*8.09%</f>
        <v>17825.162984000002</v>
      </c>
      <c r="H45" s="61"/>
    </row>
    <row r="46" spans="1:8" x14ac:dyDescent="0.25">
      <c r="A46" s="120" t="s">
        <v>103</v>
      </c>
      <c r="B46" s="101" t="s">
        <v>132</v>
      </c>
      <c r="C46" s="79"/>
      <c r="D46" s="37">
        <v>689724.49</v>
      </c>
      <c r="E46" s="49">
        <f>D46*91.91%</f>
        <v>633925.77875899989</v>
      </c>
      <c r="F46" s="49">
        <f>D46*8.09%</f>
        <v>55798.711240999997</v>
      </c>
      <c r="H46" s="61"/>
    </row>
    <row r="47" spans="1:8" x14ac:dyDescent="0.25">
      <c r="A47" s="119" t="s">
        <v>6</v>
      </c>
      <c r="B47" s="123"/>
      <c r="C47" s="123"/>
      <c r="D47" s="33">
        <f>SUM(D44:D46)</f>
        <v>916702.25</v>
      </c>
      <c r="E47" s="33">
        <f t="shared" ref="E47:F47" si="6">SUM(E44:E46)</f>
        <v>842541.03797499987</v>
      </c>
      <c r="F47" s="33">
        <f t="shared" si="6"/>
        <v>74161.212025000001</v>
      </c>
      <c r="G47" s="34">
        <f>E47+F47</f>
        <v>916702.24999999988</v>
      </c>
      <c r="H47" s="61" t="str">
        <f>IF(D47=G47, "", "Error")</f>
        <v/>
      </c>
    </row>
    <row r="48" spans="1:8" x14ac:dyDescent="0.25">
      <c r="A48" s="79" t="s">
        <v>7</v>
      </c>
      <c r="B48" s="79"/>
      <c r="C48" s="79"/>
      <c r="D48" s="104"/>
      <c r="E48" s="39"/>
      <c r="F48" s="3"/>
      <c r="H48" s="61"/>
    </row>
    <row r="49" spans="1:10" ht="16.5" customHeight="1" x14ac:dyDescent="0.25">
      <c r="A49" s="124" t="s">
        <v>105</v>
      </c>
      <c r="B49" s="79"/>
      <c r="C49" s="79"/>
      <c r="D49" s="37">
        <v>434000</v>
      </c>
      <c r="E49" s="60">
        <f>D49</f>
        <v>434000</v>
      </c>
      <c r="F49" s="3"/>
      <c r="G49" s="34">
        <f>D49</f>
        <v>434000</v>
      </c>
      <c r="H49" s="67">
        <f>E49+F49</f>
        <v>434000</v>
      </c>
      <c r="I49" s="76">
        <f>H49-D49</f>
        <v>0</v>
      </c>
      <c r="J49" s="76"/>
    </row>
    <row r="50" spans="1:10" ht="14.25" customHeight="1" x14ac:dyDescent="0.25">
      <c r="A50" s="118" t="s">
        <v>8</v>
      </c>
      <c r="B50" s="127"/>
      <c r="C50" s="79"/>
      <c r="D50" s="37">
        <v>0</v>
      </c>
      <c r="E50" s="60">
        <f t="shared" ref="E50:E57" si="7">D50*91.91%</f>
        <v>0</v>
      </c>
      <c r="F50" s="49">
        <f t="shared" ref="F50:F57" si="8">D50*8.09%</f>
        <v>0</v>
      </c>
      <c r="G50" s="34">
        <f t="shared" ref="G50:G66" si="9">D50</f>
        <v>0</v>
      </c>
      <c r="H50" s="67">
        <f t="shared" ref="H50:H66" si="10">E50+F50</f>
        <v>0</v>
      </c>
      <c r="I50" s="76"/>
      <c r="J50" s="76"/>
    </row>
    <row r="51" spans="1:10" x14ac:dyDescent="0.25">
      <c r="A51" s="120" t="s">
        <v>126</v>
      </c>
      <c r="B51" s="79"/>
      <c r="C51" s="79"/>
      <c r="D51" s="37">
        <v>176418</v>
      </c>
      <c r="E51" s="60">
        <f t="shared" si="7"/>
        <v>162145.78379999998</v>
      </c>
      <c r="F51" s="49">
        <f t="shared" si="8"/>
        <v>14272.216200000001</v>
      </c>
      <c r="G51" s="34">
        <f t="shared" si="9"/>
        <v>176418</v>
      </c>
      <c r="H51" s="67">
        <f t="shared" si="10"/>
        <v>176417.99999999997</v>
      </c>
      <c r="I51" s="76"/>
      <c r="J51" s="76"/>
    </row>
    <row r="52" spans="1:10" x14ac:dyDescent="0.25">
      <c r="A52" s="120" t="s">
        <v>127</v>
      </c>
      <c r="B52" s="79"/>
      <c r="C52" s="79"/>
      <c r="D52" s="37">
        <v>192118.96</v>
      </c>
      <c r="E52" s="60">
        <f t="shared" ref="E52" si="11">D52*91.91%</f>
        <v>176576.53613599998</v>
      </c>
      <c r="F52" s="49">
        <f t="shared" ref="F52" si="12">D52*8.09%</f>
        <v>15542.423863999999</v>
      </c>
      <c r="G52" s="34">
        <f t="shared" ref="G52" si="13">D52</f>
        <v>192118.96</v>
      </c>
      <c r="H52" s="67">
        <f t="shared" ref="H52" si="14">E52+F52</f>
        <v>192118.96</v>
      </c>
      <c r="I52" s="76"/>
      <c r="J52" s="76"/>
    </row>
    <row r="53" spans="1:10" x14ac:dyDescent="0.25">
      <c r="A53" s="120" t="s">
        <v>9</v>
      </c>
      <c r="B53" s="79" t="s">
        <v>109</v>
      </c>
      <c r="C53" s="79" t="s">
        <v>139</v>
      </c>
      <c r="D53" s="37">
        <v>129320</v>
      </c>
      <c r="E53" s="60">
        <f>D53*91.91%</f>
        <v>118858.01199999999</v>
      </c>
      <c r="F53" s="49">
        <f t="shared" si="8"/>
        <v>10461.987999999999</v>
      </c>
      <c r="G53" s="34">
        <f t="shared" si="9"/>
        <v>129320</v>
      </c>
      <c r="H53" s="67">
        <f>E53+F53</f>
        <v>129319.99999999999</v>
      </c>
      <c r="I53" s="76">
        <f t="shared" ref="I53:I66" si="15">H53-D53</f>
        <v>0</v>
      </c>
      <c r="J53" s="76">
        <f t="shared" ref="J53:J66" si="16">G53-D53</f>
        <v>0</v>
      </c>
    </row>
    <row r="54" spans="1:10" x14ac:dyDescent="0.25">
      <c r="A54" s="120" t="s">
        <v>9</v>
      </c>
      <c r="B54" s="79" t="s">
        <v>109</v>
      </c>
      <c r="C54" s="79" t="s">
        <v>138</v>
      </c>
      <c r="D54" s="37">
        <v>129320</v>
      </c>
      <c r="E54" s="60">
        <f>D54*91.91%</f>
        <v>118858.01199999999</v>
      </c>
      <c r="F54" s="49">
        <f t="shared" si="8"/>
        <v>10461.987999999999</v>
      </c>
      <c r="G54" s="34"/>
      <c r="H54" s="67"/>
      <c r="I54" s="76"/>
      <c r="J54" s="76"/>
    </row>
    <row r="55" spans="1:10" x14ac:dyDescent="0.25">
      <c r="A55" s="120" t="s">
        <v>11</v>
      </c>
      <c r="B55" s="101" t="s">
        <v>131</v>
      </c>
      <c r="C55" s="79"/>
      <c r="D55" s="37">
        <v>353513.62</v>
      </c>
      <c r="E55" s="60">
        <f t="shared" si="7"/>
        <v>324914.36814199999</v>
      </c>
      <c r="F55" s="49">
        <f t="shared" si="8"/>
        <v>28599.251858</v>
      </c>
      <c r="G55" s="34">
        <f t="shared" si="9"/>
        <v>353513.62</v>
      </c>
      <c r="H55" s="67">
        <f t="shared" si="10"/>
        <v>353513.62</v>
      </c>
      <c r="I55" s="76">
        <f t="shared" si="15"/>
        <v>0</v>
      </c>
      <c r="J55" s="76">
        <f t="shared" si="16"/>
        <v>0</v>
      </c>
    </row>
    <row r="56" spans="1:10" x14ac:dyDescent="0.25">
      <c r="A56" s="120" t="s">
        <v>146</v>
      </c>
      <c r="B56" s="79" t="s">
        <v>147</v>
      </c>
      <c r="C56" s="79"/>
      <c r="D56" s="37">
        <v>60000</v>
      </c>
      <c r="E56" s="60">
        <f t="shared" si="7"/>
        <v>55145.999999999993</v>
      </c>
      <c r="F56" s="49">
        <f t="shared" si="8"/>
        <v>4854</v>
      </c>
      <c r="G56" s="34">
        <f t="shared" si="9"/>
        <v>60000</v>
      </c>
      <c r="H56" s="67">
        <f t="shared" si="10"/>
        <v>59999.999999999993</v>
      </c>
      <c r="I56" s="76"/>
      <c r="J56" s="76"/>
    </row>
    <row r="57" spans="1:10" x14ac:dyDescent="0.25">
      <c r="A57" s="121" t="s">
        <v>10</v>
      </c>
      <c r="B57" s="101"/>
      <c r="C57" s="101"/>
      <c r="D57" s="37">
        <v>0</v>
      </c>
      <c r="E57" s="60">
        <f t="shared" si="7"/>
        <v>0</v>
      </c>
      <c r="F57" s="49">
        <f t="shared" si="8"/>
        <v>0</v>
      </c>
      <c r="G57" s="34">
        <f t="shared" si="9"/>
        <v>0</v>
      </c>
      <c r="H57" s="67">
        <f t="shared" si="10"/>
        <v>0</v>
      </c>
      <c r="I57" s="76">
        <f t="shared" si="15"/>
        <v>0</v>
      </c>
      <c r="J57" s="76">
        <f t="shared" si="16"/>
        <v>0</v>
      </c>
    </row>
    <row r="58" spans="1:10" x14ac:dyDescent="0.25">
      <c r="A58" s="128" t="s">
        <v>123</v>
      </c>
      <c r="B58" s="143"/>
      <c r="C58" s="144"/>
      <c r="D58" s="37">
        <v>60200</v>
      </c>
      <c r="E58" s="60">
        <f t="shared" ref="E58" si="17">D58</f>
        <v>60200</v>
      </c>
      <c r="F58" s="49"/>
      <c r="G58" s="34">
        <f t="shared" si="9"/>
        <v>60200</v>
      </c>
      <c r="H58" s="67"/>
      <c r="I58" s="76"/>
      <c r="J58" s="76">
        <f t="shared" si="16"/>
        <v>0</v>
      </c>
    </row>
    <row r="59" spans="1:10" x14ac:dyDescent="0.25">
      <c r="A59" s="140" t="s">
        <v>135</v>
      </c>
      <c r="B59" s="129"/>
      <c r="C59" s="130"/>
      <c r="D59" s="37">
        <v>160000</v>
      </c>
      <c r="E59" s="60">
        <f>D59</f>
        <v>160000</v>
      </c>
      <c r="F59" s="49"/>
      <c r="G59" s="34">
        <f t="shared" si="9"/>
        <v>160000</v>
      </c>
      <c r="H59" s="67">
        <f t="shared" si="10"/>
        <v>160000</v>
      </c>
      <c r="I59" s="76">
        <f t="shared" si="15"/>
        <v>0</v>
      </c>
      <c r="J59" s="76">
        <f t="shared" si="16"/>
        <v>0</v>
      </c>
    </row>
    <row r="60" spans="1:10" ht="47.25" customHeight="1" x14ac:dyDescent="0.25">
      <c r="A60" s="181" t="s">
        <v>136</v>
      </c>
      <c r="B60" s="182"/>
      <c r="C60" s="183"/>
      <c r="D60" s="37">
        <v>580000</v>
      </c>
      <c r="E60" s="60">
        <f>D60</f>
        <v>580000</v>
      </c>
      <c r="F60" s="49"/>
      <c r="G60" s="34">
        <f t="shared" si="9"/>
        <v>580000</v>
      </c>
      <c r="H60" s="67">
        <f t="shared" si="10"/>
        <v>580000</v>
      </c>
      <c r="I60" s="76"/>
      <c r="J60" s="76">
        <f t="shared" si="16"/>
        <v>0</v>
      </c>
    </row>
    <row r="61" spans="1:10" x14ac:dyDescent="0.25">
      <c r="A61" s="140" t="s">
        <v>128</v>
      </c>
      <c r="B61" s="129"/>
      <c r="C61" s="145"/>
      <c r="D61" s="37">
        <v>52724.63</v>
      </c>
      <c r="E61" s="60">
        <f>D61</f>
        <v>52724.63</v>
      </c>
      <c r="F61" s="49"/>
      <c r="G61" s="34">
        <f t="shared" si="9"/>
        <v>52724.63</v>
      </c>
      <c r="H61" s="67">
        <f t="shared" si="10"/>
        <v>52724.63</v>
      </c>
      <c r="I61" s="76"/>
      <c r="J61" s="76">
        <f t="shared" si="16"/>
        <v>0</v>
      </c>
    </row>
    <row r="62" spans="1:10" x14ac:dyDescent="0.25">
      <c r="A62" s="181" t="s">
        <v>129</v>
      </c>
      <c r="B62" s="182"/>
      <c r="C62" s="183"/>
      <c r="D62" s="37">
        <v>19800</v>
      </c>
      <c r="E62" s="60">
        <f>D62</f>
        <v>19800</v>
      </c>
      <c r="F62" s="49">
        <v>0</v>
      </c>
      <c r="G62" s="34">
        <f t="shared" ref="G62" si="18">D62</f>
        <v>19800</v>
      </c>
      <c r="H62" s="67">
        <f t="shared" ref="H62" si="19">E62+F62</f>
        <v>19800</v>
      </c>
      <c r="I62" s="76"/>
      <c r="J62" s="76"/>
    </row>
    <row r="63" spans="1:10" ht="14.25" customHeight="1" x14ac:dyDescent="0.25">
      <c r="A63" s="79" t="s">
        <v>130</v>
      </c>
      <c r="B63" s="79"/>
      <c r="C63" s="79"/>
      <c r="D63" s="37">
        <v>135000</v>
      </c>
      <c r="E63" s="60">
        <f t="shared" ref="E63:E66" si="20">D63</f>
        <v>135000</v>
      </c>
      <c r="F63" s="49"/>
      <c r="G63" s="34">
        <f t="shared" si="9"/>
        <v>135000</v>
      </c>
      <c r="H63" s="67">
        <f t="shared" si="10"/>
        <v>135000</v>
      </c>
      <c r="I63" s="76">
        <f t="shared" si="15"/>
        <v>0</v>
      </c>
      <c r="J63" s="76">
        <f t="shared" si="16"/>
        <v>0</v>
      </c>
    </row>
    <row r="64" spans="1:10" ht="14.25" customHeight="1" x14ac:dyDescent="0.25">
      <c r="A64" s="79" t="s">
        <v>90</v>
      </c>
      <c r="B64" s="125" t="s">
        <v>141</v>
      </c>
      <c r="C64" s="126"/>
      <c r="D64" s="37">
        <v>101783</v>
      </c>
      <c r="E64" s="60">
        <f t="shared" si="20"/>
        <v>101783</v>
      </c>
      <c r="F64" s="49"/>
      <c r="G64" s="34">
        <f t="shared" si="9"/>
        <v>101783</v>
      </c>
      <c r="H64" s="67">
        <f t="shared" si="10"/>
        <v>101783</v>
      </c>
      <c r="I64" s="76">
        <f t="shared" si="15"/>
        <v>0</v>
      </c>
      <c r="J64" s="76">
        <f t="shared" si="16"/>
        <v>0</v>
      </c>
    </row>
    <row r="65" spans="1:10" ht="14.25" customHeight="1" x14ac:dyDescent="0.25">
      <c r="A65" s="79" t="s">
        <v>90</v>
      </c>
      <c r="B65" s="125" t="s">
        <v>140</v>
      </c>
      <c r="C65" s="141"/>
      <c r="D65" s="37">
        <v>101783</v>
      </c>
      <c r="E65" s="60">
        <f t="shared" si="20"/>
        <v>101783</v>
      </c>
      <c r="F65" s="49"/>
      <c r="G65" s="34">
        <f t="shared" si="9"/>
        <v>101783</v>
      </c>
      <c r="H65" s="67">
        <f t="shared" si="10"/>
        <v>101783</v>
      </c>
      <c r="I65" s="76">
        <f t="shared" si="15"/>
        <v>0</v>
      </c>
      <c r="J65" s="76">
        <f t="shared" si="16"/>
        <v>0</v>
      </c>
    </row>
    <row r="66" spans="1:10" ht="13.5" customHeight="1" x14ac:dyDescent="0.25">
      <c r="A66" s="178"/>
      <c r="B66" s="179"/>
      <c r="C66" s="180"/>
      <c r="D66" s="37"/>
      <c r="E66" s="60">
        <f t="shared" si="20"/>
        <v>0</v>
      </c>
      <c r="F66" s="49"/>
      <c r="G66" s="34">
        <f t="shared" si="9"/>
        <v>0</v>
      </c>
      <c r="H66" s="67">
        <f t="shared" si="10"/>
        <v>0</v>
      </c>
      <c r="I66" s="76">
        <f t="shared" si="15"/>
        <v>0</v>
      </c>
      <c r="J66" s="76">
        <f t="shared" si="16"/>
        <v>0</v>
      </c>
    </row>
    <row r="67" spans="1:10" x14ac:dyDescent="0.25">
      <c r="A67" s="119" t="s">
        <v>12</v>
      </c>
      <c r="B67" s="123"/>
      <c r="C67" s="123"/>
      <c r="D67" s="33">
        <f>SUM(D49:D66)</f>
        <v>2685981.21</v>
      </c>
      <c r="E67" s="33">
        <f>SUM(E49:E66)</f>
        <v>2601789.3420779998</v>
      </c>
      <c r="F67" s="33">
        <f>SUM(F49:F66)</f>
        <v>84191.86792199999</v>
      </c>
      <c r="G67" s="34">
        <f>E67+F67</f>
        <v>2685981.21</v>
      </c>
      <c r="H67" s="61" t="str">
        <f>IF(D67=G67, "", "Error")</f>
        <v/>
      </c>
      <c r="I67" s="76">
        <f>D67-G67</f>
        <v>0</v>
      </c>
    </row>
    <row r="68" spans="1:10" hidden="1" x14ac:dyDescent="0.25">
      <c r="A68" s="79"/>
      <c r="B68" s="79"/>
      <c r="C68" s="79"/>
      <c r="D68" s="104"/>
      <c r="E68" s="39"/>
      <c r="F68" s="3"/>
      <c r="H68" s="61"/>
    </row>
    <row r="69" spans="1:10" hidden="1" x14ac:dyDescent="0.25">
      <c r="A69" s="79"/>
      <c r="B69" s="79"/>
      <c r="C69" s="79"/>
      <c r="D69" s="104"/>
      <c r="E69" s="38"/>
      <c r="F69" s="3"/>
      <c r="H69" s="61"/>
    </row>
    <row r="70" spans="1:10" hidden="1" x14ac:dyDescent="0.25">
      <c r="A70" s="79"/>
      <c r="B70" s="79"/>
      <c r="C70" s="79"/>
      <c r="D70" s="104"/>
      <c r="E70" s="38"/>
      <c r="F70" s="3"/>
      <c r="H70" s="61"/>
    </row>
    <row r="71" spans="1:10" x14ac:dyDescent="0.25">
      <c r="A71" s="121"/>
      <c r="B71" s="101"/>
      <c r="C71" s="79"/>
      <c r="D71" s="37"/>
      <c r="E71" s="60">
        <f>D71*91.91%</f>
        <v>0</v>
      </c>
      <c r="F71" s="49">
        <f>D71*8.09%</f>
        <v>0</v>
      </c>
      <c r="G71" s="66"/>
      <c r="H71" s="61"/>
    </row>
    <row r="72" spans="1:10" x14ac:dyDescent="0.25">
      <c r="A72" s="101"/>
      <c r="B72" s="142"/>
      <c r="C72" s="126"/>
      <c r="D72" s="37"/>
      <c r="E72" s="60">
        <f>D72</f>
        <v>0</v>
      </c>
      <c r="F72" s="49">
        <v>0</v>
      </c>
      <c r="G72" s="66"/>
      <c r="H72" s="61"/>
    </row>
    <row r="73" spans="1:10" ht="13.5" customHeight="1" x14ac:dyDescent="0.25">
      <c r="A73" s="119" t="s">
        <v>16</v>
      </c>
      <c r="B73" s="119"/>
      <c r="C73" s="119"/>
      <c r="D73" s="33">
        <f>SUM(D71:D72)</f>
        <v>0</v>
      </c>
      <c r="E73" s="33">
        <f>SUM(E71:E72)</f>
        <v>0</v>
      </c>
      <c r="F73" s="33">
        <f>SUM(F71:F72)</f>
        <v>0</v>
      </c>
      <c r="G73" s="34">
        <f>E73+F73</f>
        <v>0</v>
      </c>
      <c r="H73" s="61" t="str">
        <f>IF(D73=G73, "", "Error")</f>
        <v/>
      </c>
      <c r="J73" s="34"/>
    </row>
    <row r="74" spans="1:10" hidden="1" x14ac:dyDescent="0.25">
      <c r="A74" s="79"/>
      <c r="B74" s="79"/>
      <c r="C74" s="79"/>
      <c r="D74" s="104"/>
      <c r="E74" s="39"/>
      <c r="F74" s="3"/>
      <c r="H74" s="61"/>
    </row>
    <row r="75" spans="1:10" hidden="1" x14ac:dyDescent="0.25">
      <c r="A75" s="79"/>
      <c r="B75" s="79"/>
      <c r="C75" s="79"/>
      <c r="D75" s="104"/>
      <c r="E75" s="38"/>
      <c r="F75" s="3"/>
      <c r="H75" s="61"/>
    </row>
    <row r="76" spans="1:10" x14ac:dyDescent="0.25">
      <c r="A76" s="120" t="s">
        <v>13</v>
      </c>
      <c r="B76" s="79"/>
      <c r="C76" s="79"/>
      <c r="D76" s="104"/>
      <c r="E76" s="38"/>
      <c r="F76" s="3"/>
      <c r="H76" s="61"/>
    </row>
    <row r="77" spans="1:10" ht="14.25" customHeight="1" x14ac:dyDescent="0.25">
      <c r="A77" s="120" t="s">
        <v>14</v>
      </c>
      <c r="B77" s="79" t="s">
        <v>143</v>
      </c>
      <c r="C77" s="79"/>
      <c r="D77" s="37">
        <v>285700</v>
      </c>
      <c r="E77" s="60">
        <f>D77*91.91%</f>
        <v>262586.87</v>
      </c>
      <c r="F77" s="49">
        <f>D77*8.09%</f>
        <v>23113.13</v>
      </c>
      <c r="G77" t="s">
        <v>112</v>
      </c>
      <c r="H77" s="61"/>
    </row>
    <row r="78" spans="1:10" ht="14.25" customHeight="1" x14ac:dyDescent="0.25">
      <c r="A78" s="120" t="s">
        <v>14</v>
      </c>
      <c r="B78" s="79" t="s">
        <v>144</v>
      </c>
      <c r="C78" s="79"/>
      <c r="D78" s="37">
        <v>112000</v>
      </c>
      <c r="E78" s="60">
        <f>D78*91.91%</f>
        <v>102939.2</v>
      </c>
      <c r="F78" s="49">
        <f>D78*8.09%</f>
        <v>9060.7999999999993</v>
      </c>
      <c r="H78" s="61"/>
    </row>
    <row r="79" spans="1:10" x14ac:dyDescent="0.25">
      <c r="A79" s="120" t="s">
        <v>80</v>
      </c>
      <c r="B79" s="79"/>
      <c r="C79" s="79"/>
      <c r="D79" s="37">
        <v>45000</v>
      </c>
      <c r="E79" s="60">
        <f>D79*91.91%</f>
        <v>41359.499999999993</v>
      </c>
      <c r="F79" s="49">
        <f>D79*8.09%</f>
        <v>3640.5</v>
      </c>
      <c r="H79" s="61"/>
      <c r="J79" s="37"/>
    </row>
    <row r="80" spans="1:10" x14ac:dyDescent="0.25">
      <c r="A80" s="120"/>
      <c r="B80" s="79"/>
      <c r="C80" s="79"/>
      <c r="D80" s="104"/>
      <c r="E80" s="60">
        <f>D80*91.91%</f>
        <v>0</v>
      </c>
      <c r="F80" s="49">
        <f>D80*8.09%</f>
        <v>0</v>
      </c>
      <c r="H80" s="61"/>
      <c r="J80" s="34"/>
    </row>
    <row r="81" spans="1:10" x14ac:dyDescent="0.25">
      <c r="A81" s="119"/>
      <c r="B81" s="119"/>
      <c r="C81" s="119"/>
      <c r="D81" s="33">
        <f>SUM(D77:D80)</f>
        <v>442700</v>
      </c>
      <c r="E81" s="33">
        <f>SUM(E77:E80)</f>
        <v>406885.57</v>
      </c>
      <c r="F81" s="33">
        <f>SUM(F77:F80)</f>
        <v>35814.43</v>
      </c>
      <c r="G81" s="34">
        <f>E81+F81</f>
        <v>442700</v>
      </c>
      <c r="H81" s="61" t="str">
        <f>IF(D81=G81, "", "Error")</f>
        <v/>
      </c>
      <c r="J81" s="34"/>
    </row>
    <row r="82" spans="1:10" ht="14.25" customHeight="1" x14ac:dyDescent="0.25">
      <c r="A82" s="120" t="s">
        <v>73</v>
      </c>
      <c r="B82" s="79"/>
      <c r="C82" s="79"/>
      <c r="D82" s="37"/>
      <c r="E82" s="40"/>
      <c r="F82" s="3"/>
      <c r="H82" s="61"/>
    </row>
    <row r="83" spans="1:10" x14ac:dyDescent="0.25">
      <c r="A83" s="120" t="s">
        <v>74</v>
      </c>
      <c r="B83" s="79"/>
      <c r="C83" s="79"/>
      <c r="D83" s="37">
        <v>114365.79</v>
      </c>
      <c r="E83" s="60">
        <f>D83*91.91%</f>
        <v>105113.59758899998</v>
      </c>
      <c r="F83" s="49">
        <f>D83*8.09%</f>
        <v>9252.192411</v>
      </c>
      <c r="H83" s="61"/>
    </row>
    <row r="84" spans="1:10" x14ac:dyDescent="0.25">
      <c r="A84" s="120" t="s">
        <v>75</v>
      </c>
      <c r="B84" s="79"/>
      <c r="C84" s="131"/>
      <c r="D84" s="37">
        <v>57500</v>
      </c>
      <c r="E84" s="60">
        <f>D84*91.91%</f>
        <v>52848.249999999993</v>
      </c>
      <c r="F84" s="49">
        <f>D84*8.09%</f>
        <v>4651.75</v>
      </c>
      <c r="H84" s="61"/>
    </row>
    <row r="85" spans="1:10" x14ac:dyDescent="0.25">
      <c r="A85" s="119" t="s">
        <v>15</v>
      </c>
      <c r="B85" s="119"/>
      <c r="C85" s="119"/>
      <c r="D85" s="64">
        <f>SUM(D83:D84)</f>
        <v>171865.78999999998</v>
      </c>
      <c r="E85" s="58">
        <f t="shared" ref="E85:F85" si="21">SUM(E83:E84)</f>
        <v>157961.84758899998</v>
      </c>
      <c r="F85" s="58">
        <f t="shared" si="21"/>
        <v>13903.942411</v>
      </c>
      <c r="G85" s="34">
        <f>E85+F85</f>
        <v>171865.78999999998</v>
      </c>
      <c r="H85" s="61" t="str">
        <f>IF(D85=G85, "", "Error")</f>
        <v/>
      </c>
    </row>
    <row r="86" spans="1:10" x14ac:dyDescent="0.25">
      <c r="A86" s="79"/>
      <c r="B86" s="79"/>
      <c r="C86" s="79"/>
      <c r="D86" s="79"/>
      <c r="E86" s="6"/>
      <c r="F86" s="3"/>
      <c r="H86" s="61"/>
    </row>
    <row r="87" spans="1:10" x14ac:dyDescent="0.25">
      <c r="A87" s="132" t="s">
        <v>102</v>
      </c>
      <c r="B87" s="132"/>
      <c r="C87" s="147"/>
      <c r="D87" s="148"/>
      <c r="E87" s="146">
        <f>D87*91.91%</f>
        <v>0</v>
      </c>
      <c r="F87" s="51">
        <f>D87*8.09%</f>
        <v>0</v>
      </c>
      <c r="G87" s="34">
        <f>E87+F87</f>
        <v>0</v>
      </c>
      <c r="H87" s="61" t="str">
        <f>IF(D87=G87, "", "Error")</f>
        <v/>
      </c>
    </row>
    <row r="88" spans="1:10" ht="15.75" thickBot="1" x14ac:dyDescent="0.3">
      <c r="A88" s="133"/>
      <c r="B88" s="78"/>
      <c r="C88" s="78"/>
      <c r="D88" s="149"/>
      <c r="E88" s="150"/>
      <c r="F88" s="150"/>
      <c r="G88" s="63"/>
      <c r="H88" s="61"/>
    </row>
    <row r="89" spans="1:10" ht="15.75" thickBot="1" x14ac:dyDescent="0.3">
      <c r="A89" s="134" t="s">
        <v>76</v>
      </c>
      <c r="B89" s="135"/>
      <c r="C89" s="136"/>
      <c r="D89" s="80">
        <f>SUM(D87+D85+D81+D73+D67+D47+D32+D27+D42)</f>
        <v>5542413.25</v>
      </c>
      <c r="E89" s="59">
        <f>SUM(E87+E85+E81+E73+E67+E47+E32+E27+E42)</f>
        <v>5227136.0300419992</v>
      </c>
      <c r="F89" s="151">
        <f>SUM(F27+F42+F47+F67+F73+F81+F85+F87)</f>
        <v>315277.219958</v>
      </c>
      <c r="G89" s="34">
        <f>E89+F89</f>
        <v>5542413.2499999991</v>
      </c>
      <c r="H89" s="61" t="str">
        <f>IF(D89=G89, "", "Error")</f>
        <v/>
      </c>
      <c r="I89" s="76">
        <f>D89-G89</f>
        <v>0</v>
      </c>
    </row>
    <row r="90" spans="1:10" ht="15.75" thickBot="1" x14ac:dyDescent="0.3">
      <c r="A90" s="78"/>
      <c r="B90" s="78"/>
      <c r="C90" s="78"/>
      <c r="D90" s="78"/>
      <c r="E90" s="34"/>
    </row>
    <row r="91" spans="1:10" ht="15.75" thickBot="1" x14ac:dyDescent="0.3">
      <c r="A91" s="137" t="s">
        <v>108</v>
      </c>
      <c r="B91" s="138"/>
      <c r="C91" s="138"/>
      <c r="D91" s="78"/>
      <c r="E91" s="34"/>
    </row>
    <row r="92" spans="1:10" x14ac:dyDescent="0.25">
      <c r="A92" s="1"/>
      <c r="C92" s="54"/>
      <c r="E92" s="34"/>
    </row>
    <row r="93" spans="1:10" ht="15.75" thickBot="1" x14ac:dyDescent="0.3">
      <c r="A93" s="1"/>
      <c r="C93" s="54"/>
      <c r="E93" s="34"/>
    </row>
    <row r="94" spans="1:10" ht="15.75" thickBot="1" x14ac:dyDescent="0.3">
      <c r="A94" s="56" t="s">
        <v>25</v>
      </c>
      <c r="B94" s="57"/>
      <c r="C94" s="55">
        <f>SUM(C92:C93)</f>
        <v>0</v>
      </c>
      <c r="E94" s="34"/>
    </row>
    <row r="95" spans="1:10" x14ac:dyDescent="0.25">
      <c r="E95" s="34"/>
    </row>
    <row r="96" spans="1:10" x14ac:dyDescent="0.25">
      <c r="E96" s="52"/>
    </row>
    <row r="97" spans="1:9" x14ac:dyDescent="0.25">
      <c r="A97" s="173" t="s">
        <v>85</v>
      </c>
      <c r="B97" s="174"/>
      <c r="C97" s="174"/>
      <c r="D97" s="174"/>
      <c r="E97" s="73" t="s">
        <v>19</v>
      </c>
      <c r="F97" s="74" t="s">
        <v>93</v>
      </c>
    </row>
    <row r="98" spans="1:9" ht="17.25" x14ac:dyDescent="0.25">
      <c r="A98" s="170" t="s">
        <v>133</v>
      </c>
      <c r="B98" s="171"/>
      <c r="C98" s="172"/>
      <c r="D98" s="37">
        <v>512600</v>
      </c>
      <c r="E98" s="60">
        <f t="shared" ref="E98:E99" si="22">D98*91.91%</f>
        <v>471130.66</v>
      </c>
      <c r="F98" s="49">
        <f t="shared" ref="F98:F99" si="23">D98*8.09%</f>
        <v>41469.339999999997</v>
      </c>
    </row>
    <row r="99" spans="1:9" ht="14.25" customHeight="1" x14ac:dyDescent="0.25">
      <c r="A99" s="175" t="s">
        <v>142</v>
      </c>
      <c r="B99" s="176"/>
      <c r="C99" s="177"/>
      <c r="D99" s="37">
        <v>300000</v>
      </c>
      <c r="E99" s="60">
        <f t="shared" si="22"/>
        <v>275730</v>
      </c>
      <c r="F99" s="49">
        <f t="shared" si="23"/>
        <v>24270</v>
      </c>
    </row>
    <row r="100" spans="1:9" x14ac:dyDescent="0.25">
      <c r="A100" s="167" t="s">
        <v>25</v>
      </c>
      <c r="B100" s="168"/>
      <c r="C100" s="169"/>
      <c r="D100" s="72">
        <f>SUM(D98:D99)</f>
        <v>812600</v>
      </c>
      <c r="E100" s="72">
        <f>SUM(E98:E99)</f>
        <v>746860.65999999992</v>
      </c>
      <c r="F100" s="72">
        <f>SUM(F98:F99)</f>
        <v>65739.34</v>
      </c>
      <c r="H100" s="34">
        <f>E100+F100</f>
        <v>812599.99999999988</v>
      </c>
      <c r="I100" s="61" t="str">
        <f>IF(D100=H100, "", "Error")</f>
        <v/>
      </c>
    </row>
    <row r="102" spans="1:9" ht="15.75" thickBot="1" x14ac:dyDescent="0.3">
      <c r="E102" s="34"/>
    </row>
    <row r="103" spans="1:9" ht="15.75" thickBot="1" x14ac:dyDescent="0.3">
      <c r="A103" s="28" t="s">
        <v>77</v>
      </c>
      <c r="B103" s="29">
        <f>D89</f>
        <v>5542413.25</v>
      </c>
    </row>
    <row r="104" spans="1:9" ht="15.75" thickBot="1" x14ac:dyDescent="0.3">
      <c r="A104" s="30" t="s">
        <v>79</v>
      </c>
      <c r="B104" s="31">
        <f>D89-D87</f>
        <v>5542413.25</v>
      </c>
    </row>
    <row r="105" spans="1:9" x14ac:dyDescent="0.25">
      <c r="D105" s="157"/>
      <c r="E105" s="157"/>
    </row>
    <row r="106" spans="1:9" x14ac:dyDescent="0.25">
      <c r="A106" s="9" t="s">
        <v>63</v>
      </c>
      <c r="B106" s="10"/>
      <c r="C106" s="11"/>
      <c r="D106" s="157"/>
      <c r="E106" s="157"/>
    </row>
    <row r="107" spans="1:9" x14ac:dyDescent="0.25">
      <c r="A107" s="12" t="s">
        <v>64</v>
      </c>
      <c r="B107" s="5">
        <v>10470066.57147561</v>
      </c>
      <c r="C107" s="13"/>
      <c r="D107" s="157"/>
      <c r="E107" s="157"/>
    </row>
    <row r="108" spans="1:9" x14ac:dyDescent="0.25">
      <c r="A108" s="14" t="s">
        <v>65</v>
      </c>
      <c r="B108" s="23">
        <f>PRORRATEO!G52</f>
        <v>8886432.0578930005</v>
      </c>
      <c r="C108" s="13" t="s">
        <v>66</v>
      </c>
      <c r="D108" s="157"/>
      <c r="E108" s="157"/>
    </row>
    <row r="109" spans="1:9" x14ac:dyDescent="0.25">
      <c r="A109" s="14" t="s">
        <v>87</v>
      </c>
      <c r="B109" s="75">
        <f>-B104</f>
        <v>-5542413.25</v>
      </c>
      <c r="C109" s="11"/>
      <c r="D109" s="157"/>
      <c r="E109" s="157"/>
      <c r="G109" s="37"/>
    </row>
    <row r="110" spans="1:9" x14ac:dyDescent="0.25">
      <c r="A110" s="14" t="s">
        <v>86</v>
      </c>
      <c r="B110" s="75">
        <f>-D100</f>
        <v>-812600</v>
      </c>
      <c r="C110" s="11"/>
      <c r="D110" s="157"/>
      <c r="E110" s="157"/>
      <c r="G110" s="43"/>
    </row>
    <row r="111" spans="1:9" x14ac:dyDescent="0.25">
      <c r="A111" s="14" t="s">
        <v>78</v>
      </c>
      <c r="B111" s="75">
        <f>-B117</f>
        <v>-20000</v>
      </c>
      <c r="C111" s="15"/>
    </row>
    <row r="112" spans="1:9" x14ac:dyDescent="0.25">
      <c r="A112" s="14" t="s">
        <v>91</v>
      </c>
      <c r="B112" s="24">
        <f>-C94</f>
        <v>0</v>
      </c>
      <c r="C112" s="15"/>
      <c r="E112" s="34"/>
    </row>
    <row r="113" spans="1:14" x14ac:dyDescent="0.25">
      <c r="A113" s="12" t="s">
        <v>67</v>
      </c>
      <c r="B113" s="16">
        <f>SUM(B107:B112)</f>
        <v>12981485.379368611</v>
      </c>
      <c r="C113" s="62"/>
      <c r="D113" s="34"/>
    </row>
    <row r="114" spans="1:14" x14ac:dyDescent="0.25">
      <c r="A114" s="15"/>
      <c r="C114" s="11"/>
      <c r="D114" s="18"/>
    </row>
    <row r="115" spans="1:14" x14ac:dyDescent="0.25">
      <c r="C115" s="11"/>
      <c r="D115" s="34"/>
      <c r="E115" s="76"/>
    </row>
    <row r="116" spans="1:14" x14ac:dyDescent="0.25">
      <c r="A116" s="9" t="s">
        <v>68</v>
      </c>
      <c r="B116" s="86">
        <v>-102694.54000000004</v>
      </c>
      <c r="C116" s="17"/>
      <c r="D116" s="76"/>
      <c r="E116" s="76"/>
      <c r="F116" s="76"/>
    </row>
    <row r="117" spans="1:14" ht="15" customHeight="1" x14ac:dyDescent="0.25">
      <c r="A117" s="12" t="s">
        <v>124</v>
      </c>
      <c r="B117" s="24">
        <v>20000</v>
      </c>
      <c r="C117" s="17"/>
      <c r="D117" s="76"/>
      <c r="E117" s="81"/>
    </row>
    <row r="118" spans="1:14" x14ac:dyDescent="0.25">
      <c r="A118" s="12" t="s">
        <v>145</v>
      </c>
      <c r="B118" s="75">
        <v>-20000</v>
      </c>
      <c r="C118" s="17"/>
      <c r="E118" s="34"/>
    </row>
    <row r="119" spans="1:14" x14ac:dyDescent="0.25">
      <c r="A119" s="12"/>
      <c r="B119" s="75"/>
      <c r="C119" s="17"/>
      <c r="D119" s="139"/>
      <c r="E119" s="34"/>
    </row>
    <row r="120" spans="1:14" x14ac:dyDescent="0.25">
      <c r="A120" s="26" t="s">
        <v>25</v>
      </c>
      <c r="B120" s="27">
        <f>SUM(B116:B119)</f>
        <v>-102694.54000000004</v>
      </c>
      <c r="C120" s="17"/>
    </row>
    <row r="121" spans="1:14" x14ac:dyDescent="0.25">
      <c r="C121" s="18"/>
      <c r="D121" s="76"/>
    </row>
    <row r="122" spans="1:14" x14ac:dyDescent="0.25">
      <c r="B122" s="15"/>
      <c r="C122" s="11"/>
    </row>
    <row r="124" spans="1:14" x14ac:dyDescent="0.25">
      <c r="N124" s="6"/>
    </row>
    <row r="127" spans="1:14" x14ac:dyDescent="0.25">
      <c r="B127" s="156"/>
      <c r="C127" s="156"/>
      <c r="D127" s="156"/>
      <c r="E127" s="156"/>
    </row>
    <row r="128" spans="1:14" x14ac:dyDescent="0.25">
      <c r="B128" s="156"/>
      <c r="C128" s="156"/>
      <c r="D128" s="156"/>
      <c r="E128" s="156"/>
    </row>
    <row r="129" spans="2:5" x14ac:dyDescent="0.25">
      <c r="B129" s="156"/>
      <c r="C129" s="156"/>
      <c r="D129" s="156"/>
      <c r="E129" s="156"/>
    </row>
    <row r="130" spans="2:5" x14ac:dyDescent="0.25">
      <c r="B130" s="156"/>
      <c r="C130" s="156"/>
      <c r="D130" s="156"/>
      <c r="E130" s="156"/>
    </row>
    <row r="131" spans="2:5" x14ac:dyDescent="0.25">
      <c r="B131" s="156"/>
      <c r="C131" s="156"/>
      <c r="D131" s="156"/>
      <c r="E131" s="156"/>
    </row>
  </sheetData>
  <mergeCells count="11">
    <mergeCell ref="B1:F1"/>
    <mergeCell ref="B127:E131"/>
    <mergeCell ref="D105:E110"/>
    <mergeCell ref="B14:D17"/>
    <mergeCell ref="A100:C100"/>
    <mergeCell ref="A98:C98"/>
    <mergeCell ref="A97:D97"/>
    <mergeCell ref="A99:C99"/>
    <mergeCell ref="A66:C66"/>
    <mergeCell ref="A62:C62"/>
    <mergeCell ref="A60:C60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3"/>
  <sheetViews>
    <sheetView tabSelected="1" zoomScaleNormal="100" workbookViewId="0">
      <selection activeCell="N14" sqref="N14"/>
    </sheetView>
  </sheetViews>
  <sheetFormatPr baseColWidth="10" defaultColWidth="10.85546875" defaultRowHeight="15" x14ac:dyDescent="0.25"/>
  <cols>
    <col min="1" max="1" width="4.5703125" customWidth="1"/>
    <col min="2" max="2" width="5.85546875" hidden="1" customWidth="1"/>
    <col min="3" max="3" width="5.28515625" customWidth="1"/>
    <col min="4" max="4" width="21.7109375" customWidth="1"/>
    <col min="5" max="5" width="6.140625" customWidth="1"/>
    <col min="6" max="7" width="12.42578125" bestFit="1" customWidth="1"/>
    <col min="8" max="8" width="11.140625" customWidth="1"/>
    <col min="9" max="9" width="6" customWidth="1"/>
    <col min="10" max="10" width="13.7109375" customWidth="1"/>
    <col min="11" max="11" width="13.28515625" customWidth="1"/>
    <col min="12" max="12" width="11.5703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  <col min="18" max="18" width="12" bestFit="1" customWidth="1"/>
  </cols>
  <sheetData>
    <row r="1" spans="1:16" ht="15" customHeight="1" x14ac:dyDescent="0.25">
      <c r="A1" s="196" t="str">
        <f>RESUMEN!C5</f>
        <v>VTO: 15/05</v>
      </c>
      <c r="B1" s="197"/>
      <c r="C1" s="197"/>
      <c r="D1" s="197"/>
      <c r="E1" s="197"/>
      <c r="F1" s="197"/>
      <c r="G1" s="197"/>
      <c r="H1" s="197"/>
      <c r="I1" s="197"/>
      <c r="J1" s="198"/>
      <c r="K1" s="90" t="s">
        <v>94</v>
      </c>
      <c r="L1" s="187">
        <f>RESUMEN!D89</f>
        <v>5542413.25</v>
      </c>
      <c r="M1" s="188"/>
      <c r="N1" s="91"/>
      <c r="O1" s="50">
        <f>L1*8.09%</f>
        <v>448381.23192499997</v>
      </c>
    </row>
    <row r="2" spans="1:16" x14ac:dyDescent="0.25">
      <c r="A2" s="199"/>
      <c r="B2" s="200"/>
      <c r="C2" s="200"/>
      <c r="D2" s="200"/>
      <c r="E2" s="200"/>
      <c r="F2" s="200"/>
      <c r="G2" s="200"/>
      <c r="H2" s="200"/>
      <c r="I2" s="200"/>
      <c r="J2" s="201"/>
      <c r="K2" s="92" t="s">
        <v>95</v>
      </c>
      <c r="L2" s="4"/>
      <c r="M2" s="93">
        <f>8500000-812600</f>
        <v>7687400</v>
      </c>
      <c r="N2" s="94"/>
      <c r="O2" s="50">
        <f>O1-K7-553-50-86-8</f>
        <v>137261.01196699997</v>
      </c>
    </row>
    <row r="3" spans="1:16" x14ac:dyDescent="0.25">
      <c r="A3" s="199"/>
      <c r="B3" s="200"/>
      <c r="C3" s="200"/>
      <c r="D3" s="200"/>
      <c r="E3" s="200"/>
      <c r="F3" s="200"/>
      <c r="G3" s="200"/>
      <c r="H3" s="200"/>
      <c r="I3" s="200"/>
      <c r="J3" s="201"/>
      <c r="K3" s="92" t="s">
        <v>100</v>
      </c>
      <c r="L3" s="4"/>
      <c r="M3" s="95">
        <f>RESUMEN!D100</f>
        <v>812600</v>
      </c>
      <c r="N3" s="96"/>
      <c r="O3" s="8"/>
    </row>
    <row r="4" spans="1:16" ht="19.5" customHeight="1" thickBot="1" x14ac:dyDescent="0.3">
      <c r="A4" s="202"/>
      <c r="B4" s="203"/>
      <c r="C4" s="203"/>
      <c r="D4" s="203"/>
      <c r="E4" s="203"/>
      <c r="F4" s="203"/>
      <c r="G4" s="203"/>
      <c r="H4" s="203"/>
      <c r="I4" s="203"/>
      <c r="J4" s="204"/>
      <c r="K4" s="97" t="s">
        <v>95</v>
      </c>
      <c r="L4" s="98"/>
      <c r="M4" s="99">
        <v>812600</v>
      </c>
      <c r="N4" s="100"/>
      <c r="O4" s="50">
        <f>M3/3</f>
        <v>270866.66666666669</v>
      </c>
    </row>
    <row r="5" spans="1:16" ht="14.65" customHeight="1" x14ac:dyDescent="0.25">
      <c r="A5" s="184" t="s">
        <v>17</v>
      </c>
      <c r="B5" s="205" t="s">
        <v>18</v>
      </c>
      <c r="C5" s="184" t="s">
        <v>19</v>
      </c>
      <c r="D5" s="194" t="s">
        <v>20</v>
      </c>
      <c r="E5" s="184" t="s">
        <v>70</v>
      </c>
      <c r="F5" s="184" t="s">
        <v>21</v>
      </c>
      <c r="G5" s="184" t="s">
        <v>22</v>
      </c>
      <c r="H5" s="191" t="s">
        <v>23</v>
      </c>
      <c r="I5" s="194" t="s">
        <v>81</v>
      </c>
      <c r="J5" s="189" t="s">
        <v>24</v>
      </c>
      <c r="K5" s="189" t="s">
        <v>58</v>
      </c>
      <c r="L5" s="189" t="s">
        <v>114</v>
      </c>
      <c r="M5" s="189" t="s">
        <v>116</v>
      </c>
      <c r="N5" s="189" t="s">
        <v>115</v>
      </c>
    </row>
    <row r="6" spans="1:16" x14ac:dyDescent="0.25">
      <c r="A6" s="185"/>
      <c r="B6" s="206"/>
      <c r="C6" s="185"/>
      <c r="D6" s="207"/>
      <c r="E6" s="185"/>
      <c r="F6" s="185"/>
      <c r="G6" s="185"/>
      <c r="H6" s="192"/>
      <c r="I6" s="195"/>
      <c r="J6" s="193"/>
      <c r="K6" s="190"/>
      <c r="L6" s="193"/>
      <c r="M6" s="190"/>
      <c r="N6" s="190"/>
    </row>
    <row r="7" spans="1:16" x14ac:dyDescent="0.25">
      <c r="A7" s="3" t="s">
        <v>26</v>
      </c>
      <c r="B7" s="3"/>
      <c r="C7" s="3">
        <v>1</v>
      </c>
      <c r="D7" s="48" t="s">
        <v>27</v>
      </c>
      <c r="E7" s="3">
        <v>8.09</v>
      </c>
      <c r="F7" s="19">
        <v>462245.18789300008</v>
      </c>
      <c r="G7" s="105">
        <f>F7</f>
        <v>462245.18789300008</v>
      </c>
      <c r="H7" s="46">
        <f>F7-G7</f>
        <v>0</v>
      </c>
      <c r="I7" s="32">
        <v>16</v>
      </c>
      <c r="J7" s="19">
        <v>65739.34</v>
      </c>
      <c r="K7" s="19">
        <v>310423.219958</v>
      </c>
      <c r="L7" s="25"/>
      <c r="M7" s="2">
        <f>K7+J7+H7+L7</f>
        <v>376162.55995799997</v>
      </c>
      <c r="N7" s="5">
        <f>M7*6% + M7</f>
        <v>398732.31355547998</v>
      </c>
    </row>
    <row r="8" spans="1:16" x14ac:dyDescent="0.25">
      <c r="A8" s="3" t="s">
        <v>28</v>
      </c>
      <c r="B8" s="3"/>
      <c r="C8" s="3">
        <v>24</v>
      </c>
      <c r="D8" s="48" t="s">
        <v>29</v>
      </c>
      <c r="E8" s="3">
        <v>2.21</v>
      </c>
      <c r="F8" s="19">
        <v>187822.93683118254</v>
      </c>
      <c r="G8" s="105">
        <v>188000</v>
      </c>
      <c r="H8" s="46">
        <f t="shared" ref="H8:H51" si="0">F8-G8</f>
        <v>-177.0631688174617</v>
      </c>
      <c r="I8" s="32">
        <v>13</v>
      </c>
      <c r="J8" s="19">
        <f>M$4*E8%</f>
        <v>17958.46</v>
      </c>
      <c r="K8" s="19">
        <f>M$2*E8 /100</f>
        <v>169891.54</v>
      </c>
      <c r="L8" s="88"/>
      <c r="M8" s="2">
        <f>K8+J8+H8+L8</f>
        <v>187672.93683118254</v>
      </c>
      <c r="N8" s="5">
        <f t="shared" ref="N8:N51" si="1">M8*6% + M8</f>
        <v>198933.31304105348</v>
      </c>
    </row>
    <row r="9" spans="1:16" x14ac:dyDescent="0.25">
      <c r="A9" s="3" t="s">
        <v>28</v>
      </c>
      <c r="B9" s="3"/>
      <c r="C9" s="3">
        <v>25</v>
      </c>
      <c r="D9" s="48" t="s">
        <v>30</v>
      </c>
      <c r="E9" s="3">
        <v>4.21</v>
      </c>
      <c r="F9" s="19">
        <v>357849.60286759672</v>
      </c>
      <c r="G9" s="106">
        <f>403750-G34</f>
        <v>357850</v>
      </c>
      <c r="H9" s="46">
        <f t="shared" si="0"/>
        <v>-0.39713240327546373</v>
      </c>
      <c r="I9" s="32">
        <v>13</v>
      </c>
      <c r="J9" s="19">
        <f t="shared" ref="J9:J51" si="2">M$4*E9%</f>
        <v>34210.46</v>
      </c>
      <c r="K9" s="19">
        <f t="shared" ref="K9:K51" si="3">M$2*E9 /100</f>
        <v>323639.53999999998</v>
      </c>
      <c r="L9" s="88"/>
      <c r="M9" s="2">
        <f t="shared" ref="M9:M51" si="4">K9+J9+H9+L9</f>
        <v>357849.60286759672</v>
      </c>
      <c r="N9" s="5">
        <f t="shared" si="1"/>
        <v>379320.57903965254</v>
      </c>
    </row>
    <row r="10" spans="1:16" x14ac:dyDescent="0.25">
      <c r="A10" s="3" t="s">
        <v>31</v>
      </c>
      <c r="B10" s="3"/>
      <c r="C10" s="3">
        <v>26</v>
      </c>
      <c r="D10" s="48" t="s">
        <v>32</v>
      </c>
      <c r="E10" s="3">
        <v>2.84</v>
      </c>
      <c r="F10" s="19">
        <v>241400</v>
      </c>
      <c r="G10" s="105">
        <v>241000</v>
      </c>
      <c r="H10" s="46">
        <f t="shared" si="0"/>
        <v>400</v>
      </c>
      <c r="I10" s="32">
        <v>8</v>
      </c>
      <c r="J10" s="19">
        <f t="shared" si="2"/>
        <v>23077.84</v>
      </c>
      <c r="K10" s="19">
        <f t="shared" si="3"/>
        <v>218322.16</v>
      </c>
      <c r="L10" s="88"/>
      <c r="M10" s="2">
        <f t="shared" si="4"/>
        <v>241800</v>
      </c>
      <c r="N10" s="5">
        <f t="shared" si="1"/>
        <v>256308</v>
      </c>
    </row>
    <row r="11" spans="1:16" x14ac:dyDescent="0.25">
      <c r="A11" s="3" t="s">
        <v>31</v>
      </c>
      <c r="B11" s="3"/>
      <c r="C11" s="3">
        <v>27</v>
      </c>
      <c r="D11" s="48" t="s">
        <v>33</v>
      </c>
      <c r="E11" s="3">
        <v>3.43</v>
      </c>
      <c r="F11" s="19">
        <v>291550</v>
      </c>
      <c r="G11" s="105">
        <f>F11</f>
        <v>291550</v>
      </c>
      <c r="H11" s="46">
        <f t="shared" si="0"/>
        <v>0</v>
      </c>
      <c r="I11" s="32">
        <v>8</v>
      </c>
      <c r="J11" s="19">
        <f t="shared" si="2"/>
        <v>27872.180000000004</v>
      </c>
      <c r="K11" s="19">
        <f t="shared" si="3"/>
        <v>263677.82</v>
      </c>
      <c r="L11" s="88"/>
      <c r="M11" s="2">
        <f t="shared" si="4"/>
        <v>291550</v>
      </c>
      <c r="N11" s="5">
        <f t="shared" si="1"/>
        <v>309043</v>
      </c>
      <c r="P11" s="34"/>
    </row>
    <row r="12" spans="1:16" x14ac:dyDescent="0.25">
      <c r="A12" s="3" t="s">
        <v>34</v>
      </c>
      <c r="B12" s="3"/>
      <c r="C12" s="3">
        <v>28</v>
      </c>
      <c r="D12" s="48" t="s">
        <v>83</v>
      </c>
      <c r="E12" s="3">
        <v>2.84</v>
      </c>
      <c r="F12" s="19">
        <v>241400</v>
      </c>
      <c r="G12" s="106">
        <f>F12</f>
        <v>241400</v>
      </c>
      <c r="H12" s="46">
        <f>F12-G12</f>
        <v>0</v>
      </c>
      <c r="I12" s="32">
        <v>6</v>
      </c>
      <c r="J12" s="19">
        <f t="shared" si="2"/>
        <v>23077.84</v>
      </c>
      <c r="K12" s="19">
        <f t="shared" si="3"/>
        <v>218322.16</v>
      </c>
      <c r="L12" s="88"/>
      <c r="M12" s="2">
        <f t="shared" si="4"/>
        <v>241400</v>
      </c>
      <c r="N12" s="5">
        <f t="shared" si="1"/>
        <v>255884</v>
      </c>
    </row>
    <row r="13" spans="1:16" x14ac:dyDescent="0.25">
      <c r="A13" s="3" t="s">
        <v>34</v>
      </c>
      <c r="B13" s="3"/>
      <c r="C13" s="3">
        <v>29</v>
      </c>
      <c r="D13" s="48" t="s">
        <v>35</v>
      </c>
      <c r="E13" s="3">
        <v>3.43</v>
      </c>
      <c r="F13" s="19">
        <v>291550.81741924176</v>
      </c>
      <c r="G13" s="106">
        <f>341700-G50</f>
        <v>291550</v>
      </c>
      <c r="H13" s="46">
        <f t="shared" si="0"/>
        <v>0.81741924176458269</v>
      </c>
      <c r="I13" s="32">
        <v>6</v>
      </c>
      <c r="J13" s="19">
        <f t="shared" si="2"/>
        <v>27872.180000000004</v>
      </c>
      <c r="K13" s="19">
        <f t="shared" si="3"/>
        <v>263677.82</v>
      </c>
      <c r="L13" s="88"/>
      <c r="M13" s="2">
        <f t="shared" si="4"/>
        <v>291550.81741924176</v>
      </c>
      <c r="N13" s="5">
        <f t="shared" si="1"/>
        <v>309043.86646439624</v>
      </c>
    </row>
    <row r="14" spans="1:16" x14ac:dyDescent="0.25">
      <c r="A14" s="3" t="s">
        <v>36</v>
      </c>
      <c r="B14" s="3"/>
      <c r="C14" s="3">
        <v>30</v>
      </c>
      <c r="D14" s="48" t="s">
        <v>37</v>
      </c>
      <c r="E14" s="3">
        <v>2.84</v>
      </c>
      <c r="F14" s="19">
        <v>523768.96666666662</v>
      </c>
      <c r="G14" s="105">
        <v>241400</v>
      </c>
      <c r="H14" s="46">
        <f t="shared" si="0"/>
        <v>282368.96666666662</v>
      </c>
      <c r="I14" s="32">
        <v>20</v>
      </c>
      <c r="J14" s="19">
        <f t="shared" si="2"/>
        <v>23077.84</v>
      </c>
      <c r="K14" s="19">
        <f t="shared" si="3"/>
        <v>218322.16</v>
      </c>
      <c r="L14" s="88"/>
      <c r="M14" s="2">
        <f t="shared" si="4"/>
        <v>523768.96666666662</v>
      </c>
      <c r="N14" s="5">
        <f t="shared" si="1"/>
        <v>555195.10466666659</v>
      </c>
    </row>
    <row r="15" spans="1:16" x14ac:dyDescent="0.25">
      <c r="A15" s="3" t="s">
        <v>36</v>
      </c>
      <c r="B15" s="3"/>
      <c r="C15" s="3">
        <v>31</v>
      </c>
      <c r="D15" s="48" t="s">
        <v>106</v>
      </c>
      <c r="E15" s="3">
        <v>3.43</v>
      </c>
      <c r="F15" s="19">
        <v>358517.06325632613</v>
      </c>
      <c r="G15" s="106">
        <f>401017-G35</f>
        <v>358517</v>
      </c>
      <c r="H15" s="46">
        <f t="shared" si="0"/>
        <v>6.3256326131522655E-2</v>
      </c>
      <c r="I15" s="32">
        <v>9</v>
      </c>
      <c r="J15" s="19">
        <f t="shared" si="2"/>
        <v>27872.180000000004</v>
      </c>
      <c r="K15" s="19">
        <f t="shared" si="3"/>
        <v>263677.82</v>
      </c>
      <c r="L15" s="88"/>
      <c r="M15" s="2">
        <f t="shared" si="4"/>
        <v>291550.06325632613</v>
      </c>
      <c r="N15" s="5">
        <f t="shared" si="1"/>
        <v>309043.06705170567</v>
      </c>
    </row>
    <row r="16" spans="1:16" x14ac:dyDescent="0.25">
      <c r="A16" s="3" t="s">
        <v>38</v>
      </c>
      <c r="B16" s="3"/>
      <c r="C16" s="3">
        <v>32</v>
      </c>
      <c r="D16" s="48" t="s">
        <v>104</v>
      </c>
      <c r="E16" s="3">
        <v>2.84</v>
      </c>
      <c r="F16" s="19">
        <v>241400.07982700004</v>
      </c>
      <c r="G16" s="106">
        <f>283050-G49</f>
        <v>241400</v>
      </c>
      <c r="H16" s="46">
        <f t="shared" si="0"/>
        <v>7.9827000037766993E-2</v>
      </c>
      <c r="I16" s="32">
        <v>6</v>
      </c>
      <c r="J16" s="19">
        <f t="shared" si="2"/>
        <v>23077.84</v>
      </c>
      <c r="K16" s="19">
        <f t="shared" si="3"/>
        <v>218322.16</v>
      </c>
      <c r="L16" s="88"/>
      <c r="M16" s="2">
        <f t="shared" si="4"/>
        <v>241400.07982700004</v>
      </c>
      <c r="N16" s="5">
        <f t="shared" si="1"/>
        <v>255884.08461662004</v>
      </c>
    </row>
    <row r="17" spans="1:18" x14ac:dyDescent="0.25">
      <c r="A17" s="3" t="s">
        <v>38</v>
      </c>
      <c r="B17" s="3"/>
      <c r="C17" s="3">
        <v>33</v>
      </c>
      <c r="D17" s="48" t="s">
        <v>39</v>
      </c>
      <c r="E17" s="3">
        <v>3.43</v>
      </c>
      <c r="F17" s="19">
        <v>291550.30734444817</v>
      </c>
      <c r="G17" s="105">
        <f>380749-G47-G48</f>
        <v>296599</v>
      </c>
      <c r="H17" s="46">
        <f t="shared" si="0"/>
        <v>-5048.6926555518294</v>
      </c>
      <c r="I17" s="32">
        <v>17</v>
      </c>
      <c r="J17" s="19">
        <f t="shared" si="2"/>
        <v>27872.180000000004</v>
      </c>
      <c r="K17" s="19">
        <f t="shared" si="3"/>
        <v>263677.82</v>
      </c>
      <c r="L17" s="88">
        <v>20000</v>
      </c>
      <c r="M17" s="2">
        <f t="shared" si="4"/>
        <v>306501.30734444817</v>
      </c>
      <c r="N17" s="5">
        <f t="shared" si="1"/>
        <v>324891.38578511507</v>
      </c>
    </row>
    <row r="18" spans="1:18" x14ac:dyDescent="0.25">
      <c r="A18" s="3" t="s">
        <v>40</v>
      </c>
      <c r="B18" s="3"/>
      <c r="C18" s="3">
        <v>34</v>
      </c>
      <c r="D18" s="48" t="s">
        <v>113</v>
      </c>
      <c r="E18" s="3">
        <v>2.84</v>
      </c>
      <c r="F18" s="19">
        <v>241399.50379991793</v>
      </c>
      <c r="G18" s="105">
        <f>289850-G51</f>
        <v>241400</v>
      </c>
      <c r="H18" s="46">
        <f t="shared" si="0"/>
        <v>-0.49620008206693456</v>
      </c>
      <c r="I18" s="32">
        <v>13</v>
      </c>
      <c r="J18" s="19">
        <f t="shared" si="2"/>
        <v>23077.84</v>
      </c>
      <c r="K18" s="19">
        <f t="shared" si="3"/>
        <v>218322.16</v>
      </c>
      <c r="L18" s="88">
        <v>20000</v>
      </c>
      <c r="M18" s="2">
        <f t="shared" si="4"/>
        <v>261399.50379991793</v>
      </c>
      <c r="N18" s="5">
        <f t="shared" si="1"/>
        <v>277083.47402791301</v>
      </c>
      <c r="P18" t="s">
        <v>111</v>
      </c>
    </row>
    <row r="19" spans="1:18" x14ac:dyDescent="0.25">
      <c r="A19" s="3" t="s">
        <v>40</v>
      </c>
      <c r="B19" s="3"/>
      <c r="C19" s="3">
        <v>35</v>
      </c>
      <c r="D19" s="48" t="s">
        <v>42</v>
      </c>
      <c r="E19" s="3">
        <v>3.43</v>
      </c>
      <c r="F19" s="19">
        <v>311549.81964850146</v>
      </c>
      <c r="G19" s="106">
        <f>337450+20000-G41</f>
        <v>311550</v>
      </c>
      <c r="H19" s="46">
        <f t="shared" si="0"/>
        <v>-0.18035149853676558</v>
      </c>
      <c r="I19" s="32">
        <v>6</v>
      </c>
      <c r="J19" s="19">
        <f t="shared" si="2"/>
        <v>27872.180000000004</v>
      </c>
      <c r="K19" s="19">
        <f t="shared" si="3"/>
        <v>263677.82</v>
      </c>
      <c r="L19" s="88"/>
      <c r="M19" s="2">
        <f t="shared" si="4"/>
        <v>291549.81964850146</v>
      </c>
      <c r="N19" s="5">
        <f t="shared" si="1"/>
        <v>309042.80882741156</v>
      </c>
    </row>
    <row r="20" spans="1:18" x14ac:dyDescent="0.25">
      <c r="A20" s="3" t="s">
        <v>43</v>
      </c>
      <c r="B20" s="3"/>
      <c r="C20" s="3">
        <v>36</v>
      </c>
      <c r="D20" s="48" t="s">
        <v>44</v>
      </c>
      <c r="E20" s="3">
        <v>2.84</v>
      </c>
      <c r="F20" s="19">
        <v>241399.65585707471</v>
      </c>
      <c r="G20" s="105">
        <f>283050-G38</f>
        <v>241400</v>
      </c>
      <c r="H20" s="46">
        <f t="shared" si="0"/>
        <v>-0.34414292528526857</v>
      </c>
      <c r="I20" s="32">
        <v>6</v>
      </c>
      <c r="J20" s="19">
        <f t="shared" si="2"/>
        <v>23077.84</v>
      </c>
      <c r="K20" s="19">
        <f t="shared" si="3"/>
        <v>218322.16</v>
      </c>
      <c r="L20" s="88"/>
      <c r="M20" s="2">
        <f t="shared" si="4"/>
        <v>241399.65585707471</v>
      </c>
      <c r="N20" s="5">
        <f t="shared" si="1"/>
        <v>255883.63520849921</v>
      </c>
    </row>
    <row r="21" spans="1:18" x14ac:dyDescent="0.25">
      <c r="A21" s="3" t="s">
        <v>43</v>
      </c>
      <c r="B21" s="3"/>
      <c r="C21" s="3">
        <v>37</v>
      </c>
      <c r="D21" s="48" t="s">
        <v>45</v>
      </c>
      <c r="E21" s="3">
        <v>3.43</v>
      </c>
      <c r="F21" s="19">
        <v>291549.9952936371</v>
      </c>
      <c r="G21" s="105">
        <f>337450-G45</f>
        <v>291550</v>
      </c>
      <c r="H21" s="46">
        <f t="shared" si="0"/>
        <v>-4.7063629026524723E-3</v>
      </c>
      <c r="I21" s="32">
        <v>7</v>
      </c>
      <c r="J21" s="19">
        <f t="shared" si="2"/>
        <v>27872.180000000004</v>
      </c>
      <c r="K21" s="19">
        <f t="shared" si="3"/>
        <v>263677.82</v>
      </c>
      <c r="L21" s="88"/>
      <c r="M21" s="2">
        <f t="shared" si="4"/>
        <v>291549.9952936371</v>
      </c>
      <c r="N21" s="5">
        <f t="shared" si="1"/>
        <v>309042.99501125532</v>
      </c>
    </row>
    <row r="22" spans="1:18" x14ac:dyDescent="0.25">
      <c r="A22" s="3" t="s">
        <v>46</v>
      </c>
      <c r="B22" s="3"/>
      <c r="C22" s="3">
        <v>38</v>
      </c>
      <c r="D22" s="69" t="s">
        <v>98</v>
      </c>
      <c r="E22" s="3">
        <v>2.84</v>
      </c>
      <c r="F22" s="19">
        <v>241400</v>
      </c>
      <c r="G22" s="105">
        <f>F22</f>
        <v>241400</v>
      </c>
      <c r="H22" s="46">
        <f t="shared" si="0"/>
        <v>0</v>
      </c>
      <c r="I22" s="32">
        <v>7</v>
      </c>
      <c r="J22" s="19">
        <f t="shared" si="2"/>
        <v>23077.84</v>
      </c>
      <c r="K22" s="19">
        <f t="shared" si="3"/>
        <v>218322.16</v>
      </c>
      <c r="L22" s="88"/>
      <c r="M22" s="2">
        <f t="shared" si="4"/>
        <v>241400</v>
      </c>
      <c r="N22" s="5">
        <f t="shared" si="1"/>
        <v>255884</v>
      </c>
    </row>
    <row r="23" spans="1:18" x14ac:dyDescent="0.25">
      <c r="A23" s="3" t="s">
        <v>46</v>
      </c>
      <c r="B23" s="3"/>
      <c r="C23" s="3">
        <v>39</v>
      </c>
      <c r="D23" s="48" t="s">
        <v>47</v>
      </c>
      <c r="E23" s="3">
        <v>3.43</v>
      </c>
      <c r="F23" s="19">
        <v>309698.66790342226</v>
      </c>
      <c r="G23" s="106">
        <f>353000-G46</f>
        <v>310500</v>
      </c>
      <c r="H23" s="46">
        <f t="shared" si="0"/>
        <v>-801.33209657773841</v>
      </c>
      <c r="I23" s="32">
        <v>17</v>
      </c>
      <c r="J23" s="19">
        <f t="shared" si="2"/>
        <v>27872.180000000004</v>
      </c>
      <c r="K23" s="19">
        <f t="shared" si="3"/>
        <v>263677.82</v>
      </c>
      <c r="L23" s="88"/>
      <c r="M23" s="2">
        <f t="shared" si="4"/>
        <v>290748.66790342226</v>
      </c>
      <c r="N23" s="5">
        <f t="shared" si="1"/>
        <v>308193.58797762758</v>
      </c>
    </row>
    <row r="24" spans="1:18" x14ac:dyDescent="0.25">
      <c r="A24" s="3" t="s">
        <v>48</v>
      </c>
      <c r="B24" s="3"/>
      <c r="C24" s="3">
        <v>40</v>
      </c>
      <c r="D24" s="48" t="s">
        <v>49</v>
      </c>
      <c r="E24" s="3">
        <v>2.84</v>
      </c>
      <c r="F24" s="19">
        <v>235785.37342107471</v>
      </c>
      <c r="G24" s="105">
        <f>278000-G37</f>
        <v>236350</v>
      </c>
      <c r="H24" s="46">
        <f t="shared" si="0"/>
        <v>-564.62657892529387</v>
      </c>
      <c r="I24" s="77">
        <v>7</v>
      </c>
      <c r="J24" s="19">
        <f t="shared" si="2"/>
        <v>23077.84</v>
      </c>
      <c r="K24" s="19">
        <f t="shared" si="3"/>
        <v>218322.16</v>
      </c>
      <c r="L24" s="88"/>
      <c r="M24" s="2">
        <f t="shared" si="4"/>
        <v>240835.37342107471</v>
      </c>
      <c r="N24" s="5">
        <f t="shared" si="1"/>
        <v>255285.49582633917</v>
      </c>
    </row>
    <row r="25" spans="1:18" x14ac:dyDescent="0.25">
      <c r="A25" s="3" t="s">
        <v>48</v>
      </c>
      <c r="B25" s="3"/>
      <c r="C25" s="3">
        <v>41</v>
      </c>
      <c r="D25" s="48" t="s">
        <v>117</v>
      </c>
      <c r="E25" s="3">
        <v>3.43</v>
      </c>
      <c r="F25" s="19">
        <v>263321.66666666669</v>
      </c>
      <c r="G25" s="106">
        <v>279120.87</v>
      </c>
      <c r="H25" s="46">
        <f t="shared" si="0"/>
        <v>-15799.203333333309</v>
      </c>
      <c r="I25" s="32">
        <v>7</v>
      </c>
      <c r="J25" s="19">
        <f t="shared" si="2"/>
        <v>27872.180000000004</v>
      </c>
      <c r="K25" s="19">
        <f t="shared" si="3"/>
        <v>263677.82</v>
      </c>
      <c r="L25" s="89"/>
      <c r="M25" s="2">
        <f t="shared" si="4"/>
        <v>275750.79666666669</v>
      </c>
      <c r="N25" s="5">
        <f t="shared" si="1"/>
        <v>292295.84446666669</v>
      </c>
      <c r="P25" s="53"/>
      <c r="Q25" s="53"/>
      <c r="R25" s="53"/>
    </row>
    <row r="26" spans="1:18" x14ac:dyDescent="0.25">
      <c r="A26" s="3" t="s">
        <v>50</v>
      </c>
      <c r="B26" s="3"/>
      <c r="C26" s="3">
        <v>42</v>
      </c>
      <c r="D26" s="48" t="s">
        <v>51</v>
      </c>
      <c r="E26" s="3">
        <v>6</v>
      </c>
      <c r="F26" s="19">
        <v>-1088811.3406672962</v>
      </c>
      <c r="G26" s="106">
        <f>900000+900000-G30-G31-G36</f>
        <v>1664850</v>
      </c>
      <c r="H26" s="47">
        <f t="shared" si="0"/>
        <v>-2753661.3406672962</v>
      </c>
      <c r="I26" s="152">
        <v>4</v>
      </c>
      <c r="J26" s="19">
        <f t="shared" si="2"/>
        <v>48756</v>
      </c>
      <c r="K26" s="19">
        <f t="shared" si="3"/>
        <v>461244</v>
      </c>
      <c r="L26" s="88"/>
      <c r="M26" s="2">
        <f t="shared" si="4"/>
        <v>-2243661.3406672962</v>
      </c>
      <c r="N26" s="5">
        <f t="shared" si="1"/>
        <v>-2378281.0211073342</v>
      </c>
    </row>
    <row r="27" spans="1:18" x14ac:dyDescent="0.25">
      <c r="A27" s="3" t="s">
        <v>52</v>
      </c>
      <c r="B27" s="3"/>
      <c r="C27" s="3">
        <v>43</v>
      </c>
      <c r="D27" s="48" t="s">
        <v>53</v>
      </c>
      <c r="E27" s="3">
        <v>5.89</v>
      </c>
      <c r="F27" s="19">
        <v>500650.37128526531</v>
      </c>
      <c r="G27" s="105">
        <f>599250-G39-G40</f>
        <v>500650</v>
      </c>
      <c r="H27" s="46">
        <f t="shared" si="0"/>
        <v>0.37128526531159878</v>
      </c>
      <c r="I27" s="32">
        <v>13</v>
      </c>
      <c r="J27" s="19">
        <f t="shared" si="2"/>
        <v>47862.139999999992</v>
      </c>
      <c r="K27" s="19">
        <f t="shared" si="3"/>
        <v>452787.86</v>
      </c>
      <c r="L27" s="88"/>
      <c r="M27" s="2">
        <f t="shared" si="4"/>
        <v>500650.37128526531</v>
      </c>
      <c r="N27" s="5">
        <f t="shared" si="1"/>
        <v>530689.39356238127</v>
      </c>
      <c r="R27" s="53"/>
    </row>
    <row r="28" spans="1:18" x14ac:dyDescent="0.25">
      <c r="A28" s="3" t="s">
        <v>54</v>
      </c>
      <c r="B28" s="3"/>
      <c r="C28" s="3">
        <v>44</v>
      </c>
      <c r="D28" s="48" t="s">
        <v>55</v>
      </c>
      <c r="E28" s="3">
        <v>5.89</v>
      </c>
      <c r="F28" s="19">
        <v>500591.17449320736</v>
      </c>
      <c r="G28" s="105">
        <f>592000-G32-G33</f>
        <v>501900</v>
      </c>
      <c r="H28" s="46">
        <f t="shared" si="0"/>
        <v>-1308.8255067926366</v>
      </c>
      <c r="I28" s="32">
        <v>7</v>
      </c>
      <c r="J28" s="19">
        <f t="shared" si="2"/>
        <v>47862.139999999992</v>
      </c>
      <c r="K28" s="19">
        <f t="shared" si="3"/>
        <v>452787.86</v>
      </c>
      <c r="L28" s="88"/>
      <c r="M28" s="2">
        <f t="shared" si="4"/>
        <v>499341.17449320736</v>
      </c>
      <c r="N28" s="5">
        <f t="shared" si="1"/>
        <v>529301.64496279985</v>
      </c>
    </row>
    <row r="29" spans="1:18" x14ac:dyDescent="0.25">
      <c r="A29" s="3" t="s">
        <v>56</v>
      </c>
      <c r="B29" s="3"/>
      <c r="C29" s="3">
        <v>45</v>
      </c>
      <c r="D29" s="48" t="s">
        <v>57</v>
      </c>
      <c r="E29" s="3">
        <v>5.89</v>
      </c>
      <c r="F29" s="19">
        <v>628440.74619410187</v>
      </c>
      <c r="G29" s="106">
        <v>0</v>
      </c>
      <c r="H29" s="47">
        <f t="shared" si="0"/>
        <v>628440.74619410187</v>
      </c>
      <c r="I29" s="32">
        <v>17</v>
      </c>
      <c r="J29" s="19">
        <f t="shared" si="2"/>
        <v>47862.139999999992</v>
      </c>
      <c r="K29" s="19">
        <f t="shared" si="3"/>
        <v>452787.86</v>
      </c>
      <c r="L29" s="88"/>
      <c r="M29" s="2">
        <f t="shared" si="4"/>
        <v>1129090.7461941019</v>
      </c>
      <c r="N29" s="5">
        <f t="shared" si="1"/>
        <v>1196836.1909657479</v>
      </c>
    </row>
    <row r="30" spans="1:18" x14ac:dyDescent="0.25">
      <c r="A30" s="44" t="s">
        <v>69</v>
      </c>
      <c r="B30" s="3"/>
      <c r="C30" s="3">
        <v>1</v>
      </c>
      <c r="D30" s="48" t="s">
        <v>51</v>
      </c>
      <c r="E30" s="3">
        <v>0.54</v>
      </c>
      <c r="F30" s="19">
        <v>45900</v>
      </c>
      <c r="G30" s="105">
        <f>F30</f>
        <v>45900</v>
      </c>
      <c r="H30" s="46">
        <f t="shared" si="0"/>
        <v>0</v>
      </c>
      <c r="I30" s="32"/>
      <c r="J30" s="19">
        <f t="shared" si="2"/>
        <v>4388.04</v>
      </c>
      <c r="K30" s="19">
        <f t="shared" si="3"/>
        <v>41511.960000000006</v>
      </c>
      <c r="L30" s="88"/>
      <c r="M30" s="2">
        <f t="shared" si="4"/>
        <v>45900.000000000007</v>
      </c>
      <c r="N30" s="5">
        <f t="shared" si="1"/>
        <v>48654.000000000007</v>
      </c>
    </row>
    <row r="31" spans="1:18" x14ac:dyDescent="0.25">
      <c r="A31" s="44" t="s">
        <v>69</v>
      </c>
      <c r="B31" s="3"/>
      <c r="C31" s="3">
        <v>2</v>
      </c>
      <c r="D31" s="48" t="s">
        <v>51</v>
      </c>
      <c r="E31" s="3">
        <v>0.55000000000000004</v>
      </c>
      <c r="F31" s="19">
        <v>46750</v>
      </c>
      <c r="G31" s="105">
        <f>F31</f>
        <v>46750</v>
      </c>
      <c r="H31" s="46">
        <f t="shared" si="0"/>
        <v>0</v>
      </c>
      <c r="I31" s="32"/>
      <c r="J31" s="19">
        <f t="shared" si="2"/>
        <v>4469.3</v>
      </c>
      <c r="K31" s="19">
        <f t="shared" si="3"/>
        <v>42280.7</v>
      </c>
      <c r="L31" s="88"/>
      <c r="M31" s="2">
        <f t="shared" si="4"/>
        <v>46750</v>
      </c>
      <c r="N31" s="5">
        <f t="shared" si="1"/>
        <v>49555</v>
      </c>
    </row>
    <row r="32" spans="1:18" x14ac:dyDescent="0.25">
      <c r="A32" s="44" t="s">
        <v>69</v>
      </c>
      <c r="B32" s="3"/>
      <c r="C32" s="3">
        <v>3</v>
      </c>
      <c r="D32" s="48" t="s">
        <v>55</v>
      </c>
      <c r="E32" s="3">
        <v>0.45</v>
      </c>
      <c r="F32" s="19">
        <v>38250</v>
      </c>
      <c r="G32" s="105">
        <f>F32</f>
        <v>38250</v>
      </c>
      <c r="H32" s="46">
        <f t="shared" si="0"/>
        <v>0</v>
      </c>
      <c r="I32" s="32"/>
      <c r="J32" s="19">
        <f t="shared" si="2"/>
        <v>3656.7000000000003</v>
      </c>
      <c r="K32" s="19">
        <f t="shared" si="3"/>
        <v>34593.300000000003</v>
      </c>
      <c r="L32" s="68"/>
      <c r="M32" s="2">
        <f t="shared" si="4"/>
        <v>38250</v>
      </c>
      <c r="N32" s="5">
        <f t="shared" si="1"/>
        <v>40545</v>
      </c>
    </row>
    <row r="33" spans="1:17" x14ac:dyDescent="0.25">
      <c r="A33" s="44" t="s">
        <v>69</v>
      </c>
      <c r="B33" s="3"/>
      <c r="C33" s="3">
        <v>4</v>
      </c>
      <c r="D33" s="48" t="s">
        <v>55</v>
      </c>
      <c r="E33" s="3">
        <v>0.61</v>
      </c>
      <c r="F33" s="19">
        <v>51850</v>
      </c>
      <c r="G33" s="105">
        <f t="shared" ref="G33" si="5">F33</f>
        <v>51850</v>
      </c>
      <c r="H33" s="46">
        <f t="shared" si="0"/>
        <v>0</v>
      </c>
      <c r="I33" s="32"/>
      <c r="J33" s="19">
        <f t="shared" si="2"/>
        <v>4956.8599999999997</v>
      </c>
      <c r="K33" s="19">
        <f t="shared" si="3"/>
        <v>46893.14</v>
      </c>
      <c r="L33" s="68"/>
      <c r="M33" s="2">
        <f t="shared" si="4"/>
        <v>51850</v>
      </c>
      <c r="N33" s="5">
        <f t="shared" si="1"/>
        <v>54961</v>
      </c>
    </row>
    <row r="34" spans="1:17" x14ac:dyDescent="0.25">
      <c r="A34" s="44" t="s">
        <v>69</v>
      </c>
      <c r="B34" s="3"/>
      <c r="C34" s="3">
        <v>5</v>
      </c>
      <c r="D34" s="48" t="s">
        <v>30</v>
      </c>
      <c r="E34" s="3">
        <v>0.54</v>
      </c>
      <c r="F34" s="19">
        <v>45900</v>
      </c>
      <c r="G34" s="105">
        <f>F34</f>
        <v>45900</v>
      </c>
      <c r="H34" s="46">
        <f t="shared" si="0"/>
        <v>0</v>
      </c>
      <c r="I34" s="32"/>
      <c r="J34" s="19">
        <f t="shared" si="2"/>
        <v>4388.04</v>
      </c>
      <c r="K34" s="19">
        <f t="shared" si="3"/>
        <v>41511.960000000006</v>
      </c>
      <c r="L34" s="68"/>
      <c r="M34" s="2">
        <f t="shared" si="4"/>
        <v>45900.000000000007</v>
      </c>
      <c r="N34" s="5">
        <f t="shared" si="1"/>
        <v>48654.000000000007</v>
      </c>
    </row>
    <row r="35" spans="1:17" x14ac:dyDescent="0.25">
      <c r="A35" s="44" t="s">
        <v>69</v>
      </c>
      <c r="B35" s="3"/>
      <c r="C35" s="3">
        <v>6</v>
      </c>
      <c r="D35" s="48" t="s">
        <v>106</v>
      </c>
      <c r="E35" s="3">
        <v>0.5</v>
      </c>
      <c r="F35" s="2">
        <v>42500</v>
      </c>
      <c r="G35" s="106">
        <f>F35</f>
        <v>42500</v>
      </c>
      <c r="H35" s="46">
        <f t="shared" si="0"/>
        <v>0</v>
      </c>
      <c r="I35" s="32"/>
      <c r="J35" s="19">
        <f t="shared" si="2"/>
        <v>4063</v>
      </c>
      <c r="K35" s="19">
        <f t="shared" si="3"/>
        <v>38437</v>
      </c>
      <c r="L35" s="68"/>
      <c r="M35" s="2">
        <f t="shared" si="4"/>
        <v>42500</v>
      </c>
      <c r="N35" s="5">
        <f t="shared" si="1"/>
        <v>45050</v>
      </c>
    </row>
    <row r="36" spans="1:17" x14ac:dyDescent="0.25">
      <c r="A36" s="44" t="s">
        <v>69</v>
      </c>
      <c r="B36" s="3"/>
      <c r="C36" s="3">
        <v>7</v>
      </c>
      <c r="D36" s="48" t="s">
        <v>51</v>
      </c>
      <c r="E36" s="3">
        <v>0.5</v>
      </c>
      <c r="F36" s="19">
        <v>42500</v>
      </c>
      <c r="G36" s="105">
        <f>F36</f>
        <v>42500</v>
      </c>
      <c r="H36" s="46">
        <f t="shared" si="0"/>
        <v>0</v>
      </c>
      <c r="I36" s="32"/>
      <c r="J36" s="19">
        <f t="shared" si="2"/>
        <v>4063</v>
      </c>
      <c r="K36" s="19">
        <f t="shared" si="3"/>
        <v>38437</v>
      </c>
      <c r="L36" s="68"/>
      <c r="M36" s="2">
        <f t="shared" si="4"/>
        <v>42500</v>
      </c>
      <c r="N36" s="5">
        <f t="shared" si="1"/>
        <v>45050</v>
      </c>
    </row>
    <row r="37" spans="1:17" x14ac:dyDescent="0.25">
      <c r="A37" s="44" t="s">
        <v>69</v>
      </c>
      <c r="B37" s="3"/>
      <c r="C37" s="3">
        <v>8</v>
      </c>
      <c r="D37" s="48" t="s">
        <v>49</v>
      </c>
      <c r="E37" s="3">
        <v>0.49</v>
      </c>
      <c r="F37" s="19">
        <v>41650</v>
      </c>
      <c r="G37" s="105">
        <f t="shared" ref="G37:G41" si="6">F37</f>
        <v>41650</v>
      </c>
      <c r="H37" s="46">
        <f t="shared" si="0"/>
        <v>0</v>
      </c>
      <c r="I37" s="32"/>
      <c r="J37" s="19">
        <f t="shared" si="2"/>
        <v>3981.74</v>
      </c>
      <c r="K37" s="19">
        <f t="shared" si="3"/>
        <v>37668.26</v>
      </c>
      <c r="L37" s="68"/>
      <c r="M37" s="2">
        <f t="shared" si="4"/>
        <v>41650</v>
      </c>
      <c r="N37" s="5">
        <f t="shared" si="1"/>
        <v>44149</v>
      </c>
    </row>
    <row r="38" spans="1:17" x14ac:dyDescent="0.25">
      <c r="A38" s="44" t="s">
        <v>69</v>
      </c>
      <c r="B38" s="3"/>
      <c r="C38" s="3">
        <v>9</v>
      </c>
      <c r="D38" s="48" t="s">
        <v>44</v>
      </c>
      <c r="E38" s="3">
        <v>0.49</v>
      </c>
      <c r="F38" s="19">
        <v>41650</v>
      </c>
      <c r="G38" s="105">
        <f t="shared" si="6"/>
        <v>41650</v>
      </c>
      <c r="H38" s="46">
        <f t="shared" si="0"/>
        <v>0</v>
      </c>
      <c r="I38" s="32"/>
      <c r="J38" s="19">
        <f t="shared" si="2"/>
        <v>3981.74</v>
      </c>
      <c r="K38" s="19">
        <f t="shared" si="3"/>
        <v>37668.26</v>
      </c>
      <c r="L38" s="68"/>
      <c r="M38" s="2">
        <f t="shared" si="4"/>
        <v>41650</v>
      </c>
      <c r="N38" s="5">
        <f t="shared" si="1"/>
        <v>44149</v>
      </c>
    </row>
    <row r="39" spans="1:17" x14ac:dyDescent="0.25">
      <c r="A39" s="44" t="s">
        <v>69</v>
      </c>
      <c r="B39" s="3"/>
      <c r="C39" s="3">
        <v>10</v>
      </c>
      <c r="D39" s="48" t="s">
        <v>53</v>
      </c>
      <c r="E39" s="3">
        <v>0.59</v>
      </c>
      <c r="F39" s="19">
        <v>50150</v>
      </c>
      <c r="G39" s="105">
        <f t="shared" si="6"/>
        <v>50150</v>
      </c>
      <c r="H39" s="46">
        <f t="shared" si="0"/>
        <v>0</v>
      </c>
      <c r="I39" s="32"/>
      <c r="J39" s="19">
        <f t="shared" si="2"/>
        <v>4794.34</v>
      </c>
      <c r="K39" s="19">
        <f t="shared" si="3"/>
        <v>45355.66</v>
      </c>
      <c r="L39" s="68"/>
      <c r="M39" s="2">
        <f t="shared" si="4"/>
        <v>50150</v>
      </c>
      <c r="N39" s="5">
        <f t="shared" si="1"/>
        <v>53159</v>
      </c>
    </row>
    <row r="40" spans="1:17" x14ac:dyDescent="0.25">
      <c r="A40" s="44" t="s">
        <v>69</v>
      </c>
      <c r="B40" s="3"/>
      <c r="C40" s="3">
        <v>11</v>
      </c>
      <c r="D40" s="48" t="s">
        <v>53</v>
      </c>
      <c r="E40" s="3">
        <v>0.56999999999999995</v>
      </c>
      <c r="F40" s="19">
        <v>48450</v>
      </c>
      <c r="G40" s="105">
        <f t="shared" si="6"/>
        <v>48450</v>
      </c>
      <c r="H40" s="46">
        <f t="shared" si="0"/>
        <v>0</v>
      </c>
      <c r="I40" s="32"/>
      <c r="J40" s="19">
        <f t="shared" si="2"/>
        <v>4631.82</v>
      </c>
      <c r="K40" s="19">
        <f t="shared" si="3"/>
        <v>43818.18</v>
      </c>
      <c r="L40" s="68"/>
      <c r="M40" s="2">
        <f t="shared" si="4"/>
        <v>48450</v>
      </c>
      <c r="N40" s="5">
        <f t="shared" si="1"/>
        <v>51357</v>
      </c>
    </row>
    <row r="41" spans="1:17" x14ac:dyDescent="0.25">
      <c r="A41" s="44" t="s">
        <v>69</v>
      </c>
      <c r="B41" s="3"/>
      <c r="C41" s="3">
        <v>12</v>
      </c>
      <c r="D41" s="48" t="s">
        <v>42</v>
      </c>
      <c r="E41" s="3">
        <v>0.54</v>
      </c>
      <c r="F41" s="19">
        <v>45900</v>
      </c>
      <c r="G41" s="105">
        <f t="shared" si="6"/>
        <v>45900</v>
      </c>
      <c r="H41" s="46">
        <f t="shared" si="0"/>
        <v>0</v>
      </c>
      <c r="I41" s="32"/>
      <c r="J41" s="19">
        <f t="shared" si="2"/>
        <v>4388.04</v>
      </c>
      <c r="K41" s="19">
        <f t="shared" si="3"/>
        <v>41511.960000000006</v>
      </c>
      <c r="L41" s="68"/>
      <c r="M41" s="2">
        <f t="shared" si="4"/>
        <v>45900.000000000007</v>
      </c>
      <c r="N41" s="5">
        <f t="shared" si="1"/>
        <v>48654.000000000007</v>
      </c>
    </row>
    <row r="42" spans="1:17" x14ac:dyDescent="0.25">
      <c r="A42" s="44" t="s">
        <v>69</v>
      </c>
      <c r="B42" s="3"/>
      <c r="C42" s="3">
        <v>13</v>
      </c>
      <c r="D42" s="48" t="s">
        <v>57</v>
      </c>
      <c r="E42" s="3">
        <v>0.55000000000000004</v>
      </c>
      <c r="F42" s="19">
        <v>46750</v>
      </c>
      <c r="G42" s="105"/>
      <c r="H42" s="46">
        <f t="shared" si="0"/>
        <v>46750</v>
      </c>
      <c r="I42" s="32"/>
      <c r="J42" s="19">
        <f t="shared" si="2"/>
        <v>4469.3</v>
      </c>
      <c r="K42" s="19">
        <f t="shared" si="3"/>
        <v>42280.7</v>
      </c>
      <c r="L42" s="68"/>
      <c r="M42" s="2">
        <f t="shared" si="4"/>
        <v>93500</v>
      </c>
      <c r="N42" s="5">
        <f t="shared" si="1"/>
        <v>99110</v>
      </c>
    </row>
    <row r="43" spans="1:17" x14ac:dyDescent="0.25">
      <c r="A43" s="44" t="s">
        <v>69</v>
      </c>
      <c r="B43" s="3"/>
      <c r="C43" s="3">
        <v>14</v>
      </c>
      <c r="D43" s="48" t="s">
        <v>57</v>
      </c>
      <c r="E43" s="3">
        <v>0.45</v>
      </c>
      <c r="F43" s="19">
        <v>38250</v>
      </c>
      <c r="G43" s="105"/>
      <c r="H43" s="46">
        <f t="shared" si="0"/>
        <v>38250</v>
      </c>
      <c r="I43" s="32"/>
      <c r="J43" s="19">
        <f t="shared" si="2"/>
        <v>3656.7000000000003</v>
      </c>
      <c r="K43" s="19">
        <f t="shared" si="3"/>
        <v>34593.300000000003</v>
      </c>
      <c r="L43" s="68"/>
      <c r="M43" s="2">
        <f t="shared" si="4"/>
        <v>76500</v>
      </c>
      <c r="N43" s="5">
        <f t="shared" si="1"/>
        <v>81090</v>
      </c>
      <c r="P43" s="34">
        <f>L1-K52</f>
        <v>-1833499.3099579988</v>
      </c>
    </row>
    <row r="44" spans="1:17" x14ac:dyDescent="0.25">
      <c r="A44" s="44" t="s">
        <v>69</v>
      </c>
      <c r="B44" s="3"/>
      <c r="C44" s="3">
        <v>15</v>
      </c>
      <c r="D44" s="48" t="s">
        <v>57</v>
      </c>
      <c r="E44" s="3">
        <v>0.61</v>
      </c>
      <c r="F44" s="19">
        <v>51850</v>
      </c>
      <c r="G44" s="105"/>
      <c r="H44" s="46">
        <f t="shared" si="0"/>
        <v>51850</v>
      </c>
      <c r="I44" s="32"/>
      <c r="J44" s="19">
        <f t="shared" si="2"/>
        <v>4956.8599999999997</v>
      </c>
      <c r="K44" s="19">
        <f t="shared" si="3"/>
        <v>46893.14</v>
      </c>
      <c r="L44" s="68"/>
      <c r="M44" s="2">
        <f t="shared" si="4"/>
        <v>103700</v>
      </c>
      <c r="N44" s="5">
        <f t="shared" si="1"/>
        <v>109922</v>
      </c>
    </row>
    <row r="45" spans="1:17" x14ac:dyDescent="0.25">
      <c r="A45" s="44" t="s">
        <v>69</v>
      </c>
      <c r="B45" s="3"/>
      <c r="C45" s="3">
        <v>16</v>
      </c>
      <c r="D45" s="48" t="s">
        <v>45</v>
      </c>
      <c r="E45" s="3">
        <v>0.54</v>
      </c>
      <c r="F45" s="19">
        <v>45900</v>
      </c>
      <c r="G45" s="105">
        <f t="shared" ref="G45" si="7">F45</f>
        <v>45900</v>
      </c>
      <c r="H45" s="46">
        <f t="shared" si="0"/>
        <v>0</v>
      </c>
      <c r="I45" s="32"/>
      <c r="J45" s="19">
        <f t="shared" si="2"/>
        <v>4388.04</v>
      </c>
      <c r="K45" s="19">
        <f t="shared" si="3"/>
        <v>41511.960000000006</v>
      </c>
      <c r="L45" s="68"/>
      <c r="M45" s="2">
        <f t="shared" si="4"/>
        <v>45900.000000000007</v>
      </c>
      <c r="N45" s="5">
        <f t="shared" si="1"/>
        <v>48654.000000000007</v>
      </c>
    </row>
    <row r="46" spans="1:17" x14ac:dyDescent="0.25">
      <c r="A46" s="44" t="s">
        <v>69</v>
      </c>
      <c r="B46" s="3"/>
      <c r="C46" s="3">
        <v>17</v>
      </c>
      <c r="D46" s="48" t="s">
        <v>47</v>
      </c>
      <c r="E46" s="3">
        <v>0.5</v>
      </c>
      <c r="F46" s="19">
        <v>42500</v>
      </c>
      <c r="G46" s="105">
        <f t="shared" ref="G46:G51" si="8">F46</f>
        <v>42500</v>
      </c>
      <c r="H46" s="46">
        <f t="shared" si="0"/>
        <v>0</v>
      </c>
      <c r="I46" s="32"/>
      <c r="J46" s="19">
        <f t="shared" si="2"/>
        <v>4063</v>
      </c>
      <c r="K46" s="19">
        <f t="shared" si="3"/>
        <v>38437</v>
      </c>
      <c r="L46" s="68"/>
      <c r="M46" s="2">
        <f t="shared" si="4"/>
        <v>42500</v>
      </c>
      <c r="N46" s="5">
        <f t="shared" si="1"/>
        <v>45050</v>
      </c>
      <c r="Q46" t="s">
        <v>101</v>
      </c>
    </row>
    <row r="47" spans="1:17" x14ac:dyDescent="0.25">
      <c r="A47" s="44" t="s">
        <v>69</v>
      </c>
      <c r="B47" s="3"/>
      <c r="C47" s="3">
        <v>18</v>
      </c>
      <c r="D47" s="48" t="s">
        <v>39</v>
      </c>
      <c r="E47" s="3">
        <v>0.5</v>
      </c>
      <c r="F47" s="19">
        <v>42500</v>
      </c>
      <c r="G47" s="105">
        <f t="shared" si="8"/>
        <v>42500</v>
      </c>
      <c r="H47" s="46">
        <f t="shared" si="0"/>
        <v>0</v>
      </c>
      <c r="I47" s="32"/>
      <c r="J47" s="19">
        <f t="shared" si="2"/>
        <v>4063</v>
      </c>
      <c r="K47" s="19">
        <f t="shared" si="3"/>
        <v>38437</v>
      </c>
      <c r="L47" s="68"/>
      <c r="M47" s="2">
        <f t="shared" si="4"/>
        <v>42500</v>
      </c>
      <c r="N47" s="5">
        <f t="shared" si="1"/>
        <v>45050</v>
      </c>
      <c r="O47" s="53"/>
      <c r="Q47" s="50">
        <f>M3-J52</f>
        <v>65739.340000000084</v>
      </c>
    </row>
    <row r="48" spans="1:17" x14ac:dyDescent="0.25">
      <c r="A48" s="44" t="s">
        <v>69</v>
      </c>
      <c r="B48" s="3"/>
      <c r="C48" s="3">
        <v>19</v>
      </c>
      <c r="D48" s="48" t="s">
        <v>39</v>
      </c>
      <c r="E48" s="3">
        <v>0.49</v>
      </c>
      <c r="F48" s="19">
        <v>41650</v>
      </c>
      <c r="G48" s="105">
        <f t="shared" si="8"/>
        <v>41650</v>
      </c>
      <c r="H48" s="46">
        <f t="shared" si="0"/>
        <v>0</v>
      </c>
      <c r="I48" s="32"/>
      <c r="J48" s="19">
        <f t="shared" si="2"/>
        <v>3981.74</v>
      </c>
      <c r="K48" s="19">
        <f t="shared" si="3"/>
        <v>37668.26</v>
      </c>
      <c r="L48" s="68"/>
      <c r="M48" s="2">
        <f t="shared" si="4"/>
        <v>41650</v>
      </c>
      <c r="N48" s="5">
        <f t="shared" si="1"/>
        <v>44149</v>
      </c>
    </row>
    <row r="49" spans="1:16" x14ac:dyDescent="0.25">
      <c r="A49" s="44" t="s">
        <v>69</v>
      </c>
      <c r="B49" s="3"/>
      <c r="C49" s="3">
        <v>20</v>
      </c>
      <c r="D49" s="48" t="str">
        <f>D16</f>
        <v>FEUILLANT, GASTON</v>
      </c>
      <c r="E49" s="3">
        <v>0.49</v>
      </c>
      <c r="F49" s="19">
        <v>41650</v>
      </c>
      <c r="G49" s="105">
        <f t="shared" si="8"/>
        <v>41650</v>
      </c>
      <c r="H49" s="46">
        <f t="shared" si="0"/>
        <v>0</v>
      </c>
      <c r="I49" s="32"/>
      <c r="J49" s="19">
        <f t="shared" si="2"/>
        <v>3981.74</v>
      </c>
      <c r="K49" s="19">
        <f t="shared" si="3"/>
        <v>37668.26</v>
      </c>
      <c r="L49" s="68"/>
      <c r="M49" s="2">
        <f t="shared" si="4"/>
        <v>41650</v>
      </c>
      <c r="N49" s="5">
        <f t="shared" si="1"/>
        <v>44149</v>
      </c>
    </row>
    <row r="50" spans="1:16" x14ac:dyDescent="0.25">
      <c r="A50" s="44" t="s">
        <v>69</v>
      </c>
      <c r="B50" s="3"/>
      <c r="C50" s="3">
        <v>21</v>
      </c>
      <c r="D50" s="48" t="s">
        <v>35</v>
      </c>
      <c r="E50" s="3">
        <v>0.59</v>
      </c>
      <c r="F50" s="19">
        <v>50150</v>
      </c>
      <c r="G50" s="106">
        <f t="shared" si="8"/>
        <v>50150</v>
      </c>
      <c r="H50" s="46">
        <f t="shared" si="0"/>
        <v>0</v>
      </c>
      <c r="I50" s="32"/>
      <c r="J50" s="19">
        <f t="shared" si="2"/>
        <v>4794.34</v>
      </c>
      <c r="K50" s="19">
        <f t="shared" si="3"/>
        <v>45355.66</v>
      </c>
      <c r="L50" s="68"/>
      <c r="M50" s="2">
        <f t="shared" si="4"/>
        <v>50150</v>
      </c>
      <c r="N50" s="5">
        <f t="shared" si="1"/>
        <v>53159</v>
      </c>
    </row>
    <row r="51" spans="1:16" x14ac:dyDescent="0.25">
      <c r="A51" s="44" t="s">
        <v>69</v>
      </c>
      <c r="B51" s="3"/>
      <c r="C51" s="3">
        <v>22</v>
      </c>
      <c r="D51" s="48" t="s">
        <v>41</v>
      </c>
      <c r="E51" s="3">
        <v>0.56999999999999995</v>
      </c>
      <c r="F51" s="19">
        <v>48450</v>
      </c>
      <c r="G51" s="105">
        <f t="shared" si="8"/>
        <v>48450</v>
      </c>
      <c r="H51" s="46">
        <f t="shared" si="0"/>
        <v>0</v>
      </c>
      <c r="I51" s="32"/>
      <c r="J51" s="19">
        <f t="shared" si="2"/>
        <v>4631.82</v>
      </c>
      <c r="K51" s="19">
        <f t="shared" si="3"/>
        <v>43818.18</v>
      </c>
      <c r="L51" s="68"/>
      <c r="M51" s="2">
        <f t="shared" si="4"/>
        <v>48450</v>
      </c>
      <c r="N51" s="5">
        <f t="shared" si="1"/>
        <v>51357</v>
      </c>
    </row>
    <row r="52" spans="1:16" ht="14.25" customHeight="1" x14ac:dyDescent="0.25">
      <c r="A52" s="20"/>
      <c r="B52" s="20"/>
      <c r="C52" s="20"/>
      <c r="D52" s="20"/>
      <c r="E52" s="20">
        <f>SUM(E7:E51)</f>
        <v>99.999999999999986</v>
      </c>
      <c r="F52" s="85">
        <f>SUM(F7:F51)</f>
        <v>7157130.5960010365</v>
      </c>
      <c r="G52" s="85">
        <f>SUM(G7:G51)</f>
        <v>8886432.0578930005</v>
      </c>
      <c r="H52" s="20"/>
      <c r="I52" s="20"/>
      <c r="J52" s="45">
        <f>SUM(J8:J51)</f>
        <v>746860.65999999992</v>
      </c>
      <c r="K52" s="21">
        <f>SUM(K7:K51)</f>
        <v>7375912.5599579988</v>
      </c>
      <c r="L52" s="87">
        <f>SUM(L7:L51)</f>
        <v>40000</v>
      </c>
      <c r="M52" s="22">
        <f>SUM(M7:M51)</f>
        <v>6499211.0980660357</v>
      </c>
      <c r="N52" s="21">
        <f>SUM(N7:N51)</f>
        <v>6889163.7639499977</v>
      </c>
      <c r="P52" s="50"/>
    </row>
    <row r="53" spans="1:16" hidden="1" x14ac:dyDescent="0.25">
      <c r="K53" s="53">
        <f>K52-L1</f>
        <v>1833499.3099579988</v>
      </c>
    </row>
    <row r="54" spans="1:16" ht="15" hidden="1" customHeight="1" x14ac:dyDescent="0.25"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</row>
    <row r="55" spans="1:16" hidden="1" x14ac:dyDescent="0.25"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</row>
    <row r="56" spans="1:16" x14ac:dyDescent="0.25"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</row>
    <row r="57" spans="1:16" x14ac:dyDescent="0.25">
      <c r="C57" s="186" t="s">
        <v>99</v>
      </c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</row>
    <row r="58" spans="1:16" x14ac:dyDescent="0.25"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</row>
    <row r="59" spans="1:16" x14ac:dyDescent="0.25"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</row>
    <row r="60" spans="1:16" x14ac:dyDescent="0.25"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</row>
    <row r="61" spans="1:16" x14ac:dyDescent="0.25"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</row>
    <row r="62" spans="1:16" x14ac:dyDescent="0.25"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</row>
    <row r="63" spans="1:16" x14ac:dyDescent="0.25"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</row>
  </sheetData>
  <mergeCells count="18">
    <mergeCell ref="C5:C6"/>
    <mergeCell ref="D5:D6"/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  <mergeCell ref="A1:J4"/>
    <mergeCell ref="A5:A6"/>
    <mergeCell ref="B5:B6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E70F-CDC7-456F-AF96-2906778A9145}">
  <dimension ref="C4"/>
  <sheetViews>
    <sheetView workbookViewId="0">
      <selection activeCell="C5" sqref="C5"/>
    </sheetView>
  </sheetViews>
  <sheetFormatPr baseColWidth="10" defaultRowHeight="15" x14ac:dyDescent="0.25"/>
  <sheetData>
    <row r="4" spans="3:3" x14ac:dyDescent="0.25">
      <c r="C4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ANOTACIONES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2026-05-01T15:26:29Z</cp:lastPrinted>
  <dcterms:created xsi:type="dcterms:W3CDTF">2023-09-17T12:29:07Z</dcterms:created>
  <dcterms:modified xsi:type="dcterms:W3CDTF">2026-05-29T13:03:33Z</dcterms:modified>
</cp:coreProperties>
</file>