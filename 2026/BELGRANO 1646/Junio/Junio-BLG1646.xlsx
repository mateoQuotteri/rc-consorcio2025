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GRANO 1646\Junio\"/>
    </mc:Choice>
  </mc:AlternateContent>
  <xr:revisionPtr revIDLastSave="0" documentId="13_ncr:1_{AA9B9445-F537-4846-8E86-ABB1702030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2" l="1"/>
  <c r="C118" i="1"/>
  <c r="D47" i="1"/>
  <c r="D66" i="1"/>
  <c r="D80" i="1"/>
  <c r="D73" i="1"/>
  <c r="G52" i="2"/>
  <c r="D101" i="1"/>
  <c r="B121" i="1"/>
  <c r="G26" i="2"/>
  <c r="G23" i="2"/>
  <c r="G35" i="2"/>
  <c r="G15" i="2" s="1"/>
  <c r="G24" i="2"/>
  <c r="E60" i="1"/>
  <c r="G60" i="1"/>
  <c r="G17" i="2"/>
  <c r="G27" i="2"/>
  <c r="G18" i="2"/>
  <c r="G9" i="2"/>
  <c r="G20" i="2"/>
  <c r="G13" i="2"/>
  <c r="G21" i="2"/>
  <c r="G28" i="2"/>
  <c r="G25" i="2"/>
  <c r="G29" i="2"/>
  <c r="G19" i="2"/>
  <c r="G16" i="2"/>
  <c r="G50" i="1"/>
  <c r="G51" i="1"/>
  <c r="G52" i="1"/>
  <c r="F99" i="1" l="1"/>
  <c r="E99" i="1"/>
  <c r="F98" i="1"/>
  <c r="E98" i="1"/>
  <c r="D45" i="1"/>
  <c r="F59" i="1"/>
  <c r="E59" i="1"/>
  <c r="E56" i="1"/>
  <c r="H56" i="1" s="1"/>
  <c r="E51" i="1"/>
  <c r="H51" i="1" s="1"/>
  <c r="G56" i="1"/>
  <c r="G32" i="2"/>
  <c r="G44" i="2"/>
  <c r="G43" i="2"/>
  <c r="G42" i="2"/>
  <c r="F71" i="1" l="1"/>
  <c r="E71" i="1"/>
  <c r="E63" i="1"/>
  <c r="H63" i="1" s="1"/>
  <c r="G63" i="1"/>
  <c r="J63" i="1" s="1"/>
  <c r="E58" i="1"/>
  <c r="H58" i="1" s="1"/>
  <c r="G58" i="1"/>
  <c r="M2" i="2" l="1"/>
  <c r="G11" i="2"/>
  <c r="E72" i="1"/>
  <c r="E61" i="1" l="1"/>
  <c r="H61" i="1" s="1"/>
  <c r="G61" i="1"/>
  <c r="J61" i="1" s="1"/>
  <c r="F52" i="1"/>
  <c r="E52" i="1"/>
  <c r="G34" i="2"/>
  <c r="E62" i="1"/>
  <c r="H62" i="1" s="1"/>
  <c r="G62" i="1"/>
  <c r="J62" i="1" s="1"/>
  <c r="E57" i="1"/>
  <c r="H57" i="1" s="1"/>
  <c r="G57" i="1"/>
  <c r="J57" i="1" s="1"/>
  <c r="F79" i="1"/>
  <c r="E79" i="1"/>
  <c r="E64" i="1"/>
  <c r="H64" i="1" s="1"/>
  <c r="I64" i="1" s="1"/>
  <c r="G64" i="1"/>
  <c r="J64" i="1" s="1"/>
  <c r="E41" i="1"/>
  <c r="H52" i="1" l="1"/>
  <c r="E65" i="1"/>
  <c r="A1" i="2"/>
  <c r="G48" i="2" l="1"/>
  <c r="G47" i="2"/>
  <c r="G46" i="2"/>
  <c r="G7" i="2" l="1"/>
  <c r="G22" i="2" l="1"/>
  <c r="H59" i="1" l="1"/>
  <c r="I59" i="1" s="1"/>
  <c r="G59" i="1"/>
  <c r="J59" i="1" s="1"/>
  <c r="F26" i="1"/>
  <c r="E26" i="1" l="1"/>
  <c r="F86" i="1" l="1"/>
  <c r="G51" i="2" l="1"/>
  <c r="G36" i="2"/>
  <c r="G31" i="2"/>
  <c r="G30" i="2"/>
  <c r="E100" i="1" l="1"/>
  <c r="F100" i="1"/>
  <c r="G65" i="1"/>
  <c r="J65" i="1" s="1"/>
  <c r="H65" i="1" l="1"/>
  <c r="I65" i="1" s="1"/>
  <c r="F97" i="1" l="1"/>
  <c r="M3" i="2"/>
  <c r="O4" i="2" s="1"/>
  <c r="E97" i="1"/>
  <c r="G54" i="1" l="1"/>
  <c r="J54" i="1" s="1"/>
  <c r="F54" i="1"/>
  <c r="E54" i="1"/>
  <c r="H54" i="1" l="1"/>
  <c r="I54" i="1" s="1"/>
  <c r="F50" i="1" l="1"/>
  <c r="E50" i="1"/>
  <c r="H50" i="1" l="1"/>
  <c r="G49" i="1"/>
  <c r="E49" i="1"/>
  <c r="D27" i="1"/>
  <c r="E53" i="1"/>
  <c r="B125" i="1"/>
  <c r="H49" i="1" l="1"/>
  <c r="I49" i="1" s="1"/>
  <c r="D49" i="2" l="1"/>
  <c r="G49" i="2" l="1"/>
  <c r="F52" i="2" l="1"/>
  <c r="D42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5" i="1" l="1"/>
  <c r="E101" i="1"/>
  <c r="F101" i="1"/>
  <c r="H101" i="1" l="1"/>
  <c r="I101" i="1" s="1"/>
  <c r="E42" i="1" l="1"/>
  <c r="F42" i="1"/>
  <c r="G42" i="1" l="1"/>
  <c r="F35" i="1"/>
  <c r="F34" i="1"/>
  <c r="F33" i="1"/>
  <c r="E35" i="1"/>
  <c r="E34" i="1"/>
  <c r="E33" i="1"/>
  <c r="G53" i="1" l="1"/>
  <c r="J53" i="1" s="1"/>
  <c r="G55" i="1"/>
  <c r="J55" i="1" s="1"/>
  <c r="E86" i="1" l="1"/>
  <c r="G86" i="1" l="1"/>
  <c r="H86" i="1" s="1"/>
  <c r="F82" i="1" l="1"/>
  <c r="E82" i="1"/>
  <c r="F78" i="1"/>
  <c r="F77" i="1"/>
  <c r="E78" i="1"/>
  <c r="E77" i="1"/>
  <c r="F70" i="1"/>
  <c r="E70" i="1"/>
  <c r="F55" i="1"/>
  <c r="F53" i="1"/>
  <c r="E55" i="1"/>
  <c r="E66" i="1" s="1"/>
  <c r="F29" i="1"/>
  <c r="F28" i="1"/>
  <c r="E29" i="1"/>
  <c r="E28" i="1"/>
  <c r="F46" i="1"/>
  <c r="F44" i="1"/>
  <c r="E46" i="1"/>
  <c r="E44" i="1"/>
  <c r="F24" i="1"/>
  <c r="F25" i="1"/>
  <c r="F23" i="1"/>
  <c r="E23" i="1"/>
  <c r="E24" i="1"/>
  <c r="E25" i="1"/>
  <c r="F66" i="1" l="1"/>
  <c r="H53" i="1"/>
  <c r="I53" i="1" s="1"/>
  <c r="H55" i="1"/>
  <c r="I55" i="1" s="1"/>
  <c r="F27" i="1"/>
  <c r="E80" i="1"/>
  <c r="F80" i="1"/>
  <c r="E73" i="1"/>
  <c r="F73" i="1"/>
  <c r="E32" i="1"/>
  <c r="E36" i="1" s="1"/>
  <c r="F32" i="1"/>
  <c r="E27" i="1"/>
  <c r="G27" i="1" l="1"/>
  <c r="H27" i="1" s="1"/>
  <c r="G66" i="1"/>
  <c r="H66" i="1" s="1"/>
  <c r="G80" i="1"/>
  <c r="G73" i="1"/>
  <c r="G32" i="1"/>
  <c r="D32" i="1"/>
  <c r="I66" i="1" l="1"/>
  <c r="D36" i="1"/>
  <c r="H73" i="1"/>
  <c r="H32" i="1"/>
  <c r="H80" i="1"/>
  <c r="C93" i="1"/>
  <c r="B117" i="1" s="1"/>
  <c r="E45" i="1" l="1"/>
  <c r="E47" i="1" s="1"/>
  <c r="F45" i="1"/>
  <c r="F47" i="1" s="1"/>
  <c r="G47" i="1" l="1"/>
  <c r="H47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6" i="1"/>
  <c r="G12" i="2" l="1"/>
  <c r="H12" i="2" s="1"/>
  <c r="G50" i="2" l="1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38" i="2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H38" i="2" l="1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B113" i="1" l="1"/>
  <c r="N8" i="2"/>
  <c r="N52" i="2" s="1"/>
  <c r="M52" i="2"/>
  <c r="F83" i="1"/>
  <c r="F84" i="1" s="1"/>
  <c r="F88" i="1" s="1"/>
  <c r="E83" i="1"/>
  <c r="E84" i="1" s="1"/>
  <c r="E88" i="1" s="1"/>
  <c r="D84" i="1"/>
  <c r="D88" i="1" s="1"/>
  <c r="G88" i="1" l="1"/>
  <c r="G84" i="1"/>
  <c r="H84" i="1" s="1"/>
  <c r="I88" i="1" l="1"/>
  <c r="B109" i="1"/>
  <c r="B114" i="1" s="1"/>
  <c r="B118" i="1" s="1"/>
  <c r="H88" i="1"/>
  <c r="L1" i="2"/>
  <c r="B108" i="1"/>
  <c r="P43" i="2" l="1"/>
  <c r="K53" i="2"/>
  <c r="O1" i="2"/>
  <c r="O2" i="2" s="1"/>
</calcChain>
</file>

<file path=xl/sharedStrings.xml><?xml version="1.0" encoding="utf-8"?>
<sst xmlns="http://schemas.openxmlformats.org/spreadsheetml/2006/main" count="200" uniqueCount="141">
  <si>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</si>
  <si>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</si>
  <si>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</si>
  <si>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</si>
  <si>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</si>
  <si>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</si>
  <si>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</si>
  <si>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</si>
  <si>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</si>
  <si>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</si>
  <si>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</si>
  <si>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</si>
  <si>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</si>
  <si>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</si>
  <si>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</si>
  <si>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</si>
  <si>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</si>
  <si>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</si>
  <si>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</si>
  <si>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</si>
  <si>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</si>
  <si>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</si>
  <si>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</si>
  <si>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</si>
  <si>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</si>
  <si>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</si>
  <si>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</si>
  <si>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</si>
  <si>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</si>
  <si>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</si>
  <si>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</si>
  <si>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</si>
  <si>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</si>
  <si>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</si>
  <si>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</si>
  <si>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</si>
  <si>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</si>
  <si>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</si>
  <si>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</si>
  <si>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</si>
  <si>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</si>
  <si>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</si>
  <si>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</si>
  <si>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</si>
  <si>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</si>
  <si>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</si>
  <si>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</si>
  <si>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</si>
  <si>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</si>
  <si>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</si>
  <si>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</si>
  <si>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</si>
  <si>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</si>
  <si>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</si>
  <si>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</si>
  <si>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</si>
  <si>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</si>
  <si>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</si>
  <si>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</si>
  <si>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</si>
  <si>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</si>
  <si>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</si>
  <si>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</si>
  <si>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</si>
  <si>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</si>
  <si>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</si>
  <si>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</si>
  <si>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</si>
  <si>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</si>
  <si>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</si>
  <si>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</si>
  <si>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</si>
  <si>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</si>
  <si>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</si>
  <si>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</si>
  <si>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</si>
  <si>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</si>
  <si>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</si>
  <si>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</si>
  <si>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</si>
  <si>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</si>
  <si>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</si>
  <si>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</si>
  <si>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</si>
  <si>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</si>
  <si>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</si>
  <si>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</si>
  <si>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</si>
  <si>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</si>
  <si>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</si>
  <si>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</si>
  <si>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</si>
  <si>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</si>
  <si>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</si>
  <si>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</si>
  <si>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</si>
  <si>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</si>
  <si>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</si>
  <si>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</si>
  <si>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</si>
  <si>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</si>
  <si>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</si>
  <si>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</si>
  <si>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</si>
  <si>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</si>
  <si>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</si>
  <si>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</si>
  <si>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</si>
  <si>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</si>
  <si>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</si>
  <si>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</si>
  <si>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</si>
  <si>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Subidos en en3r0 de 2026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</si>
  <si>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</si>
  <si>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</si>
  <si>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</si>
  <si>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</si>
  <si>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</si>
  <si>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</si>
  <si>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</si>
  <si>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>Alterini Guido - Mantenimiento jardineria</t>
  </si>
  <si>
    <t>Articulos de limpieza - Para pileta</t>
  </si>
  <si>
    <t xml:space="preserve">Articulos de limpieza </t>
  </si>
  <si>
    <t>VTO: 17/07</t>
  </si>
  <si>
    <t>PERÍODO: JUNIO</t>
  </si>
  <si>
    <t>Fumigacion - Mes de JUNIO</t>
  </si>
  <si>
    <t>Mes de MAYO</t>
  </si>
  <si>
    <t>MP:1148 - Mes de MAYO - Se adeuda JUNIO</t>
  </si>
  <si>
    <t>Ingreso mes de MAYO</t>
  </si>
  <si>
    <t>Servisur - Reloj timer y programacion - 2 plafones externos de 12w</t>
  </si>
  <si>
    <t>Matafuegos FIRE - Compra de uniformes Sr. Encargado</t>
  </si>
  <si>
    <t>Cerrajeria - Servicio de cerrajeria sobre control de acceso</t>
  </si>
  <si>
    <t>Julio Doartero - Emergencia electrica</t>
  </si>
  <si>
    <t>Honorarios JUNIO + SAC</t>
  </si>
  <si>
    <t>Energroup - No llego la boleta</t>
  </si>
  <si>
    <t xml:space="preserve">Sr. Alejo Simonassi </t>
  </si>
  <si>
    <t>Sra. Abogada Edith Bragonzi (Abogada Sr Simonassi)</t>
  </si>
  <si>
    <t>Sr. Servian Cesar - Mediador</t>
  </si>
  <si>
    <t>Sr. Gabriel Villegas - Abogado Consorcio</t>
  </si>
  <si>
    <t>Entendiendo que en su momento, se le habia cobrado al Sr. Simonassi $3.000.000, la diferencia entre lo gastado ($6.484.614,10) y el monto mencionado se prorrateara como extraordinario en los proximos dos meses ($1.742.307)</t>
  </si>
  <si>
    <t>Gasto abonado por Sr. Nestor Campana : Reparación de superficie dañada por filtración y pintura en dormitorio con materiales incluídos.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</si>
</sst>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5">
    <xf numFmtId="0" fontId="0" fillId="0" borderId="0" xfId="0"/>
    <xf numFmtId="0" fontId="0" fillId="0" borderId="22" xfId="0" applyBorder="1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23" xfId="1" applyFont="1" applyBorder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vertical="center"/>
    </xf>
    <xf numFmtId="0" fontId="4" fillId="2" borderId="11" xfId="0" applyFont="1" applyFill="1" applyBorder="1"/>
    <xf numFmtId="0" fontId="15" fillId="0" borderId="9" xfId="0" applyFont="1" applyBorder="1" applyAlignment="1">
      <alignment horizontal="left" vertical="center"/>
    </xf>
    <xf numFmtId="166" fontId="4" fillId="0" borderId="1" xfId="1" applyNumberFormat="1" applyFont="1" applyBorder="1"/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4" fillId="0" borderId="9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2" fillId="2" borderId="9" xfId="0" applyFont="1" applyFill="1" applyBorder="1" applyAlignment="1">
      <alignment horizontal="left" vertical="center"/>
    </xf>
    <xf numFmtId="0" fontId="23" fillId="9" borderId="0" xfId="0" applyFont="1" applyFill="1" applyAlignment="1">
      <alignment horizontal="left" vertical="center" wrapText="1"/>
    </xf>
    <xf numFmtId="44" fontId="0" fillId="0" borderId="1" xfId="1" applyFont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A79" workbookViewId="0">
      <selection activeCell="E88" sqref="E88"/>
    </sheetView>
  </sheetViews>
  <sheetFormatPr baseColWidth="10" defaultColWidth="10.85546875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6" x14ac:dyDescent="0.25">
      <c r="A1" s="90"/>
      <c r="B1" s="157" t="s">
        <v>89</v>
      </c>
      <c r="C1" s="157"/>
      <c r="D1" s="157"/>
      <c r="E1" s="157"/>
      <c r="F1" s="158"/>
    </row>
    <row r="2" spans="1:6" x14ac:dyDescent="0.25">
      <c r="A2" s="7"/>
      <c r="B2" s="106" t="s">
        <v>0</v>
      </c>
      <c r="C2" s="106"/>
      <c r="D2" s="106"/>
      <c r="E2" s="106"/>
      <c r="F2" s="107"/>
    </row>
    <row r="3" spans="1:6" x14ac:dyDescent="0.25">
      <c r="A3" s="7"/>
      <c r="B3" s="106" t="s">
        <v>61</v>
      </c>
      <c r="C3" s="106"/>
      <c r="D3" s="106"/>
      <c r="E3" s="106"/>
      <c r="F3" s="107"/>
    </row>
    <row r="4" spans="1:6" ht="33.75" customHeight="1" x14ac:dyDescent="0.25">
      <c r="A4" s="7"/>
      <c r="B4" s="106" t="s">
        <v>62</v>
      </c>
      <c r="C4" s="106"/>
      <c r="D4" s="106"/>
      <c r="E4" s="106"/>
      <c r="F4" s="107"/>
    </row>
    <row r="5" spans="1:6" x14ac:dyDescent="0.25">
      <c r="A5" s="7" t="s">
        <v>1</v>
      </c>
      <c r="B5" s="106" t="s">
        <v>124</v>
      </c>
      <c r="C5" s="106" t="s">
        <v>123</v>
      </c>
      <c r="D5" s="106"/>
      <c r="E5" s="106"/>
      <c r="F5" s="107"/>
    </row>
    <row r="6" spans="1:6" x14ac:dyDescent="0.25">
      <c r="A6" s="7" t="s">
        <v>72</v>
      </c>
      <c r="B6" s="106"/>
      <c r="C6" s="106"/>
      <c r="D6" s="106"/>
      <c r="E6" s="106"/>
      <c r="F6" s="107"/>
    </row>
    <row r="7" spans="1:6" ht="15.75" thickBot="1" x14ac:dyDescent="0.3">
      <c r="A7" s="110" t="s">
        <v>71</v>
      </c>
      <c r="B7" s="111"/>
      <c r="C7" s="111"/>
      <c r="D7" s="111"/>
      <c r="E7" s="108"/>
      <c r="F7" s="109"/>
    </row>
    <row r="8" spans="1:6" x14ac:dyDescent="0.25">
      <c r="A8" s="78"/>
      <c r="B8" s="78"/>
      <c r="C8" s="78"/>
      <c r="D8" s="78"/>
    </row>
    <row r="9" spans="1:6" hidden="1" x14ac:dyDescent="0.25">
      <c r="A9" s="78"/>
      <c r="B9" s="78"/>
      <c r="C9" s="78"/>
      <c r="D9" s="78"/>
    </row>
    <row r="10" spans="1:6" hidden="1" x14ac:dyDescent="0.25">
      <c r="A10" s="78"/>
      <c r="B10" s="78"/>
      <c r="C10" s="78"/>
      <c r="D10" s="78"/>
    </row>
    <row r="11" spans="1:6" hidden="1" x14ac:dyDescent="0.25">
      <c r="A11" s="78"/>
      <c r="B11" s="78"/>
      <c r="C11" s="78"/>
      <c r="D11" s="78"/>
    </row>
    <row r="12" spans="1:6" hidden="1" x14ac:dyDescent="0.25">
      <c r="A12" s="78"/>
      <c r="B12" s="78"/>
      <c r="C12" s="78"/>
      <c r="D12" s="78"/>
    </row>
    <row r="13" spans="1:6" x14ac:dyDescent="0.25">
      <c r="A13" s="78"/>
      <c r="B13" s="78"/>
      <c r="C13" s="78"/>
      <c r="D13" s="78"/>
    </row>
    <row r="14" spans="1:6" x14ac:dyDescent="0.25">
      <c r="A14" s="78"/>
      <c r="B14" s="161" t="s">
        <v>118</v>
      </c>
      <c r="C14" s="162"/>
      <c r="D14" s="163"/>
    </row>
    <row r="15" spans="1:6" x14ac:dyDescent="0.25">
      <c r="A15" s="78"/>
      <c r="B15" s="164"/>
      <c r="C15" s="165"/>
      <c r="D15" s="166"/>
    </row>
    <row r="16" spans="1:6" x14ac:dyDescent="0.25">
      <c r="A16" s="78"/>
      <c r="B16" s="164"/>
      <c r="C16" s="165"/>
      <c r="D16" s="166"/>
    </row>
    <row r="17" spans="1:8" x14ac:dyDescent="0.25">
      <c r="A17" s="78"/>
      <c r="B17" s="167"/>
      <c r="C17" s="168"/>
      <c r="D17" s="169"/>
    </row>
    <row r="18" spans="1:8" x14ac:dyDescent="0.25">
      <c r="A18" s="78"/>
      <c r="B18" s="78"/>
      <c r="C18" s="78"/>
      <c r="D18" s="78"/>
    </row>
    <row r="19" spans="1:8" x14ac:dyDescent="0.25">
      <c r="A19" s="112"/>
      <c r="B19" s="78"/>
      <c r="C19" s="78"/>
      <c r="D19" s="78"/>
    </row>
    <row r="20" spans="1:8" ht="15.75" thickBot="1" x14ac:dyDescent="0.3">
      <c r="A20" s="78"/>
      <c r="B20" s="78"/>
      <c r="C20" s="78"/>
      <c r="D20" s="78"/>
    </row>
    <row r="21" spans="1:8" ht="15.75" thickBot="1" x14ac:dyDescent="0.3">
      <c r="A21" s="113" t="s">
        <v>59</v>
      </c>
      <c r="B21" s="114"/>
      <c r="C21" s="115"/>
      <c r="D21" s="116"/>
      <c r="E21" s="83" t="s">
        <v>92</v>
      </c>
      <c r="F21" s="84" t="s">
        <v>60</v>
      </c>
    </row>
    <row r="22" spans="1:8" x14ac:dyDescent="0.25">
      <c r="A22" s="117" t="s">
        <v>107</v>
      </c>
      <c r="B22" s="79" t="s">
        <v>133</v>
      </c>
      <c r="C22" s="79"/>
      <c r="D22" s="150"/>
      <c r="E22" s="82"/>
      <c r="F22" s="82"/>
    </row>
    <row r="23" spans="1:8" x14ac:dyDescent="0.25">
      <c r="A23" s="117" t="s">
        <v>96</v>
      </c>
      <c r="B23" s="79"/>
      <c r="C23" s="79"/>
      <c r="D23" s="102">
        <v>2640801.16</v>
      </c>
      <c r="E23" s="49">
        <f>D23*91.91%</f>
        <v>2427160.3461559997</v>
      </c>
      <c r="F23" s="49">
        <f>D23*8.09%</f>
        <v>213640.81384400002</v>
      </c>
    </row>
    <row r="24" spans="1:8" x14ac:dyDescent="0.25">
      <c r="A24" s="117" t="s">
        <v>2</v>
      </c>
      <c r="B24" s="79"/>
      <c r="C24" s="79"/>
      <c r="D24" s="102">
        <v>-574674.24</v>
      </c>
      <c r="E24" s="49">
        <f t="shared" ref="E24:E26" si="0">D24*91.91%</f>
        <v>-528183.09398399992</v>
      </c>
      <c r="F24" s="49">
        <f t="shared" ref="F24:F26" si="1">D24*8.09%</f>
        <v>-46491.146015999999</v>
      </c>
      <c r="G24" s="34"/>
    </row>
    <row r="25" spans="1:8" x14ac:dyDescent="0.25">
      <c r="A25" s="117" t="s">
        <v>84</v>
      </c>
      <c r="B25" s="79"/>
      <c r="C25" s="79"/>
      <c r="D25" s="102">
        <v>0.08</v>
      </c>
      <c r="E25" s="49">
        <f t="shared" si="0"/>
        <v>7.3527999999999996E-2</v>
      </c>
      <c r="F25" s="49">
        <f t="shared" si="1"/>
        <v>6.4720000000000003E-3</v>
      </c>
    </row>
    <row r="26" spans="1:8" x14ac:dyDescent="0.25">
      <c r="A26" s="117"/>
      <c r="B26" s="79"/>
      <c r="C26" s="79"/>
      <c r="D26" s="102"/>
      <c r="E26" s="49">
        <f t="shared" si="0"/>
        <v>0</v>
      </c>
      <c r="F26" s="49">
        <f t="shared" si="1"/>
        <v>0</v>
      </c>
    </row>
    <row r="27" spans="1:8" ht="14.25" customHeight="1" x14ac:dyDescent="0.25">
      <c r="A27" s="118" t="s">
        <v>3</v>
      </c>
      <c r="B27" s="118"/>
      <c r="C27" s="118"/>
      <c r="D27" s="33">
        <f>SUM(D23:D26)</f>
        <v>2066127.0000000002</v>
      </c>
      <c r="E27" s="33">
        <f>SUM(E23:E26)</f>
        <v>1898977.3256999997</v>
      </c>
      <c r="F27" s="33">
        <f>SUM(F23:F26)</f>
        <v>167149.67430000004</v>
      </c>
      <c r="G27" s="34">
        <f>E27+F27</f>
        <v>2066126.9999999998</v>
      </c>
      <c r="H27" s="61" t="str">
        <f>IF(D27=G27, "", "Error")</f>
        <v/>
      </c>
    </row>
    <row r="28" spans="1:8" hidden="1" x14ac:dyDescent="0.25">
      <c r="A28" s="119" t="s">
        <v>82</v>
      </c>
      <c r="B28" s="79"/>
      <c r="C28" s="79"/>
      <c r="D28" s="103">
        <v>0</v>
      </c>
      <c r="E28" s="49">
        <f>D28*91.91%</f>
        <v>0</v>
      </c>
      <c r="F28" s="49">
        <f>D28*8.09%</f>
        <v>0</v>
      </c>
      <c r="H28" s="61"/>
    </row>
    <row r="29" spans="1:8" hidden="1" x14ac:dyDescent="0.25">
      <c r="A29" s="119"/>
      <c r="B29" s="79"/>
      <c r="C29" s="79"/>
      <c r="D29" s="102">
        <v>0</v>
      </c>
      <c r="E29" s="49">
        <f>D29*91.91%</f>
        <v>0</v>
      </c>
      <c r="F29" s="49">
        <f>D29*8.09%</f>
        <v>0</v>
      </c>
      <c r="H29" s="61"/>
    </row>
    <row r="30" spans="1:8" hidden="1" x14ac:dyDescent="0.25">
      <c r="A30" s="119"/>
      <c r="B30" s="79"/>
      <c r="C30" s="79"/>
      <c r="D30" s="102"/>
      <c r="E30" s="3"/>
      <c r="F30" s="3"/>
      <c r="H30" s="61"/>
    </row>
    <row r="31" spans="1:8" hidden="1" x14ac:dyDescent="0.25">
      <c r="A31" s="119"/>
      <c r="B31" s="79"/>
      <c r="C31" s="79"/>
      <c r="D31" s="102"/>
      <c r="E31" s="3"/>
      <c r="F31" s="3"/>
      <c r="H31" s="61"/>
    </row>
    <row r="32" spans="1:8" hidden="1" x14ac:dyDescent="0.25">
      <c r="A32" s="118" t="s">
        <v>88</v>
      </c>
      <c r="B32" s="118"/>
      <c r="C32" s="118"/>
      <c r="D32" s="33">
        <f>SUM(D28:D30)</f>
        <v>0</v>
      </c>
      <c r="E32" s="33">
        <f t="shared" ref="E32:F32" si="2">SUM(E28:E30)</f>
        <v>0</v>
      </c>
      <c r="F32" s="33">
        <f t="shared" si="2"/>
        <v>0</v>
      </c>
      <c r="G32" s="34">
        <f>E32+F32</f>
        <v>0</v>
      </c>
      <c r="H32" s="61" t="str">
        <f>IF(D32=G32, "", "Error")</f>
        <v/>
      </c>
    </row>
    <row r="33" spans="1:8" hidden="1" x14ac:dyDescent="0.25">
      <c r="A33" s="119"/>
      <c r="B33" s="79"/>
      <c r="C33" s="79"/>
      <c r="D33" s="103"/>
      <c r="E33" s="49">
        <f>D33*91.91%</f>
        <v>0</v>
      </c>
      <c r="F33" s="49">
        <f>D33*8.09%</f>
        <v>0</v>
      </c>
      <c r="H33" s="61"/>
    </row>
    <row r="34" spans="1:8" hidden="1" x14ac:dyDescent="0.25">
      <c r="A34" s="79"/>
      <c r="B34" s="79"/>
      <c r="C34" s="79"/>
      <c r="D34" s="102"/>
      <c r="E34" s="49">
        <f t="shared" ref="E34:E35" si="3">D34*91.91%</f>
        <v>0</v>
      </c>
      <c r="F34" s="49">
        <f t="shared" ref="F34:F35" si="4">D34*8.09%</f>
        <v>0</v>
      </c>
      <c r="H34" s="61"/>
    </row>
    <row r="35" spans="1:8" ht="12" hidden="1" customHeight="1" x14ac:dyDescent="0.25">
      <c r="A35" s="119"/>
      <c r="B35" s="79"/>
      <c r="C35" s="79"/>
      <c r="D35" s="102"/>
      <c r="E35" s="49">
        <f t="shared" si="3"/>
        <v>0</v>
      </c>
      <c r="F35" s="49">
        <f t="shared" si="4"/>
        <v>0</v>
      </c>
      <c r="H35" s="61"/>
    </row>
    <row r="36" spans="1:8" ht="14.25" hidden="1" customHeight="1" x14ac:dyDescent="0.25">
      <c r="A36" s="118" t="s">
        <v>97</v>
      </c>
      <c r="B36" s="118"/>
      <c r="C36" s="118"/>
      <c r="D36" s="33">
        <f>SUM(D29:D35)</f>
        <v>0</v>
      </c>
      <c r="E36" s="33">
        <f t="shared" ref="E36" si="5">SUM(E29:E35)</f>
        <v>0</v>
      </c>
      <c r="F36" s="41">
        <f>E36*8.09%</f>
        <v>0</v>
      </c>
      <c r="H36" s="61"/>
    </row>
    <row r="37" spans="1:8" ht="0.6" hidden="1" customHeight="1" x14ac:dyDescent="0.25">
      <c r="A37" s="120"/>
      <c r="B37" s="101"/>
      <c r="C37" s="101"/>
      <c r="D37" s="102"/>
      <c r="E37" s="42"/>
      <c r="F37" s="42"/>
      <c r="H37" s="61"/>
    </row>
    <row r="38" spans="1:8" hidden="1" x14ac:dyDescent="0.25">
      <c r="A38" s="120"/>
      <c r="B38" s="101"/>
      <c r="C38" s="101"/>
      <c r="D38" s="102"/>
      <c r="E38" s="42"/>
      <c r="F38" s="42"/>
      <c r="H38" s="61"/>
    </row>
    <row r="39" spans="1:8" hidden="1" x14ac:dyDescent="0.25">
      <c r="A39" s="101"/>
      <c r="B39" s="101"/>
      <c r="C39" s="121"/>
      <c r="D39" s="102"/>
      <c r="E39" s="42"/>
      <c r="F39" s="42"/>
      <c r="H39" s="61"/>
    </row>
    <row r="40" spans="1:8" hidden="1" x14ac:dyDescent="0.25">
      <c r="A40" s="118" t="s">
        <v>88</v>
      </c>
      <c r="B40" s="118"/>
      <c r="C40" s="118"/>
      <c r="D40" s="33"/>
      <c r="E40" s="36">
        <f>SUM(D37:D39)</f>
        <v>0</v>
      </c>
      <c r="F40" s="35">
        <f>(D37)*8.09%</f>
        <v>0</v>
      </c>
      <c r="H40" s="61"/>
    </row>
    <row r="41" spans="1:8" hidden="1" x14ac:dyDescent="0.25">
      <c r="A41" s="79"/>
      <c r="B41" s="79"/>
      <c r="C41" s="101"/>
      <c r="D41" s="37">
        <v>0</v>
      </c>
      <c r="E41" s="49">
        <f>D41</f>
        <v>0</v>
      </c>
      <c r="F41" s="49"/>
      <c r="H41" s="61"/>
    </row>
    <row r="42" spans="1:8" ht="15.75" hidden="1" thickBot="1" x14ac:dyDescent="0.3">
      <c r="A42" s="118" t="s">
        <v>97</v>
      </c>
      <c r="B42" s="118"/>
      <c r="C42" s="118"/>
      <c r="D42" s="33">
        <f>SUM(D41:D41)</f>
        <v>0</v>
      </c>
      <c r="E42" s="65">
        <f>SUM(E41:E41)</f>
        <v>0</v>
      </c>
      <c r="F42" s="71">
        <f>SUM(F41:F41)</f>
        <v>0</v>
      </c>
      <c r="G42" s="34">
        <f>E42+F42</f>
        <v>0</v>
      </c>
      <c r="H42" s="61"/>
    </row>
    <row r="43" spans="1:8" x14ac:dyDescent="0.25">
      <c r="A43" s="119" t="s">
        <v>4</v>
      </c>
      <c r="B43" s="79"/>
      <c r="C43" s="79"/>
      <c r="D43" s="37"/>
      <c r="E43" s="38"/>
      <c r="F43" s="26"/>
      <c r="H43" s="61"/>
    </row>
    <row r="44" spans="1:8" x14ac:dyDescent="0.25">
      <c r="A44" s="119" t="s">
        <v>110</v>
      </c>
      <c r="B44" s="79"/>
      <c r="C44" s="101"/>
      <c r="D44" s="37">
        <v>6642</v>
      </c>
      <c r="E44" s="49">
        <f>D44*91.91%</f>
        <v>6104.6621999999998</v>
      </c>
      <c r="F44" s="49">
        <f>D44*8.09%</f>
        <v>537.33780000000002</v>
      </c>
      <c r="H44" s="61"/>
    </row>
    <row r="45" spans="1:8" x14ac:dyDescent="0.25">
      <c r="A45" s="119" t="s">
        <v>5</v>
      </c>
      <c r="B45" s="79"/>
      <c r="C45" s="79"/>
      <c r="D45" s="37">
        <f>70906.65+7878.52+147382.7</f>
        <v>226167.87</v>
      </c>
      <c r="E45" s="49">
        <f>D45*91.91%</f>
        <v>207870.88931699996</v>
      </c>
      <c r="F45" s="49">
        <f>D45*8.09%</f>
        <v>18296.980682999998</v>
      </c>
      <c r="H45" s="61"/>
    </row>
    <row r="46" spans="1:8" x14ac:dyDescent="0.25">
      <c r="A46" s="119" t="s">
        <v>103</v>
      </c>
      <c r="B46" s="101"/>
      <c r="C46" s="79"/>
      <c r="D46" s="37">
        <v>698662.43</v>
      </c>
      <c r="E46" s="49">
        <f>D46*91.91%</f>
        <v>642140.63941299997</v>
      </c>
      <c r="F46" s="49">
        <f>D46*8.09%</f>
        <v>56521.790587000003</v>
      </c>
      <c r="H46" s="61"/>
    </row>
    <row r="47" spans="1:8" x14ac:dyDescent="0.25">
      <c r="A47" s="118" t="s">
        <v>6</v>
      </c>
      <c r="B47" s="122"/>
      <c r="C47" s="122"/>
      <c r="D47" s="33">
        <f>SUM(D44:D46)</f>
        <v>931472.3</v>
      </c>
      <c r="E47" s="33">
        <f t="shared" ref="E47:F47" si="6">SUM(E44:E46)</f>
        <v>856116.19092999992</v>
      </c>
      <c r="F47" s="33">
        <f t="shared" si="6"/>
        <v>75356.109070000006</v>
      </c>
      <c r="G47" s="34">
        <f>E47+F47</f>
        <v>931472.29999999993</v>
      </c>
      <c r="H47" s="61" t="str">
        <f>IF(D47=G47, "", "Error")</f>
        <v/>
      </c>
    </row>
    <row r="48" spans="1:8" x14ac:dyDescent="0.25">
      <c r="A48" s="79" t="s">
        <v>7</v>
      </c>
      <c r="B48" s="79"/>
      <c r="C48" s="79"/>
      <c r="D48" s="104"/>
      <c r="E48" s="39"/>
      <c r="F48" s="3"/>
      <c r="H48" s="61"/>
    </row>
    <row r="49" spans="1:10" ht="16.5" customHeight="1" x14ac:dyDescent="0.25">
      <c r="A49" s="123" t="s">
        <v>105</v>
      </c>
      <c r="B49" s="79"/>
      <c r="C49" s="79"/>
      <c r="D49" s="37">
        <v>434000</v>
      </c>
      <c r="E49" s="60">
        <f>D49</f>
        <v>434000</v>
      </c>
      <c r="F49" s="3"/>
      <c r="G49" s="34">
        <f>D49</f>
        <v>434000</v>
      </c>
      <c r="H49" s="67">
        <f>E49+F49</f>
        <v>434000</v>
      </c>
      <c r="I49" s="76">
        <f>H49-D49</f>
        <v>0</v>
      </c>
      <c r="J49" s="76"/>
    </row>
    <row r="50" spans="1:10" ht="14.25" customHeight="1" x14ac:dyDescent="0.25">
      <c r="A50" s="117" t="s">
        <v>8</v>
      </c>
      <c r="B50" s="126"/>
      <c r="C50" s="79"/>
      <c r="D50" s="37">
        <v>0</v>
      </c>
      <c r="E50" s="60">
        <f t="shared" ref="E50:E55" si="7">D50*91.91%</f>
        <v>0</v>
      </c>
      <c r="F50" s="49">
        <f t="shared" ref="F50:F55" si="8">D50*8.09%</f>
        <v>0</v>
      </c>
      <c r="G50" s="34">
        <f t="shared" ref="G50:G52" si="9">D50</f>
        <v>0</v>
      </c>
      <c r="H50" s="67">
        <f t="shared" ref="H50:H52" si="10">E50+F50</f>
        <v>0</v>
      </c>
      <c r="I50" s="76"/>
      <c r="J50" s="76"/>
    </row>
    <row r="51" spans="1:10" x14ac:dyDescent="0.25">
      <c r="A51" s="79" t="s">
        <v>131</v>
      </c>
      <c r="B51" s="79"/>
      <c r="C51" s="79"/>
      <c r="D51" s="37">
        <v>45000</v>
      </c>
      <c r="E51" s="60">
        <f>D51</f>
        <v>45000</v>
      </c>
      <c r="F51" s="49">
        <v>0</v>
      </c>
      <c r="G51" s="34">
        <f t="shared" si="9"/>
        <v>45000</v>
      </c>
      <c r="H51" s="67">
        <f t="shared" si="10"/>
        <v>45000</v>
      </c>
      <c r="I51" s="76"/>
      <c r="J51" s="76"/>
    </row>
    <row r="52" spans="1:10" x14ac:dyDescent="0.25">
      <c r="A52" s="119" t="s">
        <v>134</v>
      </c>
      <c r="B52" s="79"/>
      <c r="C52" s="79"/>
      <c r="D52" s="37">
        <v>0</v>
      </c>
      <c r="E52" s="60">
        <f t="shared" ref="E52" si="11">D52*91.91%</f>
        <v>0</v>
      </c>
      <c r="F52" s="49">
        <f t="shared" ref="F52" si="12">D52*8.09%</f>
        <v>0</v>
      </c>
      <c r="G52" s="34">
        <f t="shared" si="9"/>
        <v>0</v>
      </c>
      <c r="H52" s="67">
        <f t="shared" si="10"/>
        <v>0</v>
      </c>
      <c r="I52" s="76"/>
      <c r="J52" s="76"/>
    </row>
    <row r="53" spans="1:10" x14ac:dyDescent="0.25">
      <c r="A53" s="119" t="s">
        <v>9</v>
      </c>
      <c r="B53" s="79" t="s">
        <v>109</v>
      </c>
      <c r="C53" s="79"/>
      <c r="D53" s="37">
        <v>173191</v>
      </c>
      <c r="E53" s="60">
        <f>D53*91.91%</f>
        <v>159179.84809999997</v>
      </c>
      <c r="F53" s="49">
        <f t="shared" si="8"/>
        <v>14011.151900000001</v>
      </c>
      <c r="G53" s="34">
        <f t="shared" ref="G53:G65" si="13">D53</f>
        <v>173191</v>
      </c>
      <c r="H53" s="67">
        <f>E53+F53</f>
        <v>173190.99999999997</v>
      </c>
      <c r="I53" s="76">
        <f t="shared" ref="I53:I65" si="14">H53-D53</f>
        <v>0</v>
      </c>
      <c r="J53" s="76">
        <f t="shared" ref="J53:J65" si="15">G53-D53</f>
        <v>0</v>
      </c>
    </row>
    <row r="54" spans="1:10" x14ac:dyDescent="0.25">
      <c r="A54" s="119" t="s">
        <v>11</v>
      </c>
      <c r="B54" s="101"/>
      <c r="C54" s="79"/>
      <c r="D54" s="37">
        <v>515749.86</v>
      </c>
      <c r="E54" s="60">
        <f t="shared" si="7"/>
        <v>474025.69632599992</v>
      </c>
      <c r="F54" s="49">
        <f t="shared" si="8"/>
        <v>41724.163673999996</v>
      </c>
      <c r="G54" s="34">
        <f t="shared" si="13"/>
        <v>515749.86</v>
      </c>
      <c r="H54" s="67">
        <f t="shared" ref="H54:H65" si="16">E54+F54</f>
        <v>515749.85999999993</v>
      </c>
      <c r="I54" s="76">
        <f t="shared" si="14"/>
        <v>0</v>
      </c>
      <c r="J54" s="76">
        <f t="shared" si="15"/>
        <v>0</v>
      </c>
    </row>
    <row r="55" spans="1:10" x14ac:dyDescent="0.25">
      <c r="A55" s="120" t="s">
        <v>10</v>
      </c>
      <c r="B55" s="101"/>
      <c r="C55" s="101"/>
      <c r="D55" s="37">
        <v>1425373.94</v>
      </c>
      <c r="E55" s="60">
        <f t="shared" si="7"/>
        <v>1310061.1882539999</v>
      </c>
      <c r="F55" s="49">
        <f t="shared" si="8"/>
        <v>115312.75174599999</v>
      </c>
      <c r="G55" s="34">
        <f t="shared" si="13"/>
        <v>1425373.94</v>
      </c>
      <c r="H55" s="67">
        <f t="shared" si="16"/>
        <v>1425373.94</v>
      </c>
      <c r="I55" s="76">
        <f t="shared" si="14"/>
        <v>0</v>
      </c>
      <c r="J55" s="76">
        <f t="shared" si="15"/>
        <v>0</v>
      </c>
    </row>
    <row r="56" spans="1:10" x14ac:dyDescent="0.25">
      <c r="A56" s="120" t="s">
        <v>10</v>
      </c>
      <c r="B56" s="140"/>
      <c r="C56" s="152"/>
      <c r="D56" s="37">
        <v>1237365.1000000001</v>
      </c>
      <c r="E56" s="60">
        <f>D56</f>
        <v>1237365.1000000001</v>
      </c>
      <c r="F56" s="49">
        <v>0</v>
      </c>
      <c r="G56" s="34">
        <f t="shared" si="13"/>
        <v>1237365.1000000001</v>
      </c>
      <c r="H56" s="67">
        <f t="shared" si="16"/>
        <v>1237365.1000000001</v>
      </c>
      <c r="I56" s="76"/>
      <c r="J56" s="76"/>
    </row>
    <row r="57" spans="1:10" x14ac:dyDescent="0.25">
      <c r="A57" s="127" t="s">
        <v>125</v>
      </c>
      <c r="B57" s="141"/>
      <c r="C57" s="142"/>
      <c r="D57" s="37">
        <v>63300</v>
      </c>
      <c r="E57" s="60">
        <f t="shared" ref="E57:E58" si="17">D57</f>
        <v>63300</v>
      </c>
      <c r="F57" s="49"/>
      <c r="G57" s="34">
        <f t="shared" si="13"/>
        <v>63300</v>
      </c>
      <c r="H57" s="67">
        <f t="shared" si="16"/>
        <v>63300</v>
      </c>
      <c r="I57" s="76"/>
      <c r="J57" s="76">
        <f t="shared" si="15"/>
        <v>0</v>
      </c>
    </row>
    <row r="58" spans="1:10" x14ac:dyDescent="0.25">
      <c r="A58" s="151" t="s">
        <v>120</v>
      </c>
      <c r="B58" s="141"/>
      <c r="C58" s="142"/>
      <c r="D58" s="37">
        <v>237000</v>
      </c>
      <c r="E58" s="60">
        <f t="shared" si="17"/>
        <v>237000</v>
      </c>
      <c r="F58" s="49"/>
      <c r="G58" s="34">
        <f t="shared" si="13"/>
        <v>237000</v>
      </c>
      <c r="H58" s="67">
        <f t="shared" si="16"/>
        <v>237000</v>
      </c>
      <c r="I58" s="76"/>
      <c r="J58" s="76"/>
    </row>
    <row r="59" spans="1:10" x14ac:dyDescent="0.25">
      <c r="A59" s="153" t="s">
        <v>132</v>
      </c>
      <c r="B59" s="128"/>
      <c r="C59" s="129"/>
      <c r="D59" s="37">
        <v>85000</v>
      </c>
      <c r="E59" s="60">
        <f t="shared" ref="E59" si="18">D59*91.91%</f>
        <v>78123.5</v>
      </c>
      <c r="F59" s="49">
        <f t="shared" ref="F59" si="19">D59*8.09%</f>
        <v>6876.5</v>
      </c>
      <c r="G59" s="34">
        <f t="shared" si="13"/>
        <v>85000</v>
      </c>
      <c r="H59" s="67">
        <f t="shared" si="16"/>
        <v>85000</v>
      </c>
      <c r="I59" s="76">
        <f t="shared" si="14"/>
        <v>0</v>
      </c>
      <c r="J59" s="76">
        <f t="shared" si="15"/>
        <v>0</v>
      </c>
    </row>
    <row r="60" spans="1:10" ht="36.75" customHeight="1" x14ac:dyDescent="0.25">
      <c r="A60" s="187" t="s">
        <v>140</v>
      </c>
      <c r="B60" s="182"/>
      <c r="C60" s="183"/>
      <c r="D60" s="37">
        <v>278000</v>
      </c>
      <c r="E60" s="60">
        <f>D60</f>
        <v>278000</v>
      </c>
      <c r="F60" s="49"/>
      <c r="G60" s="34">
        <f t="shared" si="13"/>
        <v>278000</v>
      </c>
      <c r="H60" s="67"/>
      <c r="I60" s="76"/>
      <c r="J60" s="76"/>
    </row>
    <row r="61" spans="1:10" ht="17.25" customHeight="1" x14ac:dyDescent="0.25">
      <c r="A61" s="184" t="s">
        <v>130</v>
      </c>
      <c r="B61" s="185"/>
      <c r="C61" s="186"/>
      <c r="D61" s="37">
        <v>152940</v>
      </c>
      <c r="E61" s="60">
        <f t="shared" ref="E61:E63" si="20">D61</f>
        <v>152940</v>
      </c>
      <c r="F61" s="49"/>
      <c r="G61" s="34">
        <f t="shared" si="13"/>
        <v>152940</v>
      </c>
      <c r="H61" s="67">
        <f t="shared" si="16"/>
        <v>152940</v>
      </c>
      <c r="I61" s="76"/>
      <c r="J61" s="76">
        <f t="shared" si="15"/>
        <v>0</v>
      </c>
    </row>
    <row r="62" spans="1:10" ht="27" customHeight="1" x14ac:dyDescent="0.25">
      <c r="A62" s="187" t="s">
        <v>129</v>
      </c>
      <c r="B62" s="182"/>
      <c r="C62" s="183"/>
      <c r="D62" s="37">
        <v>65000</v>
      </c>
      <c r="E62" s="60">
        <f t="shared" si="20"/>
        <v>65000</v>
      </c>
      <c r="F62" s="49"/>
      <c r="G62" s="34">
        <f t="shared" si="13"/>
        <v>65000</v>
      </c>
      <c r="H62" s="67">
        <f t="shared" si="16"/>
        <v>65000</v>
      </c>
      <c r="I62" s="76"/>
      <c r="J62" s="76">
        <f t="shared" si="15"/>
        <v>0</v>
      </c>
    </row>
    <row r="63" spans="1:10" ht="19.5" customHeight="1" x14ac:dyDescent="0.25">
      <c r="A63" s="187" t="s">
        <v>129</v>
      </c>
      <c r="B63" s="182"/>
      <c r="C63" s="183"/>
      <c r="D63" s="37">
        <v>41000</v>
      </c>
      <c r="E63" s="60">
        <f t="shared" si="20"/>
        <v>41000</v>
      </c>
      <c r="F63" s="49"/>
      <c r="G63" s="34">
        <f t="shared" si="13"/>
        <v>41000</v>
      </c>
      <c r="H63" s="67">
        <f t="shared" si="16"/>
        <v>41000</v>
      </c>
      <c r="I63" s="76"/>
      <c r="J63" s="76">
        <f t="shared" si="15"/>
        <v>0</v>
      </c>
    </row>
    <row r="64" spans="1:10" ht="14.25" customHeight="1" x14ac:dyDescent="0.25">
      <c r="A64" s="79" t="s">
        <v>90</v>
      </c>
      <c r="B64" s="124" t="s">
        <v>126</v>
      </c>
      <c r="C64" s="139"/>
      <c r="D64" s="37">
        <v>103395</v>
      </c>
      <c r="E64" s="60">
        <f t="shared" ref="E64:E65" si="21">D64</f>
        <v>103395</v>
      </c>
      <c r="F64" s="49"/>
      <c r="G64" s="34">
        <f t="shared" si="13"/>
        <v>103395</v>
      </c>
      <c r="H64" s="67">
        <f t="shared" si="16"/>
        <v>103395</v>
      </c>
      <c r="I64" s="76">
        <f t="shared" si="14"/>
        <v>0</v>
      </c>
      <c r="J64" s="76">
        <f t="shared" si="15"/>
        <v>0</v>
      </c>
    </row>
    <row r="65" spans="1:10" ht="13.5" customHeight="1" x14ac:dyDescent="0.25">
      <c r="A65" s="181"/>
      <c r="B65" s="182"/>
      <c r="C65" s="183"/>
      <c r="D65" s="37"/>
      <c r="E65" s="60">
        <f t="shared" si="21"/>
        <v>0</v>
      </c>
      <c r="F65" s="49"/>
      <c r="G65" s="34">
        <f t="shared" si="13"/>
        <v>0</v>
      </c>
      <c r="H65" s="67">
        <f t="shared" si="16"/>
        <v>0</v>
      </c>
      <c r="I65" s="76">
        <f t="shared" si="14"/>
        <v>0</v>
      </c>
      <c r="J65" s="76">
        <f t="shared" si="15"/>
        <v>0</v>
      </c>
    </row>
    <row r="66" spans="1:10" x14ac:dyDescent="0.25">
      <c r="A66" s="118" t="s">
        <v>12</v>
      </c>
      <c r="B66" s="122"/>
      <c r="C66" s="122"/>
      <c r="D66" s="33">
        <f>SUM(D49:D65)</f>
        <v>4856314.9000000004</v>
      </c>
      <c r="E66" s="33">
        <f>SUM(E49:E65)</f>
        <v>4678390.33268</v>
      </c>
      <c r="F66" s="33">
        <f>SUM(F49:F65)</f>
        <v>177924.56731999997</v>
      </c>
      <c r="G66" s="34">
        <f>E66+F66</f>
        <v>4856314.9000000004</v>
      </c>
      <c r="H66" s="61" t="str">
        <f>IF(D66=G66, "", "Error")</f>
        <v/>
      </c>
      <c r="I66" s="76">
        <f>D66-G66</f>
        <v>0</v>
      </c>
    </row>
    <row r="67" spans="1:10" hidden="1" x14ac:dyDescent="0.25">
      <c r="A67" s="79"/>
      <c r="B67" s="79"/>
      <c r="C67" s="79"/>
      <c r="D67" s="104"/>
      <c r="E67" s="39"/>
      <c r="F67" s="3"/>
      <c r="H67" s="61"/>
    </row>
    <row r="68" spans="1:10" hidden="1" x14ac:dyDescent="0.25">
      <c r="A68" s="79"/>
      <c r="B68" s="79"/>
      <c r="C68" s="79"/>
      <c r="D68" s="104"/>
      <c r="E68" s="38"/>
      <c r="F68" s="3"/>
      <c r="H68" s="61"/>
    </row>
    <row r="69" spans="1:10" hidden="1" x14ac:dyDescent="0.25">
      <c r="A69" s="79"/>
      <c r="B69" s="79"/>
      <c r="C69" s="79"/>
      <c r="D69" s="104"/>
      <c r="E69" s="38"/>
      <c r="F69" s="3"/>
      <c r="H69" s="61"/>
    </row>
    <row r="70" spans="1:10" x14ac:dyDescent="0.25">
      <c r="A70" s="120" t="s">
        <v>122</v>
      </c>
      <c r="B70" s="101"/>
      <c r="C70" s="79"/>
      <c r="D70" s="37">
        <v>139000</v>
      </c>
      <c r="E70" s="60">
        <f>D70*91.91%</f>
        <v>127754.9</v>
      </c>
      <c r="F70" s="49">
        <f>D70*8.09%</f>
        <v>11245.1</v>
      </c>
      <c r="G70" s="66"/>
      <c r="H70" s="61"/>
    </row>
    <row r="71" spans="1:10" x14ac:dyDescent="0.25">
      <c r="A71" s="120" t="s">
        <v>122</v>
      </c>
      <c r="B71" s="140"/>
      <c r="C71" s="125"/>
      <c r="D71" s="37">
        <v>134050</v>
      </c>
      <c r="E71" s="60">
        <f>D71*91.91%</f>
        <v>123205.355</v>
      </c>
      <c r="F71" s="49">
        <f>D71*8.09%</f>
        <v>10844.645</v>
      </c>
      <c r="G71" s="66"/>
      <c r="H71" s="61"/>
    </row>
    <row r="72" spans="1:10" x14ac:dyDescent="0.25">
      <c r="A72" s="101" t="s">
        <v>121</v>
      </c>
      <c r="B72" s="140"/>
      <c r="C72" s="125"/>
      <c r="D72" s="37">
        <v>112800</v>
      </c>
      <c r="E72" s="60">
        <f>D72</f>
        <v>112800</v>
      </c>
      <c r="F72" s="49">
        <v>0</v>
      </c>
      <c r="G72" s="66"/>
      <c r="H72" s="61"/>
    </row>
    <row r="73" spans="1:10" ht="13.5" customHeight="1" x14ac:dyDescent="0.25">
      <c r="A73" s="118" t="s">
        <v>16</v>
      </c>
      <c r="B73" s="118"/>
      <c r="C73" s="118"/>
      <c r="D73" s="33">
        <f>SUM(D70:D72)</f>
        <v>385850</v>
      </c>
      <c r="E73" s="33">
        <f>SUM(E70:E72)</f>
        <v>363760.255</v>
      </c>
      <c r="F73" s="33">
        <f>SUM(F70:F72)</f>
        <v>22089.745000000003</v>
      </c>
      <c r="G73" s="34">
        <f>E73+F73</f>
        <v>385850</v>
      </c>
      <c r="H73" s="61" t="str">
        <f>IF(D73=G73, "", "Error")</f>
        <v/>
      </c>
      <c r="J73" s="34"/>
    </row>
    <row r="74" spans="1:10" hidden="1" x14ac:dyDescent="0.25">
      <c r="A74" s="79"/>
      <c r="B74" s="79"/>
      <c r="C74" s="79"/>
      <c r="D74" s="104"/>
      <c r="E74" s="39"/>
      <c r="F74" s="3"/>
      <c r="H74" s="61"/>
    </row>
    <row r="75" spans="1:10" hidden="1" x14ac:dyDescent="0.25">
      <c r="A75" s="79"/>
      <c r="B75" s="79"/>
      <c r="C75" s="79"/>
      <c r="D75" s="104"/>
      <c r="E75" s="38"/>
      <c r="F75" s="3"/>
      <c r="H75" s="61"/>
    </row>
    <row r="76" spans="1:10" x14ac:dyDescent="0.25">
      <c r="A76" s="119" t="s">
        <v>13</v>
      </c>
      <c r="B76" s="79"/>
      <c r="C76" s="79"/>
      <c r="D76" s="104"/>
      <c r="E76" s="38"/>
      <c r="F76" s="3"/>
      <c r="H76" s="61"/>
    </row>
    <row r="77" spans="1:10" ht="14.25" customHeight="1" x14ac:dyDescent="0.25">
      <c r="A77" s="119" t="s">
        <v>14</v>
      </c>
      <c r="B77" s="79" t="s">
        <v>127</v>
      </c>
      <c r="C77" s="79"/>
      <c r="D77" s="37">
        <v>285700</v>
      </c>
      <c r="E77" s="60">
        <f>D77*91.91%</f>
        <v>262586.87</v>
      </c>
      <c r="F77" s="49">
        <f>D77*8.09%</f>
        <v>23113.13</v>
      </c>
      <c r="G77" t="s">
        <v>112</v>
      </c>
      <c r="H77" s="61"/>
    </row>
    <row r="78" spans="1:10" x14ac:dyDescent="0.25">
      <c r="A78" s="119" t="s">
        <v>80</v>
      </c>
      <c r="B78" s="79"/>
      <c r="C78" s="79"/>
      <c r="D78" s="37">
        <v>45000</v>
      </c>
      <c r="E78" s="60">
        <f>D78*91.91%</f>
        <v>41359.499999999993</v>
      </c>
      <c r="F78" s="49">
        <f>D78*8.09%</f>
        <v>3640.5</v>
      </c>
      <c r="H78" s="61"/>
      <c r="J78" s="37"/>
    </row>
    <row r="79" spans="1:10" x14ac:dyDescent="0.25">
      <c r="A79" s="119"/>
      <c r="B79" s="79"/>
      <c r="C79" s="79"/>
      <c r="D79" s="104"/>
      <c r="E79" s="60">
        <f>D79*91.91%</f>
        <v>0</v>
      </c>
      <c r="F79" s="49">
        <f>D79*8.09%</f>
        <v>0</v>
      </c>
      <c r="H79" s="61"/>
      <c r="J79" s="34"/>
    </row>
    <row r="80" spans="1:10" x14ac:dyDescent="0.25">
      <c r="A80" s="118"/>
      <c r="B80" s="118"/>
      <c r="C80" s="118"/>
      <c r="D80" s="33">
        <f>SUM(D77:D79)</f>
        <v>330700</v>
      </c>
      <c r="E80" s="33">
        <f>SUM(E77:E79)</f>
        <v>303946.37</v>
      </c>
      <c r="F80" s="33">
        <f>SUM(F77:F79)</f>
        <v>26753.63</v>
      </c>
      <c r="G80" s="34">
        <f>E80+F80</f>
        <v>330700</v>
      </c>
      <c r="H80" s="61" t="str">
        <f>IF(D80=G80, "", "Error")</f>
        <v/>
      </c>
      <c r="J80" s="34"/>
    </row>
    <row r="81" spans="1:9" ht="14.25" customHeight="1" x14ac:dyDescent="0.25">
      <c r="A81" s="119" t="s">
        <v>73</v>
      </c>
      <c r="B81" s="79"/>
      <c r="C81" s="79"/>
      <c r="D81" s="37"/>
      <c r="E81" s="40"/>
      <c r="F81" s="3"/>
      <c r="H81" s="61"/>
    </row>
    <row r="82" spans="1:9" x14ac:dyDescent="0.25">
      <c r="A82" s="119" t="s">
        <v>74</v>
      </c>
      <c r="B82" s="79"/>
      <c r="C82" s="79"/>
      <c r="D82" s="37">
        <v>180218.02</v>
      </c>
      <c r="E82" s="60">
        <f>D82*91.91%</f>
        <v>165638.38218199997</v>
      </c>
      <c r="F82" s="49">
        <f>D82*8.09%</f>
        <v>14579.637817999999</v>
      </c>
      <c r="H82" s="61"/>
    </row>
    <row r="83" spans="1:9" x14ac:dyDescent="0.25">
      <c r="A83" s="119" t="s">
        <v>75</v>
      </c>
      <c r="B83" s="79"/>
      <c r="C83" s="130"/>
      <c r="D83" s="37">
        <v>69000</v>
      </c>
      <c r="E83" s="60">
        <f>D83*91.91%</f>
        <v>63417.899999999994</v>
      </c>
      <c r="F83" s="49">
        <f>D83*8.09%</f>
        <v>5582.1</v>
      </c>
      <c r="H83" s="61"/>
    </row>
    <row r="84" spans="1:9" x14ac:dyDescent="0.25">
      <c r="A84" s="118" t="s">
        <v>15</v>
      </c>
      <c r="B84" s="118"/>
      <c r="C84" s="118"/>
      <c r="D84" s="64">
        <f>SUM(D82:D83)</f>
        <v>249218.02</v>
      </c>
      <c r="E84" s="58">
        <f t="shared" ref="E84:F84" si="22">SUM(E82:E83)</f>
        <v>229056.28218199997</v>
      </c>
      <c r="F84" s="58">
        <f t="shared" si="22"/>
        <v>20161.737818000001</v>
      </c>
      <c r="G84" s="34">
        <f>E84+F84</f>
        <v>249218.01999999996</v>
      </c>
      <c r="H84" s="61" t="str">
        <f>IF(D84=G84, "", "Error")</f>
        <v/>
      </c>
    </row>
    <row r="85" spans="1:9" x14ac:dyDescent="0.25">
      <c r="A85" s="79"/>
      <c r="B85" s="79"/>
      <c r="C85" s="79"/>
      <c r="D85" s="79"/>
      <c r="E85" s="6"/>
      <c r="F85" s="3"/>
      <c r="H85" s="61"/>
    </row>
    <row r="86" spans="1:9" x14ac:dyDescent="0.25">
      <c r="A86" s="131" t="s">
        <v>102</v>
      </c>
      <c r="B86" s="131"/>
      <c r="C86" s="144"/>
      <c r="D86" s="145"/>
      <c r="E86" s="143">
        <f>D86*91.91%</f>
        <v>0</v>
      </c>
      <c r="F86" s="51">
        <f>D86*8.09%</f>
        <v>0</v>
      </c>
      <c r="G86" s="34">
        <f>E86+F86</f>
        <v>0</v>
      </c>
      <c r="H86" s="61" t="str">
        <f>IF(D86=G86, "", "Error")</f>
        <v/>
      </c>
    </row>
    <row r="87" spans="1:9" ht="15.75" thickBot="1" x14ac:dyDescent="0.3">
      <c r="A87" s="132"/>
      <c r="B87" s="78"/>
      <c r="C87" s="78"/>
      <c r="D87" s="146"/>
      <c r="E87" s="147"/>
      <c r="F87" s="147"/>
      <c r="G87" s="63"/>
      <c r="H87" s="61"/>
    </row>
    <row r="88" spans="1:9" ht="15.75" thickBot="1" x14ac:dyDescent="0.3">
      <c r="A88" s="133" t="s">
        <v>76</v>
      </c>
      <c r="B88" s="134"/>
      <c r="C88" s="135"/>
      <c r="D88" s="80">
        <f>SUM(D86+D84+D80+D73+D66+D47+D32+D27+D42)</f>
        <v>8819682.2200000007</v>
      </c>
      <c r="E88" s="59">
        <f>SUM(E86+E84+E80+E73+E66+E47+E32+E27+E42)</f>
        <v>8330246.7564919991</v>
      </c>
      <c r="F88" s="148">
        <f>SUM(F27+F42+F47+F66+F73+F80+F84+F86)</f>
        <v>489435.46350800002</v>
      </c>
      <c r="G88" s="34">
        <f>E88+F88</f>
        <v>8819682.2199999988</v>
      </c>
      <c r="H88" s="61" t="str">
        <f>IF(D88=G88, "", "Error")</f>
        <v/>
      </c>
      <c r="I88" s="76">
        <f>D88-G88</f>
        <v>0</v>
      </c>
    </row>
    <row r="89" spans="1:9" ht="15.75" thickBot="1" x14ac:dyDescent="0.3">
      <c r="A89" s="78"/>
      <c r="B89" s="78"/>
      <c r="C89" s="78"/>
      <c r="D89" s="78"/>
      <c r="E89" s="34"/>
    </row>
    <row r="90" spans="1:9" ht="15.75" thickBot="1" x14ac:dyDescent="0.3">
      <c r="A90" s="136" t="s">
        <v>108</v>
      </c>
      <c r="B90" s="137"/>
      <c r="C90" s="137"/>
      <c r="D90" s="78"/>
      <c r="E90" s="34"/>
    </row>
    <row r="91" spans="1:9" x14ac:dyDescent="0.25">
      <c r="A91" s="1"/>
      <c r="C91" s="54"/>
      <c r="D91" s="78"/>
      <c r="E91" s="34"/>
    </row>
    <row r="92" spans="1:9" ht="15.75" thickBot="1" x14ac:dyDescent="0.3">
      <c r="A92" s="1"/>
      <c r="C92" s="54"/>
      <c r="D92" s="78"/>
      <c r="E92" s="34"/>
    </row>
    <row r="93" spans="1:9" ht="15.75" thickBot="1" x14ac:dyDescent="0.3">
      <c r="A93" s="56" t="s">
        <v>25</v>
      </c>
      <c r="B93" s="57"/>
      <c r="C93" s="55">
        <f>SUM(C91:C92)</f>
        <v>0</v>
      </c>
      <c r="E93" s="34"/>
    </row>
    <row r="94" spans="1:9" x14ac:dyDescent="0.25">
      <c r="E94" s="34"/>
    </row>
    <row r="95" spans="1:9" x14ac:dyDescent="0.25">
      <c r="E95" s="52"/>
    </row>
    <row r="96" spans="1:9" x14ac:dyDescent="0.25">
      <c r="A96" s="176" t="s">
        <v>85</v>
      </c>
      <c r="B96" s="177"/>
      <c r="C96" s="177"/>
      <c r="D96" s="177"/>
      <c r="E96" s="73" t="s">
        <v>19</v>
      </c>
      <c r="F96" s="74" t="s">
        <v>93</v>
      </c>
    </row>
    <row r="97" spans="1:9" ht="17.25" x14ac:dyDescent="0.25">
      <c r="A97" s="173" t="s">
        <v>135</v>
      </c>
      <c r="B97" s="174"/>
      <c r="C97" s="175"/>
      <c r="D97" s="37">
        <v>4000000</v>
      </c>
      <c r="E97" s="60">
        <f t="shared" ref="E97:E100" si="23">D97*91.91%</f>
        <v>3676399.9999999995</v>
      </c>
      <c r="F97" s="49">
        <f t="shared" ref="F97:F100" si="24">D97*8.09%</f>
        <v>323600</v>
      </c>
    </row>
    <row r="98" spans="1:9" x14ac:dyDescent="0.25">
      <c r="A98" s="178" t="s">
        <v>136</v>
      </c>
      <c r="B98" s="179"/>
      <c r="C98" s="180"/>
      <c r="D98" s="37">
        <v>891000</v>
      </c>
      <c r="E98" s="60">
        <f t="shared" si="23"/>
        <v>818918.1</v>
      </c>
      <c r="F98" s="49">
        <f t="shared" si="24"/>
        <v>72081.899999999994</v>
      </c>
    </row>
    <row r="99" spans="1:9" x14ac:dyDescent="0.25">
      <c r="A99" s="212" t="s">
        <v>138</v>
      </c>
      <c r="B99" s="155"/>
      <c r="C99" s="156"/>
      <c r="D99" s="37">
        <v>880000</v>
      </c>
      <c r="E99" s="60">
        <f t="shared" si="23"/>
        <v>808807.99999999988</v>
      </c>
      <c r="F99" s="49">
        <f t="shared" si="24"/>
        <v>71192</v>
      </c>
    </row>
    <row r="100" spans="1:9" ht="14.25" customHeight="1" x14ac:dyDescent="0.25">
      <c r="A100" s="178" t="s">
        <v>137</v>
      </c>
      <c r="B100" s="179"/>
      <c r="C100" s="180"/>
      <c r="D100" s="37">
        <v>713614</v>
      </c>
      <c r="E100" s="60">
        <f t="shared" si="23"/>
        <v>655882.6274</v>
      </c>
      <c r="F100" s="49">
        <f t="shared" si="24"/>
        <v>57731.372600000002</v>
      </c>
    </row>
    <row r="101" spans="1:9" x14ac:dyDescent="0.25">
      <c r="A101" s="170" t="s">
        <v>25</v>
      </c>
      <c r="B101" s="171"/>
      <c r="C101" s="172"/>
      <c r="D101" s="72">
        <f>SUM(D97:D100)</f>
        <v>6484614</v>
      </c>
      <c r="E101" s="72">
        <f>SUM(E97:E100)</f>
        <v>5960008.7273999993</v>
      </c>
      <c r="F101" s="72">
        <f>SUM(F97:F100)</f>
        <v>524605.27260000003</v>
      </c>
      <c r="H101" s="34">
        <f>E101+F101</f>
        <v>6484613.9999999991</v>
      </c>
      <c r="I101" s="61" t="str">
        <f>IF(D101=H101, "", "Error")</f>
        <v/>
      </c>
    </row>
    <row r="102" spans="1:9" x14ac:dyDescent="0.25">
      <c r="D102" s="34"/>
    </row>
    <row r="103" spans="1:9" x14ac:dyDescent="0.25">
      <c r="A103" s="213" t="s">
        <v>139</v>
      </c>
      <c r="B103" s="213"/>
      <c r="C103" s="213"/>
      <c r="D103" s="213"/>
      <c r="E103" s="213"/>
      <c r="F103" s="213"/>
    </row>
    <row r="104" spans="1:9" x14ac:dyDescent="0.25">
      <c r="A104" s="213"/>
      <c r="B104" s="213"/>
      <c r="C104" s="213"/>
      <c r="D104" s="213"/>
      <c r="E104" s="213"/>
      <c r="F104" s="213"/>
    </row>
    <row r="105" spans="1:9" x14ac:dyDescent="0.25">
      <c r="A105" s="213"/>
      <c r="B105" s="213"/>
      <c r="C105" s="213"/>
      <c r="D105" s="213"/>
      <c r="E105" s="213"/>
      <c r="F105" s="213"/>
    </row>
    <row r="106" spans="1:9" x14ac:dyDescent="0.25">
      <c r="A106" s="213"/>
      <c r="B106" s="213"/>
      <c r="C106" s="213"/>
      <c r="D106" s="213"/>
      <c r="E106" s="213"/>
      <c r="F106" s="213"/>
    </row>
    <row r="107" spans="1:9" ht="15.75" thickBot="1" x14ac:dyDescent="0.3">
      <c r="E107" s="34"/>
    </row>
    <row r="108" spans="1:9" ht="15.75" thickBot="1" x14ac:dyDescent="0.3">
      <c r="A108" s="28" t="s">
        <v>77</v>
      </c>
      <c r="B108" s="29">
        <f>D88</f>
        <v>8819682.2200000007</v>
      </c>
    </row>
    <row r="109" spans="1:9" ht="15.75" thickBot="1" x14ac:dyDescent="0.3">
      <c r="A109" s="30" t="s">
        <v>79</v>
      </c>
      <c r="B109" s="31">
        <f>D88-D86</f>
        <v>8819682.2200000007</v>
      </c>
    </row>
    <row r="110" spans="1:9" x14ac:dyDescent="0.25">
      <c r="D110" s="160"/>
      <c r="E110" s="160"/>
    </row>
    <row r="111" spans="1:9" x14ac:dyDescent="0.25">
      <c r="A111" s="9" t="s">
        <v>63</v>
      </c>
      <c r="B111" s="10"/>
      <c r="C111" s="11"/>
      <c r="D111" s="160"/>
      <c r="E111" s="160"/>
    </row>
    <row r="112" spans="1:9" x14ac:dyDescent="0.25">
      <c r="A112" s="12" t="s">
        <v>64</v>
      </c>
      <c r="B112" s="5">
        <v>14089108.26</v>
      </c>
      <c r="C112" s="13"/>
      <c r="D112" s="160"/>
      <c r="E112" s="160"/>
    </row>
    <row r="113" spans="1:7" x14ac:dyDescent="0.25">
      <c r="A113" s="14" t="s">
        <v>65</v>
      </c>
      <c r="B113" s="23">
        <f>PRORRATEO!G52</f>
        <v>8666282.7266246639</v>
      </c>
      <c r="C113" s="13" t="s">
        <v>66</v>
      </c>
      <c r="D113" s="160"/>
      <c r="E113" s="160"/>
    </row>
    <row r="114" spans="1:7" x14ac:dyDescent="0.25">
      <c r="A114" s="14" t="s">
        <v>87</v>
      </c>
      <c r="B114" s="75">
        <f>-B109</f>
        <v>-8819682.2200000007</v>
      </c>
      <c r="C114" s="11"/>
      <c r="D114" s="160"/>
      <c r="E114" s="160"/>
      <c r="G114" s="37"/>
    </row>
    <row r="115" spans="1:7" x14ac:dyDescent="0.25">
      <c r="A115" s="14" t="s">
        <v>86</v>
      </c>
      <c r="B115" s="75">
        <f>-D101</f>
        <v>-6484614</v>
      </c>
      <c r="C115" s="11"/>
      <c r="D115" s="160"/>
      <c r="E115" s="160"/>
      <c r="G115" s="43"/>
    </row>
    <row r="116" spans="1:7" x14ac:dyDescent="0.25">
      <c r="A116" s="14" t="s">
        <v>78</v>
      </c>
      <c r="B116" s="75">
        <f>-B122</f>
        <v>0</v>
      </c>
      <c r="C116" s="15"/>
    </row>
    <row r="117" spans="1:7" x14ac:dyDescent="0.25">
      <c r="A117" s="14" t="s">
        <v>91</v>
      </c>
      <c r="B117" s="24">
        <f>-C93</f>
        <v>0</v>
      </c>
      <c r="C117" s="15"/>
      <c r="E117" s="34"/>
    </row>
    <row r="118" spans="1:7" x14ac:dyDescent="0.25">
      <c r="A118" s="12" t="s">
        <v>67</v>
      </c>
      <c r="B118" s="16">
        <f>SUM(B112:B117)</f>
        <v>7451094.7666246649</v>
      </c>
      <c r="C118" s="62">
        <f>7273784-B125-B118</f>
        <v>-94616.226624664851</v>
      </c>
      <c r="D118" s="34"/>
    </row>
    <row r="119" spans="1:7" x14ac:dyDescent="0.25">
      <c r="A119" s="15"/>
      <c r="C119" s="11"/>
      <c r="D119" s="18"/>
    </row>
    <row r="120" spans="1:7" x14ac:dyDescent="0.25">
      <c r="C120" s="11"/>
      <c r="D120" s="34"/>
      <c r="E120" s="76"/>
    </row>
    <row r="121" spans="1:7" x14ac:dyDescent="0.25">
      <c r="A121" s="9" t="s">
        <v>68</v>
      </c>
      <c r="B121" s="86">
        <f>-82694.54</f>
        <v>-82694.539999999994</v>
      </c>
      <c r="C121" s="17"/>
      <c r="D121" s="76"/>
      <c r="E121" s="76"/>
      <c r="F121" s="76"/>
    </row>
    <row r="122" spans="1:7" ht="15" customHeight="1" x14ac:dyDescent="0.25">
      <c r="A122" s="12" t="s">
        <v>128</v>
      </c>
      <c r="B122" s="24">
        <v>0</v>
      </c>
      <c r="C122" s="17"/>
      <c r="D122" s="76"/>
      <c r="E122" s="81"/>
    </row>
    <row r="123" spans="1:7" x14ac:dyDescent="0.25">
      <c r="A123" s="12"/>
      <c r="B123" s="75"/>
      <c r="C123" s="17"/>
      <c r="E123" s="34"/>
    </row>
    <row r="124" spans="1:7" x14ac:dyDescent="0.25">
      <c r="A124" s="12"/>
      <c r="B124" s="75"/>
      <c r="C124" s="17"/>
      <c r="D124" s="138"/>
      <c r="E124" s="34"/>
    </row>
    <row r="125" spans="1:7" x14ac:dyDescent="0.25">
      <c r="A125" s="26" t="s">
        <v>25</v>
      </c>
      <c r="B125" s="27">
        <f>SUM(B121:B124)</f>
        <v>-82694.539999999994</v>
      </c>
      <c r="C125" s="17"/>
    </row>
    <row r="126" spans="1:7" x14ac:dyDescent="0.25">
      <c r="C126" s="18"/>
      <c r="D126" s="76"/>
    </row>
    <row r="127" spans="1:7" x14ac:dyDescent="0.25">
      <c r="B127" s="15"/>
      <c r="C127" s="11"/>
    </row>
    <row r="129" spans="2:14" x14ac:dyDescent="0.25">
      <c r="N129" s="6"/>
    </row>
    <row r="132" spans="2:14" x14ac:dyDescent="0.25">
      <c r="B132" s="159"/>
      <c r="C132" s="159"/>
      <c r="D132" s="159"/>
      <c r="E132" s="159"/>
    </row>
    <row r="133" spans="2:14" x14ac:dyDescent="0.25">
      <c r="B133" s="159"/>
      <c r="C133" s="159"/>
      <c r="D133" s="159"/>
      <c r="E133" s="159"/>
    </row>
    <row r="134" spans="2:14" x14ac:dyDescent="0.25">
      <c r="B134" s="159"/>
      <c r="C134" s="159"/>
      <c r="D134" s="159"/>
      <c r="E134" s="159"/>
    </row>
    <row r="135" spans="2:14" x14ac:dyDescent="0.25">
      <c r="B135" s="159"/>
      <c r="C135" s="159"/>
      <c r="D135" s="159"/>
      <c r="E135" s="159"/>
    </row>
    <row r="136" spans="2:14" x14ac:dyDescent="0.25">
      <c r="B136" s="159"/>
      <c r="C136" s="159"/>
      <c r="D136" s="159"/>
      <c r="E136" s="159"/>
    </row>
  </sheetData>
  <mergeCells count="15">
    <mergeCell ref="A60:C60"/>
    <mergeCell ref="B1:F1"/>
    <mergeCell ref="B132:E136"/>
    <mergeCell ref="D110:E115"/>
    <mergeCell ref="B14:D17"/>
    <mergeCell ref="A101:C101"/>
    <mergeCell ref="A97:C97"/>
    <mergeCell ref="A96:D96"/>
    <mergeCell ref="A100:C100"/>
    <mergeCell ref="A65:C65"/>
    <mergeCell ref="A61:C61"/>
    <mergeCell ref="A62:C62"/>
    <mergeCell ref="A63:C63"/>
    <mergeCell ref="A98:C98"/>
    <mergeCell ref="A103:F10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zoomScaleNormal="100" workbookViewId="0">
      <selection activeCell="K7" sqref="K7"/>
    </sheetView>
  </sheetViews>
  <sheetFormatPr baseColWidth="10" defaultColWidth="10.85546875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.42578125" bestFit="1" customWidth="1"/>
    <col min="8" max="8" width="11.140625" customWidth="1"/>
    <col min="9" max="9" width="6" customWidth="1"/>
    <col min="10" max="10" width="13.7109375" customWidth="1"/>
    <col min="11" max="11" width="13.28515625" customWidth="1"/>
    <col min="12" max="12" width="11.5703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  <col min="18" max="18" width="12" bestFit="1" customWidth="1"/>
  </cols>
  <sheetData>
    <row r="1" spans="1:16" ht="15" customHeight="1" x14ac:dyDescent="0.25">
      <c r="A1" s="199" t="str">
        <f>RESUMEN!C5</f>
        <v>VTO: 17/07</v>
      </c>
      <c r="B1" s="200"/>
      <c r="C1" s="200"/>
      <c r="D1" s="200"/>
      <c r="E1" s="200"/>
      <c r="F1" s="200"/>
      <c r="G1" s="200"/>
      <c r="H1" s="200"/>
      <c r="I1" s="200"/>
      <c r="J1" s="201"/>
      <c r="K1" s="90" t="s">
        <v>94</v>
      </c>
      <c r="L1" s="188">
        <f>RESUMEN!D88</f>
        <v>8819682.2200000007</v>
      </c>
      <c r="M1" s="189"/>
      <c r="N1" s="91"/>
      <c r="O1" s="50">
        <f>L1*8.09%</f>
        <v>713512.2915980001</v>
      </c>
    </row>
    <row r="2" spans="1:16" x14ac:dyDescent="0.25">
      <c r="A2" s="202"/>
      <c r="B2" s="203"/>
      <c r="C2" s="203"/>
      <c r="D2" s="203"/>
      <c r="E2" s="203"/>
      <c r="F2" s="203"/>
      <c r="G2" s="203"/>
      <c r="H2" s="203"/>
      <c r="I2" s="203"/>
      <c r="J2" s="204"/>
      <c r="K2" s="92" t="s">
        <v>95</v>
      </c>
      <c r="L2" s="4"/>
      <c r="M2" s="93">
        <f>8500000-812600</f>
        <v>7687400</v>
      </c>
      <c r="N2" s="94"/>
      <c r="O2" s="50">
        <f>O1-K7-553-50-86-8</f>
        <v>402392.0716400001</v>
      </c>
    </row>
    <row r="3" spans="1:16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92" t="s">
        <v>100</v>
      </c>
      <c r="L3" s="4"/>
      <c r="M3" s="95">
        <f>RESUMEN!D101</f>
        <v>6484614</v>
      </c>
      <c r="N3" s="96"/>
      <c r="O3" s="8"/>
    </row>
    <row r="4" spans="1:16" ht="19.5" customHeight="1" thickBot="1" x14ac:dyDescent="0.3">
      <c r="A4" s="205"/>
      <c r="B4" s="206"/>
      <c r="C4" s="206"/>
      <c r="D4" s="206"/>
      <c r="E4" s="206"/>
      <c r="F4" s="206"/>
      <c r="G4" s="206"/>
      <c r="H4" s="206"/>
      <c r="I4" s="206"/>
      <c r="J4" s="207"/>
      <c r="K4" s="97" t="s">
        <v>95</v>
      </c>
      <c r="L4" s="98"/>
      <c r="M4" s="99">
        <v>1742307</v>
      </c>
      <c r="N4" s="100"/>
      <c r="O4" s="50">
        <f>M3/3</f>
        <v>2161538</v>
      </c>
    </row>
    <row r="5" spans="1:16" ht="14.65" customHeight="1" x14ac:dyDescent="0.25">
      <c r="A5" s="192" t="s">
        <v>17</v>
      </c>
      <c r="B5" s="208" t="s">
        <v>18</v>
      </c>
      <c r="C5" s="192" t="s">
        <v>19</v>
      </c>
      <c r="D5" s="197" t="s">
        <v>20</v>
      </c>
      <c r="E5" s="192" t="s">
        <v>70</v>
      </c>
      <c r="F5" s="192" t="s">
        <v>21</v>
      </c>
      <c r="G5" s="192" t="s">
        <v>22</v>
      </c>
      <c r="H5" s="194" t="s">
        <v>23</v>
      </c>
      <c r="I5" s="197" t="s">
        <v>81</v>
      </c>
      <c r="J5" s="190" t="s">
        <v>24</v>
      </c>
      <c r="K5" s="190" t="s">
        <v>58</v>
      </c>
      <c r="L5" s="190" t="s">
        <v>114</v>
      </c>
      <c r="M5" s="190" t="s">
        <v>116</v>
      </c>
      <c r="N5" s="190" t="s">
        <v>115</v>
      </c>
    </row>
    <row r="6" spans="1:16" x14ac:dyDescent="0.25">
      <c r="A6" s="193"/>
      <c r="B6" s="209"/>
      <c r="C6" s="193"/>
      <c r="D6" s="210"/>
      <c r="E6" s="193"/>
      <c r="F6" s="193"/>
      <c r="G6" s="193"/>
      <c r="H6" s="195"/>
      <c r="I6" s="198"/>
      <c r="J6" s="196"/>
      <c r="K6" s="191"/>
      <c r="L6" s="196"/>
      <c r="M6" s="191"/>
      <c r="N6" s="191"/>
    </row>
    <row r="7" spans="1:16" x14ac:dyDescent="0.25">
      <c r="A7" s="3" t="s">
        <v>26</v>
      </c>
      <c r="B7" s="3"/>
      <c r="C7" s="3">
        <v>1</v>
      </c>
      <c r="D7" s="48" t="s">
        <v>27</v>
      </c>
      <c r="E7" s="3">
        <v>8.09</v>
      </c>
      <c r="F7" s="19">
        <v>310423.219958</v>
      </c>
      <c r="G7" s="154">
        <f>F7</f>
        <v>310423.219958</v>
      </c>
      <c r="H7" s="46">
        <f>F7-G7</f>
        <v>0</v>
      </c>
      <c r="I7" s="32">
        <v>16</v>
      </c>
      <c r="J7" s="19">
        <f>M$4*E7%</f>
        <v>140952.63630000001</v>
      </c>
      <c r="K7" s="19">
        <v>310423.219958</v>
      </c>
      <c r="L7" s="25"/>
      <c r="M7" s="2">
        <f>K7+J7+H7+L7</f>
        <v>451375.85625800001</v>
      </c>
      <c r="N7" s="5">
        <f>M7*6% + M7</f>
        <v>478458.40763348003</v>
      </c>
    </row>
    <row r="8" spans="1:16" x14ac:dyDescent="0.25">
      <c r="A8" s="3" t="s">
        <v>28</v>
      </c>
      <c r="B8" s="3"/>
      <c r="C8" s="3">
        <v>24</v>
      </c>
      <c r="D8" s="48" t="s">
        <v>29</v>
      </c>
      <c r="E8" s="3">
        <v>2.21</v>
      </c>
      <c r="F8" s="19">
        <v>167564.47683118255</v>
      </c>
      <c r="G8" s="154">
        <v>180000</v>
      </c>
      <c r="H8" s="46">
        <f t="shared" ref="H8:H51" si="0">F8-G8</f>
        <v>-12435.523168817454</v>
      </c>
      <c r="I8" s="32">
        <v>10</v>
      </c>
      <c r="J8" s="19">
        <f>M$4*E8%</f>
        <v>38504.984699999994</v>
      </c>
      <c r="K8" s="19">
        <f>M$2*E8 /100</f>
        <v>169891.54</v>
      </c>
      <c r="L8" s="88"/>
      <c r="M8" s="2">
        <f>K8+J8+H8+L8</f>
        <v>195961.00153118256</v>
      </c>
      <c r="N8" s="5">
        <f t="shared" ref="N8:N51" si="1">M8*6% + M8</f>
        <v>207718.66162305351</v>
      </c>
    </row>
    <row r="9" spans="1:16" x14ac:dyDescent="0.25">
      <c r="A9" s="3" t="s">
        <v>28</v>
      </c>
      <c r="B9" s="3"/>
      <c r="C9" s="3">
        <v>25</v>
      </c>
      <c r="D9" s="48" t="s">
        <v>30</v>
      </c>
      <c r="E9" s="3">
        <v>4.21</v>
      </c>
      <c r="F9" s="19">
        <v>323639.1428675967</v>
      </c>
      <c r="G9" s="105">
        <f>365151-G34</f>
        <v>323639.03999999998</v>
      </c>
      <c r="H9" s="46">
        <f t="shared" si="0"/>
        <v>0.10286759672453627</v>
      </c>
      <c r="I9" s="32">
        <v>9</v>
      </c>
      <c r="J9" s="19">
        <f t="shared" ref="J9:J51" si="2">M$4*E9%</f>
        <v>73351.1247</v>
      </c>
      <c r="K9" s="19">
        <f t="shared" ref="K9:K51" si="3">M$2*E9 /100</f>
        <v>323639.53999999998</v>
      </c>
      <c r="L9" s="88"/>
      <c r="M9" s="2">
        <f t="shared" ref="M9:M51" si="4">K9+J9+H9+L9</f>
        <v>396990.76756759669</v>
      </c>
      <c r="N9" s="5">
        <f t="shared" si="1"/>
        <v>420810.21362165251</v>
      </c>
    </row>
    <row r="10" spans="1:16" x14ac:dyDescent="0.25">
      <c r="A10" s="3" t="s">
        <v>31</v>
      </c>
      <c r="B10" s="3"/>
      <c r="C10" s="3">
        <v>26</v>
      </c>
      <c r="D10" s="48" t="s">
        <v>32</v>
      </c>
      <c r="E10" s="3">
        <v>2.84</v>
      </c>
      <c r="F10" s="19">
        <v>242122.16</v>
      </c>
      <c r="G10" s="154">
        <v>218322</v>
      </c>
      <c r="H10" s="46">
        <f t="shared" si="0"/>
        <v>23800.160000000003</v>
      </c>
      <c r="I10" s="32">
        <v>12</v>
      </c>
      <c r="J10" s="19">
        <f t="shared" si="2"/>
        <v>49481.518799999998</v>
      </c>
      <c r="K10" s="19">
        <f t="shared" si="3"/>
        <v>218322.16</v>
      </c>
      <c r="L10" s="88"/>
      <c r="M10" s="2">
        <f t="shared" si="4"/>
        <v>291603.83880000003</v>
      </c>
      <c r="N10" s="5">
        <f t="shared" si="1"/>
        <v>309100.069128</v>
      </c>
    </row>
    <row r="11" spans="1:16" x14ac:dyDescent="0.25">
      <c r="A11" s="3" t="s">
        <v>31</v>
      </c>
      <c r="B11" s="3"/>
      <c r="C11" s="3">
        <v>27</v>
      </c>
      <c r="D11" s="48" t="s">
        <v>33</v>
      </c>
      <c r="E11" s="3">
        <v>3.43</v>
      </c>
      <c r="F11" s="19">
        <v>263677.82</v>
      </c>
      <c r="G11" s="154">
        <f>F11</f>
        <v>263677.82</v>
      </c>
      <c r="H11" s="46">
        <f t="shared" si="0"/>
        <v>0</v>
      </c>
      <c r="I11" s="32">
        <v>12</v>
      </c>
      <c r="J11" s="19">
        <f t="shared" si="2"/>
        <v>59761.130100000009</v>
      </c>
      <c r="K11" s="19">
        <f t="shared" si="3"/>
        <v>263677.82</v>
      </c>
      <c r="L11" s="88"/>
      <c r="M11" s="2">
        <f t="shared" si="4"/>
        <v>323438.95010000002</v>
      </c>
      <c r="N11" s="5">
        <f t="shared" si="1"/>
        <v>342845.287106</v>
      </c>
      <c r="P11" s="34"/>
    </row>
    <row r="12" spans="1:16" x14ac:dyDescent="0.25">
      <c r="A12" s="3" t="s">
        <v>34</v>
      </c>
      <c r="B12" s="3"/>
      <c r="C12" s="3">
        <v>28</v>
      </c>
      <c r="D12" s="48" t="s">
        <v>83</v>
      </c>
      <c r="E12" s="3">
        <v>2.84</v>
      </c>
      <c r="F12" s="19">
        <v>218322.16</v>
      </c>
      <c r="G12" s="105">
        <f>F12</f>
        <v>218322.16</v>
      </c>
      <c r="H12" s="46">
        <f>F12-G12</f>
        <v>0</v>
      </c>
      <c r="I12" s="32">
        <v>9</v>
      </c>
      <c r="J12" s="19">
        <f t="shared" si="2"/>
        <v>49481.518799999998</v>
      </c>
      <c r="K12" s="19">
        <f t="shared" si="3"/>
        <v>218322.16</v>
      </c>
      <c r="L12" s="88"/>
      <c r="M12" s="2">
        <f t="shared" si="4"/>
        <v>267803.67879999999</v>
      </c>
      <c r="N12" s="5">
        <f t="shared" si="1"/>
        <v>283871.89952799998</v>
      </c>
    </row>
    <row r="13" spans="1:16" x14ac:dyDescent="0.25">
      <c r="A13" s="3" t="s">
        <v>34</v>
      </c>
      <c r="B13" s="3"/>
      <c r="C13" s="3">
        <v>29</v>
      </c>
      <c r="D13" s="48" t="s">
        <v>35</v>
      </c>
      <c r="E13" s="3">
        <v>3.43</v>
      </c>
      <c r="F13" s="19">
        <v>263677.63741924177</v>
      </c>
      <c r="G13" s="105">
        <f>309034-G50</f>
        <v>263678.33999999997</v>
      </c>
      <c r="H13" s="46">
        <f t="shared" si="0"/>
        <v>-0.7025807581958361</v>
      </c>
      <c r="I13" s="32">
        <v>8</v>
      </c>
      <c r="J13" s="19">
        <f t="shared" si="2"/>
        <v>59761.130100000009</v>
      </c>
      <c r="K13" s="19">
        <f t="shared" si="3"/>
        <v>263677.82</v>
      </c>
      <c r="L13" s="88"/>
      <c r="M13" s="2">
        <f t="shared" si="4"/>
        <v>323438.24751924182</v>
      </c>
      <c r="N13" s="5">
        <f t="shared" si="1"/>
        <v>342844.54237039632</v>
      </c>
    </row>
    <row r="14" spans="1:16" x14ac:dyDescent="0.25">
      <c r="A14" s="3" t="s">
        <v>36</v>
      </c>
      <c r="B14" s="3"/>
      <c r="C14" s="3">
        <v>30</v>
      </c>
      <c r="D14" s="48" t="s">
        <v>37</v>
      </c>
      <c r="E14" s="3">
        <v>2.84</v>
      </c>
      <c r="F14" s="19">
        <v>588506.98054666666</v>
      </c>
      <c r="G14" s="154">
        <v>218322</v>
      </c>
      <c r="H14" s="46">
        <f t="shared" si="0"/>
        <v>370184.98054666666</v>
      </c>
      <c r="I14" s="32">
        <v>27</v>
      </c>
      <c r="J14" s="19">
        <f t="shared" si="2"/>
        <v>49481.518799999998</v>
      </c>
      <c r="K14" s="19">
        <f t="shared" si="3"/>
        <v>218322.16</v>
      </c>
      <c r="L14" s="88"/>
      <c r="M14" s="2">
        <f t="shared" si="4"/>
        <v>637988.65934666665</v>
      </c>
      <c r="N14" s="5">
        <f t="shared" si="1"/>
        <v>676267.97890746663</v>
      </c>
    </row>
    <row r="15" spans="1:16" x14ac:dyDescent="0.25">
      <c r="A15" s="3" t="s">
        <v>36</v>
      </c>
      <c r="B15" s="3"/>
      <c r="C15" s="3">
        <v>31</v>
      </c>
      <c r="D15" s="48" t="s">
        <v>106</v>
      </c>
      <c r="E15" s="3">
        <v>3.43</v>
      </c>
      <c r="F15" s="19">
        <v>555227.8832563262</v>
      </c>
      <c r="G15" s="105">
        <f>636165-G35</f>
        <v>555228</v>
      </c>
      <c r="H15" s="46">
        <f t="shared" si="0"/>
        <v>-0.11674367380328476</v>
      </c>
      <c r="I15" s="32">
        <v>17</v>
      </c>
      <c r="J15" s="19">
        <f t="shared" si="2"/>
        <v>59761.130100000009</v>
      </c>
      <c r="K15" s="19">
        <f t="shared" si="3"/>
        <v>263677.82</v>
      </c>
      <c r="L15" s="88"/>
      <c r="M15" s="2">
        <f t="shared" si="4"/>
        <v>323438.83335632621</v>
      </c>
      <c r="N15" s="5">
        <f t="shared" si="1"/>
        <v>342845.16335770581</v>
      </c>
    </row>
    <row r="16" spans="1:16" x14ac:dyDescent="0.25">
      <c r="A16" s="3" t="s">
        <v>38</v>
      </c>
      <c r="B16" s="3"/>
      <c r="C16" s="3">
        <v>32</v>
      </c>
      <c r="D16" s="48" t="s">
        <v>104</v>
      </c>
      <c r="E16" s="3">
        <v>2.84</v>
      </c>
      <c r="F16" s="19">
        <v>218322.23982700004</v>
      </c>
      <c r="G16" s="105">
        <f>255990-G49</f>
        <v>218321.74</v>
      </c>
      <c r="H16" s="46">
        <f t="shared" si="0"/>
        <v>0.49982700005057268</v>
      </c>
      <c r="I16" s="32">
        <v>5</v>
      </c>
      <c r="J16" s="19">
        <f t="shared" si="2"/>
        <v>49481.518799999998</v>
      </c>
      <c r="K16" s="19">
        <f t="shared" si="3"/>
        <v>218322.16</v>
      </c>
      <c r="L16" s="88"/>
      <c r="M16" s="2">
        <f t="shared" si="4"/>
        <v>267804.17862700007</v>
      </c>
      <c r="N16" s="5">
        <f t="shared" si="1"/>
        <v>283872.42934462009</v>
      </c>
    </row>
    <row r="17" spans="1:18" x14ac:dyDescent="0.25">
      <c r="A17" s="3" t="s">
        <v>38</v>
      </c>
      <c r="B17" s="3"/>
      <c r="C17" s="3">
        <v>33</v>
      </c>
      <c r="D17" s="48" t="s">
        <v>39</v>
      </c>
      <c r="E17" s="3">
        <v>3.43</v>
      </c>
      <c r="F17" s="19">
        <v>282068.20578511507</v>
      </c>
      <c r="G17" s="154">
        <f>84739.59-G47-G48+278000</f>
        <v>286634.33</v>
      </c>
      <c r="H17" s="46">
        <f t="shared" si="0"/>
        <v>-4566.1242148849415</v>
      </c>
      <c r="I17" s="32">
        <v>17</v>
      </c>
      <c r="J17" s="19">
        <f t="shared" si="2"/>
        <v>59761.130100000009</v>
      </c>
      <c r="K17" s="19">
        <f t="shared" si="3"/>
        <v>263677.82</v>
      </c>
      <c r="L17" s="88"/>
      <c r="M17" s="2">
        <f t="shared" si="4"/>
        <v>318872.82588511507</v>
      </c>
      <c r="N17" s="5">
        <f t="shared" si="1"/>
        <v>338005.19543822197</v>
      </c>
    </row>
    <row r="18" spans="1:18" x14ac:dyDescent="0.25">
      <c r="A18" s="3" t="s">
        <v>40</v>
      </c>
      <c r="B18" s="3"/>
      <c r="C18" s="3">
        <v>34</v>
      </c>
      <c r="D18" s="48" t="s">
        <v>113</v>
      </c>
      <c r="E18" s="3">
        <v>2.84</v>
      </c>
      <c r="F18" s="19">
        <v>218321.66379991794</v>
      </c>
      <c r="G18" s="154">
        <f>262164-G51</f>
        <v>218345.82</v>
      </c>
      <c r="H18" s="46">
        <f t="shared" si="0"/>
        <v>-24.156200082070427</v>
      </c>
      <c r="I18" s="32">
        <v>10</v>
      </c>
      <c r="J18" s="19">
        <f t="shared" si="2"/>
        <v>49481.518799999998</v>
      </c>
      <c r="K18" s="19">
        <f t="shared" si="3"/>
        <v>218322.16</v>
      </c>
      <c r="L18" s="88"/>
      <c r="M18" s="2">
        <f t="shared" si="4"/>
        <v>267779.52259991795</v>
      </c>
      <c r="N18" s="5">
        <f t="shared" si="1"/>
        <v>283846.29395591305</v>
      </c>
      <c r="P18" t="s">
        <v>111</v>
      </c>
    </row>
    <row r="19" spans="1:18" x14ac:dyDescent="0.25">
      <c r="A19" s="3" t="s">
        <v>40</v>
      </c>
      <c r="B19" s="3"/>
      <c r="C19" s="3">
        <v>35</v>
      </c>
      <c r="D19" s="48" t="s">
        <v>42</v>
      </c>
      <c r="E19" s="3">
        <v>3.43</v>
      </c>
      <c r="F19" s="19">
        <v>291549.63964850147</v>
      </c>
      <c r="G19" s="105">
        <f>333062-G41</f>
        <v>291550.03999999998</v>
      </c>
      <c r="H19" s="46">
        <f t="shared" si="0"/>
        <v>-0.4003514985088259</v>
      </c>
      <c r="I19" s="32">
        <v>5</v>
      </c>
      <c r="J19" s="19">
        <f t="shared" si="2"/>
        <v>59761.130100000009</v>
      </c>
      <c r="K19" s="19">
        <f t="shared" si="3"/>
        <v>263677.82</v>
      </c>
      <c r="L19" s="88"/>
      <c r="M19" s="2">
        <f t="shared" si="4"/>
        <v>323438.54974850151</v>
      </c>
      <c r="N19" s="5">
        <f t="shared" si="1"/>
        <v>342844.8627334116</v>
      </c>
    </row>
    <row r="20" spans="1:18" x14ac:dyDescent="0.25">
      <c r="A20" s="3" t="s">
        <v>43</v>
      </c>
      <c r="B20" s="3"/>
      <c r="C20" s="3">
        <v>36</v>
      </c>
      <c r="D20" s="48" t="s">
        <v>44</v>
      </c>
      <c r="E20" s="3">
        <v>2.84</v>
      </c>
      <c r="F20" s="19">
        <v>218321.81585707472</v>
      </c>
      <c r="G20" s="154">
        <f>255990-G38</f>
        <v>218321.74</v>
      </c>
      <c r="H20" s="46">
        <f t="shared" si="0"/>
        <v>7.585707472753711E-2</v>
      </c>
      <c r="I20" s="32">
        <v>9</v>
      </c>
      <c r="J20" s="19">
        <f t="shared" si="2"/>
        <v>49481.518799999998</v>
      </c>
      <c r="K20" s="19">
        <f t="shared" si="3"/>
        <v>218322.16</v>
      </c>
      <c r="L20" s="88"/>
      <c r="M20" s="2">
        <f t="shared" si="4"/>
        <v>267803.75465707469</v>
      </c>
      <c r="N20" s="5">
        <f t="shared" si="1"/>
        <v>283871.97993649915</v>
      </c>
    </row>
    <row r="21" spans="1:18" x14ac:dyDescent="0.25">
      <c r="A21" s="3" t="s">
        <v>43</v>
      </c>
      <c r="B21" s="3"/>
      <c r="C21" s="3">
        <v>37</v>
      </c>
      <c r="D21" s="48" t="s">
        <v>45</v>
      </c>
      <c r="E21" s="3">
        <v>3.43</v>
      </c>
      <c r="F21" s="19">
        <v>263677.8152936371</v>
      </c>
      <c r="G21" s="154">
        <f>305190-G45</f>
        <v>263678.03999999998</v>
      </c>
      <c r="H21" s="46">
        <f t="shared" si="0"/>
        <v>-0.2247063628747128</v>
      </c>
      <c r="I21" s="32">
        <v>8</v>
      </c>
      <c r="J21" s="19">
        <f t="shared" si="2"/>
        <v>59761.130100000009</v>
      </c>
      <c r="K21" s="19">
        <f t="shared" si="3"/>
        <v>263677.82</v>
      </c>
      <c r="L21" s="88"/>
      <c r="M21" s="2">
        <f t="shared" si="4"/>
        <v>323438.72539363714</v>
      </c>
      <c r="N21" s="5">
        <f t="shared" si="1"/>
        <v>342845.04891725536</v>
      </c>
    </row>
    <row r="22" spans="1:18" x14ac:dyDescent="0.25">
      <c r="A22" s="3" t="s">
        <v>46</v>
      </c>
      <c r="B22" s="3"/>
      <c r="C22" s="3">
        <v>38</v>
      </c>
      <c r="D22" s="69" t="s">
        <v>98</v>
      </c>
      <c r="E22" s="3">
        <v>2.84</v>
      </c>
      <c r="F22" s="19">
        <v>218322.16</v>
      </c>
      <c r="G22" s="154">
        <f>F22</f>
        <v>218322.16</v>
      </c>
      <c r="H22" s="46">
        <f t="shared" si="0"/>
        <v>0</v>
      </c>
      <c r="I22" s="32">
        <v>7</v>
      </c>
      <c r="J22" s="19">
        <f t="shared" si="2"/>
        <v>49481.518799999998</v>
      </c>
      <c r="K22" s="19">
        <f t="shared" si="3"/>
        <v>218322.16</v>
      </c>
      <c r="L22" s="88"/>
      <c r="M22" s="2">
        <f t="shared" si="4"/>
        <v>267803.67879999999</v>
      </c>
      <c r="N22" s="5">
        <f t="shared" si="1"/>
        <v>283871.89952799998</v>
      </c>
    </row>
    <row r="23" spans="1:18" x14ac:dyDescent="0.25">
      <c r="A23" s="3" t="s">
        <v>46</v>
      </c>
      <c r="B23" s="3"/>
      <c r="C23" s="3">
        <v>39</v>
      </c>
      <c r="D23" s="48" t="s">
        <v>47</v>
      </c>
      <c r="E23" s="3">
        <v>3.43</v>
      </c>
      <c r="F23" s="19">
        <v>261926.48790342227</v>
      </c>
      <c r="G23" s="105">
        <f>340000-G46</f>
        <v>301563</v>
      </c>
      <c r="H23" s="46">
        <f t="shared" si="0"/>
        <v>-39636.512096577731</v>
      </c>
      <c r="I23" s="32">
        <v>17</v>
      </c>
      <c r="J23" s="19">
        <f t="shared" si="2"/>
        <v>59761.130100000009</v>
      </c>
      <c r="K23" s="19">
        <f t="shared" si="3"/>
        <v>263677.82</v>
      </c>
      <c r="L23" s="88"/>
      <c r="M23" s="2">
        <f t="shared" si="4"/>
        <v>283802.43800342228</v>
      </c>
      <c r="N23" s="5">
        <f t="shared" si="1"/>
        <v>300830.58428362763</v>
      </c>
    </row>
    <row r="24" spans="1:18" x14ac:dyDescent="0.25">
      <c r="A24" s="3" t="s">
        <v>48</v>
      </c>
      <c r="B24" s="3"/>
      <c r="C24" s="3">
        <v>40</v>
      </c>
      <c r="D24" s="48" t="s">
        <v>49</v>
      </c>
      <c r="E24" s="3">
        <v>2.84</v>
      </c>
      <c r="F24" s="19">
        <v>210807.53342107471</v>
      </c>
      <c r="G24" s="154">
        <f>248476-G37</f>
        <v>210807.74</v>
      </c>
      <c r="H24" s="46">
        <f t="shared" si="0"/>
        <v>-0.20657892528106458</v>
      </c>
      <c r="I24" s="77">
        <v>7</v>
      </c>
      <c r="J24" s="19">
        <f t="shared" si="2"/>
        <v>49481.518799999998</v>
      </c>
      <c r="K24" s="19">
        <f t="shared" si="3"/>
        <v>218322.16</v>
      </c>
      <c r="L24" s="88"/>
      <c r="M24" s="2">
        <f t="shared" si="4"/>
        <v>267803.47222107474</v>
      </c>
      <c r="N24" s="5">
        <f t="shared" si="1"/>
        <v>283871.6805543392</v>
      </c>
    </row>
    <row r="25" spans="1:18" x14ac:dyDescent="0.25">
      <c r="A25" s="3" t="s">
        <v>48</v>
      </c>
      <c r="B25" s="3"/>
      <c r="C25" s="3">
        <v>41</v>
      </c>
      <c r="D25" s="48" t="s">
        <v>117</v>
      </c>
      <c r="E25" s="3">
        <v>3.43</v>
      </c>
      <c r="F25" s="19">
        <v>247131.77666666667</v>
      </c>
      <c r="G25" s="105">
        <f>F25</f>
        <v>247131.77666666667</v>
      </c>
      <c r="H25" s="46">
        <f t="shared" si="0"/>
        <v>0</v>
      </c>
      <c r="I25" s="32">
        <v>17</v>
      </c>
      <c r="J25" s="19">
        <f t="shared" si="2"/>
        <v>59761.130100000009</v>
      </c>
      <c r="K25" s="19">
        <f t="shared" si="3"/>
        <v>263677.82</v>
      </c>
      <c r="L25" s="89"/>
      <c r="M25" s="2">
        <f t="shared" si="4"/>
        <v>323438.95010000002</v>
      </c>
      <c r="N25" s="5">
        <f t="shared" si="1"/>
        <v>342845.287106</v>
      </c>
      <c r="P25" s="53"/>
      <c r="Q25" s="53"/>
      <c r="R25" s="53"/>
    </row>
    <row r="26" spans="1:18" x14ac:dyDescent="0.25">
      <c r="A26" s="3" t="s">
        <v>50</v>
      </c>
      <c r="B26" s="3"/>
      <c r="C26" s="3">
        <v>42</v>
      </c>
      <c r="D26" s="48" t="s">
        <v>51</v>
      </c>
      <c r="E26" s="3">
        <v>6</v>
      </c>
      <c r="F26" s="19">
        <v>-1647267.3406672962</v>
      </c>
      <c r="G26" s="105">
        <f>600000+900000-G30-G31-G36</f>
        <v>1377770.34</v>
      </c>
      <c r="H26" s="47">
        <f t="shared" si="0"/>
        <v>-3025037.6806672961</v>
      </c>
      <c r="I26" s="149">
        <v>1</v>
      </c>
      <c r="J26" s="19">
        <f t="shared" si="2"/>
        <v>104538.42</v>
      </c>
      <c r="K26" s="19">
        <f t="shared" si="3"/>
        <v>461244</v>
      </c>
      <c r="L26" s="88"/>
      <c r="M26" s="2">
        <f t="shared" si="4"/>
        <v>-2459255.2606672961</v>
      </c>
      <c r="N26" s="5">
        <f t="shared" si="1"/>
        <v>-2606810.576307334</v>
      </c>
    </row>
    <row r="27" spans="1:18" x14ac:dyDescent="0.25">
      <c r="A27" s="3" t="s">
        <v>52</v>
      </c>
      <c r="B27" s="3"/>
      <c r="C27" s="3">
        <v>43</v>
      </c>
      <c r="D27" s="48" t="s">
        <v>53</v>
      </c>
      <c r="E27" s="3">
        <v>5.89</v>
      </c>
      <c r="F27" s="19">
        <v>452038.2312852653</v>
      </c>
      <c r="G27" s="154">
        <f>541100-G39-G40</f>
        <v>451926.16</v>
      </c>
      <c r="H27" s="46">
        <f t="shared" si="0"/>
        <v>112.07128526532324</v>
      </c>
      <c r="I27" s="32">
        <v>16</v>
      </c>
      <c r="J27" s="19">
        <f t="shared" si="2"/>
        <v>102621.88229999998</v>
      </c>
      <c r="K27" s="19">
        <f t="shared" si="3"/>
        <v>452787.86</v>
      </c>
      <c r="L27" s="88"/>
      <c r="M27" s="2">
        <f t="shared" si="4"/>
        <v>555521.81358526531</v>
      </c>
      <c r="N27" s="5">
        <f t="shared" si="1"/>
        <v>588853.12240038125</v>
      </c>
      <c r="R27" s="53"/>
    </row>
    <row r="28" spans="1:18" x14ac:dyDescent="0.25">
      <c r="A28" s="3" t="s">
        <v>54</v>
      </c>
      <c r="B28" s="3"/>
      <c r="C28" s="3">
        <v>44</v>
      </c>
      <c r="D28" s="48" t="s">
        <v>55</v>
      </c>
      <c r="E28" s="3">
        <v>5.89</v>
      </c>
      <c r="F28" s="19">
        <v>442229.03449320735</v>
      </c>
      <c r="G28" s="154">
        <f>525000-G32-G33</f>
        <v>443513.56</v>
      </c>
      <c r="H28" s="46">
        <f t="shared" si="0"/>
        <v>-1284.5255067926482</v>
      </c>
      <c r="I28" s="32">
        <v>8</v>
      </c>
      <c r="J28" s="19">
        <f t="shared" si="2"/>
        <v>102621.88229999998</v>
      </c>
      <c r="K28" s="19">
        <f t="shared" si="3"/>
        <v>452787.86</v>
      </c>
      <c r="L28" s="88"/>
      <c r="M28" s="2">
        <f t="shared" si="4"/>
        <v>554125.21679320722</v>
      </c>
      <c r="N28" s="5">
        <f t="shared" si="1"/>
        <v>587372.72980079963</v>
      </c>
    </row>
    <row r="29" spans="1:18" x14ac:dyDescent="0.25">
      <c r="A29" s="3" t="s">
        <v>56</v>
      </c>
      <c r="B29" s="3"/>
      <c r="C29" s="3">
        <v>45</v>
      </c>
      <c r="D29" s="48" t="s">
        <v>57</v>
      </c>
      <c r="E29" s="3">
        <v>5.89</v>
      </c>
      <c r="F29" s="19">
        <v>427578.60619410186</v>
      </c>
      <c r="G29" s="105">
        <f>551700-G42-G43-G44</f>
        <v>427932.86</v>
      </c>
      <c r="H29" s="47">
        <f t="shared" si="0"/>
        <v>-354.25380589812994</v>
      </c>
      <c r="I29" s="32">
        <v>6</v>
      </c>
      <c r="J29" s="19">
        <f t="shared" si="2"/>
        <v>102621.88229999998</v>
      </c>
      <c r="K29" s="19">
        <f t="shared" si="3"/>
        <v>452787.86</v>
      </c>
      <c r="L29" s="88"/>
      <c r="M29" s="2">
        <f t="shared" si="4"/>
        <v>555055.4884941018</v>
      </c>
      <c r="N29" s="5">
        <f t="shared" si="1"/>
        <v>588358.81780374795</v>
      </c>
    </row>
    <row r="30" spans="1:18" x14ac:dyDescent="0.25">
      <c r="A30" s="44" t="s">
        <v>69</v>
      </c>
      <c r="B30" s="3"/>
      <c r="C30" s="3">
        <v>1</v>
      </c>
      <c r="D30" s="48" t="s">
        <v>51</v>
      </c>
      <c r="E30" s="3">
        <v>0.54</v>
      </c>
      <c r="F30" s="19">
        <v>41511.960000000006</v>
      </c>
      <c r="G30" s="154">
        <f>F30</f>
        <v>41511.960000000006</v>
      </c>
      <c r="H30" s="46">
        <f t="shared" si="0"/>
        <v>0</v>
      </c>
      <c r="I30" s="32"/>
      <c r="J30" s="19">
        <f t="shared" si="2"/>
        <v>9408.4578000000001</v>
      </c>
      <c r="K30" s="19">
        <f t="shared" si="3"/>
        <v>41511.960000000006</v>
      </c>
      <c r="L30" s="88"/>
      <c r="M30" s="2">
        <f t="shared" si="4"/>
        <v>50920.41780000001</v>
      </c>
      <c r="N30" s="5">
        <f t="shared" si="1"/>
        <v>53975.64286800001</v>
      </c>
    </row>
    <row r="31" spans="1:18" x14ac:dyDescent="0.25">
      <c r="A31" s="44" t="s">
        <v>69</v>
      </c>
      <c r="B31" s="3"/>
      <c r="C31" s="3">
        <v>2</v>
      </c>
      <c r="D31" s="48" t="s">
        <v>51</v>
      </c>
      <c r="E31" s="3">
        <v>0.55000000000000004</v>
      </c>
      <c r="F31" s="19">
        <v>42280.7</v>
      </c>
      <c r="G31" s="154">
        <f>F31</f>
        <v>42280.7</v>
      </c>
      <c r="H31" s="46">
        <f t="shared" si="0"/>
        <v>0</v>
      </c>
      <c r="I31" s="32"/>
      <c r="J31" s="19">
        <f t="shared" si="2"/>
        <v>9582.6885000000002</v>
      </c>
      <c r="K31" s="19">
        <f t="shared" si="3"/>
        <v>42280.7</v>
      </c>
      <c r="L31" s="88"/>
      <c r="M31" s="2">
        <f t="shared" si="4"/>
        <v>51863.388500000001</v>
      </c>
      <c r="N31" s="5">
        <f t="shared" si="1"/>
        <v>54975.191810000004</v>
      </c>
    </row>
    <row r="32" spans="1:18" x14ac:dyDescent="0.25">
      <c r="A32" s="44" t="s">
        <v>69</v>
      </c>
      <c r="B32" s="3"/>
      <c r="C32" s="3">
        <v>3</v>
      </c>
      <c r="D32" s="48" t="s">
        <v>55</v>
      </c>
      <c r="E32" s="3">
        <v>0.45</v>
      </c>
      <c r="F32" s="19">
        <v>34593.300000000003</v>
      </c>
      <c r="G32" s="154">
        <f>F32</f>
        <v>34593.300000000003</v>
      </c>
      <c r="H32" s="46">
        <f t="shared" si="0"/>
        <v>0</v>
      </c>
      <c r="I32" s="32"/>
      <c r="J32" s="19">
        <f t="shared" si="2"/>
        <v>7840.3815000000013</v>
      </c>
      <c r="K32" s="19">
        <f t="shared" si="3"/>
        <v>34593.300000000003</v>
      </c>
      <c r="L32" s="68"/>
      <c r="M32" s="2">
        <f t="shared" si="4"/>
        <v>42433.681500000006</v>
      </c>
      <c r="N32" s="5">
        <f t="shared" si="1"/>
        <v>44979.702390000006</v>
      </c>
    </row>
    <row r="33" spans="1:17" x14ac:dyDescent="0.25">
      <c r="A33" s="44" t="s">
        <v>69</v>
      </c>
      <c r="B33" s="3"/>
      <c r="C33" s="3">
        <v>4</v>
      </c>
      <c r="D33" s="48" t="s">
        <v>55</v>
      </c>
      <c r="E33" s="3">
        <v>0.61</v>
      </c>
      <c r="F33" s="19">
        <v>46893.14</v>
      </c>
      <c r="G33" s="154">
        <f t="shared" ref="G33" si="5">F33</f>
        <v>46893.14</v>
      </c>
      <c r="H33" s="46">
        <f t="shared" si="0"/>
        <v>0</v>
      </c>
      <c r="I33" s="32"/>
      <c r="J33" s="19">
        <f t="shared" si="2"/>
        <v>10628.072699999999</v>
      </c>
      <c r="K33" s="19">
        <f t="shared" si="3"/>
        <v>46893.14</v>
      </c>
      <c r="L33" s="68"/>
      <c r="M33" s="2">
        <f t="shared" si="4"/>
        <v>57521.212699999996</v>
      </c>
      <c r="N33" s="5">
        <f t="shared" si="1"/>
        <v>60972.485461999997</v>
      </c>
    </row>
    <row r="34" spans="1:17" x14ac:dyDescent="0.25">
      <c r="A34" s="44" t="s">
        <v>69</v>
      </c>
      <c r="B34" s="3"/>
      <c r="C34" s="3">
        <v>5</v>
      </c>
      <c r="D34" s="48" t="s">
        <v>30</v>
      </c>
      <c r="E34" s="3">
        <v>0.54</v>
      </c>
      <c r="F34" s="19">
        <v>41511.960000000006</v>
      </c>
      <c r="G34" s="154">
        <f>F34</f>
        <v>41511.960000000006</v>
      </c>
      <c r="H34" s="46">
        <f t="shared" si="0"/>
        <v>0</v>
      </c>
      <c r="I34" s="32"/>
      <c r="J34" s="19">
        <f t="shared" si="2"/>
        <v>9408.4578000000001</v>
      </c>
      <c r="K34" s="19">
        <f t="shared" si="3"/>
        <v>41511.960000000006</v>
      </c>
      <c r="L34" s="68"/>
      <c r="M34" s="2">
        <f t="shared" si="4"/>
        <v>50920.41780000001</v>
      </c>
      <c r="N34" s="5">
        <f t="shared" si="1"/>
        <v>53975.64286800001</v>
      </c>
    </row>
    <row r="35" spans="1:17" x14ac:dyDescent="0.25">
      <c r="A35" s="44" t="s">
        <v>69</v>
      </c>
      <c r="B35" s="3"/>
      <c r="C35" s="3">
        <v>6</v>
      </c>
      <c r="D35" s="48" t="s">
        <v>106</v>
      </c>
      <c r="E35" s="3">
        <v>0.5</v>
      </c>
      <c r="F35" s="214">
        <v>80937</v>
      </c>
      <c r="G35" s="105">
        <f>F35</f>
        <v>80937</v>
      </c>
      <c r="H35" s="46">
        <f t="shared" si="0"/>
        <v>0</v>
      </c>
      <c r="I35" s="32"/>
      <c r="J35" s="19">
        <f t="shared" si="2"/>
        <v>8711.5349999999999</v>
      </c>
      <c r="K35" s="19">
        <f t="shared" si="3"/>
        <v>38437</v>
      </c>
      <c r="L35" s="68"/>
      <c r="M35" s="2">
        <f t="shared" si="4"/>
        <v>47148.535000000003</v>
      </c>
      <c r="N35" s="5">
        <f t="shared" si="1"/>
        <v>49977.447100000005</v>
      </c>
    </row>
    <row r="36" spans="1:17" x14ac:dyDescent="0.25">
      <c r="A36" s="44" t="s">
        <v>69</v>
      </c>
      <c r="B36" s="3"/>
      <c r="C36" s="3">
        <v>7</v>
      </c>
      <c r="D36" s="48" t="s">
        <v>51</v>
      </c>
      <c r="E36" s="3">
        <v>0.5</v>
      </c>
      <c r="F36" s="19">
        <v>38437</v>
      </c>
      <c r="G36" s="154">
        <f>F36</f>
        <v>38437</v>
      </c>
      <c r="H36" s="46">
        <f t="shared" si="0"/>
        <v>0</v>
      </c>
      <c r="I36" s="32"/>
      <c r="J36" s="19">
        <f t="shared" si="2"/>
        <v>8711.5349999999999</v>
      </c>
      <c r="K36" s="19">
        <f t="shared" si="3"/>
        <v>38437</v>
      </c>
      <c r="L36" s="68"/>
      <c r="M36" s="2">
        <f t="shared" si="4"/>
        <v>47148.535000000003</v>
      </c>
      <c r="N36" s="5">
        <f t="shared" si="1"/>
        <v>49977.447100000005</v>
      </c>
    </row>
    <row r="37" spans="1:17" x14ac:dyDescent="0.25">
      <c r="A37" s="44" t="s">
        <v>69</v>
      </c>
      <c r="B37" s="3"/>
      <c r="C37" s="3">
        <v>8</v>
      </c>
      <c r="D37" s="48" t="s">
        <v>49</v>
      </c>
      <c r="E37" s="3">
        <v>0.49</v>
      </c>
      <c r="F37" s="19">
        <v>37668.26</v>
      </c>
      <c r="G37" s="154">
        <f t="shared" ref="G37:G41" si="6">F37</f>
        <v>37668.26</v>
      </c>
      <c r="H37" s="46">
        <f t="shared" si="0"/>
        <v>0</v>
      </c>
      <c r="I37" s="32"/>
      <c r="J37" s="19">
        <f t="shared" si="2"/>
        <v>8537.3042999999998</v>
      </c>
      <c r="K37" s="19">
        <f t="shared" si="3"/>
        <v>37668.26</v>
      </c>
      <c r="L37" s="68"/>
      <c r="M37" s="2">
        <f t="shared" si="4"/>
        <v>46205.564299999998</v>
      </c>
      <c r="N37" s="5">
        <f t="shared" si="1"/>
        <v>48977.898157999996</v>
      </c>
    </row>
    <row r="38" spans="1:17" x14ac:dyDescent="0.25">
      <c r="A38" s="44" t="s">
        <v>69</v>
      </c>
      <c r="B38" s="3"/>
      <c r="C38" s="3">
        <v>9</v>
      </c>
      <c r="D38" s="48" t="s">
        <v>44</v>
      </c>
      <c r="E38" s="3">
        <v>0.49</v>
      </c>
      <c r="F38" s="19">
        <v>37668.26</v>
      </c>
      <c r="G38" s="154">
        <f t="shared" si="6"/>
        <v>37668.26</v>
      </c>
      <c r="H38" s="46">
        <f t="shared" si="0"/>
        <v>0</v>
      </c>
      <c r="I38" s="32"/>
      <c r="J38" s="19">
        <f t="shared" si="2"/>
        <v>8537.3042999999998</v>
      </c>
      <c r="K38" s="19">
        <f t="shared" si="3"/>
        <v>37668.26</v>
      </c>
      <c r="L38" s="68"/>
      <c r="M38" s="2">
        <f t="shared" si="4"/>
        <v>46205.564299999998</v>
      </c>
      <c r="N38" s="5">
        <f t="shared" si="1"/>
        <v>48977.898157999996</v>
      </c>
    </row>
    <row r="39" spans="1:17" x14ac:dyDescent="0.25">
      <c r="A39" s="44" t="s">
        <v>69</v>
      </c>
      <c r="B39" s="3"/>
      <c r="C39" s="3">
        <v>10</v>
      </c>
      <c r="D39" s="48" t="s">
        <v>53</v>
      </c>
      <c r="E39" s="3">
        <v>0.59</v>
      </c>
      <c r="F39" s="19">
        <v>45355.66</v>
      </c>
      <c r="G39" s="154">
        <f t="shared" si="6"/>
        <v>45355.66</v>
      </c>
      <c r="H39" s="46">
        <f t="shared" si="0"/>
        <v>0</v>
      </c>
      <c r="I39" s="32"/>
      <c r="J39" s="19">
        <f t="shared" si="2"/>
        <v>10279.6113</v>
      </c>
      <c r="K39" s="19">
        <f t="shared" si="3"/>
        <v>45355.66</v>
      </c>
      <c r="L39" s="68"/>
      <c r="M39" s="2">
        <f t="shared" si="4"/>
        <v>55635.271300000008</v>
      </c>
      <c r="N39" s="5">
        <f t="shared" si="1"/>
        <v>58973.387578000009</v>
      </c>
    </row>
    <row r="40" spans="1:17" x14ac:dyDescent="0.25">
      <c r="A40" s="44" t="s">
        <v>69</v>
      </c>
      <c r="B40" s="3"/>
      <c r="C40" s="3">
        <v>11</v>
      </c>
      <c r="D40" s="48" t="s">
        <v>53</v>
      </c>
      <c r="E40" s="3">
        <v>0.56999999999999995</v>
      </c>
      <c r="F40" s="19">
        <v>43818.18</v>
      </c>
      <c r="G40" s="154">
        <f t="shared" si="6"/>
        <v>43818.18</v>
      </c>
      <c r="H40" s="46">
        <f t="shared" si="0"/>
        <v>0</v>
      </c>
      <c r="I40" s="32"/>
      <c r="J40" s="19">
        <f t="shared" si="2"/>
        <v>9931.1498999999985</v>
      </c>
      <c r="K40" s="19">
        <f t="shared" si="3"/>
        <v>43818.18</v>
      </c>
      <c r="L40" s="68"/>
      <c r="M40" s="2">
        <f t="shared" si="4"/>
        <v>53749.329899999997</v>
      </c>
      <c r="N40" s="5">
        <f t="shared" si="1"/>
        <v>56974.289693999999</v>
      </c>
    </row>
    <row r="41" spans="1:17" x14ac:dyDescent="0.25">
      <c r="A41" s="44" t="s">
        <v>69</v>
      </c>
      <c r="B41" s="3"/>
      <c r="C41" s="3">
        <v>12</v>
      </c>
      <c r="D41" s="48" t="s">
        <v>42</v>
      </c>
      <c r="E41" s="3">
        <v>0.54</v>
      </c>
      <c r="F41" s="19">
        <v>41511.960000000006</v>
      </c>
      <c r="G41" s="154">
        <f t="shared" si="6"/>
        <v>41511.960000000006</v>
      </c>
      <c r="H41" s="46">
        <f t="shared" si="0"/>
        <v>0</v>
      </c>
      <c r="I41" s="32"/>
      <c r="J41" s="19">
        <f t="shared" si="2"/>
        <v>9408.4578000000001</v>
      </c>
      <c r="K41" s="19">
        <f t="shared" si="3"/>
        <v>41511.960000000006</v>
      </c>
      <c r="L41" s="68"/>
      <c r="M41" s="2">
        <f t="shared" si="4"/>
        <v>50920.41780000001</v>
      </c>
      <c r="N41" s="5">
        <f t="shared" si="1"/>
        <v>53975.64286800001</v>
      </c>
    </row>
    <row r="42" spans="1:17" x14ac:dyDescent="0.25">
      <c r="A42" s="44" t="s">
        <v>69</v>
      </c>
      <c r="B42" s="3"/>
      <c r="C42" s="3">
        <v>13</v>
      </c>
      <c r="D42" s="48" t="s">
        <v>57</v>
      </c>
      <c r="E42" s="3">
        <v>0.55000000000000004</v>
      </c>
      <c r="F42" s="19">
        <v>42280.7</v>
      </c>
      <c r="G42" s="154">
        <f>F42</f>
        <v>42280.7</v>
      </c>
      <c r="H42" s="46">
        <f t="shared" si="0"/>
        <v>0</v>
      </c>
      <c r="I42" s="32"/>
      <c r="J42" s="19">
        <f t="shared" si="2"/>
        <v>9582.6885000000002</v>
      </c>
      <c r="K42" s="19">
        <f t="shared" si="3"/>
        <v>42280.7</v>
      </c>
      <c r="L42" s="68"/>
      <c r="M42" s="2">
        <f t="shared" si="4"/>
        <v>51863.388500000001</v>
      </c>
      <c r="N42" s="5">
        <f t="shared" si="1"/>
        <v>54975.191810000004</v>
      </c>
    </row>
    <row r="43" spans="1:17" x14ac:dyDescent="0.25">
      <c r="A43" s="44" t="s">
        <v>69</v>
      </c>
      <c r="B43" s="3"/>
      <c r="C43" s="3">
        <v>14</v>
      </c>
      <c r="D43" s="48" t="s">
        <v>57</v>
      </c>
      <c r="E43" s="3">
        <v>0.45</v>
      </c>
      <c r="F43" s="19">
        <v>34593.300000000003</v>
      </c>
      <c r="G43" s="154">
        <f>F43</f>
        <v>34593.300000000003</v>
      </c>
      <c r="H43" s="46">
        <f t="shared" si="0"/>
        <v>0</v>
      </c>
      <c r="I43" s="32"/>
      <c r="J43" s="19">
        <f t="shared" si="2"/>
        <v>7840.3815000000013</v>
      </c>
      <c r="K43" s="19">
        <f t="shared" si="3"/>
        <v>34593.300000000003</v>
      </c>
      <c r="L43" s="68"/>
      <c r="M43" s="2">
        <f t="shared" si="4"/>
        <v>42433.681500000006</v>
      </c>
      <c r="N43" s="5">
        <f t="shared" si="1"/>
        <v>44979.702390000006</v>
      </c>
      <c r="P43" s="34">
        <f>L1-K52</f>
        <v>1443769.6600420019</v>
      </c>
    </row>
    <row r="44" spans="1:17" x14ac:dyDescent="0.25">
      <c r="A44" s="44" t="s">
        <v>69</v>
      </c>
      <c r="B44" s="3"/>
      <c r="C44" s="3">
        <v>15</v>
      </c>
      <c r="D44" s="48" t="s">
        <v>57</v>
      </c>
      <c r="E44" s="3">
        <v>0.61</v>
      </c>
      <c r="F44" s="19">
        <v>46893.14</v>
      </c>
      <c r="G44" s="154">
        <f>F44</f>
        <v>46893.14</v>
      </c>
      <c r="H44" s="46">
        <f t="shared" si="0"/>
        <v>0</v>
      </c>
      <c r="I44" s="32"/>
      <c r="J44" s="19">
        <f t="shared" si="2"/>
        <v>10628.072699999999</v>
      </c>
      <c r="K44" s="19">
        <f t="shared" si="3"/>
        <v>46893.14</v>
      </c>
      <c r="L44" s="68"/>
      <c r="M44" s="2">
        <f t="shared" si="4"/>
        <v>57521.212699999996</v>
      </c>
      <c r="N44" s="5">
        <f t="shared" si="1"/>
        <v>60972.485461999997</v>
      </c>
    </row>
    <row r="45" spans="1:17" x14ac:dyDescent="0.25">
      <c r="A45" s="44" t="s">
        <v>69</v>
      </c>
      <c r="B45" s="3"/>
      <c r="C45" s="3">
        <v>16</v>
      </c>
      <c r="D45" s="48" t="s">
        <v>45</v>
      </c>
      <c r="E45" s="3">
        <v>0.54</v>
      </c>
      <c r="F45" s="19">
        <v>41511.960000000006</v>
      </c>
      <c r="G45" s="154">
        <f t="shared" ref="G45" si="7">F45</f>
        <v>41511.960000000006</v>
      </c>
      <c r="H45" s="46">
        <f t="shared" si="0"/>
        <v>0</v>
      </c>
      <c r="I45" s="32"/>
      <c r="J45" s="19">
        <f t="shared" si="2"/>
        <v>9408.4578000000001</v>
      </c>
      <c r="K45" s="19">
        <f t="shared" si="3"/>
        <v>41511.960000000006</v>
      </c>
      <c r="L45" s="68"/>
      <c r="M45" s="2">
        <f t="shared" si="4"/>
        <v>50920.41780000001</v>
      </c>
      <c r="N45" s="5">
        <f t="shared" si="1"/>
        <v>53975.64286800001</v>
      </c>
    </row>
    <row r="46" spans="1:17" x14ac:dyDescent="0.25">
      <c r="A46" s="44" t="s">
        <v>69</v>
      </c>
      <c r="B46" s="3"/>
      <c r="C46" s="3">
        <v>17</v>
      </c>
      <c r="D46" s="48" t="s">
        <v>47</v>
      </c>
      <c r="E46" s="3">
        <v>0.5</v>
      </c>
      <c r="F46" s="19">
        <v>38437</v>
      </c>
      <c r="G46" s="154">
        <f t="shared" ref="G46:G51" si="8">F46</f>
        <v>38437</v>
      </c>
      <c r="H46" s="46">
        <f t="shared" si="0"/>
        <v>0</v>
      </c>
      <c r="I46" s="32"/>
      <c r="J46" s="19">
        <f t="shared" si="2"/>
        <v>8711.5349999999999</v>
      </c>
      <c r="K46" s="19">
        <f t="shared" si="3"/>
        <v>38437</v>
      </c>
      <c r="L46" s="68"/>
      <c r="M46" s="2">
        <f t="shared" si="4"/>
        <v>47148.535000000003</v>
      </c>
      <c r="N46" s="5">
        <f t="shared" si="1"/>
        <v>49977.447100000005</v>
      </c>
      <c r="Q46" t="s">
        <v>101</v>
      </c>
    </row>
    <row r="47" spans="1:17" x14ac:dyDescent="0.25">
      <c r="A47" s="44" t="s">
        <v>69</v>
      </c>
      <c r="B47" s="3"/>
      <c r="C47" s="3">
        <v>18</v>
      </c>
      <c r="D47" s="48" t="s">
        <v>39</v>
      </c>
      <c r="E47" s="3">
        <v>0.5</v>
      </c>
      <c r="F47" s="19">
        <v>38437</v>
      </c>
      <c r="G47" s="154">
        <f t="shared" si="8"/>
        <v>38437</v>
      </c>
      <c r="H47" s="46">
        <f t="shared" si="0"/>
        <v>0</v>
      </c>
      <c r="I47" s="32"/>
      <c r="J47" s="19">
        <f t="shared" si="2"/>
        <v>8711.5349999999999</v>
      </c>
      <c r="K47" s="19">
        <f t="shared" si="3"/>
        <v>38437</v>
      </c>
      <c r="L47" s="68"/>
      <c r="M47" s="2">
        <f t="shared" si="4"/>
        <v>47148.535000000003</v>
      </c>
      <c r="N47" s="5">
        <f t="shared" si="1"/>
        <v>49977.447100000005</v>
      </c>
      <c r="O47" s="53"/>
      <c r="Q47" s="50">
        <f>M3-J52</f>
        <v>4883259.6363000013</v>
      </c>
    </row>
    <row r="48" spans="1:17" x14ac:dyDescent="0.25">
      <c r="A48" s="44" t="s">
        <v>69</v>
      </c>
      <c r="B48" s="3"/>
      <c r="C48" s="3">
        <v>19</v>
      </c>
      <c r="D48" s="48" t="s">
        <v>39</v>
      </c>
      <c r="E48" s="3">
        <v>0.49</v>
      </c>
      <c r="F48" s="19">
        <v>37668.26</v>
      </c>
      <c r="G48" s="154">
        <f t="shared" si="8"/>
        <v>37668.26</v>
      </c>
      <c r="H48" s="46">
        <f t="shared" si="0"/>
        <v>0</v>
      </c>
      <c r="I48" s="32"/>
      <c r="J48" s="19">
        <f t="shared" si="2"/>
        <v>8537.3042999999998</v>
      </c>
      <c r="K48" s="19">
        <f t="shared" si="3"/>
        <v>37668.26</v>
      </c>
      <c r="L48" s="68"/>
      <c r="M48" s="2">
        <f t="shared" si="4"/>
        <v>46205.564299999998</v>
      </c>
      <c r="N48" s="5">
        <f t="shared" si="1"/>
        <v>48977.898157999996</v>
      </c>
    </row>
    <row r="49" spans="1:16" x14ac:dyDescent="0.25">
      <c r="A49" s="44" t="s">
        <v>69</v>
      </c>
      <c r="B49" s="3"/>
      <c r="C49" s="3">
        <v>20</v>
      </c>
      <c r="D49" s="48" t="str">
        <f>D16</f>
        <v>FEUILLANT, GASTON</v>
      </c>
      <c r="E49" s="3">
        <v>0.49</v>
      </c>
      <c r="F49" s="19">
        <v>37668.26</v>
      </c>
      <c r="G49" s="154">
        <f t="shared" si="8"/>
        <v>37668.26</v>
      </c>
      <c r="H49" s="46">
        <f t="shared" si="0"/>
        <v>0</v>
      </c>
      <c r="I49" s="32"/>
      <c r="J49" s="19">
        <f t="shared" si="2"/>
        <v>8537.3042999999998</v>
      </c>
      <c r="K49" s="19">
        <f t="shared" si="3"/>
        <v>37668.26</v>
      </c>
      <c r="L49" s="68"/>
      <c r="M49" s="2">
        <f t="shared" si="4"/>
        <v>46205.564299999998</v>
      </c>
      <c r="N49" s="5">
        <f t="shared" si="1"/>
        <v>48977.898157999996</v>
      </c>
    </row>
    <row r="50" spans="1:16" x14ac:dyDescent="0.25">
      <c r="A50" s="44" t="s">
        <v>69</v>
      </c>
      <c r="B50" s="3"/>
      <c r="C50" s="3">
        <v>21</v>
      </c>
      <c r="D50" s="48" t="s">
        <v>35</v>
      </c>
      <c r="E50" s="3">
        <v>0.59</v>
      </c>
      <c r="F50" s="19">
        <v>45355.66</v>
      </c>
      <c r="G50" s="105">
        <f t="shared" si="8"/>
        <v>45355.66</v>
      </c>
      <c r="H50" s="46">
        <f t="shared" si="0"/>
        <v>0</v>
      </c>
      <c r="I50" s="32"/>
      <c r="J50" s="19">
        <f t="shared" si="2"/>
        <v>10279.6113</v>
      </c>
      <c r="K50" s="19">
        <f t="shared" si="3"/>
        <v>45355.66</v>
      </c>
      <c r="L50" s="68"/>
      <c r="M50" s="2">
        <f t="shared" si="4"/>
        <v>55635.271300000008</v>
      </c>
      <c r="N50" s="5">
        <f t="shared" si="1"/>
        <v>58973.387578000009</v>
      </c>
    </row>
    <row r="51" spans="1:16" x14ac:dyDescent="0.25">
      <c r="A51" s="44" t="s">
        <v>69</v>
      </c>
      <c r="B51" s="3"/>
      <c r="C51" s="3">
        <v>22</v>
      </c>
      <c r="D51" s="48" t="s">
        <v>41</v>
      </c>
      <c r="E51" s="3">
        <v>0.56999999999999995</v>
      </c>
      <c r="F51" s="19">
        <v>43818.18</v>
      </c>
      <c r="G51" s="154">
        <f t="shared" si="8"/>
        <v>43818.18</v>
      </c>
      <c r="H51" s="46">
        <f t="shared" si="0"/>
        <v>0</v>
      </c>
      <c r="I51" s="32"/>
      <c r="J51" s="19">
        <f t="shared" si="2"/>
        <v>9931.1498999999985</v>
      </c>
      <c r="K51" s="19">
        <f t="shared" si="3"/>
        <v>43818.18</v>
      </c>
      <c r="L51" s="68"/>
      <c r="M51" s="2">
        <f t="shared" si="4"/>
        <v>53749.329899999997</v>
      </c>
      <c r="N51" s="5">
        <f t="shared" si="1"/>
        <v>56974.289693999999</v>
      </c>
    </row>
    <row r="52" spans="1:16" ht="14.25" customHeight="1" x14ac:dyDescent="0.25">
      <c r="A52" s="20"/>
      <c r="B52" s="20"/>
      <c r="C52" s="20"/>
      <c r="D52" s="20"/>
      <c r="E52" s="20">
        <f>SUM(E7:E51)</f>
        <v>99.999999999999986</v>
      </c>
      <c r="F52" s="85">
        <f>SUM(F7:F51)</f>
        <v>5977040.1903867004</v>
      </c>
      <c r="G52" s="85">
        <f>SUM(G7:G51)</f>
        <v>8666282.7266246639</v>
      </c>
      <c r="H52" s="20"/>
      <c r="I52" s="20"/>
      <c r="J52" s="45">
        <f>SUM(J8:J51)</f>
        <v>1601354.3636999985</v>
      </c>
      <c r="K52" s="21">
        <f>SUM(K7:K51)</f>
        <v>7375912.5599579988</v>
      </c>
      <c r="L52" s="87">
        <f>SUM(L7:L51)</f>
        <v>0</v>
      </c>
      <c r="M52" s="22">
        <f>SUM(M7:M51)</f>
        <v>6428977.0237200372</v>
      </c>
      <c r="N52" s="21">
        <f>SUM(N7:N51)</f>
        <v>6814715.6451432398</v>
      </c>
      <c r="P52" s="50"/>
    </row>
    <row r="53" spans="1:16" hidden="1" x14ac:dyDescent="0.25">
      <c r="K53" s="53">
        <f>K52-L1</f>
        <v>-1443769.6600420019</v>
      </c>
    </row>
    <row r="54" spans="1:16" ht="15" hidden="1" customHeight="1" x14ac:dyDescent="0.25"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</row>
    <row r="55" spans="1:16" hidden="1" x14ac:dyDescent="0.25"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</row>
    <row r="56" spans="1:16" x14ac:dyDescent="0.2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</row>
    <row r="57" spans="1:16" x14ac:dyDescent="0.25">
      <c r="C57" s="211" t="s">
        <v>99</v>
      </c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</row>
    <row r="58" spans="1:16" x14ac:dyDescent="0.25"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</row>
    <row r="59" spans="1:16" x14ac:dyDescent="0.25"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</row>
    <row r="60" spans="1:16" x14ac:dyDescent="0.25"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</row>
    <row r="61" spans="1:16" x14ac:dyDescent="0.25"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</row>
    <row r="62" spans="1:16" x14ac:dyDescent="0.25"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</row>
    <row r="63" spans="1:16" x14ac:dyDescent="0.25"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</row>
  </sheetData>
  <mergeCells count="18"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  <mergeCell ref="C5:C6"/>
    <mergeCell ref="D5:D6"/>
    <mergeCell ref="E5:E6"/>
    <mergeCell ref="F5:F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5" x14ac:dyDescent="0.25"/>
  <sheetData>
    <row r="4" spans="3:3" x14ac:dyDescent="0.25">
      <c r="C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2026-06-01T19:45:30Z</cp:lastPrinted>
  <dcterms:created xsi:type="dcterms:W3CDTF">2023-09-17T12:29:07Z</dcterms:created>
  <dcterms:modified xsi:type="dcterms:W3CDTF">2026-07-01T23:41:51Z</dcterms:modified>
</cp:coreProperties>
</file>