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YRIGOYEN 7630\Septiembre\"/>
    </mc:Choice>
  </mc:AlternateContent>
  <xr:revisionPtr revIDLastSave="0" documentId="13_ncr:1_{5ACECA92-B17E-4AB1-9D9A-2A6A4A7F2964}" xr6:coauthVersionLast="47" xr6:coauthVersionMax="47" xr10:uidLastSave="{00000000-0000-0000-0000-000000000000}"/>
  <bookViews>
    <workbookView xWindow="-120" yWindow="-120" windowWidth="20730" windowHeight="1104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PRORRATEO!$A$1:$P$32</definedName>
    <definedName name="_xlnm.Print_Area" localSheetId="0">RESUMEN!$A$1:$E$118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6" i="1" l="1"/>
  <c r="F12" i="2"/>
  <c r="F14" i="2"/>
  <c r="F25" i="2"/>
  <c r="F24" i="2"/>
  <c r="F18" i="2"/>
  <c r="F20" i="2"/>
  <c r="F21" i="2"/>
  <c r="F17" i="2"/>
  <c r="F16" i="2"/>
  <c r="F23" i="2"/>
  <c r="F8" i="2"/>
  <c r="E37" i="1"/>
  <c r="D57" i="1" l="1"/>
  <c r="F13" i="2" s="1"/>
  <c r="F11" i="2"/>
  <c r="F19" i="2"/>
  <c r="D36" i="1"/>
  <c r="E60" i="1" l="1"/>
  <c r="E53" i="1"/>
  <c r="K9" i="2" l="1"/>
  <c r="F22" i="2" l="1"/>
  <c r="E42" i="1" l="1"/>
  <c r="F42" i="1"/>
  <c r="E38" i="1"/>
  <c r="E46" i="1" l="1"/>
  <c r="E64" i="1" l="1"/>
  <c r="E34" i="1" l="1"/>
  <c r="E44" i="1" l="1"/>
  <c r="E45" i="1" s="1"/>
  <c r="J8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8" i="2"/>
  <c r="B34" i="2" l="1"/>
  <c r="G19" i="2" l="1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E76" i="1" l="1"/>
  <c r="E81" i="1" s="1"/>
  <c r="B85" i="1" s="1"/>
  <c r="B98" i="1" l="1"/>
  <c r="B105" i="1"/>
  <c r="B117" i="1"/>
  <c r="B94" i="1" l="1"/>
  <c r="B108" i="1"/>
  <c r="G22" i="2" l="1"/>
  <c r="D29" i="1" l="1"/>
  <c r="N7" i="2" l="1"/>
  <c r="D24" i="1" l="1"/>
  <c r="E30" i="1" s="1"/>
  <c r="E68" i="1" s="1"/>
  <c r="Q9" i="2" l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F31" i="2" l="1"/>
  <c r="D31" i="2"/>
  <c r="E31" i="2"/>
  <c r="B92" i="1" l="1"/>
  <c r="B109" i="1"/>
  <c r="G9" i="2"/>
  <c r="G10" i="2"/>
  <c r="G11" i="2"/>
  <c r="G12" i="2"/>
  <c r="G13" i="2"/>
  <c r="G14" i="2"/>
  <c r="G15" i="2"/>
  <c r="G16" i="2"/>
  <c r="G17" i="2"/>
  <c r="G18" i="2"/>
  <c r="G20" i="2"/>
  <c r="G21" i="2"/>
  <c r="G23" i="2"/>
  <c r="G24" i="2"/>
  <c r="G25" i="2"/>
  <c r="G8" i="2"/>
  <c r="B86" i="1" l="1"/>
  <c r="G31" i="2"/>
  <c r="H25" i="2"/>
  <c r="H13" i="2"/>
  <c r="H24" i="2"/>
  <c r="H20" i="2"/>
  <c r="H16" i="2"/>
  <c r="H12" i="2"/>
  <c r="H21" i="2"/>
  <c r="H9" i="2"/>
  <c r="H23" i="2"/>
  <c r="H19" i="2"/>
  <c r="H15" i="2"/>
  <c r="H11" i="2"/>
  <c r="H17" i="2"/>
  <c r="H22" i="2"/>
  <c r="H18" i="2"/>
  <c r="H10" i="2"/>
  <c r="H8" i="2"/>
  <c r="I31" i="2"/>
  <c r="H31" i="2" l="1"/>
  <c r="A44" i="1"/>
  <c r="A45" i="1" s="1"/>
  <c r="J9" i="2" l="1"/>
  <c r="N9" i="2" s="1"/>
  <c r="J10" i="2"/>
  <c r="N10" i="2" s="1"/>
  <c r="J11" i="2"/>
  <c r="N11" i="2" s="1"/>
  <c r="J12" i="2"/>
  <c r="N12" i="2" s="1"/>
  <c r="J13" i="2"/>
  <c r="N13" i="2" s="1"/>
  <c r="J14" i="2"/>
  <c r="N14" i="2" s="1"/>
  <c r="J15" i="2"/>
  <c r="N15" i="2" s="1"/>
  <c r="J16" i="2"/>
  <c r="N16" i="2" s="1"/>
  <c r="J17" i="2"/>
  <c r="N17" i="2" s="1"/>
  <c r="J18" i="2"/>
  <c r="N18" i="2" s="1"/>
  <c r="J19" i="2"/>
  <c r="N19" i="2" s="1"/>
  <c r="J20" i="2"/>
  <c r="N20" i="2" s="1"/>
  <c r="J21" i="2"/>
  <c r="N21" i="2" s="1"/>
  <c r="J22" i="2"/>
  <c r="N22" i="2" s="1"/>
  <c r="J23" i="2"/>
  <c r="N23" i="2" s="1"/>
  <c r="J24" i="2"/>
  <c r="N24" i="2" s="1"/>
  <c r="J25" i="2"/>
  <c r="N25" i="2" s="1"/>
  <c r="N8" i="2"/>
  <c r="N31" i="2" l="1"/>
  <c r="P25" i="2"/>
  <c r="P21" i="2"/>
  <c r="P17" i="2"/>
  <c r="P13" i="2"/>
  <c r="P9" i="2"/>
  <c r="P8" i="2"/>
  <c r="P24" i="2"/>
  <c r="P20" i="2"/>
  <c r="P16" i="2"/>
  <c r="P12" i="2"/>
  <c r="P23" i="2"/>
  <c r="P19" i="2"/>
  <c r="P15" i="2"/>
  <c r="P11" i="2"/>
  <c r="P22" i="2"/>
  <c r="P18" i="2"/>
  <c r="P14" i="2"/>
  <c r="P10" i="2"/>
  <c r="O16" i="2"/>
  <c r="O23" i="2"/>
  <c r="O19" i="2"/>
  <c r="O15" i="2"/>
  <c r="O11" i="2"/>
  <c r="O8" i="2"/>
  <c r="O20" i="2"/>
  <c r="O22" i="2"/>
  <c r="O18" i="2"/>
  <c r="O14" i="2"/>
  <c r="O10" i="2"/>
  <c r="O24" i="2"/>
  <c r="O12" i="2"/>
  <c r="O25" i="2"/>
  <c r="O21" i="2"/>
  <c r="O17" i="2"/>
  <c r="O13" i="2"/>
  <c r="O9" i="2"/>
  <c r="J31" i="2"/>
  <c r="P31" i="2" l="1"/>
  <c r="M31" i="2" l="1"/>
  <c r="O31" i="2" l="1"/>
  <c r="B84" i="1"/>
  <c r="B97" i="1" l="1"/>
  <c r="B99" i="1" s="1"/>
  <c r="B104" i="1"/>
  <c r="B110" i="1" s="1"/>
  <c r="D110" i="1" s="1"/>
  <c r="B83" i="1"/>
</calcChain>
</file>

<file path=xl/sharedStrings.xml><?xml version="1.0" encoding="utf-8"?>
<sst xmlns="http://schemas.openxmlformats.org/spreadsheetml/2006/main" count="146" uniqueCount="134">
  <si>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</si>
  <si>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</si>
  <si>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</si>
  <si>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</si>
  <si>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</si>
  <si>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</si>
  <si>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</si>
  <si>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</si>
  <si>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</si>
  <si>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</si>
  <si>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</si>
  <si>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</si>
  <si>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</si>
  <si>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</si>
  <si>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</si>
  <si>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</si>
  <si>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</si>
  <si>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</si>
  <si>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</si>
  <si>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</si>
  <si>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</si>
  <si>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</si>
  <si>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</si>
  <si>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</si>
  <si>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</si>
  <si>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</si>
  <si>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</si>
  <si>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</si>
  <si>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</si>
  <si>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</si>
  <si>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</si>
  <si>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</si>
  <si>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</si>
  <si>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</si>
  <si>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</si>
  <si>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</si>
  <si>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</si>
  <si>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</si>
  <si>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</si>
  <si>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</si>
  <si>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</si>
  <si>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</si>
  <si>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</si>
  <si>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</si>
  <si>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</si>
  <si>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</si>
  <si>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</si>
  <si>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</si>
  <si>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</si>
  <si>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</si>
  <si>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</si>
  <si>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</si>
  <si>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</si>
  <si>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</si>
  <si>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</si>
  <si>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</si>
  <si>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</si>
  <si>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</si>
  <si>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</si>
  <si>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</si>
  <si>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</si>
  <si>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</si>
  <si>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</si>
  <si>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</si>
  <si>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</si>
  <si>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</si>
  <si>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</si>
  <si>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</si>
  <si>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</si>
  <si>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</si>
  <si>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</si>
  <si>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</si>
  <si>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</si>
  <si>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</si>
  <si>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</si>
  <si>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</si>
  <si>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</si>
  <si>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</si>
  <si>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</si>
  <si>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</si>
  <si>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</si>
  <si>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</si>
  <si>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</si>
  <si>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</si>
  <si>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</si>
  <si>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</si>
  <si>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</si>
  <si>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</si>
  <si>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</si>
  <si>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</si>
  <si>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</si>
  <si>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</si>
  <si>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</si>
  <si>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</si>
  <si>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</si>
  <si>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</si>
  <si>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</si>
  <si>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</si>
  <si>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</si>
  <si>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</si>
  <si>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</si>
  <si>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</si>
  <si>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Subidos en Juni0 a 165000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</si>
  <si>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</si>
  <si>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</si>
  <si>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</si>
  <si>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</si>
  <si>
    <t>UF 14</t>
  </si>
  <si>
    <t>El mes pasado abono los $5.028 que le habian quedado como deuda y se nos paso</t>
  </si>
  <si>
    <t>Gastos part</t>
  </si>
  <si>
    <t>Debito 12/08</t>
  </si>
  <si>
    <t>Articulos de limpieza</t>
  </si>
  <si>
    <t>Abonado por Dpto 6</t>
  </si>
  <si>
    <t>Abonado por Dpto 18</t>
  </si>
  <si>
    <t>VTO 16/10</t>
  </si>
  <si>
    <t>PERÍODO: SEPTIEMBRE</t>
  </si>
  <si>
    <t>Gustavo padron - Sr contador honorarios SEPTIEMBRE</t>
  </si>
  <si>
    <t>Sindicatos mes de SEPTIEMBRE</t>
  </si>
  <si>
    <t>Transf 28/09</t>
  </si>
  <si>
    <t>Transf 16/09</t>
  </si>
  <si>
    <t>Transf 11/09</t>
  </si>
  <si>
    <t>Debito 07/09</t>
  </si>
  <si>
    <t>Transf 09/09</t>
  </si>
  <si>
    <t>Debito 02/09</t>
  </si>
  <si>
    <t>Transf 07/09</t>
  </si>
  <si>
    <t>Debito 16/09</t>
  </si>
  <si>
    <t>Cuota 2/3 - Pintura dpto 6 - Material y mano de obra</t>
  </si>
  <si>
    <t>Cuota 2/2 - Mamposteria, arreglo administracion anterior</t>
  </si>
  <si>
    <t xml:space="preserve">Honorarios administracion - Mes de Agosto - Se adeuda SEPTIEMBRE </t>
  </si>
  <si>
    <t>Plan de pago vigente</t>
  </si>
  <si>
    <t>LA UNIDAD FUNCIONAL REMARCADA EN COLOR VERDE POSEE UN PLAN DE PAGO VIGENTE</t>
  </si>
  <si>
    <t>Plan de pago : 4 cuotas de $180.000 - En Octubr3 abona la primera</t>
  </si>
  <si>
    <t>Ingeso plan de pago - Uf 7</t>
  </si>
  <si>
    <t>Fidiax - Acuerdo plan de pago - UF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</si>
</sst>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19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6" xfId="1" applyFont="1" applyBorder="1"/>
    <xf numFmtId="44" fontId="20" fillId="0" borderId="6" xfId="1" applyFont="1" applyBorder="1"/>
    <xf numFmtId="44" fontId="20" fillId="0" borderId="30" xfId="1" applyFont="1" applyBorder="1"/>
    <xf numFmtId="0" fontId="15" fillId="0" borderId="7" xfId="0" applyFont="1" applyBorder="1"/>
    <xf numFmtId="0" fontId="15" fillId="0" borderId="22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5" xfId="1" applyFont="1" applyBorder="1"/>
    <xf numFmtId="0" fontId="15" fillId="0" borderId="2" xfId="0" applyFont="1" applyBorder="1"/>
    <xf numFmtId="44" fontId="20" fillId="0" borderId="27" xfId="1" applyFont="1" applyBorder="1"/>
    <xf numFmtId="44" fontId="20" fillId="0" borderId="29" xfId="1" applyFont="1" applyBorder="1"/>
    <xf numFmtId="44" fontId="20" fillId="0" borderId="31" xfId="1" applyFont="1" applyBorder="1"/>
    <xf numFmtId="0" fontId="15" fillId="4" borderId="28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0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0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44" fontId="22" fillId="2" borderId="1" xfId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2" xfId="0" applyFont="1" applyFill="1" applyBorder="1" applyAlignment="1">
      <alignment horizontal="left" vertical="center" wrapText="1"/>
    </xf>
    <xf numFmtId="44" fontId="2" fillId="11" borderId="28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0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6" fillId="4" borderId="20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44" fontId="24" fillId="6" borderId="2" xfId="1" applyFont="1" applyFill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/>
    <xf numFmtId="0" fontId="0" fillId="13" borderId="14" xfId="0" applyFill="1" applyBorder="1"/>
    <xf numFmtId="0" fontId="0" fillId="13" borderId="12" xfId="0" applyFill="1" applyBorder="1"/>
    <xf numFmtId="0" fontId="0" fillId="13" borderId="16" xfId="0" applyFill="1" applyBorder="1"/>
    <xf numFmtId="0" fontId="0" fillId="13" borderId="0" xfId="0" applyFill="1"/>
    <xf numFmtId="165" fontId="15" fillId="0" borderId="25" xfId="1" applyNumberFormat="1" applyFont="1" applyBorder="1"/>
    <xf numFmtId="166" fontId="20" fillId="2" borderId="1" xfId="1" applyNumberFormat="1" applyFont="1" applyFill="1" applyBorder="1"/>
    <xf numFmtId="8" fontId="4" fillId="2" borderId="1" xfId="0" applyNumberFormat="1" applyFont="1" applyFill="1" applyBorder="1"/>
    <xf numFmtId="8" fontId="25" fillId="10" borderId="1" xfId="0" applyNumberFormat="1" applyFont="1" applyFill="1" applyBorder="1"/>
    <xf numFmtId="8" fontId="4" fillId="2" borderId="6" xfId="0" applyNumberFormat="1" applyFont="1" applyFill="1" applyBorder="1"/>
    <xf numFmtId="8" fontId="25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  <xf numFmtId="8" fontId="7" fillId="4" borderId="21" xfId="0" applyNumberFormat="1" applyFont="1" applyFill="1" applyBorder="1"/>
    <xf numFmtId="16" fontId="3" fillId="2" borderId="1" xfId="1" applyNumberFormat="1" applyFont="1" applyFill="1" applyBorder="1" applyAlignment="1">
      <alignment wrapText="1"/>
    </xf>
    <xf numFmtId="0" fontId="20" fillId="0" borderId="1" xfId="1" applyNumberFormat="1" applyFont="1" applyBorder="1"/>
    <xf numFmtId="0" fontId="0" fillId="2" borderId="6" xfId="0" applyFill="1" applyBorder="1" applyAlignment="1">
      <alignment horizontal="left" vertical="center"/>
    </xf>
    <xf numFmtId="0" fontId="16" fillId="2" borderId="2" xfId="1" applyNumberFormat="1" applyFont="1" applyFill="1" applyBorder="1" applyAlignment="1"/>
    <xf numFmtId="0" fontId="16" fillId="3" borderId="18" xfId="0" applyFont="1" applyFill="1" applyBorder="1" applyAlignment="1">
      <alignment horizontal="center" vertical="center" wrapText="1"/>
    </xf>
    <xf numFmtId="165" fontId="15" fillId="2" borderId="1" xfId="0" applyNumberFormat="1" applyFont="1" applyFill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5" fillId="2" borderId="6" xfId="1" applyNumberFormat="1" applyFont="1" applyFill="1" applyBorder="1"/>
    <xf numFmtId="44" fontId="20" fillId="2" borderId="26" xfId="1" applyFont="1" applyFill="1" applyBorder="1"/>
    <xf numFmtId="44" fontId="20" fillId="2" borderId="6" xfId="1" applyFont="1" applyFill="1" applyBorder="1"/>
    <xf numFmtId="44" fontId="20" fillId="2" borderId="30" xfId="1" applyFont="1" applyFill="1" applyBorder="1"/>
    <xf numFmtId="0" fontId="15" fillId="14" borderId="1" xfId="0" applyFont="1" applyFill="1" applyBorder="1"/>
    <xf numFmtId="0" fontId="15" fillId="14" borderId="1" xfId="0" applyFont="1" applyFill="1" applyBorder="1" applyAlignment="1">
      <alignment horizontal="center"/>
    </xf>
    <xf numFmtId="44" fontId="20" fillId="14" borderId="1" xfId="1" applyFont="1" applyFill="1" applyBorder="1"/>
    <xf numFmtId="165" fontId="15" fillId="14" borderId="1" xfId="0" applyNumberFormat="1" applyFont="1" applyFill="1" applyBorder="1"/>
    <xf numFmtId="44" fontId="15" fillId="14" borderId="1" xfId="1" applyFont="1" applyFill="1" applyBorder="1"/>
    <xf numFmtId="165" fontId="15" fillId="14" borderId="1" xfId="1" applyNumberFormat="1" applyFont="1" applyFill="1" applyBorder="1"/>
    <xf numFmtId="165" fontId="15" fillId="14" borderId="6" xfId="1" applyNumberFormat="1" applyFont="1" applyFill="1" applyBorder="1"/>
    <xf numFmtId="44" fontId="20" fillId="14" borderId="26" xfId="1" applyFont="1" applyFill="1" applyBorder="1"/>
    <xf numFmtId="44" fontId="20" fillId="14" borderId="6" xfId="1" applyFont="1" applyFill="1" applyBorder="1"/>
    <xf numFmtId="44" fontId="20" fillId="14" borderId="30" xfId="1" applyFont="1" applyFill="1" applyBorder="1"/>
    <xf numFmtId="44" fontId="8" fillId="0" borderId="1" xfId="0" applyNumberFormat="1" applyFont="1" applyBorder="1" applyAlignment="1">
      <alignment vertical="center" wrapText="1"/>
    </xf>
    <xf numFmtId="8" fontId="4" fillId="2" borderId="1" xfId="0" applyNumberFormat="1" applyFont="1" applyFill="1" applyBorder="1" applyAlignment="1">
      <alignment horizontal="right"/>
    </xf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0" borderId="1" xfId="1" applyFont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2" fillId="14" borderId="32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opLeftCell="A57" workbookViewId="0">
      <selection activeCell="A61" sqref="A61"/>
    </sheetView>
  </sheetViews>
  <sheetFormatPr baseColWidth="10" defaultColWidth="10.85546875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4"/>
      <c r="B1" s="66" t="s">
        <v>54</v>
      </c>
      <c r="C1" s="66"/>
      <c r="D1" s="66"/>
      <c r="E1" s="67"/>
    </row>
    <row r="2" spans="1:5" x14ac:dyDescent="0.25">
      <c r="A2" s="15"/>
      <c r="B2" s="68" t="s">
        <v>28</v>
      </c>
      <c r="C2" s="68"/>
      <c r="D2" s="68"/>
      <c r="E2" s="69"/>
    </row>
    <row r="3" spans="1:5" ht="70.5" customHeight="1" thickBot="1" x14ac:dyDescent="0.3">
      <c r="A3" s="15"/>
      <c r="B3" s="218" t="s">
        <v>92</v>
      </c>
      <c r="C3" s="218"/>
      <c r="D3" s="218"/>
      <c r="E3" s="219"/>
    </row>
    <row r="4" spans="1:5" ht="15.75" thickBot="1" x14ac:dyDescent="0.3">
      <c r="A4" s="18" t="s">
        <v>0</v>
      </c>
      <c r="B4" s="95" t="s">
        <v>38</v>
      </c>
      <c r="C4" s="19"/>
      <c r="D4" s="19"/>
      <c r="E4" s="20"/>
    </row>
    <row r="5" spans="1:5" ht="15.75" thickBot="1" x14ac:dyDescent="0.3">
      <c r="A5" s="15" t="s">
        <v>55</v>
      </c>
      <c r="B5" s="19" t="s">
        <v>115</v>
      </c>
      <c r="C5" s="16"/>
      <c r="D5" s="68" t="s">
        <v>29</v>
      </c>
      <c r="E5" s="17"/>
    </row>
    <row r="6" spans="1:5" ht="15.75" thickBot="1" x14ac:dyDescent="0.3">
      <c r="A6" s="18" t="s">
        <v>90</v>
      </c>
      <c r="B6" s="19"/>
      <c r="C6" s="19"/>
      <c r="D6" s="19" t="s">
        <v>91</v>
      </c>
      <c r="E6" s="20"/>
    </row>
    <row r="8" spans="1:5" x14ac:dyDescent="0.25">
      <c r="B8" s="221" t="s">
        <v>114</v>
      </c>
      <c r="C8" s="221"/>
    </row>
    <row r="9" spans="1:5" x14ac:dyDescent="0.25">
      <c r="B9" s="221"/>
      <c r="C9" s="221"/>
    </row>
    <row r="10" spans="1:5" x14ac:dyDescent="0.25">
      <c r="B10" s="221"/>
      <c r="C10" s="221"/>
    </row>
    <row r="12" spans="1:5" hidden="1" x14ac:dyDescent="0.25"/>
    <row r="13" spans="1:5" ht="15" customHeight="1" x14ac:dyDescent="0.25">
      <c r="A13" s="220" t="s">
        <v>42</v>
      </c>
      <c r="B13" s="220"/>
      <c r="C13" s="220"/>
      <c r="D13" s="220"/>
      <c r="E13" s="220"/>
    </row>
    <row r="14" spans="1:5" ht="15" customHeight="1" x14ac:dyDescent="0.25">
      <c r="A14" s="220"/>
      <c r="B14" s="220"/>
      <c r="C14" s="220"/>
      <c r="D14" s="220"/>
      <c r="E14" s="220"/>
    </row>
    <row r="15" spans="1:5" ht="15" customHeight="1" x14ac:dyDescent="0.25">
      <c r="A15" s="220"/>
      <c r="B15" s="220"/>
      <c r="C15" s="220"/>
      <c r="D15" s="220"/>
      <c r="E15" s="220"/>
    </row>
    <row r="16" spans="1:5" ht="53.25" customHeight="1" x14ac:dyDescent="0.25">
      <c r="A16" s="220"/>
      <c r="B16" s="220"/>
      <c r="C16" s="220"/>
      <c r="D16" s="220"/>
      <c r="E16" s="220"/>
    </row>
    <row r="17" spans="1:7" ht="14.25" customHeight="1" thickBot="1" x14ac:dyDescent="0.3">
      <c r="D17" s="109"/>
    </row>
    <row r="18" spans="1:7" hidden="1" x14ac:dyDescent="0.25">
      <c r="A18" s="2"/>
      <c r="D18" s="109"/>
    </row>
    <row r="19" spans="1:7" ht="15.75" hidden="1" thickBot="1" x14ac:dyDescent="0.3">
      <c r="D19" s="109"/>
    </row>
    <row r="20" spans="1:7" x14ac:dyDescent="0.25">
      <c r="A20" s="10" t="s">
        <v>10</v>
      </c>
      <c r="B20" s="11"/>
      <c r="C20" s="12"/>
      <c r="D20" s="113"/>
      <c r="E20" s="13"/>
    </row>
    <row r="21" spans="1:7" x14ac:dyDescent="0.25">
      <c r="A21" s="34" t="s">
        <v>34</v>
      </c>
      <c r="B21" s="34"/>
      <c r="C21" s="34"/>
      <c r="D21" s="33"/>
      <c r="E21" s="33"/>
    </row>
    <row r="22" spans="1:7" x14ac:dyDescent="0.25">
      <c r="A22" s="5" t="s">
        <v>74</v>
      </c>
      <c r="B22" s="5"/>
      <c r="C22" s="5"/>
      <c r="D22" s="177">
        <v>890804</v>
      </c>
      <c r="E22" s="5"/>
    </row>
    <row r="23" spans="1:7" hidden="1" x14ac:dyDescent="0.25">
      <c r="A23" s="5"/>
      <c r="B23" s="5"/>
      <c r="C23" s="5"/>
      <c r="D23" s="177"/>
      <c r="E23" s="5"/>
    </row>
    <row r="24" spans="1:7" ht="14.25" customHeight="1" x14ac:dyDescent="0.25">
      <c r="A24" s="55" t="s">
        <v>35</v>
      </c>
      <c r="B24" s="55"/>
      <c r="C24" s="55"/>
      <c r="D24" s="178">
        <f>SUM(D22:D23)</f>
        <v>890804</v>
      </c>
      <c r="E24" s="135"/>
      <c r="G24" s="21"/>
    </row>
    <row r="25" spans="1:7" ht="14.25" hidden="1" customHeight="1" x14ac:dyDescent="0.25">
      <c r="A25" s="5" t="s">
        <v>44</v>
      </c>
      <c r="B25" s="5"/>
      <c r="C25" s="5"/>
      <c r="D25" s="177"/>
      <c r="E25" s="5"/>
    </row>
    <row r="26" spans="1:7" hidden="1" x14ac:dyDescent="0.25">
      <c r="A26" s="5" t="s">
        <v>95</v>
      </c>
      <c r="B26" s="5"/>
      <c r="C26" s="5"/>
      <c r="D26" s="177">
        <v>0</v>
      </c>
      <c r="E26" s="5"/>
    </row>
    <row r="27" spans="1:7" hidden="1" x14ac:dyDescent="0.25">
      <c r="A27" s="5" t="s">
        <v>96</v>
      </c>
      <c r="B27" s="5"/>
      <c r="C27" s="5"/>
      <c r="D27" s="177">
        <v>0</v>
      </c>
      <c r="E27" s="5"/>
    </row>
    <row r="28" spans="1:7" hidden="1" x14ac:dyDescent="0.25">
      <c r="A28" s="5" t="s">
        <v>39</v>
      </c>
      <c r="B28" s="5"/>
      <c r="C28" s="5"/>
      <c r="D28" s="179"/>
      <c r="E28" s="5"/>
    </row>
    <row r="29" spans="1:7" hidden="1" x14ac:dyDescent="0.25">
      <c r="A29" s="55" t="s">
        <v>35</v>
      </c>
      <c r="B29" s="55"/>
      <c r="C29" s="55"/>
      <c r="D29" s="180">
        <f>SUM(D25:D28)</f>
        <v>0</v>
      </c>
      <c r="E29" s="135"/>
    </row>
    <row r="30" spans="1:7" ht="15.75" thickBot="1" x14ac:dyDescent="0.3">
      <c r="A30" s="28" t="s">
        <v>1</v>
      </c>
      <c r="B30" s="28"/>
      <c r="C30" s="28"/>
      <c r="D30" s="181"/>
      <c r="E30" s="136">
        <f>D24+D29</f>
        <v>890804</v>
      </c>
      <c r="F30" s="21"/>
    </row>
    <row r="31" spans="1:7" x14ac:dyDescent="0.25">
      <c r="A31" s="34" t="s">
        <v>19</v>
      </c>
      <c r="B31" s="34"/>
      <c r="C31" s="34"/>
      <c r="D31" s="182"/>
      <c r="E31" s="137"/>
    </row>
    <row r="32" spans="1:7" ht="15" customHeight="1" x14ac:dyDescent="0.25">
      <c r="A32" s="216" t="s">
        <v>116</v>
      </c>
      <c r="B32" s="217"/>
      <c r="C32" s="51"/>
      <c r="D32" s="177">
        <v>50000</v>
      </c>
      <c r="E32" s="138"/>
    </row>
    <row r="33" spans="1:8" ht="19.5" customHeight="1" thickBot="1" x14ac:dyDescent="0.3">
      <c r="A33" s="216" t="s">
        <v>128</v>
      </c>
      <c r="B33" s="217"/>
      <c r="C33" s="51"/>
      <c r="D33" s="212">
        <v>180000</v>
      </c>
      <c r="E33" s="138" t="s">
        <v>119</v>
      </c>
      <c r="G33" s="147" t="s">
        <v>102</v>
      </c>
      <c r="H33" s="147"/>
    </row>
    <row r="34" spans="1:8" ht="15.75" thickBot="1" x14ac:dyDescent="0.3">
      <c r="A34" s="28" t="s">
        <v>16</v>
      </c>
      <c r="B34" s="28"/>
      <c r="C34" s="28"/>
      <c r="D34" s="183"/>
      <c r="E34" s="139">
        <f>SUM(D32:D33)</f>
        <v>230000</v>
      </c>
    </row>
    <row r="35" spans="1:8" x14ac:dyDescent="0.25">
      <c r="A35" s="34" t="s">
        <v>31</v>
      </c>
      <c r="B35" s="28"/>
      <c r="C35" s="28"/>
      <c r="D35" s="184"/>
      <c r="E35" s="140"/>
    </row>
    <row r="36" spans="1:8" s="37" customFormat="1" ht="14.25" customHeight="1" x14ac:dyDescent="0.25">
      <c r="A36" s="222" t="s">
        <v>88</v>
      </c>
      <c r="B36" s="223"/>
      <c r="C36" s="53"/>
      <c r="D36" s="213">
        <f>30025+7909</f>
        <v>37934</v>
      </c>
      <c r="E36" s="158" t="s">
        <v>123</v>
      </c>
    </row>
    <row r="37" spans="1:8" ht="14.25" customHeight="1" x14ac:dyDescent="0.25">
      <c r="A37" s="216" t="s">
        <v>89</v>
      </c>
      <c r="B37" s="217"/>
      <c r="C37" s="53"/>
      <c r="D37" s="214">
        <v>69628</v>
      </c>
      <c r="E37" s="189" t="str">
        <f>E36</f>
        <v>Debito 02/09</v>
      </c>
    </row>
    <row r="38" spans="1:8" ht="15.75" thickBot="1" x14ac:dyDescent="0.3">
      <c r="A38" s="28" t="s">
        <v>2</v>
      </c>
      <c r="B38" s="28"/>
      <c r="C38" s="28"/>
      <c r="D38" s="183"/>
      <c r="E38" s="141">
        <f>SUM(D36:D37)</f>
        <v>107562</v>
      </c>
    </row>
    <row r="39" spans="1:8" x14ac:dyDescent="0.25">
      <c r="A39" s="34" t="s">
        <v>17</v>
      </c>
      <c r="B39" s="142"/>
      <c r="C39" s="142"/>
      <c r="D39" s="185"/>
      <c r="E39" s="143"/>
    </row>
    <row r="40" spans="1:8" x14ac:dyDescent="0.25">
      <c r="A40" s="5" t="s">
        <v>47</v>
      </c>
      <c r="B40" s="5"/>
      <c r="C40" s="51"/>
      <c r="D40" s="215">
        <v>619750.26</v>
      </c>
      <c r="E40" s="158" t="s">
        <v>121</v>
      </c>
      <c r="G40" s="120"/>
    </row>
    <row r="41" spans="1:8" x14ac:dyDescent="0.25">
      <c r="A41" s="5" t="s">
        <v>77</v>
      </c>
      <c r="B41" s="5"/>
      <c r="C41" s="51"/>
      <c r="D41" s="215">
        <v>10602.27</v>
      </c>
      <c r="E41" s="158" t="s">
        <v>125</v>
      </c>
    </row>
    <row r="42" spans="1:8" x14ac:dyDescent="0.25">
      <c r="A42" s="5" t="s">
        <v>77</v>
      </c>
      <c r="B42" s="5"/>
      <c r="C42" s="51"/>
      <c r="D42" s="215">
        <v>75532.289999999994</v>
      </c>
      <c r="E42" s="149" t="str">
        <f>E41</f>
        <v>Debito 16/09</v>
      </c>
      <c r="F42" s="42">
        <f>D42+D41</f>
        <v>86134.56</v>
      </c>
      <c r="G42" s="134"/>
    </row>
    <row r="43" spans="1:8" x14ac:dyDescent="0.25">
      <c r="A43" s="5" t="s">
        <v>117</v>
      </c>
      <c r="B43" s="5"/>
      <c r="C43" s="5"/>
      <c r="D43" s="152">
        <v>5655.57</v>
      </c>
      <c r="E43" s="158" t="s">
        <v>110</v>
      </c>
    </row>
    <row r="44" spans="1:8" x14ac:dyDescent="0.25">
      <c r="A44" s="5" t="str">
        <f>A43</f>
        <v>Sindicatos mes de SEPTIEMBRE</v>
      </c>
      <c r="B44" s="5"/>
      <c r="C44" s="5"/>
      <c r="D44" s="152">
        <v>98687.47</v>
      </c>
      <c r="E44" s="150" t="str">
        <f>E43</f>
        <v>Debito 12/08</v>
      </c>
    </row>
    <row r="45" spans="1:8" x14ac:dyDescent="0.25">
      <c r="A45" s="5" t="str">
        <f>A44</f>
        <v>Sindicatos mes de SEPTIEMBRE</v>
      </c>
      <c r="B45" s="5"/>
      <c r="C45" s="5"/>
      <c r="D45" s="152">
        <v>50900.17</v>
      </c>
      <c r="E45" s="151" t="str">
        <f>E44</f>
        <v>Debito 12/08</v>
      </c>
    </row>
    <row r="46" spans="1:8" ht="15" customHeight="1" thickBot="1" x14ac:dyDescent="0.3">
      <c r="A46" s="28" t="s">
        <v>3</v>
      </c>
      <c r="B46" s="142"/>
      <c r="C46" s="142"/>
      <c r="D46" s="186"/>
      <c r="E46" s="141">
        <f>SUM(D40:D45)</f>
        <v>861128.03</v>
      </c>
    </row>
    <row r="47" spans="1:8" x14ac:dyDescent="0.25">
      <c r="A47" s="34" t="s">
        <v>18</v>
      </c>
      <c r="B47" s="142"/>
      <c r="C47" s="142"/>
      <c r="D47" s="185"/>
      <c r="E47" s="143"/>
    </row>
    <row r="48" spans="1:8" ht="14.25" customHeight="1" x14ac:dyDescent="0.25">
      <c r="A48" s="5" t="s">
        <v>76</v>
      </c>
      <c r="B48" s="152"/>
      <c r="C48" s="5"/>
      <c r="D48" s="152">
        <v>91685.7</v>
      </c>
      <c r="E48" s="153" t="s">
        <v>118</v>
      </c>
    </row>
    <row r="49" spans="1:5" ht="14.25" customHeight="1" x14ac:dyDescent="0.25">
      <c r="A49" s="5" t="s">
        <v>76</v>
      </c>
      <c r="B49" s="152"/>
      <c r="C49" s="5"/>
      <c r="D49" s="152">
        <v>254864.2</v>
      </c>
      <c r="E49" s="153" t="s">
        <v>124</v>
      </c>
    </row>
    <row r="50" spans="1:5" ht="14.25" customHeight="1" x14ac:dyDescent="0.25">
      <c r="A50" s="5" t="s">
        <v>79</v>
      </c>
      <c r="B50" s="152"/>
      <c r="C50" s="5"/>
      <c r="D50" s="152">
        <v>19854.2</v>
      </c>
      <c r="E50" s="153" t="s">
        <v>118</v>
      </c>
    </row>
    <row r="51" spans="1:5" x14ac:dyDescent="0.25">
      <c r="A51" s="5" t="s">
        <v>78</v>
      </c>
      <c r="B51" s="5"/>
      <c r="C51" s="5"/>
      <c r="D51" s="152">
        <v>43083.26</v>
      </c>
      <c r="E51" s="153" t="s">
        <v>122</v>
      </c>
    </row>
    <row r="52" spans="1:5" x14ac:dyDescent="0.25">
      <c r="A52" s="222" t="s">
        <v>75</v>
      </c>
      <c r="B52" s="223"/>
      <c r="C52" s="5"/>
      <c r="D52" s="152">
        <v>530549.97</v>
      </c>
      <c r="E52" s="192" t="s">
        <v>121</v>
      </c>
    </row>
    <row r="53" spans="1:5" ht="15.75" thickBot="1" x14ac:dyDescent="0.3">
      <c r="A53" s="28" t="s">
        <v>4</v>
      </c>
      <c r="B53" s="28"/>
      <c r="C53" s="28"/>
      <c r="D53" s="187"/>
      <c r="E53" s="141">
        <f>SUM(D48:D52)</f>
        <v>940037.33000000007</v>
      </c>
    </row>
    <row r="54" spans="1:5" ht="15" customHeight="1" thickBot="1" x14ac:dyDescent="0.3">
      <c r="A54" s="34" t="s">
        <v>99</v>
      </c>
      <c r="B54" s="28"/>
      <c r="C54" s="28"/>
      <c r="D54" s="183"/>
      <c r="E54" s="144"/>
    </row>
    <row r="55" spans="1:5" ht="15" customHeight="1" x14ac:dyDescent="0.25">
      <c r="A55" s="154" t="s">
        <v>94</v>
      </c>
      <c r="B55" s="148"/>
      <c r="C55" s="5"/>
      <c r="D55" s="152">
        <v>102500</v>
      </c>
      <c r="E55" s="153" t="s">
        <v>120</v>
      </c>
    </row>
    <row r="56" spans="1:5" ht="16.5" customHeight="1" x14ac:dyDescent="0.25">
      <c r="A56" s="154" t="s">
        <v>93</v>
      </c>
      <c r="B56" s="148"/>
      <c r="C56" s="5"/>
      <c r="D56" s="152">
        <v>0</v>
      </c>
      <c r="E56" s="153"/>
    </row>
    <row r="57" spans="1:5" ht="16.5" customHeight="1" x14ac:dyDescent="0.25">
      <c r="A57" s="191" t="s">
        <v>126</v>
      </c>
      <c r="B57" s="148"/>
      <c r="C57" s="5"/>
      <c r="D57" s="103">
        <f>750000/3</f>
        <v>250000</v>
      </c>
      <c r="E57" s="190" t="s">
        <v>112</v>
      </c>
    </row>
    <row r="58" spans="1:5" ht="16.5" customHeight="1" x14ac:dyDescent="0.25">
      <c r="A58" s="191" t="s">
        <v>127</v>
      </c>
      <c r="B58" s="148"/>
      <c r="C58" s="5"/>
      <c r="D58" s="103">
        <v>60000</v>
      </c>
      <c r="E58" s="190" t="s">
        <v>113</v>
      </c>
    </row>
    <row r="59" spans="1:5" ht="30" customHeight="1" x14ac:dyDescent="0.25">
      <c r="A59" s="222" t="s">
        <v>111</v>
      </c>
      <c r="B59" s="223"/>
      <c r="C59" s="5"/>
      <c r="D59" s="103">
        <v>60600</v>
      </c>
      <c r="E59" s="153" t="s">
        <v>119</v>
      </c>
    </row>
    <row r="60" spans="1:5" ht="15.75" thickBot="1" x14ac:dyDescent="0.3">
      <c r="A60" s="28" t="s">
        <v>9</v>
      </c>
      <c r="B60" s="34"/>
      <c r="C60" s="34"/>
      <c r="D60" s="33"/>
      <c r="E60" s="145">
        <f>SUM(D55:D59)</f>
        <v>473100</v>
      </c>
    </row>
    <row r="61" spans="1:5" ht="15.75" thickBot="1" x14ac:dyDescent="0.3">
      <c r="A61" s="34" t="s">
        <v>12</v>
      </c>
      <c r="B61" s="64"/>
      <c r="C61" s="28"/>
      <c r="D61" s="181"/>
      <c r="E61" s="144"/>
    </row>
    <row r="62" spans="1:5" x14ac:dyDescent="0.25">
      <c r="A62" s="5" t="s">
        <v>87</v>
      </c>
      <c r="B62" s="5"/>
      <c r="C62" s="5"/>
      <c r="D62" s="152">
        <v>67713</v>
      </c>
      <c r="E62" s="146"/>
    </row>
    <row r="63" spans="1:5" x14ac:dyDescent="0.25">
      <c r="A63" s="5" t="s">
        <v>86</v>
      </c>
      <c r="B63" s="5"/>
      <c r="C63" s="5"/>
      <c r="D63" s="152">
        <v>59676.66</v>
      </c>
      <c r="E63" s="39"/>
    </row>
    <row r="64" spans="1:5" ht="15.75" thickBot="1" x14ac:dyDescent="0.3">
      <c r="A64" s="50" t="s">
        <v>16</v>
      </c>
      <c r="B64" s="50"/>
      <c r="C64" s="50"/>
      <c r="D64" s="188"/>
      <c r="E64" s="100">
        <f>SUM(D62:D63)</f>
        <v>127389.66</v>
      </c>
    </row>
    <row r="65" spans="1:12" ht="15.75" thickBot="1" x14ac:dyDescent="0.3">
      <c r="A65" s="5"/>
      <c r="B65" s="5"/>
      <c r="C65" s="5"/>
      <c r="D65" s="99"/>
      <c r="E65" s="106"/>
    </row>
    <row r="66" spans="1:12" ht="15.75" thickBot="1" x14ac:dyDescent="0.3">
      <c r="A66" s="29" t="s">
        <v>50</v>
      </c>
      <c r="B66" s="29"/>
      <c r="C66" s="29"/>
      <c r="D66" s="107"/>
      <c r="E66" s="108">
        <f>5580009.37-3630021.01</f>
        <v>1949988.3600000003</v>
      </c>
    </row>
    <row r="67" spans="1:12" ht="15.75" thickBot="1" x14ac:dyDescent="0.3">
      <c r="A67" s="1"/>
      <c r="D67" s="109"/>
      <c r="E67" s="110"/>
      <c r="F67" s="42"/>
    </row>
    <row r="68" spans="1:12" ht="15.75" thickBot="1" x14ac:dyDescent="0.3">
      <c r="A68" s="3" t="s">
        <v>13</v>
      </c>
      <c r="B68" s="9"/>
      <c r="C68" s="4"/>
      <c r="D68" s="111"/>
      <c r="E68" s="112">
        <f>(SUM(E27:E66))</f>
        <v>5580009.3800000008</v>
      </c>
      <c r="F68" s="134">
        <v>0</v>
      </c>
      <c r="G68" s="42"/>
      <c r="H68" s="120"/>
      <c r="I68" s="120"/>
      <c r="J68" s="120"/>
      <c r="K68" s="120"/>
      <c r="L68" s="120"/>
    </row>
    <row r="69" spans="1:12" x14ac:dyDescent="0.25">
      <c r="D69" s="109"/>
      <c r="E69" s="109"/>
      <c r="H69" s="120"/>
      <c r="I69" s="120"/>
      <c r="J69" s="120"/>
      <c r="K69" s="120"/>
      <c r="L69" s="120"/>
    </row>
    <row r="70" spans="1:12" ht="15.75" thickBot="1" x14ac:dyDescent="0.3">
      <c r="D70" s="109"/>
      <c r="E70" s="109"/>
      <c r="H70" s="157"/>
    </row>
    <row r="71" spans="1:12" x14ac:dyDescent="0.25">
      <c r="A71" s="10" t="s">
        <v>45</v>
      </c>
      <c r="B71" s="11"/>
      <c r="C71" s="12"/>
      <c r="D71" s="113"/>
      <c r="E71" s="114"/>
    </row>
    <row r="72" spans="1:12" ht="15" customHeight="1" x14ac:dyDescent="0.25">
      <c r="A72" s="222"/>
      <c r="B72" s="223"/>
      <c r="C72" s="5"/>
      <c r="D72" s="124"/>
      <c r="E72" s="101"/>
    </row>
    <row r="73" spans="1:12" x14ac:dyDescent="0.25">
      <c r="A73" s="222"/>
      <c r="B73" s="223"/>
      <c r="C73" s="5"/>
      <c r="D73" s="103"/>
      <c r="E73" s="101"/>
    </row>
    <row r="74" spans="1:12" ht="15.75" customHeight="1" x14ac:dyDescent="0.25">
      <c r="A74" s="216"/>
      <c r="B74" s="217"/>
      <c r="C74" s="5"/>
      <c r="D74" s="103"/>
      <c r="E74" s="101"/>
    </row>
    <row r="75" spans="1:12" x14ac:dyDescent="0.25">
      <c r="A75" s="102"/>
      <c r="B75" s="104"/>
      <c r="C75" s="5"/>
      <c r="D75" s="103"/>
      <c r="E75" s="101"/>
    </row>
    <row r="76" spans="1:12" x14ac:dyDescent="0.25">
      <c r="A76" s="48"/>
      <c r="B76" s="47"/>
      <c r="C76" s="47"/>
      <c r="D76" s="56"/>
      <c r="E76" s="56">
        <f>SUM(D72:D75)</f>
        <v>0</v>
      </c>
    </row>
    <row r="77" spans="1:12" ht="15" customHeight="1" x14ac:dyDescent="0.25"/>
    <row r="78" spans="1:12" ht="15.75" hidden="1" thickBot="1" x14ac:dyDescent="0.3"/>
    <row r="79" spans="1:12" ht="15.75" thickBot="1" x14ac:dyDescent="0.3">
      <c r="A79" s="29" t="s">
        <v>20</v>
      </c>
      <c r="B79" s="29"/>
      <c r="C79" s="29"/>
      <c r="D79" s="30"/>
      <c r="E79" s="98"/>
    </row>
    <row r="80" spans="1:12" ht="15.75" thickBot="1" x14ac:dyDescent="0.3"/>
    <row r="81" spans="1:5" ht="15.75" thickBot="1" x14ac:dyDescent="0.3">
      <c r="A81" s="3" t="s">
        <v>21</v>
      </c>
      <c r="B81" s="9"/>
      <c r="C81" s="4"/>
      <c r="D81" s="4"/>
      <c r="E81" s="65">
        <f>E76+E79</f>
        <v>0</v>
      </c>
    </row>
    <row r="82" spans="1:5" ht="15.75" thickBot="1" x14ac:dyDescent="0.3"/>
    <row r="83" spans="1:5" ht="15.75" thickBot="1" x14ac:dyDescent="0.3">
      <c r="A83" s="96" t="s">
        <v>14</v>
      </c>
      <c r="B83" s="97">
        <f>E68</f>
        <v>5580009.3800000008</v>
      </c>
    </row>
    <row r="84" spans="1:5" ht="15.75" thickBot="1" x14ac:dyDescent="0.3">
      <c r="A84" s="96" t="s">
        <v>15</v>
      </c>
      <c r="B84" s="97">
        <f>E68-E66</f>
        <v>3630021.0200000005</v>
      </c>
    </row>
    <row r="85" spans="1:5" ht="15.75" thickBot="1" x14ac:dyDescent="0.3">
      <c r="A85" s="96" t="s">
        <v>22</v>
      </c>
      <c r="B85" s="97">
        <f>E81-E79</f>
        <v>0</v>
      </c>
    </row>
    <row r="86" spans="1:5" ht="15.75" thickBot="1" x14ac:dyDescent="0.3">
      <c r="A86" s="96" t="s">
        <v>40</v>
      </c>
      <c r="B86" s="97">
        <f>E81</f>
        <v>0</v>
      </c>
    </row>
    <row r="88" spans="1:5" x14ac:dyDescent="0.25">
      <c r="D88" s="120"/>
      <c r="E88" s="120"/>
    </row>
    <row r="89" spans="1:5" x14ac:dyDescent="0.25">
      <c r="D89" s="120"/>
      <c r="E89" s="120"/>
    </row>
    <row r="90" spans="1:5" ht="0.75" customHeight="1" x14ac:dyDescent="0.25">
      <c r="A90" s="22" t="s">
        <v>33</v>
      </c>
      <c r="B90" s="121"/>
      <c r="C90" s="23"/>
    </row>
    <row r="91" spans="1:5" hidden="1" x14ac:dyDescent="0.25">
      <c r="A91" s="32"/>
      <c r="B91" s="57">
        <v>0</v>
      </c>
      <c r="C91" s="25"/>
    </row>
    <row r="92" spans="1:5" ht="14.25" hidden="1" customHeight="1" x14ac:dyDescent="0.25">
      <c r="A92" s="24" t="s">
        <v>7</v>
      </c>
      <c r="B92" s="39">
        <f>PRORRATEO!F31</f>
        <v>5388783.6800000006</v>
      </c>
      <c r="C92" s="23"/>
    </row>
    <row r="93" spans="1:5" hidden="1" x14ac:dyDescent="0.25">
      <c r="A93" s="24"/>
      <c r="B93" s="39">
        <v>0</v>
      </c>
      <c r="C93" s="23"/>
    </row>
    <row r="94" spans="1:5" hidden="1" x14ac:dyDescent="0.25">
      <c r="A94" s="24" t="s">
        <v>41</v>
      </c>
      <c r="B94" s="105">
        <f>B117</f>
        <v>0</v>
      </c>
      <c r="C94" s="23"/>
    </row>
    <row r="95" spans="1:5" hidden="1" x14ac:dyDescent="0.25">
      <c r="A95" s="27"/>
      <c r="B95" s="46"/>
      <c r="C95" s="23"/>
    </row>
    <row r="96" spans="1:5" hidden="1" x14ac:dyDescent="0.25">
      <c r="A96" s="119" t="s">
        <v>46</v>
      </c>
      <c r="B96" s="46"/>
      <c r="C96" s="23"/>
    </row>
    <row r="97" spans="1:6" hidden="1" x14ac:dyDescent="0.25">
      <c r="A97" s="38" t="s">
        <v>23</v>
      </c>
      <c r="B97" s="46">
        <f>-B84</f>
        <v>-3630021.0200000005</v>
      </c>
      <c r="C97" s="23"/>
    </row>
    <row r="98" spans="1:6" hidden="1" x14ac:dyDescent="0.25">
      <c r="A98" s="27" t="s">
        <v>24</v>
      </c>
      <c r="B98" s="46">
        <f>-(B85)</f>
        <v>0</v>
      </c>
      <c r="C98" s="23"/>
    </row>
    <row r="99" spans="1:6" hidden="1" x14ac:dyDescent="0.25">
      <c r="A99" s="31" t="s">
        <v>9</v>
      </c>
      <c r="B99" s="57">
        <f>SUM(B91:B98)</f>
        <v>1758762.6600000001</v>
      </c>
      <c r="C99" s="26"/>
      <c r="D99" s="42"/>
    </row>
    <row r="100" spans="1:6" ht="34.5" hidden="1" customHeight="1" x14ac:dyDescent="0.25">
      <c r="B100" s="40"/>
      <c r="C100" s="26"/>
      <c r="D100" s="42"/>
      <c r="E100" s="122"/>
      <c r="F100" s="123"/>
    </row>
    <row r="101" spans="1:6" ht="14.25" hidden="1" customHeight="1" x14ac:dyDescent="0.25">
      <c r="B101" s="41"/>
      <c r="C101" s="26"/>
    </row>
    <row r="102" spans="1:6" s="37" customFormat="1" ht="27" hidden="1" customHeight="1" x14ac:dyDescent="0.25">
      <c r="A102"/>
      <c r="B102" s="40"/>
      <c r="C102" s="36"/>
    </row>
    <row r="103" spans="1:6" s="37" customFormat="1" x14ac:dyDescent="0.25">
      <c r="A103" s="127" t="s">
        <v>85</v>
      </c>
      <c r="B103" s="163">
        <v>-1500014.0660999957</v>
      </c>
      <c r="C103" s="36"/>
      <c r="D103" s="45"/>
    </row>
    <row r="104" spans="1:6" x14ac:dyDescent="0.25">
      <c r="A104" s="53" t="s">
        <v>51</v>
      </c>
      <c r="B104" s="132">
        <f>-B84</f>
        <v>-3630021.0200000005</v>
      </c>
    </row>
    <row r="105" spans="1:6" x14ac:dyDescent="0.25">
      <c r="A105" s="53" t="s">
        <v>52</v>
      </c>
      <c r="B105" s="132">
        <f>-B85</f>
        <v>0</v>
      </c>
    </row>
    <row r="106" spans="1:6" x14ac:dyDescent="0.25">
      <c r="A106" s="53" t="s">
        <v>132</v>
      </c>
      <c r="B106" s="132">
        <v>155000</v>
      </c>
    </row>
    <row r="107" spans="1:6" x14ac:dyDescent="0.25">
      <c r="A107" s="53" t="s">
        <v>133</v>
      </c>
      <c r="B107" s="211">
        <v>-155000</v>
      </c>
    </row>
    <row r="108" spans="1:6" x14ac:dyDescent="0.25">
      <c r="A108" s="53" t="s">
        <v>83</v>
      </c>
      <c r="B108" s="132">
        <f>B117</f>
        <v>0</v>
      </c>
    </row>
    <row r="109" spans="1:6" x14ac:dyDescent="0.25">
      <c r="A109" s="53" t="s">
        <v>53</v>
      </c>
      <c r="B109" s="133">
        <f>PRORRATEO!F31</f>
        <v>5388783.6800000006</v>
      </c>
    </row>
    <row r="110" spans="1:6" ht="15.75" thickBot="1" x14ac:dyDescent="0.3">
      <c r="A110" s="130" t="s">
        <v>48</v>
      </c>
      <c r="B110" s="131">
        <f>SUM(B103:C109)</f>
        <v>258748.5939000044</v>
      </c>
      <c r="D110" s="42">
        <f>1881914.84-B110</f>
        <v>1623166.2460999957</v>
      </c>
    </row>
    <row r="111" spans="1:6" x14ac:dyDescent="0.25">
      <c r="A111" s="128"/>
      <c r="B111" s="128"/>
    </row>
    <row r="112" spans="1:6" ht="34.5" customHeight="1" x14ac:dyDescent="0.25"/>
    <row r="113" spans="1:13" x14ac:dyDescent="0.25">
      <c r="A113" s="225" t="s">
        <v>32</v>
      </c>
      <c r="B113" s="225"/>
      <c r="C113" s="225"/>
    </row>
    <row r="114" spans="1:13" x14ac:dyDescent="0.25">
      <c r="A114" s="225"/>
      <c r="B114" s="225"/>
      <c r="C114" s="225"/>
    </row>
    <row r="115" spans="1:13" ht="35.25" customHeight="1" x14ac:dyDescent="0.25">
      <c r="A115" s="116"/>
      <c r="B115" s="35"/>
      <c r="C115" s="35">
        <v>40000</v>
      </c>
      <c r="E115" s="134"/>
    </row>
    <row r="116" spans="1:13" ht="27" customHeight="1" x14ac:dyDescent="0.25">
      <c r="A116" s="116"/>
      <c r="B116" s="118"/>
      <c r="C116" s="115"/>
      <c r="D116" s="134"/>
    </row>
    <row r="117" spans="1:13" x14ac:dyDescent="0.25">
      <c r="A117" s="43" t="s">
        <v>9</v>
      </c>
      <c r="B117" s="117">
        <f>SUM(B115:B116)</f>
        <v>0</v>
      </c>
      <c r="C117" s="44"/>
    </row>
    <row r="118" spans="1:13" x14ac:dyDescent="0.25">
      <c r="M118" s="8"/>
    </row>
    <row r="119" spans="1:13" ht="15" customHeight="1" x14ac:dyDescent="0.25">
      <c r="A119" s="224"/>
      <c r="B119" s="224"/>
      <c r="C119" s="224"/>
      <c r="D119" s="224"/>
      <c r="E119" s="224"/>
    </row>
    <row r="120" spans="1:13" x14ac:dyDescent="0.25">
      <c r="A120" s="224"/>
      <c r="B120" s="224"/>
      <c r="C120" s="224"/>
      <c r="D120" s="224"/>
      <c r="E120" s="224"/>
    </row>
    <row r="121" spans="1:13" x14ac:dyDescent="0.25">
      <c r="A121" s="224"/>
      <c r="B121" s="224"/>
      <c r="C121" s="224"/>
      <c r="D121" s="224"/>
      <c r="E121" s="224"/>
    </row>
    <row r="122" spans="1:13" x14ac:dyDescent="0.25">
      <c r="A122" s="224"/>
      <c r="B122" s="224"/>
      <c r="C122" s="224"/>
      <c r="D122" s="224"/>
      <c r="E122" s="224"/>
    </row>
  </sheetData>
  <mergeCells count="14">
    <mergeCell ref="A36:B36"/>
    <mergeCell ref="A37:B37"/>
    <mergeCell ref="A52:B52"/>
    <mergeCell ref="A59:B59"/>
    <mergeCell ref="A119:E122"/>
    <mergeCell ref="A113:C114"/>
    <mergeCell ref="A73:B73"/>
    <mergeCell ref="A72:B72"/>
    <mergeCell ref="A74:B74"/>
    <mergeCell ref="A33:B33"/>
    <mergeCell ref="A32:B32"/>
    <mergeCell ref="B3:E3"/>
    <mergeCell ref="A13:E16"/>
    <mergeCell ref="B8:C1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"/>
  <sheetViews>
    <sheetView tabSelected="1" topLeftCell="A4" zoomScaleNormal="100" workbookViewId="0">
      <selection activeCell="H14" sqref="H14"/>
    </sheetView>
  </sheetViews>
  <sheetFormatPr baseColWidth="10" defaultColWidth="10.85546875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12.7109375" hidden="1" customWidth="1"/>
    <col min="10" max="12" width="12.42578125" customWidth="1"/>
    <col min="13" max="13" width="10.42578125" bestFit="1" customWidth="1"/>
    <col min="14" max="14" width="14.7109375" customWidth="1"/>
    <col min="15" max="15" width="12" hidden="1" customWidth="1"/>
    <col min="16" max="16" width="14.28515625" customWidth="1"/>
    <col min="17" max="17" width="0.140625" customWidth="1"/>
    <col min="18" max="18" width="12" bestFit="1" customWidth="1"/>
    <col min="19" max="19" width="13.5703125" bestFit="1" customWidth="1"/>
  </cols>
  <sheetData>
    <row r="1" spans="1:19" ht="12.95" customHeight="1" x14ac:dyDescent="0.25">
      <c r="A1" s="6"/>
      <c r="B1" s="6"/>
      <c r="C1" s="6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6"/>
      <c r="P1" s="6"/>
    </row>
    <row r="2" spans="1:19" ht="12.95" customHeight="1" x14ac:dyDescent="0.25">
      <c r="A2" s="6"/>
      <c r="B2" s="6"/>
      <c r="C2" s="6"/>
      <c r="D2" s="6" t="s">
        <v>82</v>
      </c>
      <c r="E2" s="6"/>
      <c r="F2" s="155">
        <v>86134.56</v>
      </c>
      <c r="G2" s="6"/>
      <c r="H2" s="6"/>
      <c r="I2" s="7"/>
      <c r="J2" s="6" t="s">
        <v>81</v>
      </c>
      <c r="K2" s="6"/>
      <c r="L2" s="6"/>
      <c r="M2" s="6"/>
      <c r="N2" s="126">
        <v>5580009.3700000001</v>
      </c>
      <c r="O2" s="54"/>
      <c r="P2" s="54"/>
      <c r="Q2" s="21"/>
    </row>
    <row r="3" spans="1:19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8"/>
      <c r="O3" s="58"/>
      <c r="P3" s="58"/>
    </row>
    <row r="4" spans="1:19" ht="12.95" customHeight="1" x14ac:dyDescent="0.25">
      <c r="A4" s="236" t="s">
        <v>130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8"/>
    </row>
    <row r="5" spans="1:19" ht="12.95" customHeight="1" thickBot="1" x14ac:dyDescent="0.3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1"/>
    </row>
    <row r="6" spans="1:19" x14ac:dyDescent="0.25">
      <c r="A6" s="242" t="s">
        <v>5</v>
      </c>
      <c r="B6" s="242" t="s">
        <v>6</v>
      </c>
      <c r="C6" s="242" t="s">
        <v>27</v>
      </c>
      <c r="D6" s="242" t="s">
        <v>11</v>
      </c>
      <c r="E6" s="228" t="s">
        <v>49</v>
      </c>
      <c r="F6" s="231" t="s">
        <v>7</v>
      </c>
      <c r="G6" s="232" t="s">
        <v>30</v>
      </c>
      <c r="H6" s="228" t="s">
        <v>43</v>
      </c>
      <c r="I6" s="228" t="s">
        <v>8</v>
      </c>
      <c r="J6" s="228" t="s">
        <v>26</v>
      </c>
      <c r="K6" s="228" t="s">
        <v>109</v>
      </c>
      <c r="L6" s="228" t="s">
        <v>129</v>
      </c>
      <c r="M6" s="234" t="s">
        <v>80</v>
      </c>
      <c r="N6" s="193" t="s">
        <v>37</v>
      </c>
      <c r="O6" s="230" t="s">
        <v>25</v>
      </c>
      <c r="P6" s="226" t="s">
        <v>36</v>
      </c>
      <c r="S6" s="126">
        <v>4966143.9300000006</v>
      </c>
    </row>
    <row r="7" spans="1:19" ht="15.75" customHeight="1" x14ac:dyDescent="0.25">
      <c r="A7" s="242"/>
      <c r="B7" s="242"/>
      <c r="C7" s="243"/>
      <c r="D7" s="242"/>
      <c r="E7" s="229"/>
      <c r="F7" s="231"/>
      <c r="G7" s="233"/>
      <c r="H7" s="229"/>
      <c r="I7" s="228"/>
      <c r="J7" s="229"/>
      <c r="K7" s="229"/>
      <c r="L7" s="229"/>
      <c r="M7" s="235"/>
      <c r="N7" s="59" t="str">
        <f>RESUMEN!B8</f>
        <v>VTO 16/10</v>
      </c>
      <c r="O7" s="230"/>
      <c r="P7" s="226"/>
    </row>
    <row r="8" spans="1:19" ht="17.100000000000001" customHeight="1" x14ac:dyDescent="0.25">
      <c r="A8" s="159">
        <v>1</v>
      </c>
      <c r="B8" s="159" t="s">
        <v>56</v>
      </c>
      <c r="C8" s="61"/>
      <c r="D8" s="70">
        <v>6.69</v>
      </c>
      <c r="E8" s="71">
        <v>379065.01</v>
      </c>
      <c r="F8" s="72">
        <f>E8</f>
        <v>379065.01</v>
      </c>
      <c r="G8" s="73">
        <f t="shared" ref="G8:G25" si="0">E8-F8</f>
        <v>0</v>
      </c>
      <c r="H8" s="73">
        <f>IF(G8&gt;0,G8*3%,0)</f>
        <v>0</v>
      </c>
      <c r="I8" s="74">
        <v>0</v>
      </c>
      <c r="J8" s="75">
        <f>N$2*D8/100</f>
        <v>373302.62685300002</v>
      </c>
      <c r="K8" s="156"/>
      <c r="L8" s="156"/>
      <c r="M8" s="156">
        <f t="shared" ref="M8:M25" si="1">F$2*D8/100</f>
        <v>5762.4020639999999</v>
      </c>
      <c r="N8" s="77">
        <f>ROUND(SUM(G8:M8),0) + Q8</f>
        <v>379065.01</v>
      </c>
      <c r="O8" s="78">
        <f>ROUND(N8*6% + N8,0) + Q8</f>
        <v>401809.01</v>
      </c>
      <c r="P8" s="79">
        <f>ROUND(N8*3%,0) + N8</f>
        <v>390437.01</v>
      </c>
      <c r="Q8" s="42">
        <v>0.01</v>
      </c>
    </row>
    <row r="9" spans="1:19" ht="17.100000000000001" customHeight="1" x14ac:dyDescent="0.25">
      <c r="A9" s="159">
        <f>A8+1</f>
        <v>2</v>
      </c>
      <c r="B9" s="159" t="s">
        <v>57</v>
      </c>
      <c r="C9" s="62"/>
      <c r="D9" s="70">
        <v>5.88</v>
      </c>
      <c r="E9" s="71">
        <v>3442518.02</v>
      </c>
      <c r="F9" s="72"/>
      <c r="G9" s="73">
        <f t="shared" si="0"/>
        <v>3442518.02</v>
      </c>
      <c r="H9" s="73">
        <f t="shared" ref="H9:H25" si="2">IF(G9&gt;0,G9*3%,0)</f>
        <v>103275.54059999999</v>
      </c>
      <c r="I9" s="74">
        <v>0</v>
      </c>
      <c r="J9" s="75">
        <f t="shared" ref="J9:J25" si="3">N$2*D9%</f>
        <v>328104.55095599999</v>
      </c>
      <c r="K9" s="156">
        <f>24000+99500</f>
        <v>123500</v>
      </c>
      <c r="L9" s="156"/>
      <c r="M9" s="156">
        <f t="shared" si="1"/>
        <v>5064.7121280000001</v>
      </c>
      <c r="N9" s="77">
        <f t="shared" ref="N9:N25" si="4">ROUND(SUM(G9:M9),0) + Q9</f>
        <v>4002463.02</v>
      </c>
      <c r="O9" s="78">
        <f t="shared" ref="O9:O25" si="5">ROUND(N9*6% + N9,0) + Q9</f>
        <v>4242611.0199999996</v>
      </c>
      <c r="P9" s="79">
        <f t="shared" ref="P9:P25" si="6">ROUND(N9*3%,0) + N9</f>
        <v>4122537.02</v>
      </c>
      <c r="Q9" s="42">
        <f>Q8+0.01</f>
        <v>0.02</v>
      </c>
      <c r="R9" s="42"/>
    </row>
    <row r="10" spans="1:19" ht="17.100000000000001" customHeight="1" x14ac:dyDescent="0.25">
      <c r="A10" s="159">
        <f t="shared" ref="A10:A25" si="7">A9+1</f>
        <v>3</v>
      </c>
      <c r="B10" s="159" t="s">
        <v>58</v>
      </c>
      <c r="C10" s="160"/>
      <c r="D10" s="161">
        <v>6.65</v>
      </c>
      <c r="E10" s="72">
        <v>954477.03</v>
      </c>
      <c r="F10" s="72">
        <v>400000.03</v>
      </c>
      <c r="G10" s="73">
        <f t="shared" si="0"/>
        <v>554477</v>
      </c>
      <c r="H10" s="73">
        <f t="shared" si="2"/>
        <v>16634.309999999998</v>
      </c>
      <c r="I10" s="74">
        <v>0</v>
      </c>
      <c r="J10" s="75">
        <f t="shared" si="3"/>
        <v>371070.62310500001</v>
      </c>
      <c r="K10" s="156"/>
      <c r="L10" s="156"/>
      <c r="M10" s="156">
        <f t="shared" si="1"/>
        <v>5727.9482400000006</v>
      </c>
      <c r="N10" s="77">
        <f t="shared" si="4"/>
        <v>947910.03</v>
      </c>
      <c r="O10" s="78">
        <f t="shared" si="5"/>
        <v>1004785.03</v>
      </c>
      <c r="P10" s="79">
        <f t="shared" si="6"/>
        <v>976347.03</v>
      </c>
      <c r="Q10" s="42">
        <f t="shared" ref="Q10:Q26" si="8">Q9+0.01</f>
        <v>0.03</v>
      </c>
    </row>
    <row r="11" spans="1:19" ht="17.100000000000001" customHeight="1" x14ac:dyDescent="0.25">
      <c r="A11" s="159">
        <f t="shared" si="7"/>
        <v>4</v>
      </c>
      <c r="B11" s="159" t="s">
        <v>59</v>
      </c>
      <c r="C11" s="62"/>
      <c r="D11" s="70">
        <v>6.73</v>
      </c>
      <c r="E11" s="71">
        <v>381331.04</v>
      </c>
      <c r="F11" s="72">
        <f>E11</f>
        <v>381331.04</v>
      </c>
      <c r="G11" s="73">
        <f t="shared" si="0"/>
        <v>0</v>
      </c>
      <c r="H11" s="73">
        <f t="shared" si="2"/>
        <v>0</v>
      </c>
      <c r="I11" s="74">
        <v>0</v>
      </c>
      <c r="J11" s="75">
        <f t="shared" si="3"/>
        <v>375534.63060099998</v>
      </c>
      <c r="K11" s="156"/>
      <c r="L11" s="156"/>
      <c r="M11" s="156">
        <f t="shared" si="1"/>
        <v>5796.855888</v>
      </c>
      <c r="N11" s="77">
        <f t="shared" si="4"/>
        <v>381331.04</v>
      </c>
      <c r="O11" s="78">
        <f t="shared" si="5"/>
        <v>404211.04</v>
      </c>
      <c r="P11" s="79">
        <f t="shared" si="6"/>
        <v>392771.04</v>
      </c>
      <c r="Q11" s="42">
        <f t="shared" si="8"/>
        <v>0.04</v>
      </c>
      <c r="S11" s="42"/>
    </row>
    <row r="12" spans="1:19" ht="17.100000000000001" customHeight="1" x14ac:dyDescent="0.25">
      <c r="A12" s="159">
        <f t="shared" si="7"/>
        <v>5</v>
      </c>
      <c r="B12" s="159" t="s">
        <v>60</v>
      </c>
      <c r="C12" s="62"/>
      <c r="D12" s="70">
        <v>8.0399999999999991</v>
      </c>
      <c r="E12" s="71">
        <v>469225.05</v>
      </c>
      <c r="F12" s="72">
        <f>E12</f>
        <v>469225.05</v>
      </c>
      <c r="G12" s="73">
        <f t="shared" si="0"/>
        <v>0</v>
      </c>
      <c r="H12" s="73">
        <f t="shared" si="2"/>
        <v>0</v>
      </c>
      <c r="I12" s="74">
        <v>0</v>
      </c>
      <c r="J12" s="75">
        <f t="shared" si="3"/>
        <v>448632.75334799994</v>
      </c>
      <c r="K12" s="156"/>
      <c r="L12" s="156"/>
      <c r="M12" s="156">
        <f t="shared" si="1"/>
        <v>6925.2186239999983</v>
      </c>
      <c r="N12" s="77">
        <f t="shared" si="4"/>
        <v>455558.05</v>
      </c>
      <c r="O12" s="78">
        <f t="shared" si="5"/>
        <v>482892.05</v>
      </c>
      <c r="P12" s="79">
        <f t="shared" si="6"/>
        <v>469225.05</v>
      </c>
      <c r="Q12" s="42">
        <f t="shared" si="8"/>
        <v>0.05</v>
      </c>
      <c r="R12" t="s">
        <v>97</v>
      </c>
      <c r="S12" s="42"/>
    </row>
    <row r="13" spans="1:19" ht="17.100000000000001" customHeight="1" x14ac:dyDescent="0.25">
      <c r="A13" s="159">
        <f t="shared" si="7"/>
        <v>6</v>
      </c>
      <c r="B13" s="159" t="s">
        <v>61</v>
      </c>
      <c r="C13" s="159"/>
      <c r="D13" s="161">
        <v>4.7300000000000004</v>
      </c>
      <c r="E13" s="72">
        <v>18009.060000000001</v>
      </c>
      <c r="F13" s="72">
        <f>E13+RESUMEN!D57</f>
        <v>268009.06</v>
      </c>
      <c r="G13" s="194">
        <f t="shared" si="0"/>
        <v>-250000</v>
      </c>
      <c r="H13" s="194">
        <f t="shared" si="2"/>
        <v>0</v>
      </c>
      <c r="I13" s="195">
        <v>0</v>
      </c>
      <c r="J13" s="196">
        <f t="shared" si="3"/>
        <v>263934.44320099999</v>
      </c>
      <c r="K13" s="197"/>
      <c r="L13" s="197"/>
      <c r="M13" s="197">
        <f t="shared" si="1"/>
        <v>4074.1646880000003</v>
      </c>
      <c r="N13" s="198">
        <f t="shared" si="4"/>
        <v>18009.060000000001</v>
      </c>
      <c r="O13" s="199">
        <f t="shared" si="5"/>
        <v>19090.060000000001</v>
      </c>
      <c r="P13" s="200">
        <f t="shared" si="6"/>
        <v>18549.060000000001</v>
      </c>
      <c r="Q13" s="42">
        <f t="shared" si="8"/>
        <v>6.0000000000000005E-2</v>
      </c>
    </row>
    <row r="14" spans="1:19" ht="17.100000000000001" customHeight="1" x14ac:dyDescent="0.25">
      <c r="A14" s="201">
        <f t="shared" si="7"/>
        <v>7</v>
      </c>
      <c r="B14" s="201" t="s">
        <v>62</v>
      </c>
      <c r="C14" s="201"/>
      <c r="D14" s="202">
        <v>5.67</v>
      </c>
      <c r="E14" s="203">
        <v>515000</v>
      </c>
      <c r="F14" s="203">
        <f>670000-155000</f>
        <v>515000</v>
      </c>
      <c r="G14" s="204">
        <f t="shared" si="0"/>
        <v>0</v>
      </c>
      <c r="H14" s="204">
        <v>0</v>
      </c>
      <c r="I14" s="205">
        <v>0</v>
      </c>
      <c r="J14" s="206">
        <f t="shared" si="3"/>
        <v>316386.53127899999</v>
      </c>
      <c r="K14" s="207"/>
      <c r="L14" s="207">
        <v>180000</v>
      </c>
      <c r="M14" s="207">
        <f t="shared" si="1"/>
        <v>4883.8295519999992</v>
      </c>
      <c r="N14" s="208">
        <f t="shared" si="4"/>
        <v>501270.07</v>
      </c>
      <c r="O14" s="209">
        <f t="shared" si="5"/>
        <v>531346.06999999995</v>
      </c>
      <c r="P14" s="210">
        <f t="shared" si="6"/>
        <v>516308.07</v>
      </c>
      <c r="Q14" s="42">
        <f t="shared" si="8"/>
        <v>7.0000000000000007E-2</v>
      </c>
      <c r="R14" t="s">
        <v>131</v>
      </c>
    </row>
    <row r="15" spans="1:19" ht="17.100000000000001" customHeight="1" x14ac:dyDescent="0.25">
      <c r="A15" s="159">
        <f t="shared" si="7"/>
        <v>8</v>
      </c>
      <c r="B15" s="159" t="s">
        <v>63</v>
      </c>
      <c r="C15" s="62"/>
      <c r="D15" s="70">
        <v>5.67</v>
      </c>
      <c r="E15" s="71">
        <v>321270.08</v>
      </c>
      <c r="F15" s="72">
        <v>0</v>
      </c>
      <c r="G15" s="73">
        <f t="shared" si="0"/>
        <v>321270.08</v>
      </c>
      <c r="H15" s="73">
        <f t="shared" si="2"/>
        <v>9638.1023999999998</v>
      </c>
      <c r="I15" s="74">
        <v>0</v>
      </c>
      <c r="J15" s="75">
        <f t="shared" si="3"/>
        <v>316386.53127899999</v>
      </c>
      <c r="K15" s="156"/>
      <c r="L15" s="156"/>
      <c r="M15" s="156">
        <f t="shared" si="1"/>
        <v>4883.8295519999992</v>
      </c>
      <c r="N15" s="77">
        <f t="shared" si="4"/>
        <v>652179.07999999996</v>
      </c>
      <c r="O15" s="78">
        <f t="shared" si="5"/>
        <v>691310.07999999996</v>
      </c>
      <c r="P15" s="79">
        <f t="shared" si="6"/>
        <v>671744.08</v>
      </c>
      <c r="Q15" s="42">
        <f t="shared" si="8"/>
        <v>0.08</v>
      </c>
      <c r="S15" t="s">
        <v>84</v>
      </c>
    </row>
    <row r="16" spans="1:19" ht="17.100000000000001" customHeight="1" x14ac:dyDescent="0.25">
      <c r="A16" s="159">
        <f t="shared" si="7"/>
        <v>9</v>
      </c>
      <c r="B16" s="159" t="s">
        <v>64</v>
      </c>
      <c r="C16" s="62"/>
      <c r="D16" s="70">
        <v>7.67</v>
      </c>
      <c r="E16" s="71">
        <v>434593.09</v>
      </c>
      <c r="F16" s="72">
        <f>E16</f>
        <v>434593.09</v>
      </c>
      <c r="G16" s="73">
        <f t="shared" si="0"/>
        <v>0</v>
      </c>
      <c r="H16" s="73">
        <f t="shared" si="2"/>
        <v>0</v>
      </c>
      <c r="I16" s="74">
        <v>0</v>
      </c>
      <c r="J16" s="75">
        <f t="shared" si="3"/>
        <v>427986.71867900004</v>
      </c>
      <c r="K16" s="156"/>
      <c r="L16" s="156"/>
      <c r="M16" s="156">
        <f t="shared" si="1"/>
        <v>6606.5207519999994</v>
      </c>
      <c r="N16" s="77">
        <f t="shared" si="4"/>
        <v>434593.09</v>
      </c>
      <c r="O16" s="78">
        <f t="shared" si="5"/>
        <v>460669.09</v>
      </c>
      <c r="P16" s="79">
        <f t="shared" si="6"/>
        <v>447631.09</v>
      </c>
      <c r="Q16" s="42">
        <f t="shared" si="8"/>
        <v>0.09</v>
      </c>
    </row>
    <row r="17" spans="1:22" ht="17.100000000000001" customHeight="1" x14ac:dyDescent="0.25">
      <c r="A17" s="159">
        <f t="shared" si="7"/>
        <v>10</v>
      </c>
      <c r="B17" s="159" t="s">
        <v>65</v>
      </c>
      <c r="C17" s="62"/>
      <c r="D17" s="70">
        <v>4.9000000000000004</v>
      </c>
      <c r="E17" s="71">
        <v>277641.09999999998</v>
      </c>
      <c r="F17" s="72">
        <f>E17</f>
        <v>277641.09999999998</v>
      </c>
      <c r="G17" s="73">
        <f t="shared" si="0"/>
        <v>0</v>
      </c>
      <c r="H17" s="73">
        <f t="shared" si="2"/>
        <v>0</v>
      </c>
      <c r="I17" s="74">
        <v>0</v>
      </c>
      <c r="J17" s="75">
        <f t="shared" si="3"/>
        <v>273420.45913000003</v>
      </c>
      <c r="K17" s="156"/>
      <c r="L17" s="156"/>
      <c r="M17" s="156">
        <f t="shared" si="1"/>
        <v>4220.5934400000006</v>
      </c>
      <c r="N17" s="77">
        <f t="shared" si="4"/>
        <v>277641.09999999998</v>
      </c>
      <c r="O17" s="78">
        <f t="shared" si="5"/>
        <v>294300.09999999998</v>
      </c>
      <c r="P17" s="79">
        <f t="shared" si="6"/>
        <v>285970.09999999998</v>
      </c>
      <c r="Q17" s="42">
        <f t="shared" si="8"/>
        <v>9.9999999999999992E-2</v>
      </c>
    </row>
    <row r="18" spans="1:22" ht="17.100000000000001" customHeight="1" x14ac:dyDescent="0.25">
      <c r="A18" s="159">
        <f t="shared" si="7"/>
        <v>11</v>
      </c>
      <c r="B18" s="159" t="s">
        <v>66</v>
      </c>
      <c r="C18" s="62"/>
      <c r="D18" s="70">
        <v>5.63</v>
      </c>
      <c r="E18" s="71">
        <v>319004.11</v>
      </c>
      <c r="F18" s="72">
        <f>E18</f>
        <v>319004.11</v>
      </c>
      <c r="G18" s="73">
        <f t="shared" si="0"/>
        <v>0</v>
      </c>
      <c r="H18" s="73">
        <f t="shared" si="2"/>
        <v>0</v>
      </c>
      <c r="I18" s="74">
        <v>0</v>
      </c>
      <c r="J18" s="75">
        <f t="shared" si="3"/>
        <v>314154.52753099997</v>
      </c>
      <c r="K18" s="156"/>
      <c r="L18" s="156"/>
      <c r="M18" s="156">
        <f t="shared" si="1"/>
        <v>4849.375728</v>
      </c>
      <c r="N18" s="77">
        <f t="shared" si="4"/>
        <v>319004.11</v>
      </c>
      <c r="O18" s="78">
        <f t="shared" si="5"/>
        <v>338144.11</v>
      </c>
      <c r="P18" s="79">
        <f t="shared" si="6"/>
        <v>328574.11</v>
      </c>
      <c r="Q18" s="42">
        <f t="shared" si="8"/>
        <v>0.10999999999999999</v>
      </c>
    </row>
    <row r="19" spans="1:22" ht="17.100000000000001" customHeight="1" x14ac:dyDescent="0.25">
      <c r="A19" s="159">
        <f t="shared" si="7"/>
        <v>12</v>
      </c>
      <c r="B19" s="159" t="s">
        <v>67</v>
      </c>
      <c r="C19" s="62"/>
      <c r="D19" s="70">
        <v>5.55</v>
      </c>
      <c r="E19" s="71">
        <v>314471.12</v>
      </c>
      <c r="F19" s="72">
        <f t="shared" ref="F19" si="9">E19</f>
        <v>314471.12</v>
      </c>
      <c r="G19" s="73">
        <f t="shared" si="0"/>
        <v>0</v>
      </c>
      <c r="H19" s="73">
        <f t="shared" si="2"/>
        <v>0</v>
      </c>
      <c r="I19" s="74">
        <v>0</v>
      </c>
      <c r="J19" s="75">
        <f t="shared" si="3"/>
        <v>309690.52003499999</v>
      </c>
      <c r="K19" s="156"/>
      <c r="L19" s="156"/>
      <c r="M19" s="156">
        <f t="shared" si="1"/>
        <v>4780.4680799999996</v>
      </c>
      <c r="N19" s="77">
        <f t="shared" si="4"/>
        <v>314471.12</v>
      </c>
      <c r="O19" s="78">
        <f t="shared" si="5"/>
        <v>333339.12</v>
      </c>
      <c r="P19" s="79">
        <f t="shared" si="6"/>
        <v>323905.12</v>
      </c>
      <c r="Q19" s="42">
        <f t="shared" si="8"/>
        <v>0.11999999999999998</v>
      </c>
    </row>
    <row r="20" spans="1:22" ht="17.100000000000001" customHeight="1" x14ac:dyDescent="0.25">
      <c r="A20" s="159">
        <f t="shared" si="7"/>
        <v>13</v>
      </c>
      <c r="B20" s="159" t="s">
        <v>68</v>
      </c>
      <c r="C20" s="62"/>
      <c r="D20" s="70">
        <v>11.06</v>
      </c>
      <c r="E20" s="71">
        <v>626676.13</v>
      </c>
      <c r="F20" s="72">
        <f>E20</f>
        <v>626676.13</v>
      </c>
      <c r="G20" s="73">
        <f t="shared" si="0"/>
        <v>0</v>
      </c>
      <c r="H20" s="73">
        <f t="shared" si="2"/>
        <v>0</v>
      </c>
      <c r="I20" s="74">
        <v>0</v>
      </c>
      <c r="J20" s="75">
        <f t="shared" si="3"/>
        <v>617149.03632200009</v>
      </c>
      <c r="K20" s="156"/>
      <c r="L20" s="156"/>
      <c r="M20" s="156">
        <f t="shared" si="1"/>
        <v>9526.4823360000009</v>
      </c>
      <c r="N20" s="77">
        <f t="shared" si="4"/>
        <v>626676.13</v>
      </c>
      <c r="O20" s="78">
        <f t="shared" si="5"/>
        <v>664277.13</v>
      </c>
      <c r="P20" s="79">
        <f t="shared" si="6"/>
        <v>645476.13</v>
      </c>
      <c r="Q20" s="42">
        <f t="shared" si="8"/>
        <v>0.12999999999999998</v>
      </c>
    </row>
    <row r="21" spans="1:22" ht="17.100000000000001" customHeight="1" x14ac:dyDescent="0.25">
      <c r="A21" s="159">
        <f t="shared" si="7"/>
        <v>14</v>
      </c>
      <c r="B21" s="159" t="s">
        <v>69</v>
      </c>
      <c r="C21" s="62"/>
      <c r="D21" s="70">
        <v>3.3</v>
      </c>
      <c r="E21" s="71">
        <v>192926.14</v>
      </c>
      <c r="F21" s="72">
        <f>184140.14+2842.14</f>
        <v>186982.28000000003</v>
      </c>
      <c r="G21" s="73">
        <f t="shared" si="0"/>
        <v>5943.859999999986</v>
      </c>
      <c r="H21" s="73">
        <f t="shared" si="2"/>
        <v>178.31579999999957</v>
      </c>
      <c r="I21" s="74">
        <v>0</v>
      </c>
      <c r="J21" s="75">
        <f t="shared" si="3"/>
        <v>184140.30921000001</v>
      </c>
      <c r="K21" s="156"/>
      <c r="L21" s="156"/>
      <c r="M21" s="156">
        <f t="shared" si="1"/>
        <v>2842.4404799999993</v>
      </c>
      <c r="N21" s="77">
        <f t="shared" si="4"/>
        <v>193105.14</v>
      </c>
      <c r="O21" s="78">
        <f t="shared" si="5"/>
        <v>204691.14</v>
      </c>
      <c r="P21" s="79">
        <f t="shared" si="6"/>
        <v>198898.14</v>
      </c>
      <c r="Q21" s="42">
        <f t="shared" si="8"/>
        <v>0.13999999999999999</v>
      </c>
      <c r="R21" t="s">
        <v>101</v>
      </c>
    </row>
    <row r="22" spans="1:22" ht="17.100000000000001" customHeight="1" x14ac:dyDescent="0.25">
      <c r="A22" s="159">
        <f t="shared" si="7"/>
        <v>15</v>
      </c>
      <c r="B22" s="159" t="s">
        <v>70</v>
      </c>
      <c r="C22" s="160"/>
      <c r="D22" s="161">
        <v>1.8</v>
      </c>
      <c r="E22" s="72">
        <v>101991.15</v>
      </c>
      <c r="F22" s="72">
        <f>E22</f>
        <v>101991.15</v>
      </c>
      <c r="G22" s="73">
        <f t="shared" si="0"/>
        <v>0</v>
      </c>
      <c r="H22" s="73">
        <f t="shared" si="2"/>
        <v>0</v>
      </c>
      <c r="I22" s="74">
        <v>0</v>
      </c>
      <c r="J22" s="75">
        <f t="shared" si="3"/>
        <v>100440.16866000001</v>
      </c>
      <c r="K22" s="156"/>
      <c r="L22" s="156"/>
      <c r="M22" s="156">
        <f t="shared" si="1"/>
        <v>1550.4220800000001</v>
      </c>
      <c r="N22" s="77">
        <f t="shared" si="4"/>
        <v>101991.15</v>
      </c>
      <c r="O22" s="78">
        <f t="shared" si="5"/>
        <v>108111.15</v>
      </c>
      <c r="P22" s="79">
        <f t="shared" si="6"/>
        <v>105051.15</v>
      </c>
      <c r="Q22" s="42">
        <f t="shared" si="8"/>
        <v>0.15</v>
      </c>
      <c r="R22" t="s">
        <v>100</v>
      </c>
    </row>
    <row r="23" spans="1:22" ht="17.100000000000001" customHeight="1" x14ac:dyDescent="0.25">
      <c r="A23" s="61">
        <f t="shared" si="7"/>
        <v>16</v>
      </c>
      <c r="B23" s="61" t="s">
        <v>71</v>
      </c>
      <c r="C23" s="61"/>
      <c r="D23" s="70">
        <v>3.22</v>
      </c>
      <c r="E23" s="71">
        <v>182450.16</v>
      </c>
      <c r="F23" s="72">
        <f>E23</f>
        <v>182450.16</v>
      </c>
      <c r="G23" s="73">
        <f t="shared" si="0"/>
        <v>0</v>
      </c>
      <c r="H23" s="73">
        <f t="shared" si="2"/>
        <v>0</v>
      </c>
      <c r="I23" s="74">
        <v>0</v>
      </c>
      <c r="J23" s="75">
        <f t="shared" si="3"/>
        <v>179676.301714</v>
      </c>
      <c r="K23" s="156"/>
      <c r="L23" s="156"/>
      <c r="M23" s="156">
        <f t="shared" si="1"/>
        <v>2773.5328319999999</v>
      </c>
      <c r="N23" s="77">
        <f t="shared" si="4"/>
        <v>182450.16</v>
      </c>
      <c r="O23" s="78">
        <f t="shared" si="5"/>
        <v>193397.16</v>
      </c>
      <c r="P23" s="79">
        <f t="shared" si="6"/>
        <v>187924.16</v>
      </c>
      <c r="Q23" s="42">
        <f t="shared" si="8"/>
        <v>0.16</v>
      </c>
      <c r="R23" s="120"/>
      <c r="S23" s="162"/>
      <c r="T23" s="162"/>
      <c r="U23" s="162"/>
      <c r="V23" s="162"/>
    </row>
    <row r="24" spans="1:22" ht="17.100000000000001" customHeight="1" x14ac:dyDescent="0.25">
      <c r="A24" s="61">
        <f t="shared" si="7"/>
        <v>17</v>
      </c>
      <c r="B24" s="61" t="s">
        <v>72</v>
      </c>
      <c r="C24" s="62"/>
      <c r="D24" s="70">
        <v>2.61</v>
      </c>
      <c r="E24" s="72">
        <v>289833.17</v>
      </c>
      <c r="F24" s="72">
        <f>E24</f>
        <v>289833.17</v>
      </c>
      <c r="G24" s="73">
        <f t="shared" si="0"/>
        <v>0</v>
      </c>
      <c r="H24" s="73">
        <f t="shared" si="2"/>
        <v>0</v>
      </c>
      <c r="I24" s="74">
        <v>0</v>
      </c>
      <c r="J24" s="75">
        <f t="shared" si="3"/>
        <v>145638.244557</v>
      </c>
      <c r="K24" s="156"/>
      <c r="L24" s="156"/>
      <c r="M24" s="156">
        <f t="shared" si="1"/>
        <v>2248.1120159999996</v>
      </c>
      <c r="N24" s="77">
        <f t="shared" si="4"/>
        <v>147886.17000000001</v>
      </c>
      <c r="O24" s="78">
        <f t="shared" si="5"/>
        <v>156759.17000000001</v>
      </c>
      <c r="P24" s="79">
        <f t="shared" si="6"/>
        <v>152323.17000000001</v>
      </c>
      <c r="Q24" s="42">
        <f t="shared" si="8"/>
        <v>0.17</v>
      </c>
      <c r="R24" s="120" t="s">
        <v>98</v>
      </c>
      <c r="S24" s="162"/>
      <c r="T24" s="162"/>
      <c r="U24" s="162"/>
      <c r="V24" s="162"/>
    </row>
    <row r="25" spans="1:22" ht="17.100000000000001" customHeight="1" x14ac:dyDescent="0.25">
      <c r="A25" s="61">
        <f t="shared" si="7"/>
        <v>18</v>
      </c>
      <c r="B25" s="61" t="s">
        <v>73</v>
      </c>
      <c r="C25" s="125"/>
      <c r="D25" s="70">
        <v>4.28</v>
      </c>
      <c r="E25" s="71">
        <v>182511.18</v>
      </c>
      <c r="F25" s="72">
        <f>E25+RESUMEN!D58</f>
        <v>242511.18</v>
      </c>
      <c r="G25" s="73">
        <f t="shared" si="0"/>
        <v>-60000</v>
      </c>
      <c r="H25" s="73">
        <f t="shared" si="2"/>
        <v>0</v>
      </c>
      <c r="I25" s="74">
        <v>0</v>
      </c>
      <c r="J25" s="75">
        <f t="shared" si="3"/>
        <v>238824.40103600002</v>
      </c>
      <c r="K25" s="156"/>
      <c r="L25" s="156"/>
      <c r="M25" s="156">
        <f t="shared" si="1"/>
        <v>3686.5591680000002</v>
      </c>
      <c r="N25" s="77">
        <f t="shared" si="4"/>
        <v>182511.18</v>
      </c>
      <c r="O25" s="78">
        <f t="shared" si="5"/>
        <v>193462.18</v>
      </c>
      <c r="P25" s="79">
        <f t="shared" si="6"/>
        <v>187986.18</v>
      </c>
      <c r="Q25" s="42">
        <f t="shared" si="8"/>
        <v>0.18000000000000002</v>
      </c>
      <c r="R25" s="162"/>
      <c r="S25" s="162"/>
      <c r="T25" s="162"/>
      <c r="U25" s="162"/>
      <c r="V25" s="162"/>
    </row>
    <row r="26" spans="1:22" ht="17.100000000000001" customHeight="1" x14ac:dyDescent="0.25">
      <c r="A26" s="61"/>
      <c r="B26" s="61"/>
      <c r="C26" s="62"/>
      <c r="D26" s="70"/>
      <c r="E26" s="71"/>
      <c r="F26" s="176"/>
      <c r="G26" s="73"/>
      <c r="H26" s="73"/>
      <c r="I26" s="74"/>
      <c r="J26" s="75"/>
      <c r="K26" s="156"/>
      <c r="L26" s="156"/>
      <c r="M26" s="76"/>
      <c r="N26" s="77"/>
      <c r="O26" s="78"/>
      <c r="P26" s="79"/>
      <c r="Q26" s="42">
        <f t="shared" si="8"/>
        <v>0.19000000000000003</v>
      </c>
    </row>
    <row r="27" spans="1:22" ht="16.5" hidden="1" customHeight="1" x14ac:dyDescent="0.25">
      <c r="A27" s="80"/>
      <c r="B27" s="61"/>
      <c r="C27" s="62"/>
      <c r="D27" s="70"/>
      <c r="E27" s="82"/>
      <c r="F27" s="83"/>
      <c r="G27" s="84"/>
      <c r="H27" s="73"/>
      <c r="I27" s="74"/>
      <c r="J27" s="85"/>
      <c r="K27" s="175"/>
      <c r="L27" s="175"/>
      <c r="M27" s="86"/>
      <c r="N27" s="77"/>
      <c r="O27" s="78"/>
      <c r="P27" s="79"/>
      <c r="Q27" s="42"/>
    </row>
    <row r="28" spans="1:22" ht="22.5" hidden="1" customHeight="1" thickBot="1" x14ac:dyDescent="0.3">
      <c r="A28" s="80"/>
      <c r="B28" s="63"/>
      <c r="C28" s="62"/>
      <c r="D28" s="70"/>
      <c r="E28" s="82"/>
      <c r="F28" s="83"/>
      <c r="G28" s="84"/>
      <c r="H28" s="73"/>
      <c r="I28" s="74"/>
      <c r="J28" s="85"/>
      <c r="K28" s="175"/>
      <c r="L28" s="175"/>
      <c r="M28" s="86"/>
      <c r="N28" s="77"/>
      <c r="O28" s="78"/>
      <c r="P28" s="79"/>
      <c r="Q28" s="42"/>
    </row>
    <row r="29" spans="1:22" ht="16.5" hidden="1" customHeight="1" thickBot="1" x14ac:dyDescent="0.3">
      <c r="A29" s="81"/>
      <c r="B29" s="61"/>
      <c r="C29" s="62"/>
      <c r="D29" s="70"/>
      <c r="E29" s="82"/>
      <c r="F29" s="83"/>
      <c r="G29" s="84"/>
      <c r="H29" s="73"/>
      <c r="I29" s="74"/>
      <c r="J29" s="85"/>
      <c r="K29" s="175"/>
      <c r="L29" s="175"/>
      <c r="M29" s="86"/>
      <c r="N29" s="77"/>
      <c r="O29" s="78"/>
      <c r="P29" s="79"/>
      <c r="Q29" s="42"/>
    </row>
    <row r="30" spans="1:22" ht="17.100000000000001" customHeight="1" thickBot="1" x14ac:dyDescent="0.3">
      <c r="A30" s="61"/>
      <c r="B30" s="87"/>
      <c r="C30" s="87"/>
      <c r="D30" s="70"/>
      <c r="E30" s="82"/>
      <c r="F30" s="83"/>
      <c r="G30" s="84"/>
      <c r="H30" s="73"/>
      <c r="I30" s="74"/>
      <c r="J30" s="85"/>
      <c r="K30" s="175"/>
      <c r="L30" s="175"/>
      <c r="M30" s="86"/>
      <c r="N30" s="88"/>
      <c r="O30" s="89"/>
      <c r="P30" s="90"/>
      <c r="Q30" s="42"/>
    </row>
    <row r="31" spans="1:22" ht="17.100000000000001" customHeight="1" thickBot="1" x14ac:dyDescent="0.3">
      <c r="A31" s="91"/>
      <c r="B31" s="92"/>
      <c r="C31" s="92"/>
      <c r="D31" s="93">
        <f>SUM(D8:D30)</f>
        <v>100.08</v>
      </c>
      <c r="E31" s="52">
        <f>SUM(E8:E30)</f>
        <v>9402992.6400000006</v>
      </c>
      <c r="F31" s="60">
        <f>SUM(F8:F30)</f>
        <v>5388783.6800000006</v>
      </c>
      <c r="G31" s="60">
        <f>SUM(G8:G30)</f>
        <v>4014208.96</v>
      </c>
      <c r="H31" s="60">
        <f t="shared" ref="H31:O31" si="10">SUM(H8:H30)</f>
        <v>129726.26879999999</v>
      </c>
      <c r="I31" s="60">
        <f t="shared" si="10"/>
        <v>0</v>
      </c>
      <c r="J31" s="129">
        <f t="shared" si="10"/>
        <v>5584473.3774959994</v>
      </c>
      <c r="K31" s="129"/>
      <c r="L31" s="129"/>
      <c r="M31" s="60">
        <f t="shared" si="10"/>
        <v>86203.467647999991</v>
      </c>
      <c r="N31" s="94">
        <f>SUM(N8:N25)</f>
        <v>10118114.710000001</v>
      </c>
      <c r="O31" s="94">
        <f t="shared" si="10"/>
        <v>10725204.709999999</v>
      </c>
      <c r="P31" s="94">
        <f>SUM(P8:P30)</f>
        <v>10421657.710000001</v>
      </c>
    </row>
    <row r="32" spans="1:22" ht="12.75" customHeight="1" x14ac:dyDescent="0.25">
      <c r="B32" s="49"/>
      <c r="C32" s="49"/>
    </row>
    <row r="33" spans="2:14" hidden="1" x14ac:dyDescent="0.25"/>
    <row r="34" spans="2:14" ht="9" customHeight="1" x14ac:dyDescent="0.25">
      <c r="B34" s="22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</row>
    <row r="35" spans="2:14" ht="12" hidden="1" customHeight="1" x14ac:dyDescent="0.25"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</row>
    <row r="36" spans="2:14" ht="12" hidden="1" customHeight="1" x14ac:dyDescent="0.25"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</row>
    <row r="37" spans="2:14" ht="12" hidden="1" customHeight="1" x14ac:dyDescent="0.25"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</row>
    <row r="38" spans="2:14" ht="12" hidden="1" customHeight="1" x14ac:dyDescent="0.25"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</row>
    <row r="39" spans="2:14" ht="67.5" customHeight="1" x14ac:dyDescent="0.25"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</row>
  </sheetData>
  <mergeCells count="18">
    <mergeCell ref="B34:N39"/>
    <mergeCell ref="C6:C7"/>
    <mergeCell ref="A6:A7"/>
    <mergeCell ref="B6:B7"/>
    <mergeCell ref="D6:D7"/>
    <mergeCell ref="K6:K7"/>
    <mergeCell ref="L6:L7"/>
    <mergeCell ref="P6:P7"/>
    <mergeCell ref="D1:N1"/>
    <mergeCell ref="H6:H7"/>
    <mergeCell ref="E6:E7"/>
    <mergeCell ref="O6:O7"/>
    <mergeCell ref="F6:F7"/>
    <mergeCell ref="G6:G7"/>
    <mergeCell ref="I6:I7"/>
    <mergeCell ref="J6:J7"/>
    <mergeCell ref="M6:M7"/>
    <mergeCell ref="A4:P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6"/>
  <sheetViews>
    <sheetView workbookViewId="0">
      <selection activeCell="B4" sqref="B4:F8"/>
    </sheetView>
  </sheetViews>
  <sheetFormatPr baseColWidth="10" defaultColWidth="10.85546875" defaultRowHeight="15" x14ac:dyDescent="0.25"/>
  <sheetData>
    <row r="1" spans="1:15" ht="15.75" thickBot="1" x14ac:dyDescent="0.3"/>
    <row r="2" spans="1:15" x14ac:dyDescent="0.25">
      <c r="B2" s="167" t="s">
        <v>103</v>
      </c>
      <c r="C2" s="168">
        <v>1</v>
      </c>
      <c r="D2" s="164"/>
      <c r="E2" s="164"/>
      <c r="F2" s="165"/>
    </row>
    <row r="3" spans="1:15" x14ac:dyDescent="0.25">
      <c r="B3" s="169" t="s">
        <v>104</v>
      </c>
      <c r="C3" s="170" t="s">
        <v>105</v>
      </c>
      <c r="F3" s="166"/>
    </row>
    <row r="4" spans="1:15" x14ac:dyDescent="0.25">
      <c r="B4" s="244" t="s">
        <v>106</v>
      </c>
      <c r="C4" s="245"/>
      <c r="D4" s="245"/>
      <c r="E4" s="245"/>
      <c r="F4" s="246"/>
    </row>
    <row r="5" spans="1:15" x14ac:dyDescent="0.25">
      <c r="B5" s="244"/>
      <c r="C5" s="245"/>
      <c r="D5" s="245"/>
      <c r="E5" s="245"/>
      <c r="F5" s="246"/>
    </row>
    <row r="6" spans="1:15" x14ac:dyDescent="0.25">
      <c r="A6" s="120"/>
      <c r="B6" s="244"/>
      <c r="C6" s="245"/>
      <c r="D6" s="245"/>
      <c r="E6" s="245"/>
      <c r="F6" s="246"/>
      <c r="N6" s="120"/>
      <c r="O6" s="120"/>
    </row>
    <row r="7" spans="1:15" x14ac:dyDescent="0.25">
      <c r="A7" s="120"/>
      <c r="B7" s="244"/>
      <c r="C7" s="245"/>
      <c r="D7" s="245"/>
      <c r="E7" s="245"/>
      <c r="F7" s="246"/>
      <c r="N7" s="120"/>
      <c r="O7" s="120"/>
    </row>
    <row r="8" spans="1:15" ht="15.75" thickBot="1" x14ac:dyDescent="0.3">
      <c r="A8" s="120"/>
      <c r="B8" s="247"/>
      <c r="C8" s="248"/>
      <c r="D8" s="248"/>
      <c r="E8" s="248"/>
      <c r="F8" s="249"/>
      <c r="N8" s="120"/>
      <c r="O8" s="120"/>
    </row>
    <row r="9" spans="1:15" ht="15.75" thickBot="1" x14ac:dyDescent="0.3">
      <c r="A9" s="120"/>
      <c r="N9" s="120"/>
      <c r="O9" s="120"/>
    </row>
    <row r="10" spans="1:15" x14ac:dyDescent="0.25">
      <c r="A10" s="120"/>
      <c r="B10" s="171" t="s">
        <v>103</v>
      </c>
      <c r="C10" s="172">
        <v>1</v>
      </c>
      <c r="D10" s="164"/>
      <c r="E10" s="164"/>
      <c r="F10" s="165"/>
      <c r="N10" s="120"/>
      <c r="O10" s="120"/>
    </row>
    <row r="11" spans="1:15" x14ac:dyDescent="0.25">
      <c r="A11" s="120"/>
      <c r="B11" s="173" t="s">
        <v>104</v>
      </c>
      <c r="C11" s="174" t="s">
        <v>107</v>
      </c>
      <c r="F11" s="166"/>
      <c r="N11" s="120"/>
      <c r="O11" s="120"/>
    </row>
    <row r="12" spans="1:15" x14ac:dyDescent="0.25">
      <c r="B12" s="244" t="s">
        <v>108</v>
      </c>
      <c r="C12" s="245"/>
      <c r="D12" s="245"/>
      <c r="E12" s="245"/>
      <c r="F12" s="246"/>
    </row>
    <row r="13" spans="1:15" x14ac:dyDescent="0.25">
      <c r="B13" s="244"/>
      <c r="C13" s="245"/>
      <c r="D13" s="245"/>
      <c r="E13" s="245"/>
      <c r="F13" s="246"/>
    </row>
    <row r="14" spans="1:15" x14ac:dyDescent="0.25">
      <c r="B14" s="244"/>
      <c r="C14" s="245"/>
      <c r="D14" s="245"/>
      <c r="E14" s="245"/>
      <c r="F14" s="246"/>
    </row>
    <row r="15" spans="1:15" x14ac:dyDescent="0.25">
      <c r="B15" s="244"/>
      <c r="C15" s="245"/>
      <c r="D15" s="245"/>
      <c r="E15" s="245"/>
      <c r="F15" s="246"/>
    </row>
    <row r="16" spans="1:15" ht="15.75" thickBot="1" x14ac:dyDescent="0.3">
      <c r="B16" s="247"/>
      <c r="C16" s="248"/>
      <c r="D16" s="248"/>
      <c r="E16" s="248"/>
      <c r="F16" s="249"/>
    </row>
  </sheetData>
  <mergeCells count="2">
    <mergeCell ref="B4:F8"/>
    <mergeCell ref="B12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2026-10-03T18:49:45Z</cp:lastPrinted>
  <dcterms:created xsi:type="dcterms:W3CDTF">2023-09-17T12:29:07Z</dcterms:created>
  <dcterms:modified xsi:type="dcterms:W3CDTF">2026-10-05T14:40:19Z</dcterms:modified>
</cp:coreProperties>
</file>