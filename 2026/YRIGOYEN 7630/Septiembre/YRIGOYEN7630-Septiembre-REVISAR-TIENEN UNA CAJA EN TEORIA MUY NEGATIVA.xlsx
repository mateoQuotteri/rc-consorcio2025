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YRIGOYEN 7630\Septiembre\"/>
    </mc:Choice>
  </mc:AlternateContent>
  <xr:revisionPtr revIDLastSave="0" documentId="13_ncr:1_{7215D625-3085-4A37-B64F-442A1B9C45C0}" xr6:coauthVersionLast="47" xr6:coauthVersionMax="47" xr10:uidLastSave="{00000000-0000-0000-0000-000000000000}"/>
  <bookViews>
    <workbookView xWindow="-120" yWindow="-120" windowWidth="20730" windowHeight="11040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PRORRATEO!$A$1:$O$30</definedName>
    <definedName name="_xlnm.Print_Area" localSheetId="0">RESUMEN!$A$1:$E$116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2" l="1"/>
  <c r="F11" i="2"/>
  <c r="F22" i="2"/>
  <c r="F16" i="2"/>
  <c r="F18" i="2"/>
  <c r="F19" i="2"/>
  <c r="F15" i="2"/>
  <c r="F14" i="2"/>
  <c r="F21" i="2"/>
  <c r="F6" i="2"/>
  <c r="E37" i="1"/>
  <c r="D57" i="1" l="1"/>
  <c r="F9" i="2"/>
  <c r="F17" i="2"/>
  <c r="D36" i="1"/>
  <c r="E60" i="1" l="1"/>
  <c r="E53" i="1"/>
  <c r="K7" i="2" l="1"/>
  <c r="F20" i="2" l="1"/>
  <c r="E42" i="1" l="1"/>
  <c r="F42" i="1"/>
  <c r="E38" i="1"/>
  <c r="E46" i="1" l="1"/>
  <c r="E64" i="1" l="1"/>
  <c r="E34" i="1" l="1"/>
  <c r="E44" i="1" l="1"/>
  <c r="E45" i="1" s="1"/>
  <c r="J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6" i="1" l="1"/>
  <c r="E81" i="1" s="1"/>
  <c r="B85" i="1" s="1"/>
  <c r="B98" i="1" l="1"/>
  <c r="B105" i="1"/>
  <c r="B115" i="1"/>
  <c r="B94" i="1" l="1"/>
  <c r="B106" i="1"/>
  <c r="G20" i="2" l="1"/>
  <c r="D29" i="1" l="1"/>
  <c r="M5" i="2" l="1"/>
  <c r="D24" i="1" l="1"/>
  <c r="E30" i="1" s="1"/>
  <c r="E68" i="1" s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F29" i="2" l="1"/>
  <c r="D29" i="2"/>
  <c r="E29" i="2"/>
  <c r="B92" i="1" l="1"/>
  <c r="B107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6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4" i="1"/>
  <c r="A45" i="1" s="1"/>
  <c r="J7" i="2" l="1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J29" i="2"/>
  <c r="O29" i="2" l="1"/>
  <c r="L29" i="2" l="1"/>
  <c r="N29" i="2" l="1"/>
  <c r="B84" i="1"/>
  <c r="B97" i="1" l="1"/>
  <c r="B99" i="1" s="1"/>
  <c r="B104" i="1"/>
  <c r="B108" i="1" s="1"/>
  <c r="B83" i="1"/>
</calcChain>
</file>

<file path=xl/sharedStrings.xml><?xml version="1.0" encoding="utf-8"?>
<sst xmlns="http://schemas.openxmlformats.org/spreadsheetml/2006/main" count="141" uniqueCount="129">
  <si>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</si>
  <si>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</si>
  <si>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</si>
  <si>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</si>
  <si>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</si>
  <si>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</si>
  <si>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</si>
  <si>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</si>
  <si>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</si>
  <si>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</si>
  <si>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</si>
  <si>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</si>
  <si>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</si>
  <si>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</si>
  <si>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</si>
  <si>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</si>
  <si>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</si>
  <si>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</si>
  <si>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</si>
  <si>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</si>
  <si>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</si>
  <si>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</si>
  <si>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</si>
  <si>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</si>
  <si>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</si>
  <si>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</si>
  <si>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</si>
  <si>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</si>
  <si>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</si>
  <si>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</si>
  <si>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</si>
  <si>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</si>
  <si>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</si>
  <si>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</si>
  <si>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</si>
  <si>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</si>
  <si>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</si>
  <si>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</si>
  <si>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</si>
  <si>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</si>
  <si>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</si>
  <si>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</si>
  <si>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</si>
  <si>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</si>
  <si>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</si>
  <si>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</si>
  <si>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</si>
  <si>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</si>
  <si>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</si>
  <si>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</si>
  <si>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</si>
  <si>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</si>
  <si>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</si>
  <si>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</si>
  <si>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</si>
  <si>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</si>
  <si>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</si>
  <si>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</si>
  <si>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</si>
  <si>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</si>
  <si>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</si>
  <si>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</si>
  <si>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</si>
  <si>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</si>
  <si>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</si>
  <si>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</si>
  <si>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</si>
  <si>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</si>
  <si>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</si>
  <si>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</si>
  <si>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</si>
  <si>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</si>
  <si>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</si>
  <si>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</si>
  <si>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</si>
  <si>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</si>
  <si>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</si>
  <si>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</si>
  <si>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</si>
  <si>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</si>
  <si>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</si>
  <si>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</si>
  <si>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</si>
  <si>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</si>
  <si>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</si>
  <si>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</si>
  <si>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</si>
  <si>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</si>
  <si>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</si>
  <si>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</si>
  <si>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CONSORCIO DE PROPIETARIOS DEL EDIFICIO CALLE YRIGOYEN 7630</t>
  </si>
  <si>
    <t>10 A 15HS - EMERGENCIAS 24HS</t>
  </si>
  <si>
    <t xml:space="preserve">CBU: 0440060830000011423569                                                                                                          / ALIAS: OMBU.TECLEO.AMOROSAS /                                                                   TELEFONO: 11 5320-2676  </t>
  </si>
  <si>
    <t>Fumigacion</t>
  </si>
  <si>
    <t xml:space="preserve">Ascensores lema - Mantenimiento </t>
  </si>
  <si>
    <t>Reemplazo Sr. Walter vacaciones - Sra. Silvana</t>
  </si>
  <si>
    <t>Seguro Sra. Silvana</t>
  </si>
  <si>
    <t>Silvia lopez</t>
  </si>
  <si>
    <t>Facundo comandatore</t>
  </si>
  <si>
    <t>SERVICIOS DE MANTENIMIENTO</t>
  </si>
  <si>
    <t>cristina - Joatan Fernandez</t>
  </si>
  <si>
    <t>Ivan Gstavo Almeyda</t>
  </si>
  <si>
    <t>Subidos en Juni0 a 165000</t>
  </si>
  <si>
    <t>Anotacion:</t>
  </si>
  <si>
    <t>Dpto</t>
  </si>
  <si>
    <t>5 y 6</t>
  </si>
  <si>
    <t>El mes pasado el 06 y el 05 pagaron impecable, pero le pusimos pago al 05 lo que iba en el 06 y pago al 06 lo que iba en el 05. El 06 debe abonar $200.896,06 y el 05 $341.480,05</t>
  </si>
  <si>
    <t>UF 14</t>
  </si>
  <si>
    <t>El mes pasado abono los $5.028 que le habian quedado como deuda y se nos paso</t>
  </si>
  <si>
    <t>Gastos part</t>
  </si>
  <si>
    <t>Debito 12/08</t>
  </si>
  <si>
    <t>Articulos de limpieza</t>
  </si>
  <si>
    <t>Abonado por Dpto 6</t>
  </si>
  <si>
    <t>Abonado por Dpto 18</t>
  </si>
  <si>
    <t>VTO 16/10</t>
  </si>
  <si>
    <t>PERÍODO: SEPTIEMBRE</t>
  </si>
  <si>
    <t>Gustavo padron - Sr contador honorarios SEPTIEMBRE</t>
  </si>
  <si>
    <t>Sindicatos mes de SEPTIEMBRE</t>
  </si>
  <si>
    <t>Transf 28/09</t>
  </si>
  <si>
    <t>Transf 16/09</t>
  </si>
  <si>
    <t>Transf 11/09</t>
  </si>
  <si>
    <t>Debito 07/09</t>
  </si>
  <si>
    <t>Transf 09/09</t>
  </si>
  <si>
    <t>Debito 02/09</t>
  </si>
  <si>
    <t>Transf 07/09</t>
  </si>
  <si>
    <t>Debito 16/09</t>
  </si>
  <si>
    <t>Cuota 2/3 - Pintura dpto 6 - Material y mano de obra</t>
  </si>
  <si>
    <t>Cuota 2/2 - Mamposteria, arreglo administracion anterior</t>
  </si>
  <si>
    <t xml:space="preserve">Honorarios administracion - Mes de Agosto - Se adeuda SEPTIEMBRE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</si>
</sst>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9" fillId="10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7" xfId="1" applyFont="1" applyBorder="1"/>
    <xf numFmtId="44" fontId="20" fillId="0" borderId="6" xfId="1" applyFont="1" applyBorder="1"/>
    <xf numFmtId="44" fontId="20" fillId="0" borderId="31" xfId="1" applyFont="1" applyBorder="1"/>
    <xf numFmtId="0" fontId="15" fillId="0" borderId="7" xfId="0" applyFont="1" applyBorder="1"/>
    <xf numFmtId="0" fontId="15" fillId="0" borderId="23" xfId="0" applyFont="1" applyBorder="1"/>
    <xf numFmtId="44" fontId="20" fillId="0" borderId="2" xfId="1" applyFont="1" applyBorder="1"/>
    <xf numFmtId="44" fontId="20" fillId="2" borderId="2" xfId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6" xfId="1" applyFont="1" applyBorder="1"/>
    <xf numFmtId="0" fontId="15" fillId="0" borderId="2" xfId="0" applyFont="1" applyBorder="1"/>
    <xf numFmtId="44" fontId="20" fillId="0" borderId="28" xfId="1" applyFont="1" applyBorder="1"/>
    <xf numFmtId="44" fontId="20" fillId="0" borderId="30" xfId="1" applyFont="1" applyBorder="1"/>
    <xf numFmtId="44" fontId="20" fillId="0" borderId="32" xfId="1" applyFont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2" fillId="2" borderId="1" xfId="1" applyFont="1" applyFill="1" applyBorder="1"/>
    <xf numFmtId="0" fontId="22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0" fontId="21" fillId="0" borderId="1" xfId="0" applyFont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5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3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0" fontId="22" fillId="2" borderId="1" xfId="0" applyFont="1" applyFill="1" applyBorder="1"/>
    <xf numFmtId="0" fontId="22" fillId="2" borderId="1" xfId="1" applyNumberFormat="1" applyFont="1" applyFill="1" applyBorder="1" applyAlignment="1"/>
    <xf numFmtId="0" fontId="22" fillId="2" borderId="2" xfId="1" applyNumberFormat="1" applyFont="1" applyFill="1" applyBorder="1" applyAlignment="1"/>
    <xf numFmtId="44" fontId="4" fillId="2" borderId="1" xfId="1" applyFont="1" applyFill="1" applyBorder="1"/>
    <xf numFmtId="0" fontId="16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5" fillId="0" borderId="6" xfId="1" applyNumberFormat="1" applyFont="1" applyBorder="1"/>
    <xf numFmtId="166" fontId="0" fillId="2" borderId="0" xfId="1" applyNumberFormat="1" applyFont="1" applyFill="1" applyAlignment="1"/>
    <xf numFmtId="16" fontId="22" fillId="2" borderId="1" xfId="0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44" fontId="24" fillId="6" borderId="2" xfId="1" applyFont="1" applyFill="1" applyBorder="1"/>
    <xf numFmtId="0" fontId="0" fillId="0" borderId="12" xfId="0" applyBorder="1"/>
    <xf numFmtId="0" fontId="0" fillId="0" borderId="15" xfId="0" applyBorder="1"/>
    <xf numFmtId="0" fontId="0" fillId="0" borderId="17" xfId="0" applyBorder="1"/>
    <xf numFmtId="0" fontId="0" fillId="12" borderId="14" xfId="0" applyFill="1" applyBorder="1"/>
    <xf numFmtId="0" fontId="0" fillId="12" borderId="12" xfId="0" applyFill="1" applyBorder="1"/>
    <xf numFmtId="0" fontId="0" fillId="12" borderId="16" xfId="0" applyFill="1" applyBorder="1"/>
    <xf numFmtId="0" fontId="0" fillId="12" borderId="0" xfId="0" applyFill="1"/>
    <xf numFmtId="0" fontId="0" fillId="13" borderId="14" xfId="0" applyFill="1" applyBorder="1"/>
    <xf numFmtId="0" fontId="0" fillId="13" borderId="12" xfId="0" applyFill="1" applyBorder="1"/>
    <xf numFmtId="0" fontId="0" fillId="13" borderId="16" xfId="0" applyFill="1" applyBorder="1"/>
    <xf numFmtId="0" fontId="0" fillId="13" borderId="0" xfId="0" applyFill="1"/>
    <xf numFmtId="165" fontId="15" fillId="0" borderId="26" xfId="1" applyNumberFormat="1" applyFont="1" applyBorder="1"/>
    <xf numFmtId="0" fontId="15" fillId="14" borderId="1" xfId="0" applyFont="1" applyFill="1" applyBorder="1"/>
    <xf numFmtId="0" fontId="15" fillId="14" borderId="1" xfId="0" applyFont="1" applyFill="1" applyBorder="1" applyAlignment="1">
      <alignment horizontal="center"/>
    </xf>
    <xf numFmtId="44" fontId="20" fillId="14" borderId="1" xfId="1" applyFont="1" applyFill="1" applyBorder="1"/>
    <xf numFmtId="44" fontId="15" fillId="14" borderId="1" xfId="1" applyFont="1" applyFill="1" applyBorder="1"/>
    <xf numFmtId="165" fontId="15" fillId="14" borderId="1" xfId="0" applyNumberFormat="1" applyFont="1" applyFill="1" applyBorder="1"/>
    <xf numFmtId="165" fontId="15" fillId="14" borderId="1" xfId="1" applyNumberFormat="1" applyFont="1" applyFill="1" applyBorder="1"/>
    <xf numFmtId="165" fontId="15" fillId="14" borderId="6" xfId="1" applyNumberFormat="1" applyFont="1" applyFill="1" applyBorder="1"/>
    <xf numFmtId="44" fontId="20" fillId="14" borderId="27" xfId="1" applyFont="1" applyFill="1" applyBorder="1"/>
    <xf numFmtId="44" fontId="20" fillId="14" borderId="6" xfId="1" applyFont="1" applyFill="1" applyBorder="1"/>
    <xf numFmtId="44" fontId="20" fillId="14" borderId="31" xfId="1" applyFont="1" applyFill="1" applyBorder="1"/>
    <xf numFmtId="166" fontId="20" fillId="2" borderId="1" xfId="1" applyNumberFormat="1" applyFont="1" applyFill="1" applyBorder="1"/>
    <xf numFmtId="8" fontId="4" fillId="2" borderId="1" xfId="0" applyNumberFormat="1" applyFont="1" applyFill="1" applyBorder="1"/>
    <xf numFmtId="8" fontId="25" fillId="10" borderId="1" xfId="0" applyNumberFormat="1" applyFont="1" applyFill="1" applyBorder="1"/>
    <xf numFmtId="8" fontId="4" fillId="2" borderId="6" xfId="0" applyNumberFormat="1" applyFont="1" applyFill="1" applyBorder="1"/>
    <xf numFmtId="8" fontId="25" fillId="10" borderId="6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7" fillId="4" borderId="6" xfId="1" applyFont="1" applyFill="1" applyBorder="1" applyAlignment="1">
      <alignment horizontal="center"/>
    </xf>
    <xf numFmtId="8" fontId="7" fillId="4" borderId="22" xfId="0" applyNumberFormat="1" applyFont="1" applyFill="1" applyBorder="1"/>
    <xf numFmtId="16" fontId="3" fillId="2" borderId="1" xfId="1" applyNumberFormat="1" applyFont="1" applyFill="1" applyBorder="1" applyAlignment="1">
      <alignment wrapText="1"/>
    </xf>
    <xf numFmtId="0" fontId="20" fillId="0" borderId="1" xfId="1" applyNumberFormat="1" applyFont="1" applyBorder="1"/>
    <xf numFmtId="0" fontId="0" fillId="2" borderId="6" xfId="0" applyFill="1" applyBorder="1" applyAlignment="1">
      <alignment horizontal="left" vertical="center"/>
    </xf>
    <xf numFmtId="44" fontId="8" fillId="2" borderId="1" xfId="1" applyFont="1" applyFill="1" applyBorder="1"/>
    <xf numFmtId="8" fontId="8" fillId="2" borderId="1" xfId="0" applyNumberFormat="1" applyFont="1" applyFill="1" applyBorder="1"/>
    <xf numFmtId="44" fontId="8" fillId="0" borderId="1" xfId="1" applyFont="1" applyBorder="1"/>
    <xf numFmtId="0" fontId="16" fillId="2" borderId="2" xfId="1" applyNumberFormat="1" applyFont="1" applyFill="1" applyBorder="1" applyAlignment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44" fontId="8" fillId="2" borderId="1" xfId="1" applyFont="1" applyFill="1" applyBorder="1" applyAlignment="1"/>
    <xf numFmtId="44" fontId="8" fillId="2" borderId="1" xfId="1" applyFont="1" applyFill="1" applyBorder="1" applyAlignment="1">
      <alignment wrapText="1"/>
    </xf>
    <xf numFmtId="8" fontId="8" fillId="2" borderId="1" xfId="0" applyNumberFormat="1" applyFont="1" applyFill="1" applyBorder="1" applyAlignment="1">
      <alignment horizontal="right"/>
    </xf>
    <xf numFmtId="44" fontId="26" fillId="2" borderId="1" xfId="1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topLeftCell="A11" workbookViewId="0">
      <selection activeCell="D22" sqref="D22"/>
    </sheetView>
  </sheetViews>
  <sheetFormatPr baseColWidth="10" defaultColWidth="10.85546875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4"/>
      <c r="B1" s="68" t="s">
        <v>54</v>
      </c>
      <c r="C1" s="68"/>
      <c r="D1" s="68"/>
      <c r="E1" s="69"/>
    </row>
    <row r="2" spans="1:5" x14ac:dyDescent="0.25">
      <c r="A2" s="15"/>
      <c r="B2" s="70" t="s">
        <v>28</v>
      </c>
      <c r="C2" s="70"/>
      <c r="D2" s="70"/>
      <c r="E2" s="71"/>
    </row>
    <row r="3" spans="1:5" ht="70.5" customHeight="1" thickBot="1" x14ac:dyDescent="0.3">
      <c r="A3" s="15"/>
      <c r="B3" s="214" t="s">
        <v>92</v>
      </c>
      <c r="C3" s="214"/>
      <c r="D3" s="214"/>
      <c r="E3" s="215"/>
    </row>
    <row r="4" spans="1:5" ht="15.75" thickBot="1" x14ac:dyDescent="0.3">
      <c r="A4" s="18" t="s">
        <v>0</v>
      </c>
      <c r="B4" s="97" t="s">
        <v>38</v>
      </c>
      <c r="C4" s="19"/>
      <c r="D4" s="19"/>
      <c r="E4" s="20"/>
    </row>
    <row r="5" spans="1:5" ht="15.75" thickBot="1" x14ac:dyDescent="0.3">
      <c r="A5" s="15" t="s">
        <v>55</v>
      </c>
      <c r="B5" s="19" t="s">
        <v>115</v>
      </c>
      <c r="C5" s="16"/>
      <c r="D5" s="70" t="s">
        <v>29</v>
      </c>
      <c r="E5" s="17"/>
    </row>
    <row r="6" spans="1:5" ht="15.75" thickBot="1" x14ac:dyDescent="0.3">
      <c r="A6" s="18" t="s">
        <v>90</v>
      </c>
      <c r="B6" s="19"/>
      <c r="C6" s="19"/>
      <c r="D6" s="19" t="s">
        <v>91</v>
      </c>
      <c r="E6" s="20"/>
    </row>
    <row r="8" spans="1:5" x14ac:dyDescent="0.25">
      <c r="B8" s="217" t="s">
        <v>114</v>
      </c>
      <c r="C8" s="217"/>
    </row>
    <row r="9" spans="1:5" x14ac:dyDescent="0.25">
      <c r="B9" s="217"/>
      <c r="C9" s="217"/>
    </row>
    <row r="10" spans="1:5" x14ac:dyDescent="0.25">
      <c r="B10" s="217"/>
      <c r="C10" s="217"/>
    </row>
    <row r="12" spans="1:5" hidden="1" x14ac:dyDescent="0.25"/>
    <row r="13" spans="1:5" ht="15" customHeight="1" x14ac:dyDescent="0.25">
      <c r="A13" s="216" t="s">
        <v>42</v>
      </c>
      <c r="B13" s="216"/>
      <c r="C13" s="216"/>
      <c r="D13" s="216"/>
      <c r="E13" s="216"/>
    </row>
    <row r="14" spans="1:5" ht="15" customHeight="1" x14ac:dyDescent="0.25">
      <c r="A14" s="216"/>
      <c r="B14" s="216"/>
      <c r="C14" s="216"/>
      <c r="D14" s="216"/>
      <c r="E14" s="216"/>
    </row>
    <row r="15" spans="1:5" ht="15" customHeight="1" x14ac:dyDescent="0.25">
      <c r="A15" s="216"/>
      <c r="B15" s="216"/>
      <c r="C15" s="216"/>
      <c r="D15" s="216"/>
      <c r="E15" s="216"/>
    </row>
    <row r="16" spans="1:5" ht="53.25" customHeight="1" x14ac:dyDescent="0.25">
      <c r="A16" s="216"/>
      <c r="B16" s="216"/>
      <c r="C16" s="216"/>
      <c r="D16" s="216"/>
      <c r="E16" s="216"/>
    </row>
    <row r="17" spans="1:7" ht="14.25" customHeight="1" thickBot="1" x14ac:dyDescent="0.3">
      <c r="D17" s="111"/>
    </row>
    <row r="18" spans="1:7" hidden="1" x14ac:dyDescent="0.25">
      <c r="A18" s="2"/>
      <c r="D18" s="111"/>
    </row>
    <row r="19" spans="1:7" ht="15.75" hidden="1" thickBot="1" x14ac:dyDescent="0.3">
      <c r="D19" s="111"/>
    </row>
    <row r="20" spans="1:7" x14ac:dyDescent="0.25">
      <c r="A20" s="10" t="s">
        <v>10</v>
      </c>
      <c r="B20" s="11"/>
      <c r="C20" s="12"/>
      <c r="D20" s="115"/>
      <c r="E20" s="13"/>
    </row>
    <row r="21" spans="1:7" x14ac:dyDescent="0.25">
      <c r="A21" s="34" t="s">
        <v>34</v>
      </c>
      <c r="B21" s="34"/>
      <c r="C21" s="34"/>
      <c r="D21" s="33"/>
      <c r="E21" s="33"/>
    </row>
    <row r="22" spans="1:7" x14ac:dyDescent="0.25">
      <c r="A22" s="5" t="s">
        <v>74</v>
      </c>
      <c r="B22" s="5"/>
      <c r="C22" s="5"/>
      <c r="D22" s="205">
        <v>890804</v>
      </c>
      <c r="E22" s="5"/>
    </row>
    <row r="23" spans="1:7" hidden="1" x14ac:dyDescent="0.25">
      <c r="A23" s="5"/>
      <c r="B23" s="5"/>
      <c r="C23" s="5"/>
      <c r="D23" s="189"/>
      <c r="E23" s="5"/>
    </row>
    <row r="24" spans="1:7" ht="14.25" customHeight="1" x14ac:dyDescent="0.25">
      <c r="A24" s="56" t="s">
        <v>35</v>
      </c>
      <c r="B24" s="56"/>
      <c r="C24" s="56"/>
      <c r="D24" s="190">
        <f>SUM(D22:D23)</f>
        <v>890804</v>
      </c>
      <c r="E24" s="137"/>
      <c r="G24" s="21"/>
    </row>
    <row r="25" spans="1:7" ht="14.25" hidden="1" customHeight="1" x14ac:dyDescent="0.25">
      <c r="A25" s="5" t="s">
        <v>44</v>
      </c>
      <c r="B25" s="5"/>
      <c r="C25" s="5"/>
      <c r="D25" s="189"/>
      <c r="E25" s="5"/>
    </row>
    <row r="26" spans="1:7" hidden="1" x14ac:dyDescent="0.25">
      <c r="A26" s="5" t="s">
        <v>95</v>
      </c>
      <c r="B26" s="5"/>
      <c r="C26" s="5"/>
      <c r="D26" s="189">
        <v>0</v>
      </c>
      <c r="E26" s="5"/>
    </row>
    <row r="27" spans="1:7" hidden="1" x14ac:dyDescent="0.25">
      <c r="A27" s="5" t="s">
        <v>96</v>
      </c>
      <c r="B27" s="5"/>
      <c r="C27" s="5"/>
      <c r="D27" s="189">
        <v>0</v>
      </c>
      <c r="E27" s="5"/>
    </row>
    <row r="28" spans="1:7" hidden="1" x14ac:dyDescent="0.25">
      <c r="A28" s="5" t="s">
        <v>39</v>
      </c>
      <c r="B28" s="5"/>
      <c r="C28" s="5"/>
      <c r="D28" s="191"/>
      <c r="E28" s="5"/>
    </row>
    <row r="29" spans="1:7" hidden="1" x14ac:dyDescent="0.25">
      <c r="A29" s="56" t="s">
        <v>35</v>
      </c>
      <c r="B29" s="56"/>
      <c r="C29" s="56"/>
      <c r="D29" s="192">
        <f>SUM(D25:D28)</f>
        <v>0</v>
      </c>
      <c r="E29" s="137"/>
    </row>
    <row r="30" spans="1:7" ht="15.75" thickBot="1" x14ac:dyDescent="0.3">
      <c r="A30" s="28" t="s">
        <v>1</v>
      </c>
      <c r="B30" s="28"/>
      <c r="C30" s="28"/>
      <c r="D30" s="193"/>
      <c r="E30" s="138">
        <f>D24+D29</f>
        <v>890804</v>
      </c>
      <c r="F30" s="21"/>
    </row>
    <row r="31" spans="1:7" x14ac:dyDescent="0.25">
      <c r="A31" s="34" t="s">
        <v>19</v>
      </c>
      <c r="B31" s="34"/>
      <c r="C31" s="34"/>
      <c r="D31" s="194"/>
      <c r="E31" s="139"/>
    </row>
    <row r="32" spans="1:7" ht="15" customHeight="1" x14ac:dyDescent="0.25">
      <c r="A32" s="212" t="s">
        <v>116</v>
      </c>
      <c r="B32" s="213"/>
      <c r="C32" s="51"/>
      <c r="D32" s="205">
        <v>50000</v>
      </c>
      <c r="E32" s="140"/>
    </row>
    <row r="33" spans="1:8" ht="19.5" customHeight="1" thickBot="1" x14ac:dyDescent="0.3">
      <c r="A33" s="212" t="s">
        <v>128</v>
      </c>
      <c r="B33" s="213"/>
      <c r="C33" s="51"/>
      <c r="D33" s="241">
        <v>180000</v>
      </c>
      <c r="E33" s="140" t="s">
        <v>119</v>
      </c>
      <c r="G33" s="149" t="s">
        <v>102</v>
      </c>
      <c r="H33" s="149"/>
    </row>
    <row r="34" spans="1:8" ht="15.75" thickBot="1" x14ac:dyDescent="0.3">
      <c r="A34" s="28" t="s">
        <v>16</v>
      </c>
      <c r="B34" s="28"/>
      <c r="C34" s="28"/>
      <c r="D34" s="195"/>
      <c r="E34" s="141">
        <f>SUM(D32:D33)</f>
        <v>230000</v>
      </c>
    </row>
    <row r="35" spans="1:8" x14ac:dyDescent="0.25">
      <c r="A35" s="34" t="s">
        <v>31</v>
      </c>
      <c r="B35" s="28"/>
      <c r="C35" s="28"/>
      <c r="D35" s="196"/>
      <c r="E35" s="142"/>
    </row>
    <row r="36" spans="1:8" s="37" customFormat="1" ht="14.25" customHeight="1" x14ac:dyDescent="0.25">
      <c r="A36" s="210" t="s">
        <v>88</v>
      </c>
      <c r="B36" s="211"/>
      <c r="C36" s="53"/>
      <c r="D36" s="240">
        <f>30025+7909</f>
        <v>37934</v>
      </c>
      <c r="E36" s="160" t="s">
        <v>123</v>
      </c>
    </row>
    <row r="37" spans="1:8" ht="14.25" customHeight="1" x14ac:dyDescent="0.25">
      <c r="A37" s="212" t="s">
        <v>89</v>
      </c>
      <c r="B37" s="213"/>
      <c r="C37" s="53"/>
      <c r="D37" s="239">
        <v>69628</v>
      </c>
      <c r="E37" s="201" t="str">
        <f>E36</f>
        <v>Debito 02/09</v>
      </c>
    </row>
    <row r="38" spans="1:8" ht="15.75" thickBot="1" x14ac:dyDescent="0.3">
      <c r="A38" s="28" t="s">
        <v>2</v>
      </c>
      <c r="B38" s="28"/>
      <c r="C38" s="28"/>
      <c r="D38" s="195"/>
      <c r="E38" s="143">
        <f>SUM(D36:D37)</f>
        <v>107562</v>
      </c>
    </row>
    <row r="39" spans="1:8" x14ac:dyDescent="0.25">
      <c r="A39" s="34" t="s">
        <v>17</v>
      </c>
      <c r="B39" s="144"/>
      <c r="C39" s="144"/>
      <c r="D39" s="197"/>
      <c r="E39" s="145"/>
    </row>
    <row r="40" spans="1:8" x14ac:dyDescent="0.25">
      <c r="A40" s="5" t="s">
        <v>47</v>
      </c>
      <c r="B40" s="5"/>
      <c r="C40" s="51"/>
      <c r="D40" s="206">
        <v>619750.26</v>
      </c>
      <c r="E40" s="160" t="s">
        <v>121</v>
      </c>
      <c r="G40" s="122"/>
    </row>
    <row r="41" spans="1:8" x14ac:dyDescent="0.25">
      <c r="A41" s="5" t="s">
        <v>77</v>
      </c>
      <c r="B41" s="5"/>
      <c r="C41" s="51"/>
      <c r="D41" s="206">
        <v>10602.27</v>
      </c>
      <c r="E41" s="160" t="s">
        <v>125</v>
      </c>
    </row>
    <row r="42" spans="1:8" x14ac:dyDescent="0.25">
      <c r="A42" s="5" t="s">
        <v>77</v>
      </c>
      <c r="B42" s="5"/>
      <c r="C42" s="51"/>
      <c r="D42" s="206">
        <v>75532.289999999994</v>
      </c>
      <c r="E42" s="151" t="str">
        <f>E41</f>
        <v>Debito 16/09</v>
      </c>
      <c r="F42" s="42">
        <f>D42+D41</f>
        <v>86134.56</v>
      </c>
      <c r="G42" s="136"/>
    </row>
    <row r="43" spans="1:8" x14ac:dyDescent="0.25">
      <c r="A43" s="5" t="s">
        <v>117</v>
      </c>
      <c r="B43" s="5"/>
      <c r="C43" s="5"/>
      <c r="D43" s="204">
        <v>5655.57</v>
      </c>
      <c r="E43" s="160" t="s">
        <v>110</v>
      </c>
    </row>
    <row r="44" spans="1:8" x14ac:dyDescent="0.25">
      <c r="A44" s="5" t="str">
        <f>A43</f>
        <v>Sindicatos mes de SEPTIEMBRE</v>
      </c>
      <c r="B44" s="5"/>
      <c r="C44" s="5"/>
      <c r="D44" s="204">
        <v>98687.47</v>
      </c>
      <c r="E44" s="152" t="str">
        <f>E43</f>
        <v>Debito 12/08</v>
      </c>
    </row>
    <row r="45" spans="1:8" x14ac:dyDescent="0.25">
      <c r="A45" s="5" t="str">
        <f>A44</f>
        <v>Sindicatos mes de SEPTIEMBRE</v>
      </c>
      <c r="B45" s="5"/>
      <c r="C45" s="5"/>
      <c r="D45" s="204">
        <v>50900.17</v>
      </c>
      <c r="E45" s="153" t="str">
        <f>E44</f>
        <v>Debito 12/08</v>
      </c>
    </row>
    <row r="46" spans="1:8" ht="15" customHeight="1" thickBot="1" x14ac:dyDescent="0.3">
      <c r="A46" s="28" t="s">
        <v>3</v>
      </c>
      <c r="B46" s="144"/>
      <c r="C46" s="144"/>
      <c r="D46" s="198"/>
      <c r="E46" s="143">
        <f>SUM(D40:D45)</f>
        <v>861128.03</v>
      </c>
    </row>
    <row r="47" spans="1:8" x14ac:dyDescent="0.25">
      <c r="A47" s="34" t="s">
        <v>18</v>
      </c>
      <c r="B47" s="144"/>
      <c r="C47" s="144"/>
      <c r="D47" s="197"/>
      <c r="E47" s="145"/>
    </row>
    <row r="48" spans="1:8" ht="14.25" customHeight="1" x14ac:dyDescent="0.25">
      <c r="A48" s="5" t="s">
        <v>76</v>
      </c>
      <c r="B48" s="154"/>
      <c r="C48" s="5"/>
      <c r="D48" s="204">
        <v>91685.7</v>
      </c>
      <c r="E48" s="155" t="s">
        <v>118</v>
      </c>
    </row>
    <row r="49" spans="1:5" ht="14.25" customHeight="1" x14ac:dyDescent="0.25">
      <c r="A49" s="5" t="s">
        <v>76</v>
      </c>
      <c r="B49" s="154"/>
      <c r="C49" s="5"/>
      <c r="D49" s="204">
        <v>254864.2</v>
      </c>
      <c r="E49" s="155" t="s">
        <v>124</v>
      </c>
    </row>
    <row r="50" spans="1:5" ht="14.25" customHeight="1" x14ac:dyDescent="0.25">
      <c r="A50" s="5" t="s">
        <v>79</v>
      </c>
      <c r="B50" s="154"/>
      <c r="C50" s="5"/>
      <c r="D50" s="204">
        <v>19854.2</v>
      </c>
      <c r="E50" s="155" t="s">
        <v>118</v>
      </c>
    </row>
    <row r="51" spans="1:5" x14ac:dyDescent="0.25">
      <c r="A51" s="5" t="s">
        <v>78</v>
      </c>
      <c r="B51" s="5"/>
      <c r="C51" s="5"/>
      <c r="D51" s="204">
        <v>43083.26</v>
      </c>
      <c r="E51" s="155" t="s">
        <v>122</v>
      </c>
    </row>
    <row r="52" spans="1:5" x14ac:dyDescent="0.25">
      <c r="A52" s="210" t="s">
        <v>75</v>
      </c>
      <c r="B52" s="211"/>
      <c r="C52" s="5"/>
      <c r="D52" s="204">
        <v>530549.97</v>
      </c>
      <c r="E52" s="207" t="s">
        <v>121</v>
      </c>
    </row>
    <row r="53" spans="1:5" ht="15.75" thickBot="1" x14ac:dyDescent="0.3">
      <c r="A53" s="28" t="s">
        <v>4</v>
      </c>
      <c r="B53" s="28"/>
      <c r="C53" s="28"/>
      <c r="D53" s="199"/>
      <c r="E53" s="143">
        <f>SUM(D48:D52)</f>
        <v>940037.33000000007</v>
      </c>
    </row>
    <row r="54" spans="1:5" ht="15" customHeight="1" thickBot="1" x14ac:dyDescent="0.3">
      <c r="A54" s="34" t="s">
        <v>99</v>
      </c>
      <c r="B54" s="28"/>
      <c r="C54" s="28"/>
      <c r="D54" s="195"/>
      <c r="E54" s="146"/>
    </row>
    <row r="55" spans="1:5" ht="15" customHeight="1" x14ac:dyDescent="0.25">
      <c r="A55" s="156" t="s">
        <v>94</v>
      </c>
      <c r="B55" s="150"/>
      <c r="C55" s="5"/>
      <c r="D55" s="204">
        <v>102500</v>
      </c>
      <c r="E55" s="155" t="s">
        <v>120</v>
      </c>
    </row>
    <row r="56" spans="1:5" ht="16.5" customHeight="1" x14ac:dyDescent="0.25">
      <c r="A56" s="156" t="s">
        <v>93</v>
      </c>
      <c r="B56" s="150"/>
      <c r="C56" s="5"/>
      <c r="D56" s="154">
        <v>0</v>
      </c>
      <c r="E56" s="155"/>
    </row>
    <row r="57" spans="1:5" ht="16.5" customHeight="1" x14ac:dyDescent="0.25">
      <c r="A57" s="203" t="s">
        <v>126</v>
      </c>
      <c r="B57" s="150"/>
      <c r="C57" s="5"/>
      <c r="D57" s="126">
        <f>750000/3</f>
        <v>250000</v>
      </c>
      <c r="E57" s="202" t="s">
        <v>112</v>
      </c>
    </row>
    <row r="58" spans="1:5" ht="16.5" customHeight="1" x14ac:dyDescent="0.25">
      <c r="A58" s="203" t="s">
        <v>127</v>
      </c>
      <c r="B58" s="150"/>
      <c r="C58" s="5"/>
      <c r="D58" s="126">
        <v>60000</v>
      </c>
      <c r="E58" s="202" t="s">
        <v>113</v>
      </c>
    </row>
    <row r="59" spans="1:5" ht="30" customHeight="1" x14ac:dyDescent="0.25">
      <c r="A59" s="210" t="s">
        <v>111</v>
      </c>
      <c r="B59" s="211"/>
      <c r="C59" s="5"/>
      <c r="D59" s="126">
        <v>60600</v>
      </c>
      <c r="E59" s="155" t="s">
        <v>119</v>
      </c>
    </row>
    <row r="60" spans="1:5" ht="15.75" thickBot="1" x14ac:dyDescent="0.3">
      <c r="A60" s="28" t="s">
        <v>9</v>
      </c>
      <c r="B60" s="34"/>
      <c r="C60" s="34"/>
      <c r="D60" s="33"/>
      <c r="E60" s="147">
        <f>SUM(D55:D59)</f>
        <v>473100</v>
      </c>
    </row>
    <row r="61" spans="1:5" ht="15.75" thickBot="1" x14ac:dyDescent="0.3">
      <c r="A61" s="34" t="s">
        <v>12</v>
      </c>
      <c r="B61" s="66"/>
      <c r="C61" s="28"/>
      <c r="D61" s="193"/>
      <c r="E61" s="146"/>
    </row>
    <row r="62" spans="1:5" x14ac:dyDescent="0.25">
      <c r="A62" s="5" t="s">
        <v>87</v>
      </c>
      <c r="B62" s="5"/>
      <c r="C62" s="5"/>
      <c r="D62" s="204">
        <v>67713</v>
      </c>
      <c r="E62" s="148"/>
    </row>
    <row r="63" spans="1:5" x14ac:dyDescent="0.25">
      <c r="A63" s="5" t="s">
        <v>86</v>
      </c>
      <c r="B63" s="5"/>
      <c r="C63" s="5"/>
      <c r="D63" s="204">
        <v>59676.66</v>
      </c>
      <c r="E63" s="39"/>
    </row>
    <row r="64" spans="1:5" ht="15.75" thickBot="1" x14ac:dyDescent="0.3">
      <c r="A64" s="50" t="s">
        <v>16</v>
      </c>
      <c r="B64" s="50"/>
      <c r="C64" s="50"/>
      <c r="D64" s="200"/>
      <c r="E64" s="102">
        <f>SUM(D62:D63)</f>
        <v>127389.66</v>
      </c>
    </row>
    <row r="65" spans="1:12" ht="15.75" thickBot="1" x14ac:dyDescent="0.3">
      <c r="A65" s="5"/>
      <c r="B65" s="5"/>
      <c r="C65" s="5"/>
      <c r="D65" s="101"/>
      <c r="E65" s="108"/>
    </row>
    <row r="66" spans="1:12" ht="15.75" thickBot="1" x14ac:dyDescent="0.3">
      <c r="A66" s="29" t="s">
        <v>50</v>
      </c>
      <c r="B66" s="29"/>
      <c r="C66" s="29"/>
      <c r="D66" s="109"/>
      <c r="E66" s="110">
        <v>0</v>
      </c>
    </row>
    <row r="67" spans="1:12" ht="15.75" thickBot="1" x14ac:dyDescent="0.3">
      <c r="A67" s="1"/>
      <c r="D67" s="111"/>
      <c r="E67" s="112"/>
      <c r="F67" s="42"/>
    </row>
    <row r="68" spans="1:12" ht="15.75" thickBot="1" x14ac:dyDescent="0.3">
      <c r="A68" s="3" t="s">
        <v>13</v>
      </c>
      <c r="B68" s="9"/>
      <c r="C68" s="4"/>
      <c r="D68" s="113"/>
      <c r="E68" s="114">
        <f>(SUM(E27:E66))</f>
        <v>3630021.0200000005</v>
      </c>
      <c r="F68" s="136">
        <v>0</v>
      </c>
      <c r="G68" s="42"/>
      <c r="H68" s="122"/>
      <c r="I68" s="122"/>
      <c r="J68" s="122"/>
      <c r="K68" s="122"/>
      <c r="L68" s="122"/>
    </row>
    <row r="69" spans="1:12" x14ac:dyDescent="0.25">
      <c r="D69" s="111"/>
      <c r="E69" s="111"/>
      <c r="H69" s="122"/>
      <c r="I69" s="122"/>
      <c r="J69" s="122"/>
      <c r="K69" s="122"/>
      <c r="L69" s="122"/>
    </row>
    <row r="70" spans="1:12" ht="15.75" thickBot="1" x14ac:dyDescent="0.3">
      <c r="D70" s="111"/>
      <c r="E70" s="111"/>
      <c r="H70" s="159"/>
    </row>
    <row r="71" spans="1:12" x14ac:dyDescent="0.25">
      <c r="A71" s="10" t="s">
        <v>45</v>
      </c>
      <c r="B71" s="11"/>
      <c r="C71" s="12"/>
      <c r="D71" s="115"/>
      <c r="E71" s="116"/>
    </row>
    <row r="72" spans="1:12" ht="15" customHeight="1" x14ac:dyDescent="0.25">
      <c r="A72" s="210"/>
      <c r="B72" s="211"/>
      <c r="C72" s="5"/>
      <c r="D72" s="126"/>
      <c r="E72" s="103"/>
    </row>
    <row r="73" spans="1:12" x14ac:dyDescent="0.25">
      <c r="A73" s="210"/>
      <c r="B73" s="211"/>
      <c r="C73" s="5"/>
      <c r="D73" s="105"/>
      <c r="E73" s="103"/>
    </row>
    <row r="74" spans="1:12" ht="15.75" customHeight="1" x14ac:dyDescent="0.25">
      <c r="A74" s="212"/>
      <c r="B74" s="213"/>
      <c r="C74" s="5"/>
      <c r="D74" s="105"/>
      <c r="E74" s="103"/>
    </row>
    <row r="75" spans="1:12" x14ac:dyDescent="0.25">
      <c r="A75" s="104"/>
      <c r="B75" s="106"/>
      <c r="C75" s="5"/>
      <c r="D75" s="105"/>
      <c r="E75" s="103"/>
    </row>
    <row r="76" spans="1:12" x14ac:dyDescent="0.25">
      <c r="A76" s="48"/>
      <c r="B76" s="47"/>
      <c r="C76" s="47"/>
      <c r="D76" s="57"/>
      <c r="E76" s="57">
        <f>SUM(D72:D75)</f>
        <v>0</v>
      </c>
    </row>
    <row r="77" spans="1:12" ht="15" customHeight="1" x14ac:dyDescent="0.25"/>
    <row r="78" spans="1:12" ht="15.75" hidden="1" thickBot="1" x14ac:dyDescent="0.3"/>
    <row r="79" spans="1:12" ht="15.75" thickBot="1" x14ac:dyDescent="0.3">
      <c r="A79" s="29" t="s">
        <v>20</v>
      </c>
      <c r="B79" s="29"/>
      <c r="C79" s="29"/>
      <c r="D79" s="30"/>
      <c r="E79" s="100"/>
    </row>
    <row r="80" spans="1:12" ht="15.75" thickBot="1" x14ac:dyDescent="0.3"/>
    <row r="81" spans="1:5" ht="15.75" thickBot="1" x14ac:dyDescent="0.3">
      <c r="A81" s="3" t="s">
        <v>21</v>
      </c>
      <c r="B81" s="9"/>
      <c r="C81" s="4"/>
      <c r="D81" s="4"/>
      <c r="E81" s="67">
        <f>E76+E79</f>
        <v>0</v>
      </c>
    </row>
    <row r="82" spans="1:5" ht="15.75" thickBot="1" x14ac:dyDescent="0.3"/>
    <row r="83" spans="1:5" ht="15.75" thickBot="1" x14ac:dyDescent="0.3">
      <c r="A83" s="98" t="s">
        <v>14</v>
      </c>
      <c r="B83" s="99">
        <f>E68</f>
        <v>3630021.0200000005</v>
      </c>
    </row>
    <row r="84" spans="1:5" ht="15.75" thickBot="1" x14ac:dyDescent="0.3">
      <c r="A84" s="98" t="s">
        <v>15</v>
      </c>
      <c r="B84" s="99">
        <f>E68-E66</f>
        <v>3630021.0200000005</v>
      </c>
    </row>
    <row r="85" spans="1:5" ht="15.75" thickBot="1" x14ac:dyDescent="0.3">
      <c r="A85" s="98" t="s">
        <v>22</v>
      </c>
      <c r="B85" s="99">
        <f>E81-E79</f>
        <v>0</v>
      </c>
    </row>
    <row r="86" spans="1:5" ht="15.75" thickBot="1" x14ac:dyDescent="0.3">
      <c r="A86" s="98" t="s">
        <v>40</v>
      </c>
      <c r="B86" s="99">
        <f>E81</f>
        <v>0</v>
      </c>
    </row>
    <row r="88" spans="1:5" x14ac:dyDescent="0.25">
      <c r="D88" s="122"/>
      <c r="E88" s="122"/>
    </row>
    <row r="89" spans="1:5" x14ac:dyDescent="0.25">
      <c r="D89" s="122"/>
      <c r="E89" s="122"/>
    </row>
    <row r="90" spans="1:5" ht="0.75" customHeight="1" x14ac:dyDescent="0.25">
      <c r="A90" s="22" t="s">
        <v>33</v>
      </c>
      <c r="B90" s="123"/>
      <c r="C90" s="23"/>
    </row>
    <row r="91" spans="1:5" hidden="1" x14ac:dyDescent="0.25">
      <c r="A91" s="32"/>
      <c r="B91" s="58">
        <v>0</v>
      </c>
      <c r="C91" s="25"/>
    </row>
    <row r="92" spans="1:5" ht="14.25" hidden="1" customHeight="1" x14ac:dyDescent="0.25">
      <c r="A92" s="24" t="s">
        <v>7</v>
      </c>
      <c r="B92" s="39">
        <f>PRORRATEO!F29</f>
        <v>4404558.63</v>
      </c>
      <c r="C92" s="23"/>
    </row>
    <row r="93" spans="1:5" hidden="1" x14ac:dyDescent="0.25">
      <c r="A93" s="24"/>
      <c r="B93" s="39">
        <v>0</v>
      </c>
      <c r="C93" s="23"/>
    </row>
    <row r="94" spans="1:5" hidden="1" x14ac:dyDescent="0.25">
      <c r="A94" s="24" t="s">
        <v>41</v>
      </c>
      <c r="B94" s="107">
        <f>B115</f>
        <v>0</v>
      </c>
      <c r="C94" s="23"/>
    </row>
    <row r="95" spans="1:5" hidden="1" x14ac:dyDescent="0.25">
      <c r="A95" s="27"/>
      <c r="B95" s="46"/>
      <c r="C95" s="23"/>
    </row>
    <row r="96" spans="1:5" hidden="1" x14ac:dyDescent="0.25">
      <c r="A96" s="121" t="s">
        <v>46</v>
      </c>
      <c r="B96" s="46"/>
      <c r="C96" s="23"/>
    </row>
    <row r="97" spans="1:6" hidden="1" x14ac:dyDescent="0.25">
      <c r="A97" s="38" t="s">
        <v>23</v>
      </c>
      <c r="B97" s="46">
        <f>-B84</f>
        <v>-3630021.0200000005</v>
      </c>
      <c r="C97" s="23"/>
    </row>
    <row r="98" spans="1:6" hidden="1" x14ac:dyDescent="0.25">
      <c r="A98" s="27" t="s">
        <v>24</v>
      </c>
      <c r="B98" s="46">
        <f>-(B85)</f>
        <v>0</v>
      </c>
      <c r="C98" s="23"/>
    </row>
    <row r="99" spans="1:6" hidden="1" x14ac:dyDescent="0.25">
      <c r="A99" s="31" t="s">
        <v>9</v>
      </c>
      <c r="B99" s="58">
        <f>SUM(B91:B98)</f>
        <v>774537.6099999994</v>
      </c>
      <c r="C99" s="26"/>
      <c r="D99" s="42"/>
    </row>
    <row r="100" spans="1:6" ht="34.5" hidden="1" customHeight="1" x14ac:dyDescent="0.25">
      <c r="B100" s="40"/>
      <c r="C100" s="26"/>
      <c r="D100" s="42"/>
      <c r="E100" s="124"/>
      <c r="F100" s="125"/>
    </row>
    <row r="101" spans="1:6" ht="14.25" hidden="1" customHeight="1" x14ac:dyDescent="0.25">
      <c r="B101" s="41"/>
      <c r="C101" s="26"/>
    </row>
    <row r="102" spans="1:6" s="37" customFormat="1" ht="27" hidden="1" customHeight="1" x14ac:dyDescent="0.25">
      <c r="A102"/>
      <c r="B102" s="40"/>
      <c r="C102" s="36"/>
    </row>
    <row r="103" spans="1:6" s="37" customFormat="1" x14ac:dyDescent="0.25">
      <c r="A103" s="129" t="s">
        <v>85</v>
      </c>
      <c r="B103" s="165">
        <v>-1500014.0660999957</v>
      </c>
      <c r="C103" s="36"/>
      <c r="D103" s="45"/>
    </row>
    <row r="104" spans="1:6" x14ac:dyDescent="0.25">
      <c r="A104" s="53" t="s">
        <v>51</v>
      </c>
      <c r="B104" s="134">
        <f>-B84</f>
        <v>-3630021.0200000005</v>
      </c>
    </row>
    <row r="105" spans="1:6" x14ac:dyDescent="0.25">
      <c r="A105" s="53" t="s">
        <v>52</v>
      </c>
      <c r="B105" s="134">
        <f>-B85</f>
        <v>0</v>
      </c>
    </row>
    <row r="106" spans="1:6" x14ac:dyDescent="0.25">
      <c r="A106" s="53" t="s">
        <v>83</v>
      </c>
      <c r="B106" s="134">
        <f>B115</f>
        <v>0</v>
      </c>
    </row>
    <row r="107" spans="1:6" x14ac:dyDescent="0.25">
      <c r="A107" s="53" t="s">
        <v>53</v>
      </c>
      <c r="B107" s="135">
        <f>PRORRATEO!F29</f>
        <v>4404558.63</v>
      </c>
    </row>
    <row r="108" spans="1:6" ht="15.75" thickBot="1" x14ac:dyDescent="0.3">
      <c r="A108" s="132" t="s">
        <v>48</v>
      </c>
      <c r="B108" s="133">
        <f>SUM(B103:C107)</f>
        <v>-725476.45609999634</v>
      </c>
    </row>
    <row r="109" spans="1:6" x14ac:dyDescent="0.25">
      <c r="A109" s="130"/>
      <c r="B109" s="130"/>
    </row>
    <row r="110" spans="1:6" ht="34.5" customHeight="1" x14ac:dyDescent="0.25"/>
    <row r="111" spans="1:6" x14ac:dyDescent="0.25">
      <c r="A111" s="209" t="s">
        <v>32</v>
      </c>
      <c r="B111" s="209"/>
      <c r="C111" s="209"/>
    </row>
    <row r="112" spans="1:6" x14ac:dyDescent="0.25">
      <c r="A112" s="209"/>
      <c r="B112" s="209"/>
      <c r="C112" s="209"/>
    </row>
    <row r="113" spans="1:13" ht="35.25" customHeight="1" x14ac:dyDescent="0.25">
      <c r="A113" s="118"/>
      <c r="B113" s="35"/>
      <c r="C113" s="35">
        <v>40000</v>
      </c>
      <c r="E113" s="136"/>
    </row>
    <row r="114" spans="1:13" ht="27" customHeight="1" x14ac:dyDescent="0.25">
      <c r="A114" s="118"/>
      <c r="B114" s="120"/>
      <c r="C114" s="117"/>
      <c r="D114" s="136"/>
    </row>
    <row r="115" spans="1:13" x14ac:dyDescent="0.25">
      <c r="A115" s="43" t="s">
        <v>9</v>
      </c>
      <c r="B115" s="119">
        <f>SUM(B113:B114)</f>
        <v>0</v>
      </c>
      <c r="C115" s="44"/>
    </row>
    <row r="116" spans="1:13" x14ac:dyDescent="0.25">
      <c r="M116" s="8"/>
    </row>
    <row r="117" spans="1:13" ht="15" customHeight="1" x14ac:dyDescent="0.25">
      <c r="A117" s="208"/>
      <c r="B117" s="208"/>
      <c r="C117" s="208"/>
      <c r="D117" s="208"/>
      <c r="E117" s="208"/>
    </row>
    <row r="118" spans="1:13" x14ac:dyDescent="0.25">
      <c r="A118" s="208"/>
      <c r="B118" s="208"/>
      <c r="C118" s="208"/>
      <c r="D118" s="208"/>
      <c r="E118" s="208"/>
    </row>
    <row r="119" spans="1:13" x14ac:dyDescent="0.25">
      <c r="A119" s="208"/>
      <c r="B119" s="208"/>
      <c r="C119" s="208"/>
      <c r="D119" s="208"/>
      <c r="E119" s="208"/>
    </row>
    <row r="120" spans="1:13" x14ac:dyDescent="0.25">
      <c r="A120" s="208"/>
      <c r="B120" s="208"/>
      <c r="C120" s="208"/>
      <c r="D120" s="208"/>
      <c r="E120" s="208"/>
    </row>
  </sheetData>
  <mergeCells count="14">
    <mergeCell ref="A33:B33"/>
    <mergeCell ref="A32:B32"/>
    <mergeCell ref="B3:E3"/>
    <mergeCell ref="A13:E16"/>
    <mergeCell ref="B8:C10"/>
    <mergeCell ref="A36:B36"/>
    <mergeCell ref="A37:B37"/>
    <mergeCell ref="A52:B52"/>
    <mergeCell ref="A59:B59"/>
    <mergeCell ref="A117:E120"/>
    <mergeCell ref="A111:C112"/>
    <mergeCell ref="A73:B73"/>
    <mergeCell ref="A72:B72"/>
    <mergeCell ref="A74:B7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topLeftCell="A5" zoomScaleNormal="100" workbookViewId="0">
      <selection activeCell="F12" sqref="F12"/>
    </sheetView>
  </sheetViews>
  <sheetFormatPr baseColWidth="10" defaultColWidth="10.85546875" defaultRowHeight="15" x14ac:dyDescent="0.25"/>
  <cols>
    <col min="1" max="1" width="4.28515625" customWidth="1"/>
    <col min="2" max="2" width="18.5703125" customWidth="1"/>
    <col min="3" max="3" width="0.28515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12.7109375" hidden="1" customWidth="1"/>
    <col min="10" max="11" width="12.42578125" customWidth="1"/>
    <col min="12" max="12" width="10.42578125" bestFit="1" customWidth="1"/>
    <col min="13" max="13" width="14.7109375" customWidth="1"/>
    <col min="14" max="14" width="12" hidden="1" customWidth="1"/>
    <col min="15" max="15" width="14.28515625" customWidth="1"/>
    <col min="16" max="16" width="0.140625" customWidth="1"/>
    <col min="17" max="17" width="12" bestFit="1" customWidth="1"/>
    <col min="18" max="18" width="13.5703125" bestFit="1" customWidth="1"/>
  </cols>
  <sheetData>
    <row r="1" spans="1:18" ht="12.95" customHeight="1" x14ac:dyDescent="0.25">
      <c r="A1" s="6"/>
      <c r="B1" s="6"/>
      <c r="C1" s="6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6"/>
      <c r="O1" s="6"/>
    </row>
    <row r="2" spans="1:18" ht="12.95" customHeight="1" x14ac:dyDescent="0.25">
      <c r="A2" s="6"/>
      <c r="B2" s="6"/>
      <c r="C2" s="6"/>
      <c r="D2" s="6" t="s">
        <v>82</v>
      </c>
      <c r="E2" s="6"/>
      <c r="F2" s="157">
        <v>86134.56</v>
      </c>
      <c r="G2" s="6"/>
      <c r="H2" s="6"/>
      <c r="I2" s="7"/>
      <c r="J2" s="6" t="s">
        <v>81</v>
      </c>
      <c r="K2" s="6"/>
      <c r="L2" s="6"/>
      <c r="M2" s="128">
        <v>5580009.3700000001</v>
      </c>
      <c r="N2" s="54"/>
      <c r="O2" s="54"/>
      <c r="P2" s="21"/>
    </row>
    <row r="3" spans="1:18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5"/>
      <c r="N3" s="55"/>
      <c r="O3" s="59"/>
    </row>
    <row r="4" spans="1:18" x14ac:dyDescent="0.25">
      <c r="A4" s="218" t="s">
        <v>5</v>
      </c>
      <c r="B4" s="218" t="s">
        <v>6</v>
      </c>
      <c r="C4" s="218" t="s">
        <v>27</v>
      </c>
      <c r="D4" s="218" t="s">
        <v>11</v>
      </c>
      <c r="E4" s="221" t="s">
        <v>49</v>
      </c>
      <c r="F4" s="218" t="s">
        <v>7</v>
      </c>
      <c r="G4" s="228" t="s">
        <v>30</v>
      </c>
      <c r="H4" s="221" t="s">
        <v>43</v>
      </c>
      <c r="I4" s="221" t="s">
        <v>8</v>
      </c>
      <c r="J4" s="221" t="s">
        <v>26</v>
      </c>
      <c r="K4" s="221" t="s">
        <v>109</v>
      </c>
      <c r="L4" s="231" t="s">
        <v>80</v>
      </c>
      <c r="M4" s="62" t="s">
        <v>37</v>
      </c>
      <c r="N4" s="226" t="s">
        <v>25</v>
      </c>
      <c r="O4" s="223" t="s">
        <v>36</v>
      </c>
      <c r="R4" s="128">
        <v>4966143.9300000006</v>
      </c>
    </row>
    <row r="5" spans="1:18" ht="15.75" customHeight="1" x14ac:dyDescent="0.25">
      <c r="A5" s="220"/>
      <c r="B5" s="220"/>
      <c r="C5" s="219"/>
      <c r="D5" s="220"/>
      <c r="E5" s="222"/>
      <c r="F5" s="220"/>
      <c r="G5" s="229"/>
      <c r="H5" s="222"/>
      <c r="I5" s="230"/>
      <c r="J5" s="222"/>
      <c r="K5" s="222"/>
      <c r="L5" s="232"/>
      <c r="M5" s="60" t="str">
        <f>RESUMEN!B8</f>
        <v>VTO 16/10</v>
      </c>
      <c r="N5" s="227"/>
      <c r="O5" s="224"/>
    </row>
    <row r="6" spans="1:18" ht="17.100000000000001" customHeight="1" x14ac:dyDescent="0.25">
      <c r="A6" s="161">
        <v>1</v>
      </c>
      <c r="B6" s="161" t="s">
        <v>56</v>
      </c>
      <c r="C6" s="63"/>
      <c r="D6" s="72">
        <v>6.69</v>
      </c>
      <c r="E6" s="73">
        <v>379065.01</v>
      </c>
      <c r="F6" s="242">
        <f>E6</f>
        <v>379065.01</v>
      </c>
      <c r="G6" s="75">
        <f t="shared" ref="G6:G23" si="0">E6-F6</f>
        <v>0</v>
      </c>
      <c r="H6" s="75">
        <f>IF(G6&gt;0,G6*3%,0)</f>
        <v>0</v>
      </c>
      <c r="I6" s="76">
        <v>0</v>
      </c>
      <c r="J6" s="77">
        <f>M$2*D6/100</f>
        <v>373302.62685300002</v>
      </c>
      <c r="K6" s="158"/>
      <c r="L6" s="158">
        <f t="shared" ref="L6:L23" si="1">F$2*D6/100</f>
        <v>5762.4020639999999</v>
      </c>
      <c r="M6" s="79">
        <f>ROUND(SUM(G6:L6),0) + P6</f>
        <v>379065.01</v>
      </c>
      <c r="N6" s="80">
        <f>ROUND(M6*6% + M6,0) + P6</f>
        <v>401809.01</v>
      </c>
      <c r="O6" s="81">
        <f>ROUND(M6*3%,0) + M6</f>
        <v>390437.01</v>
      </c>
      <c r="P6" s="42">
        <v>0.01</v>
      </c>
    </row>
    <row r="7" spans="1:18" ht="17.100000000000001" customHeight="1" x14ac:dyDescent="0.25">
      <c r="A7" s="161">
        <f>A6+1</f>
        <v>2</v>
      </c>
      <c r="B7" s="161" t="s">
        <v>57</v>
      </c>
      <c r="C7" s="64"/>
      <c r="D7" s="72">
        <v>5.88</v>
      </c>
      <c r="E7" s="73">
        <v>3442518.02</v>
      </c>
      <c r="F7" s="74"/>
      <c r="G7" s="75">
        <f t="shared" si="0"/>
        <v>3442518.02</v>
      </c>
      <c r="H7" s="75">
        <f t="shared" ref="H7:H23" si="2">IF(G7&gt;0,G7*3%,0)</f>
        <v>103275.54059999999</v>
      </c>
      <c r="I7" s="76">
        <v>0</v>
      </c>
      <c r="J7" s="77">
        <f t="shared" ref="J7:J23" si="3">M$2*D7%</f>
        <v>328104.55095599999</v>
      </c>
      <c r="K7" s="158">
        <f>24000+99500</f>
        <v>123500</v>
      </c>
      <c r="L7" s="158">
        <f t="shared" si="1"/>
        <v>5064.7121280000001</v>
      </c>
      <c r="M7" s="79">
        <f t="shared" ref="M7:M23" si="4">ROUND(SUM(G7:L7),0) + P7</f>
        <v>4002463.02</v>
      </c>
      <c r="N7" s="80">
        <f t="shared" ref="N7:N23" si="5">ROUND(M7*6% + M7,0) + P7</f>
        <v>4242611.0199999996</v>
      </c>
      <c r="O7" s="81">
        <f t="shared" ref="O7:O23" si="6">ROUND(M7*3%,0) + M7</f>
        <v>4122537.02</v>
      </c>
      <c r="P7" s="42">
        <f>P6+0.01</f>
        <v>0.02</v>
      </c>
      <c r="Q7" s="42"/>
    </row>
    <row r="8" spans="1:18" ht="17.100000000000001" customHeight="1" x14ac:dyDescent="0.25">
      <c r="A8" s="161">
        <f t="shared" ref="A8:A23" si="7">A7+1</f>
        <v>3</v>
      </c>
      <c r="B8" s="161" t="s">
        <v>58</v>
      </c>
      <c r="C8" s="162"/>
      <c r="D8" s="163">
        <v>6.65</v>
      </c>
      <c r="E8" s="74">
        <v>954477.03</v>
      </c>
      <c r="F8" s="242">
        <v>400000.03</v>
      </c>
      <c r="G8" s="75">
        <f t="shared" si="0"/>
        <v>554477</v>
      </c>
      <c r="H8" s="75">
        <f t="shared" si="2"/>
        <v>16634.309999999998</v>
      </c>
      <c r="I8" s="76">
        <v>0</v>
      </c>
      <c r="J8" s="77">
        <f t="shared" si="3"/>
        <v>371070.62310500001</v>
      </c>
      <c r="K8" s="158"/>
      <c r="L8" s="158">
        <f t="shared" si="1"/>
        <v>5727.9482400000006</v>
      </c>
      <c r="M8" s="79">
        <f t="shared" si="4"/>
        <v>947910.03</v>
      </c>
      <c r="N8" s="80">
        <f t="shared" si="5"/>
        <v>1004785.03</v>
      </c>
      <c r="O8" s="81">
        <f t="shared" si="6"/>
        <v>976347.03</v>
      </c>
      <c r="P8" s="42">
        <f t="shared" ref="P8:P24" si="8">P7+0.01</f>
        <v>0.03</v>
      </c>
    </row>
    <row r="9" spans="1:18" ht="17.100000000000001" customHeight="1" x14ac:dyDescent="0.25">
      <c r="A9" s="161">
        <f t="shared" si="7"/>
        <v>4</v>
      </c>
      <c r="B9" s="161" t="s">
        <v>59</v>
      </c>
      <c r="C9" s="64"/>
      <c r="D9" s="72">
        <v>6.73</v>
      </c>
      <c r="E9" s="73">
        <v>381331.04</v>
      </c>
      <c r="F9" s="242">
        <f>E9</f>
        <v>381331.04</v>
      </c>
      <c r="G9" s="75">
        <f t="shared" si="0"/>
        <v>0</v>
      </c>
      <c r="H9" s="75">
        <f t="shared" si="2"/>
        <v>0</v>
      </c>
      <c r="I9" s="76">
        <v>0</v>
      </c>
      <c r="J9" s="77">
        <f t="shared" si="3"/>
        <v>375534.63060099998</v>
      </c>
      <c r="K9" s="158"/>
      <c r="L9" s="158">
        <f t="shared" si="1"/>
        <v>5796.855888</v>
      </c>
      <c r="M9" s="79">
        <f t="shared" si="4"/>
        <v>381331.04</v>
      </c>
      <c r="N9" s="80">
        <f t="shared" si="5"/>
        <v>404211.04</v>
      </c>
      <c r="O9" s="81">
        <f t="shared" si="6"/>
        <v>392771.04</v>
      </c>
      <c r="P9" s="42">
        <f t="shared" si="8"/>
        <v>0.04</v>
      </c>
      <c r="R9" s="42"/>
    </row>
    <row r="10" spans="1:18" ht="17.100000000000001" customHeight="1" x14ac:dyDescent="0.25">
      <c r="A10" s="161">
        <f t="shared" si="7"/>
        <v>5</v>
      </c>
      <c r="B10" s="161" t="s">
        <v>60</v>
      </c>
      <c r="C10" s="64"/>
      <c r="D10" s="72">
        <v>8.0399999999999991</v>
      </c>
      <c r="E10" s="73">
        <v>455558.05</v>
      </c>
      <c r="F10" s="74">
        <v>0</v>
      </c>
      <c r="G10" s="75">
        <f t="shared" si="0"/>
        <v>455558.05</v>
      </c>
      <c r="H10" s="75">
        <f t="shared" si="2"/>
        <v>13666.741499999998</v>
      </c>
      <c r="I10" s="76">
        <v>0</v>
      </c>
      <c r="J10" s="77">
        <f t="shared" si="3"/>
        <v>448632.75334799994</v>
      </c>
      <c r="K10" s="158"/>
      <c r="L10" s="158">
        <f t="shared" si="1"/>
        <v>6925.2186239999983</v>
      </c>
      <c r="M10" s="79">
        <f t="shared" si="4"/>
        <v>924783.05</v>
      </c>
      <c r="N10" s="80">
        <f t="shared" si="5"/>
        <v>980270.05</v>
      </c>
      <c r="O10" s="81">
        <f t="shared" si="6"/>
        <v>952526.05</v>
      </c>
      <c r="P10" s="42">
        <f t="shared" si="8"/>
        <v>0.05</v>
      </c>
      <c r="Q10" t="s">
        <v>97</v>
      </c>
      <c r="R10" s="42"/>
    </row>
    <row r="11" spans="1:18" ht="17.100000000000001" customHeight="1" x14ac:dyDescent="0.25">
      <c r="A11" s="161">
        <f t="shared" si="7"/>
        <v>6</v>
      </c>
      <c r="B11" s="161" t="s">
        <v>61</v>
      </c>
      <c r="C11" s="63"/>
      <c r="D11" s="72">
        <v>4.7300000000000004</v>
      </c>
      <c r="E11" s="73">
        <v>18009.060000000001</v>
      </c>
      <c r="F11" s="242">
        <f>E11+RESUMEN!D57</f>
        <v>268009.06</v>
      </c>
      <c r="G11" s="75">
        <f t="shared" si="0"/>
        <v>-250000</v>
      </c>
      <c r="H11" s="75">
        <f t="shared" si="2"/>
        <v>0</v>
      </c>
      <c r="I11" s="76">
        <v>0</v>
      </c>
      <c r="J11" s="77">
        <f t="shared" si="3"/>
        <v>263934.44320099999</v>
      </c>
      <c r="K11" s="158"/>
      <c r="L11" s="158">
        <f t="shared" si="1"/>
        <v>4074.1646880000003</v>
      </c>
      <c r="M11" s="79">
        <f t="shared" si="4"/>
        <v>18009.060000000001</v>
      </c>
      <c r="N11" s="80">
        <f t="shared" si="5"/>
        <v>19090.060000000001</v>
      </c>
      <c r="O11" s="81">
        <f t="shared" si="6"/>
        <v>18549.060000000001</v>
      </c>
      <c r="P11" s="42">
        <f t="shared" si="8"/>
        <v>6.0000000000000005E-2</v>
      </c>
    </row>
    <row r="12" spans="1:18" ht="17.100000000000001" customHeight="1" x14ac:dyDescent="0.25">
      <c r="A12" s="178">
        <f t="shared" si="7"/>
        <v>7</v>
      </c>
      <c r="B12" s="178" t="s">
        <v>62</v>
      </c>
      <c r="C12" s="178"/>
      <c r="D12" s="179">
        <v>5.67</v>
      </c>
      <c r="E12" s="180">
        <v>1144136.07</v>
      </c>
      <c r="F12" s="180">
        <v>0</v>
      </c>
      <c r="G12" s="182">
        <f t="shared" si="0"/>
        <v>1144136.07</v>
      </c>
      <c r="H12" s="182">
        <f t="shared" si="2"/>
        <v>34324.0821</v>
      </c>
      <c r="I12" s="181">
        <v>0</v>
      </c>
      <c r="J12" s="183">
        <f t="shared" si="3"/>
        <v>316386.53127899999</v>
      </c>
      <c r="K12" s="184"/>
      <c r="L12" s="184">
        <f t="shared" si="1"/>
        <v>4883.8295519999992</v>
      </c>
      <c r="M12" s="185">
        <f t="shared" si="4"/>
        <v>1499731.07</v>
      </c>
      <c r="N12" s="186">
        <f t="shared" si="5"/>
        <v>1589715.07</v>
      </c>
      <c r="O12" s="187">
        <f t="shared" si="6"/>
        <v>1544723.07</v>
      </c>
      <c r="P12" s="42">
        <f t="shared" si="8"/>
        <v>7.0000000000000007E-2</v>
      </c>
    </row>
    <row r="13" spans="1:18" ht="17.100000000000001" customHeight="1" x14ac:dyDescent="0.25">
      <c r="A13" s="161">
        <f t="shared" si="7"/>
        <v>8</v>
      </c>
      <c r="B13" s="161" t="s">
        <v>63</v>
      </c>
      <c r="C13" s="64"/>
      <c r="D13" s="72">
        <v>5.67</v>
      </c>
      <c r="E13" s="73">
        <v>321270.08</v>
      </c>
      <c r="F13" s="74">
        <v>0</v>
      </c>
      <c r="G13" s="75">
        <f t="shared" si="0"/>
        <v>321270.08</v>
      </c>
      <c r="H13" s="75">
        <f t="shared" si="2"/>
        <v>9638.1023999999998</v>
      </c>
      <c r="I13" s="76">
        <v>0</v>
      </c>
      <c r="J13" s="77">
        <f t="shared" si="3"/>
        <v>316386.53127899999</v>
      </c>
      <c r="K13" s="158"/>
      <c r="L13" s="158">
        <f t="shared" si="1"/>
        <v>4883.8295519999992</v>
      </c>
      <c r="M13" s="79">
        <f t="shared" si="4"/>
        <v>652179.07999999996</v>
      </c>
      <c r="N13" s="80">
        <f t="shared" si="5"/>
        <v>691310.07999999996</v>
      </c>
      <c r="O13" s="81">
        <f t="shared" si="6"/>
        <v>671744.08</v>
      </c>
      <c r="P13" s="42">
        <f t="shared" si="8"/>
        <v>0.08</v>
      </c>
      <c r="R13" t="s">
        <v>84</v>
      </c>
    </row>
    <row r="14" spans="1:18" ht="17.100000000000001" customHeight="1" x14ac:dyDescent="0.25">
      <c r="A14" s="161">
        <f t="shared" si="7"/>
        <v>9</v>
      </c>
      <c r="B14" s="161" t="s">
        <v>64</v>
      </c>
      <c r="C14" s="64"/>
      <c r="D14" s="72">
        <v>7.67</v>
      </c>
      <c r="E14" s="73">
        <v>434593.09</v>
      </c>
      <c r="F14" s="242">
        <f>E14</f>
        <v>434593.09</v>
      </c>
      <c r="G14" s="75">
        <f t="shared" si="0"/>
        <v>0</v>
      </c>
      <c r="H14" s="75">
        <f t="shared" si="2"/>
        <v>0</v>
      </c>
      <c r="I14" s="76">
        <v>0</v>
      </c>
      <c r="J14" s="77">
        <f t="shared" si="3"/>
        <v>427986.71867900004</v>
      </c>
      <c r="K14" s="158"/>
      <c r="L14" s="158">
        <f t="shared" si="1"/>
        <v>6606.5207519999994</v>
      </c>
      <c r="M14" s="79">
        <f t="shared" si="4"/>
        <v>434593.09</v>
      </c>
      <c r="N14" s="80">
        <f t="shared" si="5"/>
        <v>460669.09</v>
      </c>
      <c r="O14" s="81">
        <f t="shared" si="6"/>
        <v>447631.09</v>
      </c>
      <c r="P14" s="42">
        <f t="shared" si="8"/>
        <v>0.09</v>
      </c>
    </row>
    <row r="15" spans="1:18" ht="17.100000000000001" customHeight="1" x14ac:dyDescent="0.25">
      <c r="A15" s="161">
        <f t="shared" si="7"/>
        <v>10</v>
      </c>
      <c r="B15" s="161" t="s">
        <v>65</v>
      </c>
      <c r="C15" s="64"/>
      <c r="D15" s="72">
        <v>4.9000000000000004</v>
      </c>
      <c r="E15" s="73">
        <v>277641.09999999998</v>
      </c>
      <c r="F15" s="242">
        <f>E15</f>
        <v>277641.09999999998</v>
      </c>
      <c r="G15" s="75">
        <f t="shared" si="0"/>
        <v>0</v>
      </c>
      <c r="H15" s="75">
        <f t="shared" si="2"/>
        <v>0</v>
      </c>
      <c r="I15" s="76">
        <v>0</v>
      </c>
      <c r="J15" s="77">
        <f t="shared" si="3"/>
        <v>273420.45913000003</v>
      </c>
      <c r="K15" s="158"/>
      <c r="L15" s="158">
        <f t="shared" si="1"/>
        <v>4220.5934400000006</v>
      </c>
      <c r="M15" s="79">
        <f t="shared" si="4"/>
        <v>277641.09999999998</v>
      </c>
      <c r="N15" s="80">
        <f t="shared" si="5"/>
        <v>294300.09999999998</v>
      </c>
      <c r="O15" s="81">
        <f t="shared" si="6"/>
        <v>285970.09999999998</v>
      </c>
      <c r="P15" s="42">
        <f t="shared" si="8"/>
        <v>9.9999999999999992E-2</v>
      </c>
    </row>
    <row r="16" spans="1:18" ht="17.100000000000001" customHeight="1" x14ac:dyDescent="0.25">
      <c r="A16" s="161">
        <f t="shared" si="7"/>
        <v>11</v>
      </c>
      <c r="B16" s="161" t="s">
        <v>66</v>
      </c>
      <c r="C16" s="64"/>
      <c r="D16" s="72">
        <v>5.63</v>
      </c>
      <c r="E16" s="73">
        <v>319004.11</v>
      </c>
      <c r="F16" s="242">
        <f>E16</f>
        <v>319004.11</v>
      </c>
      <c r="G16" s="75">
        <f t="shared" si="0"/>
        <v>0</v>
      </c>
      <c r="H16" s="75">
        <f t="shared" si="2"/>
        <v>0</v>
      </c>
      <c r="I16" s="76">
        <v>0</v>
      </c>
      <c r="J16" s="77">
        <f t="shared" si="3"/>
        <v>314154.52753099997</v>
      </c>
      <c r="K16" s="158"/>
      <c r="L16" s="158">
        <f t="shared" si="1"/>
        <v>4849.375728</v>
      </c>
      <c r="M16" s="79">
        <f t="shared" si="4"/>
        <v>319004.11</v>
      </c>
      <c r="N16" s="80">
        <f t="shared" si="5"/>
        <v>338144.11</v>
      </c>
      <c r="O16" s="81">
        <f t="shared" si="6"/>
        <v>328574.11</v>
      </c>
      <c r="P16" s="42">
        <f t="shared" si="8"/>
        <v>0.10999999999999999</v>
      </c>
    </row>
    <row r="17" spans="1:21" ht="17.100000000000001" customHeight="1" x14ac:dyDescent="0.25">
      <c r="A17" s="161">
        <f t="shared" si="7"/>
        <v>12</v>
      </c>
      <c r="B17" s="161" t="s">
        <v>67</v>
      </c>
      <c r="C17" s="64"/>
      <c r="D17" s="72">
        <v>5.55</v>
      </c>
      <c r="E17" s="73">
        <v>314471.12</v>
      </c>
      <c r="F17" s="242">
        <f t="shared" ref="F13:F18" si="9">E17</f>
        <v>314471.12</v>
      </c>
      <c r="G17" s="75">
        <f t="shared" si="0"/>
        <v>0</v>
      </c>
      <c r="H17" s="75">
        <f t="shared" si="2"/>
        <v>0</v>
      </c>
      <c r="I17" s="76">
        <v>0</v>
      </c>
      <c r="J17" s="77">
        <f t="shared" si="3"/>
        <v>309690.52003499999</v>
      </c>
      <c r="K17" s="158"/>
      <c r="L17" s="158">
        <f t="shared" si="1"/>
        <v>4780.4680799999996</v>
      </c>
      <c r="M17" s="79">
        <f t="shared" si="4"/>
        <v>314471.12</v>
      </c>
      <c r="N17" s="80">
        <f t="shared" si="5"/>
        <v>333339.12</v>
      </c>
      <c r="O17" s="81">
        <f t="shared" si="6"/>
        <v>323905.12</v>
      </c>
      <c r="P17" s="42">
        <f t="shared" si="8"/>
        <v>0.11999999999999998</v>
      </c>
    </row>
    <row r="18" spans="1:21" ht="17.100000000000001" customHeight="1" x14ac:dyDescent="0.25">
      <c r="A18" s="161">
        <f t="shared" si="7"/>
        <v>13</v>
      </c>
      <c r="B18" s="161" t="s">
        <v>68</v>
      </c>
      <c r="C18" s="64"/>
      <c r="D18" s="72">
        <v>11.06</v>
      </c>
      <c r="E18" s="73">
        <v>626676.13</v>
      </c>
      <c r="F18" s="242">
        <f>E18</f>
        <v>626676.13</v>
      </c>
      <c r="G18" s="75">
        <f t="shared" si="0"/>
        <v>0</v>
      </c>
      <c r="H18" s="75">
        <f t="shared" si="2"/>
        <v>0</v>
      </c>
      <c r="I18" s="76">
        <v>0</v>
      </c>
      <c r="J18" s="77">
        <f t="shared" si="3"/>
        <v>617149.03632200009</v>
      </c>
      <c r="K18" s="158"/>
      <c r="L18" s="158">
        <f t="shared" si="1"/>
        <v>9526.4823360000009</v>
      </c>
      <c r="M18" s="79">
        <f t="shared" si="4"/>
        <v>626676.13</v>
      </c>
      <c r="N18" s="80">
        <f t="shared" si="5"/>
        <v>664277.13</v>
      </c>
      <c r="O18" s="81">
        <f t="shared" si="6"/>
        <v>645476.13</v>
      </c>
      <c r="P18" s="42">
        <f t="shared" si="8"/>
        <v>0.12999999999999998</v>
      </c>
    </row>
    <row r="19" spans="1:21" ht="17.100000000000001" customHeight="1" x14ac:dyDescent="0.25">
      <c r="A19" s="161">
        <f t="shared" si="7"/>
        <v>14</v>
      </c>
      <c r="B19" s="161" t="s">
        <v>69</v>
      </c>
      <c r="C19" s="64"/>
      <c r="D19" s="72">
        <v>3.3</v>
      </c>
      <c r="E19" s="73">
        <v>192926.14</v>
      </c>
      <c r="F19" s="242">
        <f>184140.14+2842.14</f>
        <v>186982.28000000003</v>
      </c>
      <c r="G19" s="75">
        <f t="shared" si="0"/>
        <v>5943.859999999986</v>
      </c>
      <c r="H19" s="75">
        <f t="shared" si="2"/>
        <v>178.31579999999957</v>
      </c>
      <c r="I19" s="76">
        <v>0</v>
      </c>
      <c r="J19" s="77">
        <f t="shared" si="3"/>
        <v>184140.30921000001</v>
      </c>
      <c r="K19" s="158"/>
      <c r="L19" s="158">
        <f t="shared" si="1"/>
        <v>2842.4404799999993</v>
      </c>
      <c r="M19" s="79">
        <f t="shared" si="4"/>
        <v>193105.14</v>
      </c>
      <c r="N19" s="80">
        <f t="shared" si="5"/>
        <v>204691.14</v>
      </c>
      <c r="O19" s="81">
        <f t="shared" si="6"/>
        <v>198898.14</v>
      </c>
      <c r="P19" s="42">
        <f t="shared" si="8"/>
        <v>0.13999999999999999</v>
      </c>
      <c r="Q19" t="s">
        <v>101</v>
      </c>
    </row>
    <row r="20" spans="1:21" ht="17.100000000000001" customHeight="1" x14ac:dyDescent="0.25">
      <c r="A20" s="161">
        <f t="shared" si="7"/>
        <v>15</v>
      </c>
      <c r="B20" s="161" t="s">
        <v>70</v>
      </c>
      <c r="C20" s="162"/>
      <c r="D20" s="163">
        <v>1.8</v>
      </c>
      <c r="E20" s="74">
        <v>101991.15</v>
      </c>
      <c r="F20" s="242">
        <f>E20</f>
        <v>101991.15</v>
      </c>
      <c r="G20" s="75">
        <f t="shared" si="0"/>
        <v>0</v>
      </c>
      <c r="H20" s="75">
        <f t="shared" si="2"/>
        <v>0</v>
      </c>
      <c r="I20" s="76">
        <v>0</v>
      </c>
      <c r="J20" s="77">
        <f t="shared" si="3"/>
        <v>100440.16866000001</v>
      </c>
      <c r="K20" s="158"/>
      <c r="L20" s="158">
        <f t="shared" si="1"/>
        <v>1550.4220800000001</v>
      </c>
      <c r="M20" s="79">
        <f t="shared" si="4"/>
        <v>101991.15</v>
      </c>
      <c r="N20" s="80">
        <f t="shared" si="5"/>
        <v>108111.15</v>
      </c>
      <c r="O20" s="81">
        <f t="shared" si="6"/>
        <v>105051.15</v>
      </c>
      <c r="P20" s="42">
        <f t="shared" si="8"/>
        <v>0.15</v>
      </c>
      <c r="Q20" t="s">
        <v>100</v>
      </c>
    </row>
    <row r="21" spans="1:21" ht="17.100000000000001" customHeight="1" x14ac:dyDescent="0.25">
      <c r="A21" s="63">
        <f t="shared" si="7"/>
        <v>16</v>
      </c>
      <c r="B21" s="63" t="s">
        <v>71</v>
      </c>
      <c r="C21" s="63"/>
      <c r="D21" s="72">
        <v>3.22</v>
      </c>
      <c r="E21" s="73">
        <v>182450.16</v>
      </c>
      <c r="F21" s="242">
        <f>E21</f>
        <v>182450.16</v>
      </c>
      <c r="G21" s="75">
        <f t="shared" si="0"/>
        <v>0</v>
      </c>
      <c r="H21" s="75">
        <f t="shared" si="2"/>
        <v>0</v>
      </c>
      <c r="I21" s="76">
        <v>0</v>
      </c>
      <c r="J21" s="77">
        <f t="shared" si="3"/>
        <v>179676.301714</v>
      </c>
      <c r="K21" s="158"/>
      <c r="L21" s="158">
        <f t="shared" si="1"/>
        <v>2773.5328319999999</v>
      </c>
      <c r="M21" s="79">
        <f t="shared" si="4"/>
        <v>182450.16</v>
      </c>
      <c r="N21" s="80">
        <f t="shared" si="5"/>
        <v>193397.16</v>
      </c>
      <c r="O21" s="81">
        <f t="shared" si="6"/>
        <v>187924.16</v>
      </c>
      <c r="P21" s="42">
        <f t="shared" si="8"/>
        <v>0.16</v>
      </c>
      <c r="Q21" s="122"/>
      <c r="R21" s="164"/>
      <c r="S21" s="164"/>
      <c r="T21" s="164"/>
      <c r="U21" s="164"/>
    </row>
    <row r="22" spans="1:21" ht="17.100000000000001" customHeight="1" x14ac:dyDescent="0.25">
      <c r="A22" s="63">
        <f t="shared" si="7"/>
        <v>17</v>
      </c>
      <c r="B22" s="63" t="s">
        <v>72</v>
      </c>
      <c r="C22" s="64"/>
      <c r="D22" s="72">
        <v>2.61</v>
      </c>
      <c r="E22" s="74">
        <v>289833.17</v>
      </c>
      <c r="F22" s="242">
        <f>E22</f>
        <v>289833.17</v>
      </c>
      <c r="G22" s="75">
        <f t="shared" si="0"/>
        <v>0</v>
      </c>
      <c r="H22" s="75">
        <f t="shared" si="2"/>
        <v>0</v>
      </c>
      <c r="I22" s="76">
        <v>0</v>
      </c>
      <c r="J22" s="77">
        <f t="shared" si="3"/>
        <v>145638.244557</v>
      </c>
      <c r="K22" s="158"/>
      <c r="L22" s="158">
        <f t="shared" si="1"/>
        <v>2248.1120159999996</v>
      </c>
      <c r="M22" s="79">
        <f t="shared" si="4"/>
        <v>147886.17000000001</v>
      </c>
      <c r="N22" s="80">
        <f t="shared" si="5"/>
        <v>156759.17000000001</v>
      </c>
      <c r="O22" s="81">
        <f t="shared" si="6"/>
        <v>152323.17000000001</v>
      </c>
      <c r="P22" s="42">
        <f t="shared" si="8"/>
        <v>0.17</v>
      </c>
      <c r="Q22" s="122" t="s">
        <v>98</v>
      </c>
      <c r="R22" s="164"/>
      <c r="S22" s="164"/>
      <c r="T22" s="164"/>
      <c r="U22" s="164"/>
    </row>
    <row r="23" spans="1:21" ht="17.100000000000001" customHeight="1" x14ac:dyDescent="0.25">
      <c r="A23" s="63">
        <f t="shared" si="7"/>
        <v>18</v>
      </c>
      <c r="B23" s="63" t="s">
        <v>73</v>
      </c>
      <c r="C23" s="127"/>
      <c r="D23" s="72">
        <v>4.28</v>
      </c>
      <c r="E23" s="73">
        <v>182511.18</v>
      </c>
      <c r="F23" s="242">
        <f>E23+RESUMEN!D58</f>
        <v>242511.18</v>
      </c>
      <c r="G23" s="75">
        <f t="shared" si="0"/>
        <v>-60000</v>
      </c>
      <c r="H23" s="75">
        <f t="shared" si="2"/>
        <v>0</v>
      </c>
      <c r="I23" s="76">
        <v>0</v>
      </c>
      <c r="J23" s="77">
        <f t="shared" si="3"/>
        <v>238824.40103600002</v>
      </c>
      <c r="K23" s="158"/>
      <c r="L23" s="158">
        <f t="shared" si="1"/>
        <v>3686.5591680000002</v>
      </c>
      <c r="M23" s="79">
        <f t="shared" si="4"/>
        <v>182511.18</v>
      </c>
      <c r="N23" s="80">
        <f t="shared" si="5"/>
        <v>193462.18</v>
      </c>
      <c r="O23" s="81">
        <f t="shared" si="6"/>
        <v>187986.18</v>
      </c>
      <c r="P23" s="42">
        <f t="shared" si="8"/>
        <v>0.18000000000000002</v>
      </c>
      <c r="Q23" s="164"/>
      <c r="R23" s="164"/>
      <c r="S23" s="164"/>
      <c r="T23" s="164"/>
      <c r="U23" s="164"/>
    </row>
    <row r="24" spans="1:21" ht="17.100000000000001" customHeight="1" x14ac:dyDescent="0.25">
      <c r="A24" s="63"/>
      <c r="B24" s="63"/>
      <c r="C24" s="64"/>
      <c r="D24" s="72"/>
      <c r="E24" s="73"/>
      <c r="F24" s="188"/>
      <c r="G24" s="75"/>
      <c r="H24" s="75"/>
      <c r="I24" s="76"/>
      <c r="J24" s="77"/>
      <c r="K24" s="158"/>
      <c r="L24" s="78"/>
      <c r="M24" s="79"/>
      <c r="N24" s="80"/>
      <c r="O24" s="81"/>
      <c r="P24" s="42">
        <f t="shared" si="8"/>
        <v>0.19000000000000003</v>
      </c>
    </row>
    <row r="25" spans="1:21" ht="16.5" hidden="1" customHeight="1" x14ac:dyDescent="0.25">
      <c r="A25" s="82"/>
      <c r="B25" s="63"/>
      <c r="C25" s="64"/>
      <c r="D25" s="72"/>
      <c r="E25" s="84"/>
      <c r="F25" s="85"/>
      <c r="G25" s="86"/>
      <c r="H25" s="75"/>
      <c r="I25" s="76"/>
      <c r="J25" s="87"/>
      <c r="K25" s="177"/>
      <c r="L25" s="88"/>
      <c r="M25" s="79"/>
      <c r="N25" s="80"/>
      <c r="O25" s="81"/>
      <c r="P25" s="42"/>
    </row>
    <row r="26" spans="1:21" ht="22.5" hidden="1" customHeight="1" thickBot="1" x14ac:dyDescent="0.3">
      <c r="A26" s="82"/>
      <c r="B26" s="65"/>
      <c r="C26" s="64"/>
      <c r="D26" s="72"/>
      <c r="E26" s="84"/>
      <c r="F26" s="85"/>
      <c r="G26" s="86"/>
      <c r="H26" s="75"/>
      <c r="I26" s="76"/>
      <c r="J26" s="87"/>
      <c r="K26" s="177"/>
      <c r="L26" s="88"/>
      <c r="M26" s="79"/>
      <c r="N26" s="80"/>
      <c r="O26" s="81"/>
      <c r="P26" s="42"/>
    </row>
    <row r="27" spans="1:21" ht="16.5" hidden="1" customHeight="1" thickBot="1" x14ac:dyDescent="0.3">
      <c r="A27" s="83"/>
      <c r="B27" s="63"/>
      <c r="C27" s="64"/>
      <c r="D27" s="72"/>
      <c r="E27" s="84"/>
      <c r="F27" s="85"/>
      <c r="G27" s="86"/>
      <c r="H27" s="75"/>
      <c r="I27" s="76"/>
      <c r="J27" s="87"/>
      <c r="K27" s="177"/>
      <c r="L27" s="88"/>
      <c r="M27" s="79"/>
      <c r="N27" s="80"/>
      <c r="O27" s="81"/>
      <c r="P27" s="42"/>
    </row>
    <row r="28" spans="1:21" ht="17.100000000000001" customHeight="1" thickBot="1" x14ac:dyDescent="0.3">
      <c r="A28" s="63"/>
      <c r="B28" s="89"/>
      <c r="C28" s="89"/>
      <c r="D28" s="72"/>
      <c r="E28" s="84"/>
      <c r="F28" s="85"/>
      <c r="G28" s="86"/>
      <c r="H28" s="75"/>
      <c r="I28" s="76"/>
      <c r="J28" s="87"/>
      <c r="K28" s="177"/>
      <c r="L28" s="88"/>
      <c r="M28" s="90"/>
      <c r="N28" s="91"/>
      <c r="O28" s="92"/>
      <c r="P28" s="42"/>
    </row>
    <row r="29" spans="1:21" ht="17.100000000000001" customHeight="1" thickBot="1" x14ac:dyDescent="0.3">
      <c r="A29" s="93"/>
      <c r="B29" s="94"/>
      <c r="C29" s="94"/>
      <c r="D29" s="95">
        <f>SUM(D6:D28)</f>
        <v>100.08</v>
      </c>
      <c r="E29" s="52">
        <f>SUM(E6:E28)</f>
        <v>10018461.710000001</v>
      </c>
      <c r="F29" s="61">
        <f>SUM(F6:F28)</f>
        <v>4404558.63</v>
      </c>
      <c r="G29" s="61">
        <f>SUM(G6:G28)</f>
        <v>5613903.080000001</v>
      </c>
      <c r="H29" s="61">
        <f t="shared" ref="H29:N29" si="10">SUM(H6:H28)</f>
        <v>177717.09239999999</v>
      </c>
      <c r="I29" s="61">
        <f t="shared" si="10"/>
        <v>0</v>
      </c>
      <c r="J29" s="131">
        <f t="shared" si="10"/>
        <v>5584473.3774959994</v>
      </c>
      <c r="K29" s="131"/>
      <c r="L29" s="61">
        <f t="shared" si="10"/>
        <v>86203.467647999991</v>
      </c>
      <c r="M29" s="96">
        <f>SUM(M6:M23)</f>
        <v>11585800.709999999</v>
      </c>
      <c r="N29" s="96">
        <f t="shared" si="10"/>
        <v>12280951.709999999</v>
      </c>
      <c r="O29" s="96">
        <f>SUM(O6:O28)</f>
        <v>11933373.709999999</v>
      </c>
    </row>
    <row r="30" spans="1:21" ht="12.75" customHeight="1" x14ac:dyDescent="0.25">
      <c r="B30" s="49"/>
      <c r="C30" s="49"/>
    </row>
    <row r="31" spans="1:21" hidden="1" x14ac:dyDescent="0.25"/>
    <row r="32" spans="1:21" ht="9" customHeight="1" x14ac:dyDescent="0.25">
      <c r="B32" s="208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</row>
    <row r="33" spans="2:13" ht="12" hidden="1" customHeight="1" x14ac:dyDescent="0.25"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</row>
    <row r="34" spans="2:13" ht="12" hidden="1" customHeight="1" x14ac:dyDescent="0.25"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L34" s="208"/>
      <c r="M34" s="208"/>
    </row>
    <row r="35" spans="2:13" ht="12" hidden="1" customHeight="1" x14ac:dyDescent="0.25"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</row>
    <row r="36" spans="2:13" ht="12" hidden="1" customHeight="1" x14ac:dyDescent="0.25"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</row>
    <row r="37" spans="2:13" ht="67.5" customHeight="1" x14ac:dyDescent="0.25"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</row>
  </sheetData>
  <mergeCells count="16">
    <mergeCell ref="O4:O5"/>
    <mergeCell ref="D1:M1"/>
    <mergeCell ref="H4:H5"/>
    <mergeCell ref="E4:E5"/>
    <mergeCell ref="N4:N5"/>
    <mergeCell ref="F4:F5"/>
    <mergeCell ref="G4:G5"/>
    <mergeCell ref="I4:I5"/>
    <mergeCell ref="J4:J5"/>
    <mergeCell ref="L4:L5"/>
    <mergeCell ref="B32:M37"/>
    <mergeCell ref="C4:C5"/>
    <mergeCell ref="A4:A5"/>
    <mergeCell ref="B4:B5"/>
    <mergeCell ref="D4:D5"/>
    <mergeCell ref="K4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A1:O16"/>
  <sheetViews>
    <sheetView workbookViewId="0">
      <selection activeCell="B4" sqref="B4:F8"/>
    </sheetView>
  </sheetViews>
  <sheetFormatPr baseColWidth="10" defaultColWidth="10.85546875" defaultRowHeight="15" x14ac:dyDescent="0.25"/>
  <sheetData>
    <row r="1" spans="1:15" ht="15.75" thickBot="1" x14ac:dyDescent="0.3"/>
    <row r="2" spans="1:15" x14ac:dyDescent="0.25">
      <c r="B2" s="169" t="s">
        <v>103</v>
      </c>
      <c r="C2" s="170">
        <v>1</v>
      </c>
      <c r="D2" s="166"/>
      <c r="E2" s="166"/>
      <c r="F2" s="167"/>
    </row>
    <row r="3" spans="1:15" x14ac:dyDescent="0.25">
      <c r="B3" s="171" t="s">
        <v>104</v>
      </c>
      <c r="C3" s="172" t="s">
        <v>105</v>
      </c>
      <c r="F3" s="168"/>
    </row>
    <row r="4" spans="1:15" x14ac:dyDescent="0.25">
      <c r="B4" s="233" t="s">
        <v>106</v>
      </c>
      <c r="C4" s="234"/>
      <c r="D4" s="234"/>
      <c r="E4" s="234"/>
      <c r="F4" s="235"/>
    </row>
    <row r="5" spans="1:15" x14ac:dyDescent="0.25">
      <c r="B5" s="233"/>
      <c r="C5" s="234"/>
      <c r="D5" s="234"/>
      <c r="E5" s="234"/>
      <c r="F5" s="235"/>
    </row>
    <row r="6" spans="1:15" x14ac:dyDescent="0.25">
      <c r="A6" s="122"/>
      <c r="B6" s="233"/>
      <c r="C6" s="234"/>
      <c r="D6" s="234"/>
      <c r="E6" s="234"/>
      <c r="F6" s="235"/>
      <c r="N6" s="122"/>
      <c r="O6" s="122"/>
    </row>
    <row r="7" spans="1:15" x14ac:dyDescent="0.25">
      <c r="A7" s="122"/>
      <c r="B7" s="233"/>
      <c r="C7" s="234"/>
      <c r="D7" s="234"/>
      <c r="E7" s="234"/>
      <c r="F7" s="235"/>
      <c r="N7" s="122"/>
      <c r="O7" s="122"/>
    </row>
    <row r="8" spans="1:15" ht="15.75" thickBot="1" x14ac:dyDescent="0.3">
      <c r="A8" s="122"/>
      <c r="B8" s="236"/>
      <c r="C8" s="237"/>
      <c r="D8" s="237"/>
      <c r="E8" s="237"/>
      <c r="F8" s="238"/>
      <c r="N8" s="122"/>
      <c r="O8" s="122"/>
    </row>
    <row r="9" spans="1:15" ht="15.75" thickBot="1" x14ac:dyDescent="0.3">
      <c r="A9" s="122"/>
      <c r="N9" s="122"/>
      <c r="O9" s="122"/>
    </row>
    <row r="10" spans="1:15" x14ac:dyDescent="0.25">
      <c r="A10" s="122"/>
      <c r="B10" s="173" t="s">
        <v>103</v>
      </c>
      <c r="C10" s="174">
        <v>1</v>
      </c>
      <c r="D10" s="166"/>
      <c r="E10" s="166"/>
      <c r="F10" s="167"/>
      <c r="N10" s="122"/>
      <c r="O10" s="122"/>
    </row>
    <row r="11" spans="1:15" x14ac:dyDescent="0.25">
      <c r="A11" s="122"/>
      <c r="B11" s="175" t="s">
        <v>104</v>
      </c>
      <c r="C11" s="176" t="s">
        <v>107</v>
      </c>
      <c r="F11" s="168"/>
      <c r="N11" s="122"/>
      <c r="O11" s="122"/>
    </row>
    <row r="12" spans="1:15" x14ac:dyDescent="0.25">
      <c r="B12" s="233" t="s">
        <v>108</v>
      </c>
      <c r="C12" s="234"/>
      <c r="D12" s="234"/>
      <c r="E12" s="234"/>
      <c r="F12" s="235"/>
    </row>
    <row r="13" spans="1:15" x14ac:dyDescent="0.25">
      <c r="B13" s="233"/>
      <c r="C13" s="234"/>
      <c r="D13" s="234"/>
      <c r="E13" s="234"/>
      <c r="F13" s="235"/>
    </row>
    <row r="14" spans="1:15" x14ac:dyDescent="0.25">
      <c r="B14" s="233"/>
      <c r="C14" s="234"/>
      <c r="D14" s="234"/>
      <c r="E14" s="234"/>
      <c r="F14" s="235"/>
    </row>
    <row r="15" spans="1:15" x14ac:dyDescent="0.25">
      <c r="B15" s="233"/>
      <c r="C15" s="234"/>
      <c r="D15" s="234"/>
      <c r="E15" s="234"/>
      <c r="F15" s="235"/>
    </row>
    <row r="16" spans="1:15" ht="15.75" thickBot="1" x14ac:dyDescent="0.3">
      <c r="B16" s="236"/>
      <c r="C16" s="237"/>
      <c r="D16" s="237"/>
      <c r="E16" s="237"/>
      <c r="F16" s="238"/>
    </row>
  </sheetData>
  <mergeCells count="2">
    <mergeCell ref="B4:F8"/>
    <mergeCell ref="B12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2026-09-03T23:29:34Z</cp:lastPrinted>
  <dcterms:created xsi:type="dcterms:W3CDTF">2023-09-17T12:29:07Z</dcterms:created>
  <dcterms:modified xsi:type="dcterms:W3CDTF">2026-09-30T13:29:14Z</dcterms:modified>
</cp:coreProperties>
</file>