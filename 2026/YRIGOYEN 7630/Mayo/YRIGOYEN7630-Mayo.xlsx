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YRIGOYEN 7630\Mayo\"/>
    </mc:Choice>
  </mc:AlternateContent>
  <xr:revisionPtr revIDLastSave="0" documentId="13_ncr:1_{7EBA4978-8B9C-4CB5-808B-FDBD19D13A80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PRORRATEO!$A$1:$N$30</definedName>
    <definedName name="_xlnm.Print_Area" localSheetId="0">RESUMEN!$A$1:$E$123</definedName>
  </definedNames>
  <calcPr calcId="181029"/>
</workbook>
</file>

<file path=xl/calcChain.xml><?xml version="1.0" encoding="utf-8"?>
<calcChain xmlns="http://schemas.openxmlformats.org/spreadsheetml/2006/main">
  <c r="B112" i="1" l="1"/>
  <c r="F19" i="2"/>
  <c r="F8" i="2" l="1"/>
  <c r="F14" i="2"/>
  <c r="F10" i="2"/>
  <c r="F13" i="2"/>
  <c r="F20" i="2"/>
  <c r="D36" i="1" l="1"/>
  <c r="E49" i="1"/>
  <c r="E50" i="1" s="1"/>
  <c r="F23" i="2" l="1"/>
  <c r="F17" i="2"/>
  <c r="F21" i="2"/>
  <c r="F18" i="2" l="1"/>
  <c r="F6" i="2"/>
  <c r="F9" i="2"/>
  <c r="E42" i="1" l="1"/>
  <c r="F42" i="1"/>
  <c r="E63" i="1"/>
  <c r="E38" i="1"/>
  <c r="E46" i="1" l="1"/>
  <c r="E52" i="1"/>
  <c r="E37" i="1" l="1"/>
  <c r="E67" i="1" l="1"/>
  <c r="E34" i="1" l="1"/>
  <c r="E44" i="1" l="1"/>
  <c r="E45" i="1" s="1"/>
  <c r="J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6" i="2"/>
  <c r="F11" i="2" l="1"/>
  <c r="F16" i="2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79" i="1" l="1"/>
  <c r="E84" i="1" s="1"/>
  <c r="B88" i="1" s="1"/>
  <c r="B104" i="1" l="1"/>
  <c r="B111" i="1"/>
  <c r="B122" i="1"/>
  <c r="B100" i="1" l="1"/>
  <c r="B113" i="1"/>
  <c r="G20" i="2" l="1"/>
  <c r="D29" i="1" l="1"/>
  <c r="L5" i="2" l="1"/>
  <c r="D24" i="1" l="1"/>
  <c r="E30" i="1" s="1"/>
  <c r="E71" i="1" s="1"/>
  <c r="O7" i="2" l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F29" i="2" l="1"/>
  <c r="D29" i="2"/>
  <c r="E29" i="2"/>
  <c r="B98" i="1" l="1"/>
  <c r="B114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89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4" i="1"/>
  <c r="A45" i="1" s="1"/>
  <c r="J7" i="2" l="1"/>
  <c r="L7" i="2" s="1"/>
  <c r="J8" i="2"/>
  <c r="L8" i="2" s="1"/>
  <c r="J9" i="2"/>
  <c r="L9" i="2" s="1"/>
  <c r="J10" i="2"/>
  <c r="L10" i="2" s="1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L18" i="2" s="1"/>
  <c r="J19" i="2"/>
  <c r="L19" i="2" s="1"/>
  <c r="J20" i="2"/>
  <c r="L20" i="2" s="1"/>
  <c r="J21" i="2"/>
  <c r="L21" i="2" s="1"/>
  <c r="J22" i="2"/>
  <c r="L22" i="2" s="1"/>
  <c r="J23" i="2"/>
  <c r="L23" i="2" s="1"/>
  <c r="L6" i="2"/>
  <c r="L29" i="2" l="1"/>
  <c r="N23" i="2"/>
  <c r="N19" i="2"/>
  <c r="N15" i="2"/>
  <c r="N11" i="2"/>
  <c r="N7" i="2"/>
  <c r="N6" i="2"/>
  <c r="N22" i="2"/>
  <c r="N18" i="2"/>
  <c r="N14" i="2"/>
  <c r="N10" i="2"/>
  <c r="N21" i="2"/>
  <c r="N17" i="2"/>
  <c r="N13" i="2"/>
  <c r="N9" i="2"/>
  <c r="N20" i="2"/>
  <c r="N16" i="2"/>
  <c r="N12" i="2"/>
  <c r="N8" i="2"/>
  <c r="M14" i="2"/>
  <c r="M21" i="2"/>
  <c r="M17" i="2"/>
  <c r="M13" i="2"/>
  <c r="M9" i="2"/>
  <c r="M6" i="2"/>
  <c r="M18" i="2"/>
  <c r="M20" i="2"/>
  <c r="M16" i="2"/>
  <c r="M12" i="2"/>
  <c r="M8" i="2"/>
  <c r="M22" i="2"/>
  <c r="M10" i="2"/>
  <c r="M23" i="2"/>
  <c r="M19" i="2"/>
  <c r="M15" i="2"/>
  <c r="M11" i="2"/>
  <c r="M7" i="2"/>
  <c r="J29" i="2"/>
  <c r="N29" i="2" l="1"/>
  <c r="K29" i="2" l="1"/>
  <c r="M29" i="2" l="1"/>
  <c r="B87" i="1"/>
  <c r="B103" i="1" l="1"/>
  <c r="B105" i="1" s="1"/>
  <c r="B110" i="1"/>
  <c r="B115" i="1" s="1"/>
  <c r="B86" i="1"/>
</calcChain>
</file>

<file path=xl/sharedStrings.xml><?xml version="1.0" encoding="utf-8"?>
<sst xmlns="http://schemas.openxmlformats.org/spreadsheetml/2006/main" count="134" uniqueCount="127">
  <si>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</si>
  <si>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</si>
  <si>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</si>
  <si>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</si>
  <si>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</si>
  <si>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</si>
  <si>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</si>
  <si>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</si>
  <si>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</si>
  <si>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</si>
  <si>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</si>
  <si>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</si>
  <si>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</si>
  <si>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</si>
  <si>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</si>
  <si>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</si>
  <si>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</si>
  <si>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</si>
  <si>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</si>
  <si>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</si>
  <si>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</si>
  <si>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</si>
  <si>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</si>
  <si>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</si>
  <si>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</si>
  <si>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</si>
  <si>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</si>
  <si>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</si>
  <si>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</si>
  <si>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</si>
  <si>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</si>
  <si>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</si>
  <si>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</si>
  <si>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</si>
  <si>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</si>
  <si>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</si>
  <si>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</si>
  <si>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</si>
  <si>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</si>
  <si>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</si>
  <si>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</si>
  <si>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</si>
  <si>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</si>
  <si>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</si>
  <si>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</si>
  <si>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</si>
  <si>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</si>
  <si>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</si>
  <si>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</si>
  <si>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</si>
  <si>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</si>
  <si>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</si>
  <si>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</si>
  <si>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</si>
  <si>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</si>
  <si>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</si>
  <si>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</si>
  <si>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</si>
  <si>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</si>
  <si>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</si>
  <si>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</si>
  <si>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</si>
  <si>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</si>
  <si>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</si>
  <si>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</si>
  <si>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</si>
  <si>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</si>
  <si>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</si>
  <si>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</si>
  <si>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</si>
  <si>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</si>
  <si>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</si>
  <si>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</si>
  <si>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</si>
  <si>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</si>
  <si>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</si>
  <si>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</si>
  <si>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</si>
  <si>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</si>
  <si>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</si>
  <si>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</si>
  <si>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</si>
  <si>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</si>
  <si>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</si>
  <si>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</si>
  <si>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</si>
  <si>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</si>
  <si>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</si>
  <si>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</si>
  <si>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</si>
  <si>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Subidos en En3r0</t>
  </si>
  <si>
    <t>CONSORCIO DE PROPIETARIOS DEL EDIFICIO CALLE YRIGOYEN 7630</t>
  </si>
  <si>
    <t>10 A 15HS - EMERGENCIAS 24HS</t>
  </si>
  <si>
    <t xml:space="preserve">CBU: 0440060830000011423569                                                                                                          / ALIAS: OMBU.TECLEO.AMOROSAS /                                                                   TELEFONO: 11 5320-2676  </t>
  </si>
  <si>
    <t>Articulos de limpieza - Alejandra Montoya</t>
  </si>
  <si>
    <t>Fumigacion</t>
  </si>
  <si>
    <t xml:space="preserve">Ascensores lema - Mantenimiento </t>
  </si>
  <si>
    <t>Reemplazo Sr. Walter vacaciones - Sra. Silvana</t>
  </si>
  <si>
    <t>Seguro Sra. Silvana</t>
  </si>
  <si>
    <t>Silvia lopez</t>
  </si>
  <si>
    <t>Facundo comandatore</t>
  </si>
  <si>
    <t>Debito 06/04</t>
  </si>
  <si>
    <t>SERVICIOS DE MANTENIMIENTO</t>
  </si>
  <si>
    <t>Debito 10/04</t>
  </si>
  <si>
    <t>Matafuegos MEGASEG - Recarga anual de matafuegos</t>
  </si>
  <si>
    <t>Transf 10/04</t>
  </si>
  <si>
    <t>Debito 13/04</t>
  </si>
  <si>
    <t>Debito 16/04</t>
  </si>
  <si>
    <t>Trans 26/04</t>
  </si>
  <si>
    <t>Cuello Natalia - Limpieza de 4 columnas pluviales y colectora de pluvial a la calle</t>
  </si>
  <si>
    <t>cristina - Joatan Fernandez</t>
  </si>
  <si>
    <t>Ivan Gstavo Almeyda</t>
  </si>
  <si>
    <t>Departamento 3 - Cuota 1 de reintegro de materiales de arreglos de pisos</t>
  </si>
  <si>
    <t>VTO 18/06</t>
  </si>
  <si>
    <t>PERÍODO: MAYO</t>
  </si>
  <si>
    <t>Gustavo padron - Sr contador honorarios MAYO</t>
  </si>
  <si>
    <t>Honorarios administracion - Se adeuda MAYO</t>
  </si>
  <si>
    <t>Sindicatos mes de MAYO</t>
  </si>
  <si>
    <t>Se informa que el inquilino de la unidad funcional N.º 15 se mudó en el mes de diciembre de 2025 a la unidad funcional N.º 14, dentro del mismo edificio. Debido a la falta de notificación oportuna a la administración sobre dicho cambio, se produjo un error en la imputación de pagos en las expensas correspondientes a los meses de enero, febrero y abril de 2026, los cuales fueron asignados a la unidad funcional N.º 15 cuando en realidad correspondían a la unidad funcional N.º 14.
En consecuencia, en la presente liquidación de expensas se procede a regularizar dicha situación, corrigiendo la imputación de los pagos entre ambas unidades funcionales.</t>
  </si>
  <si>
    <t>Pagos imputados en abril de 2026 a Unidad funcional incorrecta</t>
  </si>
  <si>
    <t>Cuello Natalia - Limpieza de columna cocina y baño de todas las UF - Cuota 2/5</t>
  </si>
  <si>
    <t>Transf 22/05</t>
  </si>
  <si>
    <t>Transf 21/05</t>
  </si>
  <si>
    <t>Julio Doartero - 3er cuota obra piso dpto. 3</t>
  </si>
  <si>
    <t>Transf 08/05</t>
  </si>
  <si>
    <t>Julio Doartero - Cambio de cañeria interna de desague, descarga de bañera, descarga de vanitory y descarga de videt, mano de obra y materiales</t>
  </si>
  <si>
    <t>Trans 12/05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</si>
</sst>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2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9" fillId="10" borderId="1" xfId="0" applyFont="1" applyFill="1" applyBorder="1"/>
    <xf numFmtId="44" fontId="0" fillId="4" borderId="0" xfId="1" applyFont="1" applyFill="1"/>
    <xf numFmtId="44" fontId="7" fillId="0" borderId="1" xfId="1" applyFont="1" applyBorder="1"/>
    <xf numFmtId="44" fontId="0" fillId="3" borderId="0" xfId="1" applyFont="1" applyFill="1" applyBorder="1" applyAlignment="1">
      <alignment vertical="center"/>
    </xf>
    <xf numFmtId="0" fontId="16" fillId="3" borderId="20" xfId="0" applyFont="1" applyFill="1" applyBorder="1" applyAlignment="1">
      <alignment horizontal="center" vertical="center" wrapText="1"/>
    </xf>
    <xf numFmtId="165" fontId="15" fillId="4" borderId="13" xfId="0" applyNumberFormat="1" applyFont="1" applyFill="1" applyBorder="1"/>
    <xf numFmtId="0" fontId="16" fillId="3" borderId="18" xfId="0" applyFont="1" applyFill="1" applyBorder="1" applyAlignment="1">
      <alignment horizontal="center" vertical="center" wrapText="1"/>
    </xf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15" fillId="0" borderId="1" xfId="0" applyNumberFormat="1" applyFont="1" applyBorder="1"/>
    <xf numFmtId="44" fontId="15" fillId="0" borderId="1" xfId="1" applyFont="1" applyBorder="1"/>
    <xf numFmtId="165" fontId="15" fillId="0" borderId="1" xfId="1" applyNumberFormat="1" applyFont="1" applyBorder="1"/>
    <xf numFmtId="44" fontId="15" fillId="0" borderId="6" xfId="1" applyFont="1" applyBorder="1"/>
    <xf numFmtId="44" fontId="20" fillId="0" borderId="27" xfId="1" applyFont="1" applyBorder="1"/>
    <xf numFmtId="44" fontId="20" fillId="0" borderId="6" xfId="1" applyFont="1" applyBorder="1"/>
    <xf numFmtId="44" fontId="20" fillId="0" borderId="31" xfId="1" applyFont="1" applyBorder="1"/>
    <xf numFmtId="0" fontId="15" fillId="0" borderId="7" xfId="0" applyFont="1" applyBorder="1"/>
    <xf numFmtId="0" fontId="15" fillId="0" borderId="23" xfId="0" applyFont="1" applyBorder="1"/>
    <xf numFmtId="44" fontId="20" fillId="0" borderId="2" xfId="1" applyFont="1" applyBorder="1"/>
    <xf numFmtId="44" fontId="20" fillId="2" borderId="2" xfId="1" applyFont="1" applyFill="1" applyBorder="1"/>
    <xf numFmtId="165" fontId="15" fillId="0" borderId="2" xfId="0" applyNumberFormat="1" applyFont="1" applyBorder="1"/>
    <xf numFmtId="165" fontId="15" fillId="0" borderId="2" xfId="1" applyNumberFormat="1" applyFont="1" applyBorder="1"/>
    <xf numFmtId="44" fontId="15" fillId="0" borderId="26" xfId="1" applyFont="1" applyBorder="1"/>
    <xf numFmtId="0" fontId="15" fillId="0" borderId="2" xfId="0" applyFont="1" applyBorder="1"/>
    <xf numFmtId="44" fontId="20" fillId="0" borderId="28" xfId="1" applyFont="1" applyBorder="1"/>
    <xf numFmtId="44" fontId="20" fillId="0" borderId="30" xfId="1" applyFont="1" applyBorder="1"/>
    <xf numFmtId="44" fontId="20" fillId="0" borderId="32" xfId="1" applyFont="1" applyBorder="1"/>
    <xf numFmtId="0" fontId="15" fillId="4" borderId="29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44" fontId="15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3" fillId="8" borderId="8" xfId="1" applyFont="1" applyFill="1" applyBorder="1" applyAlignment="1">
      <alignment vertical="center"/>
    </xf>
    <xf numFmtId="0" fontId="4" fillId="0" borderId="1" xfId="0" applyFont="1" applyBorder="1"/>
    <xf numFmtId="44" fontId="10" fillId="4" borderId="21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2" fillId="2" borderId="1" xfId="1" applyFont="1" applyFill="1" applyBorder="1"/>
    <xf numFmtId="8" fontId="7" fillId="4" borderId="22" xfId="0" applyNumberFormat="1" applyFont="1" applyFill="1" applyBorder="1"/>
    <xf numFmtId="0" fontId="22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8" fillId="2" borderId="6" xfId="1" applyFont="1" applyFill="1" applyBorder="1"/>
    <xf numFmtId="0" fontId="21" fillId="0" borderId="1" xfId="0" applyFont="1" applyBorder="1"/>
    <xf numFmtId="166" fontId="0" fillId="3" borderId="0" xfId="1" applyNumberFormat="1" applyFont="1" applyFill="1" applyAlignment="1"/>
    <xf numFmtId="0" fontId="9" fillId="6" borderId="2" xfId="0" applyFont="1" applyFill="1" applyBorder="1"/>
    <xf numFmtId="0" fontId="0" fillId="0" borderId="0" xfId="0" applyAlignment="1">
      <alignment horizontal="left" vertical="center" wrapText="1"/>
    </xf>
    <xf numFmtId="166" fontId="15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44" fontId="2" fillId="11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1" xfId="1" applyNumberFormat="1" applyFont="1" applyFill="1" applyBorder="1"/>
    <xf numFmtId="44" fontId="23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6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0" fontId="22" fillId="2" borderId="1" xfId="0" applyFont="1" applyFill="1" applyBorder="1"/>
    <xf numFmtId="0" fontId="22" fillId="2" borderId="1" xfId="1" applyNumberFormat="1" applyFont="1" applyFill="1" applyBorder="1" applyAlignment="1"/>
    <xf numFmtId="0" fontId="22" fillId="2" borderId="2" xfId="1" applyNumberFormat="1" applyFont="1" applyFill="1" applyBorder="1" applyAlignment="1"/>
    <xf numFmtId="44" fontId="4" fillId="2" borderId="1" xfId="1" applyFont="1" applyFill="1" applyBorder="1"/>
    <xf numFmtId="0" fontId="16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5" fillId="0" borderId="6" xfId="1" applyNumberFormat="1" applyFont="1" applyBorder="1"/>
    <xf numFmtId="166" fontId="0" fillId="2" borderId="0" xfId="1" applyNumberFormat="1" applyFont="1" applyFill="1" applyAlignment="1"/>
    <xf numFmtId="16" fontId="22" fillId="2" borderId="1" xfId="0" applyNumberFormat="1" applyFont="1" applyFill="1" applyBorder="1"/>
    <xf numFmtId="0" fontId="16" fillId="0" borderId="1" xfId="1" applyNumberFormat="1" applyFont="1" applyBorder="1" applyAlignment="1">
      <alignment wrapText="1"/>
    </xf>
    <xf numFmtId="0" fontId="15" fillId="2" borderId="1" xfId="0" applyFont="1" applyFill="1" applyBorder="1"/>
    <xf numFmtId="0" fontId="15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horizontal="center"/>
    </xf>
    <xf numFmtId="166" fontId="15" fillId="2" borderId="1" xfId="1" applyNumberFormat="1" applyFont="1" applyFill="1" applyBorder="1"/>
    <xf numFmtId="0" fontId="0" fillId="2" borderId="0" xfId="0" applyFill="1" applyAlignment="1">
      <alignment wrapText="1"/>
    </xf>
    <xf numFmtId="8" fontId="4" fillId="2" borderId="1" xfId="0" applyNumberFormat="1" applyFont="1" applyFill="1" applyBorder="1"/>
    <xf numFmtId="8" fontId="24" fillId="10" borderId="1" xfId="0" applyNumberFormat="1" applyFont="1" applyFill="1" applyBorder="1"/>
    <xf numFmtId="8" fontId="4" fillId="2" borderId="6" xfId="0" applyNumberFormat="1" applyFont="1" applyFill="1" applyBorder="1"/>
    <xf numFmtId="8" fontId="24" fillId="10" borderId="6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4" borderId="1" xfId="1" applyFont="1" applyFill="1" applyBorder="1"/>
    <xf numFmtId="44" fontId="4" fillId="0" borderId="1" xfId="1" applyFont="1" applyBorder="1"/>
    <xf numFmtId="44" fontId="4" fillId="4" borderId="6" xfId="1" applyFont="1" applyFill="1" applyBorder="1"/>
    <xf numFmtId="44" fontId="7" fillId="4" borderId="6" xfId="1" applyFont="1" applyFill="1" applyBorder="1" applyAlignment="1">
      <alignment horizontal="center"/>
    </xf>
    <xf numFmtId="44" fontId="25" fillId="6" borderId="2" xfId="1" applyFont="1" applyFill="1" applyBorder="1"/>
    <xf numFmtId="0" fontId="0" fillId="12" borderId="1" xfId="0" applyFill="1" applyBorder="1" applyAlignment="1">
      <alignment vertical="center" wrapText="1"/>
    </xf>
    <xf numFmtId="44" fontId="0" fillId="12" borderId="1" xfId="0" applyNumberFormat="1" applyFill="1" applyBorder="1" applyAlignment="1">
      <alignment vertical="center" wrapText="1"/>
    </xf>
    <xf numFmtId="0" fontId="2" fillId="9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6" fillId="12" borderId="14" xfId="0" applyFont="1" applyFill="1" applyBorder="1" applyAlignment="1">
      <alignment horizontal="left" vertical="center" wrapText="1"/>
    </xf>
    <xf numFmtId="0" fontId="6" fillId="12" borderId="15" xfId="0" applyFont="1" applyFill="1" applyBorder="1" applyAlignment="1">
      <alignment horizontal="left" vertical="center" wrapText="1"/>
    </xf>
    <xf numFmtId="0" fontId="6" fillId="12" borderId="16" xfId="0" applyFont="1" applyFill="1" applyBorder="1" applyAlignment="1">
      <alignment horizontal="left" vertical="center" wrapText="1"/>
    </xf>
    <xf numFmtId="0" fontId="6" fillId="12" borderId="17" xfId="0" applyFont="1" applyFill="1" applyBorder="1" applyAlignment="1">
      <alignment horizontal="left" vertical="center" wrapText="1"/>
    </xf>
    <xf numFmtId="0" fontId="6" fillId="12" borderId="33" xfId="0" applyFont="1" applyFill="1" applyBorder="1" applyAlignment="1">
      <alignment horizontal="left" vertical="center" wrapText="1"/>
    </xf>
    <xf numFmtId="0" fontId="6" fillId="12" borderId="2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16" fillId="3" borderId="19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left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4" xfId="0" applyFont="1" applyFill="1" applyBorder="1" applyAlignment="1">
      <alignment horizontal="center" vertical="center" wrapText="1"/>
    </xf>
    <xf numFmtId="44" fontId="8" fillId="2" borderId="1" xfId="1" applyFont="1" applyFill="1" applyBorder="1"/>
    <xf numFmtId="44" fontId="8" fillId="0" borderId="1" xfId="1" applyFont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7"/>
  <sheetViews>
    <sheetView tabSelected="1" topLeftCell="A39" workbookViewId="0">
      <selection activeCell="D50" sqref="D50"/>
    </sheetView>
  </sheetViews>
  <sheetFormatPr baseColWidth="10" defaultColWidth="10.88671875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5"/>
      <c r="B1" s="69" t="s">
        <v>54</v>
      </c>
      <c r="C1" s="69"/>
      <c r="D1" s="69"/>
      <c r="E1" s="70"/>
    </row>
    <row r="2" spans="1:5" x14ac:dyDescent="0.3">
      <c r="A2" s="16"/>
      <c r="B2" s="71" t="s">
        <v>28</v>
      </c>
      <c r="C2" s="71"/>
      <c r="D2" s="71"/>
      <c r="E2" s="72"/>
    </row>
    <row r="3" spans="1:5" ht="70.5" customHeight="1" thickBot="1" x14ac:dyDescent="0.35">
      <c r="A3" s="16"/>
      <c r="B3" s="202" t="s">
        <v>93</v>
      </c>
      <c r="C3" s="202"/>
      <c r="D3" s="202"/>
      <c r="E3" s="203"/>
    </row>
    <row r="4" spans="1:5" ht="15" thickBot="1" x14ac:dyDescent="0.35">
      <c r="A4" s="19" t="s">
        <v>0</v>
      </c>
      <c r="B4" s="98" t="s">
        <v>38</v>
      </c>
      <c r="C4" s="20"/>
      <c r="D4" s="20"/>
      <c r="E4" s="21"/>
    </row>
    <row r="5" spans="1:5" ht="15" thickBot="1" x14ac:dyDescent="0.35">
      <c r="A5" s="16" t="s">
        <v>55</v>
      </c>
      <c r="B5" s="20" t="s">
        <v>114</v>
      </c>
      <c r="C5" s="17"/>
      <c r="D5" s="71" t="s">
        <v>29</v>
      </c>
      <c r="E5" s="18"/>
    </row>
    <row r="6" spans="1:5" ht="15" thickBot="1" x14ac:dyDescent="0.35">
      <c r="A6" s="19" t="s">
        <v>91</v>
      </c>
      <c r="B6" s="20"/>
      <c r="C6" s="20"/>
      <c r="D6" s="20" t="s">
        <v>92</v>
      </c>
      <c r="E6" s="21"/>
    </row>
    <row r="8" spans="1:5" x14ac:dyDescent="0.3">
      <c r="B8" s="205" t="s">
        <v>113</v>
      </c>
      <c r="C8" s="205"/>
    </row>
    <row r="9" spans="1:5" x14ac:dyDescent="0.3">
      <c r="B9" s="205"/>
      <c r="C9" s="205"/>
    </row>
    <row r="10" spans="1:5" x14ac:dyDescent="0.3">
      <c r="B10" s="205"/>
      <c r="C10" s="205"/>
    </row>
    <row r="12" spans="1:5" hidden="1" x14ac:dyDescent="0.3"/>
    <row r="13" spans="1:5" ht="15" customHeight="1" x14ac:dyDescent="0.3">
      <c r="A13" s="204" t="s">
        <v>42</v>
      </c>
      <c r="B13" s="204"/>
      <c r="C13" s="204"/>
      <c r="D13" s="204"/>
      <c r="E13" s="204"/>
    </row>
    <row r="14" spans="1:5" ht="15" customHeight="1" x14ac:dyDescent="0.3">
      <c r="A14" s="204"/>
      <c r="B14" s="204"/>
      <c r="C14" s="204"/>
      <c r="D14" s="204"/>
      <c r="E14" s="204"/>
    </row>
    <row r="15" spans="1:5" ht="15" customHeight="1" x14ac:dyDescent="0.3">
      <c r="A15" s="204"/>
      <c r="B15" s="204"/>
      <c r="C15" s="204"/>
      <c r="D15" s="204"/>
      <c r="E15" s="204"/>
    </row>
    <row r="16" spans="1:5" ht="53.25" customHeight="1" x14ac:dyDescent="0.3">
      <c r="A16" s="204"/>
      <c r="B16" s="204"/>
      <c r="C16" s="204"/>
      <c r="D16" s="204"/>
      <c r="E16" s="204"/>
    </row>
    <row r="17" spans="1:7" ht="14.25" customHeight="1" thickBot="1" x14ac:dyDescent="0.35"/>
    <row r="18" spans="1:7" hidden="1" x14ac:dyDescent="0.3">
      <c r="A18" s="2"/>
    </row>
    <row r="19" spans="1:7" ht="15" hidden="1" thickBot="1" x14ac:dyDescent="0.35"/>
    <row r="20" spans="1:7" x14ac:dyDescent="0.3">
      <c r="A20" s="11" t="s">
        <v>10</v>
      </c>
      <c r="B20" s="12"/>
      <c r="C20" s="13"/>
      <c r="D20" s="9"/>
      <c r="E20" s="14"/>
    </row>
    <row r="21" spans="1:7" x14ac:dyDescent="0.3">
      <c r="A21" s="35" t="s">
        <v>34</v>
      </c>
      <c r="B21" s="35"/>
      <c r="C21" s="35"/>
      <c r="D21" s="34"/>
      <c r="E21" s="34"/>
    </row>
    <row r="22" spans="1:7" x14ac:dyDescent="0.3">
      <c r="A22" s="5" t="s">
        <v>74</v>
      </c>
      <c r="B22" s="5"/>
      <c r="C22" s="5"/>
      <c r="D22" s="170">
        <v>963103</v>
      </c>
      <c r="E22" s="5"/>
    </row>
    <row r="23" spans="1:7" hidden="1" x14ac:dyDescent="0.3">
      <c r="A23" s="5"/>
      <c r="B23" s="5"/>
      <c r="C23" s="5"/>
      <c r="D23" s="170"/>
      <c r="E23" s="5"/>
    </row>
    <row r="24" spans="1:7" ht="14.25" customHeight="1" x14ac:dyDescent="0.3">
      <c r="A24" s="57" t="s">
        <v>35</v>
      </c>
      <c r="B24" s="57"/>
      <c r="C24" s="57"/>
      <c r="D24" s="171">
        <f>SUM(D22:D23)</f>
        <v>963103</v>
      </c>
      <c r="E24" s="139"/>
      <c r="G24" s="22"/>
    </row>
    <row r="25" spans="1:7" ht="14.25" hidden="1" customHeight="1" x14ac:dyDescent="0.3">
      <c r="A25" s="5" t="s">
        <v>44</v>
      </c>
      <c r="B25" s="5"/>
      <c r="C25" s="5"/>
      <c r="D25" s="170"/>
      <c r="E25" s="5"/>
    </row>
    <row r="26" spans="1:7" hidden="1" x14ac:dyDescent="0.3">
      <c r="A26" s="5" t="s">
        <v>97</v>
      </c>
      <c r="B26" s="5"/>
      <c r="C26" s="5"/>
      <c r="D26" s="170">
        <v>0</v>
      </c>
      <c r="E26" s="5"/>
    </row>
    <row r="27" spans="1:7" hidden="1" x14ac:dyDescent="0.3">
      <c r="A27" s="5" t="s">
        <v>98</v>
      </c>
      <c r="B27" s="5"/>
      <c r="C27" s="5"/>
      <c r="D27" s="170">
        <v>0</v>
      </c>
      <c r="E27" s="5"/>
    </row>
    <row r="28" spans="1:7" hidden="1" x14ac:dyDescent="0.3">
      <c r="A28" s="5" t="s">
        <v>39</v>
      </c>
      <c r="B28" s="5"/>
      <c r="C28" s="5"/>
      <c r="D28" s="172"/>
      <c r="E28" s="5"/>
    </row>
    <row r="29" spans="1:7" hidden="1" x14ac:dyDescent="0.3">
      <c r="A29" s="57" t="s">
        <v>35</v>
      </c>
      <c r="B29" s="57"/>
      <c r="C29" s="57"/>
      <c r="D29" s="173">
        <f>SUM(D25:D28)</f>
        <v>0</v>
      </c>
      <c r="E29" s="139"/>
    </row>
    <row r="30" spans="1:7" ht="15" thickBot="1" x14ac:dyDescent="0.35">
      <c r="A30" s="29" t="s">
        <v>1</v>
      </c>
      <c r="B30" s="29"/>
      <c r="C30" s="29"/>
      <c r="D30" s="174"/>
      <c r="E30" s="140">
        <f>D24+D29</f>
        <v>963103</v>
      </c>
      <c r="F30" s="22"/>
    </row>
    <row r="31" spans="1:7" x14ac:dyDescent="0.3">
      <c r="A31" s="35" t="s">
        <v>19</v>
      </c>
      <c r="B31" s="35"/>
      <c r="C31" s="35"/>
      <c r="D31" s="175"/>
      <c r="E31" s="141"/>
    </row>
    <row r="32" spans="1:7" ht="15" customHeight="1" x14ac:dyDescent="0.3">
      <c r="A32" s="194" t="s">
        <v>115</v>
      </c>
      <c r="B32" s="195"/>
      <c r="C32" s="52"/>
      <c r="D32" s="170">
        <v>45000</v>
      </c>
      <c r="E32" s="142"/>
    </row>
    <row r="33" spans="1:8" ht="15" customHeight="1" thickBot="1" x14ac:dyDescent="0.35">
      <c r="A33" s="194" t="s">
        <v>116</v>
      </c>
      <c r="B33" s="195"/>
      <c r="C33" s="52"/>
      <c r="D33" s="176">
        <v>0</v>
      </c>
      <c r="E33" s="142"/>
      <c r="H33" s="152" t="s">
        <v>90</v>
      </c>
    </row>
    <row r="34" spans="1:8" ht="15" thickBot="1" x14ac:dyDescent="0.35">
      <c r="A34" s="29" t="s">
        <v>16</v>
      </c>
      <c r="B34" s="29"/>
      <c r="C34" s="29"/>
      <c r="D34" s="177"/>
      <c r="E34" s="143">
        <f>SUM(D32:D33)</f>
        <v>45000</v>
      </c>
    </row>
    <row r="35" spans="1:8" x14ac:dyDescent="0.3">
      <c r="A35" s="35" t="s">
        <v>31</v>
      </c>
      <c r="B35" s="29"/>
      <c r="C35" s="29"/>
      <c r="D35" s="178"/>
      <c r="E35" s="144"/>
    </row>
    <row r="36" spans="1:8" s="38" customFormat="1" ht="14.25" customHeight="1" x14ac:dyDescent="0.3">
      <c r="A36" s="192" t="s">
        <v>88</v>
      </c>
      <c r="B36" s="193"/>
      <c r="C36" s="54"/>
      <c r="D36" s="179">
        <f>26570+7909</f>
        <v>34479</v>
      </c>
      <c r="E36" s="163" t="s">
        <v>101</v>
      </c>
    </row>
    <row r="37" spans="1:8" ht="14.25" customHeight="1" x14ac:dyDescent="0.3">
      <c r="A37" s="194" t="s">
        <v>89</v>
      </c>
      <c r="B37" s="195"/>
      <c r="C37" s="54"/>
      <c r="D37" s="180">
        <v>54278</v>
      </c>
      <c r="E37" s="145" t="str">
        <f>E36</f>
        <v>Debito 06/04</v>
      </c>
    </row>
    <row r="38" spans="1:8" ht="15" thickBot="1" x14ac:dyDescent="0.35">
      <c r="A38" s="29" t="s">
        <v>2</v>
      </c>
      <c r="B38" s="29"/>
      <c r="C38" s="29"/>
      <c r="D38" s="177"/>
      <c r="E38" s="146">
        <f>SUM(D36:D37)</f>
        <v>88757</v>
      </c>
    </row>
    <row r="39" spans="1:8" x14ac:dyDescent="0.3">
      <c r="A39" s="35" t="s">
        <v>17</v>
      </c>
      <c r="B39" s="147"/>
      <c r="C39" s="147"/>
      <c r="D39" s="181"/>
      <c r="E39" s="148"/>
    </row>
    <row r="40" spans="1:8" x14ac:dyDescent="0.3">
      <c r="A40" s="5" t="s">
        <v>47</v>
      </c>
      <c r="B40" s="5"/>
      <c r="C40" s="52"/>
      <c r="D40" s="222">
        <v>681424.8</v>
      </c>
      <c r="E40" s="154" t="s">
        <v>103</v>
      </c>
      <c r="G40" s="124"/>
    </row>
    <row r="41" spans="1:8" x14ac:dyDescent="0.3">
      <c r="A41" s="5" t="s">
        <v>77</v>
      </c>
      <c r="B41" s="5"/>
      <c r="C41" s="52"/>
      <c r="D41" s="182">
        <v>10602.27</v>
      </c>
      <c r="E41" s="154" t="s">
        <v>107</v>
      </c>
    </row>
    <row r="42" spans="1:8" x14ac:dyDescent="0.3">
      <c r="A42" s="5" t="s">
        <v>77</v>
      </c>
      <c r="B42" s="5"/>
      <c r="C42" s="52"/>
      <c r="D42" s="182">
        <v>75532.289999999994</v>
      </c>
      <c r="E42" s="154" t="str">
        <f>E41</f>
        <v>Debito 16/04</v>
      </c>
      <c r="F42" s="43">
        <f>D42+D41</f>
        <v>86134.56</v>
      </c>
      <c r="G42" s="138"/>
    </row>
    <row r="43" spans="1:8" x14ac:dyDescent="0.3">
      <c r="A43" s="5" t="s">
        <v>117</v>
      </c>
      <c r="B43" s="5"/>
      <c r="C43" s="5"/>
      <c r="D43" s="221">
        <v>102476.36</v>
      </c>
      <c r="E43" s="154" t="s">
        <v>106</v>
      </c>
    </row>
    <row r="44" spans="1:8" x14ac:dyDescent="0.3">
      <c r="A44" s="5" t="str">
        <f>A43</f>
        <v>Sindicatos mes de MAYO</v>
      </c>
      <c r="B44" s="5"/>
      <c r="C44" s="5"/>
      <c r="D44" s="221">
        <v>6219.95</v>
      </c>
      <c r="E44" s="155" t="str">
        <f>E43</f>
        <v>Debito 13/04</v>
      </c>
    </row>
    <row r="45" spans="1:8" x14ac:dyDescent="0.3">
      <c r="A45" s="5" t="str">
        <f>A44</f>
        <v>Sindicatos mes de MAYO</v>
      </c>
      <c r="B45" s="5"/>
      <c r="C45" s="5"/>
      <c r="D45" s="221">
        <v>55979.55</v>
      </c>
      <c r="E45" s="156" t="str">
        <f>E44</f>
        <v>Debito 13/04</v>
      </c>
    </row>
    <row r="46" spans="1:8" ht="15" customHeight="1" thickBot="1" x14ac:dyDescent="0.35">
      <c r="A46" s="29" t="s">
        <v>3</v>
      </c>
      <c r="B46" s="147"/>
      <c r="C46" s="147"/>
      <c r="D46" s="183"/>
      <c r="E46" s="146">
        <f>SUM(D40:D45)</f>
        <v>932235.22000000009</v>
      </c>
    </row>
    <row r="47" spans="1:8" x14ac:dyDescent="0.3">
      <c r="A47" s="35" t="s">
        <v>18</v>
      </c>
      <c r="B47" s="147"/>
      <c r="C47" s="147"/>
      <c r="D47" s="181"/>
      <c r="E47" s="148"/>
    </row>
    <row r="48" spans="1:8" ht="14.25" customHeight="1" x14ac:dyDescent="0.3">
      <c r="A48" s="5" t="s">
        <v>76</v>
      </c>
      <c r="B48" s="157"/>
      <c r="C48" s="5"/>
      <c r="D48" s="221">
        <v>82654.19</v>
      </c>
      <c r="E48" s="154" t="s">
        <v>124</v>
      </c>
    </row>
    <row r="49" spans="1:5" ht="14.25" customHeight="1" x14ac:dyDescent="0.3">
      <c r="A49" s="5" t="s">
        <v>79</v>
      </c>
      <c r="B49" s="157"/>
      <c r="C49" s="5"/>
      <c r="D49" s="221">
        <v>35559.360000000001</v>
      </c>
      <c r="E49" s="154" t="str">
        <f>E48</f>
        <v>Transf 08/05</v>
      </c>
    </row>
    <row r="50" spans="1:5" x14ac:dyDescent="0.3">
      <c r="A50" s="5" t="s">
        <v>78</v>
      </c>
      <c r="B50" s="5"/>
      <c r="C50" s="5"/>
      <c r="D50" s="221">
        <v>29818.65</v>
      </c>
      <c r="E50" s="154" t="str">
        <f>E49</f>
        <v>Transf 08/05</v>
      </c>
    </row>
    <row r="51" spans="1:5" x14ac:dyDescent="0.3">
      <c r="A51" s="192" t="s">
        <v>75</v>
      </c>
      <c r="B51" s="193"/>
      <c r="C51" s="5"/>
      <c r="D51" s="157">
        <v>0</v>
      </c>
      <c r="E51" s="154"/>
    </row>
    <row r="52" spans="1:5" ht="15" thickBot="1" x14ac:dyDescent="0.35">
      <c r="A52" s="29" t="s">
        <v>4</v>
      </c>
      <c r="B52" s="29"/>
      <c r="C52" s="29"/>
      <c r="D52" s="184"/>
      <c r="E52" s="146">
        <f>SUM(D48:D51)</f>
        <v>148032.20000000001</v>
      </c>
    </row>
    <row r="53" spans="1:5" ht="15" customHeight="1" thickBot="1" x14ac:dyDescent="0.35">
      <c r="A53" s="35" t="s">
        <v>102</v>
      </c>
      <c r="B53" s="29"/>
      <c r="C53" s="29"/>
      <c r="D53" s="177"/>
      <c r="E53" s="149"/>
    </row>
    <row r="54" spans="1:5" ht="15" customHeight="1" x14ac:dyDescent="0.3">
      <c r="A54" s="159" t="s">
        <v>96</v>
      </c>
      <c r="B54" s="153"/>
      <c r="C54" s="5"/>
      <c r="D54" s="221">
        <v>93200</v>
      </c>
      <c r="E54" s="158" t="s">
        <v>122</v>
      </c>
    </row>
    <row r="55" spans="1:5" ht="15" customHeight="1" x14ac:dyDescent="0.3">
      <c r="A55" s="159" t="s">
        <v>95</v>
      </c>
      <c r="B55" s="153"/>
      <c r="C55" s="5"/>
      <c r="D55" s="157">
        <v>0</v>
      </c>
      <c r="E55" s="158"/>
    </row>
    <row r="56" spans="1:5" ht="44.25" customHeight="1" x14ac:dyDescent="0.3">
      <c r="A56" s="192" t="s">
        <v>120</v>
      </c>
      <c r="B56" s="193"/>
      <c r="C56" s="5"/>
      <c r="D56" s="128">
        <v>333100</v>
      </c>
      <c r="E56" s="158" t="s">
        <v>121</v>
      </c>
    </row>
    <row r="57" spans="1:5" ht="44.25" customHeight="1" x14ac:dyDescent="0.3">
      <c r="A57" s="192" t="s">
        <v>109</v>
      </c>
      <c r="B57" s="193"/>
      <c r="C57" s="5"/>
      <c r="D57" s="106">
        <v>221300</v>
      </c>
      <c r="E57" s="158" t="s">
        <v>108</v>
      </c>
    </row>
    <row r="58" spans="1:5" ht="39.6" customHeight="1" x14ac:dyDescent="0.3">
      <c r="A58" s="192" t="s">
        <v>125</v>
      </c>
      <c r="B58" s="193"/>
      <c r="C58" s="5"/>
      <c r="D58" s="128">
        <v>250000</v>
      </c>
      <c r="E58" s="158" t="s">
        <v>126</v>
      </c>
    </row>
    <row r="59" spans="1:5" ht="15" customHeight="1" x14ac:dyDescent="0.3">
      <c r="A59" s="159" t="s">
        <v>123</v>
      </c>
      <c r="B59" s="153"/>
      <c r="C59" s="5"/>
      <c r="D59" s="128">
        <v>600000</v>
      </c>
      <c r="E59" s="164" t="s">
        <v>105</v>
      </c>
    </row>
    <row r="60" spans="1:5" ht="16.5" customHeight="1" x14ac:dyDescent="0.3">
      <c r="A60" s="192" t="s">
        <v>104</v>
      </c>
      <c r="B60" s="193"/>
      <c r="C60" s="5"/>
      <c r="D60" s="106">
        <v>162000</v>
      </c>
      <c r="E60" s="164" t="s">
        <v>105</v>
      </c>
    </row>
    <row r="61" spans="1:5" ht="33" customHeight="1" x14ac:dyDescent="0.3">
      <c r="A61" s="192" t="s">
        <v>112</v>
      </c>
      <c r="B61" s="193"/>
      <c r="C61" s="5"/>
      <c r="D61" s="106">
        <v>126700</v>
      </c>
      <c r="E61" s="164"/>
    </row>
    <row r="62" spans="1:5" ht="15" customHeight="1" x14ac:dyDescent="0.3">
      <c r="A62" s="192" t="s">
        <v>94</v>
      </c>
      <c r="B62" s="193"/>
      <c r="C62" s="5"/>
      <c r="D62" s="106"/>
      <c r="E62" s="158"/>
    </row>
    <row r="63" spans="1:5" ht="15" thickBot="1" x14ac:dyDescent="0.35">
      <c r="A63" s="29" t="s">
        <v>9</v>
      </c>
      <c r="B63" s="35"/>
      <c r="C63" s="35"/>
      <c r="D63" s="34"/>
      <c r="E63" s="150">
        <f>SUM(D54:D62)</f>
        <v>1786300</v>
      </c>
    </row>
    <row r="64" spans="1:5" ht="15" thickBot="1" x14ac:dyDescent="0.35">
      <c r="A64" s="35" t="s">
        <v>12</v>
      </c>
      <c r="B64" s="67"/>
      <c r="C64" s="29"/>
      <c r="D64" s="174"/>
      <c r="E64" s="149"/>
    </row>
    <row r="65" spans="1:12" x14ac:dyDescent="0.3">
      <c r="A65" s="5" t="s">
        <v>87</v>
      </c>
      <c r="B65" s="5"/>
      <c r="C65" s="5"/>
      <c r="D65" s="157">
        <v>58300</v>
      </c>
      <c r="E65" s="151"/>
    </row>
    <row r="66" spans="1:12" x14ac:dyDescent="0.3">
      <c r="A66" s="5" t="s">
        <v>86</v>
      </c>
      <c r="B66" s="5"/>
      <c r="C66" s="5"/>
      <c r="D66" s="157">
        <v>52317.84</v>
      </c>
      <c r="E66" s="40"/>
    </row>
    <row r="67" spans="1:12" ht="15" thickBot="1" x14ac:dyDescent="0.35">
      <c r="A67" s="51" t="s">
        <v>16</v>
      </c>
      <c r="B67" s="51"/>
      <c r="C67" s="51"/>
      <c r="D67" s="109"/>
      <c r="E67" s="103">
        <f>SUM(D65:D66)</f>
        <v>110617.84</v>
      </c>
    </row>
    <row r="68" spans="1:12" ht="15" thickBot="1" x14ac:dyDescent="0.35">
      <c r="A68" s="5"/>
      <c r="B68" s="5"/>
      <c r="C68" s="5"/>
      <c r="D68" s="102"/>
      <c r="E68" s="110"/>
    </row>
    <row r="69" spans="1:12" ht="15" thickBot="1" x14ac:dyDescent="0.35">
      <c r="A69" s="30" t="s">
        <v>50</v>
      </c>
      <c r="B69" s="30"/>
      <c r="C69" s="30"/>
      <c r="D69" s="111"/>
      <c r="E69" s="112"/>
    </row>
    <row r="70" spans="1:12" ht="15" thickBot="1" x14ac:dyDescent="0.35">
      <c r="A70" s="1"/>
      <c r="D70" s="113"/>
      <c r="E70" s="114"/>
      <c r="F70" s="43"/>
    </row>
    <row r="71" spans="1:12" ht="15" thickBot="1" x14ac:dyDescent="0.35">
      <c r="A71" s="3" t="s">
        <v>13</v>
      </c>
      <c r="B71" s="10"/>
      <c r="C71" s="4"/>
      <c r="D71" s="115"/>
      <c r="E71" s="116">
        <f>(SUM(E27:E69))</f>
        <v>4074045.2600000002</v>
      </c>
      <c r="F71" s="138"/>
      <c r="G71" s="43"/>
      <c r="H71" s="124"/>
      <c r="I71" s="124"/>
      <c r="J71" s="124"/>
      <c r="K71" s="124"/>
      <c r="L71" s="124"/>
    </row>
    <row r="72" spans="1:12" x14ac:dyDescent="0.3">
      <c r="D72" s="113"/>
      <c r="E72" s="113"/>
      <c r="H72" s="124"/>
      <c r="I72" s="124"/>
      <c r="J72" s="124"/>
      <c r="K72" s="124"/>
      <c r="L72" s="124"/>
    </row>
    <row r="73" spans="1:12" ht="15" thickBot="1" x14ac:dyDescent="0.35">
      <c r="D73" s="113"/>
      <c r="E73" s="113"/>
      <c r="H73" s="162"/>
    </row>
    <row r="74" spans="1:12" x14ac:dyDescent="0.3">
      <c r="A74" s="11" t="s">
        <v>45</v>
      </c>
      <c r="B74" s="12"/>
      <c r="C74" s="13"/>
      <c r="D74" s="117"/>
      <c r="E74" s="118"/>
    </row>
    <row r="75" spans="1:12" ht="15" customHeight="1" x14ac:dyDescent="0.3">
      <c r="A75" s="192"/>
      <c r="B75" s="193"/>
      <c r="C75" s="5"/>
      <c r="D75" s="128"/>
      <c r="E75" s="104"/>
    </row>
    <row r="76" spans="1:12" x14ac:dyDescent="0.3">
      <c r="A76" s="192"/>
      <c r="B76" s="193"/>
      <c r="C76" s="5"/>
      <c r="D76" s="106"/>
      <c r="E76" s="104"/>
    </row>
    <row r="77" spans="1:12" ht="15.75" customHeight="1" x14ac:dyDescent="0.3">
      <c r="A77" s="194"/>
      <c r="B77" s="195"/>
      <c r="C77" s="5"/>
      <c r="D77" s="106"/>
      <c r="E77" s="104"/>
    </row>
    <row r="78" spans="1:12" x14ac:dyDescent="0.3">
      <c r="A78" s="105"/>
      <c r="B78" s="107"/>
      <c r="C78" s="5"/>
      <c r="D78" s="106"/>
      <c r="E78" s="104"/>
    </row>
    <row r="79" spans="1:12" x14ac:dyDescent="0.3">
      <c r="A79" s="49"/>
      <c r="B79" s="48"/>
      <c r="C79" s="48"/>
      <c r="D79" s="58"/>
      <c r="E79" s="58">
        <f>SUM(D75:D78)</f>
        <v>0</v>
      </c>
    </row>
    <row r="80" spans="1:12" ht="15" customHeight="1" x14ac:dyDescent="0.3"/>
    <row r="81" spans="1:5" ht="15" hidden="1" thickBot="1" x14ac:dyDescent="0.35"/>
    <row r="82" spans="1:5" ht="15" thickBot="1" x14ac:dyDescent="0.35">
      <c r="A82" s="30" t="s">
        <v>20</v>
      </c>
      <c r="B82" s="30"/>
      <c r="C82" s="30"/>
      <c r="D82" s="31"/>
      <c r="E82" s="101"/>
    </row>
    <row r="83" spans="1:5" ht="15" thickBot="1" x14ac:dyDescent="0.35"/>
    <row r="84" spans="1:5" ht="15" thickBot="1" x14ac:dyDescent="0.35">
      <c r="A84" s="3" t="s">
        <v>21</v>
      </c>
      <c r="B84" s="10"/>
      <c r="C84" s="4"/>
      <c r="D84" s="4"/>
      <c r="E84" s="68">
        <f>E79+E82</f>
        <v>0</v>
      </c>
    </row>
    <row r="85" spans="1:5" ht="15" thickBot="1" x14ac:dyDescent="0.35"/>
    <row r="86" spans="1:5" ht="15" thickBot="1" x14ac:dyDescent="0.35">
      <c r="A86" s="99" t="s">
        <v>14</v>
      </c>
      <c r="B86" s="100">
        <f>E71</f>
        <v>4074045.2600000002</v>
      </c>
    </row>
    <row r="87" spans="1:5" ht="15" thickBot="1" x14ac:dyDescent="0.35">
      <c r="A87" s="99" t="s">
        <v>15</v>
      </c>
      <c r="B87" s="100">
        <f>E71-E69</f>
        <v>4074045.2600000002</v>
      </c>
    </row>
    <row r="88" spans="1:5" ht="15" thickBot="1" x14ac:dyDescent="0.35">
      <c r="A88" s="99" t="s">
        <v>22</v>
      </c>
      <c r="B88" s="100">
        <f>E84-E82</f>
        <v>0</v>
      </c>
    </row>
    <row r="89" spans="1:5" ht="15" thickBot="1" x14ac:dyDescent="0.35">
      <c r="A89" s="99" t="s">
        <v>40</v>
      </c>
      <c r="B89" s="100">
        <f>E84</f>
        <v>0</v>
      </c>
    </row>
    <row r="91" spans="1:5" ht="15" thickBot="1" x14ac:dyDescent="0.35">
      <c r="D91" s="124"/>
      <c r="E91" s="124"/>
    </row>
    <row r="92" spans="1:5" x14ac:dyDescent="0.3">
      <c r="A92" s="196" t="s">
        <v>118</v>
      </c>
      <c r="B92" s="197"/>
      <c r="C92" s="188"/>
      <c r="D92" s="189"/>
      <c r="E92" s="189"/>
    </row>
    <row r="93" spans="1:5" x14ac:dyDescent="0.3">
      <c r="A93" s="198"/>
      <c r="B93" s="199"/>
      <c r="C93" s="188"/>
      <c r="D93" s="189"/>
      <c r="E93" s="189"/>
    </row>
    <row r="94" spans="1:5" ht="137.25" customHeight="1" thickBot="1" x14ac:dyDescent="0.35">
      <c r="A94" s="200"/>
      <c r="B94" s="201"/>
      <c r="C94" s="188"/>
      <c r="D94" s="189"/>
      <c r="E94" s="189"/>
    </row>
    <row r="95" spans="1:5" x14ac:dyDescent="0.3">
      <c r="D95" s="124"/>
      <c r="E95" s="124"/>
    </row>
    <row r="96" spans="1:5" ht="0.75" customHeight="1" x14ac:dyDescent="0.3">
      <c r="A96" s="23" t="s">
        <v>33</v>
      </c>
      <c r="B96" s="125"/>
      <c r="C96" s="24"/>
    </row>
    <row r="97" spans="1:6" hidden="1" x14ac:dyDescent="0.3">
      <c r="A97" s="33"/>
      <c r="B97" s="59">
        <v>0</v>
      </c>
      <c r="C97" s="26"/>
    </row>
    <row r="98" spans="1:6" ht="14.25" hidden="1" customHeight="1" x14ac:dyDescent="0.3">
      <c r="A98" s="25" t="s">
        <v>7</v>
      </c>
      <c r="B98" s="40">
        <f>PRORRATEO!F29</f>
        <v>4401284.3499999996</v>
      </c>
      <c r="C98" s="24"/>
    </row>
    <row r="99" spans="1:6" hidden="1" x14ac:dyDescent="0.3">
      <c r="A99" s="25"/>
      <c r="B99" s="40">
        <v>0</v>
      </c>
      <c r="C99" s="24"/>
    </row>
    <row r="100" spans="1:6" hidden="1" x14ac:dyDescent="0.3">
      <c r="A100" s="25" t="s">
        <v>41</v>
      </c>
      <c r="B100" s="108">
        <f>B122</f>
        <v>0</v>
      </c>
      <c r="C100" s="24"/>
    </row>
    <row r="101" spans="1:6" hidden="1" x14ac:dyDescent="0.3">
      <c r="A101" s="28"/>
      <c r="B101" s="47"/>
      <c r="C101" s="24"/>
    </row>
    <row r="102" spans="1:6" hidden="1" x14ac:dyDescent="0.3">
      <c r="A102" s="123" t="s">
        <v>46</v>
      </c>
      <c r="B102" s="47"/>
      <c r="C102" s="24"/>
    </row>
    <row r="103" spans="1:6" hidden="1" x14ac:dyDescent="0.3">
      <c r="A103" s="39" t="s">
        <v>23</v>
      </c>
      <c r="B103" s="47">
        <f>-B87</f>
        <v>-4074045.2600000002</v>
      </c>
      <c r="C103" s="24"/>
    </row>
    <row r="104" spans="1:6" hidden="1" x14ac:dyDescent="0.3">
      <c r="A104" s="28" t="s">
        <v>24</v>
      </c>
      <c r="B104" s="47">
        <f>-(B88)</f>
        <v>0</v>
      </c>
      <c r="C104" s="24"/>
    </row>
    <row r="105" spans="1:6" hidden="1" x14ac:dyDescent="0.3">
      <c r="A105" s="32" t="s">
        <v>9</v>
      </c>
      <c r="B105" s="59">
        <f>SUM(B97:B104)</f>
        <v>327239.08999999939</v>
      </c>
      <c r="C105" s="27"/>
      <c r="D105" s="43"/>
    </row>
    <row r="106" spans="1:6" ht="34.5" hidden="1" customHeight="1" x14ac:dyDescent="0.3">
      <c r="B106" s="41"/>
      <c r="C106" s="27"/>
      <c r="D106" s="43"/>
      <c r="E106" s="126"/>
      <c r="F106" s="127"/>
    </row>
    <row r="107" spans="1:6" ht="14.25" hidden="1" customHeight="1" x14ac:dyDescent="0.3">
      <c r="B107" s="42"/>
      <c r="C107" s="27"/>
    </row>
    <row r="108" spans="1:6" s="38" customFormat="1" ht="27" hidden="1" customHeight="1" x14ac:dyDescent="0.3">
      <c r="A108"/>
      <c r="B108" s="41"/>
      <c r="C108" s="37"/>
    </row>
    <row r="109" spans="1:6" s="38" customFormat="1" x14ac:dyDescent="0.3">
      <c r="A109" s="131" t="s">
        <v>85</v>
      </c>
      <c r="B109" s="185">
        <v>-1107166.1660999954</v>
      </c>
      <c r="C109" s="37"/>
      <c r="D109" s="46"/>
    </row>
    <row r="110" spans="1:6" x14ac:dyDescent="0.3">
      <c r="A110" s="54" t="s">
        <v>51</v>
      </c>
      <c r="B110" s="136">
        <f>-B87</f>
        <v>-4074045.2600000002</v>
      </c>
    </row>
    <row r="111" spans="1:6" x14ac:dyDescent="0.3">
      <c r="A111" s="54" t="s">
        <v>52</v>
      </c>
      <c r="B111" s="136">
        <f>-B88</f>
        <v>0</v>
      </c>
    </row>
    <row r="112" spans="1:6" ht="28.8" x14ac:dyDescent="0.3">
      <c r="A112" s="186" t="s">
        <v>119</v>
      </c>
      <c r="B112" s="187">
        <f>-124551-124551*2</f>
        <v>-373653</v>
      </c>
    </row>
    <row r="113" spans="1:13" x14ac:dyDescent="0.3">
      <c r="A113" s="54" t="s">
        <v>83</v>
      </c>
      <c r="B113" s="136">
        <f>B122</f>
        <v>0</v>
      </c>
    </row>
    <row r="114" spans="1:13" x14ac:dyDescent="0.3">
      <c r="A114" s="54" t="s">
        <v>53</v>
      </c>
      <c r="B114" s="137">
        <f>PRORRATEO!F29</f>
        <v>4401284.3499999996</v>
      </c>
    </row>
    <row r="115" spans="1:13" ht="15" thickBot="1" x14ac:dyDescent="0.35">
      <c r="A115" s="134" t="s">
        <v>48</v>
      </c>
      <c r="B115" s="135">
        <f>SUM(B109:C114)</f>
        <v>-1153580.0760999955</v>
      </c>
    </row>
    <row r="116" spans="1:13" x14ac:dyDescent="0.3">
      <c r="A116" s="132"/>
      <c r="B116" s="132"/>
    </row>
    <row r="117" spans="1:13" ht="34.5" customHeight="1" x14ac:dyDescent="0.3"/>
    <row r="118" spans="1:13" x14ac:dyDescent="0.3">
      <c r="A118" s="191" t="s">
        <v>32</v>
      </c>
      <c r="B118" s="191"/>
      <c r="C118" s="191"/>
    </row>
    <row r="119" spans="1:13" x14ac:dyDescent="0.3">
      <c r="A119" s="191"/>
      <c r="B119" s="191"/>
      <c r="C119" s="191"/>
    </row>
    <row r="120" spans="1:13" ht="35.25" customHeight="1" x14ac:dyDescent="0.3">
      <c r="A120" s="120"/>
      <c r="B120" s="36"/>
      <c r="C120" s="36">
        <v>40000</v>
      </c>
      <c r="E120" s="138"/>
    </row>
    <row r="121" spans="1:13" ht="27" customHeight="1" x14ac:dyDescent="0.3">
      <c r="A121" s="120"/>
      <c r="B121" s="122"/>
      <c r="C121" s="119"/>
      <c r="D121" s="138"/>
    </row>
    <row r="122" spans="1:13" x14ac:dyDescent="0.3">
      <c r="A122" s="44" t="s">
        <v>9</v>
      </c>
      <c r="B122" s="121">
        <f>SUM(B120:B121)</f>
        <v>0</v>
      </c>
      <c r="C122" s="45"/>
    </row>
    <row r="123" spans="1:13" x14ac:dyDescent="0.3">
      <c r="M123" s="8"/>
    </row>
    <row r="124" spans="1:13" ht="15" customHeight="1" x14ac:dyDescent="0.3">
      <c r="A124" s="190"/>
      <c r="B124" s="190"/>
      <c r="C124" s="190"/>
      <c r="D124" s="190"/>
      <c r="E124" s="190"/>
    </row>
    <row r="125" spans="1:13" x14ac:dyDescent="0.3">
      <c r="A125" s="190"/>
      <c r="B125" s="190"/>
      <c r="C125" s="190"/>
      <c r="D125" s="190"/>
      <c r="E125" s="190"/>
    </row>
    <row r="126" spans="1:13" x14ac:dyDescent="0.3">
      <c r="A126" s="190"/>
      <c r="B126" s="190"/>
      <c r="C126" s="190"/>
      <c r="D126" s="190"/>
      <c r="E126" s="190"/>
    </row>
    <row r="127" spans="1:13" x14ac:dyDescent="0.3">
      <c r="A127" s="190"/>
      <c r="B127" s="190"/>
      <c r="C127" s="190"/>
      <c r="D127" s="190"/>
      <c r="E127" s="190"/>
    </row>
  </sheetData>
  <mergeCells count="20">
    <mergeCell ref="A33:B33"/>
    <mergeCell ref="A32:B32"/>
    <mergeCell ref="B3:E3"/>
    <mergeCell ref="A13:E16"/>
    <mergeCell ref="B8:C10"/>
    <mergeCell ref="A36:B36"/>
    <mergeCell ref="A37:B37"/>
    <mergeCell ref="A51:B51"/>
    <mergeCell ref="A62:B62"/>
    <mergeCell ref="A60:B60"/>
    <mergeCell ref="A56:B56"/>
    <mergeCell ref="A57:B57"/>
    <mergeCell ref="A61:B61"/>
    <mergeCell ref="A58:B58"/>
    <mergeCell ref="A124:E127"/>
    <mergeCell ref="A118:C119"/>
    <mergeCell ref="A76:B76"/>
    <mergeCell ref="A75:B75"/>
    <mergeCell ref="A77:B77"/>
    <mergeCell ref="A92:B9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7"/>
  <sheetViews>
    <sheetView zoomScaleNormal="100" workbookViewId="0">
      <selection activeCell="L2" sqref="L2"/>
    </sheetView>
  </sheetViews>
  <sheetFormatPr baseColWidth="10" defaultColWidth="10.88671875" defaultRowHeight="14.4" x14ac:dyDescent="0.3"/>
  <cols>
    <col min="1" max="1" width="4.33203125" customWidth="1"/>
    <col min="2" max="2" width="18.5546875" customWidth="1"/>
    <col min="3" max="3" width="0.33203125" customWidth="1"/>
    <col min="4" max="4" width="8.44140625" customWidth="1"/>
    <col min="5" max="5" width="14.109375" customWidth="1"/>
    <col min="6" max="6" width="12.33203125" customWidth="1"/>
    <col min="7" max="7" width="10.5546875" customWidth="1"/>
    <col min="8" max="8" width="9.5546875" customWidth="1"/>
    <col min="9" max="9" width="0.109375" customWidth="1"/>
    <col min="10" max="10" width="12.44140625" customWidth="1"/>
    <col min="11" max="11" width="10.44140625" bestFit="1" customWidth="1"/>
    <col min="12" max="12" width="14.6640625" customWidth="1"/>
    <col min="13" max="13" width="12" hidden="1" customWidth="1"/>
    <col min="14" max="14" width="14.33203125" customWidth="1"/>
    <col min="15" max="15" width="0.109375" customWidth="1"/>
    <col min="16" max="16" width="12" bestFit="1" customWidth="1"/>
    <col min="17" max="17" width="13.5546875" bestFit="1" customWidth="1"/>
  </cols>
  <sheetData>
    <row r="1" spans="1:17" ht="12.9" customHeight="1" x14ac:dyDescent="0.3">
      <c r="A1" s="6"/>
      <c r="B1" s="6"/>
      <c r="C1" s="6"/>
      <c r="D1" s="211"/>
      <c r="E1" s="211"/>
      <c r="F1" s="211"/>
      <c r="G1" s="211"/>
      <c r="H1" s="211"/>
      <c r="I1" s="211"/>
      <c r="J1" s="211"/>
      <c r="K1" s="211"/>
      <c r="L1" s="211"/>
      <c r="M1" s="6"/>
      <c r="N1" s="6"/>
    </row>
    <row r="2" spans="1:17" ht="12.9" customHeight="1" x14ac:dyDescent="0.3">
      <c r="A2" s="6"/>
      <c r="B2" s="6"/>
      <c r="C2" s="6"/>
      <c r="D2" s="6" t="s">
        <v>82</v>
      </c>
      <c r="E2" s="6"/>
      <c r="F2" s="160">
        <v>86134.56</v>
      </c>
      <c r="G2" s="6"/>
      <c r="H2" s="6"/>
      <c r="I2" s="7"/>
      <c r="J2" s="6" t="s">
        <v>81</v>
      </c>
      <c r="K2" s="6"/>
      <c r="L2" s="130">
        <v>3962982.6285000001</v>
      </c>
      <c r="M2" s="55"/>
      <c r="N2" s="55"/>
      <c r="O2" s="22"/>
    </row>
    <row r="3" spans="1:17" ht="12.9" customHeight="1" thickBo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56"/>
      <c r="M3" s="56"/>
      <c r="N3" s="60"/>
    </row>
    <row r="4" spans="1:17" x14ac:dyDescent="0.3">
      <c r="A4" s="206" t="s">
        <v>5</v>
      </c>
      <c r="B4" s="206" t="s">
        <v>6</v>
      </c>
      <c r="C4" s="206" t="s">
        <v>27</v>
      </c>
      <c r="D4" s="206" t="s">
        <v>11</v>
      </c>
      <c r="E4" s="212" t="s">
        <v>49</v>
      </c>
      <c r="F4" s="206" t="s">
        <v>7</v>
      </c>
      <c r="G4" s="216" t="s">
        <v>30</v>
      </c>
      <c r="H4" s="212" t="s">
        <v>43</v>
      </c>
      <c r="I4" s="212" t="s">
        <v>8</v>
      </c>
      <c r="J4" s="212" t="s">
        <v>26</v>
      </c>
      <c r="K4" s="219" t="s">
        <v>80</v>
      </c>
      <c r="L4" s="63" t="s">
        <v>37</v>
      </c>
      <c r="M4" s="214" t="s">
        <v>25</v>
      </c>
      <c r="N4" s="209" t="s">
        <v>36</v>
      </c>
      <c r="Q4" s="130">
        <v>3774269.17</v>
      </c>
    </row>
    <row r="5" spans="1:17" ht="15.75" customHeight="1" x14ac:dyDescent="0.3">
      <c r="A5" s="208"/>
      <c r="B5" s="208"/>
      <c r="C5" s="207"/>
      <c r="D5" s="208"/>
      <c r="E5" s="213"/>
      <c r="F5" s="208"/>
      <c r="G5" s="217"/>
      <c r="H5" s="213"/>
      <c r="I5" s="218"/>
      <c r="J5" s="213"/>
      <c r="K5" s="220"/>
      <c r="L5" s="61" t="str">
        <f>RESUMEN!B8</f>
        <v>VTO 18/06</v>
      </c>
      <c r="M5" s="215"/>
      <c r="N5" s="210"/>
    </row>
    <row r="6" spans="1:17" ht="17.100000000000001" customHeight="1" x14ac:dyDescent="0.3">
      <c r="A6" s="64">
        <v>1</v>
      </c>
      <c r="B6" s="64" t="s">
        <v>56</v>
      </c>
      <c r="C6" s="64"/>
      <c r="D6" s="73">
        <v>6.69</v>
      </c>
      <c r="E6" s="74">
        <v>258261.01</v>
      </c>
      <c r="F6" s="75">
        <f t="shared" ref="F6" si="0">E6</f>
        <v>258261.01</v>
      </c>
      <c r="G6" s="76">
        <f t="shared" ref="G6:G23" si="1">E6-F6</f>
        <v>0</v>
      </c>
      <c r="H6" s="76">
        <f>IF(G6&gt;0,G6*3%,0)</f>
        <v>0</v>
      </c>
      <c r="I6" s="77">
        <v>0</v>
      </c>
      <c r="J6" s="78">
        <f>L$2*D6/100</f>
        <v>265123.53784665006</v>
      </c>
      <c r="K6" s="161">
        <f t="shared" ref="K6:K23" si="2">F$2*D6/100</f>
        <v>5762.4020639999999</v>
      </c>
      <c r="L6" s="80">
        <f>ROUND(SUM(G6:K6),0) + O6</f>
        <v>270886.01</v>
      </c>
      <c r="M6" s="81">
        <f>ROUND(L6*6% + L6,0) + O6</f>
        <v>287139.01</v>
      </c>
      <c r="N6" s="82">
        <f>ROUND(L6*3%,0) + L6</f>
        <v>279013.01</v>
      </c>
      <c r="O6" s="43">
        <v>0.01</v>
      </c>
    </row>
    <row r="7" spans="1:17" ht="17.100000000000001" customHeight="1" x14ac:dyDescent="0.3">
      <c r="A7" s="64">
        <f>A6+1</f>
        <v>2</v>
      </c>
      <c r="B7" s="64" t="s">
        <v>57</v>
      </c>
      <c r="C7" s="65"/>
      <c r="D7" s="73">
        <v>5.88</v>
      </c>
      <c r="E7" s="74">
        <v>1359637.02</v>
      </c>
      <c r="F7" s="75"/>
      <c r="G7" s="76">
        <f t="shared" si="1"/>
        <v>1359637.02</v>
      </c>
      <c r="H7" s="76">
        <f t="shared" ref="H7:H23" si="3">IF(G7&gt;0,G7*3%,0)</f>
        <v>40789.1106</v>
      </c>
      <c r="I7" s="77">
        <v>0</v>
      </c>
      <c r="J7" s="78">
        <f t="shared" ref="J7:J23" si="4">L$2*D7%</f>
        <v>233023.37855580001</v>
      </c>
      <c r="K7" s="161">
        <f t="shared" si="2"/>
        <v>5064.7121280000001</v>
      </c>
      <c r="L7" s="80">
        <f t="shared" ref="L7:L23" si="5">ROUND(SUM(G7:K7),0) + O7</f>
        <v>1638514.02</v>
      </c>
      <c r="M7" s="81">
        <f t="shared" ref="M7:M23" si="6">ROUND(L7*6% + L7,0) + O7</f>
        <v>1736825.02</v>
      </c>
      <c r="N7" s="82">
        <f t="shared" ref="N7:N23" si="7">ROUND(L7*3%,0) + L7</f>
        <v>1687669.02</v>
      </c>
      <c r="O7" s="43">
        <f>O6+0.01</f>
        <v>0.02</v>
      </c>
      <c r="P7" s="43"/>
    </row>
    <row r="8" spans="1:17" ht="17.100000000000001" customHeight="1" x14ac:dyDescent="0.3">
      <c r="A8" s="165">
        <f t="shared" ref="A8:A23" si="8">A7+1</f>
        <v>3</v>
      </c>
      <c r="B8" s="165" t="s">
        <v>58</v>
      </c>
      <c r="C8" s="166"/>
      <c r="D8" s="167">
        <v>6.65</v>
      </c>
      <c r="E8" s="75">
        <v>256717.03</v>
      </c>
      <c r="F8" s="75">
        <f>E8+RESUMEN!D61</f>
        <v>383417.03</v>
      </c>
      <c r="G8" s="76">
        <f t="shared" si="1"/>
        <v>-126700.00000000003</v>
      </c>
      <c r="H8" s="76">
        <f t="shared" si="3"/>
        <v>0</v>
      </c>
      <c r="I8" s="77">
        <v>0</v>
      </c>
      <c r="J8" s="78">
        <f t="shared" si="4"/>
        <v>263538.34479525004</v>
      </c>
      <c r="K8" s="161">
        <f t="shared" si="2"/>
        <v>5727.9482400000006</v>
      </c>
      <c r="L8" s="80">
        <f t="shared" si="5"/>
        <v>142566.03</v>
      </c>
      <c r="M8" s="81">
        <f t="shared" si="6"/>
        <v>151120.03</v>
      </c>
      <c r="N8" s="82">
        <f t="shared" si="7"/>
        <v>146843.03</v>
      </c>
      <c r="O8" s="43">
        <f t="shared" ref="O8:O24" si="9">O7+0.01</f>
        <v>0.03</v>
      </c>
    </row>
    <row r="9" spans="1:17" ht="17.100000000000001" customHeight="1" x14ac:dyDescent="0.3">
      <c r="A9" s="64">
        <f t="shared" si="8"/>
        <v>4</v>
      </c>
      <c r="B9" s="64" t="s">
        <v>59</v>
      </c>
      <c r="C9" s="65"/>
      <c r="D9" s="73">
        <v>6.73</v>
      </c>
      <c r="E9" s="74">
        <v>259805.04</v>
      </c>
      <c r="F9" s="75">
        <f t="shared" ref="F9:F23" si="10">E9</f>
        <v>259805.04</v>
      </c>
      <c r="G9" s="76">
        <f t="shared" si="1"/>
        <v>0</v>
      </c>
      <c r="H9" s="76">
        <f t="shared" si="3"/>
        <v>0</v>
      </c>
      <c r="I9" s="77">
        <v>0</v>
      </c>
      <c r="J9" s="78">
        <f t="shared" si="4"/>
        <v>266708.73089805001</v>
      </c>
      <c r="K9" s="161">
        <f t="shared" si="2"/>
        <v>5796.855888</v>
      </c>
      <c r="L9" s="80">
        <f t="shared" si="5"/>
        <v>272506.03999999998</v>
      </c>
      <c r="M9" s="81">
        <f t="shared" si="6"/>
        <v>288856.03999999998</v>
      </c>
      <c r="N9" s="82">
        <f t="shared" si="7"/>
        <v>280681.03999999998</v>
      </c>
      <c r="O9" s="43">
        <f t="shared" si="9"/>
        <v>0.04</v>
      </c>
      <c r="Q9" s="43"/>
    </row>
    <row r="10" spans="1:17" ht="17.100000000000001" customHeight="1" x14ac:dyDescent="0.3">
      <c r="A10" s="64">
        <f t="shared" si="8"/>
        <v>5</v>
      </c>
      <c r="B10" s="64" t="s">
        <v>60</v>
      </c>
      <c r="C10" s="65"/>
      <c r="D10" s="73">
        <v>8.0399999999999991</v>
      </c>
      <c r="E10" s="74">
        <v>886499.05</v>
      </c>
      <c r="F10" s="75">
        <f>E10-50</f>
        <v>886449.05</v>
      </c>
      <c r="G10" s="76">
        <f t="shared" si="1"/>
        <v>50</v>
      </c>
      <c r="H10" s="76">
        <f t="shared" si="3"/>
        <v>1.5</v>
      </c>
      <c r="I10" s="77">
        <v>0</v>
      </c>
      <c r="J10" s="78">
        <f t="shared" si="4"/>
        <v>318623.80333139998</v>
      </c>
      <c r="K10" s="161">
        <f t="shared" si="2"/>
        <v>6925.2186239999983</v>
      </c>
      <c r="L10" s="80">
        <f t="shared" si="5"/>
        <v>325601.05</v>
      </c>
      <c r="M10" s="81">
        <f t="shared" si="6"/>
        <v>345137.05</v>
      </c>
      <c r="N10" s="82">
        <f t="shared" si="7"/>
        <v>335369.05</v>
      </c>
      <c r="O10" s="43">
        <f t="shared" si="9"/>
        <v>0.05</v>
      </c>
      <c r="P10" t="s">
        <v>99</v>
      </c>
      <c r="Q10" s="43"/>
    </row>
    <row r="11" spans="1:17" ht="17.100000000000001" customHeight="1" x14ac:dyDescent="0.3">
      <c r="A11" s="64">
        <f t="shared" si="8"/>
        <v>6</v>
      </c>
      <c r="B11" s="64" t="s">
        <v>61</v>
      </c>
      <c r="C11" s="64"/>
      <c r="D11" s="73">
        <v>4.7300000000000004</v>
      </c>
      <c r="E11" s="74">
        <v>182597.06</v>
      </c>
      <c r="F11" s="75">
        <f t="shared" si="10"/>
        <v>182597.06</v>
      </c>
      <c r="G11" s="76">
        <f t="shared" si="1"/>
        <v>0</v>
      </c>
      <c r="H11" s="76">
        <f t="shared" si="3"/>
        <v>0</v>
      </c>
      <c r="I11" s="77">
        <v>0</v>
      </c>
      <c r="J11" s="78">
        <f t="shared" si="4"/>
        <v>187449.07832805</v>
      </c>
      <c r="K11" s="161">
        <f t="shared" si="2"/>
        <v>4074.1646880000003</v>
      </c>
      <c r="L11" s="80">
        <f t="shared" si="5"/>
        <v>191523.06</v>
      </c>
      <c r="M11" s="81">
        <f t="shared" si="6"/>
        <v>203014.06</v>
      </c>
      <c r="N11" s="82">
        <f t="shared" si="7"/>
        <v>197269.06</v>
      </c>
      <c r="O11" s="43">
        <f t="shared" si="9"/>
        <v>6.0000000000000005E-2</v>
      </c>
    </row>
    <row r="12" spans="1:17" ht="17.100000000000001" customHeight="1" x14ac:dyDescent="0.3">
      <c r="A12" s="165">
        <f t="shared" si="8"/>
        <v>7</v>
      </c>
      <c r="B12" s="165" t="s">
        <v>62</v>
      </c>
      <c r="C12" s="64"/>
      <c r="D12" s="73">
        <v>5.67</v>
      </c>
      <c r="E12" s="74">
        <v>485736.07</v>
      </c>
      <c r="F12" s="75"/>
      <c r="G12" s="76">
        <f t="shared" si="1"/>
        <v>485736.07</v>
      </c>
      <c r="H12" s="76">
        <f t="shared" si="3"/>
        <v>14572.0821</v>
      </c>
      <c r="I12" s="77">
        <v>0</v>
      </c>
      <c r="J12" s="78">
        <f t="shared" si="4"/>
        <v>224701.11503595</v>
      </c>
      <c r="K12" s="161">
        <f t="shared" si="2"/>
        <v>4883.8295519999992</v>
      </c>
      <c r="L12" s="80">
        <f t="shared" si="5"/>
        <v>729893.07</v>
      </c>
      <c r="M12" s="81">
        <f t="shared" si="6"/>
        <v>773687.07</v>
      </c>
      <c r="N12" s="82">
        <f t="shared" si="7"/>
        <v>751790.07</v>
      </c>
      <c r="O12" s="43">
        <f t="shared" si="9"/>
        <v>7.0000000000000007E-2</v>
      </c>
    </row>
    <row r="13" spans="1:17" ht="17.100000000000001" customHeight="1" x14ac:dyDescent="0.3">
      <c r="A13" s="64">
        <f t="shared" si="8"/>
        <v>8</v>
      </c>
      <c r="B13" s="64" t="s">
        <v>63</v>
      </c>
      <c r="C13" s="65"/>
      <c r="D13" s="73">
        <v>5.67</v>
      </c>
      <c r="E13" s="74">
        <v>218885.08</v>
      </c>
      <c r="F13" s="75">
        <f>E13+1</f>
        <v>218886.08</v>
      </c>
      <c r="G13" s="76">
        <f t="shared" si="1"/>
        <v>-1</v>
      </c>
      <c r="H13" s="76">
        <f t="shared" si="3"/>
        <v>0</v>
      </c>
      <c r="I13" s="77">
        <v>0</v>
      </c>
      <c r="J13" s="78">
        <f t="shared" si="4"/>
        <v>224701.11503595</v>
      </c>
      <c r="K13" s="161">
        <f t="shared" si="2"/>
        <v>4883.8295519999992</v>
      </c>
      <c r="L13" s="80">
        <f t="shared" si="5"/>
        <v>229584.08</v>
      </c>
      <c r="M13" s="81">
        <f t="shared" si="6"/>
        <v>243359.08</v>
      </c>
      <c r="N13" s="82">
        <f t="shared" si="7"/>
        <v>236472.08</v>
      </c>
      <c r="O13" s="43">
        <f t="shared" si="9"/>
        <v>0.08</v>
      </c>
      <c r="Q13" t="s">
        <v>84</v>
      </c>
    </row>
    <row r="14" spans="1:17" ht="17.100000000000001" customHeight="1" x14ac:dyDescent="0.3">
      <c r="A14" s="64">
        <f t="shared" si="8"/>
        <v>9</v>
      </c>
      <c r="B14" s="64" t="s">
        <v>64</v>
      </c>
      <c r="C14" s="65"/>
      <c r="D14" s="73">
        <v>7.67</v>
      </c>
      <c r="E14" s="74">
        <v>296093.09000000003</v>
      </c>
      <c r="F14" s="75">
        <f t="shared" si="10"/>
        <v>296093.09000000003</v>
      </c>
      <c r="G14" s="76">
        <f t="shared" si="1"/>
        <v>0</v>
      </c>
      <c r="H14" s="76">
        <f t="shared" si="3"/>
        <v>0</v>
      </c>
      <c r="I14" s="77">
        <v>0</v>
      </c>
      <c r="J14" s="78">
        <f t="shared" si="4"/>
        <v>303960.76760595001</v>
      </c>
      <c r="K14" s="161">
        <f t="shared" si="2"/>
        <v>6606.5207519999994</v>
      </c>
      <c r="L14" s="80">
        <f t="shared" si="5"/>
        <v>310567.09000000003</v>
      </c>
      <c r="M14" s="81">
        <f t="shared" si="6"/>
        <v>329201.09000000003</v>
      </c>
      <c r="N14" s="82">
        <f t="shared" si="7"/>
        <v>319884.09000000003</v>
      </c>
      <c r="O14" s="43">
        <f t="shared" si="9"/>
        <v>0.09</v>
      </c>
    </row>
    <row r="15" spans="1:17" ht="17.100000000000001" customHeight="1" x14ac:dyDescent="0.3">
      <c r="A15" s="64">
        <f t="shared" si="8"/>
        <v>10</v>
      </c>
      <c r="B15" s="64" t="s">
        <v>65</v>
      </c>
      <c r="C15" s="65"/>
      <c r="D15" s="73">
        <v>4.9000000000000004</v>
      </c>
      <c r="E15" s="74">
        <v>-143359.9</v>
      </c>
      <c r="F15" s="75"/>
      <c r="G15" s="76">
        <f t="shared" si="1"/>
        <v>-143359.9</v>
      </c>
      <c r="H15" s="76">
        <f t="shared" si="3"/>
        <v>0</v>
      </c>
      <c r="I15" s="77">
        <v>0</v>
      </c>
      <c r="J15" s="78">
        <f t="shared" si="4"/>
        <v>194186.14879650003</v>
      </c>
      <c r="K15" s="161">
        <f t="shared" si="2"/>
        <v>4220.5934400000006</v>
      </c>
      <c r="L15" s="80">
        <f t="shared" si="5"/>
        <v>55047.1</v>
      </c>
      <c r="M15" s="81">
        <f t="shared" si="6"/>
        <v>58350.1</v>
      </c>
      <c r="N15" s="82">
        <f t="shared" si="7"/>
        <v>56698.1</v>
      </c>
      <c r="O15" s="43">
        <f t="shared" si="9"/>
        <v>9.9999999999999992E-2</v>
      </c>
    </row>
    <row r="16" spans="1:17" ht="17.100000000000001" customHeight="1" x14ac:dyDescent="0.3">
      <c r="A16" s="64">
        <f t="shared" si="8"/>
        <v>11</v>
      </c>
      <c r="B16" s="64" t="s">
        <v>66</v>
      </c>
      <c r="C16" s="65"/>
      <c r="D16" s="73">
        <v>5.63</v>
      </c>
      <c r="E16" s="74">
        <v>217341.11</v>
      </c>
      <c r="F16" s="75">
        <f t="shared" si="10"/>
        <v>217341.11</v>
      </c>
      <c r="G16" s="76">
        <f t="shared" si="1"/>
        <v>0</v>
      </c>
      <c r="H16" s="76">
        <f t="shared" si="3"/>
        <v>0</v>
      </c>
      <c r="I16" s="77">
        <v>0</v>
      </c>
      <c r="J16" s="78">
        <f t="shared" si="4"/>
        <v>223115.92198454999</v>
      </c>
      <c r="K16" s="161">
        <f t="shared" si="2"/>
        <v>4849.375728</v>
      </c>
      <c r="L16" s="80">
        <f t="shared" si="5"/>
        <v>227965.11</v>
      </c>
      <c r="M16" s="81">
        <f t="shared" si="6"/>
        <v>241643.11</v>
      </c>
      <c r="N16" s="82">
        <f t="shared" si="7"/>
        <v>234804.11</v>
      </c>
      <c r="O16" s="43">
        <f t="shared" si="9"/>
        <v>0.10999999999999999</v>
      </c>
    </row>
    <row r="17" spans="1:20" ht="17.100000000000001" customHeight="1" x14ac:dyDescent="0.3">
      <c r="A17" s="64">
        <f t="shared" si="8"/>
        <v>12</v>
      </c>
      <c r="B17" s="64" t="s">
        <v>67</v>
      </c>
      <c r="C17" s="65"/>
      <c r="D17" s="73">
        <v>5.55</v>
      </c>
      <c r="E17" s="74">
        <v>214252.12</v>
      </c>
      <c r="F17" s="75">
        <f t="shared" si="10"/>
        <v>214252.12</v>
      </c>
      <c r="G17" s="76">
        <f t="shared" si="1"/>
        <v>0</v>
      </c>
      <c r="H17" s="76">
        <f t="shared" si="3"/>
        <v>0</v>
      </c>
      <c r="I17" s="77">
        <v>0</v>
      </c>
      <c r="J17" s="78">
        <f t="shared" si="4"/>
        <v>219945.53588174999</v>
      </c>
      <c r="K17" s="161">
        <f t="shared" si="2"/>
        <v>4780.4680799999996</v>
      </c>
      <c r="L17" s="80">
        <f t="shared" si="5"/>
        <v>224726.12</v>
      </c>
      <c r="M17" s="81">
        <f t="shared" si="6"/>
        <v>238210.12</v>
      </c>
      <c r="N17" s="82">
        <f t="shared" si="7"/>
        <v>231468.12</v>
      </c>
      <c r="O17" s="43">
        <f t="shared" si="9"/>
        <v>0.11999999999999998</v>
      </c>
    </row>
    <row r="18" spans="1:20" ht="17.100000000000001" customHeight="1" x14ac:dyDescent="0.3">
      <c r="A18" s="64">
        <f t="shared" si="8"/>
        <v>13</v>
      </c>
      <c r="B18" s="64" t="s">
        <v>68</v>
      </c>
      <c r="C18" s="65"/>
      <c r="D18" s="73">
        <v>11.06</v>
      </c>
      <c r="E18" s="74">
        <v>426961.13</v>
      </c>
      <c r="F18" s="75">
        <f t="shared" si="10"/>
        <v>426961.13</v>
      </c>
      <c r="G18" s="76">
        <f t="shared" si="1"/>
        <v>0</v>
      </c>
      <c r="H18" s="76">
        <f t="shared" si="3"/>
        <v>0</v>
      </c>
      <c r="I18" s="77">
        <v>0</v>
      </c>
      <c r="J18" s="78">
        <f t="shared" si="4"/>
        <v>438305.87871210004</v>
      </c>
      <c r="K18" s="161">
        <f t="shared" si="2"/>
        <v>9526.4823360000009</v>
      </c>
      <c r="L18" s="80">
        <f t="shared" si="5"/>
        <v>447832.13</v>
      </c>
      <c r="M18" s="81">
        <f t="shared" si="6"/>
        <v>474702.13</v>
      </c>
      <c r="N18" s="82">
        <f t="shared" si="7"/>
        <v>461267.13</v>
      </c>
      <c r="O18" s="43">
        <f t="shared" si="9"/>
        <v>0.12999999999999998</v>
      </c>
    </row>
    <row r="19" spans="1:20" ht="17.100000000000001" customHeight="1" x14ac:dyDescent="0.3">
      <c r="A19" s="64">
        <f t="shared" si="8"/>
        <v>14</v>
      </c>
      <c r="B19" s="64" t="s">
        <v>69</v>
      </c>
      <c r="C19" s="65"/>
      <c r="D19" s="73">
        <v>3.3</v>
      </c>
      <c r="E19" s="74">
        <v>771047.14</v>
      </c>
      <c r="F19" s="75">
        <f>124551+200000.14+124551+124551+124551</f>
        <v>698204.14</v>
      </c>
      <c r="G19" s="76">
        <f t="shared" si="1"/>
        <v>72843</v>
      </c>
      <c r="H19" s="76">
        <f t="shared" si="3"/>
        <v>2185.29</v>
      </c>
      <c r="I19" s="77">
        <v>0</v>
      </c>
      <c r="J19" s="78">
        <f t="shared" si="4"/>
        <v>130778.42674050001</v>
      </c>
      <c r="K19" s="161">
        <f t="shared" si="2"/>
        <v>2842.4404799999993</v>
      </c>
      <c r="L19" s="80">
        <f t="shared" si="5"/>
        <v>208649.14</v>
      </c>
      <c r="M19" s="81">
        <f t="shared" si="6"/>
        <v>221168.14</v>
      </c>
      <c r="N19" s="82">
        <f t="shared" si="7"/>
        <v>214908.14</v>
      </c>
      <c r="O19" s="43">
        <f t="shared" si="9"/>
        <v>0.13999999999999999</v>
      </c>
      <c r="P19" t="s">
        <v>111</v>
      </c>
    </row>
    <row r="20" spans="1:20" ht="17.100000000000001" customHeight="1" x14ac:dyDescent="0.3">
      <c r="A20" s="165">
        <f t="shared" si="8"/>
        <v>15</v>
      </c>
      <c r="B20" s="165" t="s">
        <v>70</v>
      </c>
      <c r="C20" s="166"/>
      <c r="D20" s="167">
        <v>1.8</v>
      </c>
      <c r="E20" s="75">
        <v>69487.149999999994</v>
      </c>
      <c r="F20" s="75">
        <f>E20</f>
        <v>69487.149999999994</v>
      </c>
      <c r="G20" s="76">
        <f t="shared" si="1"/>
        <v>0</v>
      </c>
      <c r="H20" s="76">
        <f t="shared" si="3"/>
        <v>0</v>
      </c>
      <c r="I20" s="77">
        <v>0</v>
      </c>
      <c r="J20" s="78">
        <f t="shared" si="4"/>
        <v>71333.687313000017</v>
      </c>
      <c r="K20" s="161">
        <f t="shared" si="2"/>
        <v>1550.4220800000001</v>
      </c>
      <c r="L20" s="80">
        <f t="shared" si="5"/>
        <v>72884.149999999994</v>
      </c>
      <c r="M20" s="81">
        <f t="shared" si="6"/>
        <v>77257.149999999994</v>
      </c>
      <c r="N20" s="82">
        <f t="shared" si="7"/>
        <v>75071.149999999994</v>
      </c>
      <c r="O20" s="43">
        <f t="shared" si="9"/>
        <v>0.15</v>
      </c>
      <c r="P20" t="s">
        <v>110</v>
      </c>
    </row>
    <row r="21" spans="1:20" ht="17.100000000000001" customHeight="1" x14ac:dyDescent="0.3">
      <c r="A21" s="64">
        <f t="shared" si="8"/>
        <v>16</v>
      </c>
      <c r="B21" s="64" t="s">
        <v>71</v>
      </c>
      <c r="C21" s="64"/>
      <c r="D21" s="73">
        <v>3.22</v>
      </c>
      <c r="E21" s="74">
        <v>124305.16</v>
      </c>
      <c r="F21" s="75">
        <f t="shared" si="10"/>
        <v>124305.16</v>
      </c>
      <c r="G21" s="76">
        <f t="shared" si="1"/>
        <v>0</v>
      </c>
      <c r="H21" s="76">
        <f t="shared" si="3"/>
        <v>0</v>
      </c>
      <c r="I21" s="77">
        <v>0</v>
      </c>
      <c r="J21" s="78">
        <f t="shared" si="4"/>
        <v>127608.0406377</v>
      </c>
      <c r="K21" s="161">
        <f t="shared" si="2"/>
        <v>2773.5328319999999</v>
      </c>
      <c r="L21" s="80">
        <f t="shared" si="5"/>
        <v>130382.16</v>
      </c>
      <c r="M21" s="81">
        <f t="shared" si="6"/>
        <v>138205.16</v>
      </c>
      <c r="N21" s="82">
        <f t="shared" si="7"/>
        <v>134293.16</v>
      </c>
      <c r="O21" s="43">
        <f t="shared" si="9"/>
        <v>0.16</v>
      </c>
      <c r="P21" s="124"/>
      <c r="Q21" s="169"/>
      <c r="R21" s="169"/>
      <c r="S21" s="169"/>
      <c r="T21" s="169"/>
    </row>
    <row r="22" spans="1:20" ht="17.100000000000001" customHeight="1" x14ac:dyDescent="0.3">
      <c r="A22" s="64">
        <f t="shared" si="8"/>
        <v>17</v>
      </c>
      <c r="B22" s="64" t="s">
        <v>72</v>
      </c>
      <c r="C22" s="65"/>
      <c r="D22" s="73">
        <v>2.61</v>
      </c>
      <c r="E22" s="75">
        <v>342737.17</v>
      </c>
      <c r="F22" s="75"/>
      <c r="G22" s="76">
        <f t="shared" si="1"/>
        <v>342737.17</v>
      </c>
      <c r="H22" s="76">
        <f t="shared" si="3"/>
        <v>10282.115099999999</v>
      </c>
      <c r="I22" s="77">
        <v>0</v>
      </c>
      <c r="J22" s="78">
        <f t="shared" si="4"/>
        <v>103433.84660384999</v>
      </c>
      <c r="K22" s="161">
        <f t="shared" si="2"/>
        <v>2248.1120159999996</v>
      </c>
      <c r="L22" s="80">
        <f t="shared" si="5"/>
        <v>458701.17</v>
      </c>
      <c r="M22" s="81">
        <f t="shared" si="6"/>
        <v>486223.17</v>
      </c>
      <c r="N22" s="82">
        <f t="shared" si="7"/>
        <v>472462.17</v>
      </c>
      <c r="O22" s="43">
        <f t="shared" si="9"/>
        <v>0.17</v>
      </c>
      <c r="P22" s="124" t="s">
        <v>100</v>
      </c>
      <c r="Q22" s="169"/>
      <c r="R22" s="169"/>
      <c r="S22" s="169"/>
      <c r="T22" s="169"/>
    </row>
    <row r="23" spans="1:20" ht="17.100000000000001" customHeight="1" x14ac:dyDescent="0.3">
      <c r="A23" s="64">
        <f t="shared" si="8"/>
        <v>18</v>
      </c>
      <c r="B23" s="64" t="s">
        <v>73</v>
      </c>
      <c r="C23" s="129"/>
      <c r="D23" s="73">
        <v>4.28</v>
      </c>
      <c r="E23" s="74">
        <v>165225.18</v>
      </c>
      <c r="F23" s="75">
        <f t="shared" si="10"/>
        <v>165225.18</v>
      </c>
      <c r="G23" s="76">
        <f t="shared" si="1"/>
        <v>0</v>
      </c>
      <c r="H23" s="76">
        <f t="shared" si="3"/>
        <v>0</v>
      </c>
      <c r="I23" s="77">
        <v>0</v>
      </c>
      <c r="J23" s="78">
        <f t="shared" si="4"/>
        <v>169615.65649980001</v>
      </c>
      <c r="K23" s="161">
        <f t="shared" si="2"/>
        <v>3686.5591680000002</v>
      </c>
      <c r="L23" s="80">
        <f t="shared" si="5"/>
        <v>173302.18</v>
      </c>
      <c r="M23" s="81">
        <f t="shared" si="6"/>
        <v>183700.18</v>
      </c>
      <c r="N23" s="82">
        <f t="shared" si="7"/>
        <v>178501.18</v>
      </c>
      <c r="O23" s="43">
        <f t="shared" si="9"/>
        <v>0.18000000000000002</v>
      </c>
      <c r="P23" s="169"/>
      <c r="Q23" s="169"/>
      <c r="R23" s="169"/>
      <c r="S23" s="169"/>
      <c r="T23" s="169"/>
    </row>
    <row r="24" spans="1:20" ht="17.100000000000001" customHeight="1" x14ac:dyDescent="0.3">
      <c r="A24" s="64"/>
      <c r="B24" s="64"/>
      <c r="C24" s="65"/>
      <c r="D24" s="73"/>
      <c r="E24" s="74"/>
      <c r="F24" s="168"/>
      <c r="G24" s="76"/>
      <c r="H24" s="76"/>
      <c r="I24" s="77"/>
      <c r="J24" s="78"/>
      <c r="K24" s="79"/>
      <c r="L24" s="80"/>
      <c r="M24" s="81"/>
      <c r="N24" s="82"/>
      <c r="O24" s="43">
        <f t="shared" si="9"/>
        <v>0.19000000000000003</v>
      </c>
    </row>
    <row r="25" spans="1:20" ht="16.5" hidden="1" customHeight="1" x14ac:dyDescent="0.3">
      <c r="A25" s="83"/>
      <c r="B25" s="64"/>
      <c r="C25" s="65"/>
      <c r="D25" s="73"/>
      <c r="E25" s="85"/>
      <c r="F25" s="86"/>
      <c r="G25" s="87"/>
      <c r="H25" s="76"/>
      <c r="I25" s="77"/>
      <c r="J25" s="88"/>
      <c r="K25" s="89"/>
      <c r="L25" s="80"/>
      <c r="M25" s="81"/>
      <c r="N25" s="82"/>
      <c r="O25" s="43"/>
    </row>
    <row r="26" spans="1:20" ht="22.5" hidden="1" customHeight="1" thickBot="1" x14ac:dyDescent="0.35">
      <c r="A26" s="83"/>
      <c r="B26" s="66"/>
      <c r="C26" s="65"/>
      <c r="D26" s="73"/>
      <c r="E26" s="85"/>
      <c r="F26" s="86"/>
      <c r="G26" s="87"/>
      <c r="H26" s="76"/>
      <c r="I26" s="77"/>
      <c r="J26" s="88"/>
      <c r="K26" s="89"/>
      <c r="L26" s="80"/>
      <c r="M26" s="81"/>
      <c r="N26" s="82"/>
      <c r="O26" s="43"/>
    </row>
    <row r="27" spans="1:20" ht="16.5" hidden="1" customHeight="1" thickBot="1" x14ac:dyDescent="0.35">
      <c r="A27" s="84"/>
      <c r="B27" s="64"/>
      <c r="C27" s="65"/>
      <c r="D27" s="73"/>
      <c r="E27" s="85"/>
      <c r="F27" s="86"/>
      <c r="G27" s="87"/>
      <c r="H27" s="76"/>
      <c r="I27" s="77"/>
      <c r="J27" s="88"/>
      <c r="K27" s="89"/>
      <c r="L27" s="80"/>
      <c r="M27" s="81"/>
      <c r="N27" s="82"/>
      <c r="O27" s="43"/>
    </row>
    <row r="28" spans="1:20" ht="17.100000000000001" customHeight="1" thickBot="1" x14ac:dyDescent="0.35">
      <c r="A28" s="64"/>
      <c r="B28" s="90"/>
      <c r="C28" s="90"/>
      <c r="D28" s="73"/>
      <c r="E28" s="85"/>
      <c r="F28" s="86"/>
      <c r="G28" s="87"/>
      <c r="H28" s="76"/>
      <c r="I28" s="77"/>
      <c r="J28" s="88"/>
      <c r="K28" s="89"/>
      <c r="L28" s="91"/>
      <c r="M28" s="92"/>
      <c r="N28" s="93"/>
      <c r="O28" s="43"/>
    </row>
    <row r="29" spans="1:20" ht="17.100000000000001" customHeight="1" thickBot="1" x14ac:dyDescent="0.35">
      <c r="A29" s="94"/>
      <c r="B29" s="95"/>
      <c r="C29" s="95"/>
      <c r="D29" s="96">
        <f>SUM(D6:D28)</f>
        <v>100.08</v>
      </c>
      <c r="E29" s="53">
        <f>SUM(E6:E28)</f>
        <v>6392226.71</v>
      </c>
      <c r="F29" s="62">
        <f>SUM(F6:F28)</f>
        <v>4401284.3499999996</v>
      </c>
      <c r="G29" s="62">
        <f>SUM(G6:G28)</f>
        <v>1990942.36</v>
      </c>
      <c r="H29" s="62">
        <f t="shared" ref="H29:M29" si="11">SUM(H6:H28)</f>
        <v>67830.097800000003</v>
      </c>
      <c r="I29" s="62">
        <f t="shared" si="11"/>
        <v>0</v>
      </c>
      <c r="J29" s="133">
        <f t="shared" si="11"/>
        <v>3966153.0146027999</v>
      </c>
      <c r="K29" s="62">
        <f t="shared" si="11"/>
        <v>86203.467647999991</v>
      </c>
      <c r="L29" s="97">
        <f>SUM(L6:L23)</f>
        <v>6111129.71</v>
      </c>
      <c r="M29" s="97">
        <f t="shared" si="11"/>
        <v>6477797.71</v>
      </c>
      <c r="N29" s="97">
        <f>SUM(N6:N28)</f>
        <v>6294463.71</v>
      </c>
    </row>
    <row r="30" spans="1:20" ht="12.75" customHeight="1" x14ac:dyDescent="0.3">
      <c r="B30" s="50"/>
      <c r="C30" s="50"/>
    </row>
    <row r="31" spans="1:20" hidden="1" x14ac:dyDescent="0.3"/>
    <row r="32" spans="1:20" ht="9" customHeight="1" x14ac:dyDescent="0.3">
      <c r="B32" s="190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190"/>
      <c r="D32" s="190"/>
      <c r="E32" s="190"/>
      <c r="F32" s="190"/>
      <c r="G32" s="190"/>
      <c r="H32" s="190"/>
      <c r="I32" s="190"/>
      <c r="J32" s="190"/>
      <c r="K32" s="190"/>
      <c r="L32" s="190"/>
    </row>
    <row r="33" spans="2:12" ht="12" hidden="1" customHeight="1" x14ac:dyDescent="0.3"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</row>
    <row r="34" spans="2:12" ht="12" hidden="1" customHeight="1" x14ac:dyDescent="0.3"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</row>
    <row r="35" spans="2:12" ht="12" hidden="1" customHeight="1" x14ac:dyDescent="0.3"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</row>
    <row r="36" spans="2:12" ht="12" hidden="1" customHeight="1" x14ac:dyDescent="0.3"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</row>
    <row r="37" spans="2:12" ht="67.5" customHeight="1" x14ac:dyDescent="0.3"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</row>
  </sheetData>
  <mergeCells count="15">
    <mergeCell ref="N4:N5"/>
    <mergeCell ref="D1:L1"/>
    <mergeCell ref="H4:H5"/>
    <mergeCell ref="E4:E5"/>
    <mergeCell ref="M4:M5"/>
    <mergeCell ref="F4:F5"/>
    <mergeCell ref="G4:G5"/>
    <mergeCell ref="I4:I5"/>
    <mergeCell ref="J4:J5"/>
    <mergeCell ref="K4:K5"/>
    <mergeCell ref="B32:L37"/>
    <mergeCell ref="C4:C5"/>
    <mergeCell ref="A4:A5"/>
    <mergeCell ref="B4:B5"/>
    <mergeCell ref="D4:D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A5:O10"/>
  <sheetViews>
    <sheetView workbookViewId="0">
      <selection activeCell="B2" sqref="B2:M12"/>
    </sheetView>
  </sheetViews>
  <sheetFormatPr baseColWidth="10" defaultColWidth="10.88671875" defaultRowHeight="14.4" x14ac:dyDescent="0.3"/>
  <sheetData>
    <row r="5" spans="1:15" x14ac:dyDescent="0.3">
      <c r="A5" s="124"/>
      <c r="N5" s="124"/>
      <c r="O5" s="124"/>
    </row>
    <row r="6" spans="1:15" x14ac:dyDescent="0.3">
      <c r="A6" s="124"/>
      <c r="N6" s="124"/>
      <c r="O6" s="124"/>
    </row>
    <row r="7" spans="1:15" x14ac:dyDescent="0.3">
      <c r="A7" s="124"/>
      <c r="N7" s="124"/>
      <c r="O7" s="124"/>
    </row>
    <row r="8" spans="1:15" x14ac:dyDescent="0.3">
      <c r="A8" s="124"/>
      <c r="N8" s="124"/>
      <c r="O8" s="124"/>
    </row>
    <row r="9" spans="1:15" x14ac:dyDescent="0.3">
      <c r="A9" s="124"/>
      <c r="N9" s="124"/>
      <c r="O9" s="124"/>
    </row>
    <row r="10" spans="1:15" x14ac:dyDescent="0.3">
      <c r="A10" s="124"/>
      <c r="N10" s="124"/>
      <c r="O10" s="1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2026-05-05T23:43:22Z</cp:lastPrinted>
  <dcterms:created xsi:type="dcterms:W3CDTF">2023-09-17T12:29:07Z</dcterms:created>
  <dcterms:modified xsi:type="dcterms:W3CDTF">2026-05-27T11:30:39Z</dcterms:modified>
</cp:coreProperties>
</file>