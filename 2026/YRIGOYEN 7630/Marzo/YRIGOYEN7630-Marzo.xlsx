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YRIGOYEN 7630\Marzo\"/>
    </mc:Choice>
  </mc:AlternateContent>
  <xr:revisionPtr revIDLastSave="0" documentId="13_ncr:1_{A659EFF1-9901-4A23-9722-6AB18A3B9857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RESUMEN!$A$1:$E$121</definedName>
  </definedNames>
  <calcPr calcId="181029"/>
</workbook>
</file>

<file path=xl/calcChain.xml><?xml version="1.0" encoding="utf-8"?>
<calcChain xmlns="http://schemas.openxmlformats.org/spreadsheetml/2006/main">
  <c r="F8" i="2" l="1"/>
  <c r="F20" i="2"/>
  <c r="E20" i="2"/>
  <c r="F13" i="2"/>
  <c r="F18" i="2"/>
  <c r="F6" i="2"/>
  <c r="F23" i="2"/>
  <c r="F21" i="2"/>
  <c r="F9" i="2"/>
  <c r="F14" i="2"/>
  <c r="D37" i="1"/>
  <c r="F15" i="2"/>
  <c r="E43" i="1" l="1"/>
  <c r="F43" i="1"/>
  <c r="E61" i="1"/>
  <c r="E39" i="1"/>
  <c r="E47" i="1" l="1"/>
  <c r="E53" i="1"/>
  <c r="E38" i="1" l="1"/>
  <c r="E65" i="1" l="1"/>
  <c r="E35" i="1" l="1"/>
  <c r="E45" i="1" l="1"/>
  <c r="E46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F11" i="2" l="1"/>
  <c r="F16" i="2"/>
  <c r="F17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7" i="1" l="1"/>
  <c r="E82" i="1" s="1"/>
  <c r="B86" i="1" s="1"/>
  <c r="B102" i="1" l="1"/>
  <c r="B109" i="1"/>
  <c r="B120" i="1"/>
  <c r="B98" i="1" l="1"/>
  <c r="B111" i="1"/>
  <c r="G20" i="2" l="1"/>
  <c r="D30" i="1" l="1"/>
  <c r="L5" i="2" l="1"/>
  <c r="D24" i="1" l="1"/>
  <c r="E31" i="1" s="1"/>
  <c r="E69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96" i="1" l="1"/>
  <c r="B112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7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5" i="1"/>
  <c r="A46" i="1" s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K29" i="2" l="1"/>
  <c r="M29" i="2" l="1"/>
  <c r="B85" i="1"/>
  <c r="B101" i="1" l="1"/>
  <c r="B103" i="1" s="1"/>
  <c r="B108" i="1"/>
  <c r="B113" i="1" s="1"/>
  <c r="B84" i="1"/>
</calcChain>
</file>

<file path=xl/sharedStrings.xml><?xml version="1.0" encoding="utf-8"?>
<sst xmlns="http://schemas.openxmlformats.org/spreadsheetml/2006/main" count="129" uniqueCount="119">
  <si>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</si>
  <si>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</si>
  <si>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</si>
  <si>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</si>
  <si>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</si>
  <si>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</si>
  <si>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</si>
  <si>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</si>
  <si>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</si>
  <si>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</si>
  <si>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</si>
  <si>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</si>
  <si>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</si>
  <si>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</si>
  <si>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</si>
  <si>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</si>
  <si>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</si>
  <si>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</si>
  <si>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</si>
  <si>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</si>
  <si>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</si>
  <si>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</si>
  <si>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</si>
  <si>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</si>
  <si>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</si>
  <si>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</si>
  <si>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</si>
  <si>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</si>
  <si>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</si>
  <si>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</si>
  <si>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</si>
  <si>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</si>
  <si>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</si>
  <si>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</si>
  <si>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</si>
  <si>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</si>
  <si>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</si>
  <si>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</si>
  <si>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</si>
  <si>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</si>
  <si>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</si>
  <si>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</si>
  <si>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</si>
  <si>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</si>
  <si>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</si>
  <si>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</si>
  <si>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</si>
  <si>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</si>
  <si>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</si>
  <si>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</si>
  <si>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</si>
  <si>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</si>
  <si>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</si>
  <si>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</si>
  <si>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</si>
  <si>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</si>
  <si>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</si>
  <si>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</si>
  <si>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</si>
  <si>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</si>
  <si>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</si>
  <si>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</si>
  <si>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</si>
  <si>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</si>
  <si>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</si>
  <si>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</si>
  <si>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</si>
  <si>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</si>
  <si>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</si>
  <si>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</si>
  <si>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</si>
  <si>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</si>
  <si>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</si>
  <si>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</si>
  <si>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</si>
  <si>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</si>
  <si>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</si>
  <si>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</si>
  <si>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</si>
  <si>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</si>
  <si>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</si>
  <si>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</si>
  <si>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</si>
  <si>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</si>
  <si>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</si>
  <si>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</si>
  <si>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Gastos bancarios</t>
  </si>
  <si>
    <t>Mantenimiento de cuenta</t>
  </si>
  <si>
    <t>Federacion patronal - Seguro de vida Poliza nro. 211840604</t>
  </si>
  <si>
    <t>Federacion patronal  Seguro obligatorio de consorcio</t>
  </si>
  <si>
    <t>Subidos en En3r0</t>
  </si>
  <si>
    <t>Abonado Sra. Ana Maria Castro</t>
  </si>
  <si>
    <t>CONSORCIO DE PROPIETARIOS DEL EDIFICIO CALLE YRIGOYEN 7630</t>
  </si>
  <si>
    <t>10 A 15HS - EMERGENCIAS 24HS</t>
  </si>
  <si>
    <t xml:space="preserve">CBU: 0440060830000011423569                                                                                                          / ALIAS: OMBU.TECLEO.AMOROSAS /                                                                   TELEFONO: 11 5320-2676  </t>
  </si>
  <si>
    <t>Debito 03/02</t>
  </si>
  <si>
    <t>Debito 10/02</t>
  </si>
  <si>
    <t>Debito 04/02</t>
  </si>
  <si>
    <t>Debito 12/02</t>
  </si>
  <si>
    <t>Doartero - Emergencia de bombas</t>
  </si>
  <si>
    <t>Cuota 2 de 2 - trabajo de pintura dpto 10</t>
  </si>
  <si>
    <t>Transf 13(02</t>
  </si>
  <si>
    <t>Debito 18/02</t>
  </si>
  <si>
    <t>Articulos de limpieza - Alejandra Montoya</t>
  </si>
  <si>
    <t>Transf 18/02</t>
  </si>
  <si>
    <t>Matias destapacion - 3er piso Desobstruccion columna baño</t>
  </si>
  <si>
    <t>Fumigacion</t>
  </si>
  <si>
    <t>cristina - su inquilino es gustavo almeyda</t>
  </si>
  <si>
    <t>EL EX INQUILINO DE CRISTINA (UF 15) PAGO EN FEBRERO CUANDO YA NO ESTABA MAS, SEGURO SE CONFUNDIO DE CUENTA A LA QUE DEBIA TRANSFERIR. ABONO $124.551. ESE PAGO NO LO COMPUTAMOS, SOLO LO DEJAMOS ASENTADO ACA</t>
  </si>
  <si>
    <t>Punitorios mal cobrados UF 5</t>
  </si>
  <si>
    <t>El departamento 7 adjunta un monton de comprobantes desde el mail de (mer_paisa@hotmail.com) antiguos para que reveamos su deuda. Chequear y revisar.</t>
  </si>
  <si>
    <t>VTO 17/04</t>
  </si>
  <si>
    <t>PERÍODO: MARZO</t>
  </si>
  <si>
    <t>Gustavo padron - Sr contador honorarios MARZO</t>
  </si>
  <si>
    <t>Honorarios administracion - MARZO</t>
  </si>
  <si>
    <t>Sindicatos mes de MARZO</t>
  </si>
  <si>
    <t xml:space="preserve">Ascensores lema - Mantenimiento </t>
  </si>
  <si>
    <t>Transf 04/03</t>
  </si>
  <si>
    <t>Transf 08/03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</si>
</sst>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19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16" fillId="0" borderId="6" xfId="1" applyFont="1" applyBorder="1"/>
    <xf numFmtId="44" fontId="21" fillId="0" borderId="27" xfId="1" applyFont="1" applyBorder="1"/>
    <xf numFmtId="44" fontId="21" fillId="0" borderId="6" xfId="1" applyFont="1" applyBorder="1"/>
    <xf numFmtId="44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44" fontId="21" fillId="0" borderId="2" xfId="1" applyFont="1" applyBorder="1"/>
    <xf numFmtId="44" fontId="21" fillId="2" borderId="2" xfId="1" applyFont="1" applyFill="1" applyBorder="1"/>
    <xf numFmtId="165" fontId="16" fillId="0" borderId="2" xfId="0" applyNumberFormat="1" applyFont="1" applyBorder="1"/>
    <xf numFmtId="165" fontId="16" fillId="0" borderId="2" xfId="1" applyNumberFormat="1" applyFont="1" applyBorder="1"/>
    <xf numFmtId="44" fontId="16" fillId="0" borderId="26" xfId="1" applyFont="1" applyBorder="1"/>
    <xf numFmtId="0" fontId="16" fillId="0" borderId="2" xfId="0" applyFont="1" applyBorder="1"/>
    <xf numFmtId="44" fontId="21" fillId="0" borderId="28" xfId="1" applyFont="1" applyBorder="1"/>
    <xf numFmtId="44" fontId="21" fillId="0" borderId="30" xfId="1" applyFont="1" applyBorder="1"/>
    <xf numFmtId="44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9" fillId="2" borderId="6" xfId="1" applyFont="1" applyFill="1" applyBorder="1"/>
    <xf numFmtId="0" fontId="22" fillId="0" borderId="1" xfId="0" applyFont="1" applyBorder="1"/>
    <xf numFmtId="166" fontId="0" fillId="3" borderId="0" xfId="1" applyNumberFormat="1" applyFont="1" applyFill="1" applyAlignment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4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2" borderId="1" xfId="1" applyFont="1" applyFill="1" applyBorder="1"/>
    <xf numFmtId="0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6" fillId="0" borderId="6" xfId="1" applyNumberFormat="1" applyFont="1" applyBorder="1"/>
    <xf numFmtId="166" fontId="0" fillId="2" borderId="0" xfId="1" applyNumberFormat="1" applyFont="1" applyFill="1" applyAlignment="1"/>
    <xf numFmtId="16" fontId="23" fillId="2" borderId="1" xfId="0" applyNumberFormat="1" applyFont="1" applyFill="1" applyBorder="1"/>
    <xf numFmtId="0" fontId="17" fillId="0" borderId="1" xfId="1" applyNumberFormat="1" applyFont="1" applyBorder="1" applyAlignment="1">
      <alignment wrapText="1"/>
    </xf>
    <xf numFmtId="0" fontId="16" fillId="2" borderId="1" xfId="0" applyFont="1" applyFill="1" applyBorder="1"/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/>
    </xf>
    <xf numFmtId="8" fontId="0" fillId="2" borderId="1" xfId="0" applyNumberFormat="1" applyFill="1" applyBorder="1"/>
    <xf numFmtId="8" fontId="20" fillId="10" borderId="1" xfId="0" applyNumberFormat="1" applyFont="1" applyFill="1" applyBorder="1"/>
    <xf numFmtId="8" fontId="0" fillId="2" borderId="6" xfId="0" applyNumberFormat="1" applyFill="1" applyBorder="1"/>
    <xf numFmtId="8" fontId="20" fillId="10" borderId="6" xfId="0" applyNumberFormat="1" applyFont="1" applyFill="1" applyBorder="1"/>
    <xf numFmtId="8" fontId="2" fillId="4" borderId="6" xfId="0" applyNumberFormat="1" applyFont="1" applyFill="1" applyBorder="1"/>
    <xf numFmtId="8" fontId="13" fillId="4" borderId="1" xfId="0" applyNumberFormat="1" applyFont="1" applyFill="1" applyBorder="1"/>
    <xf numFmtId="8" fontId="0" fillId="2" borderId="1" xfId="0" applyNumberFormat="1" applyFill="1" applyBorder="1" applyAlignment="1">
      <alignment horizontal="right"/>
    </xf>
    <xf numFmtId="44" fontId="2" fillId="4" borderId="6" xfId="1" applyFont="1" applyFill="1" applyBorder="1"/>
    <xf numFmtId="44" fontId="2" fillId="4" borderId="1" xfId="1" applyFont="1" applyFill="1" applyBorder="1"/>
    <xf numFmtId="44" fontId="0" fillId="2" borderId="1" xfId="1" applyFont="1" applyFill="1" applyBorder="1" applyAlignment="1">
      <alignment wrapText="1"/>
    </xf>
    <xf numFmtId="44" fontId="0" fillId="2" borderId="1" xfId="1" applyFont="1" applyFill="1" applyBorder="1" applyAlignment="1"/>
    <xf numFmtId="44" fontId="0" fillId="4" borderId="1" xfId="1" applyFont="1" applyFill="1" applyBorder="1"/>
    <xf numFmtId="44" fontId="0" fillId="2" borderId="1" xfId="1" applyFont="1" applyFill="1" applyBorder="1"/>
    <xf numFmtId="44" fontId="0" fillId="4" borderId="6" xfId="1" applyFont="1" applyFill="1" applyBorder="1"/>
    <xf numFmtId="44" fontId="2" fillId="4" borderId="6" xfId="1" applyFont="1" applyFill="1" applyBorder="1" applyAlignment="1">
      <alignment horizontal="center"/>
    </xf>
    <xf numFmtId="44" fontId="0" fillId="2" borderId="6" xfId="1" applyFont="1" applyFill="1" applyBorder="1"/>
    <xf numFmtId="44" fontId="16" fillId="2" borderId="1" xfId="1" applyFont="1" applyFill="1" applyBorder="1"/>
    <xf numFmtId="166" fontId="16" fillId="2" borderId="1" xfId="1" applyNumberFormat="1" applyFont="1" applyFill="1" applyBorder="1"/>
    <xf numFmtId="0" fontId="16" fillId="9" borderId="1" xfId="0" applyFont="1" applyFill="1" applyBorder="1"/>
    <xf numFmtId="0" fontId="25" fillId="2" borderId="0" xfId="3" applyFill="1"/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0" fillId="12" borderId="0" xfId="0" applyFill="1" applyAlignment="1">
      <alignment horizontal="center" wrapText="1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44" fontId="9" fillId="2" borderId="1" xfId="1" applyFont="1" applyFill="1" applyBorder="1"/>
    <xf numFmtId="8" fontId="9" fillId="2" borderId="1" xfId="0" applyNumberFormat="1" applyFont="1" applyFill="1" applyBorder="1"/>
    <xf numFmtId="44" fontId="9" fillId="0" borderId="1" xfId="1" applyFont="1" applyBorder="1"/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tabSelected="1" topLeftCell="A29" workbookViewId="0">
      <selection activeCell="D41" sqref="D41"/>
    </sheetView>
  </sheetViews>
  <sheetFormatPr baseColWidth="10" defaultColWidth="10.88671875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33203125" customWidth="1"/>
  </cols>
  <sheetData>
    <row r="1" spans="1:5" x14ac:dyDescent="0.3">
      <c r="A1" s="15"/>
      <c r="B1" s="70" t="s">
        <v>54</v>
      </c>
      <c r="C1" s="70"/>
      <c r="D1" s="70"/>
      <c r="E1" s="71"/>
    </row>
    <row r="2" spans="1:5" x14ac:dyDescent="0.3">
      <c r="A2" s="16"/>
      <c r="B2" s="72" t="s">
        <v>28</v>
      </c>
      <c r="C2" s="72"/>
      <c r="D2" s="72"/>
      <c r="E2" s="73"/>
    </row>
    <row r="3" spans="1:5" ht="70.5" customHeight="1" thickBot="1" x14ac:dyDescent="0.35">
      <c r="A3" s="16"/>
      <c r="B3" s="196" t="s">
        <v>94</v>
      </c>
      <c r="C3" s="196"/>
      <c r="D3" s="196"/>
      <c r="E3" s="197"/>
    </row>
    <row r="4" spans="1:5" ht="15" thickBot="1" x14ac:dyDescent="0.35">
      <c r="A4" s="19" t="s">
        <v>0</v>
      </c>
      <c r="B4" s="99" t="s">
        <v>38</v>
      </c>
      <c r="C4" s="20"/>
      <c r="D4" s="20"/>
      <c r="E4" s="21"/>
    </row>
    <row r="5" spans="1:5" ht="15" thickBot="1" x14ac:dyDescent="0.35">
      <c r="A5" s="16" t="s">
        <v>55</v>
      </c>
      <c r="B5" s="20" t="s">
        <v>112</v>
      </c>
      <c r="C5" s="17"/>
      <c r="D5" s="72" t="s">
        <v>29</v>
      </c>
      <c r="E5" s="18"/>
    </row>
    <row r="6" spans="1:5" ht="15" thickBot="1" x14ac:dyDescent="0.35">
      <c r="A6" s="19" t="s">
        <v>92</v>
      </c>
      <c r="B6" s="20"/>
      <c r="C6" s="20"/>
      <c r="D6" s="20" t="s">
        <v>93</v>
      </c>
      <c r="E6" s="21"/>
    </row>
    <row r="8" spans="1:5" x14ac:dyDescent="0.3">
      <c r="B8" s="199" t="s">
        <v>111</v>
      </c>
      <c r="C8" s="199"/>
    </row>
    <row r="9" spans="1:5" x14ac:dyDescent="0.3">
      <c r="B9" s="199"/>
      <c r="C9" s="199"/>
    </row>
    <row r="10" spans="1:5" x14ac:dyDescent="0.3">
      <c r="B10" s="199"/>
      <c r="C10" s="199"/>
    </row>
    <row r="12" spans="1:5" hidden="1" x14ac:dyDescent="0.3"/>
    <row r="13" spans="1:5" ht="15" customHeight="1" x14ac:dyDescent="0.3">
      <c r="A13" s="198" t="s">
        <v>42</v>
      </c>
      <c r="B13" s="198"/>
      <c r="C13" s="198"/>
      <c r="D13" s="198"/>
      <c r="E13" s="198"/>
    </row>
    <row r="14" spans="1:5" ht="15" customHeight="1" x14ac:dyDescent="0.3">
      <c r="A14" s="198"/>
      <c r="B14" s="198"/>
      <c r="C14" s="198"/>
      <c r="D14" s="198"/>
      <c r="E14" s="198"/>
    </row>
    <row r="15" spans="1:5" ht="15" customHeight="1" x14ac:dyDescent="0.3">
      <c r="A15" s="198"/>
      <c r="B15" s="198"/>
      <c r="C15" s="198"/>
      <c r="D15" s="198"/>
      <c r="E15" s="198"/>
    </row>
    <row r="16" spans="1:5" ht="53.25" customHeight="1" x14ac:dyDescent="0.3">
      <c r="A16" s="198"/>
      <c r="B16" s="198"/>
      <c r="C16" s="198"/>
      <c r="D16" s="198"/>
      <c r="E16" s="198"/>
    </row>
    <row r="17" spans="1:7" ht="14.25" customHeight="1" thickBot="1" x14ac:dyDescent="0.35"/>
    <row r="18" spans="1:7" hidden="1" x14ac:dyDescent="0.3">
      <c r="A18" s="2"/>
    </row>
    <row r="19" spans="1:7" ht="15" hidden="1" thickBot="1" x14ac:dyDescent="0.35"/>
    <row r="20" spans="1:7" x14ac:dyDescent="0.3">
      <c r="A20" s="11" t="s">
        <v>10</v>
      </c>
      <c r="B20" s="12"/>
      <c r="C20" s="13"/>
      <c r="D20" s="9"/>
      <c r="E20" s="14"/>
    </row>
    <row r="21" spans="1:7" x14ac:dyDescent="0.3">
      <c r="A21" s="36" t="s">
        <v>34</v>
      </c>
      <c r="B21" s="36"/>
      <c r="C21" s="36"/>
      <c r="D21" s="35"/>
      <c r="E21" s="35"/>
    </row>
    <row r="22" spans="1:7" x14ac:dyDescent="0.3">
      <c r="A22" s="5" t="s">
        <v>74</v>
      </c>
      <c r="B22" s="5"/>
      <c r="C22" s="5"/>
      <c r="D22" s="170">
        <v>1010153</v>
      </c>
      <c r="E22" s="5"/>
    </row>
    <row r="23" spans="1:7" hidden="1" x14ac:dyDescent="0.3">
      <c r="A23" s="5"/>
      <c r="B23" s="5"/>
      <c r="C23" s="5"/>
      <c r="D23" s="170"/>
      <c r="E23" s="5"/>
    </row>
    <row r="24" spans="1:7" ht="14.25" customHeight="1" x14ac:dyDescent="0.3">
      <c r="A24" s="58" t="s">
        <v>35</v>
      </c>
      <c r="B24" s="58"/>
      <c r="C24" s="58"/>
      <c r="D24" s="171">
        <f>SUM(D22:D23)</f>
        <v>1010153</v>
      </c>
      <c r="E24" s="141"/>
      <c r="G24" s="22"/>
    </row>
    <row r="25" spans="1:7" ht="14.25" hidden="1" customHeight="1" x14ac:dyDescent="0.3">
      <c r="A25" s="5" t="s">
        <v>44</v>
      </c>
      <c r="B25" s="5"/>
      <c r="C25" s="5"/>
      <c r="D25" s="170"/>
      <c r="E25" s="5"/>
    </row>
    <row r="26" spans="1:7" hidden="1" x14ac:dyDescent="0.3">
      <c r="A26" s="29"/>
      <c r="B26" s="5"/>
      <c r="C26" s="5"/>
      <c r="D26" s="170"/>
      <c r="E26" s="5"/>
    </row>
    <row r="27" spans="1:7" hidden="1" x14ac:dyDescent="0.3">
      <c r="A27" s="5"/>
      <c r="B27" s="5"/>
      <c r="C27" s="5"/>
      <c r="D27" s="170"/>
      <c r="E27" s="5"/>
    </row>
    <row r="28" spans="1:7" hidden="1" x14ac:dyDescent="0.3">
      <c r="A28" s="5"/>
      <c r="B28" s="5"/>
      <c r="C28" s="5"/>
      <c r="D28" s="172"/>
      <c r="E28" s="5"/>
    </row>
    <row r="29" spans="1:7" ht="0.75" customHeight="1" x14ac:dyDescent="0.3">
      <c r="A29" s="5" t="s">
        <v>39</v>
      </c>
      <c r="B29" s="5"/>
      <c r="C29" s="5"/>
      <c r="D29" s="172"/>
      <c r="E29" s="5"/>
    </row>
    <row r="30" spans="1:7" hidden="1" x14ac:dyDescent="0.3">
      <c r="A30" s="58" t="s">
        <v>35</v>
      </c>
      <c r="B30" s="58"/>
      <c r="C30" s="58"/>
      <c r="D30" s="173">
        <f>SUM(D25:D29)</f>
        <v>0</v>
      </c>
      <c r="E30" s="141"/>
    </row>
    <row r="31" spans="1:7" ht="15" thickBot="1" x14ac:dyDescent="0.35">
      <c r="A31" s="30" t="s">
        <v>1</v>
      </c>
      <c r="B31" s="30"/>
      <c r="C31" s="30"/>
      <c r="D31" s="174"/>
      <c r="E31" s="142">
        <f>D24+D30</f>
        <v>1010153</v>
      </c>
      <c r="F31" s="22"/>
    </row>
    <row r="32" spans="1:7" x14ac:dyDescent="0.3">
      <c r="A32" s="36" t="s">
        <v>19</v>
      </c>
      <c r="B32" s="36"/>
      <c r="C32" s="36"/>
      <c r="D32" s="175"/>
      <c r="E32" s="143"/>
    </row>
    <row r="33" spans="1:8" ht="15" customHeight="1" x14ac:dyDescent="0.3">
      <c r="A33" s="194" t="s">
        <v>113</v>
      </c>
      <c r="B33" s="195"/>
      <c r="C33" s="53"/>
      <c r="D33" s="217">
        <v>45000</v>
      </c>
      <c r="E33" s="144"/>
    </row>
    <row r="34" spans="1:8" ht="15" customHeight="1" thickBot="1" x14ac:dyDescent="0.35">
      <c r="A34" s="194" t="s">
        <v>114</v>
      </c>
      <c r="B34" s="195"/>
      <c r="C34" s="53"/>
      <c r="D34" s="176">
        <v>147300</v>
      </c>
      <c r="E34" s="144"/>
      <c r="H34" s="154" t="s">
        <v>90</v>
      </c>
    </row>
    <row r="35" spans="1:8" ht="15" thickBot="1" x14ac:dyDescent="0.35">
      <c r="A35" s="30" t="s">
        <v>16</v>
      </c>
      <c r="B35" s="30"/>
      <c r="C35" s="30"/>
      <c r="D35" s="177"/>
      <c r="E35" s="145">
        <f>SUM(D33:D34)</f>
        <v>192300</v>
      </c>
    </row>
    <row r="36" spans="1:8" x14ac:dyDescent="0.3">
      <c r="A36" s="36" t="s">
        <v>31</v>
      </c>
      <c r="B36" s="30"/>
      <c r="C36" s="30"/>
      <c r="D36" s="178"/>
      <c r="E36" s="146"/>
    </row>
    <row r="37" spans="1:8" s="39" customFormat="1" ht="14.25" customHeight="1" x14ac:dyDescent="0.3">
      <c r="A37" s="192" t="s">
        <v>88</v>
      </c>
      <c r="B37" s="193"/>
      <c r="C37" s="55"/>
      <c r="D37" s="179">
        <f>26570+6696</f>
        <v>33266</v>
      </c>
      <c r="E37" s="165" t="s">
        <v>95</v>
      </c>
    </row>
    <row r="38" spans="1:8" ht="14.25" customHeight="1" x14ac:dyDescent="0.3">
      <c r="A38" s="194" t="s">
        <v>89</v>
      </c>
      <c r="B38" s="195"/>
      <c r="C38" s="55"/>
      <c r="D38" s="180">
        <v>54278</v>
      </c>
      <c r="E38" s="147" t="str">
        <f>E37</f>
        <v>Debito 03/02</v>
      </c>
    </row>
    <row r="39" spans="1:8" ht="15" thickBot="1" x14ac:dyDescent="0.35">
      <c r="A39" s="30" t="s">
        <v>2</v>
      </c>
      <c r="B39" s="30"/>
      <c r="C39" s="30"/>
      <c r="D39" s="177"/>
      <c r="E39" s="148">
        <f>SUM(D37:D38)</f>
        <v>87544</v>
      </c>
    </row>
    <row r="40" spans="1:8" x14ac:dyDescent="0.3">
      <c r="A40" s="36" t="s">
        <v>17</v>
      </c>
      <c r="B40" s="149"/>
      <c r="C40" s="149"/>
      <c r="D40" s="181"/>
      <c r="E40" s="150"/>
    </row>
    <row r="41" spans="1:8" x14ac:dyDescent="0.3">
      <c r="A41" s="5" t="s">
        <v>47</v>
      </c>
      <c r="B41" s="5"/>
      <c r="C41" s="53"/>
      <c r="D41" s="218">
        <v>735161.05</v>
      </c>
      <c r="E41" s="156" t="s">
        <v>96</v>
      </c>
      <c r="G41" s="125"/>
    </row>
    <row r="42" spans="1:8" x14ac:dyDescent="0.3">
      <c r="A42" s="5" t="s">
        <v>77</v>
      </c>
      <c r="B42" s="5"/>
      <c r="C42" s="53"/>
      <c r="D42" s="37">
        <v>10602.27</v>
      </c>
      <c r="E42" s="156" t="s">
        <v>102</v>
      </c>
    </row>
    <row r="43" spans="1:8" x14ac:dyDescent="0.3">
      <c r="A43" s="5" t="s">
        <v>77</v>
      </c>
      <c r="B43" s="5"/>
      <c r="C43" s="53"/>
      <c r="D43" s="37">
        <v>75532.289999999994</v>
      </c>
      <c r="E43" s="156" t="str">
        <f>E42</f>
        <v>Debito 18/02</v>
      </c>
      <c r="F43" s="44">
        <f>D43+D42</f>
        <v>86134.56</v>
      </c>
      <c r="G43" s="140"/>
    </row>
    <row r="44" spans="1:8" x14ac:dyDescent="0.3">
      <c r="A44" s="5" t="s">
        <v>115</v>
      </c>
      <c r="B44" s="5"/>
      <c r="C44" s="5"/>
      <c r="D44" s="216">
        <v>107615.71</v>
      </c>
      <c r="E44" s="156" t="s">
        <v>98</v>
      </c>
    </row>
    <row r="45" spans="1:8" x14ac:dyDescent="0.3">
      <c r="A45" s="5" t="str">
        <f>A44</f>
        <v>Sindicatos mes de MARZO</v>
      </c>
      <c r="B45" s="5"/>
      <c r="C45" s="5"/>
      <c r="D45" s="216">
        <v>6711.98</v>
      </c>
      <c r="E45" s="157" t="str">
        <f>E44</f>
        <v>Debito 12/02</v>
      </c>
    </row>
    <row r="46" spans="1:8" x14ac:dyDescent="0.3">
      <c r="A46" s="5" t="str">
        <f>A45</f>
        <v>Sindicatos mes de MARZO</v>
      </c>
      <c r="B46" s="5"/>
      <c r="C46" s="5"/>
      <c r="D46" s="216">
        <v>60407.79</v>
      </c>
      <c r="E46" s="158" t="str">
        <f>E45</f>
        <v>Debito 12/02</v>
      </c>
    </row>
    <row r="47" spans="1:8" ht="15" customHeight="1" thickBot="1" x14ac:dyDescent="0.35">
      <c r="A47" s="30" t="s">
        <v>3</v>
      </c>
      <c r="B47" s="149"/>
      <c r="C47" s="149"/>
      <c r="D47" s="183"/>
      <c r="E47" s="148">
        <f>SUM(D41:D46)</f>
        <v>996031.09000000008</v>
      </c>
    </row>
    <row r="48" spans="1:8" x14ac:dyDescent="0.3">
      <c r="A48" s="36" t="s">
        <v>18</v>
      </c>
      <c r="B48" s="149"/>
      <c r="C48" s="149"/>
      <c r="D48" s="181"/>
      <c r="E48" s="150"/>
    </row>
    <row r="49" spans="1:5" ht="14.25" customHeight="1" x14ac:dyDescent="0.3">
      <c r="A49" s="5" t="s">
        <v>76</v>
      </c>
      <c r="B49" s="5"/>
      <c r="C49" s="5"/>
      <c r="D49" s="216">
        <v>66712.05</v>
      </c>
      <c r="E49" s="156" t="s">
        <v>97</v>
      </c>
    </row>
    <row r="50" spans="1:5" ht="14.25" customHeight="1" x14ac:dyDescent="0.3">
      <c r="A50" s="5" t="s">
        <v>79</v>
      </c>
      <c r="B50" s="159"/>
      <c r="C50" s="5"/>
      <c r="D50" s="216">
        <v>38354.129999999997</v>
      </c>
      <c r="E50" s="156" t="s">
        <v>97</v>
      </c>
    </row>
    <row r="51" spans="1:5" x14ac:dyDescent="0.3">
      <c r="A51" s="5" t="s">
        <v>78</v>
      </c>
      <c r="B51" s="5"/>
      <c r="C51" s="5"/>
      <c r="D51" s="182">
        <v>26185.98</v>
      </c>
      <c r="E51" s="156" t="s">
        <v>97</v>
      </c>
    </row>
    <row r="52" spans="1:5" x14ac:dyDescent="0.3">
      <c r="A52" s="192" t="s">
        <v>75</v>
      </c>
      <c r="B52" s="193"/>
      <c r="C52" s="5"/>
      <c r="D52" s="216">
        <v>629889.97</v>
      </c>
      <c r="E52" s="156" t="s">
        <v>96</v>
      </c>
    </row>
    <row r="53" spans="1:5" ht="15" thickBot="1" x14ac:dyDescent="0.35">
      <c r="A53" s="30" t="s">
        <v>4</v>
      </c>
      <c r="B53" s="30"/>
      <c r="C53" s="30"/>
      <c r="D53" s="184"/>
      <c r="E53" s="148">
        <f>SUM(D49:D52)</f>
        <v>761142.13</v>
      </c>
    </row>
    <row r="54" spans="1:5" ht="15" customHeight="1" thickBot="1" x14ac:dyDescent="0.35">
      <c r="A54" s="36"/>
      <c r="B54" s="30"/>
      <c r="C54" s="30"/>
      <c r="D54" s="177"/>
      <c r="E54" s="151"/>
    </row>
    <row r="55" spans="1:5" ht="20.100000000000001" customHeight="1" x14ac:dyDescent="0.3">
      <c r="A55" s="161" t="s">
        <v>116</v>
      </c>
      <c r="B55" s="155"/>
      <c r="C55" s="5"/>
      <c r="D55" s="216">
        <v>85000</v>
      </c>
      <c r="E55" s="160" t="s">
        <v>117</v>
      </c>
    </row>
    <row r="56" spans="1:5" ht="20.100000000000001" customHeight="1" x14ac:dyDescent="0.3">
      <c r="A56" s="161" t="s">
        <v>106</v>
      </c>
      <c r="B56" s="155"/>
      <c r="C56" s="5"/>
      <c r="D56" s="216">
        <v>50000</v>
      </c>
      <c r="E56" s="160" t="s">
        <v>118</v>
      </c>
    </row>
    <row r="57" spans="1:5" ht="25.05" customHeight="1" x14ac:dyDescent="0.3">
      <c r="A57" s="161" t="s">
        <v>100</v>
      </c>
      <c r="B57" s="155"/>
      <c r="C57" s="5"/>
      <c r="D57" s="185">
        <v>340000</v>
      </c>
      <c r="E57" s="166" t="s">
        <v>91</v>
      </c>
    </row>
    <row r="58" spans="1:5" ht="20.100000000000001" customHeight="1" x14ac:dyDescent="0.3">
      <c r="A58" s="161" t="s">
        <v>99</v>
      </c>
      <c r="B58" s="155"/>
      <c r="C58" s="5"/>
      <c r="D58" s="185">
        <v>85000</v>
      </c>
      <c r="E58" s="160" t="s">
        <v>101</v>
      </c>
    </row>
    <row r="59" spans="1:5" ht="22.2" customHeight="1" x14ac:dyDescent="0.3">
      <c r="A59" s="192" t="s">
        <v>105</v>
      </c>
      <c r="B59" s="193"/>
      <c r="C59" s="5"/>
      <c r="D59" s="185">
        <v>46200</v>
      </c>
      <c r="E59" s="160" t="s">
        <v>104</v>
      </c>
    </row>
    <row r="60" spans="1:5" ht="20.100000000000001" customHeight="1" x14ac:dyDescent="0.3">
      <c r="A60" s="192" t="s">
        <v>103</v>
      </c>
      <c r="B60" s="193"/>
      <c r="C60" s="5"/>
      <c r="D60" s="185">
        <v>78650</v>
      </c>
      <c r="E60" s="160" t="s">
        <v>104</v>
      </c>
    </row>
    <row r="61" spans="1:5" ht="15" thickBot="1" x14ac:dyDescent="0.35">
      <c r="A61" s="30" t="s">
        <v>9</v>
      </c>
      <c r="B61" s="36"/>
      <c r="C61" s="36"/>
      <c r="D61" s="36"/>
      <c r="E61" s="152">
        <f>SUM(D55:D60)</f>
        <v>684850</v>
      </c>
    </row>
    <row r="62" spans="1:5" ht="15" thickBot="1" x14ac:dyDescent="0.35">
      <c r="A62" s="36" t="s">
        <v>12</v>
      </c>
      <c r="B62" s="68"/>
      <c r="C62" s="30"/>
      <c r="D62" s="174"/>
      <c r="E62" s="151"/>
    </row>
    <row r="63" spans="1:5" x14ac:dyDescent="0.3">
      <c r="A63" s="5" t="s">
        <v>87</v>
      </c>
      <c r="B63" s="5"/>
      <c r="C63" s="5"/>
      <c r="D63" s="182">
        <v>53000</v>
      </c>
      <c r="E63" s="153"/>
    </row>
    <row r="64" spans="1:5" x14ac:dyDescent="0.3">
      <c r="A64" s="5" t="s">
        <v>86</v>
      </c>
      <c r="B64" s="5"/>
      <c r="C64" s="5"/>
      <c r="D64" s="182">
        <v>71779.02</v>
      </c>
      <c r="E64" s="41"/>
    </row>
    <row r="65" spans="1:12" ht="15" thickBot="1" x14ac:dyDescent="0.35">
      <c r="A65" s="52" t="s">
        <v>16</v>
      </c>
      <c r="B65" s="52"/>
      <c r="C65" s="52"/>
      <c r="D65" s="110"/>
      <c r="E65" s="104">
        <f>SUM(D63:D64)</f>
        <v>124779.02</v>
      </c>
    </row>
    <row r="66" spans="1:12" ht="15" thickBot="1" x14ac:dyDescent="0.35">
      <c r="A66" s="5"/>
      <c r="B66" s="5"/>
      <c r="C66" s="5"/>
      <c r="D66" s="103"/>
      <c r="E66" s="111"/>
    </row>
    <row r="67" spans="1:12" ht="15" thickBot="1" x14ac:dyDescent="0.35">
      <c r="A67" s="31" t="s">
        <v>50</v>
      </c>
      <c r="B67" s="31"/>
      <c r="C67" s="31"/>
      <c r="D67" s="112"/>
      <c r="E67" s="113"/>
    </row>
    <row r="68" spans="1:12" ht="15" thickBot="1" x14ac:dyDescent="0.35">
      <c r="A68" s="1"/>
      <c r="D68" s="114"/>
      <c r="E68" s="115"/>
      <c r="F68" s="44"/>
    </row>
    <row r="69" spans="1:12" ht="15" thickBot="1" x14ac:dyDescent="0.35">
      <c r="A69" s="3" t="s">
        <v>13</v>
      </c>
      <c r="B69" s="10"/>
      <c r="C69" s="4"/>
      <c r="D69" s="116"/>
      <c r="E69" s="117">
        <f>(SUM(E27:E67))</f>
        <v>3856799.2399999998</v>
      </c>
      <c r="F69" s="140"/>
      <c r="G69" s="44"/>
      <c r="H69" s="125"/>
      <c r="I69" s="125"/>
      <c r="J69" s="125"/>
      <c r="K69" s="125"/>
      <c r="L69" s="125"/>
    </row>
    <row r="70" spans="1:12" x14ac:dyDescent="0.3">
      <c r="D70" s="114"/>
      <c r="E70" s="114"/>
      <c r="H70" s="125"/>
      <c r="I70" s="125"/>
      <c r="J70" s="125"/>
      <c r="K70" s="125"/>
      <c r="L70" s="125"/>
    </row>
    <row r="71" spans="1:12" ht="15" thickBot="1" x14ac:dyDescent="0.35">
      <c r="D71" s="114"/>
      <c r="E71" s="114"/>
      <c r="H71" s="164"/>
    </row>
    <row r="72" spans="1:12" x14ac:dyDescent="0.3">
      <c r="A72" s="11" t="s">
        <v>45</v>
      </c>
      <c r="B72" s="12"/>
      <c r="C72" s="13"/>
      <c r="D72" s="118"/>
      <c r="E72" s="119"/>
    </row>
    <row r="73" spans="1:12" ht="15" customHeight="1" x14ac:dyDescent="0.3">
      <c r="A73" s="192"/>
      <c r="B73" s="193"/>
      <c r="C73" s="5"/>
      <c r="D73" s="129"/>
      <c r="E73" s="105"/>
    </row>
    <row r="74" spans="1:12" x14ac:dyDescent="0.3">
      <c r="A74" s="192"/>
      <c r="B74" s="193"/>
      <c r="C74" s="5"/>
      <c r="D74" s="107"/>
      <c r="E74" s="105"/>
    </row>
    <row r="75" spans="1:12" ht="15.75" customHeight="1" x14ac:dyDescent="0.3">
      <c r="A75" s="194"/>
      <c r="B75" s="195"/>
      <c r="C75" s="5"/>
      <c r="D75" s="107"/>
      <c r="E75" s="105"/>
    </row>
    <row r="76" spans="1:12" x14ac:dyDescent="0.3">
      <c r="A76" s="106"/>
      <c r="B76" s="108"/>
      <c r="C76" s="5"/>
      <c r="D76" s="107"/>
      <c r="E76" s="105"/>
    </row>
    <row r="77" spans="1:12" x14ac:dyDescent="0.3">
      <c r="A77" s="50"/>
      <c r="B77" s="49"/>
      <c r="C77" s="49"/>
      <c r="D77" s="59"/>
      <c r="E77" s="59">
        <f>SUM(D73:D76)</f>
        <v>0</v>
      </c>
    </row>
    <row r="78" spans="1:12" ht="15" customHeight="1" x14ac:dyDescent="0.3"/>
    <row r="79" spans="1:12" ht="15" hidden="1" thickBot="1" x14ac:dyDescent="0.35"/>
    <row r="80" spans="1:12" ht="15" thickBot="1" x14ac:dyDescent="0.35">
      <c r="A80" s="31" t="s">
        <v>20</v>
      </c>
      <c r="B80" s="31"/>
      <c r="C80" s="31"/>
      <c r="D80" s="32"/>
      <c r="E80" s="102"/>
    </row>
    <row r="81" spans="1:5" ht="15" thickBot="1" x14ac:dyDescent="0.35"/>
    <row r="82" spans="1:5" ht="15" thickBot="1" x14ac:dyDescent="0.35">
      <c r="A82" s="3" t="s">
        <v>21</v>
      </c>
      <c r="B82" s="10"/>
      <c r="C82" s="4"/>
      <c r="D82" s="4"/>
      <c r="E82" s="69">
        <f>E77+E80</f>
        <v>0</v>
      </c>
    </row>
    <row r="83" spans="1:5" ht="15" thickBot="1" x14ac:dyDescent="0.35"/>
    <row r="84" spans="1:5" ht="15" thickBot="1" x14ac:dyDescent="0.35">
      <c r="A84" s="100" t="s">
        <v>14</v>
      </c>
      <c r="B84" s="101">
        <f>E69</f>
        <v>3856799.2399999998</v>
      </c>
    </row>
    <row r="85" spans="1:5" ht="15" thickBot="1" x14ac:dyDescent="0.35">
      <c r="A85" s="100" t="s">
        <v>15</v>
      </c>
      <c r="B85" s="101">
        <f>E69-E67</f>
        <v>3856799.2399999998</v>
      </c>
    </row>
    <row r="86" spans="1:5" ht="15" thickBot="1" x14ac:dyDescent="0.35">
      <c r="A86" s="100" t="s">
        <v>22</v>
      </c>
      <c r="B86" s="101">
        <f>E82-E80</f>
        <v>0</v>
      </c>
    </row>
    <row r="87" spans="1:5" ht="15" thickBot="1" x14ac:dyDescent="0.35">
      <c r="A87" s="100" t="s">
        <v>40</v>
      </c>
      <c r="B87" s="101">
        <f>E82</f>
        <v>0</v>
      </c>
    </row>
    <row r="88" spans="1:5" ht="29.25" customHeight="1" x14ac:dyDescent="0.3"/>
    <row r="89" spans="1:5" ht="34.5" hidden="1" customHeight="1" x14ac:dyDescent="0.3"/>
    <row r="90" spans="1:5" hidden="1" x14ac:dyDescent="0.3">
      <c r="A90" s="190"/>
      <c r="B90" s="190"/>
      <c r="C90" s="190"/>
      <c r="D90" s="190"/>
      <c r="E90" s="190"/>
    </row>
    <row r="91" spans="1:5" ht="106.5" hidden="1" customHeight="1" x14ac:dyDescent="0.3">
      <c r="A91" s="190"/>
      <c r="B91" s="190"/>
      <c r="C91" s="190"/>
      <c r="D91" s="190"/>
      <c r="E91" s="190"/>
    </row>
    <row r="92" spans="1:5" ht="15.75" hidden="1" customHeight="1" x14ac:dyDescent="0.3">
      <c r="A92" s="190"/>
      <c r="B92" s="190"/>
      <c r="C92" s="190"/>
      <c r="D92" s="190"/>
      <c r="E92" s="190"/>
    </row>
    <row r="94" spans="1:5" ht="0.75" customHeight="1" x14ac:dyDescent="0.3">
      <c r="A94" s="23" t="s">
        <v>33</v>
      </c>
      <c r="B94" s="126"/>
      <c r="C94" s="24"/>
    </row>
    <row r="95" spans="1:5" hidden="1" x14ac:dyDescent="0.3">
      <c r="A95" s="34"/>
      <c r="B95" s="60">
        <v>0</v>
      </c>
      <c r="C95" s="26"/>
    </row>
    <row r="96" spans="1:5" ht="14.25" hidden="1" customHeight="1" x14ac:dyDescent="0.3">
      <c r="A96" s="25" t="s">
        <v>7</v>
      </c>
      <c r="B96" s="41">
        <f>PRORRATEO!F29</f>
        <v>3434868.8600000003</v>
      </c>
      <c r="C96" s="24"/>
    </row>
    <row r="97" spans="1:6" hidden="1" x14ac:dyDescent="0.3">
      <c r="A97" s="25"/>
      <c r="B97" s="41">
        <v>0</v>
      </c>
      <c r="C97" s="24"/>
    </row>
    <row r="98" spans="1:6" hidden="1" x14ac:dyDescent="0.3">
      <c r="A98" s="25" t="s">
        <v>41</v>
      </c>
      <c r="B98" s="109">
        <f>B120</f>
        <v>0</v>
      </c>
      <c r="C98" s="24"/>
    </row>
    <row r="99" spans="1:6" hidden="1" x14ac:dyDescent="0.3">
      <c r="A99" s="28"/>
      <c r="B99" s="48"/>
      <c r="C99" s="24"/>
    </row>
    <row r="100" spans="1:6" hidden="1" x14ac:dyDescent="0.3">
      <c r="A100" s="124" t="s">
        <v>46</v>
      </c>
      <c r="B100" s="48"/>
      <c r="C100" s="24"/>
    </row>
    <row r="101" spans="1:6" hidden="1" x14ac:dyDescent="0.3">
      <c r="A101" s="40" t="s">
        <v>23</v>
      </c>
      <c r="B101" s="48">
        <f>-B85</f>
        <v>-3856799.2399999998</v>
      </c>
      <c r="C101" s="24"/>
    </row>
    <row r="102" spans="1:6" hidden="1" x14ac:dyDescent="0.3">
      <c r="A102" s="28" t="s">
        <v>24</v>
      </c>
      <c r="B102" s="48">
        <f>-(B86)</f>
        <v>0</v>
      </c>
      <c r="C102" s="24"/>
    </row>
    <row r="103" spans="1:6" hidden="1" x14ac:dyDescent="0.3">
      <c r="A103" s="33" t="s">
        <v>9</v>
      </c>
      <c r="B103" s="60">
        <f>SUM(B95:B102)</f>
        <v>-421930.37999999942</v>
      </c>
      <c r="C103" s="27"/>
      <c r="D103" s="44"/>
    </row>
    <row r="104" spans="1:6" ht="34.5" hidden="1" customHeight="1" x14ac:dyDescent="0.3">
      <c r="B104" s="42"/>
      <c r="C104" s="27"/>
      <c r="D104" s="44"/>
      <c r="E104" s="127"/>
      <c r="F104" s="128"/>
    </row>
    <row r="105" spans="1:6" ht="14.25" hidden="1" customHeight="1" x14ac:dyDescent="0.3">
      <c r="B105" s="43"/>
      <c r="C105" s="27"/>
    </row>
    <row r="106" spans="1:6" s="39" customFormat="1" ht="27" hidden="1" customHeight="1" x14ac:dyDescent="0.3">
      <c r="A106"/>
      <c r="B106" s="42"/>
      <c r="C106" s="38"/>
    </row>
    <row r="107" spans="1:6" s="39" customFormat="1" x14ac:dyDescent="0.3">
      <c r="A107" s="132" t="s">
        <v>85</v>
      </c>
      <c r="B107" s="133">
        <v>-1409700.1360999956</v>
      </c>
      <c r="C107" s="38"/>
      <c r="D107" s="47"/>
    </row>
    <row r="108" spans="1:6" x14ac:dyDescent="0.3">
      <c r="A108" s="55" t="s">
        <v>51</v>
      </c>
      <c r="B108" s="138">
        <f>-B85</f>
        <v>-3856799.2399999998</v>
      </c>
    </row>
    <row r="109" spans="1:6" x14ac:dyDescent="0.3">
      <c r="A109" s="55" t="s">
        <v>52</v>
      </c>
      <c r="B109" s="138">
        <f>-B86</f>
        <v>0</v>
      </c>
    </row>
    <row r="110" spans="1:6" x14ac:dyDescent="0.3">
      <c r="A110" s="55" t="s">
        <v>109</v>
      </c>
      <c r="B110" s="138">
        <v>-10670</v>
      </c>
    </row>
    <row r="111" spans="1:6" x14ac:dyDescent="0.3">
      <c r="A111" s="55" t="s">
        <v>83</v>
      </c>
      <c r="B111" s="138">
        <f>B120</f>
        <v>0</v>
      </c>
    </row>
    <row r="112" spans="1:6" x14ac:dyDescent="0.3">
      <c r="A112" s="55" t="s">
        <v>53</v>
      </c>
      <c r="B112" s="139">
        <f>PRORRATEO!F29</f>
        <v>3434868.8600000003</v>
      </c>
    </row>
    <row r="113" spans="1:13" ht="15" thickBot="1" x14ac:dyDescent="0.35">
      <c r="A113" s="136" t="s">
        <v>48</v>
      </c>
      <c r="B113" s="137">
        <f>SUM(B107:C112)</f>
        <v>-1842300.516099995</v>
      </c>
    </row>
    <row r="114" spans="1:13" x14ac:dyDescent="0.3">
      <c r="A114" s="134"/>
      <c r="B114" s="134"/>
    </row>
    <row r="115" spans="1:13" ht="34.5" customHeight="1" x14ac:dyDescent="0.3"/>
    <row r="116" spans="1:13" x14ac:dyDescent="0.3">
      <c r="A116" s="191" t="s">
        <v>32</v>
      </c>
      <c r="B116" s="191"/>
      <c r="C116" s="191"/>
    </row>
    <row r="117" spans="1:13" x14ac:dyDescent="0.3">
      <c r="A117" s="191"/>
      <c r="B117" s="191"/>
      <c r="C117" s="191"/>
    </row>
    <row r="118" spans="1:13" ht="35.25" customHeight="1" x14ac:dyDescent="0.3">
      <c r="A118" s="121"/>
      <c r="B118" s="37"/>
      <c r="C118" s="37">
        <v>40000</v>
      </c>
      <c r="E118" s="140"/>
    </row>
    <row r="119" spans="1:13" ht="27" customHeight="1" x14ac:dyDescent="0.3">
      <c r="A119" s="121"/>
      <c r="B119" s="123"/>
      <c r="C119" s="120"/>
      <c r="D119" s="140"/>
    </row>
    <row r="120" spans="1:13" x14ac:dyDescent="0.3">
      <c r="A120" s="45" t="s">
        <v>9</v>
      </c>
      <c r="B120" s="122">
        <f>SUM(B118:B119)</f>
        <v>0</v>
      </c>
      <c r="C120" s="46"/>
    </row>
    <row r="121" spans="1:13" x14ac:dyDescent="0.3">
      <c r="M121" s="8"/>
    </row>
    <row r="122" spans="1:13" ht="15" customHeight="1" x14ac:dyDescent="0.3">
      <c r="A122" s="190"/>
      <c r="B122" s="190"/>
      <c r="C122" s="190"/>
      <c r="D122" s="190"/>
      <c r="E122" s="190"/>
    </row>
    <row r="123" spans="1:13" x14ac:dyDescent="0.3">
      <c r="A123" s="190"/>
      <c r="B123" s="190"/>
      <c r="C123" s="190"/>
      <c r="D123" s="190"/>
      <c r="E123" s="190"/>
    </row>
    <row r="124" spans="1:13" x14ac:dyDescent="0.3">
      <c r="A124" s="190"/>
      <c r="B124" s="190"/>
      <c r="C124" s="190"/>
      <c r="D124" s="190"/>
      <c r="E124" s="190"/>
    </row>
    <row r="125" spans="1:13" x14ac:dyDescent="0.3">
      <c r="A125" s="190"/>
      <c r="B125" s="190"/>
      <c r="C125" s="190"/>
      <c r="D125" s="190"/>
      <c r="E125" s="190"/>
    </row>
  </sheetData>
  <mergeCells count="16">
    <mergeCell ref="A34:B34"/>
    <mergeCell ref="A33:B33"/>
    <mergeCell ref="B3:E3"/>
    <mergeCell ref="A13:E16"/>
    <mergeCell ref="B8:C10"/>
    <mergeCell ref="A37:B37"/>
    <mergeCell ref="A38:B38"/>
    <mergeCell ref="A52:B52"/>
    <mergeCell ref="A59:B59"/>
    <mergeCell ref="A60:B60"/>
    <mergeCell ref="A122:E125"/>
    <mergeCell ref="A116:C117"/>
    <mergeCell ref="A90:E92"/>
    <mergeCell ref="A74:B74"/>
    <mergeCell ref="A73:B73"/>
    <mergeCell ref="A75:B7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7"/>
  <sheetViews>
    <sheetView topLeftCell="A5" zoomScaleNormal="100" workbookViewId="0">
      <selection activeCell="B12" sqref="A12:B12"/>
    </sheetView>
  </sheetViews>
  <sheetFormatPr baseColWidth="10" defaultColWidth="10.88671875" defaultRowHeight="14.4" x14ac:dyDescent="0.3"/>
  <cols>
    <col min="1" max="1" width="4.33203125" customWidth="1"/>
    <col min="2" max="2" width="18.5546875" customWidth="1"/>
    <col min="3" max="3" width="0.33203125" customWidth="1"/>
    <col min="4" max="4" width="8.44140625" customWidth="1"/>
    <col min="5" max="5" width="14.109375" customWidth="1"/>
    <col min="6" max="6" width="12.33203125" customWidth="1"/>
    <col min="7" max="7" width="10.5546875" customWidth="1"/>
    <col min="8" max="8" width="9.5546875" customWidth="1"/>
    <col min="9" max="9" width="0.109375" customWidth="1"/>
    <col min="10" max="10" width="12.44140625" customWidth="1"/>
    <col min="11" max="11" width="10.44140625" bestFit="1" customWidth="1"/>
    <col min="12" max="12" width="14.6640625" customWidth="1"/>
    <col min="13" max="13" width="12" hidden="1" customWidth="1"/>
    <col min="14" max="14" width="14.33203125" customWidth="1"/>
    <col min="15" max="15" width="0.109375" customWidth="1"/>
    <col min="16" max="16" width="12" bestFit="1" customWidth="1"/>
    <col min="17" max="17" width="13.5546875" bestFit="1" customWidth="1"/>
  </cols>
  <sheetData>
    <row r="1" spans="1:17" ht="12.9" customHeight="1" x14ac:dyDescent="0.3">
      <c r="A1" s="6"/>
      <c r="B1" s="6"/>
      <c r="C1" s="6"/>
      <c r="D1" s="204"/>
      <c r="E1" s="204"/>
      <c r="F1" s="204"/>
      <c r="G1" s="204"/>
      <c r="H1" s="204"/>
      <c r="I1" s="204"/>
      <c r="J1" s="204"/>
      <c r="K1" s="204"/>
      <c r="L1" s="204"/>
      <c r="M1" s="6"/>
      <c r="N1" s="6"/>
    </row>
    <row r="2" spans="1:17" ht="12.9" customHeight="1" x14ac:dyDescent="0.3">
      <c r="A2" s="6"/>
      <c r="B2" s="6"/>
      <c r="C2" s="6"/>
      <c r="D2" s="6" t="s">
        <v>82</v>
      </c>
      <c r="E2" s="6"/>
      <c r="F2" s="162">
        <v>86134.56</v>
      </c>
      <c r="G2" s="6"/>
      <c r="H2" s="6"/>
      <c r="I2" s="7"/>
      <c r="J2" s="6" t="s">
        <v>81</v>
      </c>
      <c r="K2" s="6"/>
      <c r="L2" s="131">
        <v>3774269.17</v>
      </c>
      <c r="M2" s="56"/>
      <c r="N2" s="56"/>
      <c r="O2" s="22"/>
    </row>
    <row r="3" spans="1:17" ht="12.9" customHeight="1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7"/>
      <c r="M3" s="57"/>
      <c r="N3" s="61"/>
    </row>
    <row r="4" spans="1:17" x14ac:dyDescent="0.3">
      <c r="A4" s="200" t="s">
        <v>5</v>
      </c>
      <c r="B4" s="200" t="s">
        <v>6</v>
      </c>
      <c r="C4" s="200" t="s">
        <v>27</v>
      </c>
      <c r="D4" s="200" t="s">
        <v>11</v>
      </c>
      <c r="E4" s="205" t="s">
        <v>49</v>
      </c>
      <c r="F4" s="200" t="s">
        <v>7</v>
      </c>
      <c r="G4" s="209" t="s">
        <v>30</v>
      </c>
      <c r="H4" s="205" t="s">
        <v>43</v>
      </c>
      <c r="I4" s="205" t="s">
        <v>8</v>
      </c>
      <c r="J4" s="205" t="s">
        <v>26</v>
      </c>
      <c r="K4" s="212" t="s">
        <v>80</v>
      </c>
      <c r="L4" s="64" t="s">
        <v>37</v>
      </c>
      <c r="M4" s="207" t="s">
        <v>25</v>
      </c>
      <c r="N4" s="214" t="s">
        <v>36</v>
      </c>
      <c r="Q4" s="131">
        <v>3774269.17</v>
      </c>
    </row>
    <row r="5" spans="1:17" ht="15.75" customHeight="1" x14ac:dyDescent="0.3">
      <c r="A5" s="202"/>
      <c r="B5" s="202"/>
      <c r="C5" s="201"/>
      <c r="D5" s="202"/>
      <c r="E5" s="206"/>
      <c r="F5" s="202"/>
      <c r="G5" s="210"/>
      <c r="H5" s="206"/>
      <c r="I5" s="211"/>
      <c r="J5" s="206"/>
      <c r="K5" s="213"/>
      <c r="L5" s="62" t="str">
        <f>RESUMEN!B8</f>
        <v>VTO 17/04</v>
      </c>
      <c r="M5" s="208"/>
      <c r="N5" s="215"/>
    </row>
    <row r="6" spans="1:17" ht="17.100000000000001" customHeight="1" x14ac:dyDescent="0.3">
      <c r="A6" s="65">
        <v>1</v>
      </c>
      <c r="B6" s="65" t="s">
        <v>56</v>
      </c>
      <c r="C6" s="65"/>
      <c r="D6" s="74">
        <v>6.69</v>
      </c>
      <c r="E6" s="75">
        <v>258261.01</v>
      </c>
      <c r="F6" s="186">
        <f t="shared" ref="F6" si="0">E6</f>
        <v>258261.01</v>
      </c>
      <c r="G6" s="77">
        <f t="shared" ref="G6:G23" si="1">E6-F6</f>
        <v>0</v>
      </c>
      <c r="H6" s="77">
        <f>IF(G6&gt;0,G6*3%,0)</f>
        <v>0</v>
      </c>
      <c r="I6" s="78">
        <v>0</v>
      </c>
      <c r="J6" s="79">
        <f>L$2*D6/100</f>
        <v>252498.60747300004</v>
      </c>
      <c r="K6" s="163">
        <f t="shared" ref="K6:K23" si="2">F$2*D6/100</f>
        <v>5762.4020639999999</v>
      </c>
      <c r="L6" s="81">
        <f>ROUND(SUM(G6:K6),0) + O6</f>
        <v>258261.01</v>
      </c>
      <c r="M6" s="82">
        <f>ROUND(L6*6% + L6,0) + O6</f>
        <v>273757.01</v>
      </c>
      <c r="N6" s="83">
        <f>ROUND(L6*3%,0) + L6</f>
        <v>266009.01</v>
      </c>
      <c r="O6" s="44">
        <v>0.01</v>
      </c>
    </row>
    <row r="7" spans="1:17" ht="17.100000000000001" customHeight="1" x14ac:dyDescent="0.3">
      <c r="A7" s="65">
        <f>A6+1</f>
        <v>2</v>
      </c>
      <c r="B7" s="65" t="s">
        <v>57</v>
      </c>
      <c r="C7" s="66"/>
      <c r="D7" s="74">
        <v>5.88</v>
      </c>
      <c r="E7" s="75">
        <v>944334.02</v>
      </c>
      <c r="F7" s="186"/>
      <c r="G7" s="77">
        <f t="shared" si="1"/>
        <v>944334.02</v>
      </c>
      <c r="H7" s="77">
        <f t="shared" ref="H7:H23" si="3">IF(G7&gt;0,G7*3%,0)</f>
        <v>28330.0206</v>
      </c>
      <c r="I7" s="78">
        <v>0</v>
      </c>
      <c r="J7" s="79">
        <f t="shared" ref="J7:J23" si="4">L$2*D7%</f>
        <v>221927.02719599998</v>
      </c>
      <c r="K7" s="163">
        <f t="shared" si="2"/>
        <v>5064.7121280000001</v>
      </c>
      <c r="L7" s="81">
        <f t="shared" ref="L7:L23" si="5">ROUND(SUM(G7:K7),0) + O7</f>
        <v>1199656.02</v>
      </c>
      <c r="M7" s="82">
        <f t="shared" ref="M7:M23" si="6">ROUND(L7*6% + L7,0) + O7</f>
        <v>1271635.02</v>
      </c>
      <c r="N7" s="83">
        <f t="shared" ref="N7:N23" si="7">ROUND(L7*3%,0) + L7</f>
        <v>1235646.02</v>
      </c>
      <c r="O7" s="44">
        <f>O6+0.01</f>
        <v>0.02</v>
      </c>
      <c r="P7" s="44"/>
    </row>
    <row r="8" spans="1:17" ht="17.100000000000001" customHeight="1" x14ac:dyDescent="0.3">
      <c r="A8" s="167">
        <f t="shared" ref="A8:A23" si="8">A7+1</f>
        <v>3</v>
      </c>
      <c r="B8" s="167" t="s">
        <v>58</v>
      </c>
      <c r="C8" s="168"/>
      <c r="D8" s="169">
        <v>6.65</v>
      </c>
      <c r="E8" s="76">
        <v>655089.03</v>
      </c>
      <c r="F8" s="186">
        <f>264419.03+380000.03+10670</f>
        <v>655089.06000000006</v>
      </c>
      <c r="G8" s="77">
        <f t="shared" si="1"/>
        <v>-3.0000000027939677E-2</v>
      </c>
      <c r="H8" s="77">
        <f t="shared" si="3"/>
        <v>0</v>
      </c>
      <c r="I8" s="78">
        <v>0</v>
      </c>
      <c r="J8" s="79">
        <f t="shared" si="4"/>
        <v>250988.89980500002</v>
      </c>
      <c r="K8" s="163">
        <f t="shared" si="2"/>
        <v>5727.9482400000006</v>
      </c>
      <c r="L8" s="81">
        <f t="shared" si="5"/>
        <v>256717.03</v>
      </c>
      <c r="M8" s="82">
        <f t="shared" si="6"/>
        <v>272120.03000000003</v>
      </c>
      <c r="N8" s="83">
        <f t="shared" si="7"/>
        <v>264419.03000000003</v>
      </c>
      <c r="O8" s="44">
        <f t="shared" ref="O8:O24" si="9">O7+0.01</f>
        <v>0.03</v>
      </c>
    </row>
    <row r="9" spans="1:17" ht="17.100000000000001" customHeight="1" x14ac:dyDescent="0.3">
      <c r="A9" s="65">
        <f t="shared" si="8"/>
        <v>4</v>
      </c>
      <c r="B9" s="65" t="s">
        <v>59</v>
      </c>
      <c r="C9" s="66"/>
      <c r="D9" s="74">
        <v>6.73</v>
      </c>
      <c r="E9" s="75">
        <v>259805.04</v>
      </c>
      <c r="F9" s="186">
        <f t="shared" ref="F9:F23" si="10">E9</f>
        <v>259805.04</v>
      </c>
      <c r="G9" s="77">
        <f t="shared" si="1"/>
        <v>0</v>
      </c>
      <c r="H9" s="77">
        <f t="shared" si="3"/>
        <v>0</v>
      </c>
      <c r="I9" s="78">
        <v>0</v>
      </c>
      <c r="J9" s="79">
        <f t="shared" si="4"/>
        <v>254008.315141</v>
      </c>
      <c r="K9" s="163">
        <f t="shared" si="2"/>
        <v>5796.855888</v>
      </c>
      <c r="L9" s="81">
        <f t="shared" si="5"/>
        <v>259805.04</v>
      </c>
      <c r="M9" s="82">
        <f t="shared" si="6"/>
        <v>275393.03999999998</v>
      </c>
      <c r="N9" s="83">
        <f t="shared" si="7"/>
        <v>267599.04000000004</v>
      </c>
      <c r="O9" s="44">
        <f t="shared" si="9"/>
        <v>0.04</v>
      </c>
      <c r="Q9" s="44"/>
    </row>
    <row r="10" spans="1:17" ht="17.100000000000001" customHeight="1" x14ac:dyDescent="0.3">
      <c r="A10" s="65">
        <f t="shared" si="8"/>
        <v>5</v>
      </c>
      <c r="B10" s="65" t="s">
        <v>60</v>
      </c>
      <c r="C10" s="66"/>
      <c r="D10" s="74">
        <v>8.0399999999999991</v>
      </c>
      <c r="E10" s="75">
        <v>630064.05000000005</v>
      </c>
      <c r="F10" s="186"/>
      <c r="G10" s="77">
        <f t="shared" si="1"/>
        <v>630064.05000000005</v>
      </c>
      <c r="H10" s="77">
        <f t="shared" si="3"/>
        <v>18901.9215</v>
      </c>
      <c r="I10" s="78">
        <v>0</v>
      </c>
      <c r="J10" s="79">
        <f t="shared" si="4"/>
        <v>303451.24126799993</v>
      </c>
      <c r="K10" s="163">
        <f t="shared" si="2"/>
        <v>6925.2186239999983</v>
      </c>
      <c r="L10" s="81">
        <f t="shared" si="5"/>
        <v>959342.05</v>
      </c>
      <c r="M10" s="82">
        <f t="shared" si="6"/>
        <v>1016903.05</v>
      </c>
      <c r="N10" s="83">
        <f t="shared" si="7"/>
        <v>988122.05</v>
      </c>
      <c r="O10" s="44">
        <f t="shared" si="9"/>
        <v>0.05</v>
      </c>
      <c r="Q10" s="44"/>
    </row>
    <row r="11" spans="1:17" ht="17.100000000000001" customHeight="1" x14ac:dyDescent="0.3">
      <c r="A11" s="65">
        <f t="shared" si="8"/>
        <v>6</v>
      </c>
      <c r="B11" s="65" t="s">
        <v>61</v>
      </c>
      <c r="C11" s="65"/>
      <c r="D11" s="74">
        <v>4.7300000000000004</v>
      </c>
      <c r="E11" s="75">
        <v>182597.06</v>
      </c>
      <c r="F11" s="186">
        <f t="shared" si="10"/>
        <v>182597.06</v>
      </c>
      <c r="G11" s="77">
        <f t="shared" si="1"/>
        <v>0</v>
      </c>
      <c r="H11" s="77">
        <f t="shared" si="3"/>
        <v>0</v>
      </c>
      <c r="I11" s="78">
        <v>0</v>
      </c>
      <c r="J11" s="79">
        <f t="shared" si="4"/>
        <v>178522.93174100001</v>
      </c>
      <c r="K11" s="163">
        <f t="shared" si="2"/>
        <v>4074.1646880000003</v>
      </c>
      <c r="L11" s="81">
        <f t="shared" si="5"/>
        <v>182597.06</v>
      </c>
      <c r="M11" s="82">
        <f t="shared" si="6"/>
        <v>193553.06</v>
      </c>
      <c r="N11" s="83">
        <f t="shared" si="7"/>
        <v>188075.06</v>
      </c>
      <c r="O11" s="44">
        <f t="shared" si="9"/>
        <v>6.0000000000000005E-2</v>
      </c>
    </row>
    <row r="12" spans="1:17" ht="17.100000000000001" customHeight="1" x14ac:dyDescent="0.3">
      <c r="A12" s="188">
        <f t="shared" si="8"/>
        <v>7</v>
      </c>
      <c r="B12" s="188" t="s">
        <v>62</v>
      </c>
      <c r="C12" s="65"/>
      <c r="D12" s="74">
        <v>5.67</v>
      </c>
      <c r="E12" s="75">
        <v>676552.07</v>
      </c>
      <c r="F12" s="186"/>
      <c r="G12" s="77">
        <f t="shared" si="1"/>
        <v>676552.07</v>
      </c>
      <c r="H12" s="77">
        <f t="shared" si="3"/>
        <v>20296.562099999999</v>
      </c>
      <c r="I12" s="78">
        <v>0</v>
      </c>
      <c r="J12" s="79">
        <f t="shared" si="4"/>
        <v>214001.06193900001</v>
      </c>
      <c r="K12" s="163">
        <f t="shared" si="2"/>
        <v>4883.8295519999992</v>
      </c>
      <c r="L12" s="81">
        <f t="shared" si="5"/>
        <v>915734.07</v>
      </c>
      <c r="M12" s="82">
        <f t="shared" si="6"/>
        <v>970678.07</v>
      </c>
      <c r="N12" s="83">
        <f t="shared" si="7"/>
        <v>943206.07</v>
      </c>
      <c r="O12" s="44">
        <f t="shared" si="9"/>
        <v>7.0000000000000007E-2</v>
      </c>
    </row>
    <row r="13" spans="1:17" ht="17.100000000000001" customHeight="1" x14ac:dyDescent="0.3">
      <c r="A13" s="65">
        <f t="shared" si="8"/>
        <v>8</v>
      </c>
      <c r="B13" s="65" t="s">
        <v>63</v>
      </c>
      <c r="C13" s="66"/>
      <c r="D13" s="74">
        <v>5.67</v>
      </c>
      <c r="E13" s="75">
        <v>225452.08</v>
      </c>
      <c r="F13" s="186">
        <f t="shared" si="10"/>
        <v>225452.08</v>
      </c>
      <c r="G13" s="77">
        <f t="shared" si="1"/>
        <v>0</v>
      </c>
      <c r="H13" s="77">
        <f t="shared" si="3"/>
        <v>0</v>
      </c>
      <c r="I13" s="78">
        <v>0</v>
      </c>
      <c r="J13" s="79">
        <f t="shared" si="4"/>
        <v>214001.06193900001</v>
      </c>
      <c r="K13" s="163">
        <f t="shared" si="2"/>
        <v>4883.8295519999992</v>
      </c>
      <c r="L13" s="81">
        <f t="shared" si="5"/>
        <v>218885.08</v>
      </c>
      <c r="M13" s="82">
        <f t="shared" si="6"/>
        <v>232018.08</v>
      </c>
      <c r="N13" s="83">
        <f t="shared" si="7"/>
        <v>225452.08</v>
      </c>
      <c r="O13" s="44">
        <f t="shared" si="9"/>
        <v>0.08</v>
      </c>
      <c r="Q13" t="s">
        <v>84</v>
      </c>
    </row>
    <row r="14" spans="1:17" ht="17.100000000000001" customHeight="1" x14ac:dyDescent="0.3">
      <c r="A14" s="65">
        <f t="shared" si="8"/>
        <v>9</v>
      </c>
      <c r="B14" s="65" t="s">
        <v>64</v>
      </c>
      <c r="C14" s="66"/>
      <c r="D14" s="74">
        <v>7.67</v>
      </c>
      <c r="E14" s="75">
        <v>296093.09000000003</v>
      </c>
      <c r="F14" s="186">
        <f t="shared" si="10"/>
        <v>296093.09000000003</v>
      </c>
      <c r="G14" s="77">
        <f t="shared" si="1"/>
        <v>0</v>
      </c>
      <c r="H14" s="77">
        <f t="shared" si="3"/>
        <v>0</v>
      </c>
      <c r="I14" s="78">
        <v>0</v>
      </c>
      <c r="J14" s="79">
        <f t="shared" si="4"/>
        <v>289486.44533900003</v>
      </c>
      <c r="K14" s="163">
        <f t="shared" si="2"/>
        <v>6606.5207519999994</v>
      </c>
      <c r="L14" s="81">
        <f t="shared" si="5"/>
        <v>296093.09000000003</v>
      </c>
      <c r="M14" s="82">
        <f t="shared" si="6"/>
        <v>313859.09000000003</v>
      </c>
      <c r="N14" s="83">
        <f t="shared" si="7"/>
        <v>304976.09000000003</v>
      </c>
      <c r="O14" s="44">
        <f t="shared" si="9"/>
        <v>0.09</v>
      </c>
    </row>
    <row r="15" spans="1:17" ht="17.100000000000001" customHeight="1" x14ac:dyDescent="0.3">
      <c r="A15" s="65">
        <f t="shared" si="8"/>
        <v>10</v>
      </c>
      <c r="B15" s="65" t="s">
        <v>65</v>
      </c>
      <c r="C15" s="66"/>
      <c r="D15" s="74">
        <v>4.9000000000000004</v>
      </c>
      <c r="E15" s="75">
        <v>-181679.9</v>
      </c>
      <c r="F15" s="186">
        <f>RESUMEN!D57</f>
        <v>340000</v>
      </c>
      <c r="G15" s="77">
        <f t="shared" si="1"/>
        <v>-521679.9</v>
      </c>
      <c r="H15" s="77">
        <f t="shared" si="3"/>
        <v>0</v>
      </c>
      <c r="I15" s="78">
        <v>0</v>
      </c>
      <c r="J15" s="79">
        <f t="shared" si="4"/>
        <v>184939.18932999999</v>
      </c>
      <c r="K15" s="163">
        <f t="shared" si="2"/>
        <v>4220.5934400000006</v>
      </c>
      <c r="L15" s="81">
        <f t="shared" si="5"/>
        <v>-332519.90000000002</v>
      </c>
      <c r="M15" s="82">
        <f t="shared" si="6"/>
        <v>-352470.9</v>
      </c>
      <c r="N15" s="83">
        <f t="shared" si="7"/>
        <v>-342495.9</v>
      </c>
      <c r="O15" s="44">
        <f t="shared" si="9"/>
        <v>9.9999999999999992E-2</v>
      </c>
    </row>
    <row r="16" spans="1:17" ht="17.100000000000001" customHeight="1" x14ac:dyDescent="0.3">
      <c r="A16" s="65">
        <f t="shared" si="8"/>
        <v>11</v>
      </c>
      <c r="B16" s="65" t="s">
        <v>66</v>
      </c>
      <c r="C16" s="66"/>
      <c r="D16" s="74">
        <v>5.63</v>
      </c>
      <c r="E16" s="75">
        <v>217341.11</v>
      </c>
      <c r="F16" s="186">
        <f t="shared" si="10"/>
        <v>217341.11</v>
      </c>
      <c r="G16" s="77">
        <f t="shared" si="1"/>
        <v>0</v>
      </c>
      <c r="H16" s="77">
        <f t="shared" si="3"/>
        <v>0</v>
      </c>
      <c r="I16" s="78">
        <v>0</v>
      </c>
      <c r="J16" s="79">
        <f t="shared" si="4"/>
        <v>212491.35427099999</v>
      </c>
      <c r="K16" s="163">
        <f t="shared" si="2"/>
        <v>4849.375728</v>
      </c>
      <c r="L16" s="81">
        <f t="shared" si="5"/>
        <v>217341.11</v>
      </c>
      <c r="M16" s="82">
        <f t="shared" si="6"/>
        <v>230382.11</v>
      </c>
      <c r="N16" s="83">
        <f t="shared" si="7"/>
        <v>223861.11</v>
      </c>
      <c r="O16" s="44">
        <f t="shared" si="9"/>
        <v>0.10999999999999999</v>
      </c>
    </row>
    <row r="17" spans="1:20" ht="17.100000000000001" customHeight="1" x14ac:dyDescent="0.3">
      <c r="A17" s="65">
        <f t="shared" si="8"/>
        <v>12</v>
      </c>
      <c r="B17" s="65" t="s">
        <v>67</v>
      </c>
      <c r="C17" s="66"/>
      <c r="D17" s="74">
        <v>5.55</v>
      </c>
      <c r="E17" s="75">
        <v>214252.12</v>
      </c>
      <c r="F17" s="186">
        <f t="shared" si="10"/>
        <v>214252.12</v>
      </c>
      <c r="G17" s="77">
        <f t="shared" si="1"/>
        <v>0</v>
      </c>
      <c r="H17" s="77">
        <f t="shared" si="3"/>
        <v>0</v>
      </c>
      <c r="I17" s="78">
        <v>0</v>
      </c>
      <c r="J17" s="79">
        <f t="shared" si="4"/>
        <v>209471.93893500001</v>
      </c>
      <c r="K17" s="163">
        <f t="shared" si="2"/>
        <v>4780.4680799999996</v>
      </c>
      <c r="L17" s="81">
        <f t="shared" si="5"/>
        <v>214252.12</v>
      </c>
      <c r="M17" s="82">
        <f t="shared" si="6"/>
        <v>227107.12</v>
      </c>
      <c r="N17" s="83">
        <f t="shared" si="7"/>
        <v>220680.12</v>
      </c>
      <c r="O17" s="44">
        <f t="shared" si="9"/>
        <v>0.11999999999999998</v>
      </c>
    </row>
    <row r="18" spans="1:20" ht="17.100000000000001" customHeight="1" x14ac:dyDescent="0.3">
      <c r="A18" s="65">
        <f t="shared" si="8"/>
        <v>13</v>
      </c>
      <c r="B18" s="65" t="s">
        <v>68</v>
      </c>
      <c r="C18" s="66"/>
      <c r="D18" s="74">
        <v>11.06</v>
      </c>
      <c r="E18" s="75">
        <v>426961.13</v>
      </c>
      <c r="F18" s="186">
        <f t="shared" si="10"/>
        <v>426961.13</v>
      </c>
      <c r="G18" s="77">
        <f t="shared" si="1"/>
        <v>0</v>
      </c>
      <c r="H18" s="77">
        <f t="shared" si="3"/>
        <v>0</v>
      </c>
      <c r="I18" s="78">
        <v>0</v>
      </c>
      <c r="J18" s="79">
        <f t="shared" si="4"/>
        <v>417434.17020200001</v>
      </c>
      <c r="K18" s="163">
        <f t="shared" si="2"/>
        <v>9526.4823360000009</v>
      </c>
      <c r="L18" s="81">
        <f t="shared" si="5"/>
        <v>426961.13</v>
      </c>
      <c r="M18" s="82">
        <f t="shared" si="6"/>
        <v>452579.13</v>
      </c>
      <c r="N18" s="83">
        <f t="shared" si="7"/>
        <v>439770.13</v>
      </c>
      <c r="O18" s="44">
        <f t="shared" si="9"/>
        <v>0.12999999999999998</v>
      </c>
    </row>
    <row r="19" spans="1:20" ht="17.100000000000001" customHeight="1" x14ac:dyDescent="0.3">
      <c r="A19" s="65">
        <f t="shared" si="8"/>
        <v>14</v>
      </c>
      <c r="B19" s="65" t="s">
        <v>69</v>
      </c>
      <c r="C19" s="66"/>
      <c r="D19" s="74">
        <v>3.3</v>
      </c>
      <c r="E19" s="75">
        <v>871372.14</v>
      </c>
      <c r="F19" s="186"/>
      <c r="G19" s="77">
        <f t="shared" si="1"/>
        <v>871372.14</v>
      </c>
      <c r="H19" s="77">
        <f t="shared" si="3"/>
        <v>26141.164199999999</v>
      </c>
      <c r="I19" s="78">
        <v>0</v>
      </c>
      <c r="J19" s="79">
        <f t="shared" si="4"/>
        <v>124550.88261</v>
      </c>
      <c r="K19" s="163">
        <f t="shared" si="2"/>
        <v>2842.4404799999993</v>
      </c>
      <c r="L19" s="81">
        <f t="shared" si="5"/>
        <v>1024907.14</v>
      </c>
      <c r="M19" s="82">
        <f t="shared" si="6"/>
        <v>1086402.1399999999</v>
      </c>
      <c r="N19" s="83">
        <f t="shared" si="7"/>
        <v>1055654.1400000001</v>
      </c>
      <c r="O19" s="44">
        <f t="shared" si="9"/>
        <v>0.13999999999999999</v>
      </c>
    </row>
    <row r="20" spans="1:20" ht="17.100000000000001" customHeight="1" x14ac:dyDescent="0.3">
      <c r="A20" s="167">
        <f t="shared" si="8"/>
        <v>15</v>
      </c>
      <c r="B20" s="167" t="s">
        <v>70</v>
      </c>
      <c r="C20" s="168"/>
      <c r="D20" s="169">
        <v>1.8</v>
      </c>
      <c r="E20" s="76">
        <f>4170+65317.15</f>
        <v>69487.149999999994</v>
      </c>
      <c r="F20" s="186">
        <f>59233+10253.82</f>
        <v>69486.820000000007</v>
      </c>
      <c r="G20" s="77">
        <f t="shared" si="1"/>
        <v>0.32999999998719431</v>
      </c>
      <c r="H20" s="77">
        <f t="shared" si="3"/>
        <v>9.899999999615829E-3</v>
      </c>
      <c r="I20" s="78">
        <v>0</v>
      </c>
      <c r="J20" s="79">
        <f t="shared" si="4"/>
        <v>67936.845060000007</v>
      </c>
      <c r="K20" s="163">
        <f t="shared" si="2"/>
        <v>1550.4220800000001</v>
      </c>
      <c r="L20" s="81">
        <f t="shared" si="5"/>
        <v>69488.149999999994</v>
      </c>
      <c r="M20" s="82">
        <f t="shared" si="6"/>
        <v>73657.149999999994</v>
      </c>
      <c r="N20" s="83">
        <f t="shared" si="7"/>
        <v>71573.149999999994</v>
      </c>
      <c r="O20" s="44">
        <f t="shared" si="9"/>
        <v>0.15</v>
      </c>
      <c r="P20" t="s">
        <v>107</v>
      </c>
    </row>
    <row r="21" spans="1:20" ht="17.100000000000001" customHeight="1" x14ac:dyDescent="0.3">
      <c r="A21" s="65">
        <f t="shared" si="8"/>
        <v>16</v>
      </c>
      <c r="B21" s="65" t="s">
        <v>71</v>
      </c>
      <c r="C21" s="65"/>
      <c r="D21" s="74">
        <v>3.22</v>
      </c>
      <c r="E21" s="75">
        <v>124305.16</v>
      </c>
      <c r="F21" s="186">
        <f t="shared" si="10"/>
        <v>124305.16</v>
      </c>
      <c r="G21" s="77">
        <f t="shared" si="1"/>
        <v>0</v>
      </c>
      <c r="H21" s="77">
        <f t="shared" si="3"/>
        <v>0</v>
      </c>
      <c r="I21" s="78">
        <v>0</v>
      </c>
      <c r="J21" s="79">
        <f t="shared" si="4"/>
        <v>121531.467274</v>
      </c>
      <c r="K21" s="163">
        <f t="shared" si="2"/>
        <v>2773.5328319999999</v>
      </c>
      <c r="L21" s="81">
        <f t="shared" si="5"/>
        <v>124305.16</v>
      </c>
      <c r="M21" s="82">
        <f t="shared" si="6"/>
        <v>131763.16</v>
      </c>
      <c r="N21" s="83">
        <f t="shared" si="7"/>
        <v>128034.16</v>
      </c>
      <c r="O21" s="44">
        <f t="shared" si="9"/>
        <v>0.16</v>
      </c>
      <c r="P21" s="203" t="s">
        <v>108</v>
      </c>
      <c r="Q21" s="203"/>
      <c r="R21" s="203"/>
      <c r="S21" s="203"/>
      <c r="T21" s="203"/>
    </row>
    <row r="22" spans="1:20" ht="17.100000000000001" customHeight="1" x14ac:dyDescent="0.3">
      <c r="A22" s="65">
        <f t="shared" si="8"/>
        <v>17</v>
      </c>
      <c r="B22" s="65" t="s">
        <v>72</v>
      </c>
      <c r="C22" s="66"/>
      <c r="D22" s="74">
        <v>2.61</v>
      </c>
      <c r="E22" s="76">
        <v>421529.17</v>
      </c>
      <c r="F22" s="186">
        <v>0</v>
      </c>
      <c r="G22" s="77">
        <f t="shared" si="1"/>
        <v>421529.17</v>
      </c>
      <c r="H22" s="77">
        <f t="shared" si="3"/>
        <v>12645.875099999999</v>
      </c>
      <c r="I22" s="78">
        <v>0</v>
      </c>
      <c r="J22" s="79">
        <f t="shared" si="4"/>
        <v>98508.425336999993</v>
      </c>
      <c r="K22" s="163">
        <f t="shared" si="2"/>
        <v>2248.1120159999996</v>
      </c>
      <c r="L22" s="81">
        <f t="shared" si="5"/>
        <v>534932.17000000004</v>
      </c>
      <c r="M22" s="82">
        <f t="shared" si="6"/>
        <v>567028.17000000004</v>
      </c>
      <c r="N22" s="83">
        <f t="shared" si="7"/>
        <v>550980.17000000004</v>
      </c>
      <c r="O22" s="44">
        <f t="shared" si="9"/>
        <v>0.17</v>
      </c>
      <c r="P22" s="203"/>
      <c r="Q22" s="203"/>
      <c r="R22" s="203"/>
      <c r="S22" s="203"/>
      <c r="T22" s="203"/>
    </row>
    <row r="23" spans="1:20" ht="17.100000000000001" customHeight="1" x14ac:dyDescent="0.3">
      <c r="A23" s="65">
        <f t="shared" si="8"/>
        <v>18</v>
      </c>
      <c r="B23" s="65" t="s">
        <v>73</v>
      </c>
      <c r="C23" s="130"/>
      <c r="D23" s="74">
        <v>4.28</v>
      </c>
      <c r="E23" s="75">
        <v>165225.18</v>
      </c>
      <c r="F23" s="186">
        <f t="shared" si="10"/>
        <v>165225.18</v>
      </c>
      <c r="G23" s="77">
        <f t="shared" si="1"/>
        <v>0</v>
      </c>
      <c r="H23" s="77">
        <f t="shared" si="3"/>
        <v>0</v>
      </c>
      <c r="I23" s="78">
        <v>0</v>
      </c>
      <c r="J23" s="79">
        <f t="shared" si="4"/>
        <v>161538.72047600002</v>
      </c>
      <c r="K23" s="163">
        <f t="shared" si="2"/>
        <v>3686.5591680000002</v>
      </c>
      <c r="L23" s="81">
        <f t="shared" si="5"/>
        <v>165225.18</v>
      </c>
      <c r="M23" s="82">
        <f t="shared" si="6"/>
        <v>175139.18</v>
      </c>
      <c r="N23" s="83">
        <f t="shared" si="7"/>
        <v>170182.18</v>
      </c>
      <c r="O23" s="44">
        <f t="shared" si="9"/>
        <v>0.18000000000000002</v>
      </c>
      <c r="P23" s="203"/>
      <c r="Q23" s="203"/>
      <c r="R23" s="203"/>
      <c r="S23" s="203"/>
      <c r="T23" s="203"/>
    </row>
    <row r="24" spans="1:20" ht="17.100000000000001" customHeight="1" x14ac:dyDescent="0.3">
      <c r="A24" s="65"/>
      <c r="B24" s="65"/>
      <c r="C24" s="66"/>
      <c r="D24" s="74"/>
      <c r="E24" s="75"/>
      <c r="F24" s="187"/>
      <c r="G24" s="77"/>
      <c r="H24" s="77"/>
      <c r="I24" s="78"/>
      <c r="J24" s="79"/>
      <c r="K24" s="80"/>
      <c r="L24" s="81"/>
      <c r="M24" s="82"/>
      <c r="N24" s="83"/>
      <c r="O24" s="44">
        <f t="shared" si="9"/>
        <v>0.19000000000000003</v>
      </c>
    </row>
    <row r="25" spans="1:20" ht="16.5" hidden="1" customHeight="1" x14ac:dyDescent="0.3">
      <c r="A25" s="84"/>
      <c r="B25" s="65"/>
      <c r="C25" s="66"/>
      <c r="D25" s="74"/>
      <c r="E25" s="86"/>
      <c r="F25" s="87"/>
      <c r="G25" s="88"/>
      <c r="H25" s="77"/>
      <c r="I25" s="78"/>
      <c r="J25" s="89"/>
      <c r="K25" s="90"/>
      <c r="L25" s="81"/>
      <c r="M25" s="82"/>
      <c r="N25" s="83"/>
      <c r="O25" s="44"/>
    </row>
    <row r="26" spans="1:20" ht="22.5" hidden="1" customHeight="1" thickBot="1" x14ac:dyDescent="0.35">
      <c r="A26" s="84"/>
      <c r="B26" s="67"/>
      <c r="C26" s="66"/>
      <c r="D26" s="74"/>
      <c r="E26" s="86"/>
      <c r="F26" s="87"/>
      <c r="G26" s="88"/>
      <c r="H26" s="77"/>
      <c r="I26" s="78"/>
      <c r="J26" s="89"/>
      <c r="K26" s="90"/>
      <c r="L26" s="81"/>
      <c r="M26" s="82"/>
      <c r="N26" s="83"/>
      <c r="O26" s="44"/>
    </row>
    <row r="27" spans="1:20" ht="16.5" hidden="1" customHeight="1" thickBot="1" x14ac:dyDescent="0.35">
      <c r="A27" s="85"/>
      <c r="B27" s="65"/>
      <c r="C27" s="66"/>
      <c r="D27" s="74"/>
      <c r="E27" s="86"/>
      <c r="F27" s="87"/>
      <c r="G27" s="88"/>
      <c r="H27" s="77"/>
      <c r="I27" s="78"/>
      <c r="J27" s="89"/>
      <c r="K27" s="90"/>
      <c r="L27" s="81"/>
      <c r="M27" s="82"/>
      <c r="N27" s="83"/>
      <c r="O27" s="44"/>
    </row>
    <row r="28" spans="1:20" ht="17.100000000000001" customHeight="1" thickBot="1" x14ac:dyDescent="0.35">
      <c r="A28" s="65"/>
      <c r="B28" s="91"/>
      <c r="C28" s="91"/>
      <c r="D28" s="74"/>
      <c r="E28" s="86"/>
      <c r="F28" s="87"/>
      <c r="G28" s="88"/>
      <c r="H28" s="77"/>
      <c r="I28" s="78"/>
      <c r="J28" s="89"/>
      <c r="K28" s="90"/>
      <c r="L28" s="92"/>
      <c r="M28" s="93"/>
      <c r="N28" s="94"/>
      <c r="O28" s="44"/>
    </row>
    <row r="29" spans="1:20" ht="17.100000000000001" customHeight="1" thickBot="1" x14ac:dyDescent="0.35">
      <c r="A29" s="95"/>
      <c r="B29" s="96"/>
      <c r="C29" s="96"/>
      <c r="D29" s="97">
        <f>SUM(D6:D28)</f>
        <v>100.08</v>
      </c>
      <c r="E29" s="54">
        <f>SUM(E6:E28)</f>
        <v>6457040.71</v>
      </c>
      <c r="F29" s="63">
        <f>SUM(F6:F28)</f>
        <v>3434868.8600000003</v>
      </c>
      <c r="G29" s="63">
        <f>SUM(G6:G28)</f>
        <v>3022171.85</v>
      </c>
      <c r="H29" s="63">
        <f t="shared" ref="H29:M29" si="11">SUM(H6:H28)</f>
        <v>106315.5534</v>
      </c>
      <c r="I29" s="63">
        <f t="shared" si="11"/>
        <v>0</v>
      </c>
      <c r="J29" s="135">
        <f t="shared" si="11"/>
        <v>3777288.5853359997</v>
      </c>
      <c r="K29" s="63">
        <f t="shared" si="11"/>
        <v>86203.467647999991</v>
      </c>
      <c r="L29" s="98">
        <f>SUM(L6:L23)</f>
        <v>6991982.71</v>
      </c>
      <c r="M29" s="98">
        <f t="shared" si="11"/>
        <v>7411503.71</v>
      </c>
      <c r="N29" s="98">
        <f>SUM(N6:N28)</f>
        <v>7201743.7100000009</v>
      </c>
    </row>
    <row r="30" spans="1:20" ht="12.75" customHeight="1" x14ac:dyDescent="0.3">
      <c r="B30" s="51"/>
      <c r="C30" s="51"/>
    </row>
    <row r="31" spans="1:20" hidden="1" x14ac:dyDescent="0.3"/>
    <row r="32" spans="1:20" ht="9" customHeight="1" x14ac:dyDescent="0.3">
      <c r="B32" s="190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2" hidden="1" customHeight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2" hidden="1" customHeight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2" hidden="1" customHeight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2" hidden="1" customHeight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ht="67.5" customHeight="1" x14ac:dyDescent="0.3"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</row>
  </sheetData>
  <mergeCells count="16">
    <mergeCell ref="P21:T23"/>
    <mergeCell ref="D1:L1"/>
    <mergeCell ref="H4:H5"/>
    <mergeCell ref="E4:E5"/>
    <mergeCell ref="M4:M5"/>
    <mergeCell ref="F4:F5"/>
    <mergeCell ref="G4:G5"/>
    <mergeCell ref="I4:I5"/>
    <mergeCell ref="J4:J5"/>
    <mergeCell ref="K4:K5"/>
    <mergeCell ref="N4:N5"/>
    <mergeCell ref="B32:L37"/>
    <mergeCell ref="C4:C5"/>
    <mergeCell ref="A4:A5"/>
    <mergeCell ref="B4:B5"/>
    <mergeCell ref="D4:D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3:K8"/>
  <sheetViews>
    <sheetView workbookViewId="0">
      <selection activeCell="C3" sqref="C3:G6"/>
    </sheetView>
  </sheetViews>
  <sheetFormatPr baseColWidth="10" defaultColWidth="10.88671875" defaultRowHeight="14.4" x14ac:dyDescent="0.3"/>
  <sheetData>
    <row r="3" spans="3:11" x14ac:dyDescent="0.3">
      <c r="C3" s="125"/>
      <c r="D3" s="125"/>
      <c r="E3" s="125"/>
      <c r="F3" s="125"/>
      <c r="G3" s="125"/>
    </row>
    <row r="4" spans="3:11" x14ac:dyDescent="0.3">
      <c r="C4" s="125"/>
      <c r="D4" s="125"/>
      <c r="E4" s="125"/>
      <c r="F4" s="125"/>
      <c r="G4" s="125"/>
    </row>
    <row r="5" spans="3:11" x14ac:dyDescent="0.3">
      <c r="C5" s="189"/>
      <c r="D5" s="125"/>
      <c r="E5" s="125"/>
      <c r="F5" s="125"/>
      <c r="G5" s="125"/>
    </row>
    <row r="6" spans="3:11" x14ac:dyDescent="0.3">
      <c r="C6" s="125"/>
      <c r="D6" s="125"/>
      <c r="E6" s="125"/>
      <c r="F6" s="125"/>
      <c r="G6" s="125"/>
    </row>
    <row r="8" spans="3:11" x14ac:dyDescent="0.3">
      <c r="C8" s="154" t="s">
        <v>110</v>
      </c>
      <c r="D8" s="154"/>
      <c r="E8" s="154"/>
      <c r="F8" s="154"/>
      <c r="G8" s="154"/>
      <c r="H8" s="154"/>
      <c r="I8" s="154"/>
      <c r="J8" s="154"/>
      <c r="K8" s="1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2026-02-27T18:54:32Z</cp:lastPrinted>
  <dcterms:created xsi:type="dcterms:W3CDTF">2023-09-17T12:29:07Z</dcterms:created>
  <dcterms:modified xsi:type="dcterms:W3CDTF">2026-03-26T02:55:10Z</dcterms:modified>
</cp:coreProperties>
</file>