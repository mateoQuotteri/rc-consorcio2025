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YRIGOYEN 7630\Julio\"/>
    </mc:Choice>
  </mc:AlternateContent>
  <xr:revisionPtr revIDLastSave="0" documentId="13_ncr:1_{83778F33-8F36-4BF6-898D-182E86A4E2AF}" xr6:coauthVersionLast="47" xr6:coauthVersionMax="47" xr10:uidLastSave="{00000000-0000-0000-0000-000000000000}"/>
  <bookViews>
    <workbookView xWindow="-108" yWindow="-108" windowWidth="23256" windowHeight="12576" tabRatio="850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PRORRATEO!$A$1:$O$30</definedName>
    <definedName name="_xlnm.Print_Area" localSheetId="0">RESUMEN!$A$1:$E$120</definedName>
  </definedNames>
  <calcPr calcId="181029"/>
</workbook>
</file>

<file path=xl/calcChain.xml><?xml version="1.0" encoding="utf-8"?>
<calcChain xmlns="http://schemas.openxmlformats.org/spreadsheetml/2006/main">
  <c r="M2" i="2" l="1"/>
  <c r="F10" i="2"/>
  <c r="K7" i="2"/>
  <c r="F19" i="2"/>
  <c r="F17" i="2"/>
  <c r="F11" i="2"/>
  <c r="D36" i="1" l="1"/>
  <c r="F13" i="2"/>
  <c r="F15" i="2"/>
  <c r="F14" i="2" l="1"/>
  <c r="F20" i="2"/>
  <c r="F23" i="2" l="1"/>
  <c r="F21" i="2"/>
  <c r="F18" i="2" l="1"/>
  <c r="F6" i="2"/>
  <c r="F9" i="2"/>
  <c r="E42" i="1" l="1"/>
  <c r="F42" i="1"/>
  <c r="E61" i="1"/>
  <c r="E38" i="1"/>
  <c r="E46" i="1" l="1"/>
  <c r="E52" i="1"/>
  <c r="E37" i="1" l="1"/>
  <c r="E65" i="1" l="1"/>
  <c r="E34" i="1" l="1"/>
  <c r="E44" i="1" l="1"/>
  <c r="E45" i="1" s="1"/>
  <c r="J6" i="2" l="1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6" i="2"/>
  <c r="F16" i="2" l="1"/>
  <c r="B32" i="2" l="1"/>
  <c r="G17" i="2" l="1"/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E77" i="1" l="1"/>
  <c r="E82" i="1" s="1"/>
  <c r="B86" i="1" s="1"/>
  <c r="B99" i="1" l="1"/>
  <c r="B106" i="1"/>
  <c r="B119" i="1"/>
  <c r="B95" i="1" l="1"/>
  <c r="B110" i="1"/>
  <c r="G20" i="2" l="1"/>
  <c r="D29" i="1" l="1"/>
  <c r="M5" i="2" l="1"/>
  <c r="D24" i="1" l="1"/>
  <c r="E30" i="1" s="1"/>
  <c r="E69" i="1" s="1"/>
  <c r="P7" i="2" l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F29" i="2" l="1"/>
  <c r="D29" i="2"/>
  <c r="E29" i="2"/>
  <c r="B93" i="1" l="1"/>
  <c r="B111" i="1"/>
  <c r="G7" i="2"/>
  <c r="G8" i="2"/>
  <c r="G9" i="2"/>
  <c r="G10" i="2"/>
  <c r="G11" i="2"/>
  <c r="G12" i="2"/>
  <c r="G13" i="2"/>
  <c r="G14" i="2"/>
  <c r="G15" i="2"/>
  <c r="G16" i="2"/>
  <c r="G18" i="2"/>
  <c r="G19" i="2"/>
  <c r="G21" i="2"/>
  <c r="G22" i="2"/>
  <c r="G23" i="2"/>
  <c r="G6" i="2"/>
  <c r="B87" i="1" l="1"/>
  <c r="G29" i="2"/>
  <c r="H23" i="2"/>
  <c r="H11" i="2"/>
  <c r="H22" i="2"/>
  <c r="H18" i="2"/>
  <c r="H14" i="2"/>
  <c r="H10" i="2"/>
  <c r="H19" i="2"/>
  <c r="H7" i="2"/>
  <c r="H21" i="2"/>
  <c r="H17" i="2"/>
  <c r="H13" i="2"/>
  <c r="H9" i="2"/>
  <c r="H15" i="2"/>
  <c r="H20" i="2"/>
  <c r="H16" i="2"/>
  <c r="H12" i="2"/>
  <c r="H8" i="2"/>
  <c r="H6" i="2"/>
  <c r="I29" i="2"/>
  <c r="H29" i="2" l="1"/>
  <c r="A44" i="1"/>
  <c r="A45" i="1" s="1"/>
  <c r="J7" i="2" l="1"/>
  <c r="M7" i="2" s="1"/>
  <c r="J8" i="2"/>
  <c r="M8" i="2" s="1"/>
  <c r="J9" i="2"/>
  <c r="M9" i="2" s="1"/>
  <c r="J10" i="2"/>
  <c r="M10" i="2" s="1"/>
  <c r="J11" i="2"/>
  <c r="M11" i="2" s="1"/>
  <c r="J12" i="2"/>
  <c r="M12" i="2" s="1"/>
  <c r="J13" i="2"/>
  <c r="M13" i="2" s="1"/>
  <c r="J14" i="2"/>
  <c r="M14" i="2" s="1"/>
  <c r="J15" i="2"/>
  <c r="M15" i="2" s="1"/>
  <c r="J16" i="2"/>
  <c r="M16" i="2" s="1"/>
  <c r="J17" i="2"/>
  <c r="M17" i="2" s="1"/>
  <c r="J18" i="2"/>
  <c r="M18" i="2" s="1"/>
  <c r="J19" i="2"/>
  <c r="M19" i="2" s="1"/>
  <c r="J20" i="2"/>
  <c r="M20" i="2" s="1"/>
  <c r="J21" i="2"/>
  <c r="M21" i="2" s="1"/>
  <c r="J22" i="2"/>
  <c r="M22" i="2" s="1"/>
  <c r="J23" i="2"/>
  <c r="M23" i="2" s="1"/>
  <c r="M6" i="2"/>
  <c r="M29" i="2" l="1"/>
  <c r="O23" i="2"/>
  <c r="O19" i="2"/>
  <c r="O15" i="2"/>
  <c r="O11" i="2"/>
  <c r="O7" i="2"/>
  <c r="O6" i="2"/>
  <c r="O22" i="2"/>
  <c r="O18" i="2"/>
  <c r="O14" i="2"/>
  <c r="O10" i="2"/>
  <c r="O21" i="2"/>
  <c r="O17" i="2"/>
  <c r="O13" i="2"/>
  <c r="O9" i="2"/>
  <c r="O20" i="2"/>
  <c r="O16" i="2"/>
  <c r="O12" i="2"/>
  <c r="O8" i="2"/>
  <c r="N14" i="2"/>
  <c r="N21" i="2"/>
  <c r="N17" i="2"/>
  <c r="N13" i="2"/>
  <c r="N9" i="2"/>
  <c r="N6" i="2"/>
  <c r="N18" i="2"/>
  <c r="N20" i="2"/>
  <c r="N16" i="2"/>
  <c r="N12" i="2"/>
  <c r="N8" i="2"/>
  <c r="N22" i="2"/>
  <c r="N10" i="2"/>
  <c r="N23" i="2"/>
  <c r="N19" i="2"/>
  <c r="N15" i="2"/>
  <c r="N11" i="2"/>
  <c r="N7" i="2"/>
  <c r="J29" i="2"/>
  <c r="O29" i="2" l="1"/>
  <c r="L29" i="2" l="1"/>
  <c r="N29" i="2" l="1"/>
  <c r="B85" i="1"/>
  <c r="B98" i="1" l="1"/>
  <c r="B100" i="1" s="1"/>
  <c r="B105" i="1"/>
  <c r="B112" i="1" s="1"/>
  <c r="B84" i="1"/>
</calcChain>
</file>

<file path=xl/sharedStrings.xml><?xml version="1.0" encoding="utf-8"?>
<sst xmlns="http://schemas.openxmlformats.org/spreadsheetml/2006/main" count="145" uniqueCount="135">
  <si>
    <t>LIQUIDACION DE EXPENSAS</t>
  </si>
  <si>
    <t>TOTAL SUELDO</t>
  </si>
  <si>
    <t>TOTAL IMPUESTO</t>
  </si>
  <si>
    <t>TOTAL Aportes y Contribuciones - Sindicato</t>
  </si>
  <si>
    <t>TOTAL ABONOS Y SERVICIOS</t>
  </si>
  <si>
    <t>UF</t>
  </si>
  <si>
    <t>Propietario</t>
  </si>
  <si>
    <t xml:space="preserve">Ingreso </t>
  </si>
  <si>
    <t>Expensas extraor.</t>
  </si>
  <si>
    <t>TOTAL</t>
  </si>
  <si>
    <t>GASTOS ORDINARIOS UNIDADES FUNCIONALES: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</si>
  <si>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</si>
  <si>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</si>
  <si>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</si>
  <si>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</si>
  <si>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</si>
  <si>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</si>
  <si>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</si>
  <si>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ABONOS Y SERVICIOS</t>
  </si>
  <si>
    <t>HONORARIOS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</si>
  <si>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</si>
  <si>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</si>
  <si>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</si>
  <si>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</si>
  <si>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</si>
  <si>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Total 2do Vto.</t>
  </si>
  <si>
    <t>Expensas ord.</t>
  </si>
  <si>
    <t>Inquilinos</t>
  </si>
  <si>
    <t>CUIT ADMINISTRACION: 27231256879</t>
  </si>
  <si>
    <t>HORARIOS DE ATENCION: LUNES A VIERNES</t>
  </si>
  <si>
    <t>Deuda o Saldo a favor</t>
  </si>
  <si>
    <t xml:space="preserve">SEGUROS </t>
  </si>
  <si>
    <t>DEPOSITOS NO IDENTIFICADOS</t>
  </si>
  <si>
    <t>RESUMEN</t>
  </si>
  <si>
    <t>HABERES ENCARGADOS</t>
  </si>
  <si>
    <t>Neto</t>
  </si>
  <si>
    <t>Total 2do Vto</t>
  </si>
  <si>
    <t>Total 1er Vto</t>
  </si>
  <si>
    <t>ADMINISTRADORA: CAROLINA CANCIANI MP:1148</t>
  </si>
  <si>
    <t>SAC</t>
  </si>
  <si>
    <t>GASTOS EXTRAORDINARIOS CON PREVISION:</t>
  </si>
  <si>
    <t xml:space="preserve">Deposito sin identificar 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</si>
  <si>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</si>
  <si>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Interes 3%</t>
  </si>
  <si>
    <t>Sueldo encargado Balcazza Leonardo</t>
  </si>
  <si>
    <t>GASTOS EXTRAORDINARIOS:</t>
  </si>
  <si>
    <t>Punitorios mal cobrados</t>
  </si>
  <si>
    <t xml:space="preserve">ARCA </t>
  </si>
  <si>
    <t>CAJA REAL</t>
  </si>
  <si>
    <t xml:space="preserve">Saldo Ord </t>
  </si>
  <si>
    <t xml:space="preserve">PREVISION ORDINARIA </t>
  </si>
  <si>
    <t>Egresos del mes ordinarios</t>
  </si>
  <si>
    <t>Egresos del mes extrordinarios</t>
  </si>
  <si>
    <t>Ingresos</t>
  </si>
  <si>
    <t xml:space="preserve">MAIL: yrigoyen7630@gmail.com
</t>
  </si>
  <si>
    <t>CUIT DEL EDIFICIO: 30-55421584-6</t>
  </si>
  <si>
    <t>Diaz Joaquin Andres</t>
  </si>
  <si>
    <t>Marquez, Miguel</t>
  </si>
  <si>
    <t>Matheu, Martha F.</t>
  </si>
  <si>
    <t xml:space="preserve">Hernandez, Susana </t>
  </si>
  <si>
    <t>Rossi, Raul Alfredo</t>
  </si>
  <si>
    <t>Medaglia, Amadeo Juan</t>
  </si>
  <si>
    <t>Solerno, Raul Anibal</t>
  </si>
  <si>
    <t>Cavalli, Maria</t>
  </si>
  <si>
    <t>Lencina, Suzana</t>
  </si>
  <si>
    <t>Castro, Ana Maria</t>
  </si>
  <si>
    <t>Penerbosa, Miguel Angel</t>
  </si>
  <si>
    <t>Smietniansky, Laura</t>
  </si>
  <si>
    <t>Llobera, Fernando</t>
  </si>
  <si>
    <t>Stancati, Victor Dario</t>
  </si>
  <si>
    <t>Russo, Mabel</t>
  </si>
  <si>
    <t>Gamboa, Ana Cecilia</t>
  </si>
  <si>
    <t>Rodriguez, Stella Maris</t>
  </si>
  <si>
    <t>Sieira, Leonardo</t>
  </si>
  <si>
    <t>Sueldo encargado Walter Fernandez</t>
  </si>
  <si>
    <t>AYSA - Nro de cliente 3477073</t>
  </si>
  <si>
    <t>EDESUR - Cliente nro. 1481147</t>
  </si>
  <si>
    <t xml:space="preserve">Plan de pagos ARCA </t>
  </si>
  <si>
    <t>Metrogas Porteria</t>
  </si>
  <si>
    <t>EDESUR Porteria</t>
  </si>
  <si>
    <t>Arca plan de pagos</t>
  </si>
  <si>
    <t>Ordinarios</t>
  </si>
  <si>
    <t>Arca plan de pagos:</t>
  </si>
  <si>
    <t>Pagos sin identificar</t>
  </si>
  <si>
    <t>CONSTANZA</t>
  </si>
  <si>
    <t>SALDO EN BANCO</t>
  </si>
  <si>
    <t>Gastos bancarios</t>
  </si>
  <si>
    <t>Mantenimiento de cuenta</t>
  </si>
  <si>
    <t>Federacion patronal - Seguro de vida Poliza nro. 211840604</t>
  </si>
  <si>
    <t>Federacion patronal  Seguro obligatorio de consorcio</t>
  </si>
  <si>
    <t>CONSORCIO DE PROPIETARIOS DEL EDIFICIO CALLE YRIGOYEN 7630</t>
  </si>
  <si>
    <t>10 A 15HS - EMERGENCIAS 24HS</t>
  </si>
  <si>
    <t xml:space="preserve">CBU: 0440060830000011423569                                                                                                          / ALIAS: OMBU.TECLEO.AMOROSAS /                                                                   TELEFONO: 11 5320-2676  </t>
  </si>
  <si>
    <t>Articulos de limpieza - Alejandra Montoya</t>
  </si>
  <si>
    <t>Fumigacion</t>
  </si>
  <si>
    <t xml:space="preserve">Ascensores lema - Mantenimiento </t>
  </si>
  <si>
    <t>Reemplazo Sr. Walter vacaciones - Sra. Silvana</t>
  </si>
  <si>
    <t>Seguro Sra. Silvana</t>
  </si>
  <si>
    <t>Silvia lopez</t>
  </si>
  <si>
    <t>Facundo comandatore</t>
  </si>
  <si>
    <t>SERVICIOS DE MANTENIMIENTO</t>
  </si>
  <si>
    <t>cristina - Joatan Fernandez</t>
  </si>
  <si>
    <t>Ivan Gstavo Almeyda</t>
  </si>
  <si>
    <t>Subidos en Juni0 a 165000</t>
  </si>
  <si>
    <t>Anotacion:</t>
  </si>
  <si>
    <t>Dpto</t>
  </si>
  <si>
    <t>5 y 6</t>
  </si>
  <si>
    <t>El mes pasado el 06 y el 05 pagaron impecable, pero le pusimos pago al 05 lo que iba en el 06 y pago al 06 lo que iba en el 05. El 06 debe abonar $200.896,06 y el 05 $341.480,05</t>
  </si>
  <si>
    <t>UF 14</t>
  </si>
  <si>
    <t>El mes pasado abono los $5.028 que le habian quedado como deuda y se nos paso</t>
  </si>
  <si>
    <t>Transf 24/06</t>
  </si>
  <si>
    <t>Transf 05/06</t>
  </si>
  <si>
    <t>Transf 13/06</t>
  </si>
  <si>
    <t>Transf 16/06</t>
  </si>
  <si>
    <t>Doartero Julio - Colocacion de tres sombreros para ventilacion . 2 caños para ventilacion. Reparacion de perdida de agua en cañeria de motor. Mano de obra y materiales</t>
  </si>
  <si>
    <t>Efectivo</t>
  </si>
  <si>
    <t>Envio carta documento PB2 - Sra. Roxana Goldemberg</t>
  </si>
  <si>
    <t>Envio Carta documento - Correo Argentino</t>
  </si>
  <si>
    <t>Debito 02/06</t>
  </si>
  <si>
    <t>Debito 08/06</t>
  </si>
  <si>
    <t>Debito 16/06</t>
  </si>
  <si>
    <t>Debito 12/06</t>
  </si>
  <si>
    <t>Kromacolor - Compra de pintura recuplast</t>
  </si>
  <si>
    <t>Gastos part</t>
  </si>
  <si>
    <t>(Incluye SAC)</t>
  </si>
  <si>
    <t>VTO 17/08</t>
  </si>
  <si>
    <t>PERÍODO: JULIO</t>
  </si>
  <si>
    <t>Gustavo padron - Sr contador honorarios JULIO</t>
  </si>
  <si>
    <t>Honorarios administracion - Se adeuda  JULIO</t>
  </si>
  <si>
    <t>Sindicatos mes de JULIO</t>
  </si>
  <si>
    <t>Casa Ruan - Compra de materiales electricos</t>
  </si>
  <si>
    <t>Transf 13/07</t>
  </si>
  <si>
    <t>Cuello Natalia - Limpieza de columna cocina y baño de todas las UF - Cuota 4/5</t>
  </si>
  <si>
    <t>Transf 10/07</t>
  </si>
  <si>
    <t>Transf 21/07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</si>
</sst>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&quot;$&quot;\ * #,##0.0_-;\-&quot;$&quot;\ * #,##0.0_-;_-&quot;$&quot;\ * &quot;-&quot;?_-;_-@_-"/>
    <numFmt numFmtId="168" formatCode="_-[$$-2C0A]\ * #,##0.00_-;\-[$$-2C0A]\ * #,##0.00_-;_-[$$-2C0A]\ 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44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0" fontId="5" fillId="6" borderId="0" xfId="0" applyFont="1" applyFill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11" fillId="4" borderId="1" xfId="0" applyFont="1" applyFill="1" applyBorder="1"/>
    <xf numFmtId="0" fontId="12" fillId="4" borderId="1" xfId="0" applyFont="1" applyFill="1" applyBorder="1"/>
    <xf numFmtId="44" fontId="0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3" fillId="2" borderId="1" xfId="1" applyFont="1" applyFill="1" applyBorder="1"/>
    <xf numFmtId="44" fontId="0" fillId="0" borderId="0" xfId="1" applyFont="1"/>
    <xf numFmtId="44" fontId="3" fillId="0" borderId="0" xfId="1" applyFont="1"/>
    <xf numFmtId="44" fontId="0" fillId="0" borderId="0" xfId="0" applyNumberFormat="1"/>
    <xf numFmtId="0" fontId="9" fillId="6" borderId="0" xfId="0" applyFont="1" applyFill="1"/>
    <xf numFmtId="44" fontId="9" fillId="6" borderId="0" xfId="1" applyFont="1" applyFill="1"/>
    <xf numFmtId="44" fontId="0" fillId="0" borderId="0" xfId="0" applyNumberFormat="1" applyAlignment="1">
      <alignment wrapText="1"/>
    </xf>
    <xf numFmtId="44" fontId="14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5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44" fontId="0" fillId="3" borderId="0" xfId="1" applyFont="1" applyFill="1" applyAlignment="1"/>
    <xf numFmtId="44" fontId="0" fillId="3" borderId="8" xfId="1" applyFont="1" applyFill="1" applyBorder="1" applyAlignment="1">
      <alignment vertical="center"/>
    </xf>
    <xf numFmtId="0" fontId="19" fillId="10" borderId="1" xfId="0" applyFont="1" applyFill="1" applyBorder="1"/>
    <xf numFmtId="44" fontId="0" fillId="4" borderId="0" xfId="1" applyFont="1" applyFill="1"/>
    <xf numFmtId="44" fontId="7" fillId="0" borderId="1" xfId="1" applyFont="1" applyBorder="1"/>
    <xf numFmtId="44" fontId="0" fillId="3" borderId="0" xfId="1" applyFont="1" applyFill="1" applyBorder="1" applyAlignment="1">
      <alignment vertical="center"/>
    </xf>
    <xf numFmtId="0" fontId="16" fillId="3" borderId="20" xfId="0" applyFont="1" applyFill="1" applyBorder="1" applyAlignment="1">
      <alignment horizontal="center" vertical="center" wrapText="1"/>
    </xf>
    <xf numFmtId="165" fontId="15" fillId="4" borderId="13" xfId="0" applyNumberFormat="1" applyFont="1" applyFill="1" applyBorder="1"/>
    <xf numFmtId="0" fontId="16" fillId="3" borderId="18" xfId="0" applyFont="1" applyFill="1" applyBorder="1" applyAlignment="1">
      <alignment horizontal="center" vertical="center" wrapText="1"/>
    </xf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44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6" fillId="3" borderId="0" xfId="0" applyFont="1" applyFill="1"/>
    <xf numFmtId="0" fontId="6" fillId="3" borderId="17" xfId="0" applyFont="1" applyFill="1" applyBorder="1"/>
    <xf numFmtId="0" fontId="15" fillId="0" borderId="1" xfId="0" applyFont="1" applyBorder="1" applyAlignment="1">
      <alignment horizontal="center"/>
    </xf>
    <xf numFmtId="44" fontId="20" fillId="0" borderId="1" xfId="1" applyFont="1" applyBorder="1"/>
    <xf numFmtId="44" fontId="20" fillId="2" borderId="1" xfId="1" applyFont="1" applyFill="1" applyBorder="1"/>
    <xf numFmtId="165" fontId="15" fillId="0" borderId="1" xfId="0" applyNumberFormat="1" applyFont="1" applyBorder="1"/>
    <xf numFmtId="44" fontId="15" fillId="0" borderId="1" xfId="1" applyFont="1" applyBorder="1"/>
    <xf numFmtId="165" fontId="15" fillId="0" borderId="1" xfId="1" applyNumberFormat="1" applyFont="1" applyBorder="1"/>
    <xf numFmtId="44" fontId="15" fillId="0" borderId="6" xfId="1" applyFont="1" applyBorder="1"/>
    <xf numFmtId="44" fontId="20" fillId="0" borderId="27" xfId="1" applyFont="1" applyBorder="1"/>
    <xf numFmtId="44" fontId="20" fillId="0" borderId="6" xfId="1" applyFont="1" applyBorder="1"/>
    <xf numFmtId="44" fontId="20" fillId="0" borderId="31" xfId="1" applyFont="1" applyBorder="1"/>
    <xf numFmtId="0" fontId="15" fillId="0" borderId="7" xfId="0" applyFont="1" applyBorder="1"/>
    <xf numFmtId="0" fontId="15" fillId="0" borderId="23" xfId="0" applyFont="1" applyBorder="1"/>
    <xf numFmtId="44" fontId="20" fillId="0" borderId="2" xfId="1" applyFont="1" applyBorder="1"/>
    <xf numFmtId="44" fontId="20" fillId="2" borderId="2" xfId="1" applyFont="1" applyFill="1" applyBorder="1"/>
    <xf numFmtId="165" fontId="15" fillId="0" borderId="2" xfId="0" applyNumberFormat="1" applyFont="1" applyBorder="1"/>
    <xf numFmtId="165" fontId="15" fillId="0" borderId="2" xfId="1" applyNumberFormat="1" applyFont="1" applyBorder="1"/>
    <xf numFmtId="44" fontId="15" fillId="0" borderId="26" xfId="1" applyFont="1" applyBorder="1"/>
    <xf numFmtId="0" fontId="15" fillId="0" borderId="2" xfId="0" applyFont="1" applyBorder="1"/>
    <xf numFmtId="44" fontId="20" fillId="0" borderId="28" xfId="1" applyFont="1" applyBorder="1"/>
    <xf numFmtId="44" fontId="20" fillId="0" borderId="30" xfId="1" applyFont="1" applyBorder="1"/>
    <xf numFmtId="44" fontId="20" fillId="0" borderId="32" xfId="1" applyFont="1" applyBorder="1"/>
    <xf numFmtId="0" fontId="15" fillId="4" borderId="29" xfId="0" applyFont="1" applyFill="1" applyBorder="1"/>
    <xf numFmtId="0" fontId="15" fillId="4" borderId="13" xfId="0" applyFont="1" applyFill="1" applyBorder="1"/>
    <xf numFmtId="0" fontId="15" fillId="4" borderId="13" xfId="0" applyFont="1" applyFill="1" applyBorder="1" applyAlignment="1">
      <alignment horizontal="center"/>
    </xf>
    <xf numFmtId="44" fontId="15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6" fillId="7" borderId="9" xfId="0" applyFont="1" applyFill="1" applyBorder="1"/>
    <xf numFmtId="44" fontId="6" fillId="7" borderId="11" xfId="0" applyNumberFormat="1" applyFont="1" applyFill="1" applyBorder="1"/>
    <xf numFmtId="44" fontId="13" fillId="8" borderId="8" xfId="1" applyFont="1" applyFill="1" applyBorder="1" applyAlignment="1">
      <alignment vertical="center"/>
    </xf>
    <xf numFmtId="0" fontId="4" fillId="0" borderId="1" xfId="0" applyFont="1" applyBorder="1"/>
    <xf numFmtId="44" fontId="10" fillId="4" borderId="21" xfId="1" applyFont="1" applyFill="1" applyBorder="1"/>
    <xf numFmtId="0" fontId="22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44" fontId="22" fillId="2" borderId="1" xfId="1" applyFont="1" applyFill="1" applyBorder="1"/>
    <xf numFmtId="0" fontId="22" fillId="0" borderId="4" xfId="0" applyFont="1" applyBorder="1"/>
    <xf numFmtId="0" fontId="7" fillId="8" borderId="6" xfId="0" applyFont="1" applyFill="1" applyBorder="1"/>
    <xf numFmtId="44" fontId="10" fillId="8" borderId="13" xfId="1" applyFont="1" applyFill="1" applyBorder="1"/>
    <xf numFmtId="0" fontId="4" fillId="0" borderId="0" xfId="0" applyFont="1"/>
    <xf numFmtId="0" fontId="22" fillId="0" borderId="17" xfId="0" applyFont="1" applyBorder="1"/>
    <xf numFmtId="0" fontId="7" fillId="5" borderId="10" xfId="0" applyFont="1" applyFill="1" applyBorder="1"/>
    <xf numFmtId="44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44" fontId="0" fillId="0" borderId="0" xfId="1" applyFont="1" applyBorder="1"/>
    <xf numFmtId="0" fontId="3" fillId="0" borderId="1" xfId="0" applyFont="1" applyBorder="1" applyAlignment="1">
      <alignment vertical="center" wrapText="1"/>
    </xf>
    <xf numFmtId="44" fontId="9" fillId="6" borderId="0" xfId="0" applyNumberFormat="1" applyFont="1" applyFill="1"/>
    <xf numFmtId="44" fontId="3" fillId="0" borderId="1" xfId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0" fillId="2" borderId="0" xfId="0" applyFill="1"/>
    <xf numFmtId="44" fontId="6" fillId="6" borderId="1" xfId="1" applyFont="1" applyFill="1" applyBorder="1"/>
    <xf numFmtId="166" fontId="0" fillId="0" borderId="0" xfId="0" applyNumberFormat="1"/>
    <xf numFmtId="167" fontId="0" fillId="0" borderId="0" xfId="0" applyNumberFormat="1"/>
    <xf numFmtId="44" fontId="8" fillId="2" borderId="6" xfId="1" applyFont="1" applyFill="1" applyBorder="1"/>
    <xf numFmtId="0" fontId="21" fillId="0" borderId="1" xfId="0" applyFont="1" applyBorder="1"/>
    <xf numFmtId="166" fontId="0" fillId="3" borderId="0" xfId="1" applyNumberFormat="1" applyFont="1" applyFill="1" applyAlignment="1"/>
    <xf numFmtId="0" fontId="9" fillId="6" borderId="2" xfId="0" applyFont="1" applyFill="1" applyBorder="1"/>
    <xf numFmtId="0" fontId="0" fillId="0" borderId="0" xfId="0" applyAlignment="1">
      <alignment horizontal="left" vertical="center" wrapText="1"/>
    </xf>
    <xf numFmtId="166" fontId="15" fillId="4" borderId="13" xfId="0" applyNumberFormat="1" applyFont="1" applyFill="1" applyBorder="1"/>
    <xf numFmtId="0" fontId="2" fillId="11" borderId="33" xfId="0" applyFont="1" applyFill="1" applyBorder="1" applyAlignment="1">
      <alignment horizontal="left" vertical="center" wrapText="1"/>
    </xf>
    <xf numFmtId="44" fontId="2" fillId="11" borderId="29" xfId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43" fontId="0" fillId="0" borderId="0" xfId="0" applyNumberFormat="1"/>
    <xf numFmtId="0" fontId="0" fillId="10" borderId="1" xfId="0" applyFill="1" applyBorder="1"/>
    <xf numFmtId="8" fontId="6" fillId="4" borderId="21" xfId="1" applyNumberFormat="1" applyFont="1" applyFill="1" applyBorder="1"/>
    <xf numFmtId="44" fontId="23" fillId="4" borderId="3" xfId="1" applyFont="1" applyFill="1" applyBorder="1"/>
    <xf numFmtId="44" fontId="3" fillId="0" borderId="3" xfId="1" applyFont="1" applyBorder="1" applyAlignment="1">
      <alignment wrapText="1"/>
    </xf>
    <xf numFmtId="8" fontId="6" fillId="4" borderId="13" xfId="1" applyNumberFormat="1" applyFont="1" applyFill="1" applyBorder="1"/>
    <xf numFmtId="44" fontId="6" fillId="4" borderId="1" xfId="1" applyFont="1" applyFill="1" applyBorder="1"/>
    <xf numFmtId="44" fontId="3" fillId="2" borderId="1" xfId="1" applyFont="1" applyFill="1" applyBorder="1" applyAlignment="1">
      <alignment wrapText="1"/>
    </xf>
    <xf numFmtId="44" fontId="6" fillId="4" borderId="21" xfId="1" applyFont="1" applyFill="1" applyBorder="1"/>
    <xf numFmtId="0" fontId="0" fillId="4" borderId="1" xfId="0" applyFill="1" applyBorder="1"/>
    <xf numFmtId="44" fontId="3" fillId="4" borderId="3" xfId="1" applyFont="1" applyFill="1" applyBorder="1"/>
    <xf numFmtId="44" fontId="6" fillId="4" borderId="13" xfId="1" applyFont="1" applyFill="1" applyBorder="1"/>
    <xf numFmtId="44" fontId="6" fillId="4" borderId="2" xfId="1" applyFont="1" applyFill="1" applyBorder="1"/>
    <xf numFmtId="44" fontId="3" fillId="2" borderId="3" xfId="1" applyFont="1" applyFill="1" applyBorder="1"/>
    <xf numFmtId="0" fontId="0" fillId="9" borderId="0" xfId="0" applyFill="1"/>
    <xf numFmtId="0" fontId="0" fillId="0" borderId="7" xfId="0" applyBorder="1" applyAlignment="1">
      <alignment horizontal="left" vertical="center" wrapText="1"/>
    </xf>
    <xf numFmtId="0" fontId="22" fillId="2" borderId="1" xfId="0" applyFont="1" applyFill="1" applyBorder="1"/>
    <xf numFmtId="0" fontId="22" fillId="2" borderId="1" xfId="1" applyNumberFormat="1" applyFont="1" applyFill="1" applyBorder="1" applyAlignment="1"/>
    <xf numFmtId="0" fontId="22" fillId="2" borderId="2" xfId="1" applyNumberFormat="1" applyFont="1" applyFill="1" applyBorder="1" applyAlignment="1"/>
    <xf numFmtId="44" fontId="4" fillId="2" borderId="1" xfId="1" applyFont="1" applyFill="1" applyBorder="1"/>
    <xf numFmtId="0" fontId="16" fillId="0" borderId="1" xfId="1" applyNumberFormat="1" applyFont="1" applyBorder="1"/>
    <xf numFmtId="0" fontId="0" fillId="0" borderId="6" xfId="0" applyBorder="1" applyAlignment="1">
      <alignment horizontal="left" vertical="center"/>
    </xf>
    <xf numFmtId="168" fontId="0" fillId="3" borderId="0" xfId="0" applyNumberFormat="1" applyFill="1"/>
    <xf numFmtId="165" fontId="15" fillId="0" borderId="6" xfId="1" applyNumberFormat="1" applyFont="1" applyBorder="1"/>
    <xf numFmtId="166" fontId="0" fillId="2" borderId="0" xfId="1" applyNumberFormat="1" applyFont="1" applyFill="1" applyAlignment="1"/>
    <xf numFmtId="16" fontId="22" fillId="2" borderId="1" xfId="0" applyNumberFormat="1" applyFont="1" applyFill="1" applyBorder="1"/>
    <xf numFmtId="0" fontId="15" fillId="2" borderId="1" xfId="0" applyFont="1" applyFill="1" applyBorder="1"/>
    <xf numFmtId="0" fontId="15" fillId="2" borderId="1" xfId="0" applyFont="1" applyFill="1" applyBorder="1" applyAlignment="1">
      <alignment wrapText="1"/>
    </xf>
    <xf numFmtId="0" fontId="15" fillId="2" borderId="1" xfId="0" applyFont="1" applyFill="1" applyBorder="1" applyAlignment="1">
      <alignment horizontal="center"/>
    </xf>
    <xf numFmtId="166" fontId="15" fillId="2" borderId="1" xfId="1" applyNumberFormat="1" applyFont="1" applyFill="1" applyBorder="1"/>
    <xf numFmtId="0" fontId="0" fillId="2" borderId="0" xfId="0" applyFill="1" applyAlignment="1">
      <alignment wrapText="1"/>
    </xf>
    <xf numFmtId="44" fontId="24" fillId="6" borderId="2" xfId="1" applyFont="1" applyFill="1" applyBorder="1"/>
    <xf numFmtId="0" fontId="0" fillId="0" borderId="12" xfId="0" applyBorder="1"/>
    <xf numFmtId="0" fontId="0" fillId="0" borderId="15" xfId="0" applyBorder="1"/>
    <xf numFmtId="0" fontId="0" fillId="0" borderId="17" xfId="0" applyBorder="1"/>
    <xf numFmtId="0" fontId="0" fillId="12" borderId="14" xfId="0" applyFill="1" applyBorder="1"/>
    <xf numFmtId="0" fontId="0" fillId="12" borderId="12" xfId="0" applyFill="1" applyBorder="1"/>
    <xf numFmtId="0" fontId="0" fillId="12" borderId="16" xfId="0" applyFill="1" applyBorder="1"/>
    <xf numFmtId="0" fontId="0" fillId="12" borderId="0" xfId="0" applyFill="1"/>
    <xf numFmtId="0" fontId="0" fillId="13" borderId="14" xfId="0" applyFill="1" applyBorder="1"/>
    <xf numFmtId="0" fontId="0" fillId="13" borderId="12" xfId="0" applyFill="1" applyBorder="1"/>
    <xf numFmtId="0" fontId="0" fillId="13" borderId="16" xfId="0" applyFill="1" applyBorder="1"/>
    <xf numFmtId="0" fontId="0" fillId="13" borderId="0" xfId="0" applyFill="1"/>
    <xf numFmtId="44" fontId="8" fillId="0" borderId="1" xfId="0" applyNumberFormat="1" applyFont="1" applyBorder="1" applyAlignment="1">
      <alignment vertical="center" wrapText="1"/>
    </xf>
    <xf numFmtId="165" fontId="15" fillId="0" borderId="26" xfId="1" applyNumberFormat="1" applyFont="1" applyBorder="1"/>
    <xf numFmtId="44" fontId="15" fillId="2" borderId="1" xfId="1" applyFont="1" applyFill="1" applyBorder="1"/>
    <xf numFmtId="0" fontId="15" fillId="14" borderId="1" xfId="0" applyFont="1" applyFill="1" applyBorder="1"/>
    <xf numFmtId="0" fontId="15" fillId="14" borderId="1" xfId="0" applyFont="1" applyFill="1" applyBorder="1" applyAlignment="1">
      <alignment horizontal="center"/>
    </xf>
    <xf numFmtId="44" fontId="20" fillId="14" borderId="1" xfId="1" applyFont="1" applyFill="1" applyBorder="1"/>
    <xf numFmtId="44" fontId="15" fillId="14" borderId="1" xfId="1" applyFont="1" applyFill="1" applyBorder="1"/>
    <xf numFmtId="165" fontId="15" fillId="14" borderId="1" xfId="0" applyNumberFormat="1" applyFont="1" applyFill="1" applyBorder="1"/>
    <xf numFmtId="165" fontId="15" fillId="14" borderId="1" xfId="1" applyNumberFormat="1" applyFont="1" applyFill="1" applyBorder="1"/>
    <xf numFmtId="165" fontId="15" fillId="14" borderId="6" xfId="1" applyNumberFormat="1" applyFont="1" applyFill="1" applyBorder="1"/>
    <xf numFmtId="44" fontId="20" fillId="14" borderId="27" xfId="1" applyFont="1" applyFill="1" applyBorder="1"/>
    <xf numFmtId="44" fontId="20" fillId="14" borderId="6" xfId="1" applyFont="1" applyFill="1" applyBorder="1"/>
    <xf numFmtId="44" fontId="20" fillId="14" borderId="31" xfId="1" applyFont="1" applyFill="1" applyBorder="1"/>
    <xf numFmtId="8" fontId="0" fillId="2" borderId="1" xfId="0" applyNumberFormat="1" applyFill="1" applyBorder="1"/>
    <xf numFmtId="8" fontId="19" fillId="10" borderId="1" xfId="0" applyNumberFormat="1" applyFont="1" applyFill="1" applyBorder="1"/>
    <xf numFmtId="8" fontId="0" fillId="2" borderId="6" xfId="0" applyNumberFormat="1" applyFill="1" applyBorder="1"/>
    <xf numFmtId="8" fontId="19" fillId="10" borderId="6" xfId="0" applyNumberFormat="1" applyFont="1" applyFill="1" applyBorder="1"/>
    <xf numFmtId="8" fontId="2" fillId="4" borderId="6" xfId="0" applyNumberFormat="1" applyFont="1" applyFill="1" applyBorder="1"/>
    <xf numFmtId="8" fontId="12" fillId="4" borderId="1" xfId="0" applyNumberFormat="1" applyFont="1" applyFill="1" applyBorder="1"/>
    <xf numFmtId="8" fontId="0" fillId="2" borderId="1" xfId="0" applyNumberFormat="1" applyFill="1" applyBorder="1" applyAlignment="1">
      <alignment horizontal="right"/>
    </xf>
    <xf numFmtId="44" fontId="2" fillId="4" borderId="6" xfId="1" applyFont="1" applyFill="1" applyBorder="1"/>
    <xf numFmtId="44" fontId="2" fillId="4" borderId="1" xfId="1" applyFont="1" applyFill="1" applyBorder="1"/>
    <xf numFmtId="44" fontId="0" fillId="2" borderId="1" xfId="1" applyFont="1" applyFill="1" applyBorder="1" applyAlignment="1">
      <alignment wrapText="1"/>
    </xf>
    <xf numFmtId="44" fontId="0" fillId="2" borderId="1" xfId="1" applyFont="1" applyFill="1" applyBorder="1" applyAlignment="1"/>
    <xf numFmtId="44" fontId="0" fillId="4" borderId="1" xfId="1" applyFont="1" applyFill="1" applyBorder="1"/>
    <xf numFmtId="44" fontId="0" fillId="2" borderId="1" xfId="1" applyFont="1" applyFill="1" applyBorder="1"/>
    <xf numFmtId="44" fontId="0" fillId="4" borderId="6" xfId="1" applyFont="1" applyFill="1" applyBorder="1"/>
    <xf numFmtId="44" fontId="2" fillId="4" borderId="6" xfId="1" applyFont="1" applyFill="1" applyBorder="1" applyAlignment="1">
      <alignment horizontal="center"/>
    </xf>
    <xf numFmtId="44" fontId="0" fillId="2" borderId="6" xfId="1" applyFont="1" applyFill="1" applyBorder="1"/>
    <xf numFmtId="8" fontId="2" fillId="4" borderId="22" xfId="0" applyNumberFormat="1" applyFont="1" applyFill="1" applyBorder="1"/>
    <xf numFmtId="0" fontId="2" fillId="9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9" xfId="0" applyFont="1" applyFill="1" applyBorder="1" applyAlignment="1">
      <alignment horizontal="left" vertical="center" wrapText="1"/>
    </xf>
    <xf numFmtId="0" fontId="17" fillId="7" borderId="0" xfId="0" applyFont="1" applyFill="1" applyAlignment="1">
      <alignment horizontal="center" vertical="center" wrapText="1"/>
    </xf>
    <xf numFmtId="0" fontId="18" fillId="9" borderId="0" xfId="0" applyFont="1" applyFill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16" fillId="3" borderId="19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left"/>
    </xf>
    <xf numFmtId="0" fontId="16" fillId="3" borderId="14" xfId="0" applyFont="1" applyFill="1" applyBorder="1" applyAlignment="1">
      <alignment horizontal="center" vertical="center" wrapText="1"/>
    </xf>
    <xf numFmtId="0" fontId="16" fillId="3" borderId="16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20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24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44" fontId="8" fillId="2" borderId="1" xfId="1" applyFont="1" applyFill="1" applyBorder="1"/>
    <xf numFmtId="8" fontId="8" fillId="2" borderId="1" xfId="0" applyNumberFormat="1" applyFont="1" applyFill="1" applyBorder="1"/>
    <xf numFmtId="44" fontId="8" fillId="0" borderId="1" xfId="1" applyFont="1" applyBorder="1"/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0</xdr:col>
      <xdr:colOff>2247900</xdr:colOff>
      <xdr:row>2</xdr:row>
      <xdr:rowOff>742950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2162175" cy="1076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4"/>
  <sheetViews>
    <sheetView tabSelected="1" topLeftCell="A45" workbookViewId="0">
      <selection activeCell="E56" sqref="E56"/>
    </sheetView>
  </sheetViews>
  <sheetFormatPr baseColWidth="10" defaultColWidth="10.88671875" defaultRowHeight="14.4" x14ac:dyDescent="0.3"/>
  <cols>
    <col min="1" max="1" width="37.5546875" customWidth="1"/>
    <col min="2" max="2" width="24.6640625" customWidth="1"/>
    <col min="3" max="3" width="15.88671875" hidden="1" customWidth="1"/>
    <col min="4" max="4" width="21.6640625" customWidth="1"/>
    <col min="5" max="5" width="14.6640625" customWidth="1"/>
    <col min="6" max="6" width="13" bestFit="1" customWidth="1"/>
    <col min="7" max="7" width="14.5546875" bestFit="1" customWidth="1"/>
    <col min="8" max="8" width="12" bestFit="1" customWidth="1"/>
    <col min="11" max="11" width="18" customWidth="1"/>
    <col min="12" max="12" width="18.33203125" customWidth="1"/>
  </cols>
  <sheetData>
    <row r="1" spans="1:5" x14ac:dyDescent="0.3">
      <c r="A1" s="15"/>
      <c r="B1" s="69" t="s">
        <v>54</v>
      </c>
      <c r="C1" s="69"/>
      <c r="D1" s="69"/>
      <c r="E1" s="70"/>
    </row>
    <row r="2" spans="1:5" x14ac:dyDescent="0.3">
      <c r="A2" s="16"/>
      <c r="B2" s="71" t="s">
        <v>28</v>
      </c>
      <c r="C2" s="71"/>
      <c r="D2" s="71"/>
      <c r="E2" s="72"/>
    </row>
    <row r="3" spans="1:5" ht="70.5" customHeight="1" thickBot="1" x14ac:dyDescent="0.35">
      <c r="A3" s="16"/>
      <c r="B3" s="216" t="s">
        <v>92</v>
      </c>
      <c r="C3" s="216"/>
      <c r="D3" s="216"/>
      <c r="E3" s="217"/>
    </row>
    <row r="4" spans="1:5" ht="15" thickBot="1" x14ac:dyDescent="0.35">
      <c r="A4" s="19" t="s">
        <v>0</v>
      </c>
      <c r="B4" s="98" t="s">
        <v>38</v>
      </c>
      <c r="C4" s="20"/>
      <c r="D4" s="20"/>
      <c r="E4" s="21"/>
    </row>
    <row r="5" spans="1:5" ht="15" thickBot="1" x14ac:dyDescent="0.35">
      <c r="A5" s="16" t="s">
        <v>55</v>
      </c>
      <c r="B5" s="20" t="s">
        <v>126</v>
      </c>
      <c r="C5" s="17"/>
      <c r="D5" s="71" t="s">
        <v>29</v>
      </c>
      <c r="E5" s="18"/>
    </row>
    <row r="6" spans="1:5" ht="15" thickBot="1" x14ac:dyDescent="0.35">
      <c r="A6" s="19" t="s">
        <v>90</v>
      </c>
      <c r="B6" s="20"/>
      <c r="C6" s="20"/>
      <c r="D6" s="20" t="s">
        <v>91</v>
      </c>
      <c r="E6" s="21"/>
    </row>
    <row r="8" spans="1:5" x14ac:dyDescent="0.3">
      <c r="B8" s="219" t="s">
        <v>125</v>
      </c>
      <c r="C8" s="219"/>
    </row>
    <row r="9" spans="1:5" x14ac:dyDescent="0.3">
      <c r="B9" s="219"/>
      <c r="C9" s="219"/>
    </row>
    <row r="10" spans="1:5" x14ac:dyDescent="0.3">
      <c r="B10" s="219"/>
      <c r="C10" s="219"/>
    </row>
    <row r="12" spans="1:5" hidden="1" x14ac:dyDescent="0.3"/>
    <row r="13" spans="1:5" ht="15" customHeight="1" x14ac:dyDescent="0.3">
      <c r="A13" s="218" t="s">
        <v>42</v>
      </c>
      <c r="B13" s="218"/>
      <c r="C13" s="218"/>
      <c r="D13" s="218"/>
      <c r="E13" s="218"/>
    </row>
    <row r="14" spans="1:5" ht="15" customHeight="1" x14ac:dyDescent="0.3">
      <c r="A14" s="218"/>
      <c r="B14" s="218"/>
      <c r="C14" s="218"/>
      <c r="D14" s="218"/>
      <c r="E14" s="218"/>
    </row>
    <row r="15" spans="1:5" ht="15" customHeight="1" x14ac:dyDescent="0.3">
      <c r="A15" s="218"/>
      <c r="B15" s="218"/>
      <c r="C15" s="218"/>
      <c r="D15" s="218"/>
      <c r="E15" s="218"/>
    </row>
    <row r="16" spans="1:5" ht="53.25" customHeight="1" x14ac:dyDescent="0.3">
      <c r="A16" s="218"/>
      <c r="B16" s="218"/>
      <c r="C16" s="218"/>
      <c r="D16" s="218"/>
      <c r="E16" s="218"/>
    </row>
    <row r="17" spans="1:7" ht="14.25" customHeight="1" thickBot="1" x14ac:dyDescent="0.35"/>
    <row r="18" spans="1:7" hidden="1" x14ac:dyDescent="0.3">
      <c r="A18" s="2"/>
    </row>
    <row r="19" spans="1:7" ht="15" hidden="1" thickBot="1" x14ac:dyDescent="0.35"/>
    <row r="20" spans="1:7" x14ac:dyDescent="0.3">
      <c r="A20" s="11" t="s">
        <v>10</v>
      </c>
      <c r="B20" s="12"/>
      <c r="C20" s="13"/>
      <c r="D20" s="9"/>
      <c r="E20" s="14"/>
    </row>
    <row r="21" spans="1:7" x14ac:dyDescent="0.3">
      <c r="A21" s="35" t="s">
        <v>34</v>
      </c>
      <c r="B21" s="35"/>
      <c r="C21" s="35"/>
      <c r="D21" s="34"/>
      <c r="E21" s="34"/>
    </row>
    <row r="22" spans="1:7" x14ac:dyDescent="0.3">
      <c r="A22" s="5" t="s">
        <v>74</v>
      </c>
      <c r="B22" s="5" t="s">
        <v>124</v>
      </c>
      <c r="C22" s="5"/>
      <c r="D22" s="193">
        <v>1561247</v>
      </c>
      <c r="E22" s="5"/>
    </row>
    <row r="23" spans="1:7" hidden="1" x14ac:dyDescent="0.3">
      <c r="A23" s="5"/>
      <c r="B23" s="5"/>
      <c r="C23" s="5"/>
      <c r="D23" s="193"/>
      <c r="E23" s="5"/>
    </row>
    <row r="24" spans="1:7" ht="14.25" customHeight="1" x14ac:dyDescent="0.3">
      <c r="A24" s="57" t="s">
        <v>35</v>
      </c>
      <c r="B24" s="57"/>
      <c r="C24" s="57"/>
      <c r="D24" s="194">
        <f>SUM(D22:D23)</f>
        <v>1561247</v>
      </c>
      <c r="E24" s="138"/>
      <c r="G24" s="22"/>
    </row>
    <row r="25" spans="1:7" ht="14.25" hidden="1" customHeight="1" x14ac:dyDescent="0.3">
      <c r="A25" s="5" t="s">
        <v>44</v>
      </c>
      <c r="B25" s="5"/>
      <c r="C25" s="5"/>
      <c r="D25" s="193"/>
      <c r="E25" s="5"/>
    </row>
    <row r="26" spans="1:7" hidden="1" x14ac:dyDescent="0.3">
      <c r="A26" s="5" t="s">
        <v>96</v>
      </c>
      <c r="B26" s="5"/>
      <c r="C26" s="5"/>
      <c r="D26" s="193">
        <v>0</v>
      </c>
      <c r="E26" s="5"/>
    </row>
    <row r="27" spans="1:7" hidden="1" x14ac:dyDescent="0.3">
      <c r="A27" s="5" t="s">
        <v>97</v>
      </c>
      <c r="B27" s="5"/>
      <c r="C27" s="5"/>
      <c r="D27" s="193">
        <v>0</v>
      </c>
      <c r="E27" s="5"/>
    </row>
    <row r="28" spans="1:7" hidden="1" x14ac:dyDescent="0.3">
      <c r="A28" s="5" t="s">
        <v>39</v>
      </c>
      <c r="B28" s="5"/>
      <c r="C28" s="5"/>
      <c r="D28" s="195"/>
      <c r="E28" s="5"/>
    </row>
    <row r="29" spans="1:7" hidden="1" x14ac:dyDescent="0.3">
      <c r="A29" s="57" t="s">
        <v>35</v>
      </c>
      <c r="B29" s="57"/>
      <c r="C29" s="57"/>
      <c r="D29" s="196">
        <f>SUM(D25:D28)</f>
        <v>0</v>
      </c>
      <c r="E29" s="138"/>
    </row>
    <row r="30" spans="1:7" ht="15" thickBot="1" x14ac:dyDescent="0.35">
      <c r="A30" s="29" t="s">
        <v>1</v>
      </c>
      <c r="B30" s="29"/>
      <c r="C30" s="29"/>
      <c r="D30" s="197"/>
      <c r="E30" s="139">
        <f>D24+D29</f>
        <v>1561247</v>
      </c>
      <c r="F30" s="22"/>
    </row>
    <row r="31" spans="1:7" x14ac:dyDescent="0.3">
      <c r="A31" s="35" t="s">
        <v>19</v>
      </c>
      <c r="B31" s="35"/>
      <c r="C31" s="35"/>
      <c r="D31" s="198"/>
      <c r="E31" s="140"/>
    </row>
    <row r="32" spans="1:7" ht="15" customHeight="1" x14ac:dyDescent="0.3">
      <c r="A32" s="214" t="s">
        <v>127</v>
      </c>
      <c r="B32" s="215"/>
      <c r="C32" s="52"/>
      <c r="D32" s="242">
        <v>50000</v>
      </c>
      <c r="E32" s="141"/>
    </row>
    <row r="33" spans="1:8" ht="15" customHeight="1" thickBot="1" x14ac:dyDescent="0.35">
      <c r="A33" s="214" t="s">
        <v>128</v>
      </c>
      <c r="B33" s="215"/>
      <c r="C33" s="52"/>
      <c r="D33" s="199">
        <v>0</v>
      </c>
      <c r="E33" s="141"/>
      <c r="H33" s="151" t="s">
        <v>103</v>
      </c>
    </row>
    <row r="34" spans="1:8" ht="15" thickBot="1" x14ac:dyDescent="0.35">
      <c r="A34" s="29" t="s">
        <v>16</v>
      </c>
      <c r="B34" s="29"/>
      <c r="C34" s="29"/>
      <c r="D34" s="200"/>
      <c r="E34" s="142">
        <f>SUM(D32:D33)</f>
        <v>50000</v>
      </c>
    </row>
    <row r="35" spans="1:8" x14ac:dyDescent="0.3">
      <c r="A35" s="35" t="s">
        <v>31</v>
      </c>
      <c r="B35" s="29"/>
      <c r="C35" s="29"/>
      <c r="D35" s="201"/>
      <c r="E35" s="143"/>
    </row>
    <row r="36" spans="1:8" s="38" customFormat="1" ht="14.25" customHeight="1" x14ac:dyDescent="0.3">
      <c r="A36" s="212" t="s">
        <v>88</v>
      </c>
      <c r="B36" s="213"/>
      <c r="C36" s="54"/>
      <c r="D36" s="202">
        <f>26570+7909</f>
        <v>34479</v>
      </c>
      <c r="E36" s="162" t="s">
        <v>118</v>
      </c>
    </row>
    <row r="37" spans="1:8" ht="14.25" customHeight="1" x14ac:dyDescent="0.3">
      <c r="A37" s="214" t="s">
        <v>89</v>
      </c>
      <c r="B37" s="215"/>
      <c r="C37" s="54"/>
      <c r="D37" s="203">
        <v>54278</v>
      </c>
      <c r="E37" s="144" t="str">
        <f>E36</f>
        <v>Debito 02/06</v>
      </c>
    </row>
    <row r="38" spans="1:8" ht="15" thickBot="1" x14ac:dyDescent="0.35">
      <c r="A38" s="29" t="s">
        <v>2</v>
      </c>
      <c r="B38" s="29"/>
      <c r="C38" s="29"/>
      <c r="D38" s="200"/>
      <c r="E38" s="145">
        <f>SUM(D36:D37)</f>
        <v>88757</v>
      </c>
    </row>
    <row r="39" spans="1:8" x14ac:dyDescent="0.3">
      <c r="A39" s="35" t="s">
        <v>17</v>
      </c>
      <c r="B39" s="146"/>
      <c r="C39" s="146"/>
      <c r="D39" s="204"/>
      <c r="E39" s="147"/>
    </row>
    <row r="40" spans="1:8" x14ac:dyDescent="0.3">
      <c r="A40" s="5" t="s">
        <v>47</v>
      </c>
      <c r="B40" s="5"/>
      <c r="C40" s="52"/>
      <c r="D40" s="243">
        <v>1136466.8799999999</v>
      </c>
      <c r="E40" s="162" t="s">
        <v>119</v>
      </c>
      <c r="G40" s="123"/>
    </row>
    <row r="41" spans="1:8" x14ac:dyDescent="0.3">
      <c r="A41" s="5" t="s">
        <v>77</v>
      </c>
      <c r="B41" s="5"/>
      <c r="C41" s="52"/>
      <c r="D41" s="36">
        <v>10602.27</v>
      </c>
      <c r="E41" s="153" t="s">
        <v>120</v>
      </c>
    </row>
    <row r="42" spans="1:8" x14ac:dyDescent="0.3">
      <c r="A42" s="5" t="s">
        <v>77</v>
      </c>
      <c r="B42" s="5"/>
      <c r="C42" s="52"/>
      <c r="D42" s="36">
        <v>75532.289999999994</v>
      </c>
      <c r="E42" s="153" t="str">
        <f>E41</f>
        <v>Debito 16/06</v>
      </c>
      <c r="F42" s="43">
        <f>D42+D41</f>
        <v>86134.56</v>
      </c>
      <c r="G42" s="137"/>
    </row>
    <row r="43" spans="1:8" x14ac:dyDescent="0.3">
      <c r="A43" s="5" t="s">
        <v>129</v>
      </c>
      <c r="B43" s="5"/>
      <c r="C43" s="5"/>
      <c r="D43" s="241">
        <v>10373.73</v>
      </c>
      <c r="E43" s="162" t="s">
        <v>121</v>
      </c>
    </row>
    <row r="44" spans="1:8" x14ac:dyDescent="0.3">
      <c r="A44" s="5" t="str">
        <f>A43</f>
        <v>Sindicatos mes de JULIO</v>
      </c>
      <c r="B44" s="5"/>
      <c r="C44" s="5"/>
      <c r="D44" s="241">
        <v>171176.48</v>
      </c>
      <c r="E44" s="154" t="str">
        <f>E43</f>
        <v>Debito 12/06</v>
      </c>
    </row>
    <row r="45" spans="1:8" x14ac:dyDescent="0.3">
      <c r="A45" s="5" t="str">
        <f>A44</f>
        <v>Sindicatos mes de JULIO</v>
      </c>
      <c r="B45" s="5"/>
      <c r="C45" s="5"/>
      <c r="D45" s="241">
        <v>93363.57</v>
      </c>
      <c r="E45" s="155" t="str">
        <f>E44</f>
        <v>Debito 12/06</v>
      </c>
    </row>
    <row r="46" spans="1:8" ht="15" customHeight="1" thickBot="1" x14ac:dyDescent="0.35">
      <c r="A46" s="29" t="s">
        <v>3</v>
      </c>
      <c r="B46" s="146"/>
      <c r="C46" s="146"/>
      <c r="D46" s="206"/>
      <c r="E46" s="145">
        <f>SUM(D40:D45)</f>
        <v>1497515.22</v>
      </c>
    </row>
    <row r="47" spans="1:8" x14ac:dyDescent="0.3">
      <c r="A47" s="35" t="s">
        <v>18</v>
      </c>
      <c r="B47" s="146"/>
      <c r="C47" s="146"/>
      <c r="D47" s="204"/>
      <c r="E47" s="147"/>
    </row>
    <row r="48" spans="1:8" ht="14.25" customHeight="1" x14ac:dyDescent="0.3">
      <c r="A48" s="5" t="s">
        <v>76</v>
      </c>
      <c r="B48" s="156"/>
      <c r="C48" s="5"/>
      <c r="D48" s="205">
        <v>69293.56</v>
      </c>
      <c r="E48" s="157" t="s">
        <v>111</v>
      </c>
    </row>
    <row r="49" spans="1:5" ht="14.25" customHeight="1" x14ac:dyDescent="0.3">
      <c r="A49" s="5" t="s">
        <v>79</v>
      </c>
      <c r="B49" s="156"/>
      <c r="C49" s="5"/>
      <c r="D49" s="205">
        <v>0</v>
      </c>
      <c r="E49" s="157"/>
    </row>
    <row r="50" spans="1:5" x14ac:dyDescent="0.3">
      <c r="A50" s="5" t="s">
        <v>78</v>
      </c>
      <c r="B50" s="5"/>
      <c r="C50" s="5"/>
      <c r="D50" s="241">
        <v>41264.699999999997</v>
      </c>
      <c r="E50" s="157" t="s">
        <v>133</v>
      </c>
    </row>
    <row r="51" spans="1:5" x14ac:dyDescent="0.3">
      <c r="A51" s="212" t="s">
        <v>75</v>
      </c>
      <c r="B51" s="213"/>
      <c r="C51" s="5"/>
      <c r="D51" s="205">
        <v>848176.88</v>
      </c>
      <c r="E51" s="157" t="s">
        <v>113</v>
      </c>
    </row>
    <row r="52" spans="1:5" ht="15" thickBot="1" x14ac:dyDescent="0.35">
      <c r="A52" s="29" t="s">
        <v>4</v>
      </c>
      <c r="B52" s="29"/>
      <c r="C52" s="29"/>
      <c r="D52" s="207"/>
      <c r="E52" s="145">
        <f>SUM(D48:D51)</f>
        <v>958735.14</v>
      </c>
    </row>
    <row r="53" spans="1:5" ht="15" customHeight="1" thickBot="1" x14ac:dyDescent="0.35">
      <c r="A53" s="35" t="s">
        <v>100</v>
      </c>
      <c r="B53" s="29"/>
      <c r="C53" s="29"/>
      <c r="D53" s="200"/>
      <c r="E53" s="148"/>
    </row>
    <row r="54" spans="1:5" ht="15" customHeight="1" x14ac:dyDescent="0.3">
      <c r="A54" s="158" t="s">
        <v>95</v>
      </c>
      <c r="B54" s="152"/>
      <c r="C54" s="5"/>
      <c r="D54" s="241">
        <v>93200</v>
      </c>
      <c r="E54" s="157" t="s">
        <v>131</v>
      </c>
    </row>
    <row r="55" spans="1:5" ht="24" customHeight="1" x14ac:dyDescent="0.3">
      <c r="A55" s="158" t="s">
        <v>94</v>
      </c>
      <c r="B55" s="152"/>
      <c r="C55" s="5"/>
      <c r="D55" s="205">
        <v>0</v>
      </c>
      <c r="E55" s="157"/>
    </row>
    <row r="56" spans="1:5" ht="44.25" customHeight="1" x14ac:dyDescent="0.3">
      <c r="A56" s="212" t="s">
        <v>132</v>
      </c>
      <c r="B56" s="213"/>
      <c r="C56" s="5"/>
      <c r="D56" s="127">
        <v>333100</v>
      </c>
      <c r="E56" s="157" t="s">
        <v>134</v>
      </c>
    </row>
    <row r="57" spans="1:5" ht="16.2" customHeight="1" x14ac:dyDescent="0.3">
      <c r="A57" s="105" t="s">
        <v>122</v>
      </c>
      <c r="B57" s="152"/>
      <c r="C57" s="5"/>
      <c r="D57" s="208">
        <v>334393.40999999997</v>
      </c>
      <c r="E57" s="157" t="s">
        <v>112</v>
      </c>
    </row>
    <row r="58" spans="1:5" ht="48" customHeight="1" x14ac:dyDescent="0.3">
      <c r="A58" s="212" t="s">
        <v>114</v>
      </c>
      <c r="B58" s="213"/>
      <c r="C58" s="5"/>
      <c r="D58" s="208">
        <v>235000</v>
      </c>
      <c r="E58" s="157" t="s">
        <v>113</v>
      </c>
    </row>
    <row r="59" spans="1:5" ht="21.6" customHeight="1" x14ac:dyDescent="0.3">
      <c r="A59" s="212" t="s">
        <v>130</v>
      </c>
      <c r="B59" s="213"/>
      <c r="C59" s="5"/>
      <c r="D59" s="127">
        <v>120400</v>
      </c>
      <c r="E59" s="157" t="s">
        <v>115</v>
      </c>
    </row>
    <row r="60" spans="1:5" ht="15" customHeight="1" x14ac:dyDescent="0.3">
      <c r="A60" s="212" t="s">
        <v>93</v>
      </c>
      <c r="B60" s="213"/>
      <c r="C60" s="5"/>
      <c r="D60" s="208">
        <v>103100</v>
      </c>
      <c r="E60" s="157" t="s">
        <v>110</v>
      </c>
    </row>
    <row r="61" spans="1:5" ht="15" thickBot="1" x14ac:dyDescent="0.35">
      <c r="A61" s="29" t="s">
        <v>9</v>
      </c>
      <c r="B61" s="35"/>
      <c r="C61" s="35"/>
      <c r="D61" s="35"/>
      <c r="E61" s="149">
        <f>SUM(D54:D60)</f>
        <v>1219193.4099999999</v>
      </c>
    </row>
    <row r="62" spans="1:5" ht="15" thickBot="1" x14ac:dyDescent="0.35">
      <c r="A62" s="35" t="s">
        <v>12</v>
      </c>
      <c r="B62" s="67"/>
      <c r="C62" s="29"/>
      <c r="D62" s="197"/>
      <c r="E62" s="148"/>
    </row>
    <row r="63" spans="1:5" x14ac:dyDescent="0.3">
      <c r="A63" s="5" t="s">
        <v>87</v>
      </c>
      <c r="B63" s="5"/>
      <c r="C63" s="5"/>
      <c r="D63" s="205">
        <v>67713</v>
      </c>
      <c r="E63" s="150"/>
    </row>
    <row r="64" spans="1:5" x14ac:dyDescent="0.3">
      <c r="A64" s="5" t="s">
        <v>86</v>
      </c>
      <c r="B64" s="5"/>
      <c r="C64" s="5"/>
      <c r="D64" s="205">
        <v>65295.66</v>
      </c>
      <c r="E64" s="40"/>
    </row>
    <row r="65" spans="1:12" ht="15" thickBot="1" x14ac:dyDescent="0.35">
      <c r="A65" s="51" t="s">
        <v>16</v>
      </c>
      <c r="B65" s="51"/>
      <c r="C65" s="51"/>
      <c r="D65" s="209"/>
      <c r="E65" s="103">
        <f>SUM(D63:D64)</f>
        <v>133008.66</v>
      </c>
    </row>
    <row r="66" spans="1:12" ht="15" thickBot="1" x14ac:dyDescent="0.35">
      <c r="A66" s="5"/>
      <c r="B66" s="5"/>
      <c r="C66" s="5"/>
      <c r="D66" s="102"/>
      <c r="E66" s="109"/>
    </row>
    <row r="67" spans="1:12" ht="15" thickBot="1" x14ac:dyDescent="0.35">
      <c r="A67" s="30" t="s">
        <v>50</v>
      </c>
      <c r="B67" s="30"/>
      <c r="C67" s="30"/>
      <c r="D67" s="110"/>
      <c r="E67" s="111"/>
    </row>
    <row r="68" spans="1:12" ht="15" thickBot="1" x14ac:dyDescent="0.35">
      <c r="A68" s="1"/>
      <c r="D68" s="112"/>
      <c r="E68" s="113"/>
      <c r="F68" s="43"/>
    </row>
    <row r="69" spans="1:12" ht="15" thickBot="1" x14ac:dyDescent="0.35">
      <c r="A69" s="3" t="s">
        <v>13</v>
      </c>
      <c r="B69" s="10"/>
      <c r="C69" s="4"/>
      <c r="D69" s="114"/>
      <c r="E69" s="115">
        <f>(SUM(E27:E67))</f>
        <v>5508456.4299999997</v>
      </c>
      <c r="F69" s="137"/>
      <c r="G69" s="43"/>
      <c r="H69" s="123"/>
      <c r="I69" s="123"/>
      <c r="J69" s="123"/>
      <c r="K69" s="123"/>
      <c r="L69" s="123"/>
    </row>
    <row r="70" spans="1:12" x14ac:dyDescent="0.3">
      <c r="D70" s="112"/>
      <c r="E70" s="112"/>
      <c r="H70" s="123"/>
      <c r="I70" s="123"/>
      <c r="J70" s="123"/>
      <c r="K70" s="123"/>
      <c r="L70" s="123"/>
    </row>
    <row r="71" spans="1:12" ht="15" thickBot="1" x14ac:dyDescent="0.35">
      <c r="D71" s="112"/>
      <c r="E71" s="112"/>
      <c r="H71" s="161"/>
    </row>
    <row r="72" spans="1:12" x14ac:dyDescent="0.3">
      <c r="A72" s="11" t="s">
        <v>45</v>
      </c>
      <c r="B72" s="12"/>
      <c r="C72" s="13"/>
      <c r="D72" s="116"/>
      <c r="E72" s="117"/>
    </row>
    <row r="73" spans="1:12" ht="15" customHeight="1" x14ac:dyDescent="0.3">
      <c r="A73" s="212"/>
      <c r="B73" s="213"/>
      <c r="C73" s="5"/>
      <c r="D73" s="127"/>
      <c r="E73" s="104"/>
    </row>
    <row r="74" spans="1:12" x14ac:dyDescent="0.3">
      <c r="A74" s="212"/>
      <c r="B74" s="213"/>
      <c r="C74" s="5"/>
      <c r="D74" s="106"/>
      <c r="E74" s="104"/>
    </row>
    <row r="75" spans="1:12" ht="15.75" customHeight="1" x14ac:dyDescent="0.3">
      <c r="A75" s="214"/>
      <c r="B75" s="215"/>
      <c r="C75" s="5"/>
      <c r="D75" s="106"/>
      <c r="E75" s="104"/>
    </row>
    <row r="76" spans="1:12" x14ac:dyDescent="0.3">
      <c r="A76" s="105"/>
      <c r="B76" s="107"/>
      <c r="C76" s="5"/>
      <c r="D76" s="106"/>
      <c r="E76" s="104"/>
    </row>
    <row r="77" spans="1:12" x14ac:dyDescent="0.3">
      <c r="A77" s="49"/>
      <c r="B77" s="48"/>
      <c r="C77" s="48"/>
      <c r="D77" s="58"/>
      <c r="E77" s="58">
        <f>SUM(D73:D76)</f>
        <v>0</v>
      </c>
    </row>
    <row r="78" spans="1:12" ht="15" customHeight="1" x14ac:dyDescent="0.3"/>
    <row r="79" spans="1:12" ht="15" hidden="1" thickBot="1" x14ac:dyDescent="0.35"/>
    <row r="80" spans="1:12" ht="15" thickBot="1" x14ac:dyDescent="0.35">
      <c r="A80" s="30" t="s">
        <v>20</v>
      </c>
      <c r="B80" s="30"/>
      <c r="C80" s="30"/>
      <c r="D80" s="31"/>
      <c r="E80" s="101"/>
    </row>
    <row r="81" spans="1:5" ht="15" thickBot="1" x14ac:dyDescent="0.35"/>
    <row r="82" spans="1:5" ht="15" thickBot="1" x14ac:dyDescent="0.35">
      <c r="A82" s="3" t="s">
        <v>21</v>
      </c>
      <c r="B82" s="10"/>
      <c r="C82" s="4"/>
      <c r="D82" s="4"/>
      <c r="E82" s="68">
        <f>E77+E80</f>
        <v>0</v>
      </c>
    </row>
    <row r="83" spans="1:5" ht="15" thickBot="1" x14ac:dyDescent="0.35"/>
    <row r="84" spans="1:5" ht="15" thickBot="1" x14ac:dyDescent="0.35">
      <c r="A84" s="99" t="s">
        <v>14</v>
      </c>
      <c r="B84" s="100">
        <f>E69</f>
        <v>5508456.4299999997</v>
      </c>
    </row>
    <row r="85" spans="1:5" ht="15" thickBot="1" x14ac:dyDescent="0.35">
      <c r="A85" s="99" t="s">
        <v>15</v>
      </c>
      <c r="B85" s="100">
        <f>E69-E67</f>
        <v>5508456.4299999997</v>
      </c>
    </row>
    <row r="86" spans="1:5" ht="15" thickBot="1" x14ac:dyDescent="0.35">
      <c r="A86" s="99" t="s">
        <v>22</v>
      </c>
      <c r="B86" s="100">
        <f>E82-E80</f>
        <v>0</v>
      </c>
    </row>
    <row r="87" spans="1:5" ht="15" thickBot="1" x14ac:dyDescent="0.35">
      <c r="A87" s="99" t="s">
        <v>40</v>
      </c>
      <c r="B87" s="100">
        <f>E82</f>
        <v>0</v>
      </c>
    </row>
    <row r="89" spans="1:5" x14ac:dyDescent="0.3">
      <c r="D89" s="123"/>
      <c r="E89" s="123"/>
    </row>
    <row r="90" spans="1:5" x14ac:dyDescent="0.3">
      <c r="D90" s="123"/>
      <c r="E90" s="123"/>
    </row>
    <row r="91" spans="1:5" ht="0.75" customHeight="1" x14ac:dyDescent="0.3">
      <c r="A91" s="23" t="s">
        <v>33</v>
      </c>
      <c r="B91" s="124"/>
      <c r="C91" s="24"/>
    </row>
    <row r="92" spans="1:5" hidden="1" x14ac:dyDescent="0.3">
      <c r="A92" s="33"/>
      <c r="B92" s="59">
        <v>0</v>
      </c>
      <c r="C92" s="26"/>
    </row>
    <row r="93" spans="1:5" ht="14.25" hidden="1" customHeight="1" x14ac:dyDescent="0.3">
      <c r="A93" s="25" t="s">
        <v>7</v>
      </c>
      <c r="B93" s="40">
        <f>PRORRATEO!F29</f>
        <v>3882232.5900000008</v>
      </c>
      <c r="C93" s="24"/>
    </row>
    <row r="94" spans="1:5" hidden="1" x14ac:dyDescent="0.3">
      <c r="A94" s="25"/>
      <c r="B94" s="40">
        <v>0</v>
      </c>
      <c r="C94" s="24"/>
    </row>
    <row r="95" spans="1:5" hidden="1" x14ac:dyDescent="0.3">
      <c r="A95" s="25" t="s">
        <v>41</v>
      </c>
      <c r="B95" s="108">
        <f>B119</f>
        <v>0</v>
      </c>
      <c r="C95" s="24"/>
    </row>
    <row r="96" spans="1:5" hidden="1" x14ac:dyDescent="0.3">
      <c r="A96" s="28"/>
      <c r="B96" s="47"/>
      <c r="C96" s="24"/>
    </row>
    <row r="97" spans="1:6" hidden="1" x14ac:dyDescent="0.3">
      <c r="A97" s="122" t="s">
        <v>46</v>
      </c>
      <c r="B97" s="47"/>
      <c r="C97" s="24"/>
    </row>
    <row r="98" spans="1:6" hidden="1" x14ac:dyDescent="0.3">
      <c r="A98" s="39" t="s">
        <v>23</v>
      </c>
      <c r="B98" s="47">
        <f>-B85</f>
        <v>-5508456.4299999997</v>
      </c>
      <c r="C98" s="24"/>
    </row>
    <row r="99" spans="1:6" hidden="1" x14ac:dyDescent="0.3">
      <c r="A99" s="28" t="s">
        <v>24</v>
      </c>
      <c r="B99" s="47">
        <f>-(B86)</f>
        <v>0</v>
      </c>
      <c r="C99" s="24"/>
    </row>
    <row r="100" spans="1:6" hidden="1" x14ac:dyDescent="0.3">
      <c r="A100" s="32" t="s">
        <v>9</v>
      </c>
      <c r="B100" s="59">
        <f>SUM(B92:B99)</f>
        <v>-1626223.8399999989</v>
      </c>
      <c r="C100" s="27"/>
      <c r="D100" s="43"/>
    </row>
    <row r="101" spans="1:6" ht="34.5" hidden="1" customHeight="1" x14ac:dyDescent="0.3">
      <c r="B101" s="41"/>
      <c r="C101" s="27"/>
      <c r="D101" s="43"/>
      <c r="E101" s="125"/>
      <c r="F101" s="126"/>
    </row>
    <row r="102" spans="1:6" ht="14.25" hidden="1" customHeight="1" x14ac:dyDescent="0.3">
      <c r="B102" s="42"/>
      <c r="C102" s="27"/>
    </row>
    <row r="103" spans="1:6" s="38" customFormat="1" ht="27" hidden="1" customHeight="1" x14ac:dyDescent="0.3">
      <c r="A103"/>
      <c r="B103" s="41"/>
      <c r="C103" s="37"/>
    </row>
    <row r="104" spans="1:6" s="38" customFormat="1" x14ac:dyDescent="0.3">
      <c r="A104" s="130" t="s">
        <v>85</v>
      </c>
      <c r="B104" s="168">
        <v>-1718528.5360999964</v>
      </c>
      <c r="C104" s="37"/>
      <c r="D104" s="46"/>
    </row>
    <row r="105" spans="1:6" x14ac:dyDescent="0.3">
      <c r="A105" s="54" t="s">
        <v>51</v>
      </c>
      <c r="B105" s="135">
        <f>-B85</f>
        <v>-5508456.4299999997</v>
      </c>
    </row>
    <row r="106" spans="1:6" x14ac:dyDescent="0.3">
      <c r="A106" s="54" t="s">
        <v>52</v>
      </c>
      <c r="B106" s="135">
        <f>-B86</f>
        <v>0</v>
      </c>
    </row>
    <row r="107" spans="1:6" ht="28.8" x14ac:dyDescent="0.3">
      <c r="A107" s="54" t="s">
        <v>116</v>
      </c>
      <c r="B107" s="180">
        <v>-99500</v>
      </c>
    </row>
    <row r="108" spans="1:6" x14ac:dyDescent="0.3">
      <c r="A108" s="54" t="s">
        <v>117</v>
      </c>
      <c r="B108" s="180">
        <v>-24000</v>
      </c>
    </row>
    <row r="109" spans="1:6" x14ac:dyDescent="0.3">
      <c r="A109" s="54" t="s">
        <v>46</v>
      </c>
      <c r="B109" s="180">
        <v>-10244</v>
      </c>
    </row>
    <row r="110" spans="1:6" x14ac:dyDescent="0.3">
      <c r="A110" s="54" t="s">
        <v>83</v>
      </c>
      <c r="B110" s="135">
        <f>B119</f>
        <v>0</v>
      </c>
    </row>
    <row r="111" spans="1:6" x14ac:dyDescent="0.3">
      <c r="A111" s="54" t="s">
        <v>53</v>
      </c>
      <c r="B111" s="136">
        <f>PRORRATEO!F29</f>
        <v>3882232.5900000008</v>
      </c>
    </row>
    <row r="112" spans="1:6" ht="15" thickBot="1" x14ac:dyDescent="0.35">
      <c r="A112" s="133" t="s">
        <v>48</v>
      </c>
      <c r="B112" s="134">
        <f>SUM(B104:C111)</f>
        <v>-3478496.3760999953</v>
      </c>
    </row>
    <row r="113" spans="1:13" x14ac:dyDescent="0.3">
      <c r="A113" s="131"/>
      <c r="B113" s="131"/>
    </row>
    <row r="114" spans="1:13" ht="34.5" customHeight="1" x14ac:dyDescent="0.3"/>
    <row r="115" spans="1:13" x14ac:dyDescent="0.3">
      <c r="A115" s="211" t="s">
        <v>32</v>
      </c>
      <c r="B115" s="211"/>
      <c r="C115" s="211"/>
    </row>
    <row r="116" spans="1:13" x14ac:dyDescent="0.3">
      <c r="A116" s="211"/>
      <c r="B116" s="211"/>
      <c r="C116" s="211"/>
    </row>
    <row r="117" spans="1:13" ht="35.25" customHeight="1" x14ac:dyDescent="0.3">
      <c r="A117" s="119"/>
      <c r="B117" s="36"/>
      <c r="C117" s="36">
        <v>40000</v>
      </c>
      <c r="E117" s="137"/>
    </row>
    <row r="118" spans="1:13" ht="27" customHeight="1" x14ac:dyDescent="0.3">
      <c r="A118" s="119"/>
      <c r="B118" s="121"/>
      <c r="C118" s="118"/>
      <c r="D118" s="137"/>
    </row>
    <row r="119" spans="1:13" x14ac:dyDescent="0.3">
      <c r="A119" s="44" t="s">
        <v>9</v>
      </c>
      <c r="B119" s="120">
        <f>SUM(B117:B118)</f>
        <v>0</v>
      </c>
      <c r="C119" s="45"/>
    </row>
    <row r="120" spans="1:13" x14ac:dyDescent="0.3">
      <c r="M120" s="8"/>
    </row>
    <row r="121" spans="1:13" ht="15" customHeight="1" x14ac:dyDescent="0.3">
      <c r="A121" s="210"/>
      <c r="B121" s="210"/>
      <c r="C121" s="210"/>
      <c r="D121" s="210"/>
      <c r="E121" s="210"/>
    </row>
    <row r="122" spans="1:13" x14ac:dyDescent="0.3">
      <c r="A122" s="210"/>
      <c r="B122" s="210"/>
      <c r="C122" s="210"/>
      <c r="D122" s="210"/>
      <c r="E122" s="210"/>
    </row>
    <row r="123" spans="1:13" x14ac:dyDescent="0.3">
      <c r="A123" s="210"/>
      <c r="B123" s="210"/>
      <c r="C123" s="210"/>
      <c r="D123" s="210"/>
      <c r="E123" s="210"/>
    </row>
    <row r="124" spans="1:13" x14ac:dyDescent="0.3">
      <c r="A124" s="210"/>
      <c r="B124" s="210"/>
      <c r="C124" s="210"/>
      <c r="D124" s="210"/>
      <c r="E124" s="210"/>
    </row>
  </sheetData>
  <mergeCells count="17">
    <mergeCell ref="A33:B33"/>
    <mergeCell ref="A32:B32"/>
    <mergeCell ref="B3:E3"/>
    <mergeCell ref="A13:E16"/>
    <mergeCell ref="B8:C10"/>
    <mergeCell ref="A36:B36"/>
    <mergeCell ref="A37:B37"/>
    <mergeCell ref="A51:B51"/>
    <mergeCell ref="A60:B60"/>
    <mergeCell ref="A59:B59"/>
    <mergeCell ref="A56:B56"/>
    <mergeCell ref="A58:B58"/>
    <mergeCell ref="A121:E124"/>
    <mergeCell ref="A115:C116"/>
    <mergeCell ref="A74:B74"/>
    <mergeCell ref="A73:B73"/>
    <mergeCell ref="A75:B75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7"/>
  <sheetViews>
    <sheetView zoomScaleNormal="100" workbookViewId="0">
      <selection activeCell="M2" sqref="M2"/>
    </sheetView>
  </sheetViews>
  <sheetFormatPr baseColWidth="10" defaultColWidth="10.88671875" defaultRowHeight="14.4" x14ac:dyDescent="0.3"/>
  <cols>
    <col min="1" max="1" width="4.33203125" customWidth="1"/>
    <col min="2" max="2" width="18.5546875" customWidth="1"/>
    <col min="3" max="3" width="0.33203125" customWidth="1"/>
    <col min="4" max="4" width="8.44140625" customWidth="1"/>
    <col min="5" max="5" width="14.109375" customWidth="1"/>
    <col min="6" max="6" width="12.33203125" customWidth="1"/>
    <col min="7" max="7" width="10.5546875" customWidth="1"/>
    <col min="8" max="8" width="9.5546875" customWidth="1"/>
    <col min="9" max="9" width="12.6640625" hidden="1" customWidth="1"/>
    <col min="10" max="11" width="12.44140625" customWidth="1"/>
    <col min="12" max="12" width="10.44140625" bestFit="1" customWidth="1"/>
    <col min="13" max="13" width="14.6640625" customWidth="1"/>
    <col min="14" max="14" width="12" hidden="1" customWidth="1"/>
    <col min="15" max="15" width="14.33203125" customWidth="1"/>
    <col min="16" max="16" width="0.109375" customWidth="1"/>
    <col min="17" max="17" width="12" bestFit="1" customWidth="1"/>
    <col min="18" max="18" width="13.5546875" bestFit="1" customWidth="1"/>
  </cols>
  <sheetData>
    <row r="1" spans="1:18" ht="12.9" customHeight="1" x14ac:dyDescent="0.3">
      <c r="A1" s="6"/>
      <c r="B1" s="6"/>
      <c r="C1" s="6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6"/>
      <c r="O1" s="6"/>
    </row>
    <row r="2" spans="1:18" ht="12.9" customHeight="1" x14ac:dyDescent="0.3">
      <c r="A2" s="6"/>
      <c r="B2" s="6"/>
      <c r="C2" s="6"/>
      <c r="D2" s="6" t="s">
        <v>82</v>
      </c>
      <c r="E2" s="6"/>
      <c r="F2" s="159">
        <v>86134.56</v>
      </c>
      <c r="G2" s="6"/>
      <c r="H2" s="6"/>
      <c r="I2" s="7"/>
      <c r="J2" s="6" t="s">
        <v>81</v>
      </c>
      <c r="K2" s="6"/>
      <c r="L2" s="6"/>
      <c r="M2" s="129">
        <f>R4-F2</f>
        <v>4880009.370000001</v>
      </c>
      <c r="N2" s="55"/>
      <c r="O2" s="55"/>
      <c r="P2" s="22"/>
    </row>
    <row r="3" spans="1:18" ht="12.9" customHeight="1" thickBot="1" x14ac:dyDescent="0.3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56"/>
      <c r="N3" s="56"/>
      <c r="O3" s="60"/>
    </row>
    <row r="4" spans="1:18" x14ac:dyDescent="0.3">
      <c r="A4" s="220" t="s">
        <v>5</v>
      </c>
      <c r="B4" s="220" t="s">
        <v>6</v>
      </c>
      <c r="C4" s="220" t="s">
        <v>27</v>
      </c>
      <c r="D4" s="220" t="s">
        <v>11</v>
      </c>
      <c r="E4" s="223" t="s">
        <v>49</v>
      </c>
      <c r="F4" s="220" t="s">
        <v>7</v>
      </c>
      <c r="G4" s="230" t="s">
        <v>30</v>
      </c>
      <c r="H4" s="223" t="s">
        <v>43</v>
      </c>
      <c r="I4" s="223" t="s">
        <v>8</v>
      </c>
      <c r="J4" s="223" t="s">
        <v>26</v>
      </c>
      <c r="K4" s="223" t="s">
        <v>123</v>
      </c>
      <c r="L4" s="233" t="s">
        <v>80</v>
      </c>
      <c r="M4" s="63" t="s">
        <v>37</v>
      </c>
      <c r="N4" s="228" t="s">
        <v>25</v>
      </c>
      <c r="O4" s="225" t="s">
        <v>36</v>
      </c>
      <c r="R4" s="129">
        <v>4966143.9300000006</v>
      </c>
    </row>
    <row r="5" spans="1:18" ht="15.75" customHeight="1" x14ac:dyDescent="0.3">
      <c r="A5" s="222"/>
      <c r="B5" s="222"/>
      <c r="C5" s="221"/>
      <c r="D5" s="222"/>
      <c r="E5" s="224"/>
      <c r="F5" s="222"/>
      <c r="G5" s="231"/>
      <c r="H5" s="224"/>
      <c r="I5" s="232"/>
      <c r="J5" s="224"/>
      <c r="K5" s="224"/>
      <c r="L5" s="234"/>
      <c r="M5" s="61" t="str">
        <f>RESUMEN!B8</f>
        <v>VTO 17/08</v>
      </c>
      <c r="N5" s="229"/>
      <c r="O5" s="226"/>
    </row>
    <row r="6" spans="1:18" ht="17.100000000000001" customHeight="1" x14ac:dyDescent="0.3">
      <c r="A6" s="163">
        <v>1</v>
      </c>
      <c r="B6" s="163" t="s">
        <v>56</v>
      </c>
      <c r="C6" s="64"/>
      <c r="D6" s="73">
        <v>6.69</v>
      </c>
      <c r="E6" s="74">
        <v>284142.01</v>
      </c>
      <c r="F6" s="182">
        <f t="shared" ref="F6" si="0">E6</f>
        <v>284142.01</v>
      </c>
      <c r="G6" s="76">
        <f t="shared" ref="G6:G23" si="1">E6-F6</f>
        <v>0</v>
      </c>
      <c r="H6" s="76">
        <f>IF(G6&gt;0,G6*3%,0)</f>
        <v>0</v>
      </c>
      <c r="I6" s="77">
        <v>0</v>
      </c>
      <c r="J6" s="78">
        <f>M$2*D6/100</f>
        <v>326472.62685300008</v>
      </c>
      <c r="K6" s="160"/>
      <c r="L6" s="160">
        <f t="shared" ref="L6:L23" si="2">F$2*D6/100</f>
        <v>5762.4020639999999</v>
      </c>
      <c r="M6" s="80">
        <f>ROUND(SUM(G6:L6),0) + P6</f>
        <v>332235.01</v>
      </c>
      <c r="N6" s="81">
        <f>ROUND(M6*6% + M6,0) + P6</f>
        <v>352169.01</v>
      </c>
      <c r="O6" s="82">
        <f>ROUND(M6*3%,0) + M6</f>
        <v>342202.01</v>
      </c>
      <c r="P6" s="43">
        <v>0.01</v>
      </c>
    </row>
    <row r="7" spans="1:18" ht="17.100000000000001" customHeight="1" x14ac:dyDescent="0.3">
      <c r="A7" s="163">
        <f>A6+1</f>
        <v>2</v>
      </c>
      <c r="B7" s="163" t="s">
        <v>57</v>
      </c>
      <c r="C7" s="65"/>
      <c r="D7" s="73">
        <v>5.88</v>
      </c>
      <c r="E7" s="74">
        <v>1937409.02</v>
      </c>
      <c r="F7" s="182"/>
      <c r="G7" s="76">
        <f t="shared" si="1"/>
        <v>1937409.02</v>
      </c>
      <c r="H7" s="76">
        <f t="shared" ref="H7:H23" si="3">IF(G7&gt;0,G7*3%,0)</f>
        <v>58122.270599999996</v>
      </c>
      <c r="I7" s="77">
        <v>0</v>
      </c>
      <c r="J7" s="78">
        <f t="shared" ref="J7:J23" si="4">M$2*D7%</f>
        <v>286944.55095600005</v>
      </c>
      <c r="K7" s="160">
        <f>24000+99500</f>
        <v>123500</v>
      </c>
      <c r="L7" s="160">
        <f t="shared" si="2"/>
        <v>5064.7121280000001</v>
      </c>
      <c r="M7" s="80">
        <f t="shared" ref="M7:M23" si="5">ROUND(SUM(G7:L7),0) + P7</f>
        <v>2411041.02</v>
      </c>
      <c r="N7" s="81">
        <f t="shared" ref="N7:N23" si="6">ROUND(M7*6% + M7,0) + P7</f>
        <v>2555703.02</v>
      </c>
      <c r="O7" s="82">
        <f t="shared" ref="O7:O23" si="7">ROUND(M7*3%,0) + M7</f>
        <v>2483372.02</v>
      </c>
      <c r="P7" s="43">
        <f>P6+0.01</f>
        <v>0.02</v>
      </c>
      <c r="Q7" s="43"/>
    </row>
    <row r="8" spans="1:18" ht="17.100000000000001" customHeight="1" x14ac:dyDescent="0.3">
      <c r="A8" s="163">
        <f t="shared" ref="A8:A23" si="8">A7+1</f>
        <v>3</v>
      </c>
      <c r="B8" s="163" t="s">
        <v>58</v>
      </c>
      <c r="C8" s="164"/>
      <c r="D8" s="165">
        <v>6.65</v>
      </c>
      <c r="E8" s="75">
        <v>290912.03000000003</v>
      </c>
      <c r="F8" s="182">
        <v>200000.03</v>
      </c>
      <c r="G8" s="76">
        <f t="shared" si="1"/>
        <v>90912.000000000029</v>
      </c>
      <c r="H8" s="76">
        <f t="shared" si="3"/>
        <v>2727.3600000000006</v>
      </c>
      <c r="I8" s="77">
        <v>0</v>
      </c>
      <c r="J8" s="78">
        <f t="shared" si="4"/>
        <v>324520.62310500006</v>
      </c>
      <c r="K8" s="160"/>
      <c r="L8" s="160">
        <f t="shared" si="2"/>
        <v>5727.9482400000006</v>
      </c>
      <c r="M8" s="80">
        <f t="shared" si="5"/>
        <v>423888.03</v>
      </c>
      <c r="N8" s="81">
        <f t="shared" si="6"/>
        <v>449321.03</v>
      </c>
      <c r="O8" s="82">
        <f t="shared" si="7"/>
        <v>436605.03</v>
      </c>
      <c r="P8" s="43">
        <f t="shared" ref="P8:P24" si="9">P7+0.01</f>
        <v>0.03</v>
      </c>
    </row>
    <row r="9" spans="1:18" ht="17.100000000000001" customHeight="1" x14ac:dyDescent="0.3">
      <c r="A9" s="163">
        <f t="shared" si="8"/>
        <v>4</v>
      </c>
      <c r="B9" s="163" t="s">
        <v>59</v>
      </c>
      <c r="C9" s="65"/>
      <c r="D9" s="73">
        <v>6.73</v>
      </c>
      <c r="E9" s="74">
        <v>285841.03999999998</v>
      </c>
      <c r="F9" s="182">
        <f t="shared" ref="F9:F23" si="10">E9</f>
        <v>285841.03999999998</v>
      </c>
      <c r="G9" s="76">
        <f t="shared" si="1"/>
        <v>0</v>
      </c>
      <c r="H9" s="76">
        <f t="shared" si="3"/>
        <v>0</v>
      </c>
      <c r="I9" s="77">
        <v>0</v>
      </c>
      <c r="J9" s="78">
        <f t="shared" si="4"/>
        <v>328424.63060100004</v>
      </c>
      <c r="K9" s="160"/>
      <c r="L9" s="160">
        <f t="shared" si="2"/>
        <v>5796.855888</v>
      </c>
      <c r="M9" s="80">
        <f t="shared" si="5"/>
        <v>334221.03999999998</v>
      </c>
      <c r="N9" s="81">
        <f t="shared" si="6"/>
        <v>354274.04</v>
      </c>
      <c r="O9" s="82">
        <f t="shared" si="7"/>
        <v>344248.04</v>
      </c>
      <c r="P9" s="43">
        <f t="shared" si="9"/>
        <v>0.04</v>
      </c>
      <c r="R9" s="43"/>
    </row>
    <row r="10" spans="1:18" ht="17.100000000000001" customHeight="1" x14ac:dyDescent="0.3">
      <c r="A10" s="163">
        <f t="shared" si="8"/>
        <v>5</v>
      </c>
      <c r="B10" s="163" t="s">
        <v>60</v>
      </c>
      <c r="C10" s="65"/>
      <c r="D10" s="73">
        <v>8.0399999999999991</v>
      </c>
      <c r="E10" s="74">
        <v>351724.05</v>
      </c>
      <c r="F10" s="182">
        <f>341480.05+10244</f>
        <v>351724.05</v>
      </c>
      <c r="G10" s="76">
        <f t="shared" si="1"/>
        <v>0</v>
      </c>
      <c r="H10" s="76">
        <f t="shared" si="3"/>
        <v>0</v>
      </c>
      <c r="I10" s="77">
        <v>0</v>
      </c>
      <c r="J10" s="78">
        <f t="shared" si="4"/>
        <v>392352.753348</v>
      </c>
      <c r="K10" s="160"/>
      <c r="L10" s="160">
        <f t="shared" si="2"/>
        <v>6925.2186239999983</v>
      </c>
      <c r="M10" s="80">
        <f t="shared" si="5"/>
        <v>399278.05</v>
      </c>
      <c r="N10" s="81">
        <f t="shared" si="6"/>
        <v>423235.05</v>
      </c>
      <c r="O10" s="82">
        <f t="shared" si="7"/>
        <v>411256.05</v>
      </c>
      <c r="P10" s="43">
        <f t="shared" si="9"/>
        <v>0.05</v>
      </c>
      <c r="Q10" t="s">
        <v>98</v>
      </c>
      <c r="R10" s="43"/>
    </row>
    <row r="11" spans="1:18" ht="17.100000000000001" customHeight="1" x14ac:dyDescent="0.3">
      <c r="A11" s="163">
        <f t="shared" si="8"/>
        <v>6</v>
      </c>
      <c r="B11" s="163" t="s">
        <v>61</v>
      </c>
      <c r="C11" s="64"/>
      <c r="D11" s="73">
        <v>4.7300000000000004</v>
      </c>
      <c r="E11" s="74">
        <v>200896.06</v>
      </c>
      <c r="F11" s="182">
        <f>E11</f>
        <v>200896.06</v>
      </c>
      <c r="G11" s="76">
        <f t="shared" si="1"/>
        <v>0</v>
      </c>
      <c r="H11" s="76">
        <f t="shared" si="3"/>
        <v>0</v>
      </c>
      <c r="I11" s="77">
        <v>0</v>
      </c>
      <c r="J11" s="78">
        <f t="shared" si="4"/>
        <v>230824.44320100005</v>
      </c>
      <c r="K11" s="160"/>
      <c r="L11" s="160">
        <f t="shared" si="2"/>
        <v>4074.1646880000003</v>
      </c>
      <c r="M11" s="80">
        <f t="shared" si="5"/>
        <v>234899.06</v>
      </c>
      <c r="N11" s="81">
        <f t="shared" si="6"/>
        <v>248993.06</v>
      </c>
      <c r="O11" s="82">
        <f t="shared" si="7"/>
        <v>241946.06</v>
      </c>
      <c r="P11" s="43">
        <f t="shared" si="9"/>
        <v>6.0000000000000005E-2</v>
      </c>
    </row>
    <row r="12" spans="1:18" ht="17.100000000000001" customHeight="1" x14ac:dyDescent="0.3">
      <c r="A12" s="183">
        <f t="shared" si="8"/>
        <v>7</v>
      </c>
      <c r="B12" s="183" t="s">
        <v>62</v>
      </c>
      <c r="C12" s="183"/>
      <c r="D12" s="184">
        <v>5.67</v>
      </c>
      <c r="E12" s="185">
        <v>992610.07</v>
      </c>
      <c r="F12" s="186">
        <v>300000</v>
      </c>
      <c r="G12" s="187">
        <f t="shared" si="1"/>
        <v>692610.07</v>
      </c>
      <c r="H12" s="187">
        <f t="shared" si="3"/>
        <v>20778.302099999997</v>
      </c>
      <c r="I12" s="186">
        <v>0</v>
      </c>
      <c r="J12" s="188">
        <f t="shared" si="4"/>
        <v>276696.53127900005</v>
      </c>
      <c r="K12" s="189"/>
      <c r="L12" s="189">
        <f t="shared" si="2"/>
        <v>4883.8295519999992</v>
      </c>
      <c r="M12" s="190">
        <f t="shared" si="5"/>
        <v>994969.07</v>
      </c>
      <c r="N12" s="191">
        <f t="shared" si="6"/>
        <v>1054667.07</v>
      </c>
      <c r="O12" s="192">
        <f t="shared" si="7"/>
        <v>1024818.07</v>
      </c>
      <c r="P12" s="43">
        <f t="shared" si="9"/>
        <v>7.0000000000000007E-2</v>
      </c>
    </row>
    <row r="13" spans="1:18" ht="17.100000000000001" customHeight="1" x14ac:dyDescent="0.3">
      <c r="A13" s="163">
        <f t="shared" si="8"/>
        <v>8</v>
      </c>
      <c r="B13" s="163" t="s">
        <v>63</v>
      </c>
      <c r="C13" s="65"/>
      <c r="D13" s="73">
        <v>5.67</v>
      </c>
      <c r="E13" s="74">
        <v>240820.08</v>
      </c>
      <c r="F13" s="182">
        <f>E13</f>
        <v>240820.08</v>
      </c>
      <c r="G13" s="76">
        <f t="shared" si="1"/>
        <v>0</v>
      </c>
      <c r="H13" s="76">
        <f t="shared" si="3"/>
        <v>0</v>
      </c>
      <c r="I13" s="77">
        <v>0</v>
      </c>
      <c r="J13" s="78">
        <f t="shared" si="4"/>
        <v>276696.53127900005</v>
      </c>
      <c r="K13" s="160"/>
      <c r="L13" s="160">
        <f t="shared" si="2"/>
        <v>4883.8295519999992</v>
      </c>
      <c r="M13" s="80">
        <f t="shared" si="5"/>
        <v>281580.08</v>
      </c>
      <c r="N13" s="81">
        <f t="shared" si="6"/>
        <v>298475.08</v>
      </c>
      <c r="O13" s="82">
        <f t="shared" si="7"/>
        <v>290027.08</v>
      </c>
      <c r="P13" s="43">
        <f t="shared" si="9"/>
        <v>0.08</v>
      </c>
      <c r="R13" t="s">
        <v>84</v>
      </c>
    </row>
    <row r="14" spans="1:18" ht="17.100000000000001" customHeight="1" x14ac:dyDescent="0.3">
      <c r="A14" s="163">
        <f t="shared" si="8"/>
        <v>9</v>
      </c>
      <c r="B14" s="163" t="s">
        <v>64</v>
      </c>
      <c r="C14" s="65"/>
      <c r="D14" s="73">
        <v>7.67</v>
      </c>
      <c r="E14" s="74">
        <v>325765.09000000003</v>
      </c>
      <c r="F14" s="182">
        <f t="shared" si="10"/>
        <v>325765.09000000003</v>
      </c>
      <c r="G14" s="76">
        <f t="shared" si="1"/>
        <v>0</v>
      </c>
      <c r="H14" s="76">
        <f t="shared" si="3"/>
        <v>0</v>
      </c>
      <c r="I14" s="77">
        <v>0</v>
      </c>
      <c r="J14" s="78">
        <f t="shared" si="4"/>
        <v>374296.7186790001</v>
      </c>
      <c r="K14" s="160"/>
      <c r="L14" s="160">
        <f t="shared" si="2"/>
        <v>6606.5207519999994</v>
      </c>
      <c r="M14" s="80">
        <f t="shared" si="5"/>
        <v>380903.09</v>
      </c>
      <c r="N14" s="81">
        <f t="shared" si="6"/>
        <v>403757.09</v>
      </c>
      <c r="O14" s="82">
        <f t="shared" si="7"/>
        <v>392330.09</v>
      </c>
      <c r="P14" s="43">
        <f t="shared" si="9"/>
        <v>0.09</v>
      </c>
    </row>
    <row r="15" spans="1:18" ht="17.100000000000001" customHeight="1" x14ac:dyDescent="0.3">
      <c r="A15" s="163">
        <f t="shared" si="8"/>
        <v>10</v>
      </c>
      <c r="B15" s="163" t="s">
        <v>65</v>
      </c>
      <c r="C15" s="65"/>
      <c r="D15" s="73">
        <v>4.9000000000000004</v>
      </c>
      <c r="E15" s="74">
        <v>208116.1</v>
      </c>
      <c r="F15" s="182">
        <f>E15</f>
        <v>208116.1</v>
      </c>
      <c r="G15" s="76">
        <f t="shared" si="1"/>
        <v>0</v>
      </c>
      <c r="H15" s="76">
        <f t="shared" si="3"/>
        <v>0</v>
      </c>
      <c r="I15" s="77">
        <v>0</v>
      </c>
      <c r="J15" s="78">
        <f t="shared" si="4"/>
        <v>239120.45913000006</v>
      </c>
      <c r="K15" s="160"/>
      <c r="L15" s="160">
        <f t="shared" si="2"/>
        <v>4220.5934400000006</v>
      </c>
      <c r="M15" s="80">
        <f t="shared" si="5"/>
        <v>243341.1</v>
      </c>
      <c r="N15" s="81">
        <f t="shared" si="6"/>
        <v>257942.1</v>
      </c>
      <c r="O15" s="82">
        <f t="shared" si="7"/>
        <v>250641.1</v>
      </c>
      <c r="P15" s="43">
        <f t="shared" si="9"/>
        <v>9.9999999999999992E-2</v>
      </c>
    </row>
    <row r="16" spans="1:18" ht="17.100000000000001" customHeight="1" x14ac:dyDescent="0.3">
      <c r="A16" s="163">
        <f t="shared" si="8"/>
        <v>11</v>
      </c>
      <c r="B16" s="163" t="s">
        <v>66</v>
      </c>
      <c r="C16" s="65"/>
      <c r="D16" s="73">
        <v>5.63</v>
      </c>
      <c r="E16" s="74">
        <v>239121.11</v>
      </c>
      <c r="F16" s="182">
        <f t="shared" si="10"/>
        <v>239121.11</v>
      </c>
      <c r="G16" s="76">
        <f t="shared" si="1"/>
        <v>0</v>
      </c>
      <c r="H16" s="76">
        <f t="shared" si="3"/>
        <v>0</v>
      </c>
      <c r="I16" s="77">
        <v>0</v>
      </c>
      <c r="J16" s="78">
        <f t="shared" si="4"/>
        <v>274744.52753100003</v>
      </c>
      <c r="K16" s="160"/>
      <c r="L16" s="160">
        <f t="shared" si="2"/>
        <v>4849.375728</v>
      </c>
      <c r="M16" s="80">
        <f t="shared" si="5"/>
        <v>279594.11</v>
      </c>
      <c r="N16" s="81">
        <f t="shared" si="6"/>
        <v>296370.11</v>
      </c>
      <c r="O16" s="82">
        <f t="shared" si="7"/>
        <v>287982.11</v>
      </c>
      <c r="P16" s="43">
        <f t="shared" si="9"/>
        <v>0.10999999999999999</v>
      </c>
    </row>
    <row r="17" spans="1:21" ht="17.100000000000001" customHeight="1" x14ac:dyDescent="0.3">
      <c r="A17" s="163">
        <f t="shared" si="8"/>
        <v>12</v>
      </c>
      <c r="B17" s="163" t="s">
        <v>67</v>
      </c>
      <c r="C17" s="65"/>
      <c r="D17" s="73">
        <v>5.55</v>
      </c>
      <c r="E17" s="74">
        <v>235723.12</v>
      </c>
      <c r="F17" s="182">
        <f>E17</f>
        <v>235723.12</v>
      </c>
      <c r="G17" s="76">
        <f t="shared" si="1"/>
        <v>0</v>
      </c>
      <c r="H17" s="76">
        <f t="shared" si="3"/>
        <v>0</v>
      </c>
      <c r="I17" s="77">
        <v>0</v>
      </c>
      <c r="J17" s="78">
        <f t="shared" si="4"/>
        <v>270840.52003500005</v>
      </c>
      <c r="K17" s="160"/>
      <c r="L17" s="160">
        <f t="shared" si="2"/>
        <v>4780.4680799999996</v>
      </c>
      <c r="M17" s="80">
        <f t="shared" si="5"/>
        <v>275621.12</v>
      </c>
      <c r="N17" s="81">
        <f t="shared" si="6"/>
        <v>292158.12</v>
      </c>
      <c r="O17" s="82">
        <f t="shared" si="7"/>
        <v>283890.12</v>
      </c>
      <c r="P17" s="43">
        <f t="shared" si="9"/>
        <v>0.11999999999999998</v>
      </c>
    </row>
    <row r="18" spans="1:21" ht="17.100000000000001" customHeight="1" x14ac:dyDescent="0.3">
      <c r="A18" s="163">
        <f t="shared" si="8"/>
        <v>13</v>
      </c>
      <c r="B18" s="163" t="s">
        <v>68</v>
      </c>
      <c r="C18" s="65"/>
      <c r="D18" s="73">
        <v>11.06</v>
      </c>
      <c r="E18" s="74">
        <v>469748.13</v>
      </c>
      <c r="F18" s="182">
        <f t="shared" si="10"/>
        <v>469748.13</v>
      </c>
      <c r="G18" s="76">
        <f t="shared" si="1"/>
        <v>0</v>
      </c>
      <c r="H18" s="76">
        <f t="shared" si="3"/>
        <v>0</v>
      </c>
      <c r="I18" s="77">
        <v>0</v>
      </c>
      <c r="J18" s="78">
        <f t="shared" si="4"/>
        <v>539729.03632200009</v>
      </c>
      <c r="K18" s="160"/>
      <c r="L18" s="160">
        <f t="shared" si="2"/>
        <v>9526.4823360000009</v>
      </c>
      <c r="M18" s="80">
        <f t="shared" si="5"/>
        <v>549256.13</v>
      </c>
      <c r="N18" s="81">
        <f t="shared" si="6"/>
        <v>582211.13</v>
      </c>
      <c r="O18" s="82">
        <f t="shared" si="7"/>
        <v>565734.13</v>
      </c>
      <c r="P18" s="43">
        <f t="shared" si="9"/>
        <v>0.12999999999999998</v>
      </c>
    </row>
    <row r="19" spans="1:21" ht="17.100000000000001" customHeight="1" x14ac:dyDescent="0.3">
      <c r="A19" s="163">
        <f t="shared" si="8"/>
        <v>14</v>
      </c>
      <c r="B19" s="163" t="s">
        <v>69</v>
      </c>
      <c r="C19" s="65"/>
      <c r="D19" s="73">
        <v>3.3</v>
      </c>
      <c r="E19" s="74">
        <v>145339.14000000001</v>
      </c>
      <c r="F19" s="182">
        <f>137317.14+2842.14+5180</f>
        <v>145339.28000000003</v>
      </c>
      <c r="G19" s="76">
        <f t="shared" si="1"/>
        <v>-0.14000000001396984</v>
      </c>
      <c r="H19" s="76">
        <f t="shared" si="3"/>
        <v>0</v>
      </c>
      <c r="I19" s="77">
        <v>0</v>
      </c>
      <c r="J19" s="78">
        <f t="shared" si="4"/>
        <v>161040.30921000004</v>
      </c>
      <c r="K19" s="160"/>
      <c r="L19" s="160">
        <f t="shared" si="2"/>
        <v>2842.4404799999993</v>
      </c>
      <c r="M19" s="80">
        <f t="shared" si="5"/>
        <v>163883.14000000001</v>
      </c>
      <c r="N19" s="81">
        <f t="shared" si="6"/>
        <v>173716.14</v>
      </c>
      <c r="O19" s="82">
        <f t="shared" si="7"/>
        <v>168799.14</v>
      </c>
      <c r="P19" s="43">
        <f t="shared" si="9"/>
        <v>0.13999999999999999</v>
      </c>
      <c r="Q19" t="s">
        <v>102</v>
      </c>
    </row>
    <row r="20" spans="1:21" ht="17.100000000000001" customHeight="1" x14ac:dyDescent="0.3">
      <c r="A20" s="163">
        <f t="shared" si="8"/>
        <v>15</v>
      </c>
      <c r="B20" s="163" t="s">
        <v>70</v>
      </c>
      <c r="C20" s="164"/>
      <c r="D20" s="165">
        <v>1.8</v>
      </c>
      <c r="E20" s="75">
        <v>76451.149999999994</v>
      </c>
      <c r="F20" s="182">
        <f>E20</f>
        <v>76451.149999999994</v>
      </c>
      <c r="G20" s="76">
        <f t="shared" si="1"/>
        <v>0</v>
      </c>
      <c r="H20" s="76">
        <f t="shared" si="3"/>
        <v>0</v>
      </c>
      <c r="I20" s="77">
        <v>0</v>
      </c>
      <c r="J20" s="78">
        <f t="shared" si="4"/>
        <v>87840.168660000025</v>
      </c>
      <c r="K20" s="160"/>
      <c r="L20" s="160">
        <f t="shared" si="2"/>
        <v>1550.4220800000001</v>
      </c>
      <c r="M20" s="80">
        <f t="shared" si="5"/>
        <v>89391.15</v>
      </c>
      <c r="N20" s="81">
        <f t="shared" si="6"/>
        <v>94755.15</v>
      </c>
      <c r="O20" s="82">
        <f t="shared" si="7"/>
        <v>92073.15</v>
      </c>
      <c r="P20" s="43">
        <f t="shared" si="9"/>
        <v>0.15</v>
      </c>
      <c r="Q20" t="s">
        <v>101</v>
      </c>
    </row>
    <row r="21" spans="1:21" ht="17.100000000000001" customHeight="1" x14ac:dyDescent="0.3">
      <c r="A21" s="64">
        <f t="shared" si="8"/>
        <v>16</v>
      </c>
      <c r="B21" s="64" t="s">
        <v>71</v>
      </c>
      <c r="C21" s="64"/>
      <c r="D21" s="73">
        <v>3.22</v>
      </c>
      <c r="E21" s="74">
        <v>136762.16</v>
      </c>
      <c r="F21" s="182">
        <f t="shared" si="10"/>
        <v>136762.16</v>
      </c>
      <c r="G21" s="76">
        <f t="shared" si="1"/>
        <v>0</v>
      </c>
      <c r="H21" s="76">
        <f t="shared" si="3"/>
        <v>0</v>
      </c>
      <c r="I21" s="77">
        <v>0</v>
      </c>
      <c r="J21" s="78">
        <f t="shared" si="4"/>
        <v>157136.30171400003</v>
      </c>
      <c r="K21" s="160"/>
      <c r="L21" s="160">
        <f t="shared" si="2"/>
        <v>2773.5328319999999</v>
      </c>
      <c r="M21" s="80">
        <f t="shared" si="5"/>
        <v>159910.16</v>
      </c>
      <c r="N21" s="81">
        <f t="shared" si="6"/>
        <v>169505.16</v>
      </c>
      <c r="O21" s="82">
        <f t="shared" si="7"/>
        <v>164707.16</v>
      </c>
      <c r="P21" s="43">
        <f t="shared" si="9"/>
        <v>0.16</v>
      </c>
      <c r="Q21" s="123"/>
      <c r="R21" s="167"/>
      <c r="S21" s="167"/>
      <c r="T21" s="167"/>
      <c r="U21" s="167"/>
    </row>
    <row r="22" spans="1:21" ht="17.100000000000001" customHeight="1" x14ac:dyDescent="0.3">
      <c r="A22" s="64">
        <f t="shared" si="8"/>
        <v>17</v>
      </c>
      <c r="B22" s="64" t="s">
        <v>72</v>
      </c>
      <c r="C22" s="65"/>
      <c r="D22" s="73">
        <v>2.61</v>
      </c>
      <c r="E22" s="75">
        <v>236990.17</v>
      </c>
      <c r="F22" s="182">
        <v>0</v>
      </c>
      <c r="G22" s="76">
        <f t="shared" si="1"/>
        <v>236990.17</v>
      </c>
      <c r="H22" s="76">
        <f t="shared" si="3"/>
        <v>7109.7051000000001</v>
      </c>
      <c r="I22" s="77">
        <v>0</v>
      </c>
      <c r="J22" s="78">
        <f t="shared" si="4"/>
        <v>127368.24455700001</v>
      </c>
      <c r="K22" s="160"/>
      <c r="L22" s="160">
        <f t="shared" si="2"/>
        <v>2248.1120159999996</v>
      </c>
      <c r="M22" s="80">
        <f t="shared" si="5"/>
        <v>373716.17</v>
      </c>
      <c r="N22" s="81">
        <f t="shared" si="6"/>
        <v>396139.17</v>
      </c>
      <c r="O22" s="82">
        <f t="shared" si="7"/>
        <v>384927.17</v>
      </c>
      <c r="P22" s="43">
        <f t="shared" si="9"/>
        <v>0.17</v>
      </c>
      <c r="Q22" s="123" t="s">
        <v>99</v>
      </c>
      <c r="R22" s="167"/>
      <c r="S22" s="167"/>
      <c r="T22" s="167"/>
      <c r="U22" s="167"/>
    </row>
    <row r="23" spans="1:21" ht="17.100000000000001" customHeight="1" x14ac:dyDescent="0.3">
      <c r="A23" s="64">
        <f t="shared" si="8"/>
        <v>18</v>
      </c>
      <c r="B23" s="64" t="s">
        <v>73</v>
      </c>
      <c r="C23" s="128"/>
      <c r="D23" s="73">
        <v>4.28</v>
      </c>
      <c r="E23" s="74">
        <v>181783.18</v>
      </c>
      <c r="F23" s="182">
        <f t="shared" si="10"/>
        <v>181783.18</v>
      </c>
      <c r="G23" s="76">
        <f t="shared" si="1"/>
        <v>0</v>
      </c>
      <c r="H23" s="76">
        <f t="shared" si="3"/>
        <v>0</v>
      </c>
      <c r="I23" s="77">
        <v>0</v>
      </c>
      <c r="J23" s="78">
        <f t="shared" si="4"/>
        <v>208864.40103600005</v>
      </c>
      <c r="K23" s="160"/>
      <c r="L23" s="160">
        <f t="shared" si="2"/>
        <v>3686.5591680000002</v>
      </c>
      <c r="M23" s="80">
        <f t="shared" si="5"/>
        <v>212551.18</v>
      </c>
      <c r="N23" s="81">
        <f t="shared" si="6"/>
        <v>225304.18</v>
      </c>
      <c r="O23" s="82">
        <f t="shared" si="7"/>
        <v>218928.18</v>
      </c>
      <c r="P23" s="43">
        <f t="shared" si="9"/>
        <v>0.18000000000000002</v>
      </c>
      <c r="Q23" s="167"/>
      <c r="R23" s="167"/>
      <c r="S23" s="167"/>
      <c r="T23" s="167"/>
      <c r="U23" s="167"/>
    </row>
    <row r="24" spans="1:21" ht="17.100000000000001" customHeight="1" x14ac:dyDescent="0.3">
      <c r="A24" s="64"/>
      <c r="B24" s="64"/>
      <c r="C24" s="65"/>
      <c r="D24" s="73"/>
      <c r="E24" s="74"/>
      <c r="F24" s="166"/>
      <c r="G24" s="76"/>
      <c r="H24" s="76"/>
      <c r="I24" s="77"/>
      <c r="J24" s="78"/>
      <c r="K24" s="160"/>
      <c r="L24" s="79"/>
      <c r="M24" s="80"/>
      <c r="N24" s="81"/>
      <c r="O24" s="82"/>
      <c r="P24" s="43">
        <f t="shared" si="9"/>
        <v>0.19000000000000003</v>
      </c>
    </row>
    <row r="25" spans="1:21" ht="16.5" hidden="1" customHeight="1" x14ac:dyDescent="0.3">
      <c r="A25" s="83"/>
      <c r="B25" s="64"/>
      <c r="C25" s="65"/>
      <c r="D25" s="73"/>
      <c r="E25" s="85"/>
      <c r="F25" s="86"/>
      <c r="G25" s="87"/>
      <c r="H25" s="76"/>
      <c r="I25" s="77"/>
      <c r="J25" s="88"/>
      <c r="K25" s="181"/>
      <c r="L25" s="89"/>
      <c r="M25" s="80"/>
      <c r="N25" s="81"/>
      <c r="O25" s="82"/>
      <c r="P25" s="43"/>
    </row>
    <row r="26" spans="1:21" ht="22.5" hidden="1" customHeight="1" thickBot="1" x14ac:dyDescent="0.35">
      <c r="A26" s="83"/>
      <c r="B26" s="66"/>
      <c r="C26" s="65"/>
      <c r="D26" s="73"/>
      <c r="E26" s="85"/>
      <c r="F26" s="86"/>
      <c r="G26" s="87"/>
      <c r="H26" s="76"/>
      <c r="I26" s="77"/>
      <c r="J26" s="88"/>
      <c r="K26" s="181"/>
      <c r="L26" s="89"/>
      <c r="M26" s="80"/>
      <c r="N26" s="81"/>
      <c r="O26" s="82"/>
      <c r="P26" s="43"/>
    </row>
    <row r="27" spans="1:21" ht="16.5" hidden="1" customHeight="1" thickBot="1" x14ac:dyDescent="0.35">
      <c r="A27" s="84"/>
      <c r="B27" s="64"/>
      <c r="C27" s="65"/>
      <c r="D27" s="73"/>
      <c r="E27" s="85"/>
      <c r="F27" s="86"/>
      <c r="G27" s="87"/>
      <c r="H27" s="76"/>
      <c r="I27" s="77"/>
      <c r="J27" s="88"/>
      <c r="K27" s="181"/>
      <c r="L27" s="89"/>
      <c r="M27" s="80"/>
      <c r="N27" s="81"/>
      <c r="O27" s="82"/>
      <c r="P27" s="43"/>
    </row>
    <row r="28" spans="1:21" ht="17.100000000000001" customHeight="1" thickBot="1" x14ac:dyDescent="0.35">
      <c r="A28" s="64"/>
      <c r="B28" s="90"/>
      <c r="C28" s="90"/>
      <c r="D28" s="73"/>
      <c r="E28" s="85"/>
      <c r="F28" s="86"/>
      <c r="G28" s="87"/>
      <c r="H28" s="76"/>
      <c r="I28" s="77"/>
      <c r="J28" s="88"/>
      <c r="K28" s="181"/>
      <c r="L28" s="89"/>
      <c r="M28" s="91"/>
      <c r="N28" s="92"/>
      <c r="O28" s="93"/>
      <c r="P28" s="43"/>
    </row>
    <row r="29" spans="1:21" ht="17.100000000000001" customHeight="1" thickBot="1" x14ac:dyDescent="0.35">
      <c r="A29" s="94"/>
      <c r="B29" s="95"/>
      <c r="C29" s="95"/>
      <c r="D29" s="96">
        <f>SUM(D6:D28)</f>
        <v>100.08</v>
      </c>
      <c r="E29" s="53">
        <f>SUM(E6:E28)</f>
        <v>6840153.71</v>
      </c>
      <c r="F29" s="62">
        <f>SUM(F6:F28)</f>
        <v>3882232.5900000008</v>
      </c>
      <c r="G29" s="62">
        <f>SUM(G6:G28)</f>
        <v>2957921.1199999996</v>
      </c>
      <c r="H29" s="62">
        <f t="shared" ref="H29:N29" si="11">SUM(H6:H28)</f>
        <v>88737.637799999997</v>
      </c>
      <c r="I29" s="62">
        <f t="shared" si="11"/>
        <v>0</v>
      </c>
      <c r="J29" s="132">
        <f t="shared" si="11"/>
        <v>4883913.3774960004</v>
      </c>
      <c r="K29" s="132"/>
      <c r="L29" s="62">
        <f t="shared" si="11"/>
        <v>86203.467647999991</v>
      </c>
      <c r="M29" s="97">
        <f>SUM(M6:M23)</f>
        <v>8140278.71</v>
      </c>
      <c r="N29" s="97">
        <f t="shared" si="11"/>
        <v>8628695.7100000009</v>
      </c>
      <c r="O29" s="97">
        <f>SUM(O6:O28)</f>
        <v>8384486.71</v>
      </c>
    </row>
    <row r="30" spans="1:21" ht="12.75" customHeight="1" x14ac:dyDescent="0.3">
      <c r="B30" s="50"/>
      <c r="C30" s="50"/>
    </row>
    <row r="31" spans="1:21" hidden="1" x14ac:dyDescent="0.3"/>
    <row r="32" spans="1:21" ht="9" customHeight="1" x14ac:dyDescent="0.3">
      <c r="B32" s="210" t="str">
        <f>RESUMEN!A13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v>
      </c>
      <c r="C32" s="210"/>
      <c r="D32" s="210"/>
      <c r="E32" s="210"/>
      <c r="F32" s="210"/>
      <c r="G32" s="210"/>
      <c r="H32" s="210"/>
      <c r="I32" s="210"/>
      <c r="J32" s="210"/>
      <c r="K32" s="210"/>
      <c r="L32" s="210"/>
      <c r="M32" s="210"/>
    </row>
    <row r="33" spans="2:13" ht="12" hidden="1" customHeight="1" x14ac:dyDescent="0.3">
      <c r="B33" s="210"/>
      <c r="C33" s="210"/>
      <c r="D33" s="210"/>
      <c r="E33" s="210"/>
      <c r="F33" s="210"/>
      <c r="G33" s="210"/>
      <c r="H33" s="210"/>
      <c r="I33" s="210"/>
      <c r="J33" s="210"/>
      <c r="K33" s="210"/>
      <c r="L33" s="210"/>
      <c r="M33" s="210"/>
    </row>
    <row r="34" spans="2:13" ht="12" hidden="1" customHeight="1" x14ac:dyDescent="0.3">
      <c r="B34" s="210"/>
      <c r="C34" s="210"/>
      <c r="D34" s="210"/>
      <c r="E34" s="210"/>
      <c r="F34" s="210"/>
      <c r="G34" s="210"/>
      <c r="H34" s="210"/>
      <c r="I34" s="210"/>
      <c r="J34" s="210"/>
      <c r="K34" s="210"/>
      <c r="L34" s="210"/>
      <c r="M34" s="210"/>
    </row>
    <row r="35" spans="2:13" ht="12" hidden="1" customHeight="1" x14ac:dyDescent="0.3">
      <c r="B35" s="210"/>
      <c r="C35" s="210"/>
      <c r="D35" s="210"/>
      <c r="E35" s="210"/>
      <c r="F35" s="210"/>
      <c r="G35" s="210"/>
      <c r="H35" s="210"/>
      <c r="I35" s="210"/>
      <c r="J35" s="210"/>
      <c r="K35" s="210"/>
      <c r="L35" s="210"/>
      <c r="M35" s="210"/>
    </row>
    <row r="36" spans="2:13" ht="12" hidden="1" customHeight="1" x14ac:dyDescent="0.3">
      <c r="B36" s="210"/>
      <c r="C36" s="210"/>
      <c r="D36" s="210"/>
      <c r="E36" s="210"/>
      <c r="F36" s="210"/>
      <c r="G36" s="210"/>
      <c r="H36" s="210"/>
      <c r="I36" s="210"/>
      <c r="J36" s="210"/>
      <c r="K36" s="210"/>
      <c r="L36" s="210"/>
      <c r="M36" s="210"/>
    </row>
    <row r="37" spans="2:13" ht="67.5" customHeight="1" x14ac:dyDescent="0.3">
      <c r="B37" s="210"/>
      <c r="C37" s="210"/>
      <c r="D37" s="210"/>
      <c r="E37" s="210"/>
      <c r="F37" s="210"/>
      <c r="G37" s="210"/>
      <c r="H37" s="210"/>
      <c r="I37" s="210"/>
      <c r="J37" s="210"/>
      <c r="K37" s="210"/>
      <c r="L37" s="210"/>
      <c r="M37" s="210"/>
    </row>
  </sheetData>
  <mergeCells count="16">
    <mergeCell ref="O4:O5"/>
    <mergeCell ref="D1:M1"/>
    <mergeCell ref="H4:H5"/>
    <mergeCell ref="E4:E5"/>
    <mergeCell ref="N4:N5"/>
    <mergeCell ref="F4:F5"/>
    <mergeCell ref="G4:G5"/>
    <mergeCell ref="I4:I5"/>
    <mergeCell ref="J4:J5"/>
    <mergeCell ref="L4:L5"/>
    <mergeCell ref="B32:M37"/>
    <mergeCell ref="C4:C5"/>
    <mergeCell ref="A4:A5"/>
    <mergeCell ref="B4:B5"/>
    <mergeCell ref="D4:D5"/>
    <mergeCell ref="K4:K5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23E2-E76E-40B2-9631-974509386176}">
  <dimension ref="A1:O16"/>
  <sheetViews>
    <sheetView workbookViewId="0">
      <selection activeCell="B4" sqref="B4:F8"/>
    </sheetView>
  </sheetViews>
  <sheetFormatPr baseColWidth="10" defaultColWidth="10.88671875" defaultRowHeight="14.4" x14ac:dyDescent="0.3"/>
  <sheetData>
    <row r="1" spans="1:15" ht="15" thickBot="1" x14ac:dyDescent="0.35"/>
    <row r="2" spans="1:15" x14ac:dyDescent="0.3">
      <c r="B2" s="172" t="s">
        <v>104</v>
      </c>
      <c r="C2" s="173">
        <v>1</v>
      </c>
      <c r="D2" s="169"/>
      <c r="E2" s="169"/>
      <c r="F2" s="170"/>
    </row>
    <row r="3" spans="1:15" x14ac:dyDescent="0.3">
      <c r="B3" s="174" t="s">
        <v>105</v>
      </c>
      <c r="C3" s="175" t="s">
        <v>106</v>
      </c>
      <c r="F3" s="171"/>
    </row>
    <row r="4" spans="1:15" x14ac:dyDescent="0.3">
      <c r="B4" s="235" t="s">
        <v>107</v>
      </c>
      <c r="C4" s="236"/>
      <c r="D4" s="236"/>
      <c r="E4" s="236"/>
      <c r="F4" s="237"/>
    </row>
    <row r="5" spans="1:15" x14ac:dyDescent="0.3">
      <c r="B5" s="235"/>
      <c r="C5" s="236"/>
      <c r="D5" s="236"/>
      <c r="E5" s="236"/>
      <c r="F5" s="237"/>
    </row>
    <row r="6" spans="1:15" x14ac:dyDescent="0.3">
      <c r="A6" s="123"/>
      <c r="B6" s="235"/>
      <c r="C6" s="236"/>
      <c r="D6" s="236"/>
      <c r="E6" s="236"/>
      <c r="F6" s="237"/>
      <c r="N6" s="123"/>
      <c r="O6" s="123"/>
    </row>
    <row r="7" spans="1:15" x14ac:dyDescent="0.3">
      <c r="A7" s="123"/>
      <c r="B7" s="235"/>
      <c r="C7" s="236"/>
      <c r="D7" s="236"/>
      <c r="E7" s="236"/>
      <c r="F7" s="237"/>
      <c r="N7" s="123"/>
      <c r="O7" s="123"/>
    </row>
    <row r="8" spans="1:15" ht="15" thickBot="1" x14ac:dyDescent="0.35">
      <c r="A8" s="123"/>
      <c r="B8" s="238"/>
      <c r="C8" s="239"/>
      <c r="D8" s="239"/>
      <c r="E8" s="239"/>
      <c r="F8" s="240"/>
      <c r="N8" s="123"/>
      <c r="O8" s="123"/>
    </row>
    <row r="9" spans="1:15" ht="15" thickBot="1" x14ac:dyDescent="0.35">
      <c r="A9" s="123"/>
      <c r="N9" s="123"/>
      <c r="O9" s="123"/>
    </row>
    <row r="10" spans="1:15" x14ac:dyDescent="0.3">
      <c r="A10" s="123"/>
      <c r="B10" s="176" t="s">
        <v>104</v>
      </c>
      <c r="C10" s="177">
        <v>1</v>
      </c>
      <c r="D10" s="169"/>
      <c r="E10" s="169"/>
      <c r="F10" s="170"/>
      <c r="N10" s="123"/>
      <c r="O10" s="123"/>
    </row>
    <row r="11" spans="1:15" x14ac:dyDescent="0.3">
      <c r="A11" s="123"/>
      <c r="B11" s="178" t="s">
        <v>105</v>
      </c>
      <c r="C11" s="179" t="s">
        <v>108</v>
      </c>
      <c r="F11" s="171"/>
      <c r="N11" s="123"/>
      <c r="O11" s="123"/>
    </row>
    <row r="12" spans="1:15" x14ac:dyDescent="0.3">
      <c r="B12" s="235" t="s">
        <v>109</v>
      </c>
      <c r="C12" s="236"/>
      <c r="D12" s="236"/>
      <c r="E12" s="236"/>
      <c r="F12" s="237"/>
    </row>
    <row r="13" spans="1:15" x14ac:dyDescent="0.3">
      <c r="B13" s="235"/>
      <c r="C13" s="236"/>
      <c r="D13" s="236"/>
      <c r="E13" s="236"/>
      <c r="F13" s="237"/>
    </row>
    <row r="14" spans="1:15" x14ac:dyDescent="0.3">
      <c r="B14" s="235"/>
      <c r="C14" s="236"/>
      <c r="D14" s="236"/>
      <c r="E14" s="236"/>
      <c r="F14" s="237"/>
    </row>
    <row r="15" spans="1:15" x14ac:dyDescent="0.3">
      <c r="B15" s="235"/>
      <c r="C15" s="236"/>
      <c r="D15" s="236"/>
      <c r="E15" s="236"/>
      <c r="F15" s="237"/>
    </row>
    <row r="16" spans="1:15" ht="15" thickBot="1" x14ac:dyDescent="0.35">
      <c r="B16" s="238"/>
      <c r="C16" s="239"/>
      <c r="D16" s="239"/>
      <c r="E16" s="239"/>
      <c r="F16" s="240"/>
    </row>
  </sheetData>
  <mergeCells count="2">
    <mergeCell ref="B4:F8"/>
    <mergeCell ref="B12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2026-07-01T20:16:48Z</cp:lastPrinted>
  <dcterms:created xsi:type="dcterms:W3CDTF">2023-09-17T12:29:07Z</dcterms:created>
  <dcterms:modified xsi:type="dcterms:W3CDTF">2026-07-28T14:13:27Z</dcterms:modified>
</cp:coreProperties>
</file>