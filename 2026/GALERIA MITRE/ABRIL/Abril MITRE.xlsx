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Sistema\Desktop\rc-consorcio2025\2026\GALERIA MITRE\ABRIL\"/>
    </mc:Choice>
  </mc:AlternateContent>
  <xr:revisionPtr revIDLastSave="0" documentId="13_ncr:1_{F66983D1-E87E-430C-9232-6A9A0A8B1E49}" xr6:coauthVersionLast="47" xr6:coauthVersionMax="47" xr10:uidLastSave="{00000000-0000-0000-0000-000000000000}"/>
  <bookViews>
    <workbookView xWindow="-108" yWindow="-108" windowWidth="23256" windowHeight="12576" tabRatio="793" activeTab="1" xr2:uid="{00000000-000D-0000-FFFF-FFFF00000000}"/>
  </bookViews>
  <sheets>
    <sheet name="RESUMEN" sheetId="1" r:id="rId1"/>
    <sheet name="PRORRATEO" sheetId="2" r:id="rId2"/>
    <sheet name="ANOTACIONES" sheetId="3" r:id="rId3"/>
  </sheets>
  <definedNames>
    <definedName name="_xlnm.Print_Area" localSheetId="1">PRORRATEO!$A$1:$O$75</definedName>
    <definedName name="_xlnm.Print_Area" localSheetId="0">RESUMEN!$A$1:$D$116</definedName>
  </definedNames>
  <calcPr calcId="181029"/>
</workbook>
</file>

<file path=xl/calcChain.xml><?xml version="1.0" encoding="utf-8"?>
<calcChain xmlns="http://schemas.openxmlformats.org/spreadsheetml/2006/main">
  <c r="D19" i="3" l="1"/>
  <c r="D11" i="3"/>
  <c r="G56" i="2"/>
  <c r="G54" i="2" s="1"/>
  <c r="G55" i="2"/>
  <c r="G37" i="2"/>
  <c r="G39" i="2"/>
  <c r="G40" i="2"/>
  <c r="G38" i="2"/>
  <c r="C68" i="1"/>
  <c r="D45" i="1"/>
  <c r="B115" i="1"/>
  <c r="G42" i="2"/>
  <c r="G41" i="2" s="1"/>
  <c r="G50" i="2"/>
  <c r="G46" i="2"/>
  <c r="G45" i="2"/>
  <c r="G10" i="2"/>
  <c r="G13" i="2"/>
  <c r="G20" i="2" l="1"/>
  <c r="G19" i="2" s="1"/>
  <c r="I19" i="2" s="1"/>
  <c r="J19" i="2" s="1"/>
  <c r="G33" i="2"/>
  <c r="I33" i="2" s="1"/>
  <c r="J33" i="2" s="1"/>
  <c r="G62" i="2"/>
  <c r="G28" i="2"/>
  <c r="I52" i="2"/>
  <c r="J52" i="2" s="1"/>
  <c r="G49" i="2"/>
  <c r="I49" i="2" s="1"/>
  <c r="J49" i="2" s="1"/>
  <c r="G29" i="2"/>
  <c r="I29" i="2" s="1"/>
  <c r="J29" i="2" s="1"/>
  <c r="G9" i="2"/>
  <c r="G43" i="2"/>
  <c r="G36" i="2"/>
  <c r="G35" i="2" s="1"/>
  <c r="G12" i="2"/>
  <c r="G57" i="2"/>
  <c r="I57" i="2" s="1"/>
  <c r="J57" i="2" s="1"/>
  <c r="L46" i="2"/>
  <c r="L47" i="2"/>
  <c r="L48" i="2"/>
  <c r="L49" i="2"/>
  <c r="L50" i="2"/>
  <c r="L51" i="2"/>
  <c r="L52" i="2"/>
  <c r="L53" i="2"/>
  <c r="L54" i="2"/>
  <c r="L55" i="2"/>
  <c r="L56" i="2"/>
  <c r="L57" i="2"/>
  <c r="L58" i="2"/>
  <c r="L59" i="2"/>
  <c r="L60" i="2"/>
  <c r="L61" i="2"/>
  <c r="L62" i="2"/>
  <c r="L63" i="2"/>
  <c r="L64" i="2"/>
  <c r="K46" i="2"/>
  <c r="K47" i="2"/>
  <c r="K48" i="2"/>
  <c r="K49" i="2"/>
  <c r="K50" i="2"/>
  <c r="K51" i="2"/>
  <c r="K52" i="2"/>
  <c r="K53" i="2"/>
  <c r="K54" i="2"/>
  <c r="K55" i="2"/>
  <c r="K56" i="2"/>
  <c r="K57" i="2"/>
  <c r="K58" i="2"/>
  <c r="K59" i="2"/>
  <c r="K60" i="2"/>
  <c r="K61" i="2"/>
  <c r="K62" i="2"/>
  <c r="K63" i="2"/>
  <c r="K64" i="2"/>
  <c r="I46" i="2"/>
  <c r="J46" i="2" s="1"/>
  <c r="I47" i="2"/>
  <c r="J47" i="2" s="1"/>
  <c r="I48" i="2"/>
  <c r="J48" i="2" s="1"/>
  <c r="I50" i="2"/>
  <c r="J50" i="2" s="1"/>
  <c r="I51" i="2"/>
  <c r="J51" i="2" s="1"/>
  <c r="I53" i="2"/>
  <c r="J53" i="2" s="1"/>
  <c r="I54" i="2"/>
  <c r="J54" i="2" s="1"/>
  <c r="I55" i="2"/>
  <c r="J55" i="2" s="1"/>
  <c r="I56" i="2"/>
  <c r="J56" i="2" s="1"/>
  <c r="I58" i="2"/>
  <c r="J58" i="2" s="1"/>
  <c r="I59" i="2"/>
  <c r="J59" i="2" s="1"/>
  <c r="I60" i="2"/>
  <c r="J60" i="2" s="1"/>
  <c r="I61" i="2"/>
  <c r="J61" i="2" s="1"/>
  <c r="I62" i="2"/>
  <c r="J62" i="2" s="1"/>
  <c r="I63" i="2"/>
  <c r="J63" i="2" s="1"/>
  <c r="I64" i="2"/>
  <c r="J64" i="2" s="1"/>
  <c r="M66" i="2"/>
  <c r="F66" i="2"/>
  <c r="E66" i="2"/>
  <c r="L7" i="2"/>
  <c r="K7" i="2"/>
  <c r="I7" i="2"/>
  <c r="J7" i="2" s="1"/>
  <c r="D53" i="1"/>
  <c r="D52" i="1"/>
  <c r="D51" i="1"/>
  <c r="P7" i="2"/>
  <c r="P8" i="2" s="1"/>
  <c r="P9" i="2" s="1"/>
  <c r="P10" i="2" s="1"/>
  <c r="P11" i="2" s="1"/>
  <c r="P12" i="2" s="1"/>
  <c r="P13" i="2" s="1"/>
  <c r="P14" i="2" s="1"/>
  <c r="P15" i="2" s="1"/>
  <c r="P16" i="2" s="1"/>
  <c r="P17" i="2" s="1"/>
  <c r="P18" i="2" s="1"/>
  <c r="P19" i="2" s="1"/>
  <c r="P20" i="2" s="1"/>
  <c r="P21" i="2" s="1"/>
  <c r="P22" i="2" s="1"/>
  <c r="P23" i="2" s="1"/>
  <c r="P24" i="2" s="1"/>
  <c r="P25" i="2" s="1"/>
  <c r="P26" i="2" s="1"/>
  <c r="P27" i="2" s="1"/>
  <c r="P28" i="2" s="1"/>
  <c r="P29" i="2" s="1"/>
  <c r="P30" i="2" s="1"/>
  <c r="P31" i="2" s="1"/>
  <c r="P32" i="2" s="1"/>
  <c r="P33" i="2" s="1"/>
  <c r="P34" i="2" s="1"/>
  <c r="P35" i="2" s="1"/>
  <c r="P36" i="2" s="1"/>
  <c r="P37" i="2" s="1"/>
  <c r="P38" i="2" s="1"/>
  <c r="P39" i="2" s="1"/>
  <c r="P40" i="2" s="1"/>
  <c r="P41" i="2" s="1"/>
  <c r="P42" i="2" s="1"/>
  <c r="P43" i="2" s="1"/>
  <c r="P44" i="2" s="1"/>
  <c r="P45" i="2" s="1"/>
  <c r="P46" i="2" s="1"/>
  <c r="I45" i="2"/>
  <c r="J45" i="2" s="1"/>
  <c r="B8" i="2"/>
  <c r="B9" i="2" s="1"/>
  <c r="B10" i="2" s="1"/>
  <c r="B11" i="2" s="1"/>
  <c r="B12" i="2" s="1"/>
  <c r="B13" i="2" s="1"/>
  <c r="B14" i="2" s="1"/>
  <c r="B15" i="2" s="1"/>
  <c r="B16" i="2" s="1"/>
  <c r="B17" i="2" s="1"/>
  <c r="B18" i="2" s="1"/>
  <c r="B19" i="2" s="1"/>
  <c r="B20" i="2" s="1"/>
  <c r="B21" i="2" s="1"/>
  <c r="B22" i="2" s="1"/>
  <c r="B23" i="2" s="1"/>
  <c r="B24" i="2" s="1"/>
  <c r="B25" i="2" s="1"/>
  <c r="B26" i="2" s="1"/>
  <c r="B27" i="2" s="1"/>
  <c r="B28" i="2" s="1"/>
  <c r="B29" i="2" s="1"/>
  <c r="B30" i="2" s="1"/>
  <c r="B31" i="2" s="1"/>
  <c r="B32" i="2" s="1"/>
  <c r="B33" i="2" s="1"/>
  <c r="B34" i="2" s="1"/>
  <c r="B35" i="2" s="1"/>
  <c r="B36" i="2" s="1"/>
  <c r="B37" i="2" s="1"/>
  <c r="B38" i="2" s="1"/>
  <c r="B39" i="2" s="1"/>
  <c r="B40" i="2" s="1"/>
  <c r="B41" i="2" s="1"/>
  <c r="B42" i="2" s="1"/>
  <c r="B43" i="2" s="1"/>
  <c r="B44" i="2" s="1"/>
  <c r="B45" i="2" s="1"/>
  <c r="B46" i="2" s="1"/>
  <c r="B47" i="2" s="1"/>
  <c r="B48" i="2" s="1"/>
  <c r="B49" i="2" s="1"/>
  <c r="B50" i="2" s="1"/>
  <c r="B51" i="2" s="1"/>
  <c r="B52" i="2" s="1"/>
  <c r="B53" i="2" s="1"/>
  <c r="B54" i="2" s="1"/>
  <c r="B55" i="2" s="1"/>
  <c r="B56" i="2" s="1"/>
  <c r="B57" i="2" s="1"/>
  <c r="B58" i="2" s="1"/>
  <c r="B59" i="2" s="1"/>
  <c r="B60" i="2" s="1"/>
  <c r="B61" i="2" s="1"/>
  <c r="B62" i="2" s="1"/>
  <c r="B63" i="2" s="1"/>
  <c r="B64" i="2" s="1"/>
  <c r="I12" i="2"/>
  <c r="J12" i="2" s="1"/>
  <c r="I13" i="2"/>
  <c r="J13" i="2" s="1"/>
  <c r="I14" i="2"/>
  <c r="I15" i="2"/>
  <c r="J15" i="2" s="1"/>
  <c r="I16" i="2"/>
  <c r="J16" i="2" s="1"/>
  <c r="I17" i="2"/>
  <c r="J17" i="2" s="1"/>
  <c r="I18" i="2"/>
  <c r="J18" i="2" s="1"/>
  <c r="I20" i="2"/>
  <c r="J20" i="2" s="1"/>
  <c r="I21" i="2"/>
  <c r="J21" i="2" s="1"/>
  <c r="I22" i="2"/>
  <c r="I23" i="2"/>
  <c r="J23" i="2" s="1"/>
  <c r="I25" i="2"/>
  <c r="J25" i="2" s="1"/>
  <c r="I26" i="2"/>
  <c r="J26" i="2" s="1"/>
  <c r="I27" i="2"/>
  <c r="J27" i="2" s="1"/>
  <c r="I30" i="2"/>
  <c r="J30" i="2" s="1"/>
  <c r="I34" i="2"/>
  <c r="J34" i="2" s="1"/>
  <c r="I37" i="2"/>
  <c r="J37" i="2" s="1"/>
  <c r="I39" i="2"/>
  <c r="J39" i="2" s="1"/>
  <c r="I44" i="2"/>
  <c r="J44" i="2" s="1"/>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I24" i="2"/>
  <c r="J24" i="2" s="1"/>
  <c r="I41" i="2"/>
  <c r="J41" i="2" s="1"/>
  <c r="I43" i="2"/>
  <c r="J43" i="2" s="1"/>
  <c r="I36" i="2"/>
  <c r="J36" i="2" s="1"/>
  <c r="I42" i="2"/>
  <c r="J42" i="2" s="1"/>
  <c r="P47" i="2" l="1"/>
  <c r="N46" i="2"/>
  <c r="O46" i="2" s="1"/>
  <c r="G66" i="2"/>
  <c r="I35" i="2"/>
  <c r="J35" i="2" s="1"/>
  <c r="N47" i="2"/>
  <c r="O47" i="2" s="1"/>
  <c r="P48" i="2"/>
  <c r="N7" i="2"/>
  <c r="O7" i="2" s="1"/>
  <c r="J22" i="2"/>
  <c r="J14" i="2"/>
  <c r="I31" i="2"/>
  <c r="J31" i="2" s="1"/>
  <c r="I28" i="2"/>
  <c r="J28" i="2" s="1"/>
  <c r="D59" i="1"/>
  <c r="D65" i="1"/>
  <c r="C37" i="1"/>
  <c r="N48" i="2" l="1"/>
  <c r="O48" i="2" s="1"/>
  <c r="P49" i="2"/>
  <c r="C27" i="1"/>
  <c r="C32" i="1"/>
  <c r="I40" i="2"/>
  <c r="J40" i="2" s="1"/>
  <c r="D38" i="1" l="1"/>
  <c r="P50" i="2"/>
  <c r="N49" i="2"/>
  <c r="O49" i="2" s="1"/>
  <c r="D69" i="1"/>
  <c r="P51" i="2" l="1"/>
  <c r="N50" i="2"/>
  <c r="D41" i="1"/>
  <c r="O50" i="2" l="1"/>
  <c r="N51" i="2"/>
  <c r="O51" i="2" s="1"/>
  <c r="P52" i="2"/>
  <c r="I38" i="2"/>
  <c r="J38" i="2" s="1"/>
  <c r="N52" i="2" l="1"/>
  <c r="O52" i="2" s="1"/>
  <c r="P53" i="2"/>
  <c r="I32" i="2"/>
  <c r="J32" i="2" s="1"/>
  <c r="P54" i="2" l="1"/>
  <c r="N53" i="2"/>
  <c r="O53" i="2" s="1"/>
  <c r="L6" i="2"/>
  <c r="I8" i="2"/>
  <c r="J8" i="2" s="1"/>
  <c r="I9" i="2"/>
  <c r="I10" i="2"/>
  <c r="J10" i="2" s="1"/>
  <c r="I11" i="2"/>
  <c r="J11" i="2" s="1"/>
  <c r="J9" i="2" l="1"/>
  <c r="N54" i="2"/>
  <c r="O54" i="2" s="1"/>
  <c r="P55" i="2"/>
  <c r="H66" i="2"/>
  <c r="N55" i="2" l="1"/>
  <c r="O55" i="2" s="1"/>
  <c r="P56" i="2"/>
  <c r="P57" i="2" l="1"/>
  <c r="N56" i="2"/>
  <c r="O56" i="2" s="1"/>
  <c r="K8" i="2"/>
  <c r="K9" i="2"/>
  <c r="K10" i="2"/>
  <c r="K11" i="2"/>
  <c r="K6" i="2"/>
  <c r="K66" i="2" l="1"/>
  <c r="P58" i="2"/>
  <c r="N57" i="2"/>
  <c r="O57" i="2" s="1"/>
  <c r="D80" i="1"/>
  <c r="D85" i="1" s="1"/>
  <c r="B89" i="1" s="1"/>
  <c r="B100" i="1" s="1"/>
  <c r="P59" i="2" l="1"/>
  <c r="N58" i="2"/>
  <c r="O58" i="2" s="1"/>
  <c r="B97" i="1"/>
  <c r="N59" i="2" l="1"/>
  <c r="O59" i="2" s="1"/>
  <c r="P60" i="2"/>
  <c r="D73" i="1"/>
  <c r="N60" i="2" l="1"/>
  <c r="O60" i="2" s="1"/>
  <c r="P61" i="2"/>
  <c r="N5" i="2"/>
  <c r="P62" i="2" l="1"/>
  <c r="N61" i="2"/>
  <c r="O61" i="2" s="1"/>
  <c r="N12" i="2"/>
  <c r="O12" i="2" s="1"/>
  <c r="B96" i="1"/>
  <c r="N62" i="2" l="1"/>
  <c r="O62" i="2" s="1"/>
  <c r="P63" i="2"/>
  <c r="N13" i="2"/>
  <c r="O13" i="2" s="1"/>
  <c r="I6" i="2"/>
  <c r="J6" i="2" l="1"/>
  <c r="J66" i="2" s="1"/>
  <c r="I66" i="2"/>
  <c r="N63" i="2"/>
  <c r="O63" i="2" s="1"/>
  <c r="P64" i="2"/>
  <c r="N64" i="2" s="1"/>
  <c r="N14" i="2"/>
  <c r="O14" i="2" s="1"/>
  <c r="B90" i="1"/>
  <c r="O64" i="2" l="1"/>
  <c r="N15" i="2"/>
  <c r="O15" i="2" s="1"/>
  <c r="B88" i="1"/>
  <c r="B99" i="1" s="1"/>
  <c r="B101" i="1" s="1"/>
  <c r="L8" i="2"/>
  <c r="L66" i="2" s="1"/>
  <c r="L9" i="2"/>
  <c r="N9" i="2" s="1"/>
  <c r="L10" i="2"/>
  <c r="N10" i="2" s="1"/>
  <c r="L11" i="2"/>
  <c r="N11" i="2" s="1"/>
  <c r="N6" i="2"/>
  <c r="N16" i="2" l="1"/>
  <c r="O16" i="2" s="1"/>
  <c r="N8" i="2"/>
  <c r="O8" i="2" s="1"/>
  <c r="O6" i="2"/>
  <c r="O11" i="2"/>
  <c r="O10" i="2"/>
  <c r="O9" i="2"/>
  <c r="N17" i="2" l="1"/>
  <c r="O17" i="2" s="1"/>
  <c r="N18" i="2" l="1"/>
  <c r="B87" i="1"/>
  <c r="O18" i="2" l="1"/>
  <c r="N19" i="2"/>
  <c r="O19" i="2" s="1"/>
  <c r="N20" i="2" l="1"/>
  <c r="N21" i="2" l="1"/>
  <c r="O21" i="2" s="1"/>
  <c r="O20" i="2"/>
  <c r="N22" i="2" l="1"/>
  <c r="O22" i="2" s="1"/>
  <c r="N23" i="2" l="1"/>
  <c r="N24" i="2" l="1"/>
  <c r="O24" i="2" s="1"/>
  <c r="O23" i="2"/>
  <c r="N25" i="2" l="1"/>
  <c r="O25" i="2" l="1"/>
  <c r="N26" i="2"/>
  <c r="O26" i="2" s="1"/>
  <c r="N27" i="2" l="1"/>
  <c r="O27" i="2" s="1"/>
  <c r="N28" i="2" l="1"/>
  <c r="O28" i="2" s="1"/>
  <c r="N29" i="2" l="1"/>
  <c r="O29" i="2" s="1"/>
  <c r="N30" i="2" l="1"/>
  <c r="O30" i="2" s="1"/>
  <c r="N31" i="2" l="1"/>
  <c r="O31" i="2" s="1"/>
  <c r="N32" i="2" l="1"/>
  <c r="O32" i="2" s="1"/>
  <c r="N33" i="2" l="1"/>
  <c r="O33" i="2" s="1"/>
  <c r="N34" i="2" l="1"/>
  <c r="O34" i="2" s="1"/>
  <c r="N35" i="2" l="1"/>
  <c r="O35" i="2" l="1"/>
  <c r="N36" i="2"/>
  <c r="O36" i="2" s="1"/>
  <c r="N37" i="2" l="1"/>
  <c r="O37" i="2" s="1"/>
  <c r="N38" i="2" l="1"/>
  <c r="O38" i="2" s="1"/>
  <c r="N39" i="2" l="1"/>
  <c r="O39" i="2" s="1"/>
  <c r="N40" i="2" l="1"/>
  <c r="O40" i="2" s="1"/>
  <c r="N41" i="2" l="1"/>
  <c r="O41" i="2" s="1"/>
  <c r="N42" i="2" l="1"/>
  <c r="O42" i="2" s="1"/>
  <c r="N43" i="2" l="1"/>
  <c r="O43" i="2" l="1"/>
  <c r="N45" i="2"/>
  <c r="O45" i="2" s="1"/>
  <c r="N44" i="2"/>
  <c r="N66" i="2" l="1"/>
  <c r="O44" i="2"/>
  <c r="O66" i="2" s="1"/>
</calcChain>
</file>

<file path=xl/sharedStrings.xml><?xml version="1.0" encoding="utf-8"?>
<sst xmlns="http://schemas.openxmlformats.org/spreadsheetml/2006/main" count="241" uniqueCount="184">
  <si>
    <t>TOTAL SUELDO</t>
  </si>
  <si>
    <t>TOTAL IMPUESTO</t>
  </si>
  <si>
    <t>TOTAL Aportes y Contribuciones - Sindicato</t>
  </si>
  <si>
    <t>TOTAL ABONOS Y SERVICIOS</t>
  </si>
  <si>
    <t>Gastos Ordinarios:</t>
  </si>
  <si>
    <t>Piso</t>
  </si>
  <si>
    <t>Dpto.</t>
  </si>
  <si>
    <t>UF</t>
  </si>
  <si>
    <t>Propietario</t>
  </si>
  <si>
    <t xml:space="preserve">Ingreso </t>
  </si>
  <si>
    <t>Expensas extraor.</t>
  </si>
  <si>
    <t>TOTAL</t>
  </si>
  <si>
    <t>PB</t>
  </si>
  <si>
    <t>3º</t>
  </si>
  <si>
    <t>4º</t>
  </si>
  <si>
    <t>5º</t>
  </si>
  <si>
    <t>6º</t>
  </si>
  <si>
    <t>7º</t>
  </si>
  <si>
    <t>8º</t>
  </si>
  <si>
    <t>9º</t>
  </si>
  <si>
    <t>10º</t>
  </si>
  <si>
    <t>11º</t>
  </si>
  <si>
    <t>12º</t>
  </si>
  <si>
    <t>13º</t>
  </si>
  <si>
    <t>14º</t>
  </si>
  <si>
    <t>15º</t>
  </si>
  <si>
    <t>GASTOS ORDINARIOS UNIDADES FUNCIONALES:</t>
  </si>
  <si>
    <t>COC</t>
  </si>
  <si>
    <t xml:space="preserve"> (%)</t>
  </si>
  <si>
    <t>GASTOS BANCARIOS</t>
  </si>
  <si>
    <t xml:space="preserve">TOTAL ORDINARIOS </t>
  </si>
  <si>
    <t>GASTOS ORDINARIOS + PREVISION :</t>
  </si>
  <si>
    <t>GASTOS ORDINARIOS SIN PREVISION:</t>
  </si>
  <si>
    <t>Saldo anterior</t>
  </si>
  <si>
    <t xml:space="preserve">TOTAL </t>
  </si>
  <si>
    <t>APORTES Y CONTRIBUCIONES</t>
  </si>
  <si>
    <t>GASTOS GENERALES / MANTENIMIENTO</t>
  </si>
  <si>
    <t>ABONOS Y SERVICIOS</t>
  </si>
  <si>
    <t>HONORARIOS</t>
  </si>
  <si>
    <t>GASTOS EXTRAORDINARIOS UNIDADES FUNCIONALES:</t>
  </si>
  <si>
    <t>PREVISION EXTRAORDINARIA</t>
  </si>
  <si>
    <t xml:space="preserve">TOTAL EXTRAORDINARIOS </t>
  </si>
  <si>
    <t>GASTOS EXTRAORDINARIOS SIN PREVISION:</t>
  </si>
  <si>
    <t>Egresos Ordinarios</t>
  </si>
  <si>
    <t>Egresos Extraordinarios</t>
  </si>
  <si>
    <t>Expensas ord.</t>
  </si>
  <si>
    <t>Interes</t>
  </si>
  <si>
    <t>Pago por</t>
  </si>
  <si>
    <t>Deuda o Saldo a favor</t>
  </si>
  <si>
    <t xml:space="preserve">SEGUROS </t>
  </si>
  <si>
    <t>DEPOSITOS NO IDENTIFICADOS</t>
  </si>
  <si>
    <t>RESUMEN</t>
  </si>
  <si>
    <t>HABERES ENCARGADOS</t>
  </si>
  <si>
    <t>Neto</t>
  </si>
  <si>
    <t>Redondeo</t>
  </si>
  <si>
    <t>Retenciones</t>
  </si>
  <si>
    <t>Total 2do Vto</t>
  </si>
  <si>
    <t>Total 1er Vto</t>
  </si>
  <si>
    <t>Gastos part.</t>
  </si>
  <si>
    <t>GASTOS EXTRAORDINARIOS CON PREVISION:</t>
  </si>
  <si>
    <t>Saldo Ord</t>
  </si>
  <si>
    <t xml:space="preserve">Deposito sin identificar </t>
  </si>
  <si>
    <t>Ingreso Ordinarias</t>
  </si>
  <si>
    <t>Gastos Extraordinarios:</t>
  </si>
  <si>
    <t>ADMINISTRADORA: CAROLINA CANCIANI MP:1148 - CUIT ADMINISTRACION: 27231256879</t>
  </si>
  <si>
    <t>Arca931</t>
  </si>
  <si>
    <t>Sindicatos :  Seracarh</t>
  </si>
  <si>
    <t>Sindicatos :  Suther</t>
  </si>
  <si>
    <t>Sindicatos :  Fatherhy</t>
  </si>
  <si>
    <t>PREVISION ORDINARIA</t>
  </si>
  <si>
    <t>SI EN LA COLUMNA LLAMADA DEUDA O SALDO A FAVOR FIGURA UN NUMERO EN NEGATIVO SIGNIFICA QUE LA UF POSEE DINERO A FAVOR (ES DECIR PAGO DE MAS)</t>
  </si>
  <si>
    <t>HORARIOS DE ATENCION: 10 A 15HS - LUNES A VIERNES</t>
  </si>
  <si>
    <t>Banco  - Gastos bancarios</t>
  </si>
  <si>
    <t>VTO 15/05</t>
  </si>
  <si>
    <t>Transf 06/04</t>
  </si>
  <si>
    <t xml:space="preserve">Punitorios mal cobrados </t>
  </si>
  <si>
    <t xml:space="preserve">Banco - Mantenimiento cuenta corriente </t>
  </si>
  <si>
    <t>LA MONUMENTAL</t>
  </si>
  <si>
    <t>GINIGER RAUL</t>
  </si>
  <si>
    <t>GUTIERREZ NESTOR</t>
  </si>
  <si>
    <t>MARTINEZ VANESA</t>
  </si>
  <si>
    <t>DEBELJUH CARLOS</t>
  </si>
  <si>
    <t>LOBOS CARLOS</t>
  </si>
  <si>
    <t>PAOLI BRUNO</t>
  </si>
  <si>
    <t>TABOADA CHRISTIAN</t>
  </si>
  <si>
    <t>BORAS LAURA Y VANESSA</t>
  </si>
  <si>
    <t>OJEDA J. C. Y OTROS</t>
  </si>
  <si>
    <t>FUSARO MARIA CRISTINA</t>
  </si>
  <si>
    <t>BENJAMIN NESTOR</t>
  </si>
  <si>
    <t>GARGIULO RICARDO</t>
  </si>
  <si>
    <t>GARCIA PRADA E. Y OTRO</t>
  </si>
  <si>
    <t>MARTINEZ GABRIEL</t>
  </si>
  <si>
    <t>SCORPINO CARLOS</t>
  </si>
  <si>
    <t>CHICO JUAN MANUEL</t>
  </si>
  <si>
    <t>CALCAGNO JOSE</t>
  </si>
  <si>
    <t>DEMBITSKY GRACIELA</t>
  </si>
  <si>
    <t>BLASEVICH SILVIA</t>
  </si>
  <si>
    <t>CARRARO JUAN</t>
  </si>
  <si>
    <t>GALAN CARLOS</t>
  </si>
  <si>
    <t>SMURRO VIVIANA</t>
  </si>
  <si>
    <t>ELESGARAY JORGE</t>
  </si>
  <si>
    <t>RODRIGUEZ ELESGARAY</t>
  </si>
  <si>
    <t>DIEZ FERNANDO</t>
  </si>
  <si>
    <t>COLEGIO DE FARMACEUTICOS</t>
  </si>
  <si>
    <t>VAZQUEZ GUSTAVO</t>
  </si>
  <si>
    <t>SOTA</t>
  </si>
  <si>
    <t>L1</t>
  </si>
  <si>
    <t>L2</t>
  </si>
  <si>
    <t>L3</t>
  </si>
  <si>
    <t>L4</t>
  </si>
  <si>
    <t>L5</t>
  </si>
  <si>
    <t>L6</t>
  </si>
  <si>
    <t>L7</t>
  </si>
  <si>
    <t>L8</t>
  </si>
  <si>
    <t>L9</t>
  </si>
  <si>
    <t>L10</t>
  </si>
  <si>
    <t>L11</t>
  </si>
  <si>
    <t>L12</t>
  </si>
  <si>
    <t>L13</t>
  </si>
  <si>
    <t>L14</t>
  </si>
  <si>
    <t>L15</t>
  </si>
  <si>
    <t>L16</t>
  </si>
  <si>
    <t>L17</t>
  </si>
  <si>
    <t>L18</t>
  </si>
  <si>
    <t>L19</t>
  </si>
  <si>
    <t>L20</t>
  </si>
  <si>
    <t xml:space="preserve">RODRIGUEZ GIMENEZ TELMA </t>
  </si>
  <si>
    <t>MORCECIAN RUBEN RICARDO</t>
  </si>
  <si>
    <t>TELEFONO : 11-5320-2676 - MAIL: mitre686rc@gmail.com - OFICINA CON CITA PREVIA - DR MELO 2958 8° PISO</t>
  </si>
  <si>
    <t>Debito 01/04</t>
  </si>
  <si>
    <t>Hiedro Rodolfo Jorge - SAC vacaciones no gozadas - Indemnizacion por fallecimiento</t>
  </si>
  <si>
    <t>Transf 08/04</t>
  </si>
  <si>
    <t>Alicia Noemi Broccar - Transferencia realizada por adm. Saliente</t>
  </si>
  <si>
    <t>Debito 10/04</t>
  </si>
  <si>
    <t xml:space="preserve">EDESUR - Cliente 000115764200 </t>
  </si>
  <si>
    <t xml:space="preserve">EDESUR - Cliente 000466379100 </t>
  </si>
  <si>
    <t>Metrogas - Cliente 030003582146</t>
  </si>
  <si>
    <t>Debito 13/04</t>
  </si>
  <si>
    <t>Debito 16/04</t>
  </si>
  <si>
    <t>Cuota 32/36 - planes de pago - Afip - contrib. de seg. social 06/2022 y 11/2022</t>
  </si>
  <si>
    <t xml:space="preserve">Planes de pago - Afip - aportes de seg. social 06/2022 y 11/2022 </t>
  </si>
  <si>
    <t xml:space="preserve">Seguro integral del consorcio-Federacion Patronal poliza 2215767 </t>
  </si>
  <si>
    <t>Debito 27/04</t>
  </si>
  <si>
    <t xml:space="preserve">Julio Doartero - Abonado en Efectivo por adm. Entrante - Arreglo tablero zona ascensores </t>
  </si>
  <si>
    <t>Julio Doartero - Abonado en Efectivo por adm. Entrante - Engañado de porton</t>
  </si>
  <si>
    <t>Ef 02/04</t>
  </si>
  <si>
    <t>Carrafiele Julio -  Transferencia realizada por adm. Saliente - Mes de Marzo</t>
  </si>
  <si>
    <t>Ivana del Carmen Roldan -  Transferencia realizada por adm. Saliente - Mes de Marzo</t>
  </si>
  <si>
    <t>TOBIO DANIEL S.</t>
  </si>
  <si>
    <t>DEBELJUH RICARDO</t>
  </si>
  <si>
    <t>JELAVIC</t>
  </si>
  <si>
    <t>DIPACHI CLAUDIO MARCELO</t>
  </si>
  <si>
    <t>GINDRE ESTEFANIA</t>
  </si>
  <si>
    <t>SICUSO Y OTROS</t>
  </si>
  <si>
    <t>SICUSO FERNANDO</t>
  </si>
  <si>
    <t>CARBONE LUIS M.</t>
  </si>
  <si>
    <t>COLUCCI FAVIO H.</t>
  </si>
  <si>
    <t>IPARRAGUIRRE JUAN M.</t>
  </si>
  <si>
    <t>CASTILLO Y JEREZ</t>
  </si>
  <si>
    <t>YOCCO ROSA DEL CARMEN</t>
  </si>
  <si>
    <t>PRIETO ALONSO EMILIO</t>
  </si>
  <si>
    <t>CARRARO JORGE</t>
  </si>
  <si>
    <t>Deposito 07/04</t>
  </si>
  <si>
    <t>Nelida Micaela Atanes</t>
  </si>
  <si>
    <t>Transf 14/04 - Rocio Aylin Aristiza</t>
  </si>
  <si>
    <t>Laura Boras</t>
  </si>
  <si>
    <t>Benjamin Nestor Hora , abona con 27 centavos el pelotudo</t>
  </si>
  <si>
    <t>Importante para dueños o inquilinos: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dos locales),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t>
  </si>
  <si>
    <t>Deposito - 20/04</t>
  </si>
  <si>
    <t>Smurro Viviana - Jorge alberto Viera</t>
  </si>
  <si>
    <t>Colegio de farmaceuticos</t>
  </si>
  <si>
    <t>Nelida micaela Atane - 22/04</t>
  </si>
  <si>
    <t>Deposito 28/04</t>
  </si>
  <si>
    <t>Banco Galicia: Nro. De cuenta: 0000220-4716-6 - CBU: 0070716120000000220468 - Consorcio de propietarios Av. General Mite 686/92 - CUIT: 30-53618993-5</t>
  </si>
  <si>
    <t>Honorarios administracion RC - Se adeudan</t>
  </si>
  <si>
    <t>Escribania Rodriguez - Aljandra Rodriguez</t>
  </si>
  <si>
    <t>Lucrecia Ines Carbone</t>
  </si>
  <si>
    <t>Dinero Fondo FIMA - Al 07/05/2026</t>
  </si>
  <si>
    <t>Anotacion:</t>
  </si>
  <si>
    <t>UF:</t>
  </si>
  <si>
    <t>Dicen que depositaron $273,000 el 15/04 y no se lo computamos</t>
  </si>
  <si>
    <t>El deposito no identificado de $50.000 es de el</t>
  </si>
  <si>
    <t>10 y 16</t>
  </si>
  <si>
    <t>Nelida Micaela atanes es local 10 y 16. El deposito no identificado del mes anterior es del local 10. Este mes abono de mas.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</si>
</sst>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quot;$&quot;\ * #,##0.0_-;\-&quot;$&quot;\ * #,##0.0_-;_-&quot;$&quot;\ * &quot;-&quot;??_-;_-@_-"/>
  </numFmts>
  <fonts count="25"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0"/>
      <name val="Calibri"/>
      <family val="2"/>
      <scheme val="minor"/>
    </font>
    <font>
      <b/>
      <sz val="10"/>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b/>
      <i/>
      <u/>
      <sz val="11"/>
      <color theme="1"/>
      <name val="Calibri"/>
      <family val="2"/>
      <scheme val="minor"/>
    </font>
    <font>
      <sz val="9"/>
      <color theme="1"/>
      <name val="Calibri"/>
      <family val="2"/>
      <scheme val="minor"/>
    </font>
    <font>
      <sz val="8"/>
      <color theme="1"/>
      <name val="Calibri"/>
      <family val="2"/>
      <scheme val="minor"/>
    </font>
    <font>
      <sz val="9"/>
      <name val="Calibri"/>
      <family val="2"/>
      <scheme val="minor"/>
    </font>
    <font>
      <b/>
      <sz val="12"/>
      <color theme="1"/>
      <name val="Calibri"/>
      <family val="2"/>
      <scheme val="minor"/>
    </font>
    <font>
      <b/>
      <sz val="16"/>
      <color theme="1"/>
      <name val="Calibri"/>
      <family val="2"/>
      <scheme val="minor"/>
    </font>
    <font>
      <b/>
      <i/>
      <sz val="11"/>
      <color theme="1"/>
      <name val="Calibri"/>
      <family val="2"/>
      <scheme val="minor"/>
    </font>
    <font>
      <b/>
      <i/>
      <sz val="11"/>
      <name val="Calibri"/>
      <family val="2"/>
      <scheme val="minor"/>
    </font>
    <font>
      <sz val="8"/>
      <name val="Calibri"/>
      <family val="2"/>
      <scheme val="minor"/>
    </font>
    <font>
      <sz val="8"/>
      <color theme="0"/>
      <name val="Calibri"/>
      <family val="2"/>
      <scheme val="minor"/>
    </font>
    <font>
      <b/>
      <i/>
      <u/>
      <sz val="10"/>
      <name val="Calibri"/>
      <family val="2"/>
      <scheme val="minor"/>
    </font>
    <font>
      <sz val="10"/>
      <name val="Calibri"/>
      <family val="2"/>
      <scheme val="minor"/>
    </font>
    <font>
      <sz val="10"/>
      <color rgb="FFFF0000"/>
      <name val="Calibri"/>
      <family val="2"/>
      <scheme val="minor"/>
    </font>
  </fonts>
  <fills count="14">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4"/>
        <bgColor indexed="64"/>
      </patternFill>
    </fill>
    <fill>
      <patternFill patternType="solid">
        <fgColor theme="3" tint="0.59999389629810485"/>
        <bgColor indexed="64"/>
      </patternFill>
    </fill>
    <fill>
      <patternFill patternType="solid">
        <fgColor theme="6"/>
        <bgColor indexed="64"/>
      </patternFill>
    </fill>
    <fill>
      <patternFill patternType="solid">
        <fgColor theme="9"/>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style="medium">
        <color indexed="64"/>
      </left>
      <right/>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s>
  <cellStyleXfs count="3">
    <xf numFmtId="0" fontId="0" fillId="0" borderId="0"/>
    <xf numFmtId="44" fontId="1" fillId="0" borderId="0" applyFont="0" applyFill="0" applyBorder="0" applyAlignment="0" applyProtection="0"/>
    <xf numFmtId="164" fontId="1" fillId="0" borderId="0" applyFont="0" applyFill="0" applyBorder="0" applyAlignment="0" applyProtection="0"/>
  </cellStyleXfs>
  <cellXfs count="226">
    <xf numFmtId="0" fontId="0" fillId="0" borderId="0" xfId="0"/>
    <xf numFmtId="0" fontId="0" fillId="0" borderId="16" xfId="0" applyBorder="1"/>
    <xf numFmtId="0" fontId="2" fillId="0" borderId="0" xfId="0" applyFont="1"/>
    <xf numFmtId="0" fontId="2" fillId="5" borderId="9" xfId="0" applyFont="1" applyFill="1" applyBorder="1"/>
    <xf numFmtId="0" fontId="2" fillId="5" borderId="10" xfId="0" applyFont="1" applyFill="1" applyBorder="1"/>
    <xf numFmtId="0" fontId="0" fillId="0" borderId="1" xfId="0" applyBorder="1"/>
    <xf numFmtId="0" fontId="0" fillId="3" borderId="0" xfId="0" applyFill="1"/>
    <xf numFmtId="0" fontId="0" fillId="0" borderId="5" xfId="0" applyBorder="1"/>
    <xf numFmtId="0" fontId="0" fillId="5" borderId="12" xfId="0" applyFill="1" applyBorder="1"/>
    <xf numFmtId="10" fontId="2" fillId="5" borderId="10" xfId="0" applyNumberFormat="1" applyFont="1" applyFill="1" applyBorder="1"/>
    <xf numFmtId="0" fontId="2" fillId="5" borderId="14" xfId="0" applyFont="1" applyFill="1" applyBorder="1"/>
    <xf numFmtId="0" fontId="2" fillId="5" borderId="12" xfId="0" applyFont="1" applyFill="1" applyBorder="1"/>
    <xf numFmtId="0" fontId="0" fillId="5" borderId="15" xfId="0" applyFill="1" applyBorder="1"/>
    <xf numFmtId="8" fontId="0" fillId="0" borderId="0" xfId="0" applyNumberFormat="1"/>
    <xf numFmtId="0" fontId="5" fillId="6" borderId="0" xfId="0" applyFont="1" applyFill="1"/>
    <xf numFmtId="0" fontId="6" fillId="0" borderId="1" xfId="0" applyFont="1" applyBorder="1"/>
    <xf numFmtId="0" fontId="6" fillId="0" borderId="1" xfId="0" applyFont="1" applyBorder="1" applyAlignment="1">
      <alignment vertical="center" wrapText="1"/>
    </xf>
    <xf numFmtId="0" fontId="2" fillId="4" borderId="1" xfId="0" applyFont="1" applyFill="1" applyBorder="1"/>
    <xf numFmtId="8" fontId="7" fillId="4" borderId="6" xfId="0" applyNumberFormat="1" applyFont="1" applyFill="1" applyBorder="1"/>
    <xf numFmtId="0" fontId="2" fillId="8" borderId="1" xfId="0" applyFont="1" applyFill="1" applyBorder="1"/>
    <xf numFmtId="0" fontId="2" fillId="8" borderId="6" xfId="0" applyFont="1" applyFill="1" applyBorder="1"/>
    <xf numFmtId="0" fontId="2" fillId="0" borderId="1" xfId="0" applyFont="1" applyBorder="1"/>
    <xf numFmtId="0" fontId="10" fillId="2" borderId="0" xfId="0" applyFont="1" applyFill="1"/>
    <xf numFmtId="0" fontId="11" fillId="4" borderId="1" xfId="0" applyFont="1" applyFill="1" applyBorder="1"/>
    <xf numFmtId="0" fontId="7" fillId="4" borderId="1" xfId="0" applyFont="1" applyFill="1" applyBorder="1"/>
    <xf numFmtId="0" fontId="12" fillId="4" borderId="1" xfId="0" applyFont="1" applyFill="1" applyBorder="1"/>
    <xf numFmtId="8" fontId="11" fillId="4" borderId="1" xfId="0" applyNumberFormat="1" applyFont="1" applyFill="1" applyBorder="1"/>
    <xf numFmtId="44" fontId="7" fillId="4" borderId="1" xfId="1" applyFont="1" applyFill="1" applyBorder="1"/>
    <xf numFmtId="44" fontId="0" fillId="0" borderId="1" xfId="1" applyFont="1" applyBorder="1"/>
    <xf numFmtId="44" fontId="7" fillId="4" borderId="6" xfId="1" applyFont="1" applyFill="1" applyBorder="1"/>
    <xf numFmtId="44" fontId="4" fillId="4" borderId="1" xfId="1" applyFont="1" applyFill="1" applyBorder="1"/>
    <xf numFmtId="44" fontId="4" fillId="4" borderId="6" xfId="1" applyFont="1" applyFill="1" applyBorder="1"/>
    <xf numFmtId="0" fontId="0" fillId="0" borderId="0" xfId="0" applyAlignment="1">
      <alignment wrapText="1"/>
    </xf>
    <xf numFmtId="0" fontId="6" fillId="0" borderId="1" xfId="0" applyFont="1" applyBorder="1" applyAlignment="1">
      <alignment vertical="top" wrapText="1"/>
    </xf>
    <xf numFmtId="44" fontId="6" fillId="2" borderId="1" xfId="1" applyFont="1" applyFill="1" applyBorder="1"/>
    <xf numFmtId="44" fontId="3" fillId="2" borderId="1" xfId="1" applyFont="1" applyFill="1" applyBorder="1"/>
    <xf numFmtId="0" fontId="8" fillId="2" borderId="0" xfId="0" applyFont="1" applyFill="1"/>
    <xf numFmtId="44" fontId="0" fillId="0" borderId="0" xfId="0" applyNumberFormat="1"/>
    <xf numFmtId="0" fontId="9" fillId="6" borderId="0" xfId="0" applyFont="1" applyFill="1"/>
    <xf numFmtId="0" fontId="0" fillId="4" borderId="0" xfId="0" applyFill="1"/>
    <xf numFmtId="0" fontId="2" fillId="4" borderId="0" xfId="0" applyFont="1" applyFill="1"/>
    <xf numFmtId="0" fontId="13" fillId="0" borderId="0" xfId="0" applyFont="1"/>
    <xf numFmtId="0" fontId="2" fillId="4" borderId="3" xfId="0" applyFont="1" applyFill="1" applyBorder="1"/>
    <xf numFmtId="0" fontId="18" fillId="11" borderId="1" xfId="0" applyFont="1" applyFill="1" applyBorder="1"/>
    <xf numFmtId="8" fontId="19" fillId="11" borderId="6" xfId="0" applyNumberFormat="1" applyFont="1" applyFill="1" applyBorder="1"/>
    <xf numFmtId="44" fontId="0" fillId="4" borderId="0" xfId="1" applyFont="1" applyFill="1"/>
    <xf numFmtId="0" fontId="15" fillId="3" borderId="20" xfId="0" applyFont="1" applyFill="1" applyBorder="1" applyAlignment="1">
      <alignment horizontal="center" vertical="center" wrapText="1"/>
    </xf>
    <xf numFmtId="0" fontId="15" fillId="3" borderId="18" xfId="0" applyFont="1" applyFill="1" applyBorder="1" applyAlignment="1">
      <alignment horizontal="center" vertical="center" wrapText="1"/>
    </xf>
    <xf numFmtId="0" fontId="14" fillId="0" borderId="1" xfId="0" applyFont="1" applyBorder="1"/>
    <xf numFmtId="44" fontId="10" fillId="4" borderId="1" xfId="1" applyFont="1" applyFill="1" applyBorder="1"/>
    <xf numFmtId="44" fontId="6" fillId="5" borderId="11" xfId="0" applyNumberFormat="1" applyFont="1" applyFill="1" applyBorder="1"/>
    <xf numFmtId="0" fontId="14" fillId="0" borderId="1" xfId="0" applyFont="1" applyBorder="1" applyAlignment="1">
      <alignment horizontal="center"/>
    </xf>
    <xf numFmtId="44" fontId="20" fillId="0" borderId="1" xfId="1" applyFont="1" applyBorder="1"/>
    <xf numFmtId="44" fontId="20" fillId="2" borderId="1" xfId="1" applyFont="1" applyFill="1" applyBorder="1"/>
    <xf numFmtId="165" fontId="20" fillId="2" borderId="1" xfId="1" applyNumberFormat="1" applyFont="1" applyFill="1" applyBorder="1"/>
    <xf numFmtId="165" fontId="14" fillId="0" borderId="1" xfId="0" applyNumberFormat="1" applyFont="1" applyBorder="1"/>
    <xf numFmtId="165" fontId="14" fillId="0" borderId="1" xfId="1" applyNumberFormat="1" applyFont="1" applyBorder="1"/>
    <xf numFmtId="44" fontId="14" fillId="0" borderId="6" xfId="1" applyFont="1" applyBorder="1"/>
    <xf numFmtId="44" fontId="20" fillId="0" borderId="25" xfId="1" applyFont="1" applyBorder="1"/>
    <xf numFmtId="44" fontId="20" fillId="0" borderId="27" xfId="1" applyFont="1" applyBorder="1"/>
    <xf numFmtId="44" fontId="21" fillId="0" borderId="1" xfId="1" applyFont="1" applyBorder="1"/>
    <xf numFmtId="165" fontId="21" fillId="2" borderId="1" xfId="1" applyNumberFormat="1" applyFont="1" applyFill="1" applyBorder="1"/>
    <xf numFmtId="165" fontId="21" fillId="0" borderId="1" xfId="0" applyNumberFormat="1" applyFont="1" applyBorder="1"/>
    <xf numFmtId="165" fontId="21" fillId="0" borderId="1" xfId="1" applyNumberFormat="1" applyFont="1" applyBorder="1"/>
    <xf numFmtId="0" fontId="14" fillId="10" borderId="21" xfId="0" applyFont="1" applyFill="1" applyBorder="1"/>
    <xf numFmtId="0" fontId="14" fillId="4" borderId="26" xfId="0" applyFont="1" applyFill="1" applyBorder="1"/>
    <xf numFmtId="44" fontId="14" fillId="4" borderId="21" xfId="0" applyNumberFormat="1" applyFont="1" applyFill="1" applyBorder="1"/>
    <xf numFmtId="0" fontId="6" fillId="7" borderId="9" xfId="0" applyFont="1" applyFill="1" applyBorder="1"/>
    <xf numFmtId="44" fontId="6" fillId="7" borderId="11" xfId="0" applyNumberFormat="1" applyFont="1" applyFill="1" applyBorder="1"/>
    <xf numFmtId="0" fontId="4" fillId="0" borderId="1" xfId="0" applyFont="1" applyBorder="1"/>
    <xf numFmtId="0" fontId="4" fillId="11" borderId="1" xfId="0" applyFont="1" applyFill="1" applyBorder="1"/>
    <xf numFmtId="8" fontId="10" fillId="4" borderId="21" xfId="1" applyNumberFormat="1" applyFont="1" applyFill="1" applyBorder="1"/>
    <xf numFmtId="44" fontId="22" fillId="4" borderId="3" xfId="1" applyFont="1" applyFill="1" applyBorder="1"/>
    <xf numFmtId="44" fontId="10" fillId="4" borderId="21" xfId="1" applyFont="1" applyFill="1" applyBorder="1"/>
    <xf numFmtId="44" fontId="23" fillId="4" borderId="3" xfId="1" applyFont="1" applyFill="1" applyBorder="1"/>
    <xf numFmtId="0" fontId="23" fillId="0" borderId="1" xfId="1" applyNumberFormat="1" applyFont="1" applyBorder="1" applyAlignment="1">
      <alignment horizontal="left"/>
    </xf>
    <xf numFmtId="44" fontId="10" fillId="4" borderId="13" xfId="1" applyFont="1" applyFill="1" applyBorder="1"/>
    <xf numFmtId="44" fontId="4" fillId="2" borderId="6" xfId="1" applyFont="1" applyFill="1" applyBorder="1"/>
    <xf numFmtId="44" fontId="23" fillId="2" borderId="1" xfId="1" applyFont="1" applyFill="1" applyBorder="1"/>
    <xf numFmtId="44" fontId="10" fillId="4" borderId="2" xfId="1" applyFont="1" applyFill="1" applyBorder="1"/>
    <xf numFmtId="44" fontId="23" fillId="2" borderId="3" xfId="1" applyFont="1" applyFill="1" applyBorder="1"/>
    <xf numFmtId="8" fontId="7" fillId="4" borderId="22" xfId="0" applyNumberFormat="1" applyFont="1" applyFill="1" applyBorder="1"/>
    <xf numFmtId="0" fontId="23" fillId="0" borderId="4" xfId="0" applyFont="1" applyBorder="1"/>
    <xf numFmtId="44" fontId="10" fillId="8" borderId="13" xfId="1" applyFont="1" applyFill="1" applyBorder="1"/>
    <xf numFmtId="0" fontId="4" fillId="0" borderId="0" xfId="0" applyFont="1"/>
    <xf numFmtId="0" fontId="23" fillId="0" borderId="17" xfId="0" applyFont="1" applyBorder="1"/>
    <xf numFmtId="0" fontId="7" fillId="5" borderId="10" xfId="0" applyFont="1" applyFill="1" applyBorder="1"/>
    <xf numFmtId="44" fontId="10" fillId="5" borderId="11" xfId="0" applyNumberFormat="1" applyFont="1" applyFill="1" applyBorder="1"/>
    <xf numFmtId="0" fontId="4" fillId="5" borderId="12" xfId="0" applyFont="1" applyFill="1" applyBorder="1"/>
    <xf numFmtId="0" fontId="4" fillId="5" borderId="15" xfId="0" applyFont="1" applyFill="1" applyBorder="1"/>
    <xf numFmtId="0" fontId="3" fillId="0" borderId="1" xfId="0" applyFont="1" applyBorder="1" applyAlignment="1">
      <alignment vertical="center" wrapText="1"/>
    </xf>
    <xf numFmtId="44" fontId="9" fillId="6" borderId="0" xfId="0" applyNumberFormat="1" applyFont="1" applyFill="1"/>
    <xf numFmtId="0" fontId="0" fillId="2" borderId="6" xfId="0" applyFill="1" applyBorder="1" applyAlignment="1">
      <alignment horizontal="left" vertical="center" wrapText="1"/>
    </xf>
    <xf numFmtId="0" fontId="0" fillId="2" borderId="24" xfId="0" applyFill="1" applyBorder="1" applyAlignment="1">
      <alignment horizontal="left" vertical="center" wrapText="1"/>
    </xf>
    <xf numFmtId="44" fontId="7" fillId="0" borderId="1" xfId="1" applyFont="1" applyBorder="1"/>
    <xf numFmtId="8" fontId="19" fillId="11" borderId="1" xfId="0" applyNumberFormat="1" applyFont="1" applyFill="1" applyBorder="1"/>
    <xf numFmtId="0" fontId="0" fillId="0" borderId="7" xfId="0" applyBorder="1" applyAlignment="1">
      <alignment horizontal="left" vertical="center"/>
    </xf>
    <xf numFmtId="0" fontId="2" fillId="3" borderId="0" xfId="0" applyFont="1" applyFill="1" applyAlignment="1">
      <alignment horizontal="left"/>
    </xf>
    <xf numFmtId="0" fontId="6" fillId="3" borderId="0" xfId="0" applyFont="1" applyFill="1"/>
    <xf numFmtId="0" fontId="2" fillId="3" borderId="0" xfId="0" applyFont="1" applyFill="1" applyAlignment="1">
      <alignment vertical="center" wrapText="1"/>
    </xf>
    <xf numFmtId="0" fontId="18" fillId="11" borderId="3" xfId="0" applyFont="1" applyFill="1" applyBorder="1"/>
    <xf numFmtId="0" fontId="4" fillId="2" borderId="1" xfId="0" applyFont="1" applyFill="1" applyBorder="1"/>
    <xf numFmtId="0" fontId="6" fillId="3" borderId="0" xfId="0" applyFont="1" applyFill="1" applyAlignment="1">
      <alignment horizontal="left"/>
    </xf>
    <xf numFmtId="0" fontId="0" fillId="0" borderId="1" xfId="0" applyBorder="1" applyAlignment="1">
      <alignment vertical="center"/>
    </xf>
    <xf numFmtId="0" fontId="0" fillId="2" borderId="0" xfId="0" applyFill="1"/>
    <xf numFmtId="43" fontId="0" fillId="0" borderId="0" xfId="0" applyNumberFormat="1"/>
    <xf numFmtId="44" fontId="24" fillId="2" borderId="1" xfId="1" applyFont="1" applyFill="1" applyBorder="1"/>
    <xf numFmtId="0" fontId="15" fillId="2" borderId="1" xfId="1" applyNumberFormat="1" applyFont="1" applyFill="1" applyBorder="1" applyAlignment="1">
      <alignment horizontal="left"/>
    </xf>
    <xf numFmtId="0" fontId="15" fillId="2" borderId="2" xfId="1" applyNumberFormat="1" applyFont="1" applyFill="1" applyBorder="1" applyAlignment="1"/>
    <xf numFmtId="44" fontId="15" fillId="0" borderId="2" xfId="1" applyFont="1" applyBorder="1"/>
    <xf numFmtId="0" fontId="15" fillId="2" borderId="1" xfId="1" applyNumberFormat="1" applyFont="1" applyFill="1" applyBorder="1" applyAlignment="1"/>
    <xf numFmtId="44" fontId="15" fillId="0" borderId="1" xfId="1" applyFont="1" applyBorder="1"/>
    <xf numFmtId="44" fontId="6" fillId="8" borderId="1" xfId="1" applyFont="1" applyFill="1" applyBorder="1" applyAlignment="1">
      <alignment vertical="center"/>
    </xf>
    <xf numFmtId="8" fontId="4" fillId="2" borderId="1" xfId="0" applyNumberFormat="1" applyFont="1" applyFill="1" applyBorder="1"/>
    <xf numFmtId="165" fontId="0" fillId="3" borderId="8" xfId="1" applyNumberFormat="1" applyFont="1" applyFill="1" applyBorder="1" applyAlignment="1">
      <alignment vertical="center"/>
    </xf>
    <xf numFmtId="0" fontId="4" fillId="4" borderId="1" xfId="0" applyFont="1" applyFill="1" applyBorder="1"/>
    <xf numFmtId="44" fontId="4" fillId="2" borderId="1" xfId="1" applyFont="1" applyFill="1" applyBorder="1"/>
    <xf numFmtId="0" fontId="7" fillId="4" borderId="1" xfId="0" applyFont="1" applyFill="1" applyBorder="1" applyAlignment="1">
      <alignment wrapText="1"/>
    </xf>
    <xf numFmtId="0" fontId="14" fillId="2" borderId="1" xfId="0" applyFont="1" applyFill="1" applyBorder="1"/>
    <xf numFmtId="0" fontId="14" fillId="2" borderId="1" xfId="0" applyFont="1" applyFill="1" applyBorder="1" applyAlignment="1">
      <alignment horizontal="center"/>
    </xf>
    <xf numFmtId="165" fontId="14" fillId="2" borderId="1" xfId="0" applyNumberFormat="1" applyFont="1" applyFill="1" applyBorder="1"/>
    <xf numFmtId="165" fontId="14" fillId="2" borderId="1" xfId="1" applyNumberFormat="1" applyFont="1" applyFill="1" applyBorder="1"/>
    <xf numFmtId="44" fontId="14" fillId="2" borderId="6" xfId="1" applyFont="1" applyFill="1" applyBorder="1"/>
    <xf numFmtId="44" fontId="20" fillId="2" borderId="25" xfId="1" applyFont="1" applyFill="1" applyBorder="1"/>
    <xf numFmtId="44" fontId="20" fillId="2" borderId="27" xfId="1" applyFont="1" applyFill="1" applyBorder="1"/>
    <xf numFmtId="4" fontId="0" fillId="0" borderId="0" xfId="0" applyNumberFormat="1"/>
    <xf numFmtId="0" fontId="23" fillId="2" borderId="1" xfId="1" applyNumberFormat="1" applyFont="1" applyFill="1" applyBorder="1" applyAlignment="1"/>
    <xf numFmtId="44" fontId="4" fillId="0" borderId="1" xfId="1" applyFont="1" applyBorder="1" applyAlignment="1">
      <alignment vertical="center" wrapText="1"/>
    </xf>
    <xf numFmtId="8" fontId="4" fillId="2" borderId="6" xfId="0" applyNumberFormat="1" applyFont="1" applyFill="1" applyBorder="1"/>
    <xf numFmtId="165" fontId="0" fillId="0" borderId="0" xfId="0" applyNumberFormat="1"/>
    <xf numFmtId="166" fontId="0" fillId="0" borderId="0" xfId="1" applyNumberFormat="1" applyFont="1"/>
    <xf numFmtId="44" fontId="4" fillId="0" borderId="1" xfId="1" applyFont="1" applyBorder="1"/>
    <xf numFmtId="0" fontId="4" fillId="0" borderId="7" xfId="0" applyFont="1" applyBorder="1"/>
    <xf numFmtId="0" fontId="6" fillId="0" borderId="1" xfId="0" applyFont="1" applyBorder="1" applyAlignment="1">
      <alignment vertical="center"/>
    </xf>
    <xf numFmtId="44" fontId="7" fillId="0" borderId="0" xfId="1" applyFont="1" applyBorder="1"/>
    <xf numFmtId="0" fontId="14" fillId="2" borderId="1" xfId="0" applyFont="1" applyFill="1" applyBorder="1" applyAlignment="1">
      <alignment horizontal="left" vertical="center" wrapText="1"/>
    </xf>
    <xf numFmtId="0" fontId="14" fillId="4" borderId="21" xfId="0" applyFont="1" applyFill="1" applyBorder="1"/>
    <xf numFmtId="165" fontId="14" fillId="4" borderId="21" xfId="0" applyNumberFormat="1" applyFont="1" applyFill="1" applyBorder="1"/>
    <xf numFmtId="0" fontId="14" fillId="0" borderId="1" xfId="0" applyFont="1" applyBorder="1" applyAlignment="1">
      <alignment vertical="center" wrapText="1"/>
    </xf>
    <xf numFmtId="1" fontId="14" fillId="4" borderId="21" xfId="0" applyNumberFormat="1" applyFont="1" applyFill="1" applyBorder="1" applyAlignment="1">
      <alignment horizontal="center"/>
    </xf>
    <xf numFmtId="165" fontId="0" fillId="3" borderId="0" xfId="1" applyNumberFormat="1" applyFont="1" applyFill="1" applyBorder="1" applyAlignment="1">
      <alignment vertical="center"/>
    </xf>
    <xf numFmtId="44" fontId="0" fillId="3" borderId="17" xfId="1" applyFont="1" applyFill="1" applyBorder="1" applyAlignment="1"/>
    <xf numFmtId="44" fontId="0" fillId="3" borderId="26" xfId="1" applyFont="1" applyFill="1" applyBorder="1" applyAlignment="1">
      <alignment vertical="center"/>
    </xf>
    <xf numFmtId="8" fontId="0" fillId="3" borderId="16" xfId="0" applyNumberFormat="1" applyFill="1" applyBorder="1" applyAlignment="1">
      <alignment vertical="center"/>
    </xf>
    <xf numFmtId="0" fontId="0" fillId="3" borderId="0" xfId="0" applyFill="1" applyAlignment="1">
      <alignment vertical="center"/>
    </xf>
    <xf numFmtId="8" fontId="0" fillId="3" borderId="29" xfId="0" applyNumberFormat="1" applyFill="1" applyBorder="1" applyAlignment="1">
      <alignment vertical="center"/>
    </xf>
    <xf numFmtId="0" fontId="0" fillId="3" borderId="8" xfId="0" applyFill="1" applyBorder="1" applyAlignment="1">
      <alignment vertical="center"/>
    </xf>
    <xf numFmtId="0" fontId="2" fillId="9" borderId="9" xfId="0" applyFont="1" applyFill="1" applyBorder="1"/>
    <xf numFmtId="44" fontId="7" fillId="9" borderId="13" xfId="1" applyFont="1" applyFill="1" applyBorder="1"/>
    <xf numFmtId="0" fontId="14" fillId="12" borderId="1" xfId="0" applyFont="1" applyFill="1" applyBorder="1"/>
    <xf numFmtId="0" fontId="0" fillId="0" borderId="12" xfId="0" applyBorder="1"/>
    <xf numFmtId="0" fontId="0" fillId="0" borderId="15" xfId="0" applyBorder="1"/>
    <xf numFmtId="0" fontId="0" fillId="0" borderId="17" xfId="0" applyBorder="1"/>
    <xf numFmtId="0" fontId="0" fillId="12" borderId="14" xfId="0" applyFill="1" applyBorder="1"/>
    <xf numFmtId="0" fontId="0" fillId="12" borderId="12" xfId="0" applyFill="1" applyBorder="1"/>
    <xf numFmtId="0" fontId="0" fillId="12" borderId="16" xfId="0" applyFill="1" applyBorder="1"/>
    <xf numFmtId="0" fontId="0" fillId="12" borderId="0" xfId="0" applyFill="1"/>
    <xf numFmtId="0" fontId="14" fillId="13" borderId="1" xfId="0" applyFont="1" applyFill="1" applyBorder="1"/>
    <xf numFmtId="0" fontId="0" fillId="13" borderId="0" xfId="0" applyFill="1"/>
    <xf numFmtId="0" fontId="0" fillId="13" borderId="14" xfId="0" applyFill="1" applyBorder="1"/>
    <xf numFmtId="0" fontId="0" fillId="13" borderId="12" xfId="0" applyFill="1" applyBorder="1"/>
    <xf numFmtId="0" fontId="0" fillId="13" borderId="16" xfId="0" applyFill="1" applyBorder="1"/>
    <xf numFmtId="0" fontId="16" fillId="3" borderId="0" xfId="0" applyFont="1" applyFill="1" applyAlignment="1">
      <alignment horizontal="left" vertical="center" wrapText="1"/>
    </xf>
    <xf numFmtId="0" fontId="2" fillId="8" borderId="6" xfId="0" applyFont="1" applyFill="1" applyBorder="1" applyAlignment="1">
      <alignment horizontal="left" vertical="center" wrapText="1"/>
    </xf>
    <xf numFmtId="0" fontId="2" fillId="8" borderId="24" xfId="0" applyFont="1" applyFill="1" applyBorder="1" applyAlignment="1">
      <alignment horizontal="left" vertical="center" wrapText="1"/>
    </xf>
    <xf numFmtId="0" fontId="2" fillId="8" borderId="28" xfId="0" applyFont="1" applyFill="1" applyBorder="1" applyAlignment="1">
      <alignment horizontal="left" vertical="center" wrapText="1"/>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4" fillId="2" borderId="6" xfId="0" applyFont="1" applyFill="1" applyBorder="1" applyAlignment="1">
      <alignment horizontal="left" vertical="center" wrapText="1"/>
    </xf>
    <xf numFmtId="0" fontId="4" fillId="2" borderId="7" xfId="0" applyFont="1" applyFill="1" applyBorder="1" applyAlignment="1">
      <alignment horizontal="left" vertical="center" wrapText="1"/>
    </xf>
    <xf numFmtId="0" fontId="0" fillId="0" borderId="6" xfId="0" applyBorder="1" applyAlignment="1">
      <alignment horizontal="left" wrapText="1"/>
    </xf>
    <xf numFmtId="0" fontId="0" fillId="0" borderId="7" xfId="0" applyBorder="1" applyAlignment="1">
      <alignment horizontal="left"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9" fillId="6" borderId="0" xfId="0" applyFont="1" applyFill="1" applyAlignment="1">
      <alignment horizontal="center" vertical="center"/>
    </xf>
    <xf numFmtId="0" fontId="17" fillId="9" borderId="0" xfId="0" applyFont="1" applyFill="1" applyAlignment="1">
      <alignment horizontal="center" vertical="center"/>
    </xf>
    <xf numFmtId="0" fontId="2" fillId="3" borderId="16" xfId="0" applyFont="1" applyFill="1" applyBorder="1" applyAlignment="1">
      <alignment horizontal="left" vertical="center" wrapText="1"/>
    </xf>
    <xf numFmtId="0" fontId="2" fillId="3" borderId="0" xfId="0" applyFont="1" applyFill="1" applyAlignment="1">
      <alignment horizontal="left" vertical="center" wrapText="1"/>
    </xf>
    <xf numFmtId="0" fontId="2" fillId="3" borderId="17" xfId="0" applyFont="1" applyFill="1" applyBorder="1" applyAlignment="1">
      <alignment horizontal="left" vertical="center" wrapText="1"/>
    </xf>
    <xf numFmtId="0" fontId="2" fillId="3" borderId="29" xfId="0" applyFont="1" applyFill="1" applyBorder="1" applyAlignment="1">
      <alignment horizontal="left" vertical="center" wrapText="1"/>
    </xf>
    <xf numFmtId="0" fontId="2" fillId="3" borderId="8" xfId="0" applyFont="1" applyFill="1" applyBorder="1" applyAlignment="1">
      <alignment horizontal="left" vertical="center" wrapText="1"/>
    </xf>
    <xf numFmtId="0" fontId="2" fillId="3" borderId="26" xfId="0" applyFont="1" applyFill="1" applyBorder="1" applyAlignment="1">
      <alignment horizontal="left" vertical="center" wrapText="1"/>
    </xf>
    <xf numFmtId="0" fontId="15" fillId="3" borderId="18" xfId="0" applyFont="1" applyFill="1" applyBorder="1" applyAlignment="1">
      <alignment horizontal="center" vertical="center" wrapText="1"/>
    </xf>
    <xf numFmtId="0" fontId="15" fillId="3" borderId="19" xfId="0" applyFont="1" applyFill="1" applyBorder="1" applyAlignment="1">
      <alignment horizontal="center" vertical="center" wrapText="1"/>
    </xf>
    <xf numFmtId="0" fontId="2" fillId="9" borderId="0" xfId="0" applyFont="1" applyFill="1" applyAlignment="1">
      <alignment horizontal="center" vertical="center" wrapText="1"/>
    </xf>
    <xf numFmtId="0" fontId="13" fillId="3" borderId="18" xfId="0" applyFont="1" applyFill="1" applyBorder="1" applyAlignment="1">
      <alignment horizontal="center" vertical="center"/>
    </xf>
    <xf numFmtId="0" fontId="13" fillId="3" borderId="20" xfId="0" applyFont="1" applyFill="1" applyBorder="1" applyAlignment="1">
      <alignment horizontal="center" vertical="center"/>
    </xf>
    <xf numFmtId="0" fontId="13" fillId="3" borderId="18" xfId="0" applyFont="1" applyFill="1" applyBorder="1" applyAlignment="1">
      <alignment horizontal="center" vertical="center" wrapText="1"/>
    </xf>
    <xf numFmtId="0" fontId="13" fillId="3" borderId="20" xfId="0" applyFont="1" applyFill="1" applyBorder="1" applyAlignment="1">
      <alignment horizontal="center" vertical="center" wrapText="1"/>
    </xf>
    <xf numFmtId="0" fontId="13" fillId="3" borderId="19" xfId="0" applyFont="1" applyFill="1" applyBorder="1" applyAlignment="1">
      <alignment horizontal="center" vertical="center"/>
    </xf>
    <xf numFmtId="0" fontId="14" fillId="3" borderId="18" xfId="0" applyFont="1" applyFill="1" applyBorder="1" applyAlignment="1">
      <alignment horizontal="center" vertical="center" wrapText="1"/>
    </xf>
    <xf numFmtId="0" fontId="14" fillId="3" borderId="20" xfId="0" applyFont="1" applyFill="1" applyBorder="1" applyAlignment="1">
      <alignment horizontal="center" vertical="center" wrapText="1"/>
    </xf>
    <xf numFmtId="0" fontId="13" fillId="3" borderId="19" xfId="0" applyFont="1" applyFill="1" applyBorder="1" applyAlignment="1">
      <alignment horizontal="center" vertical="center" wrapText="1"/>
    </xf>
    <xf numFmtId="0" fontId="13" fillId="3" borderId="14" xfId="0" applyFont="1" applyFill="1" applyBorder="1" applyAlignment="1">
      <alignment horizontal="center" vertical="center" wrapText="1"/>
    </xf>
    <xf numFmtId="0" fontId="13" fillId="3" borderId="23" xfId="0" applyFont="1" applyFill="1" applyBorder="1" applyAlignment="1">
      <alignment horizontal="center" vertical="center" wrapText="1"/>
    </xf>
    <xf numFmtId="0" fontId="2" fillId="9" borderId="9" xfId="0" applyFont="1" applyFill="1" applyBorder="1" applyAlignment="1">
      <alignment horizontal="left" vertical="center" wrapText="1"/>
    </xf>
    <xf numFmtId="0" fontId="2" fillId="9" borderId="10" xfId="0" applyFont="1" applyFill="1" applyBorder="1" applyAlignment="1">
      <alignment horizontal="left" vertical="center" wrapText="1"/>
    </xf>
    <xf numFmtId="0" fontId="2" fillId="9" borderId="11" xfId="0" applyFont="1" applyFill="1" applyBorder="1" applyAlignment="1">
      <alignment horizontal="left" vertical="center" wrapText="1"/>
    </xf>
    <xf numFmtId="0" fontId="0" fillId="3" borderId="18" xfId="0" applyFill="1" applyBorder="1" applyAlignment="1">
      <alignment horizontal="center" vertical="center"/>
    </xf>
    <xf numFmtId="0" fontId="0" fillId="3" borderId="19" xfId="0" applyFill="1" applyBorder="1" applyAlignment="1">
      <alignment horizontal="center" vertical="center"/>
    </xf>
    <xf numFmtId="0" fontId="13" fillId="3" borderId="14" xfId="0" applyFont="1" applyFill="1" applyBorder="1" applyAlignment="1">
      <alignment horizontal="center" vertical="center"/>
    </xf>
    <xf numFmtId="0" fontId="13" fillId="3" borderId="16" xfId="0" applyFont="1" applyFill="1" applyBorder="1" applyAlignment="1">
      <alignment horizontal="center" vertical="center"/>
    </xf>
    <xf numFmtId="0" fontId="0" fillId="0" borderId="14" xfId="0" applyBorder="1" applyAlignment="1">
      <alignment horizontal="center" vertical="center"/>
    </xf>
    <xf numFmtId="0" fontId="0" fillId="0" borderId="12"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0" xfId="0" applyAlignment="1">
      <alignment horizontal="center" vertical="center"/>
    </xf>
    <xf numFmtId="0" fontId="0" fillId="0" borderId="17" xfId="0" applyBorder="1" applyAlignment="1">
      <alignment horizontal="center" vertical="center"/>
    </xf>
    <xf numFmtId="0" fontId="0" fillId="0" borderId="29" xfId="0" applyBorder="1" applyAlignment="1">
      <alignment horizontal="center" vertical="center"/>
    </xf>
    <xf numFmtId="0" fontId="0" fillId="0" borderId="8" xfId="0" applyBorder="1" applyAlignment="1">
      <alignment horizontal="center" vertical="center"/>
    </xf>
    <xf numFmtId="0" fontId="0" fillId="0" borderId="26" xfId="0" applyBorder="1" applyAlignment="1">
      <alignment horizontal="center" vertical="center"/>
    </xf>
    <xf numFmtId="0" fontId="0" fillId="9" borderId="14" xfId="0" applyFill="1" applyBorder="1"/>
    <xf numFmtId="0" fontId="0" fillId="9" borderId="12" xfId="0" applyFill="1" applyBorder="1"/>
    <xf numFmtId="0" fontId="0" fillId="9" borderId="16" xfId="0" applyFill="1" applyBorder="1"/>
    <xf numFmtId="0" fontId="0" fillId="9" borderId="0" xfId="0" applyFill="1"/>
    <xf numFmtId="0" fontId="0" fillId="0" borderId="14" xfId="0" applyBorder="1" applyAlignment="1">
      <alignment horizontal="center" vertical="center" wrapText="1"/>
    </xf>
    <xf numFmtId="0" fontId="0" fillId="0" borderId="12" xfId="0"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0" xfId="0" applyAlignment="1">
      <alignment horizontal="center" vertical="center" wrapText="1"/>
    </xf>
    <xf numFmtId="0" fontId="0" fillId="0" borderId="17" xfId="0" applyBorder="1" applyAlignment="1">
      <alignment horizontal="center" vertical="center" wrapText="1"/>
    </xf>
    <xf numFmtId="0" fontId="0" fillId="0" borderId="29" xfId="0" applyBorder="1" applyAlignment="1">
      <alignment horizontal="center" vertical="center" wrapText="1"/>
    </xf>
    <xf numFmtId="0" fontId="0" fillId="0" borderId="8" xfId="0" applyBorder="1" applyAlignment="1">
      <alignment horizontal="center" vertical="center" wrapText="1"/>
    </xf>
    <xf numFmtId="0" fontId="0" fillId="0" borderId="26" xfId="0" applyBorder="1" applyAlignment="1">
      <alignment horizontal="center" vertical="center" wrapText="1"/>
    </xf>
    <xf numFmtId="0" fontId="14" fillId="9" borderId="1" xfId="0" applyFont="1" applyFill="1" applyBorder="1"/>
    <xf numFmtId="0" fontId="0" fillId="9" borderId="1" xfId="0" applyFill="1" applyBorder="1"/>
  </cellXfs>
  <cellStyles count="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1529715</xdr:colOff>
      <xdr:row>3</xdr:row>
      <xdr:rowOff>38100</xdr:rowOff>
    </xdr:from>
    <xdr:ext cx="2314575" cy="1038225"/>
    <xdr:pic>
      <xdr:nvPicPr>
        <xdr:cNvPr id="2" name="image1.jpg">
          <a:extLst>
            <a:ext uri="{FF2B5EF4-FFF2-40B4-BE49-F238E27FC236}">
              <a16:creationId xmlns:a16="http://schemas.microsoft.com/office/drawing/2014/main" id="{78213757-0993-4C8E-8FA0-24F832C0FCA0}"/>
            </a:ext>
          </a:extLst>
        </xdr:cNvPr>
        <xdr:cNvPicPr preferRelativeResize="0"/>
      </xdr:nvPicPr>
      <xdr:blipFill>
        <a:blip xmlns:r="http://schemas.openxmlformats.org/officeDocument/2006/relationships" r:embed="rId1" cstate="print"/>
        <a:stretch>
          <a:fillRect/>
        </a:stretch>
      </xdr:blipFill>
      <xdr:spPr>
        <a:xfrm>
          <a:off x="4034790" y="628650"/>
          <a:ext cx="2314575" cy="1038225"/>
        </a:xfrm>
        <a:prstGeom prst="rect">
          <a:avLst/>
        </a:prstGeom>
        <a:noFill/>
        <a:ln>
          <a:solidFill>
            <a:schemeClr val="tx1"/>
          </a:solidFill>
        </a:ln>
      </xdr:spPr>
    </xdr:pic>
    <xdr:clientData fLocksWithSheet="0"/>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6"/>
  <sheetViews>
    <sheetView topLeftCell="A101" zoomScale="90" zoomScaleNormal="90" workbookViewId="0">
      <selection activeCell="B110" sqref="B110"/>
    </sheetView>
  </sheetViews>
  <sheetFormatPr baseColWidth="10" defaultColWidth="10.88671875" defaultRowHeight="14.4" x14ac:dyDescent="0.3"/>
  <cols>
    <col min="1" max="1" width="37.5546875" customWidth="1"/>
    <col min="2" max="2" width="24.5546875" customWidth="1"/>
    <col min="3" max="3" width="18.44140625" customWidth="1"/>
    <col min="4" max="4" width="15.5546875" customWidth="1"/>
    <col min="5" max="5" width="14.5546875" bestFit="1" customWidth="1"/>
    <col min="6" max="6" width="16" customWidth="1"/>
    <col min="7" max="7" width="13.109375" bestFit="1" customWidth="1"/>
    <col min="10" max="10" width="18" customWidth="1"/>
    <col min="11" max="11" width="18.44140625" customWidth="1"/>
  </cols>
  <sheetData>
    <row r="1" spans="1:4" x14ac:dyDescent="0.3">
      <c r="A1" s="102" t="s">
        <v>64</v>
      </c>
      <c r="B1" s="97"/>
      <c r="C1" s="6"/>
      <c r="D1" s="6"/>
    </row>
    <row r="2" spans="1:4" x14ac:dyDescent="0.3">
      <c r="A2" s="98" t="s">
        <v>128</v>
      </c>
      <c r="B2" s="98"/>
      <c r="C2" s="98"/>
      <c r="D2" s="98"/>
    </row>
    <row r="3" spans="1:4" ht="17.100000000000001" customHeight="1" x14ac:dyDescent="0.3">
      <c r="A3" s="98" t="s">
        <v>71</v>
      </c>
      <c r="B3" s="98"/>
      <c r="C3" s="98"/>
      <c r="D3" s="98"/>
    </row>
    <row r="4" spans="1:4" ht="32.25" customHeight="1" x14ac:dyDescent="0.3">
      <c r="A4" s="162" t="s">
        <v>173</v>
      </c>
      <c r="B4" s="162"/>
      <c r="C4" s="99"/>
      <c r="D4" s="99"/>
    </row>
    <row r="5" spans="1:4" x14ac:dyDescent="0.3">
      <c r="A5" s="162"/>
      <c r="B5" s="162"/>
      <c r="C5" s="99"/>
      <c r="D5" s="99"/>
    </row>
    <row r="6" spans="1:4" x14ac:dyDescent="0.3">
      <c r="A6" s="162"/>
      <c r="B6" s="162"/>
      <c r="C6" s="99"/>
      <c r="D6" s="99"/>
    </row>
    <row r="7" spans="1:4" ht="27" customHeight="1" x14ac:dyDescent="0.3">
      <c r="A7" s="162"/>
      <c r="B7" s="162"/>
      <c r="C7" s="99"/>
      <c r="D7" s="99"/>
    </row>
    <row r="9" spans="1:4" x14ac:dyDescent="0.3">
      <c r="B9" s="175" t="s">
        <v>73</v>
      </c>
    </row>
    <row r="10" spans="1:4" x14ac:dyDescent="0.3">
      <c r="B10" s="175"/>
    </row>
    <row r="11" spans="1:4" x14ac:dyDescent="0.3">
      <c r="B11" s="175"/>
    </row>
    <row r="13" spans="1:4" hidden="1" x14ac:dyDescent="0.3"/>
    <row r="14" spans="1:4" ht="15" customHeight="1" x14ac:dyDescent="0.3">
      <c r="A14" s="162" t="s">
        <v>167</v>
      </c>
      <c r="B14" s="162"/>
      <c r="C14" s="162"/>
      <c r="D14" s="162"/>
    </row>
    <row r="15" spans="1:4" ht="15" customHeight="1" x14ac:dyDescent="0.3">
      <c r="A15" s="162"/>
      <c r="B15" s="162"/>
      <c r="C15" s="162"/>
      <c r="D15" s="162"/>
    </row>
    <row r="16" spans="1:4" ht="47.25" customHeight="1" x14ac:dyDescent="0.3">
      <c r="A16" s="162"/>
      <c r="B16" s="162"/>
      <c r="C16" s="162"/>
      <c r="D16" s="162"/>
    </row>
    <row r="17" spans="1:7" ht="156.75" customHeight="1" x14ac:dyDescent="0.3">
      <c r="A17" s="162"/>
      <c r="B17" s="162"/>
      <c r="C17" s="162"/>
      <c r="D17" s="162"/>
    </row>
    <row r="18" spans="1:7" ht="14.25" customHeight="1" thickBot="1" x14ac:dyDescent="0.35"/>
    <row r="19" spans="1:7" ht="15" hidden="1" thickBot="1" x14ac:dyDescent="0.35">
      <c r="A19" s="2"/>
    </row>
    <row r="20" spans="1:7" ht="15" hidden="1" thickBot="1" x14ac:dyDescent="0.35"/>
    <row r="21" spans="1:7" x14ac:dyDescent="0.3">
      <c r="A21" s="10" t="s">
        <v>26</v>
      </c>
      <c r="B21" s="11"/>
      <c r="C21" s="8"/>
      <c r="D21" s="12"/>
    </row>
    <row r="22" spans="1:7" x14ac:dyDescent="0.3">
      <c r="A22" s="25" t="s">
        <v>52</v>
      </c>
      <c r="B22" s="25"/>
      <c r="C22" s="23"/>
      <c r="D22" s="23"/>
    </row>
    <row r="23" spans="1:7" ht="34.5" customHeight="1" x14ac:dyDescent="0.3">
      <c r="A23" s="172" t="s">
        <v>146</v>
      </c>
      <c r="B23" s="173"/>
      <c r="C23" s="113">
        <v>560501.56999999995</v>
      </c>
      <c r="D23" s="69" t="s">
        <v>74</v>
      </c>
    </row>
    <row r="24" spans="1:7" hidden="1" x14ac:dyDescent="0.3">
      <c r="A24" s="5" t="s">
        <v>55</v>
      </c>
      <c r="B24" s="5"/>
      <c r="C24" s="113"/>
      <c r="D24" s="69"/>
    </row>
    <row r="25" spans="1:7" hidden="1" x14ac:dyDescent="0.3">
      <c r="A25" s="5" t="s">
        <v>54</v>
      </c>
      <c r="B25" s="5"/>
      <c r="C25" s="113"/>
      <c r="D25" s="69"/>
      <c r="G25" s="125"/>
    </row>
    <row r="26" spans="1:7" hidden="1" x14ac:dyDescent="0.3">
      <c r="A26" s="5"/>
      <c r="B26" s="5"/>
      <c r="C26" s="113"/>
      <c r="D26" s="69"/>
    </row>
    <row r="27" spans="1:7" x14ac:dyDescent="0.3">
      <c r="A27" s="43" t="s">
        <v>53</v>
      </c>
      <c r="B27" s="43"/>
      <c r="C27" s="95">
        <f>SUM(C23:C26)</f>
        <v>560501.56999999995</v>
      </c>
      <c r="D27" s="43"/>
    </row>
    <row r="28" spans="1:7" ht="34.5" customHeight="1" x14ac:dyDescent="0.3">
      <c r="A28" s="172" t="s">
        <v>147</v>
      </c>
      <c r="B28" s="173"/>
      <c r="C28" s="113">
        <v>582828.23</v>
      </c>
      <c r="D28" s="69" t="s">
        <v>74</v>
      </c>
    </row>
    <row r="29" spans="1:7" ht="0.75" customHeight="1" x14ac:dyDescent="0.3">
      <c r="A29" s="5"/>
      <c r="B29" s="5"/>
      <c r="C29" s="113">
        <v>0</v>
      </c>
      <c r="D29" s="101"/>
    </row>
    <row r="30" spans="1:7" hidden="1" x14ac:dyDescent="0.3">
      <c r="A30" s="5"/>
      <c r="B30" s="5"/>
      <c r="C30" s="113">
        <v>0</v>
      </c>
      <c r="D30" s="101"/>
    </row>
    <row r="31" spans="1:7" hidden="1" x14ac:dyDescent="0.3">
      <c r="A31" s="5"/>
      <c r="B31" s="5"/>
      <c r="C31" s="128"/>
      <c r="D31" s="101"/>
    </row>
    <row r="32" spans="1:7" x14ac:dyDescent="0.3">
      <c r="A32" s="43" t="s">
        <v>53</v>
      </c>
      <c r="B32" s="100"/>
      <c r="C32" s="44">
        <f>SUM(C28:C31)</f>
        <v>582828.23</v>
      </c>
      <c r="D32" s="70"/>
    </row>
    <row r="33" spans="1:7" ht="27.75" customHeight="1" x14ac:dyDescent="0.3">
      <c r="A33" s="170" t="s">
        <v>130</v>
      </c>
      <c r="B33" s="171"/>
      <c r="C33" s="113">
        <v>1688447.15</v>
      </c>
      <c r="D33" s="101" t="s">
        <v>131</v>
      </c>
    </row>
    <row r="34" spans="1:7" hidden="1" x14ac:dyDescent="0.3">
      <c r="A34" s="5"/>
      <c r="B34" s="5"/>
      <c r="C34" s="113">
        <v>0</v>
      </c>
      <c r="D34" s="101"/>
    </row>
    <row r="35" spans="1:7" hidden="1" x14ac:dyDescent="0.3">
      <c r="A35" s="5"/>
      <c r="B35" s="5"/>
      <c r="C35" s="113">
        <v>0</v>
      </c>
      <c r="D35" s="101"/>
    </row>
    <row r="36" spans="1:7" hidden="1" x14ac:dyDescent="0.3">
      <c r="A36" s="5"/>
      <c r="B36" s="5"/>
      <c r="C36" s="128"/>
      <c r="D36" s="101"/>
    </row>
    <row r="37" spans="1:7" x14ac:dyDescent="0.3">
      <c r="A37" s="43" t="s">
        <v>53</v>
      </c>
      <c r="B37" s="100"/>
      <c r="C37" s="44">
        <f>SUM(C33:C36)</f>
        <v>1688447.15</v>
      </c>
      <c r="D37" s="70"/>
      <c r="F37" s="13"/>
    </row>
    <row r="38" spans="1:7" ht="14.25" customHeight="1" thickBot="1" x14ac:dyDescent="0.35">
      <c r="A38" s="17" t="s">
        <v>0</v>
      </c>
      <c r="B38" s="17"/>
      <c r="C38" s="18"/>
      <c r="D38" s="71">
        <f>+C27+C32+C37</f>
        <v>2831776.9499999997</v>
      </c>
      <c r="E38" s="13"/>
      <c r="F38" s="13"/>
    </row>
    <row r="39" spans="1:7" x14ac:dyDescent="0.3">
      <c r="A39" s="25" t="s">
        <v>38</v>
      </c>
      <c r="B39" s="25"/>
      <c r="C39" s="26"/>
      <c r="D39" s="72"/>
      <c r="F39" s="13"/>
    </row>
    <row r="40" spans="1:7" ht="21" customHeight="1" x14ac:dyDescent="0.3">
      <c r="A40" s="103" t="s">
        <v>174</v>
      </c>
      <c r="B40" s="96"/>
      <c r="C40" s="113"/>
      <c r="D40" s="111"/>
      <c r="G40" s="13"/>
    </row>
    <row r="41" spans="1:7" ht="15" thickBot="1" x14ac:dyDescent="0.35">
      <c r="A41" s="17" t="s">
        <v>34</v>
      </c>
      <c r="B41" s="17"/>
      <c r="C41" s="29"/>
      <c r="D41" s="71">
        <f>SUM(C40:C40)</f>
        <v>0</v>
      </c>
    </row>
    <row r="42" spans="1:7" x14ac:dyDescent="0.3">
      <c r="A42" s="23" t="s">
        <v>49</v>
      </c>
      <c r="B42" s="24"/>
      <c r="C42" s="27"/>
      <c r="D42" s="49"/>
    </row>
    <row r="43" spans="1:7" s="32" customFormat="1" ht="29.25" customHeight="1" x14ac:dyDescent="0.3">
      <c r="A43" s="166" t="s">
        <v>141</v>
      </c>
      <c r="B43" s="167"/>
      <c r="C43" s="127">
        <v>111379</v>
      </c>
      <c r="D43" s="126" t="s">
        <v>129</v>
      </c>
    </row>
    <row r="44" spans="1:7" s="32" customFormat="1" ht="29.25" customHeight="1" x14ac:dyDescent="0.3">
      <c r="A44" s="166" t="s">
        <v>141</v>
      </c>
      <c r="B44" s="167"/>
      <c r="C44" s="127">
        <v>111379</v>
      </c>
      <c r="D44" s="126" t="s">
        <v>142</v>
      </c>
    </row>
    <row r="45" spans="1:7" ht="15" thickBot="1" x14ac:dyDescent="0.35">
      <c r="A45" s="24" t="s">
        <v>1</v>
      </c>
      <c r="B45" s="24"/>
      <c r="C45" s="29"/>
      <c r="D45" s="73">
        <f>SUM(C43:C44)</f>
        <v>222758</v>
      </c>
    </row>
    <row r="46" spans="1:7" x14ac:dyDescent="0.3">
      <c r="A46" s="23" t="s">
        <v>35</v>
      </c>
      <c r="B46" s="115"/>
      <c r="C46" s="30"/>
      <c r="D46" s="74"/>
    </row>
    <row r="47" spans="1:7" x14ac:dyDescent="0.3">
      <c r="A47" s="69" t="s">
        <v>65</v>
      </c>
      <c r="B47" s="69"/>
      <c r="C47" s="131">
        <v>553656.43999999994</v>
      </c>
      <c r="D47" s="107" t="s">
        <v>133</v>
      </c>
      <c r="F47" s="104"/>
    </row>
    <row r="48" spans="1:7" ht="30" customHeight="1" x14ac:dyDescent="0.3">
      <c r="A48" s="166" t="s">
        <v>139</v>
      </c>
      <c r="B48" s="167"/>
      <c r="C48" s="131">
        <v>11596.99</v>
      </c>
      <c r="D48" s="107" t="s">
        <v>138</v>
      </c>
      <c r="F48" s="104"/>
    </row>
    <row r="49" spans="1:6" ht="20.25" customHeight="1" x14ac:dyDescent="0.3">
      <c r="A49" s="166" t="s">
        <v>140</v>
      </c>
      <c r="B49" s="167"/>
      <c r="C49" s="131">
        <v>11596.99</v>
      </c>
      <c r="D49" s="107" t="s">
        <v>138</v>
      </c>
      <c r="F49" s="104"/>
    </row>
    <row r="50" spans="1:6" x14ac:dyDescent="0.3">
      <c r="A50" s="69" t="s">
        <v>66</v>
      </c>
      <c r="B50" s="69"/>
      <c r="C50" s="116">
        <v>7110.08</v>
      </c>
      <c r="D50" s="110" t="s">
        <v>137</v>
      </c>
    </row>
    <row r="51" spans="1:6" x14ac:dyDescent="0.3">
      <c r="A51" s="69" t="s">
        <v>67</v>
      </c>
      <c r="B51" s="69"/>
      <c r="C51" s="116">
        <v>133842.97</v>
      </c>
      <c r="D51" s="110" t="str">
        <f>D50</f>
        <v>Debito 13/04</v>
      </c>
    </row>
    <row r="52" spans="1:6" x14ac:dyDescent="0.3">
      <c r="A52" s="69" t="s">
        <v>68</v>
      </c>
      <c r="B52" s="69"/>
      <c r="C52" s="116">
        <v>63990.68</v>
      </c>
      <c r="D52" s="108" t="str">
        <f>D50</f>
        <v>Debito 13/04</v>
      </c>
    </row>
    <row r="53" spans="1:6" ht="15" customHeight="1" thickBot="1" x14ac:dyDescent="0.35">
      <c r="A53" s="24" t="s">
        <v>2</v>
      </c>
      <c r="B53" s="115"/>
      <c r="C53" s="31"/>
      <c r="D53" s="73">
        <f>SUM(C47:C52)</f>
        <v>781794.14999999991</v>
      </c>
    </row>
    <row r="54" spans="1:6" x14ac:dyDescent="0.3">
      <c r="A54" s="23" t="s">
        <v>37</v>
      </c>
      <c r="B54" s="115"/>
      <c r="C54" s="30"/>
      <c r="D54" s="74"/>
    </row>
    <row r="55" spans="1:6" ht="14.25" customHeight="1" x14ac:dyDescent="0.3">
      <c r="A55" s="69" t="s">
        <v>135</v>
      </c>
      <c r="B55" s="69"/>
      <c r="C55" s="116">
        <v>362714.81</v>
      </c>
      <c r="D55" s="107" t="s">
        <v>133</v>
      </c>
    </row>
    <row r="56" spans="1:6" ht="14.25" customHeight="1" x14ac:dyDescent="0.3">
      <c r="A56" s="69" t="s">
        <v>134</v>
      </c>
      <c r="B56" s="69"/>
      <c r="C56" s="116">
        <v>133269.18</v>
      </c>
      <c r="D56" s="107" t="s">
        <v>133</v>
      </c>
    </row>
    <row r="57" spans="1:6" ht="14.25" customHeight="1" x14ac:dyDescent="0.3">
      <c r="A57" s="69" t="s">
        <v>136</v>
      </c>
      <c r="B57" s="69"/>
      <c r="C57" s="116">
        <v>34422.57</v>
      </c>
      <c r="D57" s="107" t="s">
        <v>133</v>
      </c>
    </row>
    <row r="58" spans="1:6" ht="14.25" customHeight="1" x14ac:dyDescent="0.3">
      <c r="A58" s="69"/>
      <c r="B58" s="132"/>
      <c r="C58" s="116"/>
      <c r="D58" s="107"/>
    </row>
    <row r="59" spans="1:6" ht="15" thickBot="1" x14ac:dyDescent="0.35">
      <c r="A59" s="24" t="s">
        <v>3</v>
      </c>
      <c r="B59" s="24"/>
      <c r="C59" s="29"/>
      <c r="D59" s="73">
        <f>SUM(C55:C58)</f>
        <v>530406.55999999994</v>
      </c>
    </row>
    <row r="60" spans="1:6" ht="15" thickBot="1" x14ac:dyDescent="0.35">
      <c r="A60" s="23" t="s">
        <v>36</v>
      </c>
      <c r="B60" s="24"/>
      <c r="C60" s="29"/>
      <c r="D60" s="76"/>
    </row>
    <row r="61" spans="1:6" ht="15.75" customHeight="1" x14ac:dyDescent="0.3">
      <c r="A61" s="168" t="s">
        <v>132</v>
      </c>
      <c r="B61" s="169"/>
      <c r="C61" s="116">
        <v>300000</v>
      </c>
      <c r="D61" s="107" t="s">
        <v>131</v>
      </c>
    </row>
    <row r="62" spans="1:6" ht="35.25" customHeight="1" x14ac:dyDescent="0.3">
      <c r="A62" s="166" t="s">
        <v>143</v>
      </c>
      <c r="B62" s="167"/>
      <c r="C62" s="116">
        <v>230000</v>
      </c>
      <c r="D62" s="109" t="s">
        <v>145</v>
      </c>
      <c r="E62" s="116"/>
      <c r="F62" s="37"/>
    </row>
    <row r="63" spans="1:6" ht="30.75" customHeight="1" x14ac:dyDescent="0.3">
      <c r="A63" s="166" t="s">
        <v>144</v>
      </c>
      <c r="B63" s="167"/>
      <c r="C63" s="116">
        <v>95000</v>
      </c>
      <c r="D63" s="109" t="s">
        <v>145</v>
      </c>
      <c r="E63" s="116"/>
      <c r="F63" s="37"/>
    </row>
    <row r="64" spans="1:6" ht="15" customHeight="1" x14ac:dyDescent="0.3">
      <c r="A64" s="168"/>
      <c r="B64" s="169"/>
      <c r="C64" s="116"/>
      <c r="D64" s="109"/>
      <c r="E64" s="37"/>
      <c r="F64" s="37"/>
    </row>
    <row r="65" spans="1:6" ht="15" thickBot="1" x14ac:dyDescent="0.35">
      <c r="A65" s="24" t="s">
        <v>11</v>
      </c>
      <c r="B65" s="23"/>
      <c r="C65" s="23"/>
      <c r="D65" s="79">
        <f>SUM(C61:C64)</f>
        <v>625000</v>
      </c>
    </row>
    <row r="66" spans="1:6" ht="15" thickBot="1" x14ac:dyDescent="0.35">
      <c r="A66" s="23" t="s">
        <v>29</v>
      </c>
      <c r="B66" s="117"/>
      <c r="C66" s="18"/>
      <c r="D66" s="76"/>
    </row>
    <row r="67" spans="1:6" ht="14.25" customHeight="1" x14ac:dyDescent="0.3">
      <c r="A67" s="166" t="s">
        <v>76</v>
      </c>
      <c r="B67" s="167"/>
      <c r="C67" s="116">
        <v>60000</v>
      </c>
      <c r="D67" s="80"/>
    </row>
    <row r="68" spans="1:6" x14ac:dyDescent="0.3">
      <c r="A68" s="69" t="s">
        <v>72</v>
      </c>
      <c r="B68" s="69"/>
      <c r="C68" s="116">
        <f>330+93098.23</f>
        <v>93428.23</v>
      </c>
      <c r="D68" s="78"/>
    </row>
    <row r="69" spans="1:6" ht="15" thickBot="1" x14ac:dyDescent="0.35">
      <c r="A69" s="42" t="s">
        <v>34</v>
      </c>
      <c r="B69" s="42"/>
      <c r="C69" s="81"/>
      <c r="D69" s="73">
        <f>SUM(C67:C68)</f>
        <v>153428.22999999998</v>
      </c>
    </row>
    <row r="70" spans="1:6" ht="15" thickBot="1" x14ac:dyDescent="0.35">
      <c r="A70" s="5"/>
      <c r="B70" s="5"/>
      <c r="C70" s="69"/>
      <c r="D70" s="82"/>
    </row>
    <row r="71" spans="1:6" ht="22.5" customHeight="1" thickBot="1" x14ac:dyDescent="0.35">
      <c r="A71" s="163" t="s">
        <v>69</v>
      </c>
      <c r="B71" s="164"/>
      <c r="C71" s="165"/>
      <c r="D71" s="83"/>
    </row>
    <row r="72" spans="1:6" ht="15" thickBot="1" x14ac:dyDescent="0.35">
      <c r="A72" s="1"/>
      <c r="C72" s="84"/>
      <c r="D72" s="85"/>
      <c r="E72" s="37"/>
    </row>
    <row r="73" spans="1:6" ht="15" thickBot="1" x14ac:dyDescent="0.35">
      <c r="A73" s="3" t="s">
        <v>30</v>
      </c>
      <c r="B73" s="9"/>
      <c r="C73" s="86"/>
      <c r="D73" s="87">
        <f>(SUM(D23:D71))</f>
        <v>5145163.8899999987</v>
      </c>
      <c r="E73" s="37"/>
      <c r="F73" s="37"/>
    </row>
    <row r="74" spans="1:6" x14ac:dyDescent="0.3">
      <c r="C74" s="84"/>
      <c r="D74" s="84"/>
      <c r="F74" s="105"/>
    </row>
    <row r="75" spans="1:6" ht="15" thickBot="1" x14ac:dyDescent="0.35">
      <c r="C75" s="84"/>
      <c r="D75" s="84"/>
    </row>
    <row r="76" spans="1:6" x14ac:dyDescent="0.3">
      <c r="A76" s="10" t="s">
        <v>39</v>
      </c>
      <c r="B76" s="11"/>
      <c r="C76" s="88"/>
      <c r="D76" s="89"/>
    </row>
    <row r="77" spans="1:6" x14ac:dyDescent="0.3">
      <c r="A77" s="172"/>
      <c r="B77" s="173"/>
      <c r="C77" s="77"/>
      <c r="D77" s="75"/>
    </row>
    <row r="78" spans="1:6" x14ac:dyDescent="0.3">
      <c r="A78" s="172"/>
      <c r="B78" s="173"/>
      <c r="C78" s="77"/>
      <c r="D78" s="75"/>
    </row>
    <row r="79" spans="1:6" x14ac:dyDescent="0.3">
      <c r="A79" s="92"/>
      <c r="B79" s="93"/>
      <c r="C79" s="77"/>
      <c r="D79" s="75"/>
    </row>
    <row r="80" spans="1:6" x14ac:dyDescent="0.3">
      <c r="A80" s="40"/>
      <c r="B80" s="39"/>
      <c r="C80" s="45"/>
      <c r="D80" s="45">
        <f>SUM(C77:C79)</f>
        <v>0</v>
      </c>
    </row>
    <row r="81" spans="1:4" ht="15" customHeight="1" x14ac:dyDescent="0.3"/>
    <row r="82" spans="1:4" hidden="1" x14ac:dyDescent="0.3"/>
    <row r="83" spans="1:4" x14ac:dyDescent="0.3">
      <c r="A83" s="19" t="s">
        <v>40</v>
      </c>
      <c r="B83" s="19"/>
      <c r="C83" s="20"/>
      <c r="D83" s="112">
        <v>0</v>
      </c>
    </row>
    <row r="84" spans="1:4" ht="15" thickBot="1" x14ac:dyDescent="0.35"/>
    <row r="85" spans="1:4" ht="15" thickBot="1" x14ac:dyDescent="0.35">
      <c r="A85" s="3" t="s">
        <v>41</v>
      </c>
      <c r="B85" s="9"/>
      <c r="C85" s="4"/>
      <c r="D85" s="50">
        <f>D80+D83</f>
        <v>0</v>
      </c>
    </row>
    <row r="86" spans="1:4" ht="15" thickBot="1" x14ac:dyDescent="0.35"/>
    <row r="87" spans="1:4" ht="15" thickBot="1" x14ac:dyDescent="0.35">
      <c r="A87" s="67" t="s">
        <v>31</v>
      </c>
      <c r="B87" s="68">
        <f>D73</f>
        <v>5145163.8899999987</v>
      </c>
      <c r="C87" s="37"/>
    </row>
    <row r="88" spans="1:4" ht="15" thickBot="1" x14ac:dyDescent="0.35">
      <c r="A88" s="67" t="s">
        <v>32</v>
      </c>
      <c r="B88" s="68">
        <f>D73-D71</f>
        <v>5145163.8899999987</v>
      </c>
    </row>
    <row r="89" spans="1:4" ht="15" thickBot="1" x14ac:dyDescent="0.35">
      <c r="A89" s="67" t="s">
        <v>42</v>
      </c>
      <c r="B89" s="68">
        <f>D85-D83</f>
        <v>0</v>
      </c>
    </row>
    <row r="90" spans="1:4" ht="15" thickBot="1" x14ac:dyDescent="0.35">
      <c r="A90" s="67" t="s">
        <v>59</v>
      </c>
      <c r="B90" s="68">
        <f>D85</f>
        <v>0</v>
      </c>
    </row>
    <row r="94" spans="1:4" x14ac:dyDescent="0.3">
      <c r="A94" s="14" t="s">
        <v>51</v>
      </c>
      <c r="B94" s="34"/>
    </row>
    <row r="95" spans="1:4" ht="25.5" customHeight="1" x14ac:dyDescent="0.3">
      <c r="A95" s="22" t="s">
        <v>33</v>
      </c>
      <c r="B95" s="94">
        <v>4038909.89</v>
      </c>
    </row>
    <row r="96" spans="1:4" ht="14.25" customHeight="1" x14ac:dyDescent="0.3">
      <c r="A96" s="15" t="s">
        <v>62</v>
      </c>
      <c r="B96" s="35">
        <f>PRORRATEO!G66</f>
        <v>2804769.5600000005</v>
      </c>
    </row>
    <row r="97" spans="1:4" ht="18.75" customHeight="1" x14ac:dyDescent="0.3">
      <c r="A97" s="133" t="s">
        <v>61</v>
      </c>
      <c r="B97" s="78">
        <f>B115</f>
        <v>391723</v>
      </c>
    </row>
    <row r="98" spans="1:4" ht="18" customHeight="1" x14ac:dyDescent="0.3">
      <c r="A98" s="16" t="s">
        <v>75</v>
      </c>
      <c r="B98" s="106">
        <v>0</v>
      </c>
    </row>
    <row r="99" spans="1:4" x14ac:dyDescent="0.3">
      <c r="A99" s="33" t="s">
        <v>43</v>
      </c>
      <c r="B99" s="106">
        <f>-B88</f>
        <v>-5145163.8899999987</v>
      </c>
    </row>
    <row r="100" spans="1:4" x14ac:dyDescent="0.3">
      <c r="A100" s="16" t="s">
        <v>44</v>
      </c>
      <c r="B100" s="78">
        <f>-(B89)</f>
        <v>0</v>
      </c>
    </row>
    <row r="101" spans="1:4" x14ac:dyDescent="0.3">
      <c r="A101" s="21" t="s">
        <v>11</v>
      </c>
      <c r="B101" s="94">
        <f>SUM(B95:B100)</f>
        <v>2090238.5600000024</v>
      </c>
      <c r="D101" s="129"/>
    </row>
    <row r="102" spans="1:4" ht="15" thickBot="1" x14ac:dyDescent="0.35">
      <c r="A102" s="2"/>
      <c r="B102" s="134"/>
      <c r="D102" s="129"/>
    </row>
    <row r="103" spans="1:4" ht="15" thickBot="1" x14ac:dyDescent="0.35">
      <c r="A103" s="147" t="s">
        <v>177</v>
      </c>
      <c r="B103" s="148">
        <v>1331900.92</v>
      </c>
      <c r="D103" s="129"/>
    </row>
    <row r="104" spans="1:4" x14ac:dyDescent="0.3">
      <c r="A104" s="2"/>
      <c r="B104" s="134"/>
      <c r="D104" s="129"/>
    </row>
    <row r="105" spans="1:4" x14ac:dyDescent="0.3">
      <c r="A105" s="2"/>
      <c r="B105" s="134"/>
      <c r="D105" s="129"/>
    </row>
    <row r="106" spans="1:4" x14ac:dyDescent="0.3">
      <c r="A106" s="2"/>
      <c r="B106" s="134"/>
      <c r="D106" s="129"/>
    </row>
    <row r="107" spans="1:4" x14ac:dyDescent="0.3">
      <c r="D107" s="130"/>
    </row>
    <row r="108" spans="1:4" x14ac:dyDescent="0.3">
      <c r="A108" s="174" t="s">
        <v>50</v>
      </c>
      <c r="B108" s="174"/>
    </row>
    <row r="109" spans="1:4" ht="27.75" customHeight="1" x14ac:dyDescent="0.3">
      <c r="A109" s="174"/>
      <c r="B109" s="174"/>
    </row>
    <row r="110" spans="1:4" ht="32.25" customHeight="1" x14ac:dyDescent="0.3">
      <c r="A110" s="90" t="s">
        <v>162</v>
      </c>
      <c r="B110" s="28">
        <v>50000</v>
      </c>
    </row>
    <row r="111" spans="1:4" ht="32.25" customHeight="1" x14ac:dyDescent="0.3">
      <c r="A111" s="90" t="s">
        <v>168</v>
      </c>
      <c r="B111" s="28">
        <v>64500</v>
      </c>
    </row>
    <row r="112" spans="1:4" ht="32.25" customHeight="1" x14ac:dyDescent="0.3">
      <c r="A112" s="90" t="s">
        <v>172</v>
      </c>
      <c r="B112" s="28">
        <v>210000</v>
      </c>
    </row>
    <row r="113" spans="1:12" ht="32.25" customHeight="1" x14ac:dyDescent="0.3">
      <c r="A113" s="90" t="s">
        <v>171</v>
      </c>
      <c r="B113" s="28">
        <v>46400</v>
      </c>
    </row>
    <row r="114" spans="1:12" ht="32.25" customHeight="1" x14ac:dyDescent="0.3">
      <c r="A114" s="90" t="s">
        <v>164</v>
      </c>
      <c r="B114" s="28">
        <v>20823</v>
      </c>
    </row>
    <row r="115" spans="1:12" x14ac:dyDescent="0.3">
      <c r="A115" s="38" t="s">
        <v>11</v>
      </c>
      <c r="B115" s="91">
        <f>SUM(B110:B114)</f>
        <v>391723</v>
      </c>
    </row>
    <row r="116" spans="1:12" ht="34.5" customHeight="1" x14ac:dyDescent="0.3">
      <c r="L116" s="7"/>
    </row>
  </sheetData>
  <mergeCells count="19">
    <mergeCell ref="A108:B109"/>
    <mergeCell ref="A78:B78"/>
    <mergeCell ref="A77:B77"/>
    <mergeCell ref="B9:B11"/>
    <mergeCell ref="A43:B43"/>
    <mergeCell ref="A4:B7"/>
    <mergeCell ref="A14:D17"/>
    <mergeCell ref="A71:C71"/>
    <mergeCell ref="A62:B62"/>
    <mergeCell ref="A61:B61"/>
    <mergeCell ref="A63:B63"/>
    <mergeCell ref="A64:B64"/>
    <mergeCell ref="A67:B67"/>
    <mergeCell ref="A48:B48"/>
    <mergeCell ref="A33:B33"/>
    <mergeCell ref="A49:B49"/>
    <mergeCell ref="A44:B44"/>
    <mergeCell ref="A23:B23"/>
    <mergeCell ref="A28:B28"/>
  </mergeCells>
  <pageMargins left="0.25" right="0.25"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74"/>
  <sheetViews>
    <sheetView tabSelected="1" topLeftCell="B9" zoomScaleNormal="100" workbookViewId="0">
      <selection activeCell="D22" sqref="A22:D22"/>
    </sheetView>
  </sheetViews>
  <sheetFormatPr baseColWidth="10" defaultColWidth="10.88671875" defaultRowHeight="14.4" x14ac:dyDescent="0.3"/>
  <cols>
    <col min="1" max="1" width="5" hidden="1" customWidth="1"/>
    <col min="2" max="2" width="5.5546875" customWidth="1"/>
    <col min="3" max="3" width="5.44140625" customWidth="1"/>
    <col min="4" max="4" width="29" customWidth="1"/>
    <col min="5" max="5" width="5.109375" customWidth="1"/>
    <col min="6" max="6" width="14.109375" customWidth="1"/>
    <col min="7" max="7" width="14" customWidth="1"/>
    <col min="8" max="8" width="7.5546875" hidden="1" customWidth="1"/>
    <col min="9" max="9" width="13.6640625" customWidth="1"/>
    <col min="10" max="10" width="11.109375" customWidth="1"/>
    <col min="11" max="11" width="14.44140625" customWidth="1"/>
    <col min="12" max="12" width="12.44140625" customWidth="1"/>
    <col min="13" max="13" width="10.44140625" bestFit="1" customWidth="1"/>
    <col min="14" max="14" width="15.44140625" customWidth="1"/>
    <col min="15" max="15" width="14.109375" customWidth="1"/>
    <col min="16" max="16" width="7.44140625" bestFit="1" customWidth="1"/>
    <col min="17" max="17" width="12" bestFit="1" customWidth="1"/>
    <col min="18" max="18" width="13" bestFit="1" customWidth="1"/>
  </cols>
  <sheetData>
    <row r="1" spans="1:18" ht="27" customHeight="1" x14ac:dyDescent="0.3">
      <c r="A1" s="6"/>
      <c r="B1" s="176" t="s">
        <v>173</v>
      </c>
      <c r="C1" s="177"/>
      <c r="D1" s="177"/>
      <c r="E1" s="177"/>
      <c r="F1" s="177"/>
      <c r="G1" s="177"/>
      <c r="H1" s="177"/>
      <c r="I1" s="177"/>
      <c r="J1" s="178"/>
      <c r="K1" s="143" t="s">
        <v>4</v>
      </c>
      <c r="L1" s="144"/>
      <c r="M1" s="144"/>
      <c r="N1" s="140">
        <v>5145163.8899999987</v>
      </c>
      <c r="O1" s="141"/>
      <c r="P1" s="13"/>
    </row>
    <row r="2" spans="1:18" ht="29.25" customHeight="1" thickBot="1" x14ac:dyDescent="0.35">
      <c r="A2" s="6"/>
      <c r="B2" s="179"/>
      <c r="C2" s="180"/>
      <c r="D2" s="180"/>
      <c r="E2" s="180"/>
      <c r="F2" s="180"/>
      <c r="G2" s="180"/>
      <c r="H2" s="180"/>
      <c r="I2" s="180"/>
      <c r="J2" s="181"/>
      <c r="K2" s="145" t="s">
        <v>63</v>
      </c>
      <c r="L2" s="146"/>
      <c r="M2" s="146"/>
      <c r="N2" s="114">
        <v>0</v>
      </c>
      <c r="O2" s="142"/>
    </row>
    <row r="3" spans="1:18" ht="137.25" customHeight="1" thickBot="1" x14ac:dyDescent="0.35">
      <c r="A3" s="6"/>
      <c r="B3" s="195" t="s">
        <v>167</v>
      </c>
      <c r="C3" s="196"/>
      <c r="D3" s="196"/>
      <c r="E3" s="196"/>
      <c r="F3" s="196"/>
      <c r="G3" s="196"/>
      <c r="H3" s="196"/>
      <c r="I3" s="196"/>
      <c r="J3" s="196"/>
      <c r="K3" s="196"/>
      <c r="L3" s="196"/>
      <c r="M3" s="196"/>
      <c r="N3" s="196"/>
      <c r="O3" s="197"/>
    </row>
    <row r="4" spans="1:18" x14ac:dyDescent="0.3">
      <c r="A4" s="198" t="s">
        <v>5</v>
      </c>
      <c r="B4" s="200" t="s">
        <v>6</v>
      </c>
      <c r="C4" s="185" t="s">
        <v>7</v>
      </c>
      <c r="D4" s="185" t="s">
        <v>8</v>
      </c>
      <c r="E4" s="185" t="s">
        <v>28</v>
      </c>
      <c r="F4" s="185" t="s">
        <v>60</v>
      </c>
      <c r="G4" s="185" t="s">
        <v>9</v>
      </c>
      <c r="H4" s="185" t="s">
        <v>47</v>
      </c>
      <c r="I4" s="190" t="s">
        <v>48</v>
      </c>
      <c r="J4" s="187" t="s">
        <v>46</v>
      </c>
      <c r="K4" s="187" t="s">
        <v>10</v>
      </c>
      <c r="L4" s="187" t="s">
        <v>45</v>
      </c>
      <c r="M4" s="193" t="s">
        <v>58</v>
      </c>
      <c r="N4" s="47" t="s">
        <v>57</v>
      </c>
      <c r="O4" s="182" t="s">
        <v>56</v>
      </c>
      <c r="R4" s="37"/>
    </row>
    <row r="5" spans="1:18" ht="15.75" customHeight="1" x14ac:dyDescent="0.3">
      <c r="A5" s="199"/>
      <c r="B5" s="201"/>
      <c r="C5" s="189"/>
      <c r="D5" s="189"/>
      <c r="E5" s="189"/>
      <c r="F5" s="189"/>
      <c r="G5" s="189"/>
      <c r="H5" s="186"/>
      <c r="I5" s="191"/>
      <c r="J5" s="188"/>
      <c r="K5" s="192"/>
      <c r="L5" s="188"/>
      <c r="M5" s="194"/>
      <c r="N5" s="46" t="str">
        <f>RESUMEN!B9</f>
        <v>VTO 15/05</v>
      </c>
      <c r="O5" s="183"/>
    </row>
    <row r="6" spans="1:18" ht="17.100000000000001" customHeight="1" x14ac:dyDescent="0.3">
      <c r="A6" s="5" t="s">
        <v>12</v>
      </c>
      <c r="B6" s="48">
        <v>0</v>
      </c>
      <c r="C6" s="48" t="s">
        <v>105</v>
      </c>
      <c r="D6" s="48" t="s">
        <v>77</v>
      </c>
      <c r="E6" s="51">
        <v>1.58</v>
      </c>
      <c r="F6" s="52">
        <v>1314382</v>
      </c>
      <c r="G6" s="53">
        <v>0</v>
      </c>
      <c r="H6" s="54"/>
      <c r="I6" s="55">
        <f>F6-G6</f>
        <v>1314382</v>
      </c>
      <c r="J6" s="55">
        <f>IF(I6&gt;0,I6*2.95%,0)</f>
        <v>38774.269</v>
      </c>
      <c r="K6" s="56">
        <f>N$2*E6%</f>
        <v>0</v>
      </c>
      <c r="L6" s="56">
        <f>N$1*E6%</f>
        <v>81293.589461999989</v>
      </c>
      <c r="M6" s="57">
        <v>0</v>
      </c>
      <c r="N6" s="58">
        <f t="shared" ref="N6:N64" si="0">ROUND(SUM(I6:M6),0) + P6</f>
        <v>1434450</v>
      </c>
      <c r="O6" s="59">
        <f t="shared" ref="O6:O64" si="1">ROUND(N6*3%,0) + N6</f>
        <v>1477484</v>
      </c>
      <c r="P6" s="37">
        <v>0</v>
      </c>
    </row>
    <row r="7" spans="1:18" ht="17.100000000000001" customHeight="1" x14ac:dyDescent="0.3">
      <c r="A7" s="5"/>
      <c r="B7" s="48">
        <v>1</v>
      </c>
      <c r="C7" s="48" t="s">
        <v>106</v>
      </c>
      <c r="D7" s="48" t="s">
        <v>78</v>
      </c>
      <c r="E7" s="51">
        <v>2.91</v>
      </c>
      <c r="F7" s="52">
        <v>104780.01</v>
      </c>
      <c r="G7" s="53">
        <v>0</v>
      </c>
      <c r="H7" s="54"/>
      <c r="I7" s="55">
        <f>F7-G7</f>
        <v>104780.01</v>
      </c>
      <c r="J7" s="55">
        <f>IF(I7&gt;0,I7*2.95%,0)</f>
        <v>3091.010295</v>
      </c>
      <c r="K7" s="56">
        <f>N$2*E7%</f>
        <v>0</v>
      </c>
      <c r="L7" s="56">
        <f>N$1*E7%</f>
        <v>149724.26919899997</v>
      </c>
      <c r="M7" s="57">
        <v>0</v>
      </c>
      <c r="N7" s="58">
        <f t="shared" si="0"/>
        <v>257595.01</v>
      </c>
      <c r="O7" s="59">
        <f t="shared" si="1"/>
        <v>265323.01</v>
      </c>
      <c r="P7" s="37">
        <f>P5+0.01</f>
        <v>0.01</v>
      </c>
    </row>
    <row r="8" spans="1:18" ht="17.100000000000001" customHeight="1" x14ac:dyDescent="0.3">
      <c r="A8" s="5" t="s">
        <v>13</v>
      </c>
      <c r="B8" s="118">
        <f>B7+1</f>
        <v>2</v>
      </c>
      <c r="C8" s="118" t="s">
        <v>107</v>
      </c>
      <c r="D8" s="118" t="s">
        <v>79</v>
      </c>
      <c r="E8" s="119">
        <v>1.94</v>
      </c>
      <c r="F8" s="53">
        <v>1246720.02</v>
      </c>
      <c r="G8" s="53">
        <v>273000</v>
      </c>
      <c r="H8" s="54"/>
      <c r="I8" s="120">
        <f t="shared" ref="I8:I64" si="2">F8-G8</f>
        <v>973720.02</v>
      </c>
      <c r="J8" s="120">
        <f t="shared" ref="J8:J64" si="3">IF(I8&gt;0,I8*2.95%,0)</f>
        <v>28724.740590000001</v>
      </c>
      <c r="K8" s="121">
        <f t="shared" ref="K8:K64" si="4">N$2*E8%</f>
        <v>0</v>
      </c>
      <c r="L8" s="121">
        <f t="shared" ref="L8:L64" si="5">N$1*E8%</f>
        <v>99816.179465999972</v>
      </c>
      <c r="M8" s="122">
        <v>0</v>
      </c>
      <c r="N8" s="123">
        <f t="shared" si="0"/>
        <v>1102261.02</v>
      </c>
      <c r="O8" s="124">
        <f t="shared" si="1"/>
        <v>1135329.02</v>
      </c>
      <c r="P8" s="37">
        <f>P7+0.01</f>
        <v>0.02</v>
      </c>
      <c r="Q8" s="37"/>
    </row>
    <row r="9" spans="1:18" ht="17.25" customHeight="1" x14ac:dyDescent="0.3">
      <c r="A9" s="5" t="s">
        <v>13</v>
      </c>
      <c r="B9" s="118">
        <f t="shared" ref="B9:B44" si="6">B8+1</f>
        <v>3</v>
      </c>
      <c r="C9" s="118" t="s">
        <v>108</v>
      </c>
      <c r="D9" s="135" t="s">
        <v>80</v>
      </c>
      <c r="E9" s="119">
        <v>1.78</v>
      </c>
      <c r="F9" s="53">
        <v>63905.03</v>
      </c>
      <c r="G9" s="53">
        <f>F9</f>
        <v>63905.03</v>
      </c>
      <c r="H9" s="54"/>
      <c r="I9" s="120">
        <f t="shared" si="2"/>
        <v>0</v>
      </c>
      <c r="J9" s="120">
        <f t="shared" si="3"/>
        <v>0</v>
      </c>
      <c r="K9" s="121">
        <f t="shared" si="4"/>
        <v>0</v>
      </c>
      <c r="L9" s="121">
        <f t="shared" si="5"/>
        <v>91583.917241999981</v>
      </c>
      <c r="M9" s="122">
        <v>0</v>
      </c>
      <c r="N9" s="123">
        <f t="shared" si="0"/>
        <v>91584.03</v>
      </c>
      <c r="O9" s="124">
        <f t="shared" si="1"/>
        <v>94332.03</v>
      </c>
      <c r="P9" s="37">
        <f>P8+0.01</f>
        <v>0.03</v>
      </c>
    </row>
    <row r="10" spans="1:18" ht="17.100000000000001" customHeight="1" x14ac:dyDescent="0.3">
      <c r="A10" s="5" t="s">
        <v>14</v>
      </c>
      <c r="B10" s="118">
        <f t="shared" si="6"/>
        <v>4</v>
      </c>
      <c r="C10" s="48" t="s">
        <v>109</v>
      </c>
      <c r="D10" s="48" t="s">
        <v>81</v>
      </c>
      <c r="E10" s="51">
        <v>1.62</v>
      </c>
      <c r="F10" s="52">
        <v>60220.04</v>
      </c>
      <c r="G10" s="53">
        <f>F10</f>
        <v>60220.04</v>
      </c>
      <c r="H10" s="54"/>
      <c r="I10" s="55">
        <f t="shared" si="2"/>
        <v>0</v>
      </c>
      <c r="J10" s="55">
        <f t="shared" si="3"/>
        <v>0</v>
      </c>
      <c r="K10" s="56">
        <f t="shared" si="4"/>
        <v>0</v>
      </c>
      <c r="L10" s="56">
        <f t="shared" si="5"/>
        <v>83351.65501799999</v>
      </c>
      <c r="M10" s="57">
        <v>0</v>
      </c>
      <c r="N10" s="58">
        <f t="shared" si="0"/>
        <v>83352.039999999994</v>
      </c>
      <c r="O10" s="59">
        <f t="shared" si="1"/>
        <v>85853.04</v>
      </c>
      <c r="P10" s="37">
        <f t="shared" ref="P10:P64" si="7">P9+0.01</f>
        <v>0.04</v>
      </c>
      <c r="Q10" s="48" t="s">
        <v>84</v>
      </c>
      <c r="R10" s="37"/>
    </row>
    <row r="11" spans="1:18" ht="17.100000000000001" customHeight="1" x14ac:dyDescent="0.3">
      <c r="A11" s="5" t="s">
        <v>14</v>
      </c>
      <c r="B11" s="118">
        <f t="shared" si="6"/>
        <v>5</v>
      </c>
      <c r="C11" s="48" t="s">
        <v>110</v>
      </c>
      <c r="D11" s="48" t="s">
        <v>82</v>
      </c>
      <c r="E11" s="51">
        <v>1.94</v>
      </c>
      <c r="F11" s="52">
        <v>652261.05000000005</v>
      </c>
      <c r="G11" s="53">
        <v>0</v>
      </c>
      <c r="H11" s="54"/>
      <c r="I11" s="55">
        <f t="shared" si="2"/>
        <v>652261.05000000005</v>
      </c>
      <c r="J11" s="55">
        <f t="shared" si="3"/>
        <v>19241.700975000003</v>
      </c>
      <c r="K11" s="56">
        <f t="shared" si="4"/>
        <v>0</v>
      </c>
      <c r="L11" s="56">
        <f t="shared" si="5"/>
        <v>99816.179465999972</v>
      </c>
      <c r="M11" s="57">
        <v>0</v>
      </c>
      <c r="N11" s="58">
        <f t="shared" si="0"/>
        <v>771319.05</v>
      </c>
      <c r="O11" s="59">
        <f t="shared" si="1"/>
        <v>794459.05</v>
      </c>
      <c r="P11" s="37">
        <f t="shared" si="7"/>
        <v>0.05</v>
      </c>
      <c r="R11" s="37"/>
    </row>
    <row r="12" spans="1:18" ht="17.100000000000001" customHeight="1" x14ac:dyDescent="0.3">
      <c r="A12" s="5"/>
      <c r="B12" s="118">
        <f t="shared" si="6"/>
        <v>6</v>
      </c>
      <c r="C12" s="48" t="s">
        <v>111</v>
      </c>
      <c r="D12" s="48" t="s">
        <v>83</v>
      </c>
      <c r="E12" s="51">
        <v>1.78</v>
      </c>
      <c r="F12" s="52">
        <v>63905.06</v>
      </c>
      <c r="G12" s="53">
        <f>F12</f>
        <v>63905.06</v>
      </c>
      <c r="H12" s="54"/>
      <c r="I12" s="55">
        <f t="shared" si="2"/>
        <v>0</v>
      </c>
      <c r="J12" s="55">
        <f t="shared" si="3"/>
        <v>0</v>
      </c>
      <c r="K12" s="56">
        <f t="shared" si="4"/>
        <v>0</v>
      </c>
      <c r="L12" s="56">
        <f t="shared" si="5"/>
        <v>91583.917241999981</v>
      </c>
      <c r="M12" s="57">
        <v>0</v>
      </c>
      <c r="N12" s="58">
        <f t="shared" si="0"/>
        <v>91584.06</v>
      </c>
      <c r="O12" s="59">
        <f t="shared" si="1"/>
        <v>94332.06</v>
      </c>
      <c r="P12" s="37">
        <f t="shared" si="7"/>
        <v>6.0000000000000005E-2</v>
      </c>
      <c r="R12" s="37"/>
    </row>
    <row r="13" spans="1:18" ht="17.100000000000001" customHeight="1" x14ac:dyDescent="0.3">
      <c r="A13" s="5"/>
      <c r="B13" s="118">
        <f t="shared" si="6"/>
        <v>7</v>
      </c>
      <c r="C13" s="48" t="s">
        <v>112</v>
      </c>
      <c r="D13" s="48" t="s">
        <v>84</v>
      </c>
      <c r="E13" s="51">
        <v>1.62</v>
      </c>
      <c r="F13" s="52">
        <v>60220.07</v>
      </c>
      <c r="G13" s="53">
        <f>F13</f>
        <v>60220.07</v>
      </c>
      <c r="H13" s="54"/>
      <c r="I13" s="55">
        <f t="shared" si="2"/>
        <v>0</v>
      </c>
      <c r="J13" s="55">
        <f t="shared" si="3"/>
        <v>0</v>
      </c>
      <c r="K13" s="56">
        <f t="shared" si="4"/>
        <v>0</v>
      </c>
      <c r="L13" s="56">
        <f t="shared" si="5"/>
        <v>83351.65501799999</v>
      </c>
      <c r="M13" s="57">
        <v>0</v>
      </c>
      <c r="N13" s="58">
        <f t="shared" si="0"/>
        <v>83352.070000000007</v>
      </c>
      <c r="O13" s="59">
        <f t="shared" si="1"/>
        <v>85853.07</v>
      </c>
      <c r="P13" s="37">
        <f t="shared" si="7"/>
        <v>7.0000000000000007E-2</v>
      </c>
      <c r="Q13" s="48" t="s">
        <v>84</v>
      </c>
      <c r="R13" s="37"/>
    </row>
    <row r="14" spans="1:18" ht="17.100000000000001" customHeight="1" x14ac:dyDescent="0.3">
      <c r="A14" s="5"/>
      <c r="B14" s="118">
        <f t="shared" si="6"/>
        <v>8</v>
      </c>
      <c r="C14" s="48" t="s">
        <v>113</v>
      </c>
      <c r="D14" s="48" t="s">
        <v>85</v>
      </c>
      <c r="E14" s="51">
        <v>1.62</v>
      </c>
      <c r="F14" s="52">
        <v>57704.08</v>
      </c>
      <c r="G14" s="53">
        <v>58000</v>
      </c>
      <c r="H14" s="54"/>
      <c r="I14" s="55">
        <f t="shared" si="2"/>
        <v>-295.91999999999825</v>
      </c>
      <c r="J14" s="55">
        <f t="shared" si="3"/>
        <v>0</v>
      </c>
      <c r="K14" s="56">
        <f t="shared" si="4"/>
        <v>0</v>
      </c>
      <c r="L14" s="56">
        <f t="shared" si="5"/>
        <v>83351.65501799999</v>
      </c>
      <c r="M14" s="57">
        <v>0</v>
      </c>
      <c r="N14" s="58">
        <f t="shared" si="0"/>
        <v>83056.08</v>
      </c>
      <c r="O14" s="59">
        <f t="shared" si="1"/>
        <v>85548.08</v>
      </c>
      <c r="P14" s="37">
        <f t="shared" si="7"/>
        <v>0.08</v>
      </c>
      <c r="R14" s="37"/>
    </row>
    <row r="15" spans="1:18" ht="17.100000000000001" customHeight="1" x14ac:dyDescent="0.3">
      <c r="A15" s="5"/>
      <c r="B15" s="149">
        <f t="shared" si="6"/>
        <v>9</v>
      </c>
      <c r="C15" s="149" t="s">
        <v>114</v>
      </c>
      <c r="D15" s="149" t="s">
        <v>85</v>
      </c>
      <c r="E15" s="51">
        <v>7.59</v>
      </c>
      <c r="F15" s="52">
        <v>272269.09000000003</v>
      </c>
      <c r="G15" s="53">
        <v>0</v>
      </c>
      <c r="H15" s="54"/>
      <c r="I15" s="55">
        <f t="shared" si="2"/>
        <v>272269.09000000003</v>
      </c>
      <c r="J15" s="55">
        <f t="shared" si="3"/>
        <v>8031.9381550000016</v>
      </c>
      <c r="K15" s="56">
        <f t="shared" si="4"/>
        <v>0</v>
      </c>
      <c r="L15" s="56">
        <f t="shared" si="5"/>
        <v>390517.93925099989</v>
      </c>
      <c r="M15" s="57">
        <v>0</v>
      </c>
      <c r="N15" s="58">
        <f t="shared" si="0"/>
        <v>670819.09</v>
      </c>
      <c r="O15" s="59">
        <f t="shared" si="1"/>
        <v>690944.09</v>
      </c>
      <c r="P15" s="37">
        <f t="shared" si="7"/>
        <v>0.09</v>
      </c>
      <c r="R15" s="37"/>
    </row>
    <row r="16" spans="1:18" ht="17.100000000000001" customHeight="1" x14ac:dyDescent="0.3">
      <c r="A16" s="5"/>
      <c r="B16" s="224">
        <f t="shared" si="6"/>
        <v>10</v>
      </c>
      <c r="C16" s="224" t="s">
        <v>115</v>
      </c>
      <c r="D16" s="224" t="s">
        <v>86</v>
      </c>
      <c r="E16" s="51">
        <v>1.62</v>
      </c>
      <c r="F16" s="52">
        <v>46384.1</v>
      </c>
      <c r="G16" s="53">
        <v>0</v>
      </c>
      <c r="H16" s="54"/>
      <c r="I16" s="55">
        <f t="shared" si="2"/>
        <v>46384.1</v>
      </c>
      <c r="J16" s="55">
        <f t="shared" si="3"/>
        <v>1368.33095</v>
      </c>
      <c r="K16" s="56">
        <f t="shared" si="4"/>
        <v>0</v>
      </c>
      <c r="L16" s="56">
        <f t="shared" si="5"/>
        <v>83351.65501799999</v>
      </c>
      <c r="M16" s="57">
        <v>0</v>
      </c>
      <c r="N16" s="58">
        <f t="shared" si="0"/>
        <v>131104.1</v>
      </c>
      <c r="O16" s="59">
        <f t="shared" si="1"/>
        <v>135037.1</v>
      </c>
      <c r="P16" s="37">
        <f t="shared" si="7"/>
        <v>9.9999999999999992E-2</v>
      </c>
      <c r="Q16" t="s">
        <v>163</v>
      </c>
      <c r="R16" s="37"/>
    </row>
    <row r="17" spans="1:18" ht="17.100000000000001" customHeight="1" x14ac:dyDescent="0.3">
      <c r="A17" s="5"/>
      <c r="B17" s="118">
        <f t="shared" si="6"/>
        <v>11</v>
      </c>
      <c r="C17" s="48" t="s">
        <v>116</v>
      </c>
      <c r="D17" s="48" t="s">
        <v>87</v>
      </c>
      <c r="E17" s="51">
        <v>1.78</v>
      </c>
      <c r="F17" s="52">
        <v>179205.11</v>
      </c>
      <c r="G17" s="53">
        <v>0</v>
      </c>
      <c r="H17" s="54"/>
      <c r="I17" s="55">
        <f t="shared" si="2"/>
        <v>179205.11</v>
      </c>
      <c r="J17" s="55">
        <f t="shared" si="3"/>
        <v>5286.5507449999996</v>
      </c>
      <c r="K17" s="56">
        <f t="shared" si="4"/>
        <v>0</v>
      </c>
      <c r="L17" s="56">
        <f t="shared" si="5"/>
        <v>91583.917241999981</v>
      </c>
      <c r="M17" s="57">
        <v>0</v>
      </c>
      <c r="N17" s="58">
        <f t="shared" si="0"/>
        <v>276076.11</v>
      </c>
      <c r="O17" s="59">
        <f t="shared" si="1"/>
        <v>284358.11</v>
      </c>
      <c r="P17" s="37">
        <f t="shared" si="7"/>
        <v>0.10999999999999999</v>
      </c>
      <c r="R17" s="37"/>
    </row>
    <row r="18" spans="1:18" ht="17.100000000000001" customHeight="1" x14ac:dyDescent="0.3">
      <c r="A18" s="5"/>
      <c r="B18" s="118">
        <f t="shared" si="6"/>
        <v>12</v>
      </c>
      <c r="C18" s="48" t="s">
        <v>117</v>
      </c>
      <c r="D18" s="48" t="s">
        <v>87</v>
      </c>
      <c r="E18" s="51">
        <v>1.3</v>
      </c>
      <c r="F18" s="52">
        <v>130933.12</v>
      </c>
      <c r="G18" s="53">
        <v>0</v>
      </c>
      <c r="H18" s="54"/>
      <c r="I18" s="55">
        <f t="shared" si="2"/>
        <v>130933.12</v>
      </c>
      <c r="J18" s="55">
        <f t="shared" si="3"/>
        <v>3862.5270399999999</v>
      </c>
      <c r="K18" s="56">
        <f t="shared" si="4"/>
        <v>0</v>
      </c>
      <c r="L18" s="56">
        <f t="shared" si="5"/>
        <v>66887.130569999994</v>
      </c>
      <c r="M18" s="57">
        <v>0</v>
      </c>
      <c r="N18" s="58">
        <f t="shared" si="0"/>
        <v>201683.12</v>
      </c>
      <c r="O18" s="59">
        <f t="shared" si="1"/>
        <v>207733.12</v>
      </c>
      <c r="P18" s="37">
        <f t="shared" si="7"/>
        <v>0.11999999999999998</v>
      </c>
      <c r="R18" s="37"/>
    </row>
    <row r="19" spans="1:18" ht="17.100000000000001" customHeight="1" x14ac:dyDescent="0.3">
      <c r="A19" s="5"/>
      <c r="B19" s="118">
        <f t="shared" si="6"/>
        <v>13</v>
      </c>
      <c r="C19" s="48" t="s">
        <v>118</v>
      </c>
      <c r="D19" s="48" t="s">
        <v>88</v>
      </c>
      <c r="E19" s="51">
        <v>1.38</v>
      </c>
      <c r="F19" s="52">
        <v>49544.13</v>
      </c>
      <c r="G19" s="53">
        <f>116680.27-G20</f>
        <v>49544.130000000005</v>
      </c>
      <c r="H19" s="54"/>
      <c r="I19" s="55">
        <f t="shared" si="2"/>
        <v>0</v>
      </c>
      <c r="J19" s="55">
        <f t="shared" si="3"/>
        <v>0</v>
      </c>
      <c r="K19" s="56">
        <f t="shared" si="4"/>
        <v>0</v>
      </c>
      <c r="L19" s="56">
        <f t="shared" si="5"/>
        <v>71003.261681999982</v>
      </c>
      <c r="M19" s="57">
        <v>0</v>
      </c>
      <c r="N19" s="58">
        <f t="shared" si="0"/>
        <v>71003.13</v>
      </c>
      <c r="O19" s="59">
        <f t="shared" si="1"/>
        <v>73133.13</v>
      </c>
      <c r="P19" s="37">
        <f t="shared" si="7"/>
        <v>0.12999999999999998</v>
      </c>
      <c r="Q19" t="s">
        <v>166</v>
      </c>
      <c r="R19" s="37"/>
    </row>
    <row r="20" spans="1:18" ht="17.100000000000001" customHeight="1" x14ac:dyDescent="0.3">
      <c r="A20" s="5"/>
      <c r="B20" s="118">
        <f t="shared" si="6"/>
        <v>14</v>
      </c>
      <c r="C20" s="48" t="s">
        <v>119</v>
      </c>
      <c r="D20" s="48" t="s">
        <v>88</v>
      </c>
      <c r="E20" s="51">
        <v>1.87</v>
      </c>
      <c r="F20" s="52">
        <v>67136.14</v>
      </c>
      <c r="G20" s="53">
        <f>F20</f>
        <v>67136.14</v>
      </c>
      <c r="H20" s="54"/>
      <c r="I20" s="55">
        <f t="shared" si="2"/>
        <v>0</v>
      </c>
      <c r="J20" s="55">
        <f t="shared" si="3"/>
        <v>0</v>
      </c>
      <c r="K20" s="56">
        <f t="shared" si="4"/>
        <v>0</v>
      </c>
      <c r="L20" s="56">
        <f t="shared" si="5"/>
        <v>96214.564742999981</v>
      </c>
      <c r="M20" s="57">
        <v>0</v>
      </c>
      <c r="N20" s="58">
        <f t="shared" si="0"/>
        <v>96215.14</v>
      </c>
      <c r="O20" s="59">
        <f t="shared" si="1"/>
        <v>99101.14</v>
      </c>
      <c r="P20" s="37">
        <f t="shared" si="7"/>
        <v>0.13999999999999999</v>
      </c>
      <c r="Q20" t="s">
        <v>166</v>
      </c>
      <c r="R20" s="37"/>
    </row>
    <row r="21" spans="1:18" ht="17.100000000000001" customHeight="1" x14ac:dyDescent="0.3">
      <c r="A21" s="5"/>
      <c r="B21" s="118">
        <f t="shared" si="6"/>
        <v>15</v>
      </c>
      <c r="C21" s="48" t="s">
        <v>120</v>
      </c>
      <c r="D21" s="48" t="s">
        <v>89</v>
      </c>
      <c r="E21" s="51">
        <v>2.91</v>
      </c>
      <c r="F21" s="52">
        <v>775437.15</v>
      </c>
      <c r="G21" s="53">
        <v>0</v>
      </c>
      <c r="H21" s="54"/>
      <c r="I21" s="55">
        <f t="shared" si="2"/>
        <v>775437.15</v>
      </c>
      <c r="J21" s="55">
        <f t="shared" si="3"/>
        <v>22875.395925000001</v>
      </c>
      <c r="K21" s="56">
        <f t="shared" si="4"/>
        <v>0</v>
      </c>
      <c r="L21" s="56">
        <f t="shared" si="5"/>
        <v>149724.26919899997</v>
      </c>
      <c r="M21" s="57">
        <v>0</v>
      </c>
      <c r="N21" s="58">
        <f t="shared" si="0"/>
        <v>948037.15</v>
      </c>
      <c r="O21" s="59">
        <f t="shared" si="1"/>
        <v>976478.15</v>
      </c>
      <c r="P21" s="37">
        <f t="shared" si="7"/>
        <v>0.15</v>
      </c>
      <c r="R21" s="37"/>
    </row>
    <row r="22" spans="1:18" ht="17.100000000000001" customHeight="1" x14ac:dyDescent="0.3">
      <c r="A22" s="225"/>
      <c r="B22" s="224">
        <f t="shared" si="6"/>
        <v>16</v>
      </c>
      <c r="C22" s="224" t="s">
        <v>121</v>
      </c>
      <c r="D22" s="224" t="s">
        <v>90</v>
      </c>
      <c r="E22" s="51">
        <v>2.14</v>
      </c>
      <c r="F22" s="52">
        <v>73855.16</v>
      </c>
      <c r="G22" s="53">
        <v>74000</v>
      </c>
      <c r="H22" s="54"/>
      <c r="I22" s="55">
        <f t="shared" si="2"/>
        <v>-144.83999999999651</v>
      </c>
      <c r="J22" s="55">
        <f t="shared" si="3"/>
        <v>0</v>
      </c>
      <c r="K22" s="56">
        <f t="shared" si="4"/>
        <v>0</v>
      </c>
      <c r="L22" s="56">
        <f t="shared" si="5"/>
        <v>110106.50724599998</v>
      </c>
      <c r="M22" s="57">
        <v>0</v>
      </c>
      <c r="N22" s="58">
        <f t="shared" si="0"/>
        <v>109962.16</v>
      </c>
      <c r="O22" s="59">
        <f t="shared" si="1"/>
        <v>113261.16</v>
      </c>
      <c r="P22" s="37">
        <f t="shared" si="7"/>
        <v>0.16</v>
      </c>
      <c r="Q22" t="s">
        <v>163</v>
      </c>
      <c r="R22" s="37"/>
    </row>
    <row r="23" spans="1:18" ht="17.100000000000001" customHeight="1" x14ac:dyDescent="0.3">
      <c r="A23" s="5" t="s">
        <v>15</v>
      </c>
      <c r="B23" s="118">
        <f t="shared" si="6"/>
        <v>17</v>
      </c>
      <c r="C23" s="48" t="s">
        <v>122</v>
      </c>
      <c r="D23" s="48" t="s">
        <v>85</v>
      </c>
      <c r="E23" s="51">
        <v>0.89</v>
      </c>
      <c r="F23" s="52">
        <v>31625.17</v>
      </c>
      <c r="G23" s="53">
        <v>31700</v>
      </c>
      <c r="H23" s="54"/>
      <c r="I23" s="55">
        <f t="shared" si="2"/>
        <v>-74.830000000001746</v>
      </c>
      <c r="J23" s="55">
        <f t="shared" si="3"/>
        <v>0</v>
      </c>
      <c r="K23" s="56">
        <f t="shared" si="4"/>
        <v>0</v>
      </c>
      <c r="L23" s="56">
        <f t="shared" si="5"/>
        <v>45791.958620999991</v>
      </c>
      <c r="M23" s="57">
        <v>0</v>
      </c>
      <c r="N23" s="58">
        <f t="shared" si="0"/>
        <v>45717.17</v>
      </c>
      <c r="O23" s="59">
        <f t="shared" si="1"/>
        <v>47089.17</v>
      </c>
      <c r="P23" s="37">
        <f t="shared" si="7"/>
        <v>0.17</v>
      </c>
    </row>
    <row r="24" spans="1:18" ht="17.100000000000001" customHeight="1" x14ac:dyDescent="0.3">
      <c r="A24" s="5" t="s">
        <v>15</v>
      </c>
      <c r="B24" s="118">
        <f t="shared" si="6"/>
        <v>18</v>
      </c>
      <c r="C24" s="118" t="s">
        <v>123</v>
      </c>
      <c r="D24" s="118" t="s">
        <v>91</v>
      </c>
      <c r="E24" s="119">
        <v>0.95</v>
      </c>
      <c r="F24" s="53">
        <v>2719352.18</v>
      </c>
      <c r="G24" s="53">
        <v>0</v>
      </c>
      <c r="H24" s="54"/>
      <c r="I24" s="55">
        <f t="shared" si="2"/>
        <v>2719352.18</v>
      </c>
      <c r="J24" s="55">
        <f t="shared" si="3"/>
        <v>80220.889310000013</v>
      </c>
      <c r="K24" s="56">
        <f t="shared" si="4"/>
        <v>0</v>
      </c>
      <c r="L24" s="56">
        <f t="shared" si="5"/>
        <v>48879.056954999985</v>
      </c>
      <c r="M24" s="57">
        <v>0</v>
      </c>
      <c r="N24" s="58">
        <f t="shared" si="0"/>
        <v>2848452.18</v>
      </c>
      <c r="O24" s="59">
        <f t="shared" si="1"/>
        <v>2933906.18</v>
      </c>
      <c r="P24" s="37">
        <f t="shared" si="7"/>
        <v>0.18000000000000002</v>
      </c>
      <c r="Q24" s="105"/>
      <c r="R24" s="104"/>
    </row>
    <row r="25" spans="1:18" ht="17.100000000000001" customHeight="1" x14ac:dyDescent="0.3">
      <c r="A25" s="5" t="s">
        <v>16</v>
      </c>
      <c r="B25" s="118">
        <f t="shared" si="6"/>
        <v>19</v>
      </c>
      <c r="C25" s="48" t="s">
        <v>124</v>
      </c>
      <c r="D25" s="48" t="s">
        <v>85</v>
      </c>
      <c r="E25" s="51">
        <v>1.94</v>
      </c>
      <c r="F25" s="52">
        <v>60570.19</v>
      </c>
      <c r="G25" s="53">
        <v>60800</v>
      </c>
      <c r="H25" s="54"/>
      <c r="I25" s="55">
        <f t="shared" si="2"/>
        <v>-229.80999999999767</v>
      </c>
      <c r="J25" s="55">
        <f t="shared" si="3"/>
        <v>0</v>
      </c>
      <c r="K25" s="56">
        <f t="shared" si="4"/>
        <v>0</v>
      </c>
      <c r="L25" s="56">
        <f t="shared" si="5"/>
        <v>99816.179465999972</v>
      </c>
      <c r="M25" s="57">
        <v>0</v>
      </c>
      <c r="N25" s="58">
        <f t="shared" si="0"/>
        <v>99586.19</v>
      </c>
      <c r="O25" s="59">
        <f t="shared" si="1"/>
        <v>102574.19</v>
      </c>
      <c r="P25" s="37">
        <f t="shared" si="7"/>
        <v>0.19000000000000003</v>
      </c>
    </row>
    <row r="26" spans="1:18" ht="17.100000000000001" customHeight="1" x14ac:dyDescent="0.3">
      <c r="A26" s="5" t="s">
        <v>16</v>
      </c>
      <c r="B26" s="118">
        <f t="shared" si="6"/>
        <v>20</v>
      </c>
      <c r="C26" s="48" t="s">
        <v>125</v>
      </c>
      <c r="D26" s="48" t="s">
        <v>92</v>
      </c>
      <c r="E26" s="51">
        <v>1.84</v>
      </c>
      <c r="F26" s="52">
        <v>66059.199999999997</v>
      </c>
      <c r="G26" s="53">
        <v>0</v>
      </c>
      <c r="H26" s="54"/>
      <c r="I26" s="55">
        <f t="shared" si="2"/>
        <v>66059.199999999997</v>
      </c>
      <c r="J26" s="55">
        <f t="shared" si="3"/>
        <v>1948.7464</v>
      </c>
      <c r="K26" s="56">
        <f t="shared" si="4"/>
        <v>0</v>
      </c>
      <c r="L26" s="56">
        <f t="shared" si="5"/>
        <v>94671.015575999976</v>
      </c>
      <c r="M26" s="57">
        <v>0</v>
      </c>
      <c r="N26" s="58">
        <f t="shared" si="0"/>
        <v>162679.20000000001</v>
      </c>
      <c r="O26" s="59">
        <f t="shared" si="1"/>
        <v>167559.20000000001</v>
      </c>
      <c r="P26" s="37">
        <f t="shared" si="7"/>
        <v>0.20000000000000004</v>
      </c>
    </row>
    <row r="27" spans="1:18" ht="17.100000000000001" customHeight="1" x14ac:dyDescent="0.3">
      <c r="A27" s="5" t="s">
        <v>17</v>
      </c>
      <c r="B27" s="118">
        <f t="shared" si="6"/>
        <v>21</v>
      </c>
      <c r="C27" s="48">
        <v>1106</v>
      </c>
      <c r="D27" s="48" t="s">
        <v>93</v>
      </c>
      <c r="E27" s="51">
        <v>5.12</v>
      </c>
      <c r="F27" s="52">
        <v>6079224.21</v>
      </c>
      <c r="G27" s="53">
        <v>600000</v>
      </c>
      <c r="H27" s="54"/>
      <c r="I27" s="55">
        <f t="shared" si="2"/>
        <v>5479224.21</v>
      </c>
      <c r="J27" s="55">
        <f t="shared" si="3"/>
        <v>161637.114195</v>
      </c>
      <c r="K27" s="56">
        <f t="shared" si="4"/>
        <v>0</v>
      </c>
      <c r="L27" s="56">
        <f t="shared" si="5"/>
        <v>263432.39116799994</v>
      </c>
      <c r="M27" s="57">
        <v>0</v>
      </c>
      <c r="N27" s="58">
        <f t="shared" si="0"/>
        <v>5904294.21</v>
      </c>
      <c r="O27" s="59">
        <f t="shared" si="1"/>
        <v>6081423.21</v>
      </c>
      <c r="P27" s="37">
        <f t="shared" si="7"/>
        <v>0.21000000000000005</v>
      </c>
    </row>
    <row r="28" spans="1:18" ht="17.100000000000001" customHeight="1" x14ac:dyDescent="0.3">
      <c r="A28" s="5" t="s">
        <v>17</v>
      </c>
      <c r="B28" s="118">
        <f t="shared" si="6"/>
        <v>22</v>
      </c>
      <c r="C28" s="48">
        <v>1101</v>
      </c>
      <c r="D28" s="48" t="s">
        <v>85</v>
      </c>
      <c r="E28" s="51">
        <v>3.88</v>
      </c>
      <c r="F28" s="52">
        <v>139195.22</v>
      </c>
      <c r="G28" s="53">
        <f>140000</f>
        <v>140000</v>
      </c>
      <c r="H28" s="54"/>
      <c r="I28" s="55">
        <f t="shared" si="2"/>
        <v>-804.77999999999884</v>
      </c>
      <c r="J28" s="55">
        <f t="shared" si="3"/>
        <v>0</v>
      </c>
      <c r="K28" s="56">
        <f t="shared" si="4"/>
        <v>0</v>
      </c>
      <c r="L28" s="56">
        <f t="shared" si="5"/>
        <v>199632.35893199994</v>
      </c>
      <c r="M28" s="57">
        <v>0</v>
      </c>
      <c r="N28" s="58">
        <f t="shared" si="0"/>
        <v>198828.22</v>
      </c>
      <c r="O28" s="59">
        <f t="shared" si="1"/>
        <v>204793.22</v>
      </c>
      <c r="P28" s="37">
        <f t="shared" si="7"/>
        <v>0.22000000000000006</v>
      </c>
      <c r="Q28" t="s">
        <v>165</v>
      </c>
    </row>
    <row r="29" spans="1:18" ht="17.100000000000001" customHeight="1" x14ac:dyDescent="0.3">
      <c r="A29" s="5" t="s">
        <v>18</v>
      </c>
      <c r="B29" s="118">
        <f t="shared" si="6"/>
        <v>23</v>
      </c>
      <c r="C29" s="48">
        <v>1102</v>
      </c>
      <c r="D29" s="48" t="s">
        <v>94</v>
      </c>
      <c r="E29" s="51">
        <v>0.92</v>
      </c>
      <c r="F29" s="52">
        <v>32615.23</v>
      </c>
      <c r="G29" s="53">
        <f>F29</f>
        <v>32615.23</v>
      </c>
      <c r="H29" s="54"/>
      <c r="I29" s="55">
        <f t="shared" si="2"/>
        <v>0</v>
      </c>
      <c r="J29" s="55">
        <f t="shared" si="3"/>
        <v>0</v>
      </c>
      <c r="K29" s="56">
        <f t="shared" si="4"/>
        <v>0</v>
      </c>
      <c r="L29" s="56">
        <f t="shared" si="5"/>
        <v>47335.507787999988</v>
      </c>
      <c r="M29" s="57">
        <v>0</v>
      </c>
      <c r="N29" s="58">
        <f t="shared" si="0"/>
        <v>47336.23</v>
      </c>
      <c r="O29" s="59">
        <f t="shared" si="1"/>
        <v>48756.23</v>
      </c>
      <c r="P29" s="37">
        <f t="shared" si="7"/>
        <v>0.23000000000000007</v>
      </c>
    </row>
    <row r="30" spans="1:18" ht="17.100000000000001" customHeight="1" x14ac:dyDescent="0.3">
      <c r="A30" s="5" t="s">
        <v>18</v>
      </c>
      <c r="B30" s="118">
        <f t="shared" si="6"/>
        <v>24</v>
      </c>
      <c r="C30" s="48">
        <v>1103</v>
      </c>
      <c r="D30" s="48" t="s">
        <v>95</v>
      </c>
      <c r="E30" s="51">
        <v>1.43</v>
      </c>
      <c r="F30" s="52">
        <v>4589850.24</v>
      </c>
      <c r="G30" s="53">
        <v>0</v>
      </c>
      <c r="H30" s="54"/>
      <c r="I30" s="55">
        <f t="shared" si="2"/>
        <v>4589850.24</v>
      </c>
      <c r="J30" s="55">
        <f t="shared" si="3"/>
        <v>135400.58208000002</v>
      </c>
      <c r="K30" s="56">
        <f t="shared" si="4"/>
        <v>0</v>
      </c>
      <c r="L30" s="56">
        <f t="shared" si="5"/>
        <v>73575.84362699998</v>
      </c>
      <c r="M30" s="57">
        <v>0</v>
      </c>
      <c r="N30" s="58">
        <f t="shared" si="0"/>
        <v>4798827.24</v>
      </c>
      <c r="O30" s="59">
        <f t="shared" si="1"/>
        <v>4942792.24</v>
      </c>
      <c r="P30" s="37">
        <f t="shared" si="7"/>
        <v>0.24000000000000007</v>
      </c>
    </row>
    <row r="31" spans="1:18" ht="17.100000000000001" customHeight="1" x14ac:dyDescent="0.3">
      <c r="A31" s="5" t="s">
        <v>19</v>
      </c>
      <c r="B31" s="118">
        <f t="shared" si="6"/>
        <v>25</v>
      </c>
      <c r="C31" s="48">
        <v>1104</v>
      </c>
      <c r="D31" s="48" t="s">
        <v>96</v>
      </c>
      <c r="E31" s="51">
        <v>2.19</v>
      </c>
      <c r="F31" s="52">
        <v>78625.25</v>
      </c>
      <c r="G31" s="53">
        <v>0</v>
      </c>
      <c r="H31" s="54"/>
      <c r="I31" s="55">
        <f t="shared" si="2"/>
        <v>78625.25</v>
      </c>
      <c r="J31" s="55">
        <f t="shared" si="3"/>
        <v>2319.4448750000001</v>
      </c>
      <c r="K31" s="56">
        <f t="shared" si="4"/>
        <v>0</v>
      </c>
      <c r="L31" s="56">
        <f t="shared" si="5"/>
        <v>112679.08919099996</v>
      </c>
      <c r="M31" s="57">
        <v>0</v>
      </c>
      <c r="N31" s="58">
        <f t="shared" si="0"/>
        <v>193624.25</v>
      </c>
      <c r="O31" s="59">
        <f t="shared" si="1"/>
        <v>199433.25</v>
      </c>
      <c r="P31" s="37">
        <f t="shared" si="7"/>
        <v>0.25000000000000006</v>
      </c>
    </row>
    <row r="32" spans="1:18" ht="17.100000000000001" customHeight="1" x14ac:dyDescent="0.3">
      <c r="A32" s="5" t="s">
        <v>19</v>
      </c>
      <c r="B32" s="118">
        <f t="shared" si="6"/>
        <v>26</v>
      </c>
      <c r="C32" s="48">
        <v>1105</v>
      </c>
      <c r="D32" s="48" t="s">
        <v>97</v>
      </c>
      <c r="E32" s="51">
        <v>1.94</v>
      </c>
      <c r="F32" s="52">
        <v>-62054.81</v>
      </c>
      <c r="G32" s="53">
        <v>0</v>
      </c>
      <c r="H32" s="54"/>
      <c r="I32" s="55">
        <f t="shared" si="2"/>
        <v>-62054.81</v>
      </c>
      <c r="J32" s="55">
        <f t="shared" si="3"/>
        <v>0</v>
      </c>
      <c r="K32" s="56">
        <f t="shared" si="4"/>
        <v>0</v>
      </c>
      <c r="L32" s="56">
        <f t="shared" si="5"/>
        <v>99816.179465999972</v>
      </c>
      <c r="M32" s="57">
        <v>0</v>
      </c>
      <c r="N32" s="58">
        <f t="shared" si="0"/>
        <v>37761.26</v>
      </c>
      <c r="O32" s="59">
        <f t="shared" si="1"/>
        <v>38894.26</v>
      </c>
      <c r="P32" s="37">
        <f t="shared" si="7"/>
        <v>0.26000000000000006</v>
      </c>
    </row>
    <row r="33" spans="1:18" ht="17.100000000000001" customHeight="1" x14ac:dyDescent="0.3">
      <c r="A33" s="5" t="s">
        <v>20</v>
      </c>
      <c r="B33" s="118">
        <f t="shared" si="6"/>
        <v>27</v>
      </c>
      <c r="C33" s="48">
        <v>2206</v>
      </c>
      <c r="D33" s="48" t="s">
        <v>98</v>
      </c>
      <c r="E33" s="51">
        <v>2.17</v>
      </c>
      <c r="F33" s="52">
        <v>77907.27</v>
      </c>
      <c r="G33" s="53">
        <f>77907.27</f>
        <v>77907.27</v>
      </c>
      <c r="H33" s="54"/>
      <c r="I33" s="55">
        <f t="shared" si="2"/>
        <v>0</v>
      </c>
      <c r="J33" s="55">
        <f t="shared" si="3"/>
        <v>0</v>
      </c>
      <c r="K33" s="56">
        <f t="shared" si="4"/>
        <v>0</v>
      </c>
      <c r="L33" s="56">
        <f t="shared" si="5"/>
        <v>111650.05641299997</v>
      </c>
      <c r="M33" s="57">
        <v>0</v>
      </c>
      <c r="N33" s="58">
        <f t="shared" si="0"/>
        <v>111650.27</v>
      </c>
      <c r="O33" s="59">
        <f t="shared" si="1"/>
        <v>115000.27</v>
      </c>
      <c r="P33" s="37">
        <f t="shared" si="7"/>
        <v>0.27000000000000007</v>
      </c>
      <c r="R33" s="36"/>
    </row>
    <row r="34" spans="1:18" ht="17.100000000000001" customHeight="1" x14ac:dyDescent="0.3">
      <c r="A34" s="5" t="s">
        <v>20</v>
      </c>
      <c r="B34" s="118">
        <f t="shared" si="6"/>
        <v>28</v>
      </c>
      <c r="C34" s="48">
        <v>2207</v>
      </c>
      <c r="D34" s="48" t="s">
        <v>99</v>
      </c>
      <c r="E34" s="51">
        <v>1.23</v>
      </c>
      <c r="F34" s="53">
        <v>36627.279999999999</v>
      </c>
      <c r="G34" s="53">
        <v>36630</v>
      </c>
      <c r="H34" s="54"/>
      <c r="I34" s="55">
        <f t="shared" si="2"/>
        <v>-2.7200000000011642</v>
      </c>
      <c r="J34" s="55">
        <f t="shared" si="3"/>
        <v>0</v>
      </c>
      <c r="K34" s="56">
        <f t="shared" si="4"/>
        <v>0</v>
      </c>
      <c r="L34" s="56">
        <f t="shared" si="5"/>
        <v>63285.515846999988</v>
      </c>
      <c r="M34" s="57">
        <v>0</v>
      </c>
      <c r="N34" s="58">
        <f t="shared" si="0"/>
        <v>63283.28</v>
      </c>
      <c r="O34" s="59">
        <f t="shared" si="1"/>
        <v>65181.279999999999</v>
      </c>
      <c r="P34" s="37">
        <f t="shared" si="7"/>
        <v>0.28000000000000008</v>
      </c>
      <c r="Q34" t="s">
        <v>169</v>
      </c>
    </row>
    <row r="35" spans="1:18" ht="17.100000000000001" customHeight="1" x14ac:dyDescent="0.3">
      <c r="A35" s="5" t="s">
        <v>21</v>
      </c>
      <c r="B35" s="118">
        <f t="shared" si="6"/>
        <v>29</v>
      </c>
      <c r="C35" s="48">
        <v>2208</v>
      </c>
      <c r="D35" s="48" t="s">
        <v>100</v>
      </c>
      <c r="E35" s="51">
        <v>1.29</v>
      </c>
      <c r="F35" s="52">
        <v>46313.29</v>
      </c>
      <c r="G35" s="53">
        <f>95500-G36</f>
        <v>46326.7</v>
      </c>
      <c r="H35" s="54"/>
      <c r="I35" s="55">
        <f t="shared" si="2"/>
        <v>-13.409999999996217</v>
      </c>
      <c r="J35" s="55">
        <f t="shared" si="3"/>
        <v>0</v>
      </c>
      <c r="K35" s="56">
        <f t="shared" si="4"/>
        <v>0</v>
      </c>
      <c r="L35" s="56">
        <f t="shared" si="5"/>
        <v>66372.614180999983</v>
      </c>
      <c r="M35" s="57">
        <v>0</v>
      </c>
      <c r="N35" s="58">
        <f t="shared" si="0"/>
        <v>66359.289999999994</v>
      </c>
      <c r="O35" s="59">
        <f t="shared" si="1"/>
        <v>68350.289999999994</v>
      </c>
      <c r="P35" s="37">
        <f t="shared" si="7"/>
        <v>0.29000000000000009</v>
      </c>
    </row>
    <row r="36" spans="1:18" ht="17.100000000000001" customHeight="1" x14ac:dyDescent="0.3">
      <c r="A36" s="5" t="s">
        <v>21</v>
      </c>
      <c r="B36" s="118">
        <f t="shared" si="6"/>
        <v>30</v>
      </c>
      <c r="C36" s="48">
        <v>2201</v>
      </c>
      <c r="D36" s="48" t="s">
        <v>100</v>
      </c>
      <c r="E36" s="51">
        <v>1.36</v>
      </c>
      <c r="F36" s="52">
        <v>49173.3</v>
      </c>
      <c r="G36" s="53">
        <f>F36</f>
        <v>49173.3</v>
      </c>
      <c r="H36" s="54"/>
      <c r="I36" s="55">
        <f t="shared" si="2"/>
        <v>0</v>
      </c>
      <c r="J36" s="55">
        <f t="shared" si="3"/>
        <v>0</v>
      </c>
      <c r="K36" s="56">
        <f t="shared" si="4"/>
        <v>0</v>
      </c>
      <c r="L36" s="56">
        <f t="shared" si="5"/>
        <v>69974.228903999989</v>
      </c>
      <c r="M36" s="57">
        <v>0</v>
      </c>
      <c r="N36" s="58">
        <f t="shared" si="0"/>
        <v>69974.3</v>
      </c>
      <c r="O36" s="59">
        <f t="shared" si="1"/>
        <v>72073.3</v>
      </c>
      <c r="P36" s="37">
        <f t="shared" si="7"/>
        <v>0.3000000000000001</v>
      </c>
    </row>
    <row r="37" spans="1:18" ht="17.100000000000001" customHeight="1" x14ac:dyDescent="0.3">
      <c r="A37" s="5" t="s">
        <v>22</v>
      </c>
      <c r="B37" s="118">
        <f t="shared" si="6"/>
        <v>31</v>
      </c>
      <c r="C37" s="48">
        <v>2202</v>
      </c>
      <c r="D37" s="48" t="s">
        <v>101</v>
      </c>
      <c r="E37" s="51">
        <v>0.57999999999999996</v>
      </c>
      <c r="F37" s="53">
        <v>20823.310000000001</v>
      </c>
      <c r="G37" s="53">
        <f>150429.3-G38-G40-G39</f>
        <v>20823.309999999983</v>
      </c>
      <c r="H37" s="54"/>
      <c r="I37" s="55">
        <f t="shared" si="2"/>
        <v>0</v>
      </c>
      <c r="J37" s="55">
        <f t="shared" si="3"/>
        <v>0</v>
      </c>
      <c r="K37" s="56">
        <f t="shared" si="4"/>
        <v>0</v>
      </c>
      <c r="L37" s="56">
        <f t="shared" si="5"/>
        <v>29841.950561999991</v>
      </c>
      <c r="M37" s="57">
        <v>0</v>
      </c>
      <c r="N37" s="58">
        <f t="shared" si="0"/>
        <v>29842.31</v>
      </c>
      <c r="O37" s="59">
        <f t="shared" si="1"/>
        <v>30737.31</v>
      </c>
      <c r="P37" s="37">
        <f t="shared" si="7"/>
        <v>0.31000000000000011</v>
      </c>
      <c r="Q37" t="s">
        <v>175</v>
      </c>
    </row>
    <row r="38" spans="1:18" ht="17.100000000000001" customHeight="1" x14ac:dyDescent="0.3">
      <c r="A38" s="5" t="s">
        <v>23</v>
      </c>
      <c r="B38" s="118">
        <f t="shared" si="6"/>
        <v>32</v>
      </c>
      <c r="C38" s="48">
        <v>2203</v>
      </c>
      <c r="D38" s="48" t="s">
        <v>101</v>
      </c>
      <c r="E38" s="51">
        <v>0.57999999999999996</v>
      </c>
      <c r="F38" s="52">
        <v>20823.32</v>
      </c>
      <c r="G38" s="53">
        <f>F38</f>
        <v>20823.32</v>
      </c>
      <c r="H38" s="54"/>
      <c r="I38" s="55">
        <f t="shared" si="2"/>
        <v>0</v>
      </c>
      <c r="J38" s="55">
        <f t="shared" si="3"/>
        <v>0</v>
      </c>
      <c r="K38" s="56">
        <f t="shared" si="4"/>
        <v>0</v>
      </c>
      <c r="L38" s="56">
        <f t="shared" si="5"/>
        <v>29841.950561999991</v>
      </c>
      <c r="M38" s="57">
        <v>0</v>
      </c>
      <c r="N38" s="58">
        <f t="shared" si="0"/>
        <v>29842.32</v>
      </c>
      <c r="O38" s="59">
        <f t="shared" si="1"/>
        <v>30737.32</v>
      </c>
      <c r="P38" s="37">
        <f t="shared" si="7"/>
        <v>0.32000000000000012</v>
      </c>
      <c r="Q38" t="s">
        <v>175</v>
      </c>
    </row>
    <row r="39" spans="1:18" ht="17.100000000000001" customHeight="1" x14ac:dyDescent="0.3">
      <c r="A39" s="5" t="s">
        <v>24</v>
      </c>
      <c r="B39" s="118">
        <f t="shared" si="6"/>
        <v>33</v>
      </c>
      <c r="C39" s="48">
        <v>2204</v>
      </c>
      <c r="D39" s="48" t="s">
        <v>102</v>
      </c>
      <c r="E39" s="51">
        <v>1.36</v>
      </c>
      <c r="F39" s="52">
        <v>48826.33</v>
      </c>
      <c r="G39" s="53">
        <f>F39</f>
        <v>48826.33</v>
      </c>
      <c r="H39" s="54"/>
      <c r="I39" s="55">
        <f t="shared" si="2"/>
        <v>0</v>
      </c>
      <c r="J39" s="55">
        <f t="shared" si="3"/>
        <v>0</v>
      </c>
      <c r="K39" s="56">
        <f t="shared" si="4"/>
        <v>0</v>
      </c>
      <c r="L39" s="56">
        <f t="shared" si="5"/>
        <v>69974.228903999989</v>
      </c>
      <c r="M39" s="57">
        <v>0</v>
      </c>
      <c r="N39" s="58">
        <f t="shared" si="0"/>
        <v>69974.33</v>
      </c>
      <c r="O39" s="59">
        <f t="shared" si="1"/>
        <v>72073.33</v>
      </c>
      <c r="P39" s="37">
        <f t="shared" si="7"/>
        <v>0.33000000000000013</v>
      </c>
      <c r="Q39" t="s">
        <v>175</v>
      </c>
    </row>
    <row r="40" spans="1:18" ht="17.100000000000001" customHeight="1" x14ac:dyDescent="0.3">
      <c r="A40" s="5" t="s">
        <v>25</v>
      </c>
      <c r="B40" s="118">
        <f t="shared" si="6"/>
        <v>34</v>
      </c>
      <c r="C40" s="48">
        <v>2205</v>
      </c>
      <c r="D40" s="48" t="s">
        <v>101</v>
      </c>
      <c r="E40" s="51">
        <v>1.67</v>
      </c>
      <c r="F40" s="52">
        <v>59956.34</v>
      </c>
      <c r="G40" s="53">
        <f>F40</f>
        <v>59956.34</v>
      </c>
      <c r="H40" s="54"/>
      <c r="I40" s="55">
        <f t="shared" si="2"/>
        <v>0</v>
      </c>
      <c r="J40" s="55">
        <f t="shared" si="3"/>
        <v>0</v>
      </c>
      <c r="K40" s="56">
        <f t="shared" si="4"/>
        <v>0</v>
      </c>
      <c r="L40" s="56">
        <f t="shared" si="5"/>
        <v>85924.236962999974</v>
      </c>
      <c r="M40" s="57">
        <v>0</v>
      </c>
      <c r="N40" s="58">
        <f t="shared" si="0"/>
        <v>85924.34</v>
      </c>
      <c r="O40" s="59">
        <f t="shared" si="1"/>
        <v>88502.34</v>
      </c>
      <c r="P40" s="37">
        <f t="shared" si="7"/>
        <v>0.34000000000000014</v>
      </c>
      <c r="Q40" t="s">
        <v>175</v>
      </c>
    </row>
    <row r="41" spans="1:18" ht="17.100000000000001" customHeight="1" x14ac:dyDescent="0.3">
      <c r="A41" s="5" t="s">
        <v>27</v>
      </c>
      <c r="B41" s="118">
        <f t="shared" si="6"/>
        <v>35</v>
      </c>
      <c r="C41" s="48">
        <v>2206</v>
      </c>
      <c r="D41" s="48" t="s">
        <v>103</v>
      </c>
      <c r="E41" s="51">
        <v>2.17</v>
      </c>
      <c r="F41" s="52">
        <v>77907.350000000006</v>
      </c>
      <c r="G41" s="53">
        <f>122066.71-G42</f>
        <v>77907.350000000006</v>
      </c>
      <c r="H41" s="54"/>
      <c r="I41" s="55">
        <f t="shared" si="2"/>
        <v>0</v>
      </c>
      <c r="J41" s="55">
        <f t="shared" si="3"/>
        <v>0</v>
      </c>
      <c r="K41" s="56">
        <f t="shared" si="4"/>
        <v>0</v>
      </c>
      <c r="L41" s="56">
        <f t="shared" si="5"/>
        <v>111650.05641299997</v>
      </c>
      <c r="M41" s="57">
        <v>0</v>
      </c>
      <c r="N41" s="58">
        <f t="shared" si="0"/>
        <v>111650.35</v>
      </c>
      <c r="O41" s="59">
        <f t="shared" si="1"/>
        <v>115000.35</v>
      </c>
      <c r="P41" s="37">
        <f t="shared" si="7"/>
        <v>0.35000000000000014</v>
      </c>
      <c r="Q41" t="s">
        <v>170</v>
      </c>
    </row>
    <row r="42" spans="1:18" ht="17.100000000000001" customHeight="1" x14ac:dyDescent="0.3">
      <c r="A42" s="5" t="s">
        <v>27</v>
      </c>
      <c r="B42" s="118">
        <f t="shared" si="6"/>
        <v>36</v>
      </c>
      <c r="C42" s="48">
        <v>2207</v>
      </c>
      <c r="D42" s="48" t="s">
        <v>103</v>
      </c>
      <c r="E42" s="51">
        <v>1.23</v>
      </c>
      <c r="F42" s="52">
        <v>44159.360000000001</v>
      </c>
      <c r="G42" s="53">
        <f>F42</f>
        <v>44159.360000000001</v>
      </c>
      <c r="H42" s="54"/>
      <c r="I42" s="55">
        <f t="shared" si="2"/>
        <v>0</v>
      </c>
      <c r="J42" s="55">
        <f t="shared" si="3"/>
        <v>0</v>
      </c>
      <c r="K42" s="56">
        <f t="shared" si="4"/>
        <v>0</v>
      </c>
      <c r="L42" s="56">
        <f t="shared" si="5"/>
        <v>63285.515846999988</v>
      </c>
      <c r="M42" s="57">
        <v>0</v>
      </c>
      <c r="N42" s="58">
        <f t="shared" si="0"/>
        <v>63286.36</v>
      </c>
      <c r="O42" s="59">
        <f t="shared" si="1"/>
        <v>65185.36</v>
      </c>
      <c r="P42" s="37">
        <f t="shared" si="7"/>
        <v>0.36000000000000015</v>
      </c>
      <c r="Q42" t="s">
        <v>170</v>
      </c>
    </row>
    <row r="43" spans="1:18" ht="17.100000000000001" customHeight="1" x14ac:dyDescent="0.3">
      <c r="A43" s="5" t="s">
        <v>27</v>
      </c>
      <c r="B43" s="118">
        <f t="shared" si="6"/>
        <v>37</v>
      </c>
      <c r="C43" s="48">
        <v>3308</v>
      </c>
      <c r="D43" s="48" t="s">
        <v>126</v>
      </c>
      <c r="E43" s="51">
        <v>1.23</v>
      </c>
      <c r="F43" s="52">
        <v>46313.37</v>
      </c>
      <c r="G43" s="53">
        <f>F43</f>
        <v>46313.37</v>
      </c>
      <c r="H43" s="54"/>
      <c r="I43" s="55">
        <f t="shared" si="2"/>
        <v>0</v>
      </c>
      <c r="J43" s="55">
        <f t="shared" si="3"/>
        <v>0</v>
      </c>
      <c r="K43" s="56">
        <f t="shared" si="4"/>
        <v>0</v>
      </c>
      <c r="L43" s="56">
        <f t="shared" si="5"/>
        <v>63285.515846999988</v>
      </c>
      <c r="M43" s="57">
        <v>0</v>
      </c>
      <c r="N43" s="58">
        <f t="shared" si="0"/>
        <v>63286.37</v>
      </c>
      <c r="O43" s="59">
        <f t="shared" si="1"/>
        <v>65185.37</v>
      </c>
      <c r="P43" s="37">
        <f t="shared" si="7"/>
        <v>0.37000000000000016</v>
      </c>
      <c r="Q43" s="104"/>
    </row>
    <row r="44" spans="1:18" ht="15" customHeight="1" x14ac:dyDescent="0.3">
      <c r="A44" s="5" t="s">
        <v>27</v>
      </c>
      <c r="B44" s="118">
        <f t="shared" si="6"/>
        <v>38</v>
      </c>
      <c r="C44" s="48">
        <v>3301</v>
      </c>
      <c r="D44" s="138" t="s">
        <v>127</v>
      </c>
      <c r="E44" s="51">
        <v>1.36</v>
      </c>
      <c r="F44" s="52">
        <v>258817.38</v>
      </c>
      <c r="G44" s="53">
        <v>0</v>
      </c>
      <c r="H44" s="54"/>
      <c r="I44" s="55">
        <f t="shared" si="2"/>
        <v>258817.38</v>
      </c>
      <c r="J44" s="55">
        <f t="shared" si="3"/>
        <v>7635.1127100000003</v>
      </c>
      <c r="K44" s="56">
        <f t="shared" si="4"/>
        <v>0</v>
      </c>
      <c r="L44" s="56">
        <f t="shared" si="5"/>
        <v>69974.228903999989</v>
      </c>
      <c r="M44" s="57">
        <v>0</v>
      </c>
      <c r="N44" s="58">
        <f t="shared" si="0"/>
        <v>336427.38</v>
      </c>
      <c r="O44" s="59">
        <f t="shared" si="1"/>
        <v>346520.38</v>
      </c>
      <c r="P44" s="37">
        <f t="shared" si="7"/>
        <v>0.38000000000000017</v>
      </c>
    </row>
    <row r="45" spans="1:18" x14ac:dyDescent="0.3">
      <c r="A45" s="5" t="s">
        <v>27</v>
      </c>
      <c r="B45" s="118">
        <f>B44+1</f>
        <v>39</v>
      </c>
      <c r="C45" s="48">
        <v>3302</v>
      </c>
      <c r="D45" s="48" t="s">
        <v>104</v>
      </c>
      <c r="E45" s="51">
        <v>0.57999999999999996</v>
      </c>
      <c r="F45" s="52">
        <v>21612.39</v>
      </c>
      <c r="G45" s="53">
        <f>F45</f>
        <v>21612.39</v>
      </c>
      <c r="H45" s="61"/>
      <c r="I45" s="55">
        <f t="shared" si="2"/>
        <v>0</v>
      </c>
      <c r="J45" s="55">
        <f t="shared" si="3"/>
        <v>0</v>
      </c>
      <c r="K45" s="56">
        <f t="shared" si="4"/>
        <v>0</v>
      </c>
      <c r="L45" s="56">
        <f t="shared" si="5"/>
        <v>29841.950561999991</v>
      </c>
      <c r="M45" s="57">
        <v>0</v>
      </c>
      <c r="N45" s="58">
        <f t="shared" si="0"/>
        <v>29842.39</v>
      </c>
      <c r="O45" s="59">
        <f t="shared" si="1"/>
        <v>30737.39</v>
      </c>
      <c r="P45" s="37">
        <f t="shared" si="7"/>
        <v>0.39000000000000018</v>
      </c>
    </row>
    <row r="46" spans="1:18" x14ac:dyDescent="0.3">
      <c r="B46" s="118">
        <f t="shared" ref="B46:B64" si="8">B45+1</f>
        <v>40</v>
      </c>
      <c r="C46" s="48">
        <v>3303</v>
      </c>
      <c r="D46" s="48" t="s">
        <v>104</v>
      </c>
      <c r="E46" s="51">
        <v>0.57999999999999996</v>
      </c>
      <c r="F46" s="52">
        <v>21612.400000000001</v>
      </c>
      <c r="G46" s="53">
        <f>F46</f>
        <v>21612.400000000001</v>
      </c>
      <c r="H46" s="61"/>
      <c r="I46" s="55">
        <f t="shared" si="2"/>
        <v>0</v>
      </c>
      <c r="J46" s="55">
        <f t="shared" si="3"/>
        <v>0</v>
      </c>
      <c r="K46" s="56">
        <f t="shared" si="4"/>
        <v>0</v>
      </c>
      <c r="L46" s="56">
        <f t="shared" si="5"/>
        <v>29841.950561999991</v>
      </c>
      <c r="M46" s="57">
        <v>0</v>
      </c>
      <c r="N46" s="58">
        <f t="shared" si="0"/>
        <v>29842.400000000001</v>
      </c>
      <c r="O46" s="59">
        <f t="shared" si="1"/>
        <v>30737.4</v>
      </c>
      <c r="P46" s="37">
        <f t="shared" si="7"/>
        <v>0.40000000000000019</v>
      </c>
    </row>
    <row r="47" spans="1:18" x14ac:dyDescent="0.3">
      <c r="B47" s="157">
        <f t="shared" si="8"/>
        <v>41</v>
      </c>
      <c r="C47" s="157">
        <v>3304</v>
      </c>
      <c r="D47" s="157" t="s">
        <v>148</v>
      </c>
      <c r="E47" s="51">
        <v>1.36</v>
      </c>
      <c r="F47" s="52">
        <v>48548.41</v>
      </c>
      <c r="G47" s="53">
        <v>0</v>
      </c>
      <c r="H47" s="61"/>
      <c r="I47" s="55">
        <f t="shared" si="2"/>
        <v>48548.41</v>
      </c>
      <c r="J47" s="55">
        <f t="shared" si="3"/>
        <v>1432.1780950000002</v>
      </c>
      <c r="K47" s="56">
        <f t="shared" si="4"/>
        <v>0</v>
      </c>
      <c r="L47" s="56">
        <f t="shared" si="5"/>
        <v>69974.228903999989</v>
      </c>
      <c r="M47" s="57">
        <v>0</v>
      </c>
      <c r="N47" s="58">
        <f t="shared" si="0"/>
        <v>119955.41</v>
      </c>
      <c r="O47" s="59">
        <f t="shared" si="1"/>
        <v>123554.41</v>
      </c>
      <c r="P47" s="37">
        <f t="shared" si="7"/>
        <v>0.4100000000000002</v>
      </c>
    </row>
    <row r="48" spans="1:18" x14ac:dyDescent="0.3">
      <c r="B48" s="118">
        <f t="shared" si="8"/>
        <v>42</v>
      </c>
      <c r="C48" s="48">
        <v>3305</v>
      </c>
      <c r="D48" s="48" t="s">
        <v>149</v>
      </c>
      <c r="E48" s="51">
        <v>1.67</v>
      </c>
      <c r="F48" s="52">
        <v>1121753.42</v>
      </c>
      <c r="G48" s="53">
        <v>0</v>
      </c>
      <c r="H48" s="61"/>
      <c r="I48" s="55">
        <f t="shared" si="2"/>
        <v>1121753.42</v>
      </c>
      <c r="J48" s="55">
        <f t="shared" si="3"/>
        <v>33091.725890000002</v>
      </c>
      <c r="K48" s="56">
        <f t="shared" si="4"/>
        <v>0</v>
      </c>
      <c r="L48" s="56">
        <f t="shared" si="5"/>
        <v>85924.236962999974</v>
      </c>
      <c r="M48" s="57">
        <v>0</v>
      </c>
      <c r="N48" s="58">
        <f t="shared" si="0"/>
        <v>1240769.42</v>
      </c>
      <c r="O48" s="59">
        <f t="shared" si="1"/>
        <v>1277992.42</v>
      </c>
      <c r="P48" s="37">
        <f t="shared" si="7"/>
        <v>0.42000000000000021</v>
      </c>
    </row>
    <row r="49" spans="2:17" x14ac:dyDescent="0.3">
      <c r="B49" s="118">
        <f t="shared" si="8"/>
        <v>43</v>
      </c>
      <c r="C49" s="48">
        <v>4406</v>
      </c>
      <c r="D49" s="48" t="s">
        <v>150</v>
      </c>
      <c r="E49" s="51">
        <v>2.17</v>
      </c>
      <c r="F49" s="52">
        <v>65050.43</v>
      </c>
      <c r="G49" s="53">
        <f>F49</f>
        <v>65050.43</v>
      </c>
      <c r="H49" s="61"/>
      <c r="I49" s="55">
        <f t="shared" si="2"/>
        <v>0</v>
      </c>
      <c r="J49" s="55">
        <f t="shared" si="3"/>
        <v>0</v>
      </c>
      <c r="K49" s="56">
        <f t="shared" si="4"/>
        <v>0</v>
      </c>
      <c r="L49" s="56">
        <f t="shared" si="5"/>
        <v>111650.05641299997</v>
      </c>
      <c r="M49" s="57">
        <v>0</v>
      </c>
      <c r="N49" s="58">
        <f t="shared" si="0"/>
        <v>111650.43</v>
      </c>
      <c r="O49" s="59">
        <f t="shared" si="1"/>
        <v>115000.43</v>
      </c>
      <c r="P49" s="37">
        <f t="shared" si="7"/>
        <v>0.43000000000000022</v>
      </c>
    </row>
    <row r="50" spans="2:17" x14ac:dyDescent="0.3">
      <c r="B50" s="118">
        <f t="shared" si="8"/>
        <v>44</v>
      </c>
      <c r="C50" s="48">
        <v>4407</v>
      </c>
      <c r="D50" s="48" t="s">
        <v>151</v>
      </c>
      <c r="E50" s="51">
        <v>1.23</v>
      </c>
      <c r="F50" s="52">
        <v>44159.44</v>
      </c>
      <c r="G50" s="53">
        <f>F50</f>
        <v>44159.44</v>
      </c>
      <c r="H50" s="61"/>
      <c r="I50" s="55">
        <f t="shared" si="2"/>
        <v>0</v>
      </c>
      <c r="J50" s="55">
        <f t="shared" si="3"/>
        <v>0</v>
      </c>
      <c r="K50" s="56">
        <f t="shared" si="4"/>
        <v>0</v>
      </c>
      <c r="L50" s="56">
        <f t="shared" si="5"/>
        <v>63285.515846999988</v>
      </c>
      <c r="M50" s="57">
        <v>0</v>
      </c>
      <c r="N50" s="58">
        <f t="shared" si="0"/>
        <v>63286.44</v>
      </c>
      <c r="O50" s="59">
        <f t="shared" si="1"/>
        <v>65185.440000000002</v>
      </c>
      <c r="P50" s="37">
        <f t="shared" si="7"/>
        <v>0.44000000000000022</v>
      </c>
    </row>
    <row r="51" spans="2:17" x14ac:dyDescent="0.3">
      <c r="B51" s="118">
        <f t="shared" si="8"/>
        <v>45</v>
      </c>
      <c r="C51" s="48">
        <v>4408</v>
      </c>
      <c r="D51" s="48" t="s">
        <v>152</v>
      </c>
      <c r="E51" s="51">
        <v>1.29</v>
      </c>
      <c r="F51" s="52">
        <v>46313.45</v>
      </c>
      <c r="G51" s="53">
        <v>0</v>
      </c>
      <c r="H51" s="61"/>
      <c r="I51" s="55">
        <f t="shared" si="2"/>
        <v>46313.45</v>
      </c>
      <c r="J51" s="55">
        <f t="shared" si="3"/>
        <v>1366.2467750000001</v>
      </c>
      <c r="K51" s="56">
        <f t="shared" si="4"/>
        <v>0</v>
      </c>
      <c r="L51" s="56">
        <f t="shared" si="5"/>
        <v>66372.614180999983</v>
      </c>
      <c r="M51" s="57">
        <v>0</v>
      </c>
      <c r="N51" s="58">
        <f t="shared" si="0"/>
        <v>114052.45</v>
      </c>
      <c r="O51" s="59">
        <f t="shared" si="1"/>
        <v>117474.45</v>
      </c>
      <c r="P51" s="37">
        <f t="shared" si="7"/>
        <v>0.45000000000000023</v>
      </c>
    </row>
    <row r="52" spans="2:17" x14ac:dyDescent="0.3">
      <c r="B52" s="118">
        <f t="shared" si="8"/>
        <v>46</v>
      </c>
      <c r="C52" s="48">
        <v>4401</v>
      </c>
      <c r="D52" s="48" t="s">
        <v>153</v>
      </c>
      <c r="E52" s="51">
        <v>1.36</v>
      </c>
      <c r="F52" s="52">
        <v>48826.46</v>
      </c>
      <c r="G52" s="53">
        <v>46313.46</v>
      </c>
      <c r="H52" s="61"/>
      <c r="I52" s="55">
        <f t="shared" si="2"/>
        <v>2513</v>
      </c>
      <c r="J52" s="55">
        <f t="shared" si="3"/>
        <v>74.133499999999998</v>
      </c>
      <c r="K52" s="56">
        <f t="shared" si="4"/>
        <v>0</v>
      </c>
      <c r="L52" s="56">
        <f t="shared" si="5"/>
        <v>69974.228903999989</v>
      </c>
      <c r="M52" s="57">
        <v>0</v>
      </c>
      <c r="N52" s="58">
        <f t="shared" si="0"/>
        <v>72561.460000000006</v>
      </c>
      <c r="O52" s="59">
        <f t="shared" si="1"/>
        <v>74738.460000000006</v>
      </c>
      <c r="P52" s="37">
        <f t="shared" si="7"/>
        <v>0.46000000000000024</v>
      </c>
    </row>
    <row r="53" spans="2:17" x14ac:dyDescent="0.3">
      <c r="B53" s="118">
        <f t="shared" si="8"/>
        <v>47</v>
      </c>
      <c r="C53" s="48">
        <v>4402</v>
      </c>
      <c r="D53" s="48" t="s">
        <v>154</v>
      </c>
      <c r="E53" s="51">
        <v>0.57999999999999996</v>
      </c>
      <c r="F53" s="52">
        <v>20823.47</v>
      </c>
      <c r="G53" s="53">
        <v>71000</v>
      </c>
      <c r="H53" s="61"/>
      <c r="I53" s="55">
        <f t="shared" si="2"/>
        <v>-50176.53</v>
      </c>
      <c r="J53" s="55">
        <f t="shared" si="3"/>
        <v>0</v>
      </c>
      <c r="K53" s="56">
        <f t="shared" si="4"/>
        <v>0</v>
      </c>
      <c r="L53" s="56">
        <f t="shared" si="5"/>
        <v>29841.950561999991</v>
      </c>
      <c r="M53" s="57">
        <v>0</v>
      </c>
      <c r="N53" s="58">
        <f t="shared" si="0"/>
        <v>-20334.53</v>
      </c>
      <c r="O53" s="59">
        <f t="shared" si="1"/>
        <v>-20944.53</v>
      </c>
      <c r="P53" s="37">
        <f t="shared" si="7"/>
        <v>0.47000000000000025</v>
      </c>
    </row>
    <row r="54" spans="2:17" x14ac:dyDescent="0.3">
      <c r="B54" s="118">
        <f t="shared" si="8"/>
        <v>48</v>
      </c>
      <c r="C54" s="48">
        <v>4403</v>
      </c>
      <c r="D54" s="48" t="s">
        <v>155</v>
      </c>
      <c r="E54" s="51">
        <v>0.57999999999999996</v>
      </c>
      <c r="F54" s="52">
        <v>20823.48</v>
      </c>
      <c r="G54" s="53">
        <f>129605-G55-G56</f>
        <v>20823.010000000009</v>
      </c>
      <c r="H54" s="61"/>
      <c r="I54" s="55">
        <f t="shared" si="2"/>
        <v>0.46999999999025022</v>
      </c>
      <c r="J54" s="55">
        <f t="shared" si="3"/>
        <v>1.3864999999712382E-2</v>
      </c>
      <c r="K54" s="56">
        <f t="shared" si="4"/>
        <v>0</v>
      </c>
      <c r="L54" s="56">
        <f t="shared" si="5"/>
        <v>29841.950561999991</v>
      </c>
      <c r="M54" s="57">
        <v>0</v>
      </c>
      <c r="N54" s="58">
        <f t="shared" si="0"/>
        <v>29842.48</v>
      </c>
      <c r="O54" s="59">
        <f t="shared" si="1"/>
        <v>30737.48</v>
      </c>
      <c r="P54" s="37">
        <f t="shared" si="7"/>
        <v>0.48000000000000026</v>
      </c>
      <c r="Q54" t="s">
        <v>176</v>
      </c>
    </row>
    <row r="55" spans="2:17" x14ac:dyDescent="0.3">
      <c r="B55" s="118">
        <f t="shared" si="8"/>
        <v>49</v>
      </c>
      <c r="C55" s="48">
        <v>4404</v>
      </c>
      <c r="D55" s="48" t="s">
        <v>155</v>
      </c>
      <c r="E55" s="51">
        <v>1.36</v>
      </c>
      <c r="F55" s="52">
        <v>48826.49</v>
      </c>
      <c r="G55" s="53">
        <f>F55</f>
        <v>48826.49</v>
      </c>
      <c r="H55" s="61"/>
      <c r="I55" s="55">
        <f t="shared" si="2"/>
        <v>0</v>
      </c>
      <c r="J55" s="55">
        <f t="shared" si="3"/>
        <v>0</v>
      </c>
      <c r="K55" s="56">
        <f t="shared" si="4"/>
        <v>0</v>
      </c>
      <c r="L55" s="56">
        <f t="shared" si="5"/>
        <v>69974.228903999989</v>
      </c>
      <c r="M55" s="57">
        <v>0</v>
      </c>
      <c r="N55" s="58">
        <f t="shared" si="0"/>
        <v>69974.490000000005</v>
      </c>
      <c r="O55" s="59">
        <f t="shared" si="1"/>
        <v>72073.490000000005</v>
      </c>
      <c r="P55" s="37">
        <f t="shared" si="7"/>
        <v>0.49000000000000027</v>
      </c>
      <c r="Q55" t="s">
        <v>176</v>
      </c>
    </row>
    <row r="56" spans="2:17" x14ac:dyDescent="0.3">
      <c r="B56" s="118">
        <f t="shared" si="8"/>
        <v>50</v>
      </c>
      <c r="C56" s="48">
        <v>4405</v>
      </c>
      <c r="D56" s="48" t="s">
        <v>155</v>
      </c>
      <c r="E56" s="51">
        <v>1.67</v>
      </c>
      <c r="F56" s="52">
        <v>59955.5</v>
      </c>
      <c r="G56" s="53">
        <f>F56</f>
        <v>59955.5</v>
      </c>
      <c r="H56" s="61"/>
      <c r="I56" s="55">
        <f t="shared" si="2"/>
        <v>0</v>
      </c>
      <c r="J56" s="55">
        <f t="shared" si="3"/>
        <v>0</v>
      </c>
      <c r="K56" s="56">
        <f t="shared" si="4"/>
        <v>0</v>
      </c>
      <c r="L56" s="56">
        <f t="shared" si="5"/>
        <v>85924.236962999974</v>
      </c>
      <c r="M56" s="57">
        <v>0</v>
      </c>
      <c r="N56" s="58">
        <f t="shared" si="0"/>
        <v>85924.5</v>
      </c>
      <c r="O56" s="59">
        <f t="shared" si="1"/>
        <v>88502.5</v>
      </c>
      <c r="P56" s="37">
        <f t="shared" si="7"/>
        <v>0.50000000000000022</v>
      </c>
      <c r="Q56" t="s">
        <v>176</v>
      </c>
    </row>
    <row r="57" spans="2:17" x14ac:dyDescent="0.3">
      <c r="B57" s="118">
        <f t="shared" si="8"/>
        <v>51</v>
      </c>
      <c r="C57" s="48">
        <v>5506</v>
      </c>
      <c r="D57" s="48" t="s">
        <v>156</v>
      </c>
      <c r="E57" s="51">
        <v>2.17</v>
      </c>
      <c r="F57" s="52">
        <v>77906.509999999995</v>
      </c>
      <c r="G57" s="53">
        <f>F57</f>
        <v>77906.509999999995</v>
      </c>
      <c r="H57" s="61"/>
      <c r="I57" s="55">
        <f t="shared" si="2"/>
        <v>0</v>
      </c>
      <c r="J57" s="55">
        <f t="shared" si="3"/>
        <v>0</v>
      </c>
      <c r="K57" s="56">
        <f t="shared" si="4"/>
        <v>0</v>
      </c>
      <c r="L57" s="56">
        <f t="shared" si="5"/>
        <v>111650.05641299997</v>
      </c>
      <c r="M57" s="57">
        <v>0</v>
      </c>
      <c r="N57" s="58">
        <f t="shared" si="0"/>
        <v>111650.51</v>
      </c>
      <c r="O57" s="59">
        <f t="shared" si="1"/>
        <v>115000.51</v>
      </c>
      <c r="P57" s="37">
        <f t="shared" si="7"/>
        <v>0.51000000000000023</v>
      </c>
    </row>
    <row r="58" spans="2:17" x14ac:dyDescent="0.3">
      <c r="B58" s="118">
        <f t="shared" si="8"/>
        <v>52</v>
      </c>
      <c r="C58" s="48">
        <v>5507</v>
      </c>
      <c r="D58" s="48" t="s">
        <v>157</v>
      </c>
      <c r="E58" s="51">
        <v>1.79</v>
      </c>
      <c r="F58" s="52">
        <v>64263.519999999997</v>
      </c>
      <c r="G58" s="53">
        <v>0</v>
      </c>
      <c r="H58" s="61"/>
      <c r="I58" s="55">
        <f t="shared" si="2"/>
        <v>64263.519999999997</v>
      </c>
      <c r="J58" s="55">
        <f t="shared" si="3"/>
        <v>1895.7738400000001</v>
      </c>
      <c r="K58" s="56">
        <f t="shared" si="4"/>
        <v>0</v>
      </c>
      <c r="L58" s="56">
        <f t="shared" si="5"/>
        <v>92098.433630999978</v>
      </c>
      <c r="M58" s="57">
        <v>0</v>
      </c>
      <c r="N58" s="58">
        <f t="shared" si="0"/>
        <v>158258.51999999999</v>
      </c>
      <c r="O58" s="59">
        <f t="shared" si="1"/>
        <v>163006.51999999999</v>
      </c>
      <c r="P58" s="37">
        <f t="shared" si="7"/>
        <v>0.52000000000000024</v>
      </c>
    </row>
    <row r="59" spans="2:17" x14ac:dyDescent="0.3">
      <c r="B59" s="118">
        <f t="shared" si="8"/>
        <v>53</v>
      </c>
      <c r="C59" s="48">
        <v>5508</v>
      </c>
      <c r="D59" s="48" t="s">
        <v>158</v>
      </c>
      <c r="E59" s="51">
        <v>1.29</v>
      </c>
      <c r="F59" s="52">
        <v>-236875.7</v>
      </c>
      <c r="G59" s="53">
        <v>0</v>
      </c>
      <c r="H59" s="61"/>
      <c r="I59" s="55">
        <f t="shared" si="2"/>
        <v>-236875.7</v>
      </c>
      <c r="J59" s="55">
        <f t="shared" si="3"/>
        <v>0</v>
      </c>
      <c r="K59" s="56">
        <f t="shared" si="4"/>
        <v>0</v>
      </c>
      <c r="L59" s="56">
        <f t="shared" si="5"/>
        <v>66372.614180999983</v>
      </c>
      <c r="M59" s="57">
        <v>0</v>
      </c>
      <c r="N59" s="58">
        <f t="shared" si="0"/>
        <v>-170502.47</v>
      </c>
      <c r="O59" s="59">
        <f t="shared" si="1"/>
        <v>-175617.47</v>
      </c>
      <c r="P59" s="37">
        <f t="shared" si="7"/>
        <v>0.53000000000000025</v>
      </c>
    </row>
    <row r="60" spans="2:17" x14ac:dyDescent="0.3">
      <c r="B60" s="118">
        <f t="shared" si="8"/>
        <v>54</v>
      </c>
      <c r="C60" s="48">
        <v>5501</v>
      </c>
      <c r="D60" s="48" t="s">
        <v>159</v>
      </c>
      <c r="E60" s="51">
        <v>1.36</v>
      </c>
      <c r="F60" s="52">
        <v>48579.54</v>
      </c>
      <c r="G60" s="53">
        <v>0</v>
      </c>
      <c r="H60" s="61"/>
      <c r="I60" s="55">
        <f t="shared" si="2"/>
        <v>48579.54</v>
      </c>
      <c r="J60" s="55">
        <f t="shared" si="3"/>
        <v>1433.0964300000001</v>
      </c>
      <c r="K60" s="56">
        <f t="shared" si="4"/>
        <v>0</v>
      </c>
      <c r="L60" s="56">
        <f t="shared" si="5"/>
        <v>69974.228903999989</v>
      </c>
      <c r="M60" s="57">
        <v>0</v>
      </c>
      <c r="N60" s="58">
        <f t="shared" si="0"/>
        <v>119987.54</v>
      </c>
      <c r="O60" s="59">
        <f t="shared" si="1"/>
        <v>123587.54</v>
      </c>
      <c r="P60" s="37">
        <f t="shared" si="7"/>
        <v>0.54000000000000026</v>
      </c>
    </row>
    <row r="61" spans="2:17" x14ac:dyDescent="0.3">
      <c r="B61" s="118">
        <f t="shared" si="8"/>
        <v>55</v>
      </c>
      <c r="C61" s="48">
        <v>5503</v>
      </c>
      <c r="D61" s="48" t="s">
        <v>160</v>
      </c>
      <c r="E61" s="51">
        <v>0.57999999999999996</v>
      </c>
      <c r="F61" s="52">
        <v>974029.55</v>
      </c>
      <c r="G61" s="53">
        <v>0</v>
      </c>
      <c r="H61" s="61"/>
      <c r="I61" s="55">
        <f t="shared" si="2"/>
        <v>974029.55</v>
      </c>
      <c r="J61" s="55">
        <f t="shared" si="3"/>
        <v>28733.871725000005</v>
      </c>
      <c r="K61" s="56">
        <f t="shared" si="4"/>
        <v>0</v>
      </c>
      <c r="L61" s="56">
        <f t="shared" si="5"/>
        <v>29841.950561999991</v>
      </c>
      <c r="M61" s="57">
        <v>0</v>
      </c>
      <c r="N61" s="58">
        <f t="shared" si="0"/>
        <v>1032605.55</v>
      </c>
      <c r="O61" s="59">
        <f t="shared" si="1"/>
        <v>1063583.55</v>
      </c>
      <c r="P61" s="37">
        <f t="shared" si="7"/>
        <v>0.55000000000000027</v>
      </c>
    </row>
    <row r="62" spans="2:17" x14ac:dyDescent="0.3">
      <c r="B62" s="118">
        <f t="shared" si="8"/>
        <v>56</v>
      </c>
      <c r="C62" s="48">
        <v>5504</v>
      </c>
      <c r="D62" s="48" t="s">
        <v>85</v>
      </c>
      <c r="E62" s="51">
        <v>1.36</v>
      </c>
      <c r="F62" s="52">
        <v>48810.559999999998</v>
      </c>
      <c r="G62" s="53">
        <f>50000</f>
        <v>50000</v>
      </c>
      <c r="H62" s="61"/>
      <c r="I62" s="55">
        <f t="shared" si="2"/>
        <v>-1189.4400000000023</v>
      </c>
      <c r="J62" s="55">
        <f t="shared" si="3"/>
        <v>0</v>
      </c>
      <c r="K62" s="56">
        <f t="shared" si="4"/>
        <v>0</v>
      </c>
      <c r="L62" s="56">
        <f t="shared" si="5"/>
        <v>69974.228903999989</v>
      </c>
      <c r="M62" s="57">
        <v>0</v>
      </c>
      <c r="N62" s="58">
        <f t="shared" si="0"/>
        <v>68785.56</v>
      </c>
      <c r="O62" s="59">
        <f t="shared" si="1"/>
        <v>70849.56</v>
      </c>
      <c r="P62" s="37">
        <f t="shared" si="7"/>
        <v>0.56000000000000028</v>
      </c>
    </row>
    <row r="63" spans="2:17" x14ac:dyDescent="0.3">
      <c r="B63" s="118">
        <f t="shared" si="8"/>
        <v>57</v>
      </c>
      <c r="C63" s="48">
        <v>5502</v>
      </c>
      <c r="D63" s="48" t="s">
        <v>81</v>
      </c>
      <c r="E63" s="51">
        <v>0.57999999999999996</v>
      </c>
      <c r="F63" s="52">
        <v>20822.57</v>
      </c>
      <c r="G63" s="53">
        <v>0</v>
      </c>
      <c r="H63" s="61"/>
      <c r="I63" s="55">
        <f t="shared" si="2"/>
        <v>20822.57</v>
      </c>
      <c r="J63" s="55">
        <f t="shared" si="3"/>
        <v>614.26581499999998</v>
      </c>
      <c r="K63" s="56">
        <f t="shared" si="4"/>
        <v>0</v>
      </c>
      <c r="L63" s="56">
        <f t="shared" si="5"/>
        <v>29841.950561999991</v>
      </c>
      <c r="M63" s="57">
        <v>0</v>
      </c>
      <c r="N63" s="58">
        <f t="shared" si="0"/>
        <v>51279.57</v>
      </c>
      <c r="O63" s="59">
        <f t="shared" si="1"/>
        <v>52817.57</v>
      </c>
      <c r="P63" s="37">
        <f t="shared" si="7"/>
        <v>0.57000000000000028</v>
      </c>
    </row>
    <row r="64" spans="2:17" x14ac:dyDescent="0.3">
      <c r="B64" s="118">
        <f t="shared" si="8"/>
        <v>58</v>
      </c>
      <c r="C64" s="48">
        <v>5505</v>
      </c>
      <c r="D64" s="48" t="s">
        <v>161</v>
      </c>
      <c r="E64" s="51">
        <v>1.67</v>
      </c>
      <c r="F64" s="52">
        <v>175844.58</v>
      </c>
      <c r="G64" s="53">
        <v>113617.58</v>
      </c>
      <c r="H64" s="61"/>
      <c r="I64" s="55">
        <f t="shared" si="2"/>
        <v>62226.999999999985</v>
      </c>
      <c r="J64" s="55">
        <f t="shared" si="3"/>
        <v>1835.6964999999998</v>
      </c>
      <c r="K64" s="56">
        <f t="shared" si="4"/>
        <v>0</v>
      </c>
      <c r="L64" s="56">
        <f t="shared" si="5"/>
        <v>85924.236962999974</v>
      </c>
      <c r="M64" s="57">
        <v>0</v>
      </c>
      <c r="N64" s="58">
        <f t="shared" si="0"/>
        <v>149987.57999999999</v>
      </c>
      <c r="O64" s="59">
        <f t="shared" si="1"/>
        <v>154487.57999999999</v>
      </c>
      <c r="P64" s="37">
        <f t="shared" si="7"/>
        <v>0.58000000000000029</v>
      </c>
    </row>
    <row r="65" spans="2:16" x14ac:dyDescent="0.3">
      <c r="B65" s="118"/>
      <c r="C65" s="48"/>
      <c r="D65" s="48"/>
      <c r="E65" s="51"/>
      <c r="F65" s="60"/>
      <c r="G65" s="53"/>
      <c r="H65" s="61"/>
      <c r="I65" s="62"/>
      <c r="J65" s="55"/>
      <c r="K65" s="56"/>
      <c r="L65" s="63"/>
      <c r="M65" s="60"/>
      <c r="N65" s="52"/>
      <c r="O65" s="52"/>
      <c r="P65" s="37"/>
    </row>
    <row r="66" spans="2:16" ht="17.100000000000001" customHeight="1" thickBot="1" x14ac:dyDescent="0.35">
      <c r="B66" s="64"/>
      <c r="C66" s="65"/>
      <c r="D66" s="136"/>
      <c r="E66" s="139">
        <f>SUM(E6:E64)</f>
        <v>99.940000000000026</v>
      </c>
      <c r="F66" s="66">
        <f>SUM(F6:F64)</f>
        <v>22483257.809999999</v>
      </c>
      <c r="G66" s="66">
        <f>SUM(G6:G64)</f>
        <v>2804769.5600000005</v>
      </c>
      <c r="H66" s="137">
        <f t="shared" ref="H66" si="9">SUM(H6:H45)</f>
        <v>0</v>
      </c>
      <c r="I66" s="66">
        <f t="shared" ref="I66:O66" si="10">SUM(I6:I64)</f>
        <v>19678488.249999996</v>
      </c>
      <c r="J66" s="66">
        <f t="shared" si="10"/>
        <v>590895.35568000004</v>
      </c>
      <c r="K66" s="66">
        <f t="shared" si="10"/>
        <v>0</v>
      </c>
      <c r="L66" s="66">
        <f t="shared" si="10"/>
        <v>5142076.7916659964</v>
      </c>
      <c r="M66" s="66">
        <f t="shared" si="10"/>
        <v>0</v>
      </c>
      <c r="N66" s="66">
        <f t="shared" si="10"/>
        <v>25411480.109999999</v>
      </c>
      <c r="O66" s="66">
        <f t="shared" si="10"/>
        <v>26173832.109999999</v>
      </c>
    </row>
    <row r="67" spans="2:16" ht="12.75" customHeight="1" x14ac:dyDescent="0.3">
      <c r="D67" s="41"/>
    </row>
    <row r="68" spans="2:16" hidden="1" x14ac:dyDescent="0.3"/>
    <row r="69" spans="2:16" ht="9" customHeight="1" x14ac:dyDescent="0.3">
      <c r="D69" s="184" t="s">
        <v>70</v>
      </c>
      <c r="E69" s="184"/>
      <c r="F69" s="184"/>
      <c r="G69" s="184"/>
      <c r="H69" s="184"/>
      <c r="I69" s="184"/>
      <c r="J69" s="184"/>
      <c r="K69" s="184"/>
      <c r="L69" s="184"/>
      <c r="M69" s="184"/>
      <c r="N69" s="184"/>
    </row>
    <row r="70" spans="2:16" ht="12" hidden="1" customHeight="1" x14ac:dyDescent="0.3">
      <c r="D70" s="184"/>
      <c r="E70" s="184"/>
      <c r="F70" s="184"/>
      <c r="G70" s="184"/>
      <c r="H70" s="184"/>
      <c r="I70" s="184"/>
      <c r="J70" s="184"/>
      <c r="K70" s="184"/>
      <c r="L70" s="184"/>
      <c r="M70" s="184"/>
      <c r="N70" s="184"/>
    </row>
    <row r="71" spans="2:16" ht="12" hidden="1" customHeight="1" x14ac:dyDescent="0.3">
      <c r="D71" s="184"/>
      <c r="E71" s="184"/>
      <c r="F71" s="184"/>
      <c r="G71" s="184"/>
      <c r="H71" s="184"/>
      <c r="I71" s="184"/>
      <c r="J71" s="184"/>
      <c r="K71" s="184"/>
      <c r="L71" s="184"/>
      <c r="M71" s="184"/>
      <c r="N71" s="184"/>
    </row>
    <row r="72" spans="2:16" ht="12" hidden="1" customHeight="1" x14ac:dyDescent="0.3">
      <c r="D72" s="184"/>
      <c r="E72" s="184"/>
      <c r="F72" s="184"/>
      <c r="G72" s="184"/>
      <c r="H72" s="184"/>
      <c r="I72" s="184"/>
      <c r="J72" s="184"/>
      <c r="K72" s="184"/>
      <c r="L72" s="184"/>
      <c r="M72" s="184"/>
      <c r="N72" s="184"/>
    </row>
    <row r="73" spans="2:16" ht="12" hidden="1" customHeight="1" x14ac:dyDescent="0.3">
      <c r="D73" s="184"/>
      <c r="E73" s="184"/>
      <c r="F73" s="184"/>
      <c r="G73" s="184"/>
      <c r="H73" s="184"/>
      <c r="I73" s="184"/>
      <c r="J73" s="184"/>
      <c r="K73" s="184"/>
      <c r="L73" s="184"/>
      <c r="M73" s="184"/>
      <c r="N73" s="184"/>
    </row>
    <row r="74" spans="2:16" ht="65.25" customHeight="1" x14ac:dyDescent="0.3">
      <c r="D74" s="184"/>
      <c r="E74" s="184"/>
      <c r="F74" s="184"/>
      <c r="G74" s="184"/>
      <c r="H74" s="184"/>
      <c r="I74" s="184"/>
      <c r="J74" s="184"/>
      <c r="K74" s="184"/>
      <c r="L74" s="184"/>
      <c r="M74" s="184"/>
      <c r="N74" s="184"/>
    </row>
  </sheetData>
  <mergeCells count="17">
    <mergeCell ref="A4:A5"/>
    <mergeCell ref="B4:B5"/>
    <mergeCell ref="C4:C5"/>
    <mergeCell ref="D4:D5"/>
    <mergeCell ref="E4:E5"/>
    <mergeCell ref="B1:J2"/>
    <mergeCell ref="O4:O5"/>
    <mergeCell ref="D69:N74"/>
    <mergeCell ref="H4:H5"/>
    <mergeCell ref="J4:J5"/>
    <mergeCell ref="F4:F5"/>
    <mergeCell ref="G4:G5"/>
    <mergeCell ref="I4:I5"/>
    <mergeCell ref="K4:K5"/>
    <mergeCell ref="L4:L5"/>
    <mergeCell ref="M4:M5"/>
    <mergeCell ref="B3:O3"/>
  </mergeCells>
  <pageMargins left="0.25" right="0.25" top="0.75" bottom="0.75" header="0.3" footer="0.3"/>
  <pageSetup paperSize="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6D240-6D8B-4144-A545-69291A6FAA07}">
  <dimension ref="C2:H24"/>
  <sheetViews>
    <sheetView topLeftCell="A7" workbookViewId="0">
      <selection activeCell="C22" sqref="C22:H24"/>
    </sheetView>
  </sheetViews>
  <sheetFormatPr baseColWidth="10" defaultColWidth="10.88671875" defaultRowHeight="14.4" x14ac:dyDescent="0.3"/>
  <sheetData>
    <row r="2" spans="3:8" ht="15" thickBot="1" x14ac:dyDescent="0.35"/>
    <row r="3" spans="3:8" x14ac:dyDescent="0.3">
      <c r="C3" s="153" t="s">
        <v>178</v>
      </c>
      <c r="D3" s="154">
        <v>1</v>
      </c>
      <c r="E3" s="150"/>
      <c r="F3" s="150"/>
      <c r="G3" s="150"/>
      <c r="H3" s="151"/>
    </row>
    <row r="4" spans="3:8" x14ac:dyDescent="0.3">
      <c r="C4" s="155" t="s">
        <v>179</v>
      </c>
      <c r="D4" s="156">
        <v>9</v>
      </c>
      <c r="H4" s="152"/>
    </row>
    <row r="5" spans="3:8" ht="15" thickBot="1" x14ac:dyDescent="0.35">
      <c r="C5" s="155"/>
      <c r="D5" s="156"/>
      <c r="H5" s="152"/>
    </row>
    <row r="6" spans="3:8" x14ac:dyDescent="0.3">
      <c r="C6" s="202" t="s">
        <v>180</v>
      </c>
      <c r="D6" s="203"/>
      <c r="E6" s="203"/>
      <c r="F6" s="203"/>
      <c r="G6" s="203"/>
      <c r="H6" s="204"/>
    </row>
    <row r="7" spans="3:8" x14ac:dyDescent="0.3">
      <c r="C7" s="205"/>
      <c r="D7" s="206"/>
      <c r="E7" s="206"/>
      <c r="F7" s="206"/>
      <c r="G7" s="206"/>
      <c r="H7" s="207"/>
    </row>
    <row r="8" spans="3:8" ht="15" thickBot="1" x14ac:dyDescent="0.35">
      <c r="C8" s="208"/>
      <c r="D8" s="209"/>
      <c r="E8" s="209"/>
      <c r="F8" s="209"/>
      <c r="G8" s="209"/>
      <c r="H8" s="210"/>
    </row>
    <row r="9" spans="3:8" x14ac:dyDescent="0.3">
      <c r="C9" s="104"/>
      <c r="D9" s="104"/>
      <c r="E9" s="104"/>
    </row>
    <row r="10" spans="3:8" ht="15" thickBot="1" x14ac:dyDescent="0.35">
      <c r="C10" s="104"/>
      <c r="D10" s="104"/>
    </row>
    <row r="11" spans="3:8" x14ac:dyDescent="0.3">
      <c r="C11" s="159" t="s">
        <v>178</v>
      </c>
      <c r="D11" s="160">
        <f>D3+1</f>
        <v>2</v>
      </c>
      <c r="E11" s="150"/>
      <c r="F11" s="150"/>
      <c r="G11" s="150"/>
      <c r="H11" s="151"/>
    </row>
    <row r="12" spans="3:8" x14ac:dyDescent="0.3">
      <c r="C12" s="161" t="s">
        <v>179</v>
      </c>
      <c r="D12" s="158">
        <v>41</v>
      </c>
      <c r="H12" s="152"/>
    </row>
    <row r="13" spans="3:8" ht="15" thickBot="1" x14ac:dyDescent="0.35">
      <c r="C13" s="161"/>
      <c r="D13" s="158"/>
      <c r="H13" s="152"/>
    </row>
    <row r="14" spans="3:8" x14ac:dyDescent="0.3">
      <c r="C14" s="202" t="s">
        <v>181</v>
      </c>
      <c r="D14" s="203"/>
      <c r="E14" s="203"/>
      <c r="F14" s="203"/>
      <c r="G14" s="203"/>
      <c r="H14" s="204"/>
    </row>
    <row r="15" spans="3:8" x14ac:dyDescent="0.3">
      <c r="C15" s="205"/>
      <c r="D15" s="206"/>
      <c r="E15" s="206"/>
      <c r="F15" s="206"/>
      <c r="G15" s="206"/>
      <c r="H15" s="207"/>
    </row>
    <row r="16" spans="3:8" ht="15" thickBot="1" x14ac:dyDescent="0.35">
      <c r="C16" s="208"/>
      <c r="D16" s="209"/>
      <c r="E16" s="209"/>
      <c r="F16" s="209"/>
      <c r="G16" s="209"/>
      <c r="H16" s="210"/>
    </row>
    <row r="18" spans="3:8" ht="15" thickBot="1" x14ac:dyDescent="0.35"/>
    <row r="19" spans="3:8" x14ac:dyDescent="0.3">
      <c r="C19" s="211" t="s">
        <v>178</v>
      </c>
      <c r="D19" s="212">
        <f>D11+1</f>
        <v>3</v>
      </c>
      <c r="E19" s="150"/>
      <c r="F19" s="150"/>
      <c r="G19" s="150"/>
      <c r="H19" s="151"/>
    </row>
    <row r="20" spans="3:8" x14ac:dyDescent="0.3">
      <c r="C20" s="213" t="s">
        <v>179</v>
      </c>
      <c r="D20" s="214" t="s">
        <v>182</v>
      </c>
      <c r="H20" s="152"/>
    </row>
    <row r="21" spans="3:8" ht="15" thickBot="1" x14ac:dyDescent="0.35">
      <c r="C21" s="213"/>
      <c r="D21" s="214"/>
      <c r="H21" s="152"/>
    </row>
    <row r="22" spans="3:8" x14ac:dyDescent="0.3">
      <c r="C22" s="215" t="s">
        <v>183</v>
      </c>
      <c r="D22" s="216"/>
      <c r="E22" s="216"/>
      <c r="F22" s="216"/>
      <c r="G22" s="216"/>
      <c r="H22" s="217"/>
    </row>
    <row r="23" spans="3:8" x14ac:dyDescent="0.3">
      <c r="C23" s="218"/>
      <c r="D23" s="219"/>
      <c r="E23" s="219"/>
      <c r="F23" s="219"/>
      <c r="G23" s="219"/>
      <c r="H23" s="220"/>
    </row>
    <row r="24" spans="3:8" ht="15" thickBot="1" x14ac:dyDescent="0.35">
      <c r="C24" s="221"/>
      <c r="D24" s="222"/>
      <c r="E24" s="222"/>
      <c r="F24" s="222"/>
      <c r="G24" s="222"/>
      <c r="H24" s="223"/>
    </row>
  </sheetData>
  <mergeCells count="3">
    <mergeCell ref="C6:H8"/>
    <mergeCell ref="C14:H16"/>
    <mergeCell ref="C22:H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RESUMEN</vt:lpstr>
      <vt:lpstr>PRORRATEO</vt:lpstr>
      <vt:lpstr>ANOTACIONES</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Mateo Quotteri</cp:lastModifiedBy>
  <cp:lastPrinted>2026-05-06T14:38:55Z</cp:lastPrinted>
  <dcterms:created xsi:type="dcterms:W3CDTF">2023-09-17T12:29:07Z</dcterms:created>
  <dcterms:modified xsi:type="dcterms:W3CDTF">2026-05-20T12:28:04Z</dcterms:modified>
</cp:coreProperties>
</file>