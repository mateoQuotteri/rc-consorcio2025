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 MITRE\Octubre\"/>
    </mc:Choice>
  </mc:AlternateContent>
  <xr:revisionPtr revIDLastSave="0" documentId="13_ncr:1_{CE5F9175-2BD4-416C-BB91-4C44FB62706C}" xr6:coauthVersionLast="47" xr6:coauthVersionMax="47" xr10:uidLastSave="{00000000-0000-0000-0000-000000000000}"/>
  <bookViews>
    <workbookView xWindow="-108" yWindow="-108" windowWidth="23256" windowHeight="12576" tabRatio="793" xr2:uid="{00000000-000D-0000-FFFF-FFFF00000000}"/>
  </bookViews>
  <sheets>
    <sheet name="RESUMEN" sheetId="1" r:id="rId1"/>
    <sheet name="PRORRATEO" sheetId="2" r:id="rId2"/>
    <sheet name="ANOTACIONES" sheetId="3" r:id="rId3"/>
    <sheet name="Hoja1" sheetId="4" r:id="rId4"/>
  </sheets>
  <definedNames>
    <definedName name="_xlnm.Print_Area" localSheetId="1">PRORRATEO!$A$1:$P$77</definedName>
    <definedName name="_xlnm.Print_Area" localSheetId="0">RESUMEN!$A$1:$D$130</definedName>
  </definedNames>
  <calcPr calcId="181029"/>
</workbook>
</file>

<file path=xl/calcChain.xml><?xml version="1.0" encoding="utf-8"?>
<calcChain xmlns="http://schemas.openxmlformats.org/spreadsheetml/2006/main">
  <c r="D10" i="3" l="1"/>
  <c r="O3" i="2"/>
  <c r="D57" i="1" l="1"/>
  <c r="D40" i="1"/>
  <c r="D63" i="1"/>
  <c r="G18" i="2"/>
  <c r="G9" i="2"/>
  <c r="G19" i="2"/>
  <c r="G65" i="2"/>
  <c r="G35" i="2"/>
  <c r="G45" i="2"/>
  <c r="G43" i="2"/>
  <c r="G52" i="2"/>
  <c r="G14" i="2"/>
  <c r="G51" i="2"/>
  <c r="G11" i="2"/>
  <c r="G42" i="2"/>
  <c r="G38" i="2"/>
  <c r="G37" i="2"/>
  <c r="M30" i="2" l="1"/>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29" i="2"/>
  <c r="G66" i="2"/>
  <c r="G22" i="2"/>
  <c r="G21" i="2"/>
  <c r="G20" i="2"/>
  <c r="M68" i="2" l="1"/>
  <c r="D11" i="4"/>
  <c r="G54" i="2" l="1"/>
  <c r="G15" i="2" l="1"/>
  <c r="G12" i="2"/>
  <c r="G55" i="2"/>
  <c r="G41" i="2"/>
  <c r="G40" i="2"/>
  <c r="G39" i="2"/>
  <c r="D50" i="1" l="1"/>
  <c r="D43" i="1"/>
  <c r="G48" i="2" l="1"/>
  <c r="G47" i="2"/>
  <c r="B129" i="1"/>
  <c r="G34" i="2"/>
  <c r="D67" i="1"/>
  <c r="C30" i="1" l="1"/>
  <c r="C33" i="1"/>
  <c r="G44" i="2" l="1"/>
  <c r="I35" i="2" l="1"/>
  <c r="J35" i="2" s="1"/>
  <c r="I54" i="2"/>
  <c r="J54" i="2" s="1"/>
  <c r="I51" i="2"/>
  <c r="J51" i="2" s="1"/>
  <c r="I31" i="2"/>
  <c r="J31" i="2" s="1"/>
  <c r="I14" i="2"/>
  <c r="J14" i="2" s="1"/>
  <c r="I59" i="2"/>
  <c r="J59" i="2" s="1"/>
  <c r="L48" i="2"/>
  <c r="L49" i="2"/>
  <c r="L50" i="2"/>
  <c r="L51" i="2"/>
  <c r="L52" i="2"/>
  <c r="L53" i="2"/>
  <c r="L54" i="2"/>
  <c r="L55" i="2"/>
  <c r="L56" i="2"/>
  <c r="L57" i="2"/>
  <c r="L58" i="2"/>
  <c r="L59" i="2"/>
  <c r="L60" i="2"/>
  <c r="L61" i="2"/>
  <c r="L62" i="2"/>
  <c r="L63" i="2"/>
  <c r="L64" i="2"/>
  <c r="L65" i="2"/>
  <c r="L66" i="2"/>
  <c r="K48" i="2"/>
  <c r="K49" i="2"/>
  <c r="K50" i="2"/>
  <c r="K51" i="2"/>
  <c r="K52" i="2"/>
  <c r="K53" i="2"/>
  <c r="K54" i="2"/>
  <c r="K55" i="2"/>
  <c r="K56" i="2"/>
  <c r="K57" i="2"/>
  <c r="K58" i="2"/>
  <c r="K59" i="2"/>
  <c r="K60" i="2"/>
  <c r="K61" i="2"/>
  <c r="K62" i="2"/>
  <c r="K63" i="2"/>
  <c r="K64" i="2"/>
  <c r="K65" i="2"/>
  <c r="K66" i="2"/>
  <c r="I48" i="2"/>
  <c r="J48" i="2" s="1"/>
  <c r="I49" i="2"/>
  <c r="J49" i="2" s="1"/>
  <c r="I50" i="2"/>
  <c r="J50" i="2" s="1"/>
  <c r="I52" i="2"/>
  <c r="J52" i="2" s="1"/>
  <c r="I53" i="2"/>
  <c r="J53" i="2" s="1"/>
  <c r="I55" i="2"/>
  <c r="J55" i="2" s="1"/>
  <c r="I56" i="2"/>
  <c r="J56" i="2" s="1"/>
  <c r="I57" i="2"/>
  <c r="J57" i="2" s="1"/>
  <c r="I58" i="2"/>
  <c r="J58" i="2" s="1"/>
  <c r="I60" i="2"/>
  <c r="J60" i="2" s="1"/>
  <c r="I61" i="2"/>
  <c r="J61" i="2" s="1"/>
  <c r="I62" i="2"/>
  <c r="J62" i="2" s="1"/>
  <c r="I63" i="2"/>
  <c r="J63" i="2" s="1"/>
  <c r="I64" i="2"/>
  <c r="J64" i="2" s="1"/>
  <c r="I65" i="2"/>
  <c r="J65" i="2" s="1"/>
  <c r="I66" i="2"/>
  <c r="J66" i="2" s="1"/>
  <c r="N68" i="2"/>
  <c r="F68" i="2"/>
  <c r="E68" i="2"/>
  <c r="L9" i="2"/>
  <c r="K9" i="2"/>
  <c r="I9" i="2"/>
  <c r="J9" i="2" s="1"/>
  <c r="D49" i="1"/>
  <c r="D48" i="1"/>
  <c r="Q9" i="2"/>
  <c r="Q10" i="2" s="1"/>
  <c r="Q11" i="2" s="1"/>
  <c r="Q12" i="2" s="1"/>
  <c r="Q13" i="2" s="1"/>
  <c r="Q14" i="2" s="1"/>
  <c r="Q15" i="2" s="1"/>
  <c r="Q16" i="2" s="1"/>
  <c r="Q17" i="2" s="1"/>
  <c r="Q18" i="2" s="1"/>
  <c r="Q19" i="2" s="1"/>
  <c r="Q20" i="2" s="1"/>
  <c r="Q21" i="2" s="1"/>
  <c r="Q22" i="2" s="1"/>
  <c r="Q23" i="2" s="1"/>
  <c r="Q24" i="2" s="1"/>
  <c r="Q25" i="2" s="1"/>
  <c r="Q26" i="2" s="1"/>
  <c r="Q27" i="2" s="1"/>
  <c r="Q28" i="2" s="1"/>
  <c r="Q29" i="2" s="1"/>
  <c r="Q30" i="2" s="1"/>
  <c r="Q31" i="2" s="1"/>
  <c r="Q32" i="2" s="1"/>
  <c r="Q33" i="2" s="1"/>
  <c r="Q34" i="2" s="1"/>
  <c r="Q35" i="2" s="1"/>
  <c r="Q36" i="2" s="1"/>
  <c r="Q37" i="2" s="1"/>
  <c r="Q38" i="2" s="1"/>
  <c r="Q39" i="2" s="1"/>
  <c r="Q40" i="2" s="1"/>
  <c r="Q41" i="2" s="1"/>
  <c r="Q42" i="2" s="1"/>
  <c r="Q43" i="2" s="1"/>
  <c r="Q44" i="2" s="1"/>
  <c r="Q45" i="2" s="1"/>
  <c r="Q46" i="2" s="1"/>
  <c r="Q47" i="2" s="1"/>
  <c r="Q48" i="2" s="1"/>
  <c r="I47" i="2"/>
  <c r="J47" i="2" s="1"/>
  <c r="B10" i="2"/>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I15" i="2"/>
  <c r="J15" i="2" s="1"/>
  <c r="I16" i="2"/>
  <c r="I17" i="2"/>
  <c r="J17" i="2" s="1"/>
  <c r="I18" i="2"/>
  <c r="J18" i="2" s="1"/>
  <c r="I19" i="2"/>
  <c r="J19" i="2" s="1"/>
  <c r="I20" i="2"/>
  <c r="J20" i="2" s="1"/>
  <c r="I22" i="2"/>
  <c r="J22" i="2" s="1"/>
  <c r="I23" i="2"/>
  <c r="J23" i="2" s="1"/>
  <c r="I24" i="2"/>
  <c r="I25" i="2"/>
  <c r="J25" i="2" s="1"/>
  <c r="I27" i="2"/>
  <c r="J27" i="2" s="1"/>
  <c r="I28" i="2"/>
  <c r="J28" i="2" s="1"/>
  <c r="I29" i="2"/>
  <c r="J29" i="2" s="1"/>
  <c r="I32" i="2"/>
  <c r="J32" i="2" s="1"/>
  <c r="I36" i="2"/>
  <c r="J36" i="2" s="1"/>
  <c r="I39" i="2"/>
  <c r="J39" i="2" s="1"/>
  <c r="I41" i="2"/>
  <c r="J41" i="2" s="1"/>
  <c r="I46" i="2"/>
  <c r="J46" i="2" s="1"/>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I26" i="2"/>
  <c r="J26" i="2" s="1"/>
  <c r="I43" i="2"/>
  <c r="J43" i="2" s="1"/>
  <c r="I45" i="2"/>
  <c r="J45" i="2" s="1"/>
  <c r="I38" i="2"/>
  <c r="J38" i="2" s="1"/>
  <c r="I44" i="2"/>
  <c r="J44" i="2" s="1"/>
  <c r="O29" i="2" l="1"/>
  <c r="I21" i="2"/>
  <c r="J21" i="2" s="1"/>
  <c r="Q49" i="2"/>
  <c r="O49" i="2" s="1"/>
  <c r="P49" i="2" s="1"/>
  <c r="O48" i="2"/>
  <c r="P48" i="2" s="1"/>
  <c r="I37" i="2"/>
  <c r="J37" i="2" s="1"/>
  <c r="O9" i="2"/>
  <c r="P9" i="2" s="1"/>
  <c r="J24" i="2"/>
  <c r="J16" i="2"/>
  <c r="I33" i="2"/>
  <c r="J33" i="2" s="1"/>
  <c r="I30" i="2"/>
  <c r="J30" i="2" s="1"/>
  <c r="Q50" i="2" l="1"/>
  <c r="G68" i="2"/>
  <c r="O50" i="2"/>
  <c r="P50" i="2" s="1"/>
  <c r="Q51" i="2"/>
  <c r="C26" i="1"/>
  <c r="D34" i="1" s="1"/>
  <c r="I42" i="2"/>
  <c r="J42" i="2" s="1"/>
  <c r="Q52" i="2" l="1"/>
  <c r="O51" i="2"/>
  <c r="P51" i="2" s="1"/>
  <c r="Q53" i="2" l="1"/>
  <c r="O52" i="2"/>
  <c r="P52" i="2" l="1"/>
  <c r="O53" i="2"/>
  <c r="P53" i="2" s="1"/>
  <c r="Q54" i="2"/>
  <c r="I40" i="2"/>
  <c r="J40" i="2" s="1"/>
  <c r="O54" i="2" l="1"/>
  <c r="P54" i="2" s="1"/>
  <c r="Q55" i="2"/>
  <c r="I34" i="2"/>
  <c r="J34" i="2" s="1"/>
  <c r="Q56" i="2" l="1"/>
  <c r="O55" i="2"/>
  <c r="P55" i="2" s="1"/>
  <c r="L8" i="2"/>
  <c r="I10" i="2"/>
  <c r="J10" i="2" s="1"/>
  <c r="I11" i="2"/>
  <c r="I12" i="2"/>
  <c r="J12" i="2" s="1"/>
  <c r="I13" i="2"/>
  <c r="J13" i="2" s="1"/>
  <c r="J11" i="2" l="1"/>
  <c r="O56" i="2"/>
  <c r="P56" i="2" s="1"/>
  <c r="Q57" i="2"/>
  <c r="H68" i="2"/>
  <c r="O57" i="2" l="1"/>
  <c r="P57" i="2" s="1"/>
  <c r="Q58" i="2"/>
  <c r="Q59" i="2" l="1"/>
  <c r="O58" i="2"/>
  <c r="P58" i="2" s="1"/>
  <c r="K10" i="2"/>
  <c r="K11" i="2"/>
  <c r="K12" i="2"/>
  <c r="K13" i="2"/>
  <c r="K8" i="2"/>
  <c r="K68" i="2" l="1"/>
  <c r="Q60" i="2"/>
  <c r="O59" i="2"/>
  <c r="P59" i="2" s="1"/>
  <c r="D78" i="1"/>
  <c r="D83" i="1" s="1"/>
  <c r="B87" i="1" s="1"/>
  <c r="B120" i="1" s="1"/>
  <c r="Q61" i="2" l="1"/>
  <c r="O60" i="2"/>
  <c r="P60" i="2" s="1"/>
  <c r="B117" i="1"/>
  <c r="O61" i="2" l="1"/>
  <c r="P61" i="2" s="1"/>
  <c r="Q62" i="2"/>
  <c r="D71" i="1"/>
  <c r="O62" i="2" l="1"/>
  <c r="P62" i="2" s="1"/>
  <c r="Q63" i="2"/>
  <c r="O7" i="2"/>
  <c r="Q64" i="2" l="1"/>
  <c r="O63" i="2"/>
  <c r="P63" i="2" s="1"/>
  <c r="O14" i="2"/>
  <c r="P14" i="2" s="1"/>
  <c r="B116" i="1"/>
  <c r="O64" i="2" l="1"/>
  <c r="P64" i="2" s="1"/>
  <c r="Q65" i="2"/>
  <c r="O15" i="2"/>
  <c r="P15" i="2" s="1"/>
  <c r="I8" i="2"/>
  <c r="J8" i="2" l="1"/>
  <c r="J68" i="2" s="1"/>
  <c r="I68" i="2"/>
  <c r="O65" i="2"/>
  <c r="P65" i="2" s="1"/>
  <c r="Q66" i="2"/>
  <c r="O66" i="2" s="1"/>
  <c r="O16" i="2"/>
  <c r="P16" i="2" s="1"/>
  <c r="B88" i="1"/>
  <c r="P66" i="2" l="1"/>
  <c r="O17" i="2"/>
  <c r="P17" i="2" s="1"/>
  <c r="B86" i="1"/>
  <c r="B119" i="1" s="1"/>
  <c r="B121" i="1" s="1"/>
  <c r="L10" i="2"/>
  <c r="L11" i="2"/>
  <c r="O11" i="2" s="1"/>
  <c r="L12" i="2"/>
  <c r="O12" i="2" s="1"/>
  <c r="L13" i="2"/>
  <c r="O13" i="2" s="1"/>
  <c r="O8" i="2"/>
  <c r="L68" i="2" l="1"/>
  <c r="O18" i="2"/>
  <c r="P18" i="2" s="1"/>
  <c r="O10" i="2"/>
  <c r="P10" i="2" s="1"/>
  <c r="P8" i="2"/>
  <c r="P13" i="2"/>
  <c r="P12" i="2"/>
  <c r="P11" i="2"/>
  <c r="O19" i="2" l="1"/>
  <c r="P19" i="2" s="1"/>
  <c r="O20" i="2" l="1"/>
  <c r="B85" i="1"/>
  <c r="P20" i="2" l="1"/>
  <c r="O21" i="2"/>
  <c r="P21" i="2" s="1"/>
  <c r="O22" i="2" l="1"/>
  <c r="O23" i="2" l="1"/>
  <c r="P23" i="2" s="1"/>
  <c r="P22" i="2"/>
  <c r="O24" i="2" l="1"/>
  <c r="P24" i="2" s="1"/>
  <c r="O25" i="2" l="1"/>
  <c r="O26" i="2" l="1"/>
  <c r="P26" i="2" s="1"/>
  <c r="P25" i="2"/>
  <c r="O27" i="2" l="1"/>
  <c r="P27" i="2" l="1"/>
  <c r="O28" i="2"/>
  <c r="P28" i="2" s="1"/>
  <c r="P29" i="2" l="1"/>
  <c r="O30" i="2" l="1"/>
  <c r="P30" i="2" s="1"/>
  <c r="O31" i="2" l="1"/>
  <c r="P31" i="2" s="1"/>
  <c r="O32" i="2" l="1"/>
  <c r="P32" i="2" s="1"/>
  <c r="O33" i="2" l="1"/>
  <c r="P33" i="2" s="1"/>
  <c r="O34" i="2" l="1"/>
  <c r="P34" i="2" s="1"/>
  <c r="O35" i="2" l="1"/>
  <c r="P35" i="2" s="1"/>
  <c r="O36" i="2" l="1"/>
  <c r="P36" i="2" s="1"/>
  <c r="O37" i="2" l="1"/>
  <c r="P37" i="2" l="1"/>
  <c r="O38" i="2"/>
  <c r="P38" i="2" s="1"/>
  <c r="O39" i="2" l="1"/>
  <c r="P39" i="2" s="1"/>
  <c r="O40" i="2" l="1"/>
  <c r="P40" i="2" s="1"/>
  <c r="O41" i="2" l="1"/>
  <c r="P41" i="2" s="1"/>
  <c r="O42" i="2" l="1"/>
  <c r="P42" i="2" s="1"/>
  <c r="O43" i="2" l="1"/>
  <c r="P43" i="2" s="1"/>
  <c r="O44" i="2" l="1"/>
  <c r="P44" i="2" s="1"/>
  <c r="O45" i="2" l="1"/>
  <c r="P45" i="2" l="1"/>
  <c r="O47" i="2"/>
  <c r="P47" i="2" s="1"/>
  <c r="O46" i="2"/>
  <c r="O68" i="2" l="1"/>
  <c r="P46" i="2"/>
  <c r="P68" i="2" s="1"/>
</calcChain>
</file>

<file path=xl/sharedStrings.xml><?xml version="1.0" encoding="utf-8"?>
<sst xmlns="http://schemas.openxmlformats.org/spreadsheetml/2006/main" count="261" uniqueCount="204">
  <si>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</si>
  <si>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</si>
  <si>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</si>
  <si>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</si>
  <si>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</si>
  <si>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</si>
  <si>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</si>
  <si>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</si>
  <si>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</si>
  <si>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</si>
  <si>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</si>
  <si>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</si>
  <si>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</si>
  <si>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</si>
  <si>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</si>
  <si>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</si>
  <si>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</si>
  <si>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</si>
  <si>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</si>
  <si>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</si>
  <si>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</si>
  <si>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</si>
  <si>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</si>
  <si>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</si>
  <si>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</si>
  <si>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</si>
  <si>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</si>
  <si>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</si>
  <si>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</si>
  <si>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</si>
  <si>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</si>
  <si>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</si>
  <si>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</si>
  <si>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Saldo anterior</t>
  </si>
  <si>
    <t xml:space="preserve">TOTAL </t>
  </si>
  <si>
    <t>APORTES Y CONTRIBUCIONES</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</si>
  <si>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</si>
  <si>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</si>
  <si>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</si>
  <si>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</si>
  <si>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</si>
  <si>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</si>
  <si>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</si>
  <si>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</si>
  <si>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</si>
  <si>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Expensas ord.</t>
  </si>
  <si>
    <t>Interes</t>
  </si>
  <si>
    <t>Pago por</t>
  </si>
  <si>
    <t>Deuda o Saldo a favor</t>
  </si>
  <si>
    <t xml:space="preserve">SEGUROS </t>
  </si>
  <si>
    <t>DEPOSITOS NO IDENTIFICADOS</t>
  </si>
  <si>
    <t>RESUMEN</t>
  </si>
  <si>
    <t>HABERES ENCARGADOS</t>
  </si>
  <si>
    <t>Neto</t>
  </si>
  <si>
    <t>Redondeo</t>
  </si>
  <si>
    <t>Retenciones</t>
  </si>
  <si>
    <t>Total 2do Vto</t>
  </si>
  <si>
    <t>Total 1er Vto</t>
  </si>
  <si>
    <t>Gastos part.</t>
  </si>
  <si>
    <t>GASTOS EXTRAORDINARIOS CON PREVISION:</t>
  </si>
  <si>
    <t>Saldo Ord</t>
  </si>
  <si>
    <t xml:space="preserve">Deposito sin identificar </t>
  </si>
  <si>
    <t>Ingreso Ordinarias</t>
  </si>
  <si>
    <t>Gastos Extraordinarios:</t>
  </si>
  <si>
    <t>ADMINISTRADORA: CAROLINA CANCIANI MP:1148 - CUIT ADMINISTRACION: 27231256879</t>
  </si>
  <si>
    <t>Arca931</t>
  </si>
  <si>
    <t>Sindicatos :  Seracarh</t>
  </si>
  <si>
    <t>Sindicatos :  Suther</t>
  </si>
  <si>
    <t>Sindicatos :  Fatherhy</t>
  </si>
  <si>
    <t>SI EN LA COLUMNA LLAMADA DEUDA O SALDO A FAVOR FIGURA UN NUMERO EN NEGATIVO SIGNIFICA QUE LA UF POSEE DINERO A FAVOR (ES DECIR PAGO DE MAS)</t>
  </si>
  <si>
    <t>HORARIOS DE ATENCION: 10 A 15HS - LUNES A VIERNES</t>
  </si>
  <si>
    <t>Banco  - Gastos bancarios</t>
  </si>
  <si>
    <t xml:space="preserve">Punitorios mal cobrados </t>
  </si>
  <si>
    <t xml:space="preserve">Banco - Mantenimiento cuenta corriente </t>
  </si>
  <si>
    <t>LA MONUMENTAL</t>
  </si>
  <si>
    <t>GINIGER RAUL</t>
  </si>
  <si>
    <t>GUTIERREZ NESTOR</t>
  </si>
  <si>
    <t>MARTINEZ VANESA</t>
  </si>
  <si>
    <t>DEBELJUH CARLOS</t>
  </si>
  <si>
    <t>LOBOS CARLOS</t>
  </si>
  <si>
    <t>PAOLI BRUNO</t>
  </si>
  <si>
    <t>TABOADA CHRISTIAN</t>
  </si>
  <si>
    <t>BORAS LAURA Y VANESSA</t>
  </si>
  <si>
    <t>OJEDA J. C. Y OTROS</t>
  </si>
  <si>
    <t>FUSARO MARIA CRISTINA</t>
  </si>
  <si>
    <t>BENJAMIN NESTOR</t>
  </si>
  <si>
    <t>GARGIULO RICARDO</t>
  </si>
  <si>
    <t>GARCIA PRADA E. Y OTRO</t>
  </si>
  <si>
    <t>MARTINEZ GABRIEL</t>
  </si>
  <si>
    <t>SCORPINO CARLOS</t>
  </si>
  <si>
    <t>CHICO JUAN MANUEL</t>
  </si>
  <si>
    <t>CALCAGNO JOSE</t>
  </si>
  <si>
    <t>DEMBITSKY GRACIELA</t>
  </si>
  <si>
    <t>BLASEVICH SILVIA</t>
  </si>
  <si>
    <t>CARRARO JUAN</t>
  </si>
  <si>
    <t>GALAN CARLOS</t>
  </si>
  <si>
    <t>SMURRO VIVIANA</t>
  </si>
  <si>
    <t>ELESGARAY JORGE</t>
  </si>
  <si>
    <t>RODRIGUEZ ELESGARAY</t>
  </si>
  <si>
    <t>DIEZ FERNANDO</t>
  </si>
  <si>
    <t>COLEGIO DE FARMACEUTICOS</t>
  </si>
  <si>
    <t>VAZQUEZ GUSTAVO</t>
  </si>
  <si>
    <t>SOTA</t>
  </si>
  <si>
    <t>L1</t>
  </si>
  <si>
    <t>L2</t>
  </si>
  <si>
    <t>L3</t>
  </si>
  <si>
    <t>L4</t>
  </si>
  <si>
    <t>L5</t>
  </si>
  <si>
    <t>L6</t>
  </si>
  <si>
    <t>L7</t>
  </si>
  <si>
    <t>L8</t>
  </si>
  <si>
    <t>L9</t>
  </si>
  <si>
    <t>L10</t>
  </si>
  <si>
    <t>L11</t>
  </si>
  <si>
    <t>L12</t>
  </si>
  <si>
    <t>L13</t>
  </si>
  <si>
    <t>L14</t>
  </si>
  <si>
    <t>L15</t>
  </si>
  <si>
    <t>L16</t>
  </si>
  <si>
    <t>L17</t>
  </si>
  <si>
    <t>L18</t>
  </si>
  <si>
    <t>L19</t>
  </si>
  <si>
    <t>L20</t>
  </si>
  <si>
    <t xml:space="preserve">RODRIGUEZ GIMENEZ TELMA </t>
  </si>
  <si>
    <t>MORCECIAN RUBEN RICARDO</t>
  </si>
  <si>
    <t>TELEFONO : 11-5320-2676 - MAIL: mitre686rc@gmail.com - OFICINA CON CITA PREVIA - DR MELO 2958 8° PISO</t>
  </si>
  <si>
    <t xml:space="preserve">EDESUR - Cliente 000115764200 </t>
  </si>
  <si>
    <t xml:space="preserve">EDESUR - Cliente 000466379100 </t>
  </si>
  <si>
    <t>Metrogas - Cliente 030003582146</t>
  </si>
  <si>
    <t xml:space="preserve">Seguro integral del consorcio-Federacion Patronal poliza 2215767 </t>
  </si>
  <si>
    <t>TOBIO DANIEL S.</t>
  </si>
  <si>
    <t>DEBELJUH RICARDO</t>
  </si>
  <si>
    <t>JELAVIC</t>
  </si>
  <si>
    <t>DIPACHI CLAUDIO MARCELO</t>
  </si>
  <si>
    <t>GINDRE ESTEFANIA</t>
  </si>
  <si>
    <t>SICUSO Y OTROS</t>
  </si>
  <si>
    <t>SICUSO FERNANDO</t>
  </si>
  <si>
    <t>CARBONE LUIS M.</t>
  </si>
  <si>
    <t>COLUCCI FAVIO H.</t>
  </si>
  <si>
    <t>IPARRAGUIRRE JUAN M.</t>
  </si>
  <si>
    <t>CASTILLO Y JEREZ</t>
  </si>
  <si>
    <t>YOCCO ROSA DEL CARMEN</t>
  </si>
  <si>
    <t>PRIETO ALONSO EMILIO</t>
  </si>
  <si>
    <t>CARRARO JORGE</t>
  </si>
  <si>
    <t>Nelida Micaela Atanes</t>
  </si>
  <si>
    <t>Laura Boras</t>
  </si>
  <si>
    <t>Benjamin Nestor Hora , abona con 27 centavos el pelotudo</t>
  </si>
  <si>
    <t>Importante para dueños o inquilinos: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dos locales),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</si>
  <si>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Smurro Viviana - Jorge alberto Viera</t>
  </si>
  <si>
    <t>Colegio de farmaceuticos</t>
  </si>
  <si>
    <t>Banco Galicia: Nro. De cuenta: 0000220-4716-6 - CBU: 0070716120000000220468 - Consorcio de propietarios Av. General Mite 686/92 - CUIT: 30-53618993-5</t>
  </si>
  <si>
    <t>Escribania Rodriguez - Aljandra Rodriguez</t>
  </si>
  <si>
    <t>Lucrecia Ines Carbone</t>
  </si>
  <si>
    <t>Anotacion:</t>
  </si>
  <si>
    <t>UF:</t>
  </si>
  <si>
    <t>TSG - Municipalidad de avellaneda</t>
  </si>
  <si>
    <t>Juana Acuña</t>
  </si>
  <si>
    <t>creo que cobran mes atrasado</t>
  </si>
  <si>
    <t>Maria Gabriela Stur</t>
  </si>
  <si>
    <t>QUIENES ESTAN EN VIOLETA NO ESTAN RESPETANDO LOS CENTAVOS AL ABONAR.</t>
  </si>
  <si>
    <t>Rocio Aylin</t>
  </si>
  <si>
    <t>Luciano javier petrino</t>
  </si>
  <si>
    <t>Debe abonar en Agosto 2026</t>
  </si>
  <si>
    <t>Transferencia no identificada Junio</t>
  </si>
  <si>
    <t>Punitorios a descontar</t>
  </si>
  <si>
    <t>TOTAL:</t>
  </si>
  <si>
    <t>Yesica Romina</t>
  </si>
  <si>
    <t xml:space="preserve">Planes de pago - Afip - aportes de seg. social 06/2022 y 12/2022 </t>
  </si>
  <si>
    <t>Frisco - Capetello Silvina Viviana</t>
  </si>
  <si>
    <t>Nahuel gutierrez Almicar</t>
  </si>
  <si>
    <t>Gasto a prorratear solo en oficinas</t>
  </si>
  <si>
    <t>Se perdio un total de :</t>
  </si>
  <si>
    <t>Gasto oficinas - Ascensor</t>
  </si>
  <si>
    <t xml:space="preserve">Articulos de limpieza - CUIT: 27319702445 - Fc. 00001717 </t>
  </si>
  <si>
    <t>Transf 16/09</t>
  </si>
  <si>
    <t>Transf 11/09</t>
  </si>
  <si>
    <t>Honorarios Sra. Abogada - CUIT: 27-26023414-0 - Fc. 0000336 - Lorena Ferreiro</t>
  </si>
  <si>
    <t>Debito 09/09</t>
  </si>
  <si>
    <t>Transf 07/09</t>
  </si>
  <si>
    <t>Honorarios Sra. Abogada - CUIT: 27-26023414-0 - Gastos inicio carpeta Juicio consorcio c/ Di Lauro</t>
  </si>
  <si>
    <t>Debito 14/09</t>
  </si>
  <si>
    <t>PREVISION ORDINARIA</t>
  </si>
  <si>
    <t>Transf 28/09</t>
  </si>
  <si>
    <t>AySa - Cuenta de servicios 3483943</t>
  </si>
  <si>
    <t>Debito 25/09</t>
  </si>
  <si>
    <t>Articulos de limpieza - CUIT: 27319702445 - Fc. 00001735</t>
  </si>
  <si>
    <t>Debito 16/09</t>
  </si>
  <si>
    <t>Transferencia 29/09</t>
  </si>
  <si>
    <t>Dinero Fondo FIMA - Al 06/10/2026</t>
  </si>
  <si>
    <t>Deposita</t>
  </si>
  <si>
    <t>Iparraguirre Inmobiliaria deposita $235,000</t>
  </si>
  <si>
    <t>?</t>
  </si>
  <si>
    <t>Deiana KleKotz Ayelen transfirio $650.000 pero no dijo de que UF - Le preguntamos y estimo nos contestara por mail</t>
  </si>
  <si>
    <t>VTO 17/11</t>
  </si>
  <si>
    <t>Honorarios administracion RC - CUIT: 27-23125687-9 - Se adeudan $90.000, JUNIO Y JULIO completo ($650.000 C/U) - Se abona OCTUBRE 2026</t>
  </si>
  <si>
    <t>A andes elevadores hay una diferencia (pagamos $229.000 en OCTUBRE que NO incluimos en los gastos) - Debemos evaluar los pagos pq nos reclaman una deuda de servicios de Mayo y Abril</t>
  </si>
  <si>
    <t>Se informa que durante el mes anterior se prorrateó, exclusivamente entre las unidades correspondientes a las oficinas, la suma de PESOS DOS MILLONES QUINIENTOS MIL ($2.500.000), destinada a abonar el 50% de los trabajos realizados en el ascensor N.º 1, correspondiente a la primera cuota.
Para el presente mes de OCTUBRE, corresponde afrontar la segunda cuota de los trabajos, cuyo importe asciende a PESOS DOS MILLONES OCHOCIENTOS SETENTA Y TRES MIL OCHOCIENTOS ($2.873.800).
Asimismo, se contempla un gasto adicional de PESOS CIENTO OCHENTA MIL ($180.000), vinculado a trabajos y/o gastos complementarios relacionados con la intervención realizada en el ascensor.
En consecuencia, durante el presente mes resulta necesario reunir un total de PESOS TRES MILLONES CINCUENTA Y TRES MIL OCHOCIENTOS ($3.053.800), monto que será prorrateado exclusivamente entre las oficinas.
De esta manera, el importe a prorratear se incrementa respecto del mes anterior debido tanto al mayor valor de la segunda cuota como a los gastos adicionales mencionados.</t>
  </si>
  <si>
    <t>Sr. Carrafiele -  Mes de SEPTIEMBRE</t>
  </si>
  <si>
    <t>Ivana del Carmen Roldan -  Mes de SEPTIEMBRE</t>
  </si>
  <si>
    <t>Gustavo Padron - Sr. Contador - CUIT: 20-20027122-0 - Mes de SEPTIEMBRE - Fc.  00000197</t>
  </si>
  <si>
    <t>Transf 09/10</t>
  </si>
  <si>
    <t>Andes elevadores - CUIT: 30-71177858-2 - Fc. 0000010662 -  Servicio de mantenimiento de ascensores OCTUBRE</t>
  </si>
  <si>
    <t>Andes elevadores - CUIT: 30-71177858-2 - Fc. 00000010743 - Provision y colocacion de nueva bobina de freno. El trabajo requiere la modificacion de la maquina de traccion para su instalacion</t>
  </si>
  <si>
    <t>Transf 07/10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</si>
</sst>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8"/>
      <color theme="1"/>
      <name val="Calibri"/>
      <family val="2"/>
      <scheme val="minor"/>
    </font>
    <font>
      <sz val="9"/>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0"/>
      <color rgb="FFFF0000"/>
      <name val="Calibri"/>
      <family val="2"/>
      <scheme val="minor"/>
    </font>
    <font>
      <b/>
      <sz val="12"/>
      <name val="Calibri"/>
      <family val="2"/>
      <scheme val="minor"/>
    </font>
    <font>
      <b/>
      <sz val="16"/>
      <name val="Calibri"/>
      <family val="2"/>
      <scheme val="minor"/>
    </font>
    <font>
      <b/>
      <sz val="14"/>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
      <patternFill patternType="solid">
        <fgColor theme="7" tint="0.39997558519241921"/>
        <bgColor indexed="64"/>
      </patternFill>
    </fill>
    <fill>
      <patternFill patternType="solid">
        <fgColor rgb="FFFF0000"/>
        <bgColor indexed="64"/>
      </patternFill>
    </fill>
    <fill>
      <patternFill patternType="solid">
        <fgColor theme="5"/>
        <bgColor indexed="64"/>
      </patternFill>
    </fill>
    <fill>
      <patternFill patternType="solid">
        <fgColor theme="9"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1">
    <xf numFmtId="0" fontId="0" fillId="0" borderId="0" xfId="0"/>
    <xf numFmtId="0" fontId="2" fillId="0" borderId="0" xfId="0" applyFont="1"/>
    <xf numFmtId="0" fontId="0" fillId="3" borderId="0" xfId="0" applyFill="1"/>
    <xf numFmtId="0" fontId="0" fillId="0" borderId="5" xfId="0" applyBorder="1"/>
    <xf numFmtId="8" fontId="0" fillId="0" borderId="0" xfId="0" applyNumberFormat="1"/>
    <xf numFmtId="0" fontId="5" fillId="6" borderId="0" xfId="0" applyFont="1" applyFill="1"/>
    <xf numFmtId="0" fontId="6" fillId="0" borderId="1" xfId="0" applyFont="1" applyBorder="1" applyAlignment="1">
      <alignment vertical="center" wrapText="1"/>
    </xf>
    <xf numFmtId="8" fontId="7" fillId="4" borderId="6" xfId="0" applyNumberFormat="1" applyFont="1" applyFill="1" applyBorder="1"/>
    <xf numFmtId="0" fontId="2" fillId="0" borderId="1" xfId="0" applyFont="1" applyBorder="1"/>
    <xf numFmtId="0" fontId="10" fillId="2" borderId="0" xfId="0" applyFont="1" applyFill="1"/>
    <xf numFmtId="0" fontId="11" fillId="4" borderId="1" xfId="0" applyFont="1" applyFill="1" applyBorder="1"/>
    <xf numFmtId="0" fontId="7" fillId="4" borderId="1" xfId="0" applyFont="1" applyFill="1" applyBorder="1"/>
    <xf numFmtId="8" fontId="11" fillId="4" borderId="1" xfId="0" applyNumberFormat="1" applyFont="1" applyFill="1" applyBorder="1"/>
    <xf numFmtId="44" fontId="7" fillId="4" borderId="1" xfId="1" applyFont="1" applyFill="1" applyBorder="1"/>
    <xf numFmtId="44" fontId="0" fillId="0" borderId="1" xfId="1" applyFont="1" applyBorder="1"/>
    <xf numFmtId="44" fontId="7"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44" fontId="6" fillId="2" borderId="1" xfId="1" applyFont="1" applyFill="1" applyBorder="1"/>
    <xf numFmtId="44" fontId="3" fillId="2" borderId="1" xfId="1" applyFont="1" applyFill="1" applyBorder="1"/>
    <xf numFmtId="0" fontId="8" fillId="2" borderId="0" xfId="0" applyFont="1" applyFill="1"/>
    <xf numFmtId="44" fontId="0" fillId="0" borderId="0" xfId="0" applyNumberFormat="1"/>
    <xf numFmtId="0" fontId="9" fillId="6" borderId="0" xfId="0" applyFont="1" applyFill="1"/>
    <xf numFmtId="0" fontId="12" fillId="0" borderId="0" xfId="0" applyFont="1"/>
    <xf numFmtId="8" fontId="15" fillId="11" borderId="6" xfId="0" applyNumberFormat="1" applyFont="1" applyFill="1" applyBorder="1"/>
    <xf numFmtId="0" fontId="14"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3" fillId="0" borderId="1" xfId="0" applyFont="1" applyBorder="1"/>
    <xf numFmtId="44" fontId="10" fillId="4" borderId="1" xfId="1" applyFont="1" applyFill="1" applyBorder="1"/>
    <xf numFmtId="0" fontId="13" fillId="0" borderId="1" xfId="0" applyFont="1" applyBorder="1" applyAlignment="1">
      <alignment horizontal="center"/>
    </xf>
    <xf numFmtId="44" fontId="16" fillId="0" borderId="1" xfId="1" applyFont="1" applyBorder="1"/>
    <xf numFmtId="44" fontId="16" fillId="2" borderId="1" xfId="1" applyFont="1" applyFill="1" applyBorder="1"/>
    <xf numFmtId="165" fontId="16" fillId="2" borderId="1" xfId="1" applyNumberFormat="1" applyFont="1" applyFill="1" applyBorder="1"/>
    <xf numFmtId="165" fontId="13" fillId="0" borderId="1" xfId="0" applyNumberFormat="1" applyFont="1" applyBorder="1"/>
    <xf numFmtId="165" fontId="13" fillId="0" borderId="1" xfId="1" applyNumberFormat="1" applyFont="1" applyBorder="1"/>
    <xf numFmtId="44" fontId="13" fillId="0" borderId="6" xfId="1" applyFont="1" applyBorder="1"/>
    <xf numFmtId="44" fontId="16" fillId="0" borderId="25" xfId="1" applyFont="1" applyBorder="1"/>
    <xf numFmtId="44" fontId="16" fillId="0" borderId="27" xfId="1" applyFont="1" applyBorder="1"/>
    <xf numFmtId="44" fontId="17" fillId="0" borderId="1" xfId="1" applyFont="1" applyBorder="1"/>
    <xf numFmtId="165" fontId="17" fillId="2" borderId="1" xfId="1" applyNumberFormat="1" applyFont="1" applyFill="1" applyBorder="1"/>
    <xf numFmtId="165" fontId="17" fillId="0" borderId="1" xfId="0" applyNumberFormat="1" applyFont="1" applyBorder="1"/>
    <xf numFmtId="165" fontId="17" fillId="0" borderId="1" xfId="1" applyNumberFormat="1" applyFont="1" applyBorder="1"/>
    <xf numFmtId="0" fontId="13" fillId="10" borderId="21" xfId="0" applyFont="1" applyFill="1" applyBorder="1"/>
    <xf numFmtId="0" fontId="13" fillId="4" borderId="26" xfId="0" applyFont="1" applyFill="1" applyBorder="1"/>
    <xf numFmtId="44" fontId="13" fillId="4" borderId="21" xfId="0" applyNumberFormat="1" applyFont="1" applyFill="1" applyBorder="1"/>
    <xf numFmtId="0" fontId="4" fillId="0" borderId="1" xfId="0" applyFont="1" applyBorder="1"/>
    <xf numFmtId="0" fontId="4" fillId="11" borderId="1" xfId="0" applyFont="1" applyFill="1" applyBorder="1"/>
    <xf numFmtId="8" fontId="10" fillId="4" borderId="21" xfId="1" applyNumberFormat="1" applyFont="1" applyFill="1" applyBorder="1"/>
    <xf numFmtId="44" fontId="18" fillId="4" borderId="3" xfId="1" applyFont="1" applyFill="1" applyBorder="1"/>
    <xf numFmtId="44" fontId="10" fillId="4" borderId="21" xfId="1" applyFont="1" applyFill="1" applyBorder="1"/>
    <xf numFmtId="44" fontId="19" fillId="4" borderId="3" xfId="1" applyFont="1" applyFill="1" applyBorder="1"/>
    <xf numFmtId="0" fontId="19"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44" fontId="19" fillId="2" borderId="1" xfId="1" applyFont="1" applyFill="1" applyBorder="1"/>
    <xf numFmtId="44" fontId="10" fillId="4" borderId="2" xfId="1" applyFont="1" applyFill="1" applyBorder="1"/>
    <xf numFmtId="44" fontId="19" fillId="2" borderId="3" xfId="1" applyFont="1" applyFill="1" applyBorder="1"/>
    <xf numFmtId="8" fontId="7" fillId="4" borderId="22" xfId="0" applyNumberFormat="1" applyFont="1" applyFill="1" applyBorder="1"/>
    <xf numFmtId="0" fontId="19" fillId="0" borderId="4" xfId="0" applyFont="1" applyBorder="1"/>
    <xf numFmtId="44" fontId="10" fillId="8" borderId="13" xfId="1" applyFont="1" applyFill="1" applyBorder="1"/>
    <xf numFmtId="0" fontId="4" fillId="0" borderId="0" xfId="0" applyFont="1"/>
    <xf numFmtId="0" fontId="19"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7" fillId="0" borderId="1" xfId="1" applyFont="1" applyBorder="1"/>
    <xf numFmtId="8" fontId="15" fillId="11" borderId="1" xfId="0" applyNumberFormat="1" applyFont="1" applyFill="1" applyBorder="1"/>
    <xf numFmtId="0" fontId="4" fillId="2" borderId="1" xfId="0" applyFont="1" applyFill="1" applyBorder="1"/>
    <xf numFmtId="0" fontId="0" fillId="2" borderId="0" xfId="0" applyFill="1"/>
    <xf numFmtId="43" fontId="0" fillId="0" borderId="0" xfId="0" applyNumberFormat="1"/>
    <xf numFmtId="44" fontId="20" fillId="2" borderId="1" xfId="1" applyFont="1" applyFill="1" applyBorder="1"/>
    <xf numFmtId="0" fontId="14" fillId="2" borderId="1" xfId="1" applyNumberFormat="1" applyFont="1" applyFill="1" applyBorder="1" applyAlignment="1">
      <alignment horizontal="left"/>
    </xf>
    <xf numFmtId="0" fontId="14" fillId="2" borderId="2" xfId="1" applyNumberFormat="1" applyFont="1" applyFill="1" applyBorder="1" applyAlignment="1"/>
    <xf numFmtId="0" fontId="14" fillId="2" borderId="1" xfId="1" applyNumberFormat="1" applyFont="1" applyFill="1" applyBorder="1" applyAlignment="1"/>
    <xf numFmtId="44" fontId="14" fillId="0" borderId="1" xfId="1" applyFont="1" applyBorder="1"/>
    <xf numFmtId="165" fontId="0" fillId="3" borderId="8" xfId="1" applyNumberFormat="1" applyFont="1" applyFill="1" applyBorder="1" applyAlignment="1">
      <alignment vertical="center"/>
    </xf>
    <xf numFmtId="0" fontId="4" fillId="4" borderId="1" xfId="0" applyFont="1" applyFill="1" applyBorder="1"/>
    <xf numFmtId="44" fontId="4" fillId="2" borderId="1" xfId="1" applyFont="1" applyFill="1" applyBorder="1"/>
    <xf numFmtId="0" fontId="7" fillId="4" borderId="1" xfId="0" applyFont="1" applyFill="1" applyBorder="1" applyAlignment="1">
      <alignment wrapText="1"/>
    </xf>
    <xf numFmtId="0" fontId="13" fillId="2" borderId="1" xfId="0" applyFont="1" applyFill="1" applyBorder="1"/>
    <xf numFmtId="165" fontId="13" fillId="2" borderId="1" xfId="0" applyNumberFormat="1" applyFont="1" applyFill="1" applyBorder="1"/>
    <xf numFmtId="165" fontId="13" fillId="2" borderId="1" xfId="1" applyNumberFormat="1" applyFont="1" applyFill="1" applyBorder="1"/>
    <xf numFmtId="44" fontId="13" fillId="2" borderId="6" xfId="1" applyFont="1" applyFill="1" applyBorder="1"/>
    <xf numFmtId="44" fontId="16" fillId="2" borderId="25" xfId="1" applyFont="1" applyFill="1" applyBorder="1"/>
    <xf numFmtId="44" fontId="16" fillId="2" borderId="27" xfId="1" applyFont="1" applyFill="1" applyBorder="1"/>
    <xf numFmtId="4" fontId="0" fillId="0" borderId="0" xfId="0" applyNumberFormat="1"/>
    <xf numFmtId="0" fontId="19" fillId="2" borderId="1" xfId="1" applyNumberFormat="1" applyFont="1" applyFill="1" applyBorder="1" applyAlignment="1"/>
    <xf numFmtId="8" fontId="4" fillId="2" borderId="6" xfId="0" applyNumberFormat="1" applyFont="1" applyFill="1" applyBorder="1"/>
    <xf numFmtId="165" fontId="0" fillId="0" borderId="0" xfId="0" applyNumberFormat="1"/>
    <xf numFmtId="166" fontId="0" fillId="0" borderId="0" xfId="1" applyNumberFormat="1" applyFont="1"/>
    <xf numFmtId="0" fontId="6" fillId="0" borderId="1" xfId="0" applyFont="1" applyBorder="1" applyAlignment="1">
      <alignment vertical="center"/>
    </xf>
    <xf numFmtId="44" fontId="7" fillId="0" borderId="0" xfId="1" applyFont="1" applyBorder="1"/>
    <xf numFmtId="0" fontId="13" fillId="4" borderId="21" xfId="0" applyFont="1" applyFill="1" applyBorder="1"/>
    <xf numFmtId="165" fontId="13" fillId="4" borderId="21" xfId="0" applyNumberFormat="1" applyFont="1" applyFill="1" applyBorder="1"/>
    <xf numFmtId="1" fontId="13" fillId="4" borderId="21" xfId="0" applyNumberFormat="1" applyFont="1" applyFill="1" applyBorder="1" applyAlignment="1">
      <alignment horizontal="center"/>
    </xf>
    <xf numFmtId="165" fontId="0" fillId="3" borderId="0" xfId="1" applyNumberFormat="1" applyFont="1" applyFill="1" applyBorder="1" applyAlignment="1">
      <alignment vertical="center"/>
    </xf>
    <xf numFmtId="44" fontId="0" fillId="3" borderId="17" xfId="1" applyFont="1" applyFill="1" applyBorder="1" applyAlignment="1"/>
    <xf numFmtId="44" fontId="0" fillId="3" borderId="26" xfId="1" applyFont="1" applyFill="1" applyBorder="1" applyAlignment="1">
      <alignment vertical="center"/>
    </xf>
    <xf numFmtId="8" fontId="0" fillId="3" borderId="16" xfId="0" applyNumberFormat="1" applyFill="1" applyBorder="1" applyAlignment="1">
      <alignment vertical="center"/>
    </xf>
    <xf numFmtId="0" fontId="0" fillId="3" borderId="0" xfId="0" applyFill="1" applyAlignment="1">
      <alignment vertical="center"/>
    </xf>
    <xf numFmtId="8" fontId="0" fillId="3" borderId="29" xfId="0" applyNumberFormat="1" applyFill="1" applyBorder="1" applyAlignment="1">
      <alignment vertical="center"/>
    </xf>
    <xf numFmtId="0" fontId="0" fillId="3" borderId="8" xfId="0" applyFill="1" applyBorder="1" applyAlignment="1">
      <alignment vertical="center"/>
    </xf>
    <xf numFmtId="0" fontId="2" fillId="9" borderId="9" xfId="0" applyFont="1" applyFill="1" applyBorder="1"/>
    <xf numFmtId="44" fontId="7" fillId="9" borderId="13" xfId="1" applyFont="1" applyFill="1" applyBorder="1"/>
    <xf numFmtId="0" fontId="0" fillId="0" borderId="12" xfId="0" applyBorder="1"/>
    <xf numFmtId="0" fontId="0" fillId="0" borderId="15" xfId="0" applyBorder="1"/>
    <xf numFmtId="0" fontId="0" fillId="0" borderId="17" xfId="0" applyBorder="1"/>
    <xf numFmtId="44" fontId="7" fillId="4" borderId="22" xfId="1" applyFont="1" applyFill="1" applyBorder="1"/>
    <xf numFmtId="44" fontId="4" fillId="2" borderId="0" xfId="1" applyFont="1" applyFill="1" applyBorder="1"/>
    <xf numFmtId="0" fontId="4" fillId="2" borderId="6" xfId="0" applyFont="1" applyFill="1" applyBorder="1" applyAlignment="1">
      <alignment horizontal="left" vertical="center" wrapText="1"/>
    </xf>
    <xf numFmtId="0" fontId="0" fillId="9" borderId="0" xfId="0" applyFill="1"/>
    <xf numFmtId="0" fontId="0" fillId="2" borderId="1" xfId="0" applyFill="1" applyBorder="1"/>
    <xf numFmtId="0" fontId="10" fillId="3" borderId="0" xfId="0" applyFont="1" applyFill="1" applyAlignment="1">
      <alignment horizontal="left"/>
    </xf>
    <xf numFmtId="0" fontId="7" fillId="3" borderId="0" xfId="0" applyFont="1" applyFill="1" applyAlignment="1">
      <alignment horizontal="left"/>
    </xf>
    <xf numFmtId="0" fontId="4" fillId="3" borderId="0" xfId="0" applyFont="1" applyFill="1"/>
    <xf numFmtId="0" fontId="10" fillId="3" borderId="0" xfId="0" applyFont="1" applyFill="1"/>
    <xf numFmtId="0" fontId="7" fillId="3" borderId="0" xfId="0" applyFont="1" applyFill="1" applyAlignment="1">
      <alignment vertical="center" wrapText="1"/>
    </xf>
    <xf numFmtId="0" fontId="7" fillId="0" borderId="0" xfId="0" applyFont="1"/>
    <xf numFmtId="0" fontId="7" fillId="5" borderId="14" xfId="0" applyFont="1" applyFill="1" applyBorder="1"/>
    <xf numFmtId="0" fontId="7" fillId="5" borderId="12" xfId="0" applyFont="1" applyFill="1" applyBorder="1"/>
    <xf numFmtId="0" fontId="15" fillId="11" borderId="1" xfId="0" applyFont="1" applyFill="1" applyBorder="1"/>
    <xf numFmtId="0" fontId="15" fillId="11" borderId="3" xfId="0" applyFont="1" applyFill="1" applyBorder="1"/>
    <xf numFmtId="0" fontId="7" fillId="4" borderId="3" xfId="0" applyFont="1" applyFill="1" applyBorder="1"/>
    <xf numFmtId="0" fontId="4" fillId="0" borderId="16" xfId="0" applyFont="1" applyBorder="1"/>
    <xf numFmtId="0" fontId="7" fillId="5" borderId="9" xfId="0" applyFont="1" applyFill="1" applyBorder="1"/>
    <xf numFmtId="10" fontId="7" fillId="5" borderId="10" xfId="0" applyNumberFormat="1" applyFont="1" applyFill="1" applyBorder="1"/>
    <xf numFmtId="0" fontId="4" fillId="2" borderId="24" xfId="0" applyFont="1" applyFill="1" applyBorder="1" applyAlignment="1">
      <alignment horizontal="left" vertical="center" wrapText="1"/>
    </xf>
    <xf numFmtId="0" fontId="7" fillId="4" borderId="0" xfId="0" applyFont="1" applyFill="1"/>
    <xf numFmtId="0" fontId="4" fillId="4" borderId="0" xfId="0" applyFont="1" applyFill="1"/>
    <xf numFmtId="44" fontId="4" fillId="4" borderId="0" xfId="1" applyFont="1" applyFill="1"/>
    <xf numFmtId="0" fontId="7" fillId="8" borderId="1" xfId="0" applyFont="1" applyFill="1" applyBorder="1"/>
    <xf numFmtId="0" fontId="7" fillId="8" borderId="6" xfId="0" applyFont="1" applyFill="1" applyBorder="1"/>
    <xf numFmtId="44" fontId="10" fillId="8" borderId="1" xfId="1" applyFont="1" applyFill="1" applyBorder="1" applyAlignment="1">
      <alignment vertical="center"/>
    </xf>
    <xf numFmtId="0" fontId="10" fillId="7" borderId="9" xfId="0" applyFont="1" applyFill="1" applyBorder="1"/>
    <xf numFmtId="44" fontId="10" fillId="7" borderId="11" xfId="0" applyNumberFormat="1" applyFont="1" applyFill="1" applyBorder="1"/>
    <xf numFmtId="44" fontId="4" fillId="0" borderId="0" xfId="0" applyNumberFormat="1" applyFont="1"/>
    <xf numFmtId="0" fontId="0" fillId="12" borderId="1" xfId="0" applyFill="1" applyBorder="1"/>
    <xf numFmtId="44" fontId="0" fillId="0" borderId="0" xfId="1" applyFont="1"/>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0" fillId="9" borderId="1" xfId="0" applyFill="1" applyBorder="1"/>
    <xf numFmtId="0" fontId="16" fillId="2" borderId="1" xfId="0" applyFont="1" applyFill="1" applyBorder="1"/>
    <xf numFmtId="0" fontId="16" fillId="2" borderId="1" xfId="0" applyFont="1" applyFill="1" applyBorder="1" applyAlignment="1">
      <alignment horizontal="center"/>
    </xf>
    <xf numFmtId="0" fontId="16" fillId="2" borderId="1" xfId="0" applyFont="1" applyFill="1" applyBorder="1" applyAlignment="1">
      <alignment horizontal="left" vertical="center" wrapText="1"/>
    </xf>
    <xf numFmtId="0" fontId="16" fillId="2" borderId="1" xfId="0" applyFont="1" applyFill="1" applyBorder="1" applyAlignment="1">
      <alignment vertical="center" wrapText="1"/>
    </xf>
    <xf numFmtId="165" fontId="13" fillId="0" borderId="6" xfId="1" applyNumberFormat="1" applyFont="1" applyBorder="1"/>
    <xf numFmtId="165" fontId="13" fillId="2" borderId="6" xfId="1" applyNumberFormat="1" applyFont="1" applyFill="1" applyBorder="1"/>
    <xf numFmtId="8" fontId="0" fillId="3" borderId="9" xfId="0" applyNumberFormat="1" applyFill="1" applyBorder="1" applyAlignment="1">
      <alignment vertical="center"/>
    </xf>
    <xf numFmtId="0" fontId="0" fillId="3" borderId="10" xfId="0" applyFill="1" applyBorder="1" applyAlignment="1">
      <alignment vertical="center"/>
    </xf>
    <xf numFmtId="165" fontId="0" fillId="3" borderId="10" xfId="1" applyNumberFormat="1" applyFont="1" applyFill="1" applyBorder="1" applyAlignment="1">
      <alignment vertical="center"/>
    </xf>
    <xf numFmtId="44" fontId="0" fillId="3" borderId="11" xfId="1" applyFont="1" applyFill="1" applyBorder="1" applyAlignment="1">
      <alignment vertical="center"/>
    </xf>
    <xf numFmtId="0" fontId="4" fillId="2" borderId="7" xfId="0" applyFont="1" applyFill="1" applyBorder="1"/>
    <xf numFmtId="8" fontId="4" fillId="2" borderId="1" xfId="0" applyNumberFormat="1" applyFont="1" applyFill="1" applyBorder="1"/>
    <xf numFmtId="44" fontId="4" fillId="2" borderId="1" xfId="1" applyFont="1" applyFill="1" applyBorder="1" applyAlignment="1">
      <alignment vertical="center" wrapText="1"/>
    </xf>
    <xf numFmtId="0" fontId="9" fillId="14" borderId="0" xfId="0" applyFont="1" applyFill="1"/>
    <xf numFmtId="44" fontId="9" fillId="14" borderId="0" xfId="1" applyFont="1" applyFill="1" applyBorder="1"/>
    <xf numFmtId="0" fontId="0" fillId="15" borderId="0" xfId="0" applyFill="1"/>
    <xf numFmtId="0" fontId="16" fillId="16" borderId="1" xfId="0" applyFont="1" applyFill="1" applyBorder="1"/>
    <xf numFmtId="0" fontId="0" fillId="16" borderId="14" xfId="0" applyFill="1" applyBorder="1"/>
    <xf numFmtId="0" fontId="0" fillId="16" borderId="12" xfId="0" applyFill="1" applyBorder="1"/>
    <xf numFmtId="0" fontId="0" fillId="16" borderId="16" xfId="0" applyFill="1" applyBorder="1"/>
    <xf numFmtId="0" fontId="0" fillId="16" borderId="0" xfId="0" applyFill="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9" fillId="6" borderId="0" xfId="0" applyFont="1" applyFill="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22" fillId="9" borderId="0" xfId="0" applyFont="1" applyFill="1" applyAlignment="1">
      <alignment horizontal="center" vertic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23" fillId="9" borderId="0" xfId="0" applyFont="1" applyFill="1" applyAlignment="1">
      <alignment horizontal="left" vertical="center" wrapText="1"/>
    </xf>
    <xf numFmtId="0" fontId="23" fillId="9" borderId="0" xfId="0" applyFont="1" applyFill="1" applyAlignment="1">
      <alignment horizontal="left" vertical="center"/>
    </xf>
    <xf numFmtId="0" fontId="21" fillId="3" borderId="0" xfId="0" applyFont="1" applyFill="1" applyAlignment="1">
      <alignment horizontal="left" vertical="center" wrapText="1"/>
    </xf>
    <xf numFmtId="0" fontId="7" fillId="8" borderId="6" xfId="0" applyFont="1" applyFill="1" applyBorder="1" applyAlignment="1">
      <alignment horizontal="left" vertical="center" wrapText="1"/>
    </xf>
    <xf numFmtId="0" fontId="7" fillId="8" borderId="24" xfId="0" applyFont="1" applyFill="1" applyBorder="1" applyAlignment="1">
      <alignment horizontal="left" vertical="center" wrapText="1"/>
    </xf>
    <xf numFmtId="0" fontId="7" fillId="8" borderId="28" xfId="0" applyFont="1" applyFill="1" applyBorder="1" applyAlignment="1">
      <alignment horizontal="left"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2" fillId="3" borderId="1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2" fillId="9" borderId="0" xfId="0" applyFont="1" applyFill="1" applyAlignment="1">
      <alignment horizontal="center" vertical="center" wrapText="1"/>
    </xf>
    <xf numFmtId="0" fontId="12" fillId="3" borderId="20" xfId="0" applyFont="1" applyFill="1" applyBorder="1" applyAlignment="1">
      <alignment horizontal="center" vertical="center"/>
    </xf>
    <xf numFmtId="0" fontId="12" fillId="3"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2" fillId="13" borderId="9"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13" borderId="11"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44" fontId="8" fillId="2" borderId="1" xfId="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1529715</xdr:colOff>
      <xdr:row>3</xdr:row>
      <xdr:rowOff>38100</xdr:rowOff>
    </xdr:from>
    <xdr:ext cx="2314575" cy="1038225"/>
    <xdr:pic>
      <xdr:nvPicPr>
        <xdr:cNvPr id="2" name="image1.jpg">
          <a:extLst>
            <a:ext uri="{FF2B5EF4-FFF2-40B4-BE49-F238E27FC236}">
              <a16:creationId xmlns:a16="http://schemas.microsoft.com/office/drawing/2014/main" id="{78213757-0993-4C8E-8FA0-24F832C0FCA0}"/>
            </a:ext>
          </a:extLst>
        </xdr:cNvPr>
        <xdr:cNvPicPr preferRelativeResize="0"/>
      </xdr:nvPicPr>
      <xdr:blipFill>
        <a:blip xmlns:r="http://schemas.openxmlformats.org/officeDocument/2006/relationships" r:embed="rId1" cstate="print"/>
        <a:stretch>
          <a:fillRect/>
        </a:stretch>
      </xdr:blipFill>
      <xdr:spPr>
        <a:xfrm>
          <a:off x="4034790" y="628650"/>
          <a:ext cx="2314575" cy="1038225"/>
        </a:xfrm>
        <a:prstGeom prst="rect">
          <a:avLst/>
        </a:prstGeom>
        <a:noFill/>
        <a:ln>
          <a:solidFill>
            <a:schemeClr val="tx1"/>
          </a:solidFill>
        </a:ln>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0"/>
  <sheetViews>
    <sheetView tabSelected="1" topLeftCell="A47" zoomScale="90" zoomScaleNormal="90" workbookViewId="0">
      <selection activeCell="C52" sqref="C52"/>
    </sheetView>
  </sheetViews>
  <sheetFormatPr baseColWidth="10" defaultColWidth="10.88671875" defaultRowHeight="14.4" x14ac:dyDescent="0.3"/>
  <cols>
    <col min="1" max="1" width="37.5546875" customWidth="1"/>
    <col min="2" max="2" width="24.5546875" customWidth="1"/>
    <col min="3" max="3" width="18.44140625" customWidth="1"/>
    <col min="4" max="4" width="15.5546875" customWidth="1"/>
    <col min="5" max="5" width="17.88671875" customWidth="1"/>
    <col min="6" max="6" width="16" customWidth="1"/>
    <col min="7" max="7" width="13.109375" bestFit="1" customWidth="1"/>
    <col min="10" max="10" width="18" customWidth="1"/>
    <col min="11" max="11" width="18.44140625" customWidth="1"/>
  </cols>
  <sheetData>
    <row r="1" spans="1:4" x14ac:dyDescent="0.3">
      <c r="A1" s="116" t="s">
        <v>64</v>
      </c>
      <c r="B1" s="117"/>
      <c r="C1" s="118"/>
      <c r="D1" s="118"/>
    </row>
    <row r="2" spans="1:4" x14ac:dyDescent="0.3">
      <c r="A2" s="119" t="s">
        <v>125</v>
      </c>
      <c r="B2" s="119"/>
      <c r="C2" s="119"/>
      <c r="D2" s="119"/>
    </row>
    <row r="3" spans="1:4" ht="17.100000000000001" customHeight="1" x14ac:dyDescent="0.3">
      <c r="A3" s="119" t="s">
        <v>70</v>
      </c>
      <c r="B3" s="119"/>
      <c r="C3" s="119"/>
      <c r="D3" s="119"/>
    </row>
    <row r="4" spans="1:4" ht="32.25" customHeight="1" x14ac:dyDescent="0.3">
      <c r="A4" s="178" t="s">
        <v>150</v>
      </c>
      <c r="B4" s="178"/>
      <c r="C4" s="120"/>
      <c r="D4" s="120"/>
    </row>
    <row r="5" spans="1:4" x14ac:dyDescent="0.3">
      <c r="A5" s="178"/>
      <c r="B5" s="178"/>
      <c r="C5" s="120"/>
      <c r="D5" s="120"/>
    </row>
    <row r="6" spans="1:4" x14ac:dyDescent="0.3">
      <c r="A6" s="178"/>
      <c r="B6" s="178"/>
      <c r="C6" s="120"/>
      <c r="D6" s="120"/>
    </row>
    <row r="7" spans="1:4" ht="27" customHeight="1" x14ac:dyDescent="0.3">
      <c r="A7" s="178"/>
      <c r="B7" s="178"/>
      <c r="C7" s="120"/>
      <c r="D7" s="120"/>
    </row>
    <row r="8" spans="1:4" x14ac:dyDescent="0.3">
      <c r="A8" s="61"/>
      <c r="B8" s="61"/>
      <c r="C8" s="61"/>
      <c r="D8" s="61"/>
    </row>
    <row r="9" spans="1:4" x14ac:dyDescent="0.3">
      <c r="A9" s="61"/>
      <c r="B9" s="173" t="s">
        <v>193</v>
      </c>
      <c r="C9" s="61"/>
      <c r="D9" s="61"/>
    </row>
    <row r="10" spans="1:4" x14ac:dyDescent="0.3">
      <c r="A10" s="61"/>
      <c r="B10" s="173"/>
      <c r="C10" s="61"/>
      <c r="D10" s="61"/>
    </row>
    <row r="11" spans="1:4" x14ac:dyDescent="0.3">
      <c r="A11" s="61"/>
      <c r="B11" s="173"/>
      <c r="C11" s="61"/>
      <c r="D11" s="61"/>
    </row>
    <row r="12" spans="1:4" x14ac:dyDescent="0.3">
      <c r="A12" s="61"/>
      <c r="B12" s="61"/>
      <c r="C12" s="61"/>
      <c r="D12" s="61"/>
    </row>
    <row r="13" spans="1:4" hidden="1" x14ac:dyDescent="0.3">
      <c r="A13" s="61"/>
      <c r="B13" s="61"/>
      <c r="C13" s="61"/>
      <c r="D13" s="61"/>
    </row>
    <row r="14" spans="1:4" ht="15" customHeight="1" x14ac:dyDescent="0.3">
      <c r="A14" s="178" t="s">
        <v>147</v>
      </c>
      <c r="B14" s="178"/>
      <c r="C14" s="178"/>
      <c r="D14" s="178"/>
    </row>
    <row r="15" spans="1:4" ht="15" customHeight="1" x14ac:dyDescent="0.3">
      <c r="A15" s="178"/>
      <c r="B15" s="178"/>
      <c r="C15" s="178"/>
      <c r="D15" s="178"/>
    </row>
    <row r="16" spans="1:4" ht="47.25" customHeight="1" x14ac:dyDescent="0.3">
      <c r="A16" s="178"/>
      <c r="B16" s="178"/>
      <c r="C16" s="178"/>
      <c r="D16" s="178"/>
    </row>
    <row r="17" spans="1:7" ht="156.75" customHeight="1" x14ac:dyDescent="0.3">
      <c r="A17" s="178"/>
      <c r="B17" s="178"/>
      <c r="C17" s="178"/>
      <c r="D17" s="178"/>
    </row>
    <row r="18" spans="1:7" ht="14.25" customHeight="1" thickBot="1" x14ac:dyDescent="0.35">
      <c r="A18" s="61"/>
      <c r="B18" s="61"/>
      <c r="C18" s="61"/>
      <c r="D18" s="61"/>
    </row>
    <row r="19" spans="1:7" ht="15" hidden="1" thickBot="1" x14ac:dyDescent="0.35">
      <c r="A19" s="121"/>
      <c r="B19" s="61"/>
      <c r="C19" s="61"/>
      <c r="D19" s="61"/>
    </row>
    <row r="20" spans="1:7" ht="15" hidden="1" thickBot="1" x14ac:dyDescent="0.35">
      <c r="A20" s="61"/>
      <c r="B20" s="61"/>
      <c r="C20" s="61"/>
      <c r="D20" s="61"/>
    </row>
    <row r="21" spans="1:7" x14ac:dyDescent="0.3">
      <c r="A21" s="122" t="s">
        <v>26</v>
      </c>
      <c r="B21" s="123"/>
      <c r="C21" s="65"/>
      <c r="D21" s="66"/>
      <c r="E21" s="114" t="s">
        <v>157</v>
      </c>
      <c r="F21" s="114"/>
    </row>
    <row r="22" spans="1:7" x14ac:dyDescent="0.3">
      <c r="A22" s="10" t="s">
        <v>52</v>
      </c>
      <c r="B22" s="10"/>
      <c r="C22" s="10"/>
      <c r="D22" s="10"/>
      <c r="E22" s="114"/>
      <c r="F22" s="114"/>
    </row>
    <row r="23" spans="1:7" x14ac:dyDescent="0.3">
      <c r="A23" s="171" t="s">
        <v>197</v>
      </c>
      <c r="B23" s="172"/>
      <c r="C23" s="156">
        <v>1416263.46</v>
      </c>
      <c r="D23" s="46"/>
      <c r="E23" s="114"/>
      <c r="F23" s="114"/>
    </row>
    <row r="24" spans="1:7" x14ac:dyDescent="0.3">
      <c r="A24" s="46" t="s">
        <v>55</v>
      </c>
      <c r="B24" s="46"/>
      <c r="C24" s="156">
        <v>-223061.46</v>
      </c>
      <c r="D24" s="46"/>
      <c r="E24" s="114"/>
      <c r="F24" s="114"/>
    </row>
    <row r="25" spans="1:7" x14ac:dyDescent="0.3">
      <c r="A25" s="46" t="s">
        <v>54</v>
      </c>
      <c r="B25" s="46"/>
      <c r="C25" s="156">
        <v>0</v>
      </c>
      <c r="D25" s="46"/>
      <c r="E25" s="114"/>
      <c r="F25" s="114"/>
      <c r="G25" s="89"/>
    </row>
    <row r="26" spans="1:7" x14ac:dyDescent="0.3">
      <c r="A26" s="124" t="s">
        <v>53</v>
      </c>
      <c r="B26" s="124"/>
      <c r="C26" s="70">
        <f>SUM(C23:C25)</f>
        <v>1193202</v>
      </c>
      <c r="D26" s="124"/>
      <c r="E26" s="114"/>
      <c r="F26" s="114"/>
    </row>
    <row r="27" spans="1:7" x14ac:dyDescent="0.3">
      <c r="A27" s="171" t="s">
        <v>198</v>
      </c>
      <c r="B27" s="172"/>
      <c r="C27" s="156">
        <v>967913.48</v>
      </c>
      <c r="D27" s="46"/>
      <c r="E27" s="114"/>
      <c r="F27" s="114"/>
    </row>
    <row r="28" spans="1:7" x14ac:dyDescent="0.3">
      <c r="A28" s="46" t="s">
        <v>55</v>
      </c>
      <c r="B28" s="46"/>
      <c r="C28" s="156">
        <v>-239558.48</v>
      </c>
      <c r="D28" s="71"/>
      <c r="E28" s="114"/>
      <c r="F28" s="114"/>
    </row>
    <row r="29" spans="1:7" x14ac:dyDescent="0.3">
      <c r="A29" s="46" t="s">
        <v>54</v>
      </c>
      <c r="B29" s="46"/>
      <c r="C29" s="156">
        <v>0</v>
      </c>
      <c r="D29" s="71"/>
    </row>
    <row r="30" spans="1:7" x14ac:dyDescent="0.3">
      <c r="A30" s="124" t="s">
        <v>53</v>
      </c>
      <c r="B30" s="125"/>
      <c r="C30" s="25">
        <f>SUM(C27:C29)</f>
        <v>728355</v>
      </c>
      <c r="D30" s="47"/>
    </row>
    <row r="31" spans="1:7" hidden="1" x14ac:dyDescent="0.3">
      <c r="A31" s="46"/>
      <c r="B31" s="46"/>
      <c r="C31" s="91">
        <v>0</v>
      </c>
      <c r="D31" s="71"/>
    </row>
    <row r="32" spans="1:7" hidden="1" x14ac:dyDescent="0.3">
      <c r="A32" s="46"/>
      <c r="B32" s="46"/>
      <c r="C32" s="91"/>
      <c r="D32" s="71"/>
    </row>
    <row r="33" spans="1:7" hidden="1" x14ac:dyDescent="0.3">
      <c r="A33" s="124" t="s">
        <v>53</v>
      </c>
      <c r="B33" s="125"/>
      <c r="C33" s="25">
        <f>SUM(C31:C32)</f>
        <v>0</v>
      </c>
      <c r="D33" s="47"/>
    </row>
    <row r="34" spans="1:7" ht="14.25" customHeight="1" thickBot="1" x14ac:dyDescent="0.35">
      <c r="A34" s="11" t="s">
        <v>0</v>
      </c>
      <c r="B34" s="11"/>
      <c r="C34" s="7"/>
      <c r="D34" s="48">
        <f>+C26+C33+C30</f>
        <v>1921557</v>
      </c>
      <c r="E34" s="4"/>
      <c r="F34" s="4"/>
    </row>
    <row r="35" spans="1:7" x14ac:dyDescent="0.3">
      <c r="A35" s="10" t="s">
        <v>38</v>
      </c>
      <c r="B35" s="10"/>
      <c r="C35" s="12"/>
      <c r="D35" s="49"/>
      <c r="F35" s="4"/>
    </row>
    <row r="36" spans="1:7" ht="46.5" customHeight="1" x14ac:dyDescent="0.3">
      <c r="A36" s="174" t="s">
        <v>194</v>
      </c>
      <c r="B36" s="175"/>
      <c r="C36" s="156">
        <v>650000</v>
      </c>
      <c r="D36" s="78" t="s">
        <v>175</v>
      </c>
      <c r="G36" s="4"/>
    </row>
    <row r="37" spans="1:7" ht="36.75" customHeight="1" x14ac:dyDescent="0.3">
      <c r="A37" s="174" t="s">
        <v>199</v>
      </c>
      <c r="B37" s="175"/>
      <c r="C37" s="81">
        <v>100000</v>
      </c>
      <c r="D37" s="75" t="s">
        <v>175</v>
      </c>
      <c r="G37" s="4"/>
    </row>
    <row r="38" spans="1:7" ht="36.75" customHeight="1" x14ac:dyDescent="0.3">
      <c r="A38" s="174" t="s">
        <v>179</v>
      </c>
      <c r="B38" s="175"/>
      <c r="C38" s="81">
        <v>495000</v>
      </c>
      <c r="D38" s="75" t="s">
        <v>175</v>
      </c>
      <c r="G38" s="4"/>
    </row>
    <row r="39" spans="1:7" ht="42" customHeight="1" x14ac:dyDescent="0.3">
      <c r="A39" s="174" t="s">
        <v>176</v>
      </c>
      <c r="B39" s="175"/>
      <c r="C39" s="156">
        <v>200000</v>
      </c>
      <c r="D39" s="75" t="s">
        <v>175</v>
      </c>
      <c r="G39" s="4"/>
    </row>
    <row r="40" spans="1:7" ht="15" thickBot="1" x14ac:dyDescent="0.35">
      <c r="A40" s="11" t="s">
        <v>34</v>
      </c>
      <c r="B40" s="11"/>
      <c r="C40" s="111"/>
      <c r="D40" s="48">
        <f>SUM(C36:C39)</f>
        <v>1445000</v>
      </c>
    </row>
    <row r="41" spans="1:7" x14ac:dyDescent="0.3">
      <c r="A41" s="10" t="s">
        <v>49</v>
      </c>
      <c r="B41" s="11"/>
      <c r="C41" s="13"/>
      <c r="D41" s="29"/>
    </row>
    <row r="42" spans="1:7" s="18" customFormat="1" ht="29.25" customHeight="1" x14ac:dyDescent="0.3">
      <c r="A42" s="174" t="s">
        <v>129</v>
      </c>
      <c r="B42" s="175"/>
      <c r="C42" s="157">
        <v>128114</v>
      </c>
      <c r="D42" s="90" t="s">
        <v>184</v>
      </c>
    </row>
    <row r="43" spans="1:7" ht="15" thickBot="1" x14ac:dyDescent="0.35">
      <c r="A43" s="11" t="s">
        <v>1</v>
      </c>
      <c r="B43" s="11"/>
      <c r="C43" s="15"/>
      <c r="D43" s="50">
        <f>SUM(C42:C42)</f>
        <v>128114</v>
      </c>
    </row>
    <row r="44" spans="1:7" x14ac:dyDescent="0.3">
      <c r="A44" s="10" t="s">
        <v>35</v>
      </c>
      <c r="B44" s="80"/>
      <c r="C44" s="16"/>
      <c r="D44" s="51"/>
    </row>
    <row r="45" spans="1:7" x14ac:dyDescent="0.3">
      <c r="A45" s="71" t="s">
        <v>65</v>
      </c>
      <c r="B45" s="71"/>
      <c r="C45" s="81">
        <v>0</v>
      </c>
      <c r="D45" s="75"/>
      <c r="F45" s="72"/>
    </row>
    <row r="46" spans="1:7" ht="20.25" customHeight="1" x14ac:dyDescent="0.3">
      <c r="A46" s="174" t="s">
        <v>167</v>
      </c>
      <c r="B46" s="175"/>
      <c r="C46" s="81">
        <v>11930.96</v>
      </c>
      <c r="D46" s="75" t="s">
        <v>186</v>
      </c>
      <c r="F46" s="72"/>
    </row>
    <row r="47" spans="1:7" x14ac:dyDescent="0.3">
      <c r="A47" s="71" t="s">
        <v>66</v>
      </c>
      <c r="B47" s="71"/>
      <c r="C47" s="220">
        <v>108939.81</v>
      </c>
      <c r="D47" s="77" t="s">
        <v>180</v>
      </c>
    </row>
    <row r="48" spans="1:7" x14ac:dyDescent="0.3">
      <c r="A48" s="71" t="s">
        <v>67</v>
      </c>
      <c r="B48" s="71"/>
      <c r="C48" s="220">
        <v>12104.42</v>
      </c>
      <c r="D48" s="77" t="str">
        <f>D47</f>
        <v>Debito 14/09</v>
      </c>
    </row>
    <row r="49" spans="1:7" x14ac:dyDescent="0.3">
      <c r="A49" s="71" t="s">
        <v>68</v>
      </c>
      <c r="B49" s="71"/>
      <c r="C49" s="220">
        <v>235795.49</v>
      </c>
      <c r="D49" s="76" t="str">
        <f>D47</f>
        <v>Debito 14/09</v>
      </c>
    </row>
    <row r="50" spans="1:7" ht="15" customHeight="1" thickBot="1" x14ac:dyDescent="0.35">
      <c r="A50" s="11" t="s">
        <v>2</v>
      </c>
      <c r="B50" s="80"/>
      <c r="C50" s="17"/>
      <c r="D50" s="50">
        <f>SUM(C45:C49)</f>
        <v>368770.68</v>
      </c>
    </row>
    <row r="51" spans="1:7" x14ac:dyDescent="0.3">
      <c r="A51" s="10" t="s">
        <v>37</v>
      </c>
      <c r="B51" s="80"/>
      <c r="C51" s="16"/>
      <c r="D51" s="51"/>
    </row>
    <row r="52" spans="1:7" ht="14.25" customHeight="1" x14ac:dyDescent="0.3">
      <c r="A52" s="71" t="s">
        <v>127</v>
      </c>
      <c r="B52" s="71"/>
      <c r="C52" s="220">
        <v>344562.44</v>
      </c>
      <c r="D52" s="75" t="s">
        <v>203</v>
      </c>
    </row>
    <row r="53" spans="1:7" ht="14.25" customHeight="1" x14ac:dyDescent="0.3">
      <c r="A53" s="71" t="s">
        <v>126</v>
      </c>
      <c r="B53" s="71"/>
      <c r="C53" s="220">
        <v>222306.09</v>
      </c>
      <c r="D53" s="75" t="s">
        <v>203</v>
      </c>
    </row>
    <row r="54" spans="1:7" ht="14.25" customHeight="1" x14ac:dyDescent="0.3">
      <c r="A54" s="71" t="s">
        <v>183</v>
      </c>
      <c r="B54" s="71"/>
      <c r="C54" s="220">
        <v>1411636.22</v>
      </c>
      <c r="D54" s="75" t="s">
        <v>203</v>
      </c>
    </row>
    <row r="55" spans="1:7" ht="14.25" customHeight="1" x14ac:dyDescent="0.3">
      <c r="A55" s="71" t="s">
        <v>128</v>
      </c>
      <c r="B55" s="71"/>
      <c r="C55" s="81">
        <v>36551.61</v>
      </c>
      <c r="D55" s="77" t="s">
        <v>177</v>
      </c>
    </row>
    <row r="56" spans="1:7" ht="14.25" customHeight="1" x14ac:dyDescent="0.3">
      <c r="A56" s="71" t="s">
        <v>155</v>
      </c>
      <c r="B56" s="155"/>
      <c r="C56" s="81">
        <v>85591</v>
      </c>
      <c r="D56" s="75" t="s">
        <v>178</v>
      </c>
    </row>
    <row r="57" spans="1:7" ht="15" thickBot="1" x14ac:dyDescent="0.35">
      <c r="A57" s="11" t="s">
        <v>3</v>
      </c>
      <c r="B57" s="11"/>
      <c r="C57" s="15"/>
      <c r="D57" s="50">
        <f>SUM(C52:C56)</f>
        <v>2100647.3600000003</v>
      </c>
    </row>
    <row r="58" spans="1:7" ht="15" thickBot="1" x14ac:dyDescent="0.35">
      <c r="A58" s="10" t="s">
        <v>36</v>
      </c>
      <c r="B58" s="11"/>
      <c r="C58" s="15"/>
      <c r="D58" s="53"/>
    </row>
    <row r="59" spans="1:7" ht="43.5" customHeight="1" x14ac:dyDescent="0.3">
      <c r="A59" s="174" t="s">
        <v>201</v>
      </c>
      <c r="B59" s="175"/>
      <c r="C59" s="220">
        <v>202000</v>
      </c>
      <c r="D59" s="75" t="s">
        <v>200</v>
      </c>
      <c r="G59" t="s">
        <v>195</v>
      </c>
    </row>
    <row r="60" spans="1:7" ht="63.6" customHeight="1" x14ac:dyDescent="0.3">
      <c r="A60" s="174" t="s">
        <v>202</v>
      </c>
      <c r="B60" s="175"/>
      <c r="C60" s="220">
        <v>1185165</v>
      </c>
      <c r="D60" s="75" t="s">
        <v>200</v>
      </c>
      <c r="F60" s="22"/>
    </row>
    <row r="61" spans="1:7" ht="31.5" customHeight="1" x14ac:dyDescent="0.3">
      <c r="A61" s="174" t="s">
        <v>185</v>
      </c>
      <c r="B61" s="175"/>
      <c r="C61" s="81">
        <v>157100</v>
      </c>
      <c r="D61" s="75" t="s">
        <v>182</v>
      </c>
      <c r="F61" s="22"/>
    </row>
    <row r="62" spans="1:7" ht="34.5" customHeight="1" x14ac:dyDescent="0.3">
      <c r="A62" s="174" t="s">
        <v>173</v>
      </c>
      <c r="B62" s="175"/>
      <c r="C62" s="81">
        <v>128900</v>
      </c>
      <c r="D62" s="75" t="s">
        <v>174</v>
      </c>
      <c r="E62" s="112"/>
      <c r="F62" s="22"/>
    </row>
    <row r="63" spans="1:7" ht="15" thickBot="1" x14ac:dyDescent="0.35">
      <c r="A63" s="11" t="s">
        <v>11</v>
      </c>
      <c r="B63" s="10"/>
      <c r="C63" s="10"/>
      <c r="D63" s="56">
        <f>SUM(C59:C62)</f>
        <v>1673165</v>
      </c>
    </row>
    <row r="64" spans="1:7" ht="15" thickBot="1" x14ac:dyDescent="0.35">
      <c r="A64" s="10" t="s">
        <v>29</v>
      </c>
      <c r="B64" s="82"/>
      <c r="C64" s="7"/>
      <c r="D64" s="53"/>
    </row>
    <row r="65" spans="1:6" ht="14.25" customHeight="1" x14ac:dyDescent="0.3">
      <c r="A65" s="171" t="s">
        <v>73</v>
      </c>
      <c r="B65" s="172"/>
      <c r="C65" s="81">
        <v>75000</v>
      </c>
      <c r="D65" s="57"/>
    </row>
    <row r="66" spans="1:6" x14ac:dyDescent="0.3">
      <c r="A66" s="46" t="s">
        <v>71</v>
      </c>
      <c r="B66" s="46"/>
      <c r="C66" s="81">
        <v>241170.56</v>
      </c>
      <c r="D66" s="55"/>
    </row>
    <row r="67" spans="1:6" ht="15" thickBot="1" x14ac:dyDescent="0.35">
      <c r="A67" s="126" t="s">
        <v>34</v>
      </c>
      <c r="B67" s="126"/>
      <c r="C67" s="58"/>
      <c r="D67" s="50">
        <f>SUM(C65:C66)</f>
        <v>316170.56</v>
      </c>
    </row>
    <row r="68" spans="1:6" ht="15" thickBot="1" x14ac:dyDescent="0.35">
      <c r="A68" s="46"/>
      <c r="B68" s="46"/>
      <c r="C68" s="46"/>
      <c r="D68" s="59"/>
    </row>
    <row r="69" spans="1:6" ht="22.5" customHeight="1" thickBot="1" x14ac:dyDescent="0.35">
      <c r="A69" s="179" t="s">
        <v>181</v>
      </c>
      <c r="B69" s="180"/>
      <c r="C69" s="181"/>
      <c r="D69" s="60">
        <v>1000000</v>
      </c>
    </row>
    <row r="70" spans="1:6" ht="15" thickBot="1" x14ac:dyDescent="0.35">
      <c r="A70" s="127"/>
      <c r="B70" s="61"/>
      <c r="C70" s="61"/>
      <c r="D70" s="62"/>
      <c r="E70" s="22"/>
    </row>
    <row r="71" spans="1:6" ht="15" thickBot="1" x14ac:dyDescent="0.35">
      <c r="A71" s="128" t="s">
        <v>30</v>
      </c>
      <c r="B71" s="129"/>
      <c r="C71" s="63"/>
      <c r="D71" s="64">
        <f>(SUM(D23:D69))</f>
        <v>8953424.6000000015</v>
      </c>
      <c r="E71" s="22"/>
      <c r="F71" s="22"/>
    </row>
    <row r="72" spans="1:6" x14ac:dyDescent="0.3">
      <c r="A72" s="61"/>
      <c r="B72" s="61"/>
      <c r="C72" s="61"/>
      <c r="D72" s="61"/>
      <c r="F72" s="73"/>
    </row>
    <row r="73" spans="1:6" ht="15" thickBot="1" x14ac:dyDescent="0.35">
      <c r="A73" s="61"/>
      <c r="B73" s="61"/>
      <c r="C73" s="61"/>
      <c r="D73" s="61"/>
    </row>
    <row r="74" spans="1:6" x14ac:dyDescent="0.3">
      <c r="A74" s="122" t="s">
        <v>39</v>
      </c>
      <c r="B74" s="123"/>
      <c r="C74" s="65"/>
      <c r="D74" s="66"/>
    </row>
    <row r="75" spans="1:6" x14ac:dyDescent="0.3">
      <c r="A75" s="171"/>
      <c r="B75" s="172"/>
      <c r="C75" s="54"/>
      <c r="D75" s="52"/>
    </row>
    <row r="76" spans="1:6" x14ac:dyDescent="0.3">
      <c r="A76" s="171"/>
      <c r="B76" s="172"/>
      <c r="C76" s="54"/>
      <c r="D76" s="52"/>
    </row>
    <row r="77" spans="1:6" x14ac:dyDescent="0.3">
      <c r="A77" s="113"/>
      <c r="B77" s="130"/>
      <c r="C77" s="54"/>
      <c r="D77" s="52"/>
    </row>
    <row r="78" spans="1:6" x14ac:dyDescent="0.3">
      <c r="A78" s="131"/>
      <c r="B78" s="132"/>
      <c r="C78" s="133"/>
      <c r="D78" s="133">
        <f>SUM(C75:C77)</f>
        <v>0</v>
      </c>
    </row>
    <row r="79" spans="1:6" ht="15" customHeight="1" x14ac:dyDescent="0.3">
      <c r="A79" s="61"/>
      <c r="B79" s="61"/>
      <c r="C79" s="61"/>
      <c r="D79" s="61"/>
    </row>
    <row r="80" spans="1:6" hidden="1" x14ac:dyDescent="0.3">
      <c r="A80" s="61"/>
      <c r="B80" s="61"/>
      <c r="C80" s="61"/>
      <c r="D80" s="61"/>
    </row>
    <row r="81" spans="1:4" x14ac:dyDescent="0.3">
      <c r="A81" s="134" t="s">
        <v>40</v>
      </c>
      <c r="B81" s="134"/>
      <c r="C81" s="135"/>
      <c r="D81" s="136">
        <v>0</v>
      </c>
    </row>
    <row r="82" spans="1:4" ht="15" thickBot="1" x14ac:dyDescent="0.35">
      <c r="A82" s="61"/>
      <c r="B82" s="61"/>
      <c r="C82" s="61"/>
      <c r="D82" s="61"/>
    </row>
    <row r="83" spans="1:4" ht="15" thickBot="1" x14ac:dyDescent="0.35">
      <c r="A83" s="128" t="s">
        <v>41</v>
      </c>
      <c r="B83" s="129"/>
      <c r="C83" s="63"/>
      <c r="D83" s="64">
        <f>D78+D81</f>
        <v>0</v>
      </c>
    </row>
    <row r="84" spans="1:4" ht="15" thickBot="1" x14ac:dyDescent="0.35">
      <c r="A84" s="61"/>
      <c r="B84" s="61"/>
      <c r="C84" s="61"/>
      <c r="D84" s="61"/>
    </row>
    <row r="85" spans="1:4" ht="15" thickBot="1" x14ac:dyDescent="0.35">
      <c r="A85" s="137" t="s">
        <v>31</v>
      </c>
      <c r="B85" s="138">
        <f>D71</f>
        <v>8953424.6000000015</v>
      </c>
      <c r="C85" s="139"/>
      <c r="D85" s="61"/>
    </row>
    <row r="86" spans="1:4" ht="15" thickBot="1" x14ac:dyDescent="0.35">
      <c r="A86" s="137" t="s">
        <v>32</v>
      </c>
      <c r="B86" s="138">
        <f>D71-D69</f>
        <v>7953424.6000000015</v>
      </c>
      <c r="C86" s="61"/>
      <c r="D86" s="61"/>
    </row>
    <row r="87" spans="1:4" ht="15" thickBot="1" x14ac:dyDescent="0.35">
      <c r="A87" s="137" t="s">
        <v>42</v>
      </c>
      <c r="B87" s="138">
        <f>D83-D81</f>
        <v>0</v>
      </c>
      <c r="C87" s="61"/>
      <c r="D87" s="61"/>
    </row>
    <row r="88" spans="1:4" ht="15" thickBot="1" x14ac:dyDescent="0.35">
      <c r="A88" s="137" t="s">
        <v>59</v>
      </c>
      <c r="B88" s="138">
        <f>D83</f>
        <v>0</v>
      </c>
      <c r="C88" s="61"/>
      <c r="D88" s="61"/>
    </row>
    <row r="91" spans="1:4" x14ac:dyDescent="0.3">
      <c r="A91" s="176" t="s">
        <v>196</v>
      </c>
      <c r="B91" s="177"/>
      <c r="C91" s="177"/>
      <c r="D91" s="177"/>
    </row>
    <row r="92" spans="1:4" x14ac:dyDescent="0.3">
      <c r="A92" s="177"/>
      <c r="B92" s="177"/>
      <c r="C92" s="177"/>
      <c r="D92" s="177"/>
    </row>
    <row r="93" spans="1:4" x14ac:dyDescent="0.3">
      <c r="A93" s="177"/>
      <c r="B93" s="177"/>
      <c r="C93" s="177"/>
      <c r="D93" s="177"/>
    </row>
    <row r="94" spans="1:4" x14ac:dyDescent="0.3">
      <c r="A94" s="177"/>
      <c r="B94" s="177"/>
      <c r="C94" s="177"/>
      <c r="D94" s="177"/>
    </row>
    <row r="95" spans="1:4" x14ac:dyDescent="0.3">
      <c r="A95" s="177"/>
      <c r="B95" s="177"/>
      <c r="C95" s="177"/>
      <c r="D95" s="177"/>
    </row>
    <row r="96" spans="1:4" x14ac:dyDescent="0.3">
      <c r="A96" s="177"/>
      <c r="B96" s="177"/>
      <c r="C96" s="177"/>
      <c r="D96" s="177"/>
    </row>
    <row r="97" spans="1:4" x14ac:dyDescent="0.3">
      <c r="A97" s="177"/>
      <c r="B97" s="177"/>
      <c r="C97" s="177"/>
      <c r="D97" s="177"/>
    </row>
    <row r="98" spans="1:4" x14ac:dyDescent="0.3">
      <c r="A98" s="177"/>
      <c r="B98" s="177"/>
      <c r="C98" s="177"/>
      <c r="D98" s="177"/>
    </row>
    <row r="99" spans="1:4" x14ac:dyDescent="0.3">
      <c r="A99" s="177"/>
      <c r="B99" s="177"/>
      <c r="C99" s="177"/>
      <c r="D99" s="177"/>
    </row>
    <row r="100" spans="1:4" x14ac:dyDescent="0.3">
      <c r="A100" s="177"/>
      <c r="B100" s="177"/>
      <c r="C100" s="177"/>
      <c r="D100" s="177"/>
    </row>
    <row r="101" spans="1:4" x14ac:dyDescent="0.3">
      <c r="A101" s="177"/>
      <c r="B101" s="177"/>
      <c r="C101" s="177"/>
      <c r="D101" s="177"/>
    </row>
    <row r="102" spans="1:4" x14ac:dyDescent="0.3">
      <c r="A102" s="177"/>
      <c r="B102" s="177"/>
      <c r="C102" s="177"/>
      <c r="D102" s="177"/>
    </row>
    <row r="103" spans="1:4" x14ac:dyDescent="0.3">
      <c r="A103" s="177"/>
      <c r="B103" s="177"/>
      <c r="C103" s="177"/>
      <c r="D103" s="177"/>
    </row>
    <row r="104" spans="1:4" x14ac:dyDescent="0.3">
      <c r="A104" s="177"/>
      <c r="B104" s="177"/>
      <c r="C104" s="177"/>
      <c r="D104" s="177"/>
    </row>
    <row r="105" spans="1:4" x14ac:dyDescent="0.3">
      <c r="A105" s="177"/>
      <c r="B105" s="177"/>
      <c r="C105" s="177"/>
      <c r="D105" s="177"/>
    </row>
    <row r="106" spans="1:4" x14ac:dyDescent="0.3">
      <c r="A106" s="177"/>
      <c r="B106" s="177"/>
      <c r="C106" s="177"/>
      <c r="D106" s="177"/>
    </row>
    <row r="107" spans="1:4" x14ac:dyDescent="0.3">
      <c r="A107" s="177"/>
      <c r="B107" s="177"/>
      <c r="C107" s="177"/>
      <c r="D107" s="177"/>
    </row>
    <row r="108" spans="1:4" x14ac:dyDescent="0.3">
      <c r="A108" s="177"/>
      <c r="B108" s="177"/>
      <c r="C108" s="177"/>
      <c r="D108" s="177"/>
    </row>
    <row r="109" spans="1:4" x14ac:dyDescent="0.3">
      <c r="A109" s="177"/>
      <c r="B109" s="177"/>
      <c r="C109" s="177"/>
      <c r="D109" s="177"/>
    </row>
    <row r="110" spans="1:4" x14ac:dyDescent="0.3">
      <c r="A110" s="177"/>
      <c r="B110" s="177"/>
      <c r="C110" s="177"/>
      <c r="D110" s="177"/>
    </row>
    <row r="111" spans="1:4" ht="137.25" customHeight="1" x14ac:dyDescent="0.3">
      <c r="A111" s="177"/>
      <c r="B111" s="177"/>
      <c r="C111" s="177"/>
      <c r="D111" s="177"/>
    </row>
    <row r="114" spans="1:4" x14ac:dyDescent="0.3">
      <c r="A114" s="5" t="s">
        <v>51</v>
      </c>
      <c r="B114" s="19"/>
    </row>
    <row r="115" spans="1:4" ht="25.5" customHeight="1" x14ac:dyDescent="0.3">
      <c r="A115" s="9" t="s">
        <v>33</v>
      </c>
      <c r="B115" s="69">
        <v>3201830.870000001</v>
      </c>
    </row>
    <row r="116" spans="1:4" ht="20.25" customHeight="1" x14ac:dyDescent="0.3">
      <c r="A116" s="94" t="s">
        <v>62</v>
      </c>
      <c r="B116" s="20">
        <f>PRORRATEO!G68</f>
        <v>9927701.9800000004</v>
      </c>
    </row>
    <row r="117" spans="1:4" ht="18.75" customHeight="1" x14ac:dyDescent="0.3">
      <c r="A117" s="94" t="s">
        <v>61</v>
      </c>
      <c r="B117" s="55">
        <f>B129</f>
        <v>550000</v>
      </c>
    </row>
    <row r="118" spans="1:4" ht="17.25" customHeight="1" x14ac:dyDescent="0.3">
      <c r="A118" s="6" t="s">
        <v>72</v>
      </c>
      <c r="B118" s="74">
        <v>0</v>
      </c>
    </row>
    <row r="119" spans="1:4" ht="17.25" customHeight="1" x14ac:dyDescent="0.3">
      <c r="A119" s="6" t="s">
        <v>43</v>
      </c>
      <c r="B119" s="74">
        <f>-B86</f>
        <v>-7953424.6000000015</v>
      </c>
    </row>
    <row r="120" spans="1:4" x14ac:dyDescent="0.3">
      <c r="A120" s="6" t="s">
        <v>44</v>
      </c>
      <c r="B120" s="55">
        <f>-(B87)</f>
        <v>0</v>
      </c>
    </row>
    <row r="121" spans="1:4" x14ac:dyDescent="0.3">
      <c r="A121" s="8" t="s">
        <v>11</v>
      </c>
      <c r="B121" s="69">
        <f>SUM(B115:B120)</f>
        <v>5726108.25</v>
      </c>
      <c r="C121" s="22"/>
      <c r="D121" s="92"/>
    </row>
    <row r="122" spans="1:4" ht="15" thickBot="1" x14ac:dyDescent="0.35">
      <c r="A122" s="1"/>
      <c r="B122" s="95"/>
      <c r="D122" s="92"/>
    </row>
    <row r="123" spans="1:4" ht="15" thickBot="1" x14ac:dyDescent="0.35">
      <c r="A123" s="106" t="s">
        <v>188</v>
      </c>
      <c r="B123" s="107">
        <v>1305847.3899999999</v>
      </c>
      <c r="D123" s="92"/>
    </row>
    <row r="124" spans="1:4" x14ac:dyDescent="0.3">
      <c r="A124" s="158" t="s">
        <v>171</v>
      </c>
      <c r="B124" s="159">
        <v>92133</v>
      </c>
      <c r="D124" s="92"/>
    </row>
    <row r="125" spans="1:4" x14ac:dyDescent="0.3">
      <c r="D125" s="93"/>
    </row>
    <row r="126" spans="1:4" x14ac:dyDescent="0.3">
      <c r="A126" s="170" t="s">
        <v>50</v>
      </c>
      <c r="B126" s="170"/>
    </row>
    <row r="127" spans="1:4" ht="27.75" customHeight="1" x14ac:dyDescent="0.3">
      <c r="A127" s="170"/>
      <c r="B127" s="170"/>
    </row>
    <row r="128" spans="1:4" ht="32.25" customHeight="1" x14ac:dyDescent="0.3">
      <c r="A128" s="67" t="s">
        <v>187</v>
      </c>
      <c r="B128" s="14">
        <v>550000</v>
      </c>
    </row>
    <row r="129" spans="1:12" x14ac:dyDescent="0.3">
      <c r="A129" s="23" t="s">
        <v>11</v>
      </c>
      <c r="B129" s="68">
        <f>SUM(B128:B128)</f>
        <v>550000</v>
      </c>
    </row>
    <row r="130" spans="1:12" ht="34.5" customHeight="1" x14ac:dyDescent="0.3">
      <c r="L130" s="3"/>
    </row>
  </sheetData>
  <mergeCells count="21">
    <mergeCell ref="A4:B7"/>
    <mergeCell ref="A14:D17"/>
    <mergeCell ref="A69:C69"/>
    <mergeCell ref="A59:B59"/>
    <mergeCell ref="A60:B60"/>
    <mergeCell ref="A65:B65"/>
    <mergeCell ref="A46:B46"/>
    <mergeCell ref="A23:B23"/>
    <mergeCell ref="A27:B27"/>
    <mergeCell ref="A62:B62"/>
    <mergeCell ref="A126:B127"/>
    <mergeCell ref="A76:B76"/>
    <mergeCell ref="A75:B75"/>
    <mergeCell ref="B9:B11"/>
    <mergeCell ref="A42:B42"/>
    <mergeCell ref="A36:B36"/>
    <mergeCell ref="A37:B37"/>
    <mergeCell ref="A39:B39"/>
    <mergeCell ref="A91:D111"/>
    <mergeCell ref="A38:B38"/>
    <mergeCell ref="A61:B61"/>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6"/>
  <sheetViews>
    <sheetView topLeftCell="B1" zoomScale="115" zoomScaleNormal="115" workbookViewId="0">
      <selection activeCell="F49" sqref="F49"/>
    </sheetView>
  </sheetViews>
  <sheetFormatPr baseColWidth="10" defaultColWidth="10.88671875" defaultRowHeight="14.4" x14ac:dyDescent="0.3"/>
  <cols>
    <col min="1" max="1" width="5" hidden="1" customWidth="1"/>
    <col min="2" max="2" width="5.5546875" customWidth="1"/>
    <col min="3" max="3" width="5.44140625" customWidth="1"/>
    <col min="4" max="4" width="29" customWidth="1"/>
    <col min="5" max="5" width="5.109375" customWidth="1"/>
    <col min="6" max="6" width="14.109375" customWidth="1"/>
    <col min="7" max="7" width="14" customWidth="1"/>
    <col min="8" max="8" width="7.5546875" hidden="1" customWidth="1"/>
    <col min="9" max="9" width="13.6640625" customWidth="1"/>
    <col min="10" max="10" width="11.109375" customWidth="1"/>
    <col min="11" max="11" width="14.44140625" customWidth="1"/>
    <col min="12" max="13" width="12.44140625" customWidth="1"/>
    <col min="14" max="14" width="10.44140625" bestFit="1" customWidth="1"/>
    <col min="15" max="15" width="15.44140625" customWidth="1"/>
    <col min="16" max="16" width="14.109375" customWidth="1"/>
    <col min="17" max="17" width="9.33203125" customWidth="1"/>
    <col min="18" max="18" width="12" bestFit="1" customWidth="1"/>
    <col min="19" max="19" width="13" bestFit="1" customWidth="1"/>
  </cols>
  <sheetData>
    <row r="1" spans="1:19" ht="27" customHeight="1" x14ac:dyDescent="0.3">
      <c r="A1" s="2"/>
      <c r="B1" s="188" t="s">
        <v>150</v>
      </c>
      <c r="C1" s="189"/>
      <c r="D1" s="189"/>
      <c r="E1" s="189"/>
      <c r="F1" s="189"/>
      <c r="G1" s="189"/>
      <c r="H1" s="189"/>
      <c r="I1" s="189"/>
      <c r="J1" s="190"/>
      <c r="K1" s="102" t="s">
        <v>4</v>
      </c>
      <c r="L1" s="103"/>
      <c r="M1" s="103"/>
      <c r="N1" s="103"/>
      <c r="O1" s="99">
        <v>7979951.3300000001</v>
      </c>
      <c r="P1" s="100"/>
      <c r="Q1" s="4"/>
      <c r="R1">
        <v>8136047.4719999991</v>
      </c>
    </row>
    <row r="2" spans="1:19" ht="29.25" customHeight="1" thickBot="1" x14ac:dyDescent="0.35">
      <c r="A2" s="2"/>
      <c r="B2" s="191"/>
      <c r="C2" s="192"/>
      <c r="D2" s="192"/>
      <c r="E2" s="192"/>
      <c r="F2" s="192"/>
      <c r="G2" s="192"/>
      <c r="H2" s="192"/>
      <c r="I2" s="192"/>
      <c r="J2" s="193"/>
      <c r="K2" s="104" t="s">
        <v>63</v>
      </c>
      <c r="L2" s="105"/>
      <c r="M2" s="105"/>
      <c r="N2" s="105"/>
      <c r="O2" s="79">
        <v>0</v>
      </c>
      <c r="P2" s="101"/>
    </row>
    <row r="3" spans="1:19" ht="29.25" customHeight="1" thickBot="1" x14ac:dyDescent="0.35">
      <c r="A3" s="2"/>
      <c r="B3" s="142"/>
      <c r="C3" s="143"/>
      <c r="D3" s="143"/>
      <c r="E3" s="143"/>
      <c r="F3" s="143"/>
      <c r="G3" s="143"/>
      <c r="H3" s="143"/>
      <c r="I3" s="143"/>
      <c r="J3" s="143"/>
      <c r="K3" s="151" t="s">
        <v>170</v>
      </c>
      <c r="L3" s="152"/>
      <c r="M3" s="152"/>
      <c r="N3" s="152"/>
      <c r="O3" s="153">
        <f>5361706-200-50-15-5-2-1</f>
        <v>5361433</v>
      </c>
      <c r="P3" s="154"/>
    </row>
    <row r="4" spans="1:19" ht="137.25" customHeight="1" thickBot="1" x14ac:dyDescent="0.35">
      <c r="A4" s="2"/>
      <c r="B4" s="205" t="s">
        <v>147</v>
      </c>
      <c r="C4" s="206"/>
      <c r="D4" s="206"/>
      <c r="E4" s="206"/>
      <c r="F4" s="206"/>
      <c r="G4" s="206"/>
      <c r="H4" s="206"/>
      <c r="I4" s="206"/>
      <c r="J4" s="206"/>
      <c r="K4" s="206"/>
      <c r="L4" s="206"/>
      <c r="M4" s="206"/>
      <c r="N4" s="206"/>
      <c r="O4" s="206"/>
      <c r="P4" s="207"/>
    </row>
    <row r="5" spans="1:19" ht="26.25" customHeight="1" thickBot="1" x14ac:dyDescent="0.35">
      <c r="A5" s="2"/>
      <c r="B5" s="208" t="s">
        <v>159</v>
      </c>
      <c r="C5" s="209"/>
      <c r="D5" s="209"/>
      <c r="E5" s="209"/>
      <c r="F5" s="209"/>
      <c r="G5" s="209"/>
      <c r="H5" s="209"/>
      <c r="I5" s="209"/>
      <c r="J5" s="209"/>
      <c r="K5" s="209"/>
      <c r="L5" s="209"/>
      <c r="M5" s="209"/>
      <c r="N5" s="209"/>
      <c r="O5" s="209"/>
      <c r="P5" s="210"/>
    </row>
    <row r="6" spans="1:19" x14ac:dyDescent="0.3">
      <c r="A6" s="182" t="s">
        <v>5</v>
      </c>
      <c r="B6" s="184" t="s">
        <v>6</v>
      </c>
      <c r="C6" s="186" t="s">
        <v>7</v>
      </c>
      <c r="D6" s="186" t="s">
        <v>8</v>
      </c>
      <c r="E6" s="186" t="s">
        <v>28</v>
      </c>
      <c r="F6" s="186" t="s">
        <v>60</v>
      </c>
      <c r="G6" s="186" t="s">
        <v>9</v>
      </c>
      <c r="H6" s="186" t="s">
        <v>47</v>
      </c>
      <c r="I6" s="200" t="s">
        <v>48</v>
      </c>
      <c r="J6" s="198" t="s">
        <v>46</v>
      </c>
      <c r="K6" s="198" t="s">
        <v>10</v>
      </c>
      <c r="L6" s="198" t="s">
        <v>45</v>
      </c>
      <c r="M6" s="198" t="s">
        <v>172</v>
      </c>
      <c r="N6" s="203" t="s">
        <v>58</v>
      </c>
      <c r="O6" s="27" t="s">
        <v>57</v>
      </c>
      <c r="P6" s="194" t="s">
        <v>56</v>
      </c>
      <c r="S6" s="22"/>
    </row>
    <row r="7" spans="1:19" ht="15.75" customHeight="1" x14ac:dyDescent="0.3">
      <c r="A7" s="183"/>
      <c r="B7" s="185"/>
      <c r="C7" s="187"/>
      <c r="D7" s="187"/>
      <c r="E7" s="187"/>
      <c r="F7" s="187"/>
      <c r="G7" s="187"/>
      <c r="H7" s="197"/>
      <c r="I7" s="201"/>
      <c r="J7" s="199"/>
      <c r="K7" s="202"/>
      <c r="L7" s="199"/>
      <c r="M7" s="199"/>
      <c r="N7" s="204"/>
      <c r="O7" s="26" t="str">
        <f>RESUMEN!B9</f>
        <v>VTO 17/11</v>
      </c>
      <c r="P7" s="195"/>
    </row>
    <row r="8" spans="1:19" ht="17.100000000000001" customHeight="1" x14ac:dyDescent="0.3">
      <c r="A8" s="115" t="s">
        <v>12</v>
      </c>
      <c r="B8" s="145">
        <v>0</v>
      </c>
      <c r="C8" s="145" t="s">
        <v>102</v>
      </c>
      <c r="D8" s="145" t="s">
        <v>74</v>
      </c>
      <c r="E8" s="146">
        <v>1.58</v>
      </c>
      <c r="F8" s="32">
        <v>2151056</v>
      </c>
      <c r="G8" s="32">
        <v>0</v>
      </c>
      <c r="H8" s="33"/>
      <c r="I8" s="34">
        <f>F8-G8</f>
        <v>2151056</v>
      </c>
      <c r="J8" s="34">
        <f>IF(I8&gt;0,I8*2.95%,0)</f>
        <v>63456.152000000002</v>
      </c>
      <c r="K8" s="35">
        <f t="shared" ref="K8:K39" si="0">O$2*E8%</f>
        <v>0</v>
      </c>
      <c r="L8" s="35">
        <f t="shared" ref="L8:L39" si="1">O$1*E8%</f>
        <v>126083.23101400002</v>
      </c>
      <c r="M8" s="149"/>
      <c r="N8" s="36">
        <v>0</v>
      </c>
      <c r="O8" s="37">
        <f t="shared" ref="O8:O39" si="2">ROUND(SUM(I8:N8),0) + Q8</f>
        <v>2340595</v>
      </c>
      <c r="P8" s="38">
        <f t="shared" ref="P8:P66" si="3">ROUND(O8*3%,0) + O8</f>
        <v>2410813</v>
      </c>
      <c r="Q8" s="22">
        <v>0</v>
      </c>
    </row>
    <row r="9" spans="1:19" ht="17.100000000000001" customHeight="1" x14ac:dyDescent="0.3">
      <c r="A9" s="144"/>
      <c r="B9" s="145">
        <v>1</v>
      </c>
      <c r="C9" s="145" t="s">
        <v>103</v>
      </c>
      <c r="D9" s="145" t="s">
        <v>75</v>
      </c>
      <c r="E9" s="146">
        <v>2.91</v>
      </c>
      <c r="F9" s="32">
        <v>292573.01</v>
      </c>
      <c r="G9" s="32">
        <f>F9</f>
        <v>292573.01</v>
      </c>
      <c r="H9" s="33"/>
      <c r="I9" s="34">
        <f>F9-G9</f>
        <v>0</v>
      </c>
      <c r="J9" s="34">
        <f>IF(I9&gt;0,I9*2.95%,0)</f>
        <v>0</v>
      </c>
      <c r="K9" s="35">
        <f t="shared" si="0"/>
        <v>0</v>
      </c>
      <c r="L9" s="35">
        <f t="shared" si="1"/>
        <v>232216.58370300001</v>
      </c>
      <c r="M9" s="149"/>
      <c r="N9" s="36">
        <v>0</v>
      </c>
      <c r="O9" s="37">
        <f t="shared" si="2"/>
        <v>232217.01</v>
      </c>
      <c r="P9" s="38">
        <f t="shared" si="3"/>
        <v>239184.01</v>
      </c>
      <c r="Q9" s="22">
        <f>Q7+0.01</f>
        <v>0.01</v>
      </c>
      <c r="R9" t="s">
        <v>166</v>
      </c>
    </row>
    <row r="10" spans="1:19" ht="17.100000000000001" customHeight="1" x14ac:dyDescent="0.3">
      <c r="A10" s="115" t="s">
        <v>13</v>
      </c>
      <c r="B10" s="145">
        <f>B9+1</f>
        <v>2</v>
      </c>
      <c r="C10" s="145" t="s">
        <v>104</v>
      </c>
      <c r="D10" s="145" t="s">
        <v>76</v>
      </c>
      <c r="E10" s="146">
        <v>1.94</v>
      </c>
      <c r="F10" s="32">
        <v>1713129.02</v>
      </c>
      <c r="G10" s="32">
        <v>0</v>
      </c>
      <c r="H10" s="33"/>
      <c r="I10" s="84">
        <f t="shared" ref="I10:I66" si="4">F10-G10</f>
        <v>1713129.02</v>
      </c>
      <c r="J10" s="84">
        <f t="shared" ref="J10:J66" si="5">IF(I10&gt;0,I10*2.95%,0)</f>
        <v>50537.306090000005</v>
      </c>
      <c r="K10" s="85">
        <f t="shared" si="0"/>
        <v>0</v>
      </c>
      <c r="L10" s="85">
        <f t="shared" si="1"/>
        <v>154811.05580200002</v>
      </c>
      <c r="M10" s="150"/>
      <c r="N10" s="86">
        <v>0</v>
      </c>
      <c r="O10" s="87">
        <f t="shared" si="2"/>
        <v>1918477.02</v>
      </c>
      <c r="P10" s="88">
        <f t="shared" si="3"/>
        <v>1976031.02</v>
      </c>
      <c r="Q10" s="22">
        <f>Q9+0.01</f>
        <v>0.02</v>
      </c>
      <c r="R10" s="22" t="s">
        <v>169</v>
      </c>
    </row>
    <row r="11" spans="1:19" ht="17.25" customHeight="1" x14ac:dyDescent="0.3">
      <c r="A11" s="115" t="s">
        <v>13</v>
      </c>
      <c r="B11" s="145">
        <f t="shared" ref="B11:B46" si="6">B10+1</f>
        <v>3</v>
      </c>
      <c r="C11" s="145" t="s">
        <v>105</v>
      </c>
      <c r="D11" s="147" t="s">
        <v>77</v>
      </c>
      <c r="E11" s="146">
        <v>1.78</v>
      </c>
      <c r="F11" s="32">
        <v>173750.03</v>
      </c>
      <c r="G11" s="32">
        <f>F11</f>
        <v>173750.03</v>
      </c>
      <c r="H11" s="33"/>
      <c r="I11" s="84">
        <f t="shared" si="4"/>
        <v>0</v>
      </c>
      <c r="J11" s="84">
        <f t="shared" si="5"/>
        <v>0</v>
      </c>
      <c r="K11" s="85">
        <f t="shared" si="0"/>
        <v>0</v>
      </c>
      <c r="L11" s="85">
        <f t="shared" si="1"/>
        <v>142043.13367400001</v>
      </c>
      <c r="M11" s="150"/>
      <c r="N11" s="86">
        <v>0</v>
      </c>
      <c r="O11" s="87">
        <f t="shared" si="2"/>
        <v>142043.03</v>
      </c>
      <c r="P11" s="88">
        <f t="shared" si="3"/>
        <v>146304.03</v>
      </c>
      <c r="Q11" s="22">
        <f>Q10+0.01</f>
        <v>0.03</v>
      </c>
    </row>
    <row r="12" spans="1:19" ht="17.100000000000001" customHeight="1" x14ac:dyDescent="0.3">
      <c r="A12" s="115" t="s">
        <v>14</v>
      </c>
      <c r="B12" s="145">
        <f t="shared" si="6"/>
        <v>4</v>
      </c>
      <c r="C12" s="145" t="s">
        <v>106</v>
      </c>
      <c r="D12" s="145" t="s">
        <v>78</v>
      </c>
      <c r="E12" s="146">
        <v>1.62</v>
      </c>
      <c r="F12" s="32">
        <v>162876.04</v>
      </c>
      <c r="G12" s="32">
        <f>F12</f>
        <v>162876.04</v>
      </c>
      <c r="H12" s="33"/>
      <c r="I12" s="34">
        <f t="shared" si="4"/>
        <v>0</v>
      </c>
      <c r="J12" s="34">
        <f t="shared" si="5"/>
        <v>0</v>
      </c>
      <c r="K12" s="35">
        <f t="shared" si="0"/>
        <v>0</v>
      </c>
      <c r="L12" s="35">
        <f t="shared" si="1"/>
        <v>129275.21154600002</v>
      </c>
      <c r="M12" s="149"/>
      <c r="N12" s="36">
        <v>0</v>
      </c>
      <c r="O12" s="37">
        <f t="shared" si="2"/>
        <v>129275.04</v>
      </c>
      <c r="P12" s="38">
        <f t="shared" si="3"/>
        <v>133153.03999999998</v>
      </c>
      <c r="Q12" s="22">
        <f t="shared" ref="Q12:Q66" si="7">Q11+0.01</f>
        <v>0.04</v>
      </c>
      <c r="R12" s="28" t="s">
        <v>81</v>
      </c>
      <c r="S12" s="22"/>
    </row>
    <row r="13" spans="1:19" ht="17.100000000000001" customHeight="1" x14ac:dyDescent="0.3">
      <c r="A13" s="140" t="s">
        <v>14</v>
      </c>
      <c r="B13" s="145">
        <f t="shared" si="6"/>
        <v>5</v>
      </c>
      <c r="C13" s="145" t="s">
        <v>107</v>
      </c>
      <c r="D13" s="145" t="s">
        <v>79</v>
      </c>
      <c r="E13" s="146">
        <v>1.94</v>
      </c>
      <c r="F13" s="32">
        <v>877224.05</v>
      </c>
      <c r="G13" s="32">
        <v>0</v>
      </c>
      <c r="H13" s="33"/>
      <c r="I13" s="34">
        <f t="shared" si="4"/>
        <v>877224.05</v>
      </c>
      <c r="J13" s="34">
        <f t="shared" si="5"/>
        <v>25878.109475000005</v>
      </c>
      <c r="K13" s="35">
        <f t="shared" si="0"/>
        <v>0</v>
      </c>
      <c r="L13" s="35">
        <f t="shared" si="1"/>
        <v>154811.05580200002</v>
      </c>
      <c r="M13" s="149"/>
      <c r="N13" s="36">
        <v>0</v>
      </c>
      <c r="O13" s="37">
        <f t="shared" si="2"/>
        <v>1057913.05</v>
      </c>
      <c r="P13" s="38">
        <f t="shared" si="3"/>
        <v>1089650.05</v>
      </c>
      <c r="Q13" s="22">
        <f t="shared" si="7"/>
        <v>0.05</v>
      </c>
      <c r="S13" s="22"/>
    </row>
    <row r="14" spans="1:19" ht="17.100000000000001" customHeight="1" x14ac:dyDescent="0.3">
      <c r="A14" s="115"/>
      <c r="B14" s="145">
        <f t="shared" si="6"/>
        <v>6</v>
      </c>
      <c r="C14" s="145" t="s">
        <v>108</v>
      </c>
      <c r="D14" s="145" t="s">
        <v>80</v>
      </c>
      <c r="E14" s="146">
        <v>1.78</v>
      </c>
      <c r="F14" s="32">
        <v>169532.06</v>
      </c>
      <c r="G14" s="32">
        <f>F14</f>
        <v>169532.06</v>
      </c>
      <c r="H14" s="33"/>
      <c r="I14" s="34">
        <f t="shared" si="4"/>
        <v>0</v>
      </c>
      <c r="J14" s="34">
        <f t="shared" si="5"/>
        <v>0</v>
      </c>
      <c r="K14" s="35">
        <f t="shared" si="0"/>
        <v>0</v>
      </c>
      <c r="L14" s="35">
        <f t="shared" si="1"/>
        <v>142043.13367400001</v>
      </c>
      <c r="M14" s="149"/>
      <c r="N14" s="36">
        <v>0</v>
      </c>
      <c r="O14" s="37">
        <f t="shared" si="2"/>
        <v>142043.06</v>
      </c>
      <c r="P14" s="38">
        <f t="shared" si="3"/>
        <v>146304.06</v>
      </c>
      <c r="Q14" s="22">
        <f t="shared" si="7"/>
        <v>6.0000000000000005E-2</v>
      </c>
      <c r="S14" s="22"/>
    </row>
    <row r="15" spans="1:19" ht="17.100000000000001" customHeight="1" x14ac:dyDescent="0.3">
      <c r="A15" s="115"/>
      <c r="B15" s="145">
        <f t="shared" si="6"/>
        <v>7</v>
      </c>
      <c r="C15" s="145" t="s">
        <v>109</v>
      </c>
      <c r="D15" s="145" t="s">
        <v>81</v>
      </c>
      <c r="E15" s="146">
        <v>1.62</v>
      </c>
      <c r="F15" s="32">
        <v>162876.07</v>
      </c>
      <c r="G15" s="32">
        <f>F15</f>
        <v>162876.07</v>
      </c>
      <c r="H15" s="33"/>
      <c r="I15" s="34">
        <f t="shared" si="4"/>
        <v>0</v>
      </c>
      <c r="J15" s="34">
        <f t="shared" si="5"/>
        <v>0</v>
      </c>
      <c r="K15" s="35">
        <f t="shared" si="0"/>
        <v>0</v>
      </c>
      <c r="L15" s="35">
        <f t="shared" si="1"/>
        <v>129275.21154600002</v>
      </c>
      <c r="M15" s="149"/>
      <c r="N15" s="36">
        <v>0</v>
      </c>
      <c r="O15" s="37">
        <f t="shared" si="2"/>
        <v>129275.07</v>
      </c>
      <c r="P15" s="38">
        <f t="shared" si="3"/>
        <v>133153.07</v>
      </c>
      <c r="Q15" s="22">
        <f t="shared" si="7"/>
        <v>7.0000000000000007E-2</v>
      </c>
      <c r="R15" s="28" t="s">
        <v>81</v>
      </c>
      <c r="S15" s="22"/>
    </row>
    <row r="16" spans="1:19" ht="17.100000000000001" customHeight="1" x14ac:dyDescent="0.3">
      <c r="A16" s="115"/>
      <c r="B16" s="145">
        <f t="shared" si="6"/>
        <v>8</v>
      </c>
      <c r="C16" s="145" t="s">
        <v>110</v>
      </c>
      <c r="D16" s="145" t="s">
        <v>82</v>
      </c>
      <c r="E16" s="146">
        <v>1.62</v>
      </c>
      <c r="F16" s="32">
        <v>154193.07999999999</v>
      </c>
      <c r="G16" s="32">
        <v>154100</v>
      </c>
      <c r="H16" s="33"/>
      <c r="I16" s="84">
        <f t="shared" si="4"/>
        <v>93.079999999987194</v>
      </c>
      <c r="J16" s="84">
        <f t="shared" si="5"/>
        <v>2.7458599999996225</v>
      </c>
      <c r="K16" s="85">
        <f t="shared" si="0"/>
        <v>0</v>
      </c>
      <c r="L16" s="85">
        <f t="shared" si="1"/>
        <v>129275.21154600002</v>
      </c>
      <c r="M16" s="150"/>
      <c r="N16" s="86">
        <v>0</v>
      </c>
      <c r="O16" s="87">
        <f t="shared" si="2"/>
        <v>129371.08</v>
      </c>
      <c r="P16" s="88">
        <f t="shared" si="3"/>
        <v>133252.08000000002</v>
      </c>
      <c r="Q16" s="22">
        <f t="shared" si="7"/>
        <v>0.08</v>
      </c>
      <c r="S16" s="22"/>
    </row>
    <row r="17" spans="1:19" ht="17.100000000000001" customHeight="1" x14ac:dyDescent="0.3">
      <c r="A17" s="115"/>
      <c r="B17" s="145">
        <f t="shared" si="6"/>
        <v>9</v>
      </c>
      <c r="C17" s="145" t="s">
        <v>111</v>
      </c>
      <c r="D17" s="145" t="s">
        <v>82</v>
      </c>
      <c r="E17" s="146">
        <v>7.59</v>
      </c>
      <c r="F17" s="32">
        <v>740858.09</v>
      </c>
      <c r="G17" s="32">
        <v>750000</v>
      </c>
      <c r="H17" s="33"/>
      <c r="I17" s="84">
        <f t="shared" si="4"/>
        <v>-9141.9100000000326</v>
      </c>
      <c r="J17" s="84">
        <f t="shared" si="5"/>
        <v>0</v>
      </c>
      <c r="K17" s="85">
        <f t="shared" si="0"/>
        <v>0</v>
      </c>
      <c r="L17" s="85">
        <f t="shared" si="1"/>
        <v>605678.30594699993</v>
      </c>
      <c r="M17" s="150"/>
      <c r="N17" s="86">
        <v>0</v>
      </c>
      <c r="O17" s="87">
        <f t="shared" si="2"/>
        <v>596536.09</v>
      </c>
      <c r="P17" s="88">
        <f t="shared" si="3"/>
        <v>614432.09</v>
      </c>
      <c r="Q17" s="22">
        <f t="shared" si="7"/>
        <v>0.09</v>
      </c>
      <c r="S17" s="22"/>
    </row>
    <row r="18" spans="1:19" ht="17.100000000000001" customHeight="1" x14ac:dyDescent="0.3">
      <c r="A18" s="115"/>
      <c r="B18" s="145">
        <f t="shared" si="6"/>
        <v>10</v>
      </c>
      <c r="C18" s="145" t="s">
        <v>112</v>
      </c>
      <c r="D18" s="145" t="s">
        <v>83</v>
      </c>
      <c r="E18" s="146">
        <v>1.62</v>
      </c>
      <c r="F18" s="32">
        <v>162877.1</v>
      </c>
      <c r="G18" s="32">
        <f>162877</f>
        <v>162877</v>
      </c>
      <c r="H18" s="33"/>
      <c r="I18" s="84">
        <f t="shared" si="4"/>
        <v>0.10000000000582077</v>
      </c>
      <c r="J18" s="84">
        <f t="shared" si="5"/>
        <v>2.9500000001717128E-3</v>
      </c>
      <c r="K18" s="85">
        <f t="shared" si="0"/>
        <v>0</v>
      </c>
      <c r="L18" s="85">
        <f t="shared" si="1"/>
        <v>129275.21154600002</v>
      </c>
      <c r="M18" s="150"/>
      <c r="N18" s="86">
        <v>0</v>
      </c>
      <c r="O18" s="87">
        <f t="shared" si="2"/>
        <v>129275.1</v>
      </c>
      <c r="P18" s="88">
        <f t="shared" si="3"/>
        <v>133153.1</v>
      </c>
      <c r="Q18" s="22">
        <f t="shared" si="7"/>
        <v>9.9999999999999992E-2</v>
      </c>
      <c r="R18" t="s">
        <v>144</v>
      </c>
      <c r="S18" s="22"/>
    </row>
    <row r="19" spans="1:19" ht="17.100000000000001" customHeight="1" x14ac:dyDescent="0.3">
      <c r="A19" s="115"/>
      <c r="B19" s="145">
        <f t="shared" si="6"/>
        <v>11</v>
      </c>
      <c r="C19" s="145" t="s">
        <v>113</v>
      </c>
      <c r="D19" s="145" t="s">
        <v>84</v>
      </c>
      <c r="E19" s="146">
        <v>1.78</v>
      </c>
      <c r="F19" s="32">
        <v>-97403.89</v>
      </c>
      <c r="G19" s="32">
        <f>224300.01-G20</f>
        <v>97403.890000000014</v>
      </c>
      <c r="H19" s="33"/>
      <c r="I19" s="84">
        <f t="shared" si="4"/>
        <v>-194807.78000000003</v>
      </c>
      <c r="J19" s="84">
        <f t="shared" si="5"/>
        <v>0</v>
      </c>
      <c r="K19" s="85">
        <f t="shared" si="0"/>
        <v>0</v>
      </c>
      <c r="L19" s="85">
        <f t="shared" si="1"/>
        <v>142043.13367400001</v>
      </c>
      <c r="M19" s="150"/>
      <c r="N19" s="86">
        <v>0</v>
      </c>
      <c r="O19" s="87">
        <f t="shared" si="2"/>
        <v>-52764.89</v>
      </c>
      <c r="P19" s="88">
        <f t="shared" si="3"/>
        <v>-54347.89</v>
      </c>
      <c r="Q19" s="22">
        <f t="shared" si="7"/>
        <v>0.10999999999999999</v>
      </c>
      <c r="R19" t="s">
        <v>161</v>
      </c>
      <c r="S19" s="22"/>
    </row>
    <row r="20" spans="1:19" ht="17.100000000000001" customHeight="1" x14ac:dyDescent="0.3">
      <c r="A20" s="115"/>
      <c r="B20" s="145">
        <f t="shared" si="6"/>
        <v>12</v>
      </c>
      <c r="C20" s="145" t="s">
        <v>114</v>
      </c>
      <c r="D20" s="145" t="s">
        <v>84</v>
      </c>
      <c r="E20" s="146">
        <v>1.3</v>
      </c>
      <c r="F20" s="32">
        <v>126896.12</v>
      </c>
      <c r="G20" s="32">
        <f>F20</f>
        <v>126896.12</v>
      </c>
      <c r="H20" s="33"/>
      <c r="I20" s="84">
        <f t="shared" si="4"/>
        <v>0</v>
      </c>
      <c r="J20" s="84">
        <f t="shared" si="5"/>
        <v>0</v>
      </c>
      <c r="K20" s="85">
        <f t="shared" si="0"/>
        <v>0</v>
      </c>
      <c r="L20" s="85">
        <f t="shared" si="1"/>
        <v>103739.36729000001</v>
      </c>
      <c r="M20" s="150"/>
      <c r="N20" s="86">
        <v>0</v>
      </c>
      <c r="O20" s="87">
        <f t="shared" si="2"/>
        <v>103739.12</v>
      </c>
      <c r="P20" s="88">
        <f t="shared" si="3"/>
        <v>106851.12</v>
      </c>
      <c r="Q20" s="22">
        <f t="shared" si="7"/>
        <v>0.11999999999999998</v>
      </c>
      <c r="R20" t="s">
        <v>161</v>
      </c>
      <c r="S20" s="22"/>
    </row>
    <row r="21" spans="1:19" ht="17.100000000000001" customHeight="1" x14ac:dyDescent="0.3">
      <c r="A21" s="115"/>
      <c r="B21" s="145">
        <f t="shared" si="6"/>
        <v>13</v>
      </c>
      <c r="C21" s="145" t="s">
        <v>115</v>
      </c>
      <c r="D21" s="145" t="s">
        <v>85</v>
      </c>
      <c r="E21" s="146">
        <v>1.38</v>
      </c>
      <c r="F21" s="32">
        <v>138746.13</v>
      </c>
      <c r="G21" s="32">
        <f>F21</f>
        <v>138746.13</v>
      </c>
      <c r="H21" s="33"/>
      <c r="I21" s="84">
        <f t="shared" si="4"/>
        <v>0</v>
      </c>
      <c r="J21" s="84">
        <f t="shared" si="5"/>
        <v>0</v>
      </c>
      <c r="K21" s="85">
        <f t="shared" si="0"/>
        <v>0</v>
      </c>
      <c r="L21" s="85">
        <f t="shared" si="1"/>
        <v>110123.328354</v>
      </c>
      <c r="M21" s="150"/>
      <c r="N21" s="86">
        <v>0</v>
      </c>
      <c r="O21" s="87">
        <f t="shared" si="2"/>
        <v>110123.13</v>
      </c>
      <c r="P21" s="88">
        <f t="shared" si="3"/>
        <v>113427.13</v>
      </c>
      <c r="Q21" s="22">
        <f t="shared" si="7"/>
        <v>0.12999999999999998</v>
      </c>
      <c r="R21" t="s">
        <v>146</v>
      </c>
      <c r="S21" s="22"/>
    </row>
    <row r="22" spans="1:19" ht="17.100000000000001" customHeight="1" x14ac:dyDescent="0.3">
      <c r="A22" s="115"/>
      <c r="B22" s="145">
        <f t="shared" si="6"/>
        <v>14</v>
      </c>
      <c r="C22" s="145" t="s">
        <v>116</v>
      </c>
      <c r="D22" s="145" t="s">
        <v>85</v>
      </c>
      <c r="E22" s="146">
        <v>1.87</v>
      </c>
      <c r="F22" s="32">
        <v>188011.14</v>
      </c>
      <c r="G22" s="32">
        <f>F22</f>
        <v>188011.14</v>
      </c>
      <c r="H22" s="33"/>
      <c r="I22" s="84">
        <f t="shared" si="4"/>
        <v>0</v>
      </c>
      <c r="J22" s="84">
        <f t="shared" si="5"/>
        <v>0</v>
      </c>
      <c r="K22" s="85">
        <f t="shared" si="0"/>
        <v>0</v>
      </c>
      <c r="L22" s="85">
        <f t="shared" si="1"/>
        <v>149225.089871</v>
      </c>
      <c r="M22" s="150"/>
      <c r="N22" s="86">
        <v>0</v>
      </c>
      <c r="O22" s="87">
        <f t="shared" si="2"/>
        <v>149225.14000000001</v>
      </c>
      <c r="P22" s="88">
        <f t="shared" si="3"/>
        <v>153702.14000000001</v>
      </c>
      <c r="Q22" s="22">
        <f t="shared" si="7"/>
        <v>0.13999999999999999</v>
      </c>
      <c r="R22" t="s">
        <v>146</v>
      </c>
      <c r="S22" s="22"/>
    </row>
    <row r="23" spans="1:19" ht="17.100000000000001" customHeight="1" x14ac:dyDescent="0.3">
      <c r="A23" s="115"/>
      <c r="B23" s="145">
        <f t="shared" si="6"/>
        <v>15</v>
      </c>
      <c r="C23" s="145" t="s">
        <v>117</v>
      </c>
      <c r="D23" s="145" t="s">
        <v>86</v>
      </c>
      <c r="E23" s="146">
        <v>2.91</v>
      </c>
      <c r="F23" s="32">
        <v>920768.15</v>
      </c>
      <c r="G23" s="32">
        <v>0</v>
      </c>
      <c r="H23" s="33"/>
      <c r="I23" s="84">
        <f t="shared" si="4"/>
        <v>920768.15</v>
      </c>
      <c r="J23" s="84">
        <f t="shared" si="5"/>
        <v>27162.660425000002</v>
      </c>
      <c r="K23" s="85">
        <f t="shared" si="0"/>
        <v>0</v>
      </c>
      <c r="L23" s="85">
        <f t="shared" si="1"/>
        <v>232216.58370300001</v>
      </c>
      <c r="M23" s="150"/>
      <c r="N23" s="86">
        <v>0</v>
      </c>
      <c r="O23" s="87">
        <f t="shared" si="2"/>
        <v>1180147.1499999999</v>
      </c>
      <c r="P23" s="88">
        <f t="shared" si="3"/>
        <v>1215551.1499999999</v>
      </c>
      <c r="Q23" s="22">
        <f t="shared" si="7"/>
        <v>0.15</v>
      </c>
      <c r="R23" t="s">
        <v>168</v>
      </c>
      <c r="S23" s="22"/>
    </row>
    <row r="24" spans="1:19" ht="17.100000000000001" customHeight="1" x14ac:dyDescent="0.3">
      <c r="A24" s="115"/>
      <c r="B24" s="145">
        <f t="shared" si="6"/>
        <v>16</v>
      </c>
      <c r="C24" s="145" t="s">
        <v>118</v>
      </c>
      <c r="D24" s="145" t="s">
        <v>87</v>
      </c>
      <c r="E24" s="146">
        <v>2.14</v>
      </c>
      <c r="F24" s="32">
        <v>215157.16</v>
      </c>
      <c r="G24" s="32">
        <v>215157</v>
      </c>
      <c r="H24" s="33"/>
      <c r="I24" s="84">
        <f t="shared" si="4"/>
        <v>0.16000000000349246</v>
      </c>
      <c r="J24" s="84">
        <f t="shared" si="5"/>
        <v>4.7200000001030281E-3</v>
      </c>
      <c r="K24" s="85">
        <f t="shared" si="0"/>
        <v>0</v>
      </c>
      <c r="L24" s="85">
        <f t="shared" si="1"/>
        <v>170770.95846200001</v>
      </c>
      <c r="M24" s="150"/>
      <c r="N24" s="86">
        <v>0</v>
      </c>
      <c r="O24" s="87">
        <f t="shared" si="2"/>
        <v>170771.16</v>
      </c>
      <c r="P24" s="88">
        <f t="shared" si="3"/>
        <v>175894.16</v>
      </c>
      <c r="Q24" s="22">
        <f t="shared" si="7"/>
        <v>0.16</v>
      </c>
      <c r="R24" t="s">
        <v>144</v>
      </c>
      <c r="S24" s="22"/>
    </row>
    <row r="25" spans="1:19" ht="17.100000000000001" customHeight="1" x14ac:dyDescent="0.3">
      <c r="A25" s="115" t="s">
        <v>15</v>
      </c>
      <c r="B25" s="145">
        <f t="shared" si="6"/>
        <v>17</v>
      </c>
      <c r="C25" s="145" t="s">
        <v>119</v>
      </c>
      <c r="D25" s="145" t="s">
        <v>82</v>
      </c>
      <c r="E25" s="146">
        <v>0.89</v>
      </c>
      <c r="F25" s="32">
        <v>86857.17</v>
      </c>
      <c r="G25" s="32">
        <v>90000</v>
      </c>
      <c r="H25" s="33"/>
      <c r="I25" s="84">
        <f t="shared" si="4"/>
        <v>-3142.8300000000017</v>
      </c>
      <c r="J25" s="84">
        <f t="shared" si="5"/>
        <v>0</v>
      </c>
      <c r="K25" s="85">
        <f t="shared" si="0"/>
        <v>0</v>
      </c>
      <c r="L25" s="85">
        <f t="shared" si="1"/>
        <v>71021.566837000006</v>
      </c>
      <c r="M25" s="150"/>
      <c r="N25" s="86">
        <v>0</v>
      </c>
      <c r="O25" s="87">
        <f t="shared" si="2"/>
        <v>67879.17</v>
      </c>
      <c r="P25" s="88">
        <f t="shared" si="3"/>
        <v>69915.17</v>
      </c>
      <c r="Q25" s="22">
        <f t="shared" si="7"/>
        <v>0.17</v>
      </c>
    </row>
    <row r="26" spans="1:19" ht="17.100000000000001" customHeight="1" x14ac:dyDescent="0.3">
      <c r="A26" s="115" t="s">
        <v>15</v>
      </c>
      <c r="B26" s="145">
        <f t="shared" si="6"/>
        <v>18</v>
      </c>
      <c r="C26" s="145" t="s">
        <v>120</v>
      </c>
      <c r="D26" s="145" t="s">
        <v>88</v>
      </c>
      <c r="E26" s="146">
        <v>0.95</v>
      </c>
      <c r="F26" s="32">
        <v>3524243.18</v>
      </c>
      <c r="G26" s="32">
        <v>0</v>
      </c>
      <c r="H26" s="33"/>
      <c r="I26" s="84">
        <f t="shared" si="4"/>
        <v>3524243.18</v>
      </c>
      <c r="J26" s="84">
        <f t="shared" si="5"/>
        <v>103965.17381000001</v>
      </c>
      <c r="K26" s="85">
        <f t="shared" si="0"/>
        <v>0</v>
      </c>
      <c r="L26" s="85">
        <f t="shared" si="1"/>
        <v>75809.537635000001</v>
      </c>
      <c r="M26" s="150"/>
      <c r="N26" s="86">
        <v>0</v>
      </c>
      <c r="O26" s="87">
        <f t="shared" si="2"/>
        <v>3704018.18</v>
      </c>
      <c r="P26" s="88">
        <f t="shared" si="3"/>
        <v>3815139.18</v>
      </c>
      <c r="Q26" s="22">
        <f t="shared" si="7"/>
        <v>0.18000000000000002</v>
      </c>
      <c r="R26" s="73"/>
      <c r="S26" s="72"/>
    </row>
    <row r="27" spans="1:19" ht="17.100000000000001" customHeight="1" x14ac:dyDescent="0.3">
      <c r="A27" s="115" t="s">
        <v>16</v>
      </c>
      <c r="B27" s="145">
        <f t="shared" si="6"/>
        <v>19</v>
      </c>
      <c r="C27" s="145" t="s">
        <v>121</v>
      </c>
      <c r="D27" s="145" t="s">
        <v>82</v>
      </c>
      <c r="E27" s="146">
        <v>1.94</v>
      </c>
      <c r="F27" s="32">
        <v>195154.19</v>
      </c>
      <c r="G27" s="32">
        <v>195100</v>
      </c>
      <c r="H27" s="33"/>
      <c r="I27" s="84">
        <f t="shared" si="4"/>
        <v>54.190000000002328</v>
      </c>
      <c r="J27" s="84">
        <f t="shared" si="5"/>
        <v>1.5986050000000689</v>
      </c>
      <c r="K27" s="85">
        <f t="shared" si="0"/>
        <v>0</v>
      </c>
      <c r="L27" s="85">
        <f t="shared" si="1"/>
        <v>154811.05580200002</v>
      </c>
      <c r="M27" s="150"/>
      <c r="N27" s="86">
        <v>0</v>
      </c>
      <c r="O27" s="87">
        <f t="shared" si="2"/>
        <v>154867.19</v>
      </c>
      <c r="P27" s="88">
        <f t="shared" si="3"/>
        <v>159513.19</v>
      </c>
      <c r="Q27" s="22">
        <f t="shared" si="7"/>
        <v>0.19000000000000003</v>
      </c>
    </row>
    <row r="28" spans="1:19" ht="17.100000000000001" customHeight="1" x14ac:dyDescent="0.3">
      <c r="A28" s="115" t="s">
        <v>16</v>
      </c>
      <c r="B28" s="145">
        <f t="shared" si="6"/>
        <v>20</v>
      </c>
      <c r="C28" s="145" t="s">
        <v>122</v>
      </c>
      <c r="D28" s="145" t="s">
        <v>89</v>
      </c>
      <c r="E28" s="146">
        <v>1.84</v>
      </c>
      <c r="F28" s="32">
        <v>414668.2</v>
      </c>
      <c r="G28" s="32">
        <v>179606.2</v>
      </c>
      <c r="H28" s="33"/>
      <c r="I28" s="84">
        <f t="shared" si="4"/>
        <v>235062</v>
      </c>
      <c r="J28" s="84">
        <f t="shared" si="5"/>
        <v>6934.3290000000006</v>
      </c>
      <c r="K28" s="85">
        <f t="shared" si="0"/>
        <v>0</v>
      </c>
      <c r="L28" s="85">
        <f t="shared" si="1"/>
        <v>146831.10447200001</v>
      </c>
      <c r="M28" s="150"/>
      <c r="N28" s="86">
        <v>0</v>
      </c>
      <c r="O28" s="87">
        <f t="shared" si="2"/>
        <v>388827.2</v>
      </c>
      <c r="P28" s="88">
        <f t="shared" si="3"/>
        <v>400492.2</v>
      </c>
      <c r="Q28" s="22">
        <f t="shared" si="7"/>
        <v>0.20000000000000004</v>
      </c>
    </row>
    <row r="29" spans="1:19" ht="17.100000000000001" customHeight="1" x14ac:dyDescent="0.3">
      <c r="A29" s="115" t="s">
        <v>17</v>
      </c>
      <c r="B29" s="145">
        <f t="shared" si="6"/>
        <v>21</v>
      </c>
      <c r="C29" s="145">
        <v>1106</v>
      </c>
      <c r="D29" s="145" t="s">
        <v>90</v>
      </c>
      <c r="E29" s="146">
        <v>5.12</v>
      </c>
      <c r="F29" s="32">
        <v>5728329.21</v>
      </c>
      <c r="G29" s="32">
        <v>0</v>
      </c>
      <c r="H29" s="33"/>
      <c r="I29" s="84">
        <f t="shared" si="4"/>
        <v>5728329.21</v>
      </c>
      <c r="J29" s="84">
        <f t="shared" si="5"/>
        <v>168985.71169500001</v>
      </c>
      <c r="K29" s="85">
        <f t="shared" si="0"/>
        <v>0</v>
      </c>
      <c r="L29" s="85">
        <f t="shared" si="1"/>
        <v>408573.50809600001</v>
      </c>
      <c r="M29" s="85">
        <f>O$3*E29%</f>
        <v>274505.36960000003</v>
      </c>
      <c r="N29" s="86">
        <v>0</v>
      </c>
      <c r="O29" s="87">
        <f t="shared" si="2"/>
        <v>6580394.21</v>
      </c>
      <c r="P29" s="88">
        <f t="shared" si="3"/>
        <v>6777806.21</v>
      </c>
      <c r="Q29" s="22">
        <f t="shared" si="7"/>
        <v>0.21000000000000005</v>
      </c>
    </row>
    <row r="30" spans="1:19" ht="17.100000000000001" customHeight="1" x14ac:dyDescent="0.3">
      <c r="A30" s="115" t="s">
        <v>17</v>
      </c>
      <c r="B30" s="145">
        <f t="shared" si="6"/>
        <v>22</v>
      </c>
      <c r="C30" s="145">
        <v>1101</v>
      </c>
      <c r="D30" s="145" t="s">
        <v>82</v>
      </c>
      <c r="E30" s="146">
        <v>3.88</v>
      </c>
      <c r="F30" s="32">
        <v>548769.22</v>
      </c>
      <c r="G30" s="32">
        <v>550000</v>
      </c>
      <c r="H30" s="33"/>
      <c r="I30" s="84">
        <f t="shared" si="4"/>
        <v>-1230.7800000000279</v>
      </c>
      <c r="J30" s="84">
        <f t="shared" si="5"/>
        <v>0</v>
      </c>
      <c r="K30" s="85">
        <f t="shared" si="0"/>
        <v>0</v>
      </c>
      <c r="L30" s="85">
        <f t="shared" si="1"/>
        <v>309622.11160400003</v>
      </c>
      <c r="M30" s="85">
        <f t="shared" ref="M30:M66" si="8">O$3*E30%</f>
        <v>208023.6004</v>
      </c>
      <c r="N30" s="86">
        <v>0</v>
      </c>
      <c r="O30" s="87">
        <f t="shared" si="2"/>
        <v>516415.22</v>
      </c>
      <c r="P30" s="88">
        <f t="shared" si="3"/>
        <v>531907.22</v>
      </c>
      <c r="Q30" s="22">
        <f t="shared" si="7"/>
        <v>0.22000000000000006</v>
      </c>
      <c r="R30" t="s">
        <v>145</v>
      </c>
    </row>
    <row r="31" spans="1:19" ht="17.100000000000001" customHeight="1" x14ac:dyDescent="0.3">
      <c r="A31" s="115" t="s">
        <v>18</v>
      </c>
      <c r="B31" s="145">
        <f t="shared" si="6"/>
        <v>23</v>
      </c>
      <c r="C31" s="145">
        <v>1102</v>
      </c>
      <c r="D31" s="145" t="s">
        <v>91</v>
      </c>
      <c r="E31" s="146">
        <v>0.92</v>
      </c>
      <c r="F31" s="32">
        <v>130197.23</v>
      </c>
      <c r="G31" s="32">
        <v>0</v>
      </c>
      <c r="H31" s="33"/>
      <c r="I31" s="84">
        <f t="shared" si="4"/>
        <v>130197.23</v>
      </c>
      <c r="J31" s="84">
        <f t="shared" si="5"/>
        <v>3840.8182850000003</v>
      </c>
      <c r="K31" s="85">
        <f t="shared" si="0"/>
        <v>0</v>
      </c>
      <c r="L31" s="85">
        <f t="shared" si="1"/>
        <v>73415.552236000003</v>
      </c>
      <c r="M31" s="85">
        <f t="shared" si="8"/>
        <v>49325.183599999997</v>
      </c>
      <c r="N31" s="86">
        <v>0</v>
      </c>
      <c r="O31" s="87">
        <f t="shared" si="2"/>
        <v>256779.23</v>
      </c>
      <c r="P31" s="88">
        <f t="shared" si="3"/>
        <v>264482.23</v>
      </c>
      <c r="Q31" s="22">
        <f t="shared" si="7"/>
        <v>0.23000000000000007</v>
      </c>
    </row>
    <row r="32" spans="1:19" ht="17.100000000000001" customHeight="1" x14ac:dyDescent="0.3">
      <c r="A32" s="115" t="s">
        <v>18</v>
      </c>
      <c r="B32" s="145">
        <f t="shared" si="6"/>
        <v>24</v>
      </c>
      <c r="C32" s="145">
        <v>1103</v>
      </c>
      <c r="D32" s="145" t="s">
        <v>92</v>
      </c>
      <c r="E32" s="146">
        <v>1.43</v>
      </c>
      <c r="F32" s="32">
        <v>5941892.2400000002</v>
      </c>
      <c r="G32" s="32">
        <v>0</v>
      </c>
      <c r="H32" s="33"/>
      <c r="I32" s="84">
        <f t="shared" si="4"/>
        <v>5941892.2400000002</v>
      </c>
      <c r="J32" s="84">
        <f t="shared" si="5"/>
        <v>175285.82108000002</v>
      </c>
      <c r="K32" s="85">
        <f t="shared" si="0"/>
        <v>0</v>
      </c>
      <c r="L32" s="85">
        <f t="shared" si="1"/>
        <v>114113.304019</v>
      </c>
      <c r="M32" s="85">
        <f t="shared" si="8"/>
        <v>76668.491900000008</v>
      </c>
      <c r="N32" s="86">
        <v>0</v>
      </c>
      <c r="O32" s="87">
        <f t="shared" si="2"/>
        <v>6307960.2400000002</v>
      </c>
      <c r="P32" s="88">
        <f t="shared" si="3"/>
        <v>6497199.2400000002</v>
      </c>
      <c r="Q32" s="22">
        <f t="shared" si="7"/>
        <v>0.24000000000000007</v>
      </c>
    </row>
    <row r="33" spans="1:19" ht="17.100000000000001" customHeight="1" x14ac:dyDescent="0.3">
      <c r="A33" s="115" t="s">
        <v>19</v>
      </c>
      <c r="B33" s="145">
        <f t="shared" si="6"/>
        <v>25</v>
      </c>
      <c r="C33" s="145">
        <v>1104</v>
      </c>
      <c r="D33" s="145" t="s">
        <v>93</v>
      </c>
      <c r="E33" s="146">
        <v>2.19</v>
      </c>
      <c r="F33" s="32">
        <v>304871.25</v>
      </c>
      <c r="G33" s="32">
        <v>314017.25</v>
      </c>
      <c r="H33" s="33"/>
      <c r="I33" s="84">
        <f t="shared" si="4"/>
        <v>-9146</v>
      </c>
      <c r="J33" s="84">
        <f t="shared" si="5"/>
        <v>0</v>
      </c>
      <c r="K33" s="85">
        <f t="shared" si="0"/>
        <v>0</v>
      </c>
      <c r="L33" s="85">
        <f t="shared" si="1"/>
        <v>174760.93412699999</v>
      </c>
      <c r="M33" s="85">
        <f t="shared" si="8"/>
        <v>117415.3827</v>
      </c>
      <c r="N33" s="86">
        <v>0</v>
      </c>
      <c r="O33" s="87">
        <f t="shared" si="2"/>
        <v>283030.25</v>
      </c>
      <c r="P33" s="88">
        <f t="shared" si="3"/>
        <v>291521.25</v>
      </c>
      <c r="Q33" s="22">
        <f t="shared" si="7"/>
        <v>0.25000000000000006</v>
      </c>
    </row>
    <row r="34" spans="1:19" ht="17.100000000000001" customHeight="1" x14ac:dyDescent="0.3">
      <c r="A34" s="115" t="s">
        <v>19</v>
      </c>
      <c r="B34" s="145">
        <f t="shared" si="6"/>
        <v>26</v>
      </c>
      <c r="C34" s="145">
        <v>1105</v>
      </c>
      <c r="D34" s="145" t="s">
        <v>94</v>
      </c>
      <c r="E34" s="146">
        <v>1.94</v>
      </c>
      <c r="F34" s="32">
        <v>282781.26</v>
      </c>
      <c r="G34" s="32">
        <f>F34</f>
        <v>282781.26</v>
      </c>
      <c r="H34" s="33"/>
      <c r="I34" s="84">
        <f t="shared" si="4"/>
        <v>0</v>
      </c>
      <c r="J34" s="84">
        <f t="shared" si="5"/>
        <v>0</v>
      </c>
      <c r="K34" s="85">
        <f t="shared" si="0"/>
        <v>0</v>
      </c>
      <c r="L34" s="85">
        <f t="shared" si="1"/>
        <v>154811.05580200002</v>
      </c>
      <c r="M34" s="85">
        <f t="shared" si="8"/>
        <v>104011.8002</v>
      </c>
      <c r="N34" s="86">
        <v>0</v>
      </c>
      <c r="O34" s="87">
        <f t="shared" si="2"/>
        <v>258823.26</v>
      </c>
      <c r="P34" s="88">
        <f t="shared" si="3"/>
        <v>266588.26</v>
      </c>
      <c r="Q34" s="22">
        <f t="shared" si="7"/>
        <v>0.26000000000000006</v>
      </c>
    </row>
    <row r="35" spans="1:19" ht="17.100000000000001" customHeight="1" x14ac:dyDescent="0.3">
      <c r="A35" s="115" t="s">
        <v>20</v>
      </c>
      <c r="B35" s="145">
        <f t="shared" si="6"/>
        <v>27</v>
      </c>
      <c r="C35" s="145">
        <v>2206</v>
      </c>
      <c r="D35" s="145" t="s">
        <v>95</v>
      </c>
      <c r="E35" s="146">
        <v>2.17</v>
      </c>
      <c r="F35" s="32">
        <v>488855.27</v>
      </c>
      <c r="G35" s="32">
        <f>F35</f>
        <v>488855.27</v>
      </c>
      <c r="H35" s="33"/>
      <c r="I35" s="84">
        <f t="shared" si="4"/>
        <v>0</v>
      </c>
      <c r="J35" s="84">
        <f t="shared" si="5"/>
        <v>0</v>
      </c>
      <c r="K35" s="85">
        <f t="shared" si="0"/>
        <v>0</v>
      </c>
      <c r="L35" s="85">
        <f t="shared" si="1"/>
        <v>173164.94386100001</v>
      </c>
      <c r="M35" s="85">
        <f t="shared" si="8"/>
        <v>116343.09610000001</v>
      </c>
      <c r="N35" s="86">
        <v>0</v>
      </c>
      <c r="O35" s="87">
        <f t="shared" si="2"/>
        <v>289508.27</v>
      </c>
      <c r="P35" s="88">
        <f t="shared" si="3"/>
        <v>298193.27</v>
      </c>
      <c r="Q35" s="22">
        <f t="shared" si="7"/>
        <v>0.27000000000000007</v>
      </c>
      <c r="R35" t="s">
        <v>158</v>
      </c>
      <c r="S35" s="21"/>
    </row>
    <row r="36" spans="1:19" ht="17.100000000000001" customHeight="1" x14ac:dyDescent="0.3">
      <c r="A36" s="115" t="s">
        <v>20</v>
      </c>
      <c r="B36" s="145">
        <f t="shared" si="6"/>
        <v>28</v>
      </c>
      <c r="C36" s="145">
        <v>2207</v>
      </c>
      <c r="D36" s="145" t="s">
        <v>96</v>
      </c>
      <c r="E36" s="146">
        <v>1.23</v>
      </c>
      <c r="F36" s="32">
        <v>179289.28</v>
      </c>
      <c r="G36" s="32">
        <v>175000</v>
      </c>
      <c r="H36" s="33"/>
      <c r="I36" s="84">
        <f t="shared" si="4"/>
        <v>4289.2799999999988</v>
      </c>
      <c r="J36" s="84">
        <f t="shared" si="5"/>
        <v>126.53375999999997</v>
      </c>
      <c r="K36" s="85">
        <f t="shared" si="0"/>
        <v>0</v>
      </c>
      <c r="L36" s="85">
        <f t="shared" si="1"/>
        <v>98153.401358999996</v>
      </c>
      <c r="M36" s="85">
        <f t="shared" si="8"/>
        <v>65945.625899999999</v>
      </c>
      <c r="N36" s="86">
        <v>0</v>
      </c>
      <c r="O36" s="87">
        <f t="shared" si="2"/>
        <v>168515.28</v>
      </c>
      <c r="P36" s="88">
        <f t="shared" si="3"/>
        <v>173570.28</v>
      </c>
      <c r="Q36" s="22">
        <f t="shared" si="7"/>
        <v>0.28000000000000008</v>
      </c>
      <c r="R36" t="s">
        <v>148</v>
      </c>
    </row>
    <row r="37" spans="1:19" ht="17.100000000000001" customHeight="1" x14ac:dyDescent="0.3">
      <c r="A37" s="115" t="s">
        <v>21</v>
      </c>
      <c r="B37" s="145">
        <f t="shared" si="6"/>
        <v>29</v>
      </c>
      <c r="C37" s="145">
        <v>2208</v>
      </c>
      <c r="D37" s="145" t="s">
        <v>97</v>
      </c>
      <c r="E37" s="146">
        <v>1.29</v>
      </c>
      <c r="F37" s="32">
        <v>182558.29</v>
      </c>
      <c r="G37" s="32">
        <f t="shared" ref="G37:G42" si="9">F37</f>
        <v>182558.29</v>
      </c>
      <c r="H37" s="33"/>
      <c r="I37" s="84">
        <f t="shared" si="4"/>
        <v>0</v>
      </c>
      <c r="J37" s="84">
        <f t="shared" si="5"/>
        <v>0</v>
      </c>
      <c r="K37" s="85">
        <f t="shared" si="0"/>
        <v>0</v>
      </c>
      <c r="L37" s="85">
        <f t="shared" si="1"/>
        <v>102941.37215700001</v>
      </c>
      <c r="M37" s="85">
        <f t="shared" si="8"/>
        <v>69162.485700000005</v>
      </c>
      <c r="N37" s="86">
        <v>0</v>
      </c>
      <c r="O37" s="87">
        <f t="shared" si="2"/>
        <v>172104.29</v>
      </c>
      <c r="P37" s="88">
        <f t="shared" si="3"/>
        <v>177267.29</v>
      </c>
      <c r="Q37" s="22">
        <f t="shared" si="7"/>
        <v>0.29000000000000009</v>
      </c>
    </row>
    <row r="38" spans="1:19" ht="17.100000000000001" customHeight="1" x14ac:dyDescent="0.3">
      <c r="A38" s="115" t="s">
        <v>21</v>
      </c>
      <c r="B38" s="145">
        <f t="shared" si="6"/>
        <v>30</v>
      </c>
      <c r="C38" s="145">
        <v>2201</v>
      </c>
      <c r="D38" s="145" t="s">
        <v>97</v>
      </c>
      <c r="E38" s="146">
        <v>1.36</v>
      </c>
      <c r="F38" s="32">
        <v>192464.3</v>
      </c>
      <c r="G38" s="32">
        <f t="shared" si="9"/>
        <v>192464.3</v>
      </c>
      <c r="H38" s="33"/>
      <c r="I38" s="84">
        <f t="shared" si="4"/>
        <v>0</v>
      </c>
      <c r="J38" s="84">
        <f t="shared" si="5"/>
        <v>0</v>
      </c>
      <c r="K38" s="85">
        <f t="shared" si="0"/>
        <v>0</v>
      </c>
      <c r="L38" s="85">
        <f t="shared" si="1"/>
        <v>108527.338088</v>
      </c>
      <c r="M38" s="85">
        <f t="shared" si="8"/>
        <v>72915.488800000006</v>
      </c>
      <c r="N38" s="86">
        <v>0</v>
      </c>
      <c r="O38" s="87">
        <f t="shared" si="2"/>
        <v>181443.3</v>
      </c>
      <c r="P38" s="88">
        <f t="shared" si="3"/>
        <v>186886.3</v>
      </c>
      <c r="Q38" s="22">
        <f t="shared" si="7"/>
        <v>0.3000000000000001</v>
      </c>
    </row>
    <row r="39" spans="1:19" ht="17.100000000000001" customHeight="1" x14ac:dyDescent="0.3">
      <c r="A39" s="115" t="s">
        <v>22</v>
      </c>
      <c r="B39" s="145">
        <f t="shared" si="6"/>
        <v>31</v>
      </c>
      <c r="C39" s="145">
        <v>2202</v>
      </c>
      <c r="D39" s="145" t="s">
        <v>98</v>
      </c>
      <c r="E39" s="146">
        <v>0.57999999999999996</v>
      </c>
      <c r="F39" s="32">
        <v>82080.31</v>
      </c>
      <c r="G39" s="32">
        <f t="shared" si="9"/>
        <v>82080.31</v>
      </c>
      <c r="H39" s="33"/>
      <c r="I39" s="84">
        <f t="shared" si="4"/>
        <v>0</v>
      </c>
      <c r="J39" s="84">
        <f t="shared" si="5"/>
        <v>0</v>
      </c>
      <c r="K39" s="85">
        <f t="shared" si="0"/>
        <v>0</v>
      </c>
      <c r="L39" s="85">
        <f t="shared" si="1"/>
        <v>46283.717713999999</v>
      </c>
      <c r="M39" s="85">
        <f t="shared" si="8"/>
        <v>31096.311399999999</v>
      </c>
      <c r="N39" s="86">
        <v>0</v>
      </c>
      <c r="O39" s="87">
        <f t="shared" si="2"/>
        <v>77380.31</v>
      </c>
      <c r="P39" s="88">
        <f t="shared" si="3"/>
        <v>79701.31</v>
      </c>
      <c r="Q39" s="22">
        <f t="shared" si="7"/>
        <v>0.31000000000000011</v>
      </c>
      <c r="R39" t="s">
        <v>151</v>
      </c>
    </row>
    <row r="40" spans="1:19" ht="17.100000000000001" customHeight="1" x14ac:dyDescent="0.3">
      <c r="A40" s="115" t="s">
        <v>23</v>
      </c>
      <c r="B40" s="145">
        <f t="shared" si="6"/>
        <v>32</v>
      </c>
      <c r="C40" s="145">
        <v>2203</v>
      </c>
      <c r="D40" s="145" t="s">
        <v>98</v>
      </c>
      <c r="E40" s="146">
        <v>0.57999999999999996</v>
      </c>
      <c r="F40" s="32">
        <v>82080.320000000007</v>
      </c>
      <c r="G40" s="32">
        <f t="shared" si="9"/>
        <v>82080.320000000007</v>
      </c>
      <c r="H40" s="33"/>
      <c r="I40" s="84">
        <f t="shared" si="4"/>
        <v>0</v>
      </c>
      <c r="J40" s="84">
        <f t="shared" si="5"/>
        <v>0</v>
      </c>
      <c r="K40" s="85">
        <f t="shared" ref="K40:K66" si="10">O$2*E40%</f>
        <v>0</v>
      </c>
      <c r="L40" s="85">
        <f t="shared" ref="L40:L66" si="11">O$1*E40%</f>
        <v>46283.717713999999</v>
      </c>
      <c r="M40" s="85">
        <f t="shared" si="8"/>
        <v>31096.311399999999</v>
      </c>
      <c r="N40" s="86">
        <v>0</v>
      </c>
      <c r="O40" s="87">
        <f t="shared" ref="O40:O66" si="12">ROUND(SUM(I40:N40),0) + Q40</f>
        <v>77380.320000000007</v>
      </c>
      <c r="P40" s="88">
        <f t="shared" si="3"/>
        <v>79701.320000000007</v>
      </c>
      <c r="Q40" s="22">
        <f t="shared" si="7"/>
        <v>0.32000000000000012</v>
      </c>
      <c r="R40" t="s">
        <v>151</v>
      </c>
    </row>
    <row r="41" spans="1:19" ht="17.100000000000001" customHeight="1" x14ac:dyDescent="0.3">
      <c r="A41" s="115" t="s">
        <v>24</v>
      </c>
      <c r="B41" s="145">
        <f t="shared" si="6"/>
        <v>33</v>
      </c>
      <c r="C41" s="145">
        <v>2204</v>
      </c>
      <c r="D41" s="145" t="s">
        <v>99</v>
      </c>
      <c r="E41" s="146">
        <v>1.36</v>
      </c>
      <c r="F41" s="32">
        <v>192464.33</v>
      </c>
      <c r="G41" s="32">
        <f t="shared" si="9"/>
        <v>192464.33</v>
      </c>
      <c r="H41" s="33"/>
      <c r="I41" s="84">
        <f t="shared" si="4"/>
        <v>0</v>
      </c>
      <c r="J41" s="84">
        <f t="shared" si="5"/>
        <v>0</v>
      </c>
      <c r="K41" s="85">
        <f t="shared" si="10"/>
        <v>0</v>
      </c>
      <c r="L41" s="85">
        <f t="shared" si="11"/>
        <v>108527.338088</v>
      </c>
      <c r="M41" s="85">
        <f t="shared" si="8"/>
        <v>72915.488800000006</v>
      </c>
      <c r="N41" s="86">
        <v>0</v>
      </c>
      <c r="O41" s="87">
        <f t="shared" si="12"/>
        <v>181443.33</v>
      </c>
      <c r="P41" s="88">
        <f t="shared" si="3"/>
        <v>186886.33</v>
      </c>
      <c r="Q41" s="22">
        <f t="shared" si="7"/>
        <v>0.33000000000000013</v>
      </c>
      <c r="R41" t="s">
        <v>151</v>
      </c>
    </row>
    <row r="42" spans="1:19" ht="17.100000000000001" customHeight="1" x14ac:dyDescent="0.3">
      <c r="A42" s="115" t="s">
        <v>25</v>
      </c>
      <c r="B42" s="145">
        <f t="shared" si="6"/>
        <v>34</v>
      </c>
      <c r="C42" s="145">
        <v>2205</v>
      </c>
      <c r="D42" s="145" t="s">
        <v>98</v>
      </c>
      <c r="E42" s="146">
        <v>1.67</v>
      </c>
      <c r="F42" s="32">
        <v>236335.34</v>
      </c>
      <c r="G42" s="32">
        <f t="shared" si="9"/>
        <v>236335.34</v>
      </c>
      <c r="H42" s="33"/>
      <c r="I42" s="84">
        <f t="shared" si="4"/>
        <v>0</v>
      </c>
      <c r="J42" s="84">
        <f t="shared" si="5"/>
        <v>0</v>
      </c>
      <c r="K42" s="85">
        <f t="shared" si="10"/>
        <v>0</v>
      </c>
      <c r="L42" s="85">
        <f t="shared" si="11"/>
        <v>133265.18721100001</v>
      </c>
      <c r="M42" s="85">
        <f t="shared" si="8"/>
        <v>89535.931100000002</v>
      </c>
      <c r="N42" s="86">
        <v>0</v>
      </c>
      <c r="O42" s="87">
        <f t="shared" si="12"/>
        <v>222801.34</v>
      </c>
      <c r="P42" s="88">
        <f t="shared" si="3"/>
        <v>229485.34</v>
      </c>
      <c r="Q42" s="22">
        <f t="shared" si="7"/>
        <v>0.34000000000000014</v>
      </c>
      <c r="R42" t="s">
        <v>151</v>
      </c>
    </row>
    <row r="43" spans="1:19" ht="17.100000000000001" customHeight="1" x14ac:dyDescent="0.3">
      <c r="A43" s="115" t="s">
        <v>27</v>
      </c>
      <c r="B43" s="145">
        <f t="shared" si="6"/>
        <v>35</v>
      </c>
      <c r="C43" s="145">
        <v>2206</v>
      </c>
      <c r="D43" s="145" t="s">
        <v>100</v>
      </c>
      <c r="E43" s="146">
        <v>2.17</v>
      </c>
      <c r="F43" s="32">
        <v>298795.34999999998</v>
      </c>
      <c r="G43" s="32">
        <f>472862.71-G44</f>
        <v>298795.35000000003</v>
      </c>
      <c r="H43" s="33"/>
      <c r="I43" s="84">
        <f t="shared" si="4"/>
        <v>0</v>
      </c>
      <c r="J43" s="84">
        <f t="shared" si="5"/>
        <v>0</v>
      </c>
      <c r="K43" s="85">
        <f t="shared" si="10"/>
        <v>0</v>
      </c>
      <c r="L43" s="85">
        <f t="shared" si="11"/>
        <v>173164.94386100001</v>
      </c>
      <c r="M43" s="85">
        <f t="shared" si="8"/>
        <v>116343.09610000001</v>
      </c>
      <c r="N43" s="86">
        <v>0</v>
      </c>
      <c r="O43" s="87">
        <f t="shared" si="12"/>
        <v>289508.34999999998</v>
      </c>
      <c r="P43" s="88">
        <f t="shared" si="3"/>
        <v>298193.34999999998</v>
      </c>
      <c r="Q43" s="22">
        <f t="shared" si="7"/>
        <v>0.35000000000000014</v>
      </c>
      <c r="R43" t="s">
        <v>149</v>
      </c>
    </row>
    <row r="44" spans="1:19" ht="17.100000000000001" customHeight="1" x14ac:dyDescent="0.3">
      <c r="A44" s="115" t="s">
        <v>27</v>
      </c>
      <c r="B44" s="145">
        <f t="shared" si="6"/>
        <v>36</v>
      </c>
      <c r="C44" s="145">
        <v>2207</v>
      </c>
      <c r="D44" s="145" t="s">
        <v>100</v>
      </c>
      <c r="E44" s="146">
        <v>1.23</v>
      </c>
      <c r="F44" s="32">
        <v>174067.36</v>
      </c>
      <c r="G44" s="32">
        <f>F44</f>
        <v>174067.36</v>
      </c>
      <c r="H44" s="33"/>
      <c r="I44" s="84">
        <f t="shared" si="4"/>
        <v>0</v>
      </c>
      <c r="J44" s="84">
        <f t="shared" si="5"/>
        <v>0</v>
      </c>
      <c r="K44" s="85">
        <f t="shared" si="10"/>
        <v>0</v>
      </c>
      <c r="L44" s="85">
        <f t="shared" si="11"/>
        <v>98153.401358999996</v>
      </c>
      <c r="M44" s="85">
        <f t="shared" si="8"/>
        <v>65945.625899999999</v>
      </c>
      <c r="N44" s="86">
        <v>0</v>
      </c>
      <c r="O44" s="87">
        <f t="shared" si="12"/>
        <v>164099.35999999999</v>
      </c>
      <c r="P44" s="88">
        <f t="shared" si="3"/>
        <v>169022.36</v>
      </c>
      <c r="Q44" s="22">
        <f t="shared" si="7"/>
        <v>0.36000000000000015</v>
      </c>
      <c r="R44" t="s">
        <v>149</v>
      </c>
    </row>
    <row r="45" spans="1:19" ht="17.100000000000001" customHeight="1" x14ac:dyDescent="0.3">
      <c r="A45" s="115" t="s">
        <v>27</v>
      </c>
      <c r="B45" s="145">
        <f t="shared" si="6"/>
        <v>37</v>
      </c>
      <c r="C45" s="145">
        <v>3308</v>
      </c>
      <c r="D45" s="145" t="s">
        <v>123</v>
      </c>
      <c r="E45" s="146">
        <v>1.23</v>
      </c>
      <c r="F45" s="32">
        <v>277093.37</v>
      </c>
      <c r="G45" s="32">
        <f>120063.37+100073.37</f>
        <v>220136.74</v>
      </c>
      <c r="H45" s="33"/>
      <c r="I45" s="84">
        <f t="shared" si="4"/>
        <v>56956.630000000005</v>
      </c>
      <c r="J45" s="84">
        <f t="shared" si="5"/>
        <v>1680.2205850000003</v>
      </c>
      <c r="K45" s="85">
        <f t="shared" si="10"/>
        <v>0</v>
      </c>
      <c r="L45" s="85">
        <f t="shared" si="11"/>
        <v>98153.401358999996</v>
      </c>
      <c r="M45" s="85">
        <f t="shared" si="8"/>
        <v>65945.625899999999</v>
      </c>
      <c r="N45" s="86">
        <v>0</v>
      </c>
      <c r="O45" s="87">
        <f t="shared" si="12"/>
        <v>222736.37</v>
      </c>
      <c r="P45" s="88">
        <f t="shared" si="3"/>
        <v>229418.37</v>
      </c>
      <c r="Q45" s="22">
        <f t="shared" si="7"/>
        <v>0.37000000000000016</v>
      </c>
      <c r="R45" s="72"/>
    </row>
    <row r="46" spans="1:19" ht="15" customHeight="1" x14ac:dyDescent="0.3">
      <c r="A46" s="115" t="s">
        <v>27</v>
      </c>
      <c r="B46" s="145">
        <f t="shared" si="6"/>
        <v>38</v>
      </c>
      <c r="C46" s="145">
        <v>3301</v>
      </c>
      <c r="D46" s="148" t="s">
        <v>124</v>
      </c>
      <c r="E46" s="146">
        <v>1.36</v>
      </c>
      <c r="F46" s="32">
        <v>192430.38</v>
      </c>
      <c r="G46" s="32">
        <v>0</v>
      </c>
      <c r="H46" s="33"/>
      <c r="I46" s="84">
        <f t="shared" si="4"/>
        <v>192430.38</v>
      </c>
      <c r="J46" s="84">
        <f t="shared" si="5"/>
        <v>5676.6962100000001</v>
      </c>
      <c r="K46" s="85">
        <f t="shared" si="10"/>
        <v>0</v>
      </c>
      <c r="L46" s="85">
        <f t="shared" si="11"/>
        <v>108527.338088</v>
      </c>
      <c r="M46" s="85">
        <f t="shared" si="8"/>
        <v>72915.488800000006</v>
      </c>
      <c r="N46" s="86">
        <v>0</v>
      </c>
      <c r="O46" s="87">
        <f t="shared" si="12"/>
        <v>379550.38</v>
      </c>
      <c r="P46" s="88">
        <f t="shared" si="3"/>
        <v>390937.38</v>
      </c>
      <c r="Q46" s="22">
        <f t="shared" si="7"/>
        <v>0.38000000000000017</v>
      </c>
    </row>
    <row r="47" spans="1:19" x14ac:dyDescent="0.3">
      <c r="A47" s="115" t="s">
        <v>27</v>
      </c>
      <c r="B47" s="145">
        <f>B46+1</f>
        <v>39</v>
      </c>
      <c r="C47" s="145">
        <v>3302</v>
      </c>
      <c r="D47" s="145" t="s">
        <v>101</v>
      </c>
      <c r="E47" s="146">
        <v>0.57999999999999996</v>
      </c>
      <c r="F47" s="32">
        <v>84542.39</v>
      </c>
      <c r="G47" s="32">
        <f>F47</f>
        <v>84542.39</v>
      </c>
      <c r="H47" s="40"/>
      <c r="I47" s="84">
        <f t="shared" si="4"/>
        <v>0</v>
      </c>
      <c r="J47" s="84">
        <f t="shared" si="5"/>
        <v>0</v>
      </c>
      <c r="K47" s="85">
        <f t="shared" si="10"/>
        <v>0</v>
      </c>
      <c r="L47" s="85">
        <f t="shared" si="11"/>
        <v>46283.717713999999</v>
      </c>
      <c r="M47" s="85">
        <f t="shared" si="8"/>
        <v>31096.311399999999</v>
      </c>
      <c r="N47" s="86">
        <v>0</v>
      </c>
      <c r="O47" s="87">
        <f t="shared" si="12"/>
        <v>77380.39</v>
      </c>
      <c r="P47" s="88">
        <f t="shared" si="3"/>
        <v>79701.39</v>
      </c>
      <c r="Q47" s="22">
        <f t="shared" si="7"/>
        <v>0.39000000000000018</v>
      </c>
    </row>
    <row r="48" spans="1:19" x14ac:dyDescent="0.3">
      <c r="A48" s="72"/>
      <c r="B48" s="145">
        <f t="shared" ref="B48:B66" si="13">B47+1</f>
        <v>40</v>
      </c>
      <c r="C48" s="145">
        <v>3303</v>
      </c>
      <c r="D48" s="145" t="s">
        <v>101</v>
      </c>
      <c r="E48" s="146">
        <v>0.57999999999999996</v>
      </c>
      <c r="F48" s="32">
        <v>84542.399999999994</v>
      </c>
      <c r="G48" s="32">
        <f>F48</f>
        <v>84542.399999999994</v>
      </c>
      <c r="H48" s="40"/>
      <c r="I48" s="84">
        <f t="shared" si="4"/>
        <v>0</v>
      </c>
      <c r="J48" s="84">
        <f t="shared" si="5"/>
        <v>0</v>
      </c>
      <c r="K48" s="85">
        <f t="shared" si="10"/>
        <v>0</v>
      </c>
      <c r="L48" s="85">
        <f t="shared" si="11"/>
        <v>46283.717713999999</v>
      </c>
      <c r="M48" s="85">
        <f t="shared" si="8"/>
        <v>31096.311399999999</v>
      </c>
      <c r="N48" s="86">
        <v>0</v>
      </c>
      <c r="O48" s="87">
        <f t="shared" si="12"/>
        <v>77380.399999999994</v>
      </c>
      <c r="P48" s="88">
        <f t="shared" si="3"/>
        <v>79701.399999999994</v>
      </c>
      <c r="Q48" s="22">
        <f t="shared" si="7"/>
        <v>0.40000000000000019</v>
      </c>
    </row>
    <row r="49" spans="1:18" x14ac:dyDescent="0.3">
      <c r="A49" s="72"/>
      <c r="B49" s="145">
        <f t="shared" si="13"/>
        <v>41</v>
      </c>
      <c r="C49" s="145">
        <v>3304</v>
      </c>
      <c r="D49" s="145" t="s">
        <v>130</v>
      </c>
      <c r="E49" s="146">
        <v>1.36</v>
      </c>
      <c r="F49" s="32">
        <v>188931.41</v>
      </c>
      <c r="G49" s="32">
        <v>190000</v>
      </c>
      <c r="H49" s="40"/>
      <c r="I49" s="84">
        <f t="shared" si="4"/>
        <v>-1068.5899999999965</v>
      </c>
      <c r="J49" s="84">
        <f t="shared" si="5"/>
        <v>0</v>
      </c>
      <c r="K49" s="85">
        <f t="shared" si="10"/>
        <v>0</v>
      </c>
      <c r="L49" s="85">
        <f t="shared" si="11"/>
        <v>108527.338088</v>
      </c>
      <c r="M49" s="85">
        <f t="shared" si="8"/>
        <v>72915.488800000006</v>
      </c>
      <c r="N49" s="86">
        <v>0</v>
      </c>
      <c r="O49" s="87">
        <f t="shared" si="12"/>
        <v>180374.41</v>
      </c>
      <c r="P49" s="88">
        <f t="shared" si="3"/>
        <v>185785.41</v>
      </c>
      <c r="Q49" s="22">
        <f t="shared" si="7"/>
        <v>0.4100000000000002</v>
      </c>
      <c r="R49" t="s">
        <v>189</v>
      </c>
    </row>
    <row r="50" spans="1:18" x14ac:dyDescent="0.3">
      <c r="A50" s="72"/>
      <c r="B50" s="145">
        <f t="shared" si="13"/>
        <v>42</v>
      </c>
      <c r="C50" s="145">
        <v>3305</v>
      </c>
      <c r="D50" s="145" t="s">
        <v>131</v>
      </c>
      <c r="E50" s="146">
        <v>1.67</v>
      </c>
      <c r="F50" s="32">
        <v>2037556.42</v>
      </c>
      <c r="G50" s="32">
        <v>0</v>
      </c>
      <c r="H50" s="40"/>
      <c r="I50" s="84">
        <f t="shared" si="4"/>
        <v>2037556.42</v>
      </c>
      <c r="J50" s="84">
        <f t="shared" si="5"/>
        <v>60107.914389999998</v>
      </c>
      <c r="K50" s="85">
        <f t="shared" si="10"/>
        <v>0</v>
      </c>
      <c r="L50" s="85">
        <f t="shared" si="11"/>
        <v>133265.18721100001</v>
      </c>
      <c r="M50" s="85">
        <f t="shared" si="8"/>
        <v>89535.931100000002</v>
      </c>
      <c r="N50" s="86">
        <v>0</v>
      </c>
      <c r="O50" s="87">
        <f t="shared" si="12"/>
        <v>2320465.42</v>
      </c>
      <c r="P50" s="88">
        <f t="shared" si="3"/>
        <v>2390079.42</v>
      </c>
      <c r="Q50" s="22">
        <f t="shared" si="7"/>
        <v>0.42000000000000021</v>
      </c>
    </row>
    <row r="51" spans="1:18" x14ac:dyDescent="0.3">
      <c r="A51" s="72"/>
      <c r="B51" s="145">
        <f t="shared" si="13"/>
        <v>43</v>
      </c>
      <c r="C51" s="145">
        <v>4406</v>
      </c>
      <c r="D51" s="145" t="s">
        <v>132</v>
      </c>
      <c r="E51" s="146">
        <v>2.17</v>
      </c>
      <c r="F51" s="32">
        <v>307094.43</v>
      </c>
      <c r="G51" s="32">
        <f>F51</f>
        <v>307094.43</v>
      </c>
      <c r="H51" s="40"/>
      <c r="I51" s="84">
        <f t="shared" si="4"/>
        <v>0</v>
      </c>
      <c r="J51" s="84">
        <f t="shared" si="5"/>
        <v>0</v>
      </c>
      <c r="K51" s="85">
        <f t="shared" si="10"/>
        <v>0</v>
      </c>
      <c r="L51" s="85">
        <f t="shared" si="11"/>
        <v>173164.94386100001</v>
      </c>
      <c r="M51" s="85">
        <f t="shared" si="8"/>
        <v>116343.09610000001</v>
      </c>
      <c r="N51" s="86">
        <v>0</v>
      </c>
      <c r="O51" s="87">
        <f t="shared" si="12"/>
        <v>289508.43</v>
      </c>
      <c r="P51" s="88">
        <f t="shared" si="3"/>
        <v>298193.43</v>
      </c>
      <c r="Q51" s="22">
        <f t="shared" si="7"/>
        <v>0.43000000000000022</v>
      </c>
    </row>
    <row r="52" spans="1:18" x14ac:dyDescent="0.3">
      <c r="A52" s="72"/>
      <c r="B52" s="145">
        <f t="shared" si="13"/>
        <v>44</v>
      </c>
      <c r="C52" s="145">
        <v>4407</v>
      </c>
      <c r="D52" s="145" t="s">
        <v>133</v>
      </c>
      <c r="E52" s="146">
        <v>1.23</v>
      </c>
      <c r="F52" s="32">
        <v>277093.44</v>
      </c>
      <c r="G52" s="32">
        <f>F52</f>
        <v>277093.44</v>
      </c>
      <c r="H52" s="40"/>
      <c r="I52" s="84">
        <f t="shared" si="4"/>
        <v>0</v>
      </c>
      <c r="J52" s="84">
        <f t="shared" si="5"/>
        <v>0</v>
      </c>
      <c r="K52" s="85">
        <f t="shared" si="10"/>
        <v>0</v>
      </c>
      <c r="L52" s="85">
        <f t="shared" si="11"/>
        <v>98153.401358999996</v>
      </c>
      <c r="M52" s="85">
        <f t="shared" si="8"/>
        <v>65945.625899999999</v>
      </c>
      <c r="N52" s="86">
        <v>0</v>
      </c>
      <c r="O52" s="87">
        <f t="shared" si="12"/>
        <v>164099.44</v>
      </c>
      <c r="P52" s="88">
        <f t="shared" si="3"/>
        <v>169022.44</v>
      </c>
      <c r="Q52" s="22">
        <f t="shared" si="7"/>
        <v>0.44000000000000022</v>
      </c>
    </row>
    <row r="53" spans="1:18" x14ac:dyDescent="0.3">
      <c r="A53" s="72"/>
      <c r="B53" s="145">
        <f t="shared" si="13"/>
        <v>45</v>
      </c>
      <c r="C53" s="145">
        <v>4408</v>
      </c>
      <c r="D53" s="145" t="s">
        <v>134</v>
      </c>
      <c r="E53" s="146">
        <v>1.29</v>
      </c>
      <c r="F53" s="32">
        <v>179409.45</v>
      </c>
      <c r="G53" s="32">
        <v>184791.45</v>
      </c>
      <c r="H53" s="40"/>
      <c r="I53" s="84">
        <f t="shared" si="4"/>
        <v>-5382</v>
      </c>
      <c r="J53" s="84">
        <f t="shared" si="5"/>
        <v>0</v>
      </c>
      <c r="K53" s="85">
        <f t="shared" si="10"/>
        <v>0</v>
      </c>
      <c r="L53" s="85">
        <f t="shared" si="11"/>
        <v>102941.37215700001</v>
      </c>
      <c r="M53" s="85">
        <f t="shared" si="8"/>
        <v>69162.485700000005</v>
      </c>
      <c r="N53" s="86">
        <v>0</v>
      </c>
      <c r="O53" s="87">
        <f t="shared" si="12"/>
        <v>166722.45000000001</v>
      </c>
      <c r="P53" s="88">
        <f t="shared" si="3"/>
        <v>171724.45</v>
      </c>
      <c r="Q53" s="22">
        <f t="shared" si="7"/>
        <v>0.45000000000000023</v>
      </c>
    </row>
    <row r="54" spans="1:18" x14ac:dyDescent="0.3">
      <c r="A54" s="72"/>
      <c r="B54" s="145">
        <f t="shared" si="13"/>
        <v>46</v>
      </c>
      <c r="C54" s="145">
        <v>4401</v>
      </c>
      <c r="D54" s="145" t="s">
        <v>135</v>
      </c>
      <c r="E54" s="146">
        <v>1.36</v>
      </c>
      <c r="F54" s="32">
        <v>192464.46</v>
      </c>
      <c r="G54" s="32">
        <f>F54</f>
        <v>192464.46</v>
      </c>
      <c r="H54" s="40"/>
      <c r="I54" s="84">
        <f t="shared" si="4"/>
        <v>0</v>
      </c>
      <c r="J54" s="84">
        <f t="shared" si="5"/>
        <v>0</v>
      </c>
      <c r="K54" s="85">
        <f t="shared" si="10"/>
        <v>0</v>
      </c>
      <c r="L54" s="85">
        <f t="shared" si="11"/>
        <v>108527.338088</v>
      </c>
      <c r="M54" s="85">
        <f t="shared" si="8"/>
        <v>72915.488800000006</v>
      </c>
      <c r="N54" s="86">
        <v>0</v>
      </c>
      <c r="O54" s="87">
        <f t="shared" si="12"/>
        <v>181443.46</v>
      </c>
      <c r="P54" s="88">
        <f t="shared" si="3"/>
        <v>186886.46</v>
      </c>
      <c r="Q54" s="22">
        <f t="shared" si="7"/>
        <v>0.46000000000000024</v>
      </c>
    </row>
    <row r="55" spans="1:18" x14ac:dyDescent="0.3">
      <c r="A55" s="72"/>
      <c r="B55" s="145">
        <f t="shared" si="13"/>
        <v>47</v>
      </c>
      <c r="C55" s="145">
        <v>4402</v>
      </c>
      <c r="D55" s="145" t="s">
        <v>136</v>
      </c>
      <c r="E55" s="146">
        <v>0.57999999999999996</v>
      </c>
      <c r="F55" s="32">
        <v>82080.47</v>
      </c>
      <c r="G55" s="32">
        <f>F55</f>
        <v>82080.47</v>
      </c>
      <c r="H55" s="40"/>
      <c r="I55" s="84">
        <f t="shared" si="4"/>
        <v>0</v>
      </c>
      <c r="J55" s="84">
        <f t="shared" si="5"/>
        <v>0</v>
      </c>
      <c r="K55" s="85">
        <f t="shared" si="10"/>
        <v>0</v>
      </c>
      <c r="L55" s="85">
        <f t="shared" si="11"/>
        <v>46283.717713999999</v>
      </c>
      <c r="M55" s="85">
        <f t="shared" si="8"/>
        <v>31096.311399999999</v>
      </c>
      <c r="N55" s="86">
        <v>0</v>
      </c>
      <c r="O55" s="87">
        <f t="shared" si="12"/>
        <v>77380.47</v>
      </c>
      <c r="P55" s="88">
        <f t="shared" si="3"/>
        <v>79701.47</v>
      </c>
      <c r="Q55" s="22">
        <f t="shared" si="7"/>
        <v>0.47000000000000025</v>
      </c>
    </row>
    <row r="56" spans="1:18" x14ac:dyDescent="0.3">
      <c r="A56" s="72"/>
      <c r="B56" s="145">
        <f t="shared" si="13"/>
        <v>48</v>
      </c>
      <c r="C56" s="145">
        <v>4403</v>
      </c>
      <c r="D56" s="145" t="s">
        <v>137</v>
      </c>
      <c r="E56" s="146">
        <v>0.57999999999999996</v>
      </c>
      <c r="F56" s="32">
        <v>80707.48</v>
      </c>
      <c r="G56" s="32">
        <v>83128.479999999996</v>
      </c>
      <c r="H56" s="40"/>
      <c r="I56" s="84">
        <f t="shared" si="4"/>
        <v>-2421</v>
      </c>
      <c r="J56" s="84">
        <f t="shared" si="5"/>
        <v>0</v>
      </c>
      <c r="K56" s="85">
        <f t="shared" si="10"/>
        <v>0</v>
      </c>
      <c r="L56" s="85">
        <f t="shared" si="11"/>
        <v>46283.717713999999</v>
      </c>
      <c r="M56" s="85">
        <f t="shared" si="8"/>
        <v>31096.311399999999</v>
      </c>
      <c r="N56" s="86">
        <v>0</v>
      </c>
      <c r="O56" s="87">
        <f t="shared" si="12"/>
        <v>74959.48</v>
      </c>
      <c r="P56" s="88">
        <f t="shared" si="3"/>
        <v>77208.479999999996</v>
      </c>
      <c r="Q56" s="22">
        <f t="shared" si="7"/>
        <v>0.48000000000000026</v>
      </c>
      <c r="R56" t="s">
        <v>152</v>
      </c>
    </row>
    <row r="57" spans="1:18" x14ac:dyDescent="0.3">
      <c r="A57" s="72"/>
      <c r="B57" s="145">
        <f t="shared" si="13"/>
        <v>49</v>
      </c>
      <c r="C57" s="145">
        <v>4404</v>
      </c>
      <c r="D57" s="145" t="s">
        <v>137</v>
      </c>
      <c r="E57" s="146">
        <v>1.36</v>
      </c>
      <c r="F57" s="32">
        <v>189244.49</v>
      </c>
      <c r="G57" s="32">
        <v>194921.49</v>
      </c>
      <c r="H57" s="40"/>
      <c r="I57" s="84">
        <f t="shared" si="4"/>
        <v>-5677</v>
      </c>
      <c r="J57" s="84">
        <f t="shared" si="5"/>
        <v>0</v>
      </c>
      <c r="K57" s="85">
        <f t="shared" si="10"/>
        <v>0</v>
      </c>
      <c r="L57" s="85">
        <f t="shared" si="11"/>
        <v>108527.338088</v>
      </c>
      <c r="M57" s="85">
        <f t="shared" si="8"/>
        <v>72915.488800000006</v>
      </c>
      <c r="N57" s="86">
        <v>0</v>
      </c>
      <c r="O57" s="87">
        <f t="shared" si="12"/>
        <v>175766.49</v>
      </c>
      <c r="P57" s="88">
        <f t="shared" si="3"/>
        <v>181039.49</v>
      </c>
      <c r="Q57" s="22">
        <f t="shared" si="7"/>
        <v>0.49000000000000027</v>
      </c>
      <c r="R57" t="s">
        <v>152</v>
      </c>
    </row>
    <row r="58" spans="1:18" x14ac:dyDescent="0.3">
      <c r="A58" s="72"/>
      <c r="B58" s="145">
        <f t="shared" si="13"/>
        <v>50</v>
      </c>
      <c r="C58" s="145">
        <v>4405</v>
      </c>
      <c r="D58" s="145" t="s">
        <v>137</v>
      </c>
      <c r="E58" s="146">
        <v>1.67</v>
      </c>
      <c r="F58" s="32">
        <v>232381.5</v>
      </c>
      <c r="G58" s="32">
        <v>239352.5</v>
      </c>
      <c r="H58" s="40"/>
      <c r="I58" s="84">
        <f t="shared" si="4"/>
        <v>-6971</v>
      </c>
      <c r="J58" s="84">
        <f t="shared" si="5"/>
        <v>0</v>
      </c>
      <c r="K58" s="85">
        <f t="shared" si="10"/>
        <v>0</v>
      </c>
      <c r="L58" s="85">
        <f t="shared" si="11"/>
        <v>133265.18721100001</v>
      </c>
      <c r="M58" s="85">
        <f t="shared" si="8"/>
        <v>89535.931100000002</v>
      </c>
      <c r="N58" s="86">
        <v>0</v>
      </c>
      <c r="O58" s="87">
        <f t="shared" si="12"/>
        <v>215830.5</v>
      </c>
      <c r="P58" s="88">
        <f t="shared" si="3"/>
        <v>222305.5</v>
      </c>
      <c r="Q58" s="22">
        <f t="shared" si="7"/>
        <v>0.50000000000000022</v>
      </c>
      <c r="R58" t="s">
        <v>152</v>
      </c>
    </row>
    <row r="59" spans="1:18" x14ac:dyDescent="0.3">
      <c r="A59" s="72"/>
      <c r="B59" s="145">
        <f t="shared" si="13"/>
        <v>51</v>
      </c>
      <c r="C59" s="145">
        <v>5506</v>
      </c>
      <c r="D59" s="145" t="s">
        <v>138</v>
      </c>
      <c r="E59" s="146">
        <v>2.17</v>
      </c>
      <c r="F59" s="32">
        <v>301952.51</v>
      </c>
      <c r="G59" s="32">
        <v>311011.51</v>
      </c>
      <c r="H59" s="40"/>
      <c r="I59" s="84">
        <f t="shared" si="4"/>
        <v>-9059</v>
      </c>
      <c r="J59" s="84">
        <f t="shared" si="5"/>
        <v>0</v>
      </c>
      <c r="K59" s="85">
        <f t="shared" si="10"/>
        <v>0</v>
      </c>
      <c r="L59" s="85">
        <f t="shared" si="11"/>
        <v>173164.94386100001</v>
      </c>
      <c r="M59" s="85">
        <f t="shared" si="8"/>
        <v>116343.09610000001</v>
      </c>
      <c r="N59" s="86">
        <v>0</v>
      </c>
      <c r="O59" s="87">
        <f t="shared" si="12"/>
        <v>280449.51</v>
      </c>
      <c r="P59" s="88">
        <f t="shared" si="3"/>
        <v>288862.51</v>
      </c>
      <c r="Q59" s="22">
        <f t="shared" si="7"/>
        <v>0.51000000000000023</v>
      </c>
    </row>
    <row r="60" spans="1:18" x14ac:dyDescent="0.3">
      <c r="A60" s="160"/>
      <c r="B60" s="161">
        <f t="shared" si="13"/>
        <v>52</v>
      </c>
      <c r="C60" s="161">
        <v>5507</v>
      </c>
      <c r="D60" s="161" t="s">
        <v>139</v>
      </c>
      <c r="E60" s="146">
        <v>1.79</v>
      </c>
      <c r="F60" s="32">
        <v>248584.52</v>
      </c>
      <c r="G60" s="32">
        <v>260000</v>
      </c>
      <c r="H60" s="40"/>
      <c r="I60" s="84">
        <f t="shared" si="4"/>
        <v>-11415.48000000001</v>
      </c>
      <c r="J60" s="84">
        <f t="shared" si="5"/>
        <v>0</v>
      </c>
      <c r="K60" s="85">
        <f t="shared" si="10"/>
        <v>0</v>
      </c>
      <c r="L60" s="85">
        <f t="shared" si="11"/>
        <v>142841.128807</v>
      </c>
      <c r="M60" s="85">
        <f t="shared" si="8"/>
        <v>95969.650699999998</v>
      </c>
      <c r="N60" s="86">
        <v>0</v>
      </c>
      <c r="O60" s="87">
        <f t="shared" si="12"/>
        <v>227395.52</v>
      </c>
      <c r="P60" s="88">
        <f t="shared" si="3"/>
        <v>234217.52</v>
      </c>
      <c r="Q60" s="22">
        <f t="shared" si="7"/>
        <v>0.52000000000000024</v>
      </c>
    </row>
    <row r="61" spans="1:18" x14ac:dyDescent="0.3">
      <c r="A61" s="72"/>
      <c r="B61" s="145">
        <f t="shared" si="13"/>
        <v>53</v>
      </c>
      <c r="C61" s="145">
        <v>5508</v>
      </c>
      <c r="D61" s="145" t="s">
        <v>140</v>
      </c>
      <c r="E61" s="146">
        <v>1.29</v>
      </c>
      <c r="F61" s="32">
        <v>313839.53000000003</v>
      </c>
      <c r="G61" s="32">
        <v>0</v>
      </c>
      <c r="H61" s="40"/>
      <c r="I61" s="84">
        <f t="shared" si="4"/>
        <v>313839.53000000003</v>
      </c>
      <c r="J61" s="84">
        <f t="shared" si="5"/>
        <v>9258.2661350000017</v>
      </c>
      <c r="K61" s="85">
        <f t="shared" si="10"/>
        <v>0</v>
      </c>
      <c r="L61" s="85">
        <f t="shared" si="11"/>
        <v>102941.37215700001</v>
      </c>
      <c r="M61" s="85">
        <f t="shared" si="8"/>
        <v>69162.485700000005</v>
      </c>
      <c r="N61" s="86">
        <v>0</v>
      </c>
      <c r="O61" s="87">
        <f t="shared" si="12"/>
        <v>495202.53</v>
      </c>
      <c r="P61" s="88">
        <f t="shared" si="3"/>
        <v>510058.53</v>
      </c>
      <c r="Q61" s="22">
        <f t="shared" si="7"/>
        <v>0.53000000000000025</v>
      </c>
    </row>
    <row r="62" spans="1:18" x14ac:dyDescent="0.3">
      <c r="A62" s="72"/>
      <c r="B62" s="145">
        <f t="shared" si="13"/>
        <v>54</v>
      </c>
      <c r="C62" s="145">
        <v>5501</v>
      </c>
      <c r="D62" s="145" t="s">
        <v>141</v>
      </c>
      <c r="E62" s="146">
        <v>1.36</v>
      </c>
      <c r="F62" s="32">
        <v>185829.54</v>
      </c>
      <c r="G62" s="32">
        <v>186000</v>
      </c>
      <c r="H62" s="40"/>
      <c r="I62" s="84">
        <f t="shared" si="4"/>
        <v>-170.45999999999185</v>
      </c>
      <c r="J62" s="84">
        <f t="shared" si="5"/>
        <v>0</v>
      </c>
      <c r="K62" s="85">
        <f t="shared" si="10"/>
        <v>0</v>
      </c>
      <c r="L62" s="85">
        <f t="shared" si="11"/>
        <v>108527.338088</v>
      </c>
      <c r="M62" s="85">
        <f t="shared" si="8"/>
        <v>72915.488800000006</v>
      </c>
      <c r="N62" s="86">
        <v>0</v>
      </c>
      <c r="O62" s="87">
        <f t="shared" si="12"/>
        <v>181272.54</v>
      </c>
      <c r="P62" s="88">
        <f t="shared" si="3"/>
        <v>186710.54</v>
      </c>
      <c r="Q62" s="22">
        <f t="shared" si="7"/>
        <v>0.54000000000000026</v>
      </c>
    </row>
    <row r="63" spans="1:18" x14ac:dyDescent="0.3">
      <c r="A63" s="72"/>
      <c r="B63" s="145">
        <f t="shared" si="13"/>
        <v>55</v>
      </c>
      <c r="C63" s="145">
        <v>5503</v>
      </c>
      <c r="D63" s="145" t="s">
        <v>142</v>
      </c>
      <c r="E63" s="146">
        <v>0.57999999999999996</v>
      </c>
      <c r="F63" s="32">
        <v>-316510.45</v>
      </c>
      <c r="G63" s="32">
        <v>0</v>
      </c>
      <c r="H63" s="40"/>
      <c r="I63" s="84">
        <f t="shared" si="4"/>
        <v>-316510.45</v>
      </c>
      <c r="J63" s="84">
        <f t="shared" si="5"/>
        <v>0</v>
      </c>
      <c r="K63" s="85">
        <f t="shared" si="10"/>
        <v>0</v>
      </c>
      <c r="L63" s="85">
        <f t="shared" si="11"/>
        <v>46283.717713999999</v>
      </c>
      <c r="M63" s="85">
        <f t="shared" si="8"/>
        <v>31096.311399999999</v>
      </c>
      <c r="N63" s="86">
        <v>0</v>
      </c>
      <c r="O63" s="87">
        <f t="shared" si="12"/>
        <v>-239129.45</v>
      </c>
      <c r="P63" s="88">
        <f t="shared" si="3"/>
        <v>-246303.45</v>
      </c>
      <c r="Q63" s="22">
        <f t="shared" si="7"/>
        <v>0.55000000000000027</v>
      </c>
      <c r="R63" t="s">
        <v>156</v>
      </c>
    </row>
    <row r="64" spans="1:18" x14ac:dyDescent="0.3">
      <c r="A64" s="72"/>
      <c r="B64" s="145">
        <f t="shared" si="13"/>
        <v>56</v>
      </c>
      <c r="C64" s="145">
        <v>5504</v>
      </c>
      <c r="D64" s="145" t="s">
        <v>82</v>
      </c>
      <c r="E64" s="146">
        <v>1.36</v>
      </c>
      <c r="F64" s="32">
        <v>192461.56</v>
      </c>
      <c r="G64" s="32">
        <v>191570</v>
      </c>
      <c r="H64" s="40"/>
      <c r="I64" s="34">
        <f t="shared" si="4"/>
        <v>891.55999999999767</v>
      </c>
      <c r="J64" s="34">
        <f t="shared" si="5"/>
        <v>26.301019999999934</v>
      </c>
      <c r="K64" s="35">
        <f t="shared" si="10"/>
        <v>0</v>
      </c>
      <c r="L64" s="35">
        <f t="shared" si="11"/>
        <v>108527.338088</v>
      </c>
      <c r="M64" s="85">
        <f t="shared" si="8"/>
        <v>72915.488800000006</v>
      </c>
      <c r="N64" s="36">
        <v>0</v>
      </c>
      <c r="O64" s="37">
        <f t="shared" si="12"/>
        <v>182361.56</v>
      </c>
      <c r="P64" s="38">
        <f t="shared" si="3"/>
        <v>187832.56</v>
      </c>
      <c r="Q64" s="22">
        <f t="shared" si="7"/>
        <v>0.56000000000000028</v>
      </c>
      <c r="R64" t="s">
        <v>145</v>
      </c>
    </row>
    <row r="65" spans="1:18" x14ac:dyDescent="0.3">
      <c r="A65" s="72"/>
      <c r="B65" s="145">
        <f t="shared" si="13"/>
        <v>57</v>
      </c>
      <c r="C65" s="145">
        <v>5502</v>
      </c>
      <c r="D65" s="145" t="s">
        <v>78</v>
      </c>
      <c r="E65" s="146">
        <v>0.57999999999999996</v>
      </c>
      <c r="F65" s="32">
        <v>84542.57</v>
      </c>
      <c r="G65" s="32">
        <f>F65</f>
        <v>84542.57</v>
      </c>
      <c r="H65" s="40"/>
      <c r="I65" s="34">
        <f t="shared" si="4"/>
        <v>0</v>
      </c>
      <c r="J65" s="34">
        <f t="shared" si="5"/>
        <v>0</v>
      </c>
      <c r="K65" s="35">
        <f t="shared" si="10"/>
        <v>0</v>
      </c>
      <c r="L65" s="35">
        <f t="shared" si="11"/>
        <v>46283.717713999999</v>
      </c>
      <c r="M65" s="85">
        <f t="shared" si="8"/>
        <v>31096.311399999999</v>
      </c>
      <c r="N65" s="36">
        <v>0</v>
      </c>
      <c r="O65" s="37">
        <f t="shared" si="12"/>
        <v>77380.570000000007</v>
      </c>
      <c r="P65" s="38">
        <f t="shared" si="3"/>
        <v>79701.570000000007</v>
      </c>
      <c r="Q65" s="22">
        <f t="shared" si="7"/>
        <v>0.57000000000000028</v>
      </c>
      <c r="R65" t="s">
        <v>160</v>
      </c>
    </row>
    <row r="66" spans="1:18" x14ac:dyDescent="0.3">
      <c r="B66" s="145">
        <f t="shared" si="13"/>
        <v>58</v>
      </c>
      <c r="C66" s="145">
        <v>5505</v>
      </c>
      <c r="D66" s="145" t="s">
        <v>143</v>
      </c>
      <c r="E66" s="146">
        <v>1.67</v>
      </c>
      <c r="F66" s="32">
        <v>243425.58</v>
      </c>
      <c r="G66" s="32">
        <f>F66</f>
        <v>243425.58</v>
      </c>
      <c r="H66" s="40"/>
      <c r="I66" s="34">
        <f t="shared" si="4"/>
        <v>0</v>
      </c>
      <c r="J66" s="34">
        <f t="shared" si="5"/>
        <v>0</v>
      </c>
      <c r="K66" s="35">
        <f t="shared" si="10"/>
        <v>0</v>
      </c>
      <c r="L66" s="35">
        <f t="shared" si="11"/>
        <v>133265.18721100001</v>
      </c>
      <c r="M66" s="85">
        <f t="shared" si="8"/>
        <v>89535.931100000002</v>
      </c>
      <c r="N66" s="36">
        <v>0</v>
      </c>
      <c r="O66" s="37">
        <f t="shared" si="12"/>
        <v>222801.58</v>
      </c>
      <c r="P66" s="38">
        <f t="shared" si="3"/>
        <v>229485.58</v>
      </c>
      <c r="Q66" s="22">
        <f t="shared" si="7"/>
        <v>0.58000000000000029</v>
      </c>
    </row>
    <row r="67" spans="1:18" x14ac:dyDescent="0.3">
      <c r="B67" s="83"/>
      <c r="C67" s="28"/>
      <c r="D67" s="28"/>
      <c r="E67" s="30"/>
      <c r="F67" s="39"/>
      <c r="G67" s="32"/>
      <c r="H67" s="40"/>
      <c r="I67" s="41"/>
      <c r="J67" s="34"/>
      <c r="K67" s="35"/>
      <c r="L67" s="42"/>
      <c r="M67" s="42"/>
      <c r="N67" s="39"/>
      <c r="O67" s="31"/>
      <c r="P67" s="31"/>
      <c r="Q67" s="22"/>
    </row>
    <row r="68" spans="1:18" ht="17.100000000000001" customHeight="1" thickBot="1" x14ac:dyDescent="0.35">
      <c r="B68" s="43"/>
      <c r="C68" s="44"/>
      <c r="D68" s="96"/>
      <c r="E68" s="98">
        <f>SUM(E8:E66)</f>
        <v>99.940000000000026</v>
      </c>
      <c r="F68" s="45">
        <f>SUM(F8:F66)</f>
        <v>33179570.109999999</v>
      </c>
      <c r="G68" s="45">
        <f>SUM(G8:G66)</f>
        <v>9927701.9800000004</v>
      </c>
      <c r="H68" s="97">
        <f t="shared" ref="H68" si="14">SUM(H8:H47)</f>
        <v>0</v>
      </c>
      <c r="I68" s="45">
        <f t="shared" ref="I68:P68" si="15">SUM(I8:I66)</f>
        <v>23251868.129999999</v>
      </c>
      <c r="J68" s="45">
        <f t="shared" si="15"/>
        <v>702926.36609500018</v>
      </c>
      <c r="K68" s="45">
        <f t="shared" si="15"/>
        <v>0</v>
      </c>
      <c r="L68" s="45">
        <f t="shared" si="15"/>
        <v>7975163.3592020022</v>
      </c>
      <c r="M68" s="97">
        <f t="shared" si="15"/>
        <v>3052799.9502000003</v>
      </c>
      <c r="N68" s="45">
        <f t="shared" si="15"/>
        <v>0</v>
      </c>
      <c r="O68" s="45">
        <f t="shared" si="15"/>
        <v>34982772.109999999</v>
      </c>
      <c r="P68" s="45">
        <f t="shared" si="15"/>
        <v>36032249.109999999</v>
      </c>
    </row>
    <row r="69" spans="1:18" ht="12.75" customHeight="1" x14ac:dyDescent="0.3">
      <c r="D69" s="24"/>
    </row>
    <row r="70" spans="1:18" hidden="1" x14ac:dyDescent="0.3"/>
    <row r="71" spans="1:18" ht="9" customHeight="1" x14ac:dyDescent="0.3">
      <c r="D71" s="196" t="s">
        <v>69</v>
      </c>
      <c r="E71" s="196"/>
      <c r="F71" s="196"/>
      <c r="G71" s="196"/>
      <c r="H71" s="196"/>
      <c r="I71" s="196"/>
      <c r="J71" s="196"/>
      <c r="K71" s="196"/>
      <c r="L71" s="196"/>
      <c r="M71" s="196"/>
      <c r="N71" s="196"/>
      <c r="O71" s="196"/>
    </row>
    <row r="72" spans="1:18" ht="12" hidden="1" customHeight="1" x14ac:dyDescent="0.3">
      <c r="D72" s="196"/>
      <c r="E72" s="196"/>
      <c r="F72" s="196"/>
      <c r="G72" s="196"/>
      <c r="H72" s="196"/>
      <c r="I72" s="196"/>
      <c r="J72" s="196"/>
      <c r="K72" s="196"/>
      <c r="L72" s="196"/>
      <c r="M72" s="196"/>
      <c r="N72" s="196"/>
      <c r="O72" s="196"/>
    </row>
    <row r="73" spans="1:18" ht="12" hidden="1" customHeight="1" x14ac:dyDescent="0.3">
      <c r="D73" s="196"/>
      <c r="E73" s="196"/>
      <c r="F73" s="196"/>
      <c r="G73" s="196"/>
      <c r="H73" s="196"/>
      <c r="I73" s="196"/>
      <c r="J73" s="196"/>
      <c r="K73" s="196"/>
      <c r="L73" s="196"/>
      <c r="M73" s="196"/>
      <c r="N73" s="196"/>
      <c r="O73" s="196"/>
    </row>
    <row r="74" spans="1:18" ht="12" hidden="1" customHeight="1" x14ac:dyDescent="0.3">
      <c r="D74" s="196"/>
      <c r="E74" s="196"/>
      <c r="F74" s="196"/>
      <c r="G74" s="196"/>
      <c r="H74" s="196"/>
      <c r="I74" s="196"/>
      <c r="J74" s="196"/>
      <c r="K74" s="196"/>
      <c r="L74" s="196"/>
      <c r="M74" s="196"/>
      <c r="N74" s="196"/>
      <c r="O74" s="196"/>
    </row>
    <row r="75" spans="1:18" ht="12" hidden="1" customHeight="1" x14ac:dyDescent="0.3">
      <c r="D75" s="196"/>
      <c r="E75" s="196"/>
      <c r="F75" s="196"/>
      <c r="G75" s="196"/>
      <c r="H75" s="196"/>
      <c r="I75" s="196"/>
      <c r="J75" s="196"/>
      <c r="K75" s="196"/>
      <c r="L75" s="196"/>
      <c r="M75" s="196"/>
      <c r="N75" s="196"/>
      <c r="O75" s="196"/>
    </row>
    <row r="76" spans="1:18" ht="65.25" customHeight="1" x14ac:dyDescent="0.3">
      <c r="D76" s="196"/>
      <c r="E76" s="196"/>
      <c r="F76" s="196"/>
      <c r="G76" s="196"/>
      <c r="H76" s="196"/>
      <c r="I76" s="196"/>
      <c r="J76" s="196"/>
      <c r="K76" s="196"/>
      <c r="L76" s="196"/>
      <c r="M76" s="196"/>
      <c r="N76" s="196"/>
      <c r="O76" s="196"/>
    </row>
  </sheetData>
  <mergeCells count="19">
    <mergeCell ref="B1:J2"/>
    <mergeCell ref="P6:P7"/>
    <mergeCell ref="D71:O76"/>
    <mergeCell ref="H6:H7"/>
    <mergeCell ref="J6:J7"/>
    <mergeCell ref="F6:F7"/>
    <mergeCell ref="G6:G7"/>
    <mergeCell ref="I6:I7"/>
    <mergeCell ref="K6:K7"/>
    <mergeCell ref="L6:L7"/>
    <mergeCell ref="N6:N7"/>
    <mergeCell ref="B4:P4"/>
    <mergeCell ref="B5:P5"/>
    <mergeCell ref="M6:M7"/>
    <mergeCell ref="A6:A7"/>
    <mergeCell ref="B6:B7"/>
    <mergeCell ref="C6:C7"/>
    <mergeCell ref="D6:D7"/>
    <mergeCell ref="E6:E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D240-6D8B-4144-A545-69291A6FAA07}">
  <dimension ref="C2:K15"/>
  <sheetViews>
    <sheetView workbookViewId="0">
      <selection activeCell="D12" sqref="C10:D12"/>
    </sheetView>
  </sheetViews>
  <sheetFormatPr baseColWidth="10" defaultColWidth="10.88671875" defaultRowHeight="14.4" x14ac:dyDescent="0.3"/>
  <sheetData>
    <row r="2" spans="3:11" ht="15" thickBot="1" x14ac:dyDescent="0.35">
      <c r="I2" s="72"/>
      <c r="J2" s="72"/>
      <c r="K2" s="72"/>
    </row>
    <row r="3" spans="3:11" x14ac:dyDescent="0.3">
      <c r="C3" s="162" t="s">
        <v>153</v>
      </c>
      <c r="D3" s="163">
        <v>1</v>
      </c>
      <c r="E3" s="108"/>
      <c r="F3" s="108"/>
      <c r="G3" s="108"/>
      <c r="H3" s="109"/>
      <c r="I3" s="21"/>
      <c r="J3" s="21"/>
      <c r="K3" s="72"/>
    </row>
    <row r="4" spans="3:11" x14ac:dyDescent="0.3">
      <c r="C4" s="164" t="s">
        <v>154</v>
      </c>
      <c r="D4" s="165">
        <v>53</v>
      </c>
      <c r="H4" s="110"/>
      <c r="I4" s="21"/>
      <c r="J4" s="21"/>
      <c r="K4" s="72"/>
    </row>
    <row r="5" spans="3:11" ht="15" thickBot="1" x14ac:dyDescent="0.35">
      <c r="C5" s="164"/>
      <c r="D5" s="165"/>
      <c r="H5" s="110"/>
      <c r="I5" s="21"/>
      <c r="J5" s="21"/>
      <c r="K5" s="72"/>
    </row>
    <row r="6" spans="3:11" ht="14.4" customHeight="1" x14ac:dyDescent="0.3">
      <c r="C6" s="211" t="s">
        <v>190</v>
      </c>
      <c r="D6" s="212"/>
      <c r="E6" s="212"/>
      <c r="F6" s="212"/>
      <c r="G6" s="212"/>
      <c r="H6" s="213"/>
      <c r="I6" s="21"/>
      <c r="J6" s="21"/>
      <c r="K6" s="72"/>
    </row>
    <row r="7" spans="3:11" x14ac:dyDescent="0.3">
      <c r="C7" s="214"/>
      <c r="D7" s="215"/>
      <c r="E7" s="215"/>
      <c r="F7" s="215"/>
      <c r="G7" s="215"/>
      <c r="H7" s="216"/>
      <c r="I7" s="21"/>
      <c r="J7" s="21"/>
      <c r="K7" s="72"/>
    </row>
    <row r="8" spans="3:11" ht="15" thickBot="1" x14ac:dyDescent="0.35">
      <c r="C8" s="217"/>
      <c r="D8" s="218"/>
      <c r="E8" s="218"/>
      <c r="F8" s="218"/>
      <c r="G8" s="218"/>
      <c r="H8" s="219"/>
      <c r="I8" s="21"/>
      <c r="J8" s="21"/>
      <c r="K8" s="72"/>
    </row>
    <row r="9" spans="3:11" ht="15" thickBot="1" x14ac:dyDescent="0.35">
      <c r="I9" s="72"/>
      <c r="J9" s="72"/>
      <c r="K9" s="72"/>
    </row>
    <row r="10" spans="3:11" x14ac:dyDescent="0.3">
      <c r="C10" s="166" t="s">
        <v>153</v>
      </c>
      <c r="D10" s="167">
        <f>D3+1</f>
        <v>2</v>
      </c>
      <c r="E10" s="108"/>
      <c r="F10" s="108"/>
      <c r="G10" s="108"/>
      <c r="H10" s="109"/>
    </row>
    <row r="11" spans="3:11" x14ac:dyDescent="0.3">
      <c r="C11" s="168" t="s">
        <v>154</v>
      </c>
      <c r="D11" s="169" t="s">
        <v>191</v>
      </c>
      <c r="H11" s="110"/>
    </row>
    <row r="12" spans="3:11" ht="15" thickBot="1" x14ac:dyDescent="0.35">
      <c r="C12" s="168"/>
      <c r="D12" s="169"/>
      <c r="H12" s="110"/>
    </row>
    <row r="13" spans="3:11" x14ac:dyDescent="0.3">
      <c r="C13" s="211" t="s">
        <v>192</v>
      </c>
      <c r="D13" s="212"/>
      <c r="E13" s="212"/>
      <c r="F13" s="212"/>
      <c r="G13" s="212"/>
      <c r="H13" s="213"/>
    </row>
    <row r="14" spans="3:11" x14ac:dyDescent="0.3">
      <c r="C14" s="214"/>
      <c r="D14" s="215"/>
      <c r="E14" s="215"/>
      <c r="F14" s="215"/>
      <c r="G14" s="215"/>
      <c r="H14" s="216"/>
    </row>
    <row r="15" spans="3:11" ht="15" thickBot="1" x14ac:dyDescent="0.35">
      <c r="C15" s="217"/>
      <c r="D15" s="218"/>
      <c r="E15" s="218"/>
      <c r="F15" s="218"/>
      <c r="G15" s="218"/>
      <c r="H15" s="219"/>
    </row>
  </sheetData>
  <mergeCells count="2">
    <mergeCell ref="C6:H8"/>
    <mergeCell ref="C13:H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BF67-58D9-44B8-9885-F86EBBDE6C60}">
  <dimension ref="A7:D11"/>
  <sheetViews>
    <sheetView workbookViewId="0">
      <selection activeCell="A7" sqref="A7:E14"/>
    </sheetView>
  </sheetViews>
  <sheetFormatPr baseColWidth="10" defaultRowHeight="14.4" x14ac:dyDescent="0.3"/>
  <cols>
    <col min="4" max="4" width="15.33203125" customWidth="1"/>
  </cols>
  <sheetData>
    <row r="7" spans="1:4" x14ac:dyDescent="0.3">
      <c r="A7" t="s">
        <v>162</v>
      </c>
      <c r="D7" s="141">
        <v>712896.01</v>
      </c>
    </row>
    <row r="8" spans="1:4" x14ac:dyDescent="0.3">
      <c r="A8" t="s">
        <v>163</v>
      </c>
      <c r="D8" s="141">
        <v>476368</v>
      </c>
    </row>
    <row r="9" spans="1:4" x14ac:dyDescent="0.3">
      <c r="A9" t="s">
        <v>164</v>
      </c>
      <c r="D9">
        <v>13644</v>
      </c>
    </row>
    <row r="11" spans="1:4" x14ac:dyDescent="0.3">
      <c r="A11" t="s">
        <v>165</v>
      </c>
      <c r="D11" s="22">
        <f>D7-D8-D9</f>
        <v>222884.01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2026-10-06T15:36:52Z</cp:lastPrinted>
  <dcterms:created xsi:type="dcterms:W3CDTF">2023-09-17T12:29:07Z</dcterms:created>
  <dcterms:modified xsi:type="dcterms:W3CDTF">2026-10-25T15:02:09Z</dcterms:modified>
</cp:coreProperties>
</file>