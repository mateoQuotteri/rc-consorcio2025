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 MITRE\Julio\"/>
    </mc:Choice>
  </mc:AlternateContent>
  <xr:revisionPtr revIDLastSave="0" documentId="13_ncr:1_{A4451969-0203-4682-BDBB-F861F040520A}" xr6:coauthVersionLast="47" xr6:coauthVersionMax="47" xr10:uidLastSave="{00000000-0000-0000-0000-000000000000}"/>
  <bookViews>
    <workbookView xWindow="-108" yWindow="-108" windowWidth="23256" windowHeight="12576" tabRatio="793" activeTab="1" xr2:uid="{00000000-000D-0000-FFFF-FFFF00000000}"/>
  </bookViews>
  <sheets>
    <sheet name="RESUMEN" sheetId="1" r:id="rId1"/>
    <sheet name="PRORRATEO" sheetId="2" r:id="rId2"/>
    <sheet name="ANOTACIONES" sheetId="3" r:id="rId3"/>
    <sheet name="Hoja1" sheetId="4" r:id="rId4"/>
  </sheets>
  <definedNames>
    <definedName name="_xlnm.Print_Area" localSheetId="1">PRORRATEO!$A$1:$O$76</definedName>
    <definedName name="_xlnm.Print_Area" localSheetId="0">RESUMEN!$A$1:$D$117</definedName>
  </definedNames>
  <calcPr calcId="181029"/>
</workbook>
</file>

<file path=xl/calcChain.xml><?xml version="1.0" encoding="utf-8"?>
<calcChain xmlns="http://schemas.openxmlformats.org/spreadsheetml/2006/main">
  <c r="D11" i="4" l="1"/>
  <c r="G53" i="2" l="1"/>
  <c r="D70" i="1"/>
  <c r="B104" i="1"/>
  <c r="G29" i="2"/>
  <c r="G28" i="2" l="1"/>
  <c r="G14" i="2"/>
  <c r="G11" i="2"/>
  <c r="G51" i="2"/>
  <c r="G54" i="2"/>
  <c r="G12" i="2"/>
  <c r="G41" i="2"/>
  <c r="G40" i="2"/>
  <c r="G39" i="2"/>
  <c r="G38" i="2"/>
  <c r="G10" i="2"/>
  <c r="G37" i="2"/>
  <c r="G44" i="2"/>
  <c r="D53" i="1"/>
  <c r="D56" i="1" s="1"/>
  <c r="D64" i="1" l="1"/>
  <c r="D57" i="1"/>
  <c r="D50" i="1"/>
  <c r="D39" i="1"/>
  <c r="D42" i="1"/>
  <c r="G47" i="2" l="1"/>
  <c r="G46" i="2"/>
  <c r="B116" i="1"/>
  <c r="G34" i="2"/>
  <c r="G33" i="2"/>
  <c r="D68" i="1"/>
  <c r="D46" i="1"/>
  <c r="N1" i="2" l="1"/>
  <c r="C30" i="1"/>
  <c r="C33" i="1"/>
  <c r="G43" i="2" l="1"/>
  <c r="G42" i="2" s="1"/>
  <c r="G21" i="2" l="1"/>
  <c r="G20" i="2" s="1"/>
  <c r="I34" i="2"/>
  <c r="J34" i="2" s="1"/>
  <c r="I53" i="2"/>
  <c r="J53" i="2" s="1"/>
  <c r="I50" i="2"/>
  <c r="J50" i="2" s="1"/>
  <c r="I30" i="2"/>
  <c r="J30" i="2" s="1"/>
  <c r="I13" i="2"/>
  <c r="J13" i="2" s="1"/>
  <c r="I58" i="2"/>
  <c r="J58" i="2" s="1"/>
  <c r="L47" i="2"/>
  <c r="L48" i="2"/>
  <c r="L49" i="2"/>
  <c r="L50" i="2"/>
  <c r="L51" i="2"/>
  <c r="L52" i="2"/>
  <c r="L53" i="2"/>
  <c r="L54" i="2"/>
  <c r="L55" i="2"/>
  <c r="L56" i="2"/>
  <c r="L57" i="2"/>
  <c r="L58" i="2"/>
  <c r="L59" i="2"/>
  <c r="L60" i="2"/>
  <c r="L61" i="2"/>
  <c r="L62" i="2"/>
  <c r="L63" i="2"/>
  <c r="L64" i="2"/>
  <c r="L65" i="2"/>
  <c r="K47" i="2"/>
  <c r="K48" i="2"/>
  <c r="K49" i="2"/>
  <c r="K50" i="2"/>
  <c r="K51" i="2"/>
  <c r="K52" i="2"/>
  <c r="K53" i="2"/>
  <c r="K54" i="2"/>
  <c r="K55" i="2"/>
  <c r="K56" i="2"/>
  <c r="K57" i="2"/>
  <c r="K58" i="2"/>
  <c r="K59" i="2"/>
  <c r="K60" i="2"/>
  <c r="K61" i="2"/>
  <c r="K62" i="2"/>
  <c r="K63" i="2"/>
  <c r="K64" i="2"/>
  <c r="K65" i="2"/>
  <c r="I47" i="2"/>
  <c r="J47" i="2" s="1"/>
  <c r="I48" i="2"/>
  <c r="J48" i="2" s="1"/>
  <c r="I49" i="2"/>
  <c r="J49" i="2" s="1"/>
  <c r="I51" i="2"/>
  <c r="J51" i="2" s="1"/>
  <c r="I52" i="2"/>
  <c r="J52" i="2" s="1"/>
  <c r="I54" i="2"/>
  <c r="J54" i="2" s="1"/>
  <c r="I55" i="2"/>
  <c r="J55" i="2" s="1"/>
  <c r="I56" i="2"/>
  <c r="J56" i="2" s="1"/>
  <c r="I57" i="2"/>
  <c r="J57" i="2" s="1"/>
  <c r="I59" i="2"/>
  <c r="J59" i="2" s="1"/>
  <c r="I60" i="2"/>
  <c r="J60" i="2" s="1"/>
  <c r="I61" i="2"/>
  <c r="J61" i="2" s="1"/>
  <c r="I62" i="2"/>
  <c r="J62" i="2" s="1"/>
  <c r="I63" i="2"/>
  <c r="J63" i="2" s="1"/>
  <c r="I64" i="2"/>
  <c r="J64" i="2" s="1"/>
  <c r="I65" i="2"/>
  <c r="J65" i="2" s="1"/>
  <c r="M67" i="2"/>
  <c r="F67" i="2"/>
  <c r="E67" i="2"/>
  <c r="L8" i="2"/>
  <c r="K8" i="2"/>
  <c r="I8" i="2"/>
  <c r="J8" i="2" s="1"/>
  <c r="D49" i="1"/>
  <c r="D48" i="1"/>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I46" i="2"/>
  <c r="J46" i="2" s="1"/>
  <c r="B9" i="2"/>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I14" i="2"/>
  <c r="J14" i="2" s="1"/>
  <c r="I15" i="2"/>
  <c r="I16" i="2"/>
  <c r="J16" i="2" s="1"/>
  <c r="I17" i="2"/>
  <c r="J17" i="2" s="1"/>
  <c r="I18" i="2"/>
  <c r="J18" i="2" s="1"/>
  <c r="I19" i="2"/>
  <c r="J19" i="2" s="1"/>
  <c r="I21" i="2"/>
  <c r="J21" i="2" s="1"/>
  <c r="I22" i="2"/>
  <c r="J22" i="2" s="1"/>
  <c r="I23" i="2"/>
  <c r="I24" i="2"/>
  <c r="J24" i="2" s="1"/>
  <c r="I26" i="2"/>
  <c r="J26" i="2" s="1"/>
  <c r="I27" i="2"/>
  <c r="J27" i="2" s="1"/>
  <c r="I28" i="2"/>
  <c r="J28" i="2" s="1"/>
  <c r="I31" i="2"/>
  <c r="J31" i="2" s="1"/>
  <c r="I35" i="2"/>
  <c r="J35" i="2" s="1"/>
  <c r="I38" i="2"/>
  <c r="J38" i="2" s="1"/>
  <c r="I40" i="2"/>
  <c r="J40" i="2" s="1"/>
  <c r="I45" i="2"/>
  <c r="J45" i="2" s="1"/>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I25" i="2"/>
  <c r="J25" i="2" s="1"/>
  <c r="I42" i="2"/>
  <c r="J42" i="2" s="1"/>
  <c r="I44" i="2"/>
  <c r="J44" i="2" s="1"/>
  <c r="I37" i="2"/>
  <c r="J37" i="2" s="1"/>
  <c r="I43" i="2"/>
  <c r="J43" i="2" s="1"/>
  <c r="I20" i="2" l="1"/>
  <c r="J20" i="2" s="1"/>
  <c r="P48" i="2"/>
  <c r="N47" i="2"/>
  <c r="O47" i="2" s="1"/>
  <c r="I36" i="2"/>
  <c r="J36" i="2" s="1"/>
  <c r="N48" i="2"/>
  <c r="O48" i="2" s="1"/>
  <c r="P49" i="2"/>
  <c r="N8" i="2"/>
  <c r="O8" i="2" s="1"/>
  <c r="J23" i="2"/>
  <c r="J15" i="2"/>
  <c r="I32" i="2"/>
  <c r="J32" i="2" s="1"/>
  <c r="I29" i="2"/>
  <c r="J29" i="2" s="1"/>
  <c r="G67" i="2" l="1"/>
  <c r="N49" i="2"/>
  <c r="O49" i="2" s="1"/>
  <c r="P50" i="2"/>
  <c r="C26" i="1"/>
  <c r="D34" i="1" s="1"/>
  <c r="I41" i="2"/>
  <c r="J41" i="2" s="1"/>
  <c r="P51" i="2" l="1"/>
  <c r="N50" i="2"/>
  <c r="O50" i="2" s="1"/>
  <c r="P52" i="2" l="1"/>
  <c r="N51" i="2"/>
  <c r="O51" i="2" l="1"/>
  <c r="N52" i="2"/>
  <c r="O52" i="2" s="1"/>
  <c r="P53" i="2"/>
  <c r="I39" i="2"/>
  <c r="J39" i="2" s="1"/>
  <c r="N53" i="2" l="1"/>
  <c r="O53" i="2" s="1"/>
  <c r="P54" i="2"/>
  <c r="I33" i="2"/>
  <c r="J33" i="2" s="1"/>
  <c r="P55" i="2" l="1"/>
  <c r="N54" i="2"/>
  <c r="O54" i="2" s="1"/>
  <c r="L7" i="2"/>
  <c r="I9" i="2"/>
  <c r="J9" i="2" s="1"/>
  <c r="I10" i="2"/>
  <c r="I11" i="2"/>
  <c r="J11" i="2" s="1"/>
  <c r="I12" i="2"/>
  <c r="J12" i="2" s="1"/>
  <c r="J10" i="2" l="1"/>
  <c r="N55" i="2"/>
  <c r="O55" i="2" s="1"/>
  <c r="P56" i="2"/>
  <c r="H67" i="2"/>
  <c r="N56" i="2" l="1"/>
  <c r="O56" i="2" s="1"/>
  <c r="P57" i="2"/>
  <c r="P58" i="2" l="1"/>
  <c r="N57" i="2"/>
  <c r="O57" i="2" s="1"/>
  <c r="K9" i="2"/>
  <c r="K10" i="2"/>
  <c r="K11" i="2"/>
  <c r="K12" i="2"/>
  <c r="K7" i="2"/>
  <c r="K67" i="2" l="1"/>
  <c r="P59" i="2"/>
  <c r="N58" i="2"/>
  <c r="O58" i="2" s="1"/>
  <c r="D79" i="1"/>
  <c r="D84" i="1" s="1"/>
  <c r="B88" i="1" s="1"/>
  <c r="B106" i="1" s="1"/>
  <c r="P60" i="2" l="1"/>
  <c r="N59" i="2"/>
  <c r="O59" i="2" s="1"/>
  <c r="B101" i="1"/>
  <c r="N60" i="2" l="1"/>
  <c r="O60" i="2" s="1"/>
  <c r="P61" i="2"/>
  <c r="D72" i="1"/>
  <c r="N61" i="2" l="1"/>
  <c r="O61" i="2" s="1"/>
  <c r="P62" i="2"/>
  <c r="N6" i="2"/>
  <c r="P63" i="2" l="1"/>
  <c r="N62" i="2"/>
  <c r="O62" i="2" s="1"/>
  <c r="N13" i="2"/>
  <c r="O13" i="2" s="1"/>
  <c r="B100" i="1"/>
  <c r="N63" i="2" l="1"/>
  <c r="O63" i="2" s="1"/>
  <c r="P64" i="2"/>
  <c r="N14" i="2"/>
  <c r="O14" i="2" s="1"/>
  <c r="I7" i="2"/>
  <c r="J7" i="2" l="1"/>
  <c r="J67" i="2" s="1"/>
  <c r="I67" i="2"/>
  <c r="N64" i="2"/>
  <c r="O64" i="2" s="1"/>
  <c r="P65" i="2"/>
  <c r="N65" i="2" s="1"/>
  <c r="N15" i="2"/>
  <c r="O15" i="2" s="1"/>
  <c r="B89" i="1"/>
  <c r="O65" i="2" l="1"/>
  <c r="N16" i="2"/>
  <c r="O16" i="2" s="1"/>
  <c r="B87" i="1"/>
  <c r="B105" i="1" s="1"/>
  <c r="B107" i="1" s="1"/>
  <c r="L9" i="2"/>
  <c r="L10" i="2"/>
  <c r="N10" i="2" s="1"/>
  <c r="L11" i="2"/>
  <c r="N11" i="2" s="1"/>
  <c r="L12" i="2"/>
  <c r="N12" i="2" s="1"/>
  <c r="N7" i="2"/>
  <c r="L67" i="2" l="1"/>
  <c r="N17" i="2"/>
  <c r="O17" i="2" s="1"/>
  <c r="N9" i="2"/>
  <c r="O9" i="2" s="1"/>
  <c r="O7" i="2"/>
  <c r="O12" i="2"/>
  <c r="O11" i="2"/>
  <c r="O10" i="2"/>
  <c r="N18" i="2" l="1"/>
  <c r="O18" i="2" s="1"/>
  <c r="N19" i="2" l="1"/>
  <c r="B86" i="1"/>
  <c r="O19" i="2" l="1"/>
  <c r="N20" i="2"/>
  <c r="O20" i="2" s="1"/>
  <c r="N21" i="2" l="1"/>
  <c r="N22" i="2" l="1"/>
  <c r="O22" i="2" s="1"/>
  <c r="O21" i="2"/>
  <c r="N23" i="2" l="1"/>
  <c r="O23" i="2" s="1"/>
  <c r="N24" i="2" l="1"/>
  <c r="N25" i="2" l="1"/>
  <c r="O25" i="2" s="1"/>
  <c r="O24" i="2"/>
  <c r="N26" i="2" l="1"/>
  <c r="O26" i="2" l="1"/>
  <c r="N27" i="2"/>
  <c r="O27" i="2" s="1"/>
  <c r="N28" i="2" l="1"/>
  <c r="O28" i="2" s="1"/>
  <c r="N29" i="2" l="1"/>
  <c r="O29" i="2" s="1"/>
  <c r="N30" i="2" l="1"/>
  <c r="O30" i="2" s="1"/>
  <c r="N31" i="2" l="1"/>
  <c r="O31" i="2" s="1"/>
  <c r="N32" i="2" l="1"/>
  <c r="O32" i="2" s="1"/>
  <c r="N33" i="2" l="1"/>
  <c r="O33" i="2" s="1"/>
  <c r="N34" i="2" l="1"/>
  <c r="O34" i="2" s="1"/>
  <c r="N35" i="2" l="1"/>
  <c r="O35" i="2" s="1"/>
  <c r="N36" i="2" l="1"/>
  <c r="O36" i="2" l="1"/>
  <c r="N37" i="2"/>
  <c r="O37" i="2" s="1"/>
  <c r="N38" i="2" l="1"/>
  <c r="O38" i="2" s="1"/>
  <c r="N39" i="2" l="1"/>
  <c r="O39" i="2" s="1"/>
  <c r="N40" i="2" l="1"/>
  <c r="O40" i="2" s="1"/>
  <c r="N41" i="2" l="1"/>
  <c r="O41" i="2" s="1"/>
  <c r="N42" i="2" l="1"/>
  <c r="O42" i="2" s="1"/>
  <c r="N43" i="2" l="1"/>
  <c r="O43" i="2" s="1"/>
  <c r="N44" i="2" l="1"/>
  <c r="O44" i="2" l="1"/>
  <c r="N46" i="2"/>
  <c r="O46" i="2" s="1"/>
  <c r="N45" i="2"/>
  <c r="N67" i="2" l="1"/>
  <c r="O45" i="2"/>
  <c r="O67" i="2" s="1"/>
</calcChain>
</file>

<file path=xl/sharedStrings.xml><?xml version="1.0" encoding="utf-8"?>
<sst xmlns="http://schemas.openxmlformats.org/spreadsheetml/2006/main" count="288" uniqueCount="218">
  <si>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</si>
  <si>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</si>
  <si>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</si>
  <si>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</si>
  <si>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</si>
  <si>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</si>
  <si>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</si>
  <si>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</si>
  <si>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</si>
  <si>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</si>
  <si>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</si>
  <si>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</si>
  <si>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</si>
  <si>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</si>
  <si>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</si>
  <si>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</si>
  <si>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</si>
  <si>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</si>
  <si>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</si>
  <si>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</si>
  <si>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</si>
  <si>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</si>
  <si>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</si>
  <si>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</si>
  <si>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</si>
  <si>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</si>
  <si>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</si>
  <si>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</si>
  <si>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</si>
  <si>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</si>
  <si>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</si>
  <si>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</si>
  <si>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</si>
  <si>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</si>
  <si>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</si>
  <si>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</si>
  <si>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</si>
  <si>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</si>
  <si>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</si>
  <si>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</si>
  <si>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</si>
  <si>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</si>
  <si>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</si>
  <si>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</si>
  <si>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</si>
  <si>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</si>
  <si>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</si>
  <si>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</si>
  <si>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</si>
  <si>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</si>
  <si>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</si>
  <si>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</si>
  <si>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</si>
  <si>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</si>
  <si>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</si>
  <si>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</si>
  <si>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</si>
  <si>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</si>
  <si>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</si>
  <si>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</si>
  <si>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</si>
  <si>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</si>
  <si>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</si>
  <si>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</si>
  <si>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</si>
  <si>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</si>
  <si>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</si>
  <si>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</si>
  <si>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</si>
  <si>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</si>
  <si>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</si>
  <si>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</si>
  <si>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</si>
  <si>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</si>
  <si>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</si>
  <si>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</si>
  <si>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</si>
  <si>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</si>
  <si>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</si>
  <si>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</si>
  <si>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</si>
  <si>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</si>
  <si>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</si>
  <si>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</si>
  <si>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</si>
  <si>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</si>
  <si>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</si>
  <si>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</si>
  <si>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</si>
  <si>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</si>
  <si>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</si>
  <si>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</si>
  <si>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</si>
  <si>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</si>
  <si>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</si>
  <si>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</si>
  <si>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</si>
  <si>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</si>
  <si>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</si>
  <si>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</si>
  <si>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</si>
  <si>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</si>
  <si>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</si>
  <si>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</si>
  <si>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</si>
  <si>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</si>
  <si>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</si>
  <si>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</si>
  <si>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</si>
  <si>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</si>
  <si>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</si>
  <si>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</si>
  <si>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</si>
  <si>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</si>
  <si>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</si>
  <si>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</si>
  <si>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</si>
  <si>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</si>
  <si>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</si>
  <si>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</si>
  <si>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</si>
  <si>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</si>
  <si>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</si>
  <si>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</si>
  <si>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</si>
  <si>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</si>
  <si>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</si>
  <si>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</si>
  <si>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</si>
  <si>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 xml:space="preserve">Planes de pago - Afip - aportes de seg. social 06/2022 y 11/2022 </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</si>
  <si>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</si>
  <si>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</si>
  <si>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</si>
  <si>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</si>
  <si>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</si>
  <si>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</si>
  <si>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</si>
  <si>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</si>
  <si>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</si>
  <si>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</si>
  <si>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</si>
  <si>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</si>
  <si>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</si>
  <si>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</si>
  <si>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</si>
  <si>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</si>
  <si>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</si>
  <si>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</si>
  <si>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</si>
  <si>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</si>
  <si>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</si>
  <si>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</si>
  <si>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</si>
  <si>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</si>
  <si>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</si>
  <si>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</si>
  <si>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Andes elevadores - Servicio de mantenimiento de ascensores</t>
  </si>
  <si>
    <t>Honorarios Sra. Abogada - Lorena Ferreiro</t>
  </si>
  <si>
    <t>TSG - Municipalidad de avellaneda</t>
  </si>
  <si>
    <t>AySa</t>
  </si>
  <si>
    <t>Gustavo Padron - Sr. Contador</t>
  </si>
  <si>
    <t>Juana Acuña</t>
  </si>
  <si>
    <t>Frisco - Capetello Silvia Viviana</t>
  </si>
  <si>
    <t>creo que cobran mes atrasado</t>
  </si>
  <si>
    <t>Articulos de limpieza</t>
  </si>
  <si>
    <t>Transf 11/06</t>
  </si>
  <si>
    <t>Dinero Fondo FIMA - Al 05/07/2026</t>
  </si>
  <si>
    <t>Cubas Ciancio Jorge - Obras y pinturas</t>
  </si>
  <si>
    <t>Transf 13/07</t>
  </si>
  <si>
    <t>Doartero Julio - Destapacion baños hombre del entrepiso (con inodoro) - Mano de obra y materiales</t>
  </si>
  <si>
    <t>Transf 16/07</t>
  </si>
  <si>
    <t>VTO 17/08</t>
  </si>
  <si>
    <t>Carrafiele Julio -  Mes de junio</t>
  </si>
  <si>
    <t>Ivana del Carmen Roldan -  Mes de junio</t>
  </si>
  <si>
    <t>Debito 13/07</t>
  </si>
  <si>
    <t>Honorarios administracion RC - Se adeudan $90.000, JUNIO Y JULIO completo ($650.000 C/U)</t>
  </si>
  <si>
    <t>Transf 15/07</t>
  </si>
  <si>
    <t>Cuota 35/36 - planes de pago - Afip - contrib. de seg. social 06/2022 y 11/2022</t>
  </si>
  <si>
    <t>Debito 15/07</t>
  </si>
  <si>
    <t>Doartero Julio - Cambio de mochila y reparacion de luces en baño - Material y mano de obra</t>
  </si>
  <si>
    <t>Transf 27/07</t>
  </si>
  <si>
    <t>Debito 27/07</t>
  </si>
  <si>
    <t>Transf 30/7</t>
  </si>
  <si>
    <t>No se abono</t>
  </si>
  <si>
    <t>Se adeuda JULIO</t>
  </si>
  <si>
    <t>Incluye SAC</t>
  </si>
  <si>
    <t>Rocio Ailin - Transferencia 15/07</t>
  </si>
  <si>
    <t>Maria Gabriela Stur</t>
  </si>
  <si>
    <t>QUIENES ESTAN EN VIOLETA NO ESTAN RESPETANDO LOS CENTAVOS AL ABONAR.</t>
  </si>
  <si>
    <t>Vanesa Llacq - Transferencia 17/07</t>
  </si>
  <si>
    <t>Deposito mal imputado mes anterior (UF 22)</t>
  </si>
  <si>
    <t>Deposito ya identificado mes anterior - 22/05 - L5</t>
  </si>
  <si>
    <t>ESTE MES ESPERAMOS ESTAR REGULARIZADOS ANTE ARCA, Y DEBEMOS PONER LOS 931 AL DIA ES POR ESO QUE SE MANTIENE EL MONTO PRORRATEADO</t>
  </si>
  <si>
    <t>PREVISION ORDINARIA ARCA</t>
  </si>
  <si>
    <t>Transfirio 104.955,29 el 07/07 y la pusimos impaga este mes debe abonar lo mismo</t>
  </si>
  <si>
    <t>Rocio Aylin</t>
  </si>
  <si>
    <t>Juana acuña</t>
  </si>
  <si>
    <t>Juana acuña menciona que: "La unidad funcional de Emilio Alonso Priero es la (UF55) No es la 45 como figura en la liquidación. Por favor podrían arreglarlo."</t>
  </si>
  <si>
    <t>La de los depositos no identificados de rocio ailin es la of 57 - Este mes debe abonar $47.189,57 LO ABONA EL 11/08</t>
  </si>
  <si>
    <t>UF 52 deposito $146.000 el 11/08 Mitre</t>
  </si>
  <si>
    <t>Luciano javier petrino</t>
  </si>
  <si>
    <t xml:space="preserve">Local 11 y 12 </t>
  </si>
  <si>
    <t>Luciano javier Petrino</t>
  </si>
  <si>
    <t>Local 1</t>
  </si>
  <si>
    <t>SICUSO</t>
  </si>
  <si>
    <t>OF que abona con 46 centavos</t>
  </si>
  <si>
    <t>Le pasamos mal un saldo anterior en junio, y eso genero una pelota de deuda indebida - Debe abonar $110.650,46</t>
  </si>
  <si>
    <t>Deposito no identificado Junio $260.000 es del local 11 y 12 - Tambien Transfirio el 06/07 $300.000 - Chequear en el banco. Si todo esta correcto sus numeros a abonar son : L11: $430.854,11 y $235.930,12 - Abono el 12/08 $686.788,23</t>
  </si>
  <si>
    <t>OF que abona con 41 centaos</t>
  </si>
  <si>
    <t>Deposito $110.000 el 13/08</t>
  </si>
  <si>
    <t>Laura BORAS deposito 14/08: LOC 17 $70.800
OF 56 $110.600
LOC 19 $156.900
OF 12/22 $316.000
LOC 9 $617.070
LOC 8 $135.020</t>
  </si>
  <si>
    <t>LAURA BORAS</t>
  </si>
  <si>
    <t>Debe abonar en Agosto 2026</t>
  </si>
  <si>
    <t>Transferencia no identificada Junio</t>
  </si>
  <si>
    <t>Punitorios a descontar</t>
  </si>
  <si>
    <t>TOTAL:</t>
  </si>
  <si>
    <t>Deposito no idetnficiado de Junio es de ella: por  $476368 - Debe abonar: $222,884,01</t>
  </si>
  <si>
    <t>Yesica Romina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</si>
</sst>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8"/>
      <color theme="1"/>
      <name val="Calibri"/>
      <family val="2"/>
      <scheme val="minor"/>
    </font>
    <font>
      <sz val="9"/>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
      <b/>
      <sz val="12"/>
      <name val="Calibri"/>
      <family val="2"/>
      <scheme val="minor"/>
    </font>
    <font>
      <b/>
      <sz val="16"/>
      <name val="Calibri"/>
      <family val="2"/>
      <scheme val="minor"/>
    </font>
    <font>
      <sz val="8"/>
      <color rgb="FFFF0000"/>
      <name val="Calibri"/>
      <family val="2"/>
      <scheme val="minor"/>
    </font>
    <font>
      <b/>
      <sz val="12"/>
      <color theme="1"/>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7" tint="0.39997558519241921"/>
        <bgColor indexed="64"/>
      </patternFill>
    </fill>
    <fill>
      <patternFill patternType="solid">
        <fgColor theme="9"/>
        <bgColor indexed="64"/>
      </patternFill>
    </fill>
    <fill>
      <patternFill patternType="solid">
        <fgColor theme="7" tint="-0.499984740745262"/>
        <bgColor indexed="64"/>
      </patternFill>
    </fill>
    <fill>
      <patternFill patternType="solid">
        <fgColor rgb="FF00B05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7030A0"/>
        <bgColor indexed="64"/>
      </patternFill>
    </fill>
    <fill>
      <patternFill patternType="solid">
        <fgColor rgb="FFFF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60">
    <xf numFmtId="0" fontId="0" fillId="0" borderId="0" xfId="0"/>
    <xf numFmtId="0" fontId="2" fillId="0" borderId="0" xfId="0" applyFont="1"/>
    <xf numFmtId="0" fontId="0" fillId="3" borderId="0" xfId="0" applyFill="1"/>
    <xf numFmtId="0" fontId="0" fillId="0" borderId="5" xfId="0" applyBorder="1"/>
    <xf numFmtId="8" fontId="0" fillId="0" borderId="0" xfId="0" applyNumberFormat="1"/>
    <xf numFmtId="0" fontId="5" fillId="6" borderId="0" xfId="0" applyFont="1" applyFill="1"/>
    <xf numFmtId="0" fontId="6" fillId="0" borderId="1" xfId="0" applyFont="1" applyBorder="1" applyAlignment="1">
      <alignment vertical="center" wrapText="1"/>
    </xf>
    <xf numFmtId="8" fontId="7" fillId="4" borderId="6" xfId="0" applyNumberFormat="1"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12" fillId="0" borderId="0" xfId="0" applyFont="1"/>
    <xf numFmtId="8" fontId="15" fillId="11" borderId="6" xfId="0" applyNumberFormat="1" applyFont="1" applyFill="1" applyBorder="1"/>
    <xf numFmtId="0" fontId="14"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3" fillId="0" borderId="1" xfId="0" applyFont="1" applyBorder="1"/>
    <xf numFmtId="44" fontId="10" fillId="4" borderId="1" xfId="1" applyFont="1" applyFill="1" applyBorder="1"/>
    <xf numFmtId="0" fontId="13" fillId="0" borderId="1" xfId="0" applyFont="1" applyBorder="1" applyAlignment="1">
      <alignment horizontal="center"/>
    </xf>
    <xf numFmtId="44" fontId="16" fillId="0" borderId="1" xfId="1" applyFont="1" applyBorder="1"/>
    <xf numFmtId="44" fontId="16" fillId="2" borderId="1" xfId="1" applyFont="1" applyFill="1" applyBorder="1"/>
    <xf numFmtId="165" fontId="16" fillId="2" borderId="1" xfId="1" applyNumberFormat="1" applyFont="1" applyFill="1" applyBorder="1"/>
    <xf numFmtId="165" fontId="13" fillId="0" borderId="1" xfId="0" applyNumberFormat="1" applyFont="1" applyBorder="1"/>
    <xf numFmtId="165" fontId="13" fillId="0" borderId="1" xfId="1" applyNumberFormat="1" applyFont="1" applyBorder="1"/>
    <xf numFmtId="44" fontId="13" fillId="0" borderId="6" xfId="1" applyFont="1" applyBorder="1"/>
    <xf numFmtId="44" fontId="16" fillId="0" borderId="25" xfId="1" applyFont="1" applyBorder="1"/>
    <xf numFmtId="44" fontId="16" fillId="0" borderId="27" xfId="1" applyFont="1" applyBorder="1"/>
    <xf numFmtId="44" fontId="17" fillId="0" borderId="1" xfId="1" applyFont="1" applyBorder="1"/>
    <xf numFmtId="165" fontId="17" fillId="2" borderId="1" xfId="1" applyNumberFormat="1" applyFont="1" applyFill="1" applyBorder="1"/>
    <xf numFmtId="165" fontId="17" fillId="0" borderId="1" xfId="0" applyNumberFormat="1" applyFont="1" applyBorder="1"/>
    <xf numFmtId="165" fontId="17" fillId="0" borderId="1" xfId="1" applyNumberFormat="1" applyFont="1" applyBorder="1"/>
    <xf numFmtId="0" fontId="13" fillId="10" borderId="21" xfId="0" applyFont="1" applyFill="1" applyBorder="1"/>
    <xf numFmtId="0" fontId="13" fillId="4" borderId="26" xfId="0" applyFont="1" applyFill="1" applyBorder="1"/>
    <xf numFmtId="44" fontId="13" fillId="4" borderId="2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18" fillId="4" borderId="3" xfId="1" applyFont="1" applyFill="1" applyBorder="1"/>
    <xf numFmtId="44" fontId="10" fillId="4" borderId="21" xfId="1" applyFont="1" applyFill="1" applyBorder="1"/>
    <xf numFmtId="44" fontId="19" fillId="4" borderId="3" xfId="1" applyFont="1" applyFill="1" applyBorder="1"/>
    <xf numFmtId="0" fontId="19"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19" fillId="2" borderId="1" xfId="1" applyFont="1" applyFill="1" applyBorder="1"/>
    <xf numFmtId="44" fontId="10" fillId="4" borderId="2" xfId="1" applyFont="1" applyFill="1" applyBorder="1"/>
    <xf numFmtId="44" fontId="19" fillId="2" borderId="3" xfId="1" applyFont="1" applyFill="1" applyBorder="1"/>
    <xf numFmtId="8" fontId="7" fillId="4" borderId="22" xfId="0" applyNumberFormat="1" applyFont="1" applyFill="1" applyBorder="1"/>
    <xf numFmtId="0" fontId="19" fillId="0" borderId="4" xfId="0" applyFont="1" applyBorder="1"/>
    <xf numFmtId="44" fontId="10" fillId="8" borderId="13" xfId="1" applyFont="1" applyFill="1" applyBorder="1"/>
    <xf numFmtId="0" fontId="4" fillId="0" borderId="0" xfId="0" applyFont="1"/>
    <xf numFmtId="0" fontId="19"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44" fontId="7" fillId="0" borderId="1" xfId="1" applyFont="1" applyBorder="1"/>
    <xf numFmtId="8" fontId="15" fillId="11" borderId="1" xfId="0" applyNumberFormat="1" applyFont="1" applyFill="1" applyBorder="1"/>
    <xf numFmtId="0" fontId="4" fillId="2" borderId="1" xfId="0" applyFont="1" applyFill="1" applyBorder="1"/>
    <xf numFmtId="0" fontId="0" fillId="2" borderId="0" xfId="0" applyFill="1"/>
    <xf numFmtId="43" fontId="0" fillId="0" borderId="0" xfId="0" applyNumberFormat="1"/>
    <xf numFmtId="44" fontId="20" fillId="2" borderId="1" xfId="1" applyFont="1" applyFill="1" applyBorder="1"/>
    <xf numFmtId="0" fontId="14" fillId="2" borderId="1" xfId="1" applyNumberFormat="1" applyFont="1" applyFill="1" applyBorder="1" applyAlignment="1">
      <alignment horizontal="left"/>
    </xf>
    <xf numFmtId="0" fontId="14" fillId="2" borderId="2" xfId="1" applyNumberFormat="1" applyFont="1" applyFill="1" applyBorder="1" applyAlignment="1"/>
    <xf numFmtId="44" fontId="14" fillId="0" borderId="2" xfId="1" applyFont="1" applyBorder="1"/>
    <xf numFmtId="0" fontId="14" fillId="2" borderId="1" xfId="1" applyNumberFormat="1" applyFont="1" applyFill="1" applyBorder="1" applyAlignment="1"/>
    <xf numFmtId="44" fontId="14" fillId="0" borderId="1" xfId="1" applyFont="1" applyBorder="1"/>
    <xf numFmtId="8" fontId="4" fillId="2" borderId="1" xfId="0" applyNumberFormat="1" applyFont="1" applyFill="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3" fillId="2" borderId="1" xfId="0" applyFont="1" applyFill="1" applyBorder="1"/>
    <xf numFmtId="0" fontId="13" fillId="2" borderId="1" xfId="0" applyFont="1" applyFill="1" applyBorder="1" applyAlignment="1">
      <alignment horizontal="center"/>
    </xf>
    <xf numFmtId="165" fontId="13" fillId="2" borderId="1" xfId="0" applyNumberFormat="1" applyFont="1" applyFill="1" applyBorder="1"/>
    <xf numFmtId="165" fontId="13" fillId="2" borderId="1" xfId="1" applyNumberFormat="1" applyFont="1" applyFill="1" applyBorder="1"/>
    <xf numFmtId="44" fontId="13" fillId="2" borderId="6" xfId="1" applyFont="1" applyFill="1" applyBorder="1"/>
    <xf numFmtId="44" fontId="16" fillId="2" borderId="25" xfId="1" applyFont="1" applyFill="1" applyBorder="1"/>
    <xf numFmtId="44" fontId="16" fillId="2" borderId="27" xfId="1" applyFont="1" applyFill="1" applyBorder="1"/>
    <xf numFmtId="4" fontId="0" fillId="0" borderId="0" xfId="0" applyNumberFormat="1"/>
    <xf numFmtId="0" fontId="19" fillId="2" borderId="1" xfId="1" applyNumberFormat="1" applyFont="1" applyFill="1" applyBorder="1" applyAlignment="1"/>
    <xf numFmtId="44" fontId="4" fillId="0" borderId="1" xfId="1" applyFont="1" applyBorder="1" applyAlignment="1">
      <alignment vertical="center" wrapText="1"/>
    </xf>
    <xf numFmtId="8" fontId="4" fillId="2" borderId="6" xfId="0" applyNumberFormat="1" applyFont="1" applyFill="1" applyBorder="1"/>
    <xf numFmtId="165" fontId="0" fillId="0" borderId="0" xfId="0" applyNumberFormat="1"/>
    <xf numFmtId="166" fontId="0" fillId="0" borderId="0" xfId="1" applyNumberFormat="1" applyFont="1"/>
    <xf numFmtId="44" fontId="4" fillId="0" borderId="1" xfId="1" applyFont="1" applyBorder="1"/>
    <xf numFmtId="0" fontId="4" fillId="0" borderId="7" xfId="0" applyFont="1" applyBorder="1"/>
    <xf numFmtId="0" fontId="6" fillId="0" borderId="1" xfId="0" applyFont="1" applyBorder="1" applyAlignment="1">
      <alignment vertical="center"/>
    </xf>
    <xf numFmtId="44" fontId="7" fillId="0" borderId="0" xfId="1" applyFont="1" applyBorder="1"/>
    <xf numFmtId="0" fontId="13" fillId="2" borderId="1" xfId="0" applyFont="1" applyFill="1" applyBorder="1" applyAlignment="1">
      <alignment horizontal="left" vertical="center" wrapText="1"/>
    </xf>
    <xf numFmtId="0" fontId="13" fillId="4" borderId="21" xfId="0" applyFont="1" applyFill="1" applyBorder="1"/>
    <xf numFmtId="165" fontId="13" fillId="4" borderId="21" xfId="0" applyNumberFormat="1" applyFont="1" applyFill="1" applyBorder="1"/>
    <xf numFmtId="1" fontId="13"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44" fontId="7" fillId="4" borderId="22" xfId="1" applyFont="1" applyFill="1" applyBorder="1"/>
    <xf numFmtId="44" fontId="4" fillId="2" borderId="0" xfId="1" applyFont="1" applyFill="1" applyBorder="1"/>
    <xf numFmtId="0" fontId="13" fillId="2" borderId="1" xfId="0" applyFont="1" applyFill="1" applyBorder="1" applyAlignment="1">
      <alignmen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0" fillId="9" borderId="0" xfId="0" applyFill="1"/>
    <xf numFmtId="0" fontId="0" fillId="2" borderId="1" xfId="0" applyFill="1" applyBorder="1"/>
    <xf numFmtId="0" fontId="10" fillId="3" borderId="0" xfId="0" applyFont="1" applyFill="1" applyAlignment="1">
      <alignment horizontal="left"/>
    </xf>
    <xf numFmtId="0" fontId="7" fillId="3" borderId="0" xfId="0" applyFont="1" applyFill="1" applyAlignment="1">
      <alignment horizontal="left"/>
    </xf>
    <xf numFmtId="0" fontId="4" fillId="3" borderId="0" xfId="0" applyFont="1" applyFill="1"/>
    <xf numFmtId="0" fontId="10" fillId="3" borderId="0" xfId="0" applyFont="1" applyFill="1"/>
    <xf numFmtId="0" fontId="7" fillId="3" borderId="0" xfId="0" applyFont="1" applyFill="1" applyAlignment="1">
      <alignment vertical="center" wrapText="1"/>
    </xf>
    <xf numFmtId="0" fontId="7" fillId="0" borderId="0" xfId="0" applyFont="1"/>
    <xf numFmtId="0" fontId="7" fillId="5" borderId="14" xfId="0" applyFont="1" applyFill="1" applyBorder="1"/>
    <xf numFmtId="0" fontId="7" fillId="5" borderId="12" xfId="0" applyFont="1" applyFill="1" applyBorder="1"/>
    <xf numFmtId="0" fontId="15" fillId="11" borderId="1" xfId="0" applyFont="1" applyFill="1" applyBorder="1"/>
    <xf numFmtId="0" fontId="15" fillId="11" borderId="3" xfId="0" applyFont="1" applyFill="1" applyBorder="1"/>
    <xf numFmtId="0" fontId="4" fillId="0" borderId="1" xfId="0" applyFont="1" applyBorder="1" applyAlignment="1">
      <alignment vertical="center"/>
    </xf>
    <xf numFmtId="0" fontId="4" fillId="0" borderId="7" xfId="0" applyFont="1" applyBorder="1" applyAlignment="1">
      <alignment horizontal="left" vertical="center"/>
    </xf>
    <xf numFmtId="0" fontId="7" fillId="4" borderId="3"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2" borderId="24" xfId="0" applyFont="1" applyFill="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1" xfId="0" applyFont="1" applyFill="1" applyBorder="1"/>
    <xf numFmtId="0" fontId="7" fillId="8" borderId="6" xfId="0" applyFont="1" applyFill="1" applyBorder="1"/>
    <xf numFmtId="44" fontId="10" fillId="8" borderId="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44" fontId="4" fillId="0" borderId="0" xfId="0" applyNumberFormat="1" applyFont="1"/>
    <xf numFmtId="0" fontId="0" fillId="12" borderId="1" xfId="0" applyFill="1" applyBorder="1"/>
    <xf numFmtId="44" fontId="23" fillId="2" borderId="1" xfId="1" applyFont="1" applyFill="1" applyBorder="1"/>
    <xf numFmtId="0" fontId="13" fillId="13" borderId="1" xfId="0" applyFont="1" applyFill="1" applyBorder="1"/>
    <xf numFmtId="0" fontId="13" fillId="13" borderId="1" xfId="0" applyFont="1" applyFill="1" applyBorder="1" applyAlignment="1">
      <alignment horizontal="center"/>
    </xf>
    <xf numFmtId="44" fontId="16" fillId="13" borderId="1" xfId="1" applyFont="1" applyFill="1" applyBorder="1"/>
    <xf numFmtId="44" fontId="23" fillId="13" borderId="1" xfId="1" applyFont="1" applyFill="1" applyBorder="1"/>
    <xf numFmtId="165" fontId="16" fillId="13" borderId="1" xfId="1" applyNumberFormat="1" applyFont="1" applyFill="1" applyBorder="1"/>
    <xf numFmtId="165" fontId="13" fillId="13" borderId="1" xfId="0" applyNumberFormat="1" applyFont="1" applyFill="1" applyBorder="1"/>
    <xf numFmtId="165" fontId="13" fillId="13" borderId="1" xfId="1" applyNumberFormat="1" applyFont="1" applyFill="1" applyBorder="1"/>
    <xf numFmtId="44" fontId="13" fillId="13" borderId="6" xfId="1" applyFont="1" applyFill="1" applyBorder="1"/>
    <xf numFmtId="44" fontId="16" fillId="13" borderId="25" xfId="1" applyFont="1" applyFill="1" applyBorder="1"/>
    <xf numFmtId="44" fontId="16" fillId="13" borderId="27" xfId="1" applyFont="1" applyFill="1" applyBorder="1"/>
    <xf numFmtId="0" fontId="13" fillId="12" borderId="1" xfId="0" applyFont="1" applyFill="1" applyBorder="1"/>
    <xf numFmtId="0" fontId="13" fillId="12" borderId="1" xfId="0" applyFont="1" applyFill="1" applyBorder="1" applyAlignment="1">
      <alignment horizontal="center"/>
    </xf>
    <xf numFmtId="44" fontId="16" fillId="12" borderId="1" xfId="1" applyFont="1" applyFill="1" applyBorder="1"/>
    <xf numFmtId="0" fontId="13" fillId="14"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13" fillId="15" borderId="1" xfId="0" applyFont="1" applyFill="1" applyBorder="1"/>
    <xf numFmtId="0" fontId="0" fillId="15" borderId="14" xfId="0" applyFill="1" applyBorder="1"/>
    <xf numFmtId="0" fontId="0" fillId="15" borderId="12" xfId="0" applyFill="1" applyBorder="1"/>
    <xf numFmtId="0" fontId="0" fillId="15" borderId="16" xfId="0" applyFill="1" applyBorder="1"/>
    <xf numFmtId="0" fontId="0" fillId="15" borderId="0" xfId="0" applyFill="1"/>
    <xf numFmtId="0" fontId="0" fillId="16" borderId="14" xfId="0" applyFill="1" applyBorder="1"/>
    <xf numFmtId="0" fontId="0" fillId="16" borderId="12" xfId="0" applyFill="1" applyBorder="1"/>
    <xf numFmtId="0" fontId="0" fillId="16" borderId="16" xfId="0" applyFill="1" applyBorder="1"/>
    <xf numFmtId="0" fontId="0" fillId="16" borderId="0" xfId="0" applyFill="1"/>
    <xf numFmtId="0" fontId="13" fillId="16" borderId="1" xfId="0" applyFont="1" applyFill="1" applyBorder="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0" fontId="13" fillId="17" borderId="1" xfId="0" applyFont="1" applyFill="1" applyBorder="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0" fontId="13" fillId="18" borderId="1" xfId="0" applyFont="1" applyFill="1" applyBorder="1"/>
    <xf numFmtId="0" fontId="13" fillId="5" borderId="1" xfId="0" applyFont="1" applyFill="1" applyBorder="1"/>
    <xf numFmtId="0" fontId="0" fillId="5" borderId="14" xfId="0" applyFill="1" applyBorder="1"/>
    <xf numFmtId="0" fontId="0" fillId="5" borderId="12" xfId="0" applyFill="1" applyBorder="1"/>
    <xf numFmtId="0" fontId="0" fillId="5" borderId="16" xfId="0" applyFill="1" applyBorder="1"/>
    <xf numFmtId="0" fontId="0" fillId="5" borderId="0" xfId="0" applyFill="1"/>
    <xf numFmtId="0" fontId="13" fillId="19" borderId="1" xfId="0" applyFont="1" applyFill="1" applyBorder="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0" fontId="13" fillId="20" borderId="1" xfId="0" applyFont="1" applyFill="1" applyBorder="1"/>
    <xf numFmtId="0" fontId="21" fillId="3" borderId="0" xfId="0" applyFont="1" applyFill="1" applyAlignment="1">
      <alignment horizontal="left" vertical="center" wrapText="1"/>
    </xf>
    <xf numFmtId="0" fontId="7" fillId="8" borderId="6" xfId="0" applyFont="1" applyFill="1" applyBorder="1" applyAlignment="1">
      <alignment horizontal="left" vertical="center" wrapText="1"/>
    </xf>
    <xf numFmtId="0" fontId="7" fillId="8" borderId="24" xfId="0" applyFont="1" applyFill="1" applyBorder="1" applyAlignment="1">
      <alignment horizontal="left" vertical="center" wrapText="1"/>
    </xf>
    <xf numFmtId="0" fontId="7" fillId="8" borderId="28"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9" fillId="6" borderId="0" xfId="0" applyFont="1" applyFill="1" applyAlignment="1">
      <alignment horizontal="center" vertical="center"/>
    </xf>
    <xf numFmtId="0" fontId="22" fillId="9" borderId="0" xfId="0" applyFont="1" applyFill="1" applyAlignment="1">
      <alignment horizontal="center" vertical="center"/>
    </xf>
    <xf numFmtId="0" fontId="24" fillId="9" borderId="0" xfId="0" applyFont="1" applyFill="1" applyAlignment="1">
      <alignment horizontal="left" vertical="center" wrapText="1"/>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2" fillId="3" borderId="18" xfId="0" applyFont="1" applyFill="1" applyBorder="1" applyAlignment="1">
      <alignment horizontal="center" vertical="center"/>
    </xf>
    <xf numFmtId="0" fontId="12" fillId="3" borderId="20"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2"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13" borderId="9"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44" fontId="0" fillId="0" borderId="0" xfId="1" applyFont="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topLeftCell="A104" zoomScale="90" zoomScaleNormal="90" workbookViewId="0">
      <selection activeCell="B114" sqref="B114"/>
    </sheetView>
  </sheetViews>
  <sheetFormatPr baseColWidth="10" defaultColWidth="10.88671875" defaultRowHeight="14.4" x14ac:dyDescent="0.3"/>
  <cols>
    <col min="1" max="1" width="37.5546875" customWidth="1"/>
    <col min="2" max="2" width="24.5546875" customWidth="1"/>
    <col min="3" max="3" width="18.44140625" customWidth="1"/>
    <col min="4" max="4" width="15.5546875" customWidth="1"/>
    <col min="5" max="5" width="14.5546875" bestFit="1" customWidth="1"/>
    <col min="6" max="6" width="16" customWidth="1"/>
    <col min="7" max="7" width="13.109375" bestFit="1" customWidth="1"/>
    <col min="10" max="10" width="18" customWidth="1"/>
    <col min="11" max="11" width="18.44140625" customWidth="1"/>
  </cols>
  <sheetData>
    <row r="1" spans="1:4" x14ac:dyDescent="0.3">
      <c r="A1" s="129" t="s">
        <v>64</v>
      </c>
      <c r="B1" s="130"/>
      <c r="C1" s="131"/>
      <c r="D1" s="131"/>
    </row>
    <row r="2" spans="1:4" x14ac:dyDescent="0.3">
      <c r="A2" s="132" t="s">
        <v>125</v>
      </c>
      <c r="B2" s="132"/>
      <c r="C2" s="132"/>
      <c r="D2" s="132"/>
    </row>
    <row r="3" spans="1:4" ht="17.100000000000001" customHeight="1" x14ac:dyDescent="0.3">
      <c r="A3" s="132" t="s">
        <v>70</v>
      </c>
      <c r="B3" s="132"/>
      <c r="C3" s="132"/>
      <c r="D3" s="132"/>
    </row>
    <row r="4" spans="1:4" ht="32.25" customHeight="1" x14ac:dyDescent="0.3">
      <c r="A4" s="210" t="s">
        <v>151</v>
      </c>
      <c r="B4" s="210"/>
      <c r="C4" s="133"/>
      <c r="D4" s="133"/>
    </row>
    <row r="5" spans="1:4" x14ac:dyDescent="0.3">
      <c r="A5" s="210"/>
      <c r="B5" s="210"/>
      <c r="C5" s="133"/>
      <c r="D5" s="133"/>
    </row>
    <row r="6" spans="1:4" x14ac:dyDescent="0.3">
      <c r="A6" s="210"/>
      <c r="B6" s="210"/>
      <c r="C6" s="133"/>
      <c r="D6" s="133"/>
    </row>
    <row r="7" spans="1:4" ht="27" customHeight="1" x14ac:dyDescent="0.3">
      <c r="A7" s="210"/>
      <c r="B7" s="210"/>
      <c r="C7" s="133"/>
      <c r="D7" s="133"/>
    </row>
    <row r="8" spans="1:4" x14ac:dyDescent="0.3">
      <c r="A8" s="61"/>
      <c r="B8" s="61"/>
      <c r="C8" s="61"/>
      <c r="D8" s="61"/>
    </row>
    <row r="9" spans="1:4" x14ac:dyDescent="0.3">
      <c r="A9" s="61"/>
      <c r="B9" s="219" t="s">
        <v>171</v>
      </c>
      <c r="C9" s="61"/>
      <c r="D9" s="61"/>
    </row>
    <row r="10" spans="1:4" x14ac:dyDescent="0.3">
      <c r="A10" s="61"/>
      <c r="B10" s="219"/>
      <c r="C10" s="61"/>
      <c r="D10" s="61"/>
    </row>
    <row r="11" spans="1:4" x14ac:dyDescent="0.3">
      <c r="A11" s="61"/>
      <c r="B11" s="219"/>
      <c r="C11" s="61"/>
      <c r="D11" s="61"/>
    </row>
    <row r="12" spans="1:4" x14ac:dyDescent="0.3">
      <c r="A12" s="61"/>
      <c r="B12" s="61"/>
      <c r="C12" s="61"/>
      <c r="D12" s="61"/>
    </row>
    <row r="13" spans="1:4" hidden="1" x14ac:dyDescent="0.3">
      <c r="A13" s="61"/>
      <c r="B13" s="61"/>
      <c r="C13" s="61"/>
      <c r="D13" s="61"/>
    </row>
    <row r="14" spans="1:4" ht="15" customHeight="1" x14ac:dyDescent="0.3">
      <c r="A14" s="210" t="s">
        <v>148</v>
      </c>
      <c r="B14" s="210"/>
      <c r="C14" s="210"/>
      <c r="D14" s="210"/>
    </row>
    <row r="15" spans="1:4" ht="15" customHeight="1" x14ac:dyDescent="0.3">
      <c r="A15" s="210"/>
      <c r="B15" s="210"/>
      <c r="C15" s="210"/>
      <c r="D15" s="210"/>
    </row>
    <row r="16" spans="1:4" ht="47.25" customHeight="1" x14ac:dyDescent="0.3">
      <c r="A16" s="210"/>
      <c r="B16" s="210"/>
      <c r="C16" s="210"/>
      <c r="D16" s="210"/>
    </row>
    <row r="17" spans="1:7" ht="156.75" customHeight="1" x14ac:dyDescent="0.3">
      <c r="A17" s="210"/>
      <c r="B17" s="210"/>
      <c r="C17" s="210"/>
      <c r="D17" s="210"/>
    </row>
    <row r="18" spans="1:7" ht="14.25" customHeight="1" thickBot="1" x14ac:dyDescent="0.35">
      <c r="A18" s="61"/>
      <c r="B18" s="61"/>
      <c r="C18" s="61"/>
      <c r="D18" s="61"/>
    </row>
    <row r="19" spans="1:7" ht="15" hidden="1" thickBot="1" x14ac:dyDescent="0.35">
      <c r="A19" s="134"/>
      <c r="B19" s="61"/>
      <c r="C19" s="61"/>
      <c r="D19" s="61"/>
    </row>
    <row r="20" spans="1:7" ht="15" hidden="1" thickBot="1" x14ac:dyDescent="0.35">
      <c r="A20" s="61"/>
      <c r="B20" s="61"/>
      <c r="C20" s="61"/>
      <c r="D20" s="61"/>
    </row>
    <row r="21" spans="1:7" x14ac:dyDescent="0.3">
      <c r="A21" s="135" t="s">
        <v>26</v>
      </c>
      <c r="B21" s="136"/>
      <c r="C21" s="65"/>
      <c r="D21" s="66"/>
      <c r="E21" s="127" t="s">
        <v>163</v>
      </c>
      <c r="F21" s="127"/>
    </row>
    <row r="22" spans="1:7" x14ac:dyDescent="0.3">
      <c r="A22" s="10" t="s">
        <v>52</v>
      </c>
      <c r="B22" s="10"/>
      <c r="C22" s="10"/>
      <c r="D22" s="10"/>
      <c r="E22" s="127"/>
      <c r="F22" s="127"/>
    </row>
    <row r="23" spans="1:7" x14ac:dyDescent="0.3">
      <c r="A23" s="216" t="s">
        <v>172</v>
      </c>
      <c r="B23" s="217"/>
      <c r="C23" s="80">
        <v>2058774.35</v>
      </c>
      <c r="D23" s="46" t="s">
        <v>185</v>
      </c>
      <c r="E23" s="127"/>
      <c r="F23" s="127"/>
    </row>
    <row r="24" spans="1:7" x14ac:dyDescent="0.3">
      <c r="A24" s="46" t="s">
        <v>55</v>
      </c>
      <c r="B24" s="46"/>
      <c r="C24" s="80">
        <v>-324256.96000000002</v>
      </c>
      <c r="D24" s="46"/>
      <c r="E24" s="127"/>
      <c r="F24" s="127"/>
    </row>
    <row r="25" spans="1:7" x14ac:dyDescent="0.3">
      <c r="A25" s="46" t="s">
        <v>54</v>
      </c>
      <c r="B25" s="46"/>
      <c r="C25" s="80">
        <v>0.61</v>
      </c>
      <c r="D25" s="46"/>
      <c r="E25" s="127"/>
      <c r="F25" s="127"/>
      <c r="G25" s="92"/>
    </row>
    <row r="26" spans="1:7" x14ac:dyDescent="0.3">
      <c r="A26" s="137" t="s">
        <v>53</v>
      </c>
      <c r="B26" s="137"/>
      <c r="C26" s="70">
        <f>SUM(C23:C25)</f>
        <v>1734518.0000000002</v>
      </c>
      <c r="D26" s="137"/>
      <c r="E26" s="127"/>
      <c r="F26" s="127"/>
    </row>
    <row r="27" spans="1:7" x14ac:dyDescent="0.3">
      <c r="A27" s="216" t="s">
        <v>173</v>
      </c>
      <c r="B27" s="217"/>
      <c r="C27" s="80">
        <v>1360202.26</v>
      </c>
      <c r="D27" s="46" t="s">
        <v>185</v>
      </c>
      <c r="E27" s="127"/>
      <c r="F27" s="127"/>
    </row>
    <row r="28" spans="1:7" x14ac:dyDescent="0.3">
      <c r="A28" s="46" t="s">
        <v>55</v>
      </c>
      <c r="B28" s="46"/>
      <c r="C28" s="80">
        <v>-336650.07</v>
      </c>
      <c r="D28" s="71"/>
      <c r="E28" s="127"/>
      <c r="F28" s="127"/>
    </row>
    <row r="29" spans="1:7" x14ac:dyDescent="0.3">
      <c r="A29" s="46" t="s">
        <v>54</v>
      </c>
      <c r="B29" s="46"/>
      <c r="C29" s="80">
        <v>0.81</v>
      </c>
      <c r="D29" s="71"/>
    </row>
    <row r="30" spans="1:7" x14ac:dyDescent="0.3">
      <c r="A30" s="137" t="s">
        <v>53</v>
      </c>
      <c r="B30" s="138"/>
      <c r="C30" s="25">
        <f>SUM(C27:C29)</f>
        <v>1023553</v>
      </c>
      <c r="D30" s="47"/>
    </row>
    <row r="31" spans="1:7" hidden="1" x14ac:dyDescent="0.3">
      <c r="A31" s="46"/>
      <c r="B31" s="46"/>
      <c r="C31" s="95">
        <v>0</v>
      </c>
      <c r="D31" s="71"/>
    </row>
    <row r="32" spans="1:7" hidden="1" x14ac:dyDescent="0.3">
      <c r="A32" s="46"/>
      <c r="B32" s="46"/>
      <c r="C32" s="95"/>
      <c r="D32" s="71"/>
    </row>
    <row r="33" spans="1:7" hidden="1" x14ac:dyDescent="0.3">
      <c r="A33" s="137" t="s">
        <v>53</v>
      </c>
      <c r="B33" s="138"/>
      <c r="C33" s="25">
        <f>SUM(C31:C32)</f>
        <v>0</v>
      </c>
      <c r="D33" s="47"/>
    </row>
    <row r="34" spans="1:7" ht="14.25" customHeight="1" thickBot="1" x14ac:dyDescent="0.35">
      <c r="A34" s="11" t="s">
        <v>0</v>
      </c>
      <c r="B34" s="11"/>
      <c r="C34" s="7"/>
      <c r="D34" s="48">
        <f>+C26+C33+C30</f>
        <v>2758071</v>
      </c>
      <c r="E34" s="4"/>
      <c r="F34" s="4"/>
    </row>
    <row r="35" spans="1:7" x14ac:dyDescent="0.3">
      <c r="A35" s="10" t="s">
        <v>38</v>
      </c>
      <c r="B35" s="10"/>
      <c r="C35" s="12"/>
      <c r="D35" s="49"/>
      <c r="F35" s="4"/>
    </row>
    <row r="36" spans="1:7" ht="43.95" customHeight="1" x14ac:dyDescent="0.3">
      <c r="A36" s="216" t="s">
        <v>175</v>
      </c>
      <c r="B36" s="217"/>
      <c r="C36" s="80">
        <v>500000</v>
      </c>
      <c r="D36" s="79" t="s">
        <v>168</v>
      </c>
      <c r="G36" s="4"/>
    </row>
    <row r="37" spans="1:7" ht="21" customHeight="1" x14ac:dyDescent="0.3">
      <c r="A37" s="139" t="s">
        <v>160</v>
      </c>
      <c r="B37" s="140" t="s">
        <v>184</v>
      </c>
      <c r="C37" s="83" t="s">
        <v>183</v>
      </c>
      <c r="D37" s="79"/>
      <c r="G37" s="4"/>
    </row>
    <row r="38" spans="1:7" ht="21" customHeight="1" x14ac:dyDescent="0.3">
      <c r="A38" s="139" t="s">
        <v>157</v>
      </c>
      <c r="B38" s="140"/>
      <c r="C38" s="80">
        <v>200000</v>
      </c>
      <c r="D38" s="79" t="s">
        <v>168</v>
      </c>
      <c r="G38" s="4"/>
    </row>
    <row r="39" spans="1:7" ht="15" thickBot="1" x14ac:dyDescent="0.35">
      <c r="A39" s="11" t="s">
        <v>34</v>
      </c>
      <c r="B39" s="11"/>
      <c r="C39" s="122"/>
      <c r="D39" s="48">
        <f>SUM(C36:C38)</f>
        <v>700000</v>
      </c>
    </row>
    <row r="40" spans="1:7" x14ac:dyDescent="0.3">
      <c r="A40" s="10" t="s">
        <v>49</v>
      </c>
      <c r="B40" s="11"/>
      <c r="C40" s="13"/>
      <c r="D40" s="29"/>
    </row>
    <row r="41" spans="1:7" s="18" customFormat="1" ht="29.25" customHeight="1" x14ac:dyDescent="0.3">
      <c r="A41" s="216" t="s">
        <v>130</v>
      </c>
      <c r="B41" s="217"/>
      <c r="C41" s="94">
        <v>111108.81</v>
      </c>
      <c r="D41" s="93" t="s">
        <v>181</v>
      </c>
    </row>
    <row r="42" spans="1:7" ht="15" thickBot="1" x14ac:dyDescent="0.35">
      <c r="A42" s="11" t="s">
        <v>1</v>
      </c>
      <c r="B42" s="11"/>
      <c r="C42" s="15"/>
      <c r="D42" s="50">
        <f>SUM(C41:C41)</f>
        <v>111108.81</v>
      </c>
    </row>
    <row r="43" spans="1:7" x14ac:dyDescent="0.3">
      <c r="A43" s="10" t="s">
        <v>35</v>
      </c>
      <c r="B43" s="82"/>
      <c r="C43" s="16"/>
      <c r="D43" s="51"/>
    </row>
    <row r="44" spans="1:7" x14ac:dyDescent="0.3">
      <c r="A44" s="46" t="s">
        <v>65</v>
      </c>
      <c r="B44" s="46"/>
      <c r="C44" s="98">
        <v>0</v>
      </c>
      <c r="D44" s="75"/>
      <c r="F44" s="72"/>
    </row>
    <row r="45" spans="1:7" ht="30" customHeight="1" x14ac:dyDescent="0.3">
      <c r="A45" s="216" t="s">
        <v>177</v>
      </c>
      <c r="B45" s="217"/>
      <c r="C45" s="98">
        <v>11596.99</v>
      </c>
      <c r="D45" s="78" t="s">
        <v>178</v>
      </c>
      <c r="F45" s="72"/>
    </row>
    <row r="46" spans="1:7" ht="20.25" customHeight="1" x14ac:dyDescent="0.3">
      <c r="A46" s="216" t="s">
        <v>129</v>
      </c>
      <c r="B46" s="217"/>
      <c r="C46" s="98">
        <v>11930.96</v>
      </c>
      <c r="D46" s="75" t="str">
        <f>D45</f>
        <v>Debito 15/07</v>
      </c>
      <c r="F46" s="72"/>
    </row>
    <row r="47" spans="1:7" x14ac:dyDescent="0.3">
      <c r="A47" s="46" t="s">
        <v>66</v>
      </c>
      <c r="B47" s="46"/>
      <c r="C47" s="83">
        <v>153853.95000000001</v>
      </c>
      <c r="D47" s="78" t="s">
        <v>174</v>
      </c>
    </row>
    <row r="48" spans="1:7" x14ac:dyDescent="0.3">
      <c r="A48" s="46" t="s">
        <v>67</v>
      </c>
      <c r="B48" s="46"/>
      <c r="C48" s="83">
        <v>17094.88</v>
      </c>
      <c r="D48" s="78" t="str">
        <f>D47</f>
        <v>Debito 13/07</v>
      </c>
    </row>
    <row r="49" spans="1:6" x14ac:dyDescent="0.3">
      <c r="A49" s="46" t="s">
        <v>68</v>
      </c>
      <c r="B49" s="46"/>
      <c r="C49" s="83">
        <v>331187.48</v>
      </c>
      <c r="D49" s="76" t="str">
        <f>D47</f>
        <v>Debito 13/07</v>
      </c>
    </row>
    <row r="50" spans="1:6" ht="15" customHeight="1" thickBot="1" x14ac:dyDescent="0.35">
      <c r="A50" s="11" t="s">
        <v>2</v>
      </c>
      <c r="B50" s="82"/>
      <c r="C50" s="17"/>
      <c r="D50" s="50">
        <f>SUM(C44:C49)</f>
        <v>525664.26</v>
      </c>
    </row>
    <row r="51" spans="1:6" x14ac:dyDescent="0.3">
      <c r="A51" s="10" t="s">
        <v>37</v>
      </c>
      <c r="B51" s="82"/>
      <c r="C51" s="16"/>
      <c r="D51" s="51"/>
    </row>
    <row r="52" spans="1:6" ht="14.25" customHeight="1" x14ac:dyDescent="0.3">
      <c r="A52" s="46" t="s">
        <v>127</v>
      </c>
      <c r="B52" s="46"/>
      <c r="C52" s="83">
        <v>338016.62</v>
      </c>
      <c r="D52" s="75" t="s">
        <v>168</v>
      </c>
    </row>
    <row r="53" spans="1:6" ht="14.25" customHeight="1" x14ac:dyDescent="0.3">
      <c r="A53" s="46" t="s">
        <v>126</v>
      </c>
      <c r="B53" s="46"/>
      <c r="C53" s="83">
        <v>174083.68</v>
      </c>
      <c r="D53" s="75" t="str">
        <f>D52</f>
        <v>Transf 13/07</v>
      </c>
    </row>
    <row r="54" spans="1:6" ht="14.25" customHeight="1" x14ac:dyDescent="0.3">
      <c r="A54" s="46" t="s">
        <v>159</v>
      </c>
      <c r="B54" s="46"/>
      <c r="C54" s="83" t="s">
        <v>183</v>
      </c>
      <c r="D54" s="75"/>
    </row>
    <row r="55" spans="1:6" ht="14.25" customHeight="1" x14ac:dyDescent="0.3">
      <c r="A55" s="46" t="s">
        <v>128</v>
      </c>
      <c r="B55" s="46"/>
      <c r="C55" s="83">
        <v>38180.959999999999</v>
      </c>
      <c r="D55" s="75" t="s">
        <v>176</v>
      </c>
    </row>
    <row r="56" spans="1:6" ht="14.25" customHeight="1" x14ac:dyDescent="0.3">
      <c r="A56" s="46" t="s">
        <v>158</v>
      </c>
      <c r="B56" s="99"/>
      <c r="C56" s="83">
        <v>82843.88</v>
      </c>
      <c r="D56" s="75" t="str">
        <f>D53</f>
        <v>Transf 13/07</v>
      </c>
    </row>
    <row r="57" spans="1:6" ht="15" thickBot="1" x14ac:dyDescent="0.35">
      <c r="A57" s="11" t="s">
        <v>3</v>
      </c>
      <c r="B57" s="11"/>
      <c r="C57" s="15"/>
      <c r="D57" s="50">
        <f>SUM(C52:C56)</f>
        <v>633125.14</v>
      </c>
    </row>
    <row r="58" spans="1:6" ht="15" thickBot="1" x14ac:dyDescent="0.35">
      <c r="A58" s="10" t="s">
        <v>36</v>
      </c>
      <c r="B58" s="11"/>
      <c r="C58" s="15"/>
      <c r="D58" s="53"/>
    </row>
    <row r="59" spans="1:6" ht="22.2" customHeight="1" x14ac:dyDescent="0.3">
      <c r="A59" s="214" t="s">
        <v>156</v>
      </c>
      <c r="B59" s="215"/>
      <c r="C59" s="83" t="s">
        <v>183</v>
      </c>
      <c r="D59" s="75"/>
    </row>
    <row r="60" spans="1:6" ht="25.2" customHeight="1" x14ac:dyDescent="0.3">
      <c r="A60" s="214" t="s">
        <v>167</v>
      </c>
      <c r="B60" s="215"/>
      <c r="C60" s="83">
        <v>680000</v>
      </c>
      <c r="D60" s="75" t="s">
        <v>165</v>
      </c>
      <c r="F60" s="22"/>
    </row>
    <row r="61" spans="1:6" ht="37.200000000000003" customHeight="1" x14ac:dyDescent="0.3">
      <c r="A61" s="214" t="s">
        <v>169</v>
      </c>
      <c r="B61" s="215"/>
      <c r="C61" s="83">
        <v>110000</v>
      </c>
      <c r="D61" s="77" t="s">
        <v>170</v>
      </c>
      <c r="F61" s="22"/>
    </row>
    <row r="62" spans="1:6" ht="34.5" customHeight="1" x14ac:dyDescent="0.3">
      <c r="A62" s="214" t="s">
        <v>179</v>
      </c>
      <c r="B62" s="215"/>
      <c r="C62" s="83">
        <v>145000</v>
      </c>
      <c r="D62" s="75" t="s">
        <v>180</v>
      </c>
      <c r="E62" s="123"/>
      <c r="F62" s="22"/>
    </row>
    <row r="63" spans="1:6" ht="25.2" customHeight="1" x14ac:dyDescent="0.3">
      <c r="A63" s="125" t="s">
        <v>164</v>
      </c>
      <c r="B63" s="126"/>
      <c r="C63" s="83">
        <v>110700</v>
      </c>
      <c r="D63" s="75" t="s">
        <v>182</v>
      </c>
      <c r="E63" s="22"/>
      <c r="F63" s="22"/>
    </row>
    <row r="64" spans="1:6" ht="15" thickBot="1" x14ac:dyDescent="0.35">
      <c r="A64" s="11" t="s">
        <v>11</v>
      </c>
      <c r="B64" s="10"/>
      <c r="C64" s="10"/>
      <c r="D64" s="56">
        <f>SUM(C59:C63)</f>
        <v>1045700</v>
      </c>
    </row>
    <row r="65" spans="1:6" ht="15" thickBot="1" x14ac:dyDescent="0.35">
      <c r="A65" s="10" t="s">
        <v>29</v>
      </c>
      <c r="B65" s="84"/>
      <c r="C65" s="7"/>
      <c r="D65" s="53"/>
    </row>
    <row r="66" spans="1:6" ht="14.25" customHeight="1" x14ac:dyDescent="0.3">
      <c r="A66" s="216" t="s">
        <v>73</v>
      </c>
      <c r="B66" s="217"/>
      <c r="C66" s="83">
        <v>60000</v>
      </c>
      <c r="D66" s="57"/>
    </row>
    <row r="67" spans="1:6" x14ac:dyDescent="0.3">
      <c r="A67" s="46" t="s">
        <v>71</v>
      </c>
      <c r="B67" s="46"/>
      <c r="C67" s="83">
        <v>125907.96</v>
      </c>
      <c r="D67" s="55"/>
    </row>
    <row r="68" spans="1:6" ht="15" thickBot="1" x14ac:dyDescent="0.35">
      <c r="A68" s="141" t="s">
        <v>34</v>
      </c>
      <c r="B68" s="141"/>
      <c r="C68" s="58"/>
      <c r="D68" s="50">
        <f>SUM(C66:C67)</f>
        <v>185907.96000000002</v>
      </c>
    </row>
    <row r="69" spans="1:6" ht="15" thickBot="1" x14ac:dyDescent="0.35">
      <c r="A69" s="46"/>
      <c r="B69" s="46"/>
      <c r="C69" s="46"/>
      <c r="D69" s="59"/>
    </row>
    <row r="70" spans="1:6" ht="22.5" customHeight="1" thickBot="1" x14ac:dyDescent="0.35">
      <c r="A70" s="211" t="s">
        <v>193</v>
      </c>
      <c r="B70" s="212"/>
      <c r="C70" s="213"/>
      <c r="D70" s="60">
        <f>8136047.47-5959577.17</f>
        <v>2176470.2999999998</v>
      </c>
    </row>
    <row r="71" spans="1:6" ht="15" thickBot="1" x14ac:dyDescent="0.35">
      <c r="A71" s="142"/>
      <c r="B71" s="61"/>
      <c r="C71" s="61"/>
      <c r="D71" s="62"/>
      <c r="E71" s="22"/>
    </row>
    <row r="72" spans="1:6" ht="15" thickBot="1" x14ac:dyDescent="0.35">
      <c r="A72" s="143" t="s">
        <v>30</v>
      </c>
      <c r="B72" s="144"/>
      <c r="C72" s="63"/>
      <c r="D72" s="64">
        <f>(SUM(D23:D70))</f>
        <v>8136047.4699999997</v>
      </c>
      <c r="E72" s="22"/>
      <c r="F72" s="22"/>
    </row>
    <row r="73" spans="1:6" x14ac:dyDescent="0.3">
      <c r="A73" s="61"/>
      <c r="B73" s="61"/>
      <c r="C73" s="61"/>
      <c r="D73" s="61"/>
      <c r="F73" s="73"/>
    </row>
    <row r="74" spans="1:6" ht="15" thickBot="1" x14ac:dyDescent="0.35">
      <c r="A74" s="61"/>
      <c r="B74" s="61"/>
      <c r="C74" s="61"/>
      <c r="D74" s="61"/>
    </row>
    <row r="75" spans="1:6" x14ac:dyDescent="0.3">
      <c r="A75" s="135" t="s">
        <v>39</v>
      </c>
      <c r="B75" s="136"/>
      <c r="C75" s="65"/>
      <c r="D75" s="66"/>
    </row>
    <row r="76" spans="1:6" x14ac:dyDescent="0.3">
      <c r="A76" s="216"/>
      <c r="B76" s="217"/>
      <c r="C76" s="54"/>
      <c r="D76" s="52"/>
    </row>
    <row r="77" spans="1:6" x14ac:dyDescent="0.3">
      <c r="A77" s="216"/>
      <c r="B77" s="217"/>
      <c r="C77" s="54"/>
      <c r="D77" s="52"/>
    </row>
    <row r="78" spans="1:6" x14ac:dyDescent="0.3">
      <c r="A78" s="125"/>
      <c r="B78" s="145"/>
      <c r="C78" s="54"/>
      <c r="D78" s="52"/>
    </row>
    <row r="79" spans="1:6" x14ac:dyDescent="0.3">
      <c r="A79" s="146"/>
      <c r="B79" s="147"/>
      <c r="C79" s="148"/>
      <c r="D79" s="148">
        <f>SUM(C76:C78)</f>
        <v>0</v>
      </c>
    </row>
    <row r="80" spans="1:6" ht="15" customHeight="1" x14ac:dyDescent="0.3">
      <c r="A80" s="61"/>
      <c r="B80" s="61"/>
      <c r="C80" s="61"/>
      <c r="D80" s="61"/>
    </row>
    <row r="81" spans="1:5" hidden="1" x14ac:dyDescent="0.3">
      <c r="A81" s="61"/>
      <c r="B81" s="61"/>
      <c r="C81" s="61"/>
      <c r="D81" s="61"/>
    </row>
    <row r="82" spans="1:5" x14ac:dyDescent="0.3">
      <c r="A82" s="149" t="s">
        <v>40</v>
      </c>
      <c r="B82" s="149"/>
      <c r="C82" s="150"/>
      <c r="D82" s="151">
        <v>0</v>
      </c>
    </row>
    <row r="83" spans="1:5" ht="15" thickBot="1" x14ac:dyDescent="0.35">
      <c r="A83" s="61"/>
      <c r="B83" s="61"/>
      <c r="C83" s="61"/>
      <c r="D83" s="61"/>
    </row>
    <row r="84" spans="1:5" ht="15" thickBot="1" x14ac:dyDescent="0.35">
      <c r="A84" s="143" t="s">
        <v>41</v>
      </c>
      <c r="B84" s="144"/>
      <c r="C84" s="63"/>
      <c r="D84" s="64">
        <f>D79+D82</f>
        <v>0</v>
      </c>
    </row>
    <row r="85" spans="1:5" ht="15" thickBot="1" x14ac:dyDescent="0.35">
      <c r="A85" s="61"/>
      <c r="B85" s="61"/>
      <c r="C85" s="61"/>
      <c r="D85" s="61"/>
    </row>
    <row r="86" spans="1:5" ht="15" thickBot="1" x14ac:dyDescent="0.35">
      <c r="A86" s="152" t="s">
        <v>31</v>
      </c>
      <c r="B86" s="153">
        <f>D72</f>
        <v>8136047.4699999997</v>
      </c>
      <c r="C86" s="154"/>
      <c r="D86" s="61"/>
    </row>
    <row r="87" spans="1:5" ht="15" thickBot="1" x14ac:dyDescent="0.35">
      <c r="A87" s="152" t="s">
        <v>32</v>
      </c>
      <c r="B87" s="153">
        <f>D72-D70</f>
        <v>5959577.1699999999</v>
      </c>
      <c r="C87" s="61"/>
      <c r="D87" s="61"/>
    </row>
    <row r="88" spans="1:5" ht="15" thickBot="1" x14ac:dyDescent="0.35">
      <c r="A88" s="152" t="s">
        <v>42</v>
      </c>
      <c r="B88" s="153">
        <f>D84-D82</f>
        <v>0</v>
      </c>
      <c r="C88" s="61"/>
      <c r="D88" s="61"/>
    </row>
    <row r="89" spans="1:5" ht="15" thickBot="1" x14ac:dyDescent="0.35">
      <c r="A89" s="152" t="s">
        <v>59</v>
      </c>
      <c r="B89" s="153">
        <f>D84</f>
        <v>0</v>
      </c>
      <c r="C89" s="61"/>
      <c r="D89" s="61"/>
    </row>
    <row r="91" spans="1:5" x14ac:dyDescent="0.3">
      <c r="A91" s="220" t="s">
        <v>192</v>
      </c>
      <c r="B91" s="220"/>
      <c r="C91" s="220"/>
      <c r="D91" s="220"/>
      <c r="E91" s="220"/>
    </row>
    <row r="92" spans="1:5" x14ac:dyDescent="0.3">
      <c r="A92" s="220"/>
      <c r="B92" s="220"/>
      <c r="C92" s="220"/>
      <c r="D92" s="220"/>
      <c r="E92" s="220"/>
    </row>
    <row r="93" spans="1:5" x14ac:dyDescent="0.3">
      <c r="A93" s="220"/>
      <c r="B93" s="220"/>
      <c r="C93" s="220"/>
      <c r="D93" s="220"/>
      <c r="E93" s="220"/>
    </row>
    <row r="94" spans="1:5" x14ac:dyDescent="0.3">
      <c r="A94" s="220"/>
      <c r="B94" s="220"/>
      <c r="C94" s="220"/>
      <c r="D94" s="220"/>
      <c r="E94" s="220"/>
    </row>
    <row r="95" spans="1:5" x14ac:dyDescent="0.3">
      <c r="A95" s="220"/>
      <c r="B95" s="220"/>
      <c r="C95" s="220"/>
      <c r="D95" s="220"/>
      <c r="E95" s="220"/>
    </row>
    <row r="98" spans="1:4" x14ac:dyDescent="0.3">
      <c r="A98" s="5" t="s">
        <v>51</v>
      </c>
      <c r="B98" s="19"/>
    </row>
    <row r="99" spans="1:4" ht="25.5" customHeight="1" x14ac:dyDescent="0.3">
      <c r="A99" s="9" t="s">
        <v>33</v>
      </c>
      <c r="B99" s="69">
        <v>1477065.05</v>
      </c>
    </row>
    <row r="100" spans="1:4" ht="20.25" customHeight="1" x14ac:dyDescent="0.3">
      <c r="A100" s="100" t="s">
        <v>62</v>
      </c>
      <c r="B100" s="20">
        <f>PRORRATEO!G67</f>
        <v>7819058.3299999991</v>
      </c>
    </row>
    <row r="101" spans="1:4" ht="18.75" customHeight="1" x14ac:dyDescent="0.3">
      <c r="A101" s="100" t="s">
        <v>61</v>
      </c>
      <c r="B101" s="55">
        <f>B116</f>
        <v>196892</v>
      </c>
    </row>
    <row r="102" spans="1:4" ht="34.5" customHeight="1" x14ac:dyDescent="0.3">
      <c r="A102" s="6" t="s">
        <v>191</v>
      </c>
      <c r="B102" s="74">
        <v>-600000</v>
      </c>
    </row>
    <row r="103" spans="1:4" ht="18.75" customHeight="1" x14ac:dyDescent="0.3">
      <c r="A103" s="100" t="s">
        <v>190</v>
      </c>
      <c r="B103" s="74">
        <v>-262000</v>
      </c>
    </row>
    <row r="104" spans="1:4" ht="16.5" customHeight="1" x14ac:dyDescent="0.3">
      <c r="A104" s="6" t="s">
        <v>72</v>
      </c>
      <c r="B104" s="74">
        <f>-15067-7299</f>
        <v>-22366</v>
      </c>
    </row>
    <row r="105" spans="1:4" ht="17.25" customHeight="1" x14ac:dyDescent="0.3">
      <c r="A105" s="6" t="s">
        <v>43</v>
      </c>
      <c r="B105" s="74">
        <f>-B87</f>
        <v>-5959577.1699999999</v>
      </c>
    </row>
    <row r="106" spans="1:4" x14ac:dyDescent="0.3">
      <c r="A106" s="6" t="s">
        <v>44</v>
      </c>
      <c r="B106" s="55">
        <f>-(B88)</f>
        <v>0</v>
      </c>
    </row>
    <row r="107" spans="1:4" x14ac:dyDescent="0.3">
      <c r="A107" s="8" t="s">
        <v>11</v>
      </c>
      <c r="B107" s="69">
        <f>SUM(B99:B106)</f>
        <v>2649072.209999999</v>
      </c>
      <c r="D107" s="96"/>
    </row>
    <row r="108" spans="1:4" ht="15" thickBot="1" x14ac:dyDescent="0.35">
      <c r="A108" s="1"/>
      <c r="B108" s="101"/>
      <c r="D108" s="96"/>
    </row>
    <row r="109" spans="1:4" ht="15" thickBot="1" x14ac:dyDescent="0.35">
      <c r="A109" s="113" t="s">
        <v>166</v>
      </c>
      <c r="B109" s="114">
        <v>1465817.44</v>
      </c>
      <c r="D109" s="96"/>
    </row>
    <row r="110" spans="1:4" x14ac:dyDescent="0.3">
      <c r="A110" s="1"/>
      <c r="B110" s="101"/>
      <c r="D110" s="96"/>
    </row>
    <row r="111" spans="1:4" x14ac:dyDescent="0.3">
      <c r="D111" s="97"/>
    </row>
    <row r="112" spans="1:4" x14ac:dyDescent="0.3">
      <c r="A112" s="218" t="s">
        <v>50</v>
      </c>
      <c r="B112" s="218"/>
    </row>
    <row r="113" spans="1:12" ht="27.75" customHeight="1" x14ac:dyDescent="0.3">
      <c r="A113" s="218"/>
      <c r="B113" s="218"/>
    </row>
    <row r="114" spans="1:12" ht="32.25" customHeight="1" x14ac:dyDescent="0.3">
      <c r="A114" s="67" t="s">
        <v>186</v>
      </c>
      <c r="B114" s="14">
        <v>47189</v>
      </c>
    </row>
    <row r="115" spans="1:12" ht="32.25" customHeight="1" x14ac:dyDescent="0.3">
      <c r="A115" s="67" t="s">
        <v>189</v>
      </c>
      <c r="B115" s="14">
        <v>149703</v>
      </c>
    </row>
    <row r="116" spans="1:12" x14ac:dyDescent="0.3">
      <c r="A116" s="23" t="s">
        <v>11</v>
      </c>
      <c r="B116" s="68">
        <f>SUM(B114:B115)</f>
        <v>196892</v>
      </c>
    </row>
    <row r="117" spans="1:12" ht="34.5" customHeight="1" x14ac:dyDescent="0.3">
      <c r="L117" s="3"/>
    </row>
  </sheetData>
  <mergeCells count="19">
    <mergeCell ref="A112:B113"/>
    <mergeCell ref="A77:B77"/>
    <mergeCell ref="A76:B76"/>
    <mergeCell ref="B9:B11"/>
    <mergeCell ref="A41:B41"/>
    <mergeCell ref="A36:B36"/>
    <mergeCell ref="A91:E95"/>
    <mergeCell ref="A4:B7"/>
    <mergeCell ref="A14:D17"/>
    <mergeCell ref="A70:C70"/>
    <mergeCell ref="A59:B59"/>
    <mergeCell ref="A60:B60"/>
    <mergeCell ref="A66:B66"/>
    <mergeCell ref="A45:B45"/>
    <mergeCell ref="A46:B46"/>
    <mergeCell ref="A23:B23"/>
    <mergeCell ref="A27:B27"/>
    <mergeCell ref="A61:B61"/>
    <mergeCell ref="A62:B6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5"/>
  <sheetViews>
    <sheetView tabSelected="1" topLeftCell="D1" zoomScale="115" zoomScaleNormal="115" workbookViewId="0">
      <selection activeCell="Q9" sqref="Q9"/>
    </sheetView>
  </sheetViews>
  <sheetFormatPr baseColWidth="10" defaultColWidth="10.88671875" defaultRowHeight="14.4" x14ac:dyDescent="0.3"/>
  <cols>
    <col min="1" max="1" width="5" hidden="1" customWidth="1"/>
    <col min="2" max="2" width="5.5546875" customWidth="1"/>
    <col min="3" max="3" width="5.44140625" customWidth="1"/>
    <col min="4" max="4" width="29" customWidth="1"/>
    <col min="5" max="5" width="5.109375" customWidth="1"/>
    <col min="6" max="6" width="14.109375" customWidth="1"/>
    <col min="7" max="7" width="14" customWidth="1"/>
    <col min="8" max="8" width="7.5546875" hidden="1" customWidth="1"/>
    <col min="9" max="9" width="13.6640625" customWidth="1"/>
    <col min="10" max="10" width="11.109375" customWidth="1"/>
    <col min="11" max="11" width="14.44140625" customWidth="1"/>
    <col min="12" max="12" width="12.44140625" customWidth="1"/>
    <col min="13" max="13" width="10.44140625" bestFit="1" customWidth="1"/>
    <col min="14" max="14" width="15.44140625" customWidth="1"/>
    <col min="15" max="15" width="14.109375" customWidth="1"/>
    <col min="16" max="16" width="9.33203125" customWidth="1"/>
    <col min="17" max="17" width="12" bestFit="1" customWidth="1"/>
    <col min="18" max="18" width="13" bestFit="1" customWidth="1"/>
  </cols>
  <sheetData>
    <row r="1" spans="1:18" ht="27" customHeight="1" x14ac:dyDescent="0.3">
      <c r="A1" s="2"/>
      <c r="B1" s="221" t="s">
        <v>151</v>
      </c>
      <c r="C1" s="222"/>
      <c r="D1" s="222"/>
      <c r="E1" s="222"/>
      <c r="F1" s="222"/>
      <c r="G1" s="222"/>
      <c r="H1" s="222"/>
      <c r="I1" s="222"/>
      <c r="J1" s="223"/>
      <c r="K1" s="109" t="s">
        <v>4</v>
      </c>
      <c r="L1" s="110"/>
      <c r="M1" s="110"/>
      <c r="N1" s="106">
        <f>Q1</f>
        <v>8136047.4719999991</v>
      </c>
      <c r="O1" s="107"/>
      <c r="P1" s="4"/>
      <c r="Q1">
        <v>8136047.4719999991</v>
      </c>
    </row>
    <row r="2" spans="1:18" ht="29.25" customHeight="1" thickBot="1" x14ac:dyDescent="0.35">
      <c r="A2" s="2"/>
      <c r="B2" s="224"/>
      <c r="C2" s="225"/>
      <c r="D2" s="225"/>
      <c r="E2" s="225"/>
      <c r="F2" s="225"/>
      <c r="G2" s="225"/>
      <c r="H2" s="225"/>
      <c r="I2" s="225"/>
      <c r="J2" s="226"/>
      <c r="K2" s="111" t="s">
        <v>63</v>
      </c>
      <c r="L2" s="112"/>
      <c r="M2" s="112"/>
      <c r="N2" s="81">
        <v>0</v>
      </c>
      <c r="O2" s="108"/>
    </row>
    <row r="3" spans="1:18" ht="137.25" customHeight="1" thickBot="1" x14ac:dyDescent="0.35">
      <c r="A3" s="2"/>
      <c r="B3" s="240" t="s">
        <v>148</v>
      </c>
      <c r="C3" s="241"/>
      <c r="D3" s="241"/>
      <c r="E3" s="241"/>
      <c r="F3" s="241"/>
      <c r="G3" s="241"/>
      <c r="H3" s="241"/>
      <c r="I3" s="241"/>
      <c r="J3" s="241"/>
      <c r="K3" s="241"/>
      <c r="L3" s="241"/>
      <c r="M3" s="241"/>
      <c r="N3" s="241"/>
      <c r="O3" s="242"/>
    </row>
    <row r="4" spans="1:18" ht="26.25" customHeight="1" thickBot="1" x14ac:dyDescent="0.35">
      <c r="A4" s="2"/>
      <c r="B4" s="243" t="s">
        <v>188</v>
      </c>
      <c r="C4" s="244"/>
      <c r="D4" s="244"/>
      <c r="E4" s="244"/>
      <c r="F4" s="244"/>
      <c r="G4" s="244"/>
      <c r="H4" s="244"/>
      <c r="I4" s="244"/>
      <c r="J4" s="244"/>
      <c r="K4" s="244"/>
      <c r="L4" s="244"/>
      <c r="M4" s="244"/>
      <c r="N4" s="244"/>
      <c r="O4" s="245"/>
    </row>
    <row r="5" spans="1:18" x14ac:dyDescent="0.3">
      <c r="A5" s="246" t="s">
        <v>5</v>
      </c>
      <c r="B5" s="248" t="s">
        <v>6</v>
      </c>
      <c r="C5" s="230" t="s">
        <v>7</v>
      </c>
      <c r="D5" s="230" t="s">
        <v>8</v>
      </c>
      <c r="E5" s="230" t="s">
        <v>28</v>
      </c>
      <c r="F5" s="230" t="s">
        <v>60</v>
      </c>
      <c r="G5" s="230" t="s">
        <v>9</v>
      </c>
      <c r="H5" s="230" t="s">
        <v>47</v>
      </c>
      <c r="I5" s="235" t="s">
        <v>48</v>
      </c>
      <c r="J5" s="232" t="s">
        <v>46</v>
      </c>
      <c r="K5" s="232" t="s">
        <v>10</v>
      </c>
      <c r="L5" s="232" t="s">
        <v>45</v>
      </c>
      <c r="M5" s="238" t="s">
        <v>58</v>
      </c>
      <c r="N5" s="27" t="s">
        <v>57</v>
      </c>
      <c r="O5" s="227" t="s">
        <v>56</v>
      </c>
      <c r="R5" s="22"/>
    </row>
    <row r="6" spans="1:18" ht="15.75" customHeight="1" x14ac:dyDescent="0.3">
      <c r="A6" s="247"/>
      <c r="B6" s="249"/>
      <c r="C6" s="234"/>
      <c r="D6" s="234"/>
      <c r="E6" s="234"/>
      <c r="F6" s="234"/>
      <c r="G6" s="234"/>
      <c r="H6" s="231"/>
      <c r="I6" s="236"/>
      <c r="J6" s="233"/>
      <c r="K6" s="237"/>
      <c r="L6" s="233"/>
      <c r="M6" s="239"/>
      <c r="N6" s="26" t="str">
        <f>RESUMEN!B9</f>
        <v>VTO 17/08</v>
      </c>
      <c r="O6" s="228"/>
    </row>
    <row r="7" spans="1:18" ht="17.100000000000001" customHeight="1" x14ac:dyDescent="0.3">
      <c r="A7" s="128" t="s">
        <v>12</v>
      </c>
      <c r="B7" s="85">
        <v>0</v>
      </c>
      <c r="C7" s="85" t="s">
        <v>102</v>
      </c>
      <c r="D7" s="85" t="s">
        <v>74</v>
      </c>
      <c r="E7" s="30">
        <v>1.58</v>
      </c>
      <c r="F7" s="31">
        <v>1759165</v>
      </c>
      <c r="G7" s="32">
        <v>0</v>
      </c>
      <c r="H7" s="33"/>
      <c r="I7" s="34">
        <f>F7-G7</f>
        <v>1759165</v>
      </c>
      <c r="J7" s="34">
        <f>IF(I7&gt;0,I7*2.95%,0)</f>
        <v>51895.3675</v>
      </c>
      <c r="K7" s="35">
        <f>N$2*E7%</f>
        <v>0</v>
      </c>
      <c r="L7" s="35">
        <f>N$1*E7%</f>
        <v>128549.5500576</v>
      </c>
      <c r="M7" s="36">
        <v>0</v>
      </c>
      <c r="N7" s="37">
        <f t="shared" ref="N7:N65" si="0">ROUND(SUM(I7:M7),0) + P7</f>
        <v>1939610</v>
      </c>
      <c r="O7" s="38">
        <f t="shared" ref="O7:O65" si="1">ROUND(N7*3%,0) + N7</f>
        <v>1997798</v>
      </c>
      <c r="P7" s="22">
        <v>0</v>
      </c>
    </row>
    <row r="8" spans="1:18" ht="17.100000000000001" customHeight="1" x14ac:dyDescent="0.3">
      <c r="A8" s="128"/>
      <c r="B8" s="194">
        <v>1</v>
      </c>
      <c r="C8" s="194" t="s">
        <v>103</v>
      </c>
      <c r="D8" s="194" t="s">
        <v>75</v>
      </c>
      <c r="E8" s="30">
        <v>2.91</v>
      </c>
      <c r="F8" s="31">
        <v>712896.01</v>
      </c>
      <c r="G8" s="32">
        <v>0</v>
      </c>
      <c r="H8" s="33"/>
      <c r="I8" s="34">
        <f>F8-G8</f>
        <v>712896.01</v>
      </c>
      <c r="J8" s="34">
        <f>IF(I8&gt;0,I8*2.95%,0)</f>
        <v>21030.432295000002</v>
      </c>
      <c r="K8" s="35">
        <f>N$2*E8%</f>
        <v>0</v>
      </c>
      <c r="L8" s="35">
        <f>N$1*E8%</f>
        <v>236758.9814352</v>
      </c>
      <c r="M8" s="36">
        <v>0</v>
      </c>
      <c r="N8" s="37">
        <f t="shared" si="0"/>
        <v>970685.01</v>
      </c>
      <c r="O8" s="38">
        <f t="shared" si="1"/>
        <v>999806.01</v>
      </c>
      <c r="P8" s="22">
        <f>P6+0.01</f>
        <v>0.01</v>
      </c>
      <c r="Q8" t="s">
        <v>217</v>
      </c>
    </row>
    <row r="9" spans="1:18" ht="17.100000000000001" customHeight="1" x14ac:dyDescent="0.3">
      <c r="A9" s="128" t="s">
        <v>13</v>
      </c>
      <c r="B9" s="85">
        <f>B8+1</f>
        <v>2</v>
      </c>
      <c r="C9" s="85" t="s">
        <v>104</v>
      </c>
      <c r="D9" s="85" t="s">
        <v>76</v>
      </c>
      <c r="E9" s="86">
        <v>1.94</v>
      </c>
      <c r="F9" s="32">
        <v>1461505.02</v>
      </c>
      <c r="G9" s="156">
        <v>80000.02</v>
      </c>
      <c r="H9" s="33"/>
      <c r="I9" s="87">
        <f t="shared" ref="I9:I65" si="2">F9-G9</f>
        <v>1381505</v>
      </c>
      <c r="J9" s="87">
        <f t="shared" ref="J9:J65" si="3">IF(I9&gt;0,I9*2.95%,0)</f>
        <v>40754.397499999999</v>
      </c>
      <c r="K9" s="88">
        <f t="shared" ref="K9:K65" si="4">N$2*E9%</f>
        <v>0</v>
      </c>
      <c r="L9" s="88">
        <f t="shared" ref="L9:L65" si="5">N$1*E9%</f>
        <v>157839.32095679999</v>
      </c>
      <c r="M9" s="89">
        <v>0</v>
      </c>
      <c r="N9" s="90">
        <f t="shared" si="0"/>
        <v>1580099.02</v>
      </c>
      <c r="O9" s="91">
        <f t="shared" si="1"/>
        <v>1627502.02</v>
      </c>
      <c r="P9" s="22">
        <f>P8+0.01</f>
        <v>0.02</v>
      </c>
      <c r="Q9" s="22"/>
    </row>
    <row r="10" spans="1:18" ht="17.25" customHeight="1" x14ac:dyDescent="0.3">
      <c r="A10" s="128" t="s">
        <v>13</v>
      </c>
      <c r="B10" s="85">
        <f t="shared" ref="B10:B45" si="6">B9+1</f>
        <v>3</v>
      </c>
      <c r="C10" s="85" t="s">
        <v>105</v>
      </c>
      <c r="D10" s="102" t="s">
        <v>77</v>
      </c>
      <c r="E10" s="86">
        <v>1.78</v>
      </c>
      <c r="F10" s="32">
        <v>144822.03</v>
      </c>
      <c r="G10" s="156">
        <f>F10</f>
        <v>144822.03</v>
      </c>
      <c r="H10" s="33"/>
      <c r="I10" s="87">
        <f t="shared" si="2"/>
        <v>0</v>
      </c>
      <c r="J10" s="87">
        <f t="shared" si="3"/>
        <v>0</v>
      </c>
      <c r="K10" s="88">
        <f t="shared" si="4"/>
        <v>0</v>
      </c>
      <c r="L10" s="88">
        <f t="shared" si="5"/>
        <v>144821.64500159997</v>
      </c>
      <c r="M10" s="89">
        <v>0</v>
      </c>
      <c r="N10" s="90">
        <f t="shared" si="0"/>
        <v>144822.03</v>
      </c>
      <c r="O10" s="91">
        <f t="shared" si="1"/>
        <v>149167.03</v>
      </c>
      <c r="P10" s="22">
        <f>P9+0.01</f>
        <v>0.03</v>
      </c>
    </row>
    <row r="11" spans="1:18" ht="17.100000000000001" customHeight="1" x14ac:dyDescent="0.3">
      <c r="A11" s="128" t="s">
        <v>14</v>
      </c>
      <c r="B11" s="85">
        <f t="shared" si="6"/>
        <v>4</v>
      </c>
      <c r="C11" s="85" t="s">
        <v>106</v>
      </c>
      <c r="D11" s="85" t="s">
        <v>78</v>
      </c>
      <c r="E11" s="30">
        <v>1.62</v>
      </c>
      <c r="F11" s="31">
        <v>132364.04</v>
      </c>
      <c r="G11" s="156">
        <f>F11</f>
        <v>132364.04</v>
      </c>
      <c r="H11" s="33"/>
      <c r="I11" s="34">
        <f t="shared" si="2"/>
        <v>0</v>
      </c>
      <c r="J11" s="34">
        <f t="shared" si="3"/>
        <v>0</v>
      </c>
      <c r="K11" s="35">
        <f t="shared" si="4"/>
        <v>0</v>
      </c>
      <c r="L11" s="35">
        <f t="shared" si="5"/>
        <v>131803.96904640002</v>
      </c>
      <c r="M11" s="36">
        <v>0</v>
      </c>
      <c r="N11" s="37">
        <f t="shared" si="0"/>
        <v>131804.04</v>
      </c>
      <c r="O11" s="38">
        <f t="shared" si="1"/>
        <v>135758.04</v>
      </c>
      <c r="P11" s="22">
        <f t="shared" ref="P11:P65" si="7">P10+0.01</f>
        <v>0.04</v>
      </c>
      <c r="Q11" s="28" t="s">
        <v>81</v>
      </c>
      <c r="R11" s="22"/>
    </row>
    <row r="12" spans="1:18" ht="17.100000000000001" customHeight="1" x14ac:dyDescent="0.3">
      <c r="A12" s="155" t="s">
        <v>14</v>
      </c>
      <c r="B12" s="85">
        <f t="shared" si="6"/>
        <v>5</v>
      </c>
      <c r="C12" s="85" t="s">
        <v>107</v>
      </c>
      <c r="D12" s="85" t="s">
        <v>79</v>
      </c>
      <c r="E12" s="30">
        <v>1.94</v>
      </c>
      <c r="F12" s="31">
        <v>1110751.05</v>
      </c>
      <c r="G12" s="156">
        <f>15067+600000</f>
        <v>615067</v>
      </c>
      <c r="H12" s="33"/>
      <c r="I12" s="34">
        <f t="shared" si="2"/>
        <v>495684.05000000005</v>
      </c>
      <c r="J12" s="34">
        <f t="shared" si="3"/>
        <v>14622.679475000003</v>
      </c>
      <c r="K12" s="35">
        <f t="shared" si="4"/>
        <v>0</v>
      </c>
      <c r="L12" s="35">
        <f t="shared" si="5"/>
        <v>157839.32095679999</v>
      </c>
      <c r="M12" s="36">
        <v>0</v>
      </c>
      <c r="N12" s="37">
        <f t="shared" si="0"/>
        <v>668146.05000000005</v>
      </c>
      <c r="O12" s="38">
        <f t="shared" si="1"/>
        <v>688190.05</v>
      </c>
      <c r="P12" s="22">
        <f t="shared" si="7"/>
        <v>0.05</v>
      </c>
      <c r="R12" s="22"/>
    </row>
    <row r="13" spans="1:18" ht="17.100000000000001" customHeight="1" x14ac:dyDescent="0.3">
      <c r="A13" s="128"/>
      <c r="B13" s="85">
        <f t="shared" si="6"/>
        <v>6</v>
      </c>
      <c r="C13" s="85" t="s">
        <v>108</v>
      </c>
      <c r="D13" s="85" t="s">
        <v>80</v>
      </c>
      <c r="E13" s="30">
        <v>1.78</v>
      </c>
      <c r="F13" s="31">
        <v>141201.06</v>
      </c>
      <c r="G13" s="156">
        <v>145437.06</v>
      </c>
      <c r="H13" s="33"/>
      <c r="I13" s="34">
        <f t="shared" si="2"/>
        <v>-4236</v>
      </c>
      <c r="J13" s="34">
        <f t="shared" si="3"/>
        <v>0</v>
      </c>
      <c r="K13" s="35">
        <f t="shared" si="4"/>
        <v>0</v>
      </c>
      <c r="L13" s="35">
        <f t="shared" si="5"/>
        <v>144821.64500159997</v>
      </c>
      <c r="M13" s="36">
        <v>0</v>
      </c>
      <c r="N13" s="37">
        <f t="shared" si="0"/>
        <v>140586.06</v>
      </c>
      <c r="O13" s="38">
        <f t="shared" si="1"/>
        <v>144804.06</v>
      </c>
      <c r="P13" s="22">
        <f t="shared" si="7"/>
        <v>6.0000000000000005E-2</v>
      </c>
      <c r="R13" s="22"/>
    </row>
    <row r="14" spans="1:18" ht="17.100000000000001" customHeight="1" x14ac:dyDescent="0.3">
      <c r="A14" s="128"/>
      <c r="B14" s="85">
        <f t="shared" si="6"/>
        <v>7</v>
      </c>
      <c r="C14" s="85" t="s">
        <v>109</v>
      </c>
      <c r="D14" s="85" t="s">
        <v>81</v>
      </c>
      <c r="E14" s="30">
        <v>1.62</v>
      </c>
      <c r="F14" s="31">
        <v>132364.07</v>
      </c>
      <c r="G14" s="156">
        <f>F14</f>
        <v>132364.07</v>
      </c>
      <c r="H14" s="33"/>
      <c r="I14" s="34">
        <f t="shared" si="2"/>
        <v>0</v>
      </c>
      <c r="J14" s="34">
        <f t="shared" si="3"/>
        <v>0</v>
      </c>
      <c r="K14" s="35">
        <f t="shared" si="4"/>
        <v>0</v>
      </c>
      <c r="L14" s="35">
        <f t="shared" si="5"/>
        <v>131803.96904640002</v>
      </c>
      <c r="M14" s="36">
        <v>0</v>
      </c>
      <c r="N14" s="37">
        <f t="shared" si="0"/>
        <v>131804.07</v>
      </c>
      <c r="O14" s="38">
        <f t="shared" si="1"/>
        <v>135758.07</v>
      </c>
      <c r="P14" s="22">
        <f t="shared" si="7"/>
        <v>7.0000000000000007E-2</v>
      </c>
      <c r="Q14" s="28" t="s">
        <v>81</v>
      </c>
      <c r="R14" s="22"/>
    </row>
    <row r="15" spans="1:18" ht="17.100000000000001" customHeight="1" x14ac:dyDescent="0.3">
      <c r="A15" s="128"/>
      <c r="B15" s="209">
        <f t="shared" si="6"/>
        <v>8</v>
      </c>
      <c r="C15" s="209" t="s">
        <v>110</v>
      </c>
      <c r="D15" s="209" t="s">
        <v>82</v>
      </c>
      <c r="E15" s="30">
        <v>1.62</v>
      </c>
      <c r="F15" s="31">
        <v>131277.07999999999</v>
      </c>
      <c r="G15" s="156">
        <v>132000</v>
      </c>
      <c r="H15" s="33"/>
      <c r="I15" s="34">
        <f t="shared" si="2"/>
        <v>-722.92000000001281</v>
      </c>
      <c r="J15" s="34">
        <f t="shared" si="3"/>
        <v>0</v>
      </c>
      <c r="K15" s="35">
        <f t="shared" si="4"/>
        <v>0</v>
      </c>
      <c r="L15" s="35">
        <f t="shared" si="5"/>
        <v>131803.96904640002</v>
      </c>
      <c r="M15" s="36">
        <v>0</v>
      </c>
      <c r="N15" s="37">
        <f t="shared" si="0"/>
        <v>131081.07999999999</v>
      </c>
      <c r="O15" s="38">
        <f t="shared" si="1"/>
        <v>135013.07999999999</v>
      </c>
      <c r="P15" s="22">
        <f t="shared" si="7"/>
        <v>0.08</v>
      </c>
      <c r="R15" s="22"/>
    </row>
    <row r="16" spans="1:18" ht="17.100000000000001" customHeight="1" x14ac:dyDescent="0.3">
      <c r="A16" s="128"/>
      <c r="B16" s="209">
        <f t="shared" si="6"/>
        <v>9</v>
      </c>
      <c r="C16" s="209" t="s">
        <v>111</v>
      </c>
      <c r="D16" s="209" t="s">
        <v>82</v>
      </c>
      <c r="E16" s="30">
        <v>7.59</v>
      </c>
      <c r="F16" s="31">
        <v>617526.09</v>
      </c>
      <c r="G16" s="156">
        <v>618000</v>
      </c>
      <c r="H16" s="33"/>
      <c r="I16" s="34">
        <f t="shared" si="2"/>
        <v>-473.9100000000326</v>
      </c>
      <c r="J16" s="34">
        <f t="shared" si="3"/>
        <v>0</v>
      </c>
      <c r="K16" s="35">
        <f t="shared" si="4"/>
        <v>0</v>
      </c>
      <c r="L16" s="35">
        <f t="shared" si="5"/>
        <v>617526.00312479993</v>
      </c>
      <c r="M16" s="36">
        <v>0</v>
      </c>
      <c r="N16" s="37">
        <f t="shared" si="0"/>
        <v>617052.09</v>
      </c>
      <c r="O16" s="38">
        <f t="shared" si="1"/>
        <v>635564.09</v>
      </c>
      <c r="P16" s="22">
        <f t="shared" si="7"/>
        <v>0.09</v>
      </c>
      <c r="R16" s="22"/>
    </row>
    <row r="17" spans="1:18" ht="17.100000000000001" customHeight="1" x14ac:dyDescent="0.3">
      <c r="A17" s="128"/>
      <c r="B17" s="157">
        <f t="shared" si="6"/>
        <v>10</v>
      </c>
      <c r="C17" s="157" t="s">
        <v>112</v>
      </c>
      <c r="D17" s="157" t="s">
        <v>83</v>
      </c>
      <c r="E17" s="158">
        <v>1.62</v>
      </c>
      <c r="F17" s="159">
        <v>133920.1</v>
      </c>
      <c r="G17" s="160">
        <v>131000</v>
      </c>
      <c r="H17" s="161"/>
      <c r="I17" s="162">
        <f t="shared" si="2"/>
        <v>2920.1000000000058</v>
      </c>
      <c r="J17" s="162">
        <f t="shared" si="3"/>
        <v>86.142950000000184</v>
      </c>
      <c r="K17" s="163">
        <f t="shared" si="4"/>
        <v>0</v>
      </c>
      <c r="L17" s="163">
        <f t="shared" si="5"/>
        <v>131803.96904640002</v>
      </c>
      <c r="M17" s="164">
        <v>0</v>
      </c>
      <c r="N17" s="165">
        <f t="shared" si="0"/>
        <v>134810.1</v>
      </c>
      <c r="O17" s="166">
        <f t="shared" si="1"/>
        <v>138854.1</v>
      </c>
      <c r="P17" s="22">
        <f t="shared" si="7"/>
        <v>9.9999999999999992E-2</v>
      </c>
      <c r="Q17" t="s">
        <v>145</v>
      </c>
      <c r="R17" s="22"/>
    </row>
    <row r="18" spans="1:18" ht="17.100000000000001" customHeight="1" x14ac:dyDescent="0.3">
      <c r="A18" s="128"/>
      <c r="B18" s="189">
        <f t="shared" si="6"/>
        <v>11</v>
      </c>
      <c r="C18" s="189" t="s">
        <v>113</v>
      </c>
      <c r="D18" s="189" t="s">
        <v>84</v>
      </c>
      <c r="E18" s="30">
        <v>1.78</v>
      </c>
      <c r="F18" s="31">
        <v>427836.11</v>
      </c>
      <c r="G18" s="32"/>
      <c r="H18" s="33"/>
      <c r="I18" s="34">
        <f t="shared" si="2"/>
        <v>427836.11</v>
      </c>
      <c r="J18" s="34">
        <f t="shared" si="3"/>
        <v>12621.165245</v>
      </c>
      <c r="K18" s="35">
        <f t="shared" si="4"/>
        <v>0</v>
      </c>
      <c r="L18" s="35">
        <f t="shared" si="5"/>
        <v>144821.64500159997</v>
      </c>
      <c r="M18" s="36">
        <v>0</v>
      </c>
      <c r="N18" s="37">
        <f t="shared" si="0"/>
        <v>585279.11</v>
      </c>
      <c r="O18" s="38">
        <f t="shared" si="1"/>
        <v>602837.11</v>
      </c>
      <c r="P18" s="22">
        <f t="shared" si="7"/>
        <v>0.10999999999999999</v>
      </c>
      <c r="Q18" t="s">
        <v>200</v>
      </c>
      <c r="R18" s="22"/>
    </row>
    <row r="19" spans="1:18" ht="17.100000000000001" customHeight="1" x14ac:dyDescent="0.3">
      <c r="A19" s="128"/>
      <c r="B19" s="189">
        <f t="shared" si="6"/>
        <v>12</v>
      </c>
      <c r="C19" s="189" t="s">
        <v>114</v>
      </c>
      <c r="D19" s="189" t="s">
        <v>84</v>
      </c>
      <c r="E19" s="30">
        <v>1.3</v>
      </c>
      <c r="F19" s="31">
        <v>276432.12</v>
      </c>
      <c r="G19" s="32"/>
      <c r="H19" s="33"/>
      <c r="I19" s="34">
        <f t="shared" si="2"/>
        <v>276432.12</v>
      </c>
      <c r="J19" s="34">
        <f t="shared" si="3"/>
        <v>8154.7475400000003</v>
      </c>
      <c r="K19" s="35">
        <f t="shared" si="4"/>
        <v>0</v>
      </c>
      <c r="L19" s="35">
        <f t="shared" si="5"/>
        <v>105768.617136</v>
      </c>
      <c r="M19" s="36">
        <v>0</v>
      </c>
      <c r="N19" s="37">
        <f t="shared" si="0"/>
        <v>390355.12</v>
      </c>
      <c r="O19" s="38">
        <f t="shared" si="1"/>
        <v>402066.12</v>
      </c>
      <c r="P19" s="22">
        <f t="shared" si="7"/>
        <v>0.11999999999999998</v>
      </c>
      <c r="Q19" t="s">
        <v>200</v>
      </c>
      <c r="R19" s="22"/>
    </row>
    <row r="20" spans="1:18" ht="17.100000000000001" customHeight="1" x14ac:dyDescent="0.3">
      <c r="A20" s="128"/>
      <c r="B20" s="157">
        <f t="shared" si="6"/>
        <v>13</v>
      </c>
      <c r="C20" s="157" t="s">
        <v>115</v>
      </c>
      <c r="D20" s="157" t="s">
        <v>85</v>
      </c>
      <c r="E20" s="158">
        <v>1.38</v>
      </c>
      <c r="F20" s="159">
        <v>105666.13</v>
      </c>
      <c r="G20" s="160">
        <f>257810.27-G21</f>
        <v>105666.12999999998</v>
      </c>
      <c r="H20" s="161"/>
      <c r="I20" s="162">
        <f t="shared" si="2"/>
        <v>0</v>
      </c>
      <c r="J20" s="162">
        <f t="shared" si="3"/>
        <v>0</v>
      </c>
      <c r="K20" s="163">
        <f t="shared" si="4"/>
        <v>0</v>
      </c>
      <c r="L20" s="163">
        <f t="shared" si="5"/>
        <v>112277.45511359998</v>
      </c>
      <c r="M20" s="164">
        <v>0</v>
      </c>
      <c r="N20" s="165">
        <f t="shared" si="0"/>
        <v>112277.13</v>
      </c>
      <c r="O20" s="166">
        <f t="shared" si="1"/>
        <v>115645.13</v>
      </c>
      <c r="P20" s="22">
        <f t="shared" si="7"/>
        <v>0.12999999999999998</v>
      </c>
      <c r="Q20" t="s">
        <v>147</v>
      </c>
      <c r="R20" s="22"/>
    </row>
    <row r="21" spans="1:18" ht="17.100000000000001" customHeight="1" x14ac:dyDescent="0.3">
      <c r="A21" s="128"/>
      <c r="B21" s="157">
        <f t="shared" si="6"/>
        <v>14</v>
      </c>
      <c r="C21" s="157" t="s">
        <v>116</v>
      </c>
      <c r="D21" s="157" t="s">
        <v>85</v>
      </c>
      <c r="E21" s="158">
        <v>1.87</v>
      </c>
      <c r="F21" s="159">
        <v>152144.14000000001</v>
      </c>
      <c r="G21" s="160">
        <f>F21</f>
        <v>152144.14000000001</v>
      </c>
      <c r="H21" s="161"/>
      <c r="I21" s="162">
        <f t="shared" si="2"/>
        <v>0</v>
      </c>
      <c r="J21" s="162">
        <f t="shared" si="3"/>
        <v>0</v>
      </c>
      <c r="K21" s="163">
        <f t="shared" si="4"/>
        <v>0</v>
      </c>
      <c r="L21" s="163">
        <f t="shared" si="5"/>
        <v>152144.0877264</v>
      </c>
      <c r="M21" s="164">
        <v>0</v>
      </c>
      <c r="N21" s="165">
        <f t="shared" si="0"/>
        <v>152144.14000000001</v>
      </c>
      <c r="O21" s="166">
        <f t="shared" si="1"/>
        <v>156708.14000000001</v>
      </c>
      <c r="P21" s="22">
        <f t="shared" si="7"/>
        <v>0.13999999999999999</v>
      </c>
      <c r="Q21" t="s">
        <v>147</v>
      </c>
      <c r="R21" s="22"/>
    </row>
    <row r="22" spans="1:18" ht="17.100000000000001" customHeight="1" x14ac:dyDescent="0.3">
      <c r="A22" s="128"/>
      <c r="B22" s="85">
        <f t="shared" si="6"/>
        <v>15</v>
      </c>
      <c r="C22" s="85" t="s">
        <v>117</v>
      </c>
      <c r="D22" s="85" t="s">
        <v>86</v>
      </c>
      <c r="E22" s="30">
        <v>2.91</v>
      </c>
      <c r="F22" s="31">
        <v>565044.15</v>
      </c>
      <c r="G22" s="32">
        <v>0</v>
      </c>
      <c r="H22" s="33"/>
      <c r="I22" s="34">
        <f t="shared" si="2"/>
        <v>565044.15</v>
      </c>
      <c r="J22" s="34">
        <f t="shared" si="3"/>
        <v>16668.802425000002</v>
      </c>
      <c r="K22" s="35">
        <f t="shared" si="4"/>
        <v>0</v>
      </c>
      <c r="L22" s="35">
        <f t="shared" si="5"/>
        <v>236758.9814352</v>
      </c>
      <c r="M22" s="36">
        <v>0</v>
      </c>
      <c r="N22" s="37">
        <f t="shared" si="0"/>
        <v>818472.15</v>
      </c>
      <c r="O22" s="38">
        <f t="shared" si="1"/>
        <v>843026.15</v>
      </c>
      <c r="P22" s="22">
        <f t="shared" si="7"/>
        <v>0.15</v>
      </c>
      <c r="Q22" t="s">
        <v>162</v>
      </c>
      <c r="R22" s="22"/>
    </row>
    <row r="23" spans="1:18" ht="17.100000000000001" customHeight="1" x14ac:dyDescent="0.3">
      <c r="A23" s="128"/>
      <c r="B23" s="157">
        <f t="shared" si="6"/>
        <v>16</v>
      </c>
      <c r="C23" s="157" t="s">
        <v>118</v>
      </c>
      <c r="D23" s="157" t="s">
        <v>87</v>
      </c>
      <c r="E23" s="158">
        <v>2.14</v>
      </c>
      <c r="F23" s="159">
        <v>174860.16</v>
      </c>
      <c r="G23" s="160">
        <v>170000</v>
      </c>
      <c r="H23" s="161"/>
      <c r="I23" s="162">
        <f t="shared" si="2"/>
        <v>4860.1600000000035</v>
      </c>
      <c r="J23" s="162">
        <f t="shared" si="3"/>
        <v>143.37472000000011</v>
      </c>
      <c r="K23" s="163">
        <f t="shared" si="4"/>
        <v>0</v>
      </c>
      <c r="L23" s="163">
        <f t="shared" si="5"/>
        <v>174111.4159008</v>
      </c>
      <c r="M23" s="164">
        <v>0</v>
      </c>
      <c r="N23" s="165">
        <f t="shared" si="0"/>
        <v>179115.16</v>
      </c>
      <c r="O23" s="166">
        <f t="shared" si="1"/>
        <v>184488.16</v>
      </c>
      <c r="P23" s="22">
        <f t="shared" si="7"/>
        <v>0.16</v>
      </c>
      <c r="Q23" t="s">
        <v>145</v>
      </c>
      <c r="R23" s="22"/>
    </row>
    <row r="24" spans="1:18" ht="17.100000000000001" customHeight="1" x14ac:dyDescent="0.3">
      <c r="A24" s="128" t="s">
        <v>15</v>
      </c>
      <c r="B24" s="85">
        <f t="shared" si="6"/>
        <v>17</v>
      </c>
      <c r="C24" s="85" t="s">
        <v>119</v>
      </c>
      <c r="D24" s="85" t="s">
        <v>82</v>
      </c>
      <c r="E24" s="30">
        <v>0.89</v>
      </c>
      <c r="F24" s="31">
        <v>72371.17</v>
      </c>
      <c r="G24" s="156">
        <v>74000</v>
      </c>
      <c r="H24" s="33"/>
      <c r="I24" s="34">
        <f t="shared" si="2"/>
        <v>-1628.8300000000017</v>
      </c>
      <c r="J24" s="34">
        <f t="shared" si="3"/>
        <v>0</v>
      </c>
      <c r="K24" s="35">
        <f t="shared" si="4"/>
        <v>0</v>
      </c>
      <c r="L24" s="35">
        <f t="shared" si="5"/>
        <v>72410.822500799986</v>
      </c>
      <c r="M24" s="36">
        <v>0</v>
      </c>
      <c r="N24" s="37">
        <f t="shared" si="0"/>
        <v>70782.17</v>
      </c>
      <c r="O24" s="38">
        <f t="shared" si="1"/>
        <v>72905.17</v>
      </c>
      <c r="P24" s="22">
        <f t="shared" si="7"/>
        <v>0.17</v>
      </c>
    </row>
    <row r="25" spans="1:18" ht="17.100000000000001" customHeight="1" x14ac:dyDescent="0.3">
      <c r="A25" s="128" t="s">
        <v>15</v>
      </c>
      <c r="B25" s="85">
        <f t="shared" si="6"/>
        <v>18</v>
      </c>
      <c r="C25" s="85" t="s">
        <v>120</v>
      </c>
      <c r="D25" s="85" t="s">
        <v>88</v>
      </c>
      <c r="E25" s="86">
        <v>0.95</v>
      </c>
      <c r="F25" s="32">
        <v>3162593.18</v>
      </c>
      <c r="G25" s="32">
        <v>0</v>
      </c>
      <c r="H25" s="33"/>
      <c r="I25" s="34">
        <f t="shared" si="2"/>
        <v>3162593.18</v>
      </c>
      <c r="J25" s="34">
        <f t="shared" si="3"/>
        <v>93296.498810000005</v>
      </c>
      <c r="K25" s="35">
        <f t="shared" si="4"/>
        <v>0</v>
      </c>
      <c r="L25" s="35">
        <f t="shared" si="5"/>
        <v>77292.450983999996</v>
      </c>
      <c r="M25" s="36">
        <v>0</v>
      </c>
      <c r="N25" s="37">
        <f t="shared" si="0"/>
        <v>3333182.18</v>
      </c>
      <c r="O25" s="38">
        <f t="shared" si="1"/>
        <v>3433177.18</v>
      </c>
      <c r="P25" s="22">
        <f t="shared" si="7"/>
        <v>0.18000000000000002</v>
      </c>
      <c r="Q25" s="73"/>
      <c r="R25" s="72"/>
    </row>
    <row r="26" spans="1:18" ht="17.100000000000001" customHeight="1" x14ac:dyDescent="0.3">
      <c r="A26" s="128" t="s">
        <v>16</v>
      </c>
      <c r="B26" s="85">
        <f t="shared" si="6"/>
        <v>19</v>
      </c>
      <c r="C26" s="85" t="s">
        <v>121</v>
      </c>
      <c r="D26" s="85" t="s">
        <v>82</v>
      </c>
      <c r="E26" s="30">
        <v>1.94</v>
      </c>
      <c r="F26" s="31">
        <v>157159.19</v>
      </c>
      <c r="G26" s="156">
        <v>158000</v>
      </c>
      <c r="H26" s="33"/>
      <c r="I26" s="34">
        <f t="shared" si="2"/>
        <v>-840.80999999999767</v>
      </c>
      <c r="J26" s="34">
        <f t="shared" si="3"/>
        <v>0</v>
      </c>
      <c r="K26" s="35">
        <f t="shared" si="4"/>
        <v>0</v>
      </c>
      <c r="L26" s="35">
        <f t="shared" si="5"/>
        <v>157839.32095679999</v>
      </c>
      <c r="M26" s="36">
        <v>0</v>
      </c>
      <c r="N26" s="37">
        <f t="shared" si="0"/>
        <v>156999.19</v>
      </c>
      <c r="O26" s="38">
        <f t="shared" si="1"/>
        <v>161709.19</v>
      </c>
      <c r="P26" s="22">
        <f t="shared" si="7"/>
        <v>0.19000000000000003</v>
      </c>
    </row>
    <row r="27" spans="1:18" ht="17.100000000000001" customHeight="1" x14ac:dyDescent="0.3">
      <c r="A27" s="128" t="s">
        <v>16</v>
      </c>
      <c r="B27" s="85">
        <f t="shared" si="6"/>
        <v>20</v>
      </c>
      <c r="C27" s="85" t="s">
        <v>122</v>
      </c>
      <c r="D27" s="85" t="s">
        <v>89</v>
      </c>
      <c r="E27" s="30">
        <v>1.84</v>
      </c>
      <c r="F27" s="31">
        <v>221783.2</v>
      </c>
      <c r="G27" s="32">
        <v>0</v>
      </c>
      <c r="H27" s="33"/>
      <c r="I27" s="34">
        <f t="shared" si="2"/>
        <v>221783.2</v>
      </c>
      <c r="J27" s="34">
        <f t="shared" si="3"/>
        <v>6542.6044000000011</v>
      </c>
      <c r="K27" s="35">
        <f t="shared" si="4"/>
        <v>0</v>
      </c>
      <c r="L27" s="35">
        <f t="shared" si="5"/>
        <v>149703.27348479998</v>
      </c>
      <c r="M27" s="36">
        <v>0</v>
      </c>
      <c r="N27" s="37">
        <f t="shared" si="0"/>
        <v>378029.2</v>
      </c>
      <c r="O27" s="38">
        <f t="shared" si="1"/>
        <v>389370.2</v>
      </c>
      <c r="P27" s="22">
        <f t="shared" si="7"/>
        <v>0.20000000000000004</v>
      </c>
    </row>
    <row r="28" spans="1:18" ht="17.100000000000001" customHeight="1" x14ac:dyDescent="0.3">
      <c r="A28" s="128" t="s">
        <v>17</v>
      </c>
      <c r="B28" s="85">
        <f t="shared" si="6"/>
        <v>21</v>
      </c>
      <c r="C28" s="85">
        <v>1106</v>
      </c>
      <c r="D28" s="85" t="s">
        <v>90</v>
      </c>
      <c r="E28" s="30">
        <v>5.12</v>
      </c>
      <c r="F28" s="31">
        <v>5899280.21</v>
      </c>
      <c r="G28" s="156">
        <f>1000000</f>
        <v>1000000</v>
      </c>
      <c r="H28" s="33"/>
      <c r="I28" s="34">
        <f t="shared" si="2"/>
        <v>4899280.21</v>
      </c>
      <c r="J28" s="34">
        <f t="shared" si="3"/>
        <v>144528.766195</v>
      </c>
      <c r="K28" s="35">
        <f t="shared" si="4"/>
        <v>0</v>
      </c>
      <c r="L28" s="35">
        <f t="shared" si="5"/>
        <v>416565.63056639995</v>
      </c>
      <c r="M28" s="36">
        <v>0</v>
      </c>
      <c r="N28" s="37">
        <f t="shared" si="0"/>
        <v>5460375.21</v>
      </c>
      <c r="O28" s="38">
        <f t="shared" si="1"/>
        <v>5624186.21</v>
      </c>
      <c r="P28" s="22">
        <f t="shared" si="7"/>
        <v>0.21000000000000005</v>
      </c>
    </row>
    <row r="29" spans="1:18" ht="17.100000000000001" customHeight="1" x14ac:dyDescent="0.3">
      <c r="A29" s="128" t="s">
        <v>17</v>
      </c>
      <c r="B29" s="85">
        <f t="shared" si="6"/>
        <v>22</v>
      </c>
      <c r="C29" s="85">
        <v>1101</v>
      </c>
      <c r="D29" s="85" t="s">
        <v>82</v>
      </c>
      <c r="E29" s="30">
        <v>3.88</v>
      </c>
      <c r="F29" s="31">
        <v>585299.22</v>
      </c>
      <c r="G29" s="156">
        <f>262000+316000+7299</f>
        <v>585299</v>
      </c>
      <c r="H29" s="33"/>
      <c r="I29" s="34">
        <f t="shared" si="2"/>
        <v>0.21999999997206032</v>
      </c>
      <c r="J29" s="34">
        <f t="shared" si="3"/>
        <v>6.4899999991757801E-3</v>
      </c>
      <c r="K29" s="35">
        <f t="shared" si="4"/>
        <v>0</v>
      </c>
      <c r="L29" s="35">
        <f t="shared" si="5"/>
        <v>315678.64191359997</v>
      </c>
      <c r="M29" s="36">
        <v>0</v>
      </c>
      <c r="N29" s="37">
        <f t="shared" si="0"/>
        <v>315679.21999999997</v>
      </c>
      <c r="O29" s="38">
        <f t="shared" si="1"/>
        <v>325149.21999999997</v>
      </c>
      <c r="P29" s="22">
        <f t="shared" si="7"/>
        <v>0.22000000000000006</v>
      </c>
      <c r="Q29" t="s">
        <v>146</v>
      </c>
    </row>
    <row r="30" spans="1:18" ht="17.100000000000001" customHeight="1" x14ac:dyDescent="0.3">
      <c r="A30" s="128" t="s">
        <v>18</v>
      </c>
      <c r="B30" s="85">
        <f t="shared" si="6"/>
        <v>23</v>
      </c>
      <c r="C30" s="85">
        <v>1102</v>
      </c>
      <c r="D30" s="85" t="s">
        <v>91</v>
      </c>
      <c r="E30" s="30">
        <v>0.92</v>
      </c>
      <c r="F30" s="31">
        <v>74852.23</v>
      </c>
      <c r="G30" s="32">
        <v>0</v>
      </c>
      <c r="H30" s="33"/>
      <c r="I30" s="34">
        <f t="shared" si="2"/>
        <v>74852.23</v>
      </c>
      <c r="J30" s="34">
        <f t="shared" si="3"/>
        <v>2208.1407850000001</v>
      </c>
      <c r="K30" s="35">
        <f t="shared" si="4"/>
        <v>0</v>
      </c>
      <c r="L30" s="35">
        <f t="shared" si="5"/>
        <v>74851.636742399991</v>
      </c>
      <c r="M30" s="36">
        <v>0</v>
      </c>
      <c r="N30" s="37">
        <f t="shared" si="0"/>
        <v>151912.23000000001</v>
      </c>
      <c r="O30" s="38">
        <f t="shared" si="1"/>
        <v>156469.23000000001</v>
      </c>
      <c r="P30" s="22">
        <f t="shared" si="7"/>
        <v>0.23000000000000007</v>
      </c>
    </row>
    <row r="31" spans="1:18" ht="17.100000000000001" customHeight="1" x14ac:dyDescent="0.3">
      <c r="A31" s="128" t="s">
        <v>18</v>
      </c>
      <c r="B31" s="85">
        <f t="shared" si="6"/>
        <v>24</v>
      </c>
      <c r="C31" s="85">
        <v>1103</v>
      </c>
      <c r="D31" s="85" t="s">
        <v>92</v>
      </c>
      <c r="E31" s="30">
        <v>1.43</v>
      </c>
      <c r="F31" s="31">
        <v>5302294.24</v>
      </c>
      <c r="G31" s="32">
        <v>0</v>
      </c>
      <c r="H31" s="33"/>
      <c r="I31" s="34">
        <f t="shared" si="2"/>
        <v>5302294.24</v>
      </c>
      <c r="J31" s="34">
        <f t="shared" si="3"/>
        <v>156417.68008000002</v>
      </c>
      <c r="K31" s="35">
        <f t="shared" si="4"/>
        <v>0</v>
      </c>
      <c r="L31" s="35">
        <f t="shared" si="5"/>
        <v>116345.4788496</v>
      </c>
      <c r="M31" s="36">
        <v>0</v>
      </c>
      <c r="N31" s="37">
        <f t="shared" si="0"/>
        <v>5575057.2400000002</v>
      </c>
      <c r="O31" s="38">
        <f t="shared" si="1"/>
        <v>5742309.2400000002</v>
      </c>
      <c r="P31" s="22">
        <f t="shared" si="7"/>
        <v>0.24000000000000007</v>
      </c>
    </row>
    <row r="32" spans="1:18" ht="17.100000000000001" customHeight="1" x14ac:dyDescent="0.3">
      <c r="A32" s="128" t="s">
        <v>19</v>
      </c>
      <c r="B32" s="85">
        <f t="shared" si="6"/>
        <v>25</v>
      </c>
      <c r="C32" s="85">
        <v>1104</v>
      </c>
      <c r="D32" s="85" t="s">
        <v>93</v>
      </c>
      <c r="E32" s="30">
        <v>2.19</v>
      </c>
      <c r="F32" s="31">
        <v>325063.25</v>
      </c>
      <c r="G32" s="156">
        <v>334815.25</v>
      </c>
      <c r="H32" s="33"/>
      <c r="I32" s="34">
        <f t="shared" si="2"/>
        <v>-9752</v>
      </c>
      <c r="J32" s="34">
        <f t="shared" si="3"/>
        <v>0</v>
      </c>
      <c r="K32" s="35">
        <f t="shared" si="4"/>
        <v>0</v>
      </c>
      <c r="L32" s="35">
        <f t="shared" si="5"/>
        <v>178179.43963679997</v>
      </c>
      <c r="M32" s="36">
        <v>0</v>
      </c>
      <c r="N32" s="37">
        <f t="shared" si="0"/>
        <v>168427.25</v>
      </c>
      <c r="O32" s="38">
        <f t="shared" si="1"/>
        <v>173480.25</v>
      </c>
      <c r="P32" s="22">
        <f t="shared" si="7"/>
        <v>0.25000000000000006</v>
      </c>
    </row>
    <row r="33" spans="1:18" ht="17.100000000000001" customHeight="1" x14ac:dyDescent="0.3">
      <c r="A33" s="128" t="s">
        <v>19</v>
      </c>
      <c r="B33" s="85">
        <f t="shared" si="6"/>
        <v>26</v>
      </c>
      <c r="C33" s="85">
        <v>1105</v>
      </c>
      <c r="D33" s="85" t="s">
        <v>94</v>
      </c>
      <c r="E33" s="30">
        <v>1.94</v>
      </c>
      <c r="F33" s="31">
        <v>162574.26</v>
      </c>
      <c r="G33" s="156">
        <f>F33</f>
        <v>162574.26</v>
      </c>
      <c r="H33" s="33"/>
      <c r="I33" s="34">
        <f t="shared" si="2"/>
        <v>0</v>
      </c>
      <c r="J33" s="34">
        <f t="shared" si="3"/>
        <v>0</v>
      </c>
      <c r="K33" s="35">
        <f t="shared" si="4"/>
        <v>0</v>
      </c>
      <c r="L33" s="35">
        <f t="shared" si="5"/>
        <v>157839.32095679999</v>
      </c>
      <c r="M33" s="36">
        <v>0</v>
      </c>
      <c r="N33" s="37">
        <f t="shared" si="0"/>
        <v>157839.26</v>
      </c>
      <c r="O33" s="38">
        <f t="shared" si="1"/>
        <v>162574.26</v>
      </c>
      <c r="P33" s="22">
        <f t="shared" si="7"/>
        <v>0.26000000000000006</v>
      </c>
    </row>
    <row r="34" spans="1:18" ht="17.100000000000001" customHeight="1" x14ac:dyDescent="0.3">
      <c r="A34" s="128" t="s">
        <v>20</v>
      </c>
      <c r="B34" s="85">
        <f t="shared" si="6"/>
        <v>27</v>
      </c>
      <c r="C34" s="85">
        <v>2206</v>
      </c>
      <c r="D34" s="85" t="s">
        <v>95</v>
      </c>
      <c r="E34" s="30">
        <v>2.17</v>
      </c>
      <c r="F34" s="31">
        <v>176552.27</v>
      </c>
      <c r="G34" s="156">
        <f>F34</f>
        <v>176552.27</v>
      </c>
      <c r="H34" s="33"/>
      <c r="I34" s="34">
        <f t="shared" si="2"/>
        <v>0</v>
      </c>
      <c r="J34" s="34">
        <f t="shared" si="3"/>
        <v>0</v>
      </c>
      <c r="K34" s="35">
        <f t="shared" si="4"/>
        <v>0</v>
      </c>
      <c r="L34" s="35">
        <f t="shared" si="5"/>
        <v>176552.23014239999</v>
      </c>
      <c r="M34" s="36">
        <v>0</v>
      </c>
      <c r="N34" s="37">
        <f t="shared" si="0"/>
        <v>176552.27</v>
      </c>
      <c r="O34" s="38">
        <f t="shared" si="1"/>
        <v>181849.27</v>
      </c>
      <c r="P34" s="22">
        <f t="shared" si="7"/>
        <v>0.27000000000000007</v>
      </c>
      <c r="Q34" t="s">
        <v>187</v>
      </c>
      <c r="R34" s="21"/>
    </row>
    <row r="35" spans="1:18" ht="17.100000000000001" customHeight="1" x14ac:dyDescent="0.3">
      <c r="A35" s="128" t="s">
        <v>20</v>
      </c>
      <c r="B35" s="85">
        <f t="shared" si="6"/>
        <v>28</v>
      </c>
      <c r="C35" s="85">
        <v>2207</v>
      </c>
      <c r="D35" s="85" t="s">
        <v>96</v>
      </c>
      <c r="E35" s="30">
        <v>1.23</v>
      </c>
      <c r="F35" s="32">
        <v>97626.28</v>
      </c>
      <c r="G35" s="156">
        <v>97627</v>
      </c>
      <c r="H35" s="33"/>
      <c r="I35" s="34">
        <f t="shared" si="2"/>
        <v>-0.72000000000116415</v>
      </c>
      <c r="J35" s="34">
        <f t="shared" si="3"/>
        <v>0</v>
      </c>
      <c r="K35" s="35">
        <f t="shared" si="4"/>
        <v>0</v>
      </c>
      <c r="L35" s="35">
        <f t="shared" si="5"/>
        <v>100073.38390559999</v>
      </c>
      <c r="M35" s="36">
        <v>0</v>
      </c>
      <c r="N35" s="37">
        <f t="shared" si="0"/>
        <v>100073.28</v>
      </c>
      <c r="O35" s="38">
        <f t="shared" si="1"/>
        <v>103075.28</v>
      </c>
      <c r="P35" s="22">
        <f t="shared" si="7"/>
        <v>0.28000000000000008</v>
      </c>
      <c r="Q35" t="s">
        <v>149</v>
      </c>
    </row>
    <row r="36" spans="1:18" ht="17.100000000000001" customHeight="1" x14ac:dyDescent="0.3">
      <c r="A36" s="128" t="s">
        <v>21</v>
      </c>
      <c r="B36" s="167">
        <f t="shared" si="6"/>
        <v>29</v>
      </c>
      <c r="C36" s="167">
        <v>2208</v>
      </c>
      <c r="D36" s="167" t="s">
        <v>97</v>
      </c>
      <c r="E36" s="168">
        <v>1.29</v>
      </c>
      <c r="F36" s="169">
        <v>104955.29</v>
      </c>
      <c r="G36" s="32">
        <v>0</v>
      </c>
      <c r="H36" s="33"/>
      <c r="I36" s="34">
        <f t="shared" si="2"/>
        <v>104955.29</v>
      </c>
      <c r="J36" s="34">
        <f t="shared" si="3"/>
        <v>3096.181055</v>
      </c>
      <c r="K36" s="35">
        <f t="shared" si="4"/>
        <v>0</v>
      </c>
      <c r="L36" s="35">
        <f t="shared" si="5"/>
        <v>104955.01238879999</v>
      </c>
      <c r="M36" s="36">
        <v>0</v>
      </c>
      <c r="N36" s="37">
        <f t="shared" si="0"/>
        <v>213006.29</v>
      </c>
      <c r="O36" s="38">
        <f t="shared" si="1"/>
        <v>219396.29</v>
      </c>
      <c r="P36" s="22">
        <f t="shared" si="7"/>
        <v>0.29000000000000009</v>
      </c>
    </row>
    <row r="37" spans="1:18" ht="17.100000000000001" customHeight="1" x14ac:dyDescent="0.3">
      <c r="A37" s="128" t="s">
        <v>21</v>
      </c>
      <c r="B37" s="85">
        <f t="shared" si="6"/>
        <v>30</v>
      </c>
      <c r="C37" s="85">
        <v>2201</v>
      </c>
      <c r="D37" s="85" t="s">
        <v>97</v>
      </c>
      <c r="E37" s="30">
        <v>1.36</v>
      </c>
      <c r="F37" s="31">
        <v>110650.3</v>
      </c>
      <c r="G37" s="156">
        <f>F37</f>
        <v>110650.3</v>
      </c>
      <c r="H37" s="33"/>
      <c r="I37" s="34">
        <f t="shared" si="2"/>
        <v>0</v>
      </c>
      <c r="J37" s="34">
        <f t="shared" si="3"/>
        <v>0</v>
      </c>
      <c r="K37" s="35">
        <f t="shared" si="4"/>
        <v>0</v>
      </c>
      <c r="L37" s="35">
        <f t="shared" si="5"/>
        <v>110650.2456192</v>
      </c>
      <c r="M37" s="36">
        <v>0</v>
      </c>
      <c r="N37" s="37">
        <f t="shared" si="0"/>
        <v>110650.3</v>
      </c>
      <c r="O37" s="38">
        <f t="shared" si="1"/>
        <v>113970.3</v>
      </c>
      <c r="P37" s="22">
        <f t="shared" si="7"/>
        <v>0.3000000000000001</v>
      </c>
    </row>
    <row r="38" spans="1:18" ht="17.100000000000001" customHeight="1" x14ac:dyDescent="0.3">
      <c r="A38" s="128" t="s">
        <v>22</v>
      </c>
      <c r="B38" s="85">
        <f t="shared" si="6"/>
        <v>31</v>
      </c>
      <c r="C38" s="85">
        <v>2202</v>
      </c>
      <c r="D38" s="85" t="s">
        <v>98</v>
      </c>
      <c r="E38" s="30">
        <v>0.57999999999999996</v>
      </c>
      <c r="F38" s="32">
        <v>14351.31</v>
      </c>
      <c r="G38" s="156">
        <f>F38</f>
        <v>14351.31</v>
      </c>
      <c r="H38" s="33"/>
      <c r="I38" s="34">
        <f t="shared" si="2"/>
        <v>0</v>
      </c>
      <c r="J38" s="34">
        <f t="shared" si="3"/>
        <v>0</v>
      </c>
      <c r="K38" s="35">
        <f t="shared" si="4"/>
        <v>0</v>
      </c>
      <c r="L38" s="35">
        <f t="shared" si="5"/>
        <v>47189.075337599992</v>
      </c>
      <c r="M38" s="36">
        <v>0</v>
      </c>
      <c r="N38" s="37">
        <f t="shared" si="0"/>
        <v>47189.31</v>
      </c>
      <c r="O38" s="38">
        <f t="shared" si="1"/>
        <v>48605.31</v>
      </c>
      <c r="P38" s="22">
        <f t="shared" si="7"/>
        <v>0.31000000000000011</v>
      </c>
      <c r="Q38" t="s">
        <v>152</v>
      </c>
    </row>
    <row r="39" spans="1:18" ht="17.100000000000001" customHeight="1" x14ac:dyDescent="0.3">
      <c r="A39" s="128" t="s">
        <v>23</v>
      </c>
      <c r="B39" s="85">
        <f t="shared" si="6"/>
        <v>32</v>
      </c>
      <c r="C39" s="85">
        <v>2203</v>
      </c>
      <c r="D39" s="85" t="s">
        <v>98</v>
      </c>
      <c r="E39" s="30">
        <v>0.57999999999999996</v>
      </c>
      <c r="F39" s="31">
        <v>14351.32</v>
      </c>
      <c r="G39" s="156">
        <f>F39</f>
        <v>14351.32</v>
      </c>
      <c r="H39" s="33"/>
      <c r="I39" s="34">
        <f t="shared" si="2"/>
        <v>0</v>
      </c>
      <c r="J39" s="34">
        <f t="shared" si="3"/>
        <v>0</v>
      </c>
      <c r="K39" s="35">
        <f t="shared" si="4"/>
        <v>0</v>
      </c>
      <c r="L39" s="35">
        <f t="shared" si="5"/>
        <v>47189.075337599992</v>
      </c>
      <c r="M39" s="36">
        <v>0</v>
      </c>
      <c r="N39" s="37">
        <f t="shared" si="0"/>
        <v>47189.32</v>
      </c>
      <c r="O39" s="38">
        <f t="shared" si="1"/>
        <v>48605.32</v>
      </c>
      <c r="P39" s="22">
        <f t="shared" si="7"/>
        <v>0.32000000000000012</v>
      </c>
      <c r="Q39" t="s">
        <v>152</v>
      </c>
    </row>
    <row r="40" spans="1:18" ht="17.100000000000001" customHeight="1" x14ac:dyDescent="0.3">
      <c r="A40" s="128" t="s">
        <v>24</v>
      </c>
      <c r="B40" s="85">
        <f t="shared" si="6"/>
        <v>33</v>
      </c>
      <c r="C40" s="85">
        <v>2204</v>
      </c>
      <c r="D40" s="85" t="s">
        <v>99</v>
      </c>
      <c r="E40" s="30">
        <v>1.36</v>
      </c>
      <c r="F40" s="31">
        <v>107947.33</v>
      </c>
      <c r="G40" s="156">
        <f>F40</f>
        <v>107947.33</v>
      </c>
      <c r="H40" s="33"/>
      <c r="I40" s="34">
        <f t="shared" si="2"/>
        <v>0</v>
      </c>
      <c r="J40" s="34">
        <f t="shared" si="3"/>
        <v>0</v>
      </c>
      <c r="K40" s="35">
        <f t="shared" si="4"/>
        <v>0</v>
      </c>
      <c r="L40" s="35">
        <f t="shared" si="5"/>
        <v>110650.2456192</v>
      </c>
      <c r="M40" s="36">
        <v>0</v>
      </c>
      <c r="N40" s="37">
        <f t="shared" si="0"/>
        <v>110650.33</v>
      </c>
      <c r="O40" s="38">
        <f t="shared" si="1"/>
        <v>113970.33</v>
      </c>
      <c r="P40" s="22">
        <f t="shared" si="7"/>
        <v>0.33000000000000013</v>
      </c>
      <c r="Q40" t="s">
        <v>152</v>
      </c>
    </row>
    <row r="41" spans="1:18" ht="17.100000000000001" customHeight="1" x14ac:dyDescent="0.3">
      <c r="A41" s="128" t="s">
        <v>25</v>
      </c>
      <c r="B41" s="85">
        <f t="shared" si="6"/>
        <v>34</v>
      </c>
      <c r="C41" s="85">
        <v>2205</v>
      </c>
      <c r="D41" s="85" t="s">
        <v>98</v>
      </c>
      <c r="E41" s="30">
        <v>1.67</v>
      </c>
      <c r="F41" s="31">
        <v>41319.339999999997</v>
      </c>
      <c r="G41" s="156">
        <f>F41</f>
        <v>41319.339999999997</v>
      </c>
      <c r="H41" s="33"/>
      <c r="I41" s="34">
        <f t="shared" si="2"/>
        <v>0</v>
      </c>
      <c r="J41" s="34">
        <f t="shared" si="3"/>
        <v>0</v>
      </c>
      <c r="K41" s="35">
        <f t="shared" si="4"/>
        <v>0</v>
      </c>
      <c r="L41" s="35">
        <f t="shared" si="5"/>
        <v>135871.99278239999</v>
      </c>
      <c r="M41" s="36">
        <v>0</v>
      </c>
      <c r="N41" s="37">
        <f t="shared" si="0"/>
        <v>135872.34</v>
      </c>
      <c r="O41" s="38">
        <f t="shared" si="1"/>
        <v>139948.34</v>
      </c>
      <c r="P41" s="22">
        <f t="shared" si="7"/>
        <v>0.34000000000000014</v>
      </c>
      <c r="Q41" t="s">
        <v>152</v>
      </c>
    </row>
    <row r="42" spans="1:18" ht="17.100000000000001" customHeight="1" x14ac:dyDescent="0.3">
      <c r="A42" s="128" t="s">
        <v>27</v>
      </c>
      <c r="B42" s="85">
        <f t="shared" si="6"/>
        <v>35</v>
      </c>
      <c r="C42" s="85">
        <v>2206</v>
      </c>
      <c r="D42" s="85" t="s">
        <v>100</v>
      </c>
      <c r="E42" s="30">
        <v>2.17</v>
      </c>
      <c r="F42" s="31">
        <v>181849.35</v>
      </c>
      <c r="G42" s="156">
        <f>284924-G43</f>
        <v>181848.64</v>
      </c>
      <c r="H42" s="33"/>
      <c r="I42" s="34">
        <f t="shared" si="2"/>
        <v>0.70999999999185093</v>
      </c>
      <c r="J42" s="34">
        <f t="shared" si="3"/>
        <v>2.0944999999759604E-2</v>
      </c>
      <c r="K42" s="35">
        <f t="shared" si="4"/>
        <v>0</v>
      </c>
      <c r="L42" s="35">
        <f t="shared" si="5"/>
        <v>176552.23014239999</v>
      </c>
      <c r="M42" s="36">
        <v>0</v>
      </c>
      <c r="N42" s="37">
        <f t="shared" si="0"/>
        <v>176553.35</v>
      </c>
      <c r="O42" s="38">
        <f t="shared" si="1"/>
        <v>181850.35</v>
      </c>
      <c r="P42" s="22">
        <f t="shared" si="7"/>
        <v>0.35000000000000014</v>
      </c>
      <c r="Q42" t="s">
        <v>150</v>
      </c>
    </row>
    <row r="43" spans="1:18" ht="17.100000000000001" customHeight="1" x14ac:dyDescent="0.3">
      <c r="A43" s="128" t="s">
        <v>27</v>
      </c>
      <c r="B43" s="85">
        <f t="shared" si="6"/>
        <v>36</v>
      </c>
      <c r="C43" s="85">
        <v>2207</v>
      </c>
      <c r="D43" s="85" t="s">
        <v>100</v>
      </c>
      <c r="E43" s="30">
        <v>1.23</v>
      </c>
      <c r="F43" s="31">
        <v>103075.36</v>
      </c>
      <c r="G43" s="156">
        <f>F43</f>
        <v>103075.36</v>
      </c>
      <c r="H43" s="33"/>
      <c r="I43" s="34">
        <f t="shared" si="2"/>
        <v>0</v>
      </c>
      <c r="J43" s="34">
        <f t="shared" si="3"/>
        <v>0</v>
      </c>
      <c r="K43" s="35">
        <f t="shared" si="4"/>
        <v>0</v>
      </c>
      <c r="L43" s="35">
        <f t="shared" si="5"/>
        <v>100073.38390559999</v>
      </c>
      <c r="M43" s="36">
        <v>0</v>
      </c>
      <c r="N43" s="37">
        <f t="shared" si="0"/>
        <v>100073.36</v>
      </c>
      <c r="O43" s="38">
        <f t="shared" si="1"/>
        <v>103075.36</v>
      </c>
      <c r="P43" s="22">
        <f t="shared" si="7"/>
        <v>0.36000000000000015</v>
      </c>
      <c r="Q43" t="s">
        <v>150</v>
      </c>
    </row>
    <row r="44" spans="1:18" ht="17.100000000000001" customHeight="1" x14ac:dyDescent="0.3">
      <c r="A44" s="128" t="s">
        <v>27</v>
      </c>
      <c r="B44" s="85">
        <f t="shared" si="6"/>
        <v>37</v>
      </c>
      <c r="C44" s="85">
        <v>3308</v>
      </c>
      <c r="D44" s="85" t="s">
        <v>123</v>
      </c>
      <c r="E44" s="30">
        <v>1.23</v>
      </c>
      <c r="F44" s="31">
        <v>100042.37</v>
      </c>
      <c r="G44" s="156">
        <f>F44</f>
        <v>100042.37</v>
      </c>
      <c r="H44" s="33"/>
      <c r="I44" s="34">
        <f t="shared" si="2"/>
        <v>0</v>
      </c>
      <c r="J44" s="34">
        <f t="shared" si="3"/>
        <v>0</v>
      </c>
      <c r="K44" s="35">
        <f t="shared" si="4"/>
        <v>0</v>
      </c>
      <c r="L44" s="35">
        <f t="shared" si="5"/>
        <v>100073.38390559999</v>
      </c>
      <c r="M44" s="36">
        <v>0</v>
      </c>
      <c r="N44" s="37">
        <f t="shared" si="0"/>
        <v>100073.37</v>
      </c>
      <c r="O44" s="38">
        <f t="shared" si="1"/>
        <v>103075.37</v>
      </c>
      <c r="P44" s="22">
        <f t="shared" si="7"/>
        <v>0.37000000000000016</v>
      </c>
      <c r="Q44" s="72"/>
    </row>
    <row r="45" spans="1:18" ht="15" customHeight="1" x14ac:dyDescent="0.3">
      <c r="A45" s="128" t="s">
        <v>27</v>
      </c>
      <c r="B45" s="85">
        <f t="shared" si="6"/>
        <v>38</v>
      </c>
      <c r="C45" s="85">
        <v>3301</v>
      </c>
      <c r="D45" s="124" t="s">
        <v>124</v>
      </c>
      <c r="E45" s="30">
        <v>1.36</v>
      </c>
      <c r="F45" s="31">
        <v>562149.38</v>
      </c>
      <c r="G45" s="32">
        <v>0</v>
      </c>
      <c r="H45" s="33"/>
      <c r="I45" s="34">
        <f t="shared" si="2"/>
        <v>562149.38</v>
      </c>
      <c r="J45" s="34">
        <f t="shared" si="3"/>
        <v>16583.406710000003</v>
      </c>
      <c r="K45" s="35">
        <f t="shared" si="4"/>
        <v>0</v>
      </c>
      <c r="L45" s="35">
        <f t="shared" si="5"/>
        <v>110650.2456192</v>
      </c>
      <c r="M45" s="36">
        <v>0</v>
      </c>
      <c r="N45" s="37">
        <f t="shared" si="0"/>
        <v>689383.38</v>
      </c>
      <c r="O45" s="38">
        <f t="shared" si="1"/>
        <v>710065.38</v>
      </c>
      <c r="P45" s="22">
        <f t="shared" si="7"/>
        <v>0.38000000000000017</v>
      </c>
    </row>
    <row r="46" spans="1:18" x14ac:dyDescent="0.3">
      <c r="A46" s="128" t="s">
        <v>27</v>
      </c>
      <c r="B46" s="85">
        <f>B45+1</f>
        <v>39</v>
      </c>
      <c r="C46" s="85">
        <v>3302</v>
      </c>
      <c r="D46" s="85" t="s">
        <v>101</v>
      </c>
      <c r="E46" s="30">
        <v>0.57999999999999996</v>
      </c>
      <c r="F46" s="31">
        <v>48605.39</v>
      </c>
      <c r="G46" s="156">
        <f>F46</f>
        <v>48605.39</v>
      </c>
      <c r="H46" s="40"/>
      <c r="I46" s="34">
        <f t="shared" si="2"/>
        <v>0</v>
      </c>
      <c r="J46" s="34">
        <f t="shared" si="3"/>
        <v>0</v>
      </c>
      <c r="K46" s="35">
        <f t="shared" si="4"/>
        <v>0</v>
      </c>
      <c r="L46" s="35">
        <f t="shared" si="5"/>
        <v>47189.075337599992</v>
      </c>
      <c r="M46" s="36">
        <v>0</v>
      </c>
      <c r="N46" s="37">
        <f t="shared" si="0"/>
        <v>47189.39</v>
      </c>
      <c r="O46" s="38">
        <f t="shared" si="1"/>
        <v>48605.39</v>
      </c>
      <c r="P46" s="22">
        <f t="shared" si="7"/>
        <v>0.39000000000000018</v>
      </c>
    </row>
    <row r="47" spans="1:18" x14ac:dyDescent="0.3">
      <c r="A47" s="72"/>
      <c r="B47" s="85">
        <f t="shared" ref="B47:B65" si="8">B46+1</f>
        <v>40</v>
      </c>
      <c r="C47" s="85">
        <v>3303</v>
      </c>
      <c r="D47" s="85" t="s">
        <v>101</v>
      </c>
      <c r="E47" s="30">
        <v>0.57999999999999996</v>
      </c>
      <c r="F47" s="31">
        <v>48605.4</v>
      </c>
      <c r="G47" s="156">
        <f>F47</f>
        <v>48605.4</v>
      </c>
      <c r="H47" s="40"/>
      <c r="I47" s="34">
        <f t="shared" si="2"/>
        <v>0</v>
      </c>
      <c r="J47" s="34">
        <f t="shared" si="3"/>
        <v>0</v>
      </c>
      <c r="K47" s="35">
        <f t="shared" si="4"/>
        <v>0</v>
      </c>
      <c r="L47" s="35">
        <f t="shared" si="5"/>
        <v>47189.075337599992</v>
      </c>
      <c r="M47" s="36">
        <v>0</v>
      </c>
      <c r="N47" s="37">
        <f t="shared" si="0"/>
        <v>47189.4</v>
      </c>
      <c r="O47" s="38">
        <f t="shared" si="1"/>
        <v>48605.4</v>
      </c>
      <c r="P47" s="22">
        <f t="shared" si="7"/>
        <v>0.40000000000000019</v>
      </c>
    </row>
    <row r="48" spans="1:18" x14ac:dyDescent="0.3">
      <c r="A48" s="72"/>
      <c r="B48" s="200">
        <f t="shared" si="8"/>
        <v>41</v>
      </c>
      <c r="C48" s="200">
        <v>3304</v>
      </c>
      <c r="D48" s="200" t="s">
        <v>131</v>
      </c>
      <c r="E48" s="30">
        <v>1.36</v>
      </c>
      <c r="F48" s="31">
        <v>107815.41</v>
      </c>
      <c r="G48" s="156">
        <v>112000</v>
      </c>
      <c r="H48" s="40"/>
      <c r="I48" s="34">
        <f t="shared" si="2"/>
        <v>-4184.5899999999965</v>
      </c>
      <c r="J48" s="34">
        <f t="shared" si="3"/>
        <v>0</v>
      </c>
      <c r="K48" s="35">
        <f t="shared" si="4"/>
        <v>0</v>
      </c>
      <c r="L48" s="35">
        <f t="shared" si="5"/>
        <v>110650.2456192</v>
      </c>
      <c r="M48" s="36">
        <v>0</v>
      </c>
      <c r="N48" s="37">
        <f t="shared" si="0"/>
        <v>106466.41</v>
      </c>
      <c r="O48" s="38">
        <f t="shared" si="1"/>
        <v>109660.41</v>
      </c>
      <c r="P48" s="22">
        <f t="shared" si="7"/>
        <v>0.4100000000000002</v>
      </c>
    </row>
    <row r="49" spans="1:17" x14ac:dyDescent="0.3">
      <c r="A49" s="72"/>
      <c r="B49" s="85">
        <f t="shared" si="8"/>
        <v>42</v>
      </c>
      <c r="C49" s="85">
        <v>3305</v>
      </c>
      <c r="D49" s="85" t="s">
        <v>132</v>
      </c>
      <c r="E49" s="30">
        <v>1.67</v>
      </c>
      <c r="F49" s="31">
        <v>1567494.42</v>
      </c>
      <c r="G49" s="32">
        <v>0</v>
      </c>
      <c r="H49" s="40"/>
      <c r="I49" s="34">
        <f t="shared" si="2"/>
        <v>1567494.42</v>
      </c>
      <c r="J49" s="34">
        <f t="shared" si="3"/>
        <v>46241.08539</v>
      </c>
      <c r="K49" s="35">
        <f t="shared" si="4"/>
        <v>0</v>
      </c>
      <c r="L49" s="35">
        <f t="shared" si="5"/>
        <v>135871.99278239999</v>
      </c>
      <c r="M49" s="36">
        <v>0</v>
      </c>
      <c r="N49" s="37">
        <f t="shared" si="0"/>
        <v>1749607.42</v>
      </c>
      <c r="O49" s="38">
        <f t="shared" si="1"/>
        <v>1802095.42</v>
      </c>
      <c r="P49" s="22">
        <f t="shared" si="7"/>
        <v>0.42000000000000021</v>
      </c>
    </row>
    <row r="50" spans="1:17" x14ac:dyDescent="0.3">
      <c r="A50" s="72"/>
      <c r="B50" s="85">
        <f t="shared" si="8"/>
        <v>43</v>
      </c>
      <c r="C50" s="85">
        <v>4406</v>
      </c>
      <c r="D50" s="85" t="s">
        <v>133</v>
      </c>
      <c r="E50" s="30">
        <v>2.17</v>
      </c>
      <c r="F50" s="31">
        <v>172138.43</v>
      </c>
      <c r="G50" s="156">
        <v>177702.43</v>
      </c>
      <c r="H50" s="40"/>
      <c r="I50" s="34">
        <f t="shared" si="2"/>
        <v>-5564</v>
      </c>
      <c r="J50" s="34">
        <f t="shared" si="3"/>
        <v>0</v>
      </c>
      <c r="K50" s="35">
        <f t="shared" si="4"/>
        <v>0</v>
      </c>
      <c r="L50" s="35">
        <f t="shared" si="5"/>
        <v>176552.23014239999</v>
      </c>
      <c r="M50" s="36">
        <v>0</v>
      </c>
      <c r="N50" s="37">
        <f t="shared" si="0"/>
        <v>170988.43</v>
      </c>
      <c r="O50" s="38">
        <f t="shared" si="1"/>
        <v>176118.43</v>
      </c>
      <c r="P50" s="22">
        <f t="shared" si="7"/>
        <v>0.43000000000000022</v>
      </c>
    </row>
    <row r="51" spans="1:17" x14ac:dyDescent="0.3">
      <c r="A51" s="72"/>
      <c r="B51" s="85">
        <f t="shared" si="8"/>
        <v>44</v>
      </c>
      <c r="C51" s="85">
        <v>4407</v>
      </c>
      <c r="D51" s="85" t="s">
        <v>134</v>
      </c>
      <c r="E51" s="30">
        <v>1.23</v>
      </c>
      <c r="F51" s="31">
        <v>102649.44</v>
      </c>
      <c r="G51" s="156">
        <f>F51</f>
        <v>102649.44</v>
      </c>
      <c r="H51" s="40"/>
      <c r="I51" s="34">
        <f t="shared" si="2"/>
        <v>0</v>
      </c>
      <c r="J51" s="34">
        <f t="shared" si="3"/>
        <v>0</v>
      </c>
      <c r="K51" s="35">
        <f t="shared" si="4"/>
        <v>0</v>
      </c>
      <c r="L51" s="35">
        <f t="shared" si="5"/>
        <v>100073.38390559999</v>
      </c>
      <c r="M51" s="36">
        <v>0</v>
      </c>
      <c r="N51" s="37">
        <f t="shared" si="0"/>
        <v>100073.44</v>
      </c>
      <c r="O51" s="38">
        <f t="shared" si="1"/>
        <v>103075.44</v>
      </c>
      <c r="P51" s="22">
        <f t="shared" si="7"/>
        <v>0.44000000000000022</v>
      </c>
    </row>
    <row r="52" spans="1:17" x14ac:dyDescent="0.3">
      <c r="A52" s="72"/>
      <c r="B52" s="85">
        <f t="shared" si="8"/>
        <v>45</v>
      </c>
      <c r="C52" s="85">
        <v>4408</v>
      </c>
      <c r="D52" s="85" t="s">
        <v>135</v>
      </c>
      <c r="E52" s="30">
        <v>1.29</v>
      </c>
      <c r="F52" s="31">
        <v>104955.45</v>
      </c>
      <c r="G52" s="156">
        <v>104955.45</v>
      </c>
      <c r="H52" s="40"/>
      <c r="I52" s="34">
        <f t="shared" si="2"/>
        <v>0</v>
      </c>
      <c r="J52" s="34">
        <f t="shared" si="3"/>
        <v>0</v>
      </c>
      <c r="K52" s="35">
        <f t="shared" si="4"/>
        <v>0</v>
      </c>
      <c r="L52" s="35">
        <f t="shared" si="5"/>
        <v>104955.01238879999</v>
      </c>
      <c r="M52" s="36">
        <v>0</v>
      </c>
      <c r="N52" s="37">
        <f t="shared" si="0"/>
        <v>104955.45</v>
      </c>
      <c r="O52" s="38">
        <f t="shared" si="1"/>
        <v>108104.45</v>
      </c>
      <c r="P52" s="22">
        <f t="shared" si="7"/>
        <v>0.45000000000000023</v>
      </c>
    </row>
    <row r="53" spans="1:17" x14ac:dyDescent="0.3">
      <c r="A53" s="72"/>
      <c r="B53" s="195">
        <f t="shared" si="8"/>
        <v>46</v>
      </c>
      <c r="C53" s="195">
        <v>4401</v>
      </c>
      <c r="D53" s="195" t="s">
        <v>136</v>
      </c>
      <c r="E53" s="30">
        <v>1.36</v>
      </c>
      <c r="F53" s="31">
        <v>155550.46</v>
      </c>
      <c r="G53" s="156">
        <f>F53</f>
        <v>155550.46</v>
      </c>
      <c r="H53" s="40"/>
      <c r="I53" s="34">
        <f t="shared" si="2"/>
        <v>0</v>
      </c>
      <c r="J53" s="34">
        <f t="shared" si="3"/>
        <v>0</v>
      </c>
      <c r="K53" s="35">
        <f t="shared" si="4"/>
        <v>0</v>
      </c>
      <c r="L53" s="35">
        <f t="shared" si="5"/>
        <v>110650.2456192</v>
      </c>
      <c r="M53" s="36">
        <v>0</v>
      </c>
      <c r="N53" s="37">
        <f t="shared" si="0"/>
        <v>110650.46</v>
      </c>
      <c r="O53" s="38">
        <f t="shared" si="1"/>
        <v>113970.46</v>
      </c>
      <c r="P53" s="22">
        <f t="shared" si="7"/>
        <v>0.46000000000000024</v>
      </c>
    </row>
    <row r="54" spans="1:17" x14ac:dyDescent="0.3">
      <c r="A54" s="72"/>
      <c r="B54" s="85">
        <f t="shared" si="8"/>
        <v>47</v>
      </c>
      <c r="C54" s="85">
        <v>4402</v>
      </c>
      <c r="D54" s="85" t="s">
        <v>137</v>
      </c>
      <c r="E54" s="30">
        <v>0.57999999999999996</v>
      </c>
      <c r="F54" s="31">
        <v>43221.47</v>
      </c>
      <c r="G54" s="156">
        <f>F54</f>
        <v>43221.47</v>
      </c>
      <c r="H54" s="40"/>
      <c r="I54" s="34">
        <f t="shared" si="2"/>
        <v>0</v>
      </c>
      <c r="J54" s="34">
        <f t="shared" si="3"/>
        <v>0</v>
      </c>
      <c r="K54" s="35">
        <f t="shared" si="4"/>
        <v>0</v>
      </c>
      <c r="L54" s="35">
        <f t="shared" si="5"/>
        <v>47189.075337599992</v>
      </c>
      <c r="M54" s="36">
        <v>0</v>
      </c>
      <c r="N54" s="37">
        <f t="shared" si="0"/>
        <v>47189.47</v>
      </c>
      <c r="O54" s="38">
        <f t="shared" si="1"/>
        <v>48605.47</v>
      </c>
      <c r="P54" s="22">
        <f t="shared" si="7"/>
        <v>0.47000000000000025</v>
      </c>
    </row>
    <row r="55" spans="1:17" x14ac:dyDescent="0.3">
      <c r="A55" s="72"/>
      <c r="B55" s="85">
        <f t="shared" si="8"/>
        <v>48</v>
      </c>
      <c r="C55" s="85">
        <v>4403</v>
      </c>
      <c r="D55" s="85" t="s">
        <v>138</v>
      </c>
      <c r="E55" s="30">
        <v>0.57999999999999996</v>
      </c>
      <c r="F55" s="31">
        <v>47189.48</v>
      </c>
      <c r="G55" s="156">
        <v>48605.48</v>
      </c>
      <c r="H55" s="40"/>
      <c r="I55" s="34">
        <f t="shared" si="2"/>
        <v>-1416</v>
      </c>
      <c r="J55" s="34">
        <f t="shared" si="3"/>
        <v>0</v>
      </c>
      <c r="K55" s="35">
        <f t="shared" si="4"/>
        <v>0</v>
      </c>
      <c r="L55" s="35">
        <f t="shared" si="5"/>
        <v>47189.075337599992</v>
      </c>
      <c r="M55" s="36">
        <v>0</v>
      </c>
      <c r="N55" s="37">
        <f t="shared" si="0"/>
        <v>45773.48</v>
      </c>
      <c r="O55" s="38">
        <f t="shared" si="1"/>
        <v>47146.48</v>
      </c>
      <c r="P55" s="22">
        <f t="shared" si="7"/>
        <v>0.48000000000000026</v>
      </c>
      <c r="Q55" t="s">
        <v>153</v>
      </c>
    </row>
    <row r="56" spans="1:17" x14ac:dyDescent="0.3">
      <c r="A56" s="72"/>
      <c r="B56" s="85">
        <f t="shared" si="8"/>
        <v>49</v>
      </c>
      <c r="C56" s="85">
        <v>4404</v>
      </c>
      <c r="D56" s="85" t="s">
        <v>138</v>
      </c>
      <c r="E56" s="30">
        <v>1.36</v>
      </c>
      <c r="F56" s="31">
        <v>110650.49</v>
      </c>
      <c r="G56" s="156">
        <v>113970.49</v>
      </c>
      <c r="H56" s="40"/>
      <c r="I56" s="34">
        <f t="shared" si="2"/>
        <v>-3320</v>
      </c>
      <c r="J56" s="34">
        <f t="shared" si="3"/>
        <v>0</v>
      </c>
      <c r="K56" s="35">
        <f t="shared" si="4"/>
        <v>0</v>
      </c>
      <c r="L56" s="35">
        <f t="shared" si="5"/>
        <v>110650.2456192</v>
      </c>
      <c r="M56" s="36">
        <v>0</v>
      </c>
      <c r="N56" s="37">
        <f t="shared" si="0"/>
        <v>107330.49</v>
      </c>
      <c r="O56" s="38">
        <f t="shared" si="1"/>
        <v>110550.49</v>
      </c>
      <c r="P56" s="22">
        <f t="shared" si="7"/>
        <v>0.49000000000000027</v>
      </c>
      <c r="Q56" t="s">
        <v>153</v>
      </c>
    </row>
    <row r="57" spans="1:17" x14ac:dyDescent="0.3">
      <c r="A57" s="72"/>
      <c r="B57" s="85">
        <f t="shared" si="8"/>
        <v>50</v>
      </c>
      <c r="C57" s="85">
        <v>4405</v>
      </c>
      <c r="D57" s="85" t="s">
        <v>138</v>
      </c>
      <c r="E57" s="30">
        <v>1.67</v>
      </c>
      <c r="F57" s="31">
        <v>135872.5</v>
      </c>
      <c r="G57" s="156">
        <v>139948.5</v>
      </c>
      <c r="H57" s="40"/>
      <c r="I57" s="34">
        <f t="shared" si="2"/>
        <v>-4076</v>
      </c>
      <c r="J57" s="34">
        <f t="shared" si="3"/>
        <v>0</v>
      </c>
      <c r="K57" s="35">
        <f t="shared" si="4"/>
        <v>0</v>
      </c>
      <c r="L57" s="35">
        <f t="shared" si="5"/>
        <v>135871.99278239999</v>
      </c>
      <c r="M57" s="36">
        <v>0</v>
      </c>
      <c r="N57" s="37">
        <f t="shared" si="0"/>
        <v>131796.5</v>
      </c>
      <c r="O57" s="38">
        <f t="shared" si="1"/>
        <v>135750.5</v>
      </c>
      <c r="P57" s="22">
        <f t="shared" si="7"/>
        <v>0.50000000000000022</v>
      </c>
      <c r="Q57" t="s">
        <v>153</v>
      </c>
    </row>
    <row r="58" spans="1:17" x14ac:dyDescent="0.3">
      <c r="A58" s="72"/>
      <c r="B58" s="85">
        <f t="shared" si="8"/>
        <v>51</v>
      </c>
      <c r="C58" s="85">
        <v>5506</v>
      </c>
      <c r="D58" s="85" t="s">
        <v>139</v>
      </c>
      <c r="E58" s="30">
        <v>2.17</v>
      </c>
      <c r="F58" s="31">
        <v>172239.51</v>
      </c>
      <c r="G58" s="156">
        <v>177406.51</v>
      </c>
      <c r="H58" s="40"/>
      <c r="I58" s="34">
        <f t="shared" si="2"/>
        <v>-5167</v>
      </c>
      <c r="J58" s="34">
        <f t="shared" si="3"/>
        <v>0</v>
      </c>
      <c r="K58" s="35">
        <f t="shared" si="4"/>
        <v>0</v>
      </c>
      <c r="L58" s="35">
        <f t="shared" si="5"/>
        <v>176552.23014239999</v>
      </c>
      <c r="M58" s="36">
        <v>0</v>
      </c>
      <c r="N58" s="37">
        <f t="shared" si="0"/>
        <v>171385.51</v>
      </c>
      <c r="O58" s="38">
        <f t="shared" si="1"/>
        <v>176527.51</v>
      </c>
      <c r="P58" s="22">
        <f t="shared" si="7"/>
        <v>0.51000000000000023</v>
      </c>
    </row>
    <row r="59" spans="1:17" x14ac:dyDescent="0.3">
      <c r="A59" s="72"/>
      <c r="B59" s="184">
        <f t="shared" si="8"/>
        <v>52</v>
      </c>
      <c r="C59" s="184">
        <v>5507</v>
      </c>
      <c r="D59" s="184" t="s">
        <v>140</v>
      </c>
      <c r="E59" s="30">
        <v>1.79</v>
      </c>
      <c r="F59" s="31">
        <v>145635.51999999999</v>
      </c>
      <c r="G59" s="156">
        <v>150004.51999999999</v>
      </c>
      <c r="H59" s="40"/>
      <c r="I59" s="34">
        <f t="shared" si="2"/>
        <v>-4369</v>
      </c>
      <c r="J59" s="34">
        <f t="shared" si="3"/>
        <v>0</v>
      </c>
      <c r="K59" s="35">
        <f t="shared" si="4"/>
        <v>0</v>
      </c>
      <c r="L59" s="35">
        <f t="shared" si="5"/>
        <v>145635.24974879998</v>
      </c>
      <c r="M59" s="36">
        <v>0</v>
      </c>
      <c r="N59" s="37">
        <f t="shared" si="0"/>
        <v>141266.51999999999</v>
      </c>
      <c r="O59" s="38">
        <f t="shared" si="1"/>
        <v>145504.51999999999</v>
      </c>
      <c r="P59" s="22">
        <f t="shared" si="7"/>
        <v>0.52000000000000024</v>
      </c>
    </row>
    <row r="60" spans="1:17" x14ac:dyDescent="0.3">
      <c r="A60" s="72"/>
      <c r="B60" s="85">
        <f t="shared" si="8"/>
        <v>53</v>
      </c>
      <c r="C60" s="85">
        <v>5508</v>
      </c>
      <c r="D60" s="85" t="s">
        <v>141</v>
      </c>
      <c r="E60" s="30">
        <v>1.29</v>
      </c>
      <c r="F60" s="31">
        <v>21916.53</v>
      </c>
      <c r="G60" s="32">
        <v>0</v>
      </c>
      <c r="H60" s="40"/>
      <c r="I60" s="34">
        <f t="shared" si="2"/>
        <v>21916.53</v>
      </c>
      <c r="J60" s="34">
        <f t="shared" si="3"/>
        <v>646.53763500000002</v>
      </c>
      <c r="K60" s="35">
        <f t="shared" si="4"/>
        <v>0</v>
      </c>
      <c r="L60" s="35">
        <f t="shared" si="5"/>
        <v>104955.01238879999</v>
      </c>
      <c r="M60" s="36">
        <v>0</v>
      </c>
      <c r="N60" s="37">
        <f t="shared" si="0"/>
        <v>127518.53</v>
      </c>
      <c r="O60" s="38">
        <f t="shared" si="1"/>
        <v>131344.53</v>
      </c>
      <c r="P60" s="22">
        <f t="shared" si="7"/>
        <v>0.53000000000000025</v>
      </c>
    </row>
    <row r="61" spans="1:17" x14ac:dyDescent="0.3">
      <c r="A61" s="72"/>
      <c r="B61" s="85">
        <f t="shared" si="8"/>
        <v>54</v>
      </c>
      <c r="C61" s="85">
        <v>5501</v>
      </c>
      <c r="D61" s="85" t="s">
        <v>142</v>
      </c>
      <c r="E61" s="30">
        <v>1.36</v>
      </c>
      <c r="F61" s="31">
        <v>107260.54</v>
      </c>
      <c r="G61" s="32">
        <v>0</v>
      </c>
      <c r="H61" s="40"/>
      <c r="I61" s="34">
        <f t="shared" si="2"/>
        <v>107260.54</v>
      </c>
      <c r="J61" s="34">
        <f t="shared" si="3"/>
        <v>3164.1859300000001</v>
      </c>
      <c r="K61" s="35">
        <f t="shared" si="4"/>
        <v>0</v>
      </c>
      <c r="L61" s="35">
        <f t="shared" si="5"/>
        <v>110650.2456192</v>
      </c>
      <c r="M61" s="36">
        <v>0</v>
      </c>
      <c r="N61" s="37">
        <f t="shared" si="0"/>
        <v>221075.54</v>
      </c>
      <c r="O61" s="38">
        <f t="shared" si="1"/>
        <v>227707.54</v>
      </c>
      <c r="P61" s="22">
        <f t="shared" si="7"/>
        <v>0.54000000000000026</v>
      </c>
    </row>
    <row r="62" spans="1:17" x14ac:dyDescent="0.3">
      <c r="A62" s="72"/>
      <c r="B62" s="175">
        <f t="shared" si="8"/>
        <v>55</v>
      </c>
      <c r="C62" s="175">
        <v>5503</v>
      </c>
      <c r="D62" s="175" t="s">
        <v>143</v>
      </c>
      <c r="E62" s="30">
        <v>0.57999999999999996</v>
      </c>
      <c r="F62" s="31">
        <v>-98591.45</v>
      </c>
      <c r="G62" s="156">
        <v>347189.55</v>
      </c>
      <c r="H62" s="40"/>
      <c r="I62" s="34">
        <f t="shared" si="2"/>
        <v>-445781</v>
      </c>
      <c r="J62" s="34">
        <f t="shared" si="3"/>
        <v>0</v>
      </c>
      <c r="K62" s="35">
        <f t="shared" si="4"/>
        <v>0</v>
      </c>
      <c r="L62" s="35">
        <f t="shared" si="5"/>
        <v>47189.075337599992</v>
      </c>
      <c r="M62" s="36">
        <v>0</v>
      </c>
      <c r="N62" s="37">
        <f t="shared" si="0"/>
        <v>-398591.45</v>
      </c>
      <c r="O62" s="38">
        <f t="shared" si="1"/>
        <v>-410549.45</v>
      </c>
      <c r="P62" s="22">
        <f t="shared" si="7"/>
        <v>0.55000000000000027</v>
      </c>
      <c r="Q62" t="s">
        <v>161</v>
      </c>
    </row>
    <row r="63" spans="1:17" x14ac:dyDescent="0.3">
      <c r="A63" s="72"/>
      <c r="B63" s="85">
        <f t="shared" si="8"/>
        <v>56</v>
      </c>
      <c r="C63" s="85">
        <v>5504</v>
      </c>
      <c r="D63" s="85" t="s">
        <v>82</v>
      </c>
      <c r="E63" s="30">
        <v>1.36</v>
      </c>
      <c r="F63" s="31">
        <v>110645.56</v>
      </c>
      <c r="G63" s="156">
        <v>110700</v>
      </c>
      <c r="H63" s="40"/>
      <c r="I63" s="34">
        <f t="shared" si="2"/>
        <v>-54.440000000002328</v>
      </c>
      <c r="J63" s="34">
        <f t="shared" si="3"/>
        <v>0</v>
      </c>
      <c r="K63" s="35">
        <f t="shared" si="4"/>
        <v>0</v>
      </c>
      <c r="L63" s="35">
        <f t="shared" si="5"/>
        <v>110650.2456192</v>
      </c>
      <c r="M63" s="36">
        <v>0</v>
      </c>
      <c r="N63" s="37">
        <f t="shared" si="0"/>
        <v>110596.56</v>
      </c>
      <c r="O63" s="38">
        <f t="shared" si="1"/>
        <v>113914.56</v>
      </c>
      <c r="P63" s="22">
        <f t="shared" si="7"/>
        <v>0.56000000000000028</v>
      </c>
    </row>
    <row r="64" spans="1:17" x14ac:dyDescent="0.3">
      <c r="A64" s="72"/>
      <c r="B64" s="170">
        <f t="shared" si="8"/>
        <v>57</v>
      </c>
      <c r="C64" s="170">
        <v>5502</v>
      </c>
      <c r="D64" s="170" t="s">
        <v>78</v>
      </c>
      <c r="E64" s="30">
        <v>0.57999999999999996</v>
      </c>
      <c r="F64" s="31">
        <v>142024.57</v>
      </c>
      <c r="G64" s="32"/>
      <c r="H64" s="40"/>
      <c r="I64" s="34">
        <f t="shared" si="2"/>
        <v>142024.57</v>
      </c>
      <c r="J64" s="34">
        <f t="shared" si="3"/>
        <v>4189.7248150000005</v>
      </c>
      <c r="K64" s="35">
        <f t="shared" si="4"/>
        <v>0</v>
      </c>
      <c r="L64" s="35">
        <f t="shared" si="5"/>
        <v>47189.075337599992</v>
      </c>
      <c r="M64" s="36">
        <v>0</v>
      </c>
      <c r="N64" s="37">
        <f t="shared" si="0"/>
        <v>193403.57</v>
      </c>
      <c r="O64" s="38">
        <f t="shared" si="1"/>
        <v>199205.57</v>
      </c>
      <c r="P64" s="22">
        <f t="shared" si="7"/>
        <v>0.57000000000000028</v>
      </c>
      <c r="Q64" t="s">
        <v>195</v>
      </c>
    </row>
    <row r="65" spans="2:16" x14ac:dyDescent="0.3">
      <c r="B65" s="85">
        <f t="shared" si="8"/>
        <v>58</v>
      </c>
      <c r="C65" s="85">
        <v>5505</v>
      </c>
      <c r="D65" s="85" t="s">
        <v>144</v>
      </c>
      <c r="E65" s="30">
        <v>1.67</v>
      </c>
      <c r="F65" s="31">
        <v>252440.58</v>
      </c>
      <c r="G65" s="156">
        <v>116625</v>
      </c>
      <c r="H65" s="40"/>
      <c r="I65" s="34">
        <f t="shared" si="2"/>
        <v>135815.57999999999</v>
      </c>
      <c r="J65" s="34">
        <f t="shared" si="3"/>
        <v>4006.5596099999998</v>
      </c>
      <c r="K65" s="35">
        <f t="shared" si="4"/>
        <v>0</v>
      </c>
      <c r="L65" s="35">
        <f t="shared" si="5"/>
        <v>135871.99278239999</v>
      </c>
      <c r="M65" s="36">
        <v>0</v>
      </c>
      <c r="N65" s="37">
        <f t="shared" si="0"/>
        <v>275694.58</v>
      </c>
      <c r="O65" s="38">
        <f t="shared" si="1"/>
        <v>283965.58</v>
      </c>
      <c r="P65" s="22">
        <f t="shared" si="7"/>
        <v>0.58000000000000029</v>
      </c>
    </row>
    <row r="66" spans="2:16" x14ac:dyDescent="0.3">
      <c r="B66" s="85"/>
      <c r="C66" s="28"/>
      <c r="D66" s="28"/>
      <c r="E66" s="30"/>
      <c r="F66" s="39"/>
      <c r="G66" s="32"/>
      <c r="H66" s="40"/>
      <c r="I66" s="41"/>
      <c r="J66" s="34"/>
      <c r="K66" s="35"/>
      <c r="L66" s="42"/>
      <c r="M66" s="39"/>
      <c r="N66" s="31"/>
      <c r="O66" s="31"/>
      <c r="P66" s="22"/>
    </row>
    <row r="67" spans="2:16" ht="17.100000000000001" customHeight="1" thickBot="1" x14ac:dyDescent="0.35">
      <c r="B67" s="43"/>
      <c r="C67" s="44"/>
      <c r="D67" s="103"/>
      <c r="E67" s="105">
        <f>SUM(E7:E65)</f>
        <v>99.940000000000026</v>
      </c>
      <c r="F67" s="45">
        <f>SUM(F7:F65)</f>
        <v>29256234.109999999</v>
      </c>
      <c r="G67" s="45">
        <f>SUM(G7:G65)</f>
        <v>7819058.3299999991</v>
      </c>
      <c r="H67" s="104">
        <f t="shared" ref="H67" si="9">SUM(H7:H46)</f>
        <v>0</v>
      </c>
      <c r="I67" s="45">
        <f t="shared" ref="I67:O67" si="10">SUM(I7:I65)</f>
        <v>21437175.779999997</v>
      </c>
      <c r="J67" s="45">
        <f t="shared" si="10"/>
        <v>646898.5085</v>
      </c>
      <c r="K67" s="45">
        <f t="shared" si="10"/>
        <v>0</v>
      </c>
      <c r="L67" s="45">
        <f t="shared" si="10"/>
        <v>8131165.8435167996</v>
      </c>
      <c r="M67" s="45">
        <f t="shared" si="10"/>
        <v>0</v>
      </c>
      <c r="N67" s="45">
        <f t="shared" si="10"/>
        <v>30215252.109999999</v>
      </c>
      <c r="O67" s="45">
        <f t="shared" si="10"/>
        <v>31121711.109999999</v>
      </c>
    </row>
    <row r="68" spans="2:16" ht="12.75" customHeight="1" x14ac:dyDescent="0.3">
      <c r="D68" s="24"/>
    </row>
    <row r="69" spans="2:16" hidden="1" x14ac:dyDescent="0.3"/>
    <row r="70" spans="2:16" ht="9" customHeight="1" x14ac:dyDescent="0.3">
      <c r="D70" s="229" t="s">
        <v>69</v>
      </c>
      <c r="E70" s="229"/>
      <c r="F70" s="229"/>
      <c r="G70" s="229"/>
      <c r="H70" s="229"/>
      <c r="I70" s="229"/>
      <c r="J70" s="229"/>
      <c r="K70" s="229"/>
      <c r="L70" s="229"/>
      <c r="M70" s="229"/>
      <c r="N70" s="229"/>
    </row>
    <row r="71" spans="2:16" ht="12" hidden="1" customHeight="1" x14ac:dyDescent="0.3">
      <c r="D71" s="229"/>
      <c r="E71" s="229"/>
      <c r="F71" s="229"/>
      <c r="G71" s="229"/>
      <c r="H71" s="229"/>
      <c r="I71" s="229"/>
      <c r="J71" s="229"/>
      <c r="K71" s="229"/>
      <c r="L71" s="229"/>
      <c r="M71" s="229"/>
      <c r="N71" s="229"/>
    </row>
    <row r="72" spans="2:16" ht="12" hidden="1" customHeight="1" x14ac:dyDescent="0.3">
      <c r="D72" s="229"/>
      <c r="E72" s="229"/>
      <c r="F72" s="229"/>
      <c r="G72" s="229"/>
      <c r="H72" s="229"/>
      <c r="I72" s="229"/>
      <c r="J72" s="229"/>
      <c r="K72" s="229"/>
      <c r="L72" s="229"/>
      <c r="M72" s="229"/>
      <c r="N72" s="229"/>
    </row>
    <row r="73" spans="2:16" ht="12" hidden="1" customHeight="1" x14ac:dyDescent="0.3">
      <c r="D73" s="229"/>
      <c r="E73" s="229"/>
      <c r="F73" s="229"/>
      <c r="G73" s="229"/>
      <c r="H73" s="229"/>
      <c r="I73" s="229"/>
      <c r="J73" s="229"/>
      <c r="K73" s="229"/>
      <c r="L73" s="229"/>
      <c r="M73" s="229"/>
      <c r="N73" s="229"/>
    </row>
    <row r="74" spans="2:16" ht="12" hidden="1" customHeight="1" x14ac:dyDescent="0.3">
      <c r="D74" s="229"/>
      <c r="E74" s="229"/>
      <c r="F74" s="229"/>
      <c r="G74" s="229"/>
      <c r="H74" s="229"/>
      <c r="I74" s="229"/>
      <c r="J74" s="229"/>
      <c r="K74" s="229"/>
      <c r="L74" s="229"/>
      <c r="M74" s="229"/>
      <c r="N74" s="229"/>
    </row>
    <row r="75" spans="2:16" ht="65.25" customHeight="1" x14ac:dyDescent="0.3">
      <c r="D75" s="229"/>
      <c r="E75" s="229"/>
      <c r="F75" s="229"/>
      <c r="G75" s="229"/>
      <c r="H75" s="229"/>
      <c r="I75" s="229"/>
      <c r="J75" s="229"/>
      <c r="K75" s="229"/>
      <c r="L75" s="229"/>
      <c r="M75" s="229"/>
      <c r="N75" s="229"/>
    </row>
  </sheetData>
  <mergeCells count="18">
    <mergeCell ref="A5:A6"/>
    <mergeCell ref="B5:B6"/>
    <mergeCell ref="C5:C6"/>
    <mergeCell ref="D5:D6"/>
    <mergeCell ref="E5:E6"/>
    <mergeCell ref="B1:J2"/>
    <mergeCell ref="O5:O6"/>
    <mergeCell ref="D70:N75"/>
    <mergeCell ref="H5:H6"/>
    <mergeCell ref="J5:J6"/>
    <mergeCell ref="F5:F6"/>
    <mergeCell ref="G5:G6"/>
    <mergeCell ref="I5:I6"/>
    <mergeCell ref="K5:K6"/>
    <mergeCell ref="L5:L6"/>
    <mergeCell ref="M5:M6"/>
    <mergeCell ref="B3:O3"/>
    <mergeCell ref="B4:O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C2:J72"/>
  <sheetViews>
    <sheetView topLeftCell="A34" workbookViewId="0">
      <selection activeCell="C49" sqref="C49"/>
    </sheetView>
  </sheetViews>
  <sheetFormatPr baseColWidth="10" defaultColWidth="10.88671875" defaultRowHeight="14.4" x14ac:dyDescent="0.3"/>
  <sheetData>
    <row r="2" spans="3:10" ht="15" thickBot="1" x14ac:dyDescent="0.35"/>
    <row r="3" spans="3:10" x14ac:dyDescent="0.3">
      <c r="C3" s="118" t="s">
        <v>154</v>
      </c>
      <c r="D3" s="119">
        <v>1</v>
      </c>
      <c r="E3" s="115"/>
      <c r="F3" s="115"/>
      <c r="G3" s="115"/>
      <c r="H3" s="116"/>
      <c r="I3" s="21"/>
      <c r="J3" s="21"/>
    </row>
    <row r="4" spans="3:10" x14ac:dyDescent="0.3">
      <c r="C4" s="120" t="s">
        <v>155</v>
      </c>
      <c r="D4" s="121">
        <v>29</v>
      </c>
      <c r="H4" s="117"/>
      <c r="I4" s="21"/>
      <c r="J4" s="21"/>
    </row>
    <row r="5" spans="3:10" ht="15" thickBot="1" x14ac:dyDescent="0.35">
      <c r="C5" s="120"/>
      <c r="D5" s="121"/>
      <c r="H5" s="117"/>
      <c r="I5" s="21"/>
      <c r="J5" s="21"/>
    </row>
    <row r="6" spans="3:10" x14ac:dyDescent="0.3">
      <c r="C6" s="250" t="s">
        <v>194</v>
      </c>
      <c r="D6" s="251"/>
      <c r="E6" s="251"/>
      <c r="F6" s="251"/>
      <c r="G6" s="251"/>
      <c r="H6" s="252"/>
      <c r="I6" s="21"/>
      <c r="J6" s="21"/>
    </row>
    <row r="7" spans="3:10" x14ac:dyDescent="0.3">
      <c r="C7" s="253"/>
      <c r="D7" s="254"/>
      <c r="E7" s="254"/>
      <c r="F7" s="254"/>
      <c r="G7" s="254"/>
      <c r="H7" s="255"/>
      <c r="I7" s="21"/>
      <c r="J7" s="21"/>
    </row>
    <row r="8" spans="3:10" ht="15" thickBot="1" x14ac:dyDescent="0.35">
      <c r="C8" s="256"/>
      <c r="D8" s="257"/>
      <c r="E8" s="257"/>
      <c r="F8" s="257"/>
      <c r="G8" s="257"/>
      <c r="H8" s="258"/>
      <c r="I8" s="72"/>
      <c r="J8" s="72"/>
    </row>
    <row r="9" spans="3:10" x14ac:dyDescent="0.3">
      <c r="C9" s="72"/>
      <c r="D9" s="72"/>
      <c r="E9" s="72"/>
    </row>
    <row r="10" spans="3:10" ht="15" thickBot="1" x14ac:dyDescent="0.35"/>
    <row r="11" spans="3:10" x14ac:dyDescent="0.3">
      <c r="C11" s="171" t="s">
        <v>154</v>
      </c>
      <c r="D11" s="172">
        <v>1</v>
      </c>
      <c r="E11" s="115"/>
      <c r="F11" s="115"/>
      <c r="G11" s="115"/>
      <c r="H11" s="116"/>
    </row>
    <row r="12" spans="3:10" x14ac:dyDescent="0.3">
      <c r="C12" s="173" t="s">
        <v>155</v>
      </c>
      <c r="D12" s="174">
        <v>57</v>
      </c>
      <c r="H12" s="117"/>
    </row>
    <row r="13" spans="3:10" ht="15" thickBot="1" x14ac:dyDescent="0.35">
      <c r="C13" s="173"/>
      <c r="D13" s="174"/>
      <c r="H13" s="117"/>
    </row>
    <row r="14" spans="3:10" x14ac:dyDescent="0.3">
      <c r="C14" s="250" t="s">
        <v>198</v>
      </c>
      <c r="D14" s="251"/>
      <c r="E14" s="251"/>
      <c r="F14" s="251"/>
      <c r="G14" s="251"/>
      <c r="H14" s="252"/>
    </row>
    <row r="15" spans="3:10" x14ac:dyDescent="0.3">
      <c r="C15" s="253"/>
      <c r="D15" s="254"/>
      <c r="E15" s="254"/>
      <c r="F15" s="254"/>
      <c r="G15" s="254"/>
      <c r="H15" s="255"/>
    </row>
    <row r="16" spans="3:10" ht="15" thickBot="1" x14ac:dyDescent="0.35">
      <c r="C16" s="256"/>
      <c r="D16" s="257"/>
      <c r="E16" s="257"/>
      <c r="F16" s="257"/>
      <c r="G16" s="257"/>
      <c r="H16" s="258"/>
    </row>
    <row r="18" spans="3:8" ht="15" thickBot="1" x14ac:dyDescent="0.35"/>
    <row r="19" spans="3:8" x14ac:dyDescent="0.3">
      <c r="C19" s="176" t="s">
        <v>154</v>
      </c>
      <c r="D19" s="177">
        <v>1</v>
      </c>
      <c r="E19" s="115"/>
      <c r="F19" s="115"/>
      <c r="G19" s="115"/>
      <c r="H19" s="116"/>
    </row>
    <row r="20" spans="3:8" x14ac:dyDescent="0.3">
      <c r="C20" s="178" t="s">
        <v>155</v>
      </c>
      <c r="D20" s="179">
        <v>55</v>
      </c>
      <c r="F20" t="s">
        <v>196</v>
      </c>
      <c r="H20" s="117"/>
    </row>
    <row r="21" spans="3:8" ht="15" thickBot="1" x14ac:dyDescent="0.35">
      <c r="C21" s="178"/>
      <c r="D21" s="179"/>
      <c r="H21" s="117"/>
    </row>
    <row r="22" spans="3:8" x14ac:dyDescent="0.3">
      <c r="C22" s="250" t="s">
        <v>197</v>
      </c>
      <c r="D22" s="251"/>
      <c r="E22" s="251"/>
      <c r="F22" s="251"/>
      <c r="G22" s="251"/>
      <c r="H22" s="252"/>
    </row>
    <row r="23" spans="3:8" x14ac:dyDescent="0.3">
      <c r="C23" s="253"/>
      <c r="D23" s="254"/>
      <c r="E23" s="254"/>
      <c r="F23" s="254"/>
      <c r="G23" s="254"/>
      <c r="H23" s="255"/>
    </row>
    <row r="24" spans="3:8" ht="15" thickBot="1" x14ac:dyDescent="0.35">
      <c r="C24" s="256"/>
      <c r="D24" s="257"/>
      <c r="E24" s="257"/>
      <c r="F24" s="257"/>
      <c r="G24" s="257"/>
      <c r="H24" s="258"/>
    </row>
    <row r="26" spans="3:8" ht="15" thickBot="1" x14ac:dyDescent="0.35"/>
    <row r="27" spans="3:8" x14ac:dyDescent="0.3">
      <c r="C27" s="180" t="s">
        <v>154</v>
      </c>
      <c r="D27" s="181">
        <v>1</v>
      </c>
      <c r="E27" s="115"/>
      <c r="F27" s="115"/>
      <c r="G27" s="115"/>
      <c r="H27" s="116"/>
    </row>
    <row r="28" spans="3:8" x14ac:dyDescent="0.3">
      <c r="C28" s="182" t="s">
        <v>155</v>
      </c>
      <c r="D28" s="183">
        <v>52</v>
      </c>
      <c r="H28" s="117"/>
    </row>
    <row r="29" spans="3:8" ht="15" thickBot="1" x14ac:dyDescent="0.35">
      <c r="C29" s="182"/>
      <c r="D29" s="183"/>
      <c r="H29" s="117"/>
    </row>
    <row r="30" spans="3:8" x14ac:dyDescent="0.3">
      <c r="C30" s="250" t="s">
        <v>199</v>
      </c>
      <c r="D30" s="251"/>
      <c r="E30" s="251"/>
      <c r="F30" s="251"/>
      <c r="G30" s="251"/>
      <c r="H30" s="252"/>
    </row>
    <row r="31" spans="3:8" x14ac:dyDescent="0.3">
      <c r="C31" s="253"/>
      <c r="D31" s="254"/>
      <c r="E31" s="254"/>
      <c r="F31" s="254"/>
      <c r="G31" s="254"/>
      <c r="H31" s="255"/>
    </row>
    <row r="32" spans="3:8" ht="15" thickBot="1" x14ac:dyDescent="0.35">
      <c r="C32" s="256"/>
      <c r="D32" s="257"/>
      <c r="E32" s="257"/>
      <c r="F32" s="257"/>
      <c r="G32" s="257"/>
      <c r="H32" s="258"/>
    </row>
    <row r="34" spans="3:8" ht="15" thickBot="1" x14ac:dyDescent="0.35"/>
    <row r="35" spans="3:8" x14ac:dyDescent="0.3">
      <c r="C35" s="185" t="s">
        <v>154</v>
      </c>
      <c r="D35" s="186">
        <v>1</v>
      </c>
      <c r="E35" s="115"/>
      <c r="F35" s="115"/>
      <c r="G35" s="115"/>
      <c r="H35" s="116"/>
    </row>
    <row r="36" spans="3:8" x14ac:dyDescent="0.3">
      <c r="C36" s="187" t="s">
        <v>155</v>
      </c>
      <c r="D36" s="188" t="s">
        <v>201</v>
      </c>
      <c r="F36" t="s">
        <v>202</v>
      </c>
      <c r="H36" s="117"/>
    </row>
    <row r="37" spans="3:8" ht="15" thickBot="1" x14ac:dyDescent="0.35">
      <c r="C37" s="187"/>
      <c r="D37" s="188"/>
      <c r="H37" s="117"/>
    </row>
    <row r="38" spans="3:8" x14ac:dyDescent="0.3">
      <c r="C38" s="250" t="s">
        <v>207</v>
      </c>
      <c r="D38" s="251"/>
      <c r="E38" s="251"/>
      <c r="F38" s="251"/>
      <c r="G38" s="251"/>
      <c r="H38" s="252"/>
    </row>
    <row r="39" spans="3:8" x14ac:dyDescent="0.3">
      <c r="C39" s="253"/>
      <c r="D39" s="254"/>
      <c r="E39" s="254"/>
      <c r="F39" s="254"/>
      <c r="G39" s="254"/>
      <c r="H39" s="255"/>
    </row>
    <row r="40" spans="3:8" ht="31.2" customHeight="1" thickBot="1" x14ac:dyDescent="0.35">
      <c r="C40" s="256"/>
      <c r="D40" s="257"/>
      <c r="E40" s="257"/>
      <c r="F40" s="257"/>
      <c r="G40" s="257"/>
      <c r="H40" s="258"/>
    </row>
    <row r="42" spans="3:8" ht="15" thickBot="1" x14ac:dyDescent="0.35"/>
    <row r="43" spans="3:8" x14ac:dyDescent="0.3">
      <c r="C43" s="190" t="s">
        <v>154</v>
      </c>
      <c r="D43" s="191">
        <v>1</v>
      </c>
      <c r="E43" s="115"/>
      <c r="F43" s="115"/>
      <c r="G43" s="115"/>
      <c r="H43" s="116"/>
    </row>
    <row r="44" spans="3:8" x14ac:dyDescent="0.3">
      <c r="C44" s="192" t="s">
        <v>155</v>
      </c>
      <c r="D44" s="193" t="s">
        <v>203</v>
      </c>
      <c r="H44" s="117"/>
    </row>
    <row r="45" spans="3:8" ht="15" thickBot="1" x14ac:dyDescent="0.35">
      <c r="C45" s="192"/>
      <c r="D45" s="193"/>
      <c r="H45" s="117"/>
    </row>
    <row r="46" spans="3:8" x14ac:dyDescent="0.3">
      <c r="C46" s="250" t="s">
        <v>216</v>
      </c>
      <c r="D46" s="251"/>
      <c r="E46" s="251"/>
      <c r="F46" s="251"/>
      <c r="G46" s="251"/>
      <c r="H46" s="252"/>
    </row>
    <row r="47" spans="3:8" x14ac:dyDescent="0.3">
      <c r="C47" s="253"/>
      <c r="D47" s="254"/>
      <c r="E47" s="254"/>
      <c r="F47" s="254"/>
      <c r="G47" s="254"/>
      <c r="H47" s="255"/>
    </row>
    <row r="48" spans="3:8" ht="15" thickBot="1" x14ac:dyDescent="0.35">
      <c r="C48" s="256"/>
      <c r="D48" s="257"/>
      <c r="E48" s="257"/>
      <c r="F48" s="257"/>
      <c r="G48" s="257"/>
      <c r="H48" s="258"/>
    </row>
    <row r="50" spans="3:8" ht="15" thickBot="1" x14ac:dyDescent="0.35"/>
    <row r="51" spans="3:8" x14ac:dyDescent="0.3">
      <c r="C51" s="196" t="s">
        <v>154</v>
      </c>
      <c r="D51" s="197">
        <v>1</v>
      </c>
      <c r="E51" s="115"/>
      <c r="F51" s="115"/>
      <c r="G51" s="115"/>
      <c r="H51" s="116"/>
    </row>
    <row r="52" spans="3:8" x14ac:dyDescent="0.3">
      <c r="C52" s="198" t="s">
        <v>155</v>
      </c>
      <c r="D52" s="199" t="s">
        <v>205</v>
      </c>
      <c r="F52" t="s">
        <v>204</v>
      </c>
      <c r="H52" s="117"/>
    </row>
    <row r="53" spans="3:8" ht="15" thickBot="1" x14ac:dyDescent="0.35">
      <c r="C53" s="198"/>
      <c r="D53" s="199"/>
      <c r="H53" s="117"/>
    </row>
    <row r="54" spans="3:8" x14ac:dyDescent="0.3">
      <c r="C54" s="250" t="s">
        <v>206</v>
      </c>
      <c r="D54" s="251"/>
      <c r="E54" s="251"/>
      <c r="F54" s="251"/>
      <c r="G54" s="251"/>
      <c r="H54" s="252"/>
    </row>
    <row r="55" spans="3:8" x14ac:dyDescent="0.3">
      <c r="C55" s="253"/>
      <c r="D55" s="254"/>
      <c r="E55" s="254"/>
      <c r="F55" s="254"/>
      <c r="G55" s="254"/>
      <c r="H55" s="255"/>
    </row>
    <row r="56" spans="3:8" ht="15" thickBot="1" x14ac:dyDescent="0.35">
      <c r="C56" s="256"/>
      <c r="D56" s="257"/>
      <c r="E56" s="257"/>
      <c r="F56" s="257"/>
      <c r="G56" s="257"/>
      <c r="H56" s="258"/>
    </row>
    <row r="58" spans="3:8" ht="15" thickBot="1" x14ac:dyDescent="0.35"/>
    <row r="59" spans="3:8" x14ac:dyDescent="0.3">
      <c r="C59" s="201" t="s">
        <v>154</v>
      </c>
      <c r="D59" s="202">
        <v>1</v>
      </c>
      <c r="E59" s="115"/>
      <c r="F59" s="115"/>
      <c r="G59" s="115"/>
      <c r="H59" s="116"/>
    </row>
    <row r="60" spans="3:8" x14ac:dyDescent="0.3">
      <c r="C60" s="203" t="s">
        <v>155</v>
      </c>
      <c r="D60" s="204" t="s">
        <v>208</v>
      </c>
      <c r="H60" s="117"/>
    </row>
    <row r="61" spans="3:8" ht="15" thickBot="1" x14ac:dyDescent="0.35">
      <c r="C61" s="203"/>
      <c r="D61" s="204"/>
      <c r="H61" s="117"/>
    </row>
    <row r="62" spans="3:8" x14ac:dyDescent="0.3">
      <c r="C62" s="250" t="s">
        <v>209</v>
      </c>
      <c r="D62" s="251"/>
      <c r="E62" s="251"/>
      <c r="F62" s="251"/>
      <c r="G62" s="251"/>
      <c r="H62" s="252"/>
    </row>
    <row r="63" spans="3:8" x14ac:dyDescent="0.3">
      <c r="C63" s="253"/>
      <c r="D63" s="254"/>
      <c r="E63" s="254"/>
      <c r="F63" s="254"/>
      <c r="G63" s="254"/>
      <c r="H63" s="255"/>
    </row>
    <row r="64" spans="3:8" ht="15" thickBot="1" x14ac:dyDescent="0.35">
      <c r="C64" s="256"/>
      <c r="D64" s="257"/>
      <c r="E64" s="257"/>
      <c r="F64" s="257"/>
      <c r="G64" s="257"/>
      <c r="H64" s="258"/>
    </row>
    <row r="66" spans="3:8" ht="15" thickBot="1" x14ac:dyDescent="0.35"/>
    <row r="67" spans="3:8" x14ac:dyDescent="0.3">
      <c r="C67" s="205" t="s">
        <v>154</v>
      </c>
      <c r="D67" s="206">
        <v>1</v>
      </c>
      <c r="E67" s="115"/>
      <c r="F67" s="115"/>
      <c r="G67" s="115"/>
      <c r="H67" s="116"/>
    </row>
    <row r="68" spans="3:8" x14ac:dyDescent="0.3">
      <c r="C68" s="207" t="s">
        <v>155</v>
      </c>
      <c r="D68" s="208" t="s">
        <v>211</v>
      </c>
      <c r="G68" t="s">
        <v>211</v>
      </c>
      <c r="H68" s="117"/>
    </row>
    <row r="69" spans="3:8" ht="15" thickBot="1" x14ac:dyDescent="0.35">
      <c r="C69" s="207"/>
      <c r="D69" s="208"/>
      <c r="H69" s="117"/>
    </row>
    <row r="70" spans="3:8" x14ac:dyDescent="0.3">
      <c r="C70" s="250" t="s">
        <v>210</v>
      </c>
      <c r="D70" s="251"/>
      <c r="E70" s="251"/>
      <c r="F70" s="251"/>
      <c r="G70" s="251"/>
      <c r="H70" s="252"/>
    </row>
    <row r="71" spans="3:8" x14ac:dyDescent="0.3">
      <c r="C71" s="253"/>
      <c r="D71" s="254"/>
      <c r="E71" s="254"/>
      <c r="F71" s="254"/>
      <c r="G71" s="254"/>
      <c r="H71" s="255"/>
    </row>
    <row r="72" spans="3:8" ht="67.2" customHeight="1" thickBot="1" x14ac:dyDescent="0.35">
      <c r="C72" s="256"/>
      <c r="D72" s="257"/>
      <c r="E72" s="257"/>
      <c r="F72" s="257"/>
      <c r="G72" s="257"/>
      <c r="H72" s="258"/>
    </row>
  </sheetData>
  <mergeCells count="9">
    <mergeCell ref="C62:H64"/>
    <mergeCell ref="C70:H72"/>
    <mergeCell ref="C54:H56"/>
    <mergeCell ref="C46:H48"/>
    <mergeCell ref="C6:H8"/>
    <mergeCell ref="C14:H16"/>
    <mergeCell ref="C22:H24"/>
    <mergeCell ref="C30:H32"/>
    <mergeCell ref="C38:H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7:D11"/>
  <sheetViews>
    <sheetView workbookViewId="0">
      <selection activeCell="A7" sqref="A7:E14"/>
    </sheetView>
  </sheetViews>
  <sheetFormatPr baseColWidth="10" defaultRowHeight="14.4" x14ac:dyDescent="0.3"/>
  <cols>
    <col min="4" max="4" width="15.21875" customWidth="1"/>
  </cols>
  <sheetData>
    <row r="7" spans="1:4" x14ac:dyDescent="0.3">
      <c r="A7" t="s">
        <v>212</v>
      </c>
      <c r="D7" s="259">
        <v>712896.01</v>
      </c>
    </row>
    <row r="8" spans="1:4" x14ac:dyDescent="0.3">
      <c r="A8" t="s">
        <v>213</v>
      </c>
      <c r="D8" s="259">
        <v>476368</v>
      </c>
    </row>
    <row r="9" spans="1:4" x14ac:dyDescent="0.3">
      <c r="A9" t="s">
        <v>214</v>
      </c>
      <c r="D9">
        <v>13644</v>
      </c>
    </row>
    <row r="11" spans="1:4" x14ac:dyDescent="0.3">
      <c r="A11" t="s">
        <v>215</v>
      </c>
      <c r="D11" s="22">
        <f>D7-D8-D9</f>
        <v>222884.01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2026-08-07T12:22:34Z</cp:lastPrinted>
  <dcterms:created xsi:type="dcterms:W3CDTF">2023-09-17T12:29:07Z</dcterms:created>
  <dcterms:modified xsi:type="dcterms:W3CDTF">2026-08-18T14:35:29Z</dcterms:modified>
</cp:coreProperties>
</file>