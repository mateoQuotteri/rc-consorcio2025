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GALERIA MITRE\Agosto\"/>
    </mc:Choice>
  </mc:AlternateContent>
  <xr:revisionPtr revIDLastSave="0" documentId="13_ncr:1_{E69A2216-2467-4912-8A09-1388AAD6F731}" xr6:coauthVersionLast="47" xr6:coauthVersionMax="47" xr10:uidLastSave="{00000000-0000-0000-0000-000000000000}"/>
  <bookViews>
    <workbookView xWindow="-120" yWindow="-120" windowWidth="20730" windowHeight="11040" tabRatio="793" activeTab="1" xr2:uid="{00000000-000D-0000-FFFF-FFFF00000000}"/>
  </bookViews>
  <sheets>
    <sheet name="RESUMEN" sheetId="1" r:id="rId1"/>
    <sheet name="PRORRATEO" sheetId="2" r:id="rId2"/>
    <sheet name="ANOTACIONES" sheetId="3" r:id="rId3"/>
    <sheet name="Hoja1" sheetId="4" r:id="rId4"/>
  </sheets>
  <definedNames>
    <definedName name="_xlnm.Print_Area" localSheetId="1">PRORRATEO!$A$1:$P$77</definedName>
    <definedName name="_xlnm.Print_Area" localSheetId="0">RESUMEN!$A$1:$D$138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B131" i="1"/>
  <c r="M30" i="2" l="1"/>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29" i="2"/>
  <c r="G9" i="2"/>
  <c r="G31" i="2"/>
  <c r="G66" i="2"/>
  <c r="G18" i="2"/>
  <c r="G22" i="2"/>
  <c r="G21" i="2"/>
  <c r="G36" i="2"/>
  <c r="G51" i="2"/>
  <c r="G30" i="2"/>
  <c r="G62" i="2"/>
  <c r="G20" i="2"/>
  <c r="G19" i="2" s="1"/>
  <c r="B125" i="1"/>
  <c r="G37" i="2"/>
  <c r="G65" i="2"/>
  <c r="M68" i="2" l="1"/>
  <c r="D11" i="4"/>
  <c r="G54" i="2" l="1"/>
  <c r="G15" i="2" l="1"/>
  <c r="G12" i="2"/>
  <c r="G55" i="2"/>
  <c r="G42" i="2"/>
  <c r="G41" i="2"/>
  <c r="G40" i="2"/>
  <c r="G39" i="2"/>
  <c r="G11" i="2"/>
  <c r="G38" i="2"/>
  <c r="D54" i="1"/>
  <c r="D66" i="1" l="1"/>
  <c r="D59" i="1"/>
  <c r="D51" i="1"/>
  <c r="D40" i="1"/>
  <c r="D43" i="1"/>
  <c r="G48" i="2" l="1"/>
  <c r="G47" i="2"/>
  <c r="B137" i="1"/>
  <c r="G34" i="2"/>
  <c r="D70" i="1"/>
  <c r="D47" i="1"/>
  <c r="C30" i="1" l="1"/>
  <c r="C33" i="1"/>
  <c r="G44" i="2" l="1"/>
  <c r="G43" i="2" s="1"/>
  <c r="I35" i="2" l="1"/>
  <c r="J35" i="2" s="1"/>
  <c r="I54" i="2"/>
  <c r="J54" i="2" s="1"/>
  <c r="I51" i="2"/>
  <c r="J51" i="2" s="1"/>
  <c r="I31" i="2"/>
  <c r="J31" i="2" s="1"/>
  <c r="I14" i="2"/>
  <c r="J14" i="2" s="1"/>
  <c r="I59" i="2"/>
  <c r="J59" i="2" s="1"/>
  <c r="L48" i="2"/>
  <c r="L49" i="2"/>
  <c r="L50" i="2"/>
  <c r="L51" i="2"/>
  <c r="L52" i="2"/>
  <c r="L53" i="2"/>
  <c r="L54" i="2"/>
  <c r="L55" i="2"/>
  <c r="L56" i="2"/>
  <c r="L57" i="2"/>
  <c r="L58" i="2"/>
  <c r="L59" i="2"/>
  <c r="L60" i="2"/>
  <c r="L61" i="2"/>
  <c r="L62" i="2"/>
  <c r="L63" i="2"/>
  <c r="L64" i="2"/>
  <c r="L65" i="2"/>
  <c r="L66" i="2"/>
  <c r="K48" i="2"/>
  <c r="K49" i="2"/>
  <c r="K50" i="2"/>
  <c r="K51" i="2"/>
  <c r="K52" i="2"/>
  <c r="K53" i="2"/>
  <c r="K54" i="2"/>
  <c r="K55" i="2"/>
  <c r="K56" i="2"/>
  <c r="K57" i="2"/>
  <c r="K58" i="2"/>
  <c r="K59" i="2"/>
  <c r="K60" i="2"/>
  <c r="K61" i="2"/>
  <c r="K62" i="2"/>
  <c r="K63" i="2"/>
  <c r="K64" i="2"/>
  <c r="K65" i="2"/>
  <c r="K66" i="2"/>
  <c r="I48" i="2"/>
  <c r="J48" i="2" s="1"/>
  <c r="I49" i="2"/>
  <c r="J49" i="2" s="1"/>
  <c r="I50" i="2"/>
  <c r="J50" i="2" s="1"/>
  <c r="I52" i="2"/>
  <c r="J52" i="2" s="1"/>
  <c r="I53" i="2"/>
  <c r="J53" i="2" s="1"/>
  <c r="I55" i="2"/>
  <c r="J55" i="2" s="1"/>
  <c r="I56" i="2"/>
  <c r="J56" i="2" s="1"/>
  <c r="I57" i="2"/>
  <c r="J57" i="2" s="1"/>
  <c r="I58" i="2"/>
  <c r="J58" i="2" s="1"/>
  <c r="I60" i="2"/>
  <c r="J60" i="2" s="1"/>
  <c r="I61" i="2"/>
  <c r="J61" i="2" s="1"/>
  <c r="I62" i="2"/>
  <c r="J62" i="2" s="1"/>
  <c r="I63" i="2"/>
  <c r="J63" i="2" s="1"/>
  <c r="I64" i="2"/>
  <c r="J64" i="2" s="1"/>
  <c r="I65" i="2"/>
  <c r="J65" i="2" s="1"/>
  <c r="I66" i="2"/>
  <c r="J66" i="2" s="1"/>
  <c r="N68" i="2"/>
  <c r="F68" i="2"/>
  <c r="E68" i="2"/>
  <c r="L9" i="2"/>
  <c r="K9" i="2"/>
  <c r="I9" i="2"/>
  <c r="J9" i="2" s="1"/>
  <c r="D50" i="1"/>
  <c r="D49" i="1"/>
  <c r="Q9" i="2"/>
  <c r="Q10" i="2" s="1"/>
  <c r="Q11" i="2" s="1"/>
  <c r="Q12" i="2" s="1"/>
  <c r="Q13" i="2" s="1"/>
  <c r="Q14" i="2" s="1"/>
  <c r="Q15" i="2" s="1"/>
  <c r="Q16" i="2" s="1"/>
  <c r="Q17" i="2" s="1"/>
  <c r="Q18" i="2" s="1"/>
  <c r="Q19" i="2" s="1"/>
  <c r="Q20" i="2" s="1"/>
  <c r="Q21" i="2" s="1"/>
  <c r="Q22" i="2" s="1"/>
  <c r="Q23" i="2" s="1"/>
  <c r="Q24" i="2" s="1"/>
  <c r="Q25" i="2" s="1"/>
  <c r="Q26" i="2" s="1"/>
  <c r="Q27" i="2" s="1"/>
  <c r="Q28" i="2" s="1"/>
  <c r="Q29" i="2" s="1"/>
  <c r="Q30" i="2" s="1"/>
  <c r="Q31" i="2" s="1"/>
  <c r="Q32" i="2" s="1"/>
  <c r="Q33" i="2" s="1"/>
  <c r="Q34" i="2" s="1"/>
  <c r="Q35" i="2" s="1"/>
  <c r="Q36" i="2" s="1"/>
  <c r="Q37" i="2" s="1"/>
  <c r="Q38" i="2" s="1"/>
  <c r="Q39" i="2" s="1"/>
  <c r="Q40" i="2" s="1"/>
  <c r="Q41" i="2" s="1"/>
  <c r="Q42" i="2" s="1"/>
  <c r="Q43" i="2" s="1"/>
  <c r="Q44" i="2" s="1"/>
  <c r="Q45" i="2" s="1"/>
  <c r="Q46" i="2" s="1"/>
  <c r="Q47" i="2" s="1"/>
  <c r="Q48" i="2" s="1"/>
  <c r="I47" i="2"/>
  <c r="J47" i="2" s="1"/>
  <c r="B10" i="2"/>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I15" i="2"/>
  <c r="J15" i="2" s="1"/>
  <c r="I16" i="2"/>
  <c r="I17" i="2"/>
  <c r="J17" i="2" s="1"/>
  <c r="I18" i="2"/>
  <c r="J18" i="2" s="1"/>
  <c r="I19" i="2"/>
  <c r="J19" i="2" s="1"/>
  <c r="I20" i="2"/>
  <c r="J20" i="2" s="1"/>
  <c r="I22" i="2"/>
  <c r="J22" i="2" s="1"/>
  <c r="I23" i="2"/>
  <c r="J23" i="2" s="1"/>
  <c r="I24" i="2"/>
  <c r="I25" i="2"/>
  <c r="J25" i="2" s="1"/>
  <c r="I27" i="2"/>
  <c r="J27" i="2" s="1"/>
  <c r="I28" i="2"/>
  <c r="J28" i="2" s="1"/>
  <c r="I29" i="2"/>
  <c r="J29" i="2" s="1"/>
  <c r="I32" i="2"/>
  <c r="J32" i="2" s="1"/>
  <c r="I36" i="2"/>
  <c r="J36" i="2" s="1"/>
  <c r="I39" i="2"/>
  <c r="J39" i="2" s="1"/>
  <c r="I41" i="2"/>
  <c r="J41" i="2" s="1"/>
  <c r="I46" i="2"/>
  <c r="J46" i="2" s="1"/>
  <c r="L14" i="2"/>
  <c r="L15" i="2"/>
  <c r="L16" i="2"/>
  <c r="L17" i="2"/>
  <c r="L18" i="2"/>
  <c r="L19" i="2"/>
  <c r="L20" i="2"/>
  <c r="L21" i="2"/>
  <c r="L22" i="2"/>
  <c r="L23" i="2"/>
  <c r="L24" i="2"/>
  <c r="L25" i="2"/>
  <c r="L26" i="2"/>
  <c r="L27" i="2"/>
  <c r="L28" i="2"/>
  <c r="L29" i="2"/>
  <c r="O29" i="2" s="1"/>
  <c r="L30" i="2"/>
  <c r="L31" i="2"/>
  <c r="L32" i="2"/>
  <c r="L33" i="2"/>
  <c r="L34" i="2"/>
  <c r="L35" i="2"/>
  <c r="L36" i="2"/>
  <c r="L37" i="2"/>
  <c r="L38" i="2"/>
  <c r="L39" i="2"/>
  <c r="L40" i="2"/>
  <c r="L41" i="2"/>
  <c r="L42" i="2"/>
  <c r="L43" i="2"/>
  <c r="L44" i="2"/>
  <c r="L45" i="2"/>
  <c r="L46" i="2"/>
  <c r="L47"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I26" i="2"/>
  <c r="J26" i="2" s="1"/>
  <c r="I43" i="2"/>
  <c r="J43" i="2" s="1"/>
  <c r="I45" i="2"/>
  <c r="J45" i="2" s="1"/>
  <c r="I38" i="2"/>
  <c r="J38" i="2" s="1"/>
  <c r="I44" i="2"/>
  <c r="J44" i="2" s="1"/>
  <c r="I21" i="2" l="1"/>
  <c r="J21" i="2" s="1"/>
  <c r="Q49" i="2"/>
  <c r="O49" i="2" s="1"/>
  <c r="P49" i="2" s="1"/>
  <c r="O48" i="2"/>
  <c r="P48" i="2" s="1"/>
  <c r="I37" i="2"/>
  <c r="J37" i="2" s="1"/>
  <c r="O9" i="2"/>
  <c r="P9" i="2" s="1"/>
  <c r="J24" i="2"/>
  <c r="J16" i="2"/>
  <c r="I33" i="2"/>
  <c r="J33" i="2" s="1"/>
  <c r="I30" i="2"/>
  <c r="J30" i="2" s="1"/>
  <c r="Q50" i="2" l="1"/>
  <c r="G68" i="2"/>
  <c r="O50" i="2"/>
  <c r="P50" i="2" s="1"/>
  <c r="Q51" i="2"/>
  <c r="C26" i="1"/>
  <c r="D34" i="1" s="1"/>
  <c r="I42" i="2"/>
  <c r="J42" i="2" s="1"/>
  <c r="Q52" i="2" l="1"/>
  <c r="O51" i="2"/>
  <c r="P51" i="2" s="1"/>
  <c r="Q53" i="2" l="1"/>
  <c r="O52" i="2"/>
  <c r="P52" i="2" l="1"/>
  <c r="O53" i="2"/>
  <c r="P53" i="2" s="1"/>
  <c r="Q54" i="2"/>
  <c r="I40" i="2"/>
  <c r="J40" i="2" s="1"/>
  <c r="O54" i="2" l="1"/>
  <c r="P54" i="2" s="1"/>
  <c r="Q55" i="2"/>
  <c r="I34" i="2"/>
  <c r="J34" i="2" s="1"/>
  <c r="Q56" i="2" l="1"/>
  <c r="O55" i="2"/>
  <c r="P55" i="2" s="1"/>
  <c r="L8" i="2"/>
  <c r="I10" i="2"/>
  <c r="J10" i="2" s="1"/>
  <c r="I11" i="2"/>
  <c r="I12" i="2"/>
  <c r="J12" i="2" s="1"/>
  <c r="I13" i="2"/>
  <c r="J13" i="2" s="1"/>
  <c r="J11" i="2" l="1"/>
  <c r="O56" i="2"/>
  <c r="P56" i="2" s="1"/>
  <c r="Q57" i="2"/>
  <c r="H68" i="2"/>
  <c r="O57" i="2" l="1"/>
  <c r="P57" i="2" s="1"/>
  <c r="Q58" i="2"/>
  <c r="Q59" i="2" l="1"/>
  <c r="O58" i="2"/>
  <c r="P58" i="2" s="1"/>
  <c r="K10" i="2"/>
  <c r="K11" i="2"/>
  <c r="K12" i="2"/>
  <c r="K13" i="2"/>
  <c r="K8" i="2"/>
  <c r="K68" i="2" l="1"/>
  <c r="Q60" i="2"/>
  <c r="O59" i="2"/>
  <c r="P59" i="2" s="1"/>
  <c r="D81" i="1"/>
  <c r="D86" i="1" s="1"/>
  <c r="B90" i="1" s="1"/>
  <c r="B127" i="1" s="1"/>
  <c r="Q61" i="2" l="1"/>
  <c r="O60" i="2"/>
  <c r="P60" i="2" s="1"/>
  <c r="B120" i="1"/>
  <c r="O61" i="2" l="1"/>
  <c r="P61" i="2" s="1"/>
  <c r="Q62" i="2"/>
  <c r="D74" i="1"/>
  <c r="O62" i="2" l="1"/>
  <c r="P62" i="2" s="1"/>
  <c r="Q63" i="2"/>
  <c r="O7" i="2"/>
  <c r="Q64" i="2" l="1"/>
  <c r="O63" i="2"/>
  <c r="P63" i="2" s="1"/>
  <c r="O14" i="2"/>
  <c r="P14" i="2" s="1"/>
  <c r="B119" i="1"/>
  <c r="O64" i="2" l="1"/>
  <c r="P64" i="2" s="1"/>
  <c r="Q65" i="2"/>
  <c r="O15" i="2"/>
  <c r="P15" i="2" s="1"/>
  <c r="I8" i="2"/>
  <c r="J8" i="2" l="1"/>
  <c r="J68" i="2" s="1"/>
  <c r="I68" i="2"/>
  <c r="O65" i="2"/>
  <c r="P65" i="2" s="1"/>
  <c r="Q66" i="2"/>
  <c r="O66" i="2" s="1"/>
  <c r="O16" i="2"/>
  <c r="P16" i="2" s="1"/>
  <c r="B91" i="1"/>
  <c r="P66" i="2" l="1"/>
  <c r="O17" i="2"/>
  <c r="P17" i="2" s="1"/>
  <c r="B89" i="1"/>
  <c r="B126" i="1" s="1"/>
  <c r="B128" i="1" s="1"/>
  <c r="L10" i="2"/>
  <c r="L11" i="2"/>
  <c r="O11" i="2" s="1"/>
  <c r="L12" i="2"/>
  <c r="O12" i="2" s="1"/>
  <c r="L13" i="2"/>
  <c r="O13" i="2" s="1"/>
  <c r="O8" i="2"/>
  <c r="L68" i="2" l="1"/>
  <c r="O18" i="2"/>
  <c r="P18" i="2" s="1"/>
  <c r="O10" i="2"/>
  <c r="P10" i="2" s="1"/>
  <c r="P8" i="2"/>
  <c r="P13" i="2"/>
  <c r="P12" i="2"/>
  <c r="P11" i="2"/>
  <c r="O19" i="2" l="1"/>
  <c r="P19" i="2" s="1"/>
  <c r="O20" i="2" l="1"/>
  <c r="B88" i="1"/>
  <c r="P20" i="2" l="1"/>
  <c r="O21" i="2"/>
  <c r="P21" i="2" s="1"/>
  <c r="O22" i="2" l="1"/>
  <c r="O23" i="2" l="1"/>
  <c r="P23" i="2" s="1"/>
  <c r="P22" i="2"/>
  <c r="O24" i="2" l="1"/>
  <c r="P24" i="2" s="1"/>
  <c r="O25" i="2" l="1"/>
  <c r="O26" i="2" l="1"/>
  <c r="P26" i="2" s="1"/>
  <c r="P25" i="2"/>
  <c r="O27" i="2" l="1"/>
  <c r="P27" i="2" l="1"/>
  <c r="O28" i="2"/>
  <c r="P28" i="2" s="1"/>
  <c r="P29" i="2" l="1"/>
  <c r="O30" i="2" l="1"/>
  <c r="P30" i="2" s="1"/>
  <c r="O31" i="2" l="1"/>
  <c r="P31" i="2" s="1"/>
  <c r="O32" i="2" l="1"/>
  <c r="P32" i="2" s="1"/>
  <c r="O33" i="2" l="1"/>
  <c r="P33" i="2" s="1"/>
  <c r="O34" i="2" l="1"/>
  <c r="P34" i="2" s="1"/>
  <c r="O35" i="2" l="1"/>
  <c r="P35" i="2" s="1"/>
  <c r="O36" i="2" l="1"/>
  <c r="P36" i="2" s="1"/>
  <c r="O37" i="2" l="1"/>
  <c r="P37" i="2" l="1"/>
  <c r="O38" i="2"/>
  <c r="P38" i="2" s="1"/>
  <c r="O39" i="2" l="1"/>
  <c r="P39" i="2" s="1"/>
  <c r="O40" i="2" l="1"/>
  <c r="P40" i="2" s="1"/>
  <c r="O41" i="2" l="1"/>
  <c r="P41" i="2" s="1"/>
  <c r="O42" i="2" l="1"/>
  <c r="P42" i="2" s="1"/>
  <c r="O43" i="2" l="1"/>
  <c r="P43" i="2" s="1"/>
  <c r="O44" i="2" l="1"/>
  <c r="P44" i="2" s="1"/>
  <c r="O45" i="2" l="1"/>
  <c r="P45" i="2" l="1"/>
  <c r="O47" i="2"/>
  <c r="P47" i="2" s="1"/>
  <c r="O46" i="2"/>
  <c r="O68" i="2" l="1"/>
  <c r="P46" i="2"/>
  <c r="P68" i="2" s="1"/>
</calcChain>
</file>

<file path=xl/sharedStrings.xml><?xml version="1.0" encoding="utf-8"?>
<sst xmlns="http://schemas.openxmlformats.org/spreadsheetml/2006/main" count="296" uniqueCount="219">
  <si>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</si>
  <si>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</si>
  <si>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</si>
  <si>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</si>
  <si>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</si>
  <si>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</si>
  <si>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</si>
  <si>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</si>
  <si>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</si>
  <si>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</si>
  <si>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</si>
  <si>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</si>
  <si>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</si>
  <si>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</si>
  <si>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</si>
  <si>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</si>
  <si>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</si>
  <si>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</si>
  <si>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</si>
  <si>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</si>
  <si>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</si>
  <si>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</si>
  <si>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</si>
  <si>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</si>
  <si>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</si>
  <si>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</si>
  <si>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</si>
  <si>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</si>
  <si>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</si>
  <si>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</si>
  <si>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</si>
  <si>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</si>
  <si>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</si>
  <si>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</si>
  <si>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</si>
  <si>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</si>
  <si>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</si>
  <si>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</si>
  <si>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</si>
  <si>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</si>
  <si>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</si>
  <si>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</si>
  <si>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</si>
  <si>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</si>
  <si>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</si>
  <si>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</si>
  <si>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</si>
  <si>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</si>
  <si>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</si>
  <si>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</si>
  <si>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</si>
  <si>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</si>
  <si>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</si>
  <si>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</si>
  <si>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</si>
  <si>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</si>
  <si>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</si>
  <si>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</si>
  <si>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</si>
  <si>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</si>
  <si>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</si>
  <si>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</si>
  <si>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</si>
  <si>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</si>
  <si>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</si>
  <si>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</si>
  <si>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</si>
  <si>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</si>
  <si>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</si>
  <si>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</si>
  <si>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</si>
  <si>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</si>
  <si>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</si>
  <si>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</si>
  <si>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</si>
  <si>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</si>
  <si>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</si>
  <si>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</si>
  <si>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</si>
  <si>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</si>
  <si>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</si>
  <si>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</si>
  <si>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</si>
  <si>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</si>
  <si>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</si>
  <si>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</si>
  <si>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</si>
  <si>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</si>
  <si>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</si>
  <si>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</si>
  <si>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</si>
  <si>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</si>
  <si>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</si>
  <si>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</si>
  <si>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</si>
  <si>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</si>
  <si>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</si>
  <si>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</si>
  <si>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</si>
  <si>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</si>
  <si>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</si>
  <si>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</si>
  <si>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</si>
  <si>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</si>
  <si>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</si>
  <si>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</si>
  <si>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</si>
  <si>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</si>
  <si>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</si>
  <si>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</si>
  <si>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</si>
  <si>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</si>
  <si>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</si>
  <si>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</si>
  <si>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</si>
  <si>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</si>
  <si>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</si>
  <si>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</si>
  <si>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</si>
  <si>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</si>
  <si>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</si>
  <si>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</si>
  <si>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</si>
  <si>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</si>
  <si>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</si>
  <si>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</si>
  <si>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</si>
  <si>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</si>
  <si>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</si>
  <si>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</si>
  <si>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</si>
  <si>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</si>
  <si>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</si>
  <si>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</si>
  <si>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</si>
  <si>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</si>
  <si>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</si>
  <si>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</si>
  <si>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</si>
  <si>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</si>
  <si>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</si>
  <si>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</si>
  <si>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</si>
  <si>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</si>
  <si>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</si>
  <si>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</si>
  <si>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</si>
  <si>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</si>
  <si>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</si>
  <si>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</si>
  <si>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</si>
  <si>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</si>
  <si>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</si>
  <si>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</si>
  <si>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</si>
  <si>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TSG - Municipalidad de avellaneda</t>
  </si>
  <si>
    <t>Juana Acuña</t>
  </si>
  <si>
    <t>creo que cobran mes atrasado</t>
  </si>
  <si>
    <t>Maria Gabriela Stur</t>
  </si>
  <si>
    <t>QUIENES ESTAN EN VIOLETA NO ESTAN RESPETANDO LOS CENTAVOS AL ABONAR.</t>
  </si>
  <si>
    <t>PREVISION ORDINARIA ARCA</t>
  </si>
  <si>
    <t>Transfirio 104.955,29 el 07/07 y la pusimos impaga este mes debe abonar lo mismo</t>
  </si>
  <si>
    <t>Rocio Aylin</t>
  </si>
  <si>
    <t>Juana acuña</t>
  </si>
  <si>
    <t>Juana acuña menciona que: "La unidad funcional de Emilio Alonso Priero es la (UF55) No es la 45 como figura en la liquidación. Por favor podrían arreglarlo."</t>
  </si>
  <si>
    <t>La de los depositos no identificados de rocio ailin es la of 57 - Este mes debe abonar $47.189,57 LO ABONA EL 11/08</t>
  </si>
  <si>
    <t>UF 52 deposito $146.000 el 11/08 Mitre</t>
  </si>
  <si>
    <t>Luciano javier petrino</t>
  </si>
  <si>
    <t xml:space="preserve">Local 11 y 12 </t>
  </si>
  <si>
    <t>Luciano javier Petrino</t>
  </si>
  <si>
    <t>Local 1</t>
  </si>
  <si>
    <t>SICUSO</t>
  </si>
  <si>
    <t>OF que abona con 46 centavos</t>
  </si>
  <si>
    <t>Le pasamos mal un saldo anterior en junio, y eso genero una pelota de deuda indebida - Debe abonar $110.650,46</t>
  </si>
  <si>
    <t>Deposito no identificado Junio $260.000 es del local 11 y 12 - Tambien Transfirio el 06/07 $300.000 - Chequear en el banco. Si todo esta correcto sus numeros a abonar son : L11: $430.854,11 y $235.930,12 - Abono el 12/08 $686.788,23</t>
  </si>
  <si>
    <t>OF que abona con 41 centaos</t>
  </si>
  <si>
    <t>Deposito $110.000 el 13/08</t>
  </si>
  <si>
    <t>Laura BORAS deposito 14/08: LOC 17 $70.800
OF 56 $110.600
LOC 19 $156.900
OF 12/22 $316.000
LOC 9 $617.070
LOC 8 $135.020</t>
  </si>
  <si>
    <t>LAURA BORAS</t>
  </si>
  <si>
    <t>Debe abonar en Agosto 2026</t>
  </si>
  <si>
    <t>Transferencia no identificada Junio</t>
  </si>
  <si>
    <t>Punitorios a descontar</t>
  </si>
  <si>
    <t>TOTAL:</t>
  </si>
  <si>
    <t>Deposito no idetnficiado de Junio es de ella: por  $476368 - Debe abonar: $222,884,01</t>
  </si>
  <si>
    <t>Yesica Romina</t>
  </si>
  <si>
    <t>VTO 17/09</t>
  </si>
  <si>
    <t>Carrafiele AGOSTO -  Mes de JULIO</t>
  </si>
  <si>
    <t>Ivana del Carmen Roldan -  Mes de JULIO</t>
  </si>
  <si>
    <t>Transf 18/8</t>
  </si>
  <si>
    <t>Transf 03/08</t>
  </si>
  <si>
    <t>Debito 12/08</t>
  </si>
  <si>
    <t>Transf 18/08</t>
  </si>
  <si>
    <t>Debito 26/08</t>
  </si>
  <si>
    <t>AySa - Vto. 25/08 - Cuenta de servicios 3483943</t>
  </si>
  <si>
    <t>AySa - Vto. 21/07 - Cuenta de servicios 3483943</t>
  </si>
  <si>
    <t xml:space="preserve">Planes de pago - Afip - aportes de seg. social 06/2022 y 12/2022 </t>
  </si>
  <si>
    <t>Debito 18/08</t>
  </si>
  <si>
    <t>Cuota 35/36 - planes de pago - Afip - contrib. de seg. social 06/2022 y 12/2022</t>
  </si>
  <si>
    <t>Andes elevadores - CUIT: 30-71177858-2 - Fc. 0000010417 -  Servicio de mantenimiento de ascensores julio</t>
  </si>
  <si>
    <t>Andes elevadores - CUIT: 30-71177858-2 - Fc. 0000010527 -  Servicio de mantenimiento de ascensores agosto</t>
  </si>
  <si>
    <t>A andes elevadores hay una diferencia (pagamos $229.000 en agosto que NO incluimos en los gastos) - Debemos evaluar los pagos pq nos reclaman una deuda de servicios de Mayo y Abril</t>
  </si>
  <si>
    <t>Gustavo Padron - Sr. Contador - CUIT: 20-20027122-0 - Mes de Junio - Fc.  000001110</t>
  </si>
  <si>
    <t>Gustavo Padron - Sr. Contador - CUIT: 20-20027122-0 - Mes de Julio - Fc.  000001183</t>
  </si>
  <si>
    <t>Transf 12/08</t>
  </si>
  <si>
    <t>Honorarios Sra. Abogada - CUIT: 27-26023414-0 - Fc. 0000242 - Lorena Ferreiro</t>
  </si>
  <si>
    <t>Dinero Fondo FIMA - Al 04/09/2026</t>
  </si>
  <si>
    <t xml:space="preserve">E&amp;G Soluciones - Se realizaron trabajos de instalación hidráulica, eléctrica y de sistema de alarma. En lo que respecta a la instalación hidráulica, se efectuó el montaje y colocación de válvulas antirretorno de 1 1/2”, con correspondiente sellado industrial. Asimismo, se realizó la instalación completa del sistema eléctrico, incluyendo la colocación de un interruptor termomagnético de 20 A y un disyuntor diferencial de 2x25 A/30 mA, junto con el tendido de cableado tipo taller de 2x1,5 mm² y la instalación de un tomacorriente exterior estanco. Finalmente, se llevó a cabo la instalación y configuración de un sistema de alarma sonora por desborde de pozo, operado mediante transformador de 220 V/24 V y equipado con relé de control para garantizar su correcto funcionamiento y seguridad operativa. </t>
  </si>
  <si>
    <t>Eleco - Presupuesto nro. 0000265 -  Compra de materiales electricos: termica 2x20A cuva C, 2 disyuntores 2x25A, flotantes automaticos, tiras de caño rigido, curvas de 90 grados PVC, union PVC, 1 zumbador 220V, Recorte cable tipo taller, 20 grampas y tornillos numero 6, 1 caja de 4 modulos, 2 modulo toma simple blanco, 2 tapones ciegos, cinta aisladora y precintos</t>
  </si>
  <si>
    <t>Transf 21/08</t>
  </si>
  <si>
    <t xml:space="preserve">Bancheros santiarios SA - CUIT: 33711293189 - Fc. 000020920 - Valvula de retencion y tubo macho Acqua Sysem </t>
  </si>
  <si>
    <t>Frisco - Capetello Silvina Viviana</t>
  </si>
  <si>
    <t>Deposito ya identificado mes de junio</t>
  </si>
  <si>
    <t>Deposito ya identificado mes de julio</t>
  </si>
  <si>
    <t>Nahuel gutierrez Almicar</t>
  </si>
  <si>
    <t>Gasto a prorratear solo en oficinas</t>
  </si>
  <si>
    <t>Honorarios administracion RC - CUIT: 27-23125687-9 - Se adeudan $90.000, JUNIO Y JULIO completo ($650.000 C/U) - Se abona Agosto 2026</t>
  </si>
  <si>
    <t>Se perdio un total de :</t>
  </si>
  <si>
    <t>Gasto oficinas - Ascensor</t>
  </si>
  <si>
    <t>Para poder afrontar el gasto correspondiente a los trabajos a realizar en el ascensor de las oficinas, es necesario recaudar un total de $2.500.000.
Si bien el gasto a cubrir es de $2.500.000, el monto que se prorratea es superior, superando los $4.000.000. Esto se debe a que el gasto es exclusivo de las oficinas y, por lo tanto, los locales y sus respectivos porcentuales quedan excluidos del cálculo.
Al no representar las oficinas el 100% de los porcentuales del edificio, si se prorratearan únicamente $2.500.000, la recaudación efectiva sería inferior al monto necesario.
Por este motivo, se prorratea un importe superior a $4.000.000, de manera que, al distribuirlo exclusivamente entre las oficinas y aplicando sus respectivos porcentuales, se logre recaudar finalmente los $2.500.000 necesarios para afrontar el gasto del ascensor.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</si>
</sst>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8"/>
      <color theme="1"/>
      <name val="Calibri"/>
      <family val="2"/>
      <scheme val="minor"/>
    </font>
    <font>
      <sz val="9"/>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
      <b/>
      <sz val="12"/>
      <name val="Calibri"/>
      <family val="2"/>
      <scheme val="minor"/>
    </font>
    <font>
      <b/>
      <sz val="16"/>
      <name val="Calibri"/>
      <family val="2"/>
      <scheme val="minor"/>
    </font>
    <font>
      <b/>
      <sz val="14"/>
      <color theme="1"/>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theme="9"/>
        <bgColor indexed="64"/>
      </patternFill>
    </fill>
    <fill>
      <patternFill patternType="solid">
        <fgColor theme="7" tint="-0.499984740745262"/>
        <bgColor indexed="64"/>
      </patternFill>
    </fill>
    <fill>
      <patternFill patternType="solid">
        <fgColor rgb="FF00B05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7030A0"/>
        <bgColor indexed="64"/>
      </patternFill>
    </fill>
    <fill>
      <patternFill patternType="solid">
        <fgColor rgb="FFFF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47">
    <xf numFmtId="0" fontId="0" fillId="0" borderId="0" xfId="0"/>
    <xf numFmtId="0" fontId="2" fillId="0" borderId="0" xfId="0" applyFont="1"/>
    <xf numFmtId="0" fontId="0" fillId="3" borderId="0" xfId="0" applyFill="1"/>
    <xf numFmtId="0" fontId="0" fillId="0" borderId="5" xfId="0" applyBorder="1"/>
    <xf numFmtId="8" fontId="0" fillId="0" borderId="0" xfId="0" applyNumberFormat="1"/>
    <xf numFmtId="0" fontId="5" fillId="6" borderId="0" xfId="0" applyFont="1" applyFill="1"/>
    <xf numFmtId="0" fontId="6" fillId="0" borderId="1" xfId="0" applyFont="1" applyBorder="1" applyAlignment="1">
      <alignment vertical="center" wrapText="1"/>
    </xf>
    <xf numFmtId="8" fontId="7" fillId="4" borderId="6" xfId="0" applyNumberFormat="1"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12" fillId="0" borderId="0" xfId="0" applyFont="1"/>
    <xf numFmtId="8" fontId="15" fillId="11" borderId="6" xfId="0" applyNumberFormat="1" applyFont="1" applyFill="1" applyBorder="1"/>
    <xf numFmtId="0" fontId="14"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3" fillId="0" borderId="1" xfId="0" applyFont="1" applyBorder="1"/>
    <xf numFmtId="44" fontId="10" fillId="4" borderId="1" xfId="1" applyFont="1" applyFill="1" applyBorder="1"/>
    <xf numFmtId="0" fontId="13" fillId="0" borderId="1" xfId="0" applyFont="1" applyBorder="1" applyAlignment="1">
      <alignment horizontal="center"/>
    </xf>
    <xf numFmtId="44" fontId="16" fillId="0" borderId="1" xfId="1" applyFont="1" applyBorder="1"/>
    <xf numFmtId="44" fontId="16" fillId="2" borderId="1" xfId="1" applyFont="1" applyFill="1" applyBorder="1"/>
    <xf numFmtId="165" fontId="16" fillId="2" borderId="1" xfId="1" applyNumberFormat="1" applyFont="1" applyFill="1" applyBorder="1"/>
    <xf numFmtId="165" fontId="13" fillId="0" borderId="1" xfId="0" applyNumberFormat="1" applyFont="1" applyBorder="1"/>
    <xf numFmtId="165" fontId="13" fillId="0" borderId="1" xfId="1" applyNumberFormat="1" applyFont="1" applyBorder="1"/>
    <xf numFmtId="44" fontId="13" fillId="0" borderId="6" xfId="1" applyFont="1" applyBorder="1"/>
    <xf numFmtId="44" fontId="16" fillId="0" borderId="25" xfId="1" applyFont="1" applyBorder="1"/>
    <xf numFmtId="44" fontId="16" fillId="0" borderId="27" xfId="1" applyFont="1" applyBorder="1"/>
    <xf numFmtId="44" fontId="17" fillId="0" borderId="1" xfId="1" applyFont="1" applyBorder="1"/>
    <xf numFmtId="165" fontId="17" fillId="2" borderId="1" xfId="1" applyNumberFormat="1" applyFont="1" applyFill="1" applyBorder="1"/>
    <xf numFmtId="165" fontId="17" fillId="0" borderId="1" xfId="0" applyNumberFormat="1" applyFont="1" applyBorder="1"/>
    <xf numFmtId="165" fontId="17" fillId="0" borderId="1" xfId="1" applyNumberFormat="1" applyFont="1" applyBorder="1"/>
    <xf numFmtId="0" fontId="13" fillId="10" borderId="21" xfId="0" applyFont="1" applyFill="1" applyBorder="1"/>
    <xf numFmtId="0" fontId="13" fillId="4" borderId="26" xfId="0" applyFont="1" applyFill="1" applyBorder="1"/>
    <xf numFmtId="44" fontId="13" fillId="4" borderId="2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18" fillId="4" borderId="3" xfId="1" applyFont="1" applyFill="1" applyBorder="1"/>
    <xf numFmtId="44" fontId="10" fillId="4" borderId="21" xfId="1" applyFont="1" applyFill="1" applyBorder="1"/>
    <xf numFmtId="44" fontId="19" fillId="4" borderId="3" xfId="1" applyFont="1" applyFill="1" applyBorder="1"/>
    <xf numFmtId="0" fontId="19"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19" fillId="2" borderId="1" xfId="1" applyFont="1" applyFill="1" applyBorder="1"/>
    <xf numFmtId="44" fontId="10" fillId="4" borderId="2" xfId="1" applyFont="1" applyFill="1" applyBorder="1"/>
    <xf numFmtId="44" fontId="19" fillId="2" borderId="3" xfId="1" applyFont="1" applyFill="1" applyBorder="1"/>
    <xf numFmtId="8" fontId="7" fillId="4" borderId="22" xfId="0" applyNumberFormat="1" applyFont="1" applyFill="1" applyBorder="1"/>
    <xf numFmtId="0" fontId="19" fillId="0" borderId="4" xfId="0" applyFont="1" applyBorder="1"/>
    <xf numFmtId="44" fontId="10" fillId="8" borderId="13" xfId="1" applyFont="1" applyFill="1" applyBorder="1"/>
    <xf numFmtId="0" fontId="4" fillId="0" borderId="0" xfId="0" applyFont="1"/>
    <xf numFmtId="0" fontId="19"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7" fillId="0" borderId="1" xfId="1" applyFont="1" applyBorder="1"/>
    <xf numFmtId="8" fontId="15" fillId="11" borderId="1" xfId="0" applyNumberFormat="1" applyFont="1" applyFill="1" applyBorder="1"/>
    <xf numFmtId="0" fontId="4" fillId="2" borderId="1" xfId="0" applyFont="1" applyFill="1" applyBorder="1"/>
    <xf numFmtId="0" fontId="0" fillId="2" borderId="0" xfId="0" applyFill="1"/>
    <xf numFmtId="43" fontId="0" fillId="0" borderId="0" xfId="0" applyNumberFormat="1"/>
    <xf numFmtId="44" fontId="20" fillId="2" borderId="1" xfId="1" applyFont="1" applyFill="1" applyBorder="1"/>
    <xf numFmtId="0" fontId="14" fillId="2" borderId="1" xfId="1" applyNumberFormat="1" applyFont="1" applyFill="1" applyBorder="1" applyAlignment="1">
      <alignment horizontal="left"/>
    </xf>
    <xf numFmtId="0" fontId="14" fillId="2" borderId="2" xfId="1" applyNumberFormat="1" applyFont="1" applyFill="1" applyBorder="1" applyAlignment="1"/>
    <xf numFmtId="0" fontId="14" fillId="2" borderId="1" xfId="1" applyNumberFormat="1" applyFont="1" applyFill="1" applyBorder="1" applyAlignment="1"/>
    <xf numFmtId="44" fontId="14" fillId="0" borderId="1" xfId="1" applyFont="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3" fillId="2" borderId="1" xfId="0" applyFont="1" applyFill="1" applyBorder="1"/>
    <xf numFmtId="165" fontId="13" fillId="2" borderId="1" xfId="0" applyNumberFormat="1" applyFont="1" applyFill="1" applyBorder="1"/>
    <xf numFmtId="165" fontId="13" fillId="2" borderId="1" xfId="1" applyNumberFormat="1" applyFont="1" applyFill="1" applyBorder="1"/>
    <xf numFmtId="44" fontId="13" fillId="2" borderId="6" xfId="1" applyFont="1" applyFill="1" applyBorder="1"/>
    <xf numFmtId="44" fontId="16" fillId="2" borderId="25" xfId="1" applyFont="1" applyFill="1" applyBorder="1"/>
    <xf numFmtId="44" fontId="16" fillId="2" borderId="27" xfId="1" applyFont="1" applyFill="1" applyBorder="1"/>
    <xf numFmtId="4" fontId="0" fillId="0" borderId="0" xfId="0" applyNumberFormat="1"/>
    <xf numFmtId="0" fontId="19" fillId="2" borderId="1" xfId="1" applyNumberFormat="1" applyFont="1" applyFill="1" applyBorder="1" applyAlignment="1"/>
    <xf numFmtId="8" fontId="4" fillId="2" borderId="6" xfId="0" applyNumberFormat="1" applyFont="1" applyFill="1" applyBorder="1"/>
    <xf numFmtId="165" fontId="0" fillId="0" borderId="0" xfId="0" applyNumberFormat="1"/>
    <xf numFmtId="166" fontId="0" fillId="0" borderId="0" xfId="1" applyNumberFormat="1" applyFont="1"/>
    <xf numFmtId="0" fontId="6" fillId="0" borderId="1" xfId="0" applyFont="1" applyBorder="1" applyAlignment="1">
      <alignment vertical="center"/>
    </xf>
    <xf numFmtId="44" fontId="7" fillId="0" borderId="0" xfId="1" applyFont="1" applyBorder="1"/>
    <xf numFmtId="0" fontId="13" fillId="4" borderId="21" xfId="0" applyFont="1" applyFill="1" applyBorder="1"/>
    <xf numFmtId="165" fontId="13" fillId="4" borderId="21" xfId="0" applyNumberFormat="1" applyFont="1" applyFill="1" applyBorder="1"/>
    <xf numFmtId="1" fontId="13"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44" fontId="7" fillId="4" borderId="22" xfId="1" applyFont="1" applyFill="1" applyBorder="1"/>
    <xf numFmtId="44" fontId="4" fillId="2" borderId="0" xfId="1" applyFont="1" applyFill="1" applyBorder="1"/>
    <xf numFmtId="0" fontId="4" fillId="2" borderId="6" xfId="0" applyFont="1" applyFill="1" applyBorder="1" applyAlignment="1">
      <alignment horizontal="left" vertical="center" wrapText="1"/>
    </xf>
    <xf numFmtId="0" fontId="0" fillId="9" borderId="0" xfId="0" applyFill="1"/>
    <xf numFmtId="0" fontId="0" fillId="2" borderId="1" xfId="0" applyFill="1" applyBorder="1"/>
    <xf numFmtId="0" fontId="10" fillId="3" borderId="0" xfId="0" applyFont="1" applyFill="1" applyAlignment="1">
      <alignment horizontal="left"/>
    </xf>
    <xf numFmtId="0" fontId="7" fillId="3" borderId="0" xfId="0" applyFont="1" applyFill="1" applyAlignment="1">
      <alignment horizontal="left"/>
    </xf>
    <xf numFmtId="0" fontId="4" fillId="3" borderId="0" xfId="0" applyFont="1" applyFill="1"/>
    <xf numFmtId="0" fontId="10" fillId="3" borderId="0" xfId="0" applyFont="1" applyFill="1"/>
    <xf numFmtId="0" fontId="7" fillId="3" borderId="0" xfId="0" applyFont="1" applyFill="1" applyAlignment="1">
      <alignment vertical="center" wrapText="1"/>
    </xf>
    <xf numFmtId="0" fontId="7" fillId="0" borderId="0" xfId="0" applyFont="1"/>
    <xf numFmtId="0" fontId="7" fillId="5" borderId="14" xfId="0" applyFont="1" applyFill="1" applyBorder="1"/>
    <xf numFmtId="0" fontId="7" fillId="5" borderId="12" xfId="0" applyFont="1" applyFill="1" applyBorder="1"/>
    <xf numFmtId="0" fontId="15" fillId="11" borderId="1" xfId="0" applyFont="1" applyFill="1" applyBorder="1"/>
    <xf numFmtId="0" fontId="15" fillId="11" borderId="3" xfId="0" applyFont="1" applyFill="1" applyBorder="1"/>
    <xf numFmtId="0" fontId="7" fillId="4" borderId="3"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2" borderId="24" xfId="0" applyFont="1" applyFill="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1" xfId="0" applyFont="1" applyFill="1" applyBorder="1"/>
    <xf numFmtId="0" fontId="7" fillId="8" borderId="6" xfId="0" applyFont="1" applyFill="1" applyBorder="1"/>
    <xf numFmtId="44" fontId="10" fillId="8" borderId="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44" fontId="4" fillId="0" borderId="0" xfId="0" applyNumberFormat="1" applyFont="1"/>
    <xf numFmtId="0" fontId="0" fillId="12" borderId="1" xfId="0"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0" fillId="15" borderId="14" xfId="0" applyFill="1" applyBorder="1"/>
    <xf numFmtId="0" fontId="0" fillId="15" borderId="12" xfId="0" applyFill="1" applyBorder="1"/>
    <xf numFmtId="0" fontId="0" fillId="15" borderId="16" xfId="0" applyFill="1" applyBorder="1"/>
    <xf numFmtId="0" fontId="0" fillId="15" borderId="0" xfId="0" applyFill="1"/>
    <xf numFmtId="0" fontId="0" fillId="16" borderId="14" xfId="0" applyFill="1" applyBorder="1"/>
    <xf numFmtId="0" fontId="0" fillId="16" borderId="12" xfId="0" applyFill="1" applyBorder="1"/>
    <xf numFmtId="0" fontId="0" fillId="16" borderId="16" xfId="0" applyFill="1" applyBorder="1"/>
    <xf numFmtId="0" fontId="0" fillId="16" borderId="0" xfId="0" applyFill="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0" fontId="0" fillId="5" borderId="14" xfId="0" applyFill="1" applyBorder="1"/>
    <xf numFmtId="0" fontId="0" fillId="5" borderId="12" xfId="0" applyFill="1" applyBorder="1"/>
    <xf numFmtId="0" fontId="0" fillId="5" borderId="16" xfId="0" applyFill="1" applyBorder="1"/>
    <xf numFmtId="0" fontId="0" fillId="5" borderId="0" xfId="0" applyFill="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44" fontId="0" fillId="0" borderId="0" xfId="1" applyFont="1"/>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0" fillId="9" borderId="1" xfId="0" applyFill="1" applyBorder="1"/>
    <xf numFmtId="0" fontId="16" fillId="2" borderId="1" xfId="0" applyFont="1" applyFill="1" applyBorder="1"/>
    <xf numFmtId="0" fontId="16" fillId="2" borderId="1" xfId="0" applyFont="1" applyFill="1" applyBorder="1" applyAlignment="1">
      <alignment horizontal="center"/>
    </xf>
    <xf numFmtId="0" fontId="16" fillId="2" borderId="1" xfId="0" applyFont="1" applyFill="1" applyBorder="1" applyAlignment="1">
      <alignment horizontal="left" vertical="center" wrapText="1"/>
    </xf>
    <xf numFmtId="0" fontId="16" fillId="2" borderId="1" xfId="0" applyFont="1" applyFill="1" applyBorder="1" applyAlignment="1">
      <alignment vertical="center" wrapText="1"/>
    </xf>
    <xf numFmtId="0" fontId="8" fillId="9" borderId="0" xfId="0" applyFont="1" applyFill="1"/>
    <xf numFmtId="165" fontId="13" fillId="0" borderId="6" xfId="1" applyNumberFormat="1" applyFont="1" applyBorder="1"/>
    <xf numFmtId="165" fontId="13" fillId="2" borderId="6" xfId="1" applyNumberFormat="1" applyFont="1" applyFill="1" applyBorder="1"/>
    <xf numFmtId="8" fontId="0" fillId="3" borderId="9" xfId="0" applyNumberFormat="1" applyFill="1" applyBorder="1" applyAlignment="1">
      <alignment vertical="center"/>
    </xf>
    <xf numFmtId="0" fontId="0" fillId="3" borderId="10" xfId="0" applyFill="1" applyBorder="1" applyAlignment="1">
      <alignment vertical="center"/>
    </xf>
    <xf numFmtId="165" fontId="0" fillId="3" borderId="10" xfId="1" applyNumberFormat="1" applyFont="1" applyFill="1" applyBorder="1" applyAlignment="1">
      <alignment vertical="center"/>
    </xf>
    <xf numFmtId="44" fontId="0" fillId="3" borderId="11" xfId="1" applyFont="1" applyFill="1" applyBorder="1" applyAlignment="1">
      <alignment vertical="center"/>
    </xf>
    <xf numFmtId="0" fontId="9" fillId="6"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2" fillId="9" borderId="0" xfId="0" applyFont="1" applyFill="1" applyAlignment="1">
      <alignment horizontal="center" vertical="center"/>
    </xf>
    <xf numFmtId="0" fontId="21" fillId="3" borderId="0" xfId="0" applyFont="1" applyFill="1" applyAlignment="1">
      <alignment horizontal="left" vertical="center" wrapText="1"/>
    </xf>
    <xf numFmtId="0" fontId="7" fillId="8" borderId="6" xfId="0" applyFont="1" applyFill="1" applyBorder="1" applyAlignment="1">
      <alignment horizontal="left" vertical="center" wrapText="1"/>
    </xf>
    <xf numFmtId="0" fontId="7" fillId="8" borderId="24" xfId="0" applyFont="1" applyFill="1" applyBorder="1" applyAlignment="1">
      <alignment horizontal="left" vertical="center" wrapText="1"/>
    </xf>
    <xf numFmtId="0" fontId="7" fillId="8" borderId="28" xfId="0" applyFont="1" applyFill="1" applyBorder="1" applyAlignment="1">
      <alignment horizontal="left"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2" fillId="3" borderId="20"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13" borderId="9"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7" xfId="0" applyFont="1" applyFill="1" applyBorder="1"/>
    <xf numFmtId="8" fontId="4" fillId="2" borderId="1" xfId="0" applyNumberFormat="1" applyFont="1" applyFill="1" applyBorder="1"/>
    <xf numFmtId="44" fontId="4" fillId="2" borderId="1" xfId="1" applyFont="1" applyFill="1" applyBorder="1" applyAlignment="1">
      <alignment vertical="center" wrapText="1"/>
    </xf>
    <xf numFmtId="0" fontId="9" fillId="20" borderId="0" xfId="0" applyFont="1" applyFill="1"/>
    <xf numFmtId="44" fontId="9" fillId="20" borderId="0" xfId="1" applyFont="1" applyFill="1" applyBorder="1"/>
    <xf numFmtId="0" fontId="23" fillId="9" borderId="0" xfId="0" applyFont="1" applyFill="1" applyAlignment="1">
      <alignment horizontal="left" vertical="center" wrapText="1"/>
    </xf>
    <xf numFmtId="0" fontId="23" fillId="9" borderId="0" xfId="0" applyFont="1" applyFill="1" applyAlignment="1">
      <alignment horizontal="left" vertic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8"/>
  <sheetViews>
    <sheetView topLeftCell="A95" zoomScale="90" zoomScaleNormal="90" workbookViewId="0">
      <selection activeCell="B116" sqref="B115:B116"/>
    </sheetView>
  </sheetViews>
  <sheetFormatPr baseColWidth="10" defaultColWidth="10.85546875" defaultRowHeight="15" x14ac:dyDescent="0.25"/>
  <cols>
    <col min="1" max="1" width="37.5703125" customWidth="1"/>
    <col min="2" max="2" width="24.5703125" customWidth="1"/>
    <col min="3" max="3" width="18.42578125" customWidth="1"/>
    <col min="4" max="4" width="15.5703125" customWidth="1"/>
    <col min="5" max="5" width="14.5703125" bestFit="1" customWidth="1"/>
    <col min="6" max="6" width="16" customWidth="1"/>
    <col min="7" max="7" width="13.140625" bestFit="1" customWidth="1"/>
    <col min="10" max="10" width="18" customWidth="1"/>
    <col min="11" max="11" width="18.42578125" customWidth="1"/>
  </cols>
  <sheetData>
    <row r="1" spans="1:4" x14ac:dyDescent="0.25">
      <c r="A1" s="120" t="s">
        <v>64</v>
      </c>
      <c r="B1" s="121"/>
      <c r="C1" s="122"/>
      <c r="D1" s="122"/>
    </row>
    <row r="2" spans="1:4" x14ac:dyDescent="0.25">
      <c r="A2" s="123" t="s">
        <v>125</v>
      </c>
      <c r="B2" s="123"/>
      <c r="C2" s="123"/>
      <c r="D2" s="123"/>
    </row>
    <row r="3" spans="1:4" ht="17.100000000000001" customHeight="1" x14ac:dyDescent="0.25">
      <c r="A3" s="123" t="s">
        <v>70</v>
      </c>
      <c r="B3" s="123"/>
      <c r="C3" s="123"/>
      <c r="D3" s="123"/>
    </row>
    <row r="4" spans="1:4" ht="32.25" customHeight="1" x14ac:dyDescent="0.25">
      <c r="A4" s="196" t="s">
        <v>150</v>
      </c>
      <c r="B4" s="196"/>
      <c r="C4" s="124"/>
      <c r="D4" s="124"/>
    </row>
    <row r="5" spans="1:4" x14ac:dyDescent="0.25">
      <c r="A5" s="196"/>
      <c r="B5" s="196"/>
      <c r="C5" s="124"/>
      <c r="D5" s="124"/>
    </row>
    <row r="6" spans="1:4" x14ac:dyDescent="0.25">
      <c r="A6" s="196"/>
      <c r="B6" s="196"/>
      <c r="C6" s="124"/>
      <c r="D6" s="124"/>
    </row>
    <row r="7" spans="1:4" ht="27" customHeight="1" x14ac:dyDescent="0.25">
      <c r="A7" s="196"/>
      <c r="B7" s="196"/>
      <c r="C7" s="124"/>
      <c r="D7" s="124"/>
    </row>
    <row r="8" spans="1:4" x14ac:dyDescent="0.25">
      <c r="A8" s="61"/>
      <c r="B8" s="61"/>
      <c r="C8" s="61"/>
      <c r="D8" s="61"/>
    </row>
    <row r="9" spans="1:4" x14ac:dyDescent="0.25">
      <c r="A9" s="61"/>
      <c r="B9" s="195" t="s">
        <v>185</v>
      </c>
      <c r="C9" s="61"/>
      <c r="D9" s="61"/>
    </row>
    <row r="10" spans="1:4" x14ac:dyDescent="0.25">
      <c r="A10" s="61"/>
      <c r="B10" s="195"/>
      <c r="C10" s="61"/>
      <c r="D10" s="61"/>
    </row>
    <row r="11" spans="1:4" x14ac:dyDescent="0.25">
      <c r="A11" s="61"/>
      <c r="B11" s="195"/>
      <c r="C11" s="61"/>
      <c r="D11" s="61"/>
    </row>
    <row r="12" spans="1:4" x14ac:dyDescent="0.25">
      <c r="A12" s="61"/>
      <c r="B12" s="61"/>
      <c r="C12" s="61"/>
      <c r="D12" s="61"/>
    </row>
    <row r="13" spans="1:4" hidden="1" x14ac:dyDescent="0.25">
      <c r="A13" s="61"/>
      <c r="B13" s="61"/>
      <c r="C13" s="61"/>
      <c r="D13" s="61"/>
    </row>
    <row r="14" spans="1:4" ht="15" customHeight="1" x14ac:dyDescent="0.25">
      <c r="A14" s="196" t="s">
        <v>147</v>
      </c>
      <c r="B14" s="196"/>
      <c r="C14" s="196"/>
      <c r="D14" s="196"/>
    </row>
    <row r="15" spans="1:4" ht="15" customHeight="1" x14ac:dyDescent="0.25">
      <c r="A15" s="196"/>
      <c r="B15" s="196"/>
      <c r="C15" s="196"/>
      <c r="D15" s="196"/>
    </row>
    <row r="16" spans="1:4" ht="47.25" customHeight="1" x14ac:dyDescent="0.25">
      <c r="A16" s="196"/>
      <c r="B16" s="196"/>
      <c r="C16" s="196"/>
      <c r="D16" s="196"/>
    </row>
    <row r="17" spans="1:7" ht="156.75" customHeight="1" x14ac:dyDescent="0.25">
      <c r="A17" s="196"/>
      <c r="B17" s="196"/>
      <c r="C17" s="196"/>
      <c r="D17" s="196"/>
    </row>
    <row r="18" spans="1:7" ht="14.25" customHeight="1" thickBot="1" x14ac:dyDescent="0.3">
      <c r="A18" s="61"/>
      <c r="B18" s="61"/>
      <c r="C18" s="61"/>
      <c r="D18" s="61"/>
    </row>
    <row r="19" spans="1:7" ht="15.75" hidden="1" thickBot="1" x14ac:dyDescent="0.3">
      <c r="A19" s="125"/>
      <c r="B19" s="61"/>
      <c r="C19" s="61"/>
      <c r="D19" s="61"/>
    </row>
    <row r="20" spans="1:7" ht="15.75" hidden="1" thickBot="1" x14ac:dyDescent="0.3">
      <c r="A20" s="61"/>
      <c r="B20" s="61"/>
      <c r="C20" s="61"/>
      <c r="D20" s="61"/>
    </row>
    <row r="21" spans="1:7" x14ac:dyDescent="0.25">
      <c r="A21" s="126" t="s">
        <v>26</v>
      </c>
      <c r="B21" s="127"/>
      <c r="C21" s="65"/>
      <c r="D21" s="66"/>
      <c r="E21" s="118" t="s">
        <v>157</v>
      </c>
      <c r="F21" s="118"/>
    </row>
    <row r="22" spans="1:7" x14ac:dyDescent="0.25">
      <c r="A22" s="10" t="s">
        <v>52</v>
      </c>
      <c r="B22" s="10"/>
      <c r="C22" s="10"/>
      <c r="D22" s="10"/>
      <c r="E22" s="118"/>
      <c r="F22" s="118"/>
    </row>
    <row r="23" spans="1:7" x14ac:dyDescent="0.25">
      <c r="A23" s="193" t="s">
        <v>186</v>
      </c>
      <c r="B23" s="194"/>
      <c r="C23" s="241">
        <v>1322255.05</v>
      </c>
      <c r="D23" s="46"/>
      <c r="E23" s="118"/>
      <c r="F23" s="118"/>
    </row>
    <row r="24" spans="1:7" x14ac:dyDescent="0.25">
      <c r="A24" s="46" t="s">
        <v>55</v>
      </c>
      <c r="B24" s="46"/>
      <c r="C24" s="241">
        <v>-208255.05</v>
      </c>
      <c r="D24" s="46"/>
      <c r="E24" s="118"/>
      <c r="F24" s="118"/>
    </row>
    <row r="25" spans="1:7" x14ac:dyDescent="0.25">
      <c r="A25" s="46" t="s">
        <v>54</v>
      </c>
      <c r="B25" s="46"/>
      <c r="C25" s="241">
        <v>0</v>
      </c>
      <c r="D25" s="46"/>
      <c r="E25" s="118"/>
      <c r="F25" s="118"/>
      <c r="G25" s="89"/>
    </row>
    <row r="26" spans="1:7" x14ac:dyDescent="0.25">
      <c r="A26" s="128" t="s">
        <v>53</v>
      </c>
      <c r="B26" s="128"/>
      <c r="C26" s="70">
        <f>SUM(C23:C25)</f>
        <v>1114000</v>
      </c>
      <c r="D26" s="128"/>
      <c r="E26" s="118"/>
      <c r="F26" s="118"/>
    </row>
    <row r="27" spans="1:7" x14ac:dyDescent="0.25">
      <c r="A27" s="193" t="s">
        <v>187</v>
      </c>
      <c r="B27" s="194"/>
      <c r="C27" s="241">
        <v>941573.23</v>
      </c>
      <c r="D27" s="46"/>
      <c r="E27" s="118"/>
      <c r="F27" s="118"/>
    </row>
    <row r="28" spans="1:7" x14ac:dyDescent="0.25">
      <c r="A28" s="46" t="s">
        <v>55</v>
      </c>
      <c r="B28" s="46"/>
      <c r="C28" s="241">
        <v>233039.23</v>
      </c>
      <c r="D28" s="71"/>
      <c r="E28" s="118"/>
      <c r="F28" s="118"/>
    </row>
    <row r="29" spans="1:7" x14ac:dyDescent="0.25">
      <c r="A29" s="46" t="s">
        <v>54</v>
      </c>
      <c r="B29" s="46"/>
      <c r="C29" s="241">
        <v>0</v>
      </c>
      <c r="D29" s="71"/>
    </row>
    <row r="30" spans="1:7" x14ac:dyDescent="0.25">
      <c r="A30" s="128" t="s">
        <v>53</v>
      </c>
      <c r="B30" s="129"/>
      <c r="C30" s="25">
        <f>SUM(C27:C29)</f>
        <v>1174612.46</v>
      </c>
      <c r="D30" s="47"/>
    </row>
    <row r="31" spans="1:7" hidden="1" x14ac:dyDescent="0.25">
      <c r="A31" s="46"/>
      <c r="B31" s="46"/>
      <c r="C31" s="91">
        <v>0</v>
      </c>
      <c r="D31" s="71"/>
    </row>
    <row r="32" spans="1:7" hidden="1" x14ac:dyDescent="0.25">
      <c r="A32" s="46"/>
      <c r="B32" s="46"/>
      <c r="C32" s="91"/>
      <c r="D32" s="71"/>
    </row>
    <row r="33" spans="1:7" hidden="1" x14ac:dyDescent="0.25">
      <c r="A33" s="128" t="s">
        <v>53</v>
      </c>
      <c r="B33" s="129"/>
      <c r="C33" s="25">
        <f>SUM(C31:C32)</f>
        <v>0</v>
      </c>
      <c r="D33" s="47"/>
    </row>
    <row r="34" spans="1:7" ht="14.25" customHeight="1" thickBot="1" x14ac:dyDescent="0.3">
      <c r="A34" s="11" t="s">
        <v>0</v>
      </c>
      <c r="B34" s="11"/>
      <c r="C34" s="7"/>
      <c r="D34" s="48">
        <f>+C26+C33+C30</f>
        <v>2288612.46</v>
      </c>
      <c r="E34" s="4"/>
      <c r="F34" s="4"/>
    </row>
    <row r="35" spans="1:7" x14ac:dyDescent="0.25">
      <c r="A35" s="10" t="s">
        <v>38</v>
      </c>
      <c r="B35" s="10"/>
      <c r="C35" s="12"/>
      <c r="D35" s="49"/>
      <c r="F35" s="4"/>
    </row>
    <row r="36" spans="1:7" ht="43.9" customHeight="1" x14ac:dyDescent="0.25">
      <c r="A36" s="238" t="s">
        <v>215</v>
      </c>
      <c r="B36" s="239"/>
      <c r="C36" s="241">
        <v>650000</v>
      </c>
      <c r="D36" s="78" t="s">
        <v>188</v>
      </c>
      <c r="G36" s="4"/>
    </row>
    <row r="37" spans="1:7" ht="38.25" customHeight="1" x14ac:dyDescent="0.25">
      <c r="A37" s="238" t="s">
        <v>201</v>
      </c>
      <c r="B37" s="239"/>
      <c r="C37" s="81">
        <v>100000</v>
      </c>
      <c r="D37" s="75" t="s">
        <v>203</v>
      </c>
      <c r="G37" s="4"/>
    </row>
    <row r="38" spans="1:7" ht="36.75" customHeight="1" x14ac:dyDescent="0.25">
      <c r="A38" s="238" t="s">
        <v>202</v>
      </c>
      <c r="B38" s="239"/>
      <c r="C38" s="81">
        <v>100000</v>
      </c>
      <c r="D38" s="75" t="s">
        <v>188</v>
      </c>
      <c r="G38" s="4"/>
    </row>
    <row r="39" spans="1:7" ht="42" customHeight="1" x14ac:dyDescent="0.25">
      <c r="A39" s="238" t="s">
        <v>204</v>
      </c>
      <c r="B39" s="239"/>
      <c r="C39" s="241">
        <v>200000</v>
      </c>
      <c r="D39" s="75" t="s">
        <v>188</v>
      </c>
      <c r="G39" s="4"/>
    </row>
    <row r="40" spans="1:7" ht="15.75" thickBot="1" x14ac:dyDescent="0.3">
      <c r="A40" s="11" t="s">
        <v>34</v>
      </c>
      <c r="B40" s="11"/>
      <c r="C40" s="115"/>
      <c r="D40" s="48">
        <f>SUM(C36:C39)</f>
        <v>1050000</v>
      </c>
    </row>
    <row r="41" spans="1:7" x14ac:dyDescent="0.25">
      <c r="A41" s="10" t="s">
        <v>49</v>
      </c>
      <c r="B41" s="11"/>
      <c r="C41" s="13"/>
      <c r="D41" s="29"/>
    </row>
    <row r="42" spans="1:7" s="18" customFormat="1" ht="29.25" customHeight="1" x14ac:dyDescent="0.25">
      <c r="A42" s="238" t="s">
        <v>129</v>
      </c>
      <c r="B42" s="239"/>
      <c r="C42" s="242">
        <v>111108.81</v>
      </c>
      <c r="D42" s="90" t="s">
        <v>192</v>
      </c>
    </row>
    <row r="43" spans="1:7" ht="15.75" thickBot="1" x14ac:dyDescent="0.3">
      <c r="A43" s="11" t="s">
        <v>1</v>
      </c>
      <c r="B43" s="11"/>
      <c r="C43" s="15"/>
      <c r="D43" s="50">
        <f>SUM(C42:C42)</f>
        <v>111108.81</v>
      </c>
    </row>
    <row r="44" spans="1:7" x14ac:dyDescent="0.25">
      <c r="A44" s="10" t="s">
        <v>35</v>
      </c>
      <c r="B44" s="80"/>
      <c r="C44" s="16"/>
      <c r="D44" s="51"/>
    </row>
    <row r="45" spans="1:7" x14ac:dyDescent="0.25">
      <c r="A45" s="71" t="s">
        <v>65</v>
      </c>
      <c r="B45" s="71"/>
      <c r="C45" s="81">
        <v>0</v>
      </c>
      <c r="D45" s="75"/>
      <c r="F45" s="72"/>
    </row>
    <row r="46" spans="1:7" ht="30" customHeight="1" x14ac:dyDescent="0.25">
      <c r="A46" s="238" t="s">
        <v>197</v>
      </c>
      <c r="B46" s="239"/>
      <c r="C46" s="81">
        <v>11596.99</v>
      </c>
      <c r="D46" s="77" t="s">
        <v>196</v>
      </c>
      <c r="F46" s="72"/>
    </row>
    <row r="47" spans="1:7" ht="20.25" customHeight="1" x14ac:dyDescent="0.25">
      <c r="A47" s="238" t="s">
        <v>195</v>
      </c>
      <c r="B47" s="239"/>
      <c r="C47" s="81">
        <v>11930.96</v>
      </c>
      <c r="D47" s="75" t="str">
        <f>D46</f>
        <v>Debito 18/08</v>
      </c>
      <c r="F47" s="72"/>
    </row>
    <row r="48" spans="1:7" x14ac:dyDescent="0.25">
      <c r="A48" s="71" t="s">
        <v>66</v>
      </c>
      <c r="B48" s="71"/>
      <c r="C48" s="81">
        <v>101872.21</v>
      </c>
      <c r="D48" s="77" t="s">
        <v>190</v>
      </c>
    </row>
    <row r="49" spans="1:7" x14ac:dyDescent="0.25">
      <c r="A49" s="71" t="s">
        <v>67</v>
      </c>
      <c r="B49" s="71"/>
      <c r="C49" s="81">
        <v>11319.13</v>
      </c>
      <c r="D49" s="77" t="str">
        <f>D48</f>
        <v>Debito 12/08</v>
      </c>
    </row>
    <row r="50" spans="1:7" x14ac:dyDescent="0.25">
      <c r="A50" s="71" t="s">
        <v>68</v>
      </c>
      <c r="B50" s="71"/>
      <c r="C50" s="81">
        <v>221236.75</v>
      </c>
      <c r="D50" s="76" t="str">
        <f>D48</f>
        <v>Debito 12/08</v>
      </c>
    </row>
    <row r="51" spans="1:7" ht="15" customHeight="1" thickBot="1" x14ac:dyDescent="0.3">
      <c r="A51" s="11" t="s">
        <v>2</v>
      </c>
      <c r="B51" s="80"/>
      <c r="C51" s="17"/>
      <c r="D51" s="50">
        <f>SUM(C45:C50)</f>
        <v>357956.04000000004</v>
      </c>
    </row>
    <row r="52" spans="1:7" x14ac:dyDescent="0.25">
      <c r="A52" s="10" t="s">
        <v>37</v>
      </c>
      <c r="B52" s="80"/>
      <c r="C52" s="16"/>
      <c r="D52" s="51"/>
    </row>
    <row r="53" spans="1:7" ht="14.25" customHeight="1" x14ac:dyDescent="0.25">
      <c r="A53" s="71" t="s">
        <v>127</v>
      </c>
      <c r="B53" s="71"/>
      <c r="C53" s="81">
        <v>335271.92</v>
      </c>
      <c r="D53" s="77" t="s">
        <v>190</v>
      </c>
    </row>
    <row r="54" spans="1:7" ht="14.25" customHeight="1" x14ac:dyDescent="0.25">
      <c r="A54" s="71" t="s">
        <v>126</v>
      </c>
      <c r="B54" s="71"/>
      <c r="C54" s="81">
        <v>0</v>
      </c>
      <c r="D54" s="75" t="str">
        <f>D53</f>
        <v>Debito 12/08</v>
      </c>
    </row>
    <row r="55" spans="1:7" ht="14.25" customHeight="1" x14ac:dyDescent="0.25">
      <c r="A55" s="71" t="s">
        <v>194</v>
      </c>
      <c r="B55" s="71"/>
      <c r="C55" s="81">
        <v>1432816.72</v>
      </c>
      <c r="D55" s="75" t="s">
        <v>189</v>
      </c>
    </row>
    <row r="56" spans="1:7" ht="14.25" customHeight="1" x14ac:dyDescent="0.25">
      <c r="A56" s="71" t="s">
        <v>193</v>
      </c>
      <c r="B56" s="71"/>
      <c r="C56" s="81">
        <v>1411636.23</v>
      </c>
      <c r="D56" s="77" t="s">
        <v>190</v>
      </c>
    </row>
    <row r="57" spans="1:7" ht="14.25" customHeight="1" x14ac:dyDescent="0.25">
      <c r="A57" s="71" t="s">
        <v>128</v>
      </c>
      <c r="B57" s="71"/>
      <c r="C57" s="81">
        <v>36065.47</v>
      </c>
      <c r="D57" s="77" t="s">
        <v>190</v>
      </c>
    </row>
    <row r="58" spans="1:7" ht="14.25" customHeight="1" x14ac:dyDescent="0.25">
      <c r="A58" s="71" t="s">
        <v>155</v>
      </c>
      <c r="B58" s="240"/>
      <c r="C58" s="81">
        <v>83831</v>
      </c>
      <c r="D58" s="75" t="s">
        <v>189</v>
      </c>
    </row>
    <row r="59" spans="1:7" ht="15.75" thickBot="1" x14ac:dyDescent="0.3">
      <c r="A59" s="11" t="s">
        <v>3</v>
      </c>
      <c r="B59" s="11"/>
      <c r="C59" s="15"/>
      <c r="D59" s="50">
        <f>SUM(C53:C58)</f>
        <v>3299621.3400000003</v>
      </c>
    </row>
    <row r="60" spans="1:7" ht="15.75" thickBot="1" x14ac:dyDescent="0.3">
      <c r="A60" s="10" t="s">
        <v>36</v>
      </c>
      <c r="B60" s="11"/>
      <c r="C60" s="15"/>
      <c r="D60" s="53"/>
    </row>
    <row r="61" spans="1:7" ht="43.5" customHeight="1" x14ac:dyDescent="0.25">
      <c r="A61" s="238" t="s">
        <v>198</v>
      </c>
      <c r="B61" s="239"/>
      <c r="C61" s="81">
        <v>202000</v>
      </c>
      <c r="D61" s="75" t="s">
        <v>188</v>
      </c>
    </row>
    <row r="62" spans="1:7" ht="33" customHeight="1" x14ac:dyDescent="0.25">
      <c r="A62" s="238" t="s">
        <v>199</v>
      </c>
      <c r="B62" s="239"/>
      <c r="C62" s="81">
        <v>202000</v>
      </c>
      <c r="D62" s="75" t="s">
        <v>188</v>
      </c>
      <c r="G62" t="s">
        <v>200</v>
      </c>
    </row>
    <row r="63" spans="1:7" ht="198" customHeight="1" x14ac:dyDescent="0.25">
      <c r="A63" s="238" t="s">
        <v>206</v>
      </c>
      <c r="B63" s="239"/>
      <c r="C63" s="81">
        <v>650000</v>
      </c>
      <c r="D63" s="75" t="s">
        <v>208</v>
      </c>
      <c r="F63" s="22"/>
    </row>
    <row r="64" spans="1:7" ht="91.5" customHeight="1" x14ac:dyDescent="0.25">
      <c r="A64" s="238" t="s">
        <v>207</v>
      </c>
      <c r="B64" s="239"/>
      <c r="C64" s="81">
        <v>166345.46</v>
      </c>
      <c r="D64" s="75" t="s">
        <v>191</v>
      </c>
      <c r="F64" s="22"/>
    </row>
    <row r="65" spans="1:6" ht="34.5" customHeight="1" x14ac:dyDescent="0.25">
      <c r="A65" s="238" t="s">
        <v>209</v>
      </c>
      <c r="B65" s="239"/>
      <c r="C65" s="81">
        <v>185794.9</v>
      </c>
      <c r="D65" s="75" t="s">
        <v>191</v>
      </c>
      <c r="E65" s="116"/>
      <c r="F65" s="22"/>
    </row>
    <row r="66" spans="1:6" ht="15.75" thickBot="1" x14ac:dyDescent="0.3">
      <c r="A66" s="11" t="s">
        <v>11</v>
      </c>
      <c r="B66" s="10"/>
      <c r="C66" s="10"/>
      <c r="D66" s="56">
        <f>SUM(C61:C65)</f>
        <v>1406140.3599999999</v>
      </c>
    </row>
    <row r="67" spans="1:6" ht="15.75" thickBot="1" x14ac:dyDescent="0.3">
      <c r="A67" s="10" t="s">
        <v>29</v>
      </c>
      <c r="B67" s="82"/>
      <c r="C67" s="7"/>
      <c r="D67" s="53"/>
    </row>
    <row r="68" spans="1:6" ht="14.25" customHeight="1" x14ac:dyDescent="0.25">
      <c r="A68" s="193" t="s">
        <v>73</v>
      </c>
      <c r="B68" s="194"/>
      <c r="C68" s="81">
        <v>75000</v>
      </c>
      <c r="D68" s="57"/>
    </row>
    <row r="69" spans="1:6" x14ac:dyDescent="0.25">
      <c r="A69" s="46" t="s">
        <v>71</v>
      </c>
      <c r="B69" s="46"/>
      <c r="C69" s="81">
        <v>172775.23</v>
      </c>
      <c r="D69" s="55"/>
    </row>
    <row r="70" spans="1:6" ht="15.75" thickBot="1" x14ac:dyDescent="0.3">
      <c r="A70" s="130" t="s">
        <v>34</v>
      </c>
      <c r="B70" s="130"/>
      <c r="C70" s="58"/>
      <c r="D70" s="50">
        <f>SUM(C68:C69)</f>
        <v>247775.23</v>
      </c>
    </row>
    <row r="71" spans="1:6" ht="15.75" thickBot="1" x14ac:dyDescent="0.3">
      <c r="A71" s="46"/>
      <c r="B71" s="46"/>
      <c r="C71" s="46"/>
      <c r="D71" s="59"/>
    </row>
    <row r="72" spans="1:6" ht="22.5" customHeight="1" thickBot="1" x14ac:dyDescent="0.3">
      <c r="A72" s="197" t="s">
        <v>160</v>
      </c>
      <c r="B72" s="198"/>
      <c r="C72" s="199"/>
      <c r="D72" s="60">
        <v>1000000</v>
      </c>
    </row>
    <row r="73" spans="1:6" ht="15.75" thickBot="1" x14ac:dyDescent="0.3">
      <c r="A73" s="131"/>
      <c r="B73" s="61"/>
      <c r="C73" s="61"/>
      <c r="D73" s="62"/>
      <c r="E73" s="22"/>
    </row>
    <row r="74" spans="1:6" ht="15.75" thickBot="1" x14ac:dyDescent="0.3">
      <c r="A74" s="132" t="s">
        <v>30</v>
      </c>
      <c r="B74" s="133"/>
      <c r="C74" s="63"/>
      <c r="D74" s="64">
        <f>(SUM(D23:D72))</f>
        <v>9761214.2400000002</v>
      </c>
      <c r="E74" s="22"/>
      <c r="F74" s="22"/>
    </row>
    <row r="75" spans="1:6" x14ac:dyDescent="0.25">
      <c r="A75" s="61"/>
      <c r="B75" s="61"/>
      <c r="C75" s="61"/>
      <c r="D75" s="61"/>
      <c r="F75" s="73"/>
    </row>
    <row r="76" spans="1:6" ht="15.75" thickBot="1" x14ac:dyDescent="0.3">
      <c r="A76" s="61"/>
      <c r="B76" s="61"/>
      <c r="C76" s="61"/>
      <c r="D76" s="61"/>
    </row>
    <row r="77" spans="1:6" x14ac:dyDescent="0.25">
      <c r="A77" s="126" t="s">
        <v>39</v>
      </c>
      <c r="B77" s="127"/>
      <c r="C77" s="65"/>
      <c r="D77" s="66"/>
    </row>
    <row r="78" spans="1:6" x14ac:dyDescent="0.25">
      <c r="A78" s="193"/>
      <c r="B78" s="194"/>
      <c r="C78" s="54"/>
      <c r="D78" s="52"/>
    </row>
    <row r="79" spans="1:6" x14ac:dyDescent="0.25">
      <c r="A79" s="193"/>
      <c r="B79" s="194"/>
      <c r="C79" s="54"/>
      <c r="D79" s="52"/>
    </row>
    <row r="80" spans="1:6" x14ac:dyDescent="0.25">
      <c r="A80" s="117"/>
      <c r="B80" s="134"/>
      <c r="C80" s="54"/>
      <c r="D80" s="52"/>
    </row>
    <row r="81" spans="1:4" x14ac:dyDescent="0.25">
      <c r="A81" s="135"/>
      <c r="B81" s="136"/>
      <c r="C81" s="137"/>
      <c r="D81" s="137">
        <f>SUM(C78:C80)</f>
        <v>0</v>
      </c>
    </row>
    <row r="82" spans="1:4" ht="15" customHeight="1" x14ac:dyDescent="0.25">
      <c r="A82" s="61"/>
      <c r="B82" s="61"/>
      <c r="C82" s="61"/>
      <c r="D82" s="61"/>
    </row>
    <row r="83" spans="1:4" hidden="1" x14ac:dyDescent="0.25">
      <c r="A83" s="61"/>
      <c r="B83" s="61"/>
      <c r="C83" s="61"/>
      <c r="D83" s="61"/>
    </row>
    <row r="84" spans="1:4" x14ac:dyDescent="0.25">
      <c r="A84" s="138" t="s">
        <v>40</v>
      </c>
      <c r="B84" s="138"/>
      <c r="C84" s="139"/>
      <c r="D84" s="140">
        <v>0</v>
      </c>
    </row>
    <row r="85" spans="1:4" ht="15.75" thickBot="1" x14ac:dyDescent="0.3">
      <c r="A85" s="61"/>
      <c r="B85" s="61"/>
      <c r="C85" s="61"/>
      <c r="D85" s="61"/>
    </row>
    <row r="86" spans="1:4" ht="15.75" thickBot="1" x14ac:dyDescent="0.3">
      <c r="A86" s="132" t="s">
        <v>41</v>
      </c>
      <c r="B86" s="133"/>
      <c r="C86" s="63"/>
      <c r="D86" s="64">
        <f>D81+D84</f>
        <v>0</v>
      </c>
    </row>
    <row r="87" spans="1:4" ht="15.75" thickBot="1" x14ac:dyDescent="0.3">
      <c r="A87" s="61"/>
      <c r="B87" s="61"/>
      <c r="C87" s="61"/>
      <c r="D87" s="61"/>
    </row>
    <row r="88" spans="1:4" ht="15.75" thickBot="1" x14ac:dyDescent="0.3">
      <c r="A88" s="141" t="s">
        <v>31</v>
      </c>
      <c r="B88" s="142">
        <f>D74</f>
        <v>9761214.2400000002</v>
      </c>
      <c r="C88" s="143"/>
      <c r="D88" s="61"/>
    </row>
    <row r="89" spans="1:4" ht="15.75" thickBot="1" x14ac:dyDescent="0.3">
      <c r="A89" s="141" t="s">
        <v>32</v>
      </c>
      <c r="B89" s="142">
        <f>D74-D72</f>
        <v>8761214.2400000002</v>
      </c>
      <c r="C89" s="61"/>
      <c r="D89" s="61"/>
    </row>
    <row r="90" spans="1:4" ht="15.75" thickBot="1" x14ac:dyDescent="0.3">
      <c r="A90" s="141" t="s">
        <v>42</v>
      </c>
      <c r="B90" s="142">
        <f>D86-D84</f>
        <v>0</v>
      </c>
      <c r="C90" s="61"/>
      <c r="D90" s="61"/>
    </row>
    <row r="91" spans="1:4" ht="15.75" thickBot="1" x14ac:dyDescent="0.3">
      <c r="A91" s="141" t="s">
        <v>59</v>
      </c>
      <c r="B91" s="142">
        <f>D86</f>
        <v>0</v>
      </c>
      <c r="C91" s="61"/>
      <c r="D91" s="61"/>
    </row>
    <row r="94" spans="1:4" x14ac:dyDescent="0.25">
      <c r="A94" s="245" t="s">
        <v>218</v>
      </c>
      <c r="B94" s="246"/>
      <c r="C94" s="246"/>
      <c r="D94" s="246"/>
    </row>
    <row r="95" spans="1:4" x14ac:dyDescent="0.25">
      <c r="A95" s="246"/>
      <c r="B95" s="246"/>
      <c r="C95" s="246"/>
      <c r="D95" s="246"/>
    </row>
    <row r="96" spans="1:4" x14ac:dyDescent="0.25">
      <c r="A96" s="246"/>
      <c r="B96" s="246"/>
      <c r="C96" s="246"/>
      <c r="D96" s="246"/>
    </row>
    <row r="97" spans="1:4" x14ac:dyDescent="0.25">
      <c r="A97" s="246"/>
      <c r="B97" s="246"/>
      <c r="C97" s="246"/>
      <c r="D97" s="246"/>
    </row>
    <row r="98" spans="1:4" x14ac:dyDescent="0.25">
      <c r="A98" s="246"/>
      <c r="B98" s="246"/>
      <c r="C98" s="246"/>
      <c r="D98" s="246"/>
    </row>
    <row r="99" spans="1:4" x14ac:dyDescent="0.25">
      <c r="A99" s="246"/>
      <c r="B99" s="246"/>
      <c r="C99" s="246"/>
      <c r="D99" s="246"/>
    </row>
    <row r="100" spans="1:4" x14ac:dyDescent="0.25">
      <c r="A100" s="246"/>
      <c r="B100" s="246"/>
      <c r="C100" s="246"/>
      <c r="D100" s="246"/>
    </row>
    <row r="101" spans="1:4" x14ac:dyDescent="0.25">
      <c r="A101" s="246"/>
      <c r="B101" s="246"/>
      <c r="C101" s="246"/>
      <c r="D101" s="246"/>
    </row>
    <row r="102" spans="1:4" x14ac:dyDescent="0.25">
      <c r="A102" s="246"/>
      <c r="B102" s="246"/>
      <c r="C102" s="246"/>
      <c r="D102" s="246"/>
    </row>
    <row r="103" spans="1:4" x14ac:dyDescent="0.25">
      <c r="A103" s="246"/>
      <c r="B103" s="246"/>
      <c r="C103" s="246"/>
      <c r="D103" s="246"/>
    </row>
    <row r="104" spans="1:4" x14ac:dyDescent="0.25">
      <c r="A104" s="246"/>
      <c r="B104" s="246"/>
      <c r="C104" s="246"/>
      <c r="D104" s="246"/>
    </row>
    <row r="105" spans="1:4" x14ac:dyDescent="0.25">
      <c r="A105" s="246"/>
      <c r="B105" s="246"/>
      <c r="C105" s="246"/>
      <c r="D105" s="246"/>
    </row>
    <row r="106" spans="1:4" x14ac:dyDescent="0.25">
      <c r="A106" s="246"/>
      <c r="B106" s="246"/>
      <c r="C106" s="246"/>
      <c r="D106" s="246"/>
    </row>
    <row r="107" spans="1:4" x14ac:dyDescent="0.25">
      <c r="A107" s="246"/>
      <c r="B107" s="246"/>
      <c r="C107" s="246"/>
      <c r="D107" s="246"/>
    </row>
    <row r="108" spans="1:4" x14ac:dyDescent="0.25">
      <c r="A108" s="246"/>
      <c r="B108" s="246"/>
      <c r="C108" s="246"/>
      <c r="D108" s="246"/>
    </row>
    <row r="109" spans="1:4" x14ac:dyDescent="0.25">
      <c r="A109" s="246"/>
      <c r="B109" s="246"/>
      <c r="C109" s="246"/>
      <c r="D109" s="246"/>
    </row>
    <row r="110" spans="1:4" x14ac:dyDescent="0.25">
      <c r="A110" s="246"/>
      <c r="B110" s="246"/>
      <c r="C110" s="246"/>
      <c r="D110" s="246"/>
    </row>
    <row r="111" spans="1:4" x14ac:dyDescent="0.25">
      <c r="A111" s="246"/>
      <c r="B111" s="246"/>
      <c r="C111" s="246"/>
      <c r="D111" s="246"/>
    </row>
    <row r="112" spans="1:4" x14ac:dyDescent="0.25">
      <c r="A112" s="246"/>
      <c r="B112" s="246"/>
      <c r="C112" s="246"/>
      <c r="D112" s="246"/>
    </row>
    <row r="113" spans="1:4" x14ac:dyDescent="0.25">
      <c r="A113" s="246"/>
      <c r="B113" s="246"/>
      <c r="C113" s="246"/>
      <c r="D113" s="246"/>
    </row>
    <row r="114" spans="1:4" x14ac:dyDescent="0.25">
      <c r="A114" s="246"/>
      <c r="B114" s="246"/>
      <c r="C114" s="246"/>
      <c r="D114" s="246"/>
    </row>
    <row r="117" spans="1:4" x14ac:dyDescent="0.25">
      <c r="A117" s="5" t="s">
        <v>51</v>
      </c>
      <c r="B117" s="19"/>
    </row>
    <row r="118" spans="1:4" ht="25.5" customHeight="1" x14ac:dyDescent="0.25">
      <c r="A118" s="9" t="s">
        <v>33</v>
      </c>
      <c r="B118" s="69">
        <v>2649072.209999999</v>
      </c>
    </row>
    <row r="119" spans="1:4" ht="20.25" customHeight="1" x14ac:dyDescent="0.25">
      <c r="A119" s="94" t="s">
        <v>62</v>
      </c>
      <c r="B119" s="20">
        <f>PRORRATEO!G68</f>
        <v>10043048.190000001</v>
      </c>
    </row>
    <row r="120" spans="1:4" ht="18.75" customHeight="1" x14ac:dyDescent="0.25">
      <c r="A120" s="94" t="s">
        <v>61</v>
      </c>
      <c r="B120" s="55">
        <f>B137</f>
        <v>0</v>
      </c>
    </row>
    <row r="121" spans="1:4" ht="19.5" customHeight="1" x14ac:dyDescent="0.25">
      <c r="A121" s="6" t="s">
        <v>211</v>
      </c>
      <c r="B121" s="74">
        <v>-92118</v>
      </c>
    </row>
    <row r="122" spans="1:4" ht="18.75" customHeight="1" x14ac:dyDescent="0.25">
      <c r="A122" s="6" t="s">
        <v>212</v>
      </c>
      <c r="B122" s="74">
        <v>-262000</v>
      </c>
    </row>
    <row r="123" spans="1:4" ht="18" customHeight="1" x14ac:dyDescent="0.25">
      <c r="A123" s="6" t="s">
        <v>212</v>
      </c>
      <c r="B123" s="74">
        <v>-104955.29</v>
      </c>
    </row>
    <row r="124" spans="1:4" ht="18.75" customHeight="1" x14ac:dyDescent="0.25">
      <c r="A124" s="6" t="s">
        <v>211</v>
      </c>
      <c r="B124" s="74">
        <v>-260000</v>
      </c>
    </row>
    <row r="125" spans="1:4" ht="17.25" customHeight="1" x14ac:dyDescent="0.25">
      <c r="A125" s="6" t="s">
        <v>72</v>
      </c>
      <c r="B125" s="74">
        <f>-6906-3096</f>
        <v>-10002</v>
      </c>
    </row>
    <row r="126" spans="1:4" ht="17.25" customHeight="1" x14ac:dyDescent="0.25">
      <c r="A126" s="6" t="s">
        <v>43</v>
      </c>
      <c r="B126" s="74">
        <f>-B89</f>
        <v>-8761214.2400000002</v>
      </c>
    </row>
    <row r="127" spans="1:4" x14ac:dyDescent="0.25">
      <c r="A127" s="6" t="s">
        <v>44</v>
      </c>
      <c r="B127" s="55">
        <f>-(B90)</f>
        <v>0</v>
      </c>
    </row>
    <row r="128" spans="1:4" x14ac:dyDescent="0.25">
      <c r="A128" s="8" t="s">
        <v>11</v>
      </c>
      <c r="B128" s="69">
        <f>SUM(B118:B127)</f>
        <v>3201830.870000001</v>
      </c>
      <c r="C128" s="22"/>
      <c r="D128" s="92"/>
    </row>
    <row r="129" spans="1:12" ht="15.75" thickBot="1" x14ac:dyDescent="0.3">
      <c r="A129" s="1"/>
      <c r="B129" s="95"/>
      <c r="D129" s="92"/>
    </row>
    <row r="130" spans="1:12" ht="15.75" thickBot="1" x14ac:dyDescent="0.3">
      <c r="A130" s="106" t="s">
        <v>205</v>
      </c>
      <c r="B130" s="107">
        <v>1397979.91</v>
      </c>
      <c r="D130" s="92"/>
    </row>
    <row r="131" spans="1:12" x14ac:dyDescent="0.25">
      <c r="A131" s="243" t="s">
        <v>216</v>
      </c>
      <c r="B131" s="244">
        <f>1465817.44-B130</f>
        <v>67837.530000000028</v>
      </c>
      <c r="D131" s="92"/>
    </row>
    <row r="132" spans="1:12" x14ac:dyDescent="0.25">
      <c r="D132" s="93"/>
    </row>
    <row r="133" spans="1:12" x14ac:dyDescent="0.25">
      <c r="A133" s="192" t="s">
        <v>50</v>
      </c>
      <c r="B133" s="192"/>
    </row>
    <row r="134" spans="1:12" ht="27.75" customHeight="1" x14ac:dyDescent="0.25">
      <c r="A134" s="192"/>
      <c r="B134" s="192"/>
    </row>
    <row r="135" spans="1:12" ht="32.25" customHeight="1" x14ac:dyDescent="0.25">
      <c r="A135" s="67"/>
      <c r="B135" s="14"/>
    </row>
    <row r="136" spans="1:12" ht="32.25" customHeight="1" x14ac:dyDescent="0.25">
      <c r="A136" s="67"/>
      <c r="B136" s="14"/>
    </row>
    <row r="137" spans="1:12" x14ac:dyDescent="0.25">
      <c r="A137" s="23" t="s">
        <v>11</v>
      </c>
      <c r="B137" s="68">
        <f>SUM(B135:B136)</f>
        <v>0</v>
      </c>
    </row>
    <row r="138" spans="1:12" ht="34.5" customHeight="1" x14ac:dyDescent="0.25">
      <c r="L138" s="3"/>
    </row>
  </sheetData>
  <mergeCells count="23">
    <mergeCell ref="A4:B7"/>
    <mergeCell ref="A14:D17"/>
    <mergeCell ref="A72:C72"/>
    <mergeCell ref="A61:B61"/>
    <mergeCell ref="A63:B63"/>
    <mergeCell ref="A68:B68"/>
    <mergeCell ref="A46:B46"/>
    <mergeCell ref="A47:B47"/>
    <mergeCell ref="A23:B23"/>
    <mergeCell ref="A27:B27"/>
    <mergeCell ref="A64:B64"/>
    <mergeCell ref="A65:B65"/>
    <mergeCell ref="A133:B134"/>
    <mergeCell ref="A79:B79"/>
    <mergeCell ref="A78:B78"/>
    <mergeCell ref="B9:B11"/>
    <mergeCell ref="A42:B42"/>
    <mergeCell ref="A36:B36"/>
    <mergeCell ref="A62:B62"/>
    <mergeCell ref="A37:B37"/>
    <mergeCell ref="A38:B38"/>
    <mergeCell ref="A39:B39"/>
    <mergeCell ref="A94:D114"/>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6"/>
  <sheetViews>
    <sheetView tabSelected="1" topLeftCell="C1" zoomScale="115" zoomScaleNormal="115" workbookViewId="0">
      <selection activeCell="O1" sqref="O1"/>
    </sheetView>
  </sheetViews>
  <sheetFormatPr baseColWidth="10" defaultColWidth="10.85546875" defaultRowHeight="15" x14ac:dyDescent="0.25"/>
  <cols>
    <col min="1" max="1" width="5" hidden="1" customWidth="1"/>
    <col min="2" max="2" width="5.5703125" customWidth="1"/>
    <col min="3" max="3" width="5.42578125" customWidth="1"/>
    <col min="4" max="4" width="29" customWidth="1"/>
    <col min="5" max="5" width="5.140625" customWidth="1"/>
    <col min="6" max="6" width="14.140625" customWidth="1"/>
    <col min="7" max="7" width="14" customWidth="1"/>
    <col min="8" max="8" width="7.5703125" hidden="1" customWidth="1"/>
    <col min="9" max="9" width="13.7109375" customWidth="1"/>
    <col min="10" max="10" width="11.140625" customWidth="1"/>
    <col min="11" max="11" width="14.42578125" customWidth="1"/>
    <col min="12" max="13" width="12.42578125" customWidth="1"/>
    <col min="14" max="14" width="10.42578125" bestFit="1" customWidth="1"/>
    <col min="15" max="15" width="15.42578125" customWidth="1"/>
    <col min="16" max="16" width="14.140625" customWidth="1"/>
    <col min="17" max="17" width="9.28515625" customWidth="1"/>
    <col min="18" max="18" width="12" bestFit="1" customWidth="1"/>
    <col min="19" max="19" width="13" bestFit="1" customWidth="1"/>
  </cols>
  <sheetData>
    <row r="1" spans="1:19" ht="27" customHeight="1" x14ac:dyDescent="0.25">
      <c r="A1" s="2"/>
      <c r="B1" s="206" t="s">
        <v>150</v>
      </c>
      <c r="C1" s="207"/>
      <c r="D1" s="207"/>
      <c r="E1" s="207"/>
      <c r="F1" s="207"/>
      <c r="G1" s="207"/>
      <c r="H1" s="207"/>
      <c r="I1" s="207"/>
      <c r="J1" s="208"/>
      <c r="K1" s="102" t="s">
        <v>4</v>
      </c>
      <c r="L1" s="103"/>
      <c r="M1" s="103"/>
      <c r="N1" s="103"/>
      <c r="O1" s="99">
        <v>9761214.2400000002</v>
      </c>
      <c r="P1" s="100"/>
      <c r="Q1" s="4"/>
      <c r="R1">
        <v>8136047.4719999991</v>
      </c>
    </row>
    <row r="2" spans="1:19" ht="29.25" customHeight="1" thickBot="1" x14ac:dyDescent="0.3">
      <c r="A2" s="2"/>
      <c r="B2" s="209"/>
      <c r="C2" s="210"/>
      <c r="D2" s="210"/>
      <c r="E2" s="210"/>
      <c r="F2" s="210"/>
      <c r="G2" s="210"/>
      <c r="H2" s="210"/>
      <c r="I2" s="210"/>
      <c r="J2" s="211"/>
      <c r="K2" s="104" t="s">
        <v>63</v>
      </c>
      <c r="L2" s="105"/>
      <c r="M2" s="105"/>
      <c r="N2" s="105"/>
      <c r="O2" s="79">
        <v>0</v>
      </c>
      <c r="P2" s="101"/>
    </row>
    <row r="3" spans="1:19" ht="29.25" customHeight="1" thickBot="1" x14ac:dyDescent="0.3">
      <c r="A3" s="2"/>
      <c r="B3" s="178"/>
      <c r="C3" s="179"/>
      <c r="D3" s="179"/>
      <c r="E3" s="179"/>
      <c r="F3" s="179"/>
      <c r="G3" s="179"/>
      <c r="H3" s="179"/>
      <c r="I3" s="179"/>
      <c r="J3" s="179"/>
      <c r="K3" s="188" t="s">
        <v>214</v>
      </c>
      <c r="L3" s="189"/>
      <c r="M3" s="189"/>
      <c r="N3" s="189"/>
      <c r="O3" s="190">
        <f>700+4389375+300+150+50+10+1+1</f>
        <v>4390587</v>
      </c>
      <c r="P3" s="191"/>
    </row>
    <row r="4" spans="1:19" ht="137.25" customHeight="1" thickBot="1" x14ac:dyDescent="0.3">
      <c r="A4" s="2"/>
      <c r="B4" s="223" t="s">
        <v>147</v>
      </c>
      <c r="C4" s="224"/>
      <c r="D4" s="224"/>
      <c r="E4" s="224"/>
      <c r="F4" s="224"/>
      <c r="G4" s="224"/>
      <c r="H4" s="224"/>
      <c r="I4" s="224"/>
      <c r="J4" s="224"/>
      <c r="K4" s="224"/>
      <c r="L4" s="224"/>
      <c r="M4" s="224"/>
      <c r="N4" s="224"/>
      <c r="O4" s="224"/>
      <c r="P4" s="225"/>
    </row>
    <row r="5" spans="1:19" ht="26.25" customHeight="1" thickBot="1" x14ac:dyDescent="0.3">
      <c r="A5" s="2"/>
      <c r="B5" s="226" t="s">
        <v>159</v>
      </c>
      <c r="C5" s="227"/>
      <c r="D5" s="227"/>
      <c r="E5" s="227"/>
      <c r="F5" s="227"/>
      <c r="G5" s="227"/>
      <c r="H5" s="227"/>
      <c r="I5" s="227"/>
      <c r="J5" s="227"/>
      <c r="K5" s="227"/>
      <c r="L5" s="227"/>
      <c r="M5" s="227"/>
      <c r="N5" s="227"/>
      <c r="O5" s="227"/>
      <c r="P5" s="228"/>
    </row>
    <row r="6" spans="1:19" x14ac:dyDescent="0.25">
      <c r="A6" s="200" t="s">
        <v>5</v>
      </c>
      <c r="B6" s="202" t="s">
        <v>6</v>
      </c>
      <c r="C6" s="204" t="s">
        <v>7</v>
      </c>
      <c r="D6" s="204" t="s">
        <v>8</v>
      </c>
      <c r="E6" s="204" t="s">
        <v>28</v>
      </c>
      <c r="F6" s="204" t="s">
        <v>60</v>
      </c>
      <c r="G6" s="204" t="s">
        <v>9</v>
      </c>
      <c r="H6" s="204" t="s">
        <v>47</v>
      </c>
      <c r="I6" s="218" t="s">
        <v>48</v>
      </c>
      <c r="J6" s="216" t="s">
        <v>46</v>
      </c>
      <c r="K6" s="216" t="s">
        <v>10</v>
      </c>
      <c r="L6" s="216" t="s">
        <v>45</v>
      </c>
      <c r="M6" s="216" t="s">
        <v>217</v>
      </c>
      <c r="N6" s="221" t="s">
        <v>58</v>
      </c>
      <c r="O6" s="27" t="s">
        <v>57</v>
      </c>
      <c r="P6" s="212" t="s">
        <v>56</v>
      </c>
      <c r="S6" s="22"/>
    </row>
    <row r="7" spans="1:19" ht="15.75" customHeight="1" x14ac:dyDescent="0.25">
      <c r="A7" s="201"/>
      <c r="B7" s="203"/>
      <c r="C7" s="205"/>
      <c r="D7" s="205"/>
      <c r="E7" s="205"/>
      <c r="F7" s="205"/>
      <c r="G7" s="205"/>
      <c r="H7" s="215"/>
      <c r="I7" s="219"/>
      <c r="J7" s="217"/>
      <c r="K7" s="220"/>
      <c r="L7" s="217"/>
      <c r="M7" s="217"/>
      <c r="N7" s="222"/>
      <c r="O7" s="26" t="str">
        <f>RESUMEN!B9</f>
        <v>VTO 17/09</v>
      </c>
      <c r="P7" s="213"/>
    </row>
    <row r="8" spans="1:19" ht="17.100000000000001" customHeight="1" x14ac:dyDescent="0.25">
      <c r="A8" s="119" t="s">
        <v>12</v>
      </c>
      <c r="B8" s="181">
        <v>0</v>
      </c>
      <c r="C8" s="181" t="s">
        <v>102</v>
      </c>
      <c r="D8" s="181" t="s">
        <v>74</v>
      </c>
      <c r="E8" s="182">
        <v>1.58</v>
      </c>
      <c r="F8" s="32">
        <v>1939610</v>
      </c>
      <c r="G8" s="32">
        <v>0</v>
      </c>
      <c r="H8" s="33"/>
      <c r="I8" s="34">
        <f>F8-G8</f>
        <v>1939610</v>
      </c>
      <c r="J8" s="34">
        <f>IF(I8&gt;0,I8*2.95%,0)</f>
        <v>57218.495000000003</v>
      </c>
      <c r="K8" s="35">
        <f t="shared" ref="K8:K39" si="0">O$2*E8%</f>
        <v>0</v>
      </c>
      <c r="L8" s="35">
        <f t="shared" ref="L8:L39" si="1">O$1*E8%</f>
        <v>154227.18499200002</v>
      </c>
      <c r="M8" s="186"/>
      <c r="N8" s="36">
        <v>0</v>
      </c>
      <c r="O8" s="37">
        <f t="shared" ref="O8:O39" si="2">ROUND(SUM(I8:N8),0) + Q8</f>
        <v>2151056</v>
      </c>
      <c r="P8" s="38">
        <f t="shared" ref="P8:P66" si="3">ROUND(O8*3%,0) + O8</f>
        <v>2215588</v>
      </c>
      <c r="Q8" s="22">
        <v>0</v>
      </c>
    </row>
    <row r="9" spans="1:19" ht="17.100000000000001" customHeight="1" x14ac:dyDescent="0.25">
      <c r="A9" s="180"/>
      <c r="B9" s="181">
        <v>1</v>
      </c>
      <c r="C9" s="181" t="s">
        <v>103</v>
      </c>
      <c r="D9" s="181" t="s">
        <v>75</v>
      </c>
      <c r="E9" s="182">
        <v>2.91</v>
      </c>
      <c r="F9" s="32">
        <v>970685.01</v>
      </c>
      <c r="G9" s="32">
        <f>476368+222884.01+271433</f>
        <v>970685.01</v>
      </c>
      <c r="H9" s="33"/>
      <c r="I9" s="34">
        <f>F9-G9</f>
        <v>0</v>
      </c>
      <c r="J9" s="34">
        <f>IF(I9&gt;0,I9*2.95%,0)</f>
        <v>0</v>
      </c>
      <c r="K9" s="35">
        <f t="shared" si="0"/>
        <v>0</v>
      </c>
      <c r="L9" s="35">
        <f t="shared" si="1"/>
        <v>284051.33438399999</v>
      </c>
      <c r="M9" s="186"/>
      <c r="N9" s="36">
        <v>0</v>
      </c>
      <c r="O9" s="37">
        <f t="shared" si="2"/>
        <v>284051.01</v>
      </c>
      <c r="P9" s="38">
        <f t="shared" si="3"/>
        <v>292573.01</v>
      </c>
      <c r="Q9" s="22">
        <f>Q7+0.01</f>
        <v>0.01</v>
      </c>
      <c r="R9" t="s">
        <v>184</v>
      </c>
    </row>
    <row r="10" spans="1:19" ht="17.100000000000001" customHeight="1" x14ac:dyDescent="0.25">
      <c r="A10" s="119" t="s">
        <v>13</v>
      </c>
      <c r="B10" s="181">
        <f>B9+1</f>
        <v>2</v>
      </c>
      <c r="C10" s="181" t="s">
        <v>104</v>
      </c>
      <c r="D10" s="181" t="s">
        <v>76</v>
      </c>
      <c r="E10" s="182">
        <v>1.94</v>
      </c>
      <c r="F10" s="32">
        <v>1580099.02</v>
      </c>
      <c r="G10" s="32">
        <v>100000</v>
      </c>
      <c r="H10" s="33"/>
      <c r="I10" s="84">
        <f t="shared" ref="I10:I66" si="4">F10-G10</f>
        <v>1480099.02</v>
      </c>
      <c r="J10" s="84">
        <f t="shared" ref="J10:J66" si="5">IF(I10&gt;0,I10*2.95%,0)</f>
        <v>43662.921090000003</v>
      </c>
      <c r="K10" s="85">
        <f t="shared" si="0"/>
        <v>0</v>
      </c>
      <c r="L10" s="85">
        <f t="shared" si="1"/>
        <v>189367.55625600001</v>
      </c>
      <c r="M10" s="187"/>
      <c r="N10" s="86">
        <v>0</v>
      </c>
      <c r="O10" s="87">
        <f t="shared" si="2"/>
        <v>1713129.02</v>
      </c>
      <c r="P10" s="88">
        <f t="shared" si="3"/>
        <v>1764523.02</v>
      </c>
      <c r="Q10" s="22">
        <f>Q9+0.01</f>
        <v>0.02</v>
      </c>
      <c r="R10" s="22" t="s">
        <v>213</v>
      </c>
    </row>
    <row r="11" spans="1:19" ht="17.25" customHeight="1" x14ac:dyDescent="0.25">
      <c r="A11" s="119" t="s">
        <v>13</v>
      </c>
      <c r="B11" s="181">
        <f t="shared" ref="B11:B46" si="6">B10+1</f>
        <v>3</v>
      </c>
      <c r="C11" s="181" t="s">
        <v>105</v>
      </c>
      <c r="D11" s="183" t="s">
        <v>77</v>
      </c>
      <c r="E11" s="182">
        <v>1.78</v>
      </c>
      <c r="F11" s="32">
        <v>144822.03</v>
      </c>
      <c r="G11" s="32">
        <f>F11</f>
        <v>144822.03</v>
      </c>
      <c r="H11" s="33"/>
      <c r="I11" s="84">
        <f t="shared" si="4"/>
        <v>0</v>
      </c>
      <c r="J11" s="84">
        <f t="shared" si="5"/>
        <v>0</v>
      </c>
      <c r="K11" s="85">
        <f t="shared" si="0"/>
        <v>0</v>
      </c>
      <c r="L11" s="85">
        <f t="shared" si="1"/>
        <v>173749.613472</v>
      </c>
      <c r="M11" s="187"/>
      <c r="N11" s="86">
        <v>0</v>
      </c>
      <c r="O11" s="87">
        <f t="shared" si="2"/>
        <v>173750.03</v>
      </c>
      <c r="P11" s="88">
        <f t="shared" si="3"/>
        <v>178963.03</v>
      </c>
      <c r="Q11" s="22">
        <f>Q10+0.01</f>
        <v>0.03</v>
      </c>
    </row>
    <row r="12" spans="1:19" ht="17.100000000000001" customHeight="1" x14ac:dyDescent="0.25">
      <c r="A12" s="119" t="s">
        <v>14</v>
      </c>
      <c r="B12" s="181">
        <f t="shared" si="6"/>
        <v>4</v>
      </c>
      <c r="C12" s="181" t="s">
        <v>106</v>
      </c>
      <c r="D12" s="181" t="s">
        <v>78</v>
      </c>
      <c r="E12" s="182">
        <v>1.62</v>
      </c>
      <c r="F12" s="32">
        <v>135758.04</v>
      </c>
      <c r="G12" s="32">
        <f>F12</f>
        <v>135758.04</v>
      </c>
      <c r="H12" s="33"/>
      <c r="I12" s="34">
        <f t="shared" si="4"/>
        <v>0</v>
      </c>
      <c r="J12" s="34">
        <f t="shared" si="5"/>
        <v>0</v>
      </c>
      <c r="K12" s="35">
        <f t="shared" si="0"/>
        <v>0</v>
      </c>
      <c r="L12" s="35">
        <f t="shared" si="1"/>
        <v>158131.67068800004</v>
      </c>
      <c r="M12" s="186"/>
      <c r="N12" s="36">
        <v>0</v>
      </c>
      <c r="O12" s="37">
        <f t="shared" si="2"/>
        <v>158132.04</v>
      </c>
      <c r="P12" s="38">
        <f t="shared" si="3"/>
        <v>162876.04</v>
      </c>
      <c r="Q12" s="22">
        <f t="shared" ref="Q12:Q66" si="7">Q11+0.01</f>
        <v>0.04</v>
      </c>
      <c r="R12" s="28" t="s">
        <v>81</v>
      </c>
      <c r="S12" s="22"/>
    </row>
    <row r="13" spans="1:19" ht="17.100000000000001" customHeight="1" x14ac:dyDescent="0.25">
      <c r="A13" s="144" t="s">
        <v>14</v>
      </c>
      <c r="B13" s="181">
        <f t="shared" si="6"/>
        <v>5</v>
      </c>
      <c r="C13" s="181" t="s">
        <v>107</v>
      </c>
      <c r="D13" s="181" t="s">
        <v>79</v>
      </c>
      <c r="E13" s="182">
        <v>1.94</v>
      </c>
      <c r="F13" s="32">
        <v>668146.05000000005</v>
      </c>
      <c r="G13" s="32">
        <v>0</v>
      </c>
      <c r="H13" s="33"/>
      <c r="I13" s="34">
        <f t="shared" si="4"/>
        <v>668146.05000000005</v>
      </c>
      <c r="J13" s="34">
        <f t="shared" si="5"/>
        <v>19710.308475000002</v>
      </c>
      <c r="K13" s="35">
        <f t="shared" si="0"/>
        <v>0</v>
      </c>
      <c r="L13" s="35">
        <f t="shared" si="1"/>
        <v>189367.55625600001</v>
      </c>
      <c r="M13" s="186"/>
      <c r="N13" s="36">
        <v>0</v>
      </c>
      <c r="O13" s="37">
        <f t="shared" si="2"/>
        <v>877224.05</v>
      </c>
      <c r="P13" s="38">
        <f t="shared" si="3"/>
        <v>903541.05</v>
      </c>
      <c r="Q13" s="22">
        <f t="shared" si="7"/>
        <v>0.05</v>
      </c>
      <c r="S13" s="22"/>
    </row>
    <row r="14" spans="1:19" ht="17.100000000000001" customHeight="1" x14ac:dyDescent="0.25">
      <c r="A14" s="119"/>
      <c r="B14" s="181">
        <f t="shared" si="6"/>
        <v>6</v>
      </c>
      <c r="C14" s="181" t="s">
        <v>108</v>
      </c>
      <c r="D14" s="181" t="s">
        <v>80</v>
      </c>
      <c r="E14" s="182">
        <v>1.78</v>
      </c>
      <c r="F14" s="32">
        <v>140586.06</v>
      </c>
      <c r="G14" s="32">
        <v>144804.06</v>
      </c>
      <c r="H14" s="33"/>
      <c r="I14" s="34">
        <f t="shared" si="4"/>
        <v>-4218</v>
      </c>
      <c r="J14" s="34">
        <f t="shared" si="5"/>
        <v>0</v>
      </c>
      <c r="K14" s="35">
        <f t="shared" si="0"/>
        <v>0</v>
      </c>
      <c r="L14" s="35">
        <f t="shared" si="1"/>
        <v>173749.613472</v>
      </c>
      <c r="M14" s="186"/>
      <c r="N14" s="36">
        <v>0</v>
      </c>
      <c r="O14" s="37">
        <f t="shared" si="2"/>
        <v>169532.06</v>
      </c>
      <c r="P14" s="38">
        <f t="shared" si="3"/>
        <v>174618.06</v>
      </c>
      <c r="Q14" s="22">
        <f t="shared" si="7"/>
        <v>6.0000000000000005E-2</v>
      </c>
      <c r="S14" s="22"/>
    </row>
    <row r="15" spans="1:19" ht="17.100000000000001" customHeight="1" x14ac:dyDescent="0.25">
      <c r="A15" s="119"/>
      <c r="B15" s="181">
        <f t="shared" si="6"/>
        <v>7</v>
      </c>
      <c r="C15" s="181" t="s">
        <v>109</v>
      </c>
      <c r="D15" s="181" t="s">
        <v>81</v>
      </c>
      <c r="E15" s="182">
        <v>1.62</v>
      </c>
      <c r="F15" s="32">
        <v>135758.07</v>
      </c>
      <c r="G15" s="32">
        <f>F15</f>
        <v>135758.07</v>
      </c>
      <c r="H15" s="33"/>
      <c r="I15" s="34">
        <f t="shared" si="4"/>
        <v>0</v>
      </c>
      <c r="J15" s="34">
        <f t="shared" si="5"/>
        <v>0</v>
      </c>
      <c r="K15" s="35">
        <f t="shared" si="0"/>
        <v>0</v>
      </c>
      <c r="L15" s="35">
        <f t="shared" si="1"/>
        <v>158131.67068800004</v>
      </c>
      <c r="M15" s="186"/>
      <c r="N15" s="36">
        <v>0</v>
      </c>
      <c r="O15" s="37">
        <f t="shared" si="2"/>
        <v>158132.07</v>
      </c>
      <c r="P15" s="38">
        <f t="shared" si="3"/>
        <v>162876.07</v>
      </c>
      <c r="Q15" s="22">
        <f t="shared" si="7"/>
        <v>7.0000000000000007E-2</v>
      </c>
      <c r="R15" s="28" t="s">
        <v>81</v>
      </c>
      <c r="S15" s="22"/>
    </row>
    <row r="16" spans="1:19" ht="17.100000000000001" customHeight="1" x14ac:dyDescent="0.25">
      <c r="A16" s="119"/>
      <c r="B16" s="181">
        <f t="shared" si="6"/>
        <v>8</v>
      </c>
      <c r="C16" s="181" t="s">
        <v>110</v>
      </c>
      <c r="D16" s="181" t="s">
        <v>82</v>
      </c>
      <c r="E16" s="182">
        <v>1.62</v>
      </c>
      <c r="F16" s="32">
        <v>131081.07999999999</v>
      </c>
      <c r="G16" s="32">
        <v>135020</v>
      </c>
      <c r="H16" s="33"/>
      <c r="I16" s="84">
        <f t="shared" si="4"/>
        <v>-3938.9200000000128</v>
      </c>
      <c r="J16" s="84">
        <f t="shared" si="5"/>
        <v>0</v>
      </c>
      <c r="K16" s="85">
        <f t="shared" si="0"/>
        <v>0</v>
      </c>
      <c r="L16" s="85">
        <f t="shared" si="1"/>
        <v>158131.67068800004</v>
      </c>
      <c r="M16" s="187"/>
      <c r="N16" s="86">
        <v>0</v>
      </c>
      <c r="O16" s="87">
        <f t="shared" si="2"/>
        <v>154193.07999999999</v>
      </c>
      <c r="P16" s="88">
        <f t="shared" si="3"/>
        <v>158819.07999999999</v>
      </c>
      <c r="Q16" s="22">
        <f t="shared" si="7"/>
        <v>0.08</v>
      </c>
      <c r="S16" s="22"/>
    </row>
    <row r="17" spans="1:19" ht="17.100000000000001" customHeight="1" x14ac:dyDescent="0.25">
      <c r="A17" s="119"/>
      <c r="B17" s="181">
        <f t="shared" si="6"/>
        <v>9</v>
      </c>
      <c r="C17" s="181" t="s">
        <v>111</v>
      </c>
      <c r="D17" s="181" t="s">
        <v>82</v>
      </c>
      <c r="E17" s="182">
        <v>7.59</v>
      </c>
      <c r="F17" s="32">
        <v>617052.09</v>
      </c>
      <c r="G17" s="32">
        <v>617070</v>
      </c>
      <c r="H17" s="33"/>
      <c r="I17" s="84">
        <f t="shared" si="4"/>
        <v>-17.910000000032596</v>
      </c>
      <c r="J17" s="84">
        <f t="shared" si="5"/>
        <v>0</v>
      </c>
      <c r="K17" s="85">
        <f t="shared" si="0"/>
        <v>0</v>
      </c>
      <c r="L17" s="85">
        <f t="shared" si="1"/>
        <v>740876.16081599996</v>
      </c>
      <c r="M17" s="187"/>
      <c r="N17" s="86">
        <v>0</v>
      </c>
      <c r="O17" s="87">
        <f t="shared" si="2"/>
        <v>740858.09</v>
      </c>
      <c r="P17" s="88">
        <f t="shared" si="3"/>
        <v>763084.09</v>
      </c>
      <c r="Q17" s="22">
        <f t="shared" si="7"/>
        <v>0.09</v>
      </c>
      <c r="S17" s="22"/>
    </row>
    <row r="18" spans="1:19" ht="17.100000000000001" customHeight="1" x14ac:dyDescent="0.25">
      <c r="A18" s="119"/>
      <c r="B18" s="181">
        <f t="shared" si="6"/>
        <v>10</v>
      </c>
      <c r="C18" s="181" t="s">
        <v>112</v>
      </c>
      <c r="D18" s="181" t="s">
        <v>83</v>
      </c>
      <c r="E18" s="182">
        <v>1.62</v>
      </c>
      <c r="F18" s="32">
        <v>138854.1</v>
      </c>
      <c r="G18" s="32">
        <f>F18</f>
        <v>138854.1</v>
      </c>
      <c r="H18" s="33"/>
      <c r="I18" s="84">
        <f t="shared" si="4"/>
        <v>0</v>
      </c>
      <c r="J18" s="84">
        <f t="shared" si="5"/>
        <v>0</v>
      </c>
      <c r="K18" s="85">
        <f t="shared" si="0"/>
        <v>0</v>
      </c>
      <c r="L18" s="85">
        <f t="shared" si="1"/>
        <v>158131.67068800004</v>
      </c>
      <c r="M18" s="187"/>
      <c r="N18" s="86">
        <v>0</v>
      </c>
      <c r="O18" s="87">
        <f t="shared" si="2"/>
        <v>158132.1</v>
      </c>
      <c r="P18" s="88">
        <f t="shared" si="3"/>
        <v>162876.1</v>
      </c>
      <c r="Q18" s="22">
        <f t="shared" si="7"/>
        <v>9.9999999999999992E-2</v>
      </c>
      <c r="R18" t="s">
        <v>144</v>
      </c>
      <c r="S18" s="22"/>
    </row>
    <row r="19" spans="1:19" ht="17.100000000000001" customHeight="1" x14ac:dyDescent="0.25">
      <c r="A19" s="119"/>
      <c r="B19" s="181">
        <f t="shared" si="6"/>
        <v>11</v>
      </c>
      <c r="C19" s="181" t="s">
        <v>113</v>
      </c>
      <c r="D19" s="181" t="s">
        <v>84</v>
      </c>
      <c r="E19" s="182">
        <v>1.78</v>
      </c>
      <c r="F19" s="32">
        <v>585279.11</v>
      </c>
      <c r="G19" s="32">
        <f>260000+300000+686788.23-G20</f>
        <v>856433.11</v>
      </c>
      <c r="H19" s="33"/>
      <c r="I19" s="84">
        <f t="shared" si="4"/>
        <v>-271154</v>
      </c>
      <c r="J19" s="84">
        <f t="shared" si="5"/>
        <v>0</v>
      </c>
      <c r="K19" s="85">
        <f t="shared" si="0"/>
        <v>0</v>
      </c>
      <c r="L19" s="85">
        <f t="shared" si="1"/>
        <v>173749.613472</v>
      </c>
      <c r="M19" s="187"/>
      <c r="N19" s="86">
        <v>0</v>
      </c>
      <c r="O19" s="87">
        <f t="shared" si="2"/>
        <v>-97403.89</v>
      </c>
      <c r="P19" s="88">
        <f t="shared" si="3"/>
        <v>-100325.89</v>
      </c>
      <c r="Q19" s="22">
        <f t="shared" si="7"/>
        <v>0.10999999999999999</v>
      </c>
      <c r="R19" t="s">
        <v>167</v>
      </c>
      <c r="S19" s="22"/>
    </row>
    <row r="20" spans="1:19" ht="17.100000000000001" customHeight="1" x14ac:dyDescent="0.25">
      <c r="A20" s="119"/>
      <c r="B20" s="181">
        <f t="shared" si="6"/>
        <v>12</v>
      </c>
      <c r="C20" s="181" t="s">
        <v>114</v>
      </c>
      <c r="D20" s="181" t="s">
        <v>84</v>
      </c>
      <c r="E20" s="182">
        <v>1.3</v>
      </c>
      <c r="F20" s="32">
        <v>390355.12</v>
      </c>
      <c r="G20" s="32">
        <f>F20</f>
        <v>390355.12</v>
      </c>
      <c r="H20" s="33"/>
      <c r="I20" s="84">
        <f t="shared" si="4"/>
        <v>0</v>
      </c>
      <c r="J20" s="84">
        <f t="shared" si="5"/>
        <v>0</v>
      </c>
      <c r="K20" s="85">
        <f t="shared" si="0"/>
        <v>0</v>
      </c>
      <c r="L20" s="85">
        <f t="shared" si="1"/>
        <v>126895.78512000002</v>
      </c>
      <c r="M20" s="187"/>
      <c r="N20" s="86">
        <v>0</v>
      </c>
      <c r="O20" s="87">
        <f t="shared" si="2"/>
        <v>126896.12</v>
      </c>
      <c r="P20" s="88">
        <f t="shared" si="3"/>
        <v>130703.12</v>
      </c>
      <c r="Q20" s="22">
        <f t="shared" si="7"/>
        <v>0.11999999999999998</v>
      </c>
      <c r="R20" t="s">
        <v>167</v>
      </c>
      <c r="S20" s="22"/>
    </row>
    <row r="21" spans="1:19" ht="17.100000000000001" customHeight="1" x14ac:dyDescent="0.25">
      <c r="A21" s="119"/>
      <c r="B21" s="181">
        <f t="shared" si="6"/>
        <v>13</v>
      </c>
      <c r="C21" s="181" t="s">
        <v>115</v>
      </c>
      <c r="D21" s="181" t="s">
        <v>85</v>
      </c>
      <c r="E21" s="182">
        <v>1.38</v>
      </c>
      <c r="F21" s="32">
        <v>115645.13</v>
      </c>
      <c r="G21" s="32">
        <f>F21</f>
        <v>115645.13</v>
      </c>
      <c r="H21" s="33"/>
      <c r="I21" s="84">
        <f t="shared" si="4"/>
        <v>0</v>
      </c>
      <c r="J21" s="84">
        <f t="shared" si="5"/>
        <v>0</v>
      </c>
      <c r="K21" s="85">
        <f t="shared" si="0"/>
        <v>0</v>
      </c>
      <c r="L21" s="85">
        <f t="shared" si="1"/>
        <v>134704.75651199999</v>
      </c>
      <c r="M21" s="187"/>
      <c r="N21" s="86">
        <v>0</v>
      </c>
      <c r="O21" s="87">
        <f t="shared" si="2"/>
        <v>134705.13</v>
      </c>
      <c r="P21" s="88">
        <f t="shared" si="3"/>
        <v>138746.13</v>
      </c>
      <c r="Q21" s="22">
        <f t="shared" si="7"/>
        <v>0.12999999999999998</v>
      </c>
      <c r="R21" t="s">
        <v>146</v>
      </c>
      <c r="S21" s="22"/>
    </row>
    <row r="22" spans="1:19" ht="17.100000000000001" customHeight="1" x14ac:dyDescent="0.25">
      <c r="A22" s="119"/>
      <c r="B22" s="181">
        <f t="shared" si="6"/>
        <v>14</v>
      </c>
      <c r="C22" s="181" t="s">
        <v>116</v>
      </c>
      <c r="D22" s="181" t="s">
        <v>85</v>
      </c>
      <c r="E22" s="182">
        <v>1.87</v>
      </c>
      <c r="F22" s="32">
        <v>156708.14000000001</v>
      </c>
      <c r="G22" s="32">
        <f>F22</f>
        <v>156708.14000000001</v>
      </c>
      <c r="H22" s="33"/>
      <c r="I22" s="84">
        <f t="shared" si="4"/>
        <v>0</v>
      </c>
      <c r="J22" s="84">
        <f t="shared" si="5"/>
        <v>0</v>
      </c>
      <c r="K22" s="85">
        <f t="shared" si="0"/>
        <v>0</v>
      </c>
      <c r="L22" s="85">
        <f t="shared" si="1"/>
        <v>182534.70628800002</v>
      </c>
      <c r="M22" s="187"/>
      <c r="N22" s="86">
        <v>0</v>
      </c>
      <c r="O22" s="87">
        <f t="shared" si="2"/>
        <v>182535.14</v>
      </c>
      <c r="P22" s="88">
        <f t="shared" si="3"/>
        <v>188011.14</v>
      </c>
      <c r="Q22" s="22">
        <f t="shared" si="7"/>
        <v>0.13999999999999999</v>
      </c>
      <c r="R22" t="s">
        <v>146</v>
      </c>
      <c r="S22" s="22"/>
    </row>
    <row r="23" spans="1:19" ht="17.100000000000001" customHeight="1" x14ac:dyDescent="0.25">
      <c r="A23" s="119"/>
      <c r="B23" s="181">
        <f t="shared" si="6"/>
        <v>15</v>
      </c>
      <c r="C23" s="181" t="s">
        <v>117</v>
      </c>
      <c r="D23" s="181" t="s">
        <v>86</v>
      </c>
      <c r="E23" s="182">
        <v>2.91</v>
      </c>
      <c r="F23" s="32">
        <v>818472.15</v>
      </c>
      <c r="G23" s="32">
        <v>200000</v>
      </c>
      <c r="H23" s="33"/>
      <c r="I23" s="84">
        <f t="shared" si="4"/>
        <v>618472.15</v>
      </c>
      <c r="J23" s="84">
        <f t="shared" si="5"/>
        <v>18244.928425000002</v>
      </c>
      <c r="K23" s="85">
        <f t="shared" si="0"/>
        <v>0</v>
      </c>
      <c r="L23" s="85">
        <f t="shared" si="1"/>
        <v>284051.33438399999</v>
      </c>
      <c r="M23" s="187"/>
      <c r="N23" s="86">
        <v>0</v>
      </c>
      <c r="O23" s="87">
        <f t="shared" si="2"/>
        <v>920768.15</v>
      </c>
      <c r="P23" s="88">
        <f t="shared" si="3"/>
        <v>948391.15</v>
      </c>
      <c r="Q23" s="22">
        <f t="shared" si="7"/>
        <v>0.15</v>
      </c>
      <c r="R23" t="s">
        <v>210</v>
      </c>
      <c r="S23" s="22"/>
    </row>
    <row r="24" spans="1:19" ht="17.100000000000001" customHeight="1" x14ac:dyDescent="0.25">
      <c r="A24" s="119"/>
      <c r="B24" s="181">
        <f t="shared" si="6"/>
        <v>16</v>
      </c>
      <c r="C24" s="181" t="s">
        <v>118</v>
      </c>
      <c r="D24" s="181" t="s">
        <v>87</v>
      </c>
      <c r="E24" s="182">
        <v>2.14</v>
      </c>
      <c r="F24" s="32">
        <v>184488.16</v>
      </c>
      <c r="G24" s="32">
        <v>184488</v>
      </c>
      <c r="H24" s="33"/>
      <c r="I24" s="84">
        <f t="shared" si="4"/>
        <v>0.16000000000349246</v>
      </c>
      <c r="J24" s="84">
        <f t="shared" si="5"/>
        <v>4.7200000001030281E-3</v>
      </c>
      <c r="K24" s="85">
        <f t="shared" si="0"/>
        <v>0</v>
      </c>
      <c r="L24" s="85">
        <f t="shared" si="1"/>
        <v>208889.98473600004</v>
      </c>
      <c r="M24" s="187"/>
      <c r="N24" s="86">
        <v>0</v>
      </c>
      <c r="O24" s="87">
        <f t="shared" si="2"/>
        <v>208890.16</v>
      </c>
      <c r="P24" s="88">
        <f t="shared" si="3"/>
        <v>215157.16</v>
      </c>
      <c r="Q24" s="22">
        <f t="shared" si="7"/>
        <v>0.16</v>
      </c>
      <c r="R24" t="s">
        <v>144</v>
      </c>
      <c r="S24" s="22"/>
    </row>
    <row r="25" spans="1:19" ht="17.100000000000001" customHeight="1" x14ac:dyDescent="0.25">
      <c r="A25" s="119" t="s">
        <v>15</v>
      </c>
      <c r="B25" s="181">
        <f t="shared" si="6"/>
        <v>17</v>
      </c>
      <c r="C25" s="181" t="s">
        <v>119</v>
      </c>
      <c r="D25" s="181" t="s">
        <v>82</v>
      </c>
      <c r="E25" s="182">
        <v>0.89</v>
      </c>
      <c r="F25" s="32">
        <v>70782.17</v>
      </c>
      <c r="G25" s="32">
        <v>70800</v>
      </c>
      <c r="H25" s="33"/>
      <c r="I25" s="84">
        <f t="shared" si="4"/>
        <v>-17.830000000001746</v>
      </c>
      <c r="J25" s="84">
        <f t="shared" si="5"/>
        <v>0</v>
      </c>
      <c r="K25" s="85">
        <f t="shared" si="0"/>
        <v>0</v>
      </c>
      <c r="L25" s="85">
        <f t="shared" si="1"/>
        <v>86874.806735999999</v>
      </c>
      <c r="M25" s="187"/>
      <c r="N25" s="86">
        <v>0</v>
      </c>
      <c r="O25" s="87">
        <f t="shared" si="2"/>
        <v>86857.17</v>
      </c>
      <c r="P25" s="88">
        <f t="shared" si="3"/>
        <v>89463.17</v>
      </c>
      <c r="Q25" s="22">
        <f t="shared" si="7"/>
        <v>0.17</v>
      </c>
    </row>
    <row r="26" spans="1:19" ht="17.100000000000001" customHeight="1" x14ac:dyDescent="0.25">
      <c r="A26" s="119" t="s">
        <v>15</v>
      </c>
      <c r="B26" s="181">
        <f t="shared" si="6"/>
        <v>18</v>
      </c>
      <c r="C26" s="181" t="s">
        <v>120</v>
      </c>
      <c r="D26" s="181" t="s">
        <v>88</v>
      </c>
      <c r="E26" s="182">
        <v>0.95</v>
      </c>
      <c r="F26" s="32">
        <v>3333182.18</v>
      </c>
      <c r="G26" s="32">
        <v>0</v>
      </c>
      <c r="H26" s="33"/>
      <c r="I26" s="84">
        <f t="shared" si="4"/>
        <v>3333182.18</v>
      </c>
      <c r="J26" s="84">
        <f t="shared" si="5"/>
        <v>98328.874310000014</v>
      </c>
      <c r="K26" s="85">
        <f t="shared" si="0"/>
        <v>0</v>
      </c>
      <c r="L26" s="85">
        <f t="shared" si="1"/>
        <v>92731.535279999996</v>
      </c>
      <c r="M26" s="187"/>
      <c r="N26" s="86">
        <v>0</v>
      </c>
      <c r="O26" s="87">
        <f t="shared" si="2"/>
        <v>3524243.18</v>
      </c>
      <c r="P26" s="88">
        <f t="shared" si="3"/>
        <v>3629970.18</v>
      </c>
      <c r="Q26" s="22">
        <f t="shared" si="7"/>
        <v>0.18000000000000002</v>
      </c>
      <c r="R26" s="73"/>
      <c r="S26" s="72"/>
    </row>
    <row r="27" spans="1:19" ht="17.100000000000001" customHeight="1" x14ac:dyDescent="0.25">
      <c r="A27" s="119" t="s">
        <v>16</v>
      </c>
      <c r="B27" s="181">
        <f t="shared" si="6"/>
        <v>19</v>
      </c>
      <c r="C27" s="181" t="s">
        <v>121</v>
      </c>
      <c r="D27" s="181" t="s">
        <v>82</v>
      </c>
      <c r="E27" s="182">
        <v>1.94</v>
      </c>
      <c r="F27" s="32">
        <v>156999.19</v>
      </c>
      <c r="G27" s="32">
        <v>156900</v>
      </c>
      <c r="H27" s="33"/>
      <c r="I27" s="84">
        <f t="shared" si="4"/>
        <v>99.190000000002328</v>
      </c>
      <c r="J27" s="84">
        <f t="shared" si="5"/>
        <v>2.926105000000069</v>
      </c>
      <c r="K27" s="85">
        <f t="shared" si="0"/>
        <v>0</v>
      </c>
      <c r="L27" s="85">
        <f t="shared" si="1"/>
        <v>189367.55625600001</v>
      </c>
      <c r="M27" s="187"/>
      <c r="N27" s="86">
        <v>0</v>
      </c>
      <c r="O27" s="87">
        <f t="shared" si="2"/>
        <v>189470.19</v>
      </c>
      <c r="P27" s="88">
        <f t="shared" si="3"/>
        <v>195154.19</v>
      </c>
      <c r="Q27" s="22">
        <f t="shared" si="7"/>
        <v>0.19000000000000003</v>
      </c>
    </row>
    <row r="28" spans="1:19" ht="17.100000000000001" customHeight="1" x14ac:dyDescent="0.25">
      <c r="A28" s="119" t="s">
        <v>16</v>
      </c>
      <c r="B28" s="181">
        <f t="shared" si="6"/>
        <v>20</v>
      </c>
      <c r="C28" s="181" t="s">
        <v>122</v>
      </c>
      <c r="D28" s="181" t="s">
        <v>89</v>
      </c>
      <c r="E28" s="182">
        <v>1.84</v>
      </c>
      <c r="F28" s="32">
        <v>378029.2</v>
      </c>
      <c r="G28" s="32">
        <v>149703.20000000001</v>
      </c>
      <c r="H28" s="33"/>
      <c r="I28" s="84">
        <f t="shared" si="4"/>
        <v>228326</v>
      </c>
      <c r="J28" s="84">
        <f t="shared" si="5"/>
        <v>6735.6170000000002</v>
      </c>
      <c r="K28" s="85">
        <f t="shared" si="0"/>
        <v>0</v>
      </c>
      <c r="L28" s="85">
        <f t="shared" si="1"/>
        <v>179606.34201600001</v>
      </c>
      <c r="M28" s="187"/>
      <c r="N28" s="86">
        <v>0</v>
      </c>
      <c r="O28" s="87">
        <f t="shared" si="2"/>
        <v>414668.2</v>
      </c>
      <c r="P28" s="88">
        <f t="shared" si="3"/>
        <v>427108.2</v>
      </c>
      <c r="Q28" s="22">
        <f t="shared" si="7"/>
        <v>0.20000000000000004</v>
      </c>
    </row>
    <row r="29" spans="1:19" ht="17.100000000000001" customHeight="1" x14ac:dyDescent="0.25">
      <c r="A29" s="119" t="s">
        <v>17</v>
      </c>
      <c r="B29" s="181">
        <f t="shared" si="6"/>
        <v>21</v>
      </c>
      <c r="C29" s="181">
        <v>1106</v>
      </c>
      <c r="D29" s="181" t="s">
        <v>90</v>
      </c>
      <c r="E29" s="182">
        <v>5.12</v>
      </c>
      <c r="F29" s="32">
        <v>5460375.21</v>
      </c>
      <c r="G29" s="32">
        <v>600000</v>
      </c>
      <c r="H29" s="33"/>
      <c r="I29" s="84">
        <f t="shared" si="4"/>
        <v>4860375.21</v>
      </c>
      <c r="J29" s="84">
        <f t="shared" si="5"/>
        <v>143381.06869499999</v>
      </c>
      <c r="K29" s="85">
        <f t="shared" si="0"/>
        <v>0</v>
      </c>
      <c r="L29" s="85">
        <f t="shared" si="1"/>
        <v>499774.16908800002</v>
      </c>
      <c r="M29" s="85">
        <f>O$3*E29%</f>
        <v>224798.05440000002</v>
      </c>
      <c r="N29" s="86">
        <v>0</v>
      </c>
      <c r="O29" s="87">
        <f t="shared" si="2"/>
        <v>5728329.21</v>
      </c>
      <c r="P29" s="88">
        <f t="shared" si="3"/>
        <v>5900179.21</v>
      </c>
      <c r="Q29" s="22">
        <f t="shared" si="7"/>
        <v>0.21000000000000005</v>
      </c>
    </row>
    <row r="30" spans="1:19" ht="17.100000000000001" customHeight="1" x14ac:dyDescent="0.25">
      <c r="A30" s="119" t="s">
        <v>17</v>
      </c>
      <c r="B30" s="181">
        <f t="shared" si="6"/>
        <v>22</v>
      </c>
      <c r="C30" s="181">
        <v>1101</v>
      </c>
      <c r="D30" s="181" t="s">
        <v>82</v>
      </c>
      <c r="E30" s="182">
        <v>3.88</v>
      </c>
      <c r="F30" s="32">
        <v>315679.21999999997</v>
      </c>
      <c r="G30" s="32">
        <f>316000</f>
        <v>316000</v>
      </c>
      <c r="H30" s="33"/>
      <c r="I30" s="84">
        <f t="shared" si="4"/>
        <v>-320.78000000002794</v>
      </c>
      <c r="J30" s="84">
        <f t="shared" si="5"/>
        <v>0</v>
      </c>
      <c r="K30" s="85">
        <f t="shared" si="0"/>
        <v>0</v>
      </c>
      <c r="L30" s="85">
        <f t="shared" si="1"/>
        <v>378735.11251200002</v>
      </c>
      <c r="M30" s="85">
        <f t="shared" ref="M30:M66" si="8">O$3*E30%</f>
        <v>170354.77559999999</v>
      </c>
      <c r="N30" s="86">
        <v>0</v>
      </c>
      <c r="O30" s="87">
        <f t="shared" si="2"/>
        <v>548769.22</v>
      </c>
      <c r="P30" s="88">
        <f t="shared" si="3"/>
        <v>565232.22</v>
      </c>
      <c r="Q30" s="22">
        <f t="shared" si="7"/>
        <v>0.22000000000000006</v>
      </c>
      <c r="R30" t="s">
        <v>145</v>
      </c>
    </row>
    <row r="31" spans="1:19" ht="17.100000000000001" customHeight="1" x14ac:dyDescent="0.25">
      <c r="A31" s="119" t="s">
        <v>18</v>
      </c>
      <c r="B31" s="181">
        <f t="shared" si="6"/>
        <v>23</v>
      </c>
      <c r="C31" s="181">
        <v>1102</v>
      </c>
      <c r="D31" s="181" t="s">
        <v>91</v>
      </c>
      <c r="E31" s="182">
        <v>0.92</v>
      </c>
      <c r="F31" s="32">
        <v>156469.23000000001</v>
      </c>
      <c r="G31" s="32">
        <f>F31</f>
        <v>156469.23000000001</v>
      </c>
      <c r="H31" s="33"/>
      <c r="I31" s="84">
        <f t="shared" si="4"/>
        <v>0</v>
      </c>
      <c r="J31" s="84">
        <f t="shared" si="5"/>
        <v>0</v>
      </c>
      <c r="K31" s="85">
        <f t="shared" si="0"/>
        <v>0</v>
      </c>
      <c r="L31" s="85">
        <f t="shared" si="1"/>
        <v>89803.171008000005</v>
      </c>
      <c r="M31" s="85">
        <f t="shared" si="8"/>
        <v>40393.400399999999</v>
      </c>
      <c r="N31" s="86">
        <v>0</v>
      </c>
      <c r="O31" s="87">
        <f t="shared" si="2"/>
        <v>130197.23</v>
      </c>
      <c r="P31" s="88">
        <f t="shared" si="3"/>
        <v>134103.22999999998</v>
      </c>
      <c r="Q31" s="22">
        <f t="shared" si="7"/>
        <v>0.23000000000000007</v>
      </c>
    </row>
    <row r="32" spans="1:19" ht="17.100000000000001" customHeight="1" x14ac:dyDescent="0.25">
      <c r="A32" s="119" t="s">
        <v>18</v>
      </c>
      <c r="B32" s="181">
        <f t="shared" si="6"/>
        <v>24</v>
      </c>
      <c r="C32" s="181">
        <v>1103</v>
      </c>
      <c r="D32" s="181" t="s">
        <v>92</v>
      </c>
      <c r="E32" s="182">
        <v>1.43</v>
      </c>
      <c r="F32" s="32">
        <v>5575057.2400000002</v>
      </c>
      <c r="G32" s="32">
        <v>0</v>
      </c>
      <c r="H32" s="33"/>
      <c r="I32" s="84">
        <f t="shared" si="4"/>
        <v>5575057.2400000002</v>
      </c>
      <c r="J32" s="84">
        <f t="shared" si="5"/>
        <v>164464.18858000002</v>
      </c>
      <c r="K32" s="85">
        <f t="shared" si="0"/>
        <v>0</v>
      </c>
      <c r="L32" s="85">
        <f t="shared" si="1"/>
        <v>139585.36363199999</v>
      </c>
      <c r="M32" s="85">
        <f t="shared" si="8"/>
        <v>62785.394099999998</v>
      </c>
      <c r="N32" s="86">
        <v>0</v>
      </c>
      <c r="O32" s="87">
        <f t="shared" si="2"/>
        <v>5941892.2400000002</v>
      </c>
      <c r="P32" s="88">
        <f t="shared" si="3"/>
        <v>6120149.2400000002</v>
      </c>
      <c r="Q32" s="22">
        <f t="shared" si="7"/>
        <v>0.24000000000000007</v>
      </c>
    </row>
    <row r="33" spans="1:19" ht="17.100000000000001" customHeight="1" x14ac:dyDescent="0.25">
      <c r="A33" s="119" t="s">
        <v>19</v>
      </c>
      <c r="B33" s="181">
        <f t="shared" si="6"/>
        <v>25</v>
      </c>
      <c r="C33" s="181">
        <v>1104</v>
      </c>
      <c r="D33" s="181" t="s">
        <v>93</v>
      </c>
      <c r="E33" s="182">
        <v>2.19</v>
      </c>
      <c r="F33" s="32">
        <v>168427.25</v>
      </c>
      <c r="G33" s="32">
        <v>173480.25</v>
      </c>
      <c r="H33" s="33"/>
      <c r="I33" s="84">
        <f t="shared" si="4"/>
        <v>-5053</v>
      </c>
      <c r="J33" s="84">
        <f t="shared" si="5"/>
        <v>0</v>
      </c>
      <c r="K33" s="85">
        <f t="shared" si="0"/>
        <v>0</v>
      </c>
      <c r="L33" s="85">
        <f t="shared" si="1"/>
        <v>213770.59185599998</v>
      </c>
      <c r="M33" s="85">
        <f t="shared" si="8"/>
        <v>96153.855299999996</v>
      </c>
      <c r="N33" s="86">
        <v>0</v>
      </c>
      <c r="O33" s="87">
        <f t="shared" si="2"/>
        <v>304871.25</v>
      </c>
      <c r="P33" s="88">
        <f t="shared" si="3"/>
        <v>314017.25</v>
      </c>
      <c r="Q33" s="22">
        <f t="shared" si="7"/>
        <v>0.25000000000000006</v>
      </c>
    </row>
    <row r="34" spans="1:19" ht="17.100000000000001" customHeight="1" x14ac:dyDescent="0.25">
      <c r="A34" s="119" t="s">
        <v>19</v>
      </c>
      <c r="B34" s="181">
        <f t="shared" si="6"/>
        <v>26</v>
      </c>
      <c r="C34" s="181">
        <v>1105</v>
      </c>
      <c r="D34" s="181" t="s">
        <v>94</v>
      </c>
      <c r="E34" s="182">
        <v>1.94</v>
      </c>
      <c r="F34" s="32">
        <v>157839.26</v>
      </c>
      <c r="G34" s="32">
        <f>F34</f>
        <v>157839.26</v>
      </c>
      <c r="H34" s="33"/>
      <c r="I34" s="84">
        <f t="shared" si="4"/>
        <v>0</v>
      </c>
      <c r="J34" s="84">
        <f t="shared" si="5"/>
        <v>0</v>
      </c>
      <c r="K34" s="85">
        <f t="shared" si="0"/>
        <v>0</v>
      </c>
      <c r="L34" s="85">
        <f t="shared" si="1"/>
        <v>189367.55625600001</v>
      </c>
      <c r="M34" s="85">
        <f t="shared" si="8"/>
        <v>85177.387799999997</v>
      </c>
      <c r="N34" s="86">
        <v>0</v>
      </c>
      <c r="O34" s="87">
        <f t="shared" si="2"/>
        <v>274545.26</v>
      </c>
      <c r="P34" s="88">
        <f t="shared" si="3"/>
        <v>282781.26</v>
      </c>
      <c r="Q34" s="22">
        <f t="shared" si="7"/>
        <v>0.26000000000000006</v>
      </c>
    </row>
    <row r="35" spans="1:19" ht="17.100000000000001" customHeight="1" x14ac:dyDescent="0.25">
      <c r="A35" s="119" t="s">
        <v>20</v>
      </c>
      <c r="B35" s="181">
        <f t="shared" si="6"/>
        <v>27</v>
      </c>
      <c r="C35" s="181">
        <v>2206</v>
      </c>
      <c r="D35" s="181" t="s">
        <v>95</v>
      </c>
      <c r="E35" s="182">
        <v>2.17</v>
      </c>
      <c r="F35" s="32">
        <v>176552.27</v>
      </c>
      <c r="G35" s="32">
        <v>0</v>
      </c>
      <c r="H35" s="33"/>
      <c r="I35" s="84">
        <f t="shared" si="4"/>
        <v>176552.27</v>
      </c>
      <c r="J35" s="84">
        <f t="shared" si="5"/>
        <v>5208.2919650000003</v>
      </c>
      <c r="K35" s="85">
        <f t="shared" si="0"/>
        <v>0</v>
      </c>
      <c r="L35" s="85">
        <f t="shared" si="1"/>
        <v>211818.34900800002</v>
      </c>
      <c r="M35" s="85">
        <f t="shared" si="8"/>
        <v>95275.737900000007</v>
      </c>
      <c r="N35" s="86">
        <v>0</v>
      </c>
      <c r="O35" s="87">
        <f t="shared" si="2"/>
        <v>488855.27</v>
      </c>
      <c r="P35" s="88">
        <f t="shared" si="3"/>
        <v>503521.27</v>
      </c>
      <c r="Q35" s="22">
        <f t="shared" si="7"/>
        <v>0.27000000000000007</v>
      </c>
      <c r="R35" t="s">
        <v>158</v>
      </c>
      <c r="S35" s="21"/>
    </row>
    <row r="36" spans="1:19" ht="17.100000000000001" customHeight="1" x14ac:dyDescent="0.25">
      <c r="A36" s="119" t="s">
        <v>20</v>
      </c>
      <c r="B36" s="181">
        <f t="shared" si="6"/>
        <v>28</v>
      </c>
      <c r="C36" s="181">
        <v>2207</v>
      </c>
      <c r="D36" s="181" t="s">
        <v>96</v>
      </c>
      <c r="E36" s="182">
        <v>1.23</v>
      </c>
      <c r="F36" s="32">
        <v>100073.28</v>
      </c>
      <c r="G36" s="32">
        <f>F36</f>
        <v>100073.28</v>
      </c>
      <c r="H36" s="33"/>
      <c r="I36" s="84">
        <f t="shared" si="4"/>
        <v>0</v>
      </c>
      <c r="J36" s="84">
        <f t="shared" si="5"/>
        <v>0</v>
      </c>
      <c r="K36" s="85">
        <f t="shared" si="0"/>
        <v>0</v>
      </c>
      <c r="L36" s="85">
        <f t="shared" si="1"/>
        <v>120062.93515200001</v>
      </c>
      <c r="M36" s="85">
        <f t="shared" si="8"/>
        <v>54004.220099999999</v>
      </c>
      <c r="N36" s="86">
        <v>0</v>
      </c>
      <c r="O36" s="87">
        <f t="shared" si="2"/>
        <v>174067.28</v>
      </c>
      <c r="P36" s="88">
        <f t="shared" si="3"/>
        <v>179289.28</v>
      </c>
      <c r="Q36" s="22">
        <f t="shared" si="7"/>
        <v>0.28000000000000008</v>
      </c>
      <c r="R36" t="s">
        <v>148</v>
      </c>
    </row>
    <row r="37" spans="1:19" ht="17.100000000000001" customHeight="1" x14ac:dyDescent="0.25">
      <c r="A37" s="119" t="s">
        <v>21</v>
      </c>
      <c r="B37" s="181">
        <f t="shared" si="6"/>
        <v>29</v>
      </c>
      <c r="C37" s="181">
        <v>2208</v>
      </c>
      <c r="D37" s="181" t="s">
        <v>97</v>
      </c>
      <c r="E37" s="182">
        <v>1.29</v>
      </c>
      <c r="F37" s="32">
        <v>213006.29</v>
      </c>
      <c r="G37" s="32">
        <f>104955.29*2+3096</f>
        <v>213006.58</v>
      </c>
      <c r="H37" s="33"/>
      <c r="I37" s="84">
        <f t="shared" si="4"/>
        <v>-0.28999999997904524</v>
      </c>
      <c r="J37" s="84">
        <f t="shared" si="5"/>
        <v>0</v>
      </c>
      <c r="K37" s="85">
        <f t="shared" si="0"/>
        <v>0</v>
      </c>
      <c r="L37" s="85">
        <f t="shared" si="1"/>
        <v>125919.663696</v>
      </c>
      <c r="M37" s="85">
        <f t="shared" si="8"/>
        <v>56638.5723</v>
      </c>
      <c r="N37" s="86">
        <v>0</v>
      </c>
      <c r="O37" s="87">
        <f t="shared" si="2"/>
        <v>182558.29</v>
      </c>
      <c r="P37" s="88">
        <f t="shared" si="3"/>
        <v>188035.29</v>
      </c>
      <c r="Q37" s="22">
        <f t="shared" si="7"/>
        <v>0.29000000000000009</v>
      </c>
    </row>
    <row r="38" spans="1:19" ht="17.100000000000001" customHeight="1" x14ac:dyDescent="0.25">
      <c r="A38" s="119" t="s">
        <v>21</v>
      </c>
      <c r="B38" s="181">
        <f t="shared" si="6"/>
        <v>30</v>
      </c>
      <c r="C38" s="181">
        <v>2201</v>
      </c>
      <c r="D38" s="181" t="s">
        <v>97</v>
      </c>
      <c r="E38" s="182">
        <v>1.36</v>
      </c>
      <c r="F38" s="32">
        <v>110650.3</v>
      </c>
      <c r="G38" s="32">
        <f>F38</f>
        <v>110650.3</v>
      </c>
      <c r="H38" s="33"/>
      <c r="I38" s="84">
        <f t="shared" si="4"/>
        <v>0</v>
      </c>
      <c r="J38" s="84">
        <f t="shared" si="5"/>
        <v>0</v>
      </c>
      <c r="K38" s="85">
        <f t="shared" si="0"/>
        <v>0</v>
      </c>
      <c r="L38" s="85">
        <f t="shared" si="1"/>
        <v>132752.513664</v>
      </c>
      <c r="M38" s="85">
        <f t="shared" si="8"/>
        <v>59711.983200000002</v>
      </c>
      <c r="N38" s="86">
        <v>0</v>
      </c>
      <c r="O38" s="87">
        <f t="shared" si="2"/>
        <v>192464.3</v>
      </c>
      <c r="P38" s="88">
        <f t="shared" si="3"/>
        <v>198238.3</v>
      </c>
      <c r="Q38" s="22">
        <f t="shared" si="7"/>
        <v>0.3000000000000001</v>
      </c>
    </row>
    <row r="39" spans="1:19" ht="17.100000000000001" customHeight="1" x14ac:dyDescent="0.25">
      <c r="A39" s="119" t="s">
        <v>22</v>
      </c>
      <c r="B39" s="181">
        <f t="shared" si="6"/>
        <v>31</v>
      </c>
      <c r="C39" s="181">
        <v>2202</v>
      </c>
      <c r="D39" s="181" t="s">
        <v>98</v>
      </c>
      <c r="E39" s="182">
        <v>0.57999999999999996</v>
      </c>
      <c r="F39" s="32">
        <v>47189.31</v>
      </c>
      <c r="G39" s="32">
        <f>F39</f>
        <v>47189.31</v>
      </c>
      <c r="H39" s="33"/>
      <c r="I39" s="84">
        <f t="shared" si="4"/>
        <v>0</v>
      </c>
      <c r="J39" s="84">
        <f t="shared" si="5"/>
        <v>0</v>
      </c>
      <c r="K39" s="85">
        <f t="shared" si="0"/>
        <v>0</v>
      </c>
      <c r="L39" s="85">
        <f t="shared" si="1"/>
        <v>56615.042591999998</v>
      </c>
      <c r="M39" s="85">
        <f t="shared" si="8"/>
        <v>25465.404599999998</v>
      </c>
      <c r="N39" s="86">
        <v>0</v>
      </c>
      <c r="O39" s="87">
        <f t="shared" si="2"/>
        <v>82080.31</v>
      </c>
      <c r="P39" s="88">
        <f t="shared" si="3"/>
        <v>84542.31</v>
      </c>
      <c r="Q39" s="22">
        <f t="shared" si="7"/>
        <v>0.31000000000000011</v>
      </c>
      <c r="R39" t="s">
        <v>151</v>
      </c>
    </row>
    <row r="40" spans="1:19" ht="17.100000000000001" customHeight="1" x14ac:dyDescent="0.25">
      <c r="A40" s="119" t="s">
        <v>23</v>
      </c>
      <c r="B40" s="181">
        <f t="shared" si="6"/>
        <v>32</v>
      </c>
      <c r="C40" s="181">
        <v>2203</v>
      </c>
      <c r="D40" s="181" t="s">
        <v>98</v>
      </c>
      <c r="E40" s="182">
        <v>0.57999999999999996</v>
      </c>
      <c r="F40" s="32">
        <v>47189.32</v>
      </c>
      <c r="G40" s="32">
        <f>F40</f>
        <v>47189.32</v>
      </c>
      <c r="H40" s="33"/>
      <c r="I40" s="84">
        <f t="shared" si="4"/>
        <v>0</v>
      </c>
      <c r="J40" s="84">
        <f t="shared" si="5"/>
        <v>0</v>
      </c>
      <c r="K40" s="85">
        <f t="shared" ref="K40:K66" si="9">O$2*E40%</f>
        <v>0</v>
      </c>
      <c r="L40" s="85">
        <f t="shared" ref="L40:L66" si="10">O$1*E40%</f>
        <v>56615.042591999998</v>
      </c>
      <c r="M40" s="85">
        <f t="shared" si="8"/>
        <v>25465.404599999998</v>
      </c>
      <c r="N40" s="86">
        <v>0</v>
      </c>
      <c r="O40" s="87">
        <f t="shared" ref="O40:O71" si="11">ROUND(SUM(I40:N40),0) + Q40</f>
        <v>82080.320000000007</v>
      </c>
      <c r="P40" s="88">
        <f t="shared" si="3"/>
        <v>84542.32</v>
      </c>
      <c r="Q40" s="22">
        <f t="shared" si="7"/>
        <v>0.32000000000000012</v>
      </c>
      <c r="R40" t="s">
        <v>151</v>
      </c>
    </row>
    <row r="41" spans="1:19" ht="17.100000000000001" customHeight="1" x14ac:dyDescent="0.25">
      <c r="A41" s="119" t="s">
        <v>24</v>
      </c>
      <c r="B41" s="181">
        <f t="shared" si="6"/>
        <v>33</v>
      </c>
      <c r="C41" s="181">
        <v>2204</v>
      </c>
      <c r="D41" s="181" t="s">
        <v>99</v>
      </c>
      <c r="E41" s="182">
        <v>1.36</v>
      </c>
      <c r="F41" s="32">
        <v>110650.33</v>
      </c>
      <c r="G41" s="32">
        <f>F41</f>
        <v>110650.33</v>
      </c>
      <c r="H41" s="33"/>
      <c r="I41" s="84">
        <f t="shared" si="4"/>
        <v>0</v>
      </c>
      <c r="J41" s="84">
        <f t="shared" si="5"/>
        <v>0</v>
      </c>
      <c r="K41" s="85">
        <f t="shared" si="9"/>
        <v>0</v>
      </c>
      <c r="L41" s="85">
        <f t="shared" si="10"/>
        <v>132752.513664</v>
      </c>
      <c r="M41" s="85">
        <f t="shared" si="8"/>
        <v>59711.983200000002</v>
      </c>
      <c r="N41" s="86">
        <v>0</v>
      </c>
      <c r="O41" s="87">
        <f t="shared" si="11"/>
        <v>192464.33</v>
      </c>
      <c r="P41" s="88">
        <f t="shared" si="3"/>
        <v>198238.33</v>
      </c>
      <c r="Q41" s="22">
        <f t="shared" si="7"/>
        <v>0.33000000000000013</v>
      </c>
      <c r="R41" t="s">
        <v>151</v>
      </c>
    </row>
    <row r="42" spans="1:19" ht="17.100000000000001" customHeight="1" x14ac:dyDescent="0.25">
      <c r="A42" s="119" t="s">
        <v>25</v>
      </c>
      <c r="B42" s="181">
        <f t="shared" si="6"/>
        <v>34</v>
      </c>
      <c r="C42" s="181">
        <v>2205</v>
      </c>
      <c r="D42" s="181" t="s">
        <v>98</v>
      </c>
      <c r="E42" s="182">
        <v>1.67</v>
      </c>
      <c r="F42" s="32">
        <v>135872.34</v>
      </c>
      <c r="G42" s="32">
        <f>F42</f>
        <v>135872.34</v>
      </c>
      <c r="H42" s="33"/>
      <c r="I42" s="84">
        <f t="shared" si="4"/>
        <v>0</v>
      </c>
      <c r="J42" s="84">
        <f t="shared" si="5"/>
        <v>0</v>
      </c>
      <c r="K42" s="85">
        <f t="shared" si="9"/>
        <v>0</v>
      </c>
      <c r="L42" s="85">
        <f t="shared" si="10"/>
        <v>163012.27780800001</v>
      </c>
      <c r="M42" s="85">
        <f t="shared" si="8"/>
        <v>73322.802899999995</v>
      </c>
      <c r="N42" s="86">
        <v>0</v>
      </c>
      <c r="O42" s="87">
        <f t="shared" si="11"/>
        <v>236335.34</v>
      </c>
      <c r="P42" s="88">
        <f t="shared" si="3"/>
        <v>243425.34</v>
      </c>
      <c r="Q42" s="22">
        <f t="shared" si="7"/>
        <v>0.34000000000000014</v>
      </c>
      <c r="R42" t="s">
        <v>151</v>
      </c>
    </row>
    <row r="43" spans="1:19" ht="17.100000000000001" customHeight="1" x14ac:dyDescent="0.25">
      <c r="A43" s="119" t="s">
        <v>27</v>
      </c>
      <c r="B43" s="181">
        <f t="shared" si="6"/>
        <v>35</v>
      </c>
      <c r="C43" s="181">
        <v>2206</v>
      </c>
      <c r="D43" s="181" t="s">
        <v>100</v>
      </c>
      <c r="E43" s="182">
        <v>2.17</v>
      </c>
      <c r="F43" s="32">
        <v>176553.35</v>
      </c>
      <c r="G43" s="32">
        <f>284925.71-G44</f>
        <v>184852.35000000003</v>
      </c>
      <c r="H43" s="33"/>
      <c r="I43" s="84">
        <f t="shared" si="4"/>
        <v>-8299.0000000000291</v>
      </c>
      <c r="J43" s="84">
        <f t="shared" si="5"/>
        <v>0</v>
      </c>
      <c r="K43" s="85">
        <f t="shared" si="9"/>
        <v>0</v>
      </c>
      <c r="L43" s="85">
        <f t="shared" si="10"/>
        <v>211818.34900800002</v>
      </c>
      <c r="M43" s="85">
        <f t="shared" si="8"/>
        <v>95275.737900000007</v>
      </c>
      <c r="N43" s="86">
        <v>0</v>
      </c>
      <c r="O43" s="87">
        <f t="shared" si="11"/>
        <v>298795.34999999998</v>
      </c>
      <c r="P43" s="88">
        <f t="shared" si="3"/>
        <v>307759.34999999998</v>
      </c>
      <c r="Q43" s="22">
        <f t="shared" si="7"/>
        <v>0.35000000000000014</v>
      </c>
      <c r="R43" t="s">
        <v>149</v>
      </c>
    </row>
    <row r="44" spans="1:19" ht="17.100000000000001" customHeight="1" x14ac:dyDescent="0.25">
      <c r="A44" s="119" t="s">
        <v>27</v>
      </c>
      <c r="B44" s="181">
        <f t="shared" si="6"/>
        <v>36</v>
      </c>
      <c r="C44" s="181">
        <v>2207</v>
      </c>
      <c r="D44" s="181" t="s">
        <v>100</v>
      </c>
      <c r="E44" s="182">
        <v>1.23</v>
      </c>
      <c r="F44" s="32">
        <v>100073.36</v>
      </c>
      <c r="G44" s="32">
        <f>F44</f>
        <v>100073.36</v>
      </c>
      <c r="H44" s="33"/>
      <c r="I44" s="84">
        <f t="shared" si="4"/>
        <v>0</v>
      </c>
      <c r="J44" s="84">
        <f t="shared" si="5"/>
        <v>0</v>
      </c>
      <c r="K44" s="85">
        <f t="shared" si="9"/>
        <v>0</v>
      </c>
      <c r="L44" s="85">
        <f t="shared" si="10"/>
        <v>120062.93515200001</v>
      </c>
      <c r="M44" s="85">
        <f t="shared" si="8"/>
        <v>54004.220099999999</v>
      </c>
      <c r="N44" s="86">
        <v>0</v>
      </c>
      <c r="O44" s="87">
        <f t="shared" si="11"/>
        <v>174067.36</v>
      </c>
      <c r="P44" s="88">
        <f t="shared" si="3"/>
        <v>179289.36</v>
      </c>
      <c r="Q44" s="22">
        <f t="shared" si="7"/>
        <v>0.36000000000000015</v>
      </c>
      <c r="R44" t="s">
        <v>149</v>
      </c>
    </row>
    <row r="45" spans="1:19" ht="17.100000000000001" customHeight="1" x14ac:dyDescent="0.25">
      <c r="A45" s="119" t="s">
        <v>27</v>
      </c>
      <c r="B45" s="181">
        <f t="shared" si="6"/>
        <v>37</v>
      </c>
      <c r="C45" s="181">
        <v>3308</v>
      </c>
      <c r="D45" s="181" t="s">
        <v>123</v>
      </c>
      <c r="E45" s="182">
        <v>1.23</v>
      </c>
      <c r="F45" s="32">
        <v>100073.37</v>
      </c>
      <c r="G45" s="32">
        <v>0</v>
      </c>
      <c r="H45" s="33"/>
      <c r="I45" s="84">
        <f t="shared" si="4"/>
        <v>100073.37</v>
      </c>
      <c r="J45" s="84">
        <f t="shared" si="5"/>
        <v>2952.1644150000002</v>
      </c>
      <c r="K45" s="85">
        <f t="shared" si="9"/>
        <v>0</v>
      </c>
      <c r="L45" s="85">
        <f t="shared" si="10"/>
        <v>120062.93515200001</v>
      </c>
      <c r="M45" s="85">
        <f t="shared" si="8"/>
        <v>54004.220099999999</v>
      </c>
      <c r="N45" s="86">
        <v>0</v>
      </c>
      <c r="O45" s="87">
        <f t="shared" si="11"/>
        <v>277093.37</v>
      </c>
      <c r="P45" s="88">
        <f t="shared" si="3"/>
        <v>285406.37</v>
      </c>
      <c r="Q45" s="22">
        <f t="shared" si="7"/>
        <v>0.37000000000000016</v>
      </c>
      <c r="R45" s="72"/>
    </row>
    <row r="46" spans="1:19" ht="15" customHeight="1" x14ac:dyDescent="0.25">
      <c r="A46" s="119" t="s">
        <v>27</v>
      </c>
      <c r="B46" s="181">
        <f t="shared" si="6"/>
        <v>38</v>
      </c>
      <c r="C46" s="181">
        <v>3301</v>
      </c>
      <c r="D46" s="184" t="s">
        <v>124</v>
      </c>
      <c r="E46" s="182">
        <v>1.36</v>
      </c>
      <c r="F46" s="32">
        <v>710065.38</v>
      </c>
      <c r="G46" s="32">
        <v>710100</v>
      </c>
      <c r="H46" s="33"/>
      <c r="I46" s="84">
        <f t="shared" si="4"/>
        <v>-34.619999999995343</v>
      </c>
      <c r="J46" s="84">
        <f t="shared" si="5"/>
        <v>0</v>
      </c>
      <c r="K46" s="85">
        <f t="shared" si="9"/>
        <v>0</v>
      </c>
      <c r="L46" s="85">
        <f t="shared" si="10"/>
        <v>132752.513664</v>
      </c>
      <c r="M46" s="85">
        <f t="shared" si="8"/>
        <v>59711.983200000002</v>
      </c>
      <c r="N46" s="86">
        <v>0</v>
      </c>
      <c r="O46" s="87">
        <f t="shared" si="11"/>
        <v>192430.38</v>
      </c>
      <c r="P46" s="88">
        <f t="shared" si="3"/>
        <v>198203.38</v>
      </c>
      <c r="Q46" s="22">
        <f t="shared" si="7"/>
        <v>0.38000000000000017</v>
      </c>
    </row>
    <row r="47" spans="1:19" x14ac:dyDescent="0.25">
      <c r="A47" s="119" t="s">
        <v>27</v>
      </c>
      <c r="B47" s="181">
        <f>B46+1</f>
        <v>39</v>
      </c>
      <c r="C47" s="181">
        <v>3302</v>
      </c>
      <c r="D47" s="181" t="s">
        <v>101</v>
      </c>
      <c r="E47" s="182">
        <v>0.57999999999999996</v>
      </c>
      <c r="F47" s="32">
        <v>48605.39</v>
      </c>
      <c r="G47" s="32">
        <f>F47</f>
        <v>48605.39</v>
      </c>
      <c r="H47" s="40"/>
      <c r="I47" s="84">
        <f t="shared" si="4"/>
        <v>0</v>
      </c>
      <c r="J47" s="84">
        <f t="shared" si="5"/>
        <v>0</v>
      </c>
      <c r="K47" s="85">
        <f t="shared" si="9"/>
        <v>0</v>
      </c>
      <c r="L47" s="85">
        <f t="shared" si="10"/>
        <v>56615.042591999998</v>
      </c>
      <c r="M47" s="85">
        <f t="shared" si="8"/>
        <v>25465.404599999998</v>
      </c>
      <c r="N47" s="86">
        <v>0</v>
      </c>
      <c r="O47" s="87">
        <f t="shared" si="11"/>
        <v>82080.39</v>
      </c>
      <c r="P47" s="88">
        <f t="shared" si="3"/>
        <v>84542.39</v>
      </c>
      <c r="Q47" s="22">
        <f t="shared" si="7"/>
        <v>0.39000000000000018</v>
      </c>
    </row>
    <row r="48" spans="1:19" x14ac:dyDescent="0.25">
      <c r="A48" s="72"/>
      <c r="B48" s="181">
        <f t="shared" ref="B48:B66" si="12">B47+1</f>
        <v>40</v>
      </c>
      <c r="C48" s="181">
        <v>3303</v>
      </c>
      <c r="D48" s="181" t="s">
        <v>101</v>
      </c>
      <c r="E48" s="182">
        <v>0.57999999999999996</v>
      </c>
      <c r="F48" s="32">
        <v>48605.4</v>
      </c>
      <c r="G48" s="32">
        <f>F48</f>
        <v>48605.4</v>
      </c>
      <c r="H48" s="40"/>
      <c r="I48" s="84">
        <f t="shared" si="4"/>
        <v>0</v>
      </c>
      <c r="J48" s="84">
        <f t="shared" si="5"/>
        <v>0</v>
      </c>
      <c r="K48" s="85">
        <f t="shared" si="9"/>
        <v>0</v>
      </c>
      <c r="L48" s="85">
        <f t="shared" si="10"/>
        <v>56615.042591999998</v>
      </c>
      <c r="M48" s="85">
        <f t="shared" si="8"/>
        <v>25465.404599999998</v>
      </c>
      <c r="N48" s="86">
        <v>0</v>
      </c>
      <c r="O48" s="87">
        <f t="shared" si="11"/>
        <v>82080.399999999994</v>
      </c>
      <c r="P48" s="88">
        <f t="shared" si="3"/>
        <v>84542.399999999994</v>
      </c>
      <c r="Q48" s="22">
        <f t="shared" si="7"/>
        <v>0.40000000000000019</v>
      </c>
    </row>
    <row r="49" spans="1:18" x14ac:dyDescent="0.25">
      <c r="A49" s="72"/>
      <c r="B49" s="181">
        <f t="shared" si="12"/>
        <v>41</v>
      </c>
      <c r="C49" s="181">
        <v>3304</v>
      </c>
      <c r="D49" s="181" t="s">
        <v>130</v>
      </c>
      <c r="E49" s="182">
        <v>1.36</v>
      </c>
      <c r="F49" s="32">
        <v>106466.41</v>
      </c>
      <c r="G49" s="32">
        <v>110000</v>
      </c>
      <c r="H49" s="40"/>
      <c r="I49" s="84">
        <f t="shared" si="4"/>
        <v>-3533.5899999999965</v>
      </c>
      <c r="J49" s="84">
        <f t="shared" si="5"/>
        <v>0</v>
      </c>
      <c r="K49" s="85">
        <f t="shared" si="9"/>
        <v>0</v>
      </c>
      <c r="L49" s="85">
        <f t="shared" si="10"/>
        <v>132752.513664</v>
      </c>
      <c r="M49" s="85">
        <f t="shared" si="8"/>
        <v>59711.983200000002</v>
      </c>
      <c r="N49" s="86">
        <v>0</v>
      </c>
      <c r="O49" s="87">
        <f t="shared" si="11"/>
        <v>188931.41</v>
      </c>
      <c r="P49" s="88">
        <f t="shared" si="3"/>
        <v>194599.41</v>
      </c>
      <c r="Q49" s="22">
        <f t="shared" si="7"/>
        <v>0.4100000000000002</v>
      </c>
    </row>
    <row r="50" spans="1:18" x14ac:dyDescent="0.25">
      <c r="A50" s="72"/>
      <c r="B50" s="181">
        <f t="shared" si="12"/>
        <v>42</v>
      </c>
      <c r="C50" s="181">
        <v>3305</v>
      </c>
      <c r="D50" s="181" t="s">
        <v>131</v>
      </c>
      <c r="E50" s="182">
        <v>1.67</v>
      </c>
      <c r="F50" s="32">
        <v>1749607.42</v>
      </c>
      <c r="G50" s="32">
        <v>0</v>
      </c>
      <c r="H50" s="40"/>
      <c r="I50" s="84">
        <f t="shared" si="4"/>
        <v>1749607.42</v>
      </c>
      <c r="J50" s="84">
        <f t="shared" si="5"/>
        <v>51613.418890000001</v>
      </c>
      <c r="K50" s="85">
        <f t="shared" si="9"/>
        <v>0</v>
      </c>
      <c r="L50" s="85">
        <f t="shared" si="10"/>
        <v>163012.27780800001</v>
      </c>
      <c r="M50" s="85">
        <f t="shared" si="8"/>
        <v>73322.802899999995</v>
      </c>
      <c r="N50" s="86">
        <v>0</v>
      </c>
      <c r="O50" s="87">
        <f t="shared" si="11"/>
        <v>2037556.42</v>
      </c>
      <c r="P50" s="88">
        <f t="shared" si="3"/>
        <v>2098683.42</v>
      </c>
      <c r="Q50" s="22">
        <f t="shared" si="7"/>
        <v>0.42000000000000021</v>
      </c>
    </row>
    <row r="51" spans="1:18" x14ac:dyDescent="0.25">
      <c r="A51" s="72"/>
      <c r="B51" s="181">
        <f t="shared" si="12"/>
        <v>43</v>
      </c>
      <c r="C51" s="181">
        <v>4406</v>
      </c>
      <c r="D51" s="181" t="s">
        <v>132</v>
      </c>
      <c r="E51" s="182">
        <v>2.17</v>
      </c>
      <c r="F51" s="32">
        <v>170988.43</v>
      </c>
      <c r="G51" s="32">
        <f>F51</f>
        <v>170988.43</v>
      </c>
      <c r="H51" s="40"/>
      <c r="I51" s="84">
        <f t="shared" si="4"/>
        <v>0</v>
      </c>
      <c r="J51" s="84">
        <f t="shared" si="5"/>
        <v>0</v>
      </c>
      <c r="K51" s="85">
        <f t="shared" si="9"/>
        <v>0</v>
      </c>
      <c r="L51" s="85">
        <f t="shared" si="10"/>
        <v>211818.34900800002</v>
      </c>
      <c r="M51" s="85">
        <f t="shared" si="8"/>
        <v>95275.737900000007</v>
      </c>
      <c r="N51" s="86">
        <v>0</v>
      </c>
      <c r="O51" s="87">
        <f t="shared" si="11"/>
        <v>307094.43</v>
      </c>
      <c r="P51" s="88">
        <f t="shared" si="3"/>
        <v>316307.43</v>
      </c>
      <c r="Q51" s="22">
        <f t="shared" si="7"/>
        <v>0.43000000000000022</v>
      </c>
    </row>
    <row r="52" spans="1:18" x14ac:dyDescent="0.25">
      <c r="A52" s="72"/>
      <c r="B52" s="181">
        <f t="shared" si="12"/>
        <v>44</v>
      </c>
      <c r="C52" s="181">
        <v>4407</v>
      </c>
      <c r="D52" s="181" t="s">
        <v>133</v>
      </c>
      <c r="E52" s="182">
        <v>1.23</v>
      </c>
      <c r="F52" s="32">
        <v>100073.44</v>
      </c>
      <c r="G52" s="32">
        <v>0</v>
      </c>
      <c r="H52" s="40"/>
      <c r="I52" s="84">
        <f t="shared" si="4"/>
        <v>100073.44</v>
      </c>
      <c r="J52" s="84">
        <f t="shared" si="5"/>
        <v>2952.1664800000003</v>
      </c>
      <c r="K52" s="85">
        <f t="shared" si="9"/>
        <v>0</v>
      </c>
      <c r="L52" s="85">
        <f t="shared" si="10"/>
        <v>120062.93515200001</v>
      </c>
      <c r="M52" s="85">
        <f t="shared" si="8"/>
        <v>54004.220099999999</v>
      </c>
      <c r="N52" s="86">
        <v>0</v>
      </c>
      <c r="O52" s="87">
        <f t="shared" si="11"/>
        <v>277093.44</v>
      </c>
      <c r="P52" s="88">
        <f t="shared" si="3"/>
        <v>285406.44</v>
      </c>
      <c r="Q52" s="22">
        <f t="shared" si="7"/>
        <v>0.44000000000000022</v>
      </c>
    </row>
    <row r="53" spans="1:18" x14ac:dyDescent="0.25">
      <c r="A53" s="72"/>
      <c r="B53" s="181">
        <f t="shared" si="12"/>
        <v>45</v>
      </c>
      <c r="C53" s="181">
        <v>4408</v>
      </c>
      <c r="D53" s="181" t="s">
        <v>134</v>
      </c>
      <c r="E53" s="182">
        <v>1.29</v>
      </c>
      <c r="F53" s="32">
        <v>104955.45</v>
      </c>
      <c r="G53" s="32">
        <v>108104.45</v>
      </c>
      <c r="H53" s="40"/>
      <c r="I53" s="84">
        <f t="shared" si="4"/>
        <v>-3149</v>
      </c>
      <c r="J53" s="84">
        <f t="shared" si="5"/>
        <v>0</v>
      </c>
      <c r="K53" s="85">
        <f t="shared" si="9"/>
        <v>0</v>
      </c>
      <c r="L53" s="85">
        <f t="shared" si="10"/>
        <v>125919.663696</v>
      </c>
      <c r="M53" s="85">
        <f t="shared" si="8"/>
        <v>56638.5723</v>
      </c>
      <c r="N53" s="86">
        <v>0</v>
      </c>
      <c r="O53" s="87">
        <f t="shared" si="11"/>
        <v>179409.45</v>
      </c>
      <c r="P53" s="88">
        <f t="shared" si="3"/>
        <v>184791.45</v>
      </c>
      <c r="Q53" s="22">
        <f t="shared" si="7"/>
        <v>0.45000000000000023</v>
      </c>
    </row>
    <row r="54" spans="1:18" x14ac:dyDescent="0.25">
      <c r="A54" s="72"/>
      <c r="B54" s="181">
        <f t="shared" si="12"/>
        <v>46</v>
      </c>
      <c r="C54" s="181">
        <v>4401</v>
      </c>
      <c r="D54" s="181" t="s">
        <v>135</v>
      </c>
      <c r="E54" s="182">
        <v>1.36</v>
      </c>
      <c r="F54" s="32">
        <v>110650.46</v>
      </c>
      <c r="G54" s="32">
        <f>F54</f>
        <v>110650.46</v>
      </c>
      <c r="H54" s="40"/>
      <c r="I54" s="84">
        <f t="shared" si="4"/>
        <v>0</v>
      </c>
      <c r="J54" s="84">
        <f t="shared" si="5"/>
        <v>0</v>
      </c>
      <c r="K54" s="85">
        <f t="shared" si="9"/>
        <v>0</v>
      </c>
      <c r="L54" s="85">
        <f t="shared" si="10"/>
        <v>132752.513664</v>
      </c>
      <c r="M54" s="85">
        <f t="shared" si="8"/>
        <v>59711.983200000002</v>
      </c>
      <c r="N54" s="86">
        <v>0</v>
      </c>
      <c r="O54" s="87">
        <f t="shared" si="11"/>
        <v>192464.46</v>
      </c>
      <c r="P54" s="88">
        <f t="shared" si="3"/>
        <v>198238.46</v>
      </c>
      <c r="Q54" s="22">
        <f t="shared" si="7"/>
        <v>0.46000000000000024</v>
      </c>
    </row>
    <row r="55" spans="1:18" x14ac:dyDescent="0.25">
      <c r="A55" s="72"/>
      <c r="B55" s="181">
        <f t="shared" si="12"/>
        <v>47</v>
      </c>
      <c r="C55" s="181">
        <v>4402</v>
      </c>
      <c r="D55" s="181" t="s">
        <v>136</v>
      </c>
      <c r="E55" s="182">
        <v>0.57999999999999996</v>
      </c>
      <c r="F55" s="32">
        <v>47189.47</v>
      </c>
      <c r="G55" s="32">
        <f>F55</f>
        <v>47189.47</v>
      </c>
      <c r="H55" s="40"/>
      <c r="I55" s="84">
        <f t="shared" si="4"/>
        <v>0</v>
      </c>
      <c r="J55" s="84">
        <f t="shared" si="5"/>
        <v>0</v>
      </c>
      <c r="K55" s="85">
        <f t="shared" si="9"/>
        <v>0</v>
      </c>
      <c r="L55" s="85">
        <f t="shared" si="10"/>
        <v>56615.042591999998</v>
      </c>
      <c r="M55" s="85">
        <f t="shared" si="8"/>
        <v>25465.404599999998</v>
      </c>
      <c r="N55" s="86">
        <v>0</v>
      </c>
      <c r="O55" s="87">
        <f t="shared" si="11"/>
        <v>82080.47</v>
      </c>
      <c r="P55" s="88">
        <f t="shared" si="3"/>
        <v>84542.47</v>
      </c>
      <c r="Q55" s="22">
        <f t="shared" si="7"/>
        <v>0.47000000000000025</v>
      </c>
    </row>
    <row r="56" spans="1:18" x14ac:dyDescent="0.25">
      <c r="A56" s="72"/>
      <c r="B56" s="181">
        <f t="shared" si="12"/>
        <v>48</v>
      </c>
      <c r="C56" s="181">
        <v>4403</v>
      </c>
      <c r="D56" s="181" t="s">
        <v>137</v>
      </c>
      <c r="E56" s="182">
        <v>0.57999999999999996</v>
      </c>
      <c r="F56" s="32">
        <v>45773.48</v>
      </c>
      <c r="G56" s="32">
        <v>47146.48</v>
      </c>
      <c r="H56" s="40"/>
      <c r="I56" s="84">
        <f t="shared" si="4"/>
        <v>-1373</v>
      </c>
      <c r="J56" s="84">
        <f t="shared" si="5"/>
        <v>0</v>
      </c>
      <c r="K56" s="85">
        <f t="shared" si="9"/>
        <v>0</v>
      </c>
      <c r="L56" s="85">
        <f t="shared" si="10"/>
        <v>56615.042591999998</v>
      </c>
      <c r="M56" s="85">
        <f t="shared" si="8"/>
        <v>25465.404599999998</v>
      </c>
      <c r="N56" s="86">
        <v>0</v>
      </c>
      <c r="O56" s="87">
        <f t="shared" si="11"/>
        <v>80707.48</v>
      </c>
      <c r="P56" s="88">
        <f t="shared" si="3"/>
        <v>83128.479999999996</v>
      </c>
      <c r="Q56" s="22">
        <f t="shared" si="7"/>
        <v>0.48000000000000026</v>
      </c>
      <c r="R56" t="s">
        <v>152</v>
      </c>
    </row>
    <row r="57" spans="1:18" x14ac:dyDescent="0.25">
      <c r="A57" s="72"/>
      <c r="B57" s="181">
        <f t="shared" si="12"/>
        <v>49</v>
      </c>
      <c r="C57" s="181">
        <v>4404</v>
      </c>
      <c r="D57" s="181" t="s">
        <v>137</v>
      </c>
      <c r="E57" s="182">
        <v>1.36</v>
      </c>
      <c r="F57" s="32">
        <v>107330.49</v>
      </c>
      <c r="G57" s="32">
        <v>110550.49</v>
      </c>
      <c r="H57" s="40"/>
      <c r="I57" s="84">
        <f t="shared" si="4"/>
        <v>-3220</v>
      </c>
      <c r="J57" s="84">
        <f t="shared" si="5"/>
        <v>0</v>
      </c>
      <c r="K57" s="85">
        <f t="shared" si="9"/>
        <v>0</v>
      </c>
      <c r="L57" s="85">
        <f t="shared" si="10"/>
        <v>132752.513664</v>
      </c>
      <c r="M57" s="85">
        <f t="shared" si="8"/>
        <v>59711.983200000002</v>
      </c>
      <c r="N57" s="86">
        <v>0</v>
      </c>
      <c r="O57" s="87">
        <f t="shared" si="11"/>
        <v>189244.49</v>
      </c>
      <c r="P57" s="88">
        <f t="shared" si="3"/>
        <v>194921.49</v>
      </c>
      <c r="Q57" s="22">
        <f t="shared" si="7"/>
        <v>0.49000000000000027</v>
      </c>
      <c r="R57" t="s">
        <v>152</v>
      </c>
    </row>
    <row r="58" spans="1:18" x14ac:dyDescent="0.25">
      <c r="A58" s="72"/>
      <c r="B58" s="181">
        <f t="shared" si="12"/>
        <v>50</v>
      </c>
      <c r="C58" s="181">
        <v>4405</v>
      </c>
      <c r="D58" s="181" t="s">
        <v>137</v>
      </c>
      <c r="E58" s="182">
        <v>1.67</v>
      </c>
      <c r="F58" s="32">
        <v>131796.5</v>
      </c>
      <c r="G58" s="32">
        <v>135750.5</v>
      </c>
      <c r="H58" s="40"/>
      <c r="I58" s="84">
        <f t="shared" si="4"/>
        <v>-3954</v>
      </c>
      <c r="J58" s="84">
        <f t="shared" si="5"/>
        <v>0</v>
      </c>
      <c r="K58" s="85">
        <f t="shared" si="9"/>
        <v>0</v>
      </c>
      <c r="L58" s="85">
        <f t="shared" si="10"/>
        <v>163012.27780800001</v>
      </c>
      <c r="M58" s="85">
        <f t="shared" si="8"/>
        <v>73322.802899999995</v>
      </c>
      <c r="N58" s="86">
        <v>0</v>
      </c>
      <c r="O58" s="87">
        <f t="shared" si="11"/>
        <v>232381.5</v>
      </c>
      <c r="P58" s="88">
        <f t="shared" si="3"/>
        <v>239352.5</v>
      </c>
      <c r="Q58" s="22">
        <f t="shared" si="7"/>
        <v>0.50000000000000022</v>
      </c>
      <c r="R58" t="s">
        <v>152</v>
      </c>
    </row>
    <row r="59" spans="1:18" x14ac:dyDescent="0.25">
      <c r="A59" s="72"/>
      <c r="B59" s="181">
        <f t="shared" si="12"/>
        <v>51</v>
      </c>
      <c r="C59" s="181">
        <v>5506</v>
      </c>
      <c r="D59" s="181" t="s">
        <v>138</v>
      </c>
      <c r="E59" s="182">
        <v>2.17</v>
      </c>
      <c r="F59" s="32">
        <v>171385.51</v>
      </c>
      <c r="G59" s="32">
        <v>176527.51</v>
      </c>
      <c r="H59" s="40"/>
      <c r="I59" s="84">
        <f t="shared" si="4"/>
        <v>-5142</v>
      </c>
      <c r="J59" s="84">
        <f t="shared" si="5"/>
        <v>0</v>
      </c>
      <c r="K59" s="85">
        <f t="shared" si="9"/>
        <v>0</v>
      </c>
      <c r="L59" s="85">
        <f t="shared" si="10"/>
        <v>211818.34900800002</v>
      </c>
      <c r="M59" s="85">
        <f t="shared" si="8"/>
        <v>95275.737900000007</v>
      </c>
      <c r="N59" s="86">
        <v>0</v>
      </c>
      <c r="O59" s="87">
        <f t="shared" si="11"/>
        <v>301952.51</v>
      </c>
      <c r="P59" s="88">
        <f t="shared" si="3"/>
        <v>311011.51</v>
      </c>
      <c r="Q59" s="22">
        <f t="shared" si="7"/>
        <v>0.51000000000000023</v>
      </c>
    </row>
    <row r="60" spans="1:18" x14ac:dyDescent="0.25">
      <c r="A60" s="72"/>
      <c r="B60" s="181">
        <f t="shared" si="12"/>
        <v>52</v>
      </c>
      <c r="C60" s="181">
        <v>5507</v>
      </c>
      <c r="D60" s="181" t="s">
        <v>139</v>
      </c>
      <c r="E60" s="182">
        <v>1.79</v>
      </c>
      <c r="F60" s="32">
        <v>141266.51999999999</v>
      </c>
      <c r="G60" s="32">
        <v>146000</v>
      </c>
      <c r="H60" s="40"/>
      <c r="I60" s="84">
        <f t="shared" si="4"/>
        <v>-4733.4800000000105</v>
      </c>
      <c r="J60" s="84">
        <f t="shared" si="5"/>
        <v>0</v>
      </c>
      <c r="K60" s="85">
        <f t="shared" si="9"/>
        <v>0</v>
      </c>
      <c r="L60" s="85">
        <f t="shared" si="10"/>
        <v>174725.73489600001</v>
      </c>
      <c r="M60" s="85">
        <f t="shared" si="8"/>
        <v>78591.507299999997</v>
      </c>
      <c r="N60" s="86">
        <v>0</v>
      </c>
      <c r="O60" s="87">
        <f t="shared" si="11"/>
        <v>248584.52</v>
      </c>
      <c r="P60" s="88">
        <f t="shared" si="3"/>
        <v>256042.52</v>
      </c>
      <c r="Q60" s="22">
        <f t="shared" si="7"/>
        <v>0.52000000000000024</v>
      </c>
    </row>
    <row r="61" spans="1:18" x14ac:dyDescent="0.25">
      <c r="A61" s="72"/>
      <c r="B61" s="181">
        <f t="shared" si="12"/>
        <v>53</v>
      </c>
      <c r="C61" s="181">
        <v>5508</v>
      </c>
      <c r="D61" s="181" t="s">
        <v>140</v>
      </c>
      <c r="E61" s="182">
        <v>1.29</v>
      </c>
      <c r="F61" s="32">
        <v>127518.53</v>
      </c>
      <c r="G61" s="32">
        <v>0</v>
      </c>
      <c r="H61" s="40"/>
      <c r="I61" s="84">
        <f t="shared" si="4"/>
        <v>127518.53</v>
      </c>
      <c r="J61" s="84">
        <f t="shared" si="5"/>
        <v>3761.7966350000002</v>
      </c>
      <c r="K61" s="85">
        <f t="shared" si="9"/>
        <v>0</v>
      </c>
      <c r="L61" s="85">
        <f t="shared" si="10"/>
        <v>125919.663696</v>
      </c>
      <c r="M61" s="85">
        <f t="shared" si="8"/>
        <v>56638.5723</v>
      </c>
      <c r="N61" s="86">
        <v>0</v>
      </c>
      <c r="O61" s="87">
        <f t="shared" si="11"/>
        <v>313839.53000000003</v>
      </c>
      <c r="P61" s="88">
        <f t="shared" si="3"/>
        <v>323254.53000000003</v>
      </c>
      <c r="Q61" s="22">
        <f t="shared" si="7"/>
        <v>0.53000000000000025</v>
      </c>
    </row>
    <row r="62" spans="1:18" x14ac:dyDescent="0.25">
      <c r="A62" s="72"/>
      <c r="B62" s="181">
        <f t="shared" si="12"/>
        <v>54</v>
      </c>
      <c r="C62" s="181">
        <v>5501</v>
      </c>
      <c r="D62" s="181" t="s">
        <v>141</v>
      </c>
      <c r="E62" s="182">
        <v>1.36</v>
      </c>
      <c r="F62" s="32">
        <v>221075.54</v>
      </c>
      <c r="G62" s="32">
        <f>227710.54</f>
        <v>227710.54</v>
      </c>
      <c r="H62" s="40"/>
      <c r="I62" s="84">
        <f t="shared" si="4"/>
        <v>-6635</v>
      </c>
      <c r="J62" s="84">
        <f t="shared" si="5"/>
        <v>0</v>
      </c>
      <c r="K62" s="85">
        <f t="shared" si="9"/>
        <v>0</v>
      </c>
      <c r="L62" s="85">
        <f t="shared" si="10"/>
        <v>132752.513664</v>
      </c>
      <c r="M62" s="85">
        <f t="shared" si="8"/>
        <v>59711.983200000002</v>
      </c>
      <c r="N62" s="86">
        <v>0</v>
      </c>
      <c r="O62" s="87">
        <f t="shared" si="11"/>
        <v>185829.54</v>
      </c>
      <c r="P62" s="88">
        <f t="shared" si="3"/>
        <v>191404.54</v>
      </c>
      <c r="Q62" s="22">
        <f t="shared" si="7"/>
        <v>0.54000000000000026</v>
      </c>
    </row>
    <row r="63" spans="1:18" x14ac:dyDescent="0.25">
      <c r="A63" s="72"/>
      <c r="B63" s="181">
        <f t="shared" si="12"/>
        <v>55</v>
      </c>
      <c r="C63" s="181">
        <v>5503</v>
      </c>
      <c r="D63" s="181" t="s">
        <v>142</v>
      </c>
      <c r="E63" s="182">
        <v>0.57999999999999996</v>
      </c>
      <c r="F63" s="32">
        <v>-398591.45</v>
      </c>
      <c r="G63" s="32">
        <v>0</v>
      </c>
      <c r="H63" s="40"/>
      <c r="I63" s="84">
        <f t="shared" si="4"/>
        <v>-398591.45</v>
      </c>
      <c r="J63" s="84">
        <f t="shared" si="5"/>
        <v>0</v>
      </c>
      <c r="K63" s="85">
        <f t="shared" si="9"/>
        <v>0</v>
      </c>
      <c r="L63" s="85">
        <f t="shared" si="10"/>
        <v>56615.042591999998</v>
      </c>
      <c r="M63" s="85">
        <f t="shared" si="8"/>
        <v>25465.404599999998</v>
      </c>
      <c r="N63" s="86">
        <v>0</v>
      </c>
      <c r="O63" s="87">
        <f t="shared" si="11"/>
        <v>-316510.45</v>
      </c>
      <c r="P63" s="88">
        <f t="shared" si="3"/>
        <v>-326005.45</v>
      </c>
      <c r="Q63" s="22">
        <f t="shared" si="7"/>
        <v>0.55000000000000027</v>
      </c>
      <c r="R63" t="s">
        <v>156</v>
      </c>
    </row>
    <row r="64" spans="1:18" x14ac:dyDescent="0.25">
      <c r="A64" s="72"/>
      <c r="B64" s="181">
        <f t="shared" si="12"/>
        <v>56</v>
      </c>
      <c r="C64" s="181">
        <v>5504</v>
      </c>
      <c r="D64" s="181" t="s">
        <v>82</v>
      </c>
      <c r="E64" s="182">
        <v>1.36</v>
      </c>
      <c r="F64" s="32">
        <v>110596.56</v>
      </c>
      <c r="G64" s="32">
        <v>110600</v>
      </c>
      <c r="H64" s="40"/>
      <c r="I64" s="34">
        <f t="shared" si="4"/>
        <v>-3.4400000000023283</v>
      </c>
      <c r="J64" s="34">
        <f t="shared" si="5"/>
        <v>0</v>
      </c>
      <c r="K64" s="35">
        <f t="shared" si="9"/>
        <v>0</v>
      </c>
      <c r="L64" s="35">
        <f t="shared" si="10"/>
        <v>132752.513664</v>
      </c>
      <c r="M64" s="85">
        <f t="shared" si="8"/>
        <v>59711.983200000002</v>
      </c>
      <c r="N64" s="36">
        <v>0</v>
      </c>
      <c r="O64" s="37">
        <f t="shared" si="11"/>
        <v>192461.56</v>
      </c>
      <c r="P64" s="38">
        <f t="shared" si="3"/>
        <v>198235.56</v>
      </c>
      <c r="Q64" s="22">
        <f t="shared" si="7"/>
        <v>0.56000000000000028</v>
      </c>
      <c r="R64" t="s">
        <v>145</v>
      </c>
    </row>
    <row r="65" spans="1:18" x14ac:dyDescent="0.25">
      <c r="A65" s="72"/>
      <c r="B65" s="181">
        <f t="shared" si="12"/>
        <v>57</v>
      </c>
      <c r="C65" s="181">
        <v>5502</v>
      </c>
      <c r="D65" s="181" t="s">
        <v>78</v>
      </c>
      <c r="E65" s="182">
        <v>0.57999999999999996</v>
      </c>
      <c r="F65" s="32">
        <v>193403.57</v>
      </c>
      <c r="G65" s="32">
        <f>47189.57+47189+92118+6907</f>
        <v>193403.57</v>
      </c>
      <c r="H65" s="40"/>
      <c r="I65" s="34">
        <f t="shared" si="4"/>
        <v>0</v>
      </c>
      <c r="J65" s="34">
        <f t="shared" si="5"/>
        <v>0</v>
      </c>
      <c r="K65" s="35">
        <f t="shared" si="9"/>
        <v>0</v>
      </c>
      <c r="L65" s="35">
        <f t="shared" si="10"/>
        <v>56615.042591999998</v>
      </c>
      <c r="M65" s="85">
        <f t="shared" si="8"/>
        <v>25465.404599999998</v>
      </c>
      <c r="N65" s="36">
        <v>0</v>
      </c>
      <c r="O65" s="37">
        <f t="shared" si="11"/>
        <v>82080.570000000007</v>
      </c>
      <c r="P65" s="38">
        <f t="shared" si="3"/>
        <v>84542.57</v>
      </c>
      <c r="Q65" s="22">
        <f t="shared" si="7"/>
        <v>0.57000000000000028</v>
      </c>
      <c r="R65" t="s">
        <v>162</v>
      </c>
    </row>
    <row r="66" spans="1:18" x14ac:dyDescent="0.25">
      <c r="B66" s="181">
        <f t="shared" si="12"/>
        <v>58</v>
      </c>
      <c r="C66" s="181">
        <v>5505</v>
      </c>
      <c r="D66" s="181" t="s">
        <v>143</v>
      </c>
      <c r="E66" s="182">
        <v>1.67</v>
      </c>
      <c r="F66" s="32">
        <v>283965.58</v>
      </c>
      <c r="G66" s="32">
        <f>F66</f>
        <v>283965.58</v>
      </c>
      <c r="H66" s="40"/>
      <c r="I66" s="34">
        <f t="shared" si="4"/>
        <v>0</v>
      </c>
      <c r="J66" s="34">
        <f t="shared" si="5"/>
        <v>0</v>
      </c>
      <c r="K66" s="35">
        <f t="shared" si="9"/>
        <v>0</v>
      </c>
      <c r="L66" s="35">
        <f t="shared" si="10"/>
        <v>163012.27780800001</v>
      </c>
      <c r="M66" s="85">
        <f t="shared" si="8"/>
        <v>73322.802899999995</v>
      </c>
      <c r="N66" s="36">
        <v>0</v>
      </c>
      <c r="O66" s="37">
        <f t="shared" si="11"/>
        <v>236335.58</v>
      </c>
      <c r="P66" s="38">
        <f t="shared" si="3"/>
        <v>243425.58</v>
      </c>
      <c r="Q66" s="22">
        <f t="shared" si="7"/>
        <v>0.58000000000000029</v>
      </c>
    </row>
    <row r="67" spans="1:18" x14ac:dyDescent="0.25">
      <c r="B67" s="83"/>
      <c r="C67" s="28"/>
      <c r="D67" s="28"/>
      <c r="E67" s="30"/>
      <c r="F67" s="39"/>
      <c r="G67" s="32"/>
      <c r="H67" s="40"/>
      <c r="I67" s="41"/>
      <c r="J67" s="34"/>
      <c r="K67" s="35"/>
      <c r="L67" s="42"/>
      <c r="M67" s="42"/>
      <c r="N67" s="39"/>
      <c r="O67" s="31"/>
      <c r="P67" s="31"/>
      <c r="Q67" s="22"/>
    </row>
    <row r="68" spans="1:18" ht="17.100000000000001" customHeight="1" thickBot="1" x14ac:dyDescent="0.3">
      <c r="B68" s="43"/>
      <c r="C68" s="44"/>
      <c r="D68" s="96"/>
      <c r="E68" s="98">
        <f>SUM(E8:E66)</f>
        <v>99.940000000000026</v>
      </c>
      <c r="F68" s="45">
        <f>SUM(F8:F66)</f>
        <v>30276851.109999999</v>
      </c>
      <c r="G68" s="45">
        <f>SUM(G8:G66)</f>
        <v>10043048.190000001</v>
      </c>
      <c r="H68" s="97">
        <f t="shared" ref="H68" si="13">SUM(H8:H47)</f>
        <v>0</v>
      </c>
      <c r="I68" s="45">
        <f t="shared" ref="I68:P68" si="14">SUM(I8:I66)</f>
        <v>20233802.920000002</v>
      </c>
      <c r="J68" s="45">
        <f t="shared" si="14"/>
        <v>618237.17078499997</v>
      </c>
      <c r="K68" s="45">
        <f t="shared" si="14"/>
        <v>0</v>
      </c>
      <c r="L68" s="45">
        <f t="shared" si="14"/>
        <v>9755357.5114560015</v>
      </c>
      <c r="M68" s="97">
        <f t="shared" si="14"/>
        <v>2500000.2378000007</v>
      </c>
      <c r="N68" s="45">
        <f t="shared" si="14"/>
        <v>0</v>
      </c>
      <c r="O68" s="45">
        <f t="shared" si="14"/>
        <v>33107413.109999999</v>
      </c>
      <c r="P68" s="45">
        <f t="shared" si="14"/>
        <v>34100637.109999999</v>
      </c>
    </row>
    <row r="69" spans="1:18" ht="12.75" customHeight="1" x14ac:dyDescent="0.25">
      <c r="D69" s="24"/>
    </row>
    <row r="70" spans="1:18" hidden="1" x14ac:dyDescent="0.25"/>
    <row r="71" spans="1:18" ht="9" customHeight="1" x14ac:dyDescent="0.25">
      <c r="D71" s="214" t="s">
        <v>69</v>
      </c>
      <c r="E71" s="214"/>
      <c r="F71" s="214"/>
      <c r="G71" s="214"/>
      <c r="H71" s="214"/>
      <c r="I71" s="214"/>
      <c r="J71" s="214"/>
      <c r="K71" s="214"/>
      <c r="L71" s="214"/>
      <c r="M71" s="214"/>
      <c r="N71" s="214"/>
      <c r="O71" s="214"/>
    </row>
    <row r="72" spans="1:18" ht="12" hidden="1" customHeight="1" x14ac:dyDescent="0.25">
      <c r="D72" s="214"/>
      <c r="E72" s="214"/>
      <c r="F72" s="214"/>
      <c r="G72" s="214"/>
      <c r="H72" s="214"/>
      <c r="I72" s="214"/>
      <c r="J72" s="214"/>
      <c r="K72" s="214"/>
      <c r="L72" s="214"/>
      <c r="M72" s="214"/>
      <c r="N72" s="214"/>
      <c r="O72" s="214"/>
    </row>
    <row r="73" spans="1:18" ht="12" hidden="1" customHeight="1" x14ac:dyDescent="0.25">
      <c r="D73" s="214"/>
      <c r="E73" s="214"/>
      <c r="F73" s="214"/>
      <c r="G73" s="214"/>
      <c r="H73" s="214"/>
      <c r="I73" s="214"/>
      <c r="J73" s="214"/>
      <c r="K73" s="214"/>
      <c r="L73" s="214"/>
      <c r="M73" s="214"/>
      <c r="N73" s="214"/>
      <c r="O73" s="214"/>
    </row>
    <row r="74" spans="1:18" ht="12" hidden="1" customHeight="1" x14ac:dyDescent="0.25">
      <c r="D74" s="214"/>
      <c r="E74" s="214"/>
      <c r="F74" s="214"/>
      <c r="G74" s="214"/>
      <c r="H74" s="214"/>
      <c r="I74" s="214"/>
      <c r="J74" s="214"/>
      <c r="K74" s="214"/>
      <c r="L74" s="214"/>
      <c r="M74" s="214"/>
      <c r="N74" s="214"/>
      <c r="O74" s="214"/>
    </row>
    <row r="75" spans="1:18" ht="12" hidden="1" customHeight="1" x14ac:dyDescent="0.25">
      <c r="D75" s="214"/>
      <c r="E75" s="214"/>
      <c r="F75" s="214"/>
      <c r="G75" s="214"/>
      <c r="H75" s="214"/>
      <c r="I75" s="214"/>
      <c r="J75" s="214"/>
      <c r="K75" s="214"/>
      <c r="L75" s="214"/>
      <c r="M75" s="214"/>
      <c r="N75" s="214"/>
      <c r="O75" s="214"/>
    </row>
    <row r="76" spans="1:18" ht="65.25" customHeight="1" x14ac:dyDescent="0.25">
      <c r="D76" s="214"/>
      <c r="E76" s="214"/>
      <c r="F76" s="214"/>
      <c r="G76" s="214"/>
      <c r="H76" s="214"/>
      <c r="I76" s="214"/>
      <c r="J76" s="214"/>
      <c r="K76" s="214"/>
      <c r="L76" s="214"/>
      <c r="M76" s="214"/>
      <c r="N76" s="214"/>
      <c r="O76" s="214"/>
    </row>
  </sheetData>
  <mergeCells count="19">
    <mergeCell ref="B1:J2"/>
    <mergeCell ref="P6:P7"/>
    <mergeCell ref="D71:O76"/>
    <mergeCell ref="H6:H7"/>
    <mergeCell ref="J6:J7"/>
    <mergeCell ref="F6:F7"/>
    <mergeCell ref="G6:G7"/>
    <mergeCell ref="I6:I7"/>
    <mergeCell ref="K6:K7"/>
    <mergeCell ref="L6:L7"/>
    <mergeCell ref="N6:N7"/>
    <mergeCell ref="B4:P4"/>
    <mergeCell ref="B5:P5"/>
    <mergeCell ref="M6:M7"/>
    <mergeCell ref="A6:A7"/>
    <mergeCell ref="B6:B7"/>
    <mergeCell ref="C6:C7"/>
    <mergeCell ref="D6:D7"/>
    <mergeCell ref="E6:E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C2:K73"/>
  <sheetViews>
    <sheetView topLeftCell="A31" workbookViewId="0">
      <selection activeCell="I2" sqref="I2:J8"/>
    </sheetView>
  </sheetViews>
  <sheetFormatPr baseColWidth="10" defaultColWidth="10.85546875" defaultRowHeight="15" x14ac:dyDescent="0.25"/>
  <sheetData>
    <row r="2" spans="3:11" ht="15.75" thickBot="1" x14ac:dyDescent="0.3">
      <c r="I2" s="118"/>
      <c r="J2" s="118"/>
    </row>
    <row r="3" spans="3:11" x14ac:dyDescent="0.25">
      <c r="C3" s="111" t="s">
        <v>153</v>
      </c>
      <c r="D3" s="112">
        <v>1</v>
      </c>
      <c r="E3" s="108"/>
      <c r="F3" s="108"/>
      <c r="G3" s="108"/>
      <c r="H3" s="109"/>
      <c r="I3" s="185"/>
      <c r="J3" s="185"/>
    </row>
    <row r="4" spans="3:11" x14ac:dyDescent="0.25">
      <c r="C4" s="113" t="s">
        <v>154</v>
      </c>
      <c r="D4" s="114">
        <v>29</v>
      </c>
      <c r="H4" s="110"/>
      <c r="I4" s="185"/>
      <c r="J4" s="185"/>
    </row>
    <row r="5" spans="3:11" ht="15.75" thickBot="1" x14ac:dyDescent="0.3">
      <c r="C5" s="113"/>
      <c r="D5" s="114"/>
      <c r="H5" s="110"/>
      <c r="I5" s="185"/>
      <c r="J5" s="185"/>
    </row>
    <row r="6" spans="3:11" x14ac:dyDescent="0.25">
      <c r="C6" s="229" t="s">
        <v>161</v>
      </c>
      <c r="D6" s="230"/>
      <c r="E6" s="230"/>
      <c r="F6" s="230"/>
      <c r="G6" s="230"/>
      <c r="H6" s="231"/>
      <c r="I6" s="185"/>
      <c r="J6" s="185"/>
    </row>
    <row r="7" spans="3:11" x14ac:dyDescent="0.25">
      <c r="C7" s="232"/>
      <c r="D7" s="233"/>
      <c r="E7" s="233"/>
      <c r="F7" s="233"/>
      <c r="G7" s="233"/>
      <c r="H7" s="234"/>
      <c r="I7" s="185"/>
      <c r="J7" s="185"/>
    </row>
    <row r="8" spans="3:11" ht="15.75" thickBot="1" x14ac:dyDescent="0.3">
      <c r="C8" s="235"/>
      <c r="D8" s="236"/>
      <c r="E8" s="236"/>
      <c r="F8" s="236"/>
      <c r="G8" s="236"/>
      <c r="H8" s="237"/>
      <c r="I8" s="118"/>
      <c r="J8" s="118"/>
    </row>
    <row r="9" spans="3:11" x14ac:dyDescent="0.25">
      <c r="C9" s="72"/>
      <c r="D9" s="72"/>
      <c r="E9" s="72"/>
    </row>
    <row r="10" spans="3:11" ht="15.75" thickBot="1" x14ac:dyDescent="0.3"/>
    <row r="11" spans="3:11" x14ac:dyDescent="0.25">
      <c r="C11" s="145" t="s">
        <v>153</v>
      </c>
      <c r="D11" s="146">
        <v>1</v>
      </c>
      <c r="E11" s="108"/>
      <c r="F11" s="108"/>
      <c r="G11" s="108"/>
      <c r="H11" s="109"/>
      <c r="I11" s="118"/>
      <c r="J11" s="118"/>
      <c r="K11" s="118"/>
    </row>
    <row r="12" spans="3:11" x14ac:dyDescent="0.25">
      <c r="C12" s="147" t="s">
        <v>154</v>
      </c>
      <c r="D12" s="148">
        <v>57</v>
      </c>
      <c r="H12" s="110"/>
      <c r="I12" s="118"/>
      <c r="J12" s="118"/>
      <c r="K12" s="118"/>
    </row>
    <row r="13" spans="3:11" ht="15.75" thickBot="1" x14ac:dyDescent="0.3">
      <c r="C13" s="147"/>
      <c r="D13" s="148"/>
      <c r="H13" s="110"/>
      <c r="I13" s="118"/>
      <c r="J13" s="118"/>
      <c r="K13" s="118"/>
    </row>
    <row r="14" spans="3:11" x14ac:dyDescent="0.25">
      <c r="C14" s="229" t="s">
        <v>165</v>
      </c>
      <c r="D14" s="230"/>
      <c r="E14" s="230"/>
      <c r="F14" s="230"/>
      <c r="G14" s="230"/>
      <c r="H14" s="231"/>
      <c r="I14" s="118"/>
      <c r="J14" s="118"/>
      <c r="K14" s="118"/>
    </row>
    <row r="15" spans="3:11" x14ac:dyDescent="0.25">
      <c r="C15" s="232"/>
      <c r="D15" s="233"/>
      <c r="E15" s="233"/>
      <c r="F15" s="233"/>
      <c r="G15" s="233"/>
      <c r="H15" s="234"/>
      <c r="I15" s="118"/>
      <c r="J15" s="118"/>
      <c r="K15" s="118"/>
    </row>
    <row r="16" spans="3:11" ht="15.75" thickBot="1" x14ac:dyDescent="0.3">
      <c r="C16" s="235"/>
      <c r="D16" s="236"/>
      <c r="E16" s="236"/>
      <c r="F16" s="236"/>
      <c r="G16" s="236"/>
      <c r="H16" s="237"/>
      <c r="I16" s="118"/>
      <c r="J16" s="118"/>
      <c r="K16" s="118"/>
    </row>
    <row r="18" spans="3:10" ht="15.75" thickBot="1" x14ac:dyDescent="0.3"/>
    <row r="19" spans="3:10" x14ac:dyDescent="0.25">
      <c r="C19" s="149" t="s">
        <v>153</v>
      </c>
      <c r="D19" s="150">
        <v>1</v>
      </c>
      <c r="E19" s="108"/>
      <c r="F19" s="108"/>
      <c r="G19" s="108"/>
      <c r="H19" s="109"/>
    </row>
    <row r="20" spans="3:10" x14ac:dyDescent="0.25">
      <c r="C20" s="151" t="s">
        <v>154</v>
      </c>
      <c r="D20" s="152">
        <v>55</v>
      </c>
      <c r="F20" t="s">
        <v>163</v>
      </c>
      <c r="H20" s="110"/>
      <c r="I20" s="118"/>
      <c r="J20" s="118"/>
    </row>
    <row r="21" spans="3:10" ht="15.75" thickBot="1" x14ac:dyDescent="0.3">
      <c r="C21" s="151"/>
      <c r="D21" s="152"/>
      <c r="H21" s="110"/>
      <c r="I21" s="118"/>
      <c r="J21" s="118"/>
    </row>
    <row r="22" spans="3:10" x14ac:dyDescent="0.25">
      <c r="C22" s="229" t="s">
        <v>164</v>
      </c>
      <c r="D22" s="230"/>
      <c r="E22" s="230"/>
      <c r="F22" s="230"/>
      <c r="G22" s="230"/>
      <c r="H22" s="231"/>
      <c r="I22" s="118"/>
      <c r="J22" s="118"/>
    </row>
    <row r="23" spans="3:10" x14ac:dyDescent="0.25">
      <c r="C23" s="232"/>
      <c r="D23" s="233"/>
      <c r="E23" s="233"/>
      <c r="F23" s="233"/>
      <c r="G23" s="233"/>
      <c r="H23" s="234"/>
      <c r="I23" s="118"/>
      <c r="J23" s="118"/>
    </row>
    <row r="24" spans="3:10" ht="15.75" thickBot="1" x14ac:dyDescent="0.3">
      <c r="C24" s="235"/>
      <c r="D24" s="236"/>
      <c r="E24" s="236"/>
      <c r="F24" s="236"/>
      <c r="G24" s="236"/>
      <c r="H24" s="237"/>
    </row>
    <row r="26" spans="3:10" ht="15.75" thickBot="1" x14ac:dyDescent="0.3"/>
    <row r="27" spans="3:10" x14ac:dyDescent="0.25">
      <c r="C27" s="153" t="s">
        <v>153</v>
      </c>
      <c r="D27" s="154">
        <v>1</v>
      </c>
      <c r="E27" s="108"/>
      <c r="F27" s="108"/>
      <c r="G27" s="108"/>
      <c r="H27" s="109"/>
      <c r="I27" s="118"/>
      <c r="J27" s="118"/>
    </row>
    <row r="28" spans="3:10" x14ac:dyDescent="0.25">
      <c r="C28" s="155" t="s">
        <v>154</v>
      </c>
      <c r="D28" s="156">
        <v>52</v>
      </c>
      <c r="H28" s="110"/>
      <c r="I28" s="118"/>
      <c r="J28" s="118"/>
    </row>
    <row r="29" spans="3:10" ht="15.75" thickBot="1" x14ac:dyDescent="0.3">
      <c r="C29" s="155"/>
      <c r="D29" s="156"/>
      <c r="H29" s="110"/>
      <c r="I29" s="118"/>
      <c r="J29" s="118"/>
    </row>
    <row r="30" spans="3:10" x14ac:dyDescent="0.25">
      <c r="C30" s="229" t="s">
        <v>166</v>
      </c>
      <c r="D30" s="230"/>
      <c r="E30" s="230"/>
      <c r="F30" s="230"/>
      <c r="G30" s="230"/>
      <c r="H30" s="231"/>
      <c r="I30" s="118"/>
      <c r="J30" s="118"/>
    </row>
    <row r="31" spans="3:10" x14ac:dyDescent="0.25">
      <c r="C31" s="232"/>
      <c r="D31" s="233"/>
      <c r="E31" s="233"/>
      <c r="F31" s="233"/>
      <c r="G31" s="233"/>
      <c r="H31" s="234"/>
      <c r="I31" s="118"/>
      <c r="J31" s="118"/>
    </row>
    <row r="32" spans="3:10" ht="15.75" thickBot="1" x14ac:dyDescent="0.3">
      <c r="C32" s="235"/>
      <c r="D32" s="236"/>
      <c r="E32" s="236"/>
      <c r="F32" s="236"/>
      <c r="G32" s="236"/>
      <c r="H32" s="237"/>
    </row>
    <row r="34" spans="3:10" ht="15.75" thickBot="1" x14ac:dyDescent="0.3"/>
    <row r="35" spans="3:10" x14ac:dyDescent="0.25">
      <c r="C35" s="157" t="s">
        <v>153</v>
      </c>
      <c r="D35" s="158">
        <v>1</v>
      </c>
      <c r="E35" s="108"/>
      <c r="F35" s="108"/>
      <c r="G35" s="108"/>
      <c r="H35" s="109"/>
      <c r="I35" s="118"/>
      <c r="J35" s="118"/>
    </row>
    <row r="36" spans="3:10" x14ac:dyDescent="0.25">
      <c r="C36" s="159" t="s">
        <v>154</v>
      </c>
      <c r="D36" s="160" t="s">
        <v>168</v>
      </c>
      <c r="F36" t="s">
        <v>169</v>
      </c>
      <c r="H36" s="110"/>
      <c r="I36" s="118"/>
      <c r="J36" s="118"/>
    </row>
    <row r="37" spans="3:10" ht="15.75" thickBot="1" x14ac:dyDescent="0.3">
      <c r="C37" s="159"/>
      <c r="D37" s="160"/>
      <c r="H37" s="110"/>
      <c r="I37" s="118"/>
      <c r="J37" s="118"/>
    </row>
    <row r="38" spans="3:10" x14ac:dyDescent="0.25">
      <c r="C38" s="229" t="s">
        <v>174</v>
      </c>
      <c r="D38" s="230"/>
      <c r="E38" s="230"/>
      <c r="F38" s="230"/>
      <c r="G38" s="230"/>
      <c r="H38" s="231"/>
      <c r="I38" s="118"/>
      <c r="J38" s="118"/>
    </row>
    <row r="39" spans="3:10" x14ac:dyDescent="0.25">
      <c r="C39" s="232"/>
      <c r="D39" s="233"/>
      <c r="E39" s="233"/>
      <c r="F39" s="233"/>
      <c r="G39" s="233"/>
      <c r="H39" s="234"/>
      <c r="I39" s="118"/>
      <c r="J39" s="118"/>
    </row>
    <row r="40" spans="3:10" ht="42.75" customHeight="1" thickBot="1" x14ac:dyDescent="0.3">
      <c r="C40" s="235"/>
      <c r="D40" s="236"/>
      <c r="E40" s="236"/>
      <c r="F40" s="236"/>
      <c r="G40" s="236"/>
      <c r="H40" s="237"/>
      <c r="I40" s="118"/>
      <c r="J40" s="118"/>
    </row>
    <row r="42" spans="3:10" ht="15.75" thickBot="1" x14ac:dyDescent="0.3"/>
    <row r="43" spans="3:10" x14ac:dyDescent="0.25">
      <c r="C43" s="161" t="s">
        <v>153</v>
      </c>
      <c r="D43" s="162">
        <v>1</v>
      </c>
      <c r="E43" s="108"/>
      <c r="F43" s="108"/>
      <c r="G43" s="108"/>
      <c r="H43" s="109"/>
      <c r="I43" s="118"/>
      <c r="J43" s="118"/>
    </row>
    <row r="44" spans="3:10" x14ac:dyDescent="0.25">
      <c r="C44" s="163" t="s">
        <v>154</v>
      </c>
      <c r="D44" s="164" t="s">
        <v>170</v>
      </c>
      <c r="H44" s="110"/>
      <c r="I44" s="118"/>
      <c r="J44" s="118"/>
    </row>
    <row r="45" spans="3:10" ht="15.75" thickBot="1" x14ac:dyDescent="0.3">
      <c r="C45" s="163"/>
      <c r="D45" s="164"/>
      <c r="H45" s="110"/>
      <c r="I45" s="118"/>
      <c r="J45" s="118"/>
    </row>
    <row r="46" spans="3:10" x14ac:dyDescent="0.25">
      <c r="C46" s="229" t="s">
        <v>183</v>
      </c>
      <c r="D46" s="230"/>
      <c r="E46" s="230"/>
      <c r="F46" s="230"/>
      <c r="G46" s="230"/>
      <c r="H46" s="231"/>
      <c r="I46" s="118"/>
      <c r="J46" s="118"/>
    </row>
    <row r="47" spans="3:10" x14ac:dyDescent="0.25">
      <c r="C47" s="232"/>
      <c r="D47" s="233"/>
      <c r="E47" s="233"/>
      <c r="F47" s="233"/>
      <c r="G47" s="233"/>
      <c r="H47" s="234"/>
      <c r="I47" s="118"/>
      <c r="J47" s="118"/>
    </row>
    <row r="48" spans="3:10" ht="15.75" thickBot="1" x14ac:dyDescent="0.3">
      <c r="C48" s="235"/>
      <c r="D48" s="236"/>
      <c r="E48" s="236"/>
      <c r="F48" s="236"/>
      <c r="G48" s="236"/>
      <c r="H48" s="237"/>
      <c r="I48" s="118"/>
      <c r="J48" s="118"/>
    </row>
    <row r="50" spans="3:10" ht="15.75" thickBot="1" x14ac:dyDescent="0.3"/>
    <row r="51" spans="3:10" x14ac:dyDescent="0.25">
      <c r="C51" s="165" t="s">
        <v>153</v>
      </c>
      <c r="D51" s="166">
        <v>1</v>
      </c>
      <c r="E51" s="108"/>
      <c r="F51" s="108"/>
      <c r="G51" s="108"/>
      <c r="H51" s="109"/>
    </row>
    <row r="52" spans="3:10" x14ac:dyDescent="0.25">
      <c r="C52" s="167" t="s">
        <v>154</v>
      </c>
      <c r="D52" s="168" t="s">
        <v>172</v>
      </c>
      <c r="F52" t="s">
        <v>171</v>
      </c>
      <c r="H52" s="110"/>
      <c r="I52" s="118"/>
      <c r="J52" s="118"/>
    </row>
    <row r="53" spans="3:10" ht="15.75" thickBot="1" x14ac:dyDescent="0.3">
      <c r="C53" s="167"/>
      <c r="D53" s="168"/>
      <c r="H53" s="110"/>
      <c r="I53" s="118"/>
      <c r="J53" s="118"/>
    </row>
    <row r="54" spans="3:10" x14ac:dyDescent="0.25">
      <c r="C54" s="229" t="s">
        <v>173</v>
      </c>
      <c r="D54" s="230"/>
      <c r="E54" s="230"/>
      <c r="F54" s="230"/>
      <c r="G54" s="230"/>
      <c r="H54" s="231"/>
      <c r="I54" s="118"/>
      <c r="J54" s="118"/>
    </row>
    <row r="55" spans="3:10" x14ac:dyDescent="0.25">
      <c r="C55" s="232"/>
      <c r="D55" s="233"/>
      <c r="E55" s="233"/>
      <c r="F55" s="233"/>
      <c r="G55" s="233"/>
      <c r="H55" s="234"/>
      <c r="I55" s="118"/>
      <c r="J55" s="118"/>
    </row>
    <row r="56" spans="3:10" ht="15.75" thickBot="1" x14ac:dyDescent="0.3">
      <c r="C56" s="235"/>
      <c r="D56" s="236"/>
      <c r="E56" s="236"/>
      <c r="F56" s="236"/>
      <c r="G56" s="236"/>
      <c r="H56" s="237"/>
      <c r="I56" s="118"/>
      <c r="J56" s="118"/>
    </row>
    <row r="57" spans="3:10" x14ac:dyDescent="0.25">
      <c r="I57" s="118"/>
      <c r="J57" s="118"/>
    </row>
    <row r="58" spans="3:10" ht="15.75" thickBot="1" x14ac:dyDescent="0.3"/>
    <row r="59" spans="3:10" x14ac:dyDescent="0.25">
      <c r="C59" s="169" t="s">
        <v>153</v>
      </c>
      <c r="D59" s="170">
        <v>1</v>
      </c>
      <c r="E59" s="108"/>
      <c r="F59" s="108"/>
      <c r="G59" s="108"/>
      <c r="H59" s="109"/>
      <c r="I59" s="118"/>
      <c r="J59" s="118"/>
    </row>
    <row r="60" spans="3:10" x14ac:dyDescent="0.25">
      <c r="C60" s="171" t="s">
        <v>154</v>
      </c>
      <c r="D60" s="172" t="s">
        <v>175</v>
      </c>
      <c r="H60" s="110"/>
      <c r="I60" s="118"/>
      <c r="J60" s="118"/>
    </row>
    <row r="61" spans="3:10" ht="15.75" thickBot="1" x14ac:dyDescent="0.3">
      <c r="C61" s="171"/>
      <c r="D61" s="172"/>
      <c r="H61" s="110"/>
      <c r="I61" s="118"/>
      <c r="J61" s="118"/>
    </row>
    <row r="62" spans="3:10" x14ac:dyDescent="0.25">
      <c r="C62" s="229" t="s">
        <v>176</v>
      </c>
      <c r="D62" s="230"/>
      <c r="E62" s="230"/>
      <c r="F62" s="230"/>
      <c r="G62" s="230"/>
      <c r="H62" s="231"/>
      <c r="I62" s="118"/>
      <c r="J62" s="118"/>
    </row>
    <row r="63" spans="3:10" x14ac:dyDescent="0.25">
      <c r="C63" s="232"/>
      <c r="D63" s="233"/>
      <c r="E63" s="233"/>
      <c r="F63" s="233"/>
      <c r="G63" s="233"/>
      <c r="H63" s="234"/>
      <c r="I63" s="118"/>
      <c r="J63" s="118"/>
    </row>
    <row r="64" spans="3:10" ht="15.75" thickBot="1" x14ac:dyDescent="0.3">
      <c r="C64" s="235"/>
      <c r="D64" s="236"/>
      <c r="E64" s="236"/>
      <c r="F64" s="236"/>
      <c r="G64" s="236"/>
      <c r="H64" s="237"/>
    </row>
    <row r="66" spans="3:11" ht="15.75" thickBot="1" x14ac:dyDescent="0.3"/>
    <row r="67" spans="3:11" x14ac:dyDescent="0.25">
      <c r="C67" s="173" t="s">
        <v>153</v>
      </c>
      <c r="D67" s="174">
        <v>1</v>
      </c>
      <c r="E67" s="108"/>
      <c r="F67" s="108"/>
      <c r="G67" s="108"/>
      <c r="H67" s="109"/>
      <c r="I67" s="118"/>
      <c r="J67" s="118"/>
      <c r="K67" s="118"/>
    </row>
    <row r="68" spans="3:11" x14ac:dyDescent="0.25">
      <c r="C68" s="175" t="s">
        <v>154</v>
      </c>
      <c r="D68" s="176" t="s">
        <v>178</v>
      </c>
      <c r="G68" t="s">
        <v>178</v>
      </c>
      <c r="H68" s="110"/>
      <c r="I68" s="118"/>
      <c r="J68" s="118"/>
      <c r="K68" s="118"/>
    </row>
    <row r="69" spans="3:11" ht="15.75" thickBot="1" x14ac:dyDescent="0.3">
      <c r="C69" s="175"/>
      <c r="D69" s="176"/>
      <c r="H69" s="110"/>
      <c r="I69" s="118"/>
      <c r="J69" s="118"/>
      <c r="K69" s="118"/>
    </row>
    <row r="70" spans="3:11" x14ac:dyDescent="0.25">
      <c r="C70" s="229" t="s">
        <v>177</v>
      </c>
      <c r="D70" s="230"/>
      <c r="E70" s="230"/>
      <c r="F70" s="230"/>
      <c r="G70" s="230"/>
      <c r="H70" s="231"/>
      <c r="I70" s="118"/>
      <c r="J70" s="118"/>
      <c r="K70" s="118"/>
    </row>
    <row r="71" spans="3:11" x14ac:dyDescent="0.25">
      <c r="C71" s="232"/>
      <c r="D71" s="233"/>
      <c r="E71" s="233"/>
      <c r="F71" s="233"/>
      <c r="G71" s="233"/>
      <c r="H71" s="234"/>
      <c r="I71" s="118"/>
      <c r="J71" s="118"/>
      <c r="K71" s="118"/>
    </row>
    <row r="72" spans="3:11" ht="67.150000000000006" customHeight="1" thickBot="1" x14ac:dyDescent="0.3">
      <c r="C72" s="235"/>
      <c r="D72" s="236"/>
      <c r="E72" s="236"/>
      <c r="F72" s="236"/>
      <c r="G72" s="236"/>
      <c r="H72" s="237"/>
      <c r="I72" s="118"/>
      <c r="J72" s="118"/>
      <c r="K72" s="118"/>
    </row>
    <row r="73" spans="3:11" x14ac:dyDescent="0.25">
      <c r="I73" s="118"/>
      <c r="J73" s="118"/>
      <c r="K73" s="118"/>
    </row>
  </sheetData>
  <mergeCells count="9">
    <mergeCell ref="C62:H64"/>
    <mergeCell ref="C70:H72"/>
    <mergeCell ref="C54:H56"/>
    <mergeCell ref="C46:H48"/>
    <mergeCell ref="C6:H8"/>
    <mergeCell ref="C14:H16"/>
    <mergeCell ref="C22:H24"/>
    <mergeCell ref="C30:H32"/>
    <mergeCell ref="C38:H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7:D11"/>
  <sheetViews>
    <sheetView workbookViewId="0">
      <selection activeCell="A7" sqref="A7:E14"/>
    </sheetView>
  </sheetViews>
  <sheetFormatPr baseColWidth="10" defaultRowHeight="15" x14ac:dyDescent="0.25"/>
  <cols>
    <col min="4" max="4" width="15.28515625" customWidth="1"/>
  </cols>
  <sheetData>
    <row r="7" spans="1:4" x14ac:dyDescent="0.25">
      <c r="A7" t="s">
        <v>179</v>
      </c>
      <c r="D7" s="177">
        <v>712896.01</v>
      </c>
    </row>
    <row r="8" spans="1:4" x14ac:dyDescent="0.25">
      <c r="A8" t="s">
        <v>180</v>
      </c>
      <c r="D8" s="177">
        <v>476368</v>
      </c>
    </row>
    <row r="9" spans="1:4" x14ac:dyDescent="0.25">
      <c r="A9" t="s">
        <v>181</v>
      </c>
      <c r="D9">
        <v>13644</v>
      </c>
    </row>
    <row r="11" spans="1:4" x14ac:dyDescent="0.25">
      <c r="A11" t="s">
        <v>182</v>
      </c>
      <c r="D11" s="22">
        <f>D7-D8-D9</f>
        <v>222884.01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2026-09-06T22:27:41Z</cp:lastPrinted>
  <dcterms:created xsi:type="dcterms:W3CDTF">2023-09-17T12:29:07Z</dcterms:created>
  <dcterms:modified xsi:type="dcterms:W3CDTF">2026-09-06T22:27:52Z</dcterms:modified>
</cp:coreProperties>
</file>