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 MITRE\Junio\"/>
    </mc:Choice>
  </mc:AlternateContent>
  <xr:revisionPtr revIDLastSave="0" documentId="13_ncr:1_{C0417D70-2E5F-44D2-8BD5-07AFB0ED6F84}" xr6:coauthVersionLast="47" xr6:coauthVersionMax="47" xr10:uidLastSave="{00000000-0000-0000-0000-000000000000}"/>
  <bookViews>
    <workbookView xWindow="-108" yWindow="-108" windowWidth="23256" windowHeight="12576" tabRatio="793" activeTab="1" xr2:uid="{00000000-000D-0000-FFFF-FFFF00000000}"/>
  </bookViews>
  <sheets>
    <sheet name="RESUMEN" sheetId="1" r:id="rId1"/>
    <sheet name="PRORRATEO" sheetId="2" r:id="rId2"/>
    <sheet name="ANOTACIONES" sheetId="3" r:id="rId3"/>
    <sheet name="Hoja1" sheetId="4" r:id="rId4"/>
  </sheets>
  <definedNames>
    <definedName name="_xlnm.Print_Area" localSheetId="1">PRORRATEO!$A$1:$O$75</definedName>
    <definedName name="_xlnm.Print_Area" localSheetId="0">RESUMEN!$A$1:$D$115</definedName>
  </definedNames>
  <calcPr calcId="181029"/>
</workbook>
</file>

<file path=xl/calcChain.xml><?xml version="1.0" encoding="utf-8"?>
<calcChain xmlns="http://schemas.openxmlformats.org/spreadsheetml/2006/main">
  <c r="D35" i="3" l="1"/>
  <c r="D27" i="3"/>
  <c r="D19" i="3"/>
  <c r="D11" i="3" l="1"/>
  <c r="D72" i="1"/>
  <c r="D70" i="1"/>
  <c r="D66" i="1"/>
  <c r="D57" i="1"/>
  <c r="D50" i="1"/>
  <c r="D39" i="1"/>
  <c r="D42" i="1"/>
  <c r="B101" i="1"/>
  <c r="G15" i="2"/>
  <c r="G62" i="2" l="1"/>
  <c r="G21" i="2"/>
  <c r="G61" i="2"/>
  <c r="G46" i="2"/>
  <c r="G45" i="2"/>
  <c r="B114" i="1"/>
  <c r="G33" i="2"/>
  <c r="G32" i="2"/>
  <c r="G19" i="2"/>
  <c r="G41" i="2"/>
  <c r="G40" i="2"/>
  <c r="G38" i="2"/>
  <c r="G37" i="2"/>
  <c r="G43" i="2"/>
  <c r="G58" i="2"/>
  <c r="G9" i="2"/>
  <c r="G36" i="2"/>
  <c r="G56" i="2"/>
  <c r="G55" i="2"/>
  <c r="G54" i="2"/>
  <c r="F52" i="2"/>
  <c r="G51" i="2"/>
  <c r="G27" i="2"/>
  <c r="C69" i="1"/>
  <c r="D46" i="1"/>
  <c r="E62" i="1"/>
  <c r="N1" i="2" l="1"/>
  <c r="G35" i="2"/>
  <c r="C30" i="1"/>
  <c r="C33" i="1"/>
  <c r="G42" i="2" l="1"/>
  <c r="G20" i="2" l="1"/>
  <c r="I19" i="2" s="1"/>
  <c r="J19" i="2" s="1"/>
  <c r="I33" i="2"/>
  <c r="J33" i="2" s="1"/>
  <c r="I52" i="2"/>
  <c r="J52" i="2" s="1"/>
  <c r="I49" i="2"/>
  <c r="J49" i="2" s="1"/>
  <c r="G29" i="2"/>
  <c r="I29" i="2" s="1"/>
  <c r="J29" i="2" s="1"/>
  <c r="I12" i="2"/>
  <c r="J12" i="2" s="1"/>
  <c r="I57" i="2"/>
  <c r="J57" i="2" s="1"/>
  <c r="L46" i="2"/>
  <c r="L47" i="2"/>
  <c r="L48" i="2"/>
  <c r="L49" i="2"/>
  <c r="L50" i="2"/>
  <c r="L51" i="2"/>
  <c r="L52" i="2"/>
  <c r="L53" i="2"/>
  <c r="L54" i="2"/>
  <c r="L55" i="2"/>
  <c r="L56" i="2"/>
  <c r="L57" i="2"/>
  <c r="L58" i="2"/>
  <c r="L59" i="2"/>
  <c r="L60" i="2"/>
  <c r="L61" i="2"/>
  <c r="L62" i="2"/>
  <c r="L63" i="2"/>
  <c r="L64" i="2"/>
  <c r="K46" i="2"/>
  <c r="K47" i="2"/>
  <c r="K48" i="2"/>
  <c r="K49" i="2"/>
  <c r="K50" i="2"/>
  <c r="K51" i="2"/>
  <c r="K52" i="2"/>
  <c r="K53" i="2"/>
  <c r="K54" i="2"/>
  <c r="K55" i="2"/>
  <c r="K56" i="2"/>
  <c r="K57" i="2"/>
  <c r="K58" i="2"/>
  <c r="K59" i="2"/>
  <c r="K60" i="2"/>
  <c r="K61" i="2"/>
  <c r="K62" i="2"/>
  <c r="K63" i="2"/>
  <c r="K64" i="2"/>
  <c r="I46" i="2"/>
  <c r="J46" i="2" s="1"/>
  <c r="I47" i="2"/>
  <c r="J47" i="2" s="1"/>
  <c r="I48" i="2"/>
  <c r="J48" i="2" s="1"/>
  <c r="I50" i="2"/>
  <c r="J50" i="2" s="1"/>
  <c r="I51" i="2"/>
  <c r="J51" i="2" s="1"/>
  <c r="I53" i="2"/>
  <c r="J53" i="2" s="1"/>
  <c r="I54" i="2"/>
  <c r="J54" i="2" s="1"/>
  <c r="I55" i="2"/>
  <c r="J55" i="2" s="1"/>
  <c r="I56" i="2"/>
  <c r="J56" i="2" s="1"/>
  <c r="I58" i="2"/>
  <c r="J58" i="2" s="1"/>
  <c r="I59" i="2"/>
  <c r="J59" i="2" s="1"/>
  <c r="I60" i="2"/>
  <c r="J60" i="2" s="1"/>
  <c r="I61" i="2"/>
  <c r="J61" i="2" s="1"/>
  <c r="I62" i="2"/>
  <c r="J62" i="2" s="1"/>
  <c r="I63" i="2"/>
  <c r="J63" i="2" s="1"/>
  <c r="I64" i="2"/>
  <c r="J64" i="2" s="1"/>
  <c r="M66" i="2"/>
  <c r="F66" i="2"/>
  <c r="E66" i="2"/>
  <c r="L7" i="2"/>
  <c r="K7" i="2"/>
  <c r="I7" i="2"/>
  <c r="J7" i="2" s="1"/>
  <c r="D49" i="1"/>
  <c r="D48" i="1"/>
  <c r="P7" i="2"/>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I45" i="2"/>
  <c r="J45" i="2" s="1"/>
  <c r="B8" i="2"/>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I13" i="2"/>
  <c r="J13" i="2" s="1"/>
  <c r="I14" i="2"/>
  <c r="I15" i="2"/>
  <c r="J15" i="2" s="1"/>
  <c r="I16" i="2"/>
  <c r="J16" i="2" s="1"/>
  <c r="I17" i="2"/>
  <c r="J17" i="2" s="1"/>
  <c r="I18" i="2"/>
  <c r="J18" i="2" s="1"/>
  <c r="I20" i="2"/>
  <c r="J20" i="2" s="1"/>
  <c r="I21" i="2"/>
  <c r="J21" i="2" s="1"/>
  <c r="I22" i="2"/>
  <c r="I23" i="2"/>
  <c r="J23" i="2" s="1"/>
  <c r="I25" i="2"/>
  <c r="J25" i="2" s="1"/>
  <c r="I26" i="2"/>
  <c r="J26" i="2" s="1"/>
  <c r="I27" i="2"/>
  <c r="J27" i="2" s="1"/>
  <c r="I30" i="2"/>
  <c r="J30" i="2" s="1"/>
  <c r="I34" i="2"/>
  <c r="J34" i="2" s="1"/>
  <c r="I37" i="2"/>
  <c r="J37" i="2" s="1"/>
  <c r="I39" i="2"/>
  <c r="J39" i="2" s="1"/>
  <c r="I44" i="2"/>
  <c r="J44" i="2" s="1"/>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I24" i="2"/>
  <c r="J24" i="2" s="1"/>
  <c r="I41" i="2"/>
  <c r="J41" i="2" s="1"/>
  <c r="I43" i="2"/>
  <c r="J43" i="2" s="1"/>
  <c r="I36" i="2"/>
  <c r="J36" i="2" s="1"/>
  <c r="I42" i="2"/>
  <c r="J42" i="2" s="1"/>
  <c r="P47" i="2" l="1"/>
  <c r="N46" i="2"/>
  <c r="O46" i="2" s="1"/>
  <c r="G66" i="2"/>
  <c r="I35" i="2"/>
  <c r="J35" i="2" s="1"/>
  <c r="N47" i="2"/>
  <c r="O47" i="2" s="1"/>
  <c r="P48" i="2"/>
  <c r="N7" i="2"/>
  <c r="O7" i="2" s="1"/>
  <c r="J22" i="2"/>
  <c r="J14" i="2"/>
  <c r="I31" i="2"/>
  <c r="J31" i="2" s="1"/>
  <c r="I28" i="2"/>
  <c r="J28" i="2" s="1"/>
  <c r="N48" i="2" l="1"/>
  <c r="O48" i="2" s="1"/>
  <c r="P49" i="2"/>
  <c r="C26" i="1"/>
  <c r="D34" i="1" s="1"/>
  <c r="I40" i="2"/>
  <c r="J40" i="2" s="1"/>
  <c r="P50" i="2" l="1"/>
  <c r="N49" i="2"/>
  <c r="O49" i="2" s="1"/>
  <c r="P51" i="2" l="1"/>
  <c r="N50" i="2"/>
  <c r="O50" i="2" l="1"/>
  <c r="N51" i="2"/>
  <c r="O51" i="2" s="1"/>
  <c r="P52" i="2"/>
  <c r="I38" i="2"/>
  <c r="J38" i="2" s="1"/>
  <c r="N52" i="2" l="1"/>
  <c r="O52" i="2" s="1"/>
  <c r="P53" i="2"/>
  <c r="I32" i="2"/>
  <c r="J32" i="2" s="1"/>
  <c r="P54" i="2" l="1"/>
  <c r="N53" i="2"/>
  <c r="O53" i="2" s="1"/>
  <c r="L6" i="2"/>
  <c r="I8" i="2"/>
  <c r="J8" i="2" s="1"/>
  <c r="I9" i="2"/>
  <c r="I10" i="2"/>
  <c r="J10" i="2" s="1"/>
  <c r="I11" i="2"/>
  <c r="J11" i="2" s="1"/>
  <c r="J9" i="2" l="1"/>
  <c r="N54" i="2"/>
  <c r="O54" i="2" s="1"/>
  <c r="P55" i="2"/>
  <c r="H66" i="2"/>
  <c r="N55" i="2" l="1"/>
  <c r="O55" i="2" s="1"/>
  <c r="P56" i="2"/>
  <c r="P57" i="2" l="1"/>
  <c r="N56" i="2"/>
  <c r="O56" i="2" s="1"/>
  <c r="K8" i="2"/>
  <c r="K9" i="2"/>
  <c r="K10" i="2"/>
  <c r="K11" i="2"/>
  <c r="K6" i="2"/>
  <c r="K66" i="2" l="1"/>
  <c r="P58" i="2"/>
  <c r="N57" i="2"/>
  <c r="O57" i="2" s="1"/>
  <c r="D81" i="1"/>
  <c r="D86" i="1" s="1"/>
  <c r="B90" i="1" s="1"/>
  <c r="B103" i="1" s="1"/>
  <c r="P59" i="2" l="1"/>
  <c r="N58" i="2"/>
  <c r="O58" i="2" s="1"/>
  <c r="B98" i="1"/>
  <c r="N59" i="2" l="1"/>
  <c r="O59" i="2" s="1"/>
  <c r="P60" i="2"/>
  <c r="D74" i="1"/>
  <c r="N60" i="2" l="1"/>
  <c r="O60" i="2" s="1"/>
  <c r="P61" i="2"/>
  <c r="N5" i="2"/>
  <c r="P62" i="2" l="1"/>
  <c r="N61" i="2"/>
  <c r="O61" i="2" s="1"/>
  <c r="N12" i="2"/>
  <c r="O12" i="2" s="1"/>
  <c r="B97" i="1"/>
  <c r="N62" i="2" l="1"/>
  <c r="O62" i="2" s="1"/>
  <c r="P63" i="2"/>
  <c r="N13" i="2"/>
  <c r="O13" i="2" s="1"/>
  <c r="I6" i="2"/>
  <c r="J6" i="2" l="1"/>
  <c r="J66" i="2" s="1"/>
  <c r="I66" i="2"/>
  <c r="N63" i="2"/>
  <c r="O63" i="2" s="1"/>
  <c r="P64" i="2"/>
  <c r="N64" i="2" s="1"/>
  <c r="N14" i="2"/>
  <c r="O14" i="2" s="1"/>
  <c r="B91" i="1"/>
  <c r="O64" i="2" l="1"/>
  <c r="N15" i="2"/>
  <c r="O15" i="2" s="1"/>
  <c r="B89" i="1"/>
  <c r="B102" i="1" s="1"/>
  <c r="B104" i="1" s="1"/>
  <c r="L8" i="2"/>
  <c r="L9" i="2"/>
  <c r="N9" i="2" s="1"/>
  <c r="L10" i="2"/>
  <c r="N10" i="2" s="1"/>
  <c r="L11" i="2"/>
  <c r="N11" i="2" s="1"/>
  <c r="N6" i="2"/>
  <c r="L66" i="2" l="1"/>
  <c r="N16" i="2"/>
  <c r="O16" i="2" s="1"/>
  <c r="N8" i="2"/>
  <c r="O8" i="2" s="1"/>
  <c r="O6" i="2"/>
  <c r="O11" i="2"/>
  <c r="O10" i="2"/>
  <c r="O9" i="2"/>
  <c r="N17" i="2" l="1"/>
  <c r="O17" i="2" s="1"/>
  <c r="N18" i="2" l="1"/>
  <c r="B88" i="1"/>
  <c r="O18" i="2" l="1"/>
  <c r="N19" i="2"/>
  <c r="O19" i="2" s="1"/>
  <c r="N20" i="2" l="1"/>
  <c r="N21" i="2" l="1"/>
  <c r="O21" i="2" s="1"/>
  <c r="O20" i="2"/>
  <c r="N22" i="2" l="1"/>
  <c r="O22" i="2" s="1"/>
  <c r="N23" i="2" l="1"/>
  <c r="N24" i="2" l="1"/>
  <c r="O24" i="2" s="1"/>
  <c r="O23" i="2"/>
  <c r="N25" i="2" l="1"/>
  <c r="O25" i="2" l="1"/>
  <c r="N26" i="2"/>
  <c r="O26" i="2" s="1"/>
  <c r="N27" i="2" l="1"/>
  <c r="O27" i="2" s="1"/>
  <c r="N28" i="2" l="1"/>
  <c r="O28" i="2" s="1"/>
  <c r="N29" i="2" l="1"/>
  <c r="O29" i="2" s="1"/>
  <c r="N30" i="2" l="1"/>
  <c r="O30" i="2" s="1"/>
  <c r="N31" i="2" l="1"/>
  <c r="O31" i="2" s="1"/>
  <c r="N32" i="2" l="1"/>
  <c r="O32" i="2" s="1"/>
  <c r="N33" i="2" l="1"/>
  <c r="O33" i="2" s="1"/>
  <c r="N34" i="2" l="1"/>
  <c r="O34" i="2" s="1"/>
  <c r="N35" i="2" l="1"/>
  <c r="O35" i="2" l="1"/>
  <c r="N36" i="2"/>
  <c r="O36" i="2" s="1"/>
  <c r="N37" i="2" l="1"/>
  <c r="O37" i="2" s="1"/>
  <c r="N38" i="2" l="1"/>
  <c r="O38" i="2" s="1"/>
  <c r="N39" i="2" l="1"/>
  <c r="O39" i="2" s="1"/>
  <c r="N40" i="2" l="1"/>
  <c r="O40" i="2" s="1"/>
  <c r="N41" i="2" l="1"/>
  <c r="O41" i="2" s="1"/>
  <c r="N42" i="2" l="1"/>
  <c r="O42" i="2" s="1"/>
  <c r="N43" i="2" l="1"/>
  <c r="O43" i="2" l="1"/>
  <c r="N45" i="2"/>
  <c r="O45" i="2" s="1"/>
  <c r="N44" i="2"/>
  <c r="N66" i="2" l="1"/>
  <c r="O44" i="2"/>
  <c r="O66" i="2" s="1"/>
</calcChain>
</file>

<file path=xl/sharedStrings.xml><?xml version="1.0" encoding="utf-8"?>
<sst xmlns="http://schemas.openxmlformats.org/spreadsheetml/2006/main" count="266" uniqueCount="199">
  <si>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</si>
  <si>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</si>
  <si>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</si>
  <si>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</si>
  <si>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</si>
  <si>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</si>
  <si>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</si>
  <si>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</si>
  <si>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</si>
  <si>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</si>
  <si>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</si>
  <si>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</si>
  <si>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</si>
  <si>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</si>
  <si>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</si>
  <si>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</si>
  <si>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</si>
  <si>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</si>
  <si>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</si>
  <si>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</si>
  <si>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</si>
  <si>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</si>
  <si>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</si>
  <si>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</si>
  <si>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</si>
  <si>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</si>
  <si>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</si>
  <si>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</si>
  <si>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</si>
  <si>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</si>
  <si>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</si>
  <si>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</si>
  <si>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</si>
  <si>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</si>
  <si>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</si>
  <si>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</si>
  <si>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</si>
  <si>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</si>
  <si>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</si>
  <si>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</si>
  <si>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</si>
  <si>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</si>
  <si>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</si>
  <si>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</si>
  <si>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</si>
  <si>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</si>
  <si>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</si>
  <si>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</si>
  <si>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</si>
  <si>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</si>
  <si>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</si>
  <si>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</si>
  <si>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</si>
  <si>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</si>
  <si>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</si>
  <si>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</si>
  <si>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</si>
  <si>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</si>
  <si>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</si>
  <si>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</si>
  <si>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</si>
  <si>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</si>
  <si>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</si>
  <si>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</si>
  <si>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</si>
  <si>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</si>
  <si>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</si>
  <si>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</si>
  <si>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</si>
  <si>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</si>
  <si>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</si>
  <si>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</si>
  <si>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</si>
  <si>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</si>
  <si>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</si>
  <si>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</si>
  <si>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</si>
  <si>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</si>
  <si>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</si>
  <si>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</si>
  <si>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</si>
  <si>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</si>
  <si>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</si>
  <si>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</si>
  <si>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</si>
  <si>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</si>
  <si>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</si>
  <si>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</si>
  <si>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</si>
  <si>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</si>
  <si>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</si>
  <si>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</si>
  <si>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</si>
  <si>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</si>
  <si>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</si>
  <si>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</si>
  <si>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</si>
  <si>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</si>
  <si>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</si>
  <si>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</si>
  <si>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</si>
  <si>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</si>
  <si>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</si>
  <si>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</si>
  <si>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</si>
  <si>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</si>
  <si>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</si>
  <si>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</si>
  <si>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</si>
  <si>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</si>
  <si>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</si>
  <si>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</si>
  <si>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</si>
  <si>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</si>
  <si>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</si>
  <si>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</si>
  <si>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</si>
  <si>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</si>
  <si>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</si>
  <si>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</si>
  <si>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</si>
  <si>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</si>
  <si>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</si>
  <si>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</si>
  <si>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</si>
  <si>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</si>
  <si>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</si>
  <si>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</si>
  <si>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</si>
  <si>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 xml:space="preserve">Planes de pago - Afip - aportes de seg. social 06/2022 y 11/2022 </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</si>
  <si>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</si>
  <si>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</si>
  <si>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</si>
  <si>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</si>
  <si>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</si>
  <si>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</si>
  <si>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</si>
  <si>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</si>
  <si>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</si>
  <si>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</si>
  <si>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</si>
  <si>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</si>
  <si>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</si>
  <si>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</si>
  <si>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</si>
  <si>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</si>
  <si>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</si>
  <si>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</si>
  <si>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</si>
  <si>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</si>
  <si>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</si>
  <si>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</si>
  <si>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</si>
  <si>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</si>
  <si>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</si>
  <si>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</si>
  <si>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Andes elevadores - Servicio de mantenimiento de ascensores</t>
  </si>
  <si>
    <t>Honorarios Sra. Abogada - Lorena Ferreiro</t>
  </si>
  <si>
    <t>Transf 12/05</t>
  </si>
  <si>
    <t>TSG - Municipalidad de avellaneda</t>
  </si>
  <si>
    <t>AySa</t>
  </si>
  <si>
    <t>Gustavo Padron - Sr. Contador</t>
  </si>
  <si>
    <t>No se debitaron</t>
  </si>
  <si>
    <t>Deposito ya identificado mes anterior</t>
  </si>
  <si>
    <t>Juana Acuña</t>
  </si>
  <si>
    <t>Frisco - Capetello Silvia Viviana</t>
  </si>
  <si>
    <t>VTO 17/07</t>
  </si>
  <si>
    <t>Carrafiele Julio -  Mes de MAYO</t>
  </si>
  <si>
    <t>Ivana del Carmen Roldan -  Mes de MAYO</t>
  </si>
  <si>
    <t>creo que cobran mes atrasado</t>
  </si>
  <si>
    <t>Transf 22/06</t>
  </si>
  <si>
    <t>Grafica Tauge - Fotocopias BYN</t>
  </si>
  <si>
    <t>Transf 09/06</t>
  </si>
  <si>
    <t>Transf 08/06</t>
  </si>
  <si>
    <t>Transf 18/06</t>
  </si>
  <si>
    <t>Articulos de limpieza</t>
  </si>
  <si>
    <t>Andes elevadores - ReProvision y colocacion de nueva manga de cable para conexionado de indicador de PB por corto en el existente</t>
  </si>
  <si>
    <t>Transf 11/06</t>
  </si>
  <si>
    <t>Servisur - Instalacion tortuga plastica y lampara en escalera</t>
  </si>
  <si>
    <t>Casa ruan - Compra de materiales electricos</t>
  </si>
  <si>
    <t>Debito 12/06</t>
  </si>
  <si>
    <t>Cuota 34/36 - planes de pago - Afip - contrib. de seg. social 06/2022 y 11/2022</t>
  </si>
  <si>
    <t>Debito 25/06</t>
  </si>
  <si>
    <t>Honorarios administracion RC - Pago del mes de Mayo Y Abril ($1.300.000) - Se adeudan $590.000 y Junio completo ($650.000)</t>
  </si>
  <si>
    <t>Rocio Ailin - Transferencia 16/06</t>
  </si>
  <si>
    <t>Cervacio jesica Romina - Transferencia 22/06</t>
  </si>
  <si>
    <t>Deposito ya identificado mes anterior (marzo)</t>
  </si>
  <si>
    <t>Luciano Petri - Transferencia 16/06</t>
  </si>
  <si>
    <t>PREVISION ORDINARIA ARCA Y SAC</t>
  </si>
  <si>
    <t>Dinero Fondo FIMA - Al 05/07/2026</t>
  </si>
  <si>
    <t>Local 5</t>
  </si>
  <si>
    <t>El deposito no identificado del 22/05 por $600.000 es de el - Debe aboanr $474.829 contando el deposito y quita de punitorios</t>
  </si>
  <si>
    <t>Frisco</t>
  </si>
  <si>
    <t>Local 15</t>
  </si>
  <si>
    <t>Dice que nos falto ponerle un pago del 28/05 de $150.000 - Nosotros le contrestamos: Buenos días, estimada Silvina:
En el mes de mayo tenemos registrada la contabilización de un pago de $150.000 correspondiente al Local 15.
¿Podría confirmarnos si realizó dos pagos por ese mismo importe?</t>
  </si>
  <si>
    <t xml:space="preserve">Deposito el 12/06 $262.000 - reveer </t>
  </si>
  <si>
    <t>Deposito  $ 112.000,00 abonado el día 08 de julio de 2026</t>
  </si>
  <si>
    <t xml:space="preserve"> local 16 Atanes mikaela Galería Monumenta pago $170.000 20/07</t>
  </si>
  <si>
    <t>L 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</si>
</sst>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8"/>
      <color theme="1"/>
      <name val="Calibri"/>
      <family val="2"/>
      <scheme val="minor"/>
    </font>
    <font>
      <sz val="9"/>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
      <b/>
      <sz val="12"/>
      <name val="Calibri"/>
      <family val="2"/>
      <scheme val="minor"/>
    </font>
    <font>
      <b/>
      <sz val="16"/>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8"/>
        <bgColor indexed="64"/>
      </patternFill>
    </fill>
    <fill>
      <patternFill patternType="solid">
        <fgColor theme="9" tint="-0.249977111117893"/>
        <bgColor indexed="64"/>
      </patternFill>
    </fill>
    <fill>
      <patternFill patternType="solid">
        <fgColor theme="5"/>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3">
    <xf numFmtId="0" fontId="0" fillId="0" borderId="0" xfId="0"/>
    <xf numFmtId="0" fontId="2" fillId="0" borderId="0" xfId="0" applyFont="1"/>
    <xf numFmtId="0" fontId="0" fillId="3" borderId="0" xfId="0" applyFill="1"/>
    <xf numFmtId="0" fontId="0" fillId="0" borderId="5" xfId="0" applyBorder="1"/>
    <xf numFmtId="8" fontId="0" fillId="0" borderId="0" xfId="0" applyNumberFormat="1"/>
    <xf numFmtId="0" fontId="5" fillId="6" borderId="0" xfId="0" applyFont="1" applyFill="1"/>
    <xf numFmtId="0" fontId="6" fillId="0" borderId="1" xfId="0" applyFont="1" applyBorder="1"/>
    <xf numFmtId="0" fontId="6" fillId="0" borderId="1" xfId="0" applyFont="1" applyBorder="1" applyAlignment="1">
      <alignment vertical="center" wrapText="1"/>
    </xf>
    <xf numFmtId="8" fontId="7" fillId="4" borderId="6" xfId="0" applyNumberFormat="1"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12" fillId="0" borderId="0" xfId="0" applyFont="1"/>
    <xf numFmtId="8" fontId="15" fillId="11" borderId="6" xfId="0" applyNumberFormat="1" applyFont="1" applyFill="1" applyBorder="1"/>
    <xf numFmtId="0" fontId="14"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3" fillId="0" borderId="1" xfId="0" applyFont="1" applyBorder="1"/>
    <xf numFmtId="44" fontId="10" fillId="4" borderId="1" xfId="1" applyFont="1" applyFill="1" applyBorder="1"/>
    <xf numFmtId="0" fontId="13" fillId="0" borderId="1" xfId="0" applyFont="1" applyBorder="1" applyAlignment="1">
      <alignment horizontal="center"/>
    </xf>
    <xf numFmtId="44" fontId="16" fillId="0" borderId="1" xfId="1" applyFont="1" applyBorder="1"/>
    <xf numFmtId="44" fontId="16" fillId="2" borderId="1" xfId="1" applyFont="1" applyFill="1" applyBorder="1"/>
    <xf numFmtId="165" fontId="16" fillId="2" borderId="1" xfId="1" applyNumberFormat="1" applyFont="1" applyFill="1" applyBorder="1"/>
    <xf numFmtId="165" fontId="13" fillId="0" borderId="1" xfId="0" applyNumberFormat="1" applyFont="1" applyBorder="1"/>
    <xf numFmtId="165" fontId="13" fillId="0" borderId="1" xfId="1" applyNumberFormat="1" applyFont="1" applyBorder="1"/>
    <xf numFmtId="44" fontId="13" fillId="0" borderId="6" xfId="1" applyFont="1" applyBorder="1"/>
    <xf numFmtId="44" fontId="16" fillId="0" borderId="25" xfId="1" applyFont="1" applyBorder="1"/>
    <xf numFmtId="44" fontId="16" fillId="0" borderId="27" xfId="1" applyFont="1" applyBorder="1"/>
    <xf numFmtId="44" fontId="17" fillId="0" borderId="1" xfId="1" applyFont="1" applyBorder="1"/>
    <xf numFmtId="165" fontId="17" fillId="2" borderId="1" xfId="1" applyNumberFormat="1" applyFont="1" applyFill="1" applyBorder="1"/>
    <xf numFmtId="165" fontId="17" fillId="0" borderId="1" xfId="0" applyNumberFormat="1" applyFont="1" applyBorder="1"/>
    <xf numFmtId="165" fontId="17" fillId="0" borderId="1" xfId="1" applyNumberFormat="1" applyFont="1" applyBorder="1"/>
    <xf numFmtId="0" fontId="13" fillId="10" borderId="21" xfId="0" applyFont="1" applyFill="1" applyBorder="1"/>
    <xf numFmtId="0" fontId="13" fillId="4" borderId="26" xfId="0" applyFont="1" applyFill="1" applyBorder="1"/>
    <xf numFmtId="44" fontId="13" fillId="4" borderId="2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18" fillId="4" borderId="3" xfId="1" applyFont="1" applyFill="1" applyBorder="1"/>
    <xf numFmtId="44" fontId="10" fillId="4" borderId="21" xfId="1" applyFont="1" applyFill="1" applyBorder="1"/>
    <xf numFmtId="44" fontId="19" fillId="4" borderId="3" xfId="1" applyFont="1" applyFill="1" applyBorder="1"/>
    <xf numFmtId="0" fontId="19"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19" fillId="2" borderId="1" xfId="1" applyFont="1" applyFill="1" applyBorder="1"/>
    <xf numFmtId="44" fontId="10" fillId="4" borderId="2" xfId="1" applyFont="1" applyFill="1" applyBorder="1"/>
    <xf numFmtId="44" fontId="19" fillId="2" borderId="3" xfId="1" applyFont="1" applyFill="1" applyBorder="1"/>
    <xf numFmtId="8" fontId="7" fillId="4" borderId="22" xfId="0" applyNumberFormat="1" applyFont="1" applyFill="1" applyBorder="1"/>
    <xf numFmtId="0" fontId="19" fillId="0" borderId="4" xfId="0" applyFont="1" applyBorder="1"/>
    <xf numFmtId="44" fontId="10" fillId="8" borderId="13" xfId="1" applyFont="1" applyFill="1" applyBorder="1"/>
    <xf numFmtId="0" fontId="4" fillId="0" borderId="0" xfId="0" applyFont="1"/>
    <xf numFmtId="0" fontId="19"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7" fillId="0" borderId="1" xfId="1" applyFont="1" applyBorder="1"/>
    <xf numFmtId="8" fontId="15" fillId="11" borderId="1" xfId="0" applyNumberFormat="1" applyFont="1" applyFill="1" applyBorder="1"/>
    <xf numFmtId="0" fontId="4" fillId="2" borderId="1" xfId="0" applyFont="1" applyFill="1" applyBorder="1"/>
    <xf numFmtId="0" fontId="0" fillId="2" borderId="0" xfId="0" applyFill="1"/>
    <xf numFmtId="43" fontId="0" fillId="0" borderId="0" xfId="0" applyNumberFormat="1"/>
    <xf numFmtId="44" fontId="20" fillId="2" borderId="1" xfId="1" applyFont="1" applyFill="1" applyBorder="1"/>
    <xf numFmtId="0" fontId="14" fillId="2" borderId="1" xfId="1" applyNumberFormat="1" applyFont="1" applyFill="1" applyBorder="1" applyAlignment="1">
      <alignment horizontal="left"/>
    </xf>
    <xf numFmtId="0" fontId="14" fillId="2" borderId="2" xfId="1" applyNumberFormat="1" applyFont="1" applyFill="1" applyBorder="1" applyAlignment="1"/>
    <xf numFmtId="44" fontId="14" fillId="0" borderId="2" xfId="1" applyFont="1" applyBorder="1"/>
    <xf numFmtId="0" fontId="14" fillId="2" borderId="1" xfId="1" applyNumberFormat="1" applyFont="1" applyFill="1" applyBorder="1" applyAlignment="1"/>
    <xf numFmtId="44" fontId="14" fillId="0" borderId="1" xfId="1" applyFont="1" applyBorder="1"/>
    <xf numFmtId="8" fontId="4" fillId="2" borderId="1" xfId="0" applyNumberFormat="1" applyFont="1" applyFill="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3" fillId="2" borderId="1" xfId="0" applyFont="1" applyFill="1" applyBorder="1"/>
    <xf numFmtId="0" fontId="13" fillId="2" borderId="1" xfId="0" applyFont="1" applyFill="1" applyBorder="1" applyAlignment="1">
      <alignment horizontal="center"/>
    </xf>
    <xf numFmtId="165" fontId="13" fillId="2" borderId="1" xfId="0" applyNumberFormat="1" applyFont="1" applyFill="1" applyBorder="1"/>
    <xf numFmtId="165" fontId="13" fillId="2" borderId="1" xfId="1" applyNumberFormat="1" applyFont="1" applyFill="1" applyBorder="1"/>
    <xf numFmtId="44" fontId="13" fillId="2" borderId="6" xfId="1" applyFont="1" applyFill="1" applyBorder="1"/>
    <xf numFmtId="44" fontId="16" fillId="2" borderId="25" xfId="1" applyFont="1" applyFill="1" applyBorder="1"/>
    <xf numFmtId="44" fontId="16" fillId="2" borderId="27" xfId="1" applyFont="1" applyFill="1" applyBorder="1"/>
    <xf numFmtId="4" fontId="0" fillId="0" borderId="0" xfId="0" applyNumberFormat="1"/>
    <xf numFmtId="0" fontId="19" fillId="2" borderId="1" xfId="1" applyNumberFormat="1" applyFont="1" applyFill="1" applyBorder="1" applyAlignment="1"/>
    <xf numFmtId="44" fontId="4" fillId="0" borderId="1" xfId="1" applyFont="1" applyBorder="1" applyAlignment="1">
      <alignment vertical="center" wrapText="1"/>
    </xf>
    <xf numFmtId="8" fontId="4" fillId="2" borderId="6" xfId="0" applyNumberFormat="1" applyFont="1" applyFill="1" applyBorder="1"/>
    <xf numFmtId="165" fontId="0" fillId="0" borderId="0" xfId="0" applyNumberFormat="1"/>
    <xf numFmtId="166" fontId="0" fillId="0" borderId="0" xfId="1" applyNumberFormat="1" applyFont="1"/>
    <xf numFmtId="44" fontId="4" fillId="0" borderId="1" xfId="1" applyFont="1" applyBorder="1"/>
    <xf numFmtId="0" fontId="4" fillId="0" borderId="7" xfId="0" applyFont="1" applyBorder="1"/>
    <xf numFmtId="0" fontId="6" fillId="0" borderId="1" xfId="0" applyFont="1" applyBorder="1" applyAlignment="1">
      <alignment vertical="center"/>
    </xf>
    <xf numFmtId="44" fontId="7" fillId="0" borderId="0" xfId="1" applyFont="1" applyBorder="1"/>
    <xf numFmtId="0" fontId="13" fillId="2" borderId="1" xfId="0" applyFont="1" applyFill="1" applyBorder="1" applyAlignment="1">
      <alignment horizontal="left" vertical="center" wrapText="1"/>
    </xf>
    <xf numFmtId="0" fontId="13" fillId="4" borderId="21" xfId="0" applyFont="1" applyFill="1" applyBorder="1"/>
    <xf numFmtId="165" fontId="13" fillId="4" borderId="21" xfId="0" applyNumberFormat="1" applyFont="1" applyFill="1" applyBorder="1"/>
    <xf numFmtId="1" fontId="13"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44" fontId="7" fillId="4" borderId="22" xfId="1" applyFont="1" applyFill="1" applyBorder="1"/>
    <xf numFmtId="44" fontId="4" fillId="2" borderId="0" xfId="1" applyFont="1" applyFill="1" applyBorder="1"/>
    <xf numFmtId="0" fontId="13" fillId="2" borderId="1" xfId="0" applyFont="1" applyFill="1" applyBorder="1" applyAlignment="1">
      <alignmen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9" borderId="0" xfId="0" applyFill="1"/>
    <xf numFmtId="0" fontId="0" fillId="2" borderId="1" xfId="0" applyFill="1" applyBorder="1"/>
    <xf numFmtId="0" fontId="10" fillId="3" borderId="0" xfId="0" applyFont="1" applyFill="1" applyAlignment="1">
      <alignment horizontal="left"/>
    </xf>
    <xf numFmtId="0" fontId="7" fillId="3" borderId="0" xfId="0" applyFont="1" applyFill="1" applyAlignment="1">
      <alignment horizontal="left"/>
    </xf>
    <xf numFmtId="0" fontId="4" fillId="3" borderId="0" xfId="0" applyFont="1" applyFill="1"/>
    <xf numFmtId="0" fontId="10" fillId="3" borderId="0" xfId="0" applyFont="1" applyFill="1"/>
    <xf numFmtId="0" fontId="7" fillId="3" borderId="0" xfId="0" applyFont="1" applyFill="1" applyAlignment="1">
      <alignment vertical="center" wrapText="1"/>
    </xf>
    <xf numFmtId="0" fontId="7" fillId="0" borderId="0" xfId="0" applyFont="1"/>
    <xf numFmtId="0" fontId="7" fillId="5" borderId="14" xfId="0" applyFont="1" applyFill="1" applyBorder="1"/>
    <xf numFmtId="0" fontId="7" fillId="5" borderId="12" xfId="0" applyFont="1" applyFill="1" applyBorder="1"/>
    <xf numFmtId="0" fontId="15" fillId="11" borderId="1" xfId="0" applyFont="1" applyFill="1" applyBorder="1"/>
    <xf numFmtId="0" fontId="15" fillId="11" borderId="3" xfId="0" applyFont="1" applyFill="1" applyBorder="1"/>
    <xf numFmtId="0" fontId="4" fillId="0" borderId="1" xfId="0" applyFont="1" applyBorder="1" applyAlignment="1">
      <alignment vertical="center"/>
    </xf>
    <xf numFmtId="0" fontId="4" fillId="0" borderId="7" xfId="0" applyFont="1" applyBorder="1" applyAlignment="1">
      <alignment horizontal="left" vertical="center"/>
    </xf>
    <xf numFmtId="0" fontId="7" fillId="4" borderId="3" xfId="0" applyFont="1" applyFill="1" applyBorder="1"/>
    <xf numFmtId="0" fontId="4" fillId="0" borderId="16" xfId="0" applyFont="1" applyBorder="1"/>
    <xf numFmtId="0" fontId="7" fillId="5" borderId="9" xfId="0" applyFont="1" applyFill="1" applyBorder="1"/>
    <xf numFmtId="10" fontId="7" fillId="5" borderId="10" xfId="0" applyNumberFormat="1" applyFont="1" applyFill="1" applyBorder="1"/>
    <xf numFmtId="0" fontId="4" fillId="2" borderId="24" xfId="0" applyFont="1" applyFill="1" applyBorder="1" applyAlignment="1">
      <alignment horizontal="left" vertical="center" wrapText="1"/>
    </xf>
    <xf numFmtId="0" fontId="7" fillId="4" borderId="0" xfId="0" applyFont="1" applyFill="1"/>
    <xf numFmtId="0" fontId="4" fillId="4" borderId="0" xfId="0" applyFont="1" applyFill="1"/>
    <xf numFmtId="44" fontId="4" fillId="4" borderId="0" xfId="1" applyFont="1" applyFill="1"/>
    <xf numFmtId="0" fontId="7" fillId="8" borderId="1" xfId="0" applyFont="1" applyFill="1" applyBorder="1"/>
    <xf numFmtId="0" fontId="7" fillId="8" borderId="6" xfId="0" applyFont="1" applyFill="1" applyBorder="1"/>
    <xf numFmtId="44" fontId="10" fillId="8" borderId="1" xfId="1" applyFont="1" applyFill="1" applyBorder="1" applyAlignment="1">
      <alignment vertical="center"/>
    </xf>
    <xf numFmtId="0" fontId="10" fillId="7" borderId="9" xfId="0" applyFont="1" applyFill="1" applyBorder="1"/>
    <xf numFmtId="44" fontId="10" fillId="7" borderId="11" xfId="0" applyNumberFormat="1" applyFont="1" applyFill="1" applyBorder="1"/>
    <xf numFmtId="44" fontId="4" fillId="0" borderId="0" xfId="0" applyNumberFormat="1" applyFont="1"/>
    <xf numFmtId="0" fontId="0" fillId="12" borderId="1" xfId="0" applyFill="1" applyBorder="1"/>
    <xf numFmtId="0" fontId="13" fillId="12" borderId="1" xfId="0" applyFont="1" applyFill="1" applyBorder="1"/>
    <xf numFmtId="0" fontId="13" fillId="13" borderId="1" xfId="0" applyFont="1" applyFill="1" applyBorder="1"/>
    <xf numFmtId="0" fontId="0" fillId="13" borderId="14" xfId="0" applyFill="1" applyBorder="1"/>
    <xf numFmtId="0" fontId="0" fillId="13" borderId="12" xfId="0" applyFill="1" applyBorder="1"/>
    <xf numFmtId="0" fontId="0" fillId="13" borderId="16" xfId="0" applyFill="1" applyBorder="1"/>
    <xf numFmtId="0" fontId="0" fillId="13" borderId="0" xfId="0" applyFill="1"/>
    <xf numFmtId="0" fontId="13" fillId="14"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13" fillId="9" borderId="1" xfId="0" applyFont="1" applyFill="1" applyBorder="1"/>
    <xf numFmtId="0" fontId="0" fillId="9" borderId="14" xfId="0" applyFill="1" applyBorder="1"/>
    <xf numFmtId="0" fontId="0" fillId="9" borderId="12" xfId="0" applyFill="1" applyBorder="1"/>
    <xf numFmtId="0" fontId="0" fillId="9" borderId="16" xfId="0" applyFill="1" applyBorder="1"/>
    <xf numFmtId="0" fontId="21" fillId="3" borderId="0" xfId="0" applyFont="1" applyFill="1" applyAlignment="1">
      <alignment horizontal="left" vertical="center" wrapText="1"/>
    </xf>
    <xf numFmtId="0" fontId="7" fillId="8" borderId="6" xfId="0" applyFont="1" applyFill="1" applyBorder="1" applyAlignment="1">
      <alignment horizontal="left" vertical="center" wrapText="1"/>
    </xf>
    <xf numFmtId="0" fontId="7" fillId="8" borderId="24" xfId="0" applyFont="1" applyFill="1" applyBorder="1" applyAlignment="1">
      <alignment horizontal="left" vertical="center" wrapText="1"/>
    </xf>
    <xf numFmtId="0" fontId="7" fillId="8" borderId="28"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9" fillId="6" borderId="0" xfId="0" applyFont="1" applyFill="1" applyAlignment="1">
      <alignment horizontal="center" vertical="center"/>
    </xf>
    <xf numFmtId="0" fontId="22" fillId="9" borderId="0" xfId="0" applyFont="1" applyFill="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2" fillId="3" borderId="18" xfId="0" applyFont="1" applyFill="1" applyBorder="1" applyAlignment="1">
      <alignment horizontal="center" vertical="center"/>
    </xf>
    <xf numFmtId="0" fontId="12" fillId="3" borderId="20" xfId="0" applyFont="1" applyFill="1" applyBorder="1" applyAlignment="1">
      <alignment horizontal="center" vertical="center"/>
    </xf>
    <xf numFmtId="0" fontId="12" fillId="3" borderId="18" xfId="0" applyFont="1" applyFill="1" applyBorder="1" applyAlignment="1">
      <alignment horizontal="center" vertical="center" wrapText="1"/>
    </xf>
    <xf numFmtId="0" fontId="12" fillId="3" borderId="20" xfId="0" applyFont="1" applyFill="1" applyBorder="1" applyAlignment="1">
      <alignment horizontal="center" vertical="center" wrapText="1"/>
    </xf>
    <xf numFmtId="0" fontId="12" fillId="3" borderId="19"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xf numFmtId="0" fontId="0" fillId="15" borderId="14" xfId="0" applyFill="1" applyBorder="1"/>
    <xf numFmtId="0" fontId="0" fillId="15" borderId="12" xfId="0" applyFill="1" applyBorder="1"/>
    <xf numFmtId="0" fontId="0" fillId="15" borderId="16" xfId="0" applyFill="1" applyBorder="1"/>
    <xf numFmtId="0" fontId="0" fillId="15" borderId="0" xfId="0" applyFill="1"/>
    <xf numFmtId="0" fontId="13" fillId="15" borderId="1" xfId="0"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5"/>
  <sheetViews>
    <sheetView topLeftCell="A96" zoomScale="90" zoomScaleNormal="90" workbookViewId="0">
      <selection activeCell="A107" sqref="A107"/>
    </sheetView>
  </sheetViews>
  <sheetFormatPr baseColWidth="10" defaultColWidth="10.88671875" defaultRowHeight="14.4" x14ac:dyDescent="0.3"/>
  <cols>
    <col min="1" max="1" width="37.5546875" customWidth="1"/>
    <col min="2" max="2" width="24.5546875" customWidth="1"/>
    <col min="3" max="3" width="18.44140625" customWidth="1"/>
    <col min="4" max="4" width="15.5546875" customWidth="1"/>
    <col min="5" max="5" width="14.5546875" bestFit="1" customWidth="1"/>
    <col min="6" max="6" width="16" customWidth="1"/>
    <col min="7" max="7" width="13.109375" bestFit="1" customWidth="1"/>
    <col min="10" max="10" width="18" customWidth="1"/>
    <col min="11" max="11" width="18.44140625" customWidth="1"/>
  </cols>
  <sheetData>
    <row r="1" spans="1:4" x14ac:dyDescent="0.3">
      <c r="A1" s="131" t="s">
        <v>64</v>
      </c>
      <c r="B1" s="132"/>
      <c r="C1" s="133"/>
      <c r="D1" s="133"/>
    </row>
    <row r="2" spans="1:4" x14ac:dyDescent="0.3">
      <c r="A2" s="134" t="s">
        <v>125</v>
      </c>
      <c r="B2" s="134"/>
      <c r="C2" s="134"/>
      <c r="D2" s="134"/>
    </row>
    <row r="3" spans="1:4" ht="17.100000000000001" customHeight="1" x14ac:dyDescent="0.3">
      <c r="A3" s="134" t="s">
        <v>70</v>
      </c>
      <c r="B3" s="134"/>
      <c r="C3" s="134"/>
      <c r="D3" s="134"/>
    </row>
    <row r="4" spans="1:4" ht="32.25" customHeight="1" x14ac:dyDescent="0.3">
      <c r="A4" s="173" t="s">
        <v>151</v>
      </c>
      <c r="B4" s="173"/>
      <c r="C4" s="135"/>
      <c r="D4" s="135"/>
    </row>
    <row r="5" spans="1:4" x14ac:dyDescent="0.3">
      <c r="A5" s="173"/>
      <c r="B5" s="173"/>
      <c r="C5" s="135"/>
      <c r="D5" s="135"/>
    </row>
    <row r="6" spans="1:4" x14ac:dyDescent="0.3">
      <c r="A6" s="173"/>
      <c r="B6" s="173"/>
      <c r="C6" s="135"/>
      <c r="D6" s="135"/>
    </row>
    <row r="7" spans="1:4" ht="27" customHeight="1" x14ac:dyDescent="0.3">
      <c r="A7" s="173"/>
      <c r="B7" s="173"/>
      <c r="C7" s="135"/>
      <c r="D7" s="135"/>
    </row>
    <row r="8" spans="1:4" x14ac:dyDescent="0.3">
      <c r="A8" s="63"/>
      <c r="B8" s="63"/>
      <c r="C8" s="63"/>
      <c r="D8" s="63"/>
    </row>
    <row r="9" spans="1:4" x14ac:dyDescent="0.3">
      <c r="A9" s="63"/>
      <c r="B9" s="182" t="s">
        <v>166</v>
      </c>
      <c r="C9" s="63"/>
      <c r="D9" s="63"/>
    </row>
    <row r="10" spans="1:4" x14ac:dyDescent="0.3">
      <c r="A10" s="63"/>
      <c r="B10" s="182"/>
      <c r="C10" s="63"/>
      <c r="D10" s="63"/>
    </row>
    <row r="11" spans="1:4" x14ac:dyDescent="0.3">
      <c r="A11" s="63"/>
      <c r="B11" s="182"/>
      <c r="C11" s="63"/>
      <c r="D11" s="63"/>
    </row>
    <row r="12" spans="1:4" x14ac:dyDescent="0.3">
      <c r="A12" s="63"/>
      <c r="B12" s="63"/>
      <c r="C12" s="63"/>
      <c r="D12" s="63"/>
    </row>
    <row r="13" spans="1:4" hidden="1" x14ac:dyDescent="0.3">
      <c r="A13" s="63"/>
      <c r="B13" s="63"/>
      <c r="C13" s="63"/>
      <c r="D13" s="63"/>
    </row>
    <row r="14" spans="1:4" ht="15" customHeight="1" x14ac:dyDescent="0.3">
      <c r="A14" s="173" t="s">
        <v>148</v>
      </c>
      <c r="B14" s="173"/>
      <c r="C14" s="173"/>
      <c r="D14" s="173"/>
    </row>
    <row r="15" spans="1:4" ht="15" customHeight="1" x14ac:dyDescent="0.3">
      <c r="A15" s="173"/>
      <c r="B15" s="173"/>
      <c r="C15" s="173"/>
      <c r="D15" s="173"/>
    </row>
    <row r="16" spans="1:4" ht="47.25" customHeight="1" x14ac:dyDescent="0.3">
      <c r="A16" s="173"/>
      <c r="B16" s="173"/>
      <c r="C16" s="173"/>
      <c r="D16" s="173"/>
    </row>
    <row r="17" spans="1:7" ht="156.75" customHeight="1" x14ac:dyDescent="0.3">
      <c r="A17" s="173"/>
      <c r="B17" s="173"/>
      <c r="C17" s="173"/>
      <c r="D17" s="173"/>
    </row>
    <row r="18" spans="1:7" ht="14.25" customHeight="1" thickBot="1" x14ac:dyDescent="0.35">
      <c r="A18" s="63"/>
      <c r="B18" s="63"/>
      <c r="C18" s="63"/>
      <c r="D18" s="63"/>
    </row>
    <row r="19" spans="1:7" ht="15" hidden="1" thickBot="1" x14ac:dyDescent="0.35">
      <c r="A19" s="136"/>
      <c r="B19" s="63"/>
      <c r="C19" s="63"/>
      <c r="D19" s="63"/>
    </row>
    <row r="20" spans="1:7" ht="15" hidden="1" thickBot="1" x14ac:dyDescent="0.35">
      <c r="A20" s="63"/>
      <c r="B20" s="63"/>
      <c r="C20" s="63"/>
      <c r="D20" s="63"/>
    </row>
    <row r="21" spans="1:7" x14ac:dyDescent="0.3">
      <c r="A21" s="137" t="s">
        <v>26</v>
      </c>
      <c r="B21" s="138"/>
      <c r="C21" s="67"/>
      <c r="D21" s="68"/>
      <c r="E21" s="129" t="s">
        <v>169</v>
      </c>
      <c r="F21" s="129"/>
    </row>
    <row r="22" spans="1:7" x14ac:dyDescent="0.3">
      <c r="A22" s="11" t="s">
        <v>52</v>
      </c>
      <c r="B22" s="11"/>
      <c r="C22" s="11"/>
      <c r="D22" s="11"/>
      <c r="E22" s="129"/>
      <c r="F22" s="129"/>
    </row>
    <row r="23" spans="1:7" x14ac:dyDescent="0.3">
      <c r="A23" s="177" t="s">
        <v>167</v>
      </c>
      <c r="B23" s="178"/>
      <c r="C23" s="82">
        <v>1231605.7</v>
      </c>
      <c r="D23" s="48"/>
      <c r="E23" s="129"/>
      <c r="F23" s="129"/>
    </row>
    <row r="24" spans="1:7" x14ac:dyDescent="0.3">
      <c r="A24" s="48" t="s">
        <v>55</v>
      </c>
      <c r="B24" s="48"/>
      <c r="C24" s="82">
        <v>-193977.9</v>
      </c>
      <c r="D24" s="48"/>
      <c r="E24" s="129"/>
      <c r="F24" s="129"/>
    </row>
    <row r="25" spans="1:7" x14ac:dyDescent="0.3">
      <c r="A25" s="48" t="s">
        <v>54</v>
      </c>
      <c r="B25" s="48"/>
      <c r="C25" s="82">
        <v>0.2</v>
      </c>
      <c r="D25" s="48"/>
      <c r="E25" s="129"/>
      <c r="F25" s="129"/>
      <c r="G25" s="94"/>
    </row>
    <row r="26" spans="1:7" x14ac:dyDescent="0.3">
      <c r="A26" s="139" t="s">
        <v>53</v>
      </c>
      <c r="B26" s="139"/>
      <c r="C26" s="72">
        <f>SUM(C23:C25)</f>
        <v>1037627.9999999999</v>
      </c>
      <c r="D26" s="139"/>
      <c r="E26" s="129"/>
      <c r="F26" s="129"/>
    </row>
    <row r="27" spans="1:7" x14ac:dyDescent="0.3">
      <c r="A27" s="177" t="s">
        <v>168</v>
      </c>
      <c r="B27" s="178"/>
      <c r="C27" s="82">
        <v>815681.8</v>
      </c>
      <c r="D27" s="48"/>
      <c r="E27" s="129"/>
      <c r="F27" s="129"/>
    </row>
    <row r="28" spans="1:7" x14ac:dyDescent="0.3">
      <c r="A28" s="48" t="s">
        <v>55</v>
      </c>
      <c r="B28" s="48"/>
      <c r="C28" s="82">
        <v>-201881.24</v>
      </c>
      <c r="D28" s="73"/>
      <c r="E28" s="129"/>
      <c r="F28" s="129"/>
    </row>
    <row r="29" spans="1:7" x14ac:dyDescent="0.3">
      <c r="A29" s="48" t="s">
        <v>54</v>
      </c>
      <c r="B29" s="48"/>
      <c r="C29" s="82">
        <v>0.44</v>
      </c>
      <c r="D29" s="73"/>
    </row>
    <row r="30" spans="1:7" x14ac:dyDescent="0.3">
      <c r="A30" s="139" t="s">
        <v>53</v>
      </c>
      <c r="B30" s="140"/>
      <c r="C30" s="27">
        <f>SUM(C27:C29)</f>
        <v>613801</v>
      </c>
      <c r="D30" s="49"/>
    </row>
    <row r="31" spans="1:7" hidden="1" x14ac:dyDescent="0.3">
      <c r="A31" s="48"/>
      <c r="B31" s="48"/>
      <c r="C31" s="97">
        <v>0</v>
      </c>
      <c r="D31" s="73"/>
    </row>
    <row r="32" spans="1:7" hidden="1" x14ac:dyDescent="0.3">
      <c r="A32" s="48"/>
      <c r="B32" s="48"/>
      <c r="C32" s="97"/>
      <c r="D32" s="73"/>
    </row>
    <row r="33" spans="1:7" hidden="1" x14ac:dyDescent="0.3">
      <c r="A33" s="139" t="s">
        <v>53</v>
      </c>
      <c r="B33" s="140"/>
      <c r="C33" s="27">
        <f>SUM(C31:C32)</f>
        <v>0</v>
      </c>
      <c r="D33" s="49"/>
    </row>
    <row r="34" spans="1:7" ht="14.25" customHeight="1" thickBot="1" x14ac:dyDescent="0.35">
      <c r="A34" s="12" t="s">
        <v>0</v>
      </c>
      <c r="B34" s="12"/>
      <c r="C34" s="8"/>
      <c r="D34" s="50">
        <f>+C26+C33+C30</f>
        <v>1651429</v>
      </c>
      <c r="E34" s="4"/>
      <c r="F34" s="4"/>
    </row>
    <row r="35" spans="1:7" x14ac:dyDescent="0.3">
      <c r="A35" s="11" t="s">
        <v>38</v>
      </c>
      <c r="B35" s="11"/>
      <c r="C35" s="13"/>
      <c r="D35" s="51"/>
      <c r="F35" s="4"/>
    </row>
    <row r="36" spans="1:7" ht="43.8" customHeight="1" x14ac:dyDescent="0.3">
      <c r="A36" s="177" t="s">
        <v>183</v>
      </c>
      <c r="B36" s="178"/>
      <c r="C36" s="82">
        <v>710000</v>
      </c>
      <c r="D36" s="81"/>
      <c r="G36" s="4"/>
    </row>
    <row r="37" spans="1:7" ht="21" customHeight="1" x14ac:dyDescent="0.3">
      <c r="A37" s="141" t="s">
        <v>161</v>
      </c>
      <c r="B37" s="142"/>
      <c r="C37" s="82">
        <v>90000</v>
      </c>
      <c r="D37" s="81" t="s">
        <v>170</v>
      </c>
      <c r="G37" s="4"/>
    </row>
    <row r="38" spans="1:7" ht="21" customHeight="1" x14ac:dyDescent="0.3">
      <c r="A38" s="141" t="s">
        <v>157</v>
      </c>
      <c r="B38" s="142"/>
      <c r="C38" s="82">
        <v>200000</v>
      </c>
      <c r="D38" s="81" t="s">
        <v>170</v>
      </c>
      <c r="G38" s="4"/>
    </row>
    <row r="39" spans="1:7" ht="15" thickBot="1" x14ac:dyDescent="0.35">
      <c r="A39" s="12" t="s">
        <v>34</v>
      </c>
      <c r="B39" s="12"/>
      <c r="C39" s="124"/>
      <c r="D39" s="50">
        <f>SUM(C36:C38)</f>
        <v>1000000</v>
      </c>
    </row>
    <row r="40" spans="1:7" x14ac:dyDescent="0.3">
      <c r="A40" s="11" t="s">
        <v>49</v>
      </c>
      <c r="B40" s="12"/>
      <c r="C40" s="14"/>
      <c r="D40" s="31"/>
    </row>
    <row r="41" spans="1:7" s="19" customFormat="1" ht="29.25" customHeight="1" x14ac:dyDescent="0.3">
      <c r="A41" s="177" t="s">
        <v>130</v>
      </c>
      <c r="B41" s="178"/>
      <c r="C41" s="96">
        <v>111379</v>
      </c>
      <c r="D41" s="95" t="s">
        <v>182</v>
      </c>
    </row>
    <row r="42" spans="1:7" ht="15" thickBot="1" x14ac:dyDescent="0.35">
      <c r="A42" s="12" t="s">
        <v>1</v>
      </c>
      <c r="B42" s="12"/>
      <c r="C42" s="16"/>
      <c r="D42" s="52">
        <f>SUM(C41:C41)</f>
        <v>111379</v>
      </c>
    </row>
    <row r="43" spans="1:7" x14ac:dyDescent="0.3">
      <c r="A43" s="11" t="s">
        <v>35</v>
      </c>
      <c r="B43" s="84"/>
      <c r="C43" s="17"/>
      <c r="D43" s="53"/>
    </row>
    <row r="44" spans="1:7" x14ac:dyDescent="0.3">
      <c r="A44" s="48" t="s">
        <v>65</v>
      </c>
      <c r="B44" s="48"/>
      <c r="C44" s="100">
        <v>0</v>
      </c>
      <c r="D44" s="77"/>
      <c r="F44" s="74"/>
    </row>
    <row r="45" spans="1:7" ht="30" customHeight="1" x14ac:dyDescent="0.3">
      <c r="A45" s="177" t="s">
        <v>181</v>
      </c>
      <c r="B45" s="178"/>
      <c r="C45" s="100">
        <v>11596.99</v>
      </c>
      <c r="D45" s="80" t="s">
        <v>180</v>
      </c>
      <c r="F45" s="74"/>
    </row>
    <row r="46" spans="1:7" ht="20.25" customHeight="1" x14ac:dyDescent="0.3">
      <c r="A46" s="177" t="s">
        <v>129</v>
      </c>
      <c r="B46" s="178"/>
      <c r="C46" s="100">
        <v>11930.96</v>
      </c>
      <c r="D46" s="77" t="str">
        <f>D45</f>
        <v>Debito 12/06</v>
      </c>
      <c r="F46" s="74"/>
    </row>
    <row r="47" spans="1:7" x14ac:dyDescent="0.3">
      <c r="A47" s="48" t="s">
        <v>66</v>
      </c>
      <c r="B47" s="48" t="s">
        <v>162</v>
      </c>
      <c r="C47" s="85">
        <v>92127.95</v>
      </c>
      <c r="D47" s="80" t="s">
        <v>180</v>
      </c>
    </row>
    <row r="48" spans="1:7" x14ac:dyDescent="0.3">
      <c r="A48" s="48" t="s">
        <v>67</v>
      </c>
      <c r="B48" s="48" t="s">
        <v>162</v>
      </c>
      <c r="C48" s="85">
        <v>10236.44</v>
      </c>
      <c r="D48" s="80" t="str">
        <f>D47</f>
        <v>Debito 12/06</v>
      </c>
    </row>
    <row r="49" spans="1:6" x14ac:dyDescent="0.3">
      <c r="A49" s="48" t="s">
        <v>68</v>
      </c>
      <c r="B49" s="48" t="s">
        <v>162</v>
      </c>
      <c r="C49" s="85">
        <v>200516.68</v>
      </c>
      <c r="D49" s="78" t="str">
        <f>D47</f>
        <v>Debito 12/06</v>
      </c>
    </row>
    <row r="50" spans="1:6" ht="15" customHeight="1" thickBot="1" x14ac:dyDescent="0.35">
      <c r="A50" s="12" t="s">
        <v>2</v>
      </c>
      <c r="B50" s="84"/>
      <c r="C50" s="18"/>
      <c r="D50" s="52">
        <f>SUM(C44:C49)</f>
        <v>326409.02</v>
      </c>
    </row>
    <row r="51" spans="1:6" x14ac:dyDescent="0.3">
      <c r="A51" s="11" t="s">
        <v>37</v>
      </c>
      <c r="B51" s="84"/>
      <c r="C51" s="17"/>
      <c r="D51" s="53"/>
    </row>
    <row r="52" spans="1:6" ht="14.25" customHeight="1" x14ac:dyDescent="0.3">
      <c r="A52" s="48" t="s">
        <v>127</v>
      </c>
      <c r="B52" s="48"/>
      <c r="C52" s="85">
        <v>627717.51</v>
      </c>
      <c r="D52" s="77" t="s">
        <v>177</v>
      </c>
    </row>
    <row r="53" spans="1:6" ht="14.25" customHeight="1" x14ac:dyDescent="0.3">
      <c r="A53" s="48" t="s">
        <v>126</v>
      </c>
      <c r="B53" s="48"/>
      <c r="C53" s="85">
        <v>164200</v>
      </c>
      <c r="D53" s="77" t="s">
        <v>173</v>
      </c>
    </row>
    <row r="54" spans="1:6" ht="14.25" customHeight="1" x14ac:dyDescent="0.3">
      <c r="A54" s="48" t="s">
        <v>160</v>
      </c>
      <c r="B54" s="48"/>
      <c r="C54" s="85">
        <v>1405375.2</v>
      </c>
      <c r="D54" s="77" t="s">
        <v>174</v>
      </c>
    </row>
    <row r="55" spans="1:6" ht="14.25" customHeight="1" x14ac:dyDescent="0.3">
      <c r="A55" s="48" t="s">
        <v>128</v>
      </c>
      <c r="B55" s="48"/>
      <c r="C55" s="85">
        <v>37073.65</v>
      </c>
      <c r="D55" s="77" t="s">
        <v>177</v>
      </c>
    </row>
    <row r="56" spans="1:6" ht="14.25" customHeight="1" x14ac:dyDescent="0.3">
      <c r="A56" s="48" t="s">
        <v>159</v>
      </c>
      <c r="B56" s="101"/>
      <c r="C56" s="85">
        <v>80576</v>
      </c>
      <c r="D56" s="77" t="s">
        <v>172</v>
      </c>
    </row>
    <row r="57" spans="1:6" ht="15" thickBot="1" x14ac:dyDescent="0.35">
      <c r="A57" s="12" t="s">
        <v>3</v>
      </c>
      <c r="B57" s="12"/>
      <c r="C57" s="16"/>
      <c r="D57" s="52">
        <f>SUM(C52:C56)</f>
        <v>2314942.36</v>
      </c>
    </row>
    <row r="58" spans="1:6" ht="15" thickBot="1" x14ac:dyDescent="0.35">
      <c r="A58" s="11" t="s">
        <v>36</v>
      </c>
      <c r="B58" s="12"/>
      <c r="C58" s="16"/>
      <c r="D58" s="55"/>
    </row>
    <row r="59" spans="1:6" ht="22.2" customHeight="1" x14ac:dyDescent="0.3">
      <c r="A59" s="179" t="s">
        <v>156</v>
      </c>
      <c r="B59" s="180"/>
      <c r="C59" s="85">
        <v>202000</v>
      </c>
      <c r="D59" s="77" t="s">
        <v>174</v>
      </c>
    </row>
    <row r="60" spans="1:6" ht="42" customHeight="1" x14ac:dyDescent="0.3">
      <c r="A60" s="179" t="s">
        <v>176</v>
      </c>
      <c r="B60" s="180"/>
      <c r="C60" s="85">
        <v>229900</v>
      </c>
      <c r="D60" s="77" t="s">
        <v>174</v>
      </c>
    </row>
    <row r="61" spans="1:6" ht="25.05" customHeight="1" x14ac:dyDescent="0.3">
      <c r="A61" s="177" t="s">
        <v>178</v>
      </c>
      <c r="B61" s="178"/>
      <c r="C61" s="85">
        <v>35000</v>
      </c>
      <c r="D61" s="77" t="s">
        <v>177</v>
      </c>
      <c r="E61" s="85"/>
      <c r="F61" s="24"/>
    </row>
    <row r="62" spans="1:6" ht="25.05" customHeight="1" x14ac:dyDescent="0.3">
      <c r="A62" s="179" t="s">
        <v>179</v>
      </c>
      <c r="B62" s="180"/>
      <c r="C62" s="85">
        <v>9395</v>
      </c>
      <c r="D62" s="77" t="s">
        <v>177</v>
      </c>
      <c r="E62" s="85">
        <f>C62+C61</f>
        <v>44395</v>
      </c>
      <c r="F62" s="24"/>
    </row>
    <row r="63" spans="1:6" ht="25.05" customHeight="1" x14ac:dyDescent="0.3">
      <c r="A63" s="179" t="s">
        <v>171</v>
      </c>
      <c r="B63" s="180"/>
      <c r="C63" s="85">
        <v>18300</v>
      </c>
      <c r="D63" s="79" t="s">
        <v>158</v>
      </c>
      <c r="E63" s="125"/>
      <c r="F63" s="24"/>
    </row>
    <row r="64" spans="1:6" ht="25.05" customHeight="1" x14ac:dyDescent="0.3">
      <c r="A64" s="127" t="s">
        <v>175</v>
      </c>
      <c r="B64" s="128"/>
      <c r="C64" s="85">
        <v>225200</v>
      </c>
      <c r="D64" s="77" t="s">
        <v>174</v>
      </c>
      <c r="E64" s="125"/>
      <c r="F64" s="24"/>
    </row>
    <row r="65" spans="1:6" ht="25.2" customHeight="1" x14ac:dyDescent="0.3">
      <c r="A65" s="127" t="s">
        <v>175</v>
      </c>
      <c r="B65" s="128"/>
      <c r="C65" s="85">
        <v>88500</v>
      </c>
      <c r="D65" s="95" t="s">
        <v>182</v>
      </c>
      <c r="E65" s="24"/>
      <c r="F65" s="24"/>
    </row>
    <row r="66" spans="1:6" ht="15" thickBot="1" x14ac:dyDescent="0.35">
      <c r="A66" s="12" t="s">
        <v>11</v>
      </c>
      <c r="B66" s="11"/>
      <c r="C66" s="11"/>
      <c r="D66" s="58">
        <f>SUM(C59:C65)</f>
        <v>808295</v>
      </c>
    </row>
    <row r="67" spans="1:6" ht="15" thickBot="1" x14ac:dyDescent="0.35">
      <c r="A67" s="11" t="s">
        <v>29</v>
      </c>
      <c r="B67" s="86"/>
      <c r="C67" s="8"/>
      <c r="D67" s="55"/>
    </row>
    <row r="68" spans="1:6" ht="14.25" customHeight="1" x14ac:dyDescent="0.3">
      <c r="A68" s="177" t="s">
        <v>73</v>
      </c>
      <c r="B68" s="178"/>
      <c r="C68" s="85">
        <v>60000</v>
      </c>
      <c r="D68" s="59"/>
    </row>
    <row r="69" spans="1:6" x14ac:dyDescent="0.3">
      <c r="A69" s="48" t="s">
        <v>71</v>
      </c>
      <c r="B69" s="48"/>
      <c r="C69" s="85">
        <f>18446.4+600+23515.55+3766.99+10879.99+46995.77+5603.24+1720.48+18645.44+9072.47+11656.2</f>
        <v>150902.53</v>
      </c>
      <c r="D69" s="57"/>
    </row>
    <row r="70" spans="1:6" ht="15" thickBot="1" x14ac:dyDescent="0.35">
      <c r="A70" s="143" t="s">
        <v>34</v>
      </c>
      <c r="B70" s="143"/>
      <c r="C70" s="60"/>
      <c r="D70" s="52">
        <f>SUM(C68:C69)</f>
        <v>210902.53</v>
      </c>
    </row>
    <row r="71" spans="1:6" ht="15" thickBot="1" x14ac:dyDescent="0.35">
      <c r="A71" s="48"/>
      <c r="B71" s="48"/>
      <c r="C71" s="48"/>
      <c r="D71" s="61"/>
    </row>
    <row r="72" spans="1:6" ht="22.5" customHeight="1" thickBot="1" x14ac:dyDescent="0.35">
      <c r="A72" s="174" t="s">
        <v>188</v>
      </c>
      <c r="B72" s="175"/>
      <c r="C72" s="176"/>
      <c r="D72" s="62">
        <f>(6780039.56+6780039.56*20%)-6423356.91</f>
        <v>1712690.561999999</v>
      </c>
    </row>
    <row r="73" spans="1:6" ht="15" thickBot="1" x14ac:dyDescent="0.35">
      <c r="A73" s="144"/>
      <c r="B73" s="63"/>
      <c r="C73" s="63"/>
      <c r="D73" s="64"/>
      <c r="E73" s="24"/>
    </row>
    <row r="74" spans="1:6" ht="15" thickBot="1" x14ac:dyDescent="0.35">
      <c r="A74" s="145" t="s">
        <v>30</v>
      </c>
      <c r="B74" s="146"/>
      <c r="C74" s="65"/>
      <c r="D74" s="66">
        <f>(SUM(D23:D72))</f>
        <v>8136047.4719999991</v>
      </c>
      <c r="E74" s="24"/>
      <c r="F74" s="24"/>
    </row>
    <row r="75" spans="1:6" x14ac:dyDescent="0.3">
      <c r="A75" s="63"/>
      <c r="B75" s="63"/>
      <c r="C75" s="63"/>
      <c r="D75" s="63"/>
      <c r="F75" s="75"/>
    </row>
    <row r="76" spans="1:6" ht="15" thickBot="1" x14ac:dyDescent="0.35">
      <c r="A76" s="63"/>
      <c r="B76" s="63"/>
      <c r="C76" s="63"/>
      <c r="D76" s="63"/>
    </row>
    <row r="77" spans="1:6" x14ac:dyDescent="0.3">
      <c r="A77" s="137" t="s">
        <v>39</v>
      </c>
      <c r="B77" s="138"/>
      <c r="C77" s="67"/>
      <c r="D77" s="68"/>
    </row>
    <row r="78" spans="1:6" x14ac:dyDescent="0.3">
      <c r="A78" s="177"/>
      <c r="B78" s="178"/>
      <c r="C78" s="56"/>
      <c r="D78" s="54"/>
    </row>
    <row r="79" spans="1:6" x14ac:dyDescent="0.3">
      <c r="A79" s="177"/>
      <c r="B79" s="178"/>
      <c r="C79" s="56"/>
      <c r="D79" s="54"/>
    </row>
    <row r="80" spans="1:6" x14ac:dyDescent="0.3">
      <c r="A80" s="127"/>
      <c r="B80" s="147"/>
      <c r="C80" s="56"/>
      <c r="D80" s="54"/>
    </row>
    <row r="81" spans="1:4" x14ac:dyDescent="0.3">
      <c r="A81" s="148"/>
      <c r="B81" s="149"/>
      <c r="C81" s="150"/>
      <c r="D81" s="150">
        <f>SUM(C78:C80)</f>
        <v>0</v>
      </c>
    </row>
    <row r="82" spans="1:4" ht="15" customHeight="1" x14ac:dyDescent="0.3">
      <c r="A82" s="63"/>
      <c r="B82" s="63"/>
      <c r="C82" s="63"/>
      <c r="D82" s="63"/>
    </row>
    <row r="83" spans="1:4" hidden="1" x14ac:dyDescent="0.3">
      <c r="A83" s="63"/>
      <c r="B83" s="63"/>
      <c r="C83" s="63"/>
      <c r="D83" s="63"/>
    </row>
    <row r="84" spans="1:4" x14ac:dyDescent="0.3">
      <c r="A84" s="151" t="s">
        <v>40</v>
      </c>
      <c r="B84" s="151"/>
      <c r="C84" s="152"/>
      <c r="D84" s="153">
        <v>0</v>
      </c>
    </row>
    <row r="85" spans="1:4" ht="15" thickBot="1" x14ac:dyDescent="0.35">
      <c r="A85" s="63"/>
      <c r="B85" s="63"/>
      <c r="C85" s="63"/>
      <c r="D85" s="63"/>
    </row>
    <row r="86" spans="1:4" ht="15" thickBot="1" x14ac:dyDescent="0.35">
      <c r="A86" s="145" t="s">
        <v>41</v>
      </c>
      <c r="B86" s="146"/>
      <c r="C86" s="65"/>
      <c r="D86" s="66">
        <f>D81+D84</f>
        <v>0</v>
      </c>
    </row>
    <row r="87" spans="1:4" ht="15" thickBot="1" x14ac:dyDescent="0.35">
      <c r="A87" s="63"/>
      <c r="B87" s="63"/>
      <c r="C87" s="63"/>
      <c r="D87" s="63"/>
    </row>
    <row r="88" spans="1:4" ht="15" thickBot="1" x14ac:dyDescent="0.35">
      <c r="A88" s="154" t="s">
        <v>31</v>
      </c>
      <c r="B88" s="155">
        <f>D74</f>
        <v>8136047.4719999991</v>
      </c>
      <c r="C88" s="156"/>
      <c r="D88" s="63"/>
    </row>
    <row r="89" spans="1:4" ht="15" thickBot="1" x14ac:dyDescent="0.35">
      <c r="A89" s="154" t="s">
        <v>32</v>
      </c>
      <c r="B89" s="155">
        <f>D74-D72</f>
        <v>6423356.9100000001</v>
      </c>
      <c r="C89" s="63"/>
      <c r="D89" s="63"/>
    </row>
    <row r="90" spans="1:4" ht="15" thickBot="1" x14ac:dyDescent="0.35">
      <c r="A90" s="154" t="s">
        <v>42</v>
      </c>
      <c r="B90" s="155">
        <f>D86-D84</f>
        <v>0</v>
      </c>
      <c r="C90" s="63"/>
      <c r="D90" s="63"/>
    </row>
    <row r="91" spans="1:4" ht="15" thickBot="1" x14ac:dyDescent="0.35">
      <c r="A91" s="154" t="s">
        <v>59</v>
      </c>
      <c r="B91" s="155">
        <f>D86</f>
        <v>0</v>
      </c>
      <c r="C91" s="63"/>
      <c r="D91" s="63"/>
    </row>
    <row r="95" spans="1:4" x14ac:dyDescent="0.3">
      <c r="A95" s="5" t="s">
        <v>51</v>
      </c>
      <c r="B95" s="21"/>
    </row>
    <row r="96" spans="1:4" ht="25.5" customHeight="1" x14ac:dyDescent="0.3">
      <c r="A96" s="10" t="s">
        <v>33</v>
      </c>
      <c r="B96" s="71">
        <v>-14222.15</v>
      </c>
    </row>
    <row r="97" spans="1:4" ht="14.25" customHeight="1" x14ac:dyDescent="0.3">
      <c r="A97" s="6" t="s">
        <v>62</v>
      </c>
      <c r="B97" s="22">
        <f>PRORRATEO!G66</f>
        <v>7982295.1100000003</v>
      </c>
    </row>
    <row r="98" spans="1:4" ht="18.75" customHeight="1" x14ac:dyDescent="0.3">
      <c r="A98" s="102" t="s">
        <v>61</v>
      </c>
      <c r="B98" s="57">
        <f>B114</f>
        <v>828486</v>
      </c>
    </row>
    <row r="99" spans="1:4" ht="18.75" customHeight="1" x14ac:dyDescent="0.3">
      <c r="A99" s="102" t="s">
        <v>163</v>
      </c>
      <c r="B99" s="76">
        <v>-600000</v>
      </c>
    </row>
    <row r="100" spans="1:4" ht="18.75" customHeight="1" x14ac:dyDescent="0.3">
      <c r="A100" s="102" t="s">
        <v>186</v>
      </c>
      <c r="B100" s="76">
        <v>-273000</v>
      </c>
    </row>
    <row r="101" spans="1:4" ht="16.5" customHeight="1" x14ac:dyDescent="0.3">
      <c r="A101" s="7" t="s">
        <v>72</v>
      </c>
      <c r="B101" s="76">
        <f>-2773-4291-16073</f>
        <v>-23137</v>
      </c>
    </row>
    <row r="102" spans="1:4" x14ac:dyDescent="0.3">
      <c r="A102" s="20" t="s">
        <v>43</v>
      </c>
      <c r="B102" s="76">
        <f>-B89</f>
        <v>-6423356.9100000001</v>
      </c>
    </row>
    <row r="103" spans="1:4" x14ac:dyDescent="0.3">
      <c r="A103" s="7" t="s">
        <v>44</v>
      </c>
      <c r="B103" s="57">
        <f>-(B90)</f>
        <v>0</v>
      </c>
    </row>
    <row r="104" spans="1:4" x14ac:dyDescent="0.3">
      <c r="A104" s="9" t="s">
        <v>11</v>
      </c>
      <c r="B104" s="71">
        <f>SUM(B96:B103)</f>
        <v>1477065.0500000007</v>
      </c>
      <c r="D104" s="98"/>
    </row>
    <row r="105" spans="1:4" ht="15" thickBot="1" x14ac:dyDescent="0.35">
      <c r="A105" s="1"/>
      <c r="B105" s="103"/>
      <c r="D105" s="98"/>
    </row>
    <row r="106" spans="1:4" ht="15" thickBot="1" x14ac:dyDescent="0.35">
      <c r="A106" s="115" t="s">
        <v>189</v>
      </c>
      <c r="B106" s="116">
        <v>1465817.44</v>
      </c>
      <c r="D106" s="98"/>
    </row>
    <row r="107" spans="1:4" x14ac:dyDescent="0.3">
      <c r="A107" s="1"/>
      <c r="B107" s="103"/>
      <c r="D107" s="98"/>
    </row>
    <row r="108" spans="1:4" x14ac:dyDescent="0.3">
      <c r="D108" s="99"/>
    </row>
    <row r="109" spans="1:4" x14ac:dyDescent="0.3">
      <c r="A109" s="181" t="s">
        <v>50</v>
      </c>
      <c r="B109" s="181"/>
    </row>
    <row r="110" spans="1:4" ht="27.75" customHeight="1" x14ac:dyDescent="0.3">
      <c r="A110" s="181"/>
      <c r="B110" s="181"/>
    </row>
    <row r="111" spans="1:4" ht="32.25" customHeight="1" x14ac:dyDescent="0.3">
      <c r="A111" s="69" t="s">
        <v>184</v>
      </c>
      <c r="B111" s="15">
        <v>92118</v>
      </c>
    </row>
    <row r="112" spans="1:4" ht="32.25" customHeight="1" x14ac:dyDescent="0.3">
      <c r="A112" s="69" t="s">
        <v>187</v>
      </c>
      <c r="B112" s="15">
        <v>260000</v>
      </c>
    </row>
    <row r="113" spans="1:12" ht="32.25" customHeight="1" x14ac:dyDescent="0.3">
      <c r="A113" s="69" t="s">
        <v>185</v>
      </c>
      <c r="B113" s="15">
        <v>476368</v>
      </c>
    </row>
    <row r="114" spans="1:12" x14ac:dyDescent="0.3">
      <c r="A114" s="25" t="s">
        <v>11</v>
      </c>
      <c r="B114" s="70">
        <f>SUM(B111:B113)</f>
        <v>828486</v>
      </c>
    </row>
    <row r="115" spans="1:12" ht="34.5" customHeight="1" x14ac:dyDescent="0.3">
      <c r="L115" s="3"/>
    </row>
  </sheetData>
  <mergeCells count="19">
    <mergeCell ref="A109:B110"/>
    <mergeCell ref="A79:B79"/>
    <mergeCell ref="A78:B78"/>
    <mergeCell ref="B9:B11"/>
    <mergeCell ref="A41:B41"/>
    <mergeCell ref="A36:B36"/>
    <mergeCell ref="A4:B7"/>
    <mergeCell ref="A14:D17"/>
    <mergeCell ref="A72:C72"/>
    <mergeCell ref="A61:B61"/>
    <mergeCell ref="A59:B59"/>
    <mergeCell ref="A62:B62"/>
    <mergeCell ref="A68:B68"/>
    <mergeCell ref="A45:B45"/>
    <mergeCell ref="A46:B46"/>
    <mergeCell ref="A23:B23"/>
    <mergeCell ref="A27:B27"/>
    <mergeCell ref="A60:B60"/>
    <mergeCell ref="A63:B63"/>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
  <sheetViews>
    <sheetView tabSelected="1" topLeftCell="B7" zoomScale="115" zoomScaleNormal="115" workbookViewId="0">
      <selection activeCell="B22" sqref="B22:D22"/>
    </sheetView>
  </sheetViews>
  <sheetFormatPr baseColWidth="10" defaultColWidth="10.88671875" defaultRowHeight="14.4" x14ac:dyDescent="0.3"/>
  <cols>
    <col min="1" max="1" width="5" hidden="1" customWidth="1"/>
    <col min="2" max="2" width="5.5546875" customWidth="1"/>
    <col min="3" max="3" width="5.44140625" customWidth="1"/>
    <col min="4" max="4" width="29" customWidth="1"/>
    <col min="5" max="5" width="5.109375" customWidth="1"/>
    <col min="6" max="6" width="14.109375" customWidth="1"/>
    <col min="7" max="7" width="14" customWidth="1"/>
    <col min="8" max="8" width="7.5546875" hidden="1" customWidth="1"/>
    <col min="9" max="9" width="13.6640625" customWidth="1"/>
    <col min="10" max="10" width="11.109375" customWidth="1"/>
    <col min="11" max="11" width="14.44140625" customWidth="1"/>
    <col min="12" max="12" width="12.44140625" customWidth="1"/>
    <col min="13" max="13" width="10.44140625" bestFit="1" customWidth="1"/>
    <col min="14" max="14" width="15.44140625" customWidth="1"/>
    <col min="15" max="15" width="14.109375" customWidth="1"/>
    <col min="16" max="16" width="7.44140625" bestFit="1" customWidth="1"/>
    <col min="17" max="17" width="12" bestFit="1" customWidth="1"/>
    <col min="18" max="18" width="13" bestFit="1" customWidth="1"/>
  </cols>
  <sheetData>
    <row r="1" spans="1:18" ht="27" customHeight="1" x14ac:dyDescent="0.3">
      <c r="A1" s="2"/>
      <c r="B1" s="183" t="s">
        <v>151</v>
      </c>
      <c r="C1" s="184"/>
      <c r="D1" s="184"/>
      <c r="E1" s="184"/>
      <c r="F1" s="184"/>
      <c r="G1" s="184"/>
      <c r="H1" s="184"/>
      <c r="I1" s="184"/>
      <c r="J1" s="185"/>
      <c r="K1" s="111" t="s">
        <v>4</v>
      </c>
      <c r="L1" s="112"/>
      <c r="M1" s="112"/>
      <c r="N1" s="108">
        <f>Q1</f>
        <v>8136047.4719999991</v>
      </c>
      <c r="O1" s="109"/>
      <c r="P1" s="4"/>
      <c r="Q1">
        <v>8136047.4719999991</v>
      </c>
    </row>
    <row r="2" spans="1:18" ht="29.25" customHeight="1" thickBot="1" x14ac:dyDescent="0.35">
      <c r="A2" s="2"/>
      <c r="B2" s="186"/>
      <c r="C2" s="187"/>
      <c r="D2" s="187"/>
      <c r="E2" s="187"/>
      <c r="F2" s="187"/>
      <c r="G2" s="187"/>
      <c r="H2" s="187"/>
      <c r="I2" s="187"/>
      <c r="J2" s="188"/>
      <c r="K2" s="113" t="s">
        <v>63</v>
      </c>
      <c r="L2" s="114"/>
      <c r="M2" s="114"/>
      <c r="N2" s="83">
        <v>0</v>
      </c>
      <c r="O2" s="110"/>
    </row>
    <row r="3" spans="1:18" ht="137.25" customHeight="1" thickBot="1" x14ac:dyDescent="0.35">
      <c r="A3" s="2"/>
      <c r="B3" s="202" t="s">
        <v>148</v>
      </c>
      <c r="C3" s="203"/>
      <c r="D3" s="203"/>
      <c r="E3" s="203"/>
      <c r="F3" s="203"/>
      <c r="G3" s="203"/>
      <c r="H3" s="203"/>
      <c r="I3" s="203"/>
      <c r="J3" s="203"/>
      <c r="K3" s="203"/>
      <c r="L3" s="203"/>
      <c r="M3" s="203"/>
      <c r="N3" s="203"/>
      <c r="O3" s="204"/>
    </row>
    <row r="4" spans="1:18" x14ac:dyDescent="0.3">
      <c r="A4" s="205" t="s">
        <v>5</v>
      </c>
      <c r="B4" s="207" t="s">
        <v>6</v>
      </c>
      <c r="C4" s="192" t="s">
        <v>7</v>
      </c>
      <c r="D4" s="192" t="s">
        <v>8</v>
      </c>
      <c r="E4" s="192" t="s">
        <v>28</v>
      </c>
      <c r="F4" s="192" t="s">
        <v>60</v>
      </c>
      <c r="G4" s="192" t="s">
        <v>9</v>
      </c>
      <c r="H4" s="192" t="s">
        <v>47</v>
      </c>
      <c r="I4" s="197" t="s">
        <v>48</v>
      </c>
      <c r="J4" s="194" t="s">
        <v>46</v>
      </c>
      <c r="K4" s="194" t="s">
        <v>10</v>
      </c>
      <c r="L4" s="194" t="s">
        <v>45</v>
      </c>
      <c r="M4" s="200" t="s">
        <v>58</v>
      </c>
      <c r="N4" s="29" t="s">
        <v>57</v>
      </c>
      <c r="O4" s="189" t="s">
        <v>56</v>
      </c>
      <c r="R4" s="24"/>
    </row>
    <row r="5" spans="1:18" ht="15.75" customHeight="1" x14ac:dyDescent="0.3">
      <c r="A5" s="206"/>
      <c r="B5" s="208"/>
      <c r="C5" s="196"/>
      <c r="D5" s="196"/>
      <c r="E5" s="196"/>
      <c r="F5" s="196"/>
      <c r="G5" s="196"/>
      <c r="H5" s="193"/>
      <c r="I5" s="198"/>
      <c r="J5" s="195"/>
      <c r="K5" s="199"/>
      <c r="L5" s="195"/>
      <c r="M5" s="201"/>
      <c r="N5" s="28" t="str">
        <f>RESUMEN!B9</f>
        <v>VTO 17/07</v>
      </c>
      <c r="O5" s="190"/>
    </row>
    <row r="6" spans="1:18" ht="17.100000000000001" customHeight="1" x14ac:dyDescent="0.3">
      <c r="A6" s="130" t="s">
        <v>12</v>
      </c>
      <c r="B6" s="87">
        <v>0</v>
      </c>
      <c r="C6" s="87" t="s">
        <v>102</v>
      </c>
      <c r="D6" s="87" t="s">
        <v>74</v>
      </c>
      <c r="E6" s="32">
        <v>1.58</v>
      </c>
      <c r="F6" s="33">
        <v>1583891</v>
      </c>
      <c r="G6" s="34">
        <v>0</v>
      </c>
      <c r="H6" s="35"/>
      <c r="I6" s="36">
        <f>F6-G6</f>
        <v>1583891</v>
      </c>
      <c r="J6" s="36">
        <f>IF(I6&gt;0,I6*2.95%,0)</f>
        <v>46724.784500000002</v>
      </c>
      <c r="K6" s="37">
        <f>N$2*E6%</f>
        <v>0</v>
      </c>
      <c r="L6" s="37">
        <f>N$1*E6%</f>
        <v>128549.5500576</v>
      </c>
      <c r="M6" s="38">
        <v>0</v>
      </c>
      <c r="N6" s="39">
        <f t="shared" ref="N6:N64" si="0">ROUND(SUM(I6:M6),0) + P6</f>
        <v>1759165</v>
      </c>
      <c r="O6" s="40">
        <f t="shared" ref="O6:O64" si="1">ROUND(N6*3%,0) + N6</f>
        <v>1811940</v>
      </c>
      <c r="P6" s="24">
        <v>0</v>
      </c>
    </row>
    <row r="7" spans="1:18" ht="17.100000000000001" customHeight="1" x14ac:dyDescent="0.3">
      <c r="A7" s="130"/>
      <c r="B7" s="87">
        <v>1</v>
      </c>
      <c r="C7" s="87" t="s">
        <v>103</v>
      </c>
      <c r="D7" s="87" t="s">
        <v>75</v>
      </c>
      <c r="E7" s="32">
        <v>2.91</v>
      </c>
      <c r="F7" s="33">
        <v>462493.01</v>
      </c>
      <c r="G7" s="34">
        <v>0</v>
      </c>
      <c r="H7" s="35"/>
      <c r="I7" s="36">
        <f>F7-G7</f>
        <v>462493.01</v>
      </c>
      <c r="J7" s="36">
        <f>IF(I7&gt;0,I7*2.95%,0)</f>
        <v>13643.543795000001</v>
      </c>
      <c r="K7" s="37">
        <f>N$2*E7%</f>
        <v>0</v>
      </c>
      <c r="L7" s="37">
        <f>N$1*E7%</f>
        <v>236758.9814352</v>
      </c>
      <c r="M7" s="38">
        <v>0</v>
      </c>
      <c r="N7" s="39">
        <f t="shared" si="0"/>
        <v>712896.01</v>
      </c>
      <c r="O7" s="40">
        <f t="shared" si="1"/>
        <v>734283.01</v>
      </c>
      <c r="P7" s="24">
        <f>P5+0.01</f>
        <v>0.01</v>
      </c>
    </row>
    <row r="8" spans="1:18" ht="17.100000000000001" customHeight="1" x14ac:dyDescent="0.3">
      <c r="A8" s="130" t="s">
        <v>13</v>
      </c>
      <c r="B8" s="87">
        <f>B7+1</f>
        <v>2</v>
      </c>
      <c r="C8" s="87" t="s">
        <v>104</v>
      </c>
      <c r="D8" s="87" t="s">
        <v>76</v>
      </c>
      <c r="E8" s="88">
        <v>1.94</v>
      </c>
      <c r="F8" s="34">
        <v>1266310.02</v>
      </c>
      <c r="G8" s="34"/>
      <c r="H8" s="35"/>
      <c r="I8" s="89">
        <f t="shared" ref="I8:I64" si="2">F8-G8</f>
        <v>1266310.02</v>
      </c>
      <c r="J8" s="89">
        <f t="shared" ref="J8:J64" si="3">IF(I8&gt;0,I8*2.95%,0)</f>
        <v>37356.14559</v>
      </c>
      <c r="K8" s="90">
        <f t="shared" ref="K8:K64" si="4">N$2*E8%</f>
        <v>0</v>
      </c>
      <c r="L8" s="90">
        <f t="shared" ref="L8:L64" si="5">N$1*E8%</f>
        <v>157839.32095679999</v>
      </c>
      <c r="M8" s="91">
        <v>0</v>
      </c>
      <c r="N8" s="92">
        <f t="shared" si="0"/>
        <v>1461505.02</v>
      </c>
      <c r="O8" s="93">
        <f t="shared" si="1"/>
        <v>1505350.02</v>
      </c>
      <c r="P8" s="24">
        <f>P7+0.01</f>
        <v>0.02</v>
      </c>
      <c r="Q8" s="24"/>
    </row>
    <row r="9" spans="1:18" ht="17.25" customHeight="1" x14ac:dyDescent="0.3">
      <c r="A9" s="130" t="s">
        <v>13</v>
      </c>
      <c r="B9" s="87">
        <f t="shared" ref="B9:B44" si="6">B8+1</f>
        <v>3</v>
      </c>
      <c r="C9" s="87" t="s">
        <v>105</v>
      </c>
      <c r="D9" s="104" t="s">
        <v>77</v>
      </c>
      <c r="E9" s="88">
        <v>1.78</v>
      </c>
      <c r="F9" s="34">
        <v>117937.03</v>
      </c>
      <c r="G9" s="34">
        <f>F9</f>
        <v>117937.03</v>
      </c>
      <c r="H9" s="35"/>
      <c r="I9" s="89">
        <f t="shared" si="2"/>
        <v>0</v>
      </c>
      <c r="J9" s="89">
        <f t="shared" si="3"/>
        <v>0</v>
      </c>
      <c r="K9" s="90">
        <f t="shared" si="4"/>
        <v>0</v>
      </c>
      <c r="L9" s="90">
        <f t="shared" si="5"/>
        <v>144821.64500159997</v>
      </c>
      <c r="M9" s="91">
        <v>0</v>
      </c>
      <c r="N9" s="92">
        <f t="shared" si="0"/>
        <v>144822.03</v>
      </c>
      <c r="O9" s="93">
        <f t="shared" si="1"/>
        <v>149167.03</v>
      </c>
      <c r="P9" s="24">
        <f>P8+0.01</f>
        <v>0.03</v>
      </c>
    </row>
    <row r="10" spans="1:18" ht="17.100000000000001" customHeight="1" x14ac:dyDescent="0.3">
      <c r="A10" s="130" t="s">
        <v>14</v>
      </c>
      <c r="B10" s="87">
        <f t="shared" si="6"/>
        <v>4</v>
      </c>
      <c r="C10" s="87" t="s">
        <v>106</v>
      </c>
      <c r="D10" s="87" t="s">
        <v>78</v>
      </c>
      <c r="E10" s="32">
        <v>1.62</v>
      </c>
      <c r="F10" s="33">
        <v>109837.04</v>
      </c>
      <c r="G10" s="34">
        <v>113132.04</v>
      </c>
      <c r="H10" s="35"/>
      <c r="I10" s="36">
        <f t="shared" si="2"/>
        <v>-3295</v>
      </c>
      <c r="J10" s="36">
        <f t="shared" si="3"/>
        <v>0</v>
      </c>
      <c r="K10" s="37">
        <f t="shared" si="4"/>
        <v>0</v>
      </c>
      <c r="L10" s="37">
        <f t="shared" si="5"/>
        <v>131803.96904640002</v>
      </c>
      <c r="M10" s="38">
        <v>0</v>
      </c>
      <c r="N10" s="39">
        <f t="shared" si="0"/>
        <v>128509.04</v>
      </c>
      <c r="O10" s="40">
        <f t="shared" si="1"/>
        <v>132364.03999999998</v>
      </c>
      <c r="P10" s="24">
        <f t="shared" ref="P10:P64" si="7">P9+0.01</f>
        <v>0.04</v>
      </c>
      <c r="Q10" s="30" t="s">
        <v>81</v>
      </c>
      <c r="R10" s="24"/>
    </row>
    <row r="11" spans="1:18" ht="17.100000000000001" customHeight="1" x14ac:dyDescent="0.3">
      <c r="A11" s="157" t="s">
        <v>14</v>
      </c>
      <c r="B11" s="158">
        <f t="shared" si="6"/>
        <v>5</v>
      </c>
      <c r="C11" s="158" t="s">
        <v>107</v>
      </c>
      <c r="D11" s="158" t="s">
        <v>79</v>
      </c>
      <c r="E11" s="32">
        <v>1.94</v>
      </c>
      <c r="F11" s="33">
        <v>925606.05</v>
      </c>
      <c r="G11" s="34">
        <v>0</v>
      </c>
      <c r="H11" s="35"/>
      <c r="I11" s="36">
        <f t="shared" si="2"/>
        <v>925606.05</v>
      </c>
      <c r="J11" s="36">
        <f t="shared" si="3"/>
        <v>27305.378475000001</v>
      </c>
      <c r="K11" s="37">
        <f t="shared" si="4"/>
        <v>0</v>
      </c>
      <c r="L11" s="37">
        <f t="shared" si="5"/>
        <v>157839.32095679999</v>
      </c>
      <c r="M11" s="38">
        <v>0</v>
      </c>
      <c r="N11" s="39">
        <f t="shared" si="0"/>
        <v>1110751.05</v>
      </c>
      <c r="O11" s="40">
        <f t="shared" si="1"/>
        <v>1144074.05</v>
      </c>
      <c r="P11" s="24">
        <f t="shared" si="7"/>
        <v>0.05</v>
      </c>
      <c r="R11" s="24"/>
    </row>
    <row r="12" spans="1:18" ht="17.100000000000001" customHeight="1" x14ac:dyDescent="0.3">
      <c r="A12" s="130"/>
      <c r="B12" s="87">
        <f t="shared" si="6"/>
        <v>6</v>
      </c>
      <c r="C12" s="87" t="s">
        <v>108</v>
      </c>
      <c r="D12" s="87" t="s">
        <v>80</v>
      </c>
      <c r="E12" s="32">
        <v>1.78</v>
      </c>
      <c r="F12" s="33">
        <v>120685.06</v>
      </c>
      <c r="G12" s="34">
        <v>124306.06</v>
      </c>
      <c r="H12" s="35"/>
      <c r="I12" s="36">
        <f t="shared" si="2"/>
        <v>-3621</v>
      </c>
      <c r="J12" s="36">
        <f t="shared" si="3"/>
        <v>0</v>
      </c>
      <c r="K12" s="37">
        <f t="shared" si="4"/>
        <v>0</v>
      </c>
      <c r="L12" s="37">
        <f t="shared" si="5"/>
        <v>144821.64500159997</v>
      </c>
      <c r="M12" s="38">
        <v>0</v>
      </c>
      <c r="N12" s="39">
        <f t="shared" si="0"/>
        <v>141201.06</v>
      </c>
      <c r="O12" s="40">
        <f t="shared" si="1"/>
        <v>145437.06</v>
      </c>
      <c r="P12" s="24">
        <f t="shared" si="7"/>
        <v>6.0000000000000005E-2</v>
      </c>
      <c r="R12" s="24"/>
    </row>
    <row r="13" spans="1:18" ht="17.100000000000001" customHeight="1" x14ac:dyDescent="0.3">
      <c r="A13" s="130"/>
      <c r="B13" s="87">
        <f t="shared" si="6"/>
        <v>7</v>
      </c>
      <c r="C13" s="87" t="s">
        <v>109</v>
      </c>
      <c r="D13" s="87" t="s">
        <v>81</v>
      </c>
      <c r="E13" s="32">
        <v>1.62</v>
      </c>
      <c r="F13" s="33">
        <v>109837.07</v>
      </c>
      <c r="G13" s="34">
        <v>113132.07</v>
      </c>
      <c r="H13" s="35"/>
      <c r="I13" s="36">
        <f t="shared" si="2"/>
        <v>-3295</v>
      </c>
      <c r="J13" s="36">
        <f t="shared" si="3"/>
        <v>0</v>
      </c>
      <c r="K13" s="37">
        <f t="shared" si="4"/>
        <v>0</v>
      </c>
      <c r="L13" s="37">
        <f t="shared" si="5"/>
        <v>131803.96904640002</v>
      </c>
      <c r="M13" s="38">
        <v>0</v>
      </c>
      <c r="N13" s="39">
        <f t="shared" si="0"/>
        <v>128509.07</v>
      </c>
      <c r="O13" s="40">
        <f t="shared" si="1"/>
        <v>132364.07</v>
      </c>
      <c r="P13" s="24">
        <f t="shared" si="7"/>
        <v>7.0000000000000007E-2</v>
      </c>
      <c r="Q13" s="30" t="s">
        <v>81</v>
      </c>
      <c r="R13" s="24"/>
    </row>
    <row r="14" spans="1:18" ht="17.100000000000001" customHeight="1" x14ac:dyDescent="0.3">
      <c r="A14" s="130"/>
      <c r="B14" s="87">
        <f t="shared" si="6"/>
        <v>8</v>
      </c>
      <c r="C14" s="87" t="s">
        <v>110</v>
      </c>
      <c r="D14" s="87" t="s">
        <v>82</v>
      </c>
      <c r="E14" s="32">
        <v>1.62</v>
      </c>
      <c r="F14" s="33">
        <v>109473.08</v>
      </c>
      <c r="G14" s="34">
        <v>110000</v>
      </c>
      <c r="H14" s="35"/>
      <c r="I14" s="36">
        <f t="shared" si="2"/>
        <v>-526.91999999999825</v>
      </c>
      <c r="J14" s="36">
        <f t="shared" si="3"/>
        <v>0</v>
      </c>
      <c r="K14" s="37">
        <f t="shared" si="4"/>
        <v>0</v>
      </c>
      <c r="L14" s="37">
        <f t="shared" si="5"/>
        <v>131803.96904640002</v>
      </c>
      <c r="M14" s="38">
        <v>0</v>
      </c>
      <c r="N14" s="39">
        <f t="shared" si="0"/>
        <v>131277.07999999999</v>
      </c>
      <c r="O14" s="40">
        <f t="shared" si="1"/>
        <v>135215.07999999999</v>
      </c>
      <c r="P14" s="24">
        <f t="shared" si="7"/>
        <v>0.08</v>
      </c>
      <c r="R14" s="24"/>
    </row>
    <row r="15" spans="1:18" ht="17.100000000000001" customHeight="1" x14ac:dyDescent="0.3">
      <c r="A15" s="130"/>
      <c r="B15" s="87">
        <f t="shared" si="6"/>
        <v>9</v>
      </c>
      <c r="C15" s="87" t="s">
        <v>111</v>
      </c>
      <c r="D15" s="87" t="s">
        <v>82</v>
      </c>
      <c r="E15" s="32">
        <v>7.59</v>
      </c>
      <c r="F15" s="33">
        <v>803173.09</v>
      </c>
      <c r="G15" s="34">
        <f>514100+273000+16073</f>
        <v>803173</v>
      </c>
      <c r="H15" s="35"/>
      <c r="I15" s="36">
        <f t="shared" si="2"/>
        <v>8.999999996740371E-2</v>
      </c>
      <c r="J15" s="36">
        <f t="shared" si="3"/>
        <v>2.6549999990384096E-3</v>
      </c>
      <c r="K15" s="37">
        <f t="shared" si="4"/>
        <v>0</v>
      </c>
      <c r="L15" s="37">
        <f t="shared" si="5"/>
        <v>617526.00312479993</v>
      </c>
      <c r="M15" s="38">
        <v>0</v>
      </c>
      <c r="N15" s="39">
        <f t="shared" si="0"/>
        <v>617526.09</v>
      </c>
      <c r="O15" s="40">
        <f t="shared" si="1"/>
        <v>636052.09</v>
      </c>
      <c r="P15" s="24">
        <f t="shared" si="7"/>
        <v>0.09</v>
      </c>
      <c r="R15" s="24"/>
    </row>
    <row r="16" spans="1:18" ht="17.100000000000001" customHeight="1" x14ac:dyDescent="0.3">
      <c r="A16" s="130"/>
      <c r="B16" s="87">
        <f t="shared" si="6"/>
        <v>10</v>
      </c>
      <c r="C16" s="87" t="s">
        <v>112</v>
      </c>
      <c r="D16" s="87" t="s">
        <v>83</v>
      </c>
      <c r="E16" s="32">
        <v>1.62</v>
      </c>
      <c r="F16" s="33">
        <v>59501.1</v>
      </c>
      <c r="G16" s="34">
        <v>61286</v>
      </c>
      <c r="H16" s="35"/>
      <c r="I16" s="36">
        <f t="shared" si="2"/>
        <v>-1784.9000000000015</v>
      </c>
      <c r="J16" s="36">
        <f t="shared" si="3"/>
        <v>0</v>
      </c>
      <c r="K16" s="37">
        <f t="shared" si="4"/>
        <v>0</v>
      </c>
      <c r="L16" s="37">
        <f t="shared" si="5"/>
        <v>131803.96904640002</v>
      </c>
      <c r="M16" s="38">
        <v>0</v>
      </c>
      <c r="N16" s="39">
        <f t="shared" si="0"/>
        <v>130019.1</v>
      </c>
      <c r="O16" s="40">
        <f t="shared" si="1"/>
        <v>133920.1</v>
      </c>
      <c r="P16" s="24">
        <f t="shared" si="7"/>
        <v>9.9999999999999992E-2</v>
      </c>
      <c r="Q16" t="s">
        <v>145</v>
      </c>
      <c r="R16" s="24"/>
    </row>
    <row r="17" spans="1:18" ht="17.100000000000001" customHeight="1" x14ac:dyDescent="0.3">
      <c r="A17" s="130"/>
      <c r="B17" s="87">
        <f t="shared" si="6"/>
        <v>11</v>
      </c>
      <c r="C17" s="87" t="s">
        <v>113</v>
      </c>
      <c r="D17" s="87" t="s">
        <v>84</v>
      </c>
      <c r="E17" s="32">
        <v>1.78</v>
      </c>
      <c r="F17" s="33">
        <v>404905.11</v>
      </c>
      <c r="G17" s="34">
        <v>0</v>
      </c>
      <c r="H17" s="35"/>
      <c r="I17" s="36">
        <f t="shared" si="2"/>
        <v>404905.11</v>
      </c>
      <c r="J17" s="36">
        <f t="shared" si="3"/>
        <v>11944.700745</v>
      </c>
      <c r="K17" s="37">
        <f t="shared" si="4"/>
        <v>0</v>
      </c>
      <c r="L17" s="37">
        <f t="shared" si="5"/>
        <v>144821.64500159997</v>
      </c>
      <c r="M17" s="38">
        <v>0</v>
      </c>
      <c r="N17" s="39">
        <f t="shared" si="0"/>
        <v>561671.11</v>
      </c>
      <c r="O17" s="40">
        <f t="shared" si="1"/>
        <v>578521.11</v>
      </c>
      <c r="P17" s="24">
        <f t="shared" si="7"/>
        <v>0.10999999999999999</v>
      </c>
      <c r="R17" s="24"/>
    </row>
    <row r="18" spans="1:18" ht="17.100000000000001" customHeight="1" x14ac:dyDescent="0.3">
      <c r="A18" s="130"/>
      <c r="B18" s="87">
        <f t="shared" si="6"/>
        <v>12</v>
      </c>
      <c r="C18" s="87" t="s">
        <v>114</v>
      </c>
      <c r="D18" s="87" t="s">
        <v>84</v>
      </c>
      <c r="E18" s="32">
        <v>1.3</v>
      </c>
      <c r="F18" s="33">
        <v>295773.12</v>
      </c>
      <c r="G18" s="34">
        <v>0</v>
      </c>
      <c r="H18" s="35"/>
      <c r="I18" s="36">
        <f t="shared" si="2"/>
        <v>295773.12</v>
      </c>
      <c r="J18" s="36">
        <f t="shared" si="3"/>
        <v>8725.3070399999997</v>
      </c>
      <c r="K18" s="37">
        <f t="shared" si="4"/>
        <v>0</v>
      </c>
      <c r="L18" s="37">
        <f t="shared" si="5"/>
        <v>105768.617136</v>
      </c>
      <c r="M18" s="38">
        <v>0</v>
      </c>
      <c r="N18" s="39">
        <f t="shared" si="0"/>
        <v>410267.12</v>
      </c>
      <c r="O18" s="40">
        <f t="shared" si="1"/>
        <v>422575.12</v>
      </c>
      <c r="P18" s="24">
        <f t="shared" si="7"/>
        <v>0.11999999999999998</v>
      </c>
      <c r="R18" s="24"/>
    </row>
    <row r="19" spans="1:18" ht="17.100000000000001" customHeight="1" x14ac:dyDescent="0.3">
      <c r="A19" s="130"/>
      <c r="B19" s="87">
        <f t="shared" si="6"/>
        <v>13</v>
      </c>
      <c r="C19" s="87" t="s">
        <v>115</v>
      </c>
      <c r="D19" s="87" t="s">
        <v>85</v>
      </c>
      <c r="E19" s="32">
        <v>1.38</v>
      </c>
      <c r="F19" s="33">
        <v>93565.13</v>
      </c>
      <c r="G19" s="34">
        <f>226963.27-G20</f>
        <v>100176.12999999999</v>
      </c>
      <c r="H19" s="35"/>
      <c r="I19" s="36">
        <f t="shared" si="2"/>
        <v>-6610.9999999999854</v>
      </c>
      <c r="J19" s="36">
        <f t="shared" si="3"/>
        <v>0</v>
      </c>
      <c r="K19" s="37">
        <f t="shared" si="4"/>
        <v>0</v>
      </c>
      <c r="L19" s="37">
        <f t="shared" si="5"/>
        <v>112277.45511359998</v>
      </c>
      <c r="M19" s="38">
        <v>0</v>
      </c>
      <c r="N19" s="39">
        <f t="shared" si="0"/>
        <v>105666.13</v>
      </c>
      <c r="O19" s="40">
        <f t="shared" si="1"/>
        <v>108836.13</v>
      </c>
      <c r="P19" s="24">
        <f t="shared" si="7"/>
        <v>0.12999999999999998</v>
      </c>
      <c r="Q19" t="s">
        <v>147</v>
      </c>
      <c r="R19" s="24"/>
    </row>
    <row r="20" spans="1:18" ht="17.100000000000001" customHeight="1" x14ac:dyDescent="0.3">
      <c r="A20" s="130"/>
      <c r="B20" s="87">
        <f t="shared" si="6"/>
        <v>14</v>
      </c>
      <c r="C20" s="87" t="s">
        <v>116</v>
      </c>
      <c r="D20" s="87" t="s">
        <v>85</v>
      </c>
      <c r="E20" s="32">
        <v>1.87</v>
      </c>
      <c r="F20" s="33">
        <v>126787.14</v>
      </c>
      <c r="G20" s="34">
        <f>F20</f>
        <v>126787.14</v>
      </c>
      <c r="H20" s="35"/>
      <c r="I20" s="36">
        <f t="shared" si="2"/>
        <v>0</v>
      </c>
      <c r="J20" s="36">
        <f t="shared" si="3"/>
        <v>0</v>
      </c>
      <c r="K20" s="37">
        <f t="shared" si="4"/>
        <v>0</v>
      </c>
      <c r="L20" s="37">
        <f t="shared" si="5"/>
        <v>152144.0877264</v>
      </c>
      <c r="M20" s="38">
        <v>0</v>
      </c>
      <c r="N20" s="39">
        <f t="shared" si="0"/>
        <v>152144.14000000001</v>
      </c>
      <c r="O20" s="40">
        <f t="shared" si="1"/>
        <v>156708.14000000001</v>
      </c>
      <c r="P20" s="24">
        <f t="shared" si="7"/>
        <v>0.13999999999999999</v>
      </c>
      <c r="Q20" t="s">
        <v>147</v>
      </c>
      <c r="R20" s="24"/>
    </row>
    <row r="21" spans="1:18" ht="17.100000000000001" customHeight="1" x14ac:dyDescent="0.3">
      <c r="A21" s="130"/>
      <c r="B21" s="159">
        <f t="shared" si="6"/>
        <v>15</v>
      </c>
      <c r="C21" s="159" t="s">
        <v>117</v>
      </c>
      <c r="D21" s="159" t="s">
        <v>86</v>
      </c>
      <c r="E21" s="32">
        <v>2.91</v>
      </c>
      <c r="F21" s="33">
        <v>1018878.15</v>
      </c>
      <c r="G21" s="34">
        <f>100000*5+200000</f>
        <v>700000</v>
      </c>
      <c r="H21" s="35"/>
      <c r="I21" s="36">
        <f t="shared" si="2"/>
        <v>318878.15000000002</v>
      </c>
      <c r="J21" s="36">
        <f t="shared" si="3"/>
        <v>9406.9054250000008</v>
      </c>
      <c r="K21" s="37">
        <f t="shared" si="4"/>
        <v>0</v>
      </c>
      <c r="L21" s="37">
        <f t="shared" si="5"/>
        <v>236758.9814352</v>
      </c>
      <c r="M21" s="38">
        <v>0</v>
      </c>
      <c r="N21" s="39">
        <f t="shared" si="0"/>
        <v>565044.15</v>
      </c>
      <c r="O21" s="40">
        <f t="shared" si="1"/>
        <v>581995.15</v>
      </c>
      <c r="P21" s="24">
        <f t="shared" si="7"/>
        <v>0.15</v>
      </c>
      <c r="Q21" t="s">
        <v>165</v>
      </c>
      <c r="R21" s="24"/>
    </row>
    <row r="22" spans="1:18" ht="17.100000000000001" customHeight="1" x14ac:dyDescent="0.3">
      <c r="A22" s="130"/>
      <c r="B22" s="222">
        <f t="shared" si="6"/>
        <v>16</v>
      </c>
      <c r="C22" s="222" t="s">
        <v>118</v>
      </c>
      <c r="D22" s="222" t="s">
        <v>87</v>
      </c>
      <c r="E22" s="32">
        <v>2.14</v>
      </c>
      <c r="F22" s="33">
        <v>141755.16</v>
      </c>
      <c r="G22" s="34">
        <v>146100</v>
      </c>
      <c r="H22" s="35"/>
      <c r="I22" s="36">
        <f t="shared" si="2"/>
        <v>-4344.8399999999965</v>
      </c>
      <c r="J22" s="36">
        <f t="shared" si="3"/>
        <v>0</v>
      </c>
      <c r="K22" s="37">
        <f t="shared" si="4"/>
        <v>0</v>
      </c>
      <c r="L22" s="37">
        <f t="shared" si="5"/>
        <v>174111.4159008</v>
      </c>
      <c r="M22" s="38">
        <v>0</v>
      </c>
      <c r="N22" s="39">
        <f t="shared" si="0"/>
        <v>169767.16</v>
      </c>
      <c r="O22" s="40">
        <f t="shared" si="1"/>
        <v>174860.16</v>
      </c>
      <c r="P22" s="24">
        <f t="shared" si="7"/>
        <v>0.16</v>
      </c>
      <c r="Q22" t="s">
        <v>145</v>
      </c>
      <c r="R22" s="24"/>
    </row>
    <row r="23" spans="1:18" ht="17.100000000000001" customHeight="1" x14ac:dyDescent="0.3">
      <c r="A23" s="130" t="s">
        <v>15</v>
      </c>
      <c r="B23" s="87">
        <f t="shared" si="6"/>
        <v>17</v>
      </c>
      <c r="C23" s="87" t="s">
        <v>119</v>
      </c>
      <c r="D23" s="87" t="s">
        <v>82</v>
      </c>
      <c r="E23" s="32">
        <v>0.89</v>
      </c>
      <c r="F23" s="33">
        <v>60260.17</v>
      </c>
      <c r="G23" s="34">
        <v>60300</v>
      </c>
      <c r="H23" s="35"/>
      <c r="I23" s="36">
        <f t="shared" si="2"/>
        <v>-39.830000000001746</v>
      </c>
      <c r="J23" s="36">
        <f t="shared" si="3"/>
        <v>0</v>
      </c>
      <c r="K23" s="37">
        <f t="shared" si="4"/>
        <v>0</v>
      </c>
      <c r="L23" s="37">
        <f t="shared" si="5"/>
        <v>72410.822500799986</v>
      </c>
      <c r="M23" s="38">
        <v>0</v>
      </c>
      <c r="N23" s="39">
        <f t="shared" si="0"/>
        <v>72371.17</v>
      </c>
      <c r="O23" s="40">
        <f t="shared" si="1"/>
        <v>74542.17</v>
      </c>
      <c r="P23" s="24">
        <f t="shared" si="7"/>
        <v>0.17</v>
      </c>
    </row>
    <row r="24" spans="1:18" ht="17.100000000000001" customHeight="1" x14ac:dyDescent="0.3">
      <c r="A24" s="130" t="s">
        <v>15</v>
      </c>
      <c r="B24" s="87">
        <f t="shared" si="6"/>
        <v>18</v>
      </c>
      <c r="C24" s="87" t="s">
        <v>120</v>
      </c>
      <c r="D24" s="87" t="s">
        <v>88</v>
      </c>
      <c r="E24" s="88">
        <v>0.95</v>
      </c>
      <c r="F24" s="34">
        <v>2996892.18</v>
      </c>
      <c r="G24" s="34">
        <v>0</v>
      </c>
      <c r="H24" s="35"/>
      <c r="I24" s="36">
        <f t="shared" si="2"/>
        <v>2996892.18</v>
      </c>
      <c r="J24" s="36">
        <f t="shared" si="3"/>
        <v>88408.319310000006</v>
      </c>
      <c r="K24" s="37">
        <f t="shared" si="4"/>
        <v>0</v>
      </c>
      <c r="L24" s="37">
        <f t="shared" si="5"/>
        <v>77292.450983999996</v>
      </c>
      <c r="M24" s="38">
        <v>0</v>
      </c>
      <c r="N24" s="39">
        <f t="shared" si="0"/>
        <v>3162593.18</v>
      </c>
      <c r="O24" s="40">
        <f t="shared" si="1"/>
        <v>3257471.18</v>
      </c>
      <c r="P24" s="24">
        <f t="shared" si="7"/>
        <v>0.18000000000000002</v>
      </c>
      <c r="Q24" s="75"/>
      <c r="R24" s="74"/>
    </row>
    <row r="25" spans="1:18" ht="17.100000000000001" customHeight="1" x14ac:dyDescent="0.3">
      <c r="A25" s="130" t="s">
        <v>16</v>
      </c>
      <c r="B25" s="87">
        <f t="shared" si="6"/>
        <v>19</v>
      </c>
      <c r="C25" s="87" t="s">
        <v>121</v>
      </c>
      <c r="D25" s="87" t="s">
        <v>82</v>
      </c>
      <c r="E25" s="32">
        <v>1.94</v>
      </c>
      <c r="F25" s="33">
        <v>131119.19</v>
      </c>
      <c r="G25" s="34">
        <v>131800</v>
      </c>
      <c r="H25" s="35"/>
      <c r="I25" s="36">
        <f t="shared" si="2"/>
        <v>-680.80999999999767</v>
      </c>
      <c r="J25" s="36">
        <f t="shared" si="3"/>
        <v>0</v>
      </c>
      <c r="K25" s="37">
        <f t="shared" si="4"/>
        <v>0</v>
      </c>
      <c r="L25" s="37">
        <f t="shared" si="5"/>
        <v>157839.32095679999</v>
      </c>
      <c r="M25" s="38">
        <v>0</v>
      </c>
      <c r="N25" s="39">
        <f t="shared" si="0"/>
        <v>157159.19</v>
      </c>
      <c r="O25" s="40">
        <f t="shared" si="1"/>
        <v>161874.19</v>
      </c>
      <c r="P25" s="24">
        <f t="shared" si="7"/>
        <v>0.19000000000000003</v>
      </c>
    </row>
    <row r="26" spans="1:18" ht="17.100000000000001" customHeight="1" x14ac:dyDescent="0.3">
      <c r="A26" s="130" t="s">
        <v>16</v>
      </c>
      <c r="B26" s="87">
        <f t="shared" si="6"/>
        <v>20</v>
      </c>
      <c r="C26" s="87" t="s">
        <v>122</v>
      </c>
      <c r="D26" s="87" t="s">
        <v>89</v>
      </c>
      <c r="E26" s="32">
        <v>1.84</v>
      </c>
      <c r="F26" s="33">
        <v>194767.2</v>
      </c>
      <c r="G26" s="34">
        <v>124753.2</v>
      </c>
      <c r="H26" s="35"/>
      <c r="I26" s="36">
        <f t="shared" si="2"/>
        <v>70014.000000000015</v>
      </c>
      <c r="J26" s="36">
        <f t="shared" si="3"/>
        <v>2065.4130000000005</v>
      </c>
      <c r="K26" s="37">
        <f t="shared" si="4"/>
        <v>0</v>
      </c>
      <c r="L26" s="37">
        <f t="shared" si="5"/>
        <v>149703.27348479998</v>
      </c>
      <c r="M26" s="38">
        <v>0</v>
      </c>
      <c r="N26" s="39">
        <f t="shared" si="0"/>
        <v>221783.2</v>
      </c>
      <c r="O26" s="40">
        <f t="shared" si="1"/>
        <v>228436.2</v>
      </c>
      <c r="P26" s="24">
        <f t="shared" si="7"/>
        <v>0.20000000000000004</v>
      </c>
    </row>
    <row r="27" spans="1:18" ht="17.100000000000001" customHeight="1" x14ac:dyDescent="0.3">
      <c r="A27" s="130" t="s">
        <v>17</v>
      </c>
      <c r="B27" s="87">
        <f t="shared" si="6"/>
        <v>21</v>
      </c>
      <c r="C27" s="87">
        <v>1106</v>
      </c>
      <c r="D27" s="87" t="s">
        <v>90</v>
      </c>
      <c r="E27" s="32">
        <v>5.12</v>
      </c>
      <c r="F27" s="33">
        <v>6425609.21</v>
      </c>
      <c r="G27" s="34">
        <f>500000+600000</f>
        <v>1100000</v>
      </c>
      <c r="H27" s="35"/>
      <c r="I27" s="36">
        <f t="shared" si="2"/>
        <v>5325609.21</v>
      </c>
      <c r="J27" s="36">
        <f t="shared" si="3"/>
        <v>157105.47169500001</v>
      </c>
      <c r="K27" s="37">
        <f t="shared" si="4"/>
        <v>0</v>
      </c>
      <c r="L27" s="37">
        <f t="shared" si="5"/>
        <v>416565.63056639995</v>
      </c>
      <c r="M27" s="38">
        <v>0</v>
      </c>
      <c r="N27" s="39">
        <f t="shared" si="0"/>
        <v>5899280.21</v>
      </c>
      <c r="O27" s="40">
        <f t="shared" si="1"/>
        <v>6076258.21</v>
      </c>
      <c r="P27" s="24">
        <f t="shared" si="7"/>
        <v>0.21000000000000005</v>
      </c>
    </row>
    <row r="28" spans="1:18" ht="17.100000000000001" customHeight="1" x14ac:dyDescent="0.3">
      <c r="A28" s="130" t="s">
        <v>17</v>
      </c>
      <c r="B28" s="164">
        <f t="shared" si="6"/>
        <v>22</v>
      </c>
      <c r="C28" s="164">
        <v>1101</v>
      </c>
      <c r="D28" s="164" t="s">
        <v>82</v>
      </c>
      <c r="E28" s="32">
        <v>3.88</v>
      </c>
      <c r="F28" s="33">
        <v>261894.22</v>
      </c>
      <c r="G28" s="34">
        <v>0</v>
      </c>
      <c r="H28" s="35"/>
      <c r="I28" s="36">
        <f t="shared" si="2"/>
        <v>261894.22</v>
      </c>
      <c r="J28" s="36">
        <f t="shared" si="3"/>
        <v>7725.8794900000003</v>
      </c>
      <c r="K28" s="37">
        <f t="shared" si="4"/>
        <v>0</v>
      </c>
      <c r="L28" s="37">
        <f t="shared" si="5"/>
        <v>315678.64191359997</v>
      </c>
      <c r="M28" s="38">
        <v>0</v>
      </c>
      <c r="N28" s="39">
        <f t="shared" si="0"/>
        <v>585299.22</v>
      </c>
      <c r="O28" s="40">
        <f t="shared" si="1"/>
        <v>602858.22</v>
      </c>
      <c r="P28" s="24">
        <f t="shared" si="7"/>
        <v>0.22000000000000006</v>
      </c>
      <c r="Q28" t="s">
        <v>146</v>
      </c>
    </row>
    <row r="29" spans="1:18" ht="17.100000000000001" customHeight="1" x14ac:dyDescent="0.3">
      <c r="A29" s="130" t="s">
        <v>18</v>
      </c>
      <c r="B29" s="87">
        <f t="shared" si="6"/>
        <v>23</v>
      </c>
      <c r="C29" s="87">
        <v>1102</v>
      </c>
      <c r="D29" s="87" t="s">
        <v>91</v>
      </c>
      <c r="E29" s="32">
        <v>0.92</v>
      </c>
      <c r="F29" s="33">
        <v>64247.23</v>
      </c>
      <c r="G29" s="34">
        <f>F29</f>
        <v>64247.23</v>
      </c>
      <c r="H29" s="35"/>
      <c r="I29" s="36">
        <f t="shared" si="2"/>
        <v>0</v>
      </c>
      <c r="J29" s="36">
        <f t="shared" si="3"/>
        <v>0</v>
      </c>
      <c r="K29" s="37">
        <f t="shared" si="4"/>
        <v>0</v>
      </c>
      <c r="L29" s="37">
        <f t="shared" si="5"/>
        <v>74851.636742399991</v>
      </c>
      <c r="M29" s="38">
        <v>0</v>
      </c>
      <c r="N29" s="39">
        <f t="shared" si="0"/>
        <v>74852.23</v>
      </c>
      <c r="O29" s="40">
        <f t="shared" si="1"/>
        <v>77098.23</v>
      </c>
      <c r="P29" s="24">
        <f t="shared" si="7"/>
        <v>0.23000000000000007</v>
      </c>
    </row>
    <row r="30" spans="1:18" ht="17.100000000000001" customHeight="1" x14ac:dyDescent="0.3">
      <c r="A30" s="130" t="s">
        <v>18</v>
      </c>
      <c r="B30" s="87">
        <f t="shared" si="6"/>
        <v>24</v>
      </c>
      <c r="C30" s="87">
        <v>1103</v>
      </c>
      <c r="D30" s="87" t="s">
        <v>92</v>
      </c>
      <c r="E30" s="32">
        <v>1.43</v>
      </c>
      <c r="F30" s="33">
        <v>5037347.24</v>
      </c>
      <c r="G30" s="34">
        <v>0</v>
      </c>
      <c r="H30" s="35"/>
      <c r="I30" s="36">
        <f t="shared" si="2"/>
        <v>5037347.24</v>
      </c>
      <c r="J30" s="36">
        <f t="shared" si="3"/>
        <v>148601.74358000001</v>
      </c>
      <c r="K30" s="37">
        <f t="shared" si="4"/>
        <v>0</v>
      </c>
      <c r="L30" s="37">
        <f t="shared" si="5"/>
        <v>116345.4788496</v>
      </c>
      <c r="M30" s="38">
        <v>0</v>
      </c>
      <c r="N30" s="39">
        <f t="shared" si="0"/>
        <v>5302294.24</v>
      </c>
      <c r="O30" s="40">
        <f t="shared" si="1"/>
        <v>5461363.2400000002</v>
      </c>
      <c r="P30" s="24">
        <f t="shared" si="7"/>
        <v>0.24000000000000007</v>
      </c>
    </row>
    <row r="31" spans="1:18" ht="17.100000000000001" customHeight="1" x14ac:dyDescent="0.3">
      <c r="A31" s="130" t="s">
        <v>19</v>
      </c>
      <c r="B31" s="87">
        <f t="shared" si="6"/>
        <v>25</v>
      </c>
      <c r="C31" s="87">
        <v>1104</v>
      </c>
      <c r="D31" s="87" t="s">
        <v>93</v>
      </c>
      <c r="E31" s="32">
        <v>2.19</v>
      </c>
      <c r="F31" s="33">
        <v>142674.25</v>
      </c>
      <c r="G31" s="34">
        <v>0</v>
      </c>
      <c r="H31" s="35"/>
      <c r="I31" s="36">
        <f t="shared" si="2"/>
        <v>142674.25</v>
      </c>
      <c r="J31" s="36">
        <f t="shared" si="3"/>
        <v>4208.8903749999999</v>
      </c>
      <c r="K31" s="37">
        <f t="shared" si="4"/>
        <v>0</v>
      </c>
      <c r="L31" s="37">
        <f t="shared" si="5"/>
        <v>178179.43963679997</v>
      </c>
      <c r="M31" s="38">
        <v>0</v>
      </c>
      <c r="N31" s="39">
        <f t="shared" si="0"/>
        <v>325063.25</v>
      </c>
      <c r="O31" s="40">
        <f t="shared" si="1"/>
        <v>334815.25</v>
      </c>
      <c r="P31" s="24">
        <f t="shared" si="7"/>
        <v>0.25000000000000006</v>
      </c>
    </row>
    <row r="32" spans="1:18" ht="17.100000000000001" customHeight="1" x14ac:dyDescent="0.3">
      <c r="A32" s="130" t="s">
        <v>19</v>
      </c>
      <c r="B32" s="87">
        <f t="shared" si="6"/>
        <v>26</v>
      </c>
      <c r="C32" s="87">
        <v>1105</v>
      </c>
      <c r="D32" s="87" t="s">
        <v>94</v>
      </c>
      <c r="E32" s="32">
        <v>1.94</v>
      </c>
      <c r="F32" s="33">
        <v>170408.26</v>
      </c>
      <c r="G32" s="34">
        <f>F32</f>
        <v>170408.26</v>
      </c>
      <c r="H32" s="35"/>
      <c r="I32" s="36">
        <f t="shared" si="2"/>
        <v>0</v>
      </c>
      <c r="J32" s="36">
        <f t="shared" si="3"/>
        <v>0</v>
      </c>
      <c r="K32" s="37">
        <f t="shared" si="4"/>
        <v>0</v>
      </c>
      <c r="L32" s="37">
        <f t="shared" si="5"/>
        <v>157839.32095679999</v>
      </c>
      <c r="M32" s="38">
        <v>0</v>
      </c>
      <c r="N32" s="39">
        <f t="shared" si="0"/>
        <v>157839.26</v>
      </c>
      <c r="O32" s="40">
        <f t="shared" si="1"/>
        <v>162574.26</v>
      </c>
      <c r="P32" s="24">
        <f t="shared" si="7"/>
        <v>0.26000000000000006</v>
      </c>
    </row>
    <row r="33" spans="1:18" ht="17.100000000000001" customHeight="1" x14ac:dyDescent="0.3">
      <c r="A33" s="130" t="s">
        <v>20</v>
      </c>
      <c r="B33" s="87">
        <f t="shared" si="6"/>
        <v>27</v>
      </c>
      <c r="C33" s="87">
        <v>2206</v>
      </c>
      <c r="D33" s="87" t="s">
        <v>95</v>
      </c>
      <c r="E33" s="32">
        <v>2.17</v>
      </c>
      <c r="F33" s="33">
        <v>148090.26999999999</v>
      </c>
      <c r="G33" s="34">
        <f>F33</f>
        <v>148090.26999999999</v>
      </c>
      <c r="H33" s="35"/>
      <c r="I33" s="36">
        <f t="shared" si="2"/>
        <v>0</v>
      </c>
      <c r="J33" s="36">
        <f t="shared" si="3"/>
        <v>0</v>
      </c>
      <c r="K33" s="37">
        <f t="shared" si="4"/>
        <v>0</v>
      </c>
      <c r="L33" s="37">
        <f t="shared" si="5"/>
        <v>176552.23014239999</v>
      </c>
      <c r="M33" s="38">
        <v>0</v>
      </c>
      <c r="N33" s="39">
        <f t="shared" si="0"/>
        <v>176552.27</v>
      </c>
      <c r="O33" s="40">
        <f t="shared" si="1"/>
        <v>181849.27</v>
      </c>
      <c r="P33" s="24">
        <f t="shared" si="7"/>
        <v>0.27000000000000007</v>
      </c>
      <c r="R33" s="23"/>
    </row>
    <row r="34" spans="1:18" ht="17.100000000000001" customHeight="1" x14ac:dyDescent="0.3">
      <c r="A34" s="130" t="s">
        <v>20</v>
      </c>
      <c r="B34" s="87">
        <f t="shared" si="6"/>
        <v>28</v>
      </c>
      <c r="C34" s="87">
        <v>2207</v>
      </c>
      <c r="D34" s="87" t="s">
        <v>96</v>
      </c>
      <c r="E34" s="32">
        <v>1.23</v>
      </c>
      <c r="F34" s="34">
        <v>81578.28</v>
      </c>
      <c r="G34" s="34">
        <v>84025.279999999999</v>
      </c>
      <c r="H34" s="35"/>
      <c r="I34" s="36">
        <f t="shared" si="2"/>
        <v>-2447</v>
      </c>
      <c r="J34" s="36">
        <f t="shared" si="3"/>
        <v>0</v>
      </c>
      <c r="K34" s="37">
        <f t="shared" si="4"/>
        <v>0</v>
      </c>
      <c r="L34" s="37">
        <f t="shared" si="5"/>
        <v>100073.38390559999</v>
      </c>
      <c r="M34" s="38">
        <v>0</v>
      </c>
      <c r="N34" s="39">
        <f t="shared" si="0"/>
        <v>97626.28</v>
      </c>
      <c r="O34" s="40">
        <f t="shared" si="1"/>
        <v>100555.28</v>
      </c>
      <c r="P34" s="24">
        <f t="shared" si="7"/>
        <v>0.28000000000000008</v>
      </c>
      <c r="Q34" t="s">
        <v>149</v>
      </c>
    </row>
    <row r="35" spans="1:18" ht="17.100000000000001" customHeight="1" x14ac:dyDescent="0.3">
      <c r="A35" s="130" t="s">
        <v>21</v>
      </c>
      <c r="B35" s="87">
        <f t="shared" si="6"/>
        <v>29</v>
      </c>
      <c r="C35" s="87">
        <v>2208</v>
      </c>
      <c r="D35" s="87" t="s">
        <v>97</v>
      </c>
      <c r="E35" s="32">
        <v>1.29</v>
      </c>
      <c r="F35" s="33">
        <v>87463.29</v>
      </c>
      <c r="G35" s="34">
        <f>F35</f>
        <v>87463.29</v>
      </c>
      <c r="H35" s="35"/>
      <c r="I35" s="36">
        <f t="shared" si="2"/>
        <v>0</v>
      </c>
      <c r="J35" s="36">
        <f t="shared" si="3"/>
        <v>0</v>
      </c>
      <c r="K35" s="37">
        <f t="shared" si="4"/>
        <v>0</v>
      </c>
      <c r="L35" s="37">
        <f t="shared" si="5"/>
        <v>104955.01238879999</v>
      </c>
      <c r="M35" s="38">
        <v>0</v>
      </c>
      <c r="N35" s="39">
        <f t="shared" si="0"/>
        <v>104955.29</v>
      </c>
      <c r="O35" s="40">
        <f t="shared" si="1"/>
        <v>108104.29</v>
      </c>
      <c r="P35" s="24">
        <f t="shared" si="7"/>
        <v>0.29000000000000009</v>
      </c>
    </row>
    <row r="36" spans="1:18" ht="17.100000000000001" customHeight="1" x14ac:dyDescent="0.3">
      <c r="A36" s="130" t="s">
        <v>21</v>
      </c>
      <c r="B36" s="87">
        <f t="shared" si="6"/>
        <v>30</v>
      </c>
      <c r="C36" s="87">
        <v>2201</v>
      </c>
      <c r="D36" s="87" t="s">
        <v>97</v>
      </c>
      <c r="E36" s="32">
        <v>1.36</v>
      </c>
      <c r="F36" s="33">
        <v>92209.3</v>
      </c>
      <c r="G36" s="34">
        <f>F36</f>
        <v>92209.3</v>
      </c>
      <c r="H36" s="35"/>
      <c r="I36" s="36">
        <f t="shared" si="2"/>
        <v>0</v>
      </c>
      <c r="J36" s="36">
        <f t="shared" si="3"/>
        <v>0</v>
      </c>
      <c r="K36" s="37">
        <f t="shared" si="4"/>
        <v>0</v>
      </c>
      <c r="L36" s="37">
        <f t="shared" si="5"/>
        <v>110650.2456192</v>
      </c>
      <c r="M36" s="38">
        <v>0</v>
      </c>
      <c r="N36" s="39">
        <f t="shared" si="0"/>
        <v>110650.3</v>
      </c>
      <c r="O36" s="40">
        <f t="shared" si="1"/>
        <v>113970.3</v>
      </c>
      <c r="P36" s="24">
        <f t="shared" si="7"/>
        <v>0.3000000000000001</v>
      </c>
    </row>
    <row r="37" spans="1:18" ht="17.100000000000001" customHeight="1" x14ac:dyDescent="0.3">
      <c r="A37" s="130" t="s">
        <v>22</v>
      </c>
      <c r="B37" s="87">
        <f t="shared" si="6"/>
        <v>31</v>
      </c>
      <c r="C37" s="87">
        <v>2202</v>
      </c>
      <c r="D37" s="87" t="s">
        <v>98</v>
      </c>
      <c r="E37" s="32">
        <v>0.57999999999999996</v>
      </c>
      <c r="F37" s="34">
        <v>70047.31</v>
      </c>
      <c r="G37" s="34">
        <f>30737.31+72148.31</f>
        <v>102885.62</v>
      </c>
      <c r="H37" s="35"/>
      <c r="I37" s="36">
        <f t="shared" si="2"/>
        <v>-32838.31</v>
      </c>
      <c r="J37" s="36">
        <f t="shared" si="3"/>
        <v>0</v>
      </c>
      <c r="K37" s="37">
        <f t="shared" si="4"/>
        <v>0</v>
      </c>
      <c r="L37" s="37">
        <f t="shared" si="5"/>
        <v>47189.075337599992</v>
      </c>
      <c r="M37" s="38">
        <v>0</v>
      </c>
      <c r="N37" s="39">
        <f t="shared" si="0"/>
        <v>14351.31</v>
      </c>
      <c r="O37" s="40">
        <f t="shared" si="1"/>
        <v>14782.31</v>
      </c>
      <c r="P37" s="24">
        <f t="shared" si="7"/>
        <v>0.31000000000000011</v>
      </c>
      <c r="Q37" t="s">
        <v>152</v>
      </c>
    </row>
    <row r="38" spans="1:18" ht="17.100000000000001" customHeight="1" x14ac:dyDescent="0.3">
      <c r="A38" s="130" t="s">
        <v>23</v>
      </c>
      <c r="B38" s="87">
        <f t="shared" si="6"/>
        <v>32</v>
      </c>
      <c r="C38" s="87">
        <v>2203</v>
      </c>
      <c r="D38" s="87" t="s">
        <v>98</v>
      </c>
      <c r="E38" s="32">
        <v>0.57999999999999996</v>
      </c>
      <c r="F38" s="33">
        <v>70047.320000000007</v>
      </c>
      <c r="G38" s="34">
        <f>30737.32+72148.32</f>
        <v>102885.64000000001</v>
      </c>
      <c r="H38" s="35"/>
      <c r="I38" s="36">
        <f t="shared" si="2"/>
        <v>-32838.320000000007</v>
      </c>
      <c r="J38" s="36">
        <f t="shared" si="3"/>
        <v>0</v>
      </c>
      <c r="K38" s="37">
        <f t="shared" si="4"/>
        <v>0</v>
      </c>
      <c r="L38" s="37">
        <f t="shared" si="5"/>
        <v>47189.075337599992</v>
      </c>
      <c r="M38" s="38">
        <v>0</v>
      </c>
      <c r="N38" s="39">
        <f t="shared" si="0"/>
        <v>14351.32</v>
      </c>
      <c r="O38" s="40">
        <f t="shared" si="1"/>
        <v>14782.32</v>
      </c>
      <c r="P38" s="24">
        <f t="shared" si="7"/>
        <v>0.32000000000000012</v>
      </c>
      <c r="Q38" t="s">
        <v>152</v>
      </c>
    </row>
    <row r="39" spans="1:18" ht="17.100000000000001" customHeight="1" x14ac:dyDescent="0.3">
      <c r="A39" s="130" t="s">
        <v>24</v>
      </c>
      <c r="B39" s="87">
        <f t="shared" si="6"/>
        <v>33</v>
      </c>
      <c r="C39" s="87">
        <v>2204</v>
      </c>
      <c r="D39" s="87" t="s">
        <v>99</v>
      </c>
      <c r="E39" s="32">
        <v>1.36</v>
      </c>
      <c r="F39" s="33">
        <v>90110.33</v>
      </c>
      <c r="G39" s="34">
        <v>92813.33</v>
      </c>
      <c r="H39" s="35"/>
      <c r="I39" s="36">
        <f t="shared" si="2"/>
        <v>-2703</v>
      </c>
      <c r="J39" s="36">
        <f t="shared" si="3"/>
        <v>0</v>
      </c>
      <c r="K39" s="37">
        <f t="shared" si="4"/>
        <v>0</v>
      </c>
      <c r="L39" s="37">
        <f t="shared" si="5"/>
        <v>110650.2456192</v>
      </c>
      <c r="M39" s="38">
        <v>0</v>
      </c>
      <c r="N39" s="39">
        <f t="shared" si="0"/>
        <v>107947.33</v>
      </c>
      <c r="O39" s="40">
        <f t="shared" si="1"/>
        <v>111185.33</v>
      </c>
      <c r="P39" s="24">
        <f t="shared" si="7"/>
        <v>0.33000000000000013</v>
      </c>
      <c r="Q39" t="s">
        <v>152</v>
      </c>
    </row>
    <row r="40" spans="1:18" ht="17.100000000000001" customHeight="1" x14ac:dyDescent="0.3">
      <c r="A40" s="130" t="s">
        <v>25</v>
      </c>
      <c r="B40" s="87">
        <f t="shared" si="6"/>
        <v>34</v>
      </c>
      <c r="C40" s="87">
        <v>2205</v>
      </c>
      <c r="D40" s="87" t="s">
        <v>98</v>
      </c>
      <c r="E40" s="32">
        <v>1.67</v>
      </c>
      <c r="F40" s="33">
        <v>201686.34</v>
      </c>
      <c r="G40" s="34">
        <f>88502.34+207737.34</f>
        <v>296239.68</v>
      </c>
      <c r="H40" s="35"/>
      <c r="I40" s="36">
        <f t="shared" si="2"/>
        <v>-94553.34</v>
      </c>
      <c r="J40" s="36">
        <f t="shared" si="3"/>
        <v>0</v>
      </c>
      <c r="K40" s="37">
        <f t="shared" si="4"/>
        <v>0</v>
      </c>
      <c r="L40" s="37">
        <f t="shared" si="5"/>
        <v>135871.99278239999</v>
      </c>
      <c r="M40" s="38">
        <v>0</v>
      </c>
      <c r="N40" s="39">
        <f t="shared" si="0"/>
        <v>41319.339999999997</v>
      </c>
      <c r="O40" s="40">
        <f t="shared" si="1"/>
        <v>42559.34</v>
      </c>
      <c r="P40" s="24">
        <f t="shared" si="7"/>
        <v>0.34000000000000014</v>
      </c>
      <c r="Q40" t="s">
        <v>152</v>
      </c>
    </row>
    <row r="41" spans="1:18" ht="17.100000000000001" customHeight="1" x14ac:dyDescent="0.3">
      <c r="A41" s="130" t="s">
        <v>27</v>
      </c>
      <c r="B41" s="87">
        <f t="shared" si="6"/>
        <v>35</v>
      </c>
      <c r="C41" s="87">
        <v>2206</v>
      </c>
      <c r="D41" s="87" t="s">
        <v>100</v>
      </c>
      <c r="E41" s="32">
        <v>2.17</v>
      </c>
      <c r="F41" s="33">
        <v>141878.35</v>
      </c>
      <c r="G41" s="34">
        <f>225272.71-G42</f>
        <v>141878.34999999998</v>
      </c>
      <c r="H41" s="35"/>
      <c r="I41" s="36">
        <f t="shared" si="2"/>
        <v>0</v>
      </c>
      <c r="J41" s="36">
        <f t="shared" si="3"/>
        <v>0</v>
      </c>
      <c r="K41" s="37">
        <f t="shared" si="4"/>
        <v>0</v>
      </c>
      <c r="L41" s="37">
        <f t="shared" si="5"/>
        <v>176552.23014239999</v>
      </c>
      <c r="M41" s="38">
        <v>0</v>
      </c>
      <c r="N41" s="39">
        <f t="shared" si="0"/>
        <v>176552.35</v>
      </c>
      <c r="O41" s="40">
        <f t="shared" si="1"/>
        <v>181849.35</v>
      </c>
      <c r="P41" s="24">
        <f t="shared" si="7"/>
        <v>0.35000000000000014</v>
      </c>
      <c r="Q41" t="s">
        <v>150</v>
      </c>
    </row>
    <row r="42" spans="1:18" ht="17.100000000000001" customHeight="1" x14ac:dyDescent="0.3">
      <c r="A42" s="130" t="s">
        <v>27</v>
      </c>
      <c r="B42" s="87">
        <f t="shared" si="6"/>
        <v>36</v>
      </c>
      <c r="C42" s="87">
        <v>2207</v>
      </c>
      <c r="D42" s="87" t="s">
        <v>100</v>
      </c>
      <c r="E42" s="32">
        <v>1.23</v>
      </c>
      <c r="F42" s="33">
        <v>83394.36</v>
      </c>
      <c r="G42" s="34">
        <f>F42</f>
        <v>83394.36</v>
      </c>
      <c r="H42" s="35"/>
      <c r="I42" s="36">
        <f t="shared" si="2"/>
        <v>0</v>
      </c>
      <c r="J42" s="36">
        <f t="shared" si="3"/>
        <v>0</v>
      </c>
      <c r="K42" s="37">
        <f t="shared" si="4"/>
        <v>0</v>
      </c>
      <c r="L42" s="37">
        <f t="shared" si="5"/>
        <v>100073.38390559999</v>
      </c>
      <c r="M42" s="38">
        <v>0</v>
      </c>
      <c r="N42" s="39">
        <f t="shared" si="0"/>
        <v>100073.36</v>
      </c>
      <c r="O42" s="40">
        <f t="shared" si="1"/>
        <v>103075.36</v>
      </c>
      <c r="P42" s="24">
        <f t="shared" si="7"/>
        <v>0.36000000000000015</v>
      </c>
      <c r="Q42" t="s">
        <v>150</v>
      </c>
    </row>
    <row r="43" spans="1:18" ht="17.100000000000001" customHeight="1" x14ac:dyDescent="0.3">
      <c r="A43" s="130" t="s">
        <v>27</v>
      </c>
      <c r="B43" s="87">
        <f t="shared" si="6"/>
        <v>37</v>
      </c>
      <c r="C43" s="87">
        <v>3308</v>
      </c>
      <c r="D43" s="87" t="s">
        <v>123</v>
      </c>
      <c r="E43" s="32">
        <v>1.23</v>
      </c>
      <c r="F43" s="33">
        <v>148548.37</v>
      </c>
      <c r="G43" s="34">
        <f>65185.37+83394.37</f>
        <v>148579.74</v>
      </c>
      <c r="H43" s="35"/>
      <c r="I43" s="36">
        <f t="shared" si="2"/>
        <v>-31.369999999995343</v>
      </c>
      <c r="J43" s="36">
        <f t="shared" si="3"/>
        <v>0</v>
      </c>
      <c r="K43" s="37">
        <f t="shared" si="4"/>
        <v>0</v>
      </c>
      <c r="L43" s="37">
        <f t="shared" si="5"/>
        <v>100073.38390559999</v>
      </c>
      <c r="M43" s="38">
        <v>0</v>
      </c>
      <c r="N43" s="39">
        <f t="shared" si="0"/>
        <v>100042.37</v>
      </c>
      <c r="O43" s="40">
        <f t="shared" si="1"/>
        <v>103043.37</v>
      </c>
      <c r="P43" s="24">
        <f t="shared" si="7"/>
        <v>0.37000000000000016</v>
      </c>
      <c r="Q43" s="74"/>
    </row>
    <row r="44" spans="1:18" ht="15" customHeight="1" x14ac:dyDescent="0.3">
      <c r="A44" s="130" t="s">
        <v>27</v>
      </c>
      <c r="B44" s="87">
        <f t="shared" si="6"/>
        <v>38</v>
      </c>
      <c r="C44" s="87">
        <v>3301</v>
      </c>
      <c r="D44" s="126" t="s">
        <v>124</v>
      </c>
      <c r="E44" s="32">
        <v>1.36</v>
      </c>
      <c r="F44" s="33">
        <v>438561.38</v>
      </c>
      <c r="G44" s="34">
        <v>0</v>
      </c>
      <c r="H44" s="35"/>
      <c r="I44" s="36">
        <f t="shared" si="2"/>
        <v>438561.38</v>
      </c>
      <c r="J44" s="36">
        <f t="shared" si="3"/>
        <v>12937.560710000002</v>
      </c>
      <c r="K44" s="37">
        <f t="shared" si="4"/>
        <v>0</v>
      </c>
      <c r="L44" s="37">
        <f t="shared" si="5"/>
        <v>110650.2456192</v>
      </c>
      <c r="M44" s="38">
        <v>0</v>
      </c>
      <c r="N44" s="39">
        <f t="shared" si="0"/>
        <v>562149.38</v>
      </c>
      <c r="O44" s="40">
        <f t="shared" si="1"/>
        <v>579013.38</v>
      </c>
      <c r="P44" s="24">
        <f t="shared" si="7"/>
        <v>0.38000000000000017</v>
      </c>
    </row>
    <row r="45" spans="1:18" x14ac:dyDescent="0.3">
      <c r="A45" s="130" t="s">
        <v>27</v>
      </c>
      <c r="B45" s="87">
        <f>B44+1</f>
        <v>39</v>
      </c>
      <c r="C45" s="87">
        <v>3302</v>
      </c>
      <c r="D45" s="87" t="s">
        <v>101</v>
      </c>
      <c r="E45" s="32">
        <v>0.57999999999999996</v>
      </c>
      <c r="F45" s="33">
        <v>39582.39</v>
      </c>
      <c r="G45" s="34">
        <f>F45</f>
        <v>39582.39</v>
      </c>
      <c r="H45" s="42"/>
      <c r="I45" s="36">
        <f t="shared" si="2"/>
        <v>0</v>
      </c>
      <c r="J45" s="36">
        <f t="shared" si="3"/>
        <v>0</v>
      </c>
      <c r="K45" s="37">
        <f t="shared" si="4"/>
        <v>0</v>
      </c>
      <c r="L45" s="37">
        <f t="shared" si="5"/>
        <v>47189.075337599992</v>
      </c>
      <c r="M45" s="38">
        <v>0</v>
      </c>
      <c r="N45" s="39">
        <f t="shared" si="0"/>
        <v>47189.39</v>
      </c>
      <c r="O45" s="40">
        <f t="shared" si="1"/>
        <v>48605.39</v>
      </c>
      <c r="P45" s="24">
        <f t="shared" si="7"/>
        <v>0.39000000000000018</v>
      </c>
    </row>
    <row r="46" spans="1:18" x14ac:dyDescent="0.3">
      <c r="A46" s="74"/>
      <c r="B46" s="87">
        <f t="shared" ref="B46:B64" si="8">B45+1</f>
        <v>40</v>
      </c>
      <c r="C46" s="87">
        <v>3303</v>
      </c>
      <c r="D46" s="87" t="s">
        <v>101</v>
      </c>
      <c r="E46" s="32">
        <v>0.57999999999999996</v>
      </c>
      <c r="F46" s="33">
        <v>39582.400000000001</v>
      </c>
      <c r="G46" s="34">
        <f>F46</f>
        <v>39582.400000000001</v>
      </c>
      <c r="H46" s="42"/>
      <c r="I46" s="36">
        <f t="shared" si="2"/>
        <v>0</v>
      </c>
      <c r="J46" s="36">
        <f t="shared" si="3"/>
        <v>0</v>
      </c>
      <c r="K46" s="37">
        <f t="shared" si="4"/>
        <v>0</v>
      </c>
      <c r="L46" s="37">
        <f t="shared" si="5"/>
        <v>47189.075337599992</v>
      </c>
      <c r="M46" s="38">
        <v>0</v>
      </c>
      <c r="N46" s="39">
        <f t="shared" si="0"/>
        <v>47189.4</v>
      </c>
      <c r="O46" s="40">
        <f t="shared" si="1"/>
        <v>48605.4</v>
      </c>
      <c r="P46" s="24">
        <f t="shared" si="7"/>
        <v>0.40000000000000019</v>
      </c>
    </row>
    <row r="47" spans="1:18" x14ac:dyDescent="0.3">
      <c r="A47" s="74"/>
      <c r="B47" s="169">
        <f t="shared" si="8"/>
        <v>41</v>
      </c>
      <c r="C47" s="169">
        <v>3304</v>
      </c>
      <c r="D47" s="169" t="s">
        <v>131</v>
      </c>
      <c r="E47" s="32">
        <v>1.36</v>
      </c>
      <c r="F47" s="33">
        <v>92164.41</v>
      </c>
      <c r="G47" s="34">
        <v>95000</v>
      </c>
      <c r="H47" s="42"/>
      <c r="I47" s="36">
        <f t="shared" si="2"/>
        <v>-2835.5899999999965</v>
      </c>
      <c r="J47" s="36">
        <f t="shared" si="3"/>
        <v>0</v>
      </c>
      <c r="K47" s="37">
        <f t="shared" si="4"/>
        <v>0</v>
      </c>
      <c r="L47" s="37">
        <f t="shared" si="5"/>
        <v>110650.2456192</v>
      </c>
      <c r="M47" s="38">
        <v>0</v>
      </c>
      <c r="N47" s="39">
        <f t="shared" si="0"/>
        <v>107815.41</v>
      </c>
      <c r="O47" s="40">
        <f t="shared" si="1"/>
        <v>111049.41</v>
      </c>
      <c r="P47" s="24">
        <f t="shared" si="7"/>
        <v>0.4100000000000002</v>
      </c>
    </row>
    <row r="48" spans="1:18" x14ac:dyDescent="0.3">
      <c r="A48" s="74"/>
      <c r="B48" s="87">
        <f t="shared" si="8"/>
        <v>42</v>
      </c>
      <c r="C48" s="87">
        <v>3305</v>
      </c>
      <c r="D48" s="87" t="s">
        <v>132</v>
      </c>
      <c r="E48" s="32">
        <v>1.67</v>
      </c>
      <c r="F48" s="33">
        <v>1390599.42</v>
      </c>
      <c r="G48" s="34">
        <v>0</v>
      </c>
      <c r="H48" s="42"/>
      <c r="I48" s="36">
        <f t="shared" si="2"/>
        <v>1390599.42</v>
      </c>
      <c r="J48" s="36">
        <f t="shared" si="3"/>
        <v>41022.682890000004</v>
      </c>
      <c r="K48" s="37">
        <f t="shared" si="4"/>
        <v>0</v>
      </c>
      <c r="L48" s="37">
        <f t="shared" si="5"/>
        <v>135871.99278239999</v>
      </c>
      <c r="M48" s="38">
        <v>0</v>
      </c>
      <c r="N48" s="39">
        <f t="shared" si="0"/>
        <v>1567494.42</v>
      </c>
      <c r="O48" s="40">
        <f t="shared" si="1"/>
        <v>1614519.42</v>
      </c>
      <c r="P48" s="24">
        <f t="shared" si="7"/>
        <v>0.42000000000000021</v>
      </c>
    </row>
    <row r="49" spans="1:17" x14ac:dyDescent="0.3">
      <c r="A49" s="74"/>
      <c r="B49" s="87">
        <f t="shared" si="8"/>
        <v>43</v>
      </c>
      <c r="C49" s="87">
        <v>4406</v>
      </c>
      <c r="D49" s="87" t="s">
        <v>133</v>
      </c>
      <c r="E49" s="32">
        <v>2.17</v>
      </c>
      <c r="F49" s="33">
        <v>147127.43</v>
      </c>
      <c r="G49" s="34">
        <v>151541.43</v>
      </c>
      <c r="H49" s="42"/>
      <c r="I49" s="36">
        <f t="shared" si="2"/>
        <v>-4414</v>
      </c>
      <c r="J49" s="36">
        <f t="shared" si="3"/>
        <v>0</v>
      </c>
      <c r="K49" s="37">
        <f t="shared" si="4"/>
        <v>0</v>
      </c>
      <c r="L49" s="37">
        <f t="shared" si="5"/>
        <v>176552.23014239999</v>
      </c>
      <c r="M49" s="38">
        <v>0</v>
      </c>
      <c r="N49" s="39">
        <f t="shared" si="0"/>
        <v>172138.43</v>
      </c>
      <c r="O49" s="40">
        <f t="shared" si="1"/>
        <v>177302.43</v>
      </c>
      <c r="P49" s="24">
        <f t="shared" si="7"/>
        <v>0.43000000000000022</v>
      </c>
    </row>
    <row r="50" spans="1:17" x14ac:dyDescent="0.3">
      <c r="A50" s="74"/>
      <c r="B50" s="87">
        <f t="shared" si="8"/>
        <v>44</v>
      </c>
      <c r="C50" s="87">
        <v>4407</v>
      </c>
      <c r="D50" s="87" t="s">
        <v>134</v>
      </c>
      <c r="E50" s="32">
        <v>1.23</v>
      </c>
      <c r="F50" s="33">
        <v>85896.44</v>
      </c>
      <c r="G50" s="34">
        <v>83394.44</v>
      </c>
      <c r="H50" s="42"/>
      <c r="I50" s="36">
        <f t="shared" si="2"/>
        <v>2502</v>
      </c>
      <c r="J50" s="36">
        <f t="shared" si="3"/>
        <v>73.809000000000012</v>
      </c>
      <c r="K50" s="37">
        <f t="shared" si="4"/>
        <v>0</v>
      </c>
      <c r="L50" s="37">
        <f t="shared" si="5"/>
        <v>100073.38390559999</v>
      </c>
      <c r="M50" s="38">
        <v>0</v>
      </c>
      <c r="N50" s="39">
        <f t="shared" si="0"/>
        <v>102649.44</v>
      </c>
      <c r="O50" s="40">
        <f t="shared" si="1"/>
        <v>105728.44</v>
      </c>
      <c r="P50" s="24">
        <f t="shared" si="7"/>
        <v>0.44000000000000022</v>
      </c>
    </row>
    <row r="51" spans="1:17" x14ac:dyDescent="0.3">
      <c r="A51" s="74"/>
      <c r="B51" s="87">
        <f t="shared" si="8"/>
        <v>45</v>
      </c>
      <c r="C51" s="87">
        <v>4408</v>
      </c>
      <c r="D51" s="87" t="s">
        <v>135</v>
      </c>
      <c r="E51" s="32">
        <v>1.29</v>
      </c>
      <c r="F51" s="33">
        <v>136549.45000000001</v>
      </c>
      <c r="G51" s="34">
        <f>46313.46+87463+2773</f>
        <v>136549.46</v>
      </c>
      <c r="H51" s="42"/>
      <c r="I51" s="36">
        <f t="shared" si="2"/>
        <v>-9.9999999802093953E-3</v>
      </c>
      <c r="J51" s="36">
        <f t="shared" si="3"/>
        <v>0</v>
      </c>
      <c r="K51" s="37">
        <f t="shared" si="4"/>
        <v>0</v>
      </c>
      <c r="L51" s="37">
        <f t="shared" si="5"/>
        <v>104955.01238879999</v>
      </c>
      <c r="M51" s="38">
        <v>0</v>
      </c>
      <c r="N51" s="39">
        <f t="shared" si="0"/>
        <v>104955.45</v>
      </c>
      <c r="O51" s="40">
        <f t="shared" si="1"/>
        <v>108104.45</v>
      </c>
      <c r="P51" s="24">
        <f t="shared" si="7"/>
        <v>0.45000000000000023</v>
      </c>
    </row>
    <row r="52" spans="1:17" x14ac:dyDescent="0.3">
      <c r="A52" s="74"/>
      <c r="B52" s="87">
        <f t="shared" si="8"/>
        <v>46</v>
      </c>
      <c r="C52" s="87">
        <v>4401</v>
      </c>
      <c r="D52" s="87" t="s">
        <v>136</v>
      </c>
      <c r="E52" s="32">
        <v>1.36</v>
      </c>
      <c r="F52" s="33">
        <f>46313.46+90032.46+0.54</f>
        <v>136346.46000000002</v>
      </c>
      <c r="G52" s="34">
        <v>92733.46</v>
      </c>
      <c r="H52" s="42"/>
      <c r="I52" s="36">
        <f t="shared" si="2"/>
        <v>43613.000000000015</v>
      </c>
      <c r="J52" s="36">
        <f t="shared" si="3"/>
        <v>1286.5835000000004</v>
      </c>
      <c r="K52" s="37">
        <f t="shared" si="4"/>
        <v>0</v>
      </c>
      <c r="L52" s="37">
        <f t="shared" si="5"/>
        <v>110650.2456192</v>
      </c>
      <c r="M52" s="38">
        <v>0</v>
      </c>
      <c r="N52" s="39">
        <f t="shared" si="0"/>
        <v>155550.46</v>
      </c>
      <c r="O52" s="40">
        <f t="shared" si="1"/>
        <v>160217.46</v>
      </c>
      <c r="P52" s="24">
        <f t="shared" si="7"/>
        <v>0.46000000000000024</v>
      </c>
    </row>
    <row r="53" spans="1:17" x14ac:dyDescent="0.3">
      <c r="A53" s="74"/>
      <c r="B53" s="87">
        <f t="shared" si="8"/>
        <v>47</v>
      </c>
      <c r="C53" s="87">
        <v>4402</v>
      </c>
      <c r="D53" s="87" t="s">
        <v>137</v>
      </c>
      <c r="E53" s="32">
        <v>0.57999999999999996</v>
      </c>
      <c r="F53" s="33">
        <v>-1954.53</v>
      </c>
      <c r="G53" s="34">
        <v>2013.53</v>
      </c>
      <c r="H53" s="42"/>
      <c r="I53" s="36">
        <f t="shared" si="2"/>
        <v>-3968.06</v>
      </c>
      <c r="J53" s="36">
        <f t="shared" si="3"/>
        <v>0</v>
      </c>
      <c r="K53" s="37">
        <f t="shared" si="4"/>
        <v>0</v>
      </c>
      <c r="L53" s="37">
        <f t="shared" si="5"/>
        <v>47189.075337599992</v>
      </c>
      <c r="M53" s="38">
        <v>0</v>
      </c>
      <c r="N53" s="39">
        <f t="shared" si="0"/>
        <v>43221.47</v>
      </c>
      <c r="O53" s="40">
        <f t="shared" si="1"/>
        <v>44518.47</v>
      </c>
      <c r="P53" s="24">
        <f t="shared" si="7"/>
        <v>0.47000000000000025</v>
      </c>
    </row>
    <row r="54" spans="1:17" x14ac:dyDescent="0.3">
      <c r="A54" s="74"/>
      <c r="B54" s="87">
        <f t="shared" si="8"/>
        <v>48</v>
      </c>
      <c r="C54" s="87">
        <v>4403</v>
      </c>
      <c r="D54" s="87" t="s">
        <v>138</v>
      </c>
      <c r="E54" s="32">
        <v>0.57999999999999996</v>
      </c>
      <c r="F54" s="33">
        <v>33752.480000000003</v>
      </c>
      <c r="G54" s="34">
        <f>F54</f>
        <v>33752.480000000003</v>
      </c>
      <c r="H54" s="42"/>
      <c r="I54" s="36">
        <f t="shared" si="2"/>
        <v>0</v>
      </c>
      <c r="J54" s="36">
        <f t="shared" si="3"/>
        <v>0</v>
      </c>
      <c r="K54" s="37">
        <f t="shared" si="4"/>
        <v>0</v>
      </c>
      <c r="L54" s="37">
        <f t="shared" si="5"/>
        <v>47189.075337599992</v>
      </c>
      <c r="M54" s="38">
        <v>0</v>
      </c>
      <c r="N54" s="39">
        <f t="shared" si="0"/>
        <v>47189.48</v>
      </c>
      <c r="O54" s="40">
        <f t="shared" si="1"/>
        <v>48605.48</v>
      </c>
      <c r="P54" s="24">
        <f t="shared" si="7"/>
        <v>0.48000000000000026</v>
      </c>
      <c r="Q54" t="s">
        <v>153</v>
      </c>
    </row>
    <row r="55" spans="1:17" x14ac:dyDescent="0.3">
      <c r="A55" s="74"/>
      <c r="B55" s="87">
        <f t="shared" si="8"/>
        <v>49</v>
      </c>
      <c r="C55" s="87">
        <v>4404</v>
      </c>
      <c r="D55" s="87" t="s">
        <v>138</v>
      </c>
      <c r="E55" s="32">
        <v>1.36</v>
      </c>
      <c r="F55" s="33">
        <v>92209.49</v>
      </c>
      <c r="G55" s="34">
        <f>F55</f>
        <v>92209.49</v>
      </c>
      <c r="H55" s="42"/>
      <c r="I55" s="36">
        <f t="shared" si="2"/>
        <v>0</v>
      </c>
      <c r="J55" s="36">
        <f t="shared" si="3"/>
        <v>0</v>
      </c>
      <c r="K55" s="37">
        <f t="shared" si="4"/>
        <v>0</v>
      </c>
      <c r="L55" s="37">
        <f t="shared" si="5"/>
        <v>110650.2456192</v>
      </c>
      <c r="M55" s="38">
        <v>0</v>
      </c>
      <c r="N55" s="39">
        <f t="shared" si="0"/>
        <v>110650.49</v>
      </c>
      <c r="O55" s="40">
        <f t="shared" si="1"/>
        <v>113970.49</v>
      </c>
      <c r="P55" s="24">
        <f t="shared" si="7"/>
        <v>0.49000000000000027</v>
      </c>
      <c r="Q55" t="s">
        <v>153</v>
      </c>
    </row>
    <row r="56" spans="1:17" x14ac:dyDescent="0.3">
      <c r="A56" s="74"/>
      <c r="B56" s="87">
        <f t="shared" si="8"/>
        <v>50</v>
      </c>
      <c r="C56" s="87">
        <v>4405</v>
      </c>
      <c r="D56" s="87" t="s">
        <v>138</v>
      </c>
      <c r="E56" s="32">
        <v>1.67</v>
      </c>
      <c r="F56" s="33">
        <v>113227.5</v>
      </c>
      <c r="G56" s="34">
        <f>F56</f>
        <v>113227.5</v>
      </c>
      <c r="H56" s="42"/>
      <c r="I56" s="36">
        <f t="shared" si="2"/>
        <v>0</v>
      </c>
      <c r="J56" s="36">
        <f t="shared" si="3"/>
        <v>0</v>
      </c>
      <c r="K56" s="37">
        <f t="shared" si="4"/>
        <v>0</v>
      </c>
      <c r="L56" s="37">
        <f t="shared" si="5"/>
        <v>135871.99278239999</v>
      </c>
      <c r="M56" s="38">
        <v>0</v>
      </c>
      <c r="N56" s="39">
        <f t="shared" si="0"/>
        <v>135872.5</v>
      </c>
      <c r="O56" s="40">
        <f t="shared" si="1"/>
        <v>139948.5</v>
      </c>
      <c r="P56" s="24">
        <f t="shared" si="7"/>
        <v>0.50000000000000022</v>
      </c>
      <c r="Q56" t="s">
        <v>153</v>
      </c>
    </row>
    <row r="57" spans="1:17" x14ac:dyDescent="0.3">
      <c r="A57" s="74"/>
      <c r="B57" s="87">
        <f t="shared" si="8"/>
        <v>51</v>
      </c>
      <c r="C57" s="87">
        <v>5506</v>
      </c>
      <c r="D57" s="87" t="s">
        <v>139</v>
      </c>
      <c r="E57" s="32">
        <v>2.17</v>
      </c>
      <c r="F57" s="33">
        <v>143777.51</v>
      </c>
      <c r="G57" s="34">
        <v>148090.51</v>
      </c>
      <c r="H57" s="42"/>
      <c r="I57" s="36">
        <f t="shared" si="2"/>
        <v>-4313</v>
      </c>
      <c r="J57" s="36">
        <f t="shared" si="3"/>
        <v>0</v>
      </c>
      <c r="K57" s="37">
        <f t="shared" si="4"/>
        <v>0</v>
      </c>
      <c r="L57" s="37">
        <f t="shared" si="5"/>
        <v>176552.23014239999</v>
      </c>
      <c r="M57" s="38">
        <v>0</v>
      </c>
      <c r="N57" s="39">
        <f t="shared" si="0"/>
        <v>172239.51</v>
      </c>
      <c r="O57" s="40">
        <f t="shared" si="1"/>
        <v>177406.51</v>
      </c>
      <c r="P57" s="24">
        <f t="shared" si="7"/>
        <v>0.51000000000000023</v>
      </c>
    </row>
    <row r="58" spans="1:17" x14ac:dyDescent="0.3">
      <c r="A58" s="74"/>
      <c r="B58" s="87">
        <f t="shared" si="8"/>
        <v>52</v>
      </c>
      <c r="C58" s="87">
        <v>5507</v>
      </c>
      <c r="D58" s="87" t="s">
        <v>140</v>
      </c>
      <c r="E58" s="32">
        <v>1.79</v>
      </c>
      <c r="F58" s="33">
        <v>284290.52</v>
      </c>
      <c r="G58" s="34">
        <f>116000+164000+4291</f>
        <v>284291</v>
      </c>
      <c r="H58" s="42"/>
      <c r="I58" s="36">
        <f t="shared" si="2"/>
        <v>-0.47999999998137355</v>
      </c>
      <c r="J58" s="36">
        <f t="shared" si="3"/>
        <v>0</v>
      </c>
      <c r="K58" s="37">
        <f t="shared" si="4"/>
        <v>0</v>
      </c>
      <c r="L58" s="37">
        <f t="shared" si="5"/>
        <v>145635.24974879998</v>
      </c>
      <c r="M58" s="38">
        <v>0</v>
      </c>
      <c r="N58" s="39">
        <f t="shared" si="0"/>
        <v>145635.51999999999</v>
      </c>
      <c r="O58" s="40">
        <f t="shared" si="1"/>
        <v>150004.51999999999</v>
      </c>
      <c r="P58" s="24">
        <f t="shared" si="7"/>
        <v>0.52000000000000024</v>
      </c>
    </row>
    <row r="59" spans="1:17" x14ac:dyDescent="0.3">
      <c r="A59" s="74"/>
      <c r="B59" s="87">
        <f t="shared" si="8"/>
        <v>53</v>
      </c>
      <c r="C59" s="87">
        <v>5508</v>
      </c>
      <c r="D59" s="87" t="s">
        <v>141</v>
      </c>
      <c r="E59" s="32">
        <v>1.29</v>
      </c>
      <c r="F59" s="33">
        <v>-83039.47</v>
      </c>
      <c r="G59" s="34">
        <v>0</v>
      </c>
      <c r="H59" s="42"/>
      <c r="I59" s="36">
        <f t="shared" si="2"/>
        <v>-83039.47</v>
      </c>
      <c r="J59" s="36">
        <f t="shared" si="3"/>
        <v>0</v>
      </c>
      <c r="K59" s="37">
        <f t="shared" si="4"/>
        <v>0</v>
      </c>
      <c r="L59" s="37">
        <f t="shared" si="5"/>
        <v>104955.01238879999</v>
      </c>
      <c r="M59" s="38">
        <v>0</v>
      </c>
      <c r="N59" s="39">
        <f t="shared" si="0"/>
        <v>21916.53</v>
      </c>
      <c r="O59" s="40">
        <f t="shared" si="1"/>
        <v>22573.53</v>
      </c>
      <c r="P59" s="24">
        <f t="shared" si="7"/>
        <v>0.53000000000000025</v>
      </c>
    </row>
    <row r="60" spans="1:17" x14ac:dyDescent="0.3">
      <c r="A60" s="74"/>
      <c r="B60" s="87">
        <f t="shared" si="8"/>
        <v>54</v>
      </c>
      <c r="C60" s="87">
        <v>5501</v>
      </c>
      <c r="D60" s="87" t="s">
        <v>142</v>
      </c>
      <c r="E60" s="32">
        <v>1.36</v>
      </c>
      <c r="F60" s="33">
        <v>88609.54</v>
      </c>
      <c r="G60" s="34">
        <v>92000</v>
      </c>
      <c r="H60" s="42"/>
      <c r="I60" s="36">
        <f t="shared" si="2"/>
        <v>-3390.4600000000064</v>
      </c>
      <c r="J60" s="36">
        <f t="shared" si="3"/>
        <v>0</v>
      </c>
      <c r="K60" s="37">
        <f t="shared" si="4"/>
        <v>0</v>
      </c>
      <c r="L60" s="37">
        <f t="shared" si="5"/>
        <v>110650.2456192</v>
      </c>
      <c r="M60" s="38">
        <v>0</v>
      </c>
      <c r="N60" s="39">
        <f t="shared" si="0"/>
        <v>107260.54</v>
      </c>
      <c r="O60" s="40">
        <f t="shared" si="1"/>
        <v>110478.54</v>
      </c>
      <c r="P60" s="24">
        <f t="shared" si="7"/>
        <v>0.54000000000000026</v>
      </c>
    </row>
    <row r="61" spans="1:17" x14ac:dyDescent="0.3">
      <c r="A61" s="74"/>
      <c r="B61" s="87">
        <f t="shared" si="8"/>
        <v>55</v>
      </c>
      <c r="C61" s="87">
        <v>5503</v>
      </c>
      <c r="D61" s="87" t="s">
        <v>143</v>
      </c>
      <c r="E61" s="32">
        <v>0.57999999999999996</v>
      </c>
      <c r="F61" s="33">
        <v>793542.55</v>
      </c>
      <c r="G61" s="34">
        <f>39324+300000+600000</f>
        <v>939324</v>
      </c>
      <c r="H61" s="42"/>
      <c r="I61" s="36">
        <f t="shared" si="2"/>
        <v>-145781.44999999995</v>
      </c>
      <c r="J61" s="36">
        <f t="shared" si="3"/>
        <v>0</v>
      </c>
      <c r="K61" s="37">
        <f t="shared" si="4"/>
        <v>0</v>
      </c>
      <c r="L61" s="37">
        <f t="shared" si="5"/>
        <v>47189.075337599992</v>
      </c>
      <c r="M61" s="38">
        <v>0</v>
      </c>
      <c r="N61" s="39">
        <f t="shared" si="0"/>
        <v>-98591.45</v>
      </c>
      <c r="O61" s="40">
        <f t="shared" si="1"/>
        <v>-101549.45</v>
      </c>
      <c r="P61" s="24">
        <f t="shared" si="7"/>
        <v>0.55000000000000027</v>
      </c>
      <c r="Q61" t="s">
        <v>164</v>
      </c>
    </row>
    <row r="62" spans="1:17" x14ac:dyDescent="0.3">
      <c r="A62" s="74"/>
      <c r="B62" s="87">
        <f t="shared" si="8"/>
        <v>56</v>
      </c>
      <c r="C62" s="87">
        <v>5504</v>
      </c>
      <c r="D62" s="87" t="s">
        <v>82</v>
      </c>
      <c r="E62" s="32">
        <v>1.36</v>
      </c>
      <c r="F62" s="33">
        <v>90994.559999999998</v>
      </c>
      <c r="G62" s="34">
        <f>20000+71000</f>
        <v>91000</v>
      </c>
      <c r="H62" s="42"/>
      <c r="I62" s="36">
        <f t="shared" si="2"/>
        <v>-5.4400000000023283</v>
      </c>
      <c r="J62" s="36">
        <f t="shared" si="3"/>
        <v>0</v>
      </c>
      <c r="K62" s="37">
        <f t="shared" si="4"/>
        <v>0</v>
      </c>
      <c r="L62" s="37">
        <f t="shared" si="5"/>
        <v>110650.2456192</v>
      </c>
      <c r="M62" s="38">
        <v>0</v>
      </c>
      <c r="N62" s="39">
        <f t="shared" si="0"/>
        <v>110645.56</v>
      </c>
      <c r="O62" s="40">
        <f t="shared" si="1"/>
        <v>113964.56</v>
      </c>
      <c r="P62" s="24">
        <f t="shared" si="7"/>
        <v>0.56000000000000028</v>
      </c>
    </row>
    <row r="63" spans="1:17" x14ac:dyDescent="0.3">
      <c r="A63" s="74"/>
      <c r="B63" s="87">
        <f t="shared" si="8"/>
        <v>57</v>
      </c>
      <c r="C63" s="87">
        <v>5502</v>
      </c>
      <c r="D63" s="87" t="s">
        <v>78</v>
      </c>
      <c r="E63" s="32">
        <v>0.57999999999999996</v>
      </c>
      <c r="F63" s="33">
        <v>92117.57</v>
      </c>
      <c r="G63" s="34">
        <v>0</v>
      </c>
      <c r="H63" s="42"/>
      <c r="I63" s="36">
        <f t="shared" si="2"/>
        <v>92117.57</v>
      </c>
      <c r="J63" s="36">
        <f t="shared" si="3"/>
        <v>2717.4683150000005</v>
      </c>
      <c r="K63" s="37">
        <f t="shared" si="4"/>
        <v>0</v>
      </c>
      <c r="L63" s="37">
        <f t="shared" si="5"/>
        <v>47189.075337599992</v>
      </c>
      <c r="M63" s="38">
        <v>0</v>
      </c>
      <c r="N63" s="39">
        <f t="shared" si="0"/>
        <v>142024.57</v>
      </c>
      <c r="O63" s="40">
        <f t="shared" si="1"/>
        <v>146285.57</v>
      </c>
      <c r="P63" s="24">
        <f t="shared" si="7"/>
        <v>0.57000000000000028</v>
      </c>
    </row>
    <row r="64" spans="1:17" x14ac:dyDescent="0.3">
      <c r="B64" s="87">
        <f t="shared" si="8"/>
        <v>58</v>
      </c>
      <c r="C64" s="87">
        <v>5505</v>
      </c>
      <c r="D64" s="87" t="s">
        <v>144</v>
      </c>
      <c r="E64" s="32">
        <v>1.67</v>
      </c>
      <c r="F64" s="33">
        <v>113227.58</v>
      </c>
      <c r="G64" s="34">
        <v>0</v>
      </c>
      <c r="H64" s="42"/>
      <c r="I64" s="36">
        <f t="shared" si="2"/>
        <v>113227.58</v>
      </c>
      <c r="J64" s="36">
        <f t="shared" si="3"/>
        <v>3340.2136100000002</v>
      </c>
      <c r="K64" s="37">
        <f t="shared" si="4"/>
        <v>0</v>
      </c>
      <c r="L64" s="37">
        <f t="shared" si="5"/>
        <v>135871.99278239999</v>
      </c>
      <c r="M64" s="38">
        <v>0</v>
      </c>
      <c r="N64" s="39">
        <f t="shared" si="0"/>
        <v>252440.58</v>
      </c>
      <c r="O64" s="40">
        <f t="shared" si="1"/>
        <v>260013.58</v>
      </c>
      <c r="P64" s="24">
        <f t="shared" si="7"/>
        <v>0.58000000000000029</v>
      </c>
    </row>
    <row r="65" spans="2:16" x14ac:dyDescent="0.3">
      <c r="B65" s="87"/>
      <c r="C65" s="30"/>
      <c r="D65" s="30"/>
      <c r="E65" s="32"/>
      <c r="F65" s="41"/>
      <c r="G65" s="34"/>
      <c r="H65" s="42"/>
      <c r="I65" s="43"/>
      <c r="J65" s="36"/>
      <c r="K65" s="37"/>
      <c r="L65" s="44"/>
      <c r="M65" s="41"/>
      <c r="N65" s="33"/>
      <c r="O65" s="33"/>
      <c r="P65" s="24"/>
    </row>
    <row r="66" spans="2:16" ht="17.100000000000001" customHeight="1" thickBot="1" x14ac:dyDescent="0.35">
      <c r="B66" s="45"/>
      <c r="C66" s="46"/>
      <c r="D66" s="105"/>
      <c r="E66" s="107">
        <f>SUM(E6:E64)</f>
        <v>99.940000000000026</v>
      </c>
      <c r="F66" s="47">
        <f>SUM(F6:F64)</f>
        <v>28717845.109999999</v>
      </c>
      <c r="G66" s="47">
        <f>SUM(G6:G64)</f>
        <v>7982295.1100000003</v>
      </c>
      <c r="H66" s="106">
        <f t="shared" ref="H66" si="9">SUM(H6:H45)</f>
        <v>0</v>
      </c>
      <c r="I66" s="47">
        <f t="shared" ref="I66:O66" si="10">SUM(I6:I64)</f>
        <v>20735549.999999996</v>
      </c>
      <c r="J66" s="47">
        <f t="shared" si="10"/>
        <v>624600.80369999993</v>
      </c>
      <c r="K66" s="47">
        <f t="shared" si="10"/>
        <v>0</v>
      </c>
      <c r="L66" s="47">
        <f t="shared" si="10"/>
        <v>8131165.8435167996</v>
      </c>
      <c r="M66" s="47">
        <f t="shared" si="10"/>
        <v>0</v>
      </c>
      <c r="N66" s="47">
        <f t="shared" si="10"/>
        <v>29491334.109999999</v>
      </c>
      <c r="O66" s="47">
        <f t="shared" si="10"/>
        <v>30376076.109999999</v>
      </c>
    </row>
    <row r="67" spans="2:16" ht="12.75" customHeight="1" x14ac:dyDescent="0.3">
      <c r="D67" s="26"/>
    </row>
    <row r="68" spans="2:16" hidden="1" x14ac:dyDescent="0.3"/>
    <row r="69" spans="2:16" ht="9" customHeight="1" x14ac:dyDescent="0.3">
      <c r="D69" s="191" t="s">
        <v>69</v>
      </c>
      <c r="E69" s="191"/>
      <c r="F69" s="191"/>
      <c r="G69" s="191"/>
      <c r="H69" s="191"/>
      <c r="I69" s="191"/>
      <c r="J69" s="191"/>
      <c r="K69" s="191"/>
      <c r="L69" s="191"/>
      <c r="M69" s="191"/>
      <c r="N69" s="191"/>
    </row>
    <row r="70" spans="2:16" ht="12" hidden="1" customHeight="1" x14ac:dyDescent="0.3">
      <c r="D70" s="191"/>
      <c r="E70" s="191"/>
      <c r="F70" s="191"/>
      <c r="G70" s="191"/>
      <c r="H70" s="191"/>
      <c r="I70" s="191"/>
      <c r="J70" s="191"/>
      <c r="K70" s="191"/>
      <c r="L70" s="191"/>
      <c r="M70" s="191"/>
      <c r="N70" s="191"/>
    </row>
    <row r="71" spans="2:16" ht="12" hidden="1" customHeight="1" x14ac:dyDescent="0.3">
      <c r="D71" s="191"/>
      <c r="E71" s="191"/>
      <c r="F71" s="191"/>
      <c r="G71" s="191"/>
      <c r="H71" s="191"/>
      <c r="I71" s="191"/>
      <c r="J71" s="191"/>
      <c r="K71" s="191"/>
      <c r="L71" s="191"/>
      <c r="M71" s="191"/>
      <c r="N71" s="191"/>
    </row>
    <row r="72" spans="2:16" ht="12" hidden="1" customHeight="1" x14ac:dyDescent="0.3">
      <c r="D72" s="191"/>
      <c r="E72" s="191"/>
      <c r="F72" s="191"/>
      <c r="G72" s="191"/>
      <c r="H72" s="191"/>
      <c r="I72" s="191"/>
      <c r="J72" s="191"/>
      <c r="K72" s="191"/>
      <c r="L72" s="191"/>
      <c r="M72" s="191"/>
      <c r="N72" s="191"/>
    </row>
    <row r="73" spans="2:16" ht="12" hidden="1" customHeight="1" x14ac:dyDescent="0.3">
      <c r="D73" s="191"/>
      <c r="E73" s="191"/>
      <c r="F73" s="191"/>
      <c r="G73" s="191"/>
      <c r="H73" s="191"/>
      <c r="I73" s="191"/>
      <c r="J73" s="191"/>
      <c r="K73" s="191"/>
      <c r="L73" s="191"/>
      <c r="M73" s="191"/>
      <c r="N73" s="191"/>
    </row>
    <row r="74" spans="2:16" ht="65.25" customHeight="1" x14ac:dyDescent="0.3">
      <c r="D74" s="191"/>
      <c r="E74" s="191"/>
      <c r="F74" s="191"/>
      <c r="G74" s="191"/>
      <c r="H74" s="191"/>
      <c r="I74" s="191"/>
      <c r="J74" s="191"/>
      <c r="K74" s="191"/>
      <c r="L74" s="191"/>
      <c r="M74" s="191"/>
      <c r="N74" s="191"/>
    </row>
  </sheetData>
  <mergeCells count="17">
    <mergeCell ref="A4:A5"/>
    <mergeCell ref="B4:B5"/>
    <mergeCell ref="C4:C5"/>
    <mergeCell ref="D4:D5"/>
    <mergeCell ref="E4:E5"/>
    <mergeCell ref="B1:J2"/>
    <mergeCell ref="O4:O5"/>
    <mergeCell ref="D69:N74"/>
    <mergeCell ref="H4:H5"/>
    <mergeCell ref="J4:J5"/>
    <mergeCell ref="F4:F5"/>
    <mergeCell ref="G4:G5"/>
    <mergeCell ref="I4:I5"/>
    <mergeCell ref="K4:K5"/>
    <mergeCell ref="L4:L5"/>
    <mergeCell ref="M4:M5"/>
    <mergeCell ref="B3:O3"/>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J40"/>
  <sheetViews>
    <sheetView topLeftCell="A22" workbookViewId="0">
      <selection activeCell="D37" sqref="D37"/>
    </sheetView>
  </sheetViews>
  <sheetFormatPr baseColWidth="10" defaultColWidth="10.88671875" defaultRowHeight="14.4" x14ac:dyDescent="0.3"/>
  <sheetData>
    <row r="2" spans="3:10" ht="15" thickBot="1" x14ac:dyDescent="0.35"/>
    <row r="3" spans="3:10" x14ac:dyDescent="0.3">
      <c r="C3" s="120" t="s">
        <v>154</v>
      </c>
      <c r="D3" s="121">
        <v>1</v>
      </c>
      <c r="E3" s="117"/>
      <c r="F3" s="117"/>
      <c r="G3" s="117"/>
      <c r="H3" s="118"/>
      <c r="I3" s="23"/>
      <c r="J3" s="23"/>
    </row>
    <row r="4" spans="3:10" x14ac:dyDescent="0.3">
      <c r="C4" s="122" t="s">
        <v>155</v>
      </c>
      <c r="D4" s="123" t="s">
        <v>190</v>
      </c>
      <c r="H4" s="119"/>
      <c r="I4" s="23"/>
      <c r="J4" s="23"/>
    </row>
    <row r="5" spans="3:10" ht="15" thickBot="1" x14ac:dyDescent="0.35">
      <c r="C5" s="122"/>
      <c r="D5" s="123"/>
      <c r="H5" s="119"/>
      <c r="I5" s="23"/>
      <c r="J5" s="23"/>
    </row>
    <row r="6" spans="3:10" x14ac:dyDescent="0.3">
      <c r="C6" s="209" t="s">
        <v>191</v>
      </c>
      <c r="D6" s="210"/>
      <c r="E6" s="210"/>
      <c r="F6" s="210"/>
      <c r="G6" s="210"/>
      <c r="H6" s="211"/>
      <c r="I6" s="23"/>
      <c r="J6" s="23"/>
    </row>
    <row r="7" spans="3:10" x14ac:dyDescent="0.3">
      <c r="C7" s="212"/>
      <c r="D7" s="213"/>
      <c r="E7" s="213"/>
      <c r="F7" s="213"/>
      <c r="G7" s="213"/>
      <c r="H7" s="214"/>
      <c r="I7" s="23"/>
      <c r="J7" s="23"/>
    </row>
    <row r="8" spans="3:10" ht="15" thickBot="1" x14ac:dyDescent="0.35">
      <c r="C8" s="215"/>
      <c r="D8" s="216"/>
      <c r="E8" s="216"/>
      <c r="F8" s="216"/>
      <c r="G8" s="216"/>
      <c r="H8" s="217"/>
      <c r="I8" s="74"/>
      <c r="J8" s="74"/>
    </row>
    <row r="9" spans="3:10" x14ac:dyDescent="0.3">
      <c r="C9" s="74"/>
      <c r="D9" s="74"/>
      <c r="E9" s="74"/>
    </row>
    <row r="10" spans="3:10" ht="15" thickBot="1" x14ac:dyDescent="0.35"/>
    <row r="11" spans="3:10" x14ac:dyDescent="0.3">
      <c r="C11" s="160" t="s">
        <v>154</v>
      </c>
      <c r="D11" s="161">
        <f>D3+1</f>
        <v>2</v>
      </c>
      <c r="E11" s="117"/>
      <c r="F11" s="117"/>
      <c r="G11" s="117"/>
      <c r="H11" s="118"/>
    </row>
    <row r="12" spans="3:10" x14ac:dyDescent="0.3">
      <c r="C12" s="162" t="s">
        <v>155</v>
      </c>
      <c r="D12" s="163" t="s">
        <v>193</v>
      </c>
      <c r="H12" s="119"/>
    </row>
    <row r="13" spans="3:10" ht="15" thickBot="1" x14ac:dyDescent="0.35">
      <c r="C13" s="162"/>
      <c r="D13" s="163" t="s">
        <v>192</v>
      </c>
      <c r="H13" s="119"/>
    </row>
    <row r="14" spans="3:10" x14ac:dyDescent="0.3">
      <c r="C14" s="209" t="s">
        <v>194</v>
      </c>
      <c r="D14" s="210"/>
      <c r="E14" s="210"/>
      <c r="F14" s="210"/>
      <c r="G14" s="210"/>
      <c r="H14" s="211"/>
    </row>
    <row r="15" spans="3:10" x14ac:dyDescent="0.3">
      <c r="C15" s="212"/>
      <c r="D15" s="213"/>
      <c r="E15" s="213"/>
      <c r="F15" s="213"/>
      <c r="G15" s="213"/>
      <c r="H15" s="214"/>
    </row>
    <row r="16" spans="3:10" ht="117" customHeight="1" thickBot="1" x14ac:dyDescent="0.35">
      <c r="C16" s="215"/>
      <c r="D16" s="216"/>
      <c r="E16" s="216"/>
      <c r="F16" s="216"/>
      <c r="G16" s="216"/>
      <c r="H16" s="217"/>
    </row>
    <row r="18" spans="3:8" ht="15" thickBot="1" x14ac:dyDescent="0.35"/>
    <row r="19" spans="3:8" x14ac:dyDescent="0.3">
      <c r="C19" s="165" t="s">
        <v>154</v>
      </c>
      <c r="D19" s="166">
        <f>D11+1</f>
        <v>3</v>
      </c>
      <c r="E19" s="117"/>
      <c r="F19" s="117"/>
      <c r="G19" s="117"/>
      <c r="H19" s="118"/>
    </row>
    <row r="20" spans="3:8" x14ac:dyDescent="0.3">
      <c r="C20" s="167" t="s">
        <v>155</v>
      </c>
      <c r="D20" s="168">
        <v>22</v>
      </c>
      <c r="H20" s="119"/>
    </row>
    <row r="21" spans="3:8" ht="15" thickBot="1" x14ac:dyDescent="0.35">
      <c r="C21" s="167"/>
      <c r="D21" s="168"/>
      <c r="H21" s="119"/>
    </row>
    <row r="22" spans="3:8" x14ac:dyDescent="0.3">
      <c r="C22" s="209" t="s">
        <v>195</v>
      </c>
      <c r="D22" s="210"/>
      <c r="E22" s="210"/>
      <c r="F22" s="210"/>
      <c r="G22" s="210"/>
      <c r="H22" s="211"/>
    </row>
    <row r="23" spans="3:8" x14ac:dyDescent="0.3">
      <c r="C23" s="212"/>
      <c r="D23" s="213"/>
      <c r="E23" s="213"/>
      <c r="F23" s="213"/>
      <c r="G23" s="213"/>
      <c r="H23" s="214"/>
    </row>
    <row r="24" spans="3:8" ht="15" thickBot="1" x14ac:dyDescent="0.35">
      <c r="C24" s="215"/>
      <c r="D24" s="216"/>
      <c r="E24" s="216"/>
      <c r="F24" s="216"/>
      <c r="G24" s="216"/>
      <c r="H24" s="217"/>
    </row>
    <row r="26" spans="3:8" ht="15" thickBot="1" x14ac:dyDescent="0.35"/>
    <row r="27" spans="3:8" x14ac:dyDescent="0.3">
      <c r="C27" s="170" t="s">
        <v>154</v>
      </c>
      <c r="D27" s="171">
        <f>D19+1</f>
        <v>4</v>
      </c>
      <c r="E27" s="117"/>
      <c r="F27" s="117"/>
      <c r="G27" s="117"/>
      <c r="H27" s="118"/>
    </row>
    <row r="28" spans="3:8" x14ac:dyDescent="0.3">
      <c r="C28" s="172" t="s">
        <v>155</v>
      </c>
      <c r="D28" s="129">
        <v>41</v>
      </c>
      <c r="H28" s="119"/>
    </row>
    <row r="29" spans="3:8" ht="15" thickBot="1" x14ac:dyDescent="0.35">
      <c r="C29" s="172"/>
      <c r="D29" s="129"/>
      <c r="H29" s="119"/>
    </row>
    <row r="30" spans="3:8" x14ac:dyDescent="0.3">
      <c r="C30" s="209" t="s">
        <v>196</v>
      </c>
      <c r="D30" s="210"/>
      <c r="E30" s="210"/>
      <c r="F30" s="210"/>
      <c r="G30" s="210"/>
      <c r="H30" s="211"/>
    </row>
    <row r="31" spans="3:8" x14ac:dyDescent="0.3">
      <c r="C31" s="212"/>
      <c r="D31" s="213"/>
      <c r="E31" s="213"/>
      <c r="F31" s="213"/>
      <c r="G31" s="213"/>
      <c r="H31" s="214"/>
    </row>
    <row r="32" spans="3:8" ht="15" thickBot="1" x14ac:dyDescent="0.35">
      <c r="C32" s="215"/>
      <c r="D32" s="216"/>
      <c r="E32" s="216"/>
      <c r="F32" s="216"/>
      <c r="G32" s="216"/>
      <c r="H32" s="217"/>
    </row>
    <row r="34" spans="3:8" ht="15" thickBot="1" x14ac:dyDescent="0.35"/>
    <row r="35" spans="3:8" x14ac:dyDescent="0.3">
      <c r="C35" s="218" t="s">
        <v>154</v>
      </c>
      <c r="D35" s="219">
        <f>D27+1</f>
        <v>5</v>
      </c>
      <c r="E35" s="117"/>
      <c r="F35" s="117"/>
      <c r="G35" s="117"/>
      <c r="H35" s="118"/>
    </row>
    <row r="36" spans="3:8" x14ac:dyDescent="0.3">
      <c r="C36" s="220" t="s">
        <v>155</v>
      </c>
      <c r="D36" s="221" t="s">
        <v>198</v>
      </c>
      <c r="H36" s="119"/>
    </row>
    <row r="37" spans="3:8" ht="15" thickBot="1" x14ac:dyDescent="0.35">
      <c r="C37" s="220"/>
      <c r="D37" s="221"/>
      <c r="H37" s="119"/>
    </row>
    <row r="38" spans="3:8" x14ac:dyDescent="0.3">
      <c r="C38" s="209" t="s">
        <v>197</v>
      </c>
      <c r="D38" s="210"/>
      <c r="E38" s="210"/>
      <c r="F38" s="210"/>
      <c r="G38" s="210"/>
      <c r="H38" s="211"/>
    </row>
    <row r="39" spans="3:8" x14ac:dyDescent="0.3">
      <c r="C39" s="212"/>
      <c r="D39" s="213"/>
      <c r="E39" s="213"/>
      <c r="F39" s="213"/>
      <c r="G39" s="213"/>
      <c r="H39" s="214"/>
    </row>
    <row r="40" spans="3:8" ht="15" thickBot="1" x14ac:dyDescent="0.35">
      <c r="C40" s="215"/>
      <c r="D40" s="216"/>
      <c r="E40" s="216"/>
      <c r="F40" s="216"/>
      <c r="G40" s="216"/>
      <c r="H40" s="217"/>
    </row>
  </sheetData>
  <mergeCells count="5">
    <mergeCell ref="C6:H8"/>
    <mergeCell ref="C14:H16"/>
    <mergeCell ref="C22:H24"/>
    <mergeCell ref="C30:H32"/>
    <mergeCell ref="C38:H4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6BF67-58D9-44B8-9885-F86EBBDE6C60}">
  <dimension ref="A1"/>
  <sheetViews>
    <sheetView workbookViewId="0">
      <selection activeCell="D15" sqref="D15"/>
    </sheetView>
  </sheetViews>
  <sheetFormatPr baseColWidth="10"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2026-07-05T22:07:40Z</cp:lastPrinted>
  <dcterms:created xsi:type="dcterms:W3CDTF">2023-09-17T12:29:07Z</dcterms:created>
  <dcterms:modified xsi:type="dcterms:W3CDTF">2026-07-24T16:12:01Z</dcterms:modified>
</cp:coreProperties>
</file>