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 MITRE\Junio\"/>
    </mc:Choice>
  </mc:AlternateContent>
  <xr:revisionPtr revIDLastSave="0" documentId="13_ncr:1_{907A137E-98A5-4F56-8D31-65B2990C84D0}" xr6:coauthVersionLast="47" xr6:coauthVersionMax="47" xr10:uidLastSave="{00000000-0000-0000-0000-000000000000}"/>
  <bookViews>
    <workbookView xWindow="-108" yWindow="-108" windowWidth="23256" windowHeight="12576" tabRatio="793" xr2:uid="{00000000-000D-0000-FFFF-FFFF00000000}"/>
  </bookViews>
  <sheets>
    <sheet name="RESUMEN" sheetId="1" r:id="rId1"/>
    <sheet name="PRORRATEO" sheetId="2" r:id="rId2"/>
    <sheet name="ANOTACIONES" sheetId="3" r:id="rId3"/>
    <sheet name="Hoja1" sheetId="4" r:id="rId4"/>
  </sheets>
  <definedNames>
    <definedName name="_xlnm.Print_Area" localSheetId="1">PRORRATEO!$A$1:$O$75</definedName>
    <definedName name="_xlnm.Print_Area" localSheetId="0">RESUMEN!$A$1:$D$116</definedName>
  </definedNames>
  <calcPr calcId="181029"/>
</workbook>
</file>

<file path=xl/calcChain.xml><?xml version="1.0" encoding="utf-8"?>
<calcChain xmlns="http://schemas.openxmlformats.org/spreadsheetml/2006/main">
  <c r="D51" i="3" l="1"/>
  <c r="D43" i="3" l="1"/>
  <c r="D35" i="3"/>
  <c r="D27" i="3" l="1"/>
  <c r="D19" i="3"/>
  <c r="D11" i="3"/>
  <c r="N1" i="2"/>
  <c r="G10" i="2"/>
  <c r="G13" i="2"/>
  <c r="G34" i="2"/>
  <c r="G41" i="2"/>
  <c r="G54" i="2"/>
  <c r="G16" i="2"/>
  <c r="G47" i="2"/>
  <c r="G19" i="2"/>
  <c r="G36" i="2"/>
  <c r="G35" i="2"/>
  <c r="C70" i="1"/>
  <c r="C30" i="1"/>
  <c r="C31" i="1"/>
  <c r="C33" i="1" s="1"/>
  <c r="D39" i="1" l="1"/>
  <c r="G56" i="2"/>
  <c r="G55" i="2"/>
  <c r="D42" i="1"/>
  <c r="B115" i="1"/>
  <c r="G42" i="2"/>
  <c r="G50" i="2"/>
  <c r="G20" i="2" l="1"/>
  <c r="I19" i="2" s="1"/>
  <c r="J19" i="2" s="1"/>
  <c r="I33" i="2"/>
  <c r="J33" i="2" s="1"/>
  <c r="I52" i="2"/>
  <c r="J52" i="2" s="1"/>
  <c r="G49" i="2"/>
  <c r="I49" i="2" s="1"/>
  <c r="J49" i="2" s="1"/>
  <c r="G29" i="2"/>
  <c r="I29" i="2" s="1"/>
  <c r="J29" i="2" s="1"/>
  <c r="G12" i="2"/>
  <c r="I12" i="2" s="1"/>
  <c r="J12" i="2" s="1"/>
  <c r="I57" i="2"/>
  <c r="J57" i="2" s="1"/>
  <c r="L46" i="2"/>
  <c r="L47" i="2"/>
  <c r="L48" i="2"/>
  <c r="L49" i="2"/>
  <c r="L50" i="2"/>
  <c r="L51" i="2"/>
  <c r="L52" i="2"/>
  <c r="L53" i="2"/>
  <c r="L54" i="2"/>
  <c r="L55" i="2"/>
  <c r="L56" i="2"/>
  <c r="L57" i="2"/>
  <c r="L58" i="2"/>
  <c r="L59" i="2"/>
  <c r="L60" i="2"/>
  <c r="L61" i="2"/>
  <c r="L62" i="2"/>
  <c r="L63" i="2"/>
  <c r="L64" i="2"/>
  <c r="K46" i="2"/>
  <c r="K47" i="2"/>
  <c r="K48" i="2"/>
  <c r="K49" i="2"/>
  <c r="K50" i="2"/>
  <c r="K51" i="2"/>
  <c r="K52" i="2"/>
  <c r="K53" i="2"/>
  <c r="K54" i="2"/>
  <c r="K55" i="2"/>
  <c r="K56" i="2"/>
  <c r="K57" i="2"/>
  <c r="K58" i="2"/>
  <c r="K59" i="2"/>
  <c r="K60" i="2"/>
  <c r="K61" i="2"/>
  <c r="K62" i="2"/>
  <c r="K63" i="2"/>
  <c r="K64" i="2"/>
  <c r="I46" i="2"/>
  <c r="J46" i="2" s="1"/>
  <c r="I47" i="2"/>
  <c r="J47" i="2" s="1"/>
  <c r="I48" i="2"/>
  <c r="J48" i="2" s="1"/>
  <c r="I50" i="2"/>
  <c r="J50" i="2" s="1"/>
  <c r="I51" i="2"/>
  <c r="J51" i="2" s="1"/>
  <c r="I53" i="2"/>
  <c r="J53" i="2" s="1"/>
  <c r="I54" i="2"/>
  <c r="J54" i="2" s="1"/>
  <c r="I55" i="2"/>
  <c r="J55" i="2" s="1"/>
  <c r="I56" i="2"/>
  <c r="J56" i="2" s="1"/>
  <c r="I58" i="2"/>
  <c r="J58" i="2" s="1"/>
  <c r="I59" i="2"/>
  <c r="J59" i="2" s="1"/>
  <c r="I60" i="2"/>
  <c r="J60" i="2" s="1"/>
  <c r="I61" i="2"/>
  <c r="J61" i="2" s="1"/>
  <c r="I62" i="2"/>
  <c r="J62" i="2" s="1"/>
  <c r="I63" i="2"/>
  <c r="J63" i="2" s="1"/>
  <c r="I64" i="2"/>
  <c r="J64" i="2" s="1"/>
  <c r="M66" i="2"/>
  <c r="F66" i="2"/>
  <c r="E66" i="2"/>
  <c r="L7" i="2"/>
  <c r="K7" i="2"/>
  <c r="I7" i="2"/>
  <c r="J7" i="2" s="1"/>
  <c r="D50" i="1"/>
  <c r="D49" i="1"/>
  <c r="D48" i="1"/>
  <c r="P7" i="2"/>
  <c r="P8" i="2" s="1"/>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I45" i="2"/>
  <c r="J45" i="2" s="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I13" i="2"/>
  <c r="J13" i="2" s="1"/>
  <c r="I14" i="2"/>
  <c r="I15" i="2"/>
  <c r="J15" i="2" s="1"/>
  <c r="I16" i="2"/>
  <c r="J16" i="2" s="1"/>
  <c r="I17" i="2"/>
  <c r="J17" i="2" s="1"/>
  <c r="I18" i="2"/>
  <c r="J18" i="2" s="1"/>
  <c r="I20" i="2"/>
  <c r="J20" i="2" s="1"/>
  <c r="I21" i="2"/>
  <c r="J21" i="2" s="1"/>
  <c r="I22" i="2"/>
  <c r="I23" i="2"/>
  <c r="J23" i="2" s="1"/>
  <c r="I25" i="2"/>
  <c r="J25" i="2" s="1"/>
  <c r="I26" i="2"/>
  <c r="J26" i="2" s="1"/>
  <c r="I27" i="2"/>
  <c r="J27" i="2" s="1"/>
  <c r="I30" i="2"/>
  <c r="J30" i="2" s="1"/>
  <c r="I34" i="2"/>
  <c r="J34" i="2" s="1"/>
  <c r="I37" i="2"/>
  <c r="J37" i="2" s="1"/>
  <c r="I39" i="2"/>
  <c r="J39" i="2" s="1"/>
  <c r="I44" i="2"/>
  <c r="J44" i="2" s="1"/>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I24" i="2"/>
  <c r="J24" i="2" s="1"/>
  <c r="I41" i="2"/>
  <c r="J41" i="2" s="1"/>
  <c r="I43" i="2"/>
  <c r="J43" i="2" s="1"/>
  <c r="I36" i="2"/>
  <c r="J36" i="2" s="1"/>
  <c r="I42" i="2"/>
  <c r="J42" i="2" s="1"/>
  <c r="P47" i="2" l="1"/>
  <c r="N46" i="2"/>
  <c r="O46" i="2" s="1"/>
  <c r="G66" i="2"/>
  <c r="I35" i="2"/>
  <c r="J35" i="2" s="1"/>
  <c r="N47" i="2"/>
  <c r="O47" i="2" s="1"/>
  <c r="P48" i="2"/>
  <c r="N7" i="2"/>
  <c r="O7" i="2" s="1"/>
  <c r="J22" i="2"/>
  <c r="J14" i="2"/>
  <c r="I31" i="2"/>
  <c r="J31" i="2" s="1"/>
  <c r="I28" i="2"/>
  <c r="J28" i="2" s="1"/>
  <c r="D57" i="1"/>
  <c r="D67" i="1"/>
  <c r="N48" i="2" l="1"/>
  <c r="O48" i="2" s="1"/>
  <c r="P49" i="2"/>
  <c r="C26" i="1"/>
  <c r="D34" i="1" s="1"/>
  <c r="I40" i="2"/>
  <c r="J40" i="2" s="1"/>
  <c r="P50" i="2" l="1"/>
  <c r="N49" i="2"/>
  <c r="O49" i="2" s="1"/>
  <c r="D71" i="1"/>
  <c r="P51" i="2" l="1"/>
  <c r="N50" i="2"/>
  <c r="O50" i="2" l="1"/>
  <c r="N51" i="2"/>
  <c r="O51" i="2" s="1"/>
  <c r="P52" i="2"/>
  <c r="I38" i="2"/>
  <c r="J38" i="2" s="1"/>
  <c r="N52" i="2" l="1"/>
  <c r="O52" i="2" s="1"/>
  <c r="P53" i="2"/>
  <c r="I32" i="2"/>
  <c r="J32" i="2" s="1"/>
  <c r="P54" i="2" l="1"/>
  <c r="N53" i="2"/>
  <c r="O53" i="2" s="1"/>
  <c r="L6" i="2"/>
  <c r="I8" i="2"/>
  <c r="J8" i="2" s="1"/>
  <c r="I9" i="2"/>
  <c r="I10" i="2"/>
  <c r="J10" i="2" s="1"/>
  <c r="I11" i="2"/>
  <c r="J11" i="2" s="1"/>
  <c r="J9" i="2" l="1"/>
  <c r="N54" i="2"/>
  <c r="O54" i="2" s="1"/>
  <c r="P55" i="2"/>
  <c r="H66" i="2"/>
  <c r="N55" i="2" l="1"/>
  <c r="O55" i="2" s="1"/>
  <c r="P56" i="2"/>
  <c r="P57" i="2" l="1"/>
  <c r="N56" i="2"/>
  <c r="O56" i="2" s="1"/>
  <c r="K8" i="2"/>
  <c r="K9" i="2"/>
  <c r="K10" i="2"/>
  <c r="K11" i="2"/>
  <c r="K6" i="2"/>
  <c r="K66" i="2" l="1"/>
  <c r="P58" i="2"/>
  <c r="N57" i="2"/>
  <c r="O57" i="2" s="1"/>
  <c r="D82" i="1"/>
  <c r="D87" i="1" s="1"/>
  <c r="B91" i="1" s="1"/>
  <c r="B104" i="1" s="1"/>
  <c r="P59" i="2" l="1"/>
  <c r="N58" i="2"/>
  <c r="O58" i="2" s="1"/>
  <c r="B99" i="1"/>
  <c r="N59" i="2" l="1"/>
  <c r="O59" i="2" s="1"/>
  <c r="P60" i="2"/>
  <c r="D75" i="1"/>
  <c r="N60" i="2" l="1"/>
  <c r="O60" i="2" s="1"/>
  <c r="P61" i="2"/>
  <c r="N5" i="2"/>
  <c r="P62" i="2" l="1"/>
  <c r="N61" i="2"/>
  <c r="O61" i="2" s="1"/>
  <c r="N12" i="2"/>
  <c r="O12" i="2" s="1"/>
  <c r="B98" i="1"/>
  <c r="N62" i="2" l="1"/>
  <c r="O62" i="2" s="1"/>
  <c r="P63" i="2"/>
  <c r="N13" i="2"/>
  <c r="O13" i="2" s="1"/>
  <c r="I6" i="2"/>
  <c r="J6" i="2" l="1"/>
  <c r="J66" i="2" s="1"/>
  <c r="I66" i="2"/>
  <c r="N63" i="2"/>
  <c r="O63" i="2" s="1"/>
  <c r="P64" i="2"/>
  <c r="N64" i="2" s="1"/>
  <c r="N14" i="2"/>
  <c r="O14" i="2" s="1"/>
  <c r="B92" i="1"/>
  <c r="O64" i="2" l="1"/>
  <c r="N15" i="2"/>
  <c r="O15" i="2" s="1"/>
  <c r="B90" i="1"/>
  <c r="B103" i="1" s="1"/>
  <c r="B105" i="1" s="1"/>
  <c r="L8" i="2"/>
  <c r="L66" i="2" s="1"/>
  <c r="L9" i="2"/>
  <c r="N9" i="2" s="1"/>
  <c r="L10" i="2"/>
  <c r="N10" i="2" s="1"/>
  <c r="L11" i="2"/>
  <c r="N11" i="2" s="1"/>
  <c r="N6" i="2"/>
  <c r="N16" i="2" l="1"/>
  <c r="O16" i="2" s="1"/>
  <c r="N8" i="2"/>
  <c r="O8" i="2" s="1"/>
  <c r="O6" i="2"/>
  <c r="O11" i="2"/>
  <c r="O10" i="2"/>
  <c r="O9" i="2"/>
  <c r="N17" i="2" l="1"/>
  <c r="O17" i="2" s="1"/>
  <c r="N18" i="2" l="1"/>
  <c r="B89" i="1"/>
  <c r="O18" i="2" l="1"/>
  <c r="N19" i="2"/>
  <c r="O19" i="2" s="1"/>
  <c r="N20" i="2" l="1"/>
  <c r="N21" i="2" l="1"/>
  <c r="O21" i="2" s="1"/>
  <c r="O20" i="2"/>
  <c r="N22" i="2" l="1"/>
  <c r="O22" i="2" s="1"/>
  <c r="N23" i="2" l="1"/>
  <c r="N24" i="2" l="1"/>
  <c r="O24" i="2" s="1"/>
  <c r="O23" i="2"/>
  <c r="N25" i="2" l="1"/>
  <c r="O25" i="2" l="1"/>
  <c r="N26" i="2"/>
  <c r="O26" i="2" s="1"/>
  <c r="N27" i="2" l="1"/>
  <c r="O27" i="2" s="1"/>
  <c r="N28" i="2" l="1"/>
  <c r="O28" i="2" s="1"/>
  <c r="N29" i="2" l="1"/>
  <c r="O29" i="2" s="1"/>
  <c r="N30" i="2" l="1"/>
  <c r="O30" i="2" s="1"/>
  <c r="N31" i="2" l="1"/>
  <c r="O31" i="2" s="1"/>
  <c r="N32" i="2" l="1"/>
  <c r="O32" i="2" s="1"/>
  <c r="N33" i="2" l="1"/>
  <c r="O33" i="2" s="1"/>
  <c r="N34" i="2" l="1"/>
  <c r="O34" i="2" s="1"/>
  <c r="N35" i="2" l="1"/>
  <c r="O35" i="2" l="1"/>
  <c r="N36" i="2"/>
  <c r="O36" i="2" s="1"/>
  <c r="N37" i="2" l="1"/>
  <c r="O37" i="2" s="1"/>
  <c r="N38" i="2" l="1"/>
  <c r="O38" i="2" s="1"/>
  <c r="N39" i="2" l="1"/>
  <c r="O39" i="2" s="1"/>
  <c r="N40" i="2" l="1"/>
  <c r="O40" i="2" s="1"/>
  <c r="N41" i="2" l="1"/>
  <c r="O41" i="2" s="1"/>
  <c r="N42" i="2" l="1"/>
  <c r="O42" i="2" s="1"/>
  <c r="N43" i="2" l="1"/>
  <c r="O43" i="2" l="1"/>
  <c r="N45" i="2"/>
  <c r="O45" i="2" s="1"/>
  <c r="N44" i="2"/>
  <c r="N66" i="2" l="1"/>
  <c r="O44" i="2"/>
  <c r="O66" i="2" s="1"/>
</calcChain>
</file>

<file path=xl/sharedStrings.xml><?xml version="1.0" encoding="utf-8"?>
<sst xmlns="http://schemas.openxmlformats.org/spreadsheetml/2006/main" count="276" uniqueCount="207">
  <si>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</si>
  <si>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</si>
  <si>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</si>
  <si>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</si>
  <si>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</si>
  <si>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</si>
  <si>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</si>
  <si>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</si>
  <si>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</si>
  <si>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</si>
  <si>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</si>
  <si>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</si>
  <si>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</si>
  <si>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</si>
  <si>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</si>
  <si>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</si>
  <si>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</si>
  <si>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</si>
  <si>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</si>
  <si>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</si>
  <si>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</si>
  <si>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</si>
  <si>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</si>
  <si>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</si>
  <si>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</si>
  <si>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</si>
  <si>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</si>
  <si>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</si>
  <si>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</si>
  <si>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</si>
  <si>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</si>
  <si>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</si>
  <si>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</si>
  <si>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</si>
  <si>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</si>
  <si>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</si>
  <si>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</si>
  <si>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</si>
  <si>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</si>
  <si>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</si>
  <si>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</si>
  <si>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</si>
  <si>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</si>
  <si>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</si>
  <si>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</si>
  <si>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</si>
  <si>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</si>
  <si>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</si>
  <si>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</si>
  <si>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</si>
  <si>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</si>
  <si>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</si>
  <si>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</si>
  <si>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</si>
  <si>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</si>
  <si>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</si>
  <si>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</si>
  <si>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</si>
  <si>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</si>
  <si>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</si>
  <si>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</si>
  <si>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</si>
  <si>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</si>
  <si>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</si>
  <si>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</si>
  <si>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</si>
  <si>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</si>
  <si>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</si>
  <si>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</si>
  <si>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PREVISION ORDINARIA</t>
  </si>
  <si>
    <t>SI EN LA COLUMNA LLAMADA DEUDA O SALDO A FAVOR FIGURA UN NUMERO EN NEGATIVO SIGNIFICA QUE LA UF POSEE DINERO A FAVOR (ES DECIR PAGO DE MAS)</t>
  </si>
  <si>
    <t>HORARIOS DE ATENCION: 10 A 15HS - LUNES A VIERNES</t>
  </si>
  <si>
    <t>Banco  - Gastos bancarios</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</si>
  <si>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</si>
  <si>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</si>
  <si>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</si>
  <si>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</si>
  <si>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</si>
  <si>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</si>
  <si>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</si>
  <si>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</si>
  <si>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</si>
  <si>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</si>
  <si>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</si>
  <si>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</si>
  <si>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</si>
  <si>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</si>
  <si>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</si>
  <si>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</si>
  <si>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</si>
  <si>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</si>
  <si>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</si>
  <si>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</si>
  <si>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</si>
  <si>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</si>
  <si>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</si>
  <si>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</si>
  <si>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</si>
  <si>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</si>
  <si>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</si>
  <si>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</si>
  <si>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</si>
  <si>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</si>
  <si>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</si>
  <si>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</si>
  <si>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</si>
  <si>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</si>
  <si>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</si>
  <si>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</si>
  <si>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</si>
  <si>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</si>
  <si>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</si>
  <si>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</si>
  <si>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</si>
  <si>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</si>
  <si>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</si>
  <si>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</si>
  <si>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</si>
  <si>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</si>
  <si>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</si>
  <si>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</si>
  <si>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</si>
  <si>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</si>
  <si>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</si>
  <si>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</si>
  <si>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</si>
  <si>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</si>
  <si>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 xml:space="preserve">EDESUR - Cliente 000115764200 </t>
  </si>
  <si>
    <t xml:space="preserve">EDESUR - Cliente 000466379100 </t>
  </si>
  <si>
    <t>Metrogas - Cliente 030003582146</t>
  </si>
  <si>
    <t>Debito 16/04</t>
  </si>
  <si>
    <t xml:space="preserve">Planes de pago - Afip - aportes de seg. social 06/2022 y 11/2022 </t>
  </si>
  <si>
    <t xml:space="preserve">Seguro integral del consorcio-Federacion Patronal poliza 2215767 </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</si>
  <si>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</si>
  <si>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</si>
  <si>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</si>
  <si>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</si>
  <si>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</si>
  <si>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</si>
  <si>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</si>
  <si>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</si>
  <si>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</si>
  <si>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</si>
  <si>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</si>
  <si>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</si>
  <si>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</si>
  <si>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</si>
  <si>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Nelida Micaela Atanes</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</si>
  <si>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</si>
  <si>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</si>
  <si>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</si>
  <si>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Smurro Viviana - Jorge alberto Viera</t>
  </si>
  <si>
    <t>Colegio de farmaceuticos</t>
  </si>
  <si>
    <t>Banco Galicia: Nro. De cuenta: 0000220-4716-6 - CBU: 0070716120000000220468 - Consorcio de propietarios Av. General Mite 686/92 - CUIT: 30-53618993-5</t>
  </si>
  <si>
    <t>Escribania Rodriguez - Aljandra Rodriguez</t>
  </si>
  <si>
    <t>Lucrecia Ines Carbone</t>
  </si>
  <si>
    <t>Anotacion:</t>
  </si>
  <si>
    <t>UF:</t>
  </si>
  <si>
    <t>Transf 22/05</t>
  </si>
  <si>
    <t>Transf 18/05</t>
  </si>
  <si>
    <t>Andes elevadores - Servicio de mantenimiento de ascensores</t>
  </si>
  <si>
    <t>Honorarios Sra. Abogada - Lorena Ferreiro</t>
  </si>
  <si>
    <t>Transf 12/05</t>
  </si>
  <si>
    <t>Cuello Natalia - Desobstruccion columna en baño piso 1</t>
  </si>
  <si>
    <t>TSG - Municipalidad de avellaneda</t>
  </si>
  <si>
    <t>Reemplazo Sra. Isabel - Reemplazo de la Sra. Ivana</t>
  </si>
  <si>
    <t>Cuota 33/36 - planes de pago - Afip - contrib. de seg. social 06/2022 y 11/2022</t>
  </si>
  <si>
    <t>Debito 22/05</t>
  </si>
  <si>
    <t>AySa</t>
  </si>
  <si>
    <t>Transf 26/05</t>
  </si>
  <si>
    <t>Gustavo Padron - Sr. Contador</t>
  </si>
  <si>
    <t>No se debitaron</t>
  </si>
  <si>
    <t>Honorarios administracion RC - Se adeudan 2 meses</t>
  </si>
  <si>
    <t>Arreglo Reja - Sr Herrero Alan - Arreglo barrotes reja principal</t>
  </si>
  <si>
    <t>Efectivo</t>
  </si>
  <si>
    <t>Deposito ya identificado mes anterior</t>
  </si>
  <si>
    <t>Juana Acuña</t>
  </si>
  <si>
    <t xml:space="preserve">Deposito 22/05 </t>
  </si>
  <si>
    <t>Dinero Fondo FIMA - Al 03/06/2026</t>
  </si>
  <si>
    <t>UF 37</t>
  </si>
  <si>
    <t>El mes pasado habia pagado en tiempo y forma sus $63286,37 - Quitar punitorios y colocar su pago</t>
  </si>
  <si>
    <t>UF 45</t>
  </si>
  <si>
    <t>En el mes de Abril  pago $46.313,46 y se la pusimos a la UF 46 cuando era a la 45 (el error fue suyo por haber pagado con centavos incorrectos) - En el mes de junio transfirio $87.463 el 04/06</t>
  </si>
  <si>
    <t>UF 52</t>
  </si>
  <si>
    <t>Deposito $164.000 el 11/05 y no se lo imputamos - Este mes deposito $116.000 el 05/06</t>
  </si>
  <si>
    <t>UF 41</t>
  </si>
  <si>
    <t>Deposito $95.000 el 05/06</t>
  </si>
  <si>
    <t>Local 9</t>
  </si>
  <si>
    <t xml:space="preserve">Deposito $273,000 el 15/04 debemos agregarselo en su UF (local 9) , ademas el tiene: L8, L9, L17, L19, 1101, 5504 - Pero solo hay problema en los "numeros" del local 9 </t>
  </si>
  <si>
    <t>ADEMAS DE ARREGLAR LA SITUACION DEL LOCAL 9, LAURA BORAS DEPOSITO EL 15/06 UN MONTON DE DEPOSITOS CON LA FOTO DE PARA DONDE VA CADA UNO. LAS ENVIO POR MAIL</t>
  </si>
  <si>
    <t>Local 13 y 14</t>
  </si>
  <si>
    <t>Transfirio $226.963,27 el 12/06</t>
  </si>
  <si>
    <t>Frisco - Capetello Silvia Viviana</t>
  </si>
  <si>
    <t>Local 15: Según los comprobantes adjuntos, se realizaron cuatro transferencias desde la cuenta de titularidad de Capetillo Silvina Vivian por un monto de $100.000,00 cada una. Las operaciones fueron efectuadas el 02/06/2026, el 03/06/2026, el 09/06/2026 y el 17/06/2026. El monto total transferido asciende a $400.000,00.</t>
  </si>
  <si>
    <t>VTO 17/07</t>
  </si>
  <si>
    <t>Carrafiele Julio -  Mes de MAYO</t>
  </si>
  <si>
    <t>Ivana del Carmen Roldan -  Mes de MAYO</t>
  </si>
  <si>
    <t>creo que cobran mes atrasado</t>
  </si>
  <si>
    <t>Transf 22/06</t>
  </si>
  <si>
    <t>Grafica Tauge - Fotocopias BYN</t>
  </si>
  <si>
    <t>Transf 09/06</t>
  </si>
  <si>
    <t>Transf 08/06</t>
  </si>
  <si>
    <t>Transf 18/06</t>
  </si>
  <si>
    <t>Articulos de limpieza</t>
  </si>
  <si>
    <t>Andes elevadores - ReProvision y colocacion de nueva manga de cable para conexionado de indicador de PB por corto en el existente</t>
  </si>
  <si>
    <t>Transf 11/06</t>
  </si>
  <si>
    <t>Servisur - Instalacion tortuga plastica y lampara en escalera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</si>
</sst>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7" tint="-0.249977111117893"/>
        <bgColor indexed="64"/>
      </patternFill>
    </fill>
    <fill>
      <patternFill patternType="solid">
        <fgColor rgb="FF002060"/>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9">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0" fontId="0" fillId="5" borderId="15" xfId="0" applyFill="1" applyBorder="1"/>
    <xf numFmtId="8" fontId="0" fillId="0" borderId="0" xfId="0" applyNumberFormat="1"/>
    <xf numFmtId="0" fontId="5" fillId="6" borderId="0" xfId="0" applyFont="1" applyFill="1"/>
    <xf numFmtId="0" fontId="6" fillId="0" borderId="1" xfId="0" applyFont="1" applyBorder="1"/>
    <xf numFmtId="0" fontId="6" fillId="0" borderId="1" xfId="0" applyFont="1" applyBorder="1" applyAlignment="1">
      <alignment vertical="center" wrapText="1"/>
    </xf>
    <xf numFmtId="0" fontId="2" fillId="4" borderId="1" xfId="0" applyFont="1"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18" fillId="11" borderId="1" xfId="0" applyFont="1" applyFill="1" applyBorder="1"/>
    <xf numFmtId="8" fontId="19" fillId="11" borderId="6" xfId="0" applyNumberFormat="1" applyFont="1" applyFill="1" applyBorder="1"/>
    <xf numFmtId="44" fontId="0" fillId="4" borderId="0" xfId="1" applyFont="1" applyFill="1"/>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4" fillId="0" borderId="1" xfId="0" applyFont="1" applyBorder="1"/>
    <xf numFmtId="44" fontId="10" fillId="4" borderId="1" xfId="1" applyFont="1" applyFill="1" applyBorder="1"/>
    <xf numFmtId="44" fontId="6" fillId="5" borderId="11" xfId="0" applyNumberFormat="1" applyFont="1" applyFill="1" applyBorder="1"/>
    <xf numFmtId="0" fontId="14" fillId="0" borderId="1" xfId="0" applyFont="1" applyBorder="1" applyAlignment="1">
      <alignment horizontal="center"/>
    </xf>
    <xf numFmtId="44" fontId="20" fillId="0" borderId="1" xfId="1" applyFont="1" applyBorder="1"/>
    <xf numFmtId="44" fontId="20" fillId="2" borderId="1" xfId="1" applyFont="1" applyFill="1" applyBorder="1"/>
    <xf numFmtId="165" fontId="20" fillId="2" borderId="1" xfId="1" applyNumberFormat="1" applyFont="1" applyFill="1" applyBorder="1"/>
    <xf numFmtId="165" fontId="14" fillId="0" borderId="1" xfId="0" applyNumberFormat="1" applyFont="1" applyBorder="1"/>
    <xf numFmtId="165" fontId="14" fillId="0" borderId="1" xfId="1" applyNumberFormat="1" applyFont="1" applyBorder="1"/>
    <xf numFmtId="44" fontId="14" fillId="0" borderId="6" xfId="1" applyFont="1" applyBorder="1"/>
    <xf numFmtId="44" fontId="20" fillId="0" borderId="25" xfId="1" applyFont="1" applyBorder="1"/>
    <xf numFmtId="44" fontId="20" fillId="0" borderId="27" xfId="1" applyFont="1" applyBorder="1"/>
    <xf numFmtId="44" fontId="21" fillId="0" borderId="1" xfId="1" applyFont="1" applyBorder="1"/>
    <xf numFmtId="165" fontId="21" fillId="2" borderId="1" xfId="1" applyNumberFormat="1" applyFont="1" applyFill="1" applyBorder="1"/>
    <xf numFmtId="165" fontId="21" fillId="0" borderId="1" xfId="0" applyNumberFormat="1" applyFont="1" applyBorder="1"/>
    <xf numFmtId="165" fontId="21" fillId="0" borderId="1" xfId="1" applyNumberFormat="1" applyFont="1" applyBorder="1"/>
    <xf numFmtId="0" fontId="14" fillId="10" borderId="21" xfId="0" applyFont="1" applyFill="1" applyBorder="1"/>
    <xf numFmtId="0" fontId="14" fillId="4" borderId="26" xfId="0" applyFont="1" applyFill="1" applyBorder="1"/>
    <xf numFmtId="44" fontId="14" fillId="4" borderId="21" xfId="0" applyNumberFormat="1" applyFont="1" applyFill="1" applyBorder="1"/>
    <xf numFmtId="0" fontId="6" fillId="7" borderId="9" xfId="0" applyFont="1" applyFill="1" applyBorder="1"/>
    <xf numFmtId="44" fontId="6" fillId="7" borderId="1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22" fillId="4" borderId="3" xfId="1" applyFont="1" applyFill="1" applyBorder="1"/>
    <xf numFmtId="44" fontId="10" fillId="4" borderId="21" xfId="1" applyFont="1" applyFill="1" applyBorder="1"/>
    <xf numFmtId="44" fontId="23" fillId="4" borderId="3" xfId="1" applyFont="1" applyFill="1" applyBorder="1"/>
    <xf numFmtId="0" fontId="23"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23" fillId="2" borderId="1" xfId="1" applyFont="1" applyFill="1" applyBorder="1"/>
    <xf numFmtId="44" fontId="10" fillId="4" borderId="2" xfId="1" applyFont="1" applyFill="1" applyBorder="1"/>
    <xf numFmtId="44" fontId="23" fillId="2" borderId="3" xfId="1" applyFont="1" applyFill="1" applyBorder="1"/>
    <xf numFmtId="8" fontId="7" fillId="4" borderId="22" xfId="0" applyNumberFormat="1" applyFont="1" applyFill="1" applyBorder="1"/>
    <xf numFmtId="0" fontId="23" fillId="0" borderId="4" xfId="0" applyFont="1" applyBorder="1"/>
    <xf numFmtId="44" fontId="10" fillId="8" borderId="13" xfId="1" applyFont="1" applyFill="1" applyBorder="1"/>
    <xf numFmtId="0" fontId="4" fillId="0" borderId="0" xfId="0" applyFont="1"/>
    <xf numFmtId="0" fontId="23"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6" xfId="0" applyFill="1" applyBorder="1" applyAlignment="1">
      <alignment horizontal="left" vertical="center" wrapText="1"/>
    </xf>
    <xf numFmtId="0" fontId="0" fillId="2" borderId="24" xfId="0" applyFill="1" applyBorder="1" applyAlignment="1">
      <alignment horizontal="left" vertical="center" wrapText="1"/>
    </xf>
    <xf numFmtId="44" fontId="7" fillId="0" borderId="1" xfId="1" applyFont="1" applyBorder="1"/>
    <xf numFmtId="8" fontId="19" fillId="11" borderId="1" xfId="0" applyNumberFormat="1" applyFont="1" applyFill="1" applyBorder="1"/>
    <xf numFmtId="0" fontId="0" fillId="0" borderId="7" xfId="0" applyBorder="1" applyAlignment="1">
      <alignment horizontal="left" vertical="center"/>
    </xf>
    <xf numFmtId="0" fontId="2" fillId="3" borderId="0" xfId="0" applyFont="1" applyFill="1" applyAlignment="1">
      <alignment horizontal="left"/>
    </xf>
    <xf numFmtId="0" fontId="6" fillId="3" borderId="0" xfId="0" applyFont="1" applyFill="1"/>
    <xf numFmtId="0" fontId="2" fillId="3" borderId="0" xfId="0" applyFont="1" applyFill="1" applyAlignment="1">
      <alignment vertical="center" wrapText="1"/>
    </xf>
    <xf numFmtId="0" fontId="18" fillId="11" borderId="3" xfId="0" applyFont="1" applyFill="1" applyBorder="1"/>
    <xf numFmtId="0" fontId="4" fillId="2" borderId="1" xfId="0" applyFont="1" applyFill="1" applyBorder="1"/>
    <xf numFmtId="0" fontId="6" fillId="3" borderId="0" xfId="0" applyFont="1" applyFill="1" applyAlignment="1">
      <alignment horizontal="left"/>
    </xf>
    <xf numFmtId="0" fontId="0" fillId="0" borderId="1" xfId="0" applyBorder="1" applyAlignment="1">
      <alignment vertical="center"/>
    </xf>
    <xf numFmtId="0" fontId="0" fillId="2" borderId="0" xfId="0" applyFill="1"/>
    <xf numFmtId="43" fontId="0" fillId="0" borderId="0" xfId="0" applyNumberFormat="1"/>
    <xf numFmtId="44" fontId="24" fillId="2" borderId="1" xfId="1" applyFont="1" applyFill="1" applyBorder="1"/>
    <xf numFmtId="0" fontId="15" fillId="2" borderId="1" xfId="1" applyNumberFormat="1" applyFont="1" applyFill="1" applyBorder="1" applyAlignment="1">
      <alignment horizontal="left"/>
    </xf>
    <xf numFmtId="0" fontId="15" fillId="2" borderId="2" xfId="1" applyNumberFormat="1" applyFont="1" applyFill="1" applyBorder="1" applyAlignment="1"/>
    <xf numFmtId="44" fontId="15" fillId="0" borderId="2" xfId="1" applyFont="1" applyBorder="1"/>
    <xf numFmtId="0" fontId="15" fillId="2" borderId="1" xfId="1" applyNumberFormat="1" applyFont="1" applyFill="1" applyBorder="1" applyAlignment="1"/>
    <xf numFmtId="44" fontId="15" fillId="0" borderId="1" xfId="1" applyFont="1" applyBorder="1"/>
    <xf numFmtId="44" fontId="6" fillId="8" borderId="1" xfId="1" applyFont="1" applyFill="1" applyBorder="1" applyAlignment="1">
      <alignment vertical="center"/>
    </xf>
    <xf numFmtId="8" fontId="4" fillId="2" borderId="1" xfId="0" applyNumberFormat="1" applyFont="1" applyFill="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4" fillId="2" borderId="1" xfId="0" applyFont="1" applyFill="1" applyBorder="1"/>
    <xf numFmtId="0" fontId="14" fillId="2" borderId="1" xfId="0" applyFont="1" applyFill="1" applyBorder="1" applyAlignment="1">
      <alignment horizontal="center"/>
    </xf>
    <xf numFmtId="165" fontId="14" fillId="2" borderId="1" xfId="0" applyNumberFormat="1" applyFont="1" applyFill="1" applyBorder="1"/>
    <xf numFmtId="165" fontId="14" fillId="2" borderId="1" xfId="1" applyNumberFormat="1" applyFont="1" applyFill="1" applyBorder="1"/>
    <xf numFmtId="44" fontId="14" fillId="2" borderId="6" xfId="1" applyFont="1" applyFill="1" applyBorder="1"/>
    <xf numFmtId="44" fontId="20" fillId="2" borderId="25" xfId="1" applyFont="1" applyFill="1" applyBorder="1"/>
    <xf numFmtId="44" fontId="20" fillId="2" borderId="27" xfId="1" applyFont="1" applyFill="1" applyBorder="1"/>
    <xf numFmtId="4" fontId="0" fillId="0" borderId="0" xfId="0" applyNumberFormat="1"/>
    <xf numFmtId="0" fontId="23" fillId="2" borderId="1" xfId="1" applyNumberFormat="1" applyFont="1" applyFill="1" applyBorder="1" applyAlignment="1"/>
    <xf numFmtId="44" fontId="4" fillId="0" borderId="1" xfId="1" applyFont="1" applyBorder="1" applyAlignment="1">
      <alignment vertical="center" wrapText="1"/>
    </xf>
    <xf numFmtId="8" fontId="4" fillId="2" borderId="6" xfId="0" applyNumberFormat="1" applyFont="1" applyFill="1" applyBorder="1"/>
    <xf numFmtId="165" fontId="0" fillId="0" borderId="0" xfId="0" applyNumberFormat="1"/>
    <xf numFmtId="166" fontId="0" fillId="0" borderId="0" xfId="1" applyNumberFormat="1" applyFont="1"/>
    <xf numFmtId="44" fontId="4" fillId="0" borderId="1" xfId="1" applyFont="1" applyBorder="1"/>
    <xf numFmtId="0" fontId="4" fillId="0" borderId="7" xfId="0" applyFont="1" applyBorder="1"/>
    <xf numFmtId="0" fontId="6" fillId="0" borderId="1" xfId="0" applyFont="1" applyBorder="1" applyAlignment="1">
      <alignment vertical="center"/>
    </xf>
    <xf numFmtId="44" fontId="7" fillId="0" borderId="0" xfId="1" applyFont="1" applyBorder="1"/>
    <xf numFmtId="0" fontId="14" fillId="2" borderId="1" xfId="0" applyFont="1" applyFill="1" applyBorder="1" applyAlignment="1">
      <alignment horizontal="left" vertical="center" wrapText="1"/>
    </xf>
    <xf numFmtId="0" fontId="14" fillId="4" borderId="21" xfId="0" applyFont="1" applyFill="1" applyBorder="1"/>
    <xf numFmtId="165" fontId="14" fillId="4" borderId="21" xfId="0" applyNumberFormat="1" applyFont="1" applyFill="1" applyBorder="1"/>
    <xf numFmtId="1" fontId="14"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0" fillId="0" borderId="12" xfId="0" applyBorder="1"/>
    <xf numFmtId="0" fontId="0" fillId="0" borderId="15" xfId="0" applyBorder="1"/>
    <xf numFmtId="0" fontId="0" fillId="0" borderId="17" xfId="0"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0" fillId="9" borderId="1" xfId="0" applyFill="1" applyBorder="1"/>
    <xf numFmtId="44" fontId="7" fillId="4" borderId="22" xfId="1" applyFont="1" applyFill="1" applyBorder="1"/>
    <xf numFmtId="44" fontId="4" fillId="2" borderId="0" xfId="1" applyFont="1" applyFill="1" applyBorder="1"/>
    <xf numFmtId="0" fontId="0" fillId="13" borderId="14" xfId="0" applyFill="1" applyBorder="1"/>
    <xf numFmtId="0" fontId="0" fillId="13" borderId="12" xfId="0" applyFill="1" applyBorder="1"/>
    <xf numFmtId="0" fontId="0" fillId="13" borderId="16" xfId="0" applyFill="1" applyBorder="1"/>
    <xf numFmtId="0" fontId="0" fillId="13" borderId="0" xfId="0" applyFill="1"/>
    <xf numFmtId="0" fontId="15" fillId="2" borderId="2" xfId="1" applyNumberFormat="1" applyFont="1" applyFill="1" applyBorder="1" applyAlignment="1">
      <alignment horizontal="left"/>
    </xf>
    <xf numFmtId="0" fontId="14" fillId="2" borderId="1" xfId="0" applyFont="1" applyFill="1" applyBorder="1" applyAlignment="1">
      <alignment vertical="center" wrapText="1"/>
    </xf>
    <xf numFmtId="0" fontId="14" fillId="12" borderId="1" xfId="0" applyFont="1" applyFill="1" applyBorder="1"/>
    <xf numFmtId="0" fontId="14" fillId="13" borderId="1" xfId="0" applyFont="1" applyFill="1" applyBorder="1"/>
    <xf numFmtId="0" fontId="14" fillId="14" borderId="1" xfId="0"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14" fillId="5" borderId="1" xfId="0" applyFont="1" applyFill="1" applyBorder="1"/>
    <xf numFmtId="0" fontId="0" fillId="5" borderId="14" xfId="0" applyFill="1" applyBorder="1"/>
    <xf numFmtId="0" fontId="0" fillId="5" borderId="16" xfId="0" applyFill="1" applyBorder="1"/>
    <xf numFmtId="0" fontId="0" fillId="5" borderId="0" xfId="0" applyFill="1"/>
    <xf numFmtId="0" fontId="14" fillId="16" borderId="1" xfId="0" applyFont="1" applyFill="1" applyBorder="1"/>
    <xf numFmtId="0" fontId="0" fillId="16" borderId="14" xfId="0" applyFill="1" applyBorder="1"/>
    <xf numFmtId="0" fontId="0" fillId="16" borderId="12" xfId="0" applyFill="1" applyBorder="1"/>
    <xf numFmtId="0" fontId="0" fillId="16" borderId="16" xfId="0" applyFill="1" applyBorder="1"/>
    <xf numFmtId="0" fontId="0" fillId="16" borderId="0" xfId="0" applyFill="1"/>
    <xf numFmtId="0" fontId="14" fillId="17" borderId="1" xfId="0" applyFont="1" applyFill="1" applyBorder="1"/>
    <xf numFmtId="0" fontId="0" fillId="17" borderId="14" xfId="0" applyFill="1" applyBorder="1"/>
    <xf numFmtId="0" fontId="0" fillId="17" borderId="12" xfId="0" applyFill="1" applyBorder="1"/>
    <xf numFmtId="0" fontId="0" fillId="17" borderId="16" xfId="0" applyFill="1" applyBorder="1"/>
    <xf numFmtId="0" fontId="0" fillId="17" borderId="0" xfId="0" applyFill="1"/>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17" fillId="9" borderId="0" xfId="0" applyFont="1" applyFill="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6" fillId="3" borderId="0" xfId="0" applyFont="1" applyFill="1" applyAlignment="1">
      <alignment horizontal="left" vertical="center" wrapText="1"/>
    </xf>
    <xf numFmtId="0" fontId="2" fillId="8" borderId="6" xfId="0" applyFont="1" applyFill="1" applyBorder="1" applyAlignment="1">
      <alignment horizontal="left" vertical="center" wrapText="1"/>
    </xf>
    <xf numFmtId="0" fontId="2" fillId="8" borderId="24" xfId="0" applyFont="1" applyFill="1" applyBorder="1" applyAlignment="1">
      <alignment horizontal="left" vertical="center" wrapText="1"/>
    </xf>
    <xf numFmtId="0" fontId="2" fillId="8" borderId="28" xfId="0" applyFont="1" applyFill="1" applyBorder="1" applyAlignment="1">
      <alignment horizontal="left"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3"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0" fontId="9" fillId="15" borderId="16" xfId="0" applyFont="1" applyFill="1" applyBorder="1" applyAlignment="1">
      <alignment horizontal="left" vertical="center" wrapText="1"/>
    </xf>
    <xf numFmtId="0" fontId="9" fillId="15" borderId="0" xfId="0" applyFont="1" applyFill="1" applyAlignment="1">
      <alignment horizontal="left" vertical="center" wrapText="1"/>
    </xf>
    <xf numFmtId="0" fontId="0" fillId="9" borderId="0" xfId="0" applyFill="1"/>
    <xf numFmtId="8" fontId="8" fillId="2" borderId="1" xfId="0" applyNumberFormat="1" applyFont="1" applyFill="1" applyBorder="1"/>
    <xf numFmtId="44" fontId="8" fillId="2" borderId="1" xfId="1" applyFont="1" applyFill="1" applyBorder="1"/>
    <xf numFmtId="0" fontId="4" fillId="9" borderId="6" xfId="0" applyFont="1" applyFill="1" applyBorder="1" applyAlignment="1">
      <alignment horizontal="left" vertical="center" wrapText="1"/>
    </xf>
    <xf numFmtId="0" fontId="4" fillId="9" borderId="7" xfId="0" applyFont="1" applyFill="1" applyBorder="1" applyAlignment="1">
      <alignment horizontal="left"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
  <sheetViews>
    <sheetView tabSelected="1" topLeftCell="A51" zoomScale="90" zoomScaleNormal="90" workbookViewId="0">
      <selection activeCell="C62" sqref="C62"/>
    </sheetView>
  </sheetViews>
  <sheetFormatPr baseColWidth="10" defaultColWidth="10.88671875" defaultRowHeight="14.4" x14ac:dyDescent="0.3"/>
  <cols>
    <col min="1" max="1" width="37.5546875" customWidth="1"/>
    <col min="2" max="2" width="24.5546875" customWidth="1"/>
    <col min="3" max="3" width="18.44140625" customWidth="1"/>
    <col min="4" max="4" width="15.5546875" customWidth="1"/>
    <col min="5" max="5" width="14.5546875" bestFit="1" customWidth="1"/>
    <col min="6" max="6" width="16" customWidth="1"/>
    <col min="7" max="7" width="13.109375" bestFit="1" customWidth="1"/>
    <col min="10" max="10" width="18" customWidth="1"/>
    <col min="11" max="11" width="18.44140625" customWidth="1"/>
  </cols>
  <sheetData>
    <row r="1" spans="1:4" x14ac:dyDescent="0.3">
      <c r="A1" s="102" t="s">
        <v>64</v>
      </c>
      <c r="B1" s="97"/>
      <c r="C1" s="6"/>
      <c r="D1" s="6"/>
    </row>
    <row r="2" spans="1:4" x14ac:dyDescent="0.3">
      <c r="A2" s="98" t="s">
        <v>126</v>
      </c>
      <c r="B2" s="98"/>
      <c r="C2" s="98"/>
      <c r="D2" s="98"/>
    </row>
    <row r="3" spans="1:4" ht="17.100000000000001" customHeight="1" x14ac:dyDescent="0.3">
      <c r="A3" s="98" t="s">
        <v>71</v>
      </c>
      <c r="B3" s="98"/>
      <c r="C3" s="98"/>
      <c r="D3" s="98"/>
    </row>
    <row r="4" spans="1:4" ht="32.25" customHeight="1" x14ac:dyDescent="0.3">
      <c r="A4" s="193" t="s">
        <v>153</v>
      </c>
      <c r="B4" s="193"/>
      <c r="C4" s="99"/>
      <c r="D4" s="99"/>
    </row>
    <row r="5" spans="1:4" x14ac:dyDescent="0.3">
      <c r="A5" s="193"/>
      <c r="B5" s="193"/>
      <c r="C5" s="99"/>
      <c r="D5" s="99"/>
    </row>
    <row r="6" spans="1:4" x14ac:dyDescent="0.3">
      <c r="A6" s="193"/>
      <c r="B6" s="193"/>
      <c r="C6" s="99"/>
      <c r="D6" s="99"/>
    </row>
    <row r="7" spans="1:4" ht="27" customHeight="1" x14ac:dyDescent="0.3">
      <c r="A7" s="193"/>
      <c r="B7" s="193"/>
      <c r="C7" s="99"/>
      <c r="D7" s="99"/>
    </row>
    <row r="9" spans="1:4" x14ac:dyDescent="0.3">
      <c r="B9" s="188" t="s">
        <v>194</v>
      </c>
    </row>
    <row r="10" spans="1:4" x14ac:dyDescent="0.3">
      <c r="B10" s="188"/>
    </row>
    <row r="11" spans="1:4" x14ac:dyDescent="0.3">
      <c r="B11" s="188"/>
    </row>
    <row r="13" spans="1:4" hidden="1" x14ac:dyDescent="0.3"/>
    <row r="14" spans="1:4" ht="15" customHeight="1" x14ac:dyDescent="0.3">
      <c r="A14" s="193" t="s">
        <v>150</v>
      </c>
      <c r="B14" s="193"/>
      <c r="C14" s="193"/>
      <c r="D14" s="193"/>
    </row>
    <row r="15" spans="1:4" ht="15" customHeight="1" x14ac:dyDescent="0.3">
      <c r="A15" s="193"/>
      <c r="B15" s="193"/>
      <c r="C15" s="193"/>
      <c r="D15" s="193"/>
    </row>
    <row r="16" spans="1:4" ht="47.25" customHeight="1" x14ac:dyDescent="0.3">
      <c r="A16" s="193"/>
      <c r="B16" s="193"/>
      <c r="C16" s="193"/>
      <c r="D16" s="193"/>
    </row>
    <row r="17" spans="1:7" ht="156.75" customHeight="1" x14ac:dyDescent="0.3">
      <c r="A17" s="193"/>
      <c r="B17" s="193"/>
      <c r="C17" s="193"/>
      <c r="D17" s="193"/>
    </row>
    <row r="18" spans="1:7" ht="14.25" customHeight="1" thickBot="1" x14ac:dyDescent="0.35"/>
    <row r="19" spans="1:7" ht="15" hidden="1" thickBot="1" x14ac:dyDescent="0.35">
      <c r="A19" s="2"/>
    </row>
    <row r="20" spans="1:7" ht="15" hidden="1" thickBot="1" x14ac:dyDescent="0.35"/>
    <row r="21" spans="1:7" x14ac:dyDescent="0.3">
      <c r="A21" s="10" t="s">
        <v>26</v>
      </c>
      <c r="B21" s="11"/>
      <c r="C21" s="8"/>
      <c r="D21" s="12"/>
      <c r="E21" s="234" t="s">
        <v>197</v>
      </c>
      <c r="F21" s="234"/>
    </row>
    <row r="22" spans="1:7" x14ac:dyDescent="0.3">
      <c r="A22" s="25" t="s">
        <v>52</v>
      </c>
      <c r="B22" s="25"/>
      <c r="C22" s="23"/>
      <c r="D22" s="23"/>
      <c r="E22" s="234"/>
      <c r="F22" s="234"/>
    </row>
    <row r="23" spans="1:7" x14ac:dyDescent="0.3">
      <c r="A23" s="186" t="s">
        <v>195</v>
      </c>
      <c r="B23" s="187"/>
      <c r="C23" s="113">
        <v>939981.1</v>
      </c>
      <c r="D23" s="69"/>
      <c r="E23" s="234"/>
      <c r="F23" s="234"/>
    </row>
    <row r="24" spans="1:7" x14ac:dyDescent="0.3">
      <c r="A24" s="5" t="s">
        <v>55</v>
      </c>
      <c r="B24" s="5"/>
      <c r="C24" s="113">
        <v>-148047.01999999999</v>
      </c>
      <c r="D24" s="69"/>
      <c r="E24" s="234"/>
      <c r="F24" s="234"/>
    </row>
    <row r="25" spans="1:7" x14ac:dyDescent="0.3">
      <c r="A25" s="5" t="s">
        <v>54</v>
      </c>
      <c r="B25" s="5"/>
      <c r="C25" s="113">
        <v>0.92</v>
      </c>
      <c r="D25" s="69"/>
      <c r="E25" s="234"/>
      <c r="F25" s="234"/>
      <c r="G25" s="125"/>
    </row>
    <row r="26" spans="1:7" x14ac:dyDescent="0.3">
      <c r="A26" s="43" t="s">
        <v>53</v>
      </c>
      <c r="B26" s="43"/>
      <c r="C26" s="95">
        <f>SUM(C23:C25)</f>
        <v>791935</v>
      </c>
      <c r="D26" s="43"/>
      <c r="E26" s="234"/>
      <c r="F26" s="234"/>
    </row>
    <row r="27" spans="1:7" x14ac:dyDescent="0.3">
      <c r="A27" s="186" t="s">
        <v>196</v>
      </c>
      <c r="B27" s="187"/>
      <c r="C27" s="113">
        <v>849606.52</v>
      </c>
      <c r="D27" s="69"/>
      <c r="E27" s="234"/>
      <c r="F27" s="234"/>
    </row>
    <row r="28" spans="1:7" x14ac:dyDescent="0.3">
      <c r="A28" s="5" t="s">
        <v>55</v>
      </c>
      <c r="B28" s="5"/>
      <c r="C28" s="113">
        <v>-210277.64</v>
      </c>
      <c r="D28" s="101"/>
      <c r="E28" s="234"/>
      <c r="F28" s="234"/>
    </row>
    <row r="29" spans="1:7" x14ac:dyDescent="0.3">
      <c r="A29" s="5" t="s">
        <v>54</v>
      </c>
      <c r="B29" s="5"/>
      <c r="C29" s="113">
        <v>0.12</v>
      </c>
      <c r="D29" s="101"/>
    </row>
    <row r="30" spans="1:7" x14ac:dyDescent="0.3">
      <c r="A30" s="43" t="s">
        <v>53</v>
      </c>
      <c r="B30" s="100"/>
      <c r="C30" s="44">
        <f>SUM(C27:C29)</f>
        <v>639329</v>
      </c>
      <c r="D30" s="70"/>
    </row>
    <row r="31" spans="1:7" x14ac:dyDescent="0.3">
      <c r="A31" s="5" t="s">
        <v>165</v>
      </c>
      <c r="B31" s="5"/>
      <c r="C31" s="128">
        <f>250000+140000</f>
        <v>390000</v>
      </c>
      <c r="D31" s="101"/>
    </row>
    <row r="32" spans="1:7" x14ac:dyDescent="0.3">
      <c r="A32" s="5"/>
      <c r="B32" s="5"/>
      <c r="C32" s="128"/>
      <c r="D32" s="101"/>
    </row>
    <row r="33" spans="1:7" x14ac:dyDescent="0.3">
      <c r="A33" s="43" t="s">
        <v>53</v>
      </c>
      <c r="B33" s="100"/>
      <c r="C33" s="44">
        <f>SUM(C31:C32)</f>
        <v>390000</v>
      </c>
      <c r="D33" s="70"/>
    </row>
    <row r="34" spans="1:7" ht="14.25" customHeight="1" thickBot="1" x14ac:dyDescent="0.35">
      <c r="A34" s="17" t="s">
        <v>0</v>
      </c>
      <c r="B34" s="17"/>
      <c r="C34" s="18"/>
      <c r="D34" s="71">
        <f>+C26+C33+C30</f>
        <v>1821264</v>
      </c>
      <c r="E34" s="13"/>
      <c r="F34" s="13"/>
    </row>
    <row r="35" spans="1:7" x14ac:dyDescent="0.3">
      <c r="A35" s="25" t="s">
        <v>38</v>
      </c>
      <c r="B35" s="25"/>
      <c r="C35" s="26"/>
      <c r="D35" s="72"/>
      <c r="F35" s="13"/>
    </row>
    <row r="36" spans="1:7" ht="21" customHeight="1" x14ac:dyDescent="0.3">
      <c r="A36" s="103" t="s">
        <v>172</v>
      </c>
      <c r="B36" s="96"/>
      <c r="C36" s="113"/>
      <c r="D36" s="111"/>
      <c r="G36" s="13"/>
    </row>
    <row r="37" spans="1:7" ht="21" customHeight="1" x14ac:dyDescent="0.3">
      <c r="A37" s="103" t="s">
        <v>170</v>
      </c>
      <c r="B37" s="96"/>
      <c r="C37" s="235">
        <v>90000</v>
      </c>
      <c r="D37" s="111" t="s">
        <v>198</v>
      </c>
      <c r="G37" s="13"/>
    </row>
    <row r="38" spans="1:7" ht="21" customHeight="1" x14ac:dyDescent="0.3">
      <c r="A38" s="103" t="s">
        <v>161</v>
      </c>
      <c r="B38" s="96"/>
      <c r="C38" s="235">
        <v>200000</v>
      </c>
      <c r="D38" s="111" t="s">
        <v>198</v>
      </c>
      <c r="G38" s="13"/>
    </row>
    <row r="39" spans="1:7" ht="15" thickBot="1" x14ac:dyDescent="0.35">
      <c r="A39" s="17" t="s">
        <v>34</v>
      </c>
      <c r="B39" s="17"/>
      <c r="C39" s="156"/>
      <c r="D39" s="71">
        <f>SUM(C36:C38)</f>
        <v>290000</v>
      </c>
    </row>
    <row r="40" spans="1:7" x14ac:dyDescent="0.3">
      <c r="A40" s="23" t="s">
        <v>49</v>
      </c>
      <c r="B40" s="24"/>
      <c r="C40" s="27"/>
      <c r="D40" s="49"/>
    </row>
    <row r="41" spans="1:7" s="32" customFormat="1" ht="29.25" customHeight="1" x14ac:dyDescent="0.3">
      <c r="A41" s="189" t="s">
        <v>132</v>
      </c>
      <c r="B41" s="190"/>
      <c r="C41" s="127">
        <v>111379</v>
      </c>
      <c r="D41" s="126" t="s">
        <v>167</v>
      </c>
    </row>
    <row r="42" spans="1:7" ht="15" thickBot="1" x14ac:dyDescent="0.35">
      <c r="A42" s="24" t="s">
        <v>1</v>
      </c>
      <c r="B42" s="24"/>
      <c r="C42" s="29"/>
      <c r="D42" s="73">
        <f>SUM(C41:C41)</f>
        <v>111379</v>
      </c>
    </row>
    <row r="43" spans="1:7" x14ac:dyDescent="0.3">
      <c r="A43" s="23" t="s">
        <v>35</v>
      </c>
      <c r="B43" s="115"/>
      <c r="C43" s="30"/>
      <c r="D43" s="74"/>
    </row>
    <row r="44" spans="1:7" x14ac:dyDescent="0.3">
      <c r="A44" s="69" t="s">
        <v>65</v>
      </c>
      <c r="B44" s="69"/>
      <c r="C44" s="131">
        <v>0</v>
      </c>
      <c r="D44" s="107"/>
      <c r="F44" s="104"/>
    </row>
    <row r="45" spans="1:7" ht="30" customHeight="1" x14ac:dyDescent="0.3">
      <c r="A45" s="189" t="s">
        <v>166</v>
      </c>
      <c r="B45" s="190"/>
      <c r="C45" s="131">
        <v>11596.99</v>
      </c>
      <c r="D45" s="107" t="s">
        <v>130</v>
      </c>
      <c r="F45" s="104"/>
    </row>
    <row r="46" spans="1:7" ht="20.25" customHeight="1" x14ac:dyDescent="0.3">
      <c r="A46" s="189" t="s">
        <v>131</v>
      </c>
      <c r="B46" s="190"/>
      <c r="C46" s="131">
        <v>11930.96</v>
      </c>
      <c r="D46" s="107" t="s">
        <v>130</v>
      </c>
      <c r="F46" s="104"/>
    </row>
    <row r="47" spans="1:7" x14ac:dyDescent="0.3">
      <c r="A47" s="69" t="s">
        <v>66</v>
      </c>
      <c r="B47" s="69" t="s">
        <v>171</v>
      </c>
      <c r="C47" s="236">
        <v>92127.95</v>
      </c>
      <c r="D47" s="110"/>
    </row>
    <row r="48" spans="1:7" x14ac:dyDescent="0.3">
      <c r="A48" s="69" t="s">
        <v>67</v>
      </c>
      <c r="B48" s="69" t="s">
        <v>171</v>
      </c>
      <c r="C48" s="236">
        <v>10236.44</v>
      </c>
      <c r="D48" s="110">
        <f>D47</f>
        <v>0</v>
      </c>
    </row>
    <row r="49" spans="1:6" x14ac:dyDescent="0.3">
      <c r="A49" s="69" t="s">
        <v>68</v>
      </c>
      <c r="B49" s="69" t="s">
        <v>171</v>
      </c>
      <c r="C49" s="236">
        <v>200516.68</v>
      </c>
      <c r="D49" s="108">
        <f>D47</f>
        <v>0</v>
      </c>
    </row>
    <row r="50" spans="1:6" ht="15" customHeight="1" thickBot="1" x14ac:dyDescent="0.35">
      <c r="A50" s="24" t="s">
        <v>2</v>
      </c>
      <c r="B50" s="115"/>
      <c r="C50" s="31"/>
      <c r="D50" s="73">
        <f>SUM(C44:C49)</f>
        <v>326409.02</v>
      </c>
    </row>
    <row r="51" spans="1:6" x14ac:dyDescent="0.3">
      <c r="A51" s="23" t="s">
        <v>37</v>
      </c>
      <c r="B51" s="115"/>
      <c r="C51" s="30"/>
      <c r="D51" s="74"/>
    </row>
    <row r="52" spans="1:6" ht="14.25" customHeight="1" x14ac:dyDescent="0.3">
      <c r="A52" s="69" t="s">
        <v>128</v>
      </c>
      <c r="B52" s="69"/>
      <c r="C52" s="236">
        <v>324333.89</v>
      </c>
      <c r="D52" s="107" t="s">
        <v>205</v>
      </c>
    </row>
    <row r="53" spans="1:6" ht="14.25" customHeight="1" x14ac:dyDescent="0.3">
      <c r="A53" s="69" t="s">
        <v>127</v>
      </c>
      <c r="B53" s="69"/>
      <c r="C53" s="236">
        <v>164200</v>
      </c>
      <c r="D53" s="107" t="s">
        <v>201</v>
      </c>
    </row>
    <row r="54" spans="1:6" ht="14.25" customHeight="1" x14ac:dyDescent="0.3">
      <c r="A54" s="69" t="s">
        <v>168</v>
      </c>
      <c r="B54" s="69"/>
      <c r="C54" s="236">
        <v>1405375.2</v>
      </c>
      <c r="D54" s="107" t="s">
        <v>202</v>
      </c>
    </row>
    <row r="55" spans="1:6" ht="14.25" customHeight="1" x14ac:dyDescent="0.3">
      <c r="A55" s="69" t="s">
        <v>129</v>
      </c>
      <c r="B55" s="69"/>
      <c r="C55" s="116">
        <v>35276.449999999997</v>
      </c>
      <c r="D55" s="107" t="s">
        <v>169</v>
      </c>
    </row>
    <row r="56" spans="1:6" ht="14.25" customHeight="1" x14ac:dyDescent="0.3">
      <c r="A56" s="69" t="s">
        <v>164</v>
      </c>
      <c r="B56" s="132"/>
      <c r="C56" s="236">
        <v>78534</v>
      </c>
      <c r="D56" s="107" t="s">
        <v>200</v>
      </c>
    </row>
    <row r="57" spans="1:6" ht="15" thickBot="1" x14ac:dyDescent="0.35">
      <c r="A57" s="24" t="s">
        <v>3</v>
      </c>
      <c r="B57" s="24"/>
      <c r="C57" s="29"/>
      <c r="D57" s="73">
        <f>SUM(C52:C56)</f>
        <v>2007719.5399999998</v>
      </c>
    </row>
    <row r="58" spans="1:6" ht="15" thickBot="1" x14ac:dyDescent="0.35">
      <c r="A58" s="23" t="s">
        <v>36</v>
      </c>
      <c r="B58" s="24"/>
      <c r="C58" s="29"/>
      <c r="D58" s="76"/>
    </row>
    <row r="59" spans="1:6" ht="15.75" customHeight="1" x14ac:dyDescent="0.3">
      <c r="A59" s="191" t="s">
        <v>160</v>
      </c>
      <c r="B59" s="192"/>
      <c r="C59" s="236">
        <v>202000</v>
      </c>
      <c r="D59" s="107" t="s">
        <v>202</v>
      </c>
    </row>
    <row r="60" spans="1:6" ht="42" customHeight="1" x14ac:dyDescent="0.3">
      <c r="A60" s="191" t="s">
        <v>204</v>
      </c>
      <c r="B60" s="192"/>
      <c r="C60" s="236">
        <v>229900</v>
      </c>
      <c r="D60" s="107" t="s">
        <v>202</v>
      </c>
    </row>
    <row r="61" spans="1:6" ht="27" customHeight="1" x14ac:dyDescent="0.3">
      <c r="A61" s="191" t="s">
        <v>173</v>
      </c>
      <c r="B61" s="192"/>
      <c r="C61" s="116">
        <v>90000</v>
      </c>
      <c r="D61" s="162" t="s">
        <v>174</v>
      </c>
    </row>
    <row r="62" spans="1:6" ht="35.25" customHeight="1" x14ac:dyDescent="0.3">
      <c r="A62" s="189" t="s">
        <v>206</v>
      </c>
      <c r="B62" s="190"/>
      <c r="C62" s="236">
        <v>35000</v>
      </c>
      <c r="D62" s="109" t="s">
        <v>158</v>
      </c>
      <c r="E62" s="116"/>
      <c r="F62" s="37"/>
    </row>
    <row r="63" spans="1:6" ht="30.75" customHeight="1" x14ac:dyDescent="0.3">
      <c r="A63" s="237"/>
      <c r="B63" s="238"/>
      <c r="C63" s="236">
        <v>9395</v>
      </c>
      <c r="D63" s="109" t="s">
        <v>159</v>
      </c>
      <c r="E63" s="116"/>
      <c r="F63" s="37"/>
    </row>
    <row r="64" spans="1:6" ht="30.6" customHeight="1" x14ac:dyDescent="0.3">
      <c r="A64" s="191" t="s">
        <v>199</v>
      </c>
      <c r="B64" s="192"/>
      <c r="C64" s="236">
        <v>18300</v>
      </c>
      <c r="D64" s="109" t="s">
        <v>162</v>
      </c>
      <c r="E64" s="157"/>
      <c r="F64" s="37"/>
    </row>
    <row r="65" spans="1:6" ht="30.6" customHeight="1" x14ac:dyDescent="0.3">
      <c r="A65" s="191" t="s">
        <v>203</v>
      </c>
      <c r="B65" s="192"/>
      <c r="C65" s="236">
        <v>225200</v>
      </c>
      <c r="D65" s="107" t="s">
        <v>202</v>
      </c>
      <c r="E65" s="157"/>
      <c r="F65" s="37"/>
    </row>
    <row r="66" spans="1:6" ht="14.4" customHeight="1" x14ac:dyDescent="0.3">
      <c r="A66" s="191" t="s">
        <v>163</v>
      </c>
      <c r="B66" s="192"/>
      <c r="C66" s="116">
        <v>46200</v>
      </c>
      <c r="D66" s="109" t="s">
        <v>162</v>
      </c>
      <c r="E66" s="37"/>
      <c r="F66" s="37"/>
    </row>
    <row r="67" spans="1:6" ht="15" thickBot="1" x14ac:dyDescent="0.35">
      <c r="A67" s="24" t="s">
        <v>11</v>
      </c>
      <c r="B67" s="23"/>
      <c r="C67" s="23"/>
      <c r="D67" s="79">
        <f>SUM(C59:C66)</f>
        <v>855995</v>
      </c>
    </row>
    <row r="68" spans="1:6" ht="15" thickBot="1" x14ac:dyDescent="0.35">
      <c r="A68" s="23" t="s">
        <v>29</v>
      </c>
      <c r="B68" s="117"/>
      <c r="C68" s="18"/>
      <c r="D68" s="76"/>
    </row>
    <row r="69" spans="1:6" ht="14.25" customHeight="1" x14ac:dyDescent="0.3">
      <c r="A69" s="189" t="s">
        <v>74</v>
      </c>
      <c r="B69" s="190"/>
      <c r="C69" s="116">
        <v>60000</v>
      </c>
      <c r="D69" s="80"/>
    </row>
    <row r="70" spans="1:6" x14ac:dyDescent="0.3">
      <c r="A70" s="69" t="s">
        <v>72</v>
      </c>
      <c r="B70" s="69"/>
      <c r="C70" s="116">
        <f>129893.2</f>
        <v>129893.2</v>
      </c>
      <c r="D70" s="78"/>
    </row>
    <row r="71" spans="1:6" ht="15" thickBot="1" x14ac:dyDescent="0.35">
      <c r="A71" s="42" t="s">
        <v>34</v>
      </c>
      <c r="B71" s="42"/>
      <c r="C71" s="81"/>
      <c r="D71" s="73">
        <f>SUM(C69:C70)</f>
        <v>189893.2</v>
      </c>
    </row>
    <row r="72" spans="1:6" ht="15" thickBot="1" x14ac:dyDescent="0.35">
      <c r="A72" s="5"/>
      <c r="B72" s="5"/>
      <c r="C72" s="69"/>
      <c r="D72" s="82"/>
    </row>
    <row r="73" spans="1:6" ht="22.5" customHeight="1" thickBot="1" x14ac:dyDescent="0.35">
      <c r="A73" s="194" t="s">
        <v>69</v>
      </c>
      <c r="B73" s="195"/>
      <c r="C73" s="196"/>
      <c r="D73" s="83"/>
    </row>
    <row r="74" spans="1:6" ht="15" thickBot="1" x14ac:dyDescent="0.35">
      <c r="A74" s="1"/>
      <c r="C74" s="84"/>
      <c r="D74" s="85"/>
      <c r="E74" s="37"/>
    </row>
    <row r="75" spans="1:6" ht="15" thickBot="1" x14ac:dyDescent="0.35">
      <c r="A75" s="3" t="s">
        <v>30</v>
      </c>
      <c r="B75" s="9"/>
      <c r="C75" s="86"/>
      <c r="D75" s="87">
        <f>(SUM(D23:D73))</f>
        <v>5602659.7599999998</v>
      </c>
      <c r="E75" s="37"/>
      <c r="F75" s="37"/>
    </row>
    <row r="76" spans="1:6" x14ac:dyDescent="0.3">
      <c r="C76" s="84"/>
      <c r="D76" s="84"/>
      <c r="F76" s="105"/>
    </row>
    <row r="77" spans="1:6" ht="15" thickBot="1" x14ac:dyDescent="0.35">
      <c r="C77" s="84"/>
      <c r="D77" s="84"/>
    </row>
    <row r="78" spans="1:6" x14ac:dyDescent="0.3">
      <c r="A78" s="10" t="s">
        <v>39</v>
      </c>
      <c r="B78" s="11"/>
      <c r="C78" s="88"/>
      <c r="D78" s="89"/>
    </row>
    <row r="79" spans="1:6" x14ac:dyDescent="0.3">
      <c r="A79" s="186"/>
      <c r="B79" s="187"/>
      <c r="C79" s="77"/>
      <c r="D79" s="75"/>
    </row>
    <row r="80" spans="1:6" x14ac:dyDescent="0.3">
      <c r="A80" s="186"/>
      <c r="B80" s="187"/>
      <c r="C80" s="77"/>
      <c r="D80" s="75"/>
    </row>
    <row r="81" spans="1:4" x14ac:dyDescent="0.3">
      <c r="A81" s="92"/>
      <c r="B81" s="93"/>
      <c r="C81" s="77"/>
      <c r="D81" s="75"/>
    </row>
    <row r="82" spans="1:4" x14ac:dyDescent="0.3">
      <c r="A82" s="40"/>
      <c r="B82" s="39"/>
      <c r="C82" s="45"/>
      <c r="D82" s="45">
        <f>SUM(C79:C81)</f>
        <v>0</v>
      </c>
    </row>
    <row r="83" spans="1:4" ht="15" customHeight="1" x14ac:dyDescent="0.3"/>
    <row r="84" spans="1:4" hidden="1" x14ac:dyDescent="0.3"/>
    <row r="85" spans="1:4" x14ac:dyDescent="0.3">
      <c r="A85" s="19" t="s">
        <v>40</v>
      </c>
      <c r="B85" s="19"/>
      <c r="C85" s="20"/>
      <c r="D85" s="112">
        <v>0</v>
      </c>
    </row>
    <row r="86" spans="1:4" ht="15" thickBot="1" x14ac:dyDescent="0.35"/>
    <row r="87" spans="1:4" ht="15" thickBot="1" x14ac:dyDescent="0.35">
      <c r="A87" s="3" t="s">
        <v>41</v>
      </c>
      <c r="B87" s="9"/>
      <c r="C87" s="4"/>
      <c r="D87" s="50">
        <f>D82+D85</f>
        <v>0</v>
      </c>
    </row>
    <row r="88" spans="1:4" ht="15" thickBot="1" x14ac:dyDescent="0.35"/>
    <row r="89" spans="1:4" ht="15" thickBot="1" x14ac:dyDescent="0.35">
      <c r="A89" s="67" t="s">
        <v>31</v>
      </c>
      <c r="B89" s="68">
        <f>D75</f>
        <v>5602659.7599999998</v>
      </c>
      <c r="C89" s="37"/>
    </row>
    <row r="90" spans="1:4" ht="15" thickBot="1" x14ac:dyDescent="0.35">
      <c r="A90" s="67" t="s">
        <v>32</v>
      </c>
      <c r="B90" s="68">
        <f>D75-D73</f>
        <v>5602659.7599999998</v>
      </c>
    </row>
    <row r="91" spans="1:4" ht="15" thickBot="1" x14ac:dyDescent="0.35">
      <c r="A91" s="67" t="s">
        <v>42</v>
      </c>
      <c r="B91" s="68">
        <f>D87-D85</f>
        <v>0</v>
      </c>
    </row>
    <row r="92" spans="1:4" ht="15" thickBot="1" x14ac:dyDescent="0.35">
      <c r="A92" s="67" t="s">
        <v>59</v>
      </c>
      <c r="B92" s="68">
        <f>D87</f>
        <v>0</v>
      </c>
    </row>
    <row r="96" spans="1:4" x14ac:dyDescent="0.3">
      <c r="A96" s="14" t="s">
        <v>51</v>
      </c>
      <c r="B96" s="34"/>
    </row>
    <row r="97" spans="1:4" ht="25.5" customHeight="1" x14ac:dyDescent="0.3">
      <c r="A97" s="22" t="s">
        <v>33</v>
      </c>
      <c r="B97" s="94">
        <v>2090238.5600000024</v>
      </c>
    </row>
    <row r="98" spans="1:4" ht="14.25" customHeight="1" x14ac:dyDescent="0.3">
      <c r="A98" s="15" t="s">
        <v>62</v>
      </c>
      <c r="B98" s="35">
        <f>PRORRATEO!G66</f>
        <v>4171978.8499999996</v>
      </c>
    </row>
    <row r="99" spans="1:4" ht="18.75" customHeight="1" x14ac:dyDescent="0.3">
      <c r="A99" s="133" t="s">
        <v>61</v>
      </c>
      <c r="B99" s="78">
        <f>B115</f>
        <v>600000</v>
      </c>
    </row>
    <row r="100" spans="1:4" ht="18.75" customHeight="1" x14ac:dyDescent="0.3">
      <c r="A100" s="133" t="s">
        <v>175</v>
      </c>
      <c r="B100" s="106">
        <v>-50000</v>
      </c>
    </row>
    <row r="101" spans="1:4" ht="18.75" customHeight="1" x14ac:dyDescent="0.3">
      <c r="A101" s="133" t="s">
        <v>175</v>
      </c>
      <c r="B101" s="106">
        <v>-46400</v>
      </c>
    </row>
    <row r="102" spans="1:4" ht="16.5" customHeight="1" x14ac:dyDescent="0.3">
      <c r="A102" s="16" t="s">
        <v>73</v>
      </c>
      <c r="B102" s="106">
        <v>0</v>
      </c>
    </row>
    <row r="103" spans="1:4" x14ac:dyDescent="0.3">
      <c r="A103" s="33" t="s">
        <v>43</v>
      </c>
      <c r="B103" s="106">
        <f>-B90</f>
        <v>-5602659.7599999998</v>
      </c>
    </row>
    <row r="104" spans="1:4" x14ac:dyDescent="0.3">
      <c r="A104" s="16" t="s">
        <v>44</v>
      </c>
      <c r="B104" s="78">
        <f>-(B91)</f>
        <v>0</v>
      </c>
    </row>
    <row r="105" spans="1:4" x14ac:dyDescent="0.3">
      <c r="A105" s="21" t="s">
        <v>11</v>
      </c>
      <c r="B105" s="94">
        <f>SUM(B97:B104)</f>
        <v>1163157.6500000022</v>
      </c>
      <c r="D105" s="129"/>
    </row>
    <row r="106" spans="1:4" ht="15" thickBot="1" x14ac:dyDescent="0.35">
      <c r="A106" s="2"/>
      <c r="B106" s="134"/>
      <c r="D106" s="129"/>
    </row>
    <row r="107" spans="1:4" ht="15" thickBot="1" x14ac:dyDescent="0.35">
      <c r="A107" s="146" t="s">
        <v>178</v>
      </c>
      <c r="B107" s="147">
        <v>1490504.61</v>
      </c>
      <c r="D107" s="129"/>
    </row>
    <row r="108" spans="1:4" x14ac:dyDescent="0.3">
      <c r="A108" s="2"/>
      <c r="B108" s="134"/>
      <c r="D108" s="129"/>
    </row>
    <row r="109" spans="1:4" x14ac:dyDescent="0.3">
      <c r="A109" s="2"/>
      <c r="B109" s="134"/>
      <c r="D109" s="129"/>
    </row>
    <row r="110" spans="1:4" x14ac:dyDescent="0.3">
      <c r="A110" s="2"/>
      <c r="B110" s="134"/>
      <c r="D110" s="129"/>
    </row>
    <row r="111" spans="1:4" x14ac:dyDescent="0.3">
      <c r="D111" s="130"/>
    </row>
    <row r="112" spans="1:4" x14ac:dyDescent="0.3">
      <c r="A112" s="185" t="s">
        <v>50</v>
      </c>
      <c r="B112" s="185"/>
    </row>
    <row r="113" spans="1:12" ht="27.75" customHeight="1" x14ac:dyDescent="0.3">
      <c r="A113" s="185"/>
      <c r="B113" s="185"/>
    </row>
    <row r="114" spans="1:12" ht="32.25" customHeight="1" x14ac:dyDescent="0.3">
      <c r="A114" s="90" t="s">
        <v>177</v>
      </c>
      <c r="B114" s="28">
        <v>600000</v>
      </c>
    </row>
    <row r="115" spans="1:12" x14ac:dyDescent="0.3">
      <c r="A115" s="38" t="s">
        <v>11</v>
      </c>
      <c r="B115" s="91">
        <f>SUM(B114:B114)</f>
        <v>600000</v>
      </c>
    </row>
    <row r="116" spans="1:12" ht="34.5" customHeight="1" x14ac:dyDescent="0.3">
      <c r="L116" s="7"/>
    </row>
  </sheetData>
  <mergeCells count="21">
    <mergeCell ref="A4:B7"/>
    <mergeCell ref="A14:D17"/>
    <mergeCell ref="A73:C73"/>
    <mergeCell ref="A62:B62"/>
    <mergeCell ref="A59:B59"/>
    <mergeCell ref="A63:B63"/>
    <mergeCell ref="A66:B66"/>
    <mergeCell ref="A69:B69"/>
    <mergeCell ref="A45:B45"/>
    <mergeCell ref="A46:B46"/>
    <mergeCell ref="A23:B23"/>
    <mergeCell ref="A27:B27"/>
    <mergeCell ref="A60:B60"/>
    <mergeCell ref="A64:B64"/>
    <mergeCell ref="A112:B113"/>
    <mergeCell ref="A80:B80"/>
    <mergeCell ref="A79:B79"/>
    <mergeCell ref="B9:B11"/>
    <mergeCell ref="A41:B41"/>
    <mergeCell ref="A65:B65"/>
    <mergeCell ref="A61:B61"/>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4"/>
  <sheetViews>
    <sheetView topLeftCell="B11" zoomScaleNormal="100" workbookViewId="0">
      <selection activeCell="B21" sqref="B21:D21"/>
    </sheetView>
  </sheetViews>
  <sheetFormatPr baseColWidth="10" defaultColWidth="10.88671875" defaultRowHeight="14.4" x14ac:dyDescent="0.3"/>
  <cols>
    <col min="1" max="1" width="5" hidden="1" customWidth="1"/>
    <col min="2" max="2" width="5.5546875" customWidth="1"/>
    <col min="3" max="3" width="5.44140625" customWidth="1"/>
    <col min="4" max="4" width="29" customWidth="1"/>
    <col min="5" max="5" width="5.109375" customWidth="1"/>
    <col min="6" max="6" width="14.109375" customWidth="1"/>
    <col min="7" max="7" width="14" customWidth="1"/>
    <col min="8" max="8" width="7.5546875" hidden="1" customWidth="1"/>
    <col min="9" max="9" width="13.6640625" customWidth="1"/>
    <col min="10" max="10" width="11.109375" customWidth="1"/>
    <col min="11" max="11" width="14.44140625" customWidth="1"/>
    <col min="12" max="12" width="12.44140625" customWidth="1"/>
    <col min="13" max="13" width="10.44140625" bestFit="1" customWidth="1"/>
    <col min="14" max="14" width="15.44140625" customWidth="1"/>
    <col min="15" max="15" width="14.109375" customWidth="1"/>
    <col min="16" max="16" width="7.44140625" bestFit="1" customWidth="1"/>
    <col min="17" max="17" width="12" bestFit="1" customWidth="1"/>
    <col min="18" max="18" width="13" bestFit="1" customWidth="1"/>
  </cols>
  <sheetData>
    <row r="1" spans="1:18" ht="27" customHeight="1" x14ac:dyDescent="0.3">
      <c r="A1" s="6"/>
      <c r="B1" s="203" t="s">
        <v>153</v>
      </c>
      <c r="C1" s="204"/>
      <c r="D1" s="204"/>
      <c r="E1" s="204"/>
      <c r="F1" s="204"/>
      <c r="G1" s="204"/>
      <c r="H1" s="204"/>
      <c r="I1" s="204"/>
      <c r="J1" s="205"/>
      <c r="K1" s="142" t="s">
        <v>4</v>
      </c>
      <c r="L1" s="143"/>
      <c r="M1" s="143"/>
      <c r="N1" s="139">
        <f>Q1</f>
        <v>6780039.5600000005</v>
      </c>
      <c r="O1" s="140"/>
      <c r="P1" s="13"/>
      <c r="Q1">
        <v>6780039.5600000005</v>
      </c>
    </row>
    <row r="2" spans="1:18" ht="29.25" customHeight="1" thickBot="1" x14ac:dyDescent="0.35">
      <c r="A2" s="6"/>
      <c r="B2" s="206"/>
      <c r="C2" s="207"/>
      <c r="D2" s="207"/>
      <c r="E2" s="207"/>
      <c r="F2" s="207"/>
      <c r="G2" s="207"/>
      <c r="H2" s="207"/>
      <c r="I2" s="207"/>
      <c r="J2" s="208"/>
      <c r="K2" s="144" t="s">
        <v>63</v>
      </c>
      <c r="L2" s="145"/>
      <c r="M2" s="145"/>
      <c r="N2" s="114">
        <v>0</v>
      </c>
      <c r="O2" s="141"/>
    </row>
    <row r="3" spans="1:18" ht="137.25" customHeight="1" thickBot="1" x14ac:dyDescent="0.35">
      <c r="A3" s="6"/>
      <c r="B3" s="220" t="s">
        <v>150</v>
      </c>
      <c r="C3" s="221"/>
      <c r="D3" s="221"/>
      <c r="E3" s="221"/>
      <c r="F3" s="221"/>
      <c r="G3" s="221"/>
      <c r="H3" s="221"/>
      <c r="I3" s="221"/>
      <c r="J3" s="221"/>
      <c r="K3" s="221"/>
      <c r="L3" s="221"/>
      <c r="M3" s="221"/>
      <c r="N3" s="221"/>
      <c r="O3" s="222"/>
    </row>
    <row r="4" spans="1:18" x14ac:dyDescent="0.3">
      <c r="A4" s="197" t="s">
        <v>5</v>
      </c>
      <c r="B4" s="199" t="s">
        <v>6</v>
      </c>
      <c r="C4" s="201" t="s">
        <v>7</v>
      </c>
      <c r="D4" s="201" t="s">
        <v>8</v>
      </c>
      <c r="E4" s="201" t="s">
        <v>28</v>
      </c>
      <c r="F4" s="201" t="s">
        <v>60</v>
      </c>
      <c r="G4" s="201" t="s">
        <v>9</v>
      </c>
      <c r="H4" s="201" t="s">
        <v>47</v>
      </c>
      <c r="I4" s="215" t="s">
        <v>48</v>
      </c>
      <c r="J4" s="213" t="s">
        <v>46</v>
      </c>
      <c r="K4" s="213" t="s">
        <v>10</v>
      </c>
      <c r="L4" s="213" t="s">
        <v>45</v>
      </c>
      <c r="M4" s="218" t="s">
        <v>58</v>
      </c>
      <c r="N4" s="47" t="s">
        <v>57</v>
      </c>
      <c r="O4" s="209" t="s">
        <v>56</v>
      </c>
      <c r="R4" s="37"/>
    </row>
    <row r="5" spans="1:18" ht="15.75" customHeight="1" x14ac:dyDescent="0.3">
      <c r="A5" s="198"/>
      <c r="B5" s="200"/>
      <c r="C5" s="202"/>
      <c r="D5" s="202"/>
      <c r="E5" s="202"/>
      <c r="F5" s="202"/>
      <c r="G5" s="202"/>
      <c r="H5" s="212"/>
      <c r="I5" s="216"/>
      <c r="J5" s="214"/>
      <c r="K5" s="217"/>
      <c r="L5" s="214"/>
      <c r="M5" s="219"/>
      <c r="N5" s="46" t="str">
        <f>RESUMEN!B9</f>
        <v>VTO 17/07</v>
      </c>
      <c r="O5" s="210"/>
    </row>
    <row r="6" spans="1:18" ht="17.100000000000001" customHeight="1" x14ac:dyDescent="0.3">
      <c r="A6" s="5" t="s">
        <v>12</v>
      </c>
      <c r="B6" s="48">
        <v>0</v>
      </c>
      <c r="C6" s="48" t="s">
        <v>103</v>
      </c>
      <c r="D6" s="48" t="s">
        <v>75</v>
      </c>
      <c r="E6" s="51">
        <v>1.58</v>
      </c>
      <c r="F6" s="52">
        <v>1434450</v>
      </c>
      <c r="G6" s="53">
        <v>0</v>
      </c>
      <c r="H6" s="54"/>
      <c r="I6" s="55">
        <f>F6-G6</f>
        <v>1434450</v>
      </c>
      <c r="J6" s="55">
        <f>IF(I6&gt;0,I6*2.95%,0)</f>
        <v>42316.275000000001</v>
      </c>
      <c r="K6" s="56">
        <f>N$2*E6%</f>
        <v>0</v>
      </c>
      <c r="L6" s="56">
        <f>N$1*E6%</f>
        <v>107124.62504800002</v>
      </c>
      <c r="M6" s="57">
        <v>0</v>
      </c>
      <c r="N6" s="58">
        <f t="shared" ref="N6:N64" si="0">ROUND(SUM(I6:M6),0) + P6</f>
        <v>1583891</v>
      </c>
      <c r="O6" s="59">
        <f t="shared" ref="O6:O64" si="1">ROUND(N6*3%,0) + N6</f>
        <v>1631408</v>
      </c>
      <c r="P6" s="37">
        <v>0</v>
      </c>
    </row>
    <row r="7" spans="1:18" ht="17.100000000000001" customHeight="1" x14ac:dyDescent="0.3">
      <c r="A7" s="5"/>
      <c r="B7" s="48">
        <v>1</v>
      </c>
      <c r="C7" s="48" t="s">
        <v>104</v>
      </c>
      <c r="D7" s="48" t="s">
        <v>76</v>
      </c>
      <c r="E7" s="51">
        <v>2.91</v>
      </c>
      <c r="F7" s="52">
        <v>257595.01</v>
      </c>
      <c r="G7" s="53">
        <v>0</v>
      </c>
      <c r="H7" s="54"/>
      <c r="I7" s="55">
        <f>F7-G7</f>
        <v>257595.01</v>
      </c>
      <c r="J7" s="55">
        <f>IF(I7&gt;0,I7*2.95%,0)</f>
        <v>7599.0527950000005</v>
      </c>
      <c r="K7" s="56">
        <f>N$2*E7%</f>
        <v>0</v>
      </c>
      <c r="L7" s="56">
        <f>N$1*E7%</f>
        <v>197299.15119600002</v>
      </c>
      <c r="M7" s="57">
        <v>0</v>
      </c>
      <c r="N7" s="58">
        <f t="shared" si="0"/>
        <v>462493.01</v>
      </c>
      <c r="O7" s="59">
        <f t="shared" si="1"/>
        <v>476368.01</v>
      </c>
      <c r="P7" s="37">
        <f>P5+0.01</f>
        <v>0.01</v>
      </c>
    </row>
    <row r="8" spans="1:18" ht="17.100000000000001" customHeight="1" x14ac:dyDescent="0.3">
      <c r="A8" s="5" t="s">
        <v>13</v>
      </c>
      <c r="B8" s="118">
        <f>B7+1</f>
        <v>2</v>
      </c>
      <c r="C8" s="118" t="s">
        <v>105</v>
      </c>
      <c r="D8" s="118" t="s">
        <v>77</v>
      </c>
      <c r="E8" s="119">
        <v>1.94</v>
      </c>
      <c r="F8" s="53">
        <v>1102261.02</v>
      </c>
      <c r="G8" s="53"/>
      <c r="H8" s="54"/>
      <c r="I8" s="120">
        <f t="shared" ref="I8:I64" si="2">F8-G8</f>
        <v>1102261.02</v>
      </c>
      <c r="J8" s="120">
        <f t="shared" ref="J8:J64" si="3">IF(I8&gt;0,I8*2.95%,0)</f>
        <v>32516.700090000002</v>
      </c>
      <c r="K8" s="121">
        <f t="shared" ref="K8:K64" si="4">N$2*E8%</f>
        <v>0</v>
      </c>
      <c r="L8" s="121">
        <f t="shared" ref="L8:L64" si="5">N$1*E8%</f>
        <v>131532.767464</v>
      </c>
      <c r="M8" s="122">
        <v>0</v>
      </c>
      <c r="N8" s="123">
        <f t="shared" si="0"/>
        <v>1266310.02</v>
      </c>
      <c r="O8" s="124">
        <f t="shared" si="1"/>
        <v>1304299.02</v>
      </c>
      <c r="P8" s="37">
        <f>P7+0.01</f>
        <v>0.02</v>
      </c>
      <c r="Q8" s="37"/>
    </row>
    <row r="9" spans="1:18" ht="17.25" customHeight="1" x14ac:dyDescent="0.3">
      <c r="A9" s="5" t="s">
        <v>13</v>
      </c>
      <c r="B9" s="118">
        <f t="shared" ref="B9:B44" si="6">B8+1</f>
        <v>3</v>
      </c>
      <c r="C9" s="118" t="s">
        <v>106</v>
      </c>
      <c r="D9" s="135" t="s">
        <v>78</v>
      </c>
      <c r="E9" s="119">
        <v>1.78</v>
      </c>
      <c r="F9" s="53">
        <v>91584.03</v>
      </c>
      <c r="G9" s="53">
        <v>94332.03</v>
      </c>
      <c r="H9" s="54"/>
      <c r="I9" s="120">
        <f t="shared" si="2"/>
        <v>-2748</v>
      </c>
      <c r="J9" s="120">
        <f t="shared" si="3"/>
        <v>0</v>
      </c>
      <c r="K9" s="121">
        <f t="shared" si="4"/>
        <v>0</v>
      </c>
      <c r="L9" s="121">
        <f t="shared" si="5"/>
        <v>120684.70416800001</v>
      </c>
      <c r="M9" s="122">
        <v>0</v>
      </c>
      <c r="N9" s="123">
        <f t="shared" si="0"/>
        <v>117937.03</v>
      </c>
      <c r="O9" s="124">
        <f t="shared" si="1"/>
        <v>121475.03</v>
      </c>
      <c r="P9" s="37">
        <f>P8+0.01</f>
        <v>0.03</v>
      </c>
    </row>
    <row r="10" spans="1:18" ht="17.100000000000001" customHeight="1" x14ac:dyDescent="0.3">
      <c r="A10" s="5" t="s">
        <v>14</v>
      </c>
      <c r="B10" s="118">
        <f t="shared" si="6"/>
        <v>4</v>
      </c>
      <c r="C10" s="118" t="s">
        <v>107</v>
      </c>
      <c r="D10" s="118" t="s">
        <v>79</v>
      </c>
      <c r="E10" s="51">
        <v>1.62</v>
      </c>
      <c r="F10" s="52">
        <v>85853.07</v>
      </c>
      <c r="G10" s="53">
        <f>F10</f>
        <v>85853.07</v>
      </c>
      <c r="H10" s="54"/>
      <c r="I10" s="55">
        <f t="shared" si="2"/>
        <v>0</v>
      </c>
      <c r="J10" s="55">
        <f t="shared" si="3"/>
        <v>0</v>
      </c>
      <c r="K10" s="56">
        <f t="shared" si="4"/>
        <v>0</v>
      </c>
      <c r="L10" s="56">
        <f t="shared" si="5"/>
        <v>109836.64087200003</v>
      </c>
      <c r="M10" s="57">
        <v>0</v>
      </c>
      <c r="N10" s="58">
        <f t="shared" si="0"/>
        <v>109837.04</v>
      </c>
      <c r="O10" s="59">
        <f t="shared" si="1"/>
        <v>113132.04</v>
      </c>
      <c r="P10" s="37">
        <f t="shared" ref="P10:P64" si="7">P9+0.01</f>
        <v>0.04</v>
      </c>
      <c r="Q10" s="48" t="s">
        <v>82</v>
      </c>
      <c r="R10" s="37"/>
    </row>
    <row r="11" spans="1:18" ht="17.100000000000001" customHeight="1" x14ac:dyDescent="0.3">
      <c r="A11" s="5" t="s">
        <v>14</v>
      </c>
      <c r="B11" s="118">
        <f t="shared" si="6"/>
        <v>5</v>
      </c>
      <c r="C11" s="118" t="s">
        <v>108</v>
      </c>
      <c r="D11" s="118" t="s">
        <v>80</v>
      </c>
      <c r="E11" s="51">
        <v>1.94</v>
      </c>
      <c r="F11" s="52">
        <v>771319.05</v>
      </c>
      <c r="G11" s="53">
        <v>0</v>
      </c>
      <c r="H11" s="54"/>
      <c r="I11" s="55">
        <f t="shared" si="2"/>
        <v>771319.05</v>
      </c>
      <c r="J11" s="55">
        <f t="shared" si="3"/>
        <v>22753.911975000003</v>
      </c>
      <c r="K11" s="56">
        <f t="shared" si="4"/>
        <v>0</v>
      </c>
      <c r="L11" s="56">
        <f t="shared" si="5"/>
        <v>131532.767464</v>
      </c>
      <c r="M11" s="57">
        <v>0</v>
      </c>
      <c r="N11" s="58">
        <f t="shared" si="0"/>
        <v>925606.05</v>
      </c>
      <c r="O11" s="59">
        <f t="shared" si="1"/>
        <v>953374.05</v>
      </c>
      <c r="P11" s="37">
        <f t="shared" si="7"/>
        <v>0.05</v>
      </c>
      <c r="R11" s="37"/>
    </row>
    <row r="12" spans="1:18" ht="17.100000000000001" customHeight="1" x14ac:dyDescent="0.3">
      <c r="A12" s="5"/>
      <c r="B12" s="118">
        <f t="shared" si="6"/>
        <v>6</v>
      </c>
      <c r="C12" s="118" t="s">
        <v>109</v>
      </c>
      <c r="D12" s="118" t="s">
        <v>81</v>
      </c>
      <c r="E12" s="51">
        <v>1.78</v>
      </c>
      <c r="F12" s="52">
        <v>94332.06</v>
      </c>
      <c r="G12" s="53">
        <f>F12</f>
        <v>94332.06</v>
      </c>
      <c r="H12" s="54"/>
      <c r="I12" s="55">
        <f t="shared" si="2"/>
        <v>0</v>
      </c>
      <c r="J12" s="55">
        <f t="shared" si="3"/>
        <v>0</v>
      </c>
      <c r="K12" s="56">
        <f t="shared" si="4"/>
        <v>0</v>
      </c>
      <c r="L12" s="56">
        <f t="shared" si="5"/>
        <v>120684.70416800001</v>
      </c>
      <c r="M12" s="57">
        <v>0</v>
      </c>
      <c r="N12" s="58">
        <f t="shared" si="0"/>
        <v>120685.06</v>
      </c>
      <c r="O12" s="59">
        <f t="shared" si="1"/>
        <v>124306.06</v>
      </c>
      <c r="P12" s="37">
        <f t="shared" si="7"/>
        <v>6.0000000000000005E-2</v>
      </c>
      <c r="R12" s="37"/>
    </row>
    <row r="13" spans="1:18" ht="17.100000000000001" customHeight="1" x14ac:dyDescent="0.3">
      <c r="A13" s="5"/>
      <c r="B13" s="118">
        <f t="shared" si="6"/>
        <v>7</v>
      </c>
      <c r="C13" s="118" t="s">
        <v>110</v>
      </c>
      <c r="D13" s="118" t="s">
        <v>82</v>
      </c>
      <c r="E13" s="51">
        <v>1.62</v>
      </c>
      <c r="F13" s="52">
        <v>85853.07</v>
      </c>
      <c r="G13" s="53">
        <f>F13</f>
        <v>85853.07</v>
      </c>
      <c r="H13" s="54"/>
      <c r="I13" s="55">
        <f t="shared" si="2"/>
        <v>0</v>
      </c>
      <c r="J13" s="55">
        <f t="shared" si="3"/>
        <v>0</v>
      </c>
      <c r="K13" s="56">
        <f t="shared" si="4"/>
        <v>0</v>
      </c>
      <c r="L13" s="56">
        <f t="shared" si="5"/>
        <v>109836.64087200003</v>
      </c>
      <c r="M13" s="57">
        <v>0</v>
      </c>
      <c r="N13" s="58">
        <f t="shared" si="0"/>
        <v>109837.07</v>
      </c>
      <c r="O13" s="59">
        <f t="shared" si="1"/>
        <v>113132.07</v>
      </c>
      <c r="P13" s="37">
        <f t="shared" si="7"/>
        <v>7.0000000000000007E-2</v>
      </c>
      <c r="Q13" s="48" t="s">
        <v>82</v>
      </c>
      <c r="R13" s="37"/>
    </row>
    <row r="14" spans="1:18" ht="17.100000000000001" customHeight="1" x14ac:dyDescent="0.3">
      <c r="A14" s="5"/>
      <c r="B14" s="118">
        <f t="shared" si="6"/>
        <v>8</v>
      </c>
      <c r="C14" s="118" t="s">
        <v>111</v>
      </c>
      <c r="D14" s="118" t="s">
        <v>83</v>
      </c>
      <c r="E14" s="51">
        <v>1.62</v>
      </c>
      <c r="F14" s="52">
        <v>83056.08</v>
      </c>
      <c r="G14" s="53">
        <v>83420</v>
      </c>
      <c r="H14" s="54"/>
      <c r="I14" s="55">
        <f t="shared" si="2"/>
        <v>-363.91999999999825</v>
      </c>
      <c r="J14" s="55">
        <f t="shared" si="3"/>
        <v>0</v>
      </c>
      <c r="K14" s="56">
        <f t="shared" si="4"/>
        <v>0</v>
      </c>
      <c r="L14" s="56">
        <f t="shared" si="5"/>
        <v>109836.64087200003</v>
      </c>
      <c r="M14" s="57">
        <v>0</v>
      </c>
      <c r="N14" s="58">
        <f t="shared" si="0"/>
        <v>109473.08</v>
      </c>
      <c r="O14" s="59">
        <f t="shared" si="1"/>
        <v>112757.08</v>
      </c>
      <c r="P14" s="37">
        <f t="shared" si="7"/>
        <v>0.08</v>
      </c>
      <c r="R14" s="37"/>
    </row>
    <row r="15" spans="1:18" ht="17.100000000000001" customHeight="1" x14ac:dyDescent="0.3">
      <c r="A15" s="5"/>
      <c r="B15" s="165">
        <f t="shared" si="6"/>
        <v>9</v>
      </c>
      <c r="C15" s="165" t="s">
        <v>112</v>
      </c>
      <c r="D15" s="165" t="s">
        <v>83</v>
      </c>
      <c r="E15" s="51">
        <v>7.59</v>
      </c>
      <c r="F15" s="52">
        <v>670819.09</v>
      </c>
      <c r="G15" s="53">
        <v>390520</v>
      </c>
      <c r="H15" s="54"/>
      <c r="I15" s="55">
        <f t="shared" si="2"/>
        <v>280299.08999999997</v>
      </c>
      <c r="J15" s="55">
        <f t="shared" si="3"/>
        <v>8268.823155</v>
      </c>
      <c r="K15" s="56">
        <f t="shared" si="4"/>
        <v>0</v>
      </c>
      <c r="L15" s="56">
        <f t="shared" si="5"/>
        <v>514605.00260399998</v>
      </c>
      <c r="M15" s="57">
        <v>0</v>
      </c>
      <c r="N15" s="58">
        <f t="shared" si="0"/>
        <v>803173.09</v>
      </c>
      <c r="O15" s="59">
        <f t="shared" si="1"/>
        <v>827268.09</v>
      </c>
      <c r="P15" s="37">
        <f t="shared" si="7"/>
        <v>0.09</v>
      </c>
      <c r="R15" s="37"/>
    </row>
    <row r="16" spans="1:18" ht="17.100000000000001" customHeight="1" x14ac:dyDescent="0.3">
      <c r="A16" s="5"/>
      <c r="B16" s="118">
        <f t="shared" si="6"/>
        <v>10</v>
      </c>
      <c r="C16" s="118" t="s">
        <v>113</v>
      </c>
      <c r="D16" s="118" t="s">
        <v>84</v>
      </c>
      <c r="E16" s="51">
        <v>1.62</v>
      </c>
      <c r="F16" s="52">
        <v>131104.1</v>
      </c>
      <c r="G16" s="53">
        <f>135040+46400</f>
        <v>181440</v>
      </c>
      <c r="H16" s="54"/>
      <c r="I16" s="55">
        <f t="shared" si="2"/>
        <v>-50335.899999999994</v>
      </c>
      <c r="J16" s="55">
        <f t="shared" si="3"/>
        <v>0</v>
      </c>
      <c r="K16" s="56">
        <f t="shared" si="4"/>
        <v>0</v>
      </c>
      <c r="L16" s="56">
        <f t="shared" si="5"/>
        <v>109836.64087200003</v>
      </c>
      <c r="M16" s="57">
        <v>0</v>
      </c>
      <c r="N16" s="58">
        <f t="shared" si="0"/>
        <v>59501.1</v>
      </c>
      <c r="O16" s="59">
        <f t="shared" si="1"/>
        <v>61286.1</v>
      </c>
      <c r="P16" s="37">
        <f t="shared" si="7"/>
        <v>9.9999999999999992E-2</v>
      </c>
      <c r="Q16" t="s">
        <v>147</v>
      </c>
      <c r="R16" s="37"/>
    </row>
    <row r="17" spans="1:18" ht="17.100000000000001" customHeight="1" x14ac:dyDescent="0.3">
      <c r="A17" s="5"/>
      <c r="B17" s="118">
        <f t="shared" si="6"/>
        <v>11</v>
      </c>
      <c r="C17" s="118" t="s">
        <v>114</v>
      </c>
      <c r="D17" s="118" t="s">
        <v>85</v>
      </c>
      <c r="E17" s="51">
        <v>1.78</v>
      </c>
      <c r="F17" s="52">
        <v>276076.11</v>
      </c>
      <c r="G17" s="53">
        <v>0</v>
      </c>
      <c r="H17" s="54"/>
      <c r="I17" s="55">
        <f t="shared" si="2"/>
        <v>276076.11</v>
      </c>
      <c r="J17" s="55">
        <f t="shared" si="3"/>
        <v>8144.2452450000001</v>
      </c>
      <c r="K17" s="56">
        <f t="shared" si="4"/>
        <v>0</v>
      </c>
      <c r="L17" s="56">
        <f t="shared" si="5"/>
        <v>120684.70416800001</v>
      </c>
      <c r="M17" s="57">
        <v>0</v>
      </c>
      <c r="N17" s="58">
        <f t="shared" si="0"/>
        <v>404905.11</v>
      </c>
      <c r="O17" s="59">
        <f t="shared" si="1"/>
        <v>417052.11</v>
      </c>
      <c r="P17" s="37">
        <f t="shared" si="7"/>
        <v>0.10999999999999999</v>
      </c>
      <c r="R17" s="37"/>
    </row>
    <row r="18" spans="1:18" ht="17.100000000000001" customHeight="1" x14ac:dyDescent="0.3">
      <c r="A18" s="5"/>
      <c r="B18" s="118">
        <f t="shared" si="6"/>
        <v>12</v>
      </c>
      <c r="C18" s="118" t="s">
        <v>115</v>
      </c>
      <c r="D18" s="118" t="s">
        <v>85</v>
      </c>
      <c r="E18" s="51">
        <v>1.3</v>
      </c>
      <c r="F18" s="52">
        <v>201683.12</v>
      </c>
      <c r="G18" s="53">
        <v>0</v>
      </c>
      <c r="H18" s="54"/>
      <c r="I18" s="55">
        <f t="shared" si="2"/>
        <v>201683.12</v>
      </c>
      <c r="J18" s="55">
        <f t="shared" si="3"/>
        <v>5949.6520399999999</v>
      </c>
      <c r="K18" s="56">
        <f t="shared" si="4"/>
        <v>0</v>
      </c>
      <c r="L18" s="56">
        <f t="shared" si="5"/>
        <v>88140.514280000018</v>
      </c>
      <c r="M18" s="57">
        <v>0</v>
      </c>
      <c r="N18" s="58">
        <f t="shared" si="0"/>
        <v>295773.12</v>
      </c>
      <c r="O18" s="59">
        <f t="shared" si="1"/>
        <v>304646.12</v>
      </c>
      <c r="P18" s="37">
        <f t="shared" si="7"/>
        <v>0.11999999999999998</v>
      </c>
      <c r="R18" s="37"/>
    </row>
    <row r="19" spans="1:18" ht="17.100000000000001" customHeight="1" x14ac:dyDescent="0.3">
      <c r="A19" s="5"/>
      <c r="B19" s="175">
        <f t="shared" si="6"/>
        <v>13</v>
      </c>
      <c r="C19" s="175" t="s">
        <v>116</v>
      </c>
      <c r="D19" s="175" t="s">
        <v>86</v>
      </c>
      <c r="E19" s="51">
        <v>1.38</v>
      </c>
      <c r="F19" s="52">
        <v>71003.13</v>
      </c>
      <c r="G19" s="53">
        <f>F19</f>
        <v>71003.13</v>
      </c>
      <c r="H19" s="54"/>
      <c r="I19" s="55">
        <f t="shared" si="2"/>
        <v>0</v>
      </c>
      <c r="J19" s="55">
        <f t="shared" si="3"/>
        <v>0</v>
      </c>
      <c r="K19" s="56">
        <f t="shared" si="4"/>
        <v>0</v>
      </c>
      <c r="L19" s="56">
        <f t="shared" si="5"/>
        <v>93564.545928000007</v>
      </c>
      <c r="M19" s="57">
        <v>0</v>
      </c>
      <c r="N19" s="58">
        <f t="shared" si="0"/>
        <v>93565.13</v>
      </c>
      <c r="O19" s="59">
        <f t="shared" si="1"/>
        <v>96372.13</v>
      </c>
      <c r="P19" s="37">
        <f t="shared" si="7"/>
        <v>0.12999999999999998</v>
      </c>
      <c r="Q19" t="s">
        <v>149</v>
      </c>
      <c r="R19" s="37"/>
    </row>
    <row r="20" spans="1:18" ht="17.100000000000001" customHeight="1" x14ac:dyDescent="0.3">
      <c r="A20" s="5"/>
      <c r="B20" s="175">
        <f t="shared" si="6"/>
        <v>14</v>
      </c>
      <c r="C20" s="175" t="s">
        <v>117</v>
      </c>
      <c r="D20" s="175" t="s">
        <v>86</v>
      </c>
      <c r="E20" s="51">
        <v>1.87</v>
      </c>
      <c r="F20" s="52">
        <v>96215.14</v>
      </c>
      <c r="G20" s="53">
        <f>F20</f>
        <v>96215.14</v>
      </c>
      <c r="H20" s="54"/>
      <c r="I20" s="55">
        <f t="shared" si="2"/>
        <v>0</v>
      </c>
      <c r="J20" s="55">
        <f t="shared" si="3"/>
        <v>0</v>
      </c>
      <c r="K20" s="56">
        <f t="shared" si="4"/>
        <v>0</v>
      </c>
      <c r="L20" s="56">
        <f t="shared" si="5"/>
        <v>126786.73977200002</v>
      </c>
      <c r="M20" s="57">
        <v>0</v>
      </c>
      <c r="N20" s="58">
        <f t="shared" si="0"/>
        <v>126787.14</v>
      </c>
      <c r="O20" s="59">
        <f t="shared" si="1"/>
        <v>130591.14</v>
      </c>
      <c r="P20" s="37">
        <f t="shared" si="7"/>
        <v>0.13999999999999999</v>
      </c>
      <c r="Q20" t="s">
        <v>149</v>
      </c>
      <c r="R20" s="37"/>
    </row>
    <row r="21" spans="1:18" ht="17.100000000000001" customHeight="1" x14ac:dyDescent="0.3">
      <c r="A21" s="5"/>
      <c r="B21" s="180">
        <f t="shared" si="6"/>
        <v>15</v>
      </c>
      <c r="C21" s="180" t="s">
        <v>118</v>
      </c>
      <c r="D21" s="180" t="s">
        <v>87</v>
      </c>
      <c r="E21" s="51">
        <v>2.91</v>
      </c>
      <c r="F21" s="52">
        <v>948037.15</v>
      </c>
      <c r="G21" s="53">
        <v>150000</v>
      </c>
      <c r="H21" s="54"/>
      <c r="I21" s="55">
        <f t="shared" si="2"/>
        <v>798037.15</v>
      </c>
      <c r="J21" s="55">
        <f t="shared" si="3"/>
        <v>23542.095925000001</v>
      </c>
      <c r="K21" s="56">
        <f t="shared" si="4"/>
        <v>0</v>
      </c>
      <c r="L21" s="56">
        <f t="shared" si="5"/>
        <v>197299.15119600002</v>
      </c>
      <c r="M21" s="57">
        <v>0</v>
      </c>
      <c r="N21" s="58">
        <f t="shared" si="0"/>
        <v>1018878.15</v>
      </c>
      <c r="O21" s="59">
        <f t="shared" si="1"/>
        <v>1049444.1499999999</v>
      </c>
      <c r="P21" s="37">
        <f t="shared" si="7"/>
        <v>0.15</v>
      </c>
      <c r="Q21" t="s">
        <v>192</v>
      </c>
      <c r="R21" s="37"/>
    </row>
    <row r="22" spans="1:18" ht="17.100000000000001" customHeight="1" x14ac:dyDescent="0.3">
      <c r="A22" s="155"/>
      <c r="B22" s="118">
        <f t="shared" si="6"/>
        <v>16</v>
      </c>
      <c r="C22" s="118" t="s">
        <v>119</v>
      </c>
      <c r="D22" s="118" t="s">
        <v>88</v>
      </c>
      <c r="E22" s="51">
        <v>2.14</v>
      </c>
      <c r="F22" s="52">
        <v>109962.16</v>
      </c>
      <c r="G22" s="53">
        <v>113300</v>
      </c>
      <c r="H22" s="54"/>
      <c r="I22" s="55">
        <f t="shared" si="2"/>
        <v>-3337.8399999999965</v>
      </c>
      <c r="J22" s="55">
        <f t="shared" si="3"/>
        <v>0</v>
      </c>
      <c r="K22" s="56">
        <f t="shared" si="4"/>
        <v>0</v>
      </c>
      <c r="L22" s="56">
        <f t="shared" si="5"/>
        <v>145092.84658400001</v>
      </c>
      <c r="M22" s="57">
        <v>0</v>
      </c>
      <c r="N22" s="58">
        <f t="shared" si="0"/>
        <v>141755.16</v>
      </c>
      <c r="O22" s="59">
        <f t="shared" si="1"/>
        <v>146008.16</v>
      </c>
      <c r="P22" s="37">
        <f t="shared" si="7"/>
        <v>0.16</v>
      </c>
      <c r="Q22" t="s">
        <v>147</v>
      </c>
      <c r="R22" s="37"/>
    </row>
    <row r="23" spans="1:18" ht="17.100000000000001" customHeight="1" x14ac:dyDescent="0.3">
      <c r="A23" s="5" t="s">
        <v>15</v>
      </c>
      <c r="B23" s="118">
        <f t="shared" si="6"/>
        <v>17</v>
      </c>
      <c r="C23" s="118" t="s">
        <v>120</v>
      </c>
      <c r="D23" s="118" t="s">
        <v>83</v>
      </c>
      <c r="E23" s="51">
        <v>0.89</v>
      </c>
      <c r="F23" s="52">
        <v>45717.17</v>
      </c>
      <c r="G23" s="53">
        <v>45800</v>
      </c>
      <c r="H23" s="54"/>
      <c r="I23" s="55">
        <f t="shared" si="2"/>
        <v>-82.830000000001746</v>
      </c>
      <c r="J23" s="55">
        <f t="shared" si="3"/>
        <v>0</v>
      </c>
      <c r="K23" s="56">
        <f t="shared" si="4"/>
        <v>0</v>
      </c>
      <c r="L23" s="56">
        <f t="shared" si="5"/>
        <v>60342.352084000006</v>
      </c>
      <c r="M23" s="57">
        <v>0</v>
      </c>
      <c r="N23" s="58">
        <f t="shared" si="0"/>
        <v>60260.17</v>
      </c>
      <c r="O23" s="59">
        <f t="shared" si="1"/>
        <v>62068.17</v>
      </c>
      <c r="P23" s="37">
        <f t="shared" si="7"/>
        <v>0.17</v>
      </c>
    </row>
    <row r="24" spans="1:18" ht="17.100000000000001" customHeight="1" x14ac:dyDescent="0.3">
      <c r="A24" s="5" t="s">
        <v>15</v>
      </c>
      <c r="B24" s="118">
        <f t="shared" si="6"/>
        <v>18</v>
      </c>
      <c r="C24" s="118" t="s">
        <v>121</v>
      </c>
      <c r="D24" s="118" t="s">
        <v>89</v>
      </c>
      <c r="E24" s="119">
        <v>0.95</v>
      </c>
      <c r="F24" s="53">
        <v>2848452.18</v>
      </c>
      <c r="G24" s="53">
        <v>0</v>
      </c>
      <c r="H24" s="54"/>
      <c r="I24" s="55">
        <f t="shared" si="2"/>
        <v>2848452.18</v>
      </c>
      <c r="J24" s="55">
        <f t="shared" si="3"/>
        <v>84029.33931000001</v>
      </c>
      <c r="K24" s="56">
        <f t="shared" si="4"/>
        <v>0</v>
      </c>
      <c r="L24" s="56">
        <f t="shared" si="5"/>
        <v>64410.375820000001</v>
      </c>
      <c r="M24" s="57">
        <v>0</v>
      </c>
      <c r="N24" s="58">
        <f t="shared" si="0"/>
        <v>2996892.18</v>
      </c>
      <c r="O24" s="59">
        <f t="shared" si="1"/>
        <v>3086799.18</v>
      </c>
      <c r="P24" s="37">
        <f t="shared" si="7"/>
        <v>0.18000000000000002</v>
      </c>
      <c r="Q24" s="105"/>
      <c r="R24" s="104"/>
    </row>
    <row r="25" spans="1:18" ht="17.100000000000001" customHeight="1" x14ac:dyDescent="0.3">
      <c r="A25" s="5" t="s">
        <v>16</v>
      </c>
      <c r="B25" s="118">
        <f t="shared" si="6"/>
        <v>19</v>
      </c>
      <c r="C25" s="118" t="s">
        <v>122</v>
      </c>
      <c r="D25" s="118" t="s">
        <v>83</v>
      </c>
      <c r="E25" s="51">
        <v>1.94</v>
      </c>
      <c r="F25" s="52">
        <v>99586.19</v>
      </c>
      <c r="G25" s="53">
        <v>100000</v>
      </c>
      <c r="H25" s="54"/>
      <c r="I25" s="55">
        <f t="shared" si="2"/>
        <v>-413.80999999999767</v>
      </c>
      <c r="J25" s="55">
        <f t="shared" si="3"/>
        <v>0</v>
      </c>
      <c r="K25" s="56">
        <f t="shared" si="4"/>
        <v>0</v>
      </c>
      <c r="L25" s="56">
        <f t="shared" si="5"/>
        <v>131532.767464</v>
      </c>
      <c r="M25" s="57">
        <v>0</v>
      </c>
      <c r="N25" s="58">
        <f t="shared" si="0"/>
        <v>131119.19</v>
      </c>
      <c r="O25" s="59">
        <f t="shared" si="1"/>
        <v>135053.19</v>
      </c>
      <c r="P25" s="37">
        <f t="shared" si="7"/>
        <v>0.19000000000000003</v>
      </c>
    </row>
    <row r="26" spans="1:18" ht="17.100000000000001" customHeight="1" x14ac:dyDescent="0.3">
      <c r="A26" s="5" t="s">
        <v>16</v>
      </c>
      <c r="B26" s="118">
        <f t="shared" si="6"/>
        <v>20</v>
      </c>
      <c r="C26" s="118" t="s">
        <v>123</v>
      </c>
      <c r="D26" s="118" t="s">
        <v>90</v>
      </c>
      <c r="E26" s="51">
        <v>1.84</v>
      </c>
      <c r="F26" s="52">
        <v>162679.20000000001</v>
      </c>
      <c r="G26" s="53">
        <v>94671.2</v>
      </c>
      <c r="H26" s="54"/>
      <c r="I26" s="55">
        <f t="shared" si="2"/>
        <v>68008.000000000015</v>
      </c>
      <c r="J26" s="55">
        <f t="shared" si="3"/>
        <v>2006.2360000000006</v>
      </c>
      <c r="K26" s="56">
        <f t="shared" si="4"/>
        <v>0</v>
      </c>
      <c r="L26" s="56">
        <f t="shared" si="5"/>
        <v>124752.72790400001</v>
      </c>
      <c r="M26" s="57">
        <v>0</v>
      </c>
      <c r="N26" s="58">
        <f t="shared" si="0"/>
        <v>194767.2</v>
      </c>
      <c r="O26" s="59">
        <f t="shared" si="1"/>
        <v>200610.2</v>
      </c>
      <c r="P26" s="37">
        <f t="shared" si="7"/>
        <v>0.20000000000000004</v>
      </c>
    </row>
    <row r="27" spans="1:18" ht="17.100000000000001" customHeight="1" x14ac:dyDescent="0.3">
      <c r="A27" s="5" t="s">
        <v>17</v>
      </c>
      <c r="B27" s="118">
        <f t="shared" si="6"/>
        <v>21</v>
      </c>
      <c r="C27" s="118">
        <v>1106</v>
      </c>
      <c r="D27" s="118" t="s">
        <v>91</v>
      </c>
      <c r="E27" s="51">
        <v>5.12</v>
      </c>
      <c r="F27" s="52">
        <v>5904294.21</v>
      </c>
      <c r="G27" s="53">
        <v>0</v>
      </c>
      <c r="H27" s="54"/>
      <c r="I27" s="55">
        <f t="shared" si="2"/>
        <v>5904294.21</v>
      </c>
      <c r="J27" s="55">
        <f t="shared" si="3"/>
        <v>174176.679195</v>
      </c>
      <c r="K27" s="56">
        <f t="shared" si="4"/>
        <v>0</v>
      </c>
      <c r="L27" s="56">
        <f t="shared" si="5"/>
        <v>347138.02547200007</v>
      </c>
      <c r="M27" s="57">
        <v>0</v>
      </c>
      <c r="N27" s="58">
        <f t="shared" si="0"/>
        <v>6425609.21</v>
      </c>
      <c r="O27" s="59">
        <f t="shared" si="1"/>
        <v>6618377.21</v>
      </c>
      <c r="P27" s="37">
        <f t="shared" si="7"/>
        <v>0.21000000000000005</v>
      </c>
    </row>
    <row r="28" spans="1:18" ht="17.100000000000001" customHeight="1" x14ac:dyDescent="0.3">
      <c r="A28" s="5" t="s">
        <v>17</v>
      </c>
      <c r="B28" s="118">
        <f t="shared" si="6"/>
        <v>22</v>
      </c>
      <c r="C28" s="118">
        <v>1101</v>
      </c>
      <c r="D28" s="118" t="s">
        <v>83</v>
      </c>
      <c r="E28" s="51">
        <v>3.88</v>
      </c>
      <c r="F28" s="52">
        <v>198828.22</v>
      </c>
      <c r="G28" s="53">
        <v>200000</v>
      </c>
      <c r="H28" s="54"/>
      <c r="I28" s="55">
        <f t="shared" si="2"/>
        <v>-1171.7799999999988</v>
      </c>
      <c r="J28" s="55">
        <f t="shared" si="3"/>
        <v>0</v>
      </c>
      <c r="K28" s="56">
        <f t="shared" si="4"/>
        <v>0</v>
      </c>
      <c r="L28" s="56">
        <f t="shared" si="5"/>
        <v>263065.53492800001</v>
      </c>
      <c r="M28" s="57">
        <v>0</v>
      </c>
      <c r="N28" s="58">
        <f t="shared" si="0"/>
        <v>261894.22</v>
      </c>
      <c r="O28" s="59">
        <f t="shared" si="1"/>
        <v>269751.21999999997</v>
      </c>
      <c r="P28" s="37">
        <f t="shared" si="7"/>
        <v>0.22000000000000006</v>
      </c>
      <c r="Q28" t="s">
        <v>148</v>
      </c>
    </row>
    <row r="29" spans="1:18" ht="17.100000000000001" customHeight="1" x14ac:dyDescent="0.3">
      <c r="A29" s="5" t="s">
        <v>18</v>
      </c>
      <c r="B29" s="118">
        <f t="shared" si="6"/>
        <v>23</v>
      </c>
      <c r="C29" s="118">
        <v>1102</v>
      </c>
      <c r="D29" s="118" t="s">
        <v>92</v>
      </c>
      <c r="E29" s="51">
        <v>0.92</v>
      </c>
      <c r="F29" s="52">
        <v>48756.23</v>
      </c>
      <c r="G29" s="53">
        <f>F29</f>
        <v>48756.23</v>
      </c>
      <c r="H29" s="54"/>
      <c r="I29" s="55">
        <f t="shared" si="2"/>
        <v>0</v>
      </c>
      <c r="J29" s="55">
        <f t="shared" si="3"/>
        <v>0</v>
      </c>
      <c r="K29" s="56">
        <f t="shared" si="4"/>
        <v>0</v>
      </c>
      <c r="L29" s="56">
        <f t="shared" si="5"/>
        <v>62376.363952000007</v>
      </c>
      <c r="M29" s="57">
        <v>0</v>
      </c>
      <c r="N29" s="58">
        <f t="shared" si="0"/>
        <v>62376.23</v>
      </c>
      <c r="O29" s="59">
        <f t="shared" si="1"/>
        <v>64247.23</v>
      </c>
      <c r="P29" s="37">
        <f t="shared" si="7"/>
        <v>0.23000000000000007</v>
      </c>
    </row>
    <row r="30" spans="1:18" ht="17.100000000000001" customHeight="1" x14ac:dyDescent="0.3">
      <c r="A30" s="5" t="s">
        <v>18</v>
      </c>
      <c r="B30" s="118">
        <f t="shared" si="6"/>
        <v>24</v>
      </c>
      <c r="C30" s="118">
        <v>1103</v>
      </c>
      <c r="D30" s="118" t="s">
        <v>93</v>
      </c>
      <c r="E30" s="51">
        <v>1.43</v>
      </c>
      <c r="F30" s="52">
        <v>4798827.24</v>
      </c>
      <c r="G30" s="53">
        <v>0</v>
      </c>
      <c r="H30" s="54"/>
      <c r="I30" s="55">
        <f t="shared" si="2"/>
        <v>4798827.24</v>
      </c>
      <c r="J30" s="55">
        <f t="shared" si="3"/>
        <v>141565.40358000001</v>
      </c>
      <c r="K30" s="56">
        <f t="shared" si="4"/>
        <v>0</v>
      </c>
      <c r="L30" s="56">
        <f t="shared" si="5"/>
        <v>96954.565708000009</v>
      </c>
      <c r="M30" s="57">
        <v>0</v>
      </c>
      <c r="N30" s="58">
        <f t="shared" si="0"/>
        <v>5037347.24</v>
      </c>
      <c r="O30" s="59">
        <f t="shared" si="1"/>
        <v>5188467.24</v>
      </c>
      <c r="P30" s="37">
        <f t="shared" si="7"/>
        <v>0.24000000000000007</v>
      </c>
    </row>
    <row r="31" spans="1:18" ht="17.100000000000001" customHeight="1" x14ac:dyDescent="0.3">
      <c r="A31" s="5" t="s">
        <v>19</v>
      </c>
      <c r="B31" s="118">
        <f t="shared" si="6"/>
        <v>25</v>
      </c>
      <c r="C31" s="118">
        <v>1104</v>
      </c>
      <c r="D31" s="118" t="s">
        <v>94</v>
      </c>
      <c r="E31" s="51">
        <v>2.19</v>
      </c>
      <c r="F31" s="52">
        <v>193624.25</v>
      </c>
      <c r="G31" s="53">
        <v>199433.25</v>
      </c>
      <c r="H31" s="54"/>
      <c r="I31" s="55">
        <f t="shared" si="2"/>
        <v>-5809</v>
      </c>
      <c r="J31" s="55">
        <f t="shared" si="3"/>
        <v>0</v>
      </c>
      <c r="K31" s="56">
        <f t="shared" si="4"/>
        <v>0</v>
      </c>
      <c r="L31" s="56">
        <f t="shared" si="5"/>
        <v>148482.86636400002</v>
      </c>
      <c r="M31" s="57">
        <v>0</v>
      </c>
      <c r="N31" s="58">
        <f t="shared" si="0"/>
        <v>142674.25</v>
      </c>
      <c r="O31" s="59">
        <f t="shared" si="1"/>
        <v>146954.25</v>
      </c>
      <c r="P31" s="37">
        <f t="shared" si="7"/>
        <v>0.25000000000000006</v>
      </c>
    </row>
    <row r="32" spans="1:18" ht="17.100000000000001" customHeight="1" x14ac:dyDescent="0.3">
      <c r="A32" s="5" t="s">
        <v>19</v>
      </c>
      <c r="B32" s="118">
        <f t="shared" si="6"/>
        <v>26</v>
      </c>
      <c r="C32" s="118">
        <v>1105</v>
      </c>
      <c r="D32" s="118" t="s">
        <v>95</v>
      </c>
      <c r="E32" s="51">
        <v>1.94</v>
      </c>
      <c r="F32" s="52">
        <v>37761.26</v>
      </c>
      <c r="G32" s="53">
        <v>0</v>
      </c>
      <c r="H32" s="54"/>
      <c r="I32" s="55">
        <f t="shared" si="2"/>
        <v>37761.26</v>
      </c>
      <c r="J32" s="55">
        <f t="shared" si="3"/>
        <v>1113.9571700000001</v>
      </c>
      <c r="K32" s="56">
        <f t="shared" si="4"/>
        <v>0</v>
      </c>
      <c r="L32" s="56">
        <f t="shared" si="5"/>
        <v>131532.767464</v>
      </c>
      <c r="M32" s="57">
        <v>0</v>
      </c>
      <c r="N32" s="58">
        <f t="shared" si="0"/>
        <v>170408.26</v>
      </c>
      <c r="O32" s="59">
        <f t="shared" si="1"/>
        <v>175520.26</v>
      </c>
      <c r="P32" s="37">
        <f t="shared" si="7"/>
        <v>0.26000000000000006</v>
      </c>
    </row>
    <row r="33" spans="1:18" ht="17.100000000000001" customHeight="1" x14ac:dyDescent="0.3">
      <c r="A33" s="5" t="s">
        <v>20</v>
      </c>
      <c r="B33" s="118">
        <f t="shared" si="6"/>
        <v>27</v>
      </c>
      <c r="C33" s="118">
        <v>2206</v>
      </c>
      <c r="D33" s="118" t="s">
        <v>96</v>
      </c>
      <c r="E33" s="51">
        <v>2.17</v>
      </c>
      <c r="F33" s="52">
        <v>111650.27</v>
      </c>
      <c r="G33" s="53">
        <v>115000.27</v>
      </c>
      <c r="H33" s="54"/>
      <c r="I33" s="55">
        <f t="shared" si="2"/>
        <v>-3350</v>
      </c>
      <c r="J33" s="55">
        <f t="shared" si="3"/>
        <v>0</v>
      </c>
      <c r="K33" s="56">
        <f t="shared" si="4"/>
        <v>0</v>
      </c>
      <c r="L33" s="56">
        <f t="shared" si="5"/>
        <v>147126.85845200001</v>
      </c>
      <c r="M33" s="57">
        <v>0</v>
      </c>
      <c r="N33" s="58">
        <f t="shared" si="0"/>
        <v>143777.26999999999</v>
      </c>
      <c r="O33" s="59">
        <f t="shared" si="1"/>
        <v>148090.26999999999</v>
      </c>
      <c r="P33" s="37">
        <f t="shared" si="7"/>
        <v>0.27000000000000007</v>
      </c>
      <c r="R33" s="36"/>
    </row>
    <row r="34" spans="1:18" ht="17.100000000000001" customHeight="1" x14ac:dyDescent="0.3">
      <c r="A34" s="5" t="s">
        <v>20</v>
      </c>
      <c r="B34" s="118">
        <f t="shared" si="6"/>
        <v>28</v>
      </c>
      <c r="C34" s="118">
        <v>2207</v>
      </c>
      <c r="D34" s="118" t="s">
        <v>97</v>
      </c>
      <c r="E34" s="51">
        <v>1.23</v>
      </c>
      <c r="F34" s="53">
        <v>63283.28</v>
      </c>
      <c r="G34" s="53">
        <f>21000+44100</f>
        <v>65100</v>
      </c>
      <c r="H34" s="54"/>
      <c r="I34" s="55">
        <f t="shared" si="2"/>
        <v>-1816.7200000000012</v>
      </c>
      <c r="J34" s="55">
        <f t="shared" si="3"/>
        <v>0</v>
      </c>
      <c r="K34" s="56">
        <f t="shared" si="4"/>
        <v>0</v>
      </c>
      <c r="L34" s="56">
        <f t="shared" si="5"/>
        <v>83394.486588000014</v>
      </c>
      <c r="M34" s="57">
        <v>0</v>
      </c>
      <c r="N34" s="58">
        <f t="shared" si="0"/>
        <v>81578.28</v>
      </c>
      <c r="O34" s="59">
        <f t="shared" si="1"/>
        <v>84025.279999999999</v>
      </c>
      <c r="P34" s="37">
        <f t="shared" si="7"/>
        <v>0.28000000000000008</v>
      </c>
      <c r="Q34" t="s">
        <v>151</v>
      </c>
    </row>
    <row r="35" spans="1:18" ht="17.100000000000001" customHeight="1" x14ac:dyDescent="0.3">
      <c r="A35" s="5" t="s">
        <v>21</v>
      </c>
      <c r="B35" s="118">
        <f t="shared" si="6"/>
        <v>29</v>
      </c>
      <c r="C35" s="118">
        <v>2208</v>
      </c>
      <c r="D35" s="118" t="s">
        <v>98</v>
      </c>
      <c r="E35" s="51">
        <v>1.29</v>
      </c>
      <c r="F35" s="52">
        <v>66359.289999999994</v>
      </c>
      <c r="G35" s="53">
        <f>F35</f>
        <v>66359.289999999994</v>
      </c>
      <c r="H35" s="54"/>
      <c r="I35" s="55">
        <f t="shared" si="2"/>
        <v>0</v>
      </c>
      <c r="J35" s="55">
        <f t="shared" si="3"/>
        <v>0</v>
      </c>
      <c r="K35" s="56">
        <f t="shared" si="4"/>
        <v>0</v>
      </c>
      <c r="L35" s="56">
        <f t="shared" si="5"/>
        <v>87462.510324000003</v>
      </c>
      <c r="M35" s="57">
        <v>0</v>
      </c>
      <c r="N35" s="58">
        <f t="shared" si="0"/>
        <v>87463.29</v>
      </c>
      <c r="O35" s="59">
        <f t="shared" si="1"/>
        <v>90087.29</v>
      </c>
      <c r="P35" s="37">
        <f t="shared" si="7"/>
        <v>0.29000000000000009</v>
      </c>
    </row>
    <row r="36" spans="1:18" ht="17.100000000000001" customHeight="1" x14ac:dyDescent="0.3">
      <c r="A36" s="5" t="s">
        <v>21</v>
      </c>
      <c r="B36" s="118">
        <f t="shared" si="6"/>
        <v>30</v>
      </c>
      <c r="C36" s="118">
        <v>2201</v>
      </c>
      <c r="D36" s="118" t="s">
        <v>98</v>
      </c>
      <c r="E36" s="51">
        <v>1.36</v>
      </c>
      <c r="F36" s="52">
        <v>69974.3</v>
      </c>
      <c r="G36" s="53">
        <f>F36</f>
        <v>69974.3</v>
      </c>
      <c r="H36" s="54"/>
      <c r="I36" s="55">
        <f t="shared" si="2"/>
        <v>0</v>
      </c>
      <c r="J36" s="55">
        <f t="shared" si="3"/>
        <v>0</v>
      </c>
      <c r="K36" s="56">
        <f t="shared" si="4"/>
        <v>0</v>
      </c>
      <c r="L36" s="56">
        <f t="shared" si="5"/>
        <v>92208.53801600002</v>
      </c>
      <c r="M36" s="57">
        <v>0</v>
      </c>
      <c r="N36" s="58">
        <f t="shared" si="0"/>
        <v>92209.3</v>
      </c>
      <c r="O36" s="59">
        <f t="shared" si="1"/>
        <v>94975.3</v>
      </c>
      <c r="P36" s="37">
        <f t="shared" si="7"/>
        <v>0.3000000000000001</v>
      </c>
    </row>
    <row r="37" spans="1:18" ht="17.100000000000001" customHeight="1" x14ac:dyDescent="0.3">
      <c r="A37" s="5" t="s">
        <v>22</v>
      </c>
      <c r="B37" s="118">
        <f t="shared" si="6"/>
        <v>31</v>
      </c>
      <c r="C37" s="118">
        <v>2202</v>
      </c>
      <c r="D37" s="118" t="s">
        <v>99</v>
      </c>
      <c r="E37" s="51">
        <v>0.57999999999999996</v>
      </c>
      <c r="F37" s="53">
        <v>29842.31</v>
      </c>
      <c r="G37" s="53"/>
      <c r="H37" s="54"/>
      <c r="I37" s="55">
        <f t="shared" si="2"/>
        <v>29842.31</v>
      </c>
      <c r="J37" s="55">
        <f t="shared" si="3"/>
        <v>880.34814500000005</v>
      </c>
      <c r="K37" s="56">
        <f t="shared" si="4"/>
        <v>0</v>
      </c>
      <c r="L37" s="56">
        <f t="shared" si="5"/>
        <v>39324.229447999998</v>
      </c>
      <c r="M37" s="57">
        <v>0</v>
      </c>
      <c r="N37" s="58">
        <f t="shared" si="0"/>
        <v>70047.31</v>
      </c>
      <c r="O37" s="59">
        <f t="shared" si="1"/>
        <v>72148.31</v>
      </c>
      <c r="P37" s="37">
        <f t="shared" si="7"/>
        <v>0.31000000000000011</v>
      </c>
      <c r="Q37" t="s">
        <v>154</v>
      </c>
    </row>
    <row r="38" spans="1:18" ht="17.100000000000001" customHeight="1" x14ac:dyDescent="0.3">
      <c r="A38" s="5" t="s">
        <v>23</v>
      </c>
      <c r="B38" s="118">
        <f t="shared" si="6"/>
        <v>32</v>
      </c>
      <c r="C38" s="118">
        <v>2203</v>
      </c>
      <c r="D38" s="118" t="s">
        <v>99</v>
      </c>
      <c r="E38" s="51">
        <v>0.57999999999999996</v>
      </c>
      <c r="F38" s="52">
        <v>29842.32</v>
      </c>
      <c r="G38" s="53"/>
      <c r="H38" s="54"/>
      <c r="I38" s="55">
        <f t="shared" si="2"/>
        <v>29842.32</v>
      </c>
      <c r="J38" s="55">
        <f t="shared" si="3"/>
        <v>880.3484400000001</v>
      </c>
      <c r="K38" s="56">
        <f t="shared" si="4"/>
        <v>0</v>
      </c>
      <c r="L38" s="56">
        <f t="shared" si="5"/>
        <v>39324.229447999998</v>
      </c>
      <c r="M38" s="57">
        <v>0</v>
      </c>
      <c r="N38" s="58">
        <f t="shared" si="0"/>
        <v>70047.320000000007</v>
      </c>
      <c r="O38" s="59">
        <f t="shared" si="1"/>
        <v>72148.320000000007</v>
      </c>
      <c r="P38" s="37">
        <f t="shared" si="7"/>
        <v>0.32000000000000012</v>
      </c>
      <c r="Q38" t="s">
        <v>154</v>
      </c>
    </row>
    <row r="39" spans="1:18" ht="17.100000000000001" customHeight="1" x14ac:dyDescent="0.3">
      <c r="A39" s="5" t="s">
        <v>24</v>
      </c>
      <c r="B39" s="118">
        <f t="shared" si="6"/>
        <v>33</v>
      </c>
      <c r="C39" s="118">
        <v>2204</v>
      </c>
      <c r="D39" s="118" t="s">
        <v>100</v>
      </c>
      <c r="E39" s="51">
        <v>1.36</v>
      </c>
      <c r="F39" s="52">
        <v>69974.33</v>
      </c>
      <c r="G39" s="53">
        <v>72073.33</v>
      </c>
      <c r="H39" s="54"/>
      <c r="I39" s="55">
        <f t="shared" si="2"/>
        <v>-2099</v>
      </c>
      <c r="J39" s="55">
        <f t="shared" si="3"/>
        <v>0</v>
      </c>
      <c r="K39" s="56">
        <f t="shared" si="4"/>
        <v>0</v>
      </c>
      <c r="L39" s="56">
        <f t="shared" si="5"/>
        <v>92208.53801600002</v>
      </c>
      <c r="M39" s="57">
        <v>0</v>
      </c>
      <c r="N39" s="58">
        <f t="shared" si="0"/>
        <v>90110.33</v>
      </c>
      <c r="O39" s="59">
        <f t="shared" si="1"/>
        <v>92813.33</v>
      </c>
      <c r="P39" s="37">
        <f t="shared" si="7"/>
        <v>0.33000000000000013</v>
      </c>
      <c r="Q39" t="s">
        <v>154</v>
      </c>
    </row>
    <row r="40" spans="1:18" ht="17.100000000000001" customHeight="1" x14ac:dyDescent="0.3">
      <c r="A40" s="5" t="s">
        <v>25</v>
      </c>
      <c r="B40" s="118">
        <f t="shared" si="6"/>
        <v>34</v>
      </c>
      <c r="C40" s="118">
        <v>2205</v>
      </c>
      <c r="D40" s="118" t="s">
        <v>99</v>
      </c>
      <c r="E40" s="51">
        <v>1.67</v>
      </c>
      <c r="F40" s="52">
        <v>85924.34</v>
      </c>
      <c r="G40" s="53"/>
      <c r="H40" s="54"/>
      <c r="I40" s="55">
        <f t="shared" si="2"/>
        <v>85924.34</v>
      </c>
      <c r="J40" s="55">
        <f t="shared" si="3"/>
        <v>2534.7680300000002</v>
      </c>
      <c r="K40" s="56">
        <f t="shared" si="4"/>
        <v>0</v>
      </c>
      <c r="L40" s="56">
        <f t="shared" si="5"/>
        <v>113226.66065200001</v>
      </c>
      <c r="M40" s="57">
        <v>0</v>
      </c>
      <c r="N40" s="58">
        <f t="shared" si="0"/>
        <v>201686.34</v>
      </c>
      <c r="O40" s="59">
        <f t="shared" si="1"/>
        <v>207737.34</v>
      </c>
      <c r="P40" s="37">
        <f t="shared" si="7"/>
        <v>0.34000000000000014</v>
      </c>
      <c r="Q40" t="s">
        <v>154</v>
      </c>
    </row>
    <row r="41" spans="1:18" ht="17.100000000000001" customHeight="1" x14ac:dyDescent="0.3">
      <c r="A41" s="5" t="s">
        <v>27</v>
      </c>
      <c r="B41" s="118">
        <f t="shared" si="6"/>
        <v>35</v>
      </c>
      <c r="C41" s="118">
        <v>2206</v>
      </c>
      <c r="D41" s="118" t="s">
        <v>101</v>
      </c>
      <c r="E41" s="51">
        <v>2.17</v>
      </c>
      <c r="F41" s="52">
        <v>111650.35</v>
      </c>
      <c r="G41" s="53">
        <f>180185.71-G42</f>
        <v>116899.34999999999</v>
      </c>
      <c r="H41" s="54"/>
      <c r="I41" s="55">
        <f t="shared" si="2"/>
        <v>-5248.9999999999854</v>
      </c>
      <c r="J41" s="55">
        <f t="shared" si="3"/>
        <v>0</v>
      </c>
      <c r="K41" s="56">
        <f t="shared" si="4"/>
        <v>0</v>
      </c>
      <c r="L41" s="56">
        <f t="shared" si="5"/>
        <v>147126.85845200001</v>
      </c>
      <c r="M41" s="57">
        <v>0</v>
      </c>
      <c r="N41" s="58">
        <f t="shared" si="0"/>
        <v>141878.35</v>
      </c>
      <c r="O41" s="59">
        <f t="shared" si="1"/>
        <v>146134.35</v>
      </c>
      <c r="P41" s="37">
        <f t="shared" si="7"/>
        <v>0.35000000000000014</v>
      </c>
      <c r="Q41" t="s">
        <v>152</v>
      </c>
    </row>
    <row r="42" spans="1:18" ht="17.100000000000001" customHeight="1" x14ac:dyDescent="0.3">
      <c r="A42" s="5" t="s">
        <v>27</v>
      </c>
      <c r="B42" s="118">
        <f t="shared" si="6"/>
        <v>36</v>
      </c>
      <c r="C42" s="118">
        <v>2207</v>
      </c>
      <c r="D42" s="118" t="s">
        <v>101</v>
      </c>
      <c r="E42" s="51">
        <v>1.23</v>
      </c>
      <c r="F42" s="52">
        <v>63286.36</v>
      </c>
      <c r="G42" s="53">
        <f>F42</f>
        <v>63286.36</v>
      </c>
      <c r="H42" s="54"/>
      <c r="I42" s="55">
        <f t="shared" si="2"/>
        <v>0</v>
      </c>
      <c r="J42" s="55">
        <f t="shared" si="3"/>
        <v>0</v>
      </c>
      <c r="K42" s="56">
        <f t="shared" si="4"/>
        <v>0</v>
      </c>
      <c r="L42" s="56">
        <f t="shared" si="5"/>
        <v>83394.486588000014</v>
      </c>
      <c r="M42" s="57">
        <v>0</v>
      </c>
      <c r="N42" s="58">
        <f t="shared" si="0"/>
        <v>83394.36</v>
      </c>
      <c r="O42" s="59">
        <f t="shared" si="1"/>
        <v>85896.36</v>
      </c>
      <c r="P42" s="37">
        <f t="shared" si="7"/>
        <v>0.36000000000000015</v>
      </c>
      <c r="Q42" t="s">
        <v>152</v>
      </c>
    </row>
    <row r="43" spans="1:18" ht="17.100000000000001" customHeight="1" x14ac:dyDescent="0.3">
      <c r="A43" s="5" t="s">
        <v>27</v>
      </c>
      <c r="B43" s="164">
        <f t="shared" si="6"/>
        <v>37</v>
      </c>
      <c r="C43" s="164">
        <v>3308</v>
      </c>
      <c r="D43" s="164" t="s">
        <v>124</v>
      </c>
      <c r="E43" s="51">
        <v>1.23</v>
      </c>
      <c r="F43" s="52">
        <v>63286.37</v>
      </c>
      <c r="G43" s="53"/>
      <c r="H43" s="54"/>
      <c r="I43" s="55">
        <f t="shared" si="2"/>
        <v>63286.37</v>
      </c>
      <c r="J43" s="55">
        <f t="shared" si="3"/>
        <v>1866.9479150000002</v>
      </c>
      <c r="K43" s="56">
        <f t="shared" si="4"/>
        <v>0</v>
      </c>
      <c r="L43" s="56">
        <f t="shared" si="5"/>
        <v>83394.486588000014</v>
      </c>
      <c r="M43" s="57">
        <v>0</v>
      </c>
      <c r="N43" s="58">
        <f t="shared" si="0"/>
        <v>148548.37</v>
      </c>
      <c r="O43" s="59">
        <f t="shared" si="1"/>
        <v>153004.37</v>
      </c>
      <c r="P43" s="37">
        <f t="shared" si="7"/>
        <v>0.37000000000000016</v>
      </c>
      <c r="Q43" s="104"/>
    </row>
    <row r="44" spans="1:18" ht="15" customHeight="1" x14ac:dyDescent="0.3">
      <c r="A44" s="5" t="s">
        <v>27</v>
      </c>
      <c r="B44" s="118">
        <f t="shared" si="6"/>
        <v>38</v>
      </c>
      <c r="C44" s="118">
        <v>3301</v>
      </c>
      <c r="D44" s="163" t="s">
        <v>125</v>
      </c>
      <c r="E44" s="51">
        <v>1.36</v>
      </c>
      <c r="F44" s="52">
        <v>336427.38</v>
      </c>
      <c r="G44" s="53">
        <v>0</v>
      </c>
      <c r="H44" s="54"/>
      <c r="I44" s="55">
        <f t="shared" si="2"/>
        <v>336427.38</v>
      </c>
      <c r="J44" s="55">
        <f t="shared" si="3"/>
        <v>9924.6077100000002</v>
      </c>
      <c r="K44" s="56">
        <f t="shared" si="4"/>
        <v>0</v>
      </c>
      <c r="L44" s="56">
        <f t="shared" si="5"/>
        <v>92208.53801600002</v>
      </c>
      <c r="M44" s="57">
        <v>0</v>
      </c>
      <c r="N44" s="58">
        <f t="shared" si="0"/>
        <v>438561.38</v>
      </c>
      <c r="O44" s="59">
        <f t="shared" si="1"/>
        <v>451718.38</v>
      </c>
      <c r="P44" s="37">
        <f t="shared" si="7"/>
        <v>0.38000000000000017</v>
      </c>
    </row>
    <row r="45" spans="1:18" x14ac:dyDescent="0.3">
      <c r="A45" s="5" t="s">
        <v>27</v>
      </c>
      <c r="B45" s="118">
        <f>B44+1</f>
        <v>39</v>
      </c>
      <c r="C45" s="118">
        <v>3302</v>
      </c>
      <c r="D45" s="118" t="s">
        <v>102</v>
      </c>
      <c r="E45" s="51">
        <v>0.57999999999999996</v>
      </c>
      <c r="F45" s="52">
        <v>29842.39</v>
      </c>
      <c r="G45" s="53">
        <v>30737.39</v>
      </c>
      <c r="H45" s="61"/>
      <c r="I45" s="55">
        <f t="shared" si="2"/>
        <v>-895</v>
      </c>
      <c r="J45" s="55">
        <f t="shared" si="3"/>
        <v>0</v>
      </c>
      <c r="K45" s="56">
        <f t="shared" si="4"/>
        <v>0</v>
      </c>
      <c r="L45" s="56">
        <f t="shared" si="5"/>
        <v>39324.229447999998</v>
      </c>
      <c r="M45" s="57">
        <v>0</v>
      </c>
      <c r="N45" s="58">
        <f t="shared" si="0"/>
        <v>38429.39</v>
      </c>
      <c r="O45" s="59">
        <f t="shared" si="1"/>
        <v>39582.39</v>
      </c>
      <c r="P45" s="37">
        <f t="shared" si="7"/>
        <v>0.39000000000000018</v>
      </c>
    </row>
    <row r="46" spans="1:18" x14ac:dyDescent="0.3">
      <c r="B46" s="118">
        <f t="shared" ref="B46:B64" si="8">B45+1</f>
        <v>40</v>
      </c>
      <c r="C46" s="118">
        <v>3303</v>
      </c>
      <c r="D46" s="118" t="s">
        <v>102</v>
      </c>
      <c r="E46" s="51">
        <v>0.57999999999999996</v>
      </c>
      <c r="F46" s="52">
        <v>29842.400000000001</v>
      </c>
      <c r="G46" s="53">
        <v>30737.4</v>
      </c>
      <c r="H46" s="61"/>
      <c r="I46" s="55">
        <f t="shared" si="2"/>
        <v>-895</v>
      </c>
      <c r="J46" s="55">
        <f t="shared" si="3"/>
        <v>0</v>
      </c>
      <c r="K46" s="56">
        <f t="shared" si="4"/>
        <v>0</v>
      </c>
      <c r="L46" s="56">
        <f t="shared" si="5"/>
        <v>39324.229447999998</v>
      </c>
      <c r="M46" s="57">
        <v>0</v>
      </c>
      <c r="N46" s="58">
        <f t="shared" si="0"/>
        <v>38429.4</v>
      </c>
      <c r="O46" s="59">
        <f t="shared" si="1"/>
        <v>39582.400000000001</v>
      </c>
      <c r="P46" s="37">
        <f t="shared" si="7"/>
        <v>0.40000000000000019</v>
      </c>
    </row>
    <row r="47" spans="1:18" x14ac:dyDescent="0.3">
      <c r="B47" s="171">
        <f t="shared" si="8"/>
        <v>41</v>
      </c>
      <c r="C47" s="171">
        <v>3304</v>
      </c>
      <c r="D47" s="171" t="s">
        <v>133</v>
      </c>
      <c r="E47" s="51">
        <v>1.36</v>
      </c>
      <c r="F47" s="52">
        <v>119955.41</v>
      </c>
      <c r="G47" s="53">
        <f>50000+70000</f>
        <v>120000</v>
      </c>
      <c r="H47" s="61"/>
      <c r="I47" s="55">
        <f t="shared" si="2"/>
        <v>-44.589999999996508</v>
      </c>
      <c r="J47" s="55">
        <f t="shared" si="3"/>
        <v>0</v>
      </c>
      <c r="K47" s="56">
        <f t="shared" si="4"/>
        <v>0</v>
      </c>
      <c r="L47" s="56">
        <f t="shared" si="5"/>
        <v>92208.53801600002</v>
      </c>
      <c r="M47" s="57">
        <v>0</v>
      </c>
      <c r="N47" s="58">
        <f t="shared" si="0"/>
        <v>92164.41</v>
      </c>
      <c r="O47" s="59">
        <f t="shared" si="1"/>
        <v>94929.41</v>
      </c>
      <c r="P47" s="37">
        <f t="shared" si="7"/>
        <v>0.4100000000000002</v>
      </c>
    </row>
    <row r="48" spans="1:18" x14ac:dyDescent="0.3">
      <c r="B48" s="118">
        <f t="shared" si="8"/>
        <v>42</v>
      </c>
      <c r="C48" s="118">
        <v>3305</v>
      </c>
      <c r="D48" s="118" t="s">
        <v>134</v>
      </c>
      <c r="E48" s="51">
        <v>1.67</v>
      </c>
      <c r="F48" s="52">
        <v>1240769.42</v>
      </c>
      <c r="G48" s="53">
        <v>0</v>
      </c>
      <c r="H48" s="61"/>
      <c r="I48" s="55">
        <f t="shared" si="2"/>
        <v>1240769.42</v>
      </c>
      <c r="J48" s="55">
        <f t="shared" si="3"/>
        <v>36602.697890000003</v>
      </c>
      <c r="K48" s="56">
        <f t="shared" si="4"/>
        <v>0</v>
      </c>
      <c r="L48" s="56">
        <f t="shared" si="5"/>
        <v>113226.66065200001</v>
      </c>
      <c r="M48" s="57">
        <v>0</v>
      </c>
      <c r="N48" s="58">
        <f t="shared" si="0"/>
        <v>1390599.42</v>
      </c>
      <c r="O48" s="59">
        <f t="shared" si="1"/>
        <v>1432317.42</v>
      </c>
      <c r="P48" s="37">
        <f t="shared" si="7"/>
        <v>0.42000000000000021</v>
      </c>
    </row>
    <row r="49" spans="2:17" x14ac:dyDescent="0.3">
      <c r="B49" s="118">
        <f t="shared" si="8"/>
        <v>43</v>
      </c>
      <c r="C49" s="118">
        <v>4406</v>
      </c>
      <c r="D49" s="118" t="s">
        <v>135</v>
      </c>
      <c r="E49" s="51">
        <v>2.17</v>
      </c>
      <c r="F49" s="52">
        <v>111650.43</v>
      </c>
      <c r="G49" s="53">
        <f>F49</f>
        <v>111650.43</v>
      </c>
      <c r="H49" s="61"/>
      <c r="I49" s="55">
        <f t="shared" si="2"/>
        <v>0</v>
      </c>
      <c r="J49" s="55">
        <f t="shared" si="3"/>
        <v>0</v>
      </c>
      <c r="K49" s="56">
        <f t="shared" si="4"/>
        <v>0</v>
      </c>
      <c r="L49" s="56">
        <f t="shared" si="5"/>
        <v>147126.85845200001</v>
      </c>
      <c r="M49" s="57">
        <v>0</v>
      </c>
      <c r="N49" s="58">
        <f t="shared" si="0"/>
        <v>147127.43</v>
      </c>
      <c r="O49" s="59">
        <f t="shared" si="1"/>
        <v>151541.43</v>
      </c>
      <c r="P49" s="37">
        <f t="shared" si="7"/>
        <v>0.43000000000000022</v>
      </c>
    </row>
    <row r="50" spans="2:17" x14ac:dyDescent="0.3">
      <c r="B50" s="118">
        <f t="shared" si="8"/>
        <v>44</v>
      </c>
      <c r="C50" s="118">
        <v>4407</v>
      </c>
      <c r="D50" s="118" t="s">
        <v>136</v>
      </c>
      <c r="E50" s="51">
        <v>1.23</v>
      </c>
      <c r="F50" s="52">
        <v>63286.44</v>
      </c>
      <c r="G50" s="53">
        <f>F50</f>
        <v>63286.44</v>
      </c>
      <c r="H50" s="61"/>
      <c r="I50" s="55">
        <f t="shared" si="2"/>
        <v>0</v>
      </c>
      <c r="J50" s="55">
        <f t="shared" si="3"/>
        <v>0</v>
      </c>
      <c r="K50" s="56">
        <f t="shared" si="4"/>
        <v>0</v>
      </c>
      <c r="L50" s="56">
        <f t="shared" si="5"/>
        <v>83394.486588000014</v>
      </c>
      <c r="M50" s="57">
        <v>0</v>
      </c>
      <c r="N50" s="58">
        <f t="shared" si="0"/>
        <v>83394.44</v>
      </c>
      <c r="O50" s="59">
        <f t="shared" si="1"/>
        <v>85896.44</v>
      </c>
      <c r="P50" s="37">
        <f t="shared" si="7"/>
        <v>0.44000000000000022</v>
      </c>
    </row>
    <row r="51" spans="2:17" x14ac:dyDescent="0.3">
      <c r="B51" s="165">
        <f t="shared" si="8"/>
        <v>45</v>
      </c>
      <c r="C51" s="165">
        <v>4408</v>
      </c>
      <c r="D51" s="165" t="s">
        <v>137</v>
      </c>
      <c r="E51" s="51">
        <v>1.29</v>
      </c>
      <c r="F51" s="52">
        <v>114052.45</v>
      </c>
      <c r="G51" s="53">
        <v>66373</v>
      </c>
      <c r="H51" s="61"/>
      <c r="I51" s="55">
        <f t="shared" si="2"/>
        <v>47679.45</v>
      </c>
      <c r="J51" s="55">
        <f t="shared" si="3"/>
        <v>1406.5437750000001</v>
      </c>
      <c r="K51" s="56">
        <f t="shared" si="4"/>
        <v>0</v>
      </c>
      <c r="L51" s="56">
        <f t="shared" si="5"/>
        <v>87462.510324000003</v>
      </c>
      <c r="M51" s="57">
        <v>0</v>
      </c>
      <c r="N51" s="58">
        <f t="shared" si="0"/>
        <v>136549.45000000001</v>
      </c>
      <c r="O51" s="59">
        <f t="shared" si="1"/>
        <v>140645.45000000001</v>
      </c>
      <c r="P51" s="37">
        <f t="shared" si="7"/>
        <v>0.45000000000000023</v>
      </c>
    </row>
    <row r="52" spans="2:17" x14ac:dyDescent="0.3">
      <c r="B52" s="118">
        <f t="shared" si="8"/>
        <v>46</v>
      </c>
      <c r="C52" s="118">
        <v>4401</v>
      </c>
      <c r="D52" s="118" t="s">
        <v>138</v>
      </c>
      <c r="E52" s="51">
        <v>1.36</v>
      </c>
      <c r="F52" s="52">
        <v>72561.460000000006</v>
      </c>
      <c r="G52" s="53">
        <v>74738.460000000006</v>
      </c>
      <c r="H52" s="61"/>
      <c r="I52" s="55">
        <f t="shared" si="2"/>
        <v>-2177</v>
      </c>
      <c r="J52" s="55">
        <f t="shared" si="3"/>
        <v>0</v>
      </c>
      <c r="K52" s="56">
        <f t="shared" si="4"/>
        <v>0</v>
      </c>
      <c r="L52" s="56">
        <f t="shared" si="5"/>
        <v>92208.53801600002</v>
      </c>
      <c r="M52" s="57">
        <v>0</v>
      </c>
      <c r="N52" s="58">
        <f t="shared" si="0"/>
        <v>90032.46</v>
      </c>
      <c r="O52" s="59">
        <f t="shared" si="1"/>
        <v>92733.46</v>
      </c>
      <c r="P52" s="37">
        <f t="shared" si="7"/>
        <v>0.46000000000000024</v>
      </c>
    </row>
    <row r="53" spans="2:17" x14ac:dyDescent="0.3">
      <c r="B53" s="118">
        <f t="shared" si="8"/>
        <v>47</v>
      </c>
      <c r="C53" s="118">
        <v>4402</v>
      </c>
      <c r="D53" s="118" t="s">
        <v>139</v>
      </c>
      <c r="E53" s="51">
        <v>0.57999999999999996</v>
      </c>
      <c r="F53" s="52">
        <v>-20334.53</v>
      </c>
      <c r="G53" s="53">
        <v>20944.53</v>
      </c>
      <c r="H53" s="61"/>
      <c r="I53" s="55">
        <f t="shared" si="2"/>
        <v>-41279.06</v>
      </c>
      <c r="J53" s="55">
        <f t="shared" si="3"/>
        <v>0</v>
      </c>
      <c r="K53" s="56">
        <f t="shared" si="4"/>
        <v>0</v>
      </c>
      <c r="L53" s="56">
        <f t="shared" si="5"/>
        <v>39324.229447999998</v>
      </c>
      <c r="M53" s="57">
        <v>0</v>
      </c>
      <c r="N53" s="58">
        <f t="shared" si="0"/>
        <v>-1954.53</v>
      </c>
      <c r="O53" s="59">
        <f t="shared" si="1"/>
        <v>-2013.53</v>
      </c>
      <c r="P53" s="37">
        <f t="shared" si="7"/>
        <v>0.47000000000000025</v>
      </c>
    </row>
    <row r="54" spans="2:17" x14ac:dyDescent="0.3">
      <c r="B54" s="118">
        <f t="shared" si="8"/>
        <v>48</v>
      </c>
      <c r="C54" s="118">
        <v>4403</v>
      </c>
      <c r="D54" s="118" t="s">
        <v>140</v>
      </c>
      <c r="E54" s="51">
        <v>0.57999999999999996</v>
      </c>
      <c r="F54" s="52">
        <v>29842.48</v>
      </c>
      <c r="G54" s="53">
        <f>191313.49-G55-G56</f>
        <v>35414.499999999985</v>
      </c>
      <c r="H54" s="61"/>
      <c r="I54" s="55">
        <f t="shared" si="2"/>
        <v>-5572.0199999999859</v>
      </c>
      <c r="J54" s="55">
        <f t="shared" si="3"/>
        <v>0</v>
      </c>
      <c r="K54" s="56">
        <f t="shared" si="4"/>
        <v>0</v>
      </c>
      <c r="L54" s="56">
        <f t="shared" si="5"/>
        <v>39324.229447999998</v>
      </c>
      <c r="M54" s="57">
        <v>0</v>
      </c>
      <c r="N54" s="58">
        <f t="shared" si="0"/>
        <v>33752.480000000003</v>
      </c>
      <c r="O54" s="59">
        <f t="shared" si="1"/>
        <v>34765.480000000003</v>
      </c>
      <c r="P54" s="37">
        <f t="shared" si="7"/>
        <v>0.48000000000000026</v>
      </c>
      <c r="Q54" t="s">
        <v>155</v>
      </c>
    </row>
    <row r="55" spans="2:17" x14ac:dyDescent="0.3">
      <c r="B55" s="118">
        <f t="shared" si="8"/>
        <v>49</v>
      </c>
      <c r="C55" s="118">
        <v>4404</v>
      </c>
      <c r="D55" s="118" t="s">
        <v>140</v>
      </c>
      <c r="E55" s="51">
        <v>1.36</v>
      </c>
      <c r="F55" s="52">
        <v>69974.490000000005</v>
      </c>
      <c r="G55" s="53">
        <f>F55</f>
        <v>69974.490000000005</v>
      </c>
      <c r="H55" s="61"/>
      <c r="I55" s="55">
        <f t="shared" si="2"/>
        <v>0</v>
      </c>
      <c r="J55" s="55">
        <f t="shared" si="3"/>
        <v>0</v>
      </c>
      <c r="K55" s="56">
        <f t="shared" si="4"/>
        <v>0</v>
      </c>
      <c r="L55" s="56">
        <f t="shared" si="5"/>
        <v>92208.53801600002</v>
      </c>
      <c r="M55" s="57">
        <v>0</v>
      </c>
      <c r="N55" s="58">
        <f t="shared" si="0"/>
        <v>92209.49</v>
      </c>
      <c r="O55" s="59">
        <f t="shared" si="1"/>
        <v>94975.49</v>
      </c>
      <c r="P55" s="37">
        <f t="shared" si="7"/>
        <v>0.49000000000000027</v>
      </c>
      <c r="Q55" t="s">
        <v>155</v>
      </c>
    </row>
    <row r="56" spans="2:17" x14ac:dyDescent="0.3">
      <c r="B56" s="118">
        <f t="shared" si="8"/>
        <v>50</v>
      </c>
      <c r="C56" s="118">
        <v>4405</v>
      </c>
      <c r="D56" s="118" t="s">
        <v>140</v>
      </c>
      <c r="E56" s="51">
        <v>1.67</v>
      </c>
      <c r="F56" s="52">
        <v>85924.5</v>
      </c>
      <c r="G56" s="53">
        <f>F56</f>
        <v>85924.5</v>
      </c>
      <c r="H56" s="61"/>
      <c r="I56" s="55">
        <f t="shared" si="2"/>
        <v>0</v>
      </c>
      <c r="J56" s="55">
        <f t="shared" si="3"/>
        <v>0</v>
      </c>
      <c r="K56" s="56">
        <f t="shared" si="4"/>
        <v>0</v>
      </c>
      <c r="L56" s="56">
        <f t="shared" si="5"/>
        <v>113226.66065200001</v>
      </c>
      <c r="M56" s="57">
        <v>0</v>
      </c>
      <c r="N56" s="58">
        <f t="shared" si="0"/>
        <v>113227.5</v>
      </c>
      <c r="O56" s="59">
        <f t="shared" si="1"/>
        <v>116624.5</v>
      </c>
      <c r="P56" s="37">
        <f t="shared" si="7"/>
        <v>0.50000000000000022</v>
      </c>
      <c r="Q56" t="s">
        <v>155</v>
      </c>
    </row>
    <row r="57" spans="2:17" x14ac:dyDescent="0.3">
      <c r="B57" s="118">
        <f t="shared" si="8"/>
        <v>51</v>
      </c>
      <c r="C57" s="118">
        <v>5506</v>
      </c>
      <c r="D57" s="118" t="s">
        <v>141</v>
      </c>
      <c r="E57" s="51">
        <v>2.17</v>
      </c>
      <c r="F57" s="52">
        <v>111650.51</v>
      </c>
      <c r="G57" s="53">
        <v>115000.51</v>
      </c>
      <c r="H57" s="61"/>
      <c r="I57" s="55">
        <f t="shared" si="2"/>
        <v>-3350</v>
      </c>
      <c r="J57" s="55">
        <f t="shared" si="3"/>
        <v>0</v>
      </c>
      <c r="K57" s="56">
        <f t="shared" si="4"/>
        <v>0</v>
      </c>
      <c r="L57" s="56">
        <f t="shared" si="5"/>
        <v>147126.85845200001</v>
      </c>
      <c r="M57" s="57">
        <v>0</v>
      </c>
      <c r="N57" s="58">
        <f t="shared" si="0"/>
        <v>143777.51</v>
      </c>
      <c r="O57" s="59">
        <f t="shared" si="1"/>
        <v>148090.51</v>
      </c>
      <c r="P57" s="37">
        <f t="shared" si="7"/>
        <v>0.51000000000000023</v>
      </c>
    </row>
    <row r="58" spans="2:17" x14ac:dyDescent="0.3">
      <c r="B58" s="166">
        <f t="shared" si="8"/>
        <v>52</v>
      </c>
      <c r="C58" s="166">
        <v>5507</v>
      </c>
      <c r="D58" s="166" t="s">
        <v>142</v>
      </c>
      <c r="E58" s="51">
        <v>1.79</v>
      </c>
      <c r="F58" s="52">
        <v>158258.51999999999</v>
      </c>
      <c r="G58" s="53">
        <v>0</v>
      </c>
      <c r="H58" s="61"/>
      <c r="I58" s="55">
        <f t="shared" si="2"/>
        <v>158258.51999999999</v>
      </c>
      <c r="J58" s="55">
        <f t="shared" si="3"/>
        <v>4668.6263399999998</v>
      </c>
      <c r="K58" s="56">
        <f t="shared" si="4"/>
        <v>0</v>
      </c>
      <c r="L58" s="56">
        <f t="shared" si="5"/>
        <v>121362.708124</v>
      </c>
      <c r="M58" s="57">
        <v>0</v>
      </c>
      <c r="N58" s="58">
        <f t="shared" si="0"/>
        <v>284290.52</v>
      </c>
      <c r="O58" s="59">
        <f t="shared" si="1"/>
        <v>292819.52</v>
      </c>
      <c r="P58" s="37">
        <f t="shared" si="7"/>
        <v>0.52000000000000024</v>
      </c>
    </row>
    <row r="59" spans="2:17" x14ac:dyDescent="0.3">
      <c r="B59" s="118">
        <f t="shared" si="8"/>
        <v>53</v>
      </c>
      <c r="C59" s="118">
        <v>5508</v>
      </c>
      <c r="D59" s="118" t="s">
        <v>143</v>
      </c>
      <c r="E59" s="51">
        <v>1.29</v>
      </c>
      <c r="F59" s="52">
        <v>-170502.47</v>
      </c>
      <c r="G59" s="53">
        <v>0</v>
      </c>
      <c r="H59" s="61"/>
      <c r="I59" s="55">
        <f t="shared" si="2"/>
        <v>-170502.47</v>
      </c>
      <c r="J59" s="55">
        <f t="shared" si="3"/>
        <v>0</v>
      </c>
      <c r="K59" s="56">
        <f t="shared" si="4"/>
        <v>0</v>
      </c>
      <c r="L59" s="56">
        <f t="shared" si="5"/>
        <v>87462.510324000003</v>
      </c>
      <c r="M59" s="57">
        <v>0</v>
      </c>
      <c r="N59" s="58">
        <f t="shared" si="0"/>
        <v>-83039.47</v>
      </c>
      <c r="O59" s="59">
        <f t="shared" si="1"/>
        <v>-85530.47</v>
      </c>
      <c r="P59" s="37">
        <f t="shared" si="7"/>
        <v>0.53000000000000025</v>
      </c>
    </row>
    <row r="60" spans="2:17" x14ac:dyDescent="0.3">
      <c r="B60" s="118">
        <f t="shared" si="8"/>
        <v>54</v>
      </c>
      <c r="C60" s="118">
        <v>5501</v>
      </c>
      <c r="D60" s="118" t="s">
        <v>144</v>
      </c>
      <c r="E60" s="51">
        <v>1.36</v>
      </c>
      <c r="F60" s="52">
        <v>119987.54</v>
      </c>
      <c r="G60" s="53">
        <v>123587.54</v>
      </c>
      <c r="H60" s="61"/>
      <c r="I60" s="55">
        <f t="shared" si="2"/>
        <v>-3600</v>
      </c>
      <c r="J60" s="55">
        <f t="shared" si="3"/>
        <v>0</v>
      </c>
      <c r="K60" s="56">
        <f t="shared" si="4"/>
        <v>0</v>
      </c>
      <c r="L60" s="56">
        <f t="shared" si="5"/>
        <v>92208.53801600002</v>
      </c>
      <c r="M60" s="57">
        <v>0</v>
      </c>
      <c r="N60" s="58">
        <f t="shared" si="0"/>
        <v>88609.54</v>
      </c>
      <c r="O60" s="59">
        <f t="shared" si="1"/>
        <v>91267.54</v>
      </c>
      <c r="P60" s="37">
        <f t="shared" si="7"/>
        <v>0.54000000000000026</v>
      </c>
    </row>
    <row r="61" spans="2:17" x14ac:dyDescent="0.3">
      <c r="B61" s="118">
        <f t="shared" si="8"/>
        <v>55</v>
      </c>
      <c r="C61" s="118">
        <v>5503</v>
      </c>
      <c r="D61" s="118" t="s">
        <v>145</v>
      </c>
      <c r="E61" s="51">
        <v>0.57999999999999996</v>
      </c>
      <c r="F61" s="52">
        <v>1032605.55</v>
      </c>
      <c r="G61" s="53">
        <v>300000</v>
      </c>
      <c r="H61" s="61"/>
      <c r="I61" s="55">
        <f t="shared" si="2"/>
        <v>732605.55</v>
      </c>
      <c r="J61" s="55">
        <f t="shared" si="3"/>
        <v>21611.863725000003</v>
      </c>
      <c r="K61" s="56">
        <f t="shared" si="4"/>
        <v>0</v>
      </c>
      <c r="L61" s="56">
        <f t="shared" si="5"/>
        <v>39324.229447999998</v>
      </c>
      <c r="M61" s="57">
        <v>0</v>
      </c>
      <c r="N61" s="58">
        <f t="shared" si="0"/>
        <v>793542.55</v>
      </c>
      <c r="O61" s="59">
        <f t="shared" si="1"/>
        <v>817348.55</v>
      </c>
      <c r="P61" s="37">
        <f t="shared" si="7"/>
        <v>0.55000000000000027</v>
      </c>
      <c r="Q61" t="s">
        <v>176</v>
      </c>
    </row>
    <row r="62" spans="2:17" x14ac:dyDescent="0.3">
      <c r="B62" s="118">
        <f t="shared" si="8"/>
        <v>56</v>
      </c>
      <c r="C62" s="118">
        <v>5504</v>
      </c>
      <c r="D62" s="118" t="s">
        <v>83</v>
      </c>
      <c r="E62" s="51">
        <v>1.36</v>
      </c>
      <c r="F62" s="52">
        <v>68785.56</v>
      </c>
      <c r="G62" s="53">
        <v>70000</v>
      </c>
      <c r="H62" s="61"/>
      <c r="I62" s="55">
        <f t="shared" si="2"/>
        <v>-1214.4400000000023</v>
      </c>
      <c r="J62" s="55">
        <f t="shared" si="3"/>
        <v>0</v>
      </c>
      <c r="K62" s="56">
        <f t="shared" si="4"/>
        <v>0</v>
      </c>
      <c r="L62" s="56">
        <f t="shared" si="5"/>
        <v>92208.53801600002</v>
      </c>
      <c r="M62" s="57">
        <v>0</v>
      </c>
      <c r="N62" s="58">
        <f t="shared" si="0"/>
        <v>90994.559999999998</v>
      </c>
      <c r="O62" s="59">
        <f t="shared" si="1"/>
        <v>93724.56</v>
      </c>
      <c r="P62" s="37">
        <f t="shared" si="7"/>
        <v>0.56000000000000028</v>
      </c>
    </row>
    <row r="63" spans="2:17" x14ac:dyDescent="0.3">
      <c r="B63" s="118">
        <f t="shared" si="8"/>
        <v>57</v>
      </c>
      <c r="C63" s="118">
        <v>5502</v>
      </c>
      <c r="D63" s="118" t="s">
        <v>79</v>
      </c>
      <c r="E63" s="51">
        <v>0.57999999999999996</v>
      </c>
      <c r="F63" s="52">
        <v>51279.57</v>
      </c>
      <c r="G63" s="53">
        <v>0</v>
      </c>
      <c r="H63" s="61"/>
      <c r="I63" s="55">
        <f t="shared" si="2"/>
        <v>51279.57</v>
      </c>
      <c r="J63" s="55">
        <f t="shared" si="3"/>
        <v>1512.7473150000001</v>
      </c>
      <c r="K63" s="56">
        <f t="shared" si="4"/>
        <v>0</v>
      </c>
      <c r="L63" s="56">
        <f t="shared" si="5"/>
        <v>39324.229447999998</v>
      </c>
      <c r="M63" s="57">
        <v>0</v>
      </c>
      <c r="N63" s="58">
        <f t="shared" si="0"/>
        <v>92117.57</v>
      </c>
      <c r="O63" s="59">
        <f t="shared" si="1"/>
        <v>94881.57</v>
      </c>
      <c r="P63" s="37">
        <f t="shared" si="7"/>
        <v>0.57000000000000028</v>
      </c>
    </row>
    <row r="64" spans="2:17" x14ac:dyDescent="0.3">
      <c r="B64" s="118">
        <f t="shared" si="8"/>
        <v>58</v>
      </c>
      <c r="C64" s="118">
        <v>5505</v>
      </c>
      <c r="D64" s="118" t="s">
        <v>146</v>
      </c>
      <c r="E64" s="51">
        <v>1.67</v>
      </c>
      <c r="F64" s="52">
        <v>149987.57999999999</v>
      </c>
      <c r="G64" s="53">
        <v>149987.57999999999</v>
      </c>
      <c r="H64" s="61"/>
      <c r="I64" s="55">
        <f t="shared" si="2"/>
        <v>0</v>
      </c>
      <c r="J64" s="55">
        <f t="shared" si="3"/>
        <v>0</v>
      </c>
      <c r="K64" s="56">
        <f t="shared" si="4"/>
        <v>0</v>
      </c>
      <c r="L64" s="56">
        <f t="shared" si="5"/>
        <v>113226.66065200001</v>
      </c>
      <c r="M64" s="57">
        <v>0</v>
      </c>
      <c r="N64" s="58">
        <f t="shared" si="0"/>
        <v>113227.58</v>
      </c>
      <c r="O64" s="59">
        <f t="shared" si="1"/>
        <v>116624.58</v>
      </c>
      <c r="P64" s="37">
        <f t="shared" si="7"/>
        <v>0.58000000000000029</v>
      </c>
    </row>
    <row r="65" spans="2:16" x14ac:dyDescent="0.3">
      <c r="B65" s="118"/>
      <c r="C65" s="48"/>
      <c r="D65" s="48"/>
      <c r="E65" s="51"/>
      <c r="F65" s="60"/>
      <c r="G65" s="53"/>
      <c r="H65" s="61"/>
      <c r="I65" s="62"/>
      <c r="J65" s="55"/>
      <c r="K65" s="56"/>
      <c r="L65" s="63"/>
      <c r="M65" s="60"/>
      <c r="N65" s="52"/>
      <c r="O65" s="52"/>
      <c r="P65" s="37"/>
    </row>
    <row r="66" spans="2:16" ht="17.100000000000001" customHeight="1" thickBot="1" x14ac:dyDescent="0.35">
      <c r="B66" s="64"/>
      <c r="C66" s="65"/>
      <c r="D66" s="136"/>
      <c r="E66" s="138">
        <f>SUM(E6:E64)</f>
        <v>99.940000000000026</v>
      </c>
      <c r="F66" s="66">
        <f>SUM(F6:F64)</f>
        <v>25420650.140000001</v>
      </c>
      <c r="G66" s="66">
        <f>SUM(G6:G64)</f>
        <v>4171978.8499999996</v>
      </c>
      <c r="H66" s="137">
        <f t="shared" ref="H66" si="9">SUM(H6:H45)</f>
        <v>0</v>
      </c>
      <c r="I66" s="66">
        <f t="shared" ref="I66:O66" si="10">SUM(I6:I64)</f>
        <v>21248671.290000007</v>
      </c>
      <c r="J66" s="66">
        <f t="shared" si="10"/>
        <v>635871.87076500012</v>
      </c>
      <c r="K66" s="66">
        <f t="shared" si="10"/>
        <v>0</v>
      </c>
      <c r="L66" s="66">
        <f t="shared" si="10"/>
        <v>6775971.5362640023</v>
      </c>
      <c r="M66" s="66">
        <f t="shared" si="10"/>
        <v>0</v>
      </c>
      <c r="N66" s="66">
        <f t="shared" si="10"/>
        <v>28660539.109999999</v>
      </c>
      <c r="O66" s="66">
        <f t="shared" si="10"/>
        <v>29520353.109999999</v>
      </c>
    </row>
    <row r="67" spans="2:16" ht="12.75" customHeight="1" x14ac:dyDescent="0.3">
      <c r="D67" s="41"/>
    </row>
    <row r="68" spans="2:16" hidden="1" x14ac:dyDescent="0.3"/>
    <row r="69" spans="2:16" ht="9" customHeight="1" x14ac:dyDescent="0.3">
      <c r="D69" s="211" t="s">
        <v>70</v>
      </c>
      <c r="E69" s="211"/>
      <c r="F69" s="211"/>
      <c r="G69" s="211"/>
      <c r="H69" s="211"/>
      <c r="I69" s="211"/>
      <c r="J69" s="211"/>
      <c r="K69" s="211"/>
      <c r="L69" s="211"/>
      <c r="M69" s="211"/>
      <c r="N69" s="211"/>
    </row>
    <row r="70" spans="2:16" ht="12" hidden="1" customHeight="1" x14ac:dyDescent="0.3">
      <c r="D70" s="211"/>
      <c r="E70" s="211"/>
      <c r="F70" s="211"/>
      <c r="G70" s="211"/>
      <c r="H70" s="211"/>
      <c r="I70" s="211"/>
      <c r="J70" s="211"/>
      <c r="K70" s="211"/>
      <c r="L70" s="211"/>
      <c r="M70" s="211"/>
      <c r="N70" s="211"/>
    </row>
    <row r="71" spans="2:16" ht="12" hidden="1" customHeight="1" x14ac:dyDescent="0.3">
      <c r="D71" s="211"/>
      <c r="E71" s="211"/>
      <c r="F71" s="211"/>
      <c r="G71" s="211"/>
      <c r="H71" s="211"/>
      <c r="I71" s="211"/>
      <c r="J71" s="211"/>
      <c r="K71" s="211"/>
      <c r="L71" s="211"/>
      <c r="M71" s="211"/>
      <c r="N71" s="211"/>
    </row>
    <row r="72" spans="2:16" ht="12" hidden="1" customHeight="1" x14ac:dyDescent="0.3">
      <c r="D72" s="211"/>
      <c r="E72" s="211"/>
      <c r="F72" s="211"/>
      <c r="G72" s="211"/>
      <c r="H72" s="211"/>
      <c r="I72" s="211"/>
      <c r="J72" s="211"/>
      <c r="K72" s="211"/>
      <c r="L72" s="211"/>
      <c r="M72" s="211"/>
      <c r="N72" s="211"/>
    </row>
    <row r="73" spans="2:16" ht="12" hidden="1" customHeight="1" x14ac:dyDescent="0.3">
      <c r="D73" s="211"/>
      <c r="E73" s="211"/>
      <c r="F73" s="211"/>
      <c r="G73" s="211"/>
      <c r="H73" s="211"/>
      <c r="I73" s="211"/>
      <c r="J73" s="211"/>
      <c r="K73" s="211"/>
      <c r="L73" s="211"/>
      <c r="M73" s="211"/>
      <c r="N73" s="211"/>
    </row>
    <row r="74" spans="2:16" ht="65.25" customHeight="1" x14ac:dyDescent="0.3">
      <c r="D74" s="211"/>
      <c r="E74" s="211"/>
      <c r="F74" s="211"/>
      <c r="G74" s="211"/>
      <c r="H74" s="211"/>
      <c r="I74" s="211"/>
      <c r="J74" s="211"/>
      <c r="K74" s="211"/>
      <c r="L74" s="211"/>
      <c r="M74" s="211"/>
      <c r="N74" s="211"/>
    </row>
  </sheetData>
  <mergeCells count="17">
    <mergeCell ref="B1:J2"/>
    <mergeCell ref="O4:O5"/>
    <mergeCell ref="D69:N74"/>
    <mergeCell ref="H4:H5"/>
    <mergeCell ref="J4:J5"/>
    <mergeCell ref="F4:F5"/>
    <mergeCell ref="G4:G5"/>
    <mergeCell ref="I4:I5"/>
    <mergeCell ref="K4:K5"/>
    <mergeCell ref="L4:L5"/>
    <mergeCell ref="M4:M5"/>
    <mergeCell ref="B3:O3"/>
    <mergeCell ref="A4:A5"/>
    <mergeCell ref="B4:B5"/>
    <mergeCell ref="C4:C5"/>
    <mergeCell ref="D4:D5"/>
    <mergeCell ref="E4:E5"/>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A2:L56"/>
  <sheetViews>
    <sheetView topLeftCell="A40" workbookViewId="0">
      <selection activeCell="K46" sqref="K46"/>
    </sheetView>
  </sheetViews>
  <sheetFormatPr baseColWidth="10" defaultColWidth="10.88671875" defaultRowHeight="14.4" x14ac:dyDescent="0.3"/>
  <sheetData>
    <row r="2" spans="3:10" ht="15" thickBot="1" x14ac:dyDescent="0.35"/>
    <row r="3" spans="3:10" x14ac:dyDescent="0.3">
      <c r="C3" s="151" t="s">
        <v>156</v>
      </c>
      <c r="D3" s="152">
        <v>1</v>
      </c>
      <c r="E3" s="148"/>
      <c r="F3" s="148"/>
      <c r="G3" s="148"/>
      <c r="H3" s="149"/>
    </row>
    <row r="4" spans="3:10" x14ac:dyDescent="0.3">
      <c r="C4" s="153" t="s">
        <v>157</v>
      </c>
      <c r="D4" s="154" t="s">
        <v>179</v>
      </c>
      <c r="H4" s="150"/>
    </row>
    <row r="5" spans="3:10" ht="15" thickBot="1" x14ac:dyDescent="0.35">
      <c r="C5" s="153"/>
      <c r="D5" s="154"/>
      <c r="H5" s="150"/>
      <c r="I5" s="104"/>
      <c r="J5" s="104"/>
    </row>
    <row r="6" spans="3:10" x14ac:dyDescent="0.3">
      <c r="C6" s="223" t="s">
        <v>180</v>
      </c>
      <c r="D6" s="224"/>
      <c r="E6" s="224"/>
      <c r="F6" s="224"/>
      <c r="G6" s="224"/>
      <c r="H6" s="225"/>
      <c r="I6" s="104"/>
      <c r="J6" s="104"/>
    </row>
    <row r="7" spans="3:10" x14ac:dyDescent="0.3">
      <c r="C7" s="226"/>
      <c r="D7" s="227"/>
      <c r="E7" s="227"/>
      <c r="F7" s="227"/>
      <c r="G7" s="227"/>
      <c r="H7" s="228"/>
      <c r="I7" s="104"/>
      <c r="J7" s="104"/>
    </row>
    <row r="8" spans="3:10" ht="15" thickBot="1" x14ac:dyDescent="0.35">
      <c r="C8" s="229"/>
      <c r="D8" s="230"/>
      <c r="E8" s="230"/>
      <c r="F8" s="230"/>
      <c r="G8" s="230"/>
      <c r="H8" s="231"/>
      <c r="I8" s="104"/>
      <c r="J8" s="104"/>
    </row>
    <row r="9" spans="3:10" x14ac:dyDescent="0.3">
      <c r="C9" s="104"/>
      <c r="D9" s="104"/>
      <c r="E9" s="104"/>
    </row>
    <row r="10" spans="3:10" ht="15" thickBot="1" x14ac:dyDescent="0.35">
      <c r="C10" s="104"/>
      <c r="D10" s="104"/>
    </row>
    <row r="11" spans="3:10" x14ac:dyDescent="0.3">
      <c r="C11" s="158" t="s">
        <v>156</v>
      </c>
      <c r="D11" s="159">
        <f>D3+1</f>
        <v>2</v>
      </c>
      <c r="E11" s="148"/>
      <c r="F11" s="148"/>
      <c r="G11" s="148"/>
      <c r="H11" s="149"/>
    </row>
    <row r="12" spans="3:10" x14ac:dyDescent="0.3">
      <c r="C12" s="160" t="s">
        <v>157</v>
      </c>
      <c r="D12" s="161" t="s">
        <v>181</v>
      </c>
      <c r="H12" s="150"/>
    </row>
    <row r="13" spans="3:10" ht="15" thickBot="1" x14ac:dyDescent="0.35">
      <c r="C13" s="160"/>
      <c r="D13" s="161"/>
      <c r="H13" s="150"/>
    </row>
    <row r="14" spans="3:10" x14ac:dyDescent="0.3">
      <c r="C14" s="223" t="s">
        <v>182</v>
      </c>
      <c r="D14" s="224"/>
      <c r="E14" s="224"/>
      <c r="F14" s="224"/>
      <c r="G14" s="224"/>
      <c r="H14" s="225"/>
    </row>
    <row r="15" spans="3:10" x14ac:dyDescent="0.3">
      <c r="C15" s="226"/>
      <c r="D15" s="227"/>
      <c r="E15" s="227"/>
      <c r="F15" s="227"/>
      <c r="G15" s="227"/>
      <c r="H15" s="228"/>
    </row>
    <row r="16" spans="3:10" ht="67.8" customHeight="1" thickBot="1" x14ac:dyDescent="0.35">
      <c r="C16" s="229"/>
      <c r="D16" s="230"/>
      <c r="E16" s="230"/>
      <c r="F16" s="230"/>
      <c r="G16" s="230"/>
      <c r="H16" s="231"/>
    </row>
    <row r="18" spans="3:8" ht="15" thickBot="1" x14ac:dyDescent="0.35"/>
    <row r="19" spans="3:8" x14ac:dyDescent="0.3">
      <c r="C19" s="167" t="s">
        <v>156</v>
      </c>
      <c r="D19" s="168">
        <f>D11+1</f>
        <v>3</v>
      </c>
      <c r="E19" s="148"/>
      <c r="F19" s="148"/>
      <c r="G19" s="148"/>
      <c r="H19" s="149"/>
    </row>
    <row r="20" spans="3:8" x14ac:dyDescent="0.3">
      <c r="C20" s="169" t="s">
        <v>157</v>
      </c>
      <c r="D20" s="170" t="s">
        <v>183</v>
      </c>
      <c r="H20" s="150"/>
    </row>
    <row r="21" spans="3:8" ht="15" thickBot="1" x14ac:dyDescent="0.35">
      <c r="C21" s="169"/>
      <c r="D21" s="170"/>
      <c r="H21" s="150"/>
    </row>
    <row r="22" spans="3:8" x14ac:dyDescent="0.3">
      <c r="C22" s="223" t="s">
        <v>184</v>
      </c>
      <c r="D22" s="224"/>
      <c r="E22" s="224"/>
      <c r="F22" s="224"/>
      <c r="G22" s="224"/>
      <c r="H22" s="225"/>
    </row>
    <row r="23" spans="3:8" x14ac:dyDescent="0.3">
      <c r="C23" s="226"/>
      <c r="D23" s="227"/>
      <c r="E23" s="227"/>
      <c r="F23" s="227"/>
      <c r="G23" s="227"/>
      <c r="H23" s="228"/>
    </row>
    <row r="24" spans="3:8" ht="15" thickBot="1" x14ac:dyDescent="0.35">
      <c r="C24" s="229"/>
      <c r="D24" s="230"/>
      <c r="E24" s="230"/>
      <c r="F24" s="230"/>
      <c r="G24" s="230"/>
      <c r="H24" s="231"/>
    </row>
    <row r="26" spans="3:8" ht="15" thickBot="1" x14ac:dyDescent="0.35"/>
    <row r="27" spans="3:8" x14ac:dyDescent="0.3">
      <c r="C27" s="172" t="s">
        <v>156</v>
      </c>
      <c r="D27" s="8">
        <f>D19+1</f>
        <v>4</v>
      </c>
      <c r="E27" s="148"/>
      <c r="F27" s="148"/>
      <c r="G27" s="148"/>
      <c r="H27" s="149"/>
    </row>
    <row r="28" spans="3:8" x14ac:dyDescent="0.3">
      <c r="C28" s="173" t="s">
        <v>157</v>
      </c>
      <c r="D28" s="174" t="s">
        <v>185</v>
      </c>
      <c r="H28" s="150"/>
    </row>
    <row r="29" spans="3:8" ht="15" thickBot="1" x14ac:dyDescent="0.35">
      <c r="C29" s="173"/>
      <c r="D29" s="174"/>
      <c r="H29" s="150"/>
    </row>
    <row r="30" spans="3:8" x14ac:dyDescent="0.3">
      <c r="C30" s="223" t="s">
        <v>186</v>
      </c>
      <c r="D30" s="224"/>
      <c r="E30" s="224"/>
      <c r="F30" s="224"/>
      <c r="G30" s="224"/>
      <c r="H30" s="225"/>
    </row>
    <row r="31" spans="3:8" x14ac:dyDescent="0.3">
      <c r="C31" s="226"/>
      <c r="D31" s="227"/>
      <c r="E31" s="227"/>
      <c r="F31" s="227"/>
      <c r="G31" s="227"/>
      <c r="H31" s="228"/>
    </row>
    <row r="32" spans="3:8" ht="15" thickBot="1" x14ac:dyDescent="0.35">
      <c r="C32" s="229"/>
      <c r="D32" s="230"/>
      <c r="E32" s="230"/>
      <c r="F32" s="230"/>
      <c r="G32" s="230"/>
      <c r="H32" s="231"/>
    </row>
    <row r="34" spans="1:12" ht="15" thickBot="1" x14ac:dyDescent="0.35"/>
    <row r="35" spans="1:12" x14ac:dyDescent="0.3">
      <c r="C35" s="158" t="s">
        <v>156</v>
      </c>
      <c r="D35" s="159">
        <f>D27+1</f>
        <v>5</v>
      </c>
      <c r="E35" s="148"/>
      <c r="F35" s="148"/>
      <c r="G35" s="148"/>
      <c r="H35" s="149"/>
      <c r="I35" s="232" t="s">
        <v>189</v>
      </c>
      <c r="J35" s="233"/>
      <c r="K35" s="233"/>
      <c r="L35" s="233"/>
    </row>
    <row r="36" spans="1:12" x14ac:dyDescent="0.3">
      <c r="C36" s="160" t="s">
        <v>157</v>
      </c>
      <c r="D36" s="161" t="s">
        <v>187</v>
      </c>
      <c r="H36" s="150"/>
      <c r="I36" s="232"/>
      <c r="J36" s="233"/>
      <c r="K36" s="233"/>
      <c r="L36" s="233"/>
    </row>
    <row r="37" spans="1:12" ht="15" thickBot="1" x14ac:dyDescent="0.35">
      <c r="C37" s="160"/>
      <c r="D37" s="161"/>
      <c r="H37" s="150"/>
      <c r="I37" s="232"/>
      <c r="J37" s="233"/>
      <c r="K37" s="233"/>
      <c r="L37" s="233"/>
    </row>
    <row r="38" spans="1:12" x14ac:dyDescent="0.3">
      <c r="C38" s="223" t="s">
        <v>188</v>
      </c>
      <c r="D38" s="224"/>
      <c r="E38" s="224"/>
      <c r="F38" s="224"/>
      <c r="G38" s="224"/>
      <c r="H38" s="225"/>
      <c r="I38" s="232"/>
      <c r="J38" s="233"/>
      <c r="K38" s="233"/>
      <c r="L38" s="233"/>
    </row>
    <row r="39" spans="1:12" x14ac:dyDescent="0.3">
      <c r="C39" s="226"/>
      <c r="D39" s="227"/>
      <c r="E39" s="227"/>
      <c r="F39" s="227"/>
      <c r="G39" s="227"/>
      <c r="H39" s="228"/>
      <c r="I39" s="232"/>
      <c r="J39" s="233"/>
      <c r="K39" s="233"/>
      <c r="L39" s="233"/>
    </row>
    <row r="40" spans="1:12" ht="34.200000000000003" customHeight="1" thickBot="1" x14ac:dyDescent="0.35">
      <c r="C40" s="229"/>
      <c r="D40" s="230"/>
      <c r="E40" s="230"/>
      <c r="F40" s="230"/>
      <c r="G40" s="230"/>
      <c r="H40" s="231"/>
      <c r="I40" s="232"/>
      <c r="J40" s="233"/>
      <c r="K40" s="233"/>
      <c r="L40" s="233"/>
    </row>
    <row r="42" spans="1:12" ht="15" thickBot="1" x14ac:dyDescent="0.35">
      <c r="A42" s="125"/>
    </row>
    <row r="43" spans="1:12" x14ac:dyDescent="0.3">
      <c r="C43" s="176" t="s">
        <v>156</v>
      </c>
      <c r="D43" s="177">
        <f>D35+1</f>
        <v>6</v>
      </c>
      <c r="E43" s="148"/>
      <c r="F43" s="148"/>
      <c r="G43" s="148"/>
      <c r="H43" s="149"/>
    </row>
    <row r="44" spans="1:12" x14ac:dyDescent="0.3">
      <c r="C44" s="178" t="s">
        <v>157</v>
      </c>
      <c r="D44" s="179" t="s">
        <v>190</v>
      </c>
      <c r="H44" s="150"/>
    </row>
    <row r="45" spans="1:12" ht="15" thickBot="1" x14ac:dyDescent="0.35">
      <c r="C45" s="178"/>
      <c r="D45" s="179"/>
      <c r="H45" s="150"/>
    </row>
    <row r="46" spans="1:12" x14ac:dyDescent="0.3">
      <c r="C46" s="223" t="s">
        <v>191</v>
      </c>
      <c r="D46" s="224"/>
      <c r="E46" s="224"/>
      <c r="F46" s="224"/>
      <c r="G46" s="224"/>
      <c r="H46" s="225"/>
    </row>
    <row r="47" spans="1:12" x14ac:dyDescent="0.3">
      <c r="C47" s="226"/>
      <c r="D47" s="227"/>
      <c r="E47" s="227"/>
      <c r="F47" s="227"/>
      <c r="G47" s="227"/>
      <c r="H47" s="228"/>
    </row>
    <row r="48" spans="1:12" ht="15" thickBot="1" x14ac:dyDescent="0.35">
      <c r="C48" s="229"/>
      <c r="D48" s="230"/>
      <c r="E48" s="230"/>
      <c r="F48" s="230"/>
      <c r="G48" s="230"/>
      <c r="H48" s="231"/>
    </row>
    <row r="50" spans="3:8" ht="15" thickBot="1" x14ac:dyDescent="0.35"/>
    <row r="51" spans="3:8" x14ac:dyDescent="0.3">
      <c r="C51" s="181" t="s">
        <v>156</v>
      </c>
      <c r="D51" s="182">
        <f>D43+1</f>
        <v>7</v>
      </c>
      <c r="E51" s="148"/>
      <c r="F51" s="148"/>
      <c r="G51" s="148"/>
      <c r="H51" s="149"/>
    </row>
    <row r="52" spans="3:8" x14ac:dyDescent="0.3">
      <c r="C52" s="183" t="s">
        <v>157</v>
      </c>
      <c r="D52" s="184" t="s">
        <v>190</v>
      </c>
      <c r="H52" s="150"/>
    </row>
    <row r="53" spans="3:8" ht="15" thickBot="1" x14ac:dyDescent="0.35">
      <c r="C53" s="183"/>
      <c r="D53" s="184"/>
      <c r="H53" s="150"/>
    </row>
    <row r="54" spans="3:8" x14ac:dyDescent="0.3">
      <c r="C54" s="223" t="s">
        <v>193</v>
      </c>
      <c r="D54" s="224"/>
      <c r="E54" s="224"/>
      <c r="F54" s="224"/>
      <c r="G54" s="224"/>
      <c r="H54" s="225"/>
    </row>
    <row r="55" spans="3:8" x14ac:dyDescent="0.3">
      <c r="C55" s="226"/>
      <c r="D55" s="227"/>
      <c r="E55" s="227"/>
      <c r="F55" s="227"/>
      <c r="G55" s="227"/>
      <c r="H55" s="228"/>
    </row>
    <row r="56" spans="3:8" ht="67.2" customHeight="1" thickBot="1" x14ac:dyDescent="0.35">
      <c r="C56" s="229"/>
      <c r="D56" s="230"/>
      <c r="E56" s="230"/>
      <c r="F56" s="230"/>
      <c r="G56" s="230"/>
      <c r="H56" s="231"/>
    </row>
  </sheetData>
  <mergeCells count="8">
    <mergeCell ref="C54:H56"/>
    <mergeCell ref="I35:L40"/>
    <mergeCell ref="C46:H48"/>
    <mergeCell ref="C6:H8"/>
    <mergeCell ref="C14:H16"/>
    <mergeCell ref="C22:H24"/>
    <mergeCell ref="C30:H32"/>
    <mergeCell ref="C38:H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F67-58D9-44B8-9885-F86EBBDE6C60}">
  <dimension ref="A1"/>
  <sheetViews>
    <sheetView workbookViewId="0">
      <selection activeCell="D15" sqref="D15"/>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2026-06-04T12:48:42Z</cp:lastPrinted>
  <dcterms:created xsi:type="dcterms:W3CDTF">2023-09-17T12:29:07Z</dcterms:created>
  <dcterms:modified xsi:type="dcterms:W3CDTF">2026-07-03T01:50:11Z</dcterms:modified>
</cp:coreProperties>
</file>