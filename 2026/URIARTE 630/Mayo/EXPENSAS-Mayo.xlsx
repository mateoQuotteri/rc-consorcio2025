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URIARTE 630\Mayo\"/>
    </mc:Choice>
  </mc:AlternateContent>
  <xr:revisionPtr revIDLastSave="0" documentId="13_ncr:1_{288A70F8-6A4C-44E9-9EB4-DCD7543B329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0">'detalle y gastos'!$A$1:$F$31</definedName>
    <definedName name="_xlnm.Print_Area" localSheetId="1">'prorrateo '!$A$1:$M$122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" i="1" l="1"/>
  <c r="L2" i="1"/>
  <c r="F5" i="1"/>
  <c r="C23" i="3"/>
  <c r="J7" i="1" l="1"/>
  <c r="J8" i="1"/>
  <c r="J9" i="1"/>
  <c r="J6" i="1"/>
  <c r="J10" i="1" s="1"/>
  <c r="I6" i="1"/>
  <c r="C28" i="3"/>
  <c r="C12" i="3" l="1"/>
  <c r="C19" i="3" s="1"/>
  <c r="F8" i="1" l="1"/>
  <c r="A2" i="1" l="1"/>
  <c r="L4" i="1" s="1"/>
  <c r="I7" i="1" l="1"/>
  <c r="I8" i="1"/>
  <c r="I9" i="1"/>
  <c r="I5" i="1"/>
  <c r="B10" i="1"/>
  <c r="I10" i="1" l="1"/>
  <c r="E44" i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A1" i="1"/>
  <c r="L8" i="1" l="1"/>
  <c r="M8" i="1" s="1"/>
  <c r="L7" i="1"/>
  <c r="M7" i="1" s="1"/>
  <c r="M9" i="1"/>
  <c r="J5" i="1"/>
  <c r="E10" i="1"/>
  <c r="F10" i="1" l="1"/>
  <c r="F13" i="3" s="1"/>
  <c r="C27" i="3" l="1"/>
  <c r="H5" i="1" l="1"/>
  <c r="L5" i="1" l="1"/>
  <c r="M5" i="1" s="1"/>
  <c r="C24" i="3"/>
  <c r="H6" i="1"/>
  <c r="L6" i="1" s="1"/>
  <c r="F14" i="3" l="1"/>
  <c r="C30" i="3"/>
  <c r="C29" i="3"/>
  <c r="M6" i="1"/>
  <c r="L10" i="1"/>
  <c r="F19" i="3" l="1"/>
  <c r="D10" i="1"/>
  <c r="G10" i="1" l="1"/>
  <c r="H10" i="1"/>
  <c r="M10" i="1" l="1"/>
  <c r="H49" i="1"/>
</calcChain>
</file>

<file path=xl/sharedStrings.xml><?xml version="1.0" encoding="utf-8"?>
<sst xmlns="http://schemas.openxmlformats.org/spreadsheetml/2006/main" count="145" uniqueCount="74">
  <si>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</si>
  <si>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</si>
  <si>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</si>
  <si>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</si>
  <si>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</si>
  <si>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</si>
  <si>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</si>
  <si>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</si>
  <si>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</si>
  <si>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</si>
  <si>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</si>
  <si>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</si>
  <si>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</si>
  <si>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</si>
  <si>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</si>
  <si>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</si>
  <si>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</si>
  <si>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</si>
  <si>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</si>
  <si>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</si>
  <si>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</si>
  <si>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</si>
  <si>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</si>
  <si>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</si>
  <si>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</si>
  <si>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</si>
  <si>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</si>
  <si>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</si>
  <si>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</si>
  <si>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</si>
  <si>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</si>
  <si>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</si>
  <si>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</si>
  <si>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</si>
  <si>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</si>
  <si>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</si>
  <si>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</si>
  <si>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</si>
  <si>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</si>
  <si>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</si>
  <si>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</si>
  <si>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</si>
  <si>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</si>
  <si>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</si>
  <si>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</si>
  <si>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</si>
  <si>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</si>
  <si>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</si>
  <si>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</si>
  <si>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</si>
  <si>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</si>
  <si>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</si>
  <si>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</si>
  <si>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</si>
  <si>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</si>
  <si>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</si>
  <si>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</si>
  <si>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Egreso del mes</t>
  </si>
  <si>
    <t>SUBTOTAL</t>
  </si>
  <si>
    <t>Expensas ordinarias</t>
  </si>
  <si>
    <t>Multas</t>
  </si>
  <si>
    <t>Subidos en Abr1l 2026</t>
  </si>
  <si>
    <t>Prevision ordinaria</t>
  </si>
  <si>
    <t>EDESUR:</t>
  </si>
  <si>
    <t>Edesur</t>
  </si>
  <si>
    <t>Vto. 18/06</t>
  </si>
  <si>
    <t>Liquidacion mes de MAYO</t>
  </si>
  <si>
    <t>AYSA  VTO 05/05/2026</t>
  </si>
  <si>
    <t>Gastos bancarios</t>
  </si>
  <si>
    <t>Mantenimiento de cuenta bancaria</t>
  </si>
  <si>
    <t>SR PROPIETARIO</t>
  </si>
  <si>
    <t>Recuperacion de intereses por pago fuera de termino a administracion - Mes de Abril - Debido a que la caja inicial pertenece a la administracion</t>
  </si>
  <si>
    <t>TSG - Prevision</t>
  </si>
  <si>
    <t>Se solicita abonar expensas en tiempo y forma ya que de no ser asi no se pueden abonar los impuestos y servicios por falta de regularidad de pagos y la deuda se incrementara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</si>
</sst>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3" xfId="1" applyBorder="1"/>
    <xf numFmtId="0" fontId="1" fillId="5" borderId="0" xfId="0" applyFont="1" applyFill="1"/>
    <xf numFmtId="0" fontId="5" fillId="0" borderId="2" xfId="0" applyFont="1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9" fillId="6" borderId="7" xfId="0" applyFont="1" applyFill="1" applyBorder="1"/>
    <xf numFmtId="0" fontId="9" fillId="6" borderId="8" xfId="0" applyFont="1" applyFill="1" applyBorder="1"/>
    <xf numFmtId="0" fontId="10" fillId="6" borderId="0" xfId="0" applyFont="1" applyFill="1"/>
    <xf numFmtId="0" fontId="10" fillId="6" borderId="6" xfId="0" applyFont="1" applyFill="1" applyBorder="1"/>
    <xf numFmtId="0" fontId="1" fillId="0" borderId="13" xfId="0" applyFont="1" applyBorder="1"/>
    <xf numFmtId="164" fontId="10" fillId="0" borderId="14" xfId="2" applyFont="1" applyBorder="1"/>
    <xf numFmtId="0" fontId="1" fillId="0" borderId="11" xfId="0" applyFont="1" applyBorder="1"/>
    <xf numFmtId="164" fontId="9" fillId="0" borderId="15" xfId="2" applyFont="1" applyBorder="1"/>
    <xf numFmtId="0" fontId="9" fillId="2" borderId="7" xfId="0" applyFont="1" applyFill="1" applyBorder="1"/>
    <xf numFmtId="0" fontId="9" fillId="2" borderId="8" xfId="0" applyFont="1" applyFill="1" applyBorder="1"/>
    <xf numFmtId="0" fontId="1" fillId="6" borderId="0" xfId="0" applyFont="1" applyFill="1"/>
    <xf numFmtId="0" fontId="8" fillId="4" borderId="10" xfId="0" applyFont="1" applyFill="1" applyBorder="1"/>
    <xf numFmtId="0" fontId="0" fillId="0" borderId="8" xfId="0" applyBorder="1"/>
    <xf numFmtId="4" fontId="10" fillId="0" borderId="1" xfId="0" applyNumberFormat="1" applyFont="1" applyBorder="1"/>
    <xf numFmtId="164" fontId="1" fillId="2" borderId="5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9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0" xfId="0" applyFont="1"/>
    <xf numFmtId="0" fontId="13" fillId="0" borderId="23" xfId="0" applyFont="1" applyBorder="1"/>
    <xf numFmtId="0" fontId="13" fillId="0" borderId="24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1" xfId="0" applyFont="1" applyBorder="1"/>
    <xf numFmtId="4" fontId="13" fillId="0" borderId="0" xfId="0" applyNumberFormat="1" applyFont="1"/>
    <xf numFmtId="0" fontId="13" fillId="0" borderId="6" xfId="0" applyFont="1" applyBorder="1"/>
    <xf numFmtId="0" fontId="0" fillId="0" borderId="6" xfId="0" applyBorder="1"/>
    <xf numFmtId="0" fontId="12" fillId="0" borderId="0" xfId="0" applyFont="1"/>
    <xf numFmtId="164" fontId="1" fillId="2" borderId="1" xfId="2" applyFont="1" applyFill="1" applyBorder="1"/>
    <xf numFmtId="164" fontId="1" fillId="6" borderId="9" xfId="0" applyNumberFormat="1" applyFont="1" applyFill="1" applyBorder="1"/>
    <xf numFmtId="0" fontId="0" fillId="0" borderId="9" xfId="0" applyBorder="1"/>
    <xf numFmtId="164" fontId="0" fillId="6" borderId="12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3" xfId="0" applyFill="1" applyBorder="1"/>
    <xf numFmtId="0" fontId="1" fillId="2" borderId="33" xfId="0" applyFont="1" applyFill="1" applyBorder="1"/>
    <xf numFmtId="17" fontId="1" fillId="2" borderId="34" xfId="0" applyNumberFormat="1" applyFont="1" applyFill="1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3" fontId="0" fillId="0" borderId="35" xfId="0" applyNumberFormat="1" applyBorder="1"/>
    <xf numFmtId="0" fontId="1" fillId="3" borderId="36" xfId="0" applyFont="1" applyFill="1" applyBorder="1" applyAlignment="1">
      <alignment horizontal="left"/>
    </xf>
    <xf numFmtId="0" fontId="0" fillId="3" borderId="37" xfId="0" applyFill="1" applyBorder="1" applyAlignment="1">
      <alignment horizontal="center"/>
    </xf>
    <xf numFmtId="0" fontId="0" fillId="3" borderId="37" xfId="0" applyFill="1" applyBorder="1"/>
    <xf numFmtId="165" fontId="1" fillId="3" borderId="37" xfId="0" applyNumberFormat="1" applyFont="1" applyFill="1" applyBorder="1"/>
    <xf numFmtId="166" fontId="1" fillId="3" borderId="37" xfId="2" applyNumberFormat="1" applyFont="1" applyFill="1" applyBorder="1"/>
    <xf numFmtId="3" fontId="1" fillId="3" borderId="37" xfId="2" applyNumberFormat="1" applyFont="1" applyFill="1" applyBorder="1"/>
    <xf numFmtId="166" fontId="1" fillId="3" borderId="15" xfId="2" applyNumberFormat="1" applyFont="1" applyFill="1" applyBorder="1"/>
    <xf numFmtId="0" fontId="0" fillId="0" borderId="34" xfId="0" applyBorder="1"/>
    <xf numFmtId="164" fontId="10" fillId="0" borderId="35" xfId="2" applyFont="1" applyBorder="1"/>
    <xf numFmtId="4" fontId="0" fillId="0" borderId="35" xfId="0" applyNumberFormat="1" applyBorder="1"/>
    <xf numFmtId="4" fontId="10" fillId="6" borderId="1" xfId="0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168" fontId="13" fillId="8" borderId="16" xfId="0" applyNumberFormat="1" applyFont="1" applyFill="1" applyBorder="1" applyAlignment="1">
      <alignment horizontal="center"/>
    </xf>
    <xf numFmtId="0" fontId="10" fillId="0" borderId="1" xfId="0" applyFont="1" applyBorder="1"/>
    <xf numFmtId="16" fontId="10" fillId="0" borderId="1" xfId="0" applyNumberFormat="1" applyFont="1" applyBorder="1"/>
    <xf numFmtId="0" fontId="10" fillId="2" borderId="1" xfId="0" applyFont="1" applyFill="1" applyBorder="1"/>
    <xf numFmtId="4" fontId="15" fillId="0" borderId="1" xfId="0" applyNumberFormat="1" applyFont="1" applyBorder="1"/>
    <xf numFmtId="4" fontId="0" fillId="6" borderId="1" xfId="0" applyNumberFormat="1" applyFill="1" applyBorder="1"/>
    <xf numFmtId="169" fontId="1" fillId="6" borderId="12" xfId="2" applyNumberFormat="1" applyFont="1" applyFill="1" applyBorder="1"/>
    <xf numFmtId="0" fontId="0" fillId="0" borderId="1" xfId="0" applyFont="1" applyBorder="1"/>
    <xf numFmtId="164" fontId="15" fillId="6" borderId="35" xfId="2" applyFont="1" applyFill="1" applyBorder="1"/>
    <xf numFmtId="0" fontId="8" fillId="4" borderId="42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7" fillId="0" borderId="45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164" fontId="15" fillId="0" borderId="55" xfId="2" applyFont="1" applyBorder="1" applyAlignment="1">
      <alignment horizontal="center"/>
    </xf>
    <xf numFmtId="164" fontId="15" fillId="0" borderId="56" xfId="2" applyFont="1" applyBorder="1" applyAlignment="1">
      <alignment horizontal="center"/>
    </xf>
    <xf numFmtId="0" fontId="1" fillId="9" borderId="47" xfId="0" quotePrefix="1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3" fillId="0" borderId="29" xfId="0" applyFont="1" applyBorder="1"/>
    <xf numFmtId="0" fontId="12" fillId="0" borderId="30" xfId="0" applyFont="1" applyBorder="1"/>
    <xf numFmtId="0" fontId="13" fillId="0" borderId="20" xfId="0" applyFont="1" applyBorder="1" applyAlignment="1">
      <alignment horizontal="center"/>
    </xf>
    <xf numFmtId="0" fontId="12" fillId="0" borderId="21" xfId="0" applyFont="1" applyBorder="1"/>
    <xf numFmtId="0" fontId="11" fillId="7" borderId="16" xfId="0" applyFont="1" applyFill="1" applyBorder="1" applyAlignment="1">
      <alignment horizontal="center"/>
    </xf>
    <xf numFmtId="0" fontId="12" fillId="0" borderId="17" xfId="0" applyFont="1" applyBorder="1"/>
    <xf numFmtId="0" fontId="14" fillId="0" borderId="16" xfId="0" applyFont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2" fillId="0" borderId="26" xfId="0" applyFont="1" applyBorder="1"/>
    <xf numFmtId="0" fontId="13" fillId="0" borderId="20" xfId="0" applyFont="1" applyBorder="1"/>
    <xf numFmtId="0" fontId="1" fillId="2" borderId="38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164" fontId="1" fillId="2" borderId="38" xfId="2" applyFont="1" applyFill="1" applyBorder="1" applyAlignment="1">
      <alignment horizontal="center"/>
    </xf>
    <xf numFmtId="164" fontId="1" fillId="2" borderId="41" xfId="2" applyFont="1" applyFill="1" applyBorder="1" applyAlignment="1">
      <alignment horizontal="center"/>
    </xf>
    <xf numFmtId="17" fontId="1" fillId="2" borderId="32" xfId="0" applyNumberFormat="1" applyFont="1" applyFill="1" applyBorder="1" applyAlignment="1">
      <alignment horizontal="left"/>
    </xf>
    <xf numFmtId="17" fontId="1" fillId="2" borderId="33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164" fontId="1" fillId="2" borderId="7" xfId="2" applyFont="1" applyFill="1" applyBorder="1" applyAlignment="1">
      <alignment horizontal="center"/>
    </xf>
    <xf numFmtId="164" fontId="1" fillId="2" borderId="57" xfId="2" applyFont="1" applyFill="1" applyBorder="1" applyAlignment="1">
      <alignment horizontal="center"/>
    </xf>
    <xf numFmtId="4" fontId="15" fillId="0" borderId="35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8"/>
  <sheetViews>
    <sheetView topLeftCell="A7" workbookViewId="0">
      <selection activeCell="A27" sqref="A27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14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26</v>
      </c>
      <c r="B7" s="17"/>
      <c r="C7" s="35"/>
      <c r="D7" s="35"/>
      <c r="E7" s="17" t="s">
        <v>66</v>
      </c>
      <c r="F7" s="46" t="s">
        <v>65</v>
      </c>
    </row>
    <row r="8" spans="1:6" x14ac:dyDescent="0.25">
      <c r="A8" s="2"/>
      <c r="B8" s="2"/>
      <c r="C8" s="2"/>
      <c r="D8" s="2"/>
      <c r="E8" s="2"/>
      <c r="F8" s="2"/>
    </row>
    <row r="10" spans="1:6" ht="15.75" thickBot="1" x14ac:dyDescent="0.3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04" t="s">
        <v>16</v>
      </c>
      <c r="F11" s="105"/>
    </row>
    <row r="12" spans="1:6" x14ac:dyDescent="0.25">
      <c r="A12" s="40" t="s">
        <v>31</v>
      </c>
      <c r="B12" s="96"/>
      <c r="C12" s="91">
        <f>86199+86199*6%</f>
        <v>91370.94</v>
      </c>
      <c r="D12" s="4"/>
      <c r="E12" s="29" t="s">
        <v>20</v>
      </c>
      <c r="F12" s="30">
        <v>-831053.26022400614</v>
      </c>
    </row>
    <row r="13" spans="1:6" x14ac:dyDescent="0.25">
      <c r="A13" s="40" t="s">
        <v>32</v>
      </c>
      <c r="B13" s="96"/>
      <c r="C13" s="91">
        <v>4519.7749999999996</v>
      </c>
      <c r="D13" s="4"/>
      <c r="E13" s="88" t="s">
        <v>56</v>
      </c>
      <c r="F13" s="89">
        <f>'prorrateo '!F10</f>
        <v>992505.79330000002</v>
      </c>
    </row>
    <row r="14" spans="1:6" x14ac:dyDescent="0.25">
      <c r="A14" s="47" t="s">
        <v>72</v>
      </c>
      <c r="B14" s="96"/>
      <c r="C14" s="38">
        <v>200000</v>
      </c>
      <c r="D14" s="24"/>
      <c r="E14" s="88" t="s">
        <v>57</v>
      </c>
      <c r="F14" s="103">
        <f>-C24</f>
        <v>-570606.14500000002</v>
      </c>
    </row>
    <row r="15" spans="1:6" ht="15" customHeight="1" x14ac:dyDescent="0.25">
      <c r="A15" s="47" t="s">
        <v>49</v>
      </c>
      <c r="B15" s="96"/>
      <c r="C15" s="38">
        <v>162057</v>
      </c>
      <c r="D15" s="24"/>
      <c r="E15" s="106" t="s">
        <v>71</v>
      </c>
      <c r="F15" s="108">
        <v>-31474</v>
      </c>
    </row>
    <row r="16" spans="1:6" x14ac:dyDescent="0.25">
      <c r="A16" s="47" t="s">
        <v>67</v>
      </c>
      <c r="B16" s="97"/>
      <c r="C16" s="91">
        <v>36610.43</v>
      </c>
      <c r="E16" s="107"/>
      <c r="F16" s="109"/>
    </row>
    <row r="17" spans="1:7" x14ac:dyDescent="0.25">
      <c r="A17" s="47" t="s">
        <v>30</v>
      </c>
      <c r="B17" s="96"/>
      <c r="C17" s="91">
        <v>76048</v>
      </c>
      <c r="D17" s="4"/>
      <c r="E17" s="88" t="s">
        <v>64</v>
      </c>
      <c r="F17" s="145">
        <v>-315745.03999999998</v>
      </c>
      <c r="G17" t="s">
        <v>61</v>
      </c>
    </row>
    <row r="18" spans="1:7" x14ac:dyDescent="0.25">
      <c r="A18" s="47" t="s">
        <v>55</v>
      </c>
      <c r="B18" s="96"/>
      <c r="C18" s="91">
        <v>0</v>
      </c>
      <c r="E18" s="88"/>
      <c r="F18" s="90"/>
    </row>
    <row r="19" spans="1:7" ht="15.75" thickBot="1" x14ac:dyDescent="0.3">
      <c r="A19" s="21" t="s">
        <v>58</v>
      </c>
      <c r="B19" s="98"/>
      <c r="C19" s="92">
        <f>SUM(C12:C18)</f>
        <v>570606.14500000002</v>
      </c>
      <c r="D19" s="10"/>
      <c r="E19" s="31" t="s">
        <v>21</v>
      </c>
      <c r="F19" s="32">
        <f>SUM(F12:F17)</f>
        <v>-756372.65192400618</v>
      </c>
    </row>
    <row r="20" spans="1:7" x14ac:dyDescent="0.25">
      <c r="A20" s="43" t="s">
        <v>15</v>
      </c>
      <c r="B20" s="96"/>
      <c r="C20" s="93"/>
      <c r="D20" s="4"/>
      <c r="E20" s="12"/>
      <c r="F20" s="13"/>
    </row>
    <row r="21" spans="1:7" x14ac:dyDescent="0.25">
      <c r="A21" s="102" t="s">
        <v>69</v>
      </c>
      <c r="B21" s="96"/>
      <c r="C21" s="93"/>
      <c r="D21" s="4"/>
      <c r="E21" s="12"/>
      <c r="F21" s="13"/>
    </row>
    <row r="22" spans="1:7" x14ac:dyDescent="0.25">
      <c r="A22" s="47" t="s">
        <v>68</v>
      </c>
      <c r="B22" s="96"/>
      <c r="C22" s="99"/>
      <c r="D22" s="4"/>
    </row>
    <row r="23" spans="1:7" x14ac:dyDescent="0.25">
      <c r="A23" s="21" t="s">
        <v>58</v>
      </c>
      <c r="B23" s="22"/>
      <c r="C23" s="39">
        <f>SUM(C20:C22)</f>
        <v>0</v>
      </c>
      <c r="D23" s="4"/>
      <c r="G23" s="5"/>
    </row>
    <row r="24" spans="1:7" x14ac:dyDescent="0.25">
      <c r="A24" s="25" t="s">
        <v>11</v>
      </c>
      <c r="B24" s="26"/>
      <c r="C24" s="68">
        <f>+C23+C19</f>
        <v>570606.14500000002</v>
      </c>
      <c r="D24" s="4"/>
    </row>
    <row r="25" spans="1:7" ht="14.25" customHeight="1" x14ac:dyDescent="0.25">
      <c r="A25" s="36" t="s">
        <v>18</v>
      </c>
      <c r="B25" s="37"/>
      <c r="C25" s="69"/>
    </row>
    <row r="26" spans="1:7" ht="14.25" customHeight="1" x14ac:dyDescent="0.25">
      <c r="A26" s="28"/>
      <c r="B26" s="27"/>
      <c r="C26" s="70">
        <v>0</v>
      </c>
      <c r="F26" s="5"/>
    </row>
    <row r="27" spans="1:7" x14ac:dyDescent="0.25">
      <c r="A27" s="33" t="s">
        <v>17</v>
      </c>
      <c r="B27" s="34"/>
      <c r="C27" s="45">
        <f>SUM(C26:C26)</f>
        <v>0</v>
      </c>
    </row>
    <row r="28" spans="1:7" x14ac:dyDescent="0.25">
      <c r="A28" t="s">
        <v>62</v>
      </c>
      <c r="C28" s="70">
        <f>1200000-627830.21</f>
        <v>572169.79</v>
      </c>
      <c r="F28" s="5"/>
    </row>
    <row r="29" spans="1:7" x14ac:dyDescent="0.25">
      <c r="A29" s="4" t="s">
        <v>24</v>
      </c>
      <c r="C29" s="101">
        <f>C28+C24</f>
        <v>1142775.9350000001</v>
      </c>
      <c r="F29" s="5"/>
    </row>
    <row r="30" spans="1:7" x14ac:dyDescent="0.25">
      <c r="A30" s="33" t="s">
        <v>12</v>
      </c>
      <c r="B30" s="34"/>
      <c r="C30" s="45">
        <f>+C24+C27</f>
        <v>570606.14500000002</v>
      </c>
      <c r="E30" s="10"/>
    </row>
    <row r="35" spans="4:5" x14ac:dyDescent="0.25">
      <c r="D35" s="5"/>
    </row>
    <row r="36" spans="4:5" x14ac:dyDescent="0.25">
      <c r="D36" s="10"/>
      <c r="E36" s="10"/>
    </row>
    <row r="37" spans="4:5" x14ac:dyDescent="0.25">
      <c r="D37" s="10"/>
      <c r="E37" s="10"/>
    </row>
    <row r="38" spans="4:5" x14ac:dyDescent="0.25">
      <c r="D38" s="10"/>
    </row>
    <row r="39" spans="4:5" x14ac:dyDescent="0.25">
      <c r="D39" s="10"/>
    </row>
    <row r="51" spans="1:3" x14ac:dyDescent="0.25">
      <c r="A51" s="12"/>
      <c r="B51" s="11"/>
      <c r="C51" s="13"/>
    </row>
    <row r="52" spans="1:3" x14ac:dyDescent="0.25">
      <c r="A52" s="11"/>
      <c r="B52" s="11"/>
      <c r="C52" s="11"/>
    </row>
    <row r="53" spans="1:3" x14ac:dyDescent="0.25">
      <c r="A53" s="11"/>
      <c r="B53" s="11"/>
      <c r="C53" s="11"/>
    </row>
    <row r="54" spans="1:3" x14ac:dyDescent="0.25">
      <c r="A54" s="11"/>
      <c r="B54" s="11"/>
      <c r="C54" s="11"/>
    </row>
    <row r="55" spans="1:3" x14ac:dyDescent="0.25">
      <c r="A55" s="11"/>
      <c r="B55" s="11"/>
      <c r="C55" s="11"/>
    </row>
    <row r="56" spans="1:3" x14ac:dyDescent="0.25">
      <c r="A56" s="11"/>
      <c r="B56" s="11"/>
      <c r="C56" s="11"/>
    </row>
    <row r="57" spans="1:3" x14ac:dyDescent="0.25">
      <c r="A57" s="11"/>
      <c r="B57" s="11"/>
      <c r="C57" s="11"/>
    </row>
    <row r="58" spans="1:3" x14ac:dyDescent="0.25">
      <c r="A58" s="11"/>
      <c r="B58" s="11"/>
      <c r="C58" s="11"/>
    </row>
  </sheetData>
  <mergeCells count="3">
    <mergeCell ref="E11:F11"/>
    <mergeCell ref="E15:E16"/>
    <mergeCell ref="F15:F16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tabSelected="1" workbookViewId="0">
      <selection activeCell="A122" sqref="A122"/>
    </sheetView>
  </sheetViews>
  <sheetFormatPr baseColWidth="10" defaultColWidth="10.85546875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2.85546875" customWidth="1"/>
    <col min="8" max="8" width="13.85546875" customWidth="1"/>
    <col min="9" max="9" width="17.7109375" customWidth="1"/>
    <col min="10" max="10" width="15" customWidth="1"/>
    <col min="11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40" t="str">
        <f>'detalle y gastos'!E7</f>
        <v>Liquidacion mes de MAYO</v>
      </c>
      <c r="B1" s="141"/>
      <c r="C1" s="141"/>
      <c r="D1" s="75"/>
      <c r="E1" s="76" t="s">
        <v>25</v>
      </c>
      <c r="F1" s="75"/>
      <c r="G1" s="135" t="s">
        <v>23</v>
      </c>
      <c r="H1" s="136"/>
      <c r="I1" s="136"/>
      <c r="J1" s="137"/>
      <c r="K1" s="94"/>
      <c r="L1" s="138">
        <f>O1</f>
        <v>570606.14500000002</v>
      </c>
      <c r="M1" s="139"/>
      <c r="O1" s="14">
        <v>570606.14500000002</v>
      </c>
      <c r="P1" s="14"/>
    </row>
    <row r="2" spans="1:20" x14ac:dyDescent="0.25">
      <c r="A2" s="77" t="str">
        <f>'detalle y gastos'!F7</f>
        <v>Vto. 18/06</v>
      </c>
      <c r="B2" s="71"/>
      <c r="C2" s="71"/>
      <c r="D2" s="42"/>
      <c r="E2" s="41"/>
      <c r="F2" s="42"/>
      <c r="G2" s="41" t="s">
        <v>63</v>
      </c>
      <c r="H2" s="42"/>
      <c r="I2" s="42"/>
      <c r="J2" s="67"/>
      <c r="K2" s="67"/>
      <c r="L2" s="143">
        <f>-O2</f>
        <v>315745.03999999998</v>
      </c>
      <c r="M2" s="144"/>
      <c r="O2" s="14">
        <v>-315745.03999999998</v>
      </c>
    </row>
    <row r="3" spans="1:20" x14ac:dyDescent="0.25">
      <c r="A3" s="121" t="s">
        <v>0</v>
      </c>
      <c r="B3" s="6" t="s">
        <v>1</v>
      </c>
      <c r="C3" s="119" t="s">
        <v>2</v>
      </c>
      <c r="D3" s="6" t="s">
        <v>4</v>
      </c>
      <c r="E3" s="119" t="s">
        <v>13</v>
      </c>
      <c r="F3" s="119" t="s">
        <v>3</v>
      </c>
      <c r="G3" s="119" t="s">
        <v>22</v>
      </c>
      <c r="H3" s="119" t="s">
        <v>19</v>
      </c>
      <c r="I3" s="123" t="s">
        <v>59</v>
      </c>
      <c r="J3" s="123" t="s">
        <v>64</v>
      </c>
      <c r="K3" s="119" t="s">
        <v>60</v>
      </c>
      <c r="L3" s="6" t="s">
        <v>52</v>
      </c>
      <c r="M3" s="79" t="s">
        <v>54</v>
      </c>
    </row>
    <row r="4" spans="1:20" x14ac:dyDescent="0.25">
      <c r="A4" s="122"/>
      <c r="B4" s="6"/>
      <c r="C4" s="120"/>
      <c r="D4" s="6" t="s">
        <v>5</v>
      </c>
      <c r="E4" s="120"/>
      <c r="F4" s="120"/>
      <c r="G4" s="120"/>
      <c r="H4" s="120"/>
      <c r="I4" s="124"/>
      <c r="J4" s="124"/>
      <c r="K4" s="120"/>
      <c r="L4" s="72" t="str">
        <f>A2</f>
        <v>Vto. 18/06</v>
      </c>
      <c r="M4" s="79" t="s">
        <v>53</v>
      </c>
    </row>
    <row r="5" spans="1:20" x14ac:dyDescent="0.25">
      <c r="A5" s="78">
        <v>1</v>
      </c>
      <c r="B5" s="7">
        <v>0.21</v>
      </c>
      <c r="C5" s="8" t="s">
        <v>70</v>
      </c>
      <c r="D5" s="44">
        <v>0.5</v>
      </c>
      <c r="E5" s="23">
        <v>197711.79329999999</v>
      </c>
      <c r="F5" s="38">
        <f>E5</f>
        <v>197711.79329999999</v>
      </c>
      <c r="G5" s="73">
        <f>E5-F5</f>
        <v>0</v>
      </c>
      <c r="H5" s="74">
        <f>IF(G5&gt;0,G5*8.4%,0)</f>
        <v>0</v>
      </c>
      <c r="I5" s="23">
        <f>L$1*B5</f>
        <v>119827.29045</v>
      </c>
      <c r="J5" s="9">
        <f>J$2*D5</f>
        <v>0</v>
      </c>
      <c r="K5" s="9"/>
      <c r="L5" s="9">
        <f t="shared" ref="L5:L9" si="0">I5+J5+H5+G5+K5</f>
        <v>119827.29045</v>
      </c>
      <c r="M5" s="80">
        <f>L5+L5*4%</f>
        <v>124620.38206800001</v>
      </c>
    </row>
    <row r="6" spans="1:20" x14ac:dyDescent="0.25">
      <c r="A6" s="78">
        <v>2</v>
      </c>
      <c r="B6" s="7">
        <v>0.16</v>
      </c>
      <c r="C6" s="48" t="s">
        <v>47</v>
      </c>
      <c r="D6" s="44">
        <v>0.5</v>
      </c>
      <c r="E6" s="23">
        <v>378528.22389147605</v>
      </c>
      <c r="F6" s="38">
        <v>0</v>
      </c>
      <c r="G6" s="73">
        <f t="shared" ref="G6:G9" si="1">E6-F6</f>
        <v>378528.22389147605</v>
      </c>
      <c r="H6" s="74">
        <f t="shared" ref="H6:H9" si="2">IF(G6&gt;0,G6*8.4%,0)</f>
        <v>31796.370806883991</v>
      </c>
      <c r="I6" s="23">
        <f>L$1*B6</f>
        <v>91296.983200000002</v>
      </c>
      <c r="J6" s="9">
        <f>L$2*B6</f>
        <v>50519.206399999995</v>
      </c>
      <c r="K6" s="9"/>
      <c r="L6" s="9">
        <f t="shared" si="0"/>
        <v>552140.78429836</v>
      </c>
      <c r="M6" s="80">
        <f t="shared" ref="M6:M9" si="3">L6+L6*4%</f>
        <v>574226.41567029443</v>
      </c>
    </row>
    <row r="7" spans="1:20" x14ac:dyDescent="0.25">
      <c r="A7" s="78">
        <v>3</v>
      </c>
      <c r="B7" s="7">
        <v>0.21</v>
      </c>
      <c r="C7" s="48" t="s">
        <v>50</v>
      </c>
      <c r="D7" s="44"/>
      <c r="E7" s="23">
        <v>658164.15737125953</v>
      </c>
      <c r="F7" s="38">
        <v>542794</v>
      </c>
      <c r="G7" s="73">
        <f t="shared" si="1"/>
        <v>115370.15737125953</v>
      </c>
      <c r="H7" s="74">
        <f t="shared" si="2"/>
        <v>9691.093219185801</v>
      </c>
      <c r="I7" s="23">
        <f>L$1*B7</f>
        <v>119827.29045</v>
      </c>
      <c r="J7" s="9">
        <f t="shared" ref="J7:J9" si="4">L$2*B7</f>
        <v>66306.458399999989</v>
      </c>
      <c r="K7" s="100"/>
      <c r="L7" s="9">
        <f>I7+J7+H7+G7+K7</f>
        <v>311194.99944044533</v>
      </c>
      <c r="M7" s="80">
        <f t="shared" si="3"/>
        <v>323642.79941806314</v>
      </c>
    </row>
    <row r="8" spans="1:20" x14ac:dyDescent="0.25">
      <c r="A8" s="78">
        <v>4</v>
      </c>
      <c r="B8" s="7">
        <v>0.21</v>
      </c>
      <c r="C8" s="8" t="s">
        <v>45</v>
      </c>
      <c r="D8" s="44"/>
      <c r="E8" s="23">
        <v>252000</v>
      </c>
      <c r="F8" s="38">
        <f>E8</f>
        <v>252000</v>
      </c>
      <c r="G8" s="73">
        <f t="shared" si="1"/>
        <v>0</v>
      </c>
      <c r="H8" s="74">
        <f t="shared" si="2"/>
        <v>0</v>
      </c>
      <c r="I8" s="23">
        <f>L$1*B8</f>
        <v>119827.29045</v>
      </c>
      <c r="J8" s="9">
        <f t="shared" si="4"/>
        <v>66306.458399999989</v>
      </c>
      <c r="K8" s="9"/>
      <c r="L8" s="9">
        <f t="shared" si="0"/>
        <v>186133.74884999997</v>
      </c>
      <c r="M8" s="80">
        <f t="shared" si="3"/>
        <v>193579.09880399998</v>
      </c>
    </row>
    <row r="9" spans="1:20" x14ac:dyDescent="0.25">
      <c r="A9" s="78">
        <v>5</v>
      </c>
      <c r="B9" s="7">
        <v>0.21</v>
      </c>
      <c r="C9" s="8" t="s">
        <v>51</v>
      </c>
      <c r="D9" s="44"/>
      <c r="E9" s="23">
        <v>252000</v>
      </c>
      <c r="F9" s="38">
        <v>0</v>
      </c>
      <c r="G9" s="73">
        <f t="shared" si="1"/>
        <v>252000</v>
      </c>
      <c r="H9" s="74">
        <f t="shared" si="2"/>
        <v>21168</v>
      </c>
      <c r="I9" s="23">
        <f>L$1*B9</f>
        <v>119827.29045</v>
      </c>
      <c r="J9" s="9">
        <f t="shared" si="4"/>
        <v>66306.458399999989</v>
      </c>
      <c r="K9" s="9"/>
      <c r="L9" s="9">
        <f t="shared" si="0"/>
        <v>459301.74884999997</v>
      </c>
      <c r="M9" s="80">
        <f t="shared" si="3"/>
        <v>477673.81880399998</v>
      </c>
    </row>
    <row r="10" spans="1:20" ht="15" customHeight="1" thickBot="1" x14ac:dyDescent="0.3">
      <c r="A10" s="81" t="s">
        <v>7</v>
      </c>
      <c r="B10" s="82">
        <f>SUM(B5:B9)</f>
        <v>0.99999999999999989</v>
      </c>
      <c r="C10" s="83"/>
      <c r="D10" s="84">
        <f t="shared" ref="D10:H10" si="5">SUM(D5:D6)</f>
        <v>1</v>
      </c>
      <c r="E10" s="85">
        <f>SUM(E5:E9)</f>
        <v>1738404.1745627355</v>
      </c>
      <c r="F10" s="85">
        <f>SUM(F5:F9)</f>
        <v>992505.79330000002</v>
      </c>
      <c r="G10" s="85">
        <f t="shared" si="5"/>
        <v>378528.22389147605</v>
      </c>
      <c r="H10" s="85">
        <f t="shared" si="5"/>
        <v>31796.370806883991</v>
      </c>
      <c r="I10" s="86">
        <f>SUM(I5:I9)</f>
        <v>570606.1449999999</v>
      </c>
      <c r="J10" s="86">
        <f>SUM(J5:J9)</f>
        <v>249438.58159999998</v>
      </c>
      <c r="K10" s="86"/>
      <c r="L10" s="85">
        <f>SUM(L5:L9)</f>
        <v>1628598.5718888054</v>
      </c>
      <c r="M10" s="87">
        <f>SUM(M5:M9)</f>
        <v>1693742.5147643576</v>
      </c>
    </row>
    <row r="11" spans="1:20" ht="55.5" hidden="1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</row>
    <row r="12" spans="1:20" ht="15.75" thickBot="1" x14ac:dyDescent="0.3">
      <c r="M12" s="5"/>
    </row>
    <row r="13" spans="1:20" hidden="1" x14ac:dyDescent="0.25"/>
    <row r="14" spans="1:20" ht="15.75" hidden="1" thickBot="1" x14ac:dyDescent="0.3">
      <c r="C14" s="129" t="s">
        <v>34</v>
      </c>
      <c r="D14" s="130"/>
      <c r="E14" s="130"/>
      <c r="F14" s="130"/>
      <c r="G14" s="130"/>
      <c r="H14" s="130"/>
      <c r="I14" s="49"/>
      <c r="J14" s="50"/>
      <c r="K14" s="54"/>
      <c r="L14" s="54"/>
    </row>
    <row r="15" spans="1:20" ht="15.75" hidden="1" thickBot="1" x14ac:dyDescent="0.3">
      <c r="C15" s="131" t="s">
        <v>35</v>
      </c>
      <c r="D15" s="130"/>
      <c r="E15" s="130"/>
      <c r="F15" s="130"/>
      <c r="G15" s="130"/>
      <c r="H15" s="130"/>
      <c r="I15" s="51"/>
      <c r="J15" s="52"/>
      <c r="K15" s="54"/>
      <c r="L15" s="54"/>
      <c r="R15" t="s">
        <v>29</v>
      </c>
      <c r="T15">
        <v>96550</v>
      </c>
    </row>
    <row r="16" spans="1:20" hidden="1" x14ac:dyDescent="0.25">
      <c r="C16" s="49"/>
      <c r="D16" s="53"/>
      <c r="E16" s="53"/>
      <c r="F16" s="53"/>
      <c r="G16" s="54"/>
      <c r="H16" s="54" t="s">
        <v>46</v>
      </c>
      <c r="I16" s="51"/>
      <c r="J16" s="52"/>
      <c r="K16" s="54"/>
      <c r="L16" s="54"/>
      <c r="R16" t="s">
        <v>27</v>
      </c>
      <c r="T16">
        <v>27991.75</v>
      </c>
    </row>
    <row r="17" spans="3:20" hidden="1" x14ac:dyDescent="0.25">
      <c r="C17" s="51" t="s">
        <v>36</v>
      </c>
      <c r="D17" s="54"/>
      <c r="E17" s="54"/>
      <c r="F17" s="54"/>
      <c r="G17" s="54"/>
      <c r="H17" s="54" t="s">
        <v>48</v>
      </c>
      <c r="I17" s="51"/>
      <c r="J17" s="52"/>
      <c r="K17" s="54"/>
      <c r="L17" s="54"/>
      <c r="R17" t="s">
        <v>30</v>
      </c>
      <c r="T17">
        <v>32000</v>
      </c>
    </row>
    <row r="18" spans="3:20" hidden="1" x14ac:dyDescent="0.25">
      <c r="C18" s="55"/>
      <c r="D18" s="56"/>
      <c r="E18" s="56"/>
      <c r="F18" s="56"/>
      <c r="G18" s="56"/>
      <c r="H18" s="56"/>
      <c r="I18" s="51"/>
      <c r="J18" s="52"/>
      <c r="K18" s="54"/>
      <c r="L18" s="54"/>
      <c r="R18" t="s">
        <v>28</v>
      </c>
      <c r="T18">
        <v>24923.78</v>
      </c>
    </row>
    <row r="19" spans="3:20" hidden="1" x14ac:dyDescent="0.25">
      <c r="C19" s="132" t="s">
        <v>37</v>
      </c>
      <c r="D19" s="133"/>
      <c r="E19" s="133"/>
      <c r="F19" s="133"/>
      <c r="G19" s="133"/>
      <c r="H19" s="133"/>
      <c r="I19" s="51"/>
      <c r="J19" s="52"/>
      <c r="K19" s="54"/>
      <c r="L19" s="54"/>
    </row>
    <row r="20" spans="3:20" hidden="1" x14ac:dyDescent="0.25">
      <c r="C20" s="51"/>
      <c r="D20" s="54"/>
      <c r="E20" s="54"/>
      <c r="F20" s="54"/>
      <c r="G20" s="54"/>
      <c r="H20" s="54"/>
      <c r="I20" s="51"/>
      <c r="J20" s="52"/>
      <c r="K20" s="54"/>
      <c r="L20" s="54"/>
      <c r="R20" t="s">
        <v>33</v>
      </c>
      <c r="T20">
        <v>0</v>
      </c>
    </row>
    <row r="21" spans="3:20" hidden="1" x14ac:dyDescent="0.25">
      <c r="C21" s="51" t="s">
        <v>38</v>
      </c>
      <c r="D21" s="54"/>
      <c r="E21" s="54" t="str">
        <f>C5</f>
        <v>SR PROPIETARIO</v>
      </c>
      <c r="F21" s="54"/>
      <c r="G21" s="54" t="s">
        <v>39</v>
      </c>
      <c r="H21" s="57"/>
      <c r="I21" s="127" t="s">
        <v>40</v>
      </c>
      <c r="J21" s="128"/>
      <c r="K21" s="66"/>
      <c r="L21" s="66"/>
    </row>
    <row r="22" spans="3:20" hidden="1" x14ac:dyDescent="0.25">
      <c r="C22" s="51" t="s">
        <v>41</v>
      </c>
      <c r="D22" s="58" t="s">
        <v>42</v>
      </c>
      <c r="E22" s="54">
        <f>A5</f>
        <v>1</v>
      </c>
      <c r="F22" s="54"/>
      <c r="G22" s="54"/>
      <c r="H22" s="54"/>
      <c r="I22" s="51"/>
      <c r="J22" s="52"/>
      <c r="K22" s="54"/>
      <c r="L22" s="54"/>
    </row>
    <row r="23" spans="3:20" hidden="1" x14ac:dyDescent="0.25">
      <c r="C23" s="51"/>
      <c r="D23" s="54"/>
      <c r="E23" s="54"/>
      <c r="F23" s="54"/>
      <c r="G23" s="54"/>
      <c r="H23" s="54"/>
      <c r="I23" s="134"/>
      <c r="J23" s="128"/>
      <c r="K23" s="66"/>
      <c r="L23" s="66"/>
    </row>
    <row r="24" spans="3:20" hidden="1" x14ac:dyDescent="0.25">
      <c r="C24" s="64" t="s">
        <v>44</v>
      </c>
      <c r="D24" s="54"/>
      <c r="E24" s="54"/>
      <c r="F24" s="54"/>
      <c r="G24" s="54"/>
      <c r="H24" s="63">
        <f>L$1/5</f>
        <v>114121.22900000001</v>
      </c>
      <c r="I24" s="51"/>
      <c r="J24" s="52"/>
      <c r="K24" s="54"/>
      <c r="L24" s="54"/>
    </row>
    <row r="25" spans="3:20" hidden="1" x14ac:dyDescent="0.25">
      <c r="C25" s="65" t="s">
        <v>29</v>
      </c>
      <c r="D25" s="54"/>
      <c r="E25" s="54"/>
      <c r="F25" s="54"/>
      <c r="G25" s="54"/>
      <c r="H25" s="63">
        <f>T$15/4</f>
        <v>24137.5</v>
      </c>
      <c r="I25" s="51"/>
      <c r="J25" s="52"/>
      <c r="K25" s="54"/>
      <c r="L25" s="54"/>
    </row>
    <row r="26" spans="3:20" hidden="1" x14ac:dyDescent="0.25">
      <c r="C26" s="65" t="s">
        <v>27</v>
      </c>
      <c r="D26" s="54"/>
      <c r="E26" s="54"/>
      <c r="F26" s="54"/>
      <c r="G26" s="54"/>
      <c r="H26" s="63">
        <f>T$16/4</f>
        <v>6997.9375</v>
      </c>
      <c r="I26" s="51"/>
      <c r="J26" s="52"/>
      <c r="K26" s="54"/>
      <c r="L26" s="54"/>
    </row>
    <row r="27" spans="3:20" hidden="1" x14ac:dyDescent="0.25">
      <c r="C27" s="65" t="s">
        <v>30</v>
      </c>
      <c r="D27" s="54"/>
      <c r="E27" s="54"/>
      <c r="F27" s="54"/>
      <c r="G27" s="54"/>
      <c r="H27" s="63">
        <f>T$17/4</f>
        <v>8000</v>
      </c>
      <c r="I27" s="51"/>
      <c r="J27" s="52"/>
      <c r="K27" s="54"/>
      <c r="L27" s="54"/>
    </row>
    <row r="28" spans="3:20" ht="14.25" hidden="1" customHeight="1" x14ac:dyDescent="0.25">
      <c r="C28" s="65" t="s">
        <v>28</v>
      </c>
      <c r="D28" s="54"/>
      <c r="E28" s="54"/>
      <c r="F28" s="54"/>
      <c r="G28" s="54"/>
      <c r="H28" s="63">
        <f>T$18/4</f>
        <v>6230.9449999999997</v>
      </c>
      <c r="I28" s="51"/>
      <c r="J28" s="52"/>
      <c r="K28" s="54"/>
      <c r="L28" s="54"/>
    </row>
    <row r="29" spans="3:20" hidden="1" x14ac:dyDescent="0.25">
      <c r="D29" s="54"/>
      <c r="E29" s="54"/>
      <c r="F29" s="54"/>
      <c r="G29" s="54"/>
      <c r="H29" s="63"/>
      <c r="I29" s="51"/>
      <c r="J29" s="52"/>
      <c r="K29" s="54"/>
      <c r="L29" s="54"/>
    </row>
    <row r="30" spans="3:20" hidden="1" x14ac:dyDescent="0.25">
      <c r="C30" s="65" t="s">
        <v>33</v>
      </c>
      <c r="D30" s="54"/>
      <c r="E30" s="54"/>
      <c r="F30" s="54"/>
      <c r="G30" s="54"/>
      <c r="H30" s="63">
        <f>T$20/3</f>
        <v>0</v>
      </c>
      <c r="I30" s="51"/>
      <c r="J30" s="52"/>
      <c r="K30" s="54"/>
      <c r="L30" s="54"/>
    </row>
    <row r="31" spans="3:20" hidden="1" x14ac:dyDescent="0.25">
      <c r="C31" s="51"/>
      <c r="D31" s="54"/>
      <c r="E31" s="54"/>
      <c r="F31" s="54"/>
      <c r="G31" s="54"/>
      <c r="H31" s="54"/>
      <c r="I31" s="59"/>
      <c r="J31" s="60"/>
      <c r="K31" s="54"/>
      <c r="L31" s="54"/>
    </row>
    <row r="32" spans="3:20" ht="15.75" hidden="1" thickBot="1" x14ac:dyDescent="0.3">
      <c r="C32" s="125" t="s">
        <v>43</v>
      </c>
      <c r="D32" s="126"/>
      <c r="E32" s="126"/>
      <c r="F32" s="126"/>
      <c r="G32" s="126"/>
      <c r="H32" s="95">
        <f>SUM(H24:H31)</f>
        <v>159487.6115</v>
      </c>
      <c r="I32" s="61"/>
      <c r="J32" s="62"/>
      <c r="K32" s="54"/>
      <c r="L32" s="54"/>
    </row>
    <row r="33" spans="3:12" hidden="1" x14ac:dyDescent="0.25"/>
    <row r="34" spans="3:12" hidden="1" x14ac:dyDescent="0.25"/>
    <row r="35" spans="3:12" hidden="1" x14ac:dyDescent="0.25"/>
    <row r="36" spans="3:12" ht="15.75" hidden="1" thickBot="1" x14ac:dyDescent="0.3">
      <c r="C36" s="129" t="s">
        <v>34</v>
      </c>
      <c r="D36" s="130"/>
      <c r="E36" s="130"/>
      <c r="F36" s="130"/>
      <c r="G36" s="130"/>
      <c r="H36" s="130"/>
      <c r="I36" s="49"/>
      <c r="J36" s="50"/>
      <c r="K36" s="54"/>
      <c r="L36" s="54"/>
    </row>
    <row r="37" spans="3:12" ht="15.75" hidden="1" thickBot="1" x14ac:dyDescent="0.3">
      <c r="C37" s="131" t="s">
        <v>35</v>
      </c>
      <c r="D37" s="130"/>
      <c r="E37" s="130"/>
      <c r="F37" s="130"/>
      <c r="G37" s="130"/>
      <c r="H37" s="130"/>
      <c r="I37" s="51"/>
      <c r="J37" s="52"/>
      <c r="K37" s="54"/>
      <c r="L37" s="54"/>
    </row>
    <row r="38" spans="3:12" hidden="1" x14ac:dyDescent="0.25">
      <c r="C38" s="49"/>
      <c r="D38" s="53"/>
      <c r="E38" s="53"/>
      <c r="F38" s="53"/>
      <c r="G38" s="54"/>
      <c r="H38" s="54" t="s">
        <v>46</v>
      </c>
      <c r="I38" s="51"/>
      <c r="J38" s="52"/>
      <c r="K38" s="54"/>
      <c r="L38" s="54"/>
    </row>
    <row r="39" spans="3:12" hidden="1" x14ac:dyDescent="0.25">
      <c r="C39" s="51" t="s">
        <v>36</v>
      </c>
      <c r="D39" s="54"/>
      <c r="E39" s="54"/>
      <c r="F39" s="54"/>
      <c r="G39" s="54"/>
      <c r="H39" s="54" t="str">
        <f>H17</f>
        <v>VENCIMIENTO: DICIEMBRE</v>
      </c>
      <c r="I39" s="51"/>
      <c r="J39" s="52"/>
      <c r="K39" s="54"/>
      <c r="L39" s="54"/>
    </row>
    <row r="40" spans="3:12" hidden="1" x14ac:dyDescent="0.25">
      <c r="C40" s="55"/>
      <c r="D40" s="56"/>
      <c r="E40" s="56"/>
      <c r="F40" s="56"/>
      <c r="G40" s="56"/>
      <c r="H40" s="56"/>
      <c r="I40" s="51"/>
      <c r="J40" s="52"/>
      <c r="K40" s="54"/>
      <c r="L40" s="54"/>
    </row>
    <row r="41" spans="3:12" hidden="1" x14ac:dyDescent="0.25">
      <c r="C41" s="132" t="s">
        <v>37</v>
      </c>
      <c r="D41" s="133"/>
      <c r="E41" s="133"/>
      <c r="F41" s="133"/>
      <c r="G41" s="133"/>
      <c r="H41" s="133"/>
      <c r="I41" s="51"/>
      <c r="J41" s="52"/>
      <c r="K41" s="54"/>
      <c r="L41" s="54"/>
    </row>
    <row r="42" spans="3:12" hidden="1" x14ac:dyDescent="0.25">
      <c r="C42" s="51"/>
      <c r="D42" s="54"/>
      <c r="E42" s="54"/>
      <c r="F42" s="54"/>
      <c r="G42" s="54"/>
      <c r="H42" s="54"/>
      <c r="I42" s="51"/>
      <c r="J42" s="52"/>
      <c r="K42" s="54"/>
      <c r="L42" s="54"/>
    </row>
    <row r="43" spans="3:12" hidden="1" x14ac:dyDescent="0.25">
      <c r="C43" s="51" t="s">
        <v>38</v>
      </c>
      <c r="D43" s="54"/>
      <c r="E43" s="54" t="str">
        <f>C7</f>
        <v>LUCA BASUALDO</v>
      </c>
      <c r="F43" s="54"/>
      <c r="G43" s="54" t="s">
        <v>39</v>
      </c>
      <c r="H43" s="57"/>
      <c r="I43" s="127" t="s">
        <v>40</v>
      </c>
      <c r="J43" s="128"/>
      <c r="K43" s="66"/>
      <c r="L43" s="66"/>
    </row>
    <row r="44" spans="3:12" hidden="1" x14ac:dyDescent="0.25">
      <c r="C44" s="51" t="s">
        <v>41</v>
      </c>
      <c r="D44" s="58" t="s">
        <v>42</v>
      </c>
      <c r="E44" s="54">
        <f>A7</f>
        <v>3</v>
      </c>
      <c r="F44" s="54"/>
      <c r="G44" s="54"/>
      <c r="H44" s="54"/>
      <c r="I44" s="51"/>
      <c r="J44" s="52"/>
      <c r="K44" s="54"/>
      <c r="L44" s="54"/>
    </row>
    <row r="45" spans="3:12" hidden="1" x14ac:dyDescent="0.25">
      <c r="C45" s="51"/>
      <c r="D45" s="54"/>
      <c r="E45" s="54"/>
      <c r="F45" s="54"/>
      <c r="G45" s="54"/>
      <c r="H45" s="54"/>
      <c r="I45" s="134"/>
      <c r="J45" s="128"/>
      <c r="K45" s="66"/>
      <c r="L45" s="66"/>
    </row>
    <row r="46" spans="3:12" hidden="1" x14ac:dyDescent="0.25">
      <c r="C46" s="51" t="s">
        <v>44</v>
      </c>
      <c r="D46" s="54"/>
      <c r="E46" s="54"/>
      <c r="F46" s="54"/>
      <c r="G46" s="54"/>
      <c r="H46" s="63">
        <f>L$1/5</f>
        <v>114121.22900000001</v>
      </c>
      <c r="I46" s="51"/>
      <c r="J46" s="52"/>
      <c r="K46" s="54"/>
      <c r="L46" s="54"/>
    </row>
    <row r="47" spans="3:12" hidden="1" x14ac:dyDescent="0.25">
      <c r="C47" s="51"/>
      <c r="D47" s="54"/>
      <c r="E47" s="54"/>
      <c r="F47" s="54"/>
      <c r="G47" s="54"/>
      <c r="H47" s="54"/>
      <c r="I47" s="51"/>
      <c r="J47" s="52"/>
      <c r="K47" s="54"/>
      <c r="L47" s="54"/>
    </row>
    <row r="48" spans="3:12" hidden="1" x14ac:dyDescent="0.25">
      <c r="C48" s="51"/>
      <c r="D48" s="54"/>
      <c r="E48" s="54"/>
      <c r="F48" s="54"/>
      <c r="G48" s="54"/>
      <c r="H48" s="54"/>
      <c r="I48" s="59"/>
      <c r="J48" s="60"/>
      <c r="K48" s="54"/>
      <c r="L48" s="54"/>
    </row>
    <row r="49" spans="3:12" ht="15.75" hidden="1" thickBot="1" x14ac:dyDescent="0.3">
      <c r="C49" s="125" t="s">
        <v>43</v>
      </c>
      <c r="D49" s="126"/>
      <c r="E49" s="126"/>
      <c r="F49" s="126"/>
      <c r="G49" s="126"/>
      <c r="H49" s="95">
        <f>M6</f>
        <v>574226.41567029443</v>
      </c>
      <c r="I49" s="61"/>
      <c r="J49" s="62"/>
      <c r="K49" s="54"/>
      <c r="L49" s="54"/>
    </row>
    <row r="50" spans="3:12" hidden="1" x14ac:dyDescent="0.25"/>
    <row r="51" spans="3:12" hidden="1" x14ac:dyDescent="0.25"/>
    <row r="52" spans="3:12" ht="15.75" hidden="1" thickBot="1" x14ac:dyDescent="0.3">
      <c r="C52" s="129" t="s">
        <v>34</v>
      </c>
      <c r="D52" s="130"/>
      <c r="E52" s="130"/>
      <c r="F52" s="130"/>
      <c r="G52" s="130"/>
      <c r="H52" s="130"/>
      <c r="I52" s="49"/>
      <c r="J52" s="50"/>
      <c r="K52" s="54"/>
      <c r="L52" s="54"/>
    </row>
    <row r="53" spans="3:12" ht="15.75" hidden="1" thickBot="1" x14ac:dyDescent="0.3">
      <c r="C53" s="131" t="s">
        <v>35</v>
      </c>
      <c r="D53" s="130"/>
      <c r="E53" s="130"/>
      <c r="F53" s="130"/>
      <c r="G53" s="130"/>
      <c r="H53" s="130"/>
      <c r="I53" s="51"/>
      <c r="J53" s="52"/>
      <c r="K53" s="54"/>
      <c r="L53" s="54"/>
    </row>
    <row r="54" spans="3:12" hidden="1" x14ac:dyDescent="0.25">
      <c r="C54" s="49"/>
      <c r="D54" s="53"/>
      <c r="E54" s="53"/>
      <c r="F54" s="53"/>
      <c r="G54" s="54"/>
      <c r="H54" s="54" t="s">
        <v>46</v>
      </c>
      <c r="I54" s="51"/>
      <c r="J54" s="52"/>
      <c r="K54" s="54"/>
      <c r="L54" s="54"/>
    </row>
    <row r="55" spans="3:12" hidden="1" x14ac:dyDescent="0.25">
      <c r="C55" s="51" t="s">
        <v>36</v>
      </c>
      <c r="D55" s="54"/>
      <c r="E55" s="54"/>
      <c r="F55" s="54"/>
      <c r="G55" s="54"/>
      <c r="H55" s="54" t="str">
        <f>H17</f>
        <v>VENCIMIENTO: DICIEMBRE</v>
      </c>
      <c r="I55" s="51"/>
      <c r="J55" s="52"/>
      <c r="K55" s="54"/>
      <c r="L55" s="54"/>
    </row>
    <row r="56" spans="3:12" hidden="1" x14ac:dyDescent="0.25">
      <c r="C56" s="55"/>
      <c r="D56" s="56"/>
      <c r="E56" s="56"/>
      <c r="F56" s="56"/>
      <c r="G56" s="56"/>
      <c r="H56" s="56"/>
      <c r="I56" s="51"/>
      <c r="J56" s="52"/>
      <c r="K56" s="54"/>
      <c r="L56" s="54"/>
    </row>
    <row r="57" spans="3:12" hidden="1" x14ac:dyDescent="0.25">
      <c r="C57" s="132" t="s">
        <v>37</v>
      </c>
      <c r="D57" s="133"/>
      <c r="E57" s="133"/>
      <c r="F57" s="133"/>
      <c r="G57" s="133"/>
      <c r="H57" s="133"/>
      <c r="I57" s="51"/>
      <c r="J57" s="52"/>
      <c r="K57" s="54"/>
      <c r="L57" s="54"/>
    </row>
    <row r="58" spans="3:12" hidden="1" x14ac:dyDescent="0.25">
      <c r="C58" s="51"/>
      <c r="D58" s="54"/>
      <c r="E58" s="54"/>
      <c r="F58" s="54"/>
      <c r="G58" s="54"/>
      <c r="H58" s="54"/>
      <c r="I58" s="51"/>
      <c r="J58" s="52"/>
      <c r="K58" s="54"/>
      <c r="L58" s="54"/>
    </row>
    <row r="59" spans="3:12" hidden="1" x14ac:dyDescent="0.25">
      <c r="C59" s="51" t="s">
        <v>38</v>
      </c>
      <c r="D59" s="54"/>
      <c r="E59" s="54" t="str">
        <f>C6</f>
        <v>CASTILLO JONATHAN</v>
      </c>
      <c r="F59" s="54"/>
      <c r="G59" s="54" t="s">
        <v>39</v>
      </c>
      <c r="H59" s="57"/>
      <c r="I59" s="127" t="s">
        <v>40</v>
      </c>
      <c r="J59" s="128"/>
      <c r="K59" s="66"/>
      <c r="L59" s="66"/>
    </row>
    <row r="60" spans="3:12" hidden="1" x14ac:dyDescent="0.25">
      <c r="C60" s="51" t="s">
        <v>41</v>
      </c>
      <c r="D60" s="58" t="s">
        <v>42</v>
      </c>
      <c r="E60" s="54">
        <f>A6</f>
        <v>2</v>
      </c>
      <c r="F60" s="54"/>
      <c r="G60" s="54"/>
      <c r="H60" s="54"/>
      <c r="I60" s="51"/>
      <c r="J60" s="52"/>
      <c r="K60" s="54"/>
      <c r="L60" s="54"/>
    </row>
    <row r="61" spans="3:12" hidden="1" x14ac:dyDescent="0.25">
      <c r="C61" s="51"/>
      <c r="D61" s="54"/>
      <c r="E61" s="54"/>
      <c r="F61" s="54"/>
      <c r="G61" s="54"/>
      <c r="H61" s="54"/>
      <c r="I61" s="134"/>
      <c r="J61" s="128"/>
      <c r="K61" s="66"/>
      <c r="L61" s="66"/>
    </row>
    <row r="62" spans="3:12" hidden="1" x14ac:dyDescent="0.25">
      <c r="C62" s="51" t="s">
        <v>44</v>
      </c>
      <c r="D62" s="54"/>
      <c r="E62" s="54"/>
      <c r="F62" s="54"/>
      <c r="G62" s="54"/>
      <c r="H62" s="63">
        <f>L$1/5</f>
        <v>114121.22900000001</v>
      </c>
      <c r="I62" s="51"/>
      <c r="J62" s="52"/>
      <c r="K62" s="54"/>
      <c r="L62" s="54"/>
    </row>
    <row r="63" spans="3:12" hidden="1" x14ac:dyDescent="0.25">
      <c r="C63" s="65" t="s">
        <v>29</v>
      </c>
      <c r="D63" s="54"/>
      <c r="E63" s="54"/>
      <c r="F63" s="54"/>
      <c r="G63" s="54"/>
      <c r="H63" s="63">
        <f>T$15/4</f>
        <v>24137.5</v>
      </c>
      <c r="I63" s="51"/>
      <c r="J63" s="52"/>
      <c r="K63" s="54"/>
      <c r="L63" s="54"/>
    </row>
    <row r="64" spans="3:12" hidden="1" x14ac:dyDescent="0.25">
      <c r="C64" s="65" t="s">
        <v>27</v>
      </c>
      <c r="D64" s="54"/>
      <c r="E64" s="54"/>
      <c r="F64" s="54"/>
      <c r="G64" s="54"/>
      <c r="H64" s="63">
        <f>T$16/4</f>
        <v>6997.9375</v>
      </c>
      <c r="I64" s="51"/>
      <c r="J64" s="52"/>
      <c r="K64" s="54"/>
      <c r="L64" s="54"/>
    </row>
    <row r="65" spans="3:12" hidden="1" x14ac:dyDescent="0.25">
      <c r="C65" s="65" t="s">
        <v>30</v>
      </c>
      <c r="D65" s="54"/>
      <c r="E65" s="54"/>
      <c r="F65" s="54"/>
      <c r="G65" s="54"/>
      <c r="H65" s="63">
        <f>T$17/4</f>
        <v>8000</v>
      </c>
      <c r="I65" s="51"/>
      <c r="J65" s="52"/>
      <c r="K65" s="54"/>
      <c r="L65" s="54"/>
    </row>
    <row r="66" spans="3:12" hidden="1" x14ac:dyDescent="0.25">
      <c r="C66" s="65" t="s">
        <v>28</v>
      </c>
      <c r="D66" s="54"/>
      <c r="E66" s="54"/>
      <c r="F66" s="54"/>
      <c r="G66" s="54"/>
      <c r="H66" s="63">
        <f>T$18/4</f>
        <v>6230.9449999999997</v>
      </c>
      <c r="I66" s="51"/>
      <c r="J66" s="52"/>
      <c r="K66" s="54"/>
      <c r="L66" s="54"/>
    </row>
    <row r="67" spans="3:12" hidden="1" x14ac:dyDescent="0.25">
      <c r="D67" s="54"/>
      <c r="E67" s="54"/>
      <c r="F67" s="54"/>
      <c r="G67" s="54"/>
      <c r="H67" s="63"/>
      <c r="I67" s="51"/>
      <c r="J67" s="52"/>
      <c r="K67" s="54"/>
      <c r="L67" s="54"/>
    </row>
    <row r="68" spans="3:12" ht="13.5" hidden="1" customHeight="1" x14ac:dyDescent="0.25">
      <c r="C68" s="65" t="s">
        <v>33</v>
      </c>
      <c r="D68" s="54"/>
      <c r="E68" s="54"/>
      <c r="F68" s="54"/>
      <c r="G68" s="54"/>
      <c r="H68" s="63">
        <f>T$20/3</f>
        <v>0</v>
      </c>
      <c r="I68" s="51"/>
      <c r="J68" s="52"/>
      <c r="K68" s="54"/>
      <c r="L68" s="54"/>
    </row>
    <row r="69" spans="3:12" ht="0.75" hidden="1" customHeight="1" x14ac:dyDescent="0.25">
      <c r="C69" s="51"/>
      <c r="D69" s="54"/>
      <c r="E69" s="54"/>
      <c r="F69" s="54"/>
      <c r="G69" s="54"/>
      <c r="H69" s="54"/>
      <c r="I69" s="51"/>
      <c r="J69" s="52"/>
      <c r="K69" s="54"/>
      <c r="L69" s="54"/>
    </row>
    <row r="70" spans="3:12" hidden="1" x14ac:dyDescent="0.25">
      <c r="C70" s="51"/>
      <c r="D70" s="54"/>
      <c r="E70" s="54"/>
      <c r="F70" s="54"/>
      <c r="G70" s="54"/>
      <c r="H70" s="54"/>
      <c r="I70" s="51"/>
      <c r="J70" s="52"/>
      <c r="K70" s="54"/>
      <c r="L70" s="54"/>
    </row>
    <row r="71" spans="3:12" hidden="1" x14ac:dyDescent="0.25">
      <c r="C71" s="51"/>
      <c r="D71" s="54"/>
      <c r="E71" s="54"/>
      <c r="F71" s="54"/>
      <c r="G71" s="54"/>
      <c r="H71" s="54"/>
      <c r="I71" s="59"/>
      <c r="J71" s="60"/>
      <c r="K71" s="54"/>
      <c r="L71" s="54"/>
    </row>
    <row r="72" spans="3:12" ht="15.75" hidden="1" thickBot="1" x14ac:dyDescent="0.3">
      <c r="C72" s="125" t="s">
        <v>43</v>
      </c>
      <c r="D72" s="126"/>
      <c r="E72" s="126"/>
      <c r="F72" s="126"/>
      <c r="G72" s="126"/>
      <c r="H72" s="95">
        <f>SUM(H62:H71)</f>
        <v>159487.6115</v>
      </c>
      <c r="I72" s="61"/>
      <c r="J72" s="62"/>
      <c r="K72" s="54"/>
      <c r="L72" s="54"/>
    </row>
    <row r="73" spans="3:12" hidden="1" x14ac:dyDescent="0.25"/>
    <row r="74" spans="3:12" hidden="1" x14ac:dyDescent="0.25"/>
    <row r="75" spans="3:12" hidden="1" x14ac:dyDescent="0.25"/>
    <row r="76" spans="3:12" ht="15.75" hidden="1" thickBot="1" x14ac:dyDescent="0.3">
      <c r="C76" s="129" t="s">
        <v>34</v>
      </c>
      <c r="D76" s="130"/>
      <c r="E76" s="130"/>
      <c r="F76" s="130"/>
      <c r="G76" s="130"/>
      <c r="H76" s="130"/>
      <c r="I76" s="49"/>
      <c r="J76" s="50"/>
      <c r="K76" s="54"/>
      <c r="L76" s="54"/>
    </row>
    <row r="77" spans="3:12" ht="15.75" hidden="1" thickBot="1" x14ac:dyDescent="0.3">
      <c r="C77" s="131" t="s">
        <v>35</v>
      </c>
      <c r="D77" s="130"/>
      <c r="E77" s="130"/>
      <c r="F77" s="130"/>
      <c r="G77" s="130"/>
      <c r="H77" s="130"/>
      <c r="I77" s="51"/>
      <c r="J77" s="52"/>
      <c r="K77" s="54"/>
      <c r="L77" s="54"/>
    </row>
    <row r="78" spans="3:12" hidden="1" x14ac:dyDescent="0.25">
      <c r="C78" s="49"/>
      <c r="D78" s="53"/>
      <c r="E78" s="53"/>
      <c r="F78" s="53"/>
      <c r="G78" s="54"/>
      <c r="H78" s="54" t="s">
        <v>46</v>
      </c>
      <c r="I78" s="51"/>
      <c r="J78" s="52"/>
      <c r="K78" s="54"/>
      <c r="L78" s="54"/>
    </row>
    <row r="79" spans="3:12" hidden="1" x14ac:dyDescent="0.25">
      <c r="C79" s="51" t="s">
        <v>36</v>
      </c>
      <c r="D79" s="54"/>
      <c r="E79" s="54"/>
      <c r="F79" s="54"/>
      <c r="G79" s="54"/>
      <c r="H79" s="54" t="str">
        <f>H17</f>
        <v>VENCIMIENTO: DICIEMBRE</v>
      </c>
      <c r="I79" s="51"/>
      <c r="J79" s="52"/>
      <c r="K79" s="54"/>
      <c r="L79" s="54"/>
    </row>
    <row r="80" spans="3:12" hidden="1" x14ac:dyDescent="0.25">
      <c r="C80" s="55"/>
      <c r="D80" s="56"/>
      <c r="E80" s="56"/>
      <c r="F80" s="56"/>
      <c r="G80" s="56"/>
      <c r="H80" s="56"/>
      <c r="I80" s="51"/>
      <c r="J80" s="52"/>
      <c r="K80" s="54"/>
      <c r="L80" s="54"/>
    </row>
    <row r="81" spans="3:12" hidden="1" x14ac:dyDescent="0.25">
      <c r="C81" s="132" t="s">
        <v>37</v>
      </c>
      <c r="D81" s="133"/>
      <c r="E81" s="133"/>
      <c r="F81" s="133"/>
      <c r="G81" s="133"/>
      <c r="H81" s="133"/>
      <c r="I81" s="51"/>
      <c r="J81" s="52"/>
      <c r="K81" s="54"/>
      <c r="L81" s="54"/>
    </row>
    <row r="82" spans="3:12" hidden="1" x14ac:dyDescent="0.25">
      <c r="C82" s="51"/>
      <c r="D82" s="54"/>
      <c r="E82" s="54"/>
      <c r="F82" s="54"/>
      <c r="G82" s="54"/>
      <c r="H82" s="54"/>
      <c r="I82" s="51"/>
      <c r="J82" s="52"/>
      <c r="K82" s="54"/>
      <c r="L82" s="54"/>
    </row>
    <row r="83" spans="3:12" hidden="1" x14ac:dyDescent="0.25">
      <c r="C83" s="51" t="s">
        <v>38</v>
      </c>
      <c r="D83" s="54"/>
      <c r="E83" s="54" t="str">
        <f>C8</f>
        <v xml:space="preserve">JOHANA </v>
      </c>
      <c r="F83" s="54"/>
      <c r="G83" s="54" t="s">
        <v>39</v>
      </c>
      <c r="H83" s="57"/>
      <c r="I83" s="127" t="s">
        <v>40</v>
      </c>
      <c r="J83" s="128"/>
      <c r="K83" s="66"/>
      <c r="L83" s="66"/>
    </row>
    <row r="84" spans="3:12" hidden="1" x14ac:dyDescent="0.25">
      <c r="C84" s="51" t="s">
        <v>41</v>
      </c>
      <c r="D84" s="58" t="s">
        <v>42</v>
      </c>
      <c r="E84" s="54">
        <f>A8</f>
        <v>4</v>
      </c>
      <c r="F84" s="54"/>
      <c r="G84" s="54"/>
      <c r="H84" s="54"/>
      <c r="I84" s="51"/>
      <c r="J84" s="52"/>
      <c r="K84" s="54"/>
      <c r="L84" s="54"/>
    </row>
    <row r="85" spans="3:12" hidden="1" x14ac:dyDescent="0.25">
      <c r="C85" s="51"/>
      <c r="D85" s="54"/>
      <c r="E85" s="54"/>
      <c r="F85" s="54"/>
      <c r="G85" s="54"/>
      <c r="H85" s="54"/>
      <c r="I85" s="134"/>
      <c r="J85" s="128"/>
      <c r="K85" s="66"/>
      <c r="L85" s="66"/>
    </row>
    <row r="86" spans="3:12" hidden="1" x14ac:dyDescent="0.25">
      <c r="C86" s="51" t="s">
        <v>44</v>
      </c>
      <c r="D86" s="54"/>
      <c r="E86" s="54"/>
      <c r="F86" s="54"/>
      <c r="G86" s="54"/>
      <c r="H86" s="63">
        <f>L$1/5</f>
        <v>114121.22900000001</v>
      </c>
      <c r="I86" s="51"/>
      <c r="J86" s="52"/>
      <c r="K86" s="54"/>
      <c r="L86" s="54"/>
    </row>
    <row r="87" spans="3:12" hidden="1" x14ac:dyDescent="0.25">
      <c r="C87" s="65" t="s">
        <v>29</v>
      </c>
      <c r="D87" s="54"/>
      <c r="E87" s="54"/>
      <c r="F87" s="54"/>
      <c r="G87" s="54"/>
      <c r="H87" s="63">
        <f>T$15/4</f>
        <v>24137.5</v>
      </c>
      <c r="I87" s="51"/>
      <c r="J87" s="52"/>
      <c r="K87" s="54"/>
      <c r="L87" s="54"/>
    </row>
    <row r="88" spans="3:12" hidden="1" x14ac:dyDescent="0.25">
      <c r="C88" s="65" t="s">
        <v>27</v>
      </c>
      <c r="D88" s="54"/>
      <c r="E88" s="54"/>
      <c r="F88" s="54"/>
      <c r="G88" s="54"/>
      <c r="H88" s="63">
        <f>T$16/4</f>
        <v>6997.9375</v>
      </c>
      <c r="I88" s="51"/>
      <c r="J88" s="52"/>
      <c r="K88" s="54"/>
      <c r="L88" s="54"/>
    </row>
    <row r="89" spans="3:12" hidden="1" x14ac:dyDescent="0.25">
      <c r="C89" s="65" t="s">
        <v>30</v>
      </c>
      <c r="D89" s="54"/>
      <c r="E89" s="54"/>
      <c r="F89" s="54"/>
      <c r="G89" s="54"/>
      <c r="H89" s="63">
        <f>T$17/4</f>
        <v>8000</v>
      </c>
      <c r="I89" s="51"/>
      <c r="J89" s="52"/>
      <c r="K89" s="54"/>
      <c r="L89" s="54"/>
    </row>
    <row r="90" spans="3:12" ht="14.25" hidden="1" customHeight="1" x14ac:dyDescent="0.25">
      <c r="C90" s="65" t="s">
        <v>28</v>
      </c>
      <c r="D90" s="54"/>
      <c r="E90" s="54"/>
      <c r="F90" s="54"/>
      <c r="G90" s="54"/>
      <c r="H90" s="63">
        <f>T$18/4</f>
        <v>6230.9449999999997</v>
      </c>
      <c r="I90" s="51"/>
      <c r="J90" s="52"/>
      <c r="K90" s="54"/>
      <c r="L90" s="54"/>
    </row>
    <row r="91" spans="3:12" hidden="1" x14ac:dyDescent="0.25">
      <c r="D91" s="54"/>
      <c r="E91" s="54"/>
      <c r="F91" s="54"/>
      <c r="G91" s="54"/>
      <c r="H91" s="63"/>
      <c r="I91" s="51"/>
      <c r="J91" s="52"/>
      <c r="K91" s="54"/>
      <c r="L91" s="54"/>
    </row>
    <row r="92" spans="3:12" hidden="1" x14ac:dyDescent="0.25">
      <c r="C92" s="65" t="s">
        <v>33</v>
      </c>
      <c r="D92" s="54"/>
      <c r="E92" s="54"/>
      <c r="F92" s="54"/>
      <c r="G92" s="54"/>
      <c r="H92" s="63">
        <f>T$20/3</f>
        <v>0</v>
      </c>
      <c r="I92" s="59"/>
      <c r="J92" s="60"/>
      <c r="K92" s="54"/>
      <c r="L92" s="54"/>
    </row>
    <row r="93" spans="3:12" hidden="1" x14ac:dyDescent="0.25">
      <c r="D93" s="54"/>
      <c r="E93" s="54"/>
      <c r="F93" s="54"/>
      <c r="G93" s="54"/>
      <c r="H93" s="54"/>
      <c r="I93" s="51"/>
      <c r="J93" s="52"/>
      <c r="K93" s="54"/>
      <c r="L93" s="54"/>
    </row>
    <row r="94" spans="3:12" ht="15.75" hidden="1" thickBot="1" x14ac:dyDescent="0.3">
      <c r="C94" s="125" t="s">
        <v>43</v>
      </c>
      <c r="D94" s="126"/>
      <c r="E94" s="126"/>
      <c r="F94" s="126"/>
      <c r="G94" s="126"/>
      <c r="H94" s="95">
        <f>SUM(H86:H93)</f>
        <v>159487.6115</v>
      </c>
      <c r="I94" s="61"/>
      <c r="J94" s="62"/>
      <c r="K94" s="54"/>
      <c r="L94" s="54"/>
    </row>
    <row r="95" spans="3:12" hidden="1" x14ac:dyDescent="0.25"/>
    <row r="96" spans="3:12" hidden="1" x14ac:dyDescent="0.25"/>
    <row r="97" spans="3:12" hidden="1" x14ac:dyDescent="0.25"/>
    <row r="98" spans="3:12" ht="15.75" hidden="1" thickBot="1" x14ac:dyDescent="0.3">
      <c r="C98" s="129" t="s">
        <v>34</v>
      </c>
      <c r="D98" s="130"/>
      <c r="E98" s="130"/>
      <c r="F98" s="130"/>
      <c r="G98" s="130"/>
      <c r="H98" s="130"/>
      <c r="I98" s="49"/>
      <c r="J98" s="50"/>
      <c r="K98" s="54"/>
      <c r="L98" s="54"/>
    </row>
    <row r="99" spans="3:12" ht="15.75" hidden="1" thickBot="1" x14ac:dyDescent="0.3">
      <c r="C99" s="131" t="s">
        <v>35</v>
      </c>
      <c r="D99" s="130"/>
      <c r="E99" s="130"/>
      <c r="F99" s="130"/>
      <c r="G99" s="130"/>
      <c r="H99" s="130"/>
      <c r="I99" s="51"/>
      <c r="J99" s="52"/>
      <c r="K99" s="54"/>
      <c r="L99" s="54"/>
    </row>
    <row r="100" spans="3:12" hidden="1" x14ac:dyDescent="0.25">
      <c r="C100" s="49"/>
      <c r="D100" s="53"/>
      <c r="E100" s="53"/>
      <c r="F100" s="53"/>
      <c r="G100" s="54"/>
      <c r="H100" s="54" t="s">
        <v>46</v>
      </c>
      <c r="I100" s="51"/>
      <c r="J100" s="52"/>
      <c r="K100" s="54"/>
      <c r="L100" s="54"/>
    </row>
    <row r="101" spans="3:12" hidden="1" x14ac:dyDescent="0.25">
      <c r="C101" s="51" t="s">
        <v>36</v>
      </c>
      <c r="D101" s="54"/>
      <c r="E101" s="54"/>
      <c r="F101" s="54"/>
      <c r="G101" s="54"/>
      <c r="H101" s="54" t="str">
        <f>H17</f>
        <v>VENCIMIENTO: DICIEMBRE</v>
      </c>
      <c r="I101" s="51"/>
      <c r="J101" s="52"/>
      <c r="K101" s="54"/>
      <c r="L101" s="54"/>
    </row>
    <row r="102" spans="3:12" hidden="1" x14ac:dyDescent="0.25">
      <c r="C102" s="55"/>
      <c r="D102" s="56"/>
      <c r="E102" s="56"/>
      <c r="F102" s="56"/>
      <c r="G102" s="56"/>
      <c r="H102" s="56"/>
      <c r="I102" s="51"/>
      <c r="J102" s="52"/>
      <c r="K102" s="54"/>
      <c r="L102" s="54"/>
    </row>
    <row r="103" spans="3:12" hidden="1" x14ac:dyDescent="0.25">
      <c r="C103" s="132" t="s">
        <v>37</v>
      </c>
      <c r="D103" s="133"/>
      <c r="E103" s="133"/>
      <c r="F103" s="133"/>
      <c r="G103" s="133"/>
      <c r="H103" s="133"/>
      <c r="I103" s="51"/>
      <c r="J103" s="52"/>
      <c r="K103" s="54"/>
      <c r="L103" s="54"/>
    </row>
    <row r="104" spans="3:12" hidden="1" x14ac:dyDescent="0.25">
      <c r="C104" s="51"/>
      <c r="D104" s="54"/>
      <c r="E104" s="54"/>
      <c r="F104" s="54"/>
      <c r="G104" s="54"/>
      <c r="H104" s="54"/>
      <c r="I104" s="51"/>
      <c r="J104" s="52"/>
      <c r="K104" s="54"/>
      <c r="L104" s="54"/>
    </row>
    <row r="105" spans="3:12" hidden="1" x14ac:dyDescent="0.25">
      <c r="C105" s="51" t="s">
        <v>38</v>
      </c>
      <c r="D105" s="54"/>
      <c r="E105" s="54" t="str">
        <f>C9</f>
        <v xml:space="preserve">VARLAS GUILLERMO </v>
      </c>
      <c r="F105" s="54"/>
      <c r="G105" s="54" t="s">
        <v>39</v>
      </c>
      <c r="H105" s="57"/>
      <c r="I105" s="127" t="s">
        <v>40</v>
      </c>
      <c r="J105" s="128"/>
      <c r="K105" s="66"/>
      <c r="L105" s="66"/>
    </row>
    <row r="106" spans="3:12" hidden="1" x14ac:dyDescent="0.25">
      <c r="C106" s="51" t="s">
        <v>41</v>
      </c>
      <c r="D106" s="58" t="s">
        <v>42</v>
      </c>
      <c r="E106" s="54">
        <v>5</v>
      </c>
      <c r="F106" s="54"/>
      <c r="G106" s="54"/>
      <c r="H106" s="54"/>
      <c r="I106" s="51"/>
      <c r="J106" s="52"/>
      <c r="K106" s="54"/>
      <c r="L106" s="54"/>
    </row>
    <row r="107" spans="3:12" hidden="1" x14ac:dyDescent="0.25">
      <c r="C107" s="51"/>
      <c r="D107" s="54"/>
      <c r="E107" s="54"/>
      <c r="F107" s="54"/>
      <c r="G107" s="54"/>
      <c r="H107" s="54"/>
      <c r="I107" s="134"/>
      <c r="J107" s="128"/>
      <c r="K107" s="66"/>
      <c r="L107" s="66"/>
    </row>
    <row r="108" spans="3:12" hidden="1" x14ac:dyDescent="0.25">
      <c r="C108" s="51" t="s">
        <v>44</v>
      </c>
      <c r="D108" s="54"/>
      <c r="E108" s="54"/>
      <c r="F108" s="54"/>
      <c r="G108" s="54"/>
      <c r="H108" s="63">
        <f>L$1/5</f>
        <v>114121.22900000001</v>
      </c>
      <c r="I108" s="51"/>
      <c r="J108" s="52"/>
      <c r="K108" s="54"/>
      <c r="L108" s="54"/>
    </row>
    <row r="109" spans="3:12" hidden="1" x14ac:dyDescent="0.25">
      <c r="C109" s="65" t="s">
        <v>29</v>
      </c>
      <c r="D109" s="54"/>
      <c r="E109" s="54"/>
      <c r="F109" s="54"/>
      <c r="G109" s="54"/>
      <c r="H109" s="63">
        <f>T$15/4</f>
        <v>24137.5</v>
      </c>
      <c r="I109" s="51"/>
      <c r="J109" s="52"/>
      <c r="K109" s="54"/>
      <c r="L109" s="54"/>
    </row>
    <row r="110" spans="3:12" hidden="1" x14ac:dyDescent="0.25">
      <c r="C110" s="65" t="s">
        <v>27</v>
      </c>
      <c r="D110" s="54"/>
      <c r="E110" s="54"/>
      <c r="F110" s="54"/>
      <c r="G110" s="54"/>
      <c r="H110" s="63">
        <f>T$16/4</f>
        <v>6997.9375</v>
      </c>
      <c r="I110" s="51"/>
      <c r="J110" s="52"/>
      <c r="K110" s="54"/>
      <c r="L110" s="54"/>
    </row>
    <row r="111" spans="3:12" hidden="1" x14ac:dyDescent="0.25">
      <c r="C111" s="65" t="s">
        <v>30</v>
      </c>
      <c r="D111" s="54"/>
      <c r="E111" s="54"/>
      <c r="F111" s="54"/>
      <c r="G111" s="54"/>
      <c r="H111" s="63">
        <f>T$17/4</f>
        <v>8000</v>
      </c>
      <c r="I111" s="51"/>
      <c r="J111" s="52"/>
      <c r="K111" s="54"/>
      <c r="L111" s="54"/>
    </row>
    <row r="112" spans="3:12" hidden="1" x14ac:dyDescent="0.25">
      <c r="C112" s="65" t="s">
        <v>28</v>
      </c>
      <c r="D112" s="54"/>
      <c r="E112" s="54"/>
      <c r="F112" s="54"/>
      <c r="G112" s="54"/>
      <c r="H112" s="63">
        <f>T$18/4</f>
        <v>6230.9449999999997</v>
      </c>
      <c r="I112" s="51"/>
      <c r="J112" s="52"/>
      <c r="K112" s="54"/>
      <c r="L112" s="54"/>
    </row>
    <row r="113" spans="1:13" hidden="1" x14ac:dyDescent="0.25">
      <c r="D113" s="54"/>
      <c r="E113" s="54"/>
      <c r="F113" s="54"/>
      <c r="G113" s="54"/>
      <c r="H113" s="63"/>
      <c r="I113" s="51"/>
      <c r="J113" s="52"/>
      <c r="K113" s="54"/>
      <c r="L113" s="54"/>
    </row>
    <row r="114" spans="1:13" hidden="1" x14ac:dyDescent="0.25">
      <c r="C114" s="65" t="s">
        <v>33</v>
      </c>
      <c r="D114" s="54"/>
      <c r="E114" s="54"/>
      <c r="F114" s="54"/>
      <c r="G114" s="54"/>
      <c r="H114" s="63">
        <f>T$20/3</f>
        <v>0</v>
      </c>
      <c r="I114" s="59"/>
      <c r="J114" s="60"/>
      <c r="K114" s="54"/>
      <c r="L114" s="54"/>
    </row>
    <row r="115" spans="1:13" hidden="1" x14ac:dyDescent="0.25">
      <c r="D115" s="54"/>
      <c r="E115" s="54"/>
      <c r="F115" s="54"/>
      <c r="G115" s="54"/>
      <c r="H115" s="54"/>
      <c r="I115" s="51"/>
      <c r="J115" s="52"/>
      <c r="K115" s="54"/>
      <c r="L115" s="54"/>
    </row>
    <row r="116" spans="1:13" ht="15.75" hidden="1" thickBot="1" x14ac:dyDescent="0.3">
      <c r="C116" s="125" t="s">
        <v>43</v>
      </c>
      <c r="D116" s="126"/>
      <c r="E116" s="126"/>
      <c r="F116" s="126"/>
      <c r="G116" s="126"/>
      <c r="H116" s="95">
        <f>SUM(H108:H115)</f>
        <v>159487.6115</v>
      </c>
      <c r="I116" s="61"/>
      <c r="J116" s="62"/>
      <c r="K116" s="54"/>
      <c r="L116" s="54"/>
    </row>
    <row r="117" spans="1:13" hidden="1" x14ac:dyDescent="0.25"/>
    <row r="118" spans="1:13" hidden="1" x14ac:dyDescent="0.25"/>
    <row r="119" spans="1:13" x14ac:dyDescent="0.25">
      <c r="A119" s="110" t="s">
        <v>73</v>
      </c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2"/>
    </row>
    <row r="120" spans="1:13" x14ac:dyDescent="0.25">
      <c r="A120" s="113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5"/>
    </row>
    <row r="121" spans="1:13" ht="15.75" thickBot="1" x14ac:dyDescent="0.3">
      <c r="A121" s="116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8"/>
    </row>
  </sheetData>
  <mergeCells count="45">
    <mergeCell ref="L2:M2"/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</mergeCells>
  <printOptions horizontalCentered="1" verticalCentered="1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y gastos</vt:lpstr>
      <vt:lpstr>prorrateo 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2026-05-29T12:31:10Z</cp:lastPrinted>
  <dcterms:created xsi:type="dcterms:W3CDTF">2020-12-10T00:27:53Z</dcterms:created>
  <dcterms:modified xsi:type="dcterms:W3CDTF">2026-05-29T12:31:18Z</dcterms:modified>
</cp:coreProperties>
</file>