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GAEBELER 1949\Febrero\"/>
    </mc:Choice>
  </mc:AlternateContent>
  <xr:revisionPtr revIDLastSave="0" documentId="13_ncr:1_{42E9FF1B-6146-4D13-B18B-F56CCE5BF7C4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  <sheet name="Edesur" sheetId="3" r:id="rId3"/>
  </sheets>
  <definedNames>
    <definedName name="_xlnm.Print_Area" localSheetId="2">Edesur!$A$1:$M$26</definedName>
    <definedName name="_xlnm.Print_Area" localSheetId="1">PRORRATEO!$A$1:$O$26</definedName>
    <definedName name="_xlnm.Print_Area" localSheetId="0">RESUMEN!$A$1:$E$86</definedName>
  </definedNames>
  <calcPr calcId="181029"/>
</workbook>
</file>

<file path=xl/calcChain.xml><?xml version="1.0" encoding="utf-8"?>
<calcChain xmlns="http://schemas.openxmlformats.org/spreadsheetml/2006/main">
  <c r="B1" i="2" l="1"/>
  <c r="E29" i="1"/>
  <c r="D6" i="3"/>
  <c r="D7" i="3"/>
  <c r="D8" i="3"/>
  <c r="D9" i="3"/>
  <c r="D10" i="3"/>
  <c r="D11" i="3"/>
  <c r="D12" i="3"/>
  <c r="D13" i="3"/>
  <c r="D14" i="3"/>
  <c r="D15" i="3"/>
  <c r="D16" i="3"/>
  <c r="D17" i="3"/>
  <c r="D19" i="3"/>
  <c r="D20" i="3"/>
  <c r="D21" i="3"/>
  <c r="D22" i="3"/>
  <c r="D23" i="3"/>
  <c r="D5" i="3"/>
  <c r="C21" i="3"/>
  <c r="C22" i="3"/>
  <c r="C23" i="3"/>
  <c r="C6" i="3"/>
  <c r="C7" i="3"/>
  <c r="C8" i="3"/>
  <c r="C9" i="3"/>
  <c r="C10" i="3"/>
  <c r="C11" i="3"/>
  <c r="C12" i="3"/>
  <c r="C13" i="3"/>
  <c r="C14" i="3"/>
  <c r="C15" i="3"/>
  <c r="C16" i="3"/>
  <c r="C17" i="3"/>
  <c r="C19" i="3"/>
  <c r="C20" i="3"/>
  <c r="C5" i="3"/>
  <c r="L5" i="3"/>
  <c r="I5" i="3" s="1"/>
  <c r="E25" i="3"/>
  <c r="H22" i="3"/>
  <c r="L21" i="3"/>
  <c r="I21" i="3" s="1"/>
  <c r="H21" i="3"/>
  <c r="H20" i="3"/>
  <c r="L19" i="3"/>
  <c r="I19" i="3" s="1"/>
  <c r="H19" i="3"/>
  <c r="L18" i="3"/>
  <c r="I18" i="3" s="1"/>
  <c r="H18" i="3"/>
  <c r="L17" i="3"/>
  <c r="I17" i="3" s="1"/>
  <c r="H17" i="3"/>
  <c r="L16" i="3"/>
  <c r="I16" i="3" s="1"/>
  <c r="H16" i="3"/>
  <c r="L15" i="3"/>
  <c r="I15" i="3" s="1"/>
  <c r="H15" i="3"/>
  <c r="L14" i="3"/>
  <c r="I14" i="3" s="1"/>
  <c r="H14" i="3"/>
  <c r="L13" i="3"/>
  <c r="I13" i="3" s="1"/>
  <c r="H13" i="3"/>
  <c r="L12" i="3"/>
  <c r="I12" i="3" s="1"/>
  <c r="H12" i="3"/>
  <c r="L11" i="3"/>
  <c r="I11" i="3" s="1"/>
  <c r="H11" i="3"/>
  <c r="L10" i="3"/>
  <c r="I10" i="3" s="1"/>
  <c r="H10" i="3"/>
  <c r="L9" i="3"/>
  <c r="I9" i="3" s="1"/>
  <c r="H9" i="3"/>
  <c r="L8" i="3"/>
  <c r="I8" i="3" s="1"/>
  <c r="H8" i="3"/>
  <c r="L7" i="3"/>
  <c r="I7" i="3" s="1"/>
  <c r="H7" i="3"/>
  <c r="L6" i="3"/>
  <c r="I6" i="3" s="1"/>
  <c r="H6" i="3"/>
  <c r="H5" i="3"/>
  <c r="L20" i="3" l="1"/>
  <c r="I20" i="3" s="1"/>
  <c r="I24" i="3" s="1"/>
  <c r="J5" i="3" l="1"/>
  <c r="K3" i="3"/>
  <c r="K5" i="3" s="1"/>
  <c r="J19" i="3" l="1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21" i="3"/>
  <c r="J20" i="3"/>
  <c r="K23" i="3"/>
  <c r="M23" i="3" s="1"/>
  <c r="K22" i="3"/>
  <c r="M22" i="3" s="1"/>
  <c r="K21" i="3"/>
  <c r="M21" i="3" s="1"/>
  <c r="K20" i="3"/>
  <c r="M20" i="3" s="1"/>
  <c r="K19" i="3"/>
  <c r="M19" i="3" s="1"/>
  <c r="K18" i="3"/>
  <c r="M18" i="3" s="1"/>
  <c r="K17" i="3"/>
  <c r="M17" i="3" s="1"/>
  <c r="K16" i="3"/>
  <c r="M16" i="3" s="1"/>
  <c r="K15" i="3"/>
  <c r="M15" i="3" s="1"/>
  <c r="K14" i="3"/>
  <c r="M14" i="3" s="1"/>
  <c r="K13" i="3"/>
  <c r="M13" i="3" s="1"/>
  <c r="K12" i="3"/>
  <c r="M12" i="3" s="1"/>
  <c r="K11" i="3"/>
  <c r="M11" i="3" s="1"/>
  <c r="K10" i="3"/>
  <c r="M10" i="3" s="1"/>
  <c r="K9" i="3"/>
  <c r="M9" i="3" s="1"/>
  <c r="K8" i="3"/>
  <c r="M8" i="3" s="1"/>
  <c r="K7" i="3"/>
  <c r="M7" i="3" s="1"/>
  <c r="K6" i="3"/>
  <c r="M6" i="3" s="1"/>
  <c r="K24" i="3" l="1"/>
  <c r="K25" i="3" s="1"/>
  <c r="M5" i="3"/>
  <c r="M24" i="3" l="1"/>
  <c r="D24" i="2" l="1"/>
  <c r="D23" i="2"/>
  <c r="K23" i="2" s="1"/>
  <c r="D22" i="2"/>
  <c r="L22" i="2" s="1"/>
  <c r="D21" i="2"/>
  <c r="K21" i="2" s="1"/>
  <c r="D20" i="2"/>
  <c r="L20" i="2" s="1"/>
  <c r="D18" i="2"/>
  <c r="L18" i="2" s="1"/>
  <c r="D17" i="2"/>
  <c r="L17" i="2" s="1"/>
  <c r="D14" i="2"/>
  <c r="D11" i="2"/>
  <c r="D8" i="2"/>
  <c r="D7" i="2"/>
  <c r="L7" i="2" s="1"/>
  <c r="D16" i="2"/>
  <c r="D13" i="2"/>
  <c r="D10" i="2"/>
  <c r="D6" i="2"/>
  <c r="K6" i="2" s="1"/>
  <c r="D15" i="2"/>
  <c r="L15" i="2" s="1"/>
  <c r="D9" i="2"/>
  <c r="D12" i="2"/>
  <c r="L12" i="2" s="1"/>
  <c r="L19" i="2"/>
  <c r="L24" i="2"/>
  <c r="K19" i="2"/>
  <c r="K20" i="2"/>
  <c r="K24" i="2"/>
  <c r="H18" i="2"/>
  <c r="I18" i="2" s="1"/>
  <c r="H22" i="2"/>
  <c r="I22" i="2" s="1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H19" i="2" s="1"/>
  <c r="I19" i="2" s="1"/>
  <c r="F20" i="2"/>
  <c r="H20" i="2" s="1"/>
  <c r="I20" i="2" s="1"/>
  <c r="F21" i="2"/>
  <c r="H21" i="2" s="1"/>
  <c r="I21" i="2" s="1"/>
  <c r="F22" i="2"/>
  <c r="F23" i="2"/>
  <c r="H23" i="2" s="1"/>
  <c r="I23" i="2" s="1"/>
  <c r="F24" i="2"/>
  <c r="H24" i="2" s="1"/>
  <c r="I24" i="2" s="1"/>
  <c r="L8" i="2"/>
  <c r="L9" i="2"/>
  <c r="L10" i="2"/>
  <c r="L11" i="2"/>
  <c r="L13" i="2"/>
  <c r="L14" i="2"/>
  <c r="L16" i="2"/>
  <c r="L6" i="2" l="1"/>
  <c r="K22" i="2"/>
  <c r="L23" i="2"/>
  <c r="L21" i="2"/>
  <c r="K18" i="2"/>
  <c r="F6" i="2"/>
  <c r="E30" i="1" l="1"/>
  <c r="E34" i="1" s="1"/>
  <c r="H17" i="2" l="1"/>
  <c r="E42" i="1" l="1"/>
  <c r="E47" i="1" s="1"/>
  <c r="B51" i="1" s="1"/>
  <c r="B67" i="1" l="1"/>
  <c r="B74" i="1"/>
  <c r="B85" i="1"/>
  <c r="B63" i="1" l="1"/>
  <c r="B75" i="1"/>
  <c r="M5" i="2" l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l="1"/>
  <c r="M18" i="2"/>
  <c r="O18" i="2" s="1"/>
  <c r="F25" i="2"/>
  <c r="G25" i="2"/>
  <c r="D25" i="2"/>
  <c r="E25" i="2"/>
  <c r="P20" i="2" l="1"/>
  <c r="B61" i="1"/>
  <c r="B76" i="1"/>
  <c r="H7" i="2"/>
  <c r="H8" i="2"/>
  <c r="H9" i="2"/>
  <c r="H10" i="2"/>
  <c r="H11" i="2"/>
  <c r="H12" i="2"/>
  <c r="H13" i="2"/>
  <c r="H14" i="2"/>
  <c r="H15" i="2"/>
  <c r="H16" i="2"/>
  <c r="H6" i="2"/>
  <c r="M20" i="2" l="1"/>
  <c r="O20" i="2" s="1"/>
  <c r="P21" i="2"/>
  <c r="B52" i="1"/>
  <c r="H25" i="2"/>
  <c r="I11" i="2"/>
  <c r="I14" i="2"/>
  <c r="I10" i="2"/>
  <c r="I7" i="2"/>
  <c r="I17" i="2"/>
  <c r="I13" i="2"/>
  <c r="I9" i="2"/>
  <c r="I15" i="2"/>
  <c r="I16" i="2"/>
  <c r="I12" i="2"/>
  <c r="I8" i="2"/>
  <c r="I6" i="2"/>
  <c r="J25" i="2"/>
  <c r="P22" i="2" l="1"/>
  <c r="M21" i="2"/>
  <c r="O21" i="2" s="1"/>
  <c r="I25" i="2"/>
  <c r="P23" i="2" l="1"/>
  <c r="M22" i="2"/>
  <c r="O22" i="2" s="1"/>
  <c r="K7" i="2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6" i="2"/>
  <c r="P24" i="2" l="1"/>
  <c r="M23" i="2"/>
  <c r="O23" i="2" s="1"/>
  <c r="O15" i="2"/>
  <c r="O11" i="2"/>
  <c r="O7" i="2"/>
  <c r="O6" i="2"/>
  <c r="O14" i="2"/>
  <c r="O10" i="2"/>
  <c r="O13" i="2"/>
  <c r="O9" i="2"/>
  <c r="O16" i="2"/>
  <c r="O12" i="2"/>
  <c r="O8" i="2"/>
  <c r="N14" i="2"/>
  <c r="N13" i="2"/>
  <c r="N9" i="2"/>
  <c r="N6" i="2"/>
  <c r="N16" i="2"/>
  <c r="N12" i="2"/>
  <c r="N8" i="2"/>
  <c r="N10" i="2"/>
  <c r="N15" i="2"/>
  <c r="N11" i="2"/>
  <c r="N7" i="2"/>
  <c r="K25" i="2"/>
  <c r="B50" i="1" l="1"/>
  <c r="B73" i="1" s="1"/>
  <c r="B78" i="1" s="1"/>
  <c r="B66" i="1" l="1"/>
  <c r="B68" i="1" s="1"/>
  <c r="B49" i="1"/>
  <c r="L25" i="2" l="1"/>
  <c r="M24" i="2"/>
  <c r="O24" i="2" s="1"/>
  <c r="M17" i="2"/>
  <c r="N17" i="2" s="1"/>
  <c r="N24" i="2" l="1"/>
  <c r="N25" i="2" s="1"/>
  <c r="O17" i="2"/>
  <c r="O25" i="2" s="1"/>
  <c r="M25" i="2"/>
</calcChain>
</file>

<file path=xl/sharedStrings.xml><?xml version="1.0" encoding="utf-8"?>
<sst xmlns="http://schemas.openxmlformats.org/spreadsheetml/2006/main" count="121" uniqueCount="101">
  <si>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</si>
  <si>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</si>
  <si>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</si>
  <si>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</si>
  <si>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</si>
  <si>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</si>
  <si>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</si>
  <si>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 xml:space="preserve">TOTAL ORDINARIOS </t>
  </si>
  <si>
    <t>GASTOS ORDINARIOS + PREVISION :</t>
  </si>
  <si>
    <t>GASTOS ORDINARIOS SIN PREVISION: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</si>
  <si>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</si>
  <si>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</si>
  <si>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</si>
  <si>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</si>
  <si>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</si>
  <si>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</si>
  <si>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</si>
  <si>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</si>
  <si>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Pago por</t>
  </si>
  <si>
    <t>CUIT ADMINISTRACION: 27231256879</t>
  </si>
  <si>
    <t>Deuda o Saldo a favor</t>
  </si>
  <si>
    <t>DEPOSITOS NO IDENTIFICADOS</t>
  </si>
  <si>
    <t>RESUMEN</t>
  </si>
  <si>
    <t>Total 2do Vto</t>
  </si>
  <si>
    <t>Total 1er Vto</t>
  </si>
  <si>
    <t>ADMINISTRADORA: CAROLINA CANCIANI MP:1148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</si>
  <si>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</si>
  <si>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</si>
  <si>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</si>
  <si>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</si>
  <si>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GASTOS EXTRAORDINARIOS:</t>
  </si>
  <si>
    <t>Punitorios mal cobrados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</si>
  <si>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</si>
  <si>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</si>
  <si>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</si>
  <si>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</si>
  <si>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</si>
  <si>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</si>
  <si>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Punitorios mal cobrados </t>
  </si>
  <si>
    <t>Arca plan de pagos</t>
  </si>
  <si>
    <t>Ordinarios</t>
  </si>
  <si>
    <t>Pagos sin identificar</t>
  </si>
  <si>
    <t>SALDO EN BANCO</t>
  </si>
  <si>
    <t>D' Andrea Patricia Daniela</t>
  </si>
  <si>
    <t>Arroyo Aldana</t>
  </si>
  <si>
    <t>Stagno Jorge Adrian</t>
  </si>
  <si>
    <t>Beneyte Lenorado Damian</t>
  </si>
  <si>
    <t>1A</t>
  </si>
  <si>
    <t>1B</t>
  </si>
  <si>
    <t>Sr Propietario</t>
  </si>
  <si>
    <t>1C</t>
  </si>
  <si>
    <t>2A</t>
  </si>
  <si>
    <t>2B</t>
  </si>
  <si>
    <t>2C</t>
  </si>
  <si>
    <t>3A</t>
  </si>
  <si>
    <t>Torres Lilliana Beatriz</t>
  </si>
  <si>
    <t>3B</t>
  </si>
  <si>
    <t>3C</t>
  </si>
  <si>
    <t>4A</t>
  </si>
  <si>
    <t>Arostegui Hector/Herrera Monica</t>
  </si>
  <si>
    <t>Frosio Diego Martin</t>
  </si>
  <si>
    <t>Actis Sofia Magali</t>
  </si>
  <si>
    <t>Alanis Hebert</t>
  </si>
  <si>
    <t>5A</t>
  </si>
  <si>
    <t>4B</t>
  </si>
  <si>
    <t>4C</t>
  </si>
  <si>
    <t>C1</t>
  </si>
  <si>
    <t>C2</t>
  </si>
  <si>
    <t>C3</t>
  </si>
  <si>
    <t>C4</t>
  </si>
  <si>
    <t>C5</t>
  </si>
  <si>
    <t>TELEFONO: 11-5320-2676</t>
  </si>
  <si>
    <t xml:space="preserve">EDESUR </t>
  </si>
  <si>
    <t>U.F.</t>
  </si>
  <si>
    <t>PISO - DEPTO</t>
  </si>
  <si>
    <t>PROPIETARIOS</t>
  </si>
  <si>
    <t>%</t>
  </si>
  <si>
    <t>CONSUMO ANT.</t>
  </si>
  <si>
    <t>CONSUMO ACTUAL</t>
  </si>
  <si>
    <t>KWH</t>
  </si>
  <si>
    <t>PARTES COMUNES</t>
  </si>
  <si>
    <t>EDESUR FINAL</t>
  </si>
  <si>
    <t>4 Y 5</t>
  </si>
  <si>
    <t>NOTA:</t>
  </si>
  <si>
    <t>GASTOS A RECUPERAR ABONADOS POR CONSTRUTORA Y ADMINISTRACION DESDE QUE TOMARON POSESION</t>
  </si>
  <si>
    <t>SUBTOTAL</t>
  </si>
  <si>
    <t>Seguro integral de cosorcio - Federacion patronal - Poliza 2217080 - Septiembre</t>
  </si>
  <si>
    <t>Seguro integral de cosorcio - Federacion patronal - Poliza 2217080 - Octubre</t>
  </si>
  <si>
    <t>Seguro integral de cosorcio - Federacion patronal - Poliza 2217080 - Noviembre</t>
  </si>
  <si>
    <t>Seguro integral de cosorcio - Federacion patronal - Poliza 2217080 - Diciembre</t>
  </si>
  <si>
    <t xml:space="preserve">AySa - Nro de cliente 344066 </t>
  </si>
  <si>
    <t>Mes 8</t>
  </si>
  <si>
    <t>Mes 10</t>
  </si>
  <si>
    <t>Mes 11</t>
  </si>
  <si>
    <t>Mes 12</t>
  </si>
  <si>
    <t>CONSORCIO DE PROPIETARIOS DEL EDIFICIO GAEBELER 1949</t>
  </si>
  <si>
    <t>TRANSFERIR A  : carolina.rc.adm - CVU: 0000003100054616492658</t>
  </si>
  <si>
    <t>ESTIMADOS PROPIETARIOS E INQUILINOS: EN LAS PROXIMAS SEMANAS RECIBIRAN UN PRORRATEO DEL EDESUR CONSUMIDO EN CADA DEPARTAMENTO PARA IR ABONANDO - LA SEMANA DEL 12 DE ENERO COMIENZA LA EMPRESA DE LIMPIEZA, SE INFORMARA DIAS Y HORAS DE LOS OPERARIOS</t>
  </si>
  <si>
    <t>VTO 15/01</t>
  </si>
  <si>
    <t>¡POR FAVOR RESPETAR LOS CENTAVOS AL ABONAR!</t>
  </si>
  <si>
    <t>LUNES A VIERNES 10 A 15HS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</si>
</sst>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&quot;$&quot;\ * #,##0_-;\-&quot;$&quot;\ * #,##0_-;_-&quot;$&quot;\ * &quot;-&quot;??_-;_-@"/>
    <numFmt numFmtId="169" formatCode="_-&quot;$&quot;\ * #,##0.00_-;\-&quot;$&quot;\ * #,##0.00_-;_-&quot;$&quot;\ * &quot;-&quot;??_-;_-@"/>
    <numFmt numFmtId="170" formatCode="_-* #,##0.000000_-;\-* #,##0.000000_-;_-* &quot;-&quot;??_-;_-@_-"/>
    <numFmt numFmtId="171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FF0000"/>
      <name val="Calibri"/>
      <family val="2"/>
    </font>
    <font>
      <b/>
      <sz val="1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8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24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3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2" fillId="0" borderId="0" xfId="0" applyFont="1"/>
    <xf numFmtId="44" fontId="14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44" fontId="0" fillId="4" borderId="0" xfId="1" applyFont="1" applyFill="1"/>
    <xf numFmtId="44" fontId="7" fillId="0" borderId="1" xfId="1" applyFont="1" applyBorder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14" fillId="0" borderId="1" xfId="0" applyFont="1" applyBorder="1" applyAlignment="1">
      <alignment horizontal="center"/>
    </xf>
    <xf numFmtId="44" fontId="18" fillId="0" borderId="1" xfId="1" applyFont="1" applyBorder="1"/>
    <xf numFmtId="165" fontId="18" fillId="2" borderId="1" xfId="1" applyNumberFormat="1" applyFont="1" applyFill="1" applyBorder="1"/>
    <xf numFmtId="165" fontId="14" fillId="0" borderId="1" xfId="0" applyNumberFormat="1" applyFont="1" applyBorder="1"/>
    <xf numFmtId="44" fontId="14" fillId="0" borderId="1" xfId="1" applyFont="1" applyBorder="1"/>
    <xf numFmtId="165" fontId="14" fillId="0" borderId="1" xfId="1" applyNumberFormat="1" applyFont="1" applyBorder="1"/>
    <xf numFmtId="44" fontId="18" fillId="0" borderId="24" xfId="1" applyFont="1" applyBorder="1"/>
    <xf numFmtId="44" fontId="18" fillId="0" borderId="6" xfId="1" applyFont="1" applyBorder="1"/>
    <xf numFmtId="44" fontId="18" fillId="0" borderId="26" xfId="1" applyFont="1" applyBorder="1"/>
    <xf numFmtId="0" fontId="14" fillId="4" borderId="25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44" fontId="12" fillId="8" borderId="8" xfId="1" applyFont="1" applyFill="1" applyBorder="1" applyAlignment="1">
      <alignment vertical="center"/>
    </xf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3" xfId="0" applyBorder="1" applyAlignment="1">
      <alignment horizontal="left" vertical="center" wrapText="1"/>
    </xf>
    <xf numFmtId="44" fontId="19" fillId="2" borderId="1" xfId="1" applyFont="1" applyFill="1" applyBorder="1"/>
    <xf numFmtId="0" fontId="19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19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8" fillId="2" borderId="6" xfId="1" applyFont="1" applyFill="1" applyBorder="1"/>
    <xf numFmtId="166" fontId="0" fillId="3" borderId="0" xfId="1" applyNumberFormat="1" applyFont="1" applyFill="1" applyAlignment="1"/>
    <xf numFmtId="0" fontId="9" fillId="6" borderId="2" xfId="0" applyFont="1" applyFill="1" applyBorder="1"/>
    <xf numFmtId="0" fontId="0" fillId="0" borderId="0" xfId="0" applyAlignment="1">
      <alignment horizontal="left" vertical="center" wrapText="1"/>
    </xf>
    <xf numFmtId="166" fontId="14" fillId="4" borderId="13" xfId="0" applyNumberFormat="1" applyFont="1" applyFill="1" applyBorder="1"/>
    <xf numFmtId="0" fontId="2" fillId="10" borderId="27" xfId="0" applyFont="1" applyFill="1" applyBorder="1" applyAlignment="1">
      <alignment horizontal="left" vertical="center" wrapText="1"/>
    </xf>
    <xf numFmtId="44" fontId="2" fillId="10" borderId="25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4" fontId="4" fillId="0" borderId="1" xfId="1" applyFont="1" applyBorder="1" applyAlignment="1">
      <alignment horizontal="left" vertical="center" wrapText="1"/>
    </xf>
    <xf numFmtId="43" fontId="0" fillId="0" borderId="0" xfId="0" applyNumberFormat="1"/>
    <xf numFmtId="44" fontId="6" fillId="4" borderId="21" xfId="1" applyFont="1" applyFill="1" applyBorder="1"/>
    <xf numFmtId="0" fontId="0" fillId="4" borderId="1" xfId="0" applyFill="1" applyBorder="1"/>
    <xf numFmtId="44" fontId="0" fillId="4" borderId="1" xfId="1" applyFont="1" applyFill="1" applyBorder="1"/>
    <xf numFmtId="44" fontId="3" fillId="4" borderId="3" xfId="1" applyFont="1" applyFill="1" applyBorder="1"/>
    <xf numFmtId="44" fontId="0" fillId="2" borderId="1" xfId="1" applyFont="1" applyFill="1" applyBorder="1"/>
    <xf numFmtId="16" fontId="0" fillId="0" borderId="1" xfId="0" applyNumberFormat="1" applyBorder="1" applyAlignment="1">
      <alignment vertical="center" wrapText="1"/>
    </xf>
    <xf numFmtId="44" fontId="6" fillId="4" borderId="2" xfId="1" applyFont="1" applyFill="1" applyBorder="1"/>
    <xf numFmtId="0" fontId="19" fillId="2" borderId="1" xfId="0" applyFont="1" applyFill="1" applyBorder="1"/>
    <xf numFmtId="165" fontId="14" fillId="0" borderId="6" xfId="1" applyNumberFormat="1" applyFont="1" applyBorder="1"/>
    <xf numFmtId="0" fontId="14" fillId="0" borderId="0" xfId="0" applyFont="1" applyAlignment="1">
      <alignment horizontal="center"/>
    </xf>
    <xf numFmtId="2" fontId="14" fillId="0" borderId="1" xfId="0" applyNumberFormat="1" applyFont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22" fillId="0" borderId="1" xfId="0" applyFont="1" applyBorder="1"/>
    <xf numFmtId="168" fontId="22" fillId="0" borderId="1" xfId="0" applyNumberFormat="1" applyFont="1" applyBorder="1"/>
    <xf numFmtId="0" fontId="22" fillId="0" borderId="0" xfId="0" applyFont="1"/>
    <xf numFmtId="2" fontId="0" fillId="0" borderId="0" xfId="0" applyNumberFormat="1"/>
    <xf numFmtId="0" fontId="23" fillId="0" borderId="31" xfId="0" applyFont="1" applyBorder="1"/>
    <xf numFmtId="0" fontId="23" fillId="0" borderId="32" xfId="0" applyFont="1" applyBorder="1"/>
    <xf numFmtId="169" fontId="24" fillId="2" borderId="1" xfId="0" applyNumberFormat="1" applyFont="1" applyFill="1" applyBorder="1"/>
    <xf numFmtId="0" fontId="22" fillId="0" borderId="33" xfId="0" applyFont="1" applyBorder="1"/>
    <xf numFmtId="168" fontId="22" fillId="0" borderId="33" xfId="0" applyNumberFormat="1" applyFont="1" applyBorder="1"/>
    <xf numFmtId="44" fontId="22" fillId="0" borderId="33" xfId="0" applyNumberFormat="1" applyFont="1" applyBorder="1"/>
    <xf numFmtId="0" fontId="22" fillId="0" borderId="34" xfId="0" applyFont="1" applyBorder="1"/>
    <xf numFmtId="0" fontId="23" fillId="11" borderId="35" xfId="0" applyFont="1" applyFill="1" applyBorder="1" applyAlignment="1">
      <alignment horizontal="center" vertical="center"/>
    </xf>
    <xf numFmtId="0" fontId="26" fillId="11" borderId="35" xfId="0" applyFont="1" applyFill="1" applyBorder="1" applyAlignment="1">
      <alignment horizontal="left" vertical="center" wrapText="1"/>
    </xf>
    <xf numFmtId="0" fontId="26" fillId="11" borderId="35" xfId="0" applyFont="1" applyFill="1" applyBorder="1" applyAlignment="1">
      <alignment horizontal="center" vertical="center"/>
    </xf>
    <xf numFmtId="0" fontId="26" fillId="11" borderId="35" xfId="0" applyFont="1" applyFill="1" applyBorder="1" applyAlignment="1">
      <alignment horizontal="center" vertical="center" wrapText="1"/>
    </xf>
    <xf numFmtId="168" fontId="26" fillId="11" borderId="35" xfId="0" applyNumberFormat="1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6" fillId="11" borderId="36" xfId="0" applyFont="1" applyFill="1" applyBorder="1" applyAlignment="1">
      <alignment horizontal="center" vertical="center" wrapText="1"/>
    </xf>
    <xf numFmtId="0" fontId="22" fillId="0" borderId="35" xfId="0" applyFont="1" applyBorder="1" applyAlignment="1">
      <alignment horizontal="left"/>
    </xf>
    <xf numFmtId="0" fontId="1" fillId="2" borderId="3" xfId="3" applyFill="1" applyBorder="1" applyAlignment="1">
      <alignment horizontal="center"/>
    </xf>
    <xf numFmtId="0" fontId="27" fillId="2" borderId="35" xfId="0" applyFont="1" applyFill="1" applyBorder="1" applyAlignment="1">
      <alignment horizontal="left" vertical="center"/>
    </xf>
    <xf numFmtId="0" fontId="12" fillId="2" borderId="1" xfId="3" applyFont="1" applyFill="1" applyBorder="1"/>
    <xf numFmtId="43" fontId="12" fillId="2" borderId="1" xfId="4" applyFont="1" applyFill="1" applyBorder="1"/>
    <xf numFmtId="0" fontId="28" fillId="2" borderId="35" xfId="0" applyFont="1" applyFill="1" applyBorder="1"/>
    <xf numFmtId="168" fontId="27" fillId="2" borderId="35" xfId="0" applyNumberFormat="1" applyFont="1" applyFill="1" applyBorder="1"/>
    <xf numFmtId="169" fontId="27" fillId="2" borderId="1" xfId="0" applyNumberFormat="1" applyFont="1" applyFill="1" applyBorder="1"/>
    <xf numFmtId="2" fontId="27" fillId="2" borderId="36" xfId="0" applyNumberFormat="1" applyFont="1" applyFill="1" applyBorder="1"/>
    <xf numFmtId="168" fontId="0" fillId="0" borderId="0" xfId="0" applyNumberFormat="1"/>
    <xf numFmtId="0" fontId="22" fillId="9" borderId="35" xfId="0" applyFont="1" applyFill="1" applyBorder="1" applyAlignment="1">
      <alignment horizontal="left"/>
    </xf>
    <xf numFmtId="0" fontId="1" fillId="2" borderId="1" xfId="3" applyFill="1" applyBorder="1" applyAlignment="1">
      <alignment horizontal="center"/>
    </xf>
    <xf numFmtId="43" fontId="12" fillId="2" borderId="2" xfId="4" applyFont="1" applyFill="1" applyBorder="1" applyAlignment="1">
      <alignment horizontal="center" vertical="center" wrapText="1"/>
    </xf>
    <xf numFmtId="2" fontId="27" fillId="2" borderId="37" xfId="0" applyNumberFormat="1" applyFont="1" applyFill="1" applyBorder="1" applyAlignment="1">
      <alignment horizontal="right" vertical="center"/>
    </xf>
    <xf numFmtId="0" fontId="22" fillId="0" borderId="35" xfId="0" applyFont="1" applyBorder="1" applyAlignment="1">
      <alignment horizontal="center"/>
    </xf>
    <xf numFmtId="0" fontId="27" fillId="2" borderId="35" xfId="0" applyFont="1" applyFill="1" applyBorder="1"/>
    <xf numFmtId="169" fontId="27" fillId="2" borderId="38" xfId="0" applyNumberFormat="1" applyFont="1" applyFill="1" applyBorder="1"/>
    <xf numFmtId="0" fontId="27" fillId="0" borderId="35" xfId="0" applyFont="1" applyBorder="1"/>
    <xf numFmtId="168" fontId="27" fillId="0" borderId="35" xfId="0" applyNumberFormat="1" applyFont="1" applyBorder="1"/>
    <xf numFmtId="170" fontId="27" fillId="0" borderId="35" xfId="0" applyNumberFormat="1" applyFont="1" applyBorder="1"/>
    <xf numFmtId="169" fontId="27" fillId="0" borderId="1" xfId="0" applyNumberFormat="1" applyFont="1" applyBorder="1"/>
    <xf numFmtId="168" fontId="27" fillId="0" borderId="36" xfId="0" applyNumberFormat="1" applyFont="1" applyBorder="1"/>
    <xf numFmtId="0" fontId="22" fillId="0" borderId="28" xfId="0" applyFont="1" applyBorder="1"/>
    <xf numFmtId="0" fontId="22" fillId="0" borderId="29" xfId="0" applyFont="1" applyBorder="1"/>
    <xf numFmtId="171" fontId="22" fillId="0" borderId="29" xfId="0" applyNumberFormat="1" applyFont="1" applyBorder="1"/>
    <xf numFmtId="168" fontId="22" fillId="0" borderId="29" xfId="0" applyNumberFormat="1" applyFont="1" applyBorder="1"/>
    <xf numFmtId="169" fontId="22" fillId="0" borderId="29" xfId="0" applyNumberFormat="1" applyFont="1" applyBorder="1"/>
    <xf numFmtId="169" fontId="22" fillId="0" borderId="0" xfId="0" applyNumberFormat="1" applyFont="1"/>
    <xf numFmtId="169" fontId="27" fillId="0" borderId="29" xfId="0" applyNumberFormat="1" applyFont="1" applyBorder="1"/>
    <xf numFmtId="168" fontId="22" fillId="0" borderId="0" xfId="0" applyNumberFormat="1" applyFont="1"/>
    <xf numFmtId="0" fontId="23" fillId="12" borderId="0" xfId="0" applyFont="1" applyFill="1" applyAlignment="1">
      <alignment horizontal="left" vertical="center" wrapText="1"/>
    </xf>
    <xf numFmtId="169" fontId="0" fillId="0" borderId="0" xfId="0" applyNumberFormat="1"/>
    <xf numFmtId="164" fontId="0" fillId="0" borderId="0" xfId="2" applyFont="1"/>
    <xf numFmtId="0" fontId="2" fillId="9" borderId="0" xfId="0" applyFont="1" applyFill="1"/>
    <xf numFmtId="44" fontId="2" fillId="9" borderId="0" xfId="0" applyNumberFormat="1" applyFont="1" applyFill="1"/>
    <xf numFmtId="43" fontId="12" fillId="2" borderId="2" xfId="4" applyFont="1" applyFill="1" applyBorder="1"/>
    <xf numFmtId="0" fontId="26" fillId="11" borderId="29" xfId="0" applyFont="1" applyFill="1" applyBorder="1" applyAlignment="1">
      <alignment horizontal="center" vertical="center" wrapText="1"/>
    </xf>
    <xf numFmtId="169" fontId="27" fillId="0" borderId="33" xfId="0" applyNumberFormat="1" applyFont="1" applyBorder="1"/>
    <xf numFmtId="169" fontId="29" fillId="2" borderId="1" xfId="0" applyNumberFormat="1" applyFont="1" applyFill="1" applyBorder="1"/>
    <xf numFmtId="169" fontId="27" fillId="2" borderId="1" xfId="0" applyNumberFormat="1" applyFont="1" applyFill="1" applyBorder="1" applyAlignment="1">
      <alignment horizontal="right" vertical="center"/>
    </xf>
    <xf numFmtId="44" fontId="2" fillId="4" borderId="40" xfId="1" applyFont="1" applyFill="1" applyBorder="1" applyAlignment="1">
      <alignment horizontal="center"/>
    </xf>
    <xf numFmtId="44" fontId="0" fillId="2" borderId="1" xfId="1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44" fontId="0" fillId="6" borderId="2" xfId="1" applyFont="1" applyFill="1" applyBorder="1"/>
    <xf numFmtId="0" fontId="2" fillId="3" borderId="0" xfId="0" applyFont="1" applyFill="1" applyAlignment="1">
      <alignment horizontal="left"/>
    </xf>
    <xf numFmtId="0" fontId="2" fillId="3" borderId="27" xfId="0" applyFont="1" applyFill="1" applyBorder="1"/>
    <xf numFmtId="0" fontId="2" fillId="3" borderId="8" xfId="0" applyFont="1" applyFill="1" applyBorder="1"/>
    <xf numFmtId="0" fontId="2" fillId="3" borderId="25" xfId="0" applyFont="1" applyFill="1" applyBorder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16" fillId="7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0" fillId="11" borderId="28" xfId="0" applyFont="1" applyFill="1" applyBorder="1" applyAlignment="1">
      <alignment horizontal="center" vertical="center" wrapText="1"/>
    </xf>
    <xf numFmtId="0" fontId="21" fillId="0" borderId="29" xfId="0" applyFont="1" applyBorder="1"/>
    <xf numFmtId="0" fontId="21" fillId="0" borderId="30" xfId="0" applyFont="1" applyBorder="1"/>
    <xf numFmtId="44" fontId="22" fillId="0" borderId="39" xfId="0" applyNumberFormat="1" applyFont="1" applyBorder="1" applyAlignment="1">
      <alignment horizontal="center"/>
    </xf>
    <xf numFmtId="0" fontId="23" fillId="12" borderId="28" xfId="0" applyFont="1" applyFill="1" applyBorder="1" applyAlignment="1">
      <alignment horizontal="left" vertical="center" wrapText="1"/>
    </xf>
    <xf numFmtId="169" fontId="25" fillId="0" borderId="39" xfId="0" applyNumberFormat="1" applyFont="1" applyBorder="1" applyAlignment="1">
      <alignment horizontal="center"/>
    </xf>
  </cellXfs>
  <cellStyles count="5">
    <cellStyle name="Millares 2" xfId="4" xr:uid="{769376F3-FA42-4CBE-8FC6-971888C358BE}"/>
    <cellStyle name="Moneda" xfId="1" builtinId="4"/>
    <cellStyle name="Moneda 2" xfId="2" xr:uid="{00000000-0005-0000-0000-000002000000}"/>
    <cellStyle name="Normal" xfId="0" builtinId="0"/>
    <cellStyle name="Normal 2" xfId="3" xr:uid="{134FA5F0-EC3E-42E5-AF91-2BE11D33D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0</xdr:col>
      <xdr:colOff>2266950</xdr:colOff>
      <xdr:row>4</xdr:row>
      <xdr:rowOff>219075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2190750" cy="1000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"/>
  <sheetViews>
    <sheetView tabSelected="1" workbookViewId="0">
      <selection activeCell="D5" sqref="D5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6640625" customWidth="1"/>
    <col min="6" max="6" width="13" bestFit="1" customWidth="1"/>
    <col min="7" max="7" width="14.5546875" bestFit="1" customWidth="1"/>
    <col min="11" max="11" width="18" customWidth="1"/>
    <col min="12" max="12" width="18.33203125" customWidth="1"/>
  </cols>
  <sheetData>
    <row r="1" spans="1:5" x14ac:dyDescent="0.3">
      <c r="A1" s="15"/>
      <c r="B1" s="60" t="s">
        <v>71</v>
      </c>
      <c r="C1" s="60"/>
      <c r="D1" s="60"/>
      <c r="E1" s="61"/>
    </row>
    <row r="2" spans="1:5" ht="18.75" customHeight="1" x14ac:dyDescent="0.3">
      <c r="A2" s="16"/>
      <c r="B2" s="194" t="s">
        <v>19</v>
      </c>
      <c r="C2" s="194"/>
      <c r="D2" s="194"/>
      <c r="E2" s="195"/>
    </row>
    <row r="3" spans="1:5" x14ac:dyDescent="0.3">
      <c r="A3" s="16"/>
      <c r="B3" s="188" t="s">
        <v>25</v>
      </c>
      <c r="C3" s="17"/>
      <c r="D3" s="17"/>
      <c r="E3" s="18"/>
    </row>
    <row r="4" spans="1:5" x14ac:dyDescent="0.3">
      <c r="A4" s="16"/>
      <c r="B4" s="17" t="s">
        <v>96</v>
      </c>
      <c r="C4" s="17"/>
      <c r="D4" s="17"/>
      <c r="E4" s="18"/>
    </row>
    <row r="5" spans="1:5" ht="35.25" customHeight="1" thickBot="1" x14ac:dyDescent="0.35">
      <c r="A5" s="189" t="s">
        <v>95</v>
      </c>
      <c r="B5" s="190"/>
      <c r="C5" s="190"/>
      <c r="D5" s="190" t="s">
        <v>100</v>
      </c>
      <c r="E5" s="191"/>
    </row>
    <row r="7" spans="1:5" x14ac:dyDescent="0.3">
      <c r="B7" s="201" t="s">
        <v>98</v>
      </c>
      <c r="C7" s="201"/>
    </row>
    <row r="8" spans="1:5" x14ac:dyDescent="0.3">
      <c r="B8" s="201"/>
      <c r="C8" s="201"/>
    </row>
    <row r="9" spans="1:5" x14ac:dyDescent="0.3">
      <c r="B9" s="201"/>
      <c r="C9" s="201"/>
    </row>
    <row r="12" spans="1:5" ht="15" customHeight="1" x14ac:dyDescent="0.3">
      <c r="A12" s="200" t="s">
        <v>28</v>
      </c>
      <c r="B12" s="200"/>
      <c r="C12" s="200"/>
      <c r="D12" s="200"/>
      <c r="E12" s="200"/>
    </row>
    <row r="13" spans="1:5" ht="15" customHeight="1" x14ac:dyDescent="0.3">
      <c r="A13" s="200"/>
      <c r="B13" s="200"/>
      <c r="C13" s="200"/>
      <c r="D13" s="200"/>
      <c r="E13" s="200"/>
    </row>
    <row r="14" spans="1:5" ht="15" customHeight="1" x14ac:dyDescent="0.3">
      <c r="A14" s="200"/>
      <c r="B14" s="200"/>
      <c r="C14" s="200"/>
      <c r="D14" s="200"/>
      <c r="E14" s="200"/>
    </row>
    <row r="15" spans="1:5" ht="53.25" customHeight="1" x14ac:dyDescent="0.3">
      <c r="A15" s="200"/>
      <c r="B15" s="200"/>
      <c r="C15" s="200"/>
      <c r="D15" s="200"/>
      <c r="E15" s="200"/>
    </row>
    <row r="16" spans="1:5" ht="14.25" customHeight="1" thickBot="1" x14ac:dyDescent="0.35"/>
    <row r="17" spans="1:5" hidden="1" x14ac:dyDescent="0.3">
      <c r="A17" s="2"/>
    </row>
    <row r="18" spans="1:5" ht="15" hidden="1" thickBot="1" x14ac:dyDescent="0.35"/>
    <row r="19" spans="1:5" x14ac:dyDescent="0.3">
      <c r="A19" s="11" t="s">
        <v>5</v>
      </c>
      <c r="B19" s="12"/>
      <c r="C19" s="13"/>
      <c r="D19" s="9"/>
      <c r="E19" s="14"/>
    </row>
    <row r="20" spans="1:5" x14ac:dyDescent="0.3">
      <c r="A20" s="31" t="s">
        <v>84</v>
      </c>
      <c r="B20" s="114"/>
      <c r="C20" s="114"/>
      <c r="D20" s="115"/>
      <c r="E20" s="116"/>
    </row>
    <row r="21" spans="1:5" ht="35.1" customHeight="1" x14ac:dyDescent="0.3">
      <c r="A21" s="192" t="s">
        <v>86</v>
      </c>
      <c r="B21" s="193"/>
      <c r="C21" s="5"/>
      <c r="D21" s="117">
        <v>52745</v>
      </c>
      <c r="E21" s="120"/>
    </row>
    <row r="22" spans="1:5" ht="35.1" customHeight="1" x14ac:dyDescent="0.3">
      <c r="A22" s="192" t="s">
        <v>87</v>
      </c>
      <c r="B22" s="193"/>
      <c r="C22" s="5"/>
      <c r="D22" s="117">
        <v>52745</v>
      </c>
      <c r="E22" s="120"/>
    </row>
    <row r="23" spans="1:5" ht="35.1" customHeight="1" x14ac:dyDescent="0.3">
      <c r="A23" s="192" t="s">
        <v>88</v>
      </c>
      <c r="B23" s="193"/>
      <c r="C23" s="5"/>
      <c r="D23" s="117">
        <v>52745</v>
      </c>
      <c r="E23" s="120"/>
    </row>
    <row r="24" spans="1:5" ht="35.1" customHeight="1" x14ac:dyDescent="0.3">
      <c r="A24" s="192" t="s">
        <v>89</v>
      </c>
      <c r="B24" s="193"/>
      <c r="C24" s="5"/>
      <c r="D24" s="117">
        <v>52745</v>
      </c>
      <c r="E24" s="120"/>
    </row>
    <row r="25" spans="1:5" ht="24.9" customHeight="1" x14ac:dyDescent="0.3">
      <c r="A25" s="80" t="s">
        <v>90</v>
      </c>
      <c r="B25" s="124" t="s">
        <v>91</v>
      </c>
      <c r="C25" s="5"/>
      <c r="D25" s="117">
        <v>22529.86</v>
      </c>
      <c r="E25" s="120"/>
    </row>
    <row r="26" spans="1:5" ht="24.9" customHeight="1" x14ac:dyDescent="0.3">
      <c r="A26" s="80" t="s">
        <v>90</v>
      </c>
      <c r="B26" s="124" t="s">
        <v>92</v>
      </c>
      <c r="C26" s="5"/>
      <c r="D26" s="117">
        <v>35417.800000000003</v>
      </c>
      <c r="E26" s="120"/>
    </row>
    <row r="27" spans="1:5" ht="24.9" customHeight="1" x14ac:dyDescent="0.3">
      <c r="A27" s="185" t="s">
        <v>90</v>
      </c>
      <c r="B27" s="186" t="s">
        <v>93</v>
      </c>
      <c r="C27" s="118"/>
      <c r="D27" s="184">
        <v>33346.25</v>
      </c>
      <c r="E27" s="120"/>
    </row>
    <row r="28" spans="1:5" ht="24.9" customHeight="1" x14ac:dyDescent="0.3">
      <c r="A28" s="185" t="s">
        <v>90</v>
      </c>
      <c r="B28" s="124" t="s">
        <v>94</v>
      </c>
      <c r="C28" s="118"/>
      <c r="D28" s="184">
        <v>42819.86</v>
      </c>
      <c r="E28" s="120"/>
    </row>
    <row r="29" spans="1:5" ht="15" thickBot="1" x14ac:dyDescent="0.35">
      <c r="A29" s="26" t="s">
        <v>85</v>
      </c>
      <c r="B29" s="26"/>
      <c r="C29" s="26"/>
      <c r="D29" s="183"/>
      <c r="E29" s="113">
        <f>SUM(D21:D28)</f>
        <v>345093.76999999996</v>
      </c>
    </row>
    <row r="30" spans="1:5" x14ac:dyDescent="0.3">
      <c r="A30" s="26" t="s">
        <v>4</v>
      </c>
      <c r="B30" s="31"/>
      <c r="C30" s="31"/>
      <c r="D30" s="31"/>
      <c r="E30" s="119">
        <f>E29</f>
        <v>345093.76999999996</v>
      </c>
    </row>
    <row r="31" spans="1:5" ht="15" thickBot="1" x14ac:dyDescent="0.35">
      <c r="A31" s="5"/>
      <c r="B31" s="5"/>
      <c r="C31" s="5"/>
      <c r="D31" s="78"/>
      <c r="E31" s="84"/>
    </row>
    <row r="32" spans="1:5" ht="15" thickBot="1" x14ac:dyDescent="0.35">
      <c r="A32" s="27" t="s">
        <v>34</v>
      </c>
      <c r="B32" s="27"/>
      <c r="C32" s="27"/>
      <c r="D32" s="85"/>
      <c r="E32" s="86"/>
    </row>
    <row r="33" spans="1:7" ht="15" thickBot="1" x14ac:dyDescent="0.35">
      <c r="A33" s="1"/>
      <c r="D33" s="87"/>
      <c r="E33" s="88"/>
      <c r="F33" s="39"/>
    </row>
    <row r="34" spans="1:7" ht="15" thickBot="1" x14ac:dyDescent="0.35">
      <c r="A34" s="3" t="s">
        <v>7</v>
      </c>
      <c r="B34" s="10"/>
      <c r="C34" s="4"/>
      <c r="D34" s="89"/>
      <c r="E34" s="90">
        <f>E30</f>
        <v>345093.76999999996</v>
      </c>
      <c r="F34" s="112"/>
      <c r="G34" s="39"/>
    </row>
    <row r="35" spans="1:7" x14ac:dyDescent="0.3">
      <c r="D35" s="87"/>
      <c r="E35" s="87"/>
    </row>
    <row r="36" spans="1:7" ht="15" thickBot="1" x14ac:dyDescent="0.35">
      <c r="D36" s="87"/>
      <c r="E36" s="87"/>
    </row>
    <row r="37" spans="1:7" x14ac:dyDescent="0.3">
      <c r="A37" s="11" t="s">
        <v>30</v>
      </c>
      <c r="B37" s="12"/>
      <c r="C37" s="13"/>
      <c r="D37" s="91"/>
      <c r="E37" s="92"/>
    </row>
    <row r="38" spans="1:7" ht="15" customHeight="1" x14ac:dyDescent="0.3">
      <c r="A38" s="192"/>
      <c r="B38" s="193"/>
      <c r="C38" s="5"/>
      <c r="D38" s="101"/>
      <c r="E38" s="79"/>
    </row>
    <row r="39" spans="1:7" x14ac:dyDescent="0.3">
      <c r="A39" s="192"/>
      <c r="B39" s="193"/>
      <c r="C39" s="5"/>
      <c r="D39" s="81"/>
      <c r="E39" s="79"/>
    </row>
    <row r="40" spans="1:7" ht="15.75" customHeight="1" x14ac:dyDescent="0.3">
      <c r="A40" s="198"/>
      <c r="B40" s="199"/>
      <c r="C40" s="5"/>
      <c r="D40" s="81"/>
      <c r="E40" s="79"/>
    </row>
    <row r="41" spans="1:7" x14ac:dyDescent="0.3">
      <c r="A41" s="80"/>
      <c r="B41" s="82"/>
      <c r="C41" s="5"/>
      <c r="D41" s="81"/>
      <c r="E41" s="79"/>
    </row>
    <row r="42" spans="1:7" x14ac:dyDescent="0.3">
      <c r="A42" s="45"/>
      <c r="B42" s="44"/>
      <c r="C42" s="44"/>
      <c r="D42" s="51"/>
      <c r="E42" s="51">
        <f>SUM(D38:D41)</f>
        <v>0</v>
      </c>
    </row>
    <row r="43" spans="1:7" ht="15" customHeight="1" x14ac:dyDescent="0.3"/>
    <row r="44" spans="1:7" ht="15" hidden="1" thickBot="1" x14ac:dyDescent="0.35"/>
    <row r="45" spans="1:7" ht="15" thickBot="1" x14ac:dyDescent="0.35">
      <c r="A45" s="27" t="s">
        <v>10</v>
      </c>
      <c r="B45" s="27"/>
      <c r="C45" s="27"/>
      <c r="D45" s="28"/>
      <c r="E45" s="77"/>
    </row>
    <row r="46" spans="1:7" ht="15" thickBot="1" x14ac:dyDescent="0.35"/>
    <row r="47" spans="1:7" ht="15" thickBot="1" x14ac:dyDescent="0.35">
      <c r="A47" s="3" t="s">
        <v>11</v>
      </c>
      <c r="B47" s="10"/>
      <c r="C47" s="4"/>
      <c r="D47" s="4"/>
      <c r="E47" s="59">
        <f>E42+E45</f>
        <v>0</v>
      </c>
    </row>
    <row r="48" spans="1:7" ht="15" thickBot="1" x14ac:dyDescent="0.35"/>
    <row r="49" spans="1:5" ht="15" thickBot="1" x14ac:dyDescent="0.35">
      <c r="A49" s="75" t="s">
        <v>8</v>
      </c>
      <c r="B49" s="76">
        <f>E34</f>
        <v>345093.76999999996</v>
      </c>
    </row>
    <row r="50" spans="1:5" ht="15" thickBot="1" x14ac:dyDescent="0.35">
      <c r="A50" s="75" t="s">
        <v>9</v>
      </c>
      <c r="B50" s="76">
        <f>E34-E32</f>
        <v>345093.76999999996</v>
      </c>
    </row>
    <row r="51" spans="1:5" ht="15" thickBot="1" x14ac:dyDescent="0.35">
      <c r="A51" s="75" t="s">
        <v>12</v>
      </c>
      <c r="B51" s="76">
        <f>E47-E45</f>
        <v>0</v>
      </c>
    </row>
    <row r="52" spans="1:5" ht="15" thickBot="1" x14ac:dyDescent="0.35">
      <c r="A52" s="75" t="s">
        <v>26</v>
      </c>
      <c r="B52" s="76">
        <f>E47</f>
        <v>0</v>
      </c>
    </row>
    <row r="53" spans="1:5" ht="73.5" customHeight="1" x14ac:dyDescent="0.3"/>
    <row r="54" spans="1:5" ht="34.5" hidden="1" customHeight="1" x14ac:dyDescent="0.3"/>
    <row r="55" spans="1:5" hidden="1" x14ac:dyDescent="0.3">
      <c r="A55" s="196"/>
      <c r="B55" s="196"/>
      <c r="C55" s="196"/>
      <c r="D55" s="196"/>
      <c r="E55" s="196"/>
    </row>
    <row r="56" spans="1:5" ht="106.5" hidden="1" customHeight="1" x14ac:dyDescent="0.3">
      <c r="A56" s="196"/>
      <c r="B56" s="196"/>
      <c r="C56" s="196"/>
      <c r="D56" s="196"/>
      <c r="E56" s="196"/>
    </row>
    <row r="57" spans="1:5" ht="15.75" hidden="1" customHeight="1" x14ac:dyDescent="0.3">
      <c r="A57" s="196"/>
      <c r="B57" s="196"/>
      <c r="C57" s="196"/>
      <c r="D57" s="196"/>
      <c r="E57" s="196"/>
    </row>
    <row r="59" spans="1:5" ht="0.75" customHeight="1" x14ac:dyDescent="0.3">
      <c r="A59" s="20" t="s">
        <v>22</v>
      </c>
      <c r="B59" s="98"/>
      <c r="C59" s="21"/>
    </row>
    <row r="60" spans="1:5" hidden="1" x14ac:dyDescent="0.3">
      <c r="A60" s="30"/>
      <c r="B60" s="52">
        <v>0</v>
      </c>
      <c r="C60" s="23"/>
    </row>
    <row r="61" spans="1:5" ht="14.25" hidden="1" customHeight="1" x14ac:dyDescent="0.3">
      <c r="A61" s="22" t="s">
        <v>2</v>
      </c>
      <c r="B61" s="36">
        <f>PRORRATEO!F25</f>
        <v>0</v>
      </c>
      <c r="C61" s="21"/>
    </row>
    <row r="62" spans="1:5" hidden="1" x14ac:dyDescent="0.3">
      <c r="A62" s="22"/>
      <c r="B62" s="36">
        <v>0</v>
      </c>
      <c r="C62" s="21"/>
    </row>
    <row r="63" spans="1:5" hidden="1" x14ac:dyDescent="0.3">
      <c r="A63" s="22" t="s">
        <v>27</v>
      </c>
      <c r="B63" s="83">
        <f>B85</f>
        <v>0</v>
      </c>
      <c r="C63" s="21"/>
    </row>
    <row r="64" spans="1:5" hidden="1" x14ac:dyDescent="0.3">
      <c r="A64" s="25"/>
      <c r="B64" s="43"/>
      <c r="C64" s="21"/>
    </row>
    <row r="65" spans="1:6" hidden="1" x14ac:dyDescent="0.3">
      <c r="A65" s="97" t="s">
        <v>31</v>
      </c>
      <c r="B65" s="43"/>
      <c r="C65" s="21"/>
    </row>
    <row r="66" spans="1:6" hidden="1" x14ac:dyDescent="0.3">
      <c r="A66" s="35" t="s">
        <v>13</v>
      </c>
      <c r="B66" s="43">
        <f>-B50</f>
        <v>-345093.76999999996</v>
      </c>
      <c r="C66" s="21"/>
    </row>
    <row r="67" spans="1:6" hidden="1" x14ac:dyDescent="0.3">
      <c r="A67" s="25" t="s">
        <v>14</v>
      </c>
      <c r="B67" s="43">
        <f>-(B51)</f>
        <v>0</v>
      </c>
      <c r="C67" s="21"/>
    </row>
    <row r="68" spans="1:6" hidden="1" x14ac:dyDescent="0.3">
      <c r="A68" s="29" t="s">
        <v>4</v>
      </c>
      <c r="B68" s="52">
        <f>SUM(B60:B67)</f>
        <v>-345093.76999999996</v>
      </c>
      <c r="C68" s="24"/>
      <c r="D68" s="39"/>
    </row>
    <row r="69" spans="1:6" ht="34.5" hidden="1" customHeight="1" x14ac:dyDescent="0.3">
      <c r="B69" s="37"/>
      <c r="C69" s="24"/>
      <c r="D69" s="39"/>
      <c r="E69" s="99"/>
      <c r="F69" s="100"/>
    </row>
    <row r="70" spans="1:6" ht="14.25" hidden="1" customHeight="1" x14ac:dyDescent="0.3">
      <c r="B70" s="38"/>
      <c r="C70" s="24"/>
    </row>
    <row r="71" spans="1:6" s="34" customFormat="1" ht="27" hidden="1" customHeight="1" x14ac:dyDescent="0.3">
      <c r="A71"/>
      <c r="B71" s="37"/>
      <c r="C71" s="33"/>
    </row>
    <row r="72" spans="1:6" s="34" customFormat="1" x14ac:dyDescent="0.3">
      <c r="A72" s="103" t="s">
        <v>42</v>
      </c>
      <c r="B72" s="187"/>
      <c r="C72" s="33"/>
      <c r="D72" s="42"/>
    </row>
    <row r="73" spans="1:6" x14ac:dyDescent="0.3">
      <c r="A73" s="48" t="s">
        <v>35</v>
      </c>
      <c r="B73" s="108">
        <f>-B50</f>
        <v>-345093.76999999996</v>
      </c>
    </row>
    <row r="74" spans="1:6" x14ac:dyDescent="0.3">
      <c r="A74" s="48" t="s">
        <v>36</v>
      </c>
      <c r="B74" s="108">
        <f>-B51</f>
        <v>0</v>
      </c>
    </row>
    <row r="75" spans="1:6" x14ac:dyDescent="0.3">
      <c r="A75" s="48" t="s">
        <v>41</v>
      </c>
      <c r="B75" s="108">
        <f>B85</f>
        <v>0</v>
      </c>
    </row>
    <row r="76" spans="1:6" x14ac:dyDescent="0.3">
      <c r="A76" s="48" t="s">
        <v>37</v>
      </c>
      <c r="B76" s="109">
        <f>PRORRATEO!F25</f>
        <v>0</v>
      </c>
    </row>
    <row r="77" spans="1:6" x14ac:dyDescent="0.3">
      <c r="A77" s="110" t="s">
        <v>38</v>
      </c>
      <c r="B77" s="111"/>
    </row>
    <row r="78" spans="1:6" ht="15" thickBot="1" x14ac:dyDescent="0.35">
      <c r="A78" s="106" t="s">
        <v>32</v>
      </c>
      <c r="B78" s="107">
        <f>SUM(B72:C77)</f>
        <v>-345093.76999999996</v>
      </c>
    </row>
    <row r="79" spans="1:6" x14ac:dyDescent="0.3">
      <c r="A79" s="104"/>
      <c r="B79" s="104"/>
    </row>
    <row r="80" spans="1:6" ht="34.5" customHeight="1" x14ac:dyDescent="0.3"/>
    <row r="81" spans="1:13" x14ac:dyDescent="0.3">
      <c r="A81" s="197" t="s">
        <v>21</v>
      </c>
      <c r="B81" s="197"/>
      <c r="C81" s="197"/>
    </row>
    <row r="82" spans="1:13" x14ac:dyDescent="0.3">
      <c r="A82" s="197"/>
      <c r="B82" s="197"/>
      <c r="C82" s="197"/>
    </row>
    <row r="83" spans="1:13" ht="35.25" customHeight="1" x14ac:dyDescent="0.3">
      <c r="A83" s="94"/>
      <c r="B83" s="32"/>
      <c r="C83" s="32">
        <v>40000</v>
      </c>
      <c r="E83" s="112"/>
    </row>
    <row r="84" spans="1:13" ht="27" customHeight="1" x14ac:dyDescent="0.3">
      <c r="A84" s="94"/>
      <c r="B84" s="96"/>
      <c r="C84" s="93"/>
      <c r="D84" s="112"/>
    </row>
    <row r="85" spans="1:13" x14ac:dyDescent="0.3">
      <c r="A85" s="40" t="s">
        <v>4</v>
      </c>
      <c r="B85" s="95">
        <f>SUM(B83:B84)</f>
        <v>0</v>
      </c>
      <c r="C85" s="41"/>
    </row>
    <row r="86" spans="1:13" x14ac:dyDescent="0.3">
      <c r="M86" s="8"/>
    </row>
    <row r="87" spans="1:13" ht="15" customHeight="1" x14ac:dyDescent="0.3">
      <c r="A87" s="196"/>
      <c r="B87" s="196"/>
      <c r="C87" s="196"/>
      <c r="D87" s="196"/>
      <c r="E87" s="196"/>
    </row>
    <row r="88" spans="1:13" x14ac:dyDescent="0.3">
      <c r="A88" s="196"/>
      <c r="B88" s="196"/>
      <c r="C88" s="196"/>
      <c r="D88" s="196"/>
      <c r="E88" s="196"/>
    </row>
    <row r="89" spans="1:13" x14ac:dyDescent="0.3">
      <c r="A89" s="196"/>
      <c r="B89" s="196"/>
      <c r="C89" s="196"/>
      <c r="D89" s="196"/>
      <c r="E89" s="196"/>
    </row>
    <row r="90" spans="1:13" x14ac:dyDescent="0.3">
      <c r="A90" s="196"/>
      <c r="B90" s="196"/>
      <c r="C90" s="196"/>
      <c r="D90" s="196"/>
      <c r="E90" s="196"/>
    </row>
  </sheetData>
  <mergeCells count="13">
    <mergeCell ref="A21:B21"/>
    <mergeCell ref="A22:B22"/>
    <mergeCell ref="A23:B23"/>
    <mergeCell ref="B2:E2"/>
    <mergeCell ref="A87:E90"/>
    <mergeCell ref="A81:C82"/>
    <mergeCell ref="A55:E57"/>
    <mergeCell ref="A39:B39"/>
    <mergeCell ref="A38:B38"/>
    <mergeCell ref="A40:B40"/>
    <mergeCell ref="A12:E15"/>
    <mergeCell ref="B7:C9"/>
    <mergeCell ref="A24:B2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"/>
  <sheetViews>
    <sheetView topLeftCell="A11" zoomScaleNormal="100" workbookViewId="0">
      <selection activeCell="B27" sqref="B27:M30"/>
    </sheetView>
  </sheetViews>
  <sheetFormatPr baseColWidth="10" defaultRowHeight="14.4" x14ac:dyDescent="0.3"/>
  <cols>
    <col min="1" max="1" width="4.33203125" customWidth="1"/>
    <col min="2" max="2" width="18.5546875" customWidth="1"/>
    <col min="3" max="3" width="0.109375" customWidth="1"/>
    <col min="4" max="4" width="8.44140625" customWidth="1"/>
    <col min="5" max="5" width="14.109375" customWidth="1"/>
    <col min="6" max="6" width="12.33203125" customWidth="1"/>
    <col min="7" max="7" width="7.6640625" hidden="1" customWidth="1"/>
    <col min="8" max="8" width="10.5546875" customWidth="1"/>
    <col min="9" max="9" width="9.5546875" customWidth="1"/>
    <col min="10" max="10" width="0.109375" customWidth="1"/>
    <col min="11" max="11" width="12.44140625" customWidth="1"/>
    <col min="12" max="12" width="10.44140625" bestFit="1" customWidth="1"/>
    <col min="13" max="13" width="14.6640625" customWidth="1"/>
    <col min="14" max="14" width="0.44140625" hidden="1" customWidth="1"/>
    <col min="15" max="15" width="14.33203125" customWidth="1"/>
    <col min="16" max="16" width="7.109375" hidden="1" customWidth="1"/>
    <col min="17" max="17" width="12" bestFit="1" customWidth="1"/>
    <col min="18" max="18" width="13" bestFit="1" customWidth="1"/>
  </cols>
  <sheetData>
    <row r="1" spans="1:18" ht="12.9" customHeight="1" x14ac:dyDescent="0.3">
      <c r="A1" s="6"/>
      <c r="B1" s="17" t="str">
        <f>RESUMEN!B4</f>
        <v>TRANSFERIR A  : carolina.rc.adm - CVU: 0000003100054616492658</v>
      </c>
      <c r="C1" s="17"/>
      <c r="D1" s="17"/>
      <c r="E1" s="17"/>
      <c r="F1" s="17"/>
      <c r="G1" s="17"/>
      <c r="H1" s="17"/>
      <c r="I1" s="6"/>
      <c r="J1" s="6"/>
      <c r="K1" s="6"/>
      <c r="L1" s="6"/>
      <c r="M1" s="6"/>
      <c r="N1" s="6"/>
      <c r="O1" s="6"/>
    </row>
    <row r="2" spans="1:18" ht="12.9" customHeight="1" x14ac:dyDescent="0.3">
      <c r="A2" s="6"/>
      <c r="B2" s="216" t="s">
        <v>99</v>
      </c>
      <c r="C2" s="216"/>
      <c r="D2" s="216"/>
      <c r="E2" s="216"/>
      <c r="F2" s="216"/>
      <c r="G2" s="216"/>
      <c r="H2" s="216"/>
      <c r="I2" s="6"/>
      <c r="J2" s="7"/>
      <c r="K2" s="6" t="s">
        <v>40</v>
      </c>
      <c r="L2" s="6"/>
      <c r="M2" s="102">
        <v>345093.76999999996</v>
      </c>
      <c r="N2" s="49"/>
      <c r="O2" s="49"/>
      <c r="P2" s="19"/>
    </row>
    <row r="3" spans="1:18" ht="12.9" customHeight="1" thickBot="1" x14ac:dyDescent="0.35">
      <c r="A3" s="6"/>
      <c r="B3" s="217"/>
      <c r="C3" s="217"/>
      <c r="D3" s="217"/>
      <c r="E3" s="217"/>
      <c r="F3" s="217"/>
      <c r="G3" s="217"/>
      <c r="H3" s="217"/>
      <c r="I3" s="6"/>
      <c r="J3" s="6"/>
      <c r="K3" s="6"/>
      <c r="L3" s="6"/>
      <c r="M3" s="50"/>
      <c r="N3" s="50"/>
      <c r="O3" s="53"/>
    </row>
    <row r="4" spans="1:18" x14ac:dyDescent="0.3">
      <c r="A4" s="204" t="s">
        <v>0</v>
      </c>
      <c r="B4" s="204" t="s">
        <v>1</v>
      </c>
      <c r="C4" s="204" t="s">
        <v>17</v>
      </c>
      <c r="D4" s="204" t="s">
        <v>6</v>
      </c>
      <c r="E4" s="207" t="s">
        <v>33</v>
      </c>
      <c r="F4" s="204" t="s">
        <v>2</v>
      </c>
      <c r="G4" s="204" t="s">
        <v>18</v>
      </c>
      <c r="H4" s="211" t="s">
        <v>20</v>
      </c>
      <c r="I4" s="207" t="s">
        <v>29</v>
      </c>
      <c r="J4" s="207" t="s">
        <v>3</v>
      </c>
      <c r="K4" s="207" t="s">
        <v>16</v>
      </c>
      <c r="L4" s="214" t="s">
        <v>39</v>
      </c>
      <c r="M4" s="56" t="s">
        <v>24</v>
      </c>
      <c r="N4" s="209" t="s">
        <v>15</v>
      </c>
      <c r="O4" s="202" t="s">
        <v>23</v>
      </c>
      <c r="R4" s="39"/>
    </row>
    <row r="5" spans="1:18" ht="15.75" customHeight="1" x14ac:dyDescent="0.3">
      <c r="A5" s="206"/>
      <c r="B5" s="206"/>
      <c r="C5" s="205"/>
      <c r="D5" s="206"/>
      <c r="E5" s="208"/>
      <c r="F5" s="206"/>
      <c r="G5" s="205"/>
      <c r="H5" s="212"/>
      <c r="I5" s="208"/>
      <c r="J5" s="213"/>
      <c r="K5" s="208"/>
      <c r="L5" s="215"/>
      <c r="M5" s="54" t="str">
        <f>RESUMEN!B7</f>
        <v>VTO 15/01</v>
      </c>
      <c r="N5" s="210"/>
      <c r="O5" s="203"/>
    </row>
    <row r="6" spans="1:18" ht="17.100000000000001" customHeight="1" x14ac:dyDescent="0.3">
      <c r="A6" s="57" t="s">
        <v>47</v>
      </c>
      <c r="B6" s="57" t="s">
        <v>49</v>
      </c>
      <c r="C6" s="57"/>
      <c r="D6" s="123">
        <f>8+1.02777778</f>
        <v>9.027777780000001</v>
      </c>
      <c r="E6" s="63"/>
      <c r="F6" s="64">
        <f>E6</f>
        <v>0</v>
      </c>
      <c r="G6" s="64"/>
      <c r="H6" s="65">
        <f>E6-F6</f>
        <v>0</v>
      </c>
      <c r="I6" s="65">
        <f>IF(H6&gt;0,H6*3%,0)</f>
        <v>0</v>
      </c>
      <c r="J6" s="66">
        <v>0</v>
      </c>
      <c r="K6" s="67">
        <f>M$2*D6/100</f>
        <v>31154.298688224306</v>
      </c>
      <c r="L6" s="121">
        <f>F$2*D6/100</f>
        <v>0</v>
      </c>
      <c r="M6" s="68">
        <f>ROUND(SUM(H6:L6),0) + P6</f>
        <v>31154.01</v>
      </c>
      <c r="N6" s="69">
        <f>ROUND(M6*6% + M6,0) + P6</f>
        <v>33023.01</v>
      </c>
      <c r="O6" s="70">
        <f>ROUND(M6*3%,0) + M6</f>
        <v>32089.01</v>
      </c>
      <c r="P6" s="39">
        <v>0.01</v>
      </c>
    </row>
    <row r="7" spans="1:18" ht="17.100000000000001" customHeight="1" x14ac:dyDescent="0.3">
      <c r="A7" s="57" t="s">
        <v>48</v>
      </c>
      <c r="B7" s="57" t="s">
        <v>43</v>
      </c>
      <c r="C7" s="58"/>
      <c r="D7" s="123">
        <f>1.02777778+4.9</f>
        <v>5.9277777800000004</v>
      </c>
      <c r="E7" s="63"/>
      <c r="F7" s="64">
        <f t="shared" ref="F7:F24" si="0">E7</f>
        <v>0</v>
      </c>
      <c r="G7" s="64"/>
      <c r="H7" s="65">
        <f t="shared" ref="H7:H24" si="1">E7-F7</f>
        <v>0</v>
      </c>
      <c r="I7" s="65">
        <f t="shared" ref="I7:I24" si="2">IF(H7&gt;0,H7*3%,0)</f>
        <v>0</v>
      </c>
      <c r="J7" s="66">
        <v>0</v>
      </c>
      <c r="K7" s="67">
        <f t="shared" ref="K7:K24" si="3">M$2*D7%</f>
        <v>20456.391818224307</v>
      </c>
      <c r="L7" s="121">
        <f t="shared" ref="L7:L24" si="4">F$2*D7/100</f>
        <v>0</v>
      </c>
      <c r="M7" s="68">
        <f t="shared" ref="M7:M24" si="5">ROUND(SUM(H7:L7),0) + P7</f>
        <v>20456.02</v>
      </c>
      <c r="N7" s="69">
        <f t="shared" ref="N7:N24" si="6">ROUND(M7*6% + M7,0) + P7</f>
        <v>21683.02</v>
      </c>
      <c r="O7" s="70">
        <f t="shared" ref="O7:O24" si="7">ROUND(M7*3%,0) + M7</f>
        <v>21070.02</v>
      </c>
      <c r="P7" s="39">
        <f>P6+0.01</f>
        <v>0.02</v>
      </c>
      <c r="Q7" s="39"/>
    </row>
    <row r="8" spans="1:18" ht="17.100000000000001" customHeight="1" x14ac:dyDescent="0.3">
      <c r="A8" s="57" t="s">
        <v>50</v>
      </c>
      <c r="B8" s="57" t="s">
        <v>44</v>
      </c>
      <c r="C8" s="58"/>
      <c r="D8" s="123">
        <f>1.02777778+3.2</f>
        <v>4.2277777800000003</v>
      </c>
      <c r="E8" s="63"/>
      <c r="F8" s="64">
        <f t="shared" si="0"/>
        <v>0</v>
      </c>
      <c r="G8" s="64"/>
      <c r="H8" s="65">
        <f t="shared" si="1"/>
        <v>0</v>
      </c>
      <c r="I8" s="65">
        <f t="shared" si="2"/>
        <v>0</v>
      </c>
      <c r="J8" s="66">
        <v>0</v>
      </c>
      <c r="K8" s="67">
        <f t="shared" si="3"/>
        <v>14589.797728224305</v>
      </c>
      <c r="L8" s="121">
        <f t="shared" si="4"/>
        <v>0</v>
      </c>
      <c r="M8" s="68">
        <f t="shared" si="5"/>
        <v>14590.03</v>
      </c>
      <c r="N8" s="69">
        <f t="shared" si="6"/>
        <v>15465.03</v>
      </c>
      <c r="O8" s="70">
        <f t="shared" si="7"/>
        <v>15028.03</v>
      </c>
      <c r="P8" s="39">
        <f t="shared" ref="P8:P24" si="8">P7+0.01</f>
        <v>0.03</v>
      </c>
    </row>
    <row r="9" spans="1:18" ht="17.100000000000001" customHeight="1" x14ac:dyDescent="0.3">
      <c r="A9" s="57" t="s">
        <v>51</v>
      </c>
      <c r="B9" s="57" t="s">
        <v>45</v>
      </c>
      <c r="C9" s="58"/>
      <c r="D9" s="123">
        <f>8+1.02777778</f>
        <v>9.027777780000001</v>
      </c>
      <c r="E9" s="63"/>
      <c r="F9" s="64">
        <f t="shared" si="0"/>
        <v>0</v>
      </c>
      <c r="G9" s="64"/>
      <c r="H9" s="65">
        <f t="shared" si="1"/>
        <v>0</v>
      </c>
      <c r="I9" s="65">
        <f t="shared" si="2"/>
        <v>0</v>
      </c>
      <c r="J9" s="66">
        <v>0</v>
      </c>
      <c r="K9" s="67">
        <f t="shared" si="3"/>
        <v>31154.298688224306</v>
      </c>
      <c r="L9" s="121">
        <f t="shared" si="4"/>
        <v>0</v>
      </c>
      <c r="M9" s="68">
        <f t="shared" si="5"/>
        <v>31154.04</v>
      </c>
      <c r="N9" s="69">
        <f t="shared" si="6"/>
        <v>33023.040000000001</v>
      </c>
      <c r="O9" s="70">
        <f t="shared" si="7"/>
        <v>32089.040000000001</v>
      </c>
      <c r="P9" s="39">
        <f t="shared" si="8"/>
        <v>0.04</v>
      </c>
      <c r="R9" s="39"/>
    </row>
    <row r="10" spans="1:18" ht="17.100000000000001" customHeight="1" x14ac:dyDescent="0.3">
      <c r="A10" s="57" t="s">
        <v>52</v>
      </c>
      <c r="B10" s="57" t="s">
        <v>45</v>
      </c>
      <c r="C10" s="58"/>
      <c r="D10" s="123">
        <f>1.02777778+4.9</f>
        <v>5.9277777800000004</v>
      </c>
      <c r="E10" s="63"/>
      <c r="F10" s="64">
        <f t="shared" si="0"/>
        <v>0</v>
      </c>
      <c r="G10" s="64"/>
      <c r="H10" s="65">
        <f t="shared" si="1"/>
        <v>0</v>
      </c>
      <c r="I10" s="65">
        <f t="shared" si="2"/>
        <v>0</v>
      </c>
      <c r="J10" s="66">
        <v>0</v>
      </c>
      <c r="K10" s="67">
        <f t="shared" si="3"/>
        <v>20456.391818224307</v>
      </c>
      <c r="L10" s="121">
        <f t="shared" si="4"/>
        <v>0</v>
      </c>
      <c r="M10" s="68">
        <f t="shared" si="5"/>
        <v>20456.05</v>
      </c>
      <c r="N10" s="69">
        <f t="shared" si="6"/>
        <v>21683.05</v>
      </c>
      <c r="O10" s="70">
        <f t="shared" si="7"/>
        <v>21070.05</v>
      </c>
      <c r="P10" s="39">
        <f t="shared" si="8"/>
        <v>0.05</v>
      </c>
      <c r="R10" s="39"/>
    </row>
    <row r="11" spans="1:18" ht="17.100000000000001" customHeight="1" x14ac:dyDescent="0.3">
      <c r="A11" s="57" t="s">
        <v>53</v>
      </c>
      <c r="B11" s="57" t="s">
        <v>46</v>
      </c>
      <c r="C11" s="57"/>
      <c r="D11" s="123">
        <f>1.02777778+3.2</f>
        <v>4.2277777800000003</v>
      </c>
      <c r="E11" s="63"/>
      <c r="F11" s="64">
        <f t="shared" si="0"/>
        <v>0</v>
      </c>
      <c r="G11" s="64"/>
      <c r="H11" s="65">
        <f t="shared" si="1"/>
        <v>0</v>
      </c>
      <c r="I11" s="65">
        <f t="shared" si="2"/>
        <v>0</v>
      </c>
      <c r="J11" s="66">
        <v>0</v>
      </c>
      <c r="K11" s="67">
        <f t="shared" si="3"/>
        <v>14589.797728224305</v>
      </c>
      <c r="L11" s="121">
        <f t="shared" si="4"/>
        <v>0</v>
      </c>
      <c r="M11" s="68">
        <f t="shared" si="5"/>
        <v>14590.06</v>
      </c>
      <c r="N11" s="69">
        <f t="shared" si="6"/>
        <v>15465.06</v>
      </c>
      <c r="O11" s="70">
        <f t="shared" si="7"/>
        <v>15028.06</v>
      </c>
      <c r="P11" s="39">
        <f t="shared" si="8"/>
        <v>6.0000000000000005E-2</v>
      </c>
    </row>
    <row r="12" spans="1:18" ht="17.100000000000001" customHeight="1" x14ac:dyDescent="0.3">
      <c r="A12" s="57" t="s">
        <v>54</v>
      </c>
      <c r="B12" s="57" t="s">
        <v>49</v>
      </c>
      <c r="C12" s="57"/>
      <c r="D12" s="123">
        <f>8+1.02777778</f>
        <v>9.027777780000001</v>
      </c>
      <c r="E12" s="63"/>
      <c r="F12" s="64">
        <f t="shared" si="0"/>
        <v>0</v>
      </c>
      <c r="G12" s="64"/>
      <c r="H12" s="65">
        <f t="shared" si="1"/>
        <v>0</v>
      </c>
      <c r="I12" s="65">
        <f t="shared" si="2"/>
        <v>0</v>
      </c>
      <c r="J12" s="66">
        <v>0</v>
      </c>
      <c r="K12" s="67">
        <f t="shared" si="3"/>
        <v>31154.298688224306</v>
      </c>
      <c r="L12" s="121">
        <f t="shared" si="4"/>
        <v>0</v>
      </c>
      <c r="M12" s="68">
        <f t="shared" si="5"/>
        <v>31154.07</v>
      </c>
      <c r="N12" s="69">
        <f t="shared" si="6"/>
        <v>33023.07</v>
      </c>
      <c r="O12" s="70">
        <f t="shared" si="7"/>
        <v>32089.07</v>
      </c>
      <c r="P12" s="39">
        <f t="shared" si="8"/>
        <v>7.0000000000000007E-2</v>
      </c>
    </row>
    <row r="13" spans="1:18" ht="17.100000000000001" customHeight="1" x14ac:dyDescent="0.3">
      <c r="A13" s="57" t="s">
        <v>56</v>
      </c>
      <c r="B13" s="57" t="s">
        <v>55</v>
      </c>
      <c r="C13" s="58"/>
      <c r="D13" s="123">
        <f>1.02777778+4.9</f>
        <v>5.9277777800000004</v>
      </c>
      <c r="E13" s="63"/>
      <c r="F13" s="64">
        <f t="shared" si="0"/>
        <v>0</v>
      </c>
      <c r="G13" s="64"/>
      <c r="H13" s="65">
        <f t="shared" si="1"/>
        <v>0</v>
      </c>
      <c r="I13" s="65">
        <f t="shared" si="2"/>
        <v>0</v>
      </c>
      <c r="J13" s="66">
        <v>0</v>
      </c>
      <c r="K13" s="67">
        <f t="shared" si="3"/>
        <v>20456.391818224307</v>
      </c>
      <c r="L13" s="121">
        <f t="shared" si="4"/>
        <v>0</v>
      </c>
      <c r="M13" s="68">
        <f t="shared" si="5"/>
        <v>20456.080000000002</v>
      </c>
      <c r="N13" s="69">
        <f t="shared" si="6"/>
        <v>21683.08</v>
      </c>
      <c r="O13" s="70">
        <f t="shared" si="7"/>
        <v>21070.080000000002</v>
      </c>
      <c r="P13" s="39">
        <f t="shared" si="8"/>
        <v>0.08</v>
      </c>
    </row>
    <row r="14" spans="1:18" ht="17.100000000000001" customHeight="1" x14ac:dyDescent="0.3">
      <c r="A14" s="57" t="s">
        <v>57</v>
      </c>
      <c r="B14" s="57" t="s">
        <v>59</v>
      </c>
      <c r="C14" s="58"/>
      <c r="D14" s="123">
        <f>1.02777778+3.2</f>
        <v>4.2277777800000003</v>
      </c>
      <c r="E14" s="63"/>
      <c r="F14" s="64">
        <f t="shared" si="0"/>
        <v>0</v>
      </c>
      <c r="G14" s="64"/>
      <c r="H14" s="65">
        <f t="shared" si="1"/>
        <v>0</v>
      </c>
      <c r="I14" s="65">
        <f t="shared" si="2"/>
        <v>0</v>
      </c>
      <c r="J14" s="66">
        <v>0</v>
      </c>
      <c r="K14" s="67">
        <f t="shared" si="3"/>
        <v>14589.797728224305</v>
      </c>
      <c r="L14" s="121">
        <f t="shared" si="4"/>
        <v>0</v>
      </c>
      <c r="M14" s="68">
        <f t="shared" si="5"/>
        <v>14590.09</v>
      </c>
      <c r="N14" s="69">
        <f t="shared" si="6"/>
        <v>15465.09</v>
      </c>
      <c r="O14" s="70">
        <f t="shared" si="7"/>
        <v>15028.09</v>
      </c>
      <c r="P14" s="39">
        <f t="shared" si="8"/>
        <v>0.09</v>
      </c>
    </row>
    <row r="15" spans="1:18" ht="17.100000000000001" customHeight="1" x14ac:dyDescent="0.3">
      <c r="A15" s="57" t="s">
        <v>58</v>
      </c>
      <c r="B15" s="57" t="s">
        <v>60</v>
      </c>
      <c r="C15" s="58"/>
      <c r="D15" s="123">
        <f>8+1.02777778</f>
        <v>9.027777780000001</v>
      </c>
      <c r="E15" s="63"/>
      <c r="F15" s="64">
        <f t="shared" si="0"/>
        <v>0</v>
      </c>
      <c r="G15" s="64"/>
      <c r="H15" s="65">
        <f t="shared" si="1"/>
        <v>0</v>
      </c>
      <c r="I15" s="65">
        <f t="shared" si="2"/>
        <v>0</v>
      </c>
      <c r="J15" s="66">
        <v>0</v>
      </c>
      <c r="K15" s="67">
        <f t="shared" si="3"/>
        <v>31154.298688224306</v>
      </c>
      <c r="L15" s="121">
        <f t="shared" si="4"/>
        <v>0</v>
      </c>
      <c r="M15" s="68">
        <f t="shared" si="5"/>
        <v>31154.1</v>
      </c>
      <c r="N15" s="69">
        <f t="shared" si="6"/>
        <v>33023.1</v>
      </c>
      <c r="O15" s="70">
        <f t="shared" si="7"/>
        <v>32089.1</v>
      </c>
      <c r="P15" s="39">
        <f t="shared" si="8"/>
        <v>9.9999999999999992E-2</v>
      </c>
    </row>
    <row r="16" spans="1:18" ht="17.100000000000001" customHeight="1" x14ac:dyDescent="0.3">
      <c r="A16" s="57" t="s">
        <v>64</v>
      </c>
      <c r="B16" s="57" t="s">
        <v>61</v>
      </c>
      <c r="C16" s="58"/>
      <c r="D16" s="123">
        <f>1.02777778+4.9</f>
        <v>5.9277777800000004</v>
      </c>
      <c r="E16" s="63"/>
      <c r="F16" s="64">
        <f t="shared" si="0"/>
        <v>0</v>
      </c>
      <c r="G16" s="64"/>
      <c r="H16" s="65">
        <f t="shared" si="1"/>
        <v>0</v>
      </c>
      <c r="I16" s="65">
        <f t="shared" si="2"/>
        <v>0</v>
      </c>
      <c r="J16" s="66">
        <v>0</v>
      </c>
      <c r="K16" s="67">
        <f t="shared" si="3"/>
        <v>20456.391818224307</v>
      </c>
      <c r="L16" s="121">
        <f t="shared" si="4"/>
        <v>0</v>
      </c>
      <c r="M16" s="68">
        <f t="shared" si="5"/>
        <v>20456.11</v>
      </c>
      <c r="N16" s="69">
        <f t="shared" si="6"/>
        <v>21683.11</v>
      </c>
      <c r="O16" s="70">
        <f t="shared" si="7"/>
        <v>21070.11</v>
      </c>
      <c r="P16" s="39">
        <f t="shared" si="8"/>
        <v>0.10999999999999999</v>
      </c>
    </row>
    <row r="17" spans="1:16" ht="17.100000000000001" customHeight="1" x14ac:dyDescent="0.3">
      <c r="A17" s="57" t="s">
        <v>65</v>
      </c>
      <c r="B17" s="57" t="s">
        <v>62</v>
      </c>
      <c r="C17" s="58"/>
      <c r="D17" s="123">
        <f>1.02777778+3.2</f>
        <v>4.2277777800000003</v>
      </c>
      <c r="E17" s="63"/>
      <c r="F17" s="64">
        <f t="shared" si="0"/>
        <v>0</v>
      </c>
      <c r="G17" s="64"/>
      <c r="H17" s="65">
        <f t="shared" si="1"/>
        <v>0</v>
      </c>
      <c r="I17" s="65">
        <f t="shared" si="2"/>
        <v>0</v>
      </c>
      <c r="J17" s="66">
        <v>0</v>
      </c>
      <c r="K17" s="67">
        <f t="shared" si="3"/>
        <v>14589.797728224305</v>
      </c>
      <c r="L17" s="121">
        <f t="shared" si="4"/>
        <v>0</v>
      </c>
      <c r="M17" s="68">
        <f t="shared" si="5"/>
        <v>14590.12</v>
      </c>
      <c r="N17" s="69">
        <f t="shared" si="6"/>
        <v>15466.12</v>
      </c>
      <c r="O17" s="70">
        <f t="shared" si="7"/>
        <v>15028.12</v>
      </c>
      <c r="P17" s="39">
        <f t="shared" si="8"/>
        <v>0.11999999999999998</v>
      </c>
    </row>
    <row r="18" spans="1:16" ht="17.100000000000001" customHeight="1" x14ac:dyDescent="0.3">
      <c r="A18" s="57" t="s">
        <v>63</v>
      </c>
      <c r="B18" s="57" t="s">
        <v>49</v>
      </c>
      <c r="C18" s="58"/>
      <c r="D18" s="123">
        <f>1.02777778+5.4+5.7</f>
        <v>12.127777780000001</v>
      </c>
      <c r="E18" s="63"/>
      <c r="F18" s="64">
        <f t="shared" si="0"/>
        <v>0</v>
      </c>
      <c r="G18" s="64"/>
      <c r="H18" s="65">
        <f t="shared" si="1"/>
        <v>0</v>
      </c>
      <c r="I18" s="65">
        <f t="shared" si="2"/>
        <v>0</v>
      </c>
      <c r="J18" s="66"/>
      <c r="K18" s="67">
        <f t="shared" si="3"/>
        <v>41852.205558224305</v>
      </c>
      <c r="L18" s="121">
        <f t="shared" si="4"/>
        <v>0</v>
      </c>
      <c r="M18" s="68">
        <f t="shared" si="5"/>
        <v>41852.129999999997</v>
      </c>
      <c r="N18" s="69"/>
      <c r="O18" s="70">
        <f t="shared" si="7"/>
        <v>43108.13</v>
      </c>
      <c r="P18" s="39">
        <f t="shared" si="8"/>
        <v>0.12999999999999998</v>
      </c>
    </row>
    <row r="19" spans="1:16" ht="17.100000000000001" customHeight="1" x14ac:dyDescent="0.3">
      <c r="A19" s="57"/>
      <c r="B19" s="57"/>
      <c r="C19" s="58"/>
      <c r="D19" s="62"/>
      <c r="E19" s="63"/>
      <c r="F19" s="64">
        <f t="shared" si="0"/>
        <v>0</v>
      </c>
      <c r="G19" s="64"/>
      <c r="H19" s="65">
        <f t="shared" si="1"/>
        <v>0</v>
      </c>
      <c r="I19" s="65">
        <f t="shared" si="2"/>
        <v>0</v>
      </c>
      <c r="J19" s="66"/>
      <c r="K19" s="67">
        <f t="shared" si="3"/>
        <v>0</v>
      </c>
      <c r="L19" s="121">
        <f t="shared" si="4"/>
        <v>0</v>
      </c>
      <c r="M19" s="68"/>
      <c r="N19" s="69"/>
      <c r="O19" s="70"/>
      <c r="P19" s="39">
        <f t="shared" si="8"/>
        <v>0.13999999999999999</v>
      </c>
    </row>
    <row r="20" spans="1:16" ht="17.100000000000001" customHeight="1" x14ac:dyDescent="0.3">
      <c r="A20" s="57" t="s">
        <v>66</v>
      </c>
      <c r="B20" s="57" t="s">
        <v>60</v>
      </c>
      <c r="C20" s="58"/>
      <c r="D20" s="123">
        <f>1.02777778+1.2</f>
        <v>2.2277777800000003</v>
      </c>
      <c r="E20" s="63"/>
      <c r="F20" s="64">
        <f t="shared" si="0"/>
        <v>0</v>
      </c>
      <c r="G20" s="64"/>
      <c r="H20" s="65">
        <f t="shared" si="1"/>
        <v>0</v>
      </c>
      <c r="I20" s="65">
        <f t="shared" si="2"/>
        <v>0</v>
      </c>
      <c r="J20" s="66"/>
      <c r="K20" s="67">
        <f t="shared" si="3"/>
        <v>7687.9223282243056</v>
      </c>
      <c r="L20" s="121">
        <f t="shared" si="4"/>
        <v>0</v>
      </c>
      <c r="M20" s="68">
        <f t="shared" si="5"/>
        <v>7688.15</v>
      </c>
      <c r="N20" s="69"/>
      <c r="O20" s="70">
        <f t="shared" si="7"/>
        <v>7919.15</v>
      </c>
      <c r="P20" s="39">
        <f t="shared" si="8"/>
        <v>0.15</v>
      </c>
    </row>
    <row r="21" spans="1:16" ht="17.100000000000001" customHeight="1" x14ac:dyDescent="0.3">
      <c r="A21" s="57" t="s">
        <v>67</v>
      </c>
      <c r="B21" s="57" t="s">
        <v>49</v>
      </c>
      <c r="C21" s="58"/>
      <c r="D21" s="123">
        <f>1.02777778+1.2</f>
        <v>2.2277777800000003</v>
      </c>
      <c r="E21" s="63"/>
      <c r="F21" s="64">
        <f t="shared" si="0"/>
        <v>0</v>
      </c>
      <c r="G21" s="64"/>
      <c r="H21" s="65">
        <f t="shared" si="1"/>
        <v>0</v>
      </c>
      <c r="I21" s="65">
        <f t="shared" si="2"/>
        <v>0</v>
      </c>
      <c r="J21" s="66"/>
      <c r="K21" s="67">
        <f t="shared" si="3"/>
        <v>7687.9223282243056</v>
      </c>
      <c r="L21" s="121">
        <f t="shared" si="4"/>
        <v>0</v>
      </c>
      <c r="M21" s="68">
        <f t="shared" si="5"/>
        <v>7688.16</v>
      </c>
      <c r="N21" s="69"/>
      <c r="O21" s="70">
        <f t="shared" si="7"/>
        <v>7919.16</v>
      </c>
      <c r="P21" s="39">
        <f t="shared" si="8"/>
        <v>0.16</v>
      </c>
    </row>
    <row r="22" spans="1:16" ht="17.100000000000001" customHeight="1" x14ac:dyDescent="0.3">
      <c r="A22" s="57" t="s">
        <v>68</v>
      </c>
      <c r="B22" s="57" t="s">
        <v>55</v>
      </c>
      <c r="C22" s="58"/>
      <c r="D22" s="123">
        <f>1.02777778+1.2</f>
        <v>2.2277777800000003</v>
      </c>
      <c r="E22" s="63"/>
      <c r="F22" s="64">
        <f t="shared" si="0"/>
        <v>0</v>
      </c>
      <c r="G22" s="64"/>
      <c r="H22" s="65">
        <f t="shared" si="1"/>
        <v>0</v>
      </c>
      <c r="I22" s="65">
        <f t="shared" si="2"/>
        <v>0</v>
      </c>
      <c r="J22" s="66"/>
      <c r="K22" s="67">
        <f t="shared" si="3"/>
        <v>7687.9223282243056</v>
      </c>
      <c r="L22" s="121">
        <f t="shared" si="4"/>
        <v>0</v>
      </c>
      <c r="M22" s="68">
        <f t="shared" si="5"/>
        <v>7688.17</v>
      </c>
      <c r="N22" s="69"/>
      <c r="O22" s="70">
        <f t="shared" si="7"/>
        <v>7919.17</v>
      </c>
      <c r="P22" s="39">
        <f t="shared" si="8"/>
        <v>0.17</v>
      </c>
    </row>
    <row r="23" spans="1:16" ht="17.100000000000001" customHeight="1" x14ac:dyDescent="0.3">
      <c r="A23" s="57" t="s">
        <v>69</v>
      </c>
      <c r="B23" s="57" t="s">
        <v>60</v>
      </c>
      <c r="C23" s="58"/>
      <c r="D23" s="123">
        <f>1.02777778+1.2</f>
        <v>2.2277777800000003</v>
      </c>
      <c r="E23" s="63"/>
      <c r="F23" s="64">
        <f t="shared" si="0"/>
        <v>0</v>
      </c>
      <c r="G23" s="64"/>
      <c r="H23" s="65">
        <f t="shared" si="1"/>
        <v>0</v>
      </c>
      <c r="I23" s="65">
        <f t="shared" si="2"/>
        <v>0</v>
      </c>
      <c r="J23" s="66"/>
      <c r="K23" s="67">
        <f t="shared" si="3"/>
        <v>7687.9223282243056</v>
      </c>
      <c r="L23" s="121">
        <f t="shared" si="4"/>
        <v>0</v>
      </c>
      <c r="M23" s="68">
        <f t="shared" si="5"/>
        <v>7688.18</v>
      </c>
      <c r="N23" s="69"/>
      <c r="O23" s="70">
        <f t="shared" si="7"/>
        <v>7919.18</v>
      </c>
      <c r="P23" s="39">
        <f t="shared" si="8"/>
        <v>0.18000000000000002</v>
      </c>
    </row>
    <row r="24" spans="1:16" ht="17.100000000000001" customHeight="1" thickBot="1" x14ac:dyDescent="0.35">
      <c r="A24" s="57" t="s">
        <v>70</v>
      </c>
      <c r="B24" s="57" t="s">
        <v>49</v>
      </c>
      <c r="C24" s="58"/>
      <c r="D24" s="123">
        <f>1.02777778+1.2</f>
        <v>2.2277777800000003</v>
      </c>
      <c r="E24" s="63"/>
      <c r="F24" s="64">
        <f t="shared" si="0"/>
        <v>0</v>
      </c>
      <c r="G24" s="64"/>
      <c r="H24" s="65">
        <f t="shared" si="1"/>
        <v>0</v>
      </c>
      <c r="I24" s="65">
        <f t="shared" si="2"/>
        <v>0</v>
      </c>
      <c r="J24" s="66">
        <v>0</v>
      </c>
      <c r="K24" s="67">
        <f t="shared" si="3"/>
        <v>7687.9223282243056</v>
      </c>
      <c r="L24" s="121">
        <f t="shared" si="4"/>
        <v>0</v>
      </c>
      <c r="M24" s="68">
        <f t="shared" si="5"/>
        <v>7688.19</v>
      </c>
      <c r="N24" s="69">
        <f t="shared" si="6"/>
        <v>8149.19</v>
      </c>
      <c r="O24" s="70">
        <f t="shared" si="7"/>
        <v>7919.19</v>
      </c>
      <c r="P24" s="39">
        <f t="shared" si="8"/>
        <v>0.19000000000000003</v>
      </c>
    </row>
    <row r="25" spans="1:16" ht="17.100000000000001" customHeight="1" thickBot="1" x14ac:dyDescent="0.35">
      <c r="A25" s="71"/>
      <c r="B25" s="72"/>
      <c r="C25" s="72"/>
      <c r="D25" s="73">
        <f t="shared" ref="D25:O25" si="9">SUM(D6:D24)</f>
        <v>100.00000003999999</v>
      </c>
      <c r="E25" s="47">
        <f t="shared" si="9"/>
        <v>0</v>
      </c>
      <c r="F25" s="55">
        <f t="shared" si="9"/>
        <v>0</v>
      </c>
      <c r="G25" s="47">
        <f t="shared" si="9"/>
        <v>0</v>
      </c>
      <c r="H25" s="55">
        <f t="shared" si="9"/>
        <v>0</v>
      </c>
      <c r="I25" s="55">
        <f t="shared" si="9"/>
        <v>0</v>
      </c>
      <c r="J25" s="55">
        <f t="shared" si="9"/>
        <v>0</v>
      </c>
      <c r="K25" s="105">
        <f t="shared" si="9"/>
        <v>345093.77013803739</v>
      </c>
      <c r="L25" s="55">
        <f t="shared" si="9"/>
        <v>0</v>
      </c>
      <c r="M25" s="74">
        <f t="shared" si="9"/>
        <v>345093.76</v>
      </c>
      <c r="N25" s="74">
        <f t="shared" si="9"/>
        <v>288834.97000000003</v>
      </c>
      <c r="O25" s="74">
        <f t="shared" si="9"/>
        <v>355452.76</v>
      </c>
    </row>
    <row r="26" spans="1:16" x14ac:dyDescent="0.3">
      <c r="B26" s="46"/>
      <c r="C26" s="46"/>
      <c r="D26" s="122"/>
    </row>
    <row r="27" spans="1:16" x14ac:dyDescent="0.3">
      <c r="B27" s="196" t="s">
        <v>97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</row>
    <row r="28" spans="1:16" x14ac:dyDescent="0.3"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</row>
    <row r="29" spans="1:16" x14ac:dyDescent="0.3"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</row>
    <row r="30" spans="1:16" ht="72" customHeight="1" x14ac:dyDescent="0.3"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</row>
  </sheetData>
  <mergeCells count="16">
    <mergeCell ref="B2:H3"/>
    <mergeCell ref="O4:O5"/>
    <mergeCell ref="B27:M30"/>
    <mergeCell ref="C4:C5"/>
    <mergeCell ref="G4:G5"/>
    <mergeCell ref="A4:A5"/>
    <mergeCell ref="B4:B5"/>
    <mergeCell ref="D4:D5"/>
    <mergeCell ref="I4:I5"/>
    <mergeCell ref="E4:E5"/>
    <mergeCell ref="N4:N5"/>
    <mergeCell ref="F4:F5"/>
    <mergeCell ref="H4:H5"/>
    <mergeCell ref="J4:J5"/>
    <mergeCell ref="K4:K5"/>
    <mergeCell ref="L4:L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1833-D35F-45AC-9D7A-9C6C07C828FD}">
  <dimension ref="A1:Q32"/>
  <sheetViews>
    <sheetView topLeftCell="C7" workbookViewId="0">
      <selection activeCell="D5" sqref="D5:D17"/>
    </sheetView>
  </sheetViews>
  <sheetFormatPr baseColWidth="10" defaultRowHeight="14.4" x14ac:dyDescent="0.3"/>
  <cols>
    <col min="1" max="1" width="5" hidden="1" customWidth="1"/>
    <col min="2" max="2" width="8.33203125" hidden="1" customWidth="1"/>
    <col min="3" max="3" width="7.5546875" customWidth="1"/>
    <col min="4" max="4" width="24.6640625" customWidth="1"/>
    <col min="5" max="5" width="8.88671875" customWidth="1"/>
    <col min="6" max="6" width="12.5546875" customWidth="1"/>
    <col min="7" max="7" width="12.44140625" customWidth="1"/>
    <col min="8" max="8" width="12.6640625" customWidth="1"/>
    <col min="9" max="9" width="11.109375" bestFit="1" customWidth="1"/>
    <col min="10" max="10" width="13" bestFit="1" customWidth="1"/>
    <col min="11" max="11" width="11.109375" bestFit="1" customWidth="1"/>
    <col min="12" max="12" width="8.44140625" customWidth="1"/>
    <col min="13" max="13" width="11.44140625" bestFit="1" customWidth="1"/>
  </cols>
  <sheetData>
    <row r="1" spans="1:17" ht="21" customHeight="1" x14ac:dyDescent="0.3">
      <c r="A1" s="218" t="s">
        <v>72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20"/>
    </row>
    <row r="2" spans="1:17" ht="19.5" customHeight="1" x14ac:dyDescent="0.3">
      <c r="A2" s="130"/>
      <c r="B2" s="130" t="s">
        <v>72</v>
      </c>
      <c r="C2" s="131"/>
      <c r="D2" s="5"/>
      <c r="E2" s="125"/>
      <c r="F2" s="125"/>
      <c r="G2" s="125"/>
      <c r="H2" s="126"/>
      <c r="I2" s="125"/>
      <c r="J2" s="125"/>
      <c r="K2" s="125"/>
      <c r="L2" s="125"/>
      <c r="M2" s="125"/>
      <c r="N2" s="128"/>
    </row>
    <row r="3" spans="1:17" x14ac:dyDescent="0.3">
      <c r="A3" s="130"/>
      <c r="B3" s="129" t="s">
        <v>72</v>
      </c>
      <c r="C3" s="223">
        <v>100000</v>
      </c>
      <c r="D3" s="223"/>
      <c r="E3" s="132"/>
      <c r="F3" s="132"/>
      <c r="G3" s="132"/>
      <c r="H3" s="133"/>
      <c r="I3" s="127"/>
      <c r="J3" s="134"/>
      <c r="K3" s="221">
        <f>C2-I24</f>
        <v>0</v>
      </c>
      <c r="L3" s="221"/>
      <c r="M3" s="135"/>
      <c r="N3" s="128"/>
    </row>
    <row r="4" spans="1:17" ht="28.5" customHeight="1" x14ac:dyDescent="0.3">
      <c r="A4" s="136" t="s">
        <v>73</v>
      </c>
      <c r="B4" s="136" t="s">
        <v>73</v>
      </c>
      <c r="C4" s="137" t="s">
        <v>74</v>
      </c>
      <c r="D4" s="138" t="s">
        <v>75</v>
      </c>
      <c r="E4" s="138" t="s">
        <v>76</v>
      </c>
      <c r="F4" s="139" t="s">
        <v>77</v>
      </c>
      <c r="G4" s="139" t="s">
        <v>78</v>
      </c>
      <c r="H4" s="140" t="s">
        <v>79</v>
      </c>
      <c r="I4" s="141" t="s">
        <v>72</v>
      </c>
      <c r="J4" s="179" t="s">
        <v>80</v>
      </c>
      <c r="K4" s="179" t="s">
        <v>80</v>
      </c>
      <c r="L4" s="142" t="s">
        <v>79</v>
      </c>
      <c r="M4" s="139" t="s">
        <v>81</v>
      </c>
      <c r="N4" s="128"/>
    </row>
    <row r="5" spans="1:17" x14ac:dyDescent="0.3">
      <c r="A5" s="143">
        <v>1</v>
      </c>
      <c r="B5" s="144">
        <v>1</v>
      </c>
      <c r="C5" s="145" t="str">
        <f>PRORRATEO!A6</f>
        <v>1A</v>
      </c>
      <c r="D5" s="146" t="str">
        <f>PRORRATEO!B6</f>
        <v>Sr Propietario</v>
      </c>
      <c r="E5" s="147">
        <v>5.1100000000000003</v>
      </c>
      <c r="F5" s="148">
        <v>0</v>
      </c>
      <c r="G5" s="148">
        <v>0</v>
      </c>
      <c r="H5" s="149">
        <f>G5-F5</f>
        <v>0</v>
      </c>
      <c r="I5" s="150">
        <f>L5*93.787</f>
        <v>0</v>
      </c>
      <c r="J5" s="150">
        <f>J3*E5%</f>
        <v>0</v>
      </c>
      <c r="K5" s="181">
        <f t="shared" ref="K5:K23" si="0">K$3*E5/Q$7</f>
        <v>0</v>
      </c>
      <c r="L5" s="151">
        <f t="shared" ref="L5:L21" si="1">G5-F5</f>
        <v>0</v>
      </c>
      <c r="M5" s="149">
        <f>I5+K5</f>
        <v>0</v>
      </c>
      <c r="N5" s="128"/>
    </row>
    <row r="6" spans="1:17" x14ac:dyDescent="0.3">
      <c r="A6" s="153">
        <v>2</v>
      </c>
      <c r="B6" s="154">
        <v>2</v>
      </c>
      <c r="C6" s="145" t="str">
        <f>PRORRATEO!A7</f>
        <v>1B</v>
      </c>
      <c r="D6" s="146" t="str">
        <f>PRORRATEO!B7</f>
        <v>D' Andrea Patricia Daniela</v>
      </c>
      <c r="E6" s="147">
        <v>5.09</v>
      </c>
      <c r="F6" s="148">
        <v>0</v>
      </c>
      <c r="G6" s="148">
        <v>0</v>
      </c>
      <c r="H6" s="149">
        <f t="shared" ref="H6:H22" si="2">G6-F6</f>
        <v>0</v>
      </c>
      <c r="I6" s="150">
        <f t="shared" ref="I6:I21" si="3">L6*93.787</f>
        <v>0</v>
      </c>
      <c r="J6" s="150">
        <f>J3*E6%</f>
        <v>0</v>
      </c>
      <c r="K6" s="181">
        <f t="shared" si="0"/>
        <v>0</v>
      </c>
      <c r="L6" s="151">
        <f t="shared" si="1"/>
        <v>0</v>
      </c>
      <c r="M6" s="149">
        <f t="shared" ref="M6:M20" si="4">I6+K6</f>
        <v>0</v>
      </c>
      <c r="N6" s="128"/>
    </row>
    <row r="7" spans="1:17" ht="16.5" customHeight="1" x14ac:dyDescent="0.3">
      <c r="A7" s="143">
        <v>3</v>
      </c>
      <c r="B7" s="154">
        <v>3</v>
      </c>
      <c r="C7" s="145" t="str">
        <f>PRORRATEO!A8</f>
        <v>1C</v>
      </c>
      <c r="D7" s="146" t="str">
        <f>PRORRATEO!B8</f>
        <v>Arroyo Aldana</v>
      </c>
      <c r="E7" s="147">
        <v>5.04</v>
      </c>
      <c r="F7" s="148">
        <v>0</v>
      </c>
      <c r="G7" s="148">
        <v>0</v>
      </c>
      <c r="H7" s="149">
        <f t="shared" si="2"/>
        <v>0</v>
      </c>
      <c r="I7" s="150">
        <f t="shared" si="3"/>
        <v>0</v>
      </c>
      <c r="J7" s="150">
        <f>J3*E7%</f>
        <v>0</v>
      </c>
      <c r="K7" s="181">
        <f t="shared" si="0"/>
        <v>0</v>
      </c>
      <c r="L7" s="151">
        <f t="shared" si="1"/>
        <v>0</v>
      </c>
      <c r="M7" s="149">
        <f t="shared" si="4"/>
        <v>0</v>
      </c>
      <c r="N7" s="128"/>
      <c r="Q7">
        <v>100</v>
      </c>
    </row>
    <row r="8" spans="1:17" x14ac:dyDescent="0.3">
      <c r="A8" s="143">
        <v>4</v>
      </c>
      <c r="B8" s="154" t="s">
        <v>82</v>
      </c>
      <c r="C8" s="145" t="str">
        <f>PRORRATEO!A9</f>
        <v>2A</v>
      </c>
      <c r="D8" s="146" t="str">
        <f>PRORRATEO!B9</f>
        <v>Stagno Jorge Adrian</v>
      </c>
      <c r="E8" s="155">
        <v>5.21</v>
      </c>
      <c r="F8" s="148">
        <v>0</v>
      </c>
      <c r="G8" s="148">
        <v>0</v>
      </c>
      <c r="H8" s="149">
        <f t="shared" si="2"/>
        <v>0</v>
      </c>
      <c r="I8" s="150">
        <f t="shared" si="3"/>
        <v>0</v>
      </c>
      <c r="J8" s="182">
        <f>J3*E8%</f>
        <v>0</v>
      </c>
      <c r="K8" s="181">
        <f t="shared" si="0"/>
        <v>0</v>
      </c>
      <c r="L8" s="156">
        <f t="shared" si="1"/>
        <v>0</v>
      </c>
      <c r="M8" s="149">
        <f t="shared" si="4"/>
        <v>0</v>
      </c>
      <c r="N8" s="128"/>
    </row>
    <row r="9" spans="1:17" x14ac:dyDescent="0.3">
      <c r="A9" s="143">
        <v>6</v>
      </c>
      <c r="B9" s="154">
        <v>6</v>
      </c>
      <c r="C9" s="145" t="str">
        <f>PRORRATEO!A10</f>
        <v>2B</v>
      </c>
      <c r="D9" s="146" t="str">
        <f>PRORRATEO!B10</f>
        <v>Stagno Jorge Adrian</v>
      </c>
      <c r="E9" s="147">
        <v>5.1100000000000003</v>
      </c>
      <c r="F9" s="148">
        <v>0</v>
      </c>
      <c r="G9" s="148">
        <v>0</v>
      </c>
      <c r="H9" s="149">
        <f t="shared" si="2"/>
        <v>0</v>
      </c>
      <c r="I9" s="150">
        <f t="shared" si="3"/>
        <v>0</v>
      </c>
      <c r="J9" s="150">
        <f>J3*E9%</f>
        <v>0</v>
      </c>
      <c r="K9" s="181">
        <f t="shared" si="0"/>
        <v>0</v>
      </c>
      <c r="L9" s="151">
        <f t="shared" si="1"/>
        <v>0</v>
      </c>
      <c r="M9" s="149">
        <f t="shared" si="4"/>
        <v>0</v>
      </c>
      <c r="N9" s="128"/>
    </row>
    <row r="10" spans="1:17" x14ac:dyDescent="0.3">
      <c r="A10" s="143">
        <v>7</v>
      </c>
      <c r="B10" s="154">
        <v>7</v>
      </c>
      <c r="C10" s="145" t="str">
        <f>PRORRATEO!A11</f>
        <v>2C</v>
      </c>
      <c r="D10" s="146" t="str">
        <f>PRORRATEO!B11</f>
        <v>Beneyte Lenorado Damian</v>
      </c>
      <c r="E10" s="147">
        <v>5.09</v>
      </c>
      <c r="F10" s="148">
        <v>0</v>
      </c>
      <c r="G10" s="148">
        <v>0</v>
      </c>
      <c r="H10" s="149">
        <f t="shared" si="2"/>
        <v>0</v>
      </c>
      <c r="I10" s="150">
        <f t="shared" si="3"/>
        <v>0</v>
      </c>
      <c r="J10" s="150">
        <f>J3*E10%</f>
        <v>0</v>
      </c>
      <c r="K10" s="181">
        <f t="shared" si="0"/>
        <v>0</v>
      </c>
      <c r="L10" s="151">
        <f t="shared" si="1"/>
        <v>0</v>
      </c>
      <c r="M10" s="149">
        <f t="shared" si="4"/>
        <v>0</v>
      </c>
    </row>
    <row r="11" spans="1:17" x14ac:dyDescent="0.3">
      <c r="A11" s="143">
        <v>8</v>
      </c>
      <c r="B11" s="154">
        <v>8</v>
      </c>
      <c r="C11" s="145" t="str">
        <f>PRORRATEO!A12</f>
        <v>3A</v>
      </c>
      <c r="D11" s="146" t="str">
        <f>PRORRATEO!B12</f>
        <v>Sr Propietario</v>
      </c>
      <c r="E11" s="147">
        <v>5.1100000000000003</v>
      </c>
      <c r="F11" s="148">
        <v>0</v>
      </c>
      <c r="G11" s="148">
        <v>0</v>
      </c>
      <c r="H11" s="149">
        <f t="shared" si="2"/>
        <v>0</v>
      </c>
      <c r="I11" s="150">
        <f t="shared" si="3"/>
        <v>0</v>
      </c>
      <c r="J11" s="150">
        <f>J3*E11%</f>
        <v>0</v>
      </c>
      <c r="K11" s="181">
        <f t="shared" si="0"/>
        <v>0</v>
      </c>
      <c r="L11" s="151">
        <f t="shared" si="1"/>
        <v>0</v>
      </c>
      <c r="M11" s="149">
        <f t="shared" si="4"/>
        <v>0</v>
      </c>
    </row>
    <row r="12" spans="1:17" x14ac:dyDescent="0.3">
      <c r="A12" s="143">
        <v>9</v>
      </c>
      <c r="B12" s="154">
        <v>9</v>
      </c>
      <c r="C12" s="145" t="str">
        <f>PRORRATEO!A13</f>
        <v>3B</v>
      </c>
      <c r="D12" s="146" t="str">
        <f>PRORRATEO!B13</f>
        <v>Torres Lilliana Beatriz</v>
      </c>
      <c r="E12" s="147">
        <v>5.09</v>
      </c>
      <c r="F12" s="148">
        <v>0</v>
      </c>
      <c r="G12" s="148">
        <v>0</v>
      </c>
      <c r="H12" s="149">
        <f t="shared" si="2"/>
        <v>0</v>
      </c>
      <c r="I12" s="150">
        <f t="shared" si="3"/>
        <v>0</v>
      </c>
      <c r="J12" s="150">
        <f>J3*E12%</f>
        <v>0</v>
      </c>
      <c r="K12" s="181">
        <f t="shared" si="0"/>
        <v>0</v>
      </c>
      <c r="L12" s="151">
        <f t="shared" si="1"/>
        <v>0</v>
      </c>
      <c r="M12" s="149">
        <f t="shared" si="4"/>
        <v>0</v>
      </c>
    </row>
    <row r="13" spans="1:17" x14ac:dyDescent="0.3">
      <c r="A13" s="143">
        <v>10</v>
      </c>
      <c r="B13" s="154">
        <v>10</v>
      </c>
      <c r="C13" s="145" t="str">
        <f>PRORRATEO!A14</f>
        <v>3C</v>
      </c>
      <c r="D13" s="146" t="str">
        <f>PRORRATEO!B14</f>
        <v>Arostegui Hector/Herrera Monica</v>
      </c>
      <c r="E13" s="147">
        <v>5.04</v>
      </c>
      <c r="F13" s="148">
        <v>0</v>
      </c>
      <c r="G13" s="148">
        <v>0</v>
      </c>
      <c r="H13" s="149">
        <f t="shared" si="2"/>
        <v>0</v>
      </c>
      <c r="I13" s="150">
        <f t="shared" si="3"/>
        <v>0</v>
      </c>
      <c r="J13" s="150">
        <f>J3*E13%</f>
        <v>0</v>
      </c>
      <c r="K13" s="181">
        <f t="shared" si="0"/>
        <v>0</v>
      </c>
      <c r="L13" s="151">
        <f t="shared" si="1"/>
        <v>0</v>
      </c>
      <c r="M13" s="149">
        <f t="shared" si="4"/>
        <v>0</v>
      </c>
    </row>
    <row r="14" spans="1:17" ht="15" customHeight="1" x14ac:dyDescent="0.3">
      <c r="A14" s="143">
        <v>11</v>
      </c>
      <c r="B14" s="154">
        <v>11</v>
      </c>
      <c r="C14" s="145" t="str">
        <f>PRORRATEO!A15</f>
        <v>4A</v>
      </c>
      <c r="D14" s="146" t="str">
        <f>PRORRATEO!B15</f>
        <v>Frosio Diego Martin</v>
      </c>
      <c r="E14" s="147">
        <v>5.21</v>
      </c>
      <c r="F14" s="148">
        <v>0</v>
      </c>
      <c r="G14" s="148">
        <v>0</v>
      </c>
      <c r="H14" s="149">
        <f t="shared" si="2"/>
        <v>0</v>
      </c>
      <c r="I14" s="150">
        <f t="shared" si="3"/>
        <v>0</v>
      </c>
      <c r="J14" s="150">
        <f>J3*E14%</f>
        <v>0</v>
      </c>
      <c r="K14" s="181">
        <f t="shared" si="0"/>
        <v>0</v>
      </c>
      <c r="L14" s="151">
        <f t="shared" si="1"/>
        <v>0</v>
      </c>
      <c r="M14" s="149">
        <f t="shared" si="4"/>
        <v>0</v>
      </c>
    </row>
    <row r="15" spans="1:17" ht="15" customHeight="1" x14ac:dyDescent="0.3">
      <c r="A15" s="143">
        <v>12</v>
      </c>
      <c r="B15" s="154">
        <v>12</v>
      </c>
      <c r="C15" s="145" t="str">
        <f>PRORRATEO!A16</f>
        <v>4B</v>
      </c>
      <c r="D15" s="146" t="str">
        <f>PRORRATEO!B16</f>
        <v>Actis Sofia Magali</v>
      </c>
      <c r="E15" s="147">
        <v>5.1100000000000003</v>
      </c>
      <c r="F15" s="148">
        <v>0</v>
      </c>
      <c r="G15" s="148">
        <v>0</v>
      </c>
      <c r="H15" s="149">
        <f t="shared" si="2"/>
        <v>0</v>
      </c>
      <c r="I15" s="150">
        <f t="shared" si="3"/>
        <v>0</v>
      </c>
      <c r="J15" s="150">
        <f>J3*E15%</f>
        <v>0</v>
      </c>
      <c r="K15" s="181">
        <f t="shared" si="0"/>
        <v>0</v>
      </c>
      <c r="L15" s="151">
        <f t="shared" si="1"/>
        <v>0</v>
      </c>
      <c r="M15" s="149">
        <f t="shared" si="4"/>
        <v>0</v>
      </c>
    </row>
    <row r="16" spans="1:17" x14ac:dyDescent="0.3">
      <c r="A16" s="143">
        <v>13</v>
      </c>
      <c r="B16" s="154">
        <v>13</v>
      </c>
      <c r="C16" s="145" t="str">
        <f>PRORRATEO!A17</f>
        <v>4C</v>
      </c>
      <c r="D16" s="146" t="str">
        <f>PRORRATEO!B17</f>
        <v>Alanis Hebert</v>
      </c>
      <c r="E16" s="147">
        <v>5.09</v>
      </c>
      <c r="F16" s="148">
        <v>0</v>
      </c>
      <c r="G16" s="148">
        <v>0</v>
      </c>
      <c r="H16" s="149">
        <f t="shared" si="2"/>
        <v>0</v>
      </c>
      <c r="I16" s="150">
        <f t="shared" si="3"/>
        <v>0</v>
      </c>
      <c r="J16" s="150">
        <f>J3*E16%</f>
        <v>0</v>
      </c>
      <c r="K16" s="181">
        <f t="shared" si="0"/>
        <v>0</v>
      </c>
      <c r="L16" s="151">
        <f t="shared" si="1"/>
        <v>0</v>
      </c>
      <c r="M16" s="149">
        <f t="shared" si="4"/>
        <v>0</v>
      </c>
    </row>
    <row r="17" spans="1:14" x14ac:dyDescent="0.3">
      <c r="A17" s="143">
        <v>14</v>
      </c>
      <c r="B17" s="154">
        <v>14</v>
      </c>
      <c r="C17" s="145" t="str">
        <f>PRORRATEO!A18</f>
        <v>5A</v>
      </c>
      <c r="D17" s="146" t="str">
        <f>PRORRATEO!B18</f>
        <v>Sr Propietario</v>
      </c>
      <c r="E17" s="147">
        <v>5.04</v>
      </c>
      <c r="F17" s="148">
        <v>0</v>
      </c>
      <c r="G17" s="148">
        <v>0</v>
      </c>
      <c r="H17" s="149">
        <f t="shared" si="2"/>
        <v>0</v>
      </c>
      <c r="I17" s="150">
        <f t="shared" si="3"/>
        <v>0</v>
      </c>
      <c r="J17" s="150">
        <f>J3*E17%</f>
        <v>0</v>
      </c>
      <c r="K17" s="181">
        <f t="shared" si="0"/>
        <v>0</v>
      </c>
      <c r="L17" s="151">
        <f t="shared" si="1"/>
        <v>0</v>
      </c>
      <c r="M17" s="149">
        <f t="shared" si="4"/>
        <v>0</v>
      </c>
    </row>
    <row r="18" spans="1:14" x14ac:dyDescent="0.3">
      <c r="A18" s="143">
        <v>15</v>
      </c>
      <c r="B18" s="154">
        <v>15</v>
      </c>
      <c r="C18" s="145"/>
      <c r="D18" s="146"/>
      <c r="E18" s="147">
        <v>5.21</v>
      </c>
      <c r="F18" s="148">
        <v>0</v>
      </c>
      <c r="G18" s="148">
        <v>0</v>
      </c>
      <c r="H18" s="149">
        <f t="shared" si="2"/>
        <v>0</v>
      </c>
      <c r="I18" s="150">
        <f t="shared" si="3"/>
        <v>0</v>
      </c>
      <c r="J18" s="150">
        <f>J3*E18%</f>
        <v>0</v>
      </c>
      <c r="K18" s="181">
        <f t="shared" si="0"/>
        <v>0</v>
      </c>
      <c r="L18" s="151">
        <f t="shared" si="1"/>
        <v>0</v>
      </c>
      <c r="M18" s="149">
        <f t="shared" si="4"/>
        <v>0</v>
      </c>
    </row>
    <row r="19" spans="1:14" x14ac:dyDescent="0.3">
      <c r="A19" s="143">
        <v>16</v>
      </c>
      <c r="B19" s="154">
        <v>16</v>
      </c>
      <c r="C19" s="145" t="str">
        <f>PRORRATEO!A20</f>
        <v>C1</v>
      </c>
      <c r="D19" s="146" t="str">
        <f>PRORRATEO!B20</f>
        <v>Frosio Diego Martin</v>
      </c>
      <c r="E19" s="147">
        <v>5.04</v>
      </c>
      <c r="F19" s="148">
        <v>0</v>
      </c>
      <c r="G19" s="148">
        <v>0</v>
      </c>
      <c r="H19" s="149">
        <f t="shared" si="2"/>
        <v>0</v>
      </c>
      <c r="I19" s="150">
        <f t="shared" si="3"/>
        <v>0</v>
      </c>
      <c r="J19" s="150">
        <f>J3*E19%</f>
        <v>0</v>
      </c>
      <c r="K19" s="181">
        <f t="shared" si="0"/>
        <v>0</v>
      </c>
      <c r="L19" s="151">
        <f t="shared" si="1"/>
        <v>0</v>
      </c>
      <c r="M19" s="149">
        <f t="shared" si="4"/>
        <v>0</v>
      </c>
    </row>
    <row r="20" spans="1:14" x14ac:dyDescent="0.3">
      <c r="A20" s="143">
        <v>17</v>
      </c>
      <c r="B20" s="154">
        <v>17</v>
      </c>
      <c r="C20" s="145" t="str">
        <f>PRORRATEO!A21</f>
        <v>C2</v>
      </c>
      <c r="D20" s="146" t="str">
        <f>PRORRATEO!B21</f>
        <v>Sr Propietario</v>
      </c>
      <c r="E20" s="147">
        <v>5.21</v>
      </c>
      <c r="F20" s="148">
        <v>0</v>
      </c>
      <c r="G20" s="148">
        <v>0</v>
      </c>
      <c r="H20" s="149">
        <f t="shared" si="2"/>
        <v>0</v>
      </c>
      <c r="I20" s="150">
        <f t="shared" si="3"/>
        <v>0</v>
      </c>
      <c r="J20" s="150">
        <f>J3*E20%</f>
        <v>0</v>
      </c>
      <c r="K20" s="181">
        <f t="shared" si="0"/>
        <v>0</v>
      </c>
      <c r="L20" s="151">
        <f t="shared" si="1"/>
        <v>0</v>
      </c>
      <c r="M20" s="149">
        <f t="shared" si="4"/>
        <v>0</v>
      </c>
    </row>
    <row r="21" spans="1:14" x14ac:dyDescent="0.3">
      <c r="A21" s="143">
        <v>18</v>
      </c>
      <c r="B21" s="154">
        <v>18</v>
      </c>
      <c r="C21" s="145" t="str">
        <f>PRORRATEO!A22</f>
        <v>C3</v>
      </c>
      <c r="D21" s="146" t="str">
        <f>PRORRATEO!B22</f>
        <v>Torres Lilliana Beatriz</v>
      </c>
      <c r="E21" s="147">
        <v>7.4</v>
      </c>
      <c r="F21" s="148">
        <v>0</v>
      </c>
      <c r="G21" s="148">
        <v>0</v>
      </c>
      <c r="H21" s="149">
        <f t="shared" si="2"/>
        <v>0</v>
      </c>
      <c r="I21" s="150">
        <f t="shared" si="3"/>
        <v>0</v>
      </c>
      <c r="J21" s="150">
        <f>J3*E21%</f>
        <v>0</v>
      </c>
      <c r="K21" s="181">
        <f t="shared" si="0"/>
        <v>0</v>
      </c>
      <c r="L21" s="151">
        <f t="shared" si="1"/>
        <v>0</v>
      </c>
      <c r="M21" s="149">
        <f>I21+K21</f>
        <v>0</v>
      </c>
    </row>
    <row r="22" spans="1:14" ht="14.25" customHeight="1" x14ac:dyDescent="0.3">
      <c r="A22" s="143">
        <v>19</v>
      </c>
      <c r="B22" s="157">
        <v>19</v>
      </c>
      <c r="C22" s="145" t="str">
        <f>PRORRATEO!A23</f>
        <v>C4</v>
      </c>
      <c r="D22" s="146" t="str">
        <f>PRORRATEO!B23</f>
        <v>Frosio Diego Martin</v>
      </c>
      <c r="E22" s="178">
        <v>1.08</v>
      </c>
      <c r="F22" s="148">
        <v>0</v>
      </c>
      <c r="G22" s="148">
        <v>0</v>
      </c>
      <c r="H22" s="149">
        <f t="shared" si="2"/>
        <v>0</v>
      </c>
      <c r="I22" s="150"/>
      <c r="J22" s="150"/>
      <c r="K22" s="181">
        <f t="shared" si="0"/>
        <v>0</v>
      </c>
      <c r="L22" s="151">
        <v>0</v>
      </c>
      <c r="M22" s="149">
        <f t="shared" ref="M22:M23" si="5">I22+K22</f>
        <v>0</v>
      </c>
    </row>
    <row r="23" spans="1:14" x14ac:dyDescent="0.3">
      <c r="A23" s="143">
        <v>20</v>
      </c>
      <c r="B23" s="157"/>
      <c r="C23" s="145" t="str">
        <f>PRORRATEO!A24</f>
        <v>C5</v>
      </c>
      <c r="D23" s="146" t="str">
        <f>PRORRATEO!B24</f>
        <v>Sr Propietario</v>
      </c>
      <c r="E23" s="158">
        <v>1.08</v>
      </c>
      <c r="F23" s="148">
        <v>0</v>
      </c>
      <c r="G23" s="148">
        <v>0</v>
      </c>
      <c r="H23" s="149">
        <v>0</v>
      </c>
      <c r="I23" s="159"/>
      <c r="J23" s="150"/>
      <c r="K23" s="181">
        <f t="shared" si="0"/>
        <v>0</v>
      </c>
      <c r="L23" s="151">
        <v>0</v>
      </c>
      <c r="M23" s="149">
        <f t="shared" si="5"/>
        <v>0</v>
      </c>
    </row>
    <row r="24" spans="1:14" ht="14.25" customHeight="1" x14ac:dyDescent="0.3">
      <c r="A24" s="143">
        <v>24</v>
      </c>
      <c r="B24" s="157"/>
      <c r="C24" s="160"/>
      <c r="D24" s="160"/>
      <c r="E24" s="162"/>
      <c r="F24" s="160"/>
      <c r="G24" s="160"/>
      <c r="H24" s="161"/>
      <c r="I24" s="163">
        <f>SUM(I5:I23)</f>
        <v>0</v>
      </c>
      <c r="J24" s="180"/>
      <c r="K24" s="180">
        <f>SUM(K5:K23)</f>
        <v>0</v>
      </c>
      <c r="L24" s="164"/>
      <c r="M24" s="161">
        <f>SUM(M5:M23)</f>
        <v>0</v>
      </c>
      <c r="N24" s="39"/>
    </row>
    <row r="25" spans="1:14" hidden="1" x14ac:dyDescent="0.3">
      <c r="A25" s="127"/>
      <c r="C25" s="165"/>
      <c r="D25" s="166"/>
      <c r="E25" s="167">
        <f>SUM(E5:E24)</f>
        <v>91.36</v>
      </c>
      <c r="F25" s="166"/>
      <c r="G25" s="166"/>
      <c r="H25" s="168"/>
      <c r="I25" s="170"/>
      <c r="J25" s="169"/>
      <c r="K25" s="171">
        <f>K24+I24</f>
        <v>0</v>
      </c>
      <c r="L25" s="168"/>
      <c r="M25" s="168"/>
    </row>
    <row r="26" spans="1:14" ht="28.8" hidden="1" x14ac:dyDescent="0.3">
      <c r="A26" s="173" t="s">
        <v>83</v>
      </c>
      <c r="C26" s="222"/>
      <c r="D26" s="219"/>
      <c r="E26" s="219"/>
      <c r="F26" s="219"/>
      <c r="G26" s="219"/>
      <c r="H26" s="219"/>
      <c r="I26" s="219"/>
      <c r="J26" s="219"/>
      <c r="K26" s="219"/>
      <c r="L26" s="219"/>
      <c r="M26" s="219"/>
    </row>
    <row r="27" spans="1:14" x14ac:dyDescent="0.3">
      <c r="H27" s="172"/>
      <c r="I27" s="174"/>
      <c r="J27" s="174"/>
      <c r="K27" s="174"/>
      <c r="M27" s="152"/>
    </row>
    <row r="29" spans="1:14" x14ac:dyDescent="0.3">
      <c r="E29" s="2"/>
    </row>
    <row r="30" spans="1:14" x14ac:dyDescent="0.3">
      <c r="K30" s="175"/>
    </row>
    <row r="31" spans="1:14" x14ac:dyDescent="0.3">
      <c r="K31" s="174"/>
    </row>
    <row r="32" spans="1:14" x14ac:dyDescent="0.3">
      <c r="E32" s="176"/>
      <c r="F32" s="176"/>
      <c r="G32" s="176"/>
      <c r="H32" s="176"/>
      <c r="I32" s="176"/>
      <c r="J32" s="176"/>
      <c r="K32" s="177"/>
    </row>
  </sheetData>
  <mergeCells count="4">
    <mergeCell ref="A1:M1"/>
    <mergeCell ref="K3:L3"/>
    <mergeCell ref="C26:M26"/>
    <mergeCell ref="C3:D3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Edesur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2026-01-04T22:09:45Z</cp:lastPrinted>
  <dcterms:created xsi:type="dcterms:W3CDTF">2023-09-17T12:29:07Z</dcterms:created>
  <dcterms:modified xsi:type="dcterms:W3CDTF">2026-02-26T12:42:55Z</dcterms:modified>
</cp:coreProperties>
</file>