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EBELER 1949\Marzo\"/>
    </mc:Choice>
  </mc:AlternateContent>
  <xr:revisionPtr revIDLastSave="0" documentId="13_ncr:1_{31B77347-9ECD-4647-A10D-63B0A37FBB8A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Edesur!$A$1:$M$27</definedName>
    <definedName name="_xlnm.Print_Area" localSheetId="1">PRORRATEO!$A$1:$N$26</definedName>
    <definedName name="_xlnm.Print_Area" localSheetId="0">RESUMEN!$A$1:$E$79</definedName>
  </definedNames>
  <calcPr calcId="181029"/>
</workbook>
</file>

<file path=xl/calcChain.xml><?xml version="1.0" encoding="utf-8"?>
<calcChain xmlns="http://schemas.openxmlformats.org/spreadsheetml/2006/main">
  <c r="D69" i="1" l="1"/>
  <c r="F16" i="2"/>
  <c r="F18" i="2"/>
  <c r="F11" i="2"/>
  <c r="F7" i="2" l="1"/>
  <c r="E24" i="3" l="1"/>
  <c r="E25" i="3" s="1"/>
  <c r="K3" i="3"/>
  <c r="K5" i="3" s="1"/>
  <c r="I6" i="3"/>
  <c r="I7" i="3"/>
  <c r="I8" i="3"/>
  <c r="I9" i="3"/>
  <c r="I10" i="3"/>
  <c r="I11" i="3"/>
  <c r="I12" i="3"/>
  <c r="I13" i="3"/>
  <c r="I14" i="3"/>
  <c r="I15" i="3"/>
  <c r="I16" i="3"/>
  <c r="I17" i="3"/>
  <c r="I5" i="3"/>
  <c r="B1" i="2"/>
  <c r="E23" i="1"/>
  <c r="D6" i="3"/>
  <c r="D7" i="3"/>
  <c r="D8" i="3"/>
  <c r="D9" i="3"/>
  <c r="D10" i="3"/>
  <c r="D11" i="3"/>
  <c r="D12" i="3"/>
  <c r="D13" i="3"/>
  <c r="D14" i="3"/>
  <c r="D15" i="3"/>
  <c r="D16" i="3"/>
  <c r="D17" i="3"/>
  <c r="D19" i="3"/>
  <c r="D20" i="3"/>
  <c r="D21" i="3"/>
  <c r="D22" i="3"/>
  <c r="D23" i="3"/>
  <c r="D5" i="3"/>
  <c r="C21" i="3"/>
  <c r="C22" i="3"/>
  <c r="C23" i="3"/>
  <c r="C6" i="3"/>
  <c r="C7" i="3"/>
  <c r="C8" i="3"/>
  <c r="C9" i="3"/>
  <c r="C10" i="3"/>
  <c r="C11" i="3"/>
  <c r="C12" i="3"/>
  <c r="C13" i="3"/>
  <c r="C14" i="3"/>
  <c r="C15" i="3"/>
  <c r="C16" i="3"/>
  <c r="C17" i="3"/>
  <c r="C19" i="3"/>
  <c r="C20" i="3"/>
  <c r="C5" i="3"/>
  <c r="L5" i="3"/>
  <c r="H22" i="3"/>
  <c r="L21" i="3"/>
  <c r="I21" i="3" s="1"/>
  <c r="H21" i="3"/>
  <c r="H20" i="3"/>
  <c r="L19" i="3"/>
  <c r="I19" i="3" s="1"/>
  <c r="H19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L9" i="3"/>
  <c r="H9" i="3"/>
  <c r="L8" i="3"/>
  <c r="H8" i="3"/>
  <c r="L7" i="3"/>
  <c r="H7" i="3"/>
  <c r="L6" i="3"/>
  <c r="H6" i="3"/>
  <c r="H5" i="3"/>
  <c r="L20" i="3" l="1"/>
  <c r="I20" i="3" s="1"/>
  <c r="I24" i="3" s="1"/>
  <c r="J5" i="3" l="1"/>
  <c r="K15" i="3" l="1"/>
  <c r="J19" i="3"/>
  <c r="J17" i="3"/>
  <c r="J16" i="3"/>
  <c r="J15" i="3"/>
  <c r="J14" i="3"/>
  <c r="J13" i="3"/>
  <c r="J12" i="3"/>
  <c r="J11" i="3"/>
  <c r="J10" i="3"/>
  <c r="J9" i="3"/>
  <c r="J8" i="3"/>
  <c r="J7" i="3"/>
  <c r="J6" i="3"/>
  <c r="J21" i="3"/>
  <c r="J20" i="3"/>
  <c r="K23" i="3"/>
  <c r="M23" i="3" s="1"/>
  <c r="K22" i="3"/>
  <c r="M22" i="3" s="1"/>
  <c r="K21" i="3"/>
  <c r="M21" i="3" s="1"/>
  <c r="K20" i="3"/>
  <c r="M20" i="3" s="1"/>
  <c r="K19" i="3"/>
  <c r="M19" i="3" s="1"/>
  <c r="K17" i="3"/>
  <c r="M17" i="3" s="1"/>
  <c r="K16" i="3"/>
  <c r="M16" i="3" s="1"/>
  <c r="M15" i="3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24" i="3" l="1"/>
  <c r="K25" i="3" s="1"/>
  <c r="M5" i="3"/>
  <c r="M24" i="3" l="1"/>
  <c r="D24" i="2" l="1"/>
  <c r="D23" i="2"/>
  <c r="K23" i="2" s="1"/>
  <c r="D22" i="2"/>
  <c r="D21" i="2"/>
  <c r="K21" i="2" s="1"/>
  <c r="D20" i="2"/>
  <c r="D18" i="2"/>
  <c r="D17" i="2"/>
  <c r="D14" i="2"/>
  <c r="D11" i="2"/>
  <c r="D8" i="2"/>
  <c r="D7" i="2"/>
  <c r="D16" i="2"/>
  <c r="D13" i="2"/>
  <c r="D10" i="2"/>
  <c r="D6" i="2"/>
  <c r="K6" i="2" s="1"/>
  <c r="D15" i="2"/>
  <c r="D9" i="2"/>
  <c r="D12" i="2"/>
  <c r="K20" i="2"/>
  <c r="K24" i="2"/>
  <c r="H18" i="2"/>
  <c r="I18" i="2" s="1"/>
  <c r="H22" i="2"/>
  <c r="I22" i="2" s="1"/>
  <c r="H20" i="2"/>
  <c r="I20" i="2" s="1"/>
  <c r="H21" i="2"/>
  <c r="I21" i="2" s="1"/>
  <c r="H23" i="2"/>
  <c r="I23" i="2" s="1"/>
  <c r="H24" i="2"/>
  <c r="I24" i="2" s="1"/>
  <c r="K22" i="2" l="1"/>
  <c r="K18" i="2"/>
  <c r="E24" i="1" l="1"/>
  <c r="E28" i="1" s="1"/>
  <c r="B43" i="1" l="1"/>
  <c r="B44" i="1"/>
  <c r="H17" i="2"/>
  <c r="E36" i="1" l="1"/>
  <c r="E41" i="1" s="1"/>
  <c r="B45" i="1" s="1"/>
  <c r="B61" i="1" l="1"/>
  <c r="B68" i="1"/>
  <c r="B78" i="1"/>
  <c r="B57" i="1" l="1"/>
  <c r="B69" i="1"/>
  <c r="L5" i="2" l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l="1"/>
  <c r="L18" i="2"/>
  <c r="N18" i="2" s="1"/>
  <c r="F25" i="2"/>
  <c r="B70" i="1" s="1"/>
  <c r="G25" i="2"/>
  <c r="D25" i="2"/>
  <c r="E25" i="2"/>
  <c r="O20" i="2" l="1"/>
  <c r="B55" i="1"/>
  <c r="H7" i="2"/>
  <c r="H8" i="2"/>
  <c r="H9" i="2"/>
  <c r="H10" i="2"/>
  <c r="H11" i="2"/>
  <c r="H12" i="2"/>
  <c r="H13" i="2"/>
  <c r="H14" i="2"/>
  <c r="H15" i="2"/>
  <c r="H16" i="2"/>
  <c r="H6" i="2"/>
  <c r="L20" i="2" l="1"/>
  <c r="N20" i="2" s="1"/>
  <c r="O21" i="2"/>
  <c r="B46" i="1"/>
  <c r="H25" i="2"/>
  <c r="I11" i="2"/>
  <c r="I14" i="2"/>
  <c r="I10" i="2"/>
  <c r="I7" i="2"/>
  <c r="I17" i="2"/>
  <c r="I13" i="2"/>
  <c r="I9" i="2"/>
  <c r="I15" i="2"/>
  <c r="I16" i="2"/>
  <c r="I12" i="2"/>
  <c r="I8" i="2"/>
  <c r="I6" i="2"/>
  <c r="J25" i="2"/>
  <c r="O22" i="2" l="1"/>
  <c r="L21" i="2"/>
  <c r="N21" i="2" s="1"/>
  <c r="I25" i="2"/>
  <c r="O23" i="2" l="1"/>
  <c r="L22" i="2"/>
  <c r="N22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6" i="2"/>
  <c r="O24" i="2" l="1"/>
  <c r="L23" i="2"/>
  <c r="N23" i="2" s="1"/>
  <c r="N15" i="2"/>
  <c r="N11" i="2"/>
  <c r="N7" i="2"/>
  <c r="N6" i="2"/>
  <c r="N14" i="2"/>
  <c r="N10" i="2"/>
  <c r="N13" i="2"/>
  <c r="N9" i="2"/>
  <c r="N16" i="2"/>
  <c r="N12" i="2"/>
  <c r="N8" i="2"/>
  <c r="M14" i="2"/>
  <c r="M13" i="2"/>
  <c r="M9" i="2"/>
  <c r="M6" i="2"/>
  <c r="M16" i="2"/>
  <c r="M12" i="2"/>
  <c r="M8" i="2"/>
  <c r="M10" i="2"/>
  <c r="M15" i="2"/>
  <c r="M11" i="2"/>
  <c r="M7" i="2"/>
  <c r="K25" i="2"/>
  <c r="B67" i="1" l="1"/>
  <c r="B72" i="1" s="1"/>
  <c r="B60" i="1" l="1"/>
  <c r="B62" i="1" s="1"/>
  <c r="L24" i="2" l="1"/>
  <c r="N24" i="2" s="1"/>
  <c r="L17" i="2"/>
  <c r="M17" i="2" s="1"/>
  <c r="M24" i="2" l="1"/>
  <c r="M25" i="2" s="1"/>
  <c r="N17" i="2"/>
  <c r="N25" i="2" s="1"/>
  <c r="L25" i="2"/>
</calcChain>
</file>

<file path=xl/sharedStrings.xml><?xml version="1.0" encoding="utf-8"?>
<sst xmlns="http://schemas.openxmlformats.org/spreadsheetml/2006/main" count="116" uniqueCount="99">
  <si>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</si>
  <si>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</si>
  <si>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</si>
  <si>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</si>
  <si>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</si>
  <si>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</si>
  <si>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</si>
  <si>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 xml:space="preserve">TOTAL ORDINARIOS </t>
  </si>
  <si>
    <t>GASTOS ORDINARIOS + PREVISION :</t>
  </si>
  <si>
    <t>GASTOS ORDINARIOS SIN PREVISION: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</si>
  <si>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</si>
  <si>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</si>
  <si>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</si>
  <si>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</si>
  <si>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</si>
  <si>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</si>
  <si>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</si>
  <si>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</si>
  <si>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</si>
  <si>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</si>
  <si>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Deuda o Saldo a favor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</si>
  <si>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</si>
  <si>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</si>
  <si>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</si>
  <si>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</si>
  <si>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</si>
  <si>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</si>
  <si>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</si>
  <si>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</si>
  <si>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</si>
  <si>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GASTOS EXTRAORDINARIOS:</t>
  </si>
  <si>
    <t>Punitorios mal cobrados</t>
  </si>
  <si>
    <t>CAJA REAL</t>
  </si>
  <si>
    <t xml:space="preserve">Saldo Ord </t>
  </si>
  <si>
    <t>Egresos del mes ordinarios</t>
  </si>
  <si>
    <t>Egresos del mes extrordinarios</t>
  </si>
  <si>
    <t>Ingresos</t>
  </si>
  <si>
    <t xml:space="preserve">Punitorios mal cobrados </t>
  </si>
  <si>
    <t>Ordinarios</t>
  </si>
  <si>
    <t>Pagos sin identificar</t>
  </si>
  <si>
    <t>D' Andrea Patricia Daniela</t>
  </si>
  <si>
    <t>Arroyo Aldana</t>
  </si>
  <si>
    <t>Stagno Jorge Adrian</t>
  </si>
  <si>
    <t>Beneyte Lenorado Damian</t>
  </si>
  <si>
    <t>1A</t>
  </si>
  <si>
    <t>1B</t>
  </si>
  <si>
    <t>Sr Propietario</t>
  </si>
  <si>
    <t>1C</t>
  </si>
  <si>
    <t>2A</t>
  </si>
  <si>
    <t>2B</t>
  </si>
  <si>
    <t>2C</t>
  </si>
  <si>
    <t>3A</t>
  </si>
  <si>
    <t>Torres Lilliana Beatriz</t>
  </si>
  <si>
    <t>3B</t>
  </si>
  <si>
    <t>3C</t>
  </si>
  <si>
    <t>4A</t>
  </si>
  <si>
    <t>Arostegui Hector/Herrera Monica</t>
  </si>
  <si>
    <t>Frosio Diego Martin</t>
  </si>
  <si>
    <t>Actis Sofia Magali</t>
  </si>
  <si>
    <t>Alanis Hebert</t>
  </si>
  <si>
    <t>5A</t>
  </si>
  <si>
    <t>4B</t>
  </si>
  <si>
    <t>4C</t>
  </si>
  <si>
    <t>C1</t>
  </si>
  <si>
    <t>C2</t>
  </si>
  <si>
    <t>C3</t>
  </si>
  <si>
    <t>C4</t>
  </si>
  <si>
    <t>C5</t>
  </si>
  <si>
    <t>TELEFONO: 11-5320-2676</t>
  </si>
  <si>
    <t xml:space="preserve">EDESUR </t>
  </si>
  <si>
    <t>U.F.</t>
  </si>
  <si>
    <t>PISO - DEPTO</t>
  </si>
  <si>
    <t>PROPIETARIOS</t>
  </si>
  <si>
    <t>%</t>
  </si>
  <si>
    <t>CONSUMO ANT.</t>
  </si>
  <si>
    <t>CONSUMO ACTUAL</t>
  </si>
  <si>
    <t>KWH</t>
  </si>
  <si>
    <t>PARTES COMUNES</t>
  </si>
  <si>
    <t>EDESUR FINAL</t>
  </si>
  <si>
    <t>4 Y 5</t>
  </si>
  <si>
    <t>NOTA:</t>
  </si>
  <si>
    <t>GASTOS A RECUPERAR ABONADOS POR CONSTRUTORA Y ADMINISTRACION DESDE QUE TOMARON POSESION</t>
  </si>
  <si>
    <t>SUBTOTAL</t>
  </si>
  <si>
    <t>CONSORCIO DE PROPIETARIOS DEL EDIFICIO GAEBELER 1949</t>
  </si>
  <si>
    <t>TRANSFERIR A  : carolina.rc.adm - CVU: 0000003100054616492658</t>
  </si>
  <si>
    <t>ESTIMADOS PROPIETARIOS E INQUILINOS: EN LAS PROXIMAS SEMANAS RECIBIRAN UN PRORRATEO DEL EDESUR CONSUMIDO EN CADA DEPARTAMENTO PARA IR ABONANDO - LA SEMANA DEL 12 DE ENERO COMIENZA LA EMPRESA DE LIMPIEZA, SE INFORMARA DIAS Y HORAS DE LOS OPERARIOS</t>
  </si>
  <si>
    <t>¡POR FAVOR RESPETAR LOS CENTAVOS AL ABONAR!</t>
  </si>
  <si>
    <t>LUNES A VIERNES 10 A 15HS</t>
  </si>
  <si>
    <t>Chida Gustavo Daniel</t>
  </si>
  <si>
    <t>Luz catan</t>
  </si>
  <si>
    <t>Graciela Vigamonti</t>
  </si>
  <si>
    <t>SALDO INICIAL</t>
  </si>
  <si>
    <t>Maria Celeste Moreyra</t>
  </si>
  <si>
    <t>Hugo Britez Ramon Irala</t>
  </si>
  <si>
    <t>Plan de pago Anticipo edesur</t>
  </si>
  <si>
    <t xml:space="preserve">Seguro integral de cosorcio - Federacion patronal - Poliza 2217080 </t>
  </si>
  <si>
    <t>Transferencia no identificada Sra. Antonela Borgia 20/03</t>
  </si>
  <si>
    <t>VTO 06/04</t>
  </si>
  <si>
    <t>PREVISION ORDINARIA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</si>
</sst>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&quot;$&quot;\ * #,##0_-;\-&quot;$&quot;\ * #,##0_-;_-&quot;$&quot;\ * &quot;-&quot;??_-;_-@"/>
    <numFmt numFmtId="169" formatCode="_-&quot;$&quot;\ * #,##0.00_-;\-&quot;$&quot;\ * #,##0.00_-;_-&quot;$&quot;\ * &quot;-&quot;??_-;_-@"/>
    <numFmt numFmtId="170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4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14" fillId="0" borderId="1" xfId="0" applyFont="1" applyBorder="1" applyAlignment="1">
      <alignment horizontal="center"/>
    </xf>
    <xf numFmtId="44" fontId="18" fillId="0" borderId="1" xfId="1" applyFont="1" applyBorder="1"/>
    <xf numFmtId="165" fontId="18" fillId="2" borderId="1" xfId="1" applyNumberFormat="1" applyFont="1" applyFill="1" applyBorder="1"/>
    <xf numFmtId="165" fontId="14" fillId="0" borderId="1" xfId="0" applyNumberFormat="1" applyFont="1" applyBorder="1"/>
    <xf numFmtId="44" fontId="14" fillId="0" borderId="1" xfId="1" applyFont="1" applyBorder="1"/>
    <xf numFmtId="165" fontId="14" fillId="0" borderId="1" xfId="1" applyNumberFormat="1" applyFont="1" applyBorder="1"/>
    <xf numFmtId="44" fontId="18" fillId="0" borderId="23" xfId="1" applyFont="1" applyBorder="1"/>
    <xf numFmtId="44" fontId="18" fillId="0" borderId="6" xfId="1" applyFont="1" applyBorder="1"/>
    <xf numFmtId="44" fontId="18" fillId="0" borderId="25" xfId="1" applyFont="1" applyBorder="1"/>
    <xf numFmtId="0" fontId="14" fillId="4" borderId="24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2" xfId="0" applyBorder="1" applyAlignment="1">
      <alignment horizontal="left" vertical="center" wrapText="1"/>
    </xf>
    <xf numFmtId="44" fontId="19" fillId="2" borderId="1" xfId="1" applyFont="1" applyFill="1" applyBorder="1"/>
    <xf numFmtId="0" fontId="19" fillId="0" borderId="4" xfId="0" applyFont="1" applyBorder="1"/>
    <xf numFmtId="0" fontId="7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6" fillId="0" borderId="1" xfId="0" applyFont="1" applyBorder="1" applyAlignment="1">
      <alignment horizontal="left" vertical="center" wrapText="1"/>
    </xf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4" fillId="4" borderId="13" xfId="0" applyNumberFormat="1" applyFont="1" applyFill="1" applyBorder="1"/>
    <xf numFmtId="0" fontId="2" fillId="10" borderId="26" xfId="0" applyFont="1" applyFill="1" applyBorder="1" applyAlignment="1">
      <alignment horizontal="left" vertical="center" wrapText="1"/>
    </xf>
    <xf numFmtId="44" fontId="2" fillId="10" borderId="24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44" fontId="6" fillId="4" borderId="21" xfId="1" applyFont="1" applyFill="1" applyBorder="1"/>
    <xf numFmtId="0" fontId="0" fillId="4" borderId="1" xfId="0" applyFill="1" applyBorder="1"/>
    <xf numFmtId="44" fontId="0" fillId="4" borderId="1" xfId="1" applyFont="1" applyFill="1" applyBorder="1"/>
    <xf numFmtId="44" fontId="3" fillId="4" borderId="3" xfId="1" applyFont="1" applyFill="1" applyBorder="1"/>
    <xf numFmtId="44" fontId="6" fillId="4" borderId="2" xfId="1" applyFont="1" applyFill="1" applyBorder="1"/>
    <xf numFmtId="0" fontId="19" fillId="2" borderId="1" xfId="0" applyFont="1" applyFill="1" applyBorder="1"/>
    <xf numFmtId="0" fontId="14" fillId="0" borderId="0" xfId="0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22" fillId="0" borderId="1" xfId="0" applyFont="1" applyBorder="1"/>
    <xf numFmtId="168" fontId="22" fillId="0" borderId="1" xfId="0" applyNumberFormat="1" applyFont="1" applyBorder="1"/>
    <xf numFmtId="0" fontId="22" fillId="0" borderId="0" xfId="0" applyFont="1"/>
    <xf numFmtId="2" fontId="0" fillId="0" borderId="0" xfId="0" applyNumberFormat="1"/>
    <xf numFmtId="0" fontId="23" fillId="0" borderId="30" xfId="0" applyFont="1" applyBorder="1"/>
    <xf numFmtId="0" fontId="23" fillId="0" borderId="31" xfId="0" applyFont="1" applyBorder="1"/>
    <xf numFmtId="169" fontId="24" fillId="2" borderId="1" xfId="0" applyNumberFormat="1" applyFont="1" applyFill="1" applyBorder="1"/>
    <xf numFmtId="0" fontId="22" fillId="0" borderId="32" xfId="0" applyFont="1" applyBorder="1"/>
    <xf numFmtId="168" fontId="22" fillId="0" borderId="32" xfId="0" applyNumberFormat="1" applyFont="1" applyBorder="1"/>
    <xf numFmtId="44" fontId="22" fillId="0" borderId="32" xfId="0" applyNumberFormat="1" applyFont="1" applyBorder="1"/>
    <xf numFmtId="0" fontId="22" fillId="0" borderId="33" xfId="0" applyFont="1" applyBorder="1"/>
    <xf numFmtId="0" fontId="23" fillId="11" borderId="34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left" vertical="center" wrapText="1"/>
    </xf>
    <xf numFmtId="0" fontId="26" fillId="11" borderId="34" xfId="0" applyFont="1" applyFill="1" applyBorder="1" applyAlignment="1">
      <alignment horizontal="center" vertical="center"/>
    </xf>
    <xf numFmtId="0" fontId="26" fillId="11" borderId="34" xfId="0" applyFont="1" applyFill="1" applyBorder="1" applyAlignment="1">
      <alignment horizontal="center" vertical="center" wrapText="1"/>
    </xf>
    <xf numFmtId="168" fontId="26" fillId="11" borderId="34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35" xfId="0" applyFont="1" applyFill="1" applyBorder="1" applyAlignment="1">
      <alignment horizontal="center" vertical="center" wrapText="1"/>
    </xf>
    <xf numFmtId="0" fontId="22" fillId="0" borderId="34" xfId="0" applyFont="1" applyBorder="1" applyAlignment="1">
      <alignment horizontal="left"/>
    </xf>
    <xf numFmtId="0" fontId="1" fillId="2" borderId="3" xfId="3" applyFill="1" applyBorder="1" applyAlignment="1">
      <alignment horizontal="center"/>
    </xf>
    <xf numFmtId="0" fontId="27" fillId="2" borderId="34" xfId="0" applyFont="1" applyFill="1" applyBorder="1" applyAlignment="1">
      <alignment horizontal="left" vertical="center"/>
    </xf>
    <xf numFmtId="0" fontId="12" fillId="2" borderId="1" xfId="3" applyFont="1" applyFill="1" applyBorder="1"/>
    <xf numFmtId="43" fontId="12" fillId="2" borderId="1" xfId="4" applyFont="1" applyFill="1" applyBorder="1"/>
    <xf numFmtId="0" fontId="28" fillId="2" borderId="34" xfId="0" applyFont="1" applyFill="1" applyBorder="1"/>
    <xf numFmtId="168" fontId="27" fillId="2" borderId="34" xfId="0" applyNumberFormat="1" applyFont="1" applyFill="1" applyBorder="1"/>
    <xf numFmtId="169" fontId="27" fillId="2" borderId="1" xfId="0" applyNumberFormat="1" applyFont="1" applyFill="1" applyBorder="1"/>
    <xf numFmtId="2" fontId="27" fillId="2" borderId="35" xfId="0" applyNumberFormat="1" applyFont="1" applyFill="1" applyBorder="1"/>
    <xf numFmtId="168" fontId="0" fillId="0" borderId="0" xfId="0" applyNumberFormat="1"/>
    <xf numFmtId="0" fontId="22" fillId="9" borderId="34" xfId="0" applyFont="1" applyFill="1" applyBorder="1" applyAlignment="1">
      <alignment horizontal="left"/>
    </xf>
    <xf numFmtId="0" fontId="1" fillId="2" borderId="1" xfId="3" applyFill="1" applyBorder="1" applyAlignment="1">
      <alignment horizontal="center"/>
    </xf>
    <xf numFmtId="43" fontId="12" fillId="2" borderId="2" xfId="4" applyFont="1" applyFill="1" applyBorder="1" applyAlignment="1">
      <alignment horizontal="center" vertical="center" wrapText="1"/>
    </xf>
    <xf numFmtId="2" fontId="27" fillId="2" borderId="36" xfId="0" applyNumberFormat="1" applyFont="1" applyFill="1" applyBorder="1" applyAlignment="1">
      <alignment horizontal="right" vertical="center"/>
    </xf>
    <xf numFmtId="0" fontId="22" fillId="0" borderId="34" xfId="0" applyFont="1" applyBorder="1" applyAlignment="1">
      <alignment horizontal="center"/>
    </xf>
    <xf numFmtId="0" fontId="27" fillId="2" borderId="34" xfId="0" applyFont="1" applyFill="1" applyBorder="1"/>
    <xf numFmtId="169" fontId="27" fillId="2" borderId="37" xfId="0" applyNumberFormat="1" applyFont="1" applyFill="1" applyBorder="1"/>
    <xf numFmtId="0" fontId="27" fillId="0" borderId="34" xfId="0" applyFont="1" applyBorder="1"/>
    <xf numFmtId="168" fontId="27" fillId="0" borderId="34" xfId="0" applyNumberFormat="1" applyFont="1" applyBorder="1"/>
    <xf numFmtId="169" fontId="27" fillId="0" borderId="1" xfId="0" applyNumberFormat="1" applyFont="1" applyBorder="1"/>
    <xf numFmtId="168" fontId="27" fillId="0" borderId="35" xfId="0" applyNumberFormat="1" applyFont="1" applyBorder="1"/>
    <xf numFmtId="0" fontId="22" fillId="0" borderId="27" xfId="0" applyFont="1" applyBorder="1"/>
    <xf numFmtId="0" fontId="22" fillId="0" borderId="28" xfId="0" applyFont="1" applyBorder="1"/>
    <xf numFmtId="170" fontId="22" fillId="0" borderId="28" xfId="0" applyNumberFormat="1" applyFont="1" applyBorder="1"/>
    <xf numFmtId="168" fontId="22" fillId="0" borderId="28" xfId="0" applyNumberFormat="1" applyFont="1" applyBorder="1"/>
    <xf numFmtId="169" fontId="22" fillId="0" borderId="28" xfId="0" applyNumberFormat="1" applyFont="1" applyBorder="1"/>
    <xf numFmtId="169" fontId="22" fillId="0" borderId="0" xfId="0" applyNumberFormat="1" applyFont="1"/>
    <xf numFmtId="169" fontId="27" fillId="0" borderId="28" xfId="0" applyNumberFormat="1" applyFont="1" applyBorder="1"/>
    <xf numFmtId="168" fontId="22" fillId="0" borderId="0" xfId="0" applyNumberFormat="1" applyFont="1"/>
    <xf numFmtId="0" fontId="23" fillId="12" borderId="0" xfId="0" applyFont="1" applyFill="1" applyAlignment="1">
      <alignment horizontal="left" vertical="center" wrapText="1"/>
    </xf>
    <xf numFmtId="169" fontId="0" fillId="0" borderId="0" xfId="0" applyNumberFormat="1"/>
    <xf numFmtId="164" fontId="0" fillId="0" borderId="0" xfId="2" applyFont="1"/>
    <xf numFmtId="0" fontId="2" fillId="9" borderId="0" xfId="0" applyFont="1" applyFill="1"/>
    <xf numFmtId="44" fontId="2" fillId="9" borderId="0" xfId="0" applyNumberFormat="1" applyFont="1" applyFill="1"/>
    <xf numFmtId="43" fontId="12" fillId="2" borderId="2" xfId="4" applyFont="1" applyFill="1" applyBorder="1"/>
    <xf numFmtId="0" fontId="26" fillId="11" borderId="28" xfId="0" applyFont="1" applyFill="1" applyBorder="1" applyAlignment="1">
      <alignment horizontal="center" vertical="center" wrapText="1"/>
    </xf>
    <xf numFmtId="169" fontId="27" fillId="0" borderId="32" xfId="0" applyNumberFormat="1" applyFont="1" applyBorder="1"/>
    <xf numFmtId="169" fontId="29" fillId="2" borderId="1" xfId="0" applyNumberFormat="1" applyFont="1" applyFill="1" applyBorder="1"/>
    <xf numFmtId="169" fontId="27" fillId="2" borderId="1" xfId="0" applyNumberFormat="1" applyFont="1" applyFill="1" applyBorder="1" applyAlignment="1">
      <alignment horizontal="right" vertical="center"/>
    </xf>
    <xf numFmtId="44" fontId="2" fillId="4" borderId="39" xfId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26" xfId="0" applyFont="1" applyFill="1" applyBorder="1"/>
    <xf numFmtId="0" fontId="2" fillId="3" borderId="8" xfId="0" applyFont="1" applyFill="1" applyBorder="1"/>
    <xf numFmtId="0" fontId="2" fillId="3" borderId="24" xfId="0" applyFont="1" applyFill="1" applyBorder="1"/>
    <xf numFmtId="44" fontId="8" fillId="0" borderId="1" xfId="0" applyNumberFormat="1" applyFont="1" applyBorder="1" applyAlignment="1">
      <alignment vertical="center" wrapText="1"/>
    </xf>
    <xf numFmtId="0" fontId="30" fillId="0" borderId="1" xfId="0" applyFont="1" applyBorder="1"/>
    <xf numFmtId="170" fontId="27" fillId="0" borderId="34" xfId="0" applyNumberFormat="1" applyFont="1" applyBorder="1"/>
    <xf numFmtId="44" fontId="4" fillId="2" borderId="1" xfId="1" applyFont="1" applyFill="1" applyBorder="1"/>
    <xf numFmtId="44" fontId="18" fillId="2" borderId="1" xfId="1" applyFont="1" applyFill="1" applyBorder="1"/>
    <xf numFmtId="165" fontId="10" fillId="8" borderId="13" xfId="1" applyNumberFormat="1" applyFont="1" applyFill="1" applyBorder="1"/>
    <xf numFmtId="44" fontId="9" fillId="6" borderId="2" xfId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20" fillId="11" borderId="27" xfId="0" applyFont="1" applyFill="1" applyBorder="1" applyAlignment="1">
      <alignment horizontal="center" vertical="center" wrapText="1"/>
    </xf>
    <xf numFmtId="0" fontId="21" fillId="0" borderId="28" xfId="0" applyFont="1" applyBorder="1"/>
    <xf numFmtId="0" fontId="21" fillId="0" borderId="29" xfId="0" applyFont="1" applyBorder="1"/>
    <xf numFmtId="44" fontId="22" fillId="0" borderId="38" xfId="0" applyNumberFormat="1" applyFont="1" applyBorder="1" applyAlignment="1">
      <alignment horizontal="center"/>
    </xf>
    <xf numFmtId="0" fontId="23" fillId="12" borderId="27" xfId="0" applyFont="1" applyFill="1" applyBorder="1" applyAlignment="1">
      <alignment horizontal="left" vertical="center" wrapText="1"/>
    </xf>
    <xf numFmtId="169" fontId="25" fillId="0" borderId="38" xfId="0" applyNumberFormat="1" applyFont="1" applyBorder="1" applyAlignment="1">
      <alignment horizontal="center"/>
    </xf>
    <xf numFmtId="44" fontId="31" fillId="2" borderId="1" xfId="1" applyFont="1" applyFill="1" applyBorder="1"/>
  </cellXfs>
  <cellStyles count="5">
    <cellStyle name="Millares 2" xfId="4" xr:uid="{769376F3-FA42-4CBE-8FC6-971888C358BE}"/>
    <cellStyle name="Moneda" xfId="1" builtinId="4"/>
    <cellStyle name="Moneda 2" xfId="2" xr:uid="{00000000-0005-0000-0000-000002000000}"/>
    <cellStyle name="Normal" xfId="0" builtinId="0"/>
    <cellStyle name="Normal 2" xfId="3" xr:uid="{134FA5F0-EC3E-42E5-AF91-2BE11D33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28575</xdr:rowOff>
    </xdr:from>
    <xdr:to>
      <xdr:col>0</xdr:col>
      <xdr:colOff>2266950</xdr:colOff>
      <xdr:row>4</xdr:row>
      <xdr:rowOff>219075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2190750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43" workbookViewId="0">
      <selection activeCell="B66" sqref="B66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11" max="11" width="18" customWidth="1"/>
    <col min="12" max="12" width="18.33203125" customWidth="1"/>
  </cols>
  <sheetData>
    <row r="1" spans="1:5" x14ac:dyDescent="0.3">
      <c r="A1" s="15"/>
      <c r="B1" s="60" t="s">
        <v>68</v>
      </c>
      <c r="C1" s="60"/>
      <c r="D1" s="60"/>
      <c r="E1" s="61"/>
    </row>
    <row r="2" spans="1:5" ht="18.75" customHeight="1" x14ac:dyDescent="0.3">
      <c r="A2" s="16"/>
      <c r="B2" s="189" t="s">
        <v>19</v>
      </c>
      <c r="C2" s="189"/>
      <c r="D2" s="189"/>
      <c r="E2" s="190"/>
    </row>
    <row r="3" spans="1:5" x14ac:dyDescent="0.3">
      <c r="A3" s="16"/>
      <c r="B3" s="176" t="s">
        <v>25</v>
      </c>
      <c r="C3" s="17"/>
      <c r="D3" s="17"/>
      <c r="E3" s="18"/>
    </row>
    <row r="4" spans="1:5" x14ac:dyDescent="0.3">
      <c r="A4" s="16"/>
      <c r="B4" s="17" t="s">
        <v>84</v>
      </c>
      <c r="C4" s="17"/>
      <c r="D4" s="17"/>
      <c r="E4" s="18"/>
    </row>
    <row r="5" spans="1:5" ht="35.25" customHeight="1" thickBot="1" x14ac:dyDescent="0.35">
      <c r="A5" s="177" t="s">
        <v>83</v>
      </c>
      <c r="B5" s="178"/>
      <c r="C5" s="178"/>
      <c r="D5" s="178" t="s">
        <v>87</v>
      </c>
      <c r="E5" s="179"/>
    </row>
    <row r="7" spans="1:5" x14ac:dyDescent="0.3">
      <c r="B7" s="196" t="s">
        <v>97</v>
      </c>
      <c r="C7" s="196"/>
    </row>
    <row r="8" spans="1:5" x14ac:dyDescent="0.3">
      <c r="B8" s="196"/>
      <c r="C8" s="196"/>
    </row>
    <row r="9" spans="1:5" x14ac:dyDescent="0.3">
      <c r="B9" s="196"/>
      <c r="C9" s="196"/>
    </row>
    <row r="12" spans="1:5" ht="15" customHeight="1" x14ac:dyDescent="0.3">
      <c r="A12" s="195" t="s">
        <v>28</v>
      </c>
      <c r="B12" s="195"/>
      <c r="C12" s="195"/>
      <c r="D12" s="195"/>
      <c r="E12" s="195"/>
    </row>
    <row r="13" spans="1:5" ht="15" customHeight="1" x14ac:dyDescent="0.3">
      <c r="A13" s="195"/>
      <c r="B13" s="195"/>
      <c r="C13" s="195"/>
      <c r="D13" s="195"/>
      <c r="E13" s="195"/>
    </row>
    <row r="14" spans="1:5" ht="15" customHeight="1" x14ac:dyDescent="0.3">
      <c r="A14" s="195"/>
      <c r="B14" s="195"/>
      <c r="C14" s="195"/>
      <c r="D14" s="195"/>
      <c r="E14" s="195"/>
    </row>
    <row r="15" spans="1:5" ht="53.25" customHeight="1" x14ac:dyDescent="0.3">
      <c r="A15" s="195"/>
      <c r="B15" s="195"/>
      <c r="C15" s="195"/>
      <c r="D15" s="195"/>
      <c r="E15" s="195"/>
    </row>
    <row r="16" spans="1:5" ht="14.25" customHeight="1" thickBot="1" x14ac:dyDescent="0.35"/>
    <row r="17" spans="1:7" hidden="1" x14ac:dyDescent="0.3">
      <c r="A17" s="2"/>
    </row>
    <row r="18" spans="1:7" ht="15" hidden="1" thickBot="1" x14ac:dyDescent="0.35"/>
    <row r="19" spans="1:7" x14ac:dyDescent="0.3">
      <c r="A19" s="11" t="s">
        <v>5</v>
      </c>
      <c r="B19" s="12"/>
      <c r="C19" s="13"/>
      <c r="D19" s="9"/>
      <c r="E19" s="14"/>
    </row>
    <row r="20" spans="1:7" x14ac:dyDescent="0.3">
      <c r="A20" s="31" t="s">
        <v>81</v>
      </c>
      <c r="B20" s="111"/>
      <c r="C20" s="111"/>
      <c r="D20" s="112"/>
      <c r="E20" s="113"/>
    </row>
    <row r="21" spans="1:7" ht="35.1" customHeight="1" x14ac:dyDescent="0.3">
      <c r="A21" s="187" t="s">
        <v>95</v>
      </c>
      <c r="B21" s="188"/>
      <c r="C21" s="5"/>
      <c r="D21" s="183">
        <v>52745</v>
      </c>
      <c r="E21" s="115"/>
    </row>
    <row r="22" spans="1:7" ht="35.1" customHeight="1" x14ac:dyDescent="0.3">
      <c r="A22" s="187" t="s">
        <v>94</v>
      </c>
      <c r="B22" s="188"/>
      <c r="C22" s="5"/>
      <c r="D22" s="183">
        <v>496816.96</v>
      </c>
      <c r="E22" s="115"/>
    </row>
    <row r="23" spans="1:7" ht="15" thickBot="1" x14ac:dyDescent="0.35">
      <c r="A23" s="26" t="s">
        <v>82</v>
      </c>
      <c r="B23" s="26"/>
      <c r="C23" s="26"/>
      <c r="D23" s="175"/>
      <c r="E23" s="110">
        <f>SUM(D21:D22)</f>
        <v>549561.96</v>
      </c>
    </row>
    <row r="24" spans="1:7" x14ac:dyDescent="0.3">
      <c r="A24" s="26" t="s">
        <v>4</v>
      </c>
      <c r="B24" s="31"/>
      <c r="C24" s="31"/>
      <c r="D24" s="31"/>
      <c r="E24" s="114">
        <f>E23</f>
        <v>549561.96</v>
      </c>
    </row>
    <row r="25" spans="1:7" ht="15" thickBot="1" x14ac:dyDescent="0.35">
      <c r="A25" s="5"/>
      <c r="B25" s="5"/>
      <c r="C25" s="5"/>
      <c r="D25" s="78"/>
      <c r="E25" s="84"/>
    </row>
    <row r="26" spans="1:7" ht="15" thickBot="1" x14ac:dyDescent="0.35">
      <c r="A26" s="27" t="s">
        <v>98</v>
      </c>
      <c r="B26" s="27"/>
      <c r="C26" s="27"/>
      <c r="D26" s="85"/>
      <c r="E26" s="185"/>
    </row>
    <row r="27" spans="1:7" ht="15" thickBot="1" x14ac:dyDescent="0.35">
      <c r="A27" s="1"/>
      <c r="D27" s="86"/>
      <c r="E27" s="87"/>
      <c r="F27" s="39"/>
    </row>
    <row r="28" spans="1:7" ht="15" thickBot="1" x14ac:dyDescent="0.35">
      <c r="A28" s="3" t="s">
        <v>7</v>
      </c>
      <c r="B28" s="10"/>
      <c r="C28" s="4"/>
      <c r="D28" s="88"/>
      <c r="E28" s="89">
        <f>E24+E26</f>
        <v>549561.96</v>
      </c>
      <c r="F28" s="109"/>
      <c r="G28" s="39"/>
    </row>
    <row r="29" spans="1:7" x14ac:dyDescent="0.3">
      <c r="D29" s="86"/>
      <c r="E29" s="86"/>
    </row>
    <row r="30" spans="1:7" ht="15" thickBot="1" x14ac:dyDescent="0.35">
      <c r="D30" s="86"/>
      <c r="E30" s="86"/>
    </row>
    <row r="31" spans="1:7" x14ac:dyDescent="0.3">
      <c r="A31" s="11" t="s">
        <v>30</v>
      </c>
      <c r="B31" s="12"/>
      <c r="C31" s="13"/>
      <c r="D31" s="90"/>
      <c r="E31" s="91"/>
    </row>
    <row r="32" spans="1:7" ht="15" customHeight="1" x14ac:dyDescent="0.3">
      <c r="A32" s="187"/>
      <c r="B32" s="188"/>
      <c r="C32" s="5"/>
      <c r="D32" s="98"/>
      <c r="E32" s="79"/>
    </row>
    <row r="33" spans="1:5" x14ac:dyDescent="0.3">
      <c r="A33" s="187"/>
      <c r="B33" s="188"/>
      <c r="C33" s="5"/>
      <c r="D33" s="81"/>
      <c r="E33" s="79"/>
    </row>
    <row r="34" spans="1:5" ht="15.75" customHeight="1" x14ac:dyDescent="0.3">
      <c r="A34" s="193"/>
      <c r="B34" s="194"/>
      <c r="C34" s="5"/>
      <c r="D34" s="81"/>
      <c r="E34" s="79"/>
    </row>
    <row r="35" spans="1:5" x14ac:dyDescent="0.3">
      <c r="A35" s="80"/>
      <c r="B35" s="82"/>
      <c r="C35" s="5"/>
      <c r="D35" s="81"/>
      <c r="E35" s="79"/>
    </row>
    <row r="36" spans="1:5" x14ac:dyDescent="0.3">
      <c r="A36" s="45"/>
      <c r="B36" s="44"/>
      <c r="C36" s="44"/>
      <c r="D36" s="51"/>
      <c r="E36" s="51">
        <f>SUM(D32:D35)</f>
        <v>0</v>
      </c>
    </row>
    <row r="37" spans="1:5" ht="15" customHeight="1" x14ac:dyDescent="0.3"/>
    <row r="38" spans="1:5" ht="15" hidden="1" thickBot="1" x14ac:dyDescent="0.35"/>
    <row r="39" spans="1:5" ht="15" thickBot="1" x14ac:dyDescent="0.35">
      <c r="A39" s="27" t="s">
        <v>10</v>
      </c>
      <c r="B39" s="27"/>
      <c r="C39" s="27"/>
      <c r="D39" s="28"/>
      <c r="E39" s="77"/>
    </row>
    <row r="40" spans="1:5" ht="15" thickBot="1" x14ac:dyDescent="0.35"/>
    <row r="41" spans="1:5" ht="15" thickBot="1" x14ac:dyDescent="0.35">
      <c r="A41" s="3" t="s">
        <v>11</v>
      </c>
      <c r="B41" s="10"/>
      <c r="C41" s="4"/>
      <c r="D41" s="4"/>
      <c r="E41" s="59">
        <f>E36+E39</f>
        <v>0</v>
      </c>
    </row>
    <row r="42" spans="1:5" ht="15" thickBot="1" x14ac:dyDescent="0.35"/>
    <row r="43" spans="1:5" ht="15" thickBot="1" x14ac:dyDescent="0.35">
      <c r="A43" s="75" t="s">
        <v>8</v>
      </c>
      <c r="B43" s="76">
        <f>E28</f>
        <v>549561.96</v>
      </c>
    </row>
    <row r="44" spans="1:5" ht="15" thickBot="1" x14ac:dyDescent="0.35">
      <c r="A44" s="75" t="s">
        <v>9</v>
      </c>
      <c r="B44" s="76">
        <f>E28-E26</f>
        <v>549561.96</v>
      </c>
    </row>
    <row r="45" spans="1:5" ht="15" thickBot="1" x14ac:dyDescent="0.35">
      <c r="A45" s="75" t="s">
        <v>12</v>
      </c>
      <c r="B45" s="76">
        <f>E41-E39</f>
        <v>0</v>
      </c>
    </row>
    <row r="46" spans="1:5" ht="15" thickBot="1" x14ac:dyDescent="0.35">
      <c r="A46" s="75" t="s">
        <v>26</v>
      </c>
      <c r="B46" s="76">
        <f>E41</f>
        <v>0</v>
      </c>
    </row>
    <row r="47" spans="1:5" ht="73.5" customHeight="1" x14ac:dyDescent="0.3"/>
    <row r="48" spans="1:5" ht="34.5" hidden="1" customHeight="1" x14ac:dyDescent="0.3"/>
    <row r="49" spans="1:6" hidden="1" x14ac:dyDescent="0.3">
      <c r="A49" s="191"/>
      <c r="B49" s="191"/>
      <c r="C49" s="191"/>
      <c r="D49" s="191"/>
      <c r="E49" s="191"/>
    </row>
    <row r="50" spans="1:6" ht="106.5" hidden="1" customHeight="1" x14ac:dyDescent="0.3">
      <c r="A50" s="191"/>
      <c r="B50" s="191"/>
      <c r="C50" s="191"/>
      <c r="D50" s="191"/>
      <c r="E50" s="191"/>
    </row>
    <row r="51" spans="1:6" ht="15.75" hidden="1" customHeight="1" x14ac:dyDescent="0.3">
      <c r="A51" s="191"/>
      <c r="B51" s="191"/>
      <c r="C51" s="191"/>
      <c r="D51" s="191"/>
      <c r="E51" s="191"/>
    </row>
    <row r="53" spans="1:6" ht="0.75" customHeight="1" x14ac:dyDescent="0.3">
      <c r="A53" s="20" t="s">
        <v>22</v>
      </c>
      <c r="B53" s="95"/>
      <c r="C53" s="21"/>
    </row>
    <row r="54" spans="1:6" hidden="1" x14ac:dyDescent="0.3">
      <c r="A54" s="30"/>
      <c r="B54" s="52">
        <v>0</v>
      </c>
      <c r="C54" s="23"/>
    </row>
    <row r="55" spans="1:6" ht="14.25" hidden="1" customHeight="1" x14ac:dyDescent="0.3">
      <c r="A55" s="22" t="s">
        <v>2</v>
      </c>
      <c r="B55" s="36">
        <f>PRORRATEO!F25</f>
        <v>986668.29</v>
      </c>
      <c r="C55" s="21"/>
    </row>
    <row r="56" spans="1:6" hidden="1" x14ac:dyDescent="0.3">
      <c r="A56" s="22"/>
      <c r="B56" s="36">
        <v>0</v>
      </c>
      <c r="C56" s="21"/>
    </row>
    <row r="57" spans="1:6" hidden="1" x14ac:dyDescent="0.3">
      <c r="A57" s="22" t="s">
        <v>27</v>
      </c>
      <c r="B57" s="83">
        <f>B78</f>
        <v>165459</v>
      </c>
      <c r="C57" s="21"/>
    </row>
    <row r="58" spans="1:6" hidden="1" x14ac:dyDescent="0.3">
      <c r="A58" s="25"/>
      <c r="B58" s="43"/>
      <c r="C58" s="21"/>
    </row>
    <row r="59" spans="1:6" hidden="1" x14ac:dyDescent="0.3">
      <c r="A59" s="94" t="s">
        <v>31</v>
      </c>
      <c r="B59" s="43"/>
      <c r="C59" s="21"/>
    </row>
    <row r="60" spans="1:6" hidden="1" x14ac:dyDescent="0.3">
      <c r="A60" s="35" t="s">
        <v>13</v>
      </c>
      <c r="B60" s="43">
        <f>-B44</f>
        <v>-549561.96</v>
      </c>
      <c r="C60" s="21"/>
    </row>
    <row r="61" spans="1:6" hidden="1" x14ac:dyDescent="0.3">
      <c r="A61" s="25" t="s">
        <v>14</v>
      </c>
      <c r="B61" s="43">
        <f>-(B45)</f>
        <v>0</v>
      </c>
      <c r="C61" s="21"/>
    </row>
    <row r="62" spans="1:6" hidden="1" x14ac:dyDescent="0.3">
      <c r="A62" s="29" t="s">
        <v>4</v>
      </c>
      <c r="B62" s="52">
        <f>SUM(B54:B61)</f>
        <v>602565.33000000007</v>
      </c>
      <c r="C62" s="24"/>
      <c r="D62" s="39"/>
    </row>
    <row r="63" spans="1:6" ht="34.5" hidden="1" customHeight="1" x14ac:dyDescent="0.3">
      <c r="B63" s="37"/>
      <c r="C63" s="24"/>
      <c r="D63" s="39"/>
      <c r="E63" s="96"/>
      <c r="F63" s="97"/>
    </row>
    <row r="64" spans="1:6" ht="14.25" hidden="1" customHeight="1" x14ac:dyDescent="0.3">
      <c r="B64" s="38"/>
      <c r="C64" s="24"/>
    </row>
    <row r="65" spans="1:13" s="34" customFormat="1" ht="27" hidden="1" customHeight="1" x14ac:dyDescent="0.3">
      <c r="A65"/>
      <c r="B65" s="37"/>
      <c r="C65" s="33"/>
    </row>
    <row r="66" spans="1:13" s="34" customFormat="1" x14ac:dyDescent="0.3">
      <c r="A66" s="100" t="s">
        <v>91</v>
      </c>
      <c r="B66" s="186">
        <v>-2735183.96</v>
      </c>
      <c r="C66" s="33"/>
      <c r="D66" s="42"/>
    </row>
    <row r="67" spans="1:13" x14ac:dyDescent="0.3">
      <c r="A67" s="48" t="s">
        <v>34</v>
      </c>
      <c r="B67" s="180">
        <f>-B44</f>
        <v>-549561.96</v>
      </c>
    </row>
    <row r="68" spans="1:13" x14ac:dyDescent="0.3">
      <c r="A68" s="48" t="s">
        <v>35</v>
      </c>
      <c r="B68" s="105">
        <f>-B45</f>
        <v>0</v>
      </c>
    </row>
    <row r="69" spans="1:13" x14ac:dyDescent="0.3">
      <c r="A69" s="48" t="s">
        <v>39</v>
      </c>
      <c r="B69" s="105">
        <f>B78</f>
        <v>165459</v>
      </c>
      <c r="D69" s="39">
        <f>B69+B70</f>
        <v>1152127.29</v>
      </c>
    </row>
    <row r="70" spans="1:13" ht="13.95" customHeight="1" x14ac:dyDescent="0.3">
      <c r="A70" s="48" t="s">
        <v>36</v>
      </c>
      <c r="B70" s="106">
        <f>PRORRATEO!F25</f>
        <v>986668.29</v>
      </c>
    </row>
    <row r="71" spans="1:13" x14ac:dyDescent="0.3">
      <c r="A71" s="107" t="s">
        <v>37</v>
      </c>
      <c r="B71" s="108"/>
    </row>
    <row r="72" spans="1:13" ht="15" thickBot="1" x14ac:dyDescent="0.35">
      <c r="A72" s="103" t="s">
        <v>32</v>
      </c>
      <c r="B72" s="104">
        <f>SUM(B66:C71)</f>
        <v>-2132618.63</v>
      </c>
    </row>
    <row r="73" spans="1:13" x14ac:dyDescent="0.3">
      <c r="A73" s="101"/>
      <c r="B73" s="101"/>
    </row>
    <row r="74" spans="1:13" ht="34.5" customHeight="1" x14ac:dyDescent="0.3"/>
    <row r="75" spans="1:13" x14ac:dyDescent="0.3">
      <c r="A75" s="192" t="s">
        <v>21</v>
      </c>
      <c r="B75" s="192"/>
      <c r="C75" s="192"/>
    </row>
    <row r="76" spans="1:13" x14ac:dyDescent="0.3">
      <c r="A76" s="192"/>
      <c r="B76" s="192"/>
      <c r="C76" s="192"/>
    </row>
    <row r="77" spans="1:13" ht="35.25" customHeight="1" x14ac:dyDescent="0.3">
      <c r="A77" s="92" t="s">
        <v>96</v>
      </c>
      <c r="B77" s="32">
        <v>165459</v>
      </c>
      <c r="C77" s="32">
        <v>40000</v>
      </c>
      <c r="E77" s="109"/>
    </row>
    <row r="78" spans="1:13" x14ac:dyDescent="0.3">
      <c r="A78" s="40" t="s">
        <v>4</v>
      </c>
      <c r="B78" s="93">
        <f>SUM(B77:B77)</f>
        <v>165459</v>
      </c>
      <c r="C78" s="41"/>
    </row>
    <row r="79" spans="1:13" x14ac:dyDescent="0.3">
      <c r="M79" s="8"/>
    </row>
    <row r="80" spans="1:13" ht="15" customHeight="1" x14ac:dyDescent="0.3">
      <c r="A80" s="191"/>
      <c r="B80" s="191"/>
      <c r="C80" s="191"/>
      <c r="D80" s="191"/>
      <c r="E80" s="191"/>
    </row>
    <row r="81" spans="1:5" x14ac:dyDescent="0.3">
      <c r="A81" s="191"/>
      <c r="B81" s="191"/>
      <c r="C81" s="191"/>
      <c r="D81" s="191"/>
      <c r="E81" s="191"/>
    </row>
    <row r="82" spans="1:5" x14ac:dyDescent="0.3">
      <c r="A82" s="191"/>
      <c r="B82" s="191"/>
      <c r="C82" s="191"/>
      <c r="D82" s="191"/>
      <c r="E82" s="191"/>
    </row>
    <row r="83" spans="1:5" x14ac:dyDescent="0.3">
      <c r="A83" s="191"/>
      <c r="B83" s="191"/>
      <c r="C83" s="191"/>
      <c r="D83" s="191"/>
      <c r="E83" s="191"/>
    </row>
  </sheetData>
  <mergeCells count="11">
    <mergeCell ref="A22:B22"/>
    <mergeCell ref="B2:E2"/>
    <mergeCell ref="A80:E83"/>
    <mergeCell ref="A75:C76"/>
    <mergeCell ref="A49:E51"/>
    <mergeCell ref="A33:B33"/>
    <mergeCell ref="A32:B32"/>
    <mergeCell ref="A34:B34"/>
    <mergeCell ref="A12:E15"/>
    <mergeCell ref="B7:C9"/>
    <mergeCell ref="A21:B2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zoomScaleNormal="100" workbookViewId="0">
      <selection activeCell="K6" sqref="K6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7.6640625" hidden="1" customWidth="1"/>
    <col min="8" max="8" width="10.5546875" customWidth="1"/>
    <col min="9" max="9" width="9.5546875" customWidth="1"/>
    <col min="10" max="10" width="0.109375" customWidth="1"/>
    <col min="11" max="11" width="12.44140625" customWidth="1"/>
    <col min="12" max="12" width="14.6640625" customWidth="1"/>
    <col min="13" max="13" width="0.44140625" hidden="1" customWidth="1"/>
    <col min="14" max="14" width="14.33203125" customWidth="1"/>
    <col min="15" max="15" width="7.109375" hidden="1" customWidth="1"/>
    <col min="16" max="16" width="12" bestFit="1" customWidth="1"/>
    <col min="17" max="17" width="13" bestFit="1" customWidth="1"/>
  </cols>
  <sheetData>
    <row r="1" spans="1:17" ht="12.9" customHeight="1" x14ac:dyDescent="0.3">
      <c r="A1" s="6"/>
      <c r="B1" s="17" t="str">
        <f>RESUMEN!B4</f>
        <v>TRANSFERIR A  : carolina.rc.adm - CVU: 0000003100054616492658</v>
      </c>
      <c r="C1" s="17"/>
      <c r="D1" s="17"/>
      <c r="E1" s="17"/>
      <c r="F1" s="17"/>
      <c r="G1" s="17"/>
      <c r="H1" s="17"/>
      <c r="I1" s="6"/>
      <c r="J1" s="6"/>
      <c r="K1" s="6"/>
      <c r="L1" s="6"/>
      <c r="M1" s="6"/>
      <c r="N1" s="6"/>
    </row>
    <row r="2" spans="1:17" ht="12.9" customHeight="1" x14ac:dyDescent="0.3">
      <c r="A2" s="6"/>
      <c r="B2" s="197" t="s">
        <v>86</v>
      </c>
      <c r="C2" s="197"/>
      <c r="D2" s="197"/>
      <c r="E2" s="197"/>
      <c r="F2" s="197"/>
      <c r="G2" s="197"/>
      <c r="H2" s="197"/>
      <c r="I2" s="6"/>
      <c r="J2" s="7"/>
      <c r="K2" s="6" t="s">
        <v>38</v>
      </c>
      <c r="L2" s="99">
        <v>1105490</v>
      </c>
      <c r="M2" s="49"/>
      <c r="N2" s="49"/>
      <c r="O2" s="19"/>
    </row>
    <row r="3" spans="1:17" ht="12.9" customHeight="1" thickBot="1" x14ac:dyDescent="0.35">
      <c r="A3" s="6"/>
      <c r="B3" s="198"/>
      <c r="C3" s="198"/>
      <c r="D3" s="198"/>
      <c r="E3" s="198"/>
      <c r="F3" s="198"/>
      <c r="G3" s="198"/>
      <c r="H3" s="198"/>
      <c r="I3" s="6"/>
      <c r="J3" s="6"/>
      <c r="K3" s="6"/>
      <c r="L3" s="50"/>
      <c r="M3" s="50"/>
      <c r="N3" s="53"/>
    </row>
    <row r="4" spans="1:17" x14ac:dyDescent="0.3">
      <c r="A4" s="201" t="s">
        <v>0</v>
      </c>
      <c r="B4" s="201" t="s">
        <v>1</v>
      </c>
      <c r="C4" s="201" t="s">
        <v>17</v>
      </c>
      <c r="D4" s="201" t="s">
        <v>6</v>
      </c>
      <c r="E4" s="205" t="s">
        <v>33</v>
      </c>
      <c r="F4" s="201" t="s">
        <v>2</v>
      </c>
      <c r="G4" s="201" t="s">
        <v>18</v>
      </c>
      <c r="H4" s="209" t="s">
        <v>20</v>
      </c>
      <c r="I4" s="205" t="s">
        <v>29</v>
      </c>
      <c r="J4" s="205" t="s">
        <v>3</v>
      </c>
      <c r="K4" s="205" t="s">
        <v>16</v>
      </c>
      <c r="L4" s="56" t="s">
        <v>24</v>
      </c>
      <c r="M4" s="203" t="s">
        <v>15</v>
      </c>
      <c r="N4" s="199" t="s">
        <v>23</v>
      </c>
      <c r="Q4" s="39"/>
    </row>
    <row r="5" spans="1:17" ht="15.75" customHeight="1" x14ac:dyDescent="0.3">
      <c r="A5" s="208"/>
      <c r="B5" s="208"/>
      <c r="C5" s="202"/>
      <c r="D5" s="208"/>
      <c r="E5" s="207"/>
      <c r="F5" s="208"/>
      <c r="G5" s="202"/>
      <c r="H5" s="210"/>
      <c r="I5" s="207"/>
      <c r="J5" s="206"/>
      <c r="K5" s="207"/>
      <c r="L5" s="54" t="str">
        <f>RESUMEN!B7</f>
        <v>VTO 06/04</v>
      </c>
      <c r="M5" s="204"/>
      <c r="N5" s="200"/>
    </row>
    <row r="6" spans="1:17" ht="17.100000000000001" customHeight="1" x14ac:dyDescent="0.3">
      <c r="A6" s="57" t="s">
        <v>44</v>
      </c>
      <c r="B6" s="57" t="s">
        <v>88</v>
      </c>
      <c r="C6" s="57"/>
      <c r="D6" s="117">
        <f>8+1.02777778</f>
        <v>9.027777780000001</v>
      </c>
      <c r="E6" s="63">
        <v>260082.01</v>
      </c>
      <c r="F6" s="217"/>
      <c r="G6" s="64"/>
      <c r="H6" s="65">
        <f>E6-F6</f>
        <v>260082.01</v>
      </c>
      <c r="I6" s="65">
        <f>IF(H6&gt;0,H6*3%,0)</f>
        <v>7802.4602999999997</v>
      </c>
      <c r="J6" s="66">
        <v>0</v>
      </c>
      <c r="K6" s="67">
        <f>L$2*D6/100</f>
        <v>99801.180580122003</v>
      </c>
      <c r="L6" s="68">
        <f>ROUND(SUM(H6:K6),0) + O6</f>
        <v>367686.01</v>
      </c>
      <c r="M6" s="69">
        <f>ROUND(L6*6% + L6,0) + O6</f>
        <v>389747.01</v>
      </c>
      <c r="N6" s="70">
        <f>ROUND(L6*3%,0) + L6</f>
        <v>378717.01</v>
      </c>
      <c r="O6" s="39">
        <v>0.01</v>
      </c>
    </row>
    <row r="7" spans="1:17" ht="17.100000000000001" customHeight="1" x14ac:dyDescent="0.3">
      <c r="A7" s="57" t="s">
        <v>45</v>
      </c>
      <c r="B7" s="57" t="s">
        <v>40</v>
      </c>
      <c r="C7" s="58"/>
      <c r="D7" s="117">
        <f>1.02777778+4.9</f>
        <v>5.9277777800000004</v>
      </c>
      <c r="E7" s="63">
        <v>241298.02</v>
      </c>
      <c r="F7" s="184">
        <f>E7</f>
        <v>241298.02</v>
      </c>
      <c r="G7" s="64"/>
      <c r="H7" s="65">
        <f t="shared" ref="H7:H24" si="0">E7-F7</f>
        <v>0</v>
      </c>
      <c r="I7" s="65">
        <f t="shared" ref="I7:I24" si="1">IF(H7&gt;0,H7*3%,0)</f>
        <v>0</v>
      </c>
      <c r="J7" s="66">
        <v>0</v>
      </c>
      <c r="K7" s="67">
        <f>L$2*D7%</f>
        <v>65530.990580122008</v>
      </c>
      <c r="L7" s="68">
        <f>ROUND(SUM(H7:K7),0) + O7</f>
        <v>65531.02</v>
      </c>
      <c r="M7" s="69">
        <f t="shared" ref="M7:M24" si="2">ROUND(L7*6% + L7,0) + O7</f>
        <v>69463.02</v>
      </c>
      <c r="N7" s="70">
        <f t="shared" ref="N7:N24" si="3">ROUND(L7*3%,0) + L7</f>
        <v>67497.01999999999</v>
      </c>
      <c r="O7" s="39">
        <f>O6+0.01</f>
        <v>0.02</v>
      </c>
      <c r="P7" s="39" t="s">
        <v>89</v>
      </c>
    </row>
    <row r="8" spans="1:17" ht="17.100000000000001" customHeight="1" x14ac:dyDescent="0.3">
      <c r="A8" s="57" t="s">
        <v>47</v>
      </c>
      <c r="B8" s="57" t="s">
        <v>41</v>
      </c>
      <c r="C8" s="58"/>
      <c r="D8" s="117">
        <f>1.02777778+3.2</f>
        <v>4.2277777800000003</v>
      </c>
      <c r="E8" s="184">
        <v>200808.03</v>
      </c>
      <c r="F8" s="184">
        <v>200808.03</v>
      </c>
      <c r="G8" s="64"/>
      <c r="H8" s="65">
        <f t="shared" si="0"/>
        <v>0</v>
      </c>
      <c r="I8" s="65">
        <f t="shared" si="1"/>
        <v>0</v>
      </c>
      <c r="J8" s="66">
        <v>0</v>
      </c>
      <c r="K8" s="67">
        <f>L$2*D8%</f>
        <v>46737.660580121999</v>
      </c>
      <c r="L8" s="68">
        <f>ROUND(SUM(H8:K8),0) + O8</f>
        <v>46738.03</v>
      </c>
      <c r="M8" s="69">
        <f t="shared" si="2"/>
        <v>49542.03</v>
      </c>
      <c r="N8" s="70">
        <f t="shared" si="3"/>
        <v>48140.03</v>
      </c>
      <c r="O8" s="39">
        <f t="shared" ref="O8:O24" si="4">O7+0.01</f>
        <v>0.03</v>
      </c>
    </row>
    <row r="9" spans="1:17" ht="17.100000000000001" customHeight="1" x14ac:dyDescent="0.3">
      <c r="A9" s="57" t="s">
        <v>48</v>
      </c>
      <c r="B9" s="57" t="s">
        <v>42</v>
      </c>
      <c r="C9" s="58"/>
      <c r="D9" s="117">
        <f>8+1.02777778</f>
        <v>9.027777780000001</v>
      </c>
      <c r="E9" s="63">
        <v>216502.04</v>
      </c>
      <c r="F9" s="64"/>
      <c r="G9" s="64"/>
      <c r="H9" s="65">
        <f t="shared" si="0"/>
        <v>216502.04</v>
      </c>
      <c r="I9" s="65">
        <f t="shared" si="1"/>
        <v>6495.0612000000001</v>
      </c>
      <c r="J9" s="66">
        <v>0</v>
      </c>
      <c r="K9" s="67">
        <f>L$2*D9%</f>
        <v>99801.180580122018</v>
      </c>
      <c r="L9" s="68">
        <f>ROUND(SUM(H9:K9),0) + O9</f>
        <v>322798.03999999998</v>
      </c>
      <c r="M9" s="69">
        <f t="shared" si="2"/>
        <v>342166.04</v>
      </c>
      <c r="N9" s="70">
        <f t="shared" si="3"/>
        <v>332482.03999999998</v>
      </c>
      <c r="O9" s="39">
        <f t="shared" si="4"/>
        <v>0.04</v>
      </c>
      <c r="Q9" s="39"/>
    </row>
    <row r="10" spans="1:17" ht="17.100000000000001" customHeight="1" x14ac:dyDescent="0.3">
      <c r="A10" s="57" t="s">
        <v>49</v>
      </c>
      <c r="B10" s="57" t="s">
        <v>42</v>
      </c>
      <c r="C10" s="58"/>
      <c r="D10" s="117">
        <f>1.02777778+4.9</f>
        <v>5.9277777800000004</v>
      </c>
      <c r="E10" s="63">
        <v>165458.04999999999</v>
      </c>
      <c r="F10" s="64"/>
      <c r="G10" s="64"/>
      <c r="H10" s="65">
        <f t="shared" si="0"/>
        <v>165458.04999999999</v>
      </c>
      <c r="I10" s="65">
        <f t="shared" si="1"/>
        <v>4963.7414999999992</v>
      </c>
      <c r="J10" s="66">
        <v>0</v>
      </c>
      <c r="K10" s="67">
        <f>L$2*D10%</f>
        <v>65530.990580122008</v>
      </c>
      <c r="L10" s="68">
        <f>ROUND(SUM(H10:K10),0) + O10</f>
        <v>235953.05</v>
      </c>
      <c r="M10" s="69">
        <f t="shared" si="2"/>
        <v>250110.05</v>
      </c>
      <c r="N10" s="70">
        <f t="shared" si="3"/>
        <v>243032.05</v>
      </c>
      <c r="O10" s="39">
        <f t="shared" si="4"/>
        <v>0.05</v>
      </c>
      <c r="Q10" s="39"/>
    </row>
    <row r="11" spans="1:17" ht="17.100000000000001" customHeight="1" x14ac:dyDescent="0.3">
      <c r="A11" s="57" t="s">
        <v>50</v>
      </c>
      <c r="B11" s="57" t="s">
        <v>43</v>
      </c>
      <c r="C11" s="57"/>
      <c r="D11" s="117">
        <f>1.02777778+3.2</f>
        <v>4.2277777800000003</v>
      </c>
      <c r="E11" s="63">
        <v>252613.06</v>
      </c>
      <c r="F11" s="184">
        <f>E11</f>
        <v>252613.06</v>
      </c>
      <c r="G11" s="64"/>
      <c r="H11" s="65">
        <f t="shared" si="0"/>
        <v>0</v>
      </c>
      <c r="I11" s="65">
        <f t="shared" si="1"/>
        <v>0</v>
      </c>
      <c r="J11" s="66">
        <v>0</v>
      </c>
      <c r="K11" s="67">
        <f>L$2*D11%</f>
        <v>46737.660580121999</v>
      </c>
      <c r="L11" s="68">
        <f>ROUND(SUM(H11:K11),0) + O11</f>
        <v>46738.06</v>
      </c>
      <c r="M11" s="69">
        <f t="shared" si="2"/>
        <v>49542.06</v>
      </c>
      <c r="N11" s="70">
        <f t="shared" si="3"/>
        <v>48140.06</v>
      </c>
      <c r="O11" s="39">
        <f t="shared" si="4"/>
        <v>6.0000000000000005E-2</v>
      </c>
      <c r="P11" t="s">
        <v>93</v>
      </c>
    </row>
    <row r="12" spans="1:17" ht="17.100000000000001" customHeight="1" x14ac:dyDescent="0.3">
      <c r="A12" s="57" t="s">
        <v>51</v>
      </c>
      <c r="B12" s="57" t="s">
        <v>46</v>
      </c>
      <c r="C12" s="57"/>
      <c r="D12" s="117">
        <f>8+1.02777778</f>
        <v>9.027777780000001</v>
      </c>
      <c r="E12" s="63">
        <v>211871.07</v>
      </c>
      <c r="F12" s="64"/>
      <c r="G12" s="64"/>
      <c r="H12" s="65">
        <f t="shared" si="0"/>
        <v>211871.07</v>
      </c>
      <c r="I12" s="65">
        <f t="shared" si="1"/>
        <v>6356.1320999999998</v>
      </c>
      <c r="J12" s="66">
        <v>0</v>
      </c>
      <c r="K12" s="67">
        <f>L$2*D12%</f>
        <v>99801.180580122018</v>
      </c>
      <c r="L12" s="68">
        <f>ROUND(SUM(H12:K12),0) + O12</f>
        <v>318028.07</v>
      </c>
      <c r="M12" s="69">
        <f t="shared" si="2"/>
        <v>337110.07</v>
      </c>
      <c r="N12" s="70">
        <f t="shared" si="3"/>
        <v>327569.07</v>
      </c>
      <c r="O12" s="39">
        <f t="shared" si="4"/>
        <v>7.0000000000000007E-2</v>
      </c>
    </row>
    <row r="13" spans="1:17" ht="17.100000000000001" customHeight="1" x14ac:dyDescent="0.3">
      <c r="A13" s="57" t="s">
        <v>53</v>
      </c>
      <c r="B13" s="57" t="s">
        <v>52</v>
      </c>
      <c r="C13" s="58"/>
      <c r="D13" s="117">
        <f>1.02777778+4.9</f>
        <v>5.9277777800000004</v>
      </c>
      <c r="E13" s="63">
        <v>286943.08</v>
      </c>
      <c r="F13" s="184"/>
      <c r="G13" s="64"/>
      <c r="H13" s="65">
        <f t="shared" si="0"/>
        <v>286943.08</v>
      </c>
      <c r="I13" s="65">
        <f t="shared" si="1"/>
        <v>8608.2924000000003</v>
      </c>
      <c r="J13" s="66">
        <v>0</v>
      </c>
      <c r="K13" s="67">
        <f>L$2*D13%</f>
        <v>65530.990580122008</v>
      </c>
      <c r="L13" s="68">
        <f>ROUND(SUM(H13:K13),0) + O13</f>
        <v>361082.08</v>
      </c>
      <c r="M13" s="69">
        <f t="shared" si="2"/>
        <v>382747.08</v>
      </c>
      <c r="N13" s="70">
        <f t="shared" si="3"/>
        <v>371914.08</v>
      </c>
      <c r="O13" s="39">
        <f t="shared" si="4"/>
        <v>0.08</v>
      </c>
    </row>
    <row r="14" spans="1:17" ht="17.100000000000001" customHeight="1" x14ac:dyDescent="0.3">
      <c r="A14" s="57" t="s">
        <v>54</v>
      </c>
      <c r="B14" s="57" t="s">
        <v>56</v>
      </c>
      <c r="C14" s="58"/>
      <c r="D14" s="117">
        <f>1.02777778+3.2</f>
        <v>4.2277777800000003</v>
      </c>
      <c r="E14" s="63">
        <v>156615.09</v>
      </c>
      <c r="F14" s="184"/>
      <c r="G14" s="64"/>
      <c r="H14" s="65">
        <f t="shared" si="0"/>
        <v>156615.09</v>
      </c>
      <c r="I14" s="65">
        <f t="shared" si="1"/>
        <v>4698.4526999999998</v>
      </c>
      <c r="J14" s="66">
        <v>0</v>
      </c>
      <c r="K14" s="67">
        <f>L$2*D14%</f>
        <v>46737.660580121999</v>
      </c>
      <c r="L14" s="68">
        <f>ROUND(SUM(H14:K14),0) + O14</f>
        <v>208051.09</v>
      </c>
      <c r="M14" s="69">
        <f t="shared" si="2"/>
        <v>220534.09</v>
      </c>
      <c r="N14" s="70">
        <f t="shared" si="3"/>
        <v>214293.09</v>
      </c>
      <c r="O14" s="39">
        <f t="shared" si="4"/>
        <v>0.09</v>
      </c>
      <c r="P14" t="s">
        <v>92</v>
      </c>
    </row>
    <row r="15" spans="1:17" ht="17.100000000000001" customHeight="1" x14ac:dyDescent="0.3">
      <c r="A15" s="57" t="s">
        <v>55</v>
      </c>
      <c r="B15" s="57" t="s">
        <v>57</v>
      </c>
      <c r="C15" s="58"/>
      <c r="D15" s="117">
        <f>8+1.02777778</f>
        <v>9.027777780000001</v>
      </c>
      <c r="E15" s="63">
        <v>471282.1</v>
      </c>
      <c r="F15" s="184"/>
      <c r="G15" s="64"/>
      <c r="H15" s="65">
        <f t="shared" si="0"/>
        <v>471282.1</v>
      </c>
      <c r="I15" s="65">
        <f t="shared" si="1"/>
        <v>14138.462999999998</v>
      </c>
      <c r="J15" s="66">
        <v>0</v>
      </c>
      <c r="K15" s="67">
        <f>L$2*D15%</f>
        <v>99801.180580122018</v>
      </c>
      <c r="L15" s="68">
        <f>ROUND(SUM(H15:K15),0) + O15</f>
        <v>585222.1</v>
      </c>
      <c r="M15" s="69">
        <f t="shared" si="2"/>
        <v>620335.1</v>
      </c>
      <c r="N15" s="70">
        <f t="shared" si="3"/>
        <v>602779.1</v>
      </c>
      <c r="O15" s="39">
        <f t="shared" si="4"/>
        <v>9.9999999999999992E-2</v>
      </c>
    </row>
    <row r="16" spans="1:17" ht="17.100000000000001" customHeight="1" x14ac:dyDescent="0.3">
      <c r="A16" s="57" t="s">
        <v>61</v>
      </c>
      <c r="B16" s="57" t="s">
        <v>58</v>
      </c>
      <c r="C16" s="58"/>
      <c r="D16" s="117">
        <f>1.02777778+4.9</f>
        <v>5.9277777800000004</v>
      </c>
      <c r="E16" s="63">
        <v>184126.11</v>
      </c>
      <c r="F16" s="184">
        <f>E16</f>
        <v>184126.11</v>
      </c>
      <c r="G16" s="64"/>
      <c r="H16" s="65">
        <f t="shared" si="0"/>
        <v>0</v>
      </c>
      <c r="I16" s="65">
        <f t="shared" si="1"/>
        <v>0</v>
      </c>
      <c r="J16" s="66">
        <v>0</v>
      </c>
      <c r="K16" s="67">
        <f>L$2*D16%</f>
        <v>65530.990580122008</v>
      </c>
      <c r="L16" s="68">
        <f>ROUND(SUM(H16:K16),0) + O16</f>
        <v>65531.11</v>
      </c>
      <c r="M16" s="69">
        <f t="shared" si="2"/>
        <v>69463.11</v>
      </c>
      <c r="N16" s="70">
        <f t="shared" si="3"/>
        <v>67497.11</v>
      </c>
      <c r="O16" s="39">
        <f t="shared" si="4"/>
        <v>0.10999999999999999</v>
      </c>
    </row>
    <row r="17" spans="1:16" ht="17.100000000000001" customHeight="1" x14ac:dyDescent="0.3">
      <c r="A17" s="57" t="s">
        <v>62</v>
      </c>
      <c r="B17" s="57" t="s">
        <v>59</v>
      </c>
      <c r="C17" s="58"/>
      <c r="D17" s="117">
        <f>1.02777778+3.2</f>
        <v>4.2277777800000003</v>
      </c>
      <c r="E17" s="63">
        <v>99546.12</v>
      </c>
      <c r="F17" s="184"/>
      <c r="G17" s="64"/>
      <c r="H17" s="65">
        <f t="shared" si="0"/>
        <v>99546.12</v>
      </c>
      <c r="I17" s="65">
        <f t="shared" si="1"/>
        <v>2986.3835999999997</v>
      </c>
      <c r="J17" s="66">
        <v>0</v>
      </c>
      <c r="K17" s="67">
        <f>L$2*D17%</f>
        <v>46737.660580121999</v>
      </c>
      <c r="L17" s="68">
        <f>ROUND(SUM(H17:K17),0) + O17</f>
        <v>149270.12</v>
      </c>
      <c r="M17" s="69">
        <f t="shared" si="2"/>
        <v>158226.12</v>
      </c>
      <c r="N17" s="70">
        <f t="shared" si="3"/>
        <v>153748.12</v>
      </c>
      <c r="O17" s="39">
        <f t="shared" si="4"/>
        <v>0.11999999999999998</v>
      </c>
    </row>
    <row r="18" spans="1:16" ht="17.100000000000001" customHeight="1" x14ac:dyDescent="0.3">
      <c r="A18" s="57" t="s">
        <v>60</v>
      </c>
      <c r="B18" s="57" t="s">
        <v>46</v>
      </c>
      <c r="C18" s="58"/>
      <c r="D18" s="117">
        <f>1.02777778+5.4+5.7</f>
        <v>12.127777780000001</v>
      </c>
      <c r="E18" s="63">
        <v>782007.13</v>
      </c>
      <c r="F18" s="184">
        <f>2879.57+4943.5+100000</f>
        <v>107823.07</v>
      </c>
      <c r="G18" s="64"/>
      <c r="H18" s="65">
        <f t="shared" si="0"/>
        <v>674184.06</v>
      </c>
      <c r="I18" s="65">
        <f t="shared" si="1"/>
        <v>20225.521800000002</v>
      </c>
      <c r="J18" s="66"/>
      <c r="K18" s="67">
        <f>L$2*D18%</f>
        <v>134071.37058012199</v>
      </c>
      <c r="L18" s="68">
        <f>ROUND(SUM(H18:K18),0) + O18</f>
        <v>828481.13</v>
      </c>
      <c r="M18" s="69"/>
      <c r="N18" s="70">
        <f t="shared" si="3"/>
        <v>853335.13</v>
      </c>
      <c r="O18" s="39">
        <f t="shared" si="4"/>
        <v>0.12999999999999998</v>
      </c>
      <c r="P18" t="s">
        <v>90</v>
      </c>
    </row>
    <row r="19" spans="1:16" ht="17.100000000000001" customHeight="1" x14ac:dyDescent="0.3">
      <c r="A19" s="57"/>
      <c r="B19" s="57"/>
      <c r="C19" s="58"/>
      <c r="D19" s="62"/>
      <c r="E19" s="63"/>
      <c r="F19" s="184"/>
      <c r="G19" s="64"/>
      <c r="H19" s="65"/>
      <c r="I19" s="65"/>
      <c r="J19" s="66"/>
      <c r="K19" s="67"/>
      <c r="L19" s="68"/>
      <c r="M19" s="69"/>
      <c r="N19" s="70"/>
      <c r="O19" s="39">
        <f t="shared" si="4"/>
        <v>0.13999999999999999</v>
      </c>
    </row>
    <row r="20" spans="1:16" ht="17.100000000000001" customHeight="1" x14ac:dyDescent="0.3">
      <c r="A20" s="57" t="s">
        <v>63</v>
      </c>
      <c r="B20" s="57" t="s">
        <v>57</v>
      </c>
      <c r="C20" s="58"/>
      <c r="D20" s="117">
        <f>1.02777778+1.2</f>
        <v>2.2277777800000003</v>
      </c>
      <c r="E20" s="63">
        <v>43759.15</v>
      </c>
      <c r="F20" s="184"/>
      <c r="G20" s="64"/>
      <c r="H20" s="65">
        <f t="shared" si="0"/>
        <v>43759.15</v>
      </c>
      <c r="I20" s="65">
        <f t="shared" si="1"/>
        <v>1312.7745</v>
      </c>
      <c r="J20" s="66"/>
      <c r="K20" s="67">
        <f>L$2*D20%</f>
        <v>24627.860580122004</v>
      </c>
      <c r="L20" s="68">
        <f>ROUND(SUM(H20:K20),0) + O20</f>
        <v>69700.149999999994</v>
      </c>
      <c r="M20" s="69"/>
      <c r="N20" s="70">
        <f t="shared" si="3"/>
        <v>71791.149999999994</v>
      </c>
      <c r="O20" s="39">
        <f t="shared" si="4"/>
        <v>0.15</v>
      </c>
    </row>
    <row r="21" spans="1:16" ht="17.100000000000001" customHeight="1" x14ac:dyDescent="0.3">
      <c r="A21" s="57" t="s">
        <v>64</v>
      </c>
      <c r="B21" s="57" t="s">
        <v>46</v>
      </c>
      <c r="C21" s="58"/>
      <c r="D21" s="117">
        <f>1.02777778+1.2</f>
        <v>2.2277777800000003</v>
      </c>
      <c r="E21" s="63">
        <v>43759.16</v>
      </c>
      <c r="F21" s="184"/>
      <c r="G21" s="64"/>
      <c r="H21" s="65">
        <f t="shared" si="0"/>
        <v>43759.16</v>
      </c>
      <c r="I21" s="65">
        <f t="shared" si="1"/>
        <v>1312.7748000000001</v>
      </c>
      <c r="J21" s="66"/>
      <c r="K21" s="67">
        <f>L$2*D21%</f>
        <v>24627.860580122004</v>
      </c>
      <c r="L21" s="68">
        <f>ROUND(SUM(H21:K21),0) + O21</f>
        <v>69700.160000000003</v>
      </c>
      <c r="M21" s="69"/>
      <c r="N21" s="70">
        <f t="shared" si="3"/>
        <v>71791.16</v>
      </c>
      <c r="O21" s="39">
        <f t="shared" si="4"/>
        <v>0.16</v>
      </c>
      <c r="P21" t="s">
        <v>90</v>
      </c>
    </row>
    <row r="22" spans="1:16" ht="17.100000000000001" customHeight="1" x14ac:dyDescent="0.3">
      <c r="A22" s="57" t="s">
        <v>65</v>
      </c>
      <c r="B22" s="57" t="s">
        <v>52</v>
      </c>
      <c r="C22" s="58"/>
      <c r="D22" s="117">
        <f>1.02777778+1.2</f>
        <v>2.2277777800000003</v>
      </c>
      <c r="E22" s="63">
        <v>51678.17</v>
      </c>
      <c r="F22" s="184"/>
      <c r="G22" s="64"/>
      <c r="H22" s="65">
        <f t="shared" si="0"/>
        <v>51678.17</v>
      </c>
      <c r="I22" s="65">
        <f t="shared" si="1"/>
        <v>1550.3451</v>
      </c>
      <c r="J22" s="66"/>
      <c r="K22" s="67">
        <f>L$2*D22%</f>
        <v>24627.860580122004</v>
      </c>
      <c r="L22" s="68">
        <f>ROUND(SUM(H22:K22),0) + O22</f>
        <v>77856.17</v>
      </c>
      <c r="M22" s="69"/>
      <c r="N22" s="70">
        <f t="shared" si="3"/>
        <v>80192.17</v>
      </c>
      <c r="O22" s="39">
        <f t="shared" si="4"/>
        <v>0.17</v>
      </c>
    </row>
    <row r="23" spans="1:16" ht="17.100000000000001" customHeight="1" x14ac:dyDescent="0.3">
      <c r="A23" s="57" t="s">
        <v>66</v>
      </c>
      <c r="B23" s="57" t="s">
        <v>57</v>
      </c>
      <c r="C23" s="58"/>
      <c r="D23" s="117">
        <f>1.02777778+1.2</f>
        <v>2.2277777800000003</v>
      </c>
      <c r="E23" s="63">
        <v>43759.18</v>
      </c>
      <c r="F23" s="184"/>
      <c r="G23" s="64"/>
      <c r="H23" s="65">
        <f t="shared" si="0"/>
        <v>43759.18</v>
      </c>
      <c r="I23" s="65">
        <f t="shared" si="1"/>
        <v>1312.7754</v>
      </c>
      <c r="J23" s="66"/>
      <c r="K23" s="67">
        <f>L$2*D23%</f>
        <v>24627.860580122004</v>
      </c>
      <c r="L23" s="68">
        <f>ROUND(SUM(H23:K23),0) + O23</f>
        <v>69700.179999999993</v>
      </c>
      <c r="M23" s="69"/>
      <c r="N23" s="70">
        <f t="shared" si="3"/>
        <v>71791.179999999993</v>
      </c>
      <c r="O23" s="39">
        <f t="shared" si="4"/>
        <v>0.18000000000000002</v>
      </c>
    </row>
    <row r="24" spans="1:16" ht="17.100000000000001" customHeight="1" thickBot="1" x14ac:dyDescent="0.35">
      <c r="A24" s="57" t="s">
        <v>67</v>
      </c>
      <c r="B24" s="57" t="s">
        <v>46</v>
      </c>
      <c r="C24" s="58"/>
      <c r="D24" s="117">
        <f>1.02777778+1.2</f>
        <v>2.2277777800000003</v>
      </c>
      <c r="E24" s="63">
        <v>51678.19</v>
      </c>
      <c r="F24" s="184"/>
      <c r="G24" s="64"/>
      <c r="H24" s="65">
        <f t="shared" si="0"/>
        <v>51678.19</v>
      </c>
      <c r="I24" s="65">
        <f t="shared" si="1"/>
        <v>1550.3457000000001</v>
      </c>
      <c r="J24" s="66">
        <v>0</v>
      </c>
      <c r="K24" s="67">
        <f>L$2*D24%</f>
        <v>24627.860580122004</v>
      </c>
      <c r="L24" s="68">
        <f>ROUND(SUM(H24:K24),0) + O24</f>
        <v>77856.19</v>
      </c>
      <c r="M24" s="69">
        <f t="shared" si="2"/>
        <v>82528.19</v>
      </c>
      <c r="N24" s="70">
        <f t="shared" si="3"/>
        <v>80192.19</v>
      </c>
      <c r="O24" s="39">
        <f t="shared" si="4"/>
        <v>0.19000000000000003</v>
      </c>
    </row>
    <row r="25" spans="1:16" ht="17.100000000000001" customHeight="1" thickBot="1" x14ac:dyDescent="0.35">
      <c r="A25" s="71"/>
      <c r="B25" s="72"/>
      <c r="C25" s="72"/>
      <c r="D25" s="73">
        <f t="shared" ref="D25:N25" si="5">SUM(D6:D24)</f>
        <v>100.00000003999999</v>
      </c>
      <c r="E25" s="47">
        <f t="shared" si="5"/>
        <v>3763785.7600000002</v>
      </c>
      <c r="F25" s="55">
        <f t="shared" si="5"/>
        <v>986668.29</v>
      </c>
      <c r="G25" s="47">
        <f t="shared" si="5"/>
        <v>0</v>
      </c>
      <c r="H25" s="55">
        <f t="shared" si="5"/>
        <v>2777117.4700000007</v>
      </c>
      <c r="I25" s="55">
        <f t="shared" si="5"/>
        <v>83313.52410000001</v>
      </c>
      <c r="J25" s="55">
        <f t="shared" si="5"/>
        <v>0</v>
      </c>
      <c r="K25" s="102">
        <f t="shared" si="5"/>
        <v>1105490.0004421964</v>
      </c>
      <c r="L25" s="74">
        <f t="shared" si="5"/>
        <v>3965922.7600000002</v>
      </c>
      <c r="M25" s="74">
        <f t="shared" si="5"/>
        <v>3021513.97</v>
      </c>
      <c r="N25" s="74">
        <f t="shared" si="5"/>
        <v>4084901.7600000002</v>
      </c>
    </row>
    <row r="26" spans="1:16" x14ac:dyDescent="0.3">
      <c r="B26" s="46"/>
      <c r="C26" s="46"/>
      <c r="D26" s="116"/>
    </row>
    <row r="27" spans="1:16" x14ac:dyDescent="0.3">
      <c r="B27" s="191" t="s">
        <v>85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</row>
    <row r="28" spans="1:16" x14ac:dyDescent="0.3"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</row>
    <row r="29" spans="1:16" x14ac:dyDescent="0.3"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</row>
    <row r="30" spans="1:16" ht="72" customHeight="1" x14ac:dyDescent="0.3"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</row>
  </sheetData>
  <mergeCells count="15">
    <mergeCell ref="A4:A5"/>
    <mergeCell ref="B4:B5"/>
    <mergeCell ref="D4:D5"/>
    <mergeCell ref="I4:I5"/>
    <mergeCell ref="E4:E5"/>
    <mergeCell ref="F4:F5"/>
    <mergeCell ref="H4:H5"/>
    <mergeCell ref="B2:H3"/>
    <mergeCell ref="N4:N5"/>
    <mergeCell ref="B27:L30"/>
    <mergeCell ref="C4:C5"/>
    <mergeCell ref="G4:G5"/>
    <mergeCell ref="M4:M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1833-D35F-45AC-9D7A-9C6C07C828FD}">
  <dimension ref="A1:Q32"/>
  <sheetViews>
    <sheetView topLeftCell="C1" workbookViewId="0">
      <selection activeCell="E3" sqref="E3"/>
    </sheetView>
  </sheetViews>
  <sheetFormatPr baseColWidth="10" defaultRowHeight="14.4" x14ac:dyDescent="0.3"/>
  <cols>
    <col min="1" max="1" width="5" hidden="1" customWidth="1"/>
    <col min="2" max="2" width="8.33203125" hidden="1" customWidth="1"/>
    <col min="3" max="3" width="7.5546875" customWidth="1"/>
    <col min="4" max="4" width="23.6640625" bestFit="1" customWidth="1"/>
    <col min="5" max="5" width="8.5546875" bestFit="1" customWidth="1"/>
    <col min="6" max="6" width="12" bestFit="1" customWidth="1"/>
    <col min="7" max="7" width="8.33203125" bestFit="1" customWidth="1"/>
    <col min="8" max="8" width="7.33203125" bestFit="1" customWidth="1"/>
    <col min="9" max="9" width="12.44140625" bestFit="1" customWidth="1"/>
    <col min="10" max="10" width="8" bestFit="1" customWidth="1"/>
    <col min="11" max="11" width="11.33203125" bestFit="1" customWidth="1"/>
    <col min="12" max="12" width="8.6640625" customWidth="1"/>
    <col min="13" max="13" width="11.44140625" bestFit="1" customWidth="1"/>
  </cols>
  <sheetData>
    <row r="1" spans="1:17" ht="21" customHeight="1" x14ac:dyDescent="0.3">
      <c r="A1" s="211" t="s">
        <v>69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3"/>
    </row>
    <row r="2" spans="1:17" ht="19.5" customHeight="1" x14ac:dyDescent="0.3">
      <c r="A2" s="123"/>
      <c r="B2" s="123" t="s">
        <v>69</v>
      </c>
      <c r="C2" s="124"/>
      <c r="D2" s="181">
        <v>2521214.02</v>
      </c>
      <c r="E2" s="118"/>
      <c r="F2" s="118"/>
      <c r="G2" s="118"/>
      <c r="H2" s="119"/>
      <c r="I2" s="118"/>
      <c r="J2" s="118"/>
      <c r="K2" s="118"/>
      <c r="L2" s="118"/>
      <c r="M2" s="118"/>
      <c r="N2" s="121"/>
    </row>
    <row r="3" spans="1:17" x14ac:dyDescent="0.3">
      <c r="A3" s="123"/>
      <c r="B3" s="122" t="s">
        <v>69</v>
      </c>
      <c r="C3" s="216">
        <v>0</v>
      </c>
      <c r="D3" s="216"/>
      <c r="E3" s="125"/>
      <c r="F3" s="125"/>
      <c r="G3" s="125"/>
      <c r="H3" s="126"/>
      <c r="I3" s="120"/>
      <c r="J3" s="127"/>
      <c r="K3" s="214">
        <f>D2-I24</f>
        <v>858773.02</v>
      </c>
      <c r="L3" s="214"/>
      <c r="M3" s="128"/>
      <c r="N3" s="121"/>
    </row>
    <row r="4" spans="1:17" ht="28.5" customHeight="1" x14ac:dyDescent="0.3">
      <c r="A4" s="129" t="s">
        <v>70</v>
      </c>
      <c r="B4" s="129" t="s">
        <v>70</v>
      </c>
      <c r="C4" s="130" t="s">
        <v>71</v>
      </c>
      <c r="D4" s="131" t="s">
        <v>72</v>
      </c>
      <c r="E4" s="131" t="s">
        <v>73</v>
      </c>
      <c r="F4" s="132" t="s">
        <v>74</v>
      </c>
      <c r="G4" s="132" t="s">
        <v>75</v>
      </c>
      <c r="H4" s="133" t="s">
        <v>76</v>
      </c>
      <c r="I4" s="134" t="s">
        <v>69</v>
      </c>
      <c r="J4" s="171" t="s">
        <v>77</v>
      </c>
      <c r="K4" s="171" t="s">
        <v>77</v>
      </c>
      <c r="L4" s="135" t="s">
        <v>76</v>
      </c>
      <c r="M4" s="132" t="s">
        <v>78</v>
      </c>
      <c r="N4" s="121"/>
    </row>
    <row r="5" spans="1:17" x14ac:dyDescent="0.3">
      <c r="A5" s="136">
        <v>1</v>
      </c>
      <c r="B5" s="137">
        <v>1</v>
      </c>
      <c r="C5" s="138" t="str">
        <f>PRORRATEO!A6</f>
        <v>1A</v>
      </c>
      <c r="D5" s="139" t="str">
        <f>PRORRATEO!B6</f>
        <v>Chida Gustavo Daniel</v>
      </c>
      <c r="E5" s="140">
        <v>9.027777780000001</v>
      </c>
      <c r="F5" s="141">
        <v>0</v>
      </c>
      <c r="G5" s="141">
        <v>752.3</v>
      </c>
      <c r="H5" s="142">
        <f>G5-F5</f>
        <v>752.3</v>
      </c>
      <c r="I5" s="143">
        <f>L5*110</f>
        <v>82753</v>
      </c>
      <c r="J5" s="143">
        <f>J3*E5%</f>
        <v>0</v>
      </c>
      <c r="K5" s="173">
        <f>K$3*E5/Q$7</f>
        <v>77528.119880194965</v>
      </c>
      <c r="L5" s="144">
        <f t="shared" ref="L5:L21" si="0">G5-F5</f>
        <v>752.3</v>
      </c>
      <c r="M5" s="142">
        <f>I5+K5</f>
        <v>160281.11988019495</v>
      </c>
      <c r="N5" s="121"/>
    </row>
    <row r="6" spans="1:17" x14ac:dyDescent="0.3">
      <c r="A6" s="146">
        <v>2</v>
      </c>
      <c r="B6" s="147">
        <v>2</v>
      </c>
      <c r="C6" s="138" t="str">
        <f>PRORRATEO!A7</f>
        <v>1B</v>
      </c>
      <c r="D6" s="139" t="str">
        <f>PRORRATEO!B7</f>
        <v>D' Andrea Patricia Daniela</v>
      </c>
      <c r="E6" s="140">
        <v>5.9277777800000004</v>
      </c>
      <c r="F6" s="141">
        <v>0</v>
      </c>
      <c r="G6" s="141">
        <v>1135.0999999999999</v>
      </c>
      <c r="H6" s="142">
        <f t="shared" ref="H6:H22" si="1">G6-F6</f>
        <v>1135.0999999999999</v>
      </c>
      <c r="I6" s="143">
        <f t="shared" ref="I6:I17" si="2">L6*110</f>
        <v>124860.99999999999</v>
      </c>
      <c r="J6" s="143">
        <f>J3*E6%</f>
        <v>0</v>
      </c>
      <c r="K6" s="173">
        <f t="shared" ref="K6:K23" si="3">K$3*E6/Q$7</f>
        <v>50906.156260194963</v>
      </c>
      <c r="L6" s="144">
        <f t="shared" si="0"/>
        <v>1135.0999999999999</v>
      </c>
      <c r="M6" s="142">
        <f t="shared" ref="M6:M20" si="4">I6+K6</f>
        <v>175767.15626019496</v>
      </c>
      <c r="N6" s="121"/>
    </row>
    <row r="7" spans="1:17" ht="16.5" customHeight="1" x14ac:dyDescent="0.3">
      <c r="A7" s="136">
        <v>3</v>
      </c>
      <c r="B7" s="147">
        <v>3</v>
      </c>
      <c r="C7" s="138" t="str">
        <f>PRORRATEO!A8</f>
        <v>1C</v>
      </c>
      <c r="D7" s="139" t="str">
        <f>PRORRATEO!B8</f>
        <v>Arroyo Aldana</v>
      </c>
      <c r="E7" s="140">
        <v>4.2277777800000003</v>
      </c>
      <c r="F7" s="141">
        <v>0</v>
      </c>
      <c r="G7" s="141">
        <v>1017.4</v>
      </c>
      <c r="H7" s="142">
        <f t="shared" si="1"/>
        <v>1017.4</v>
      </c>
      <c r="I7" s="143">
        <f t="shared" si="2"/>
        <v>111914</v>
      </c>
      <c r="J7" s="143">
        <f>J3*E7%</f>
        <v>0</v>
      </c>
      <c r="K7" s="173">
        <f t="shared" si="3"/>
        <v>36307.014920194961</v>
      </c>
      <c r="L7" s="144">
        <f t="shared" si="0"/>
        <v>1017.4</v>
      </c>
      <c r="M7" s="142">
        <f t="shared" si="4"/>
        <v>148221.01492019495</v>
      </c>
      <c r="N7" s="121"/>
      <c r="Q7">
        <v>100</v>
      </c>
    </row>
    <row r="8" spans="1:17" x14ac:dyDescent="0.3">
      <c r="A8" s="136">
        <v>4</v>
      </c>
      <c r="B8" s="147" t="s">
        <v>79</v>
      </c>
      <c r="C8" s="138" t="str">
        <f>PRORRATEO!A9</f>
        <v>2A</v>
      </c>
      <c r="D8" s="139" t="str">
        <f>PRORRATEO!B9</f>
        <v>Stagno Jorge Adrian</v>
      </c>
      <c r="E8" s="148">
        <v>9.027777780000001</v>
      </c>
      <c r="F8" s="141">
        <v>0</v>
      </c>
      <c r="G8" s="141">
        <v>64.400000000000006</v>
      </c>
      <c r="H8" s="142">
        <f t="shared" si="1"/>
        <v>64.400000000000006</v>
      </c>
      <c r="I8" s="143">
        <f t="shared" si="2"/>
        <v>7084.0000000000009</v>
      </c>
      <c r="J8" s="174">
        <f>J3*E8%</f>
        <v>0</v>
      </c>
      <c r="K8" s="173">
        <f t="shared" si="3"/>
        <v>77528.119880194965</v>
      </c>
      <c r="L8" s="149">
        <f t="shared" si="0"/>
        <v>64.400000000000006</v>
      </c>
      <c r="M8" s="142">
        <f t="shared" si="4"/>
        <v>84612.119880194965</v>
      </c>
      <c r="N8" s="121"/>
    </row>
    <row r="9" spans="1:17" x14ac:dyDescent="0.3">
      <c r="A9" s="136">
        <v>6</v>
      </c>
      <c r="B9" s="147">
        <v>6</v>
      </c>
      <c r="C9" s="138" t="str">
        <f>PRORRATEO!A10</f>
        <v>2B</v>
      </c>
      <c r="D9" s="139" t="str">
        <f>PRORRATEO!B10</f>
        <v>Stagno Jorge Adrian</v>
      </c>
      <c r="E9" s="140">
        <v>5.9277777800000004</v>
      </c>
      <c r="F9" s="141">
        <v>0</v>
      </c>
      <c r="G9" s="141">
        <v>254.1</v>
      </c>
      <c r="H9" s="142">
        <f t="shared" si="1"/>
        <v>254.1</v>
      </c>
      <c r="I9" s="143">
        <f t="shared" si="2"/>
        <v>27951</v>
      </c>
      <c r="J9" s="143">
        <f>J3*E9%</f>
        <v>0</v>
      </c>
      <c r="K9" s="173">
        <f t="shared" si="3"/>
        <v>50906.156260194963</v>
      </c>
      <c r="L9" s="144">
        <f t="shared" si="0"/>
        <v>254.1</v>
      </c>
      <c r="M9" s="142">
        <f t="shared" si="4"/>
        <v>78857.156260194955</v>
      </c>
      <c r="N9" s="121"/>
    </row>
    <row r="10" spans="1:17" x14ac:dyDescent="0.3">
      <c r="A10" s="136">
        <v>7</v>
      </c>
      <c r="B10" s="147">
        <v>7</v>
      </c>
      <c r="C10" s="138" t="str">
        <f>PRORRATEO!A11</f>
        <v>2C</v>
      </c>
      <c r="D10" s="139" t="str">
        <f>PRORRATEO!B11</f>
        <v>Beneyte Lenorado Damian</v>
      </c>
      <c r="E10" s="140">
        <v>4.2277777800000003</v>
      </c>
      <c r="F10" s="141">
        <v>0</v>
      </c>
      <c r="G10" s="141">
        <v>1454.6</v>
      </c>
      <c r="H10" s="142">
        <f t="shared" si="1"/>
        <v>1454.6</v>
      </c>
      <c r="I10" s="143">
        <f t="shared" si="2"/>
        <v>160006</v>
      </c>
      <c r="J10" s="143">
        <f>J3*E10%</f>
        <v>0</v>
      </c>
      <c r="K10" s="173">
        <f t="shared" si="3"/>
        <v>36307.014920194961</v>
      </c>
      <c r="L10" s="144">
        <f t="shared" si="0"/>
        <v>1454.6</v>
      </c>
      <c r="M10" s="142">
        <f t="shared" si="4"/>
        <v>196313.01492019495</v>
      </c>
    </row>
    <row r="11" spans="1:17" x14ac:dyDescent="0.3">
      <c r="A11" s="136">
        <v>8</v>
      </c>
      <c r="B11" s="147">
        <v>8</v>
      </c>
      <c r="C11" s="138" t="str">
        <f>PRORRATEO!A12</f>
        <v>3A</v>
      </c>
      <c r="D11" s="139" t="str">
        <f>PRORRATEO!B12</f>
        <v>Sr Propietario</v>
      </c>
      <c r="E11" s="140">
        <v>9.027777780000001</v>
      </c>
      <c r="F11" s="141">
        <v>0</v>
      </c>
      <c r="G11" s="141">
        <v>22.3</v>
      </c>
      <c r="H11" s="142">
        <f t="shared" si="1"/>
        <v>22.3</v>
      </c>
      <c r="I11" s="143">
        <f t="shared" si="2"/>
        <v>2453</v>
      </c>
      <c r="J11" s="143">
        <f>J3*E11%</f>
        <v>0</v>
      </c>
      <c r="K11" s="173">
        <f t="shared" si="3"/>
        <v>77528.119880194965</v>
      </c>
      <c r="L11" s="144">
        <f t="shared" si="0"/>
        <v>22.3</v>
      </c>
      <c r="M11" s="142">
        <f t="shared" si="4"/>
        <v>79981.119880194965</v>
      </c>
    </row>
    <row r="12" spans="1:17" x14ac:dyDescent="0.3">
      <c r="A12" s="136">
        <v>9</v>
      </c>
      <c r="B12" s="147">
        <v>9</v>
      </c>
      <c r="C12" s="138" t="str">
        <f>PRORRATEO!A13</f>
        <v>3B</v>
      </c>
      <c r="D12" s="139" t="str">
        <f>PRORRATEO!B13</f>
        <v>Torres Lilliana Beatriz</v>
      </c>
      <c r="E12" s="140">
        <v>5.9277777800000004</v>
      </c>
      <c r="F12" s="141">
        <v>0</v>
      </c>
      <c r="G12" s="141">
        <v>1544.3</v>
      </c>
      <c r="H12" s="142">
        <f t="shared" si="1"/>
        <v>1544.3</v>
      </c>
      <c r="I12" s="143">
        <f t="shared" si="2"/>
        <v>169873</v>
      </c>
      <c r="J12" s="143">
        <f>J3*E12%</f>
        <v>0</v>
      </c>
      <c r="K12" s="173">
        <f t="shared" si="3"/>
        <v>50906.156260194963</v>
      </c>
      <c r="L12" s="144">
        <f t="shared" si="0"/>
        <v>1544.3</v>
      </c>
      <c r="M12" s="142">
        <f t="shared" si="4"/>
        <v>220779.15626019496</v>
      </c>
    </row>
    <row r="13" spans="1:17" x14ac:dyDescent="0.3">
      <c r="A13" s="136">
        <v>10</v>
      </c>
      <c r="B13" s="147">
        <v>10</v>
      </c>
      <c r="C13" s="138" t="str">
        <f>PRORRATEO!A14</f>
        <v>3C</v>
      </c>
      <c r="D13" s="139" t="str">
        <f>PRORRATEO!B14</f>
        <v>Arostegui Hector/Herrera Monica</v>
      </c>
      <c r="E13" s="140">
        <v>4.2277777800000003</v>
      </c>
      <c r="F13" s="141">
        <v>0</v>
      </c>
      <c r="G13" s="141">
        <v>672.8</v>
      </c>
      <c r="H13" s="142">
        <f t="shared" si="1"/>
        <v>672.8</v>
      </c>
      <c r="I13" s="143">
        <f t="shared" si="2"/>
        <v>74008</v>
      </c>
      <c r="J13" s="143">
        <f>J3*E13%</f>
        <v>0</v>
      </c>
      <c r="K13" s="173">
        <f t="shared" si="3"/>
        <v>36307.014920194961</v>
      </c>
      <c r="L13" s="144">
        <f t="shared" si="0"/>
        <v>672.8</v>
      </c>
      <c r="M13" s="142">
        <f t="shared" si="4"/>
        <v>110315.01492019495</v>
      </c>
    </row>
    <row r="14" spans="1:17" ht="15" customHeight="1" x14ac:dyDescent="0.3">
      <c r="A14" s="136">
        <v>11</v>
      </c>
      <c r="B14" s="147">
        <v>11</v>
      </c>
      <c r="C14" s="138" t="str">
        <f>PRORRATEO!A15</f>
        <v>4A</v>
      </c>
      <c r="D14" s="139" t="str">
        <f>PRORRATEO!B15</f>
        <v>Frosio Diego Martin</v>
      </c>
      <c r="E14" s="140">
        <v>9.027777780000001</v>
      </c>
      <c r="F14" s="141">
        <v>0</v>
      </c>
      <c r="G14" s="141">
        <v>2672.3</v>
      </c>
      <c r="H14" s="142">
        <f t="shared" si="1"/>
        <v>2672.3</v>
      </c>
      <c r="I14" s="143">
        <f t="shared" si="2"/>
        <v>293953</v>
      </c>
      <c r="J14" s="143">
        <f>J3*E14%</f>
        <v>0</v>
      </c>
      <c r="K14" s="173">
        <f t="shared" si="3"/>
        <v>77528.119880194965</v>
      </c>
      <c r="L14" s="144">
        <f t="shared" si="0"/>
        <v>2672.3</v>
      </c>
      <c r="M14" s="142">
        <f t="shared" si="4"/>
        <v>371481.11988019495</v>
      </c>
    </row>
    <row r="15" spans="1:17" ht="15" customHeight="1" x14ac:dyDescent="0.3">
      <c r="A15" s="136">
        <v>12</v>
      </c>
      <c r="B15" s="147">
        <v>12</v>
      </c>
      <c r="C15" s="138" t="str">
        <f>PRORRATEO!A16</f>
        <v>4B</v>
      </c>
      <c r="D15" s="139" t="str">
        <f>PRORRATEO!B16</f>
        <v>Actis Sofia Magali</v>
      </c>
      <c r="E15" s="140">
        <v>5.9277777800000004</v>
      </c>
      <c r="F15" s="141">
        <v>0</v>
      </c>
      <c r="G15" s="141">
        <v>566.6</v>
      </c>
      <c r="H15" s="142">
        <f t="shared" si="1"/>
        <v>566.6</v>
      </c>
      <c r="I15" s="143">
        <f t="shared" si="2"/>
        <v>62326</v>
      </c>
      <c r="J15" s="143">
        <f>J3*E15%</f>
        <v>0</v>
      </c>
      <c r="K15" s="173">
        <f>K$3*E15/Q$7</f>
        <v>50906.156260194963</v>
      </c>
      <c r="L15" s="144">
        <f t="shared" si="0"/>
        <v>566.6</v>
      </c>
      <c r="M15" s="142">
        <f t="shared" si="4"/>
        <v>113232.15626019496</v>
      </c>
    </row>
    <row r="16" spans="1:17" x14ac:dyDescent="0.3">
      <c r="A16" s="136">
        <v>13</v>
      </c>
      <c r="B16" s="147">
        <v>13</v>
      </c>
      <c r="C16" s="138" t="str">
        <f>PRORRATEO!A17</f>
        <v>4C</v>
      </c>
      <c r="D16" s="139" t="str">
        <f>PRORRATEO!B17</f>
        <v>Alanis Hebert</v>
      </c>
      <c r="E16" s="140">
        <v>4.2277777800000003</v>
      </c>
      <c r="F16" s="141">
        <v>0</v>
      </c>
      <c r="G16" s="141">
        <v>13.4</v>
      </c>
      <c r="H16" s="142">
        <f t="shared" si="1"/>
        <v>13.4</v>
      </c>
      <c r="I16" s="143">
        <f t="shared" si="2"/>
        <v>1474</v>
      </c>
      <c r="J16" s="143">
        <f>J3*E16%</f>
        <v>0</v>
      </c>
      <c r="K16" s="173">
        <f t="shared" si="3"/>
        <v>36307.014920194961</v>
      </c>
      <c r="L16" s="144">
        <f t="shared" si="0"/>
        <v>13.4</v>
      </c>
      <c r="M16" s="142">
        <f t="shared" si="4"/>
        <v>37781.014920194961</v>
      </c>
    </row>
    <row r="17" spans="1:14" x14ac:dyDescent="0.3">
      <c r="A17" s="136">
        <v>14</v>
      </c>
      <c r="B17" s="147">
        <v>14</v>
      </c>
      <c r="C17" s="138" t="str">
        <f>PRORRATEO!A18</f>
        <v>5A</v>
      </c>
      <c r="D17" s="139" t="str">
        <f>PRORRATEO!B18</f>
        <v>Sr Propietario</v>
      </c>
      <c r="E17" s="140">
        <v>12.127777780000001</v>
      </c>
      <c r="F17" s="141">
        <v>0</v>
      </c>
      <c r="G17" s="141">
        <v>4943.5</v>
      </c>
      <c r="H17" s="142">
        <f t="shared" si="1"/>
        <v>4943.5</v>
      </c>
      <c r="I17" s="143">
        <f t="shared" si="2"/>
        <v>543785</v>
      </c>
      <c r="J17" s="143">
        <f>J3*E17%</f>
        <v>0</v>
      </c>
      <c r="K17" s="173">
        <f t="shared" si="3"/>
        <v>104150.08350019496</v>
      </c>
      <c r="L17" s="144">
        <f t="shared" si="0"/>
        <v>4943.5</v>
      </c>
      <c r="M17" s="142">
        <f t="shared" si="4"/>
        <v>647935.08350019495</v>
      </c>
    </row>
    <row r="18" spans="1:14" x14ac:dyDescent="0.3">
      <c r="A18" s="136">
        <v>15</v>
      </c>
      <c r="B18" s="147">
        <v>15</v>
      </c>
      <c r="C18" s="138"/>
      <c r="D18" s="139"/>
      <c r="E18" s="140"/>
      <c r="F18" s="141"/>
      <c r="G18" s="141"/>
      <c r="H18" s="142"/>
      <c r="I18" s="143"/>
      <c r="J18" s="143"/>
      <c r="K18" s="173"/>
      <c r="L18" s="144"/>
      <c r="M18" s="142"/>
    </row>
    <row r="19" spans="1:14" x14ac:dyDescent="0.3">
      <c r="A19" s="136">
        <v>16</v>
      </c>
      <c r="B19" s="147">
        <v>16</v>
      </c>
      <c r="C19" s="138" t="str">
        <f>PRORRATEO!A20</f>
        <v>C1</v>
      </c>
      <c r="D19" s="139" t="str">
        <f>PRORRATEO!B20</f>
        <v>Frosio Diego Martin</v>
      </c>
      <c r="E19" s="140">
        <v>2.2277777800000003</v>
      </c>
      <c r="F19" s="141">
        <v>0</v>
      </c>
      <c r="G19" s="141">
        <v>0</v>
      </c>
      <c r="H19" s="142">
        <f t="shared" si="1"/>
        <v>0</v>
      </c>
      <c r="I19" s="143">
        <f t="shared" ref="I19:I21" si="5">L19*93.787</f>
        <v>0</v>
      </c>
      <c r="J19" s="143">
        <f>J3*E19%</f>
        <v>0</v>
      </c>
      <c r="K19" s="173">
        <f t="shared" si="3"/>
        <v>19131.554520194957</v>
      </c>
      <c r="L19" s="144">
        <f t="shared" si="0"/>
        <v>0</v>
      </c>
      <c r="M19" s="142">
        <f t="shared" si="4"/>
        <v>19131.554520194957</v>
      </c>
    </row>
    <row r="20" spans="1:14" x14ac:dyDescent="0.3">
      <c r="A20" s="136">
        <v>17</v>
      </c>
      <c r="B20" s="147">
        <v>17</v>
      </c>
      <c r="C20" s="138" t="str">
        <f>PRORRATEO!A21</f>
        <v>C2</v>
      </c>
      <c r="D20" s="139" t="str">
        <f>PRORRATEO!B21</f>
        <v>Sr Propietario</v>
      </c>
      <c r="E20" s="140">
        <v>2.2277777800000003</v>
      </c>
      <c r="F20" s="141">
        <v>0</v>
      </c>
      <c r="G20" s="141">
        <v>0</v>
      </c>
      <c r="H20" s="142">
        <f t="shared" si="1"/>
        <v>0</v>
      </c>
      <c r="I20" s="143">
        <f t="shared" si="5"/>
        <v>0</v>
      </c>
      <c r="J20" s="143">
        <f>J3*E20%</f>
        <v>0</v>
      </c>
      <c r="K20" s="173">
        <f t="shared" si="3"/>
        <v>19131.554520194957</v>
      </c>
      <c r="L20" s="144">
        <f t="shared" si="0"/>
        <v>0</v>
      </c>
      <c r="M20" s="142">
        <f t="shared" si="4"/>
        <v>19131.554520194957</v>
      </c>
    </row>
    <row r="21" spans="1:14" x14ac:dyDescent="0.3">
      <c r="A21" s="136">
        <v>18</v>
      </c>
      <c r="B21" s="147">
        <v>18</v>
      </c>
      <c r="C21" s="138" t="str">
        <f>PRORRATEO!A22</f>
        <v>C3</v>
      </c>
      <c r="D21" s="139" t="str">
        <f>PRORRATEO!B22</f>
        <v>Torres Lilliana Beatriz</v>
      </c>
      <c r="E21" s="140">
        <v>2.2277777800000003</v>
      </c>
      <c r="F21" s="141">
        <v>0</v>
      </c>
      <c r="G21" s="141">
        <v>0</v>
      </c>
      <c r="H21" s="142">
        <f t="shared" si="1"/>
        <v>0</v>
      </c>
      <c r="I21" s="143">
        <f t="shared" si="5"/>
        <v>0</v>
      </c>
      <c r="J21" s="143">
        <f>J3*E21%</f>
        <v>0</v>
      </c>
      <c r="K21" s="173">
        <f t="shared" si="3"/>
        <v>19131.554520194957</v>
      </c>
      <c r="L21" s="144">
        <f t="shared" si="0"/>
        <v>0</v>
      </c>
      <c r="M21" s="142">
        <f>I21+K21</f>
        <v>19131.554520194957</v>
      </c>
    </row>
    <row r="22" spans="1:14" ht="14.25" customHeight="1" x14ac:dyDescent="0.3">
      <c r="A22" s="136">
        <v>19</v>
      </c>
      <c r="B22" s="150">
        <v>19</v>
      </c>
      <c r="C22" s="138" t="str">
        <f>PRORRATEO!A23</f>
        <v>C4</v>
      </c>
      <c r="D22" s="139" t="str">
        <f>PRORRATEO!B23</f>
        <v>Frosio Diego Martin</v>
      </c>
      <c r="E22" s="170">
        <v>2.2277777800000003</v>
      </c>
      <c r="F22" s="141">
        <v>0</v>
      </c>
      <c r="G22" s="141">
        <v>0</v>
      </c>
      <c r="H22" s="142">
        <f t="shared" si="1"/>
        <v>0</v>
      </c>
      <c r="I22" s="143"/>
      <c r="J22" s="143"/>
      <c r="K22" s="173">
        <f t="shared" si="3"/>
        <v>19131.554520194957</v>
      </c>
      <c r="L22" s="144">
        <v>0</v>
      </c>
      <c r="M22" s="142">
        <f t="shared" ref="M22:M23" si="6">I22+K22</f>
        <v>19131.554520194957</v>
      </c>
    </row>
    <row r="23" spans="1:14" x14ac:dyDescent="0.3">
      <c r="A23" s="136">
        <v>20</v>
      </c>
      <c r="B23" s="150"/>
      <c r="C23" s="138" t="str">
        <f>PRORRATEO!A24</f>
        <v>C5</v>
      </c>
      <c r="D23" s="139" t="str">
        <f>PRORRATEO!B24</f>
        <v>Sr Propietario</v>
      </c>
      <c r="E23" s="151">
        <v>2.2277777800000003</v>
      </c>
      <c r="F23" s="141">
        <v>0</v>
      </c>
      <c r="G23" s="141">
        <v>0</v>
      </c>
      <c r="H23" s="142">
        <v>0</v>
      </c>
      <c r="I23" s="152"/>
      <c r="J23" s="143"/>
      <c r="K23" s="173">
        <f t="shared" si="3"/>
        <v>19131.554520194957</v>
      </c>
      <c r="L23" s="144">
        <v>0</v>
      </c>
      <c r="M23" s="142">
        <f t="shared" si="6"/>
        <v>19131.554520194957</v>
      </c>
    </row>
    <row r="24" spans="1:14" ht="14.25" customHeight="1" x14ac:dyDescent="0.3">
      <c r="A24" s="136">
        <v>24</v>
      </c>
      <c r="B24" s="150"/>
      <c r="C24" s="153"/>
      <c r="D24" s="153"/>
      <c r="E24" s="182">
        <f>SUM(E5:E23)</f>
        <v>100.00000003999999</v>
      </c>
      <c r="F24" s="153"/>
      <c r="G24" s="153"/>
      <c r="H24" s="154"/>
      <c r="I24" s="155">
        <f>SUM(I5:I23)</f>
        <v>1662441</v>
      </c>
      <c r="J24" s="172"/>
      <c r="K24" s="172">
        <f>SUM(K5:K23)</f>
        <v>858773.0203435095</v>
      </c>
      <c r="L24" s="156"/>
      <c r="M24" s="154">
        <f>SUM(M5:M23)</f>
        <v>2521214.0203435086</v>
      </c>
      <c r="N24" s="39"/>
    </row>
    <row r="25" spans="1:14" hidden="1" x14ac:dyDescent="0.3">
      <c r="A25" s="120"/>
      <c r="C25" s="157"/>
      <c r="D25" s="158"/>
      <c r="E25" s="159">
        <f>SUM(E5:E24)</f>
        <v>200.00000007999998</v>
      </c>
      <c r="F25" s="158"/>
      <c r="G25" s="158"/>
      <c r="H25" s="160"/>
      <c r="I25" s="162"/>
      <c r="J25" s="161"/>
      <c r="K25" s="163">
        <f>K24+I24</f>
        <v>2521214.0203435095</v>
      </c>
      <c r="L25" s="160"/>
      <c r="M25" s="160"/>
    </row>
    <row r="26" spans="1:14" ht="28.8" hidden="1" x14ac:dyDescent="0.3">
      <c r="A26" s="165" t="s">
        <v>80</v>
      </c>
      <c r="C26" s="215"/>
      <c r="D26" s="212"/>
      <c r="E26" s="212"/>
      <c r="F26" s="212"/>
      <c r="G26" s="212"/>
      <c r="H26" s="212"/>
      <c r="I26" s="212"/>
      <c r="J26" s="212"/>
      <c r="K26" s="212"/>
      <c r="L26" s="212"/>
      <c r="M26" s="212"/>
    </row>
    <row r="27" spans="1:14" x14ac:dyDescent="0.3">
      <c r="H27" s="164"/>
      <c r="I27" s="166"/>
      <c r="J27" s="166"/>
      <c r="K27" s="166"/>
      <c r="M27" s="145"/>
    </row>
    <row r="29" spans="1:14" x14ac:dyDescent="0.3">
      <c r="E29" s="2"/>
    </row>
    <row r="30" spans="1:14" x14ac:dyDescent="0.3">
      <c r="K30" s="167"/>
    </row>
    <row r="31" spans="1:14" x14ac:dyDescent="0.3">
      <c r="K31" s="166"/>
    </row>
    <row r="32" spans="1:14" x14ac:dyDescent="0.3">
      <c r="E32" s="168"/>
      <c r="F32" s="168"/>
      <c r="G32" s="168"/>
      <c r="H32" s="168"/>
      <c r="I32" s="168"/>
      <c r="J32" s="168"/>
      <c r="K32" s="169"/>
    </row>
  </sheetData>
  <mergeCells count="4">
    <mergeCell ref="A1:M1"/>
    <mergeCell ref="K3:L3"/>
    <mergeCell ref="C26:M26"/>
    <mergeCell ref="C3:D3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2026-03-08T14:26:25Z</cp:lastPrinted>
  <dcterms:created xsi:type="dcterms:W3CDTF">2023-09-17T12:29:07Z</dcterms:created>
  <dcterms:modified xsi:type="dcterms:W3CDTF">2026-03-31T20:05:39Z</dcterms:modified>
</cp:coreProperties>
</file>