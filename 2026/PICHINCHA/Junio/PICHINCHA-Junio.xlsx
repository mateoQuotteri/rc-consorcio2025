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PICHINCHA\Junio\"/>
    </mc:Choice>
  </mc:AlternateContent>
  <xr:revisionPtr revIDLastSave="0" documentId="13_ncr:1_{5763F875-B88C-473E-B823-7656D3CE354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" sheetId="4" r:id="rId3"/>
  </sheets>
  <definedNames>
    <definedName name="_xlnm.Print_Area" localSheetId="0">'detalle y gastos'!$A$1:$F$45</definedName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6" i="1" l="1"/>
  <c r="F5" i="1" l="1"/>
  <c r="F9" i="1"/>
  <c r="C27" i="3" l="1"/>
  <c r="L4" i="1" l="1"/>
  <c r="C21" i="3" l="1"/>
  <c r="C28" i="3" s="1"/>
  <c r="G8" i="1"/>
  <c r="H8" i="1" s="1"/>
  <c r="G7" i="1"/>
  <c r="G6" i="1"/>
  <c r="C38" i="3" l="1"/>
  <c r="F14" i="3" s="1"/>
  <c r="C39" i="3"/>
  <c r="J9" i="1"/>
  <c r="J6" i="1"/>
  <c r="J7" i="1"/>
  <c r="J8" i="1"/>
  <c r="J5" i="1"/>
  <c r="A2" i="1" l="1"/>
  <c r="G9" i="1" l="1"/>
  <c r="C37" i="3" l="1"/>
  <c r="C40" i="3" s="1"/>
  <c r="K8" i="1" l="1"/>
  <c r="L8" i="1" s="1"/>
  <c r="M8" i="1" s="1"/>
  <c r="K7" i="1"/>
  <c r="K6" i="1"/>
  <c r="K9" i="1"/>
  <c r="K5" i="1"/>
  <c r="G5" i="1"/>
  <c r="H5" i="1" s="1"/>
  <c r="L5" i="1" l="1"/>
  <c r="M5" i="1" s="1"/>
  <c r="H6" i="1"/>
  <c r="L6" i="1" s="1"/>
  <c r="M6" i="1" s="1"/>
  <c r="H7" i="1"/>
  <c r="L7" i="1" s="1"/>
  <c r="M7" i="1" l="1"/>
  <c r="K10" i="1"/>
  <c r="I10" i="1"/>
  <c r="H9" i="1" l="1"/>
  <c r="L9" i="1" s="1"/>
  <c r="F10" i="1"/>
  <c r="F13" i="3" s="1"/>
  <c r="D10" i="1"/>
  <c r="E10" i="1"/>
  <c r="M9" i="1" l="1"/>
  <c r="L10" i="1"/>
  <c r="F21" i="3"/>
  <c r="J10" i="1"/>
  <c r="G10" i="1"/>
  <c r="H10" i="1"/>
  <c r="M10" i="1" l="1"/>
</calcChain>
</file>

<file path=xl/sharedStrings.xml><?xml version="1.0" encoding="utf-8"?>
<sst xmlns="http://schemas.openxmlformats.org/spreadsheetml/2006/main" count="91" uniqueCount="82">
  <si>
    <t>UF</t>
  </si>
  <si>
    <t>Dpto.</t>
  </si>
  <si>
    <t>Propietario</t>
  </si>
  <si>
    <t>Pagos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</si>
  <si>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</si>
  <si>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</si>
  <si>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</si>
  <si>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</si>
  <si>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</si>
  <si>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</si>
  <si>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</si>
  <si>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</si>
  <si>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</si>
  <si>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</si>
  <si>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</si>
  <si>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</si>
  <si>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</si>
  <si>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</si>
  <si>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</si>
  <si>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</si>
  <si>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</si>
  <si>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</si>
  <si>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</si>
  <si>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</si>
  <si>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</si>
  <si>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</si>
  <si>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</si>
  <si>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</si>
  <si>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</si>
  <si>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</si>
  <si>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</si>
  <si>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</si>
  <si>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</si>
  <si>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</si>
  <si>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</si>
  <si>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</si>
  <si>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</si>
  <si>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</si>
  <si>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</si>
  <si>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</si>
  <si>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</si>
  <si>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</si>
  <si>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</si>
  <si>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</si>
  <si>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</si>
  <si>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FEDERACION PATRONAL SEGUROS S.A.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</si>
  <si>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</si>
  <si>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</si>
  <si>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</si>
  <si>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</si>
  <si>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</si>
  <si>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</si>
  <si>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</si>
  <si>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</si>
  <si>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</si>
  <si>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</si>
  <si>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>MP:1148</t>
  </si>
  <si>
    <t>Domicilio : Dr melo 2958 - 8vo piso  - con cita previa</t>
  </si>
  <si>
    <t>PICHINCHA  267 - LANUS OESTE</t>
  </si>
  <si>
    <t>GABRIEL</t>
  </si>
  <si>
    <t>MARY</t>
  </si>
  <si>
    <t>MARTIN</t>
  </si>
  <si>
    <t>CAMILA</t>
  </si>
  <si>
    <t>SERVICIO DE LIMPIEZA SRA. MONICA GOROSITO</t>
  </si>
  <si>
    <t>AYSA</t>
  </si>
  <si>
    <t>VTO</t>
  </si>
  <si>
    <t>SEGUNDO</t>
  </si>
  <si>
    <t>PRIMER VTO</t>
  </si>
  <si>
    <t>EDESUR</t>
  </si>
  <si>
    <t>SEGURO DE VIDA. SRA MONICA GOROSITO</t>
  </si>
  <si>
    <t>SUBIDOS EN EN3R0</t>
  </si>
  <si>
    <t>PREVISION ORDINARIA</t>
  </si>
  <si>
    <t xml:space="preserve">FLOW </t>
  </si>
  <si>
    <t>SEBASTIAN</t>
  </si>
  <si>
    <t>TSG</t>
  </si>
  <si>
    <t>METROGAS</t>
  </si>
  <si>
    <t>Vto. 17/07</t>
  </si>
  <si>
    <t>Liquidacion mes de JUNIO</t>
  </si>
  <si>
    <t>JUNIO</t>
  </si>
  <si>
    <t>Recuperacion de intereses por pago fuera de termino a administracion - Mes de MAYO - Debido a que la caja inicial pertenece a la administracion</t>
  </si>
  <si>
    <t>ARBA</t>
  </si>
  <si>
    <t>ARTICULOS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</si>
</sst>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u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6">
    <xf numFmtId="0" fontId="0" fillId="0" borderId="0" xfId="0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7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6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9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10" xfId="0" applyFont="1" applyFill="1" applyBorder="1"/>
    <xf numFmtId="0" fontId="0" fillId="2" borderId="10" xfId="0" applyFill="1" applyBorder="1"/>
    <xf numFmtId="0" fontId="0" fillId="2" borderId="11" xfId="0" applyFill="1" applyBorder="1"/>
    <xf numFmtId="0" fontId="5" fillId="0" borderId="2" xfId="0" applyFont="1" applyBorder="1"/>
    <xf numFmtId="0" fontId="0" fillId="0" borderId="12" xfId="0" applyBorder="1"/>
    <xf numFmtId="0" fontId="0" fillId="0" borderId="5" xfId="0" applyBorder="1" applyAlignment="1">
      <alignment horizontal="center"/>
    </xf>
    <xf numFmtId="0" fontId="0" fillId="0" borderId="8" xfId="0" applyBorder="1"/>
    <xf numFmtId="0" fontId="1" fillId="2" borderId="8" xfId="0" applyFont="1" applyFill="1" applyBorder="1"/>
    <xf numFmtId="0" fontId="0" fillId="2" borderId="0" xfId="0" applyFill="1"/>
    <xf numFmtId="17" fontId="0" fillId="0" borderId="0" xfId="0" applyNumberFormat="1"/>
    <xf numFmtId="9" fontId="0" fillId="0" borderId="8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3" fontId="0" fillId="0" borderId="13" xfId="0" applyNumberFormat="1" applyBorder="1"/>
    <xf numFmtId="3" fontId="0" fillId="0" borderId="14" xfId="0" applyNumberFormat="1" applyBorder="1"/>
    <xf numFmtId="0" fontId="0" fillId="0" borderId="16" xfId="0" applyBorder="1" applyAlignment="1">
      <alignment horizontal="center"/>
    </xf>
    <xf numFmtId="3" fontId="0" fillId="0" borderId="1" xfId="0" applyNumberFormat="1" applyBorder="1"/>
    <xf numFmtId="166" fontId="1" fillId="3" borderId="6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5" xfId="2" applyNumberFormat="1" applyFont="1" applyFill="1" applyBorder="1"/>
    <xf numFmtId="0" fontId="9" fillId="6" borderId="9" xfId="0" applyFont="1" applyFill="1" applyBorder="1"/>
    <xf numFmtId="0" fontId="9" fillId="6" borderId="10" xfId="0" applyFont="1" applyFill="1" applyBorder="1"/>
    <xf numFmtId="164" fontId="9" fillId="6" borderId="11" xfId="0" applyNumberFormat="1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8" xfId="0" applyFont="1" applyFill="1" applyBorder="1"/>
    <xf numFmtId="164" fontId="10" fillId="6" borderId="18" xfId="2" applyFont="1" applyFill="1" applyBorder="1"/>
    <xf numFmtId="4" fontId="0" fillId="0" borderId="17" xfId="0" applyNumberFormat="1" applyBorder="1"/>
    <xf numFmtId="164" fontId="9" fillId="0" borderId="0" xfId="2" applyFont="1" applyBorder="1"/>
    <xf numFmtId="0" fontId="1" fillId="0" borderId="19" xfId="0" applyFont="1" applyBorder="1"/>
    <xf numFmtId="164" fontId="10" fillId="0" borderId="20" xfId="2" applyFont="1" applyBorder="1"/>
    <xf numFmtId="0" fontId="0" fillId="0" borderId="16" xfId="0" applyBorder="1"/>
    <xf numFmtId="4" fontId="0" fillId="0" borderId="21" xfId="0" applyNumberFormat="1" applyBorder="1"/>
    <xf numFmtId="0" fontId="1" fillId="0" borderId="15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9" xfId="0" applyFont="1" applyFill="1" applyBorder="1"/>
    <xf numFmtId="0" fontId="9" fillId="2" borderId="10" xfId="0" applyFont="1" applyFill="1" applyBorder="1"/>
    <xf numFmtId="164" fontId="9" fillId="2" borderId="11" xfId="2" applyFont="1" applyFill="1" applyBorder="1"/>
    <xf numFmtId="0" fontId="0" fillId="0" borderId="6" xfId="0" applyBorder="1" applyAlignment="1">
      <alignment horizontal="center"/>
    </xf>
    <xf numFmtId="166" fontId="0" fillId="0" borderId="9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2" xfId="0" applyFont="1" applyFill="1" applyBorder="1"/>
    <xf numFmtId="166" fontId="0" fillId="0" borderId="9" xfId="2" applyNumberFormat="1" applyFont="1" applyBorder="1"/>
    <xf numFmtId="164" fontId="1" fillId="2" borderId="10" xfId="2" applyFont="1" applyFill="1" applyBorder="1"/>
    <xf numFmtId="17" fontId="1" fillId="2" borderId="24" xfId="0" applyNumberFormat="1" applyFont="1" applyFill="1" applyBorder="1" applyAlignment="1">
      <alignment horizontal="left"/>
    </xf>
    <xf numFmtId="17" fontId="1" fillId="2" borderId="25" xfId="0" applyNumberFormat="1" applyFont="1" applyFill="1" applyBorder="1" applyAlignment="1">
      <alignment horizontal="left"/>
    </xf>
    <xf numFmtId="0" fontId="0" fillId="2" borderId="25" xfId="0" applyFill="1" applyBorder="1"/>
    <xf numFmtId="0" fontId="1" fillId="2" borderId="25" xfId="0" applyFont="1" applyFill="1" applyBorder="1"/>
    <xf numFmtId="0" fontId="0" fillId="2" borderId="26" xfId="0" applyFill="1" applyBorder="1"/>
    <xf numFmtId="164" fontId="9" fillId="6" borderId="18" xfId="2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7" xfId="2" applyFont="1" applyFill="1" applyBorder="1"/>
    <xf numFmtId="0" fontId="0" fillId="4" borderId="10" xfId="0" applyFill="1" applyBorder="1"/>
    <xf numFmtId="0" fontId="0" fillId="4" borderId="11" xfId="0" applyFill="1" applyBorder="1"/>
    <xf numFmtId="0" fontId="10" fillId="6" borderId="4" xfId="0" applyFont="1" applyFill="1" applyBorder="1"/>
    <xf numFmtId="16" fontId="10" fillId="6" borderId="10" xfId="0" applyNumberFormat="1" applyFont="1" applyFill="1" applyBorder="1" applyAlignment="1">
      <alignment horizontal="left" vertical="center" wrapText="1"/>
    </xf>
    <xf numFmtId="164" fontId="10" fillId="6" borderId="11" xfId="2" applyFont="1" applyFill="1" applyBorder="1"/>
    <xf numFmtId="164" fontId="9" fillId="2" borderId="1" xfId="2" applyFont="1" applyFill="1" applyBorder="1"/>
    <xf numFmtId="0" fontId="0" fillId="0" borderId="28" xfId="0" applyBorder="1" applyAlignment="1">
      <alignment wrapText="1"/>
    </xf>
    <xf numFmtId="0" fontId="0" fillId="0" borderId="31" xfId="0" applyBorder="1" applyAlignment="1">
      <alignment wrapText="1"/>
    </xf>
    <xf numFmtId="0" fontId="0" fillId="0" borderId="33" xfId="0" applyBorder="1" applyAlignment="1">
      <alignment horizontal="center" wrapText="1"/>
    </xf>
    <xf numFmtId="0" fontId="0" fillId="0" borderId="34" xfId="0" applyBorder="1" applyAlignment="1">
      <alignment horizontal="center" wrapText="1"/>
    </xf>
    <xf numFmtId="0" fontId="12" fillId="0" borderId="34" xfId="0" applyFont="1" applyBorder="1" applyAlignment="1">
      <alignment horizontal="center" wrapText="1"/>
    </xf>
    <xf numFmtId="0" fontId="12" fillId="0" borderId="34" xfId="0" applyFont="1" applyBorder="1" applyAlignment="1">
      <alignment wrapText="1"/>
    </xf>
    <xf numFmtId="0" fontId="0" fillId="0" borderId="35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12" fillId="0" borderId="30" xfId="0" applyFont="1" applyBorder="1" applyAlignment="1">
      <alignment horizontal="center" wrapText="1"/>
    </xf>
    <xf numFmtId="0" fontId="12" fillId="0" borderId="30" xfId="0" applyFont="1" applyBorder="1" applyAlignment="1">
      <alignment wrapText="1"/>
    </xf>
    <xf numFmtId="0" fontId="0" fillId="0" borderId="32" xfId="0" applyBorder="1" applyAlignment="1">
      <alignment horizontal="center" wrapText="1"/>
    </xf>
    <xf numFmtId="0" fontId="1" fillId="8" borderId="36" xfId="0" applyFont="1" applyFill="1" applyBorder="1" applyAlignment="1">
      <alignment vertical="center"/>
    </xf>
    <xf numFmtId="0" fontId="0" fillId="8" borderId="31" xfId="0" applyFill="1" applyBorder="1" applyAlignment="1">
      <alignment wrapText="1"/>
    </xf>
    <xf numFmtId="0" fontId="1" fillId="8" borderId="32" xfId="0" applyFont="1" applyFill="1" applyBorder="1" applyAlignment="1">
      <alignment horizontal="center" wrapText="1"/>
    </xf>
    <xf numFmtId="0" fontId="1" fillId="8" borderId="30" xfId="0" applyFont="1" applyFill="1" applyBorder="1" applyAlignment="1">
      <alignment horizontal="center" wrapText="1"/>
    </xf>
    <xf numFmtId="0" fontId="13" fillId="0" borderId="34" xfId="0" applyFont="1" applyBorder="1" applyAlignment="1">
      <alignment wrapText="1"/>
    </xf>
    <xf numFmtId="17" fontId="1" fillId="2" borderId="9" xfId="0" applyNumberFormat="1" applyFont="1" applyFill="1" applyBorder="1"/>
    <xf numFmtId="17" fontId="1" fillId="2" borderId="10" xfId="0" applyNumberFormat="1" applyFont="1" applyFill="1" applyBorder="1"/>
    <xf numFmtId="0" fontId="0" fillId="6" borderId="0" xfId="0" applyFill="1"/>
    <xf numFmtId="164" fontId="9" fillId="2" borderId="5" xfId="2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4" fontId="10" fillId="6" borderId="7" xfId="0" applyNumberFormat="1" applyFont="1" applyFill="1" applyBorder="1"/>
    <xf numFmtId="0" fontId="10" fillId="0" borderId="1" xfId="0" applyFont="1" applyBorder="1" applyAlignment="1">
      <alignment horizontal="center"/>
    </xf>
    <xf numFmtId="164" fontId="1" fillId="2" borderId="12" xfId="2" applyFont="1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" fontId="0" fillId="0" borderId="9" xfId="0" applyNumberFormat="1" applyBorder="1"/>
    <xf numFmtId="166" fontId="1" fillId="3" borderId="11" xfId="2" applyNumberFormat="1" applyFont="1" applyFill="1" applyBorder="1"/>
    <xf numFmtId="4" fontId="10" fillId="6" borderId="1" xfId="0" applyNumberFormat="1" applyFont="1" applyFill="1" applyBorder="1"/>
    <xf numFmtId="167" fontId="0" fillId="2" borderId="10" xfId="0" applyNumberFormat="1" applyFill="1" applyBorder="1"/>
    <xf numFmtId="164" fontId="9" fillId="0" borderId="22" xfId="2" applyFont="1" applyBorder="1"/>
    <xf numFmtId="0" fontId="10" fillId="0" borderId="5" xfId="0" applyFont="1" applyBorder="1" applyAlignment="1">
      <alignment horizontal="center"/>
    </xf>
    <xf numFmtId="0" fontId="10" fillId="0" borderId="8" xfId="0" applyFont="1" applyBorder="1"/>
    <xf numFmtId="0" fontId="10" fillId="0" borderId="0" xfId="0" applyFont="1"/>
    <xf numFmtId="0" fontId="9" fillId="2" borderId="8" xfId="0" applyFont="1" applyFill="1" applyBorder="1"/>
    <xf numFmtId="0" fontId="10" fillId="2" borderId="0" xfId="0" applyFont="1" applyFill="1"/>
    <xf numFmtId="0" fontId="14" fillId="0" borderId="8" xfId="0" applyFont="1" applyBorder="1"/>
    <xf numFmtId="17" fontId="10" fillId="0" borderId="0" xfId="0" applyNumberFormat="1" applyFont="1"/>
    <xf numFmtId="164" fontId="10" fillId="0" borderId="21" xfId="2" applyFont="1" applyBorder="1"/>
    <xf numFmtId="4" fontId="10" fillId="6" borderId="6" xfId="0" applyNumberFormat="1" applyFont="1" applyFill="1" applyBorder="1"/>
    <xf numFmtId="0" fontId="8" fillId="4" borderId="2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52" xfId="0" applyBorder="1" applyAlignment="1">
      <alignment horizontal="left" vertical="center" wrapText="1"/>
    </xf>
    <xf numFmtId="164" fontId="0" fillId="0" borderId="21" xfId="2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1" fillId="0" borderId="47" xfId="0" applyFont="1" applyBorder="1" applyAlignment="1">
      <alignment horizontal="center" vertical="center" wrapText="1"/>
    </xf>
    <xf numFmtId="0" fontId="1" fillId="0" borderId="48" xfId="0" applyFont="1" applyBorder="1" applyAlignment="1">
      <alignment horizontal="center"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0" fillId="0" borderId="51" xfId="0" applyBorder="1" applyAlignment="1">
      <alignment vertic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1" fillId="0" borderId="39" xfId="0" applyFont="1" applyBorder="1" applyAlignment="1">
      <alignment horizontal="center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3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left" wrapText="1"/>
    </xf>
    <xf numFmtId="0" fontId="1" fillId="7" borderId="43" xfId="0" applyFont="1" applyFill="1" applyBorder="1" applyAlignment="1">
      <alignment horizontal="left" wrapText="1"/>
    </xf>
    <xf numFmtId="0" fontId="1" fillId="0" borderId="44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1" fillId="0" borderId="46" xfId="0" applyFont="1" applyBorder="1" applyAlignment="1">
      <alignment horizontal="center" vertical="center" wrapText="1"/>
    </xf>
    <xf numFmtId="4" fontId="15" fillId="6" borderId="1" xfId="0" applyNumberFormat="1" applyFont="1" applyFill="1" applyBorder="1"/>
    <xf numFmtId="4" fontId="15" fillId="0" borderId="1" xfId="0" applyNumberFormat="1" applyFont="1" applyBorder="1"/>
    <xf numFmtId="4" fontId="15" fillId="6" borderId="6" xfId="0" applyNumberFormat="1" applyFont="1" applyFill="1" applyBorder="1"/>
    <xf numFmtId="4" fontId="15" fillId="6" borderId="7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8"/>
  <sheetViews>
    <sheetView tabSelected="1" topLeftCell="A4" workbookViewId="0">
      <selection activeCell="A25" sqref="A25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3.5546875" customWidth="1"/>
    <col min="4" max="4" width="7.5546875" customWidth="1"/>
    <col min="5" max="5" width="58.109375" bestFit="1" customWidth="1"/>
    <col min="6" max="6" width="15" customWidth="1"/>
  </cols>
  <sheetData>
    <row r="1" spans="1:8" x14ac:dyDescent="0.3">
      <c r="B1" t="s">
        <v>57</v>
      </c>
    </row>
    <row r="2" spans="1:8" x14ac:dyDescent="0.3">
      <c r="B2" t="s">
        <v>18</v>
      </c>
      <c r="C2" s="108" t="s">
        <v>56</v>
      </c>
    </row>
    <row r="3" spans="1:8" x14ac:dyDescent="0.3">
      <c r="B3" t="s">
        <v>9</v>
      </c>
    </row>
    <row r="4" spans="1:8" x14ac:dyDescent="0.3">
      <c r="B4" s="4" t="s">
        <v>6</v>
      </c>
    </row>
    <row r="5" spans="1:8" ht="8.25" customHeight="1" x14ac:dyDescent="0.3">
      <c r="A5" s="3"/>
      <c r="B5" s="23"/>
      <c r="C5" s="3"/>
    </row>
    <row r="6" spans="1:8" x14ac:dyDescent="0.3">
      <c r="D6" s="29"/>
      <c r="E6" s="29"/>
      <c r="F6" s="29"/>
    </row>
    <row r="7" spans="1:8" x14ac:dyDescent="0.3">
      <c r="A7" s="24" t="s">
        <v>58</v>
      </c>
      <c r="B7" s="24"/>
      <c r="C7" s="67"/>
      <c r="D7" s="67"/>
      <c r="E7" s="24" t="s">
        <v>77</v>
      </c>
      <c r="F7" s="109" t="s">
        <v>76</v>
      </c>
    </row>
    <row r="8" spans="1:8" x14ac:dyDescent="0.3">
      <c r="A8" s="3"/>
      <c r="B8" s="3"/>
      <c r="C8" s="3"/>
      <c r="D8" s="3"/>
      <c r="E8" s="3"/>
      <c r="F8" s="3"/>
    </row>
    <row r="10" spans="1:8" x14ac:dyDescent="0.3">
      <c r="A10" s="22" t="s">
        <v>11</v>
      </c>
    </row>
    <row r="11" spans="1:8" ht="15" thickBot="1" x14ac:dyDescent="0.35">
      <c r="A11" s="28" t="s">
        <v>10</v>
      </c>
      <c r="B11" s="29"/>
      <c r="C11" s="120"/>
      <c r="D11" s="5"/>
      <c r="E11" s="129" t="s">
        <v>22</v>
      </c>
      <c r="F11" s="129"/>
    </row>
    <row r="12" spans="1:8" x14ac:dyDescent="0.3">
      <c r="A12" s="51"/>
      <c r="B12" s="50"/>
      <c r="C12" s="128"/>
      <c r="D12" s="5"/>
      <c r="E12" s="55" t="s">
        <v>42</v>
      </c>
      <c r="F12" s="56">
        <v>-251627.60024926736</v>
      </c>
    </row>
    <row r="13" spans="1:8" x14ac:dyDescent="0.3">
      <c r="A13" s="51" t="s">
        <v>64</v>
      </c>
      <c r="B13" s="50"/>
      <c r="C13" s="154">
        <v>60602.69</v>
      </c>
      <c r="D13" s="5"/>
      <c r="E13" s="57" t="s">
        <v>7</v>
      </c>
      <c r="F13" s="127">
        <f>'prorrateo '!F10</f>
        <v>417915.47400000005</v>
      </c>
    </row>
    <row r="14" spans="1:8" x14ac:dyDescent="0.3">
      <c r="A14" s="121" t="s">
        <v>74</v>
      </c>
      <c r="B14" s="50"/>
      <c r="C14" s="152">
        <v>22252</v>
      </c>
      <c r="D14" s="5"/>
      <c r="E14" s="57" t="s">
        <v>20</v>
      </c>
      <c r="F14" s="127">
        <f>-(C38)</f>
        <v>-703945.02</v>
      </c>
    </row>
    <row r="15" spans="1:8" ht="15" customHeight="1" x14ac:dyDescent="0.3">
      <c r="A15" s="121" t="s">
        <v>45</v>
      </c>
      <c r="B15" s="122"/>
      <c r="C15" s="154">
        <v>119977</v>
      </c>
      <c r="D15" s="42"/>
      <c r="E15" s="131" t="s">
        <v>79</v>
      </c>
      <c r="F15" s="132">
        <v>0</v>
      </c>
    </row>
    <row r="16" spans="1:8" ht="15.75" customHeight="1" x14ac:dyDescent="0.3">
      <c r="A16" s="121" t="s">
        <v>19</v>
      </c>
      <c r="B16" s="50" t="s">
        <v>78</v>
      </c>
      <c r="C16" s="79">
        <v>42700</v>
      </c>
      <c r="D16" s="5"/>
      <c r="E16" s="131"/>
      <c r="F16" s="132"/>
      <c r="H16" t="s">
        <v>70</v>
      </c>
    </row>
    <row r="17" spans="1:8" ht="15.75" customHeight="1" x14ac:dyDescent="0.3">
      <c r="A17" s="121" t="s">
        <v>72</v>
      </c>
      <c r="B17" s="50"/>
      <c r="C17" s="153">
        <v>93972.61</v>
      </c>
      <c r="D17" s="5"/>
      <c r="E17" s="131"/>
      <c r="F17" s="132"/>
    </row>
    <row r="18" spans="1:8" x14ac:dyDescent="0.3">
      <c r="A18" s="121" t="s">
        <v>68</v>
      </c>
      <c r="B18" s="122"/>
      <c r="C18" s="152">
        <v>57815.62</v>
      </c>
      <c r="E18" s="57"/>
      <c r="F18" s="58"/>
    </row>
    <row r="19" spans="1:8" x14ac:dyDescent="0.3">
      <c r="A19" s="121" t="s">
        <v>75</v>
      </c>
      <c r="B19" s="122"/>
      <c r="C19" s="152">
        <v>122100.6</v>
      </c>
      <c r="D19" s="5"/>
      <c r="E19" s="57"/>
      <c r="F19" s="58"/>
    </row>
    <row r="20" spans="1:8" x14ac:dyDescent="0.3">
      <c r="A20" s="121" t="s">
        <v>80</v>
      </c>
      <c r="B20" s="122"/>
      <c r="C20" s="152">
        <v>37567.300000000003</v>
      </c>
      <c r="E20" s="57"/>
      <c r="F20" s="58"/>
      <c r="H20" s="106"/>
    </row>
    <row r="21" spans="1:8" ht="15" thickBot="1" x14ac:dyDescent="0.35">
      <c r="A21" s="123"/>
      <c r="B21" s="124"/>
      <c r="C21" s="86">
        <f>SUM(C12:C20)</f>
        <v>556987.82000000007</v>
      </c>
      <c r="E21" s="59" t="s">
        <v>43</v>
      </c>
      <c r="F21" s="119">
        <f>SUM(F12:F20)</f>
        <v>-537657.14624926727</v>
      </c>
    </row>
    <row r="22" spans="1:8" x14ac:dyDescent="0.3">
      <c r="A22" s="125" t="s">
        <v>21</v>
      </c>
      <c r="B22" s="122"/>
      <c r="C22" s="111"/>
      <c r="D22" s="5"/>
      <c r="E22" s="19"/>
      <c r="F22" s="20"/>
    </row>
    <row r="23" spans="1:8" x14ac:dyDescent="0.3">
      <c r="A23" s="121" t="s">
        <v>63</v>
      </c>
      <c r="B23" s="126"/>
      <c r="C23" s="117">
        <v>91370</v>
      </c>
      <c r="D23" s="5"/>
      <c r="E23" s="19"/>
      <c r="F23" s="20"/>
    </row>
    <row r="24" spans="1:8" x14ac:dyDescent="0.3">
      <c r="A24" s="121" t="s">
        <v>69</v>
      </c>
      <c r="B24" s="126"/>
      <c r="C24" s="152">
        <v>5837.2</v>
      </c>
      <c r="D24" s="5"/>
      <c r="E24" s="19"/>
      <c r="F24" s="20"/>
    </row>
    <row r="25" spans="1:8" x14ac:dyDescent="0.3">
      <c r="A25" s="121" t="s">
        <v>81</v>
      </c>
      <c r="B25" s="126"/>
      <c r="C25" s="155">
        <v>49750</v>
      </c>
      <c r="D25" s="5"/>
      <c r="E25" s="19"/>
      <c r="F25" s="20"/>
    </row>
    <row r="26" spans="1:8" x14ac:dyDescent="0.3">
      <c r="A26" s="31" t="s">
        <v>71</v>
      </c>
      <c r="B26" s="34"/>
      <c r="C26" s="110"/>
      <c r="D26" s="5"/>
      <c r="E26" s="19"/>
      <c r="F26" s="20"/>
    </row>
    <row r="27" spans="1:8" x14ac:dyDescent="0.3">
      <c r="A27" s="32"/>
      <c r="B27" s="33"/>
      <c r="C27" s="107">
        <f>SUM(C22:C26)</f>
        <v>146957.20000000001</v>
      </c>
      <c r="D27" s="5"/>
      <c r="E27" s="5"/>
      <c r="F27" s="54"/>
      <c r="G27" s="6"/>
    </row>
    <row r="28" spans="1:8" x14ac:dyDescent="0.3">
      <c r="A28" s="46" t="s">
        <v>12</v>
      </c>
      <c r="B28" s="47"/>
      <c r="C28" s="48">
        <f>+C27+C21</f>
        <v>703945.02</v>
      </c>
      <c r="D28" s="5"/>
      <c r="E28" s="19"/>
      <c r="F28" s="20"/>
    </row>
    <row r="29" spans="1:8" ht="14.25" customHeight="1" x14ac:dyDescent="0.3">
      <c r="A29" s="68" t="s">
        <v>24</v>
      </c>
      <c r="B29" s="81"/>
      <c r="C29" s="82"/>
      <c r="E29" s="19"/>
      <c r="F29" s="20"/>
    </row>
    <row r="30" spans="1:8" hidden="1" x14ac:dyDescent="0.3">
      <c r="A30" s="22" t="s">
        <v>24</v>
      </c>
    </row>
    <row r="31" spans="1:8" hidden="1" x14ac:dyDescent="0.3">
      <c r="A31" s="43"/>
      <c r="B31" s="29"/>
      <c r="C31" s="53"/>
      <c r="F31" s="6"/>
    </row>
    <row r="32" spans="1:8" hidden="1" x14ac:dyDescent="0.3">
      <c r="A32" s="51"/>
      <c r="B32" s="50"/>
      <c r="C32" s="52">
        <v>0</v>
      </c>
      <c r="F32" s="6"/>
    </row>
    <row r="33" spans="1:6" hidden="1" x14ac:dyDescent="0.3">
      <c r="A33" s="60"/>
      <c r="B33" s="61"/>
      <c r="C33" s="52">
        <v>0</v>
      </c>
      <c r="F33" s="6"/>
    </row>
    <row r="34" spans="1:6" x14ac:dyDescent="0.3">
      <c r="A34" s="77"/>
      <c r="B34" s="78"/>
      <c r="C34" s="80"/>
      <c r="F34" s="6"/>
    </row>
    <row r="35" spans="1:6" x14ac:dyDescent="0.3">
      <c r="A35" s="77"/>
      <c r="B35" s="84"/>
      <c r="C35" s="85"/>
      <c r="F35" s="6"/>
    </row>
    <row r="36" spans="1:6" x14ac:dyDescent="0.3">
      <c r="A36" s="77"/>
      <c r="B36" s="83"/>
      <c r="C36" s="80">
        <v>0</v>
      </c>
      <c r="F36" s="6"/>
    </row>
    <row r="37" spans="1:6" x14ac:dyDescent="0.3">
      <c r="A37" s="62" t="s">
        <v>23</v>
      </c>
      <c r="B37" s="63"/>
      <c r="C37" s="64">
        <f>SUM(C32:C36)</f>
        <v>0</v>
      </c>
    </row>
    <row r="38" spans="1:6" x14ac:dyDescent="0.3">
      <c r="A38" t="s">
        <v>54</v>
      </c>
      <c r="C38" s="52">
        <f>C28-C26</f>
        <v>703945.02</v>
      </c>
      <c r="F38" s="6"/>
    </row>
    <row r="39" spans="1:6" x14ac:dyDescent="0.3">
      <c r="A39" s="5" t="s">
        <v>49</v>
      </c>
      <c r="C39" s="76">
        <f>+C28</f>
        <v>703945.02</v>
      </c>
      <c r="F39" s="6"/>
    </row>
    <row r="40" spans="1:6" x14ac:dyDescent="0.3">
      <c r="A40" s="62" t="s">
        <v>13</v>
      </c>
      <c r="B40" s="63"/>
      <c r="C40" s="64">
        <f>+C28+C37</f>
        <v>703945.02</v>
      </c>
      <c r="E40" s="16"/>
    </row>
    <row r="45" spans="1:6" x14ac:dyDescent="0.3">
      <c r="D45" s="6"/>
    </row>
    <row r="46" spans="1:6" x14ac:dyDescent="0.3">
      <c r="D46" s="16"/>
      <c r="E46" s="16"/>
    </row>
    <row r="47" spans="1:6" x14ac:dyDescent="0.3">
      <c r="B47" s="130"/>
      <c r="C47" s="130"/>
      <c r="D47" s="130"/>
      <c r="E47" s="130"/>
    </row>
    <row r="48" spans="1:6" x14ac:dyDescent="0.3">
      <c r="B48" s="130"/>
      <c r="C48" s="130"/>
      <c r="D48" s="130"/>
      <c r="E48" s="130"/>
    </row>
    <row r="49" spans="1:5" x14ac:dyDescent="0.3">
      <c r="B49" s="130"/>
      <c r="C49" s="130"/>
      <c r="D49" s="130"/>
      <c r="E49" s="130"/>
    </row>
    <row r="61" spans="1:5" x14ac:dyDescent="0.3">
      <c r="A61" s="19"/>
      <c r="B61" s="18"/>
      <c r="C61" s="20"/>
    </row>
    <row r="62" spans="1:5" x14ac:dyDescent="0.3">
      <c r="A62" s="18"/>
      <c r="B62" s="18"/>
      <c r="C62" s="18"/>
    </row>
    <row r="63" spans="1:5" x14ac:dyDescent="0.3">
      <c r="A63" s="18"/>
      <c r="B63" s="18"/>
      <c r="C63" s="18"/>
    </row>
    <row r="64" spans="1:5" x14ac:dyDescent="0.3">
      <c r="A64" s="18"/>
      <c r="B64" s="18"/>
      <c r="C64" s="18"/>
    </row>
    <row r="65" spans="1:3" x14ac:dyDescent="0.3">
      <c r="A65" s="18"/>
      <c r="B65" s="18"/>
      <c r="C65" s="18"/>
    </row>
    <row r="66" spans="1:3" x14ac:dyDescent="0.3">
      <c r="A66" s="18"/>
      <c r="B66" s="18"/>
      <c r="C66" s="18"/>
    </row>
    <row r="67" spans="1:3" x14ac:dyDescent="0.3">
      <c r="A67" s="18"/>
      <c r="B67" s="18"/>
      <c r="C67" s="18"/>
    </row>
    <row r="68" spans="1:3" x14ac:dyDescent="0.3">
      <c r="A68" s="18"/>
      <c r="B68" s="18"/>
      <c r="C68" s="18"/>
    </row>
  </sheetData>
  <mergeCells count="4">
    <mergeCell ref="E11:F11"/>
    <mergeCell ref="B47:E49"/>
    <mergeCell ref="E15:E17"/>
    <mergeCell ref="F15:F17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2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16"/>
  <sheetViews>
    <sheetView workbookViewId="0">
      <selection activeCell="K1" sqref="K1"/>
    </sheetView>
  </sheetViews>
  <sheetFormatPr baseColWidth="10" defaultColWidth="10.88671875" defaultRowHeight="14.4" x14ac:dyDescent="0.3"/>
  <cols>
    <col min="1" max="1" width="5.33203125" style="1" customWidth="1"/>
    <col min="2" max="2" width="8.44140625" style="1" customWidth="1"/>
    <col min="3" max="3" width="18.5546875" customWidth="1"/>
    <col min="4" max="4" width="0.109375" hidden="1" customWidth="1"/>
    <col min="5" max="5" width="13.6640625" customWidth="1"/>
    <col min="6" max="6" width="12.44140625" bestFit="1" customWidth="1"/>
    <col min="7" max="7" width="12.44140625" customWidth="1"/>
    <col min="8" max="8" width="9.33203125" customWidth="1"/>
    <col min="9" max="9" width="13.109375" hidden="1" customWidth="1"/>
    <col min="10" max="10" width="17.88671875" customWidth="1"/>
    <col min="11" max="11" width="14.33203125" bestFit="1" customWidth="1"/>
    <col min="12" max="12" width="14.33203125" customWidth="1"/>
    <col min="13" max="13" width="12.44140625" bestFit="1" customWidth="1"/>
    <col min="15" max="15" width="11.44140625" style="21"/>
  </cols>
  <sheetData>
    <row r="1" spans="1:13" x14ac:dyDescent="0.3">
      <c r="A1" s="104" t="s">
        <v>55</v>
      </c>
      <c r="B1" s="105"/>
      <c r="C1" s="105"/>
      <c r="D1" s="26"/>
      <c r="E1" s="25"/>
      <c r="F1" s="118"/>
      <c r="G1" s="25" t="s">
        <v>47</v>
      </c>
      <c r="H1" s="26"/>
      <c r="I1" s="26"/>
      <c r="J1" s="26"/>
      <c r="K1" s="70">
        <v>520227.48</v>
      </c>
      <c r="L1" s="70"/>
      <c r="M1" s="27"/>
    </row>
    <row r="2" spans="1:13" ht="15" thickBot="1" x14ac:dyDescent="0.35">
      <c r="A2" s="71" t="str">
        <f>'detalle y gastos'!E7</f>
        <v>Liquidacion mes de JUNIO</v>
      </c>
      <c r="B2" s="72"/>
      <c r="C2" s="72"/>
      <c r="D2" s="73"/>
      <c r="E2" s="74"/>
      <c r="F2" s="73"/>
      <c r="G2" s="74" t="s">
        <v>48</v>
      </c>
      <c r="H2" s="73"/>
      <c r="I2" s="73"/>
      <c r="J2" s="73"/>
      <c r="K2" s="112"/>
      <c r="L2" s="112"/>
      <c r="M2" s="75"/>
    </row>
    <row r="3" spans="1:13" x14ac:dyDescent="0.3">
      <c r="A3" s="2" t="s">
        <v>0</v>
      </c>
      <c r="B3" s="7" t="s">
        <v>1</v>
      </c>
      <c r="C3" s="7" t="s">
        <v>2</v>
      </c>
      <c r="D3" s="2" t="s">
        <v>4</v>
      </c>
      <c r="E3" s="7" t="s">
        <v>16</v>
      </c>
      <c r="F3" s="7" t="s">
        <v>3</v>
      </c>
      <c r="G3" s="2" t="s">
        <v>44</v>
      </c>
      <c r="H3" s="2" t="s">
        <v>25</v>
      </c>
      <c r="I3" s="7" t="s">
        <v>40</v>
      </c>
      <c r="J3" s="39" t="s">
        <v>14</v>
      </c>
      <c r="K3" s="113" t="s">
        <v>38</v>
      </c>
      <c r="L3" s="30" t="s">
        <v>67</v>
      </c>
      <c r="M3" s="7" t="s">
        <v>66</v>
      </c>
    </row>
    <row r="4" spans="1:13" x14ac:dyDescent="0.3">
      <c r="A4" s="2"/>
      <c r="B4" s="7"/>
      <c r="C4" s="7"/>
      <c r="D4" s="2" t="s">
        <v>5</v>
      </c>
      <c r="E4" s="7" t="s">
        <v>17</v>
      </c>
      <c r="F4" s="7" t="s">
        <v>46</v>
      </c>
      <c r="G4" s="2"/>
      <c r="H4" s="35">
        <v>0.04</v>
      </c>
      <c r="I4" s="7" t="s">
        <v>41</v>
      </c>
      <c r="J4" s="36" t="s">
        <v>15</v>
      </c>
      <c r="K4" s="114" t="s">
        <v>39</v>
      </c>
      <c r="L4" s="65" t="str">
        <f>'detalle y gastos'!F7</f>
        <v>Vto. 17/07</v>
      </c>
      <c r="M4" s="65" t="s">
        <v>65</v>
      </c>
    </row>
    <row r="5" spans="1:13" x14ac:dyDescent="0.3">
      <c r="A5" s="12">
        <v>1</v>
      </c>
      <c r="B5" s="13">
        <v>1</v>
      </c>
      <c r="C5" s="14" t="s">
        <v>59</v>
      </c>
      <c r="D5" s="17"/>
      <c r="E5" s="40">
        <v>143100</v>
      </c>
      <c r="F5" s="79">
        <f>E5</f>
        <v>143100</v>
      </c>
      <c r="G5" s="66">
        <f>E5-F5</f>
        <v>0</v>
      </c>
      <c r="H5" s="69">
        <f>IF(G5&gt;0,G5*4%,0)</f>
        <v>0</v>
      </c>
      <c r="I5" s="15">
        <v>0</v>
      </c>
      <c r="J5" s="37">
        <f>K$1/5</f>
        <v>104045.496</v>
      </c>
      <c r="K5" s="115">
        <f>K2*D5</f>
        <v>0</v>
      </c>
      <c r="L5" s="15">
        <f>J5+K5+H5+G5</f>
        <v>104045.496</v>
      </c>
      <c r="M5" s="38">
        <f>L5*4%+L5</f>
        <v>108207.31584</v>
      </c>
    </row>
    <row r="6" spans="1:13" x14ac:dyDescent="0.3">
      <c r="A6" s="12">
        <v>2</v>
      </c>
      <c r="B6" s="13">
        <v>2</v>
      </c>
      <c r="C6" s="14" t="s">
        <v>62</v>
      </c>
      <c r="D6" s="17"/>
      <c r="E6" s="40">
        <v>137288.984</v>
      </c>
      <c r="F6" s="79">
        <f>E6</f>
        <v>137288.984</v>
      </c>
      <c r="G6" s="66">
        <f>E6-F6</f>
        <v>0</v>
      </c>
      <c r="H6" s="69">
        <f t="shared" ref="H6:H9" si="0">IF(G6&gt;0,G6*4%,0)</f>
        <v>0</v>
      </c>
      <c r="I6" s="15">
        <v>0</v>
      </c>
      <c r="J6" s="37">
        <f t="shared" ref="J6:J9" si="1">K$1/5</f>
        <v>104045.496</v>
      </c>
      <c r="K6" s="115">
        <f>K2*D6</f>
        <v>0</v>
      </c>
      <c r="L6" s="15">
        <f>J6+K6+H6+G6</f>
        <v>104045.496</v>
      </c>
      <c r="M6" s="38">
        <f t="shared" ref="M6:M9" si="2">L6*4%+L6</f>
        <v>108207.31584</v>
      </c>
    </row>
    <row r="7" spans="1:13" x14ac:dyDescent="0.3">
      <c r="A7" s="12">
        <v>3</v>
      </c>
      <c r="B7" s="13">
        <v>3</v>
      </c>
      <c r="C7" s="14" t="s">
        <v>60</v>
      </c>
      <c r="D7" s="17"/>
      <c r="E7" s="40">
        <v>137526.49000000002</v>
      </c>
      <c r="F7" s="79">
        <v>0</v>
      </c>
      <c r="G7" s="66">
        <f t="shared" ref="G7:G8" si="3">E7-F7</f>
        <v>137526.49000000002</v>
      </c>
      <c r="H7" s="69">
        <f t="shared" si="0"/>
        <v>5501.0596000000005</v>
      </c>
      <c r="I7" s="15">
        <v>0</v>
      </c>
      <c r="J7" s="37">
        <f t="shared" si="1"/>
        <v>104045.496</v>
      </c>
      <c r="K7" s="115">
        <f>K2*D7</f>
        <v>0</v>
      </c>
      <c r="L7" s="15">
        <f>J7+K7+H7+G7</f>
        <v>247073.04560000001</v>
      </c>
      <c r="M7" s="38">
        <f t="shared" si="2"/>
        <v>256955.967424</v>
      </c>
    </row>
    <row r="8" spans="1:13" x14ac:dyDescent="0.3">
      <c r="A8" s="12">
        <v>4</v>
      </c>
      <c r="B8" s="13">
        <v>4</v>
      </c>
      <c r="C8" s="14" t="s">
        <v>73</v>
      </c>
      <c r="D8" s="17"/>
      <c r="E8" s="40">
        <v>137526.49000000002</v>
      </c>
      <c r="F8" s="79">
        <v>0</v>
      </c>
      <c r="G8" s="66">
        <f t="shared" si="3"/>
        <v>137526.49000000002</v>
      </c>
      <c r="H8" s="69">
        <f t="shared" si="0"/>
        <v>5501.0596000000005</v>
      </c>
      <c r="I8" s="15">
        <v>0</v>
      </c>
      <c r="J8" s="37">
        <f t="shared" si="1"/>
        <v>104045.496</v>
      </c>
      <c r="K8" s="115">
        <f>K2*D8</f>
        <v>0</v>
      </c>
      <c r="L8" s="15">
        <f>J8+K8+H8+G8</f>
        <v>247073.04560000001</v>
      </c>
      <c r="M8" s="38">
        <f t="shared" si="2"/>
        <v>256955.967424</v>
      </c>
    </row>
    <row r="9" spans="1:13" x14ac:dyDescent="0.3">
      <c r="A9" s="12">
        <v>5</v>
      </c>
      <c r="B9" s="13">
        <v>5</v>
      </c>
      <c r="C9" s="14" t="s">
        <v>61</v>
      </c>
      <c r="D9" s="17"/>
      <c r="E9" s="40">
        <v>137526.49000000002</v>
      </c>
      <c r="F9" s="79">
        <f>E9</f>
        <v>137526.49000000002</v>
      </c>
      <c r="G9" s="66">
        <f>E9-F9</f>
        <v>0</v>
      </c>
      <c r="H9" s="69">
        <f t="shared" si="0"/>
        <v>0</v>
      </c>
      <c r="I9" s="15">
        <v>0</v>
      </c>
      <c r="J9" s="37">
        <f t="shared" si="1"/>
        <v>104045.496</v>
      </c>
      <c r="K9" s="115">
        <f>K2*D9</f>
        <v>0</v>
      </c>
      <c r="L9" s="15">
        <f>J9+K9+H9+G9</f>
        <v>104045.496</v>
      </c>
      <c r="M9" s="38">
        <f t="shared" si="2"/>
        <v>108207.31584</v>
      </c>
    </row>
    <row r="10" spans="1:13" ht="15" customHeight="1" thickBot="1" x14ac:dyDescent="0.35">
      <c r="A10" s="8" t="s">
        <v>8</v>
      </c>
      <c r="B10" s="9"/>
      <c r="C10" s="10"/>
      <c r="D10" s="44">
        <f t="shared" ref="D10:M10" si="4">SUM(D5:D9)</f>
        <v>0</v>
      </c>
      <c r="E10" s="41">
        <f t="shared" si="4"/>
        <v>692968.45400000003</v>
      </c>
      <c r="F10" s="41">
        <f>SUM(F5:F9)</f>
        <v>417915.47400000005</v>
      </c>
      <c r="G10" s="49">
        <f t="shared" si="4"/>
        <v>275052.98000000004</v>
      </c>
      <c r="H10" s="49">
        <f t="shared" si="4"/>
        <v>11002.119200000001</v>
      </c>
      <c r="I10" s="11">
        <f t="shared" si="4"/>
        <v>0</v>
      </c>
      <c r="J10" s="45">
        <f t="shared" si="4"/>
        <v>520227.48</v>
      </c>
      <c r="K10" s="45">
        <f t="shared" si="4"/>
        <v>0</v>
      </c>
      <c r="L10" s="116">
        <f t="shared" si="4"/>
        <v>806282.57920000004</v>
      </c>
      <c r="M10" s="116">
        <f t="shared" si="4"/>
        <v>838533.88236799999</v>
      </c>
    </row>
    <row r="11" spans="1:13" ht="51.75" hidden="1" customHeight="1" thickBot="1" x14ac:dyDescent="0.35">
      <c r="A11" s="133"/>
      <c r="B11" s="133"/>
      <c r="C11" s="133"/>
      <c r="D11" s="133"/>
      <c r="E11" s="133"/>
      <c r="F11" s="133"/>
      <c r="G11" s="133"/>
      <c r="H11" s="133"/>
      <c r="I11" s="133"/>
      <c r="J11" s="133"/>
      <c r="K11" s="133"/>
      <c r="L11" s="133"/>
      <c r="M11" s="133"/>
    </row>
    <row r="12" spans="1:13" ht="14.25" customHeight="1" x14ac:dyDescent="0.3">
      <c r="M12" s="6"/>
    </row>
    <row r="13" spans="1:13" hidden="1" x14ac:dyDescent="0.3">
      <c r="C13" s="134"/>
      <c r="D13" s="134"/>
      <c r="E13" s="134"/>
      <c r="F13" s="134"/>
      <c r="G13" s="134"/>
      <c r="H13" s="134"/>
      <c r="I13" s="134"/>
      <c r="J13" s="134"/>
      <c r="K13" s="134"/>
      <c r="L13" s="134"/>
    </row>
    <row r="14" spans="1:13" hidden="1" x14ac:dyDescent="0.3">
      <c r="C14" s="134"/>
      <c r="D14" s="134"/>
      <c r="E14" s="134"/>
      <c r="F14" s="134"/>
      <c r="G14" s="134"/>
      <c r="H14" s="134"/>
      <c r="I14" s="134"/>
      <c r="J14" s="134"/>
      <c r="K14" s="134"/>
      <c r="L14" s="134"/>
    </row>
    <row r="15" spans="1:13" hidden="1" x14ac:dyDescent="0.3">
      <c r="C15" s="134"/>
      <c r="D15" s="134"/>
      <c r="E15" s="134"/>
      <c r="F15" s="134"/>
      <c r="G15" s="134"/>
      <c r="H15" s="134"/>
      <c r="I15" s="134"/>
      <c r="J15" s="134"/>
      <c r="K15" s="134"/>
      <c r="L15" s="134"/>
    </row>
    <row r="16" spans="1:13" hidden="1" x14ac:dyDescent="0.3">
      <c r="C16" s="134"/>
      <c r="D16" s="134"/>
      <c r="E16" s="134"/>
      <c r="F16" s="134"/>
      <c r="G16" s="134"/>
      <c r="H16" s="134"/>
      <c r="I16" s="134"/>
      <c r="J16" s="134"/>
      <c r="K16" s="134"/>
      <c r="L16" s="134"/>
    </row>
  </sheetData>
  <mergeCells count="2">
    <mergeCell ref="A11:M11"/>
    <mergeCell ref="C13:L16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8671875" defaultRowHeight="14.4" x14ac:dyDescent="0.3"/>
  <cols>
    <col min="3" max="3" width="13.109375" customWidth="1"/>
  </cols>
  <sheetData>
    <row r="1" spans="1:7" ht="18.600000000000001" thickBot="1" x14ac:dyDescent="0.4">
      <c r="A1" s="140" t="s">
        <v>24</v>
      </c>
      <c r="B1" s="141"/>
      <c r="C1" s="141"/>
      <c r="D1" s="141"/>
      <c r="E1" s="142"/>
      <c r="F1" s="87"/>
      <c r="G1" s="87"/>
    </row>
    <row r="2" spans="1:7" ht="15" thickBot="1" x14ac:dyDescent="0.35">
      <c r="A2" s="143" t="s">
        <v>50</v>
      </c>
      <c r="B2" s="144"/>
      <c r="C2" s="145"/>
      <c r="D2" s="146">
        <v>565</v>
      </c>
      <c r="E2" s="147"/>
      <c r="F2" s="88"/>
      <c r="G2" s="88"/>
    </row>
    <row r="3" spans="1:7" ht="15" thickTop="1" x14ac:dyDescent="0.3">
      <c r="A3" s="148" t="s">
        <v>0</v>
      </c>
      <c r="B3" s="148" t="s">
        <v>1</v>
      </c>
      <c r="C3" s="148" t="s">
        <v>2</v>
      </c>
      <c r="D3" s="150" t="s">
        <v>4</v>
      </c>
      <c r="E3" s="135" t="s">
        <v>51</v>
      </c>
      <c r="F3" s="135" t="s">
        <v>52</v>
      </c>
      <c r="G3" s="135" t="s">
        <v>44</v>
      </c>
    </row>
    <row r="4" spans="1:7" ht="15" thickBot="1" x14ac:dyDescent="0.35">
      <c r="A4" s="149"/>
      <c r="B4" s="149"/>
      <c r="C4" s="149"/>
      <c r="D4" s="151"/>
      <c r="E4" s="136"/>
      <c r="F4" s="136"/>
      <c r="G4" s="136"/>
    </row>
    <row r="5" spans="1:7" ht="15.6" thickTop="1" thickBot="1" x14ac:dyDescent="0.35">
      <c r="A5" s="89">
        <v>1</v>
      </c>
      <c r="B5" s="91" t="s">
        <v>26</v>
      </c>
      <c r="C5" s="92" t="s">
        <v>34</v>
      </c>
      <c r="D5" s="90">
        <v>0.1512</v>
      </c>
      <c r="E5" s="93">
        <v>85</v>
      </c>
      <c r="F5" s="93">
        <v>0</v>
      </c>
      <c r="G5" s="93">
        <v>0</v>
      </c>
    </row>
    <row r="6" spans="1:7" ht="15" thickBot="1" x14ac:dyDescent="0.35">
      <c r="A6" s="89">
        <v>2</v>
      </c>
      <c r="B6" s="91" t="s">
        <v>27</v>
      </c>
      <c r="C6" s="92" t="s">
        <v>35</v>
      </c>
      <c r="D6" s="90">
        <v>0.15690000000000001</v>
      </c>
      <c r="E6" s="93">
        <v>89</v>
      </c>
      <c r="F6" s="93">
        <v>0</v>
      </c>
      <c r="G6" s="93">
        <v>0</v>
      </c>
    </row>
    <row r="7" spans="1:7" ht="15" thickBot="1" x14ac:dyDescent="0.35">
      <c r="A7" s="89">
        <v>3</v>
      </c>
      <c r="B7" s="91" t="s">
        <v>28</v>
      </c>
      <c r="C7" s="92" t="s">
        <v>36</v>
      </c>
      <c r="D7" s="90">
        <v>0.15820000000000001</v>
      </c>
      <c r="E7" s="93">
        <v>89</v>
      </c>
      <c r="F7" s="93">
        <v>0</v>
      </c>
      <c r="G7" s="93">
        <v>0</v>
      </c>
    </row>
    <row r="8" spans="1:7" ht="18" customHeight="1" thickBot="1" x14ac:dyDescent="0.35">
      <c r="A8" s="89">
        <v>4</v>
      </c>
      <c r="B8" s="91" t="s">
        <v>30</v>
      </c>
      <c r="C8" s="103" t="s">
        <v>37</v>
      </c>
      <c r="D8" s="90">
        <v>0.19800000000000001</v>
      </c>
      <c r="E8" s="93">
        <v>112</v>
      </c>
      <c r="F8" s="93">
        <v>0</v>
      </c>
      <c r="G8" s="93">
        <v>0</v>
      </c>
    </row>
    <row r="9" spans="1:7" ht="15" thickBot="1" x14ac:dyDescent="0.35">
      <c r="A9" s="89">
        <v>5</v>
      </c>
      <c r="B9" s="91" t="s">
        <v>29</v>
      </c>
      <c r="C9" s="92" t="s">
        <v>32</v>
      </c>
      <c r="D9" s="90">
        <v>0.15920000000000001</v>
      </c>
      <c r="E9" s="93">
        <v>90</v>
      </c>
      <c r="F9" s="93">
        <v>0</v>
      </c>
      <c r="G9" s="93">
        <v>0</v>
      </c>
    </row>
    <row r="10" spans="1:7" ht="15" thickBot="1" x14ac:dyDescent="0.35">
      <c r="A10" s="94">
        <v>6</v>
      </c>
      <c r="B10" s="96" t="s">
        <v>31</v>
      </c>
      <c r="C10" s="97" t="s">
        <v>33</v>
      </c>
      <c r="D10" s="95">
        <v>0.17649999999999999</v>
      </c>
      <c r="E10" s="98">
        <v>100</v>
      </c>
      <c r="F10" s="98">
        <v>0</v>
      </c>
      <c r="G10" s="98">
        <v>0</v>
      </c>
    </row>
    <row r="11" spans="1:7" ht="15.6" thickTop="1" thickBot="1" x14ac:dyDescent="0.35">
      <c r="A11" s="99" t="s">
        <v>8</v>
      </c>
      <c r="B11" s="100"/>
      <c r="C11" s="100"/>
      <c r="D11" s="101">
        <v>1</v>
      </c>
      <c r="E11" s="101">
        <v>565</v>
      </c>
      <c r="F11" s="101" t="s">
        <v>53</v>
      </c>
      <c r="G11" s="102" t="s">
        <v>53</v>
      </c>
    </row>
    <row r="12" spans="1:7" ht="15.6" thickTop="1" thickBot="1" x14ac:dyDescent="0.35">
      <c r="A12" s="137"/>
      <c r="B12" s="138"/>
      <c r="C12" s="138"/>
      <c r="D12" s="138"/>
      <c r="E12" s="139"/>
      <c r="F12" s="87"/>
      <c r="G12" s="87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2026-05-29T12:28:00Z</cp:lastPrinted>
  <dcterms:created xsi:type="dcterms:W3CDTF">2020-12-10T00:27:53Z</dcterms:created>
  <dcterms:modified xsi:type="dcterms:W3CDTF">2026-06-30T02:17:35Z</dcterms:modified>
</cp:coreProperties>
</file>