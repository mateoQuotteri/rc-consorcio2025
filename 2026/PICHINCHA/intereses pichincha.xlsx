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istemax\Desktop\rc-consorcio2025\2026\PICHINCHA\"/>
    </mc:Choice>
  </mc:AlternateContent>
  <xr:revisionPtr revIDLastSave="0" documentId="13_ncr:1_{D3AC3D6F-AF8A-4F12-B410-F186F1184E6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tereses Pichincha" sheetId="1" r:id="rId1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1" l="1"/>
</calcChain>
</file>

<file path=xl/sharedStrings.xml><?xml version="1.0" encoding="utf-8"?>
<sst xmlns="http://schemas.openxmlformats.org/spreadsheetml/2006/main" count="19" uniqueCount="16">
  <si>
    <t>Año</t>
  </si>
  <si>
    <t>Mes N°</t>
  </si>
  <si>
    <t>Mes</t>
  </si>
  <si>
    <t>Intereses (H10)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</si>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</sst>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tabSelected="1" workbookViewId="0">
      <selection activeCell="D18" sqref="D18"/>
    </sheetView>
  </sheetViews>
  <sheetFormatPr baseColWidth="10" defaultColWidth="9.140625" defaultRowHeight="15" x14ac:dyDescent="0.25"/>
  <cols>
    <col min="1" max="1" width="8" customWidth="1"/>
    <col min="2" max="2" width="10" customWidth="1"/>
    <col min="3" max="3" width="14" customWidth="1"/>
    <col min="4" max="4" width="20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2025</v>
      </c>
      <c r="B2">
        <v>1</v>
      </c>
      <c r="C2" t="s">
        <v>4</v>
      </c>
      <c r="D2">
        <v>8493.2872000000007</v>
      </c>
    </row>
    <row r="3" spans="1:4" x14ac:dyDescent="0.25">
      <c r="A3">
        <v>2025</v>
      </c>
      <c r="B3">
        <v>2</v>
      </c>
      <c r="C3" t="s">
        <v>5</v>
      </c>
      <c r="D3">
        <v>24561.042848000001</v>
      </c>
    </row>
    <row r="4" spans="1:4" x14ac:dyDescent="0.25">
      <c r="A4">
        <v>2025</v>
      </c>
      <c r="B4">
        <v>3</v>
      </c>
      <c r="C4" t="s">
        <v>6</v>
      </c>
      <c r="D4">
        <v>16779.758872319999</v>
      </c>
    </row>
    <row r="5" spans="1:4" x14ac:dyDescent="0.25">
      <c r="A5">
        <v>2025</v>
      </c>
      <c r="B5">
        <v>4</v>
      </c>
      <c r="C5" t="s">
        <v>7</v>
      </c>
      <c r="D5">
        <v>16379.588923212799</v>
      </c>
    </row>
    <row r="6" spans="1:4" x14ac:dyDescent="0.25">
      <c r="A6">
        <v>2025</v>
      </c>
      <c r="B6">
        <v>5</v>
      </c>
      <c r="C6" t="s">
        <v>8</v>
      </c>
      <c r="D6">
        <v>0</v>
      </c>
    </row>
    <row r="7" spans="1:4" x14ac:dyDescent="0.25">
      <c r="A7">
        <v>2025</v>
      </c>
      <c r="B7">
        <v>6</v>
      </c>
      <c r="C7" t="s">
        <v>9</v>
      </c>
      <c r="D7">
        <v>0</v>
      </c>
    </row>
    <row r="8" spans="1:4" x14ac:dyDescent="0.25">
      <c r="A8">
        <v>2025</v>
      </c>
      <c r="B8">
        <v>7</v>
      </c>
      <c r="C8" t="s">
        <v>10</v>
      </c>
      <c r="D8">
        <v>0</v>
      </c>
    </row>
    <row r="9" spans="1:4" x14ac:dyDescent="0.25">
      <c r="A9">
        <v>2025</v>
      </c>
      <c r="B9">
        <v>8</v>
      </c>
      <c r="C9" t="s">
        <v>11</v>
      </c>
      <c r="D9">
        <v>11719.2816</v>
      </c>
    </row>
    <row r="10" spans="1:4" x14ac:dyDescent="0.25">
      <c r="A10">
        <v>2025</v>
      </c>
      <c r="B10">
        <v>9</v>
      </c>
      <c r="C10" t="s">
        <v>12</v>
      </c>
      <c r="D10">
        <v>133.24452352000171</v>
      </c>
    </row>
    <row r="11" spans="1:4" x14ac:dyDescent="0.25">
      <c r="A11">
        <v>2025</v>
      </c>
      <c r="B11">
        <v>10</v>
      </c>
      <c r="C11" t="s">
        <v>13</v>
      </c>
      <c r="D11">
        <v>2326.5287496376332</v>
      </c>
    </row>
    <row r="12" spans="1:4" x14ac:dyDescent="0.25">
      <c r="A12">
        <v>2025</v>
      </c>
      <c r="B12">
        <v>11</v>
      </c>
      <c r="C12" t="s">
        <v>14</v>
      </c>
      <c r="D12">
        <v>0</v>
      </c>
    </row>
    <row r="13" spans="1:4" x14ac:dyDescent="0.25">
      <c r="A13">
        <v>2025</v>
      </c>
      <c r="B13">
        <v>12</v>
      </c>
      <c r="C13" t="s">
        <v>15</v>
      </c>
      <c r="D13">
        <v>0</v>
      </c>
    </row>
    <row r="14" spans="1:4" x14ac:dyDescent="0.25">
      <c r="A14">
        <v>2026</v>
      </c>
      <c r="B14">
        <v>1</v>
      </c>
      <c r="C14" t="s">
        <v>4</v>
      </c>
      <c r="D14">
        <v>9616.2540800000006</v>
      </c>
    </row>
    <row r="15" spans="1:4" x14ac:dyDescent="0.25">
      <c r="A15">
        <v>2026</v>
      </c>
      <c r="B15">
        <v>2</v>
      </c>
      <c r="C15" t="s">
        <v>5</v>
      </c>
      <c r="D15">
        <v>0</v>
      </c>
    </row>
    <row r="16" spans="1:4" x14ac:dyDescent="0.25">
      <c r="A16">
        <v>2026</v>
      </c>
      <c r="B16">
        <v>3</v>
      </c>
      <c r="C16" t="s">
        <v>6</v>
      </c>
      <c r="D16">
        <v>8874.5771199999999</v>
      </c>
    </row>
    <row r="18" spans="4:4" x14ac:dyDescent="0.25">
      <c r="D18">
        <f>SUM(D2:D17)</f>
        <v>98883.563916690429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Intereses Pichincha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Sistemax</cp:lastModifiedBy>
  <dcterms:created xsi:type="dcterms:W3CDTF">2026-05-01T03:03:04Z</dcterms:created>
  <dcterms:modified xsi:type="dcterms:W3CDTF">2026-05-01T13:24:21Z</dcterms:modified>
</cp:coreProperties>
</file>