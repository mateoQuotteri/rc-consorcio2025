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PICHINCHA\Julio\"/>
    </mc:Choice>
  </mc:AlternateContent>
  <xr:revisionPtr revIDLastSave="0" documentId="13_ncr:1_{37EC00CC-F7EB-4FA1-B773-F26508FC9D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gastos'!$A$1:$F$46</definedName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M4" i="1" l="1"/>
  <c r="F8" i="1"/>
  <c r="C26" i="3"/>
  <c r="F6" i="1" l="1"/>
  <c r="F9" i="1" l="1"/>
  <c r="C28" i="3" l="1"/>
  <c r="L4" i="1" l="1"/>
  <c r="C21" i="3" l="1"/>
  <c r="C29" i="3" s="1"/>
  <c r="G8" i="1"/>
  <c r="H8" i="1" s="1"/>
  <c r="G7" i="1"/>
  <c r="G6" i="1"/>
  <c r="C39" i="3" l="1"/>
  <c r="F14" i="3" s="1"/>
  <c r="C40" i="3"/>
  <c r="A2" i="1" l="1"/>
  <c r="G9" i="1" l="1"/>
  <c r="C38" i="3" l="1"/>
  <c r="C41" i="3" s="1"/>
  <c r="K1" i="1" s="1"/>
  <c r="J9" i="1" l="1"/>
  <c r="J8" i="1"/>
  <c r="J5" i="1"/>
  <c r="J7" i="1"/>
  <c r="J6" i="1"/>
  <c r="K8" i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3" i="3" s="1"/>
  <c r="D10" i="1"/>
  <c r="E10" i="1"/>
  <c r="M9" i="1" l="1"/>
  <c r="L10" i="1"/>
  <c r="F21" i="3"/>
  <c r="J10" i="1"/>
  <c r="G10" i="1"/>
  <c r="H10" i="1"/>
  <c r="M10" i="1" l="1"/>
</calcChain>
</file>

<file path=xl/sharedStrings.xml><?xml version="1.0" encoding="utf-8"?>
<sst xmlns="http://schemas.openxmlformats.org/spreadsheetml/2006/main" count="91" uniqueCount="82">
  <si>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</si>
  <si>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</si>
  <si>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</si>
  <si>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</si>
  <si>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</si>
  <si>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</si>
  <si>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</si>
  <si>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</si>
  <si>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</si>
  <si>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</si>
  <si>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</si>
  <si>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</si>
  <si>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</si>
  <si>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</si>
  <si>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</si>
  <si>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</si>
  <si>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</si>
  <si>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</si>
  <si>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</si>
  <si>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</si>
  <si>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</si>
  <si>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</si>
  <si>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</si>
  <si>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</si>
  <si>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</si>
  <si>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</si>
  <si>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</si>
  <si>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</si>
  <si>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</si>
  <si>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</si>
  <si>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</si>
  <si>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</si>
  <si>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</si>
  <si>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</si>
  <si>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</si>
  <si>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</si>
  <si>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</si>
  <si>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</si>
  <si>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</si>
  <si>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</si>
  <si>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</si>
  <si>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</si>
  <si>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</si>
  <si>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</si>
  <si>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</si>
  <si>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</si>
  <si>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</si>
  <si>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</si>
  <si>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</si>
  <si>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</si>
  <si>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</si>
  <si>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</si>
  <si>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</si>
  <si>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</si>
  <si>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</si>
  <si>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</si>
  <si>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</si>
  <si>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</si>
  <si>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</si>
  <si>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</si>
  <si>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</si>
  <si>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</si>
  <si>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</si>
  <si>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</si>
  <si>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</si>
  <si>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SEGUNDO</t>
  </si>
  <si>
    <t>PRIMER VTO</t>
  </si>
  <si>
    <t>EDESUR</t>
  </si>
  <si>
    <t>SEGURO DE VIDA. SRA MONICA GOROSITO</t>
  </si>
  <si>
    <t>PREVISION ORDINARIA</t>
  </si>
  <si>
    <t xml:space="preserve">FLOW </t>
  </si>
  <si>
    <t>SEBASTIAN</t>
  </si>
  <si>
    <t>TSG</t>
  </si>
  <si>
    <t>METROGAS</t>
  </si>
  <si>
    <t>ARTICULOS DE LIMPIEZA</t>
  </si>
  <si>
    <t>SUBIDOS EN JUN10</t>
  </si>
  <si>
    <t>ARBA CUOTA 1,2 Y 3</t>
  </si>
  <si>
    <t>GASTOS BANCARIOS</t>
  </si>
  <si>
    <t>VTO 19/07</t>
  </si>
  <si>
    <t>Vto. 17/08</t>
  </si>
  <si>
    <t>Liquidacion mes de JULIO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</si>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</sst>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1" fillId="2" borderId="8" xfId="0" applyFont="1" applyFill="1" applyBorder="1"/>
    <xf numFmtId="0" fontId="0" fillId="2" borderId="0" xfId="0" applyFill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5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6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32" xfId="0" applyFont="1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8" xfId="0" applyFont="1" applyBorder="1" applyAlignment="1">
      <alignment wrapText="1"/>
    </xf>
    <xf numFmtId="0" fontId="0" fillId="0" borderId="30" xfId="0" applyBorder="1" applyAlignment="1">
      <alignment horizontal="center" wrapText="1"/>
    </xf>
    <xf numFmtId="0" fontId="1" fillId="8" borderId="34" xfId="0" applyFont="1" applyFill="1" applyBorder="1" applyAlignment="1">
      <alignment vertical="center"/>
    </xf>
    <xf numFmtId="0" fontId="0" fillId="8" borderId="29" xfId="0" applyFill="1" applyBorder="1" applyAlignment="1">
      <alignment wrapText="1"/>
    </xf>
    <xf numFmtId="0" fontId="1" fillId="8" borderId="30" xfId="0" applyFont="1" applyFill="1" applyBorder="1" applyAlignment="1">
      <alignment horizontal="center" wrapText="1"/>
    </xf>
    <xf numFmtId="0" fontId="1" fillId="8" borderId="28" xfId="0" applyFont="1" applyFill="1" applyBorder="1" applyAlignment="1">
      <alignment horizontal="center" wrapText="1"/>
    </xf>
    <xf numFmtId="0" fontId="13" fillId="0" borderId="32" xfId="0" applyFont="1" applyBorder="1" applyAlignment="1">
      <alignment wrapText="1"/>
    </xf>
    <xf numFmtId="0" fontId="0" fillId="6" borderId="0" xfId="0" applyFill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4" fontId="10" fillId="6" borderId="1" xfId="0" applyNumberFormat="1" applyFont="1" applyFill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164" fontId="10" fillId="0" borderId="21" xfId="2" applyFont="1" applyBorder="1"/>
    <xf numFmtId="0" fontId="0" fillId="0" borderId="50" xfId="0" applyBorder="1" applyAlignment="1">
      <alignment vertical="center" wrapText="1"/>
    </xf>
    <xf numFmtId="164" fontId="9" fillId="2" borderId="7" xfId="2" applyFont="1" applyFill="1" applyBorder="1"/>
    <xf numFmtId="0" fontId="10" fillId="6" borderId="1" xfId="0" applyFont="1" applyFill="1" applyBorder="1"/>
    <xf numFmtId="0" fontId="10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4" fillId="0" borderId="1" xfId="0" applyFont="1" applyBorder="1"/>
    <xf numFmtId="17" fontId="10" fillId="0" borderId="1" xfId="0" applyNumberFormat="1" applyFont="1" applyBorder="1"/>
    <xf numFmtId="17" fontId="0" fillId="0" borderId="1" xfId="0" applyNumberFormat="1" applyBorder="1"/>
    <xf numFmtId="17" fontId="1" fillId="2" borderId="19" xfId="0" applyNumberFormat="1" applyFont="1" applyFill="1" applyBorder="1"/>
    <xf numFmtId="17" fontId="1" fillId="2" borderId="52" xfId="0" applyNumberFormat="1" applyFont="1" applyFill="1" applyBorder="1"/>
    <xf numFmtId="0" fontId="0" fillId="2" borderId="52" xfId="0" applyFill="1" applyBorder="1"/>
    <xf numFmtId="0" fontId="1" fillId="2" borderId="52" xfId="0" applyFont="1" applyFill="1" applyBorder="1"/>
    <xf numFmtId="167" fontId="0" fillId="2" borderId="52" xfId="0" applyNumberFormat="1" applyFill="1" applyBorder="1"/>
    <xf numFmtId="164" fontId="1" fillId="2" borderId="52" xfId="2" applyFont="1" applyFill="1" applyBorder="1"/>
    <xf numFmtId="0" fontId="0" fillId="2" borderId="53" xfId="0" applyFill="1" applyBorder="1"/>
    <xf numFmtId="17" fontId="1" fillId="2" borderId="15" xfId="0" applyNumberFormat="1" applyFont="1" applyFill="1" applyBorder="1" applyAlignment="1">
      <alignment horizontal="left"/>
    </xf>
    <xf numFmtId="0" fontId="0" fillId="2" borderId="54" xfId="0" applyFill="1" applyBorder="1"/>
    <xf numFmtId="0" fontId="0" fillId="0" borderId="2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165" fontId="0" fillId="0" borderId="2" xfId="0" applyNumberFormat="1" applyBorder="1"/>
    <xf numFmtId="3" fontId="0" fillId="0" borderId="5" xfId="0" applyNumberFormat="1" applyBorder="1"/>
    <xf numFmtId="4" fontId="10" fillId="0" borderId="5" xfId="0" applyNumberFormat="1" applyFont="1" applyBorder="1"/>
    <xf numFmtId="166" fontId="0" fillId="0" borderId="2" xfId="2" applyNumberFormat="1" applyFont="1" applyBorder="1" applyAlignment="1">
      <alignment horizontal="center"/>
    </xf>
    <xf numFmtId="166" fontId="0" fillId="0" borderId="2" xfId="2" applyNumberFormat="1" applyFont="1" applyBorder="1"/>
    <xf numFmtId="4" fontId="0" fillId="0" borderId="5" xfId="0" applyNumberFormat="1" applyBorder="1"/>
    <xf numFmtId="3" fontId="0" fillId="0" borderId="16" xfId="0" applyNumberFormat="1" applyBorder="1"/>
    <xf numFmtId="4" fontId="0" fillId="0" borderId="2" xfId="0" applyNumberFormat="1" applyBorder="1"/>
    <xf numFmtId="3" fontId="0" fillId="0" borderId="58" xfId="0" applyNumberFormat="1" applyBorder="1"/>
    <xf numFmtId="0" fontId="1" fillId="3" borderId="59" xfId="0" applyFont="1" applyFill="1" applyBorder="1" applyAlignment="1">
      <alignment horizontal="left"/>
    </xf>
    <xf numFmtId="0" fontId="0" fillId="3" borderId="60" xfId="0" applyFill="1" applyBorder="1" applyAlignment="1">
      <alignment horizontal="center"/>
    </xf>
    <xf numFmtId="0" fontId="0" fillId="3" borderId="60" xfId="0" applyFill="1" applyBorder="1"/>
    <xf numFmtId="165" fontId="1" fillId="3" borderId="60" xfId="0" applyNumberFormat="1" applyFont="1" applyFill="1" applyBorder="1"/>
    <xf numFmtId="166" fontId="1" fillId="3" borderId="60" xfId="2" applyNumberFormat="1" applyFont="1" applyFill="1" applyBorder="1"/>
    <xf numFmtId="166" fontId="1" fillId="3" borderId="51" xfId="2" applyNumberFormat="1" applyFont="1" applyFill="1" applyBorder="1"/>
    <xf numFmtId="164" fontId="1" fillId="3" borderId="51" xfId="2" applyFont="1" applyFill="1" applyBorder="1"/>
    <xf numFmtId="3" fontId="1" fillId="3" borderId="51" xfId="2" applyNumberFormat="1" applyFont="1" applyFill="1" applyBorder="1"/>
    <xf numFmtId="164" fontId="1" fillId="3" borderId="61" xfId="2" applyFont="1" applyFill="1" applyBorder="1"/>
    <xf numFmtId="2" fontId="0" fillId="0" borderId="55" xfId="0" applyNumberForma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1" xfId="2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1" fillId="0" borderId="35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" fillId="7" borderId="39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39" xfId="0" applyFont="1" applyFill="1" applyBorder="1" applyAlignment="1">
      <alignment horizontal="left" wrapText="1"/>
    </xf>
    <xf numFmtId="0" fontId="1" fillId="7" borderId="41" xfId="0" applyFont="1" applyFill="1" applyBorder="1" applyAlignment="1">
      <alignment horizontal="left" wrapText="1"/>
    </xf>
    <xf numFmtId="0" fontId="1" fillId="0" borderId="42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4" fontId="15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tabSelected="1" topLeftCell="A7" workbookViewId="0">
      <selection activeCell="C14" sqref="C14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5" customWidth="1"/>
  </cols>
  <sheetData>
    <row r="1" spans="1:8" x14ac:dyDescent="0.3">
      <c r="B1" t="s">
        <v>57</v>
      </c>
    </row>
    <row r="2" spans="1:8" x14ac:dyDescent="0.3">
      <c r="B2" t="s">
        <v>18</v>
      </c>
      <c r="C2" s="88" t="s">
        <v>56</v>
      </c>
    </row>
    <row r="3" spans="1:8" x14ac:dyDescent="0.3">
      <c r="B3" t="s">
        <v>9</v>
      </c>
    </row>
    <row r="4" spans="1:8" x14ac:dyDescent="0.3">
      <c r="B4" s="4" t="s">
        <v>6</v>
      </c>
    </row>
    <row r="5" spans="1:8" ht="8.25" customHeight="1" x14ac:dyDescent="0.3">
      <c r="A5" s="3"/>
      <c r="B5" s="18"/>
      <c r="C5" s="3"/>
    </row>
    <row r="6" spans="1:8" x14ac:dyDescent="0.3">
      <c r="D6" s="21"/>
      <c r="E6" s="21"/>
      <c r="F6" s="21"/>
    </row>
    <row r="7" spans="1:8" x14ac:dyDescent="0.3">
      <c r="A7" s="19" t="s">
        <v>58</v>
      </c>
      <c r="B7" s="19"/>
      <c r="C7" s="53"/>
      <c r="D7" s="53"/>
      <c r="E7" s="19" t="s">
        <v>80</v>
      </c>
      <c r="F7" s="89" t="s">
        <v>79</v>
      </c>
    </row>
    <row r="8" spans="1:8" x14ac:dyDescent="0.3">
      <c r="A8" s="3"/>
      <c r="B8" s="3"/>
      <c r="C8" s="3"/>
      <c r="D8" s="3"/>
      <c r="E8" s="3"/>
      <c r="F8" s="3"/>
    </row>
    <row r="10" spans="1:8" x14ac:dyDescent="0.3">
      <c r="A10" s="17" t="s">
        <v>11</v>
      </c>
    </row>
    <row r="11" spans="1:8" ht="15" thickBot="1" x14ac:dyDescent="0.35">
      <c r="A11" s="20" t="s">
        <v>10</v>
      </c>
      <c r="B11" s="21"/>
      <c r="C11" s="97"/>
      <c r="D11" s="5"/>
      <c r="E11" s="141" t="s">
        <v>22</v>
      </c>
      <c r="F11" s="141"/>
    </row>
    <row r="12" spans="1:8" x14ac:dyDescent="0.3">
      <c r="A12" s="101"/>
      <c r="B12" s="101"/>
      <c r="C12" s="95"/>
      <c r="D12" s="5"/>
      <c r="E12" s="41" t="s">
        <v>42</v>
      </c>
      <c r="F12" s="42">
        <v>-353939.60624926729</v>
      </c>
    </row>
    <row r="13" spans="1:8" x14ac:dyDescent="0.3">
      <c r="A13" s="101" t="s">
        <v>64</v>
      </c>
      <c r="B13" s="101"/>
      <c r="C13" s="95">
        <v>60602.69</v>
      </c>
      <c r="D13" s="5"/>
      <c r="E13" s="43" t="s">
        <v>7</v>
      </c>
      <c r="F13" s="98">
        <f>'prorrateo '!F10</f>
        <v>702241.99200000009</v>
      </c>
    </row>
    <row r="14" spans="1:8" x14ac:dyDescent="0.3">
      <c r="A14" s="102" t="s">
        <v>72</v>
      </c>
      <c r="B14" s="101"/>
      <c r="C14" s="163">
        <v>25643</v>
      </c>
      <c r="D14" s="5"/>
      <c r="E14" s="43" t="s">
        <v>20</v>
      </c>
      <c r="F14" s="98">
        <f>-(C39)</f>
        <v>-696458.6</v>
      </c>
    </row>
    <row r="15" spans="1:8" ht="15" customHeight="1" x14ac:dyDescent="0.3">
      <c r="A15" s="102" t="s">
        <v>45</v>
      </c>
      <c r="B15" s="102"/>
      <c r="C15" s="163">
        <v>119977</v>
      </c>
      <c r="D15" s="31"/>
      <c r="E15" s="99"/>
      <c r="F15" s="143"/>
    </row>
    <row r="16" spans="1:8" ht="15.75" customHeight="1" x14ac:dyDescent="0.3">
      <c r="A16" s="102" t="s">
        <v>19</v>
      </c>
      <c r="B16" s="101" t="s">
        <v>81</v>
      </c>
      <c r="C16" s="62">
        <v>54000</v>
      </c>
      <c r="D16" s="5"/>
      <c r="E16" s="99"/>
      <c r="F16" s="143"/>
      <c r="H16" t="s">
        <v>75</v>
      </c>
    </row>
    <row r="17" spans="1:8" ht="15.75" customHeight="1" x14ac:dyDescent="0.3">
      <c r="A17" s="102" t="s">
        <v>70</v>
      </c>
      <c r="B17" s="101"/>
      <c r="C17" s="62">
        <v>93972.61</v>
      </c>
      <c r="D17" s="5"/>
      <c r="E17" s="99"/>
      <c r="F17" s="143"/>
    </row>
    <row r="18" spans="1:8" x14ac:dyDescent="0.3">
      <c r="A18" s="102" t="s">
        <v>67</v>
      </c>
      <c r="B18" s="102"/>
      <c r="C18" s="163">
        <v>32688.67</v>
      </c>
      <c r="E18" s="43"/>
      <c r="F18" s="44"/>
    </row>
    <row r="19" spans="1:8" x14ac:dyDescent="0.3">
      <c r="A19" s="102" t="s">
        <v>73</v>
      </c>
      <c r="B19" s="102"/>
      <c r="C19" s="95">
        <v>122100.6</v>
      </c>
      <c r="D19" s="5"/>
      <c r="E19" s="43"/>
      <c r="F19" s="44"/>
    </row>
    <row r="20" spans="1:8" x14ac:dyDescent="0.3">
      <c r="A20" s="102" t="s">
        <v>76</v>
      </c>
      <c r="B20" s="102"/>
      <c r="C20" s="95">
        <v>37567.300000000003</v>
      </c>
      <c r="E20" s="43"/>
      <c r="F20" s="44"/>
      <c r="H20" s="87"/>
    </row>
    <row r="21" spans="1:8" ht="15" thickBot="1" x14ac:dyDescent="0.35">
      <c r="A21" s="103"/>
      <c r="B21" s="104"/>
      <c r="C21" s="69">
        <f>SUM(C12:C20)</f>
        <v>546551.87</v>
      </c>
      <c r="E21" s="45" t="s">
        <v>43</v>
      </c>
      <c r="F21" s="96">
        <f>SUM(F12:F20)</f>
        <v>-348156.21424926718</v>
      </c>
    </row>
    <row r="22" spans="1:8" x14ac:dyDescent="0.3">
      <c r="A22" s="105" t="s">
        <v>21</v>
      </c>
      <c r="B22" s="102"/>
      <c r="C22" s="90"/>
      <c r="D22" s="5"/>
      <c r="E22" s="14"/>
      <c r="F22" s="15"/>
    </row>
    <row r="23" spans="1:8" x14ac:dyDescent="0.3">
      <c r="A23" s="102" t="s">
        <v>63</v>
      </c>
      <c r="B23" s="106"/>
      <c r="C23" s="95">
        <v>91370</v>
      </c>
      <c r="D23" s="5"/>
      <c r="E23" s="14"/>
      <c r="F23" s="15"/>
    </row>
    <row r="24" spans="1:8" x14ac:dyDescent="0.3">
      <c r="A24" s="102" t="s">
        <v>68</v>
      </c>
      <c r="B24" s="106"/>
      <c r="C24" s="95">
        <v>5837.2</v>
      </c>
      <c r="D24" s="5"/>
      <c r="E24" s="14"/>
      <c r="F24" s="15"/>
    </row>
    <row r="25" spans="1:8" x14ac:dyDescent="0.3">
      <c r="A25" s="102" t="s">
        <v>74</v>
      </c>
      <c r="B25" s="106"/>
      <c r="C25" s="95">
        <v>49750</v>
      </c>
      <c r="D25" s="5"/>
      <c r="E25" s="14"/>
      <c r="F25" s="15"/>
    </row>
    <row r="26" spans="1:8" x14ac:dyDescent="0.3">
      <c r="A26" s="102" t="s">
        <v>77</v>
      </c>
      <c r="B26" s="106"/>
      <c r="C26" s="95">
        <f>5899.06/2</f>
        <v>2949.53</v>
      </c>
      <c r="D26" s="5"/>
      <c r="E26" s="14"/>
      <c r="F26" s="15"/>
    </row>
    <row r="27" spans="1:8" x14ac:dyDescent="0.3">
      <c r="A27" s="88" t="s">
        <v>69</v>
      </c>
      <c r="B27" s="107"/>
      <c r="C27" s="95"/>
      <c r="D27" s="5"/>
      <c r="E27" s="14"/>
      <c r="F27" s="15"/>
    </row>
    <row r="28" spans="1:8" x14ac:dyDescent="0.3">
      <c r="A28" s="23"/>
      <c r="B28" s="24"/>
      <c r="C28" s="100">
        <f>SUM(C22:C27)</f>
        <v>149906.73000000001</v>
      </c>
      <c r="D28" s="5"/>
      <c r="E28" s="5"/>
      <c r="F28" s="40"/>
      <c r="G28" s="6"/>
    </row>
    <row r="29" spans="1:8" x14ac:dyDescent="0.3">
      <c r="A29" s="33" t="s">
        <v>12</v>
      </c>
      <c r="B29" s="34"/>
      <c r="C29" s="35">
        <f>+C28+C21</f>
        <v>696458.6</v>
      </c>
      <c r="D29" s="5"/>
      <c r="E29" s="14"/>
      <c r="F29" s="15"/>
    </row>
    <row r="30" spans="1:8" ht="14.25" customHeight="1" x14ac:dyDescent="0.3">
      <c r="A30" s="54" t="s">
        <v>24</v>
      </c>
      <c r="B30" s="64"/>
      <c r="C30" s="65"/>
      <c r="E30" s="14"/>
      <c r="F30" s="15"/>
    </row>
    <row r="31" spans="1:8" hidden="1" x14ac:dyDescent="0.3">
      <c r="A31" s="17" t="s">
        <v>24</v>
      </c>
    </row>
    <row r="32" spans="1:8" hidden="1" x14ac:dyDescent="0.3">
      <c r="A32" s="32"/>
      <c r="B32" s="21"/>
      <c r="C32" s="39"/>
      <c r="F32" s="6"/>
    </row>
    <row r="33" spans="1:6" hidden="1" x14ac:dyDescent="0.3">
      <c r="A33" s="37"/>
      <c r="B33" s="36"/>
      <c r="C33" s="38">
        <v>0</v>
      </c>
      <c r="F33" s="6"/>
    </row>
    <row r="34" spans="1:6" hidden="1" x14ac:dyDescent="0.3">
      <c r="A34" s="46"/>
      <c r="B34" s="47"/>
      <c r="C34" s="38">
        <v>0</v>
      </c>
      <c r="F34" s="6"/>
    </row>
    <row r="35" spans="1:6" x14ac:dyDescent="0.3">
      <c r="A35" s="60"/>
      <c r="B35" s="61"/>
      <c r="C35" s="63"/>
      <c r="F35" s="6"/>
    </row>
    <row r="36" spans="1:6" x14ac:dyDescent="0.3">
      <c r="A36" s="60"/>
      <c r="B36" s="67"/>
      <c r="C36" s="68"/>
      <c r="F36" s="6"/>
    </row>
    <row r="37" spans="1:6" x14ac:dyDescent="0.3">
      <c r="A37" s="60"/>
      <c r="B37" s="66"/>
      <c r="C37" s="63">
        <v>0</v>
      </c>
      <c r="F37" s="6"/>
    </row>
    <row r="38" spans="1:6" x14ac:dyDescent="0.3">
      <c r="A38" s="48" t="s">
        <v>23</v>
      </c>
      <c r="B38" s="49"/>
      <c r="C38" s="50">
        <f>SUM(C33:C37)</f>
        <v>0</v>
      </c>
    </row>
    <row r="39" spans="1:6" x14ac:dyDescent="0.3">
      <c r="A39" t="s">
        <v>54</v>
      </c>
      <c r="C39" s="38">
        <f>C29-C27</f>
        <v>696458.6</v>
      </c>
      <c r="F39" s="6"/>
    </row>
    <row r="40" spans="1:6" x14ac:dyDescent="0.3">
      <c r="A40" s="5" t="s">
        <v>49</v>
      </c>
      <c r="C40" s="59">
        <f>+C29</f>
        <v>696458.6</v>
      </c>
      <c r="F40" s="6"/>
    </row>
    <row r="41" spans="1:6" x14ac:dyDescent="0.3">
      <c r="A41" s="48" t="s">
        <v>13</v>
      </c>
      <c r="B41" s="49"/>
      <c r="C41" s="50">
        <f>+C29+C38</f>
        <v>696458.6</v>
      </c>
      <c r="E41" s="11"/>
    </row>
    <row r="46" spans="1:6" x14ac:dyDescent="0.3">
      <c r="D46" s="6"/>
    </row>
    <row r="47" spans="1:6" x14ac:dyDescent="0.3">
      <c r="D47" s="11"/>
      <c r="E47" s="11"/>
    </row>
    <row r="48" spans="1:6" x14ac:dyDescent="0.3">
      <c r="B48" s="142"/>
      <c r="C48" s="142"/>
      <c r="D48" s="142"/>
      <c r="E48" s="142"/>
    </row>
    <row r="49" spans="1:5" x14ac:dyDescent="0.3">
      <c r="B49" s="142"/>
      <c r="C49" s="142"/>
      <c r="D49" s="142"/>
      <c r="E49" s="142"/>
    </row>
    <row r="50" spans="1:5" x14ac:dyDescent="0.3">
      <c r="B50" s="142"/>
      <c r="C50" s="142"/>
      <c r="D50" s="142"/>
      <c r="E50" s="142"/>
    </row>
    <row r="62" spans="1:5" x14ac:dyDescent="0.3">
      <c r="A62" s="14"/>
      <c r="B62" s="13"/>
      <c r="C62" s="15"/>
    </row>
    <row r="63" spans="1:5" x14ac:dyDescent="0.3">
      <c r="A63" s="13"/>
      <c r="B63" s="13"/>
      <c r="C63" s="13"/>
    </row>
    <row r="64" spans="1:5" x14ac:dyDescent="0.3">
      <c r="A64" s="13"/>
      <c r="B64" s="13"/>
      <c r="C64" s="13"/>
    </row>
    <row r="65" spans="1:3" x14ac:dyDescent="0.3">
      <c r="A65" s="13"/>
      <c r="B65" s="13"/>
      <c r="C65" s="13"/>
    </row>
    <row r="66" spans="1:3" x14ac:dyDescent="0.3">
      <c r="A66" s="13"/>
      <c r="B66" s="13"/>
      <c r="C66" s="13"/>
    </row>
    <row r="67" spans="1:3" x14ac:dyDescent="0.3">
      <c r="A67" s="13"/>
      <c r="B67" s="13"/>
      <c r="C67" s="13"/>
    </row>
    <row r="68" spans="1:3" x14ac:dyDescent="0.3">
      <c r="A68" s="13"/>
      <c r="B68" s="13"/>
      <c r="C68" s="13"/>
    </row>
    <row r="69" spans="1:3" x14ac:dyDescent="0.3">
      <c r="A69" s="13"/>
      <c r="B69" s="13"/>
      <c r="C69" s="13"/>
    </row>
  </sheetData>
  <mergeCells count="3">
    <mergeCell ref="E11:F11"/>
    <mergeCell ref="B48:E50"/>
    <mergeCell ref="F15:F1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M4" sqref="M4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8.5546875" customWidth="1"/>
    <col min="4" max="4" width="0.109375" hidden="1" customWidth="1"/>
    <col min="5" max="5" width="13.6640625" customWidth="1"/>
    <col min="6" max="6" width="12.44140625" bestFit="1" customWidth="1"/>
    <col min="7" max="7" width="12.44140625" customWidth="1"/>
    <col min="8" max="8" width="9.33203125" customWidth="1"/>
    <col min="9" max="9" width="13.109375" hidden="1" customWidth="1"/>
    <col min="10" max="10" width="17.88671875" customWidth="1"/>
    <col min="11" max="11" width="14.33203125" bestFit="1" customWidth="1"/>
    <col min="12" max="12" width="14.33203125" customWidth="1"/>
    <col min="13" max="13" width="13.44140625" customWidth="1"/>
    <col min="15" max="15" width="11.44140625" style="16"/>
  </cols>
  <sheetData>
    <row r="1" spans="1:15" x14ac:dyDescent="0.3">
      <c r="A1" s="108" t="s">
        <v>55</v>
      </c>
      <c r="B1" s="109"/>
      <c r="C1" s="109"/>
      <c r="D1" s="110"/>
      <c r="E1" s="111"/>
      <c r="F1" s="112"/>
      <c r="G1" s="111" t="s">
        <v>47</v>
      </c>
      <c r="H1" s="110"/>
      <c r="I1" s="110"/>
      <c r="J1" s="110"/>
      <c r="K1" s="113">
        <f>'detalle y gastos'!C41</f>
        <v>696458.6</v>
      </c>
      <c r="L1" s="113"/>
      <c r="M1" s="114"/>
    </row>
    <row r="2" spans="1:15" ht="15" thickBot="1" x14ac:dyDescent="0.35">
      <c r="A2" s="115" t="str">
        <f>'detalle y gastos'!E7</f>
        <v>Liquidacion mes de JULIO</v>
      </c>
      <c r="B2" s="56"/>
      <c r="C2" s="56"/>
      <c r="D2" s="57"/>
      <c r="E2" s="58"/>
      <c r="F2" s="57"/>
      <c r="G2" s="58" t="s">
        <v>48</v>
      </c>
      <c r="H2" s="57"/>
      <c r="I2" s="57"/>
      <c r="J2" s="57"/>
      <c r="K2" s="91"/>
      <c r="L2" s="91"/>
      <c r="M2" s="116"/>
    </row>
    <row r="3" spans="1:15" x14ac:dyDescent="0.3">
      <c r="A3" s="29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29" t="s">
        <v>14</v>
      </c>
      <c r="K3" s="92" t="s">
        <v>38</v>
      </c>
      <c r="L3" s="22" t="s">
        <v>66</v>
      </c>
      <c r="M3" s="117" t="s">
        <v>65</v>
      </c>
    </row>
    <row r="4" spans="1:15" x14ac:dyDescent="0.3">
      <c r="A4" s="29"/>
      <c r="B4" s="7"/>
      <c r="C4" s="7"/>
      <c r="D4" s="2" t="s">
        <v>5</v>
      </c>
      <c r="E4" s="7" t="s">
        <v>17</v>
      </c>
      <c r="F4" s="7" t="s">
        <v>46</v>
      </c>
      <c r="G4" s="2"/>
      <c r="H4" s="25">
        <v>0.04</v>
      </c>
      <c r="I4" s="7" t="s">
        <v>41</v>
      </c>
      <c r="J4" s="26" t="s">
        <v>15</v>
      </c>
      <c r="K4" s="93" t="s">
        <v>39</v>
      </c>
      <c r="L4" s="51" t="str">
        <f>'detalle y gastos'!F7</f>
        <v>Vto. 17/08</v>
      </c>
      <c r="M4" s="140" t="str">
        <f>O4</f>
        <v>VTO 19/07</v>
      </c>
      <c r="O4" s="16" t="s">
        <v>78</v>
      </c>
    </row>
    <row r="5" spans="1:15" x14ac:dyDescent="0.3">
      <c r="A5" s="118">
        <v>1</v>
      </c>
      <c r="B5" s="8">
        <v>1</v>
      </c>
      <c r="C5" s="9" t="s">
        <v>59</v>
      </c>
      <c r="D5" s="12"/>
      <c r="E5" s="30">
        <v>108207</v>
      </c>
      <c r="F5" s="62">
        <v>104050</v>
      </c>
      <c r="G5" s="52">
        <f>E5-F5</f>
        <v>4157</v>
      </c>
      <c r="H5" s="55">
        <f>IF(G5&gt;0,G5*4%,0)</f>
        <v>166.28</v>
      </c>
      <c r="I5" s="10">
        <v>0</v>
      </c>
      <c r="J5" s="27">
        <f>K$1/5</f>
        <v>139291.72</v>
      </c>
      <c r="K5" s="94">
        <f>K2*D5</f>
        <v>0</v>
      </c>
      <c r="L5" s="10">
        <f>J5+K5+H5+G5</f>
        <v>143615</v>
      </c>
      <c r="M5" s="28">
        <f>L5*4%+L5</f>
        <v>149359.6</v>
      </c>
    </row>
    <row r="6" spans="1:15" x14ac:dyDescent="0.3">
      <c r="A6" s="118">
        <v>2</v>
      </c>
      <c r="B6" s="8">
        <v>2</v>
      </c>
      <c r="C6" s="9" t="s">
        <v>62</v>
      </c>
      <c r="D6" s="12"/>
      <c r="E6" s="30">
        <v>104045.496</v>
      </c>
      <c r="F6" s="62">
        <f>E6</f>
        <v>104045.496</v>
      </c>
      <c r="G6" s="52">
        <f>E6-F6</f>
        <v>0</v>
      </c>
      <c r="H6" s="55">
        <f t="shared" ref="H6:H9" si="0">IF(G6&gt;0,G6*4%,0)</f>
        <v>0</v>
      </c>
      <c r="I6" s="10">
        <v>0</v>
      </c>
      <c r="J6" s="27">
        <f t="shared" ref="J6:J9" si="1">K$1/5</f>
        <v>139291.72</v>
      </c>
      <c r="K6" s="94">
        <f>K2*D6</f>
        <v>0</v>
      </c>
      <c r="L6" s="10">
        <f>J6+K6+H6+G6</f>
        <v>139291.72</v>
      </c>
      <c r="M6" s="28">
        <f t="shared" ref="M6:M9" si="2">L6*4%+L6</f>
        <v>144863.38880000002</v>
      </c>
    </row>
    <row r="7" spans="1:15" x14ac:dyDescent="0.3">
      <c r="A7" s="118">
        <v>3</v>
      </c>
      <c r="B7" s="8">
        <v>3</v>
      </c>
      <c r="C7" s="9" t="s">
        <v>60</v>
      </c>
      <c r="D7" s="12"/>
      <c r="E7" s="30">
        <v>247073.04560000001</v>
      </c>
      <c r="F7" s="62">
        <v>143028</v>
      </c>
      <c r="G7" s="52">
        <f t="shared" ref="G7:G8" si="3">E7-F7</f>
        <v>104045.04560000001</v>
      </c>
      <c r="H7" s="55">
        <f t="shared" si="0"/>
        <v>4161.8018240000001</v>
      </c>
      <c r="I7" s="10">
        <v>0</v>
      </c>
      <c r="J7" s="27">
        <f t="shared" si="1"/>
        <v>139291.72</v>
      </c>
      <c r="K7" s="94">
        <f>K2*D7</f>
        <v>0</v>
      </c>
      <c r="L7" s="10">
        <f>J7+K7+H7+G7</f>
        <v>247498.56742400001</v>
      </c>
      <c r="M7" s="28">
        <f t="shared" si="2"/>
        <v>257398.51012096001</v>
      </c>
    </row>
    <row r="8" spans="1:15" x14ac:dyDescent="0.3">
      <c r="A8" s="118">
        <v>4</v>
      </c>
      <c r="B8" s="8">
        <v>4</v>
      </c>
      <c r="C8" s="9" t="s">
        <v>71</v>
      </c>
      <c r="D8" s="12"/>
      <c r="E8" s="30">
        <v>247073.04560000001</v>
      </c>
      <c r="F8" s="62">
        <f>104045+143028</f>
        <v>247073</v>
      </c>
      <c r="G8" s="52">
        <f t="shared" si="3"/>
        <v>4.5600000012200326E-2</v>
      </c>
      <c r="H8" s="55">
        <f t="shared" si="0"/>
        <v>1.8240000004880132E-3</v>
      </c>
      <c r="I8" s="10">
        <v>0</v>
      </c>
      <c r="J8" s="27">
        <f t="shared" si="1"/>
        <v>139291.72</v>
      </c>
      <c r="K8" s="94">
        <f>K2*D8</f>
        <v>0</v>
      </c>
      <c r="L8" s="10">
        <f>J8+K8+H8+G8</f>
        <v>139291.76742400002</v>
      </c>
      <c r="M8" s="28">
        <f t="shared" si="2"/>
        <v>144863.43812096003</v>
      </c>
    </row>
    <row r="9" spans="1:15" ht="15" thickBot="1" x14ac:dyDescent="0.35">
      <c r="A9" s="119">
        <v>5</v>
      </c>
      <c r="B9" s="120">
        <v>5</v>
      </c>
      <c r="C9" s="121" t="s">
        <v>61</v>
      </c>
      <c r="D9" s="122"/>
      <c r="E9" s="123">
        <v>104045.496</v>
      </c>
      <c r="F9" s="124">
        <f>E9</f>
        <v>104045.496</v>
      </c>
      <c r="G9" s="125">
        <f>E9-F9</f>
        <v>0</v>
      </c>
      <c r="H9" s="126">
        <f t="shared" si="0"/>
        <v>0</v>
      </c>
      <c r="I9" s="127">
        <v>0</v>
      </c>
      <c r="J9" s="128">
        <f t="shared" si="1"/>
        <v>139291.72</v>
      </c>
      <c r="K9" s="129">
        <f>K2*D9</f>
        <v>0</v>
      </c>
      <c r="L9" s="127">
        <f>J9+K9+H9+G9</f>
        <v>139291.72</v>
      </c>
      <c r="M9" s="130">
        <f t="shared" si="2"/>
        <v>144863.38880000002</v>
      </c>
    </row>
    <row r="10" spans="1:15" ht="15" customHeight="1" thickBot="1" x14ac:dyDescent="0.35">
      <c r="A10" s="131" t="s">
        <v>8</v>
      </c>
      <c r="B10" s="132"/>
      <c r="C10" s="133"/>
      <c r="D10" s="134">
        <f t="shared" ref="D10:M10" si="4">SUM(D5:D9)</f>
        <v>0</v>
      </c>
      <c r="E10" s="136">
        <f t="shared" si="4"/>
        <v>810444.08319999999</v>
      </c>
      <c r="F10" s="136">
        <f>SUM(F5:F9)</f>
        <v>702241.99200000009</v>
      </c>
      <c r="G10" s="135">
        <f t="shared" si="4"/>
        <v>108202.09120000002</v>
      </c>
      <c r="H10" s="136">
        <f t="shared" si="4"/>
        <v>4328.0836480000007</v>
      </c>
      <c r="I10" s="139">
        <f t="shared" si="4"/>
        <v>0</v>
      </c>
      <c r="J10" s="138">
        <f t="shared" si="4"/>
        <v>696458.6</v>
      </c>
      <c r="K10" s="137">
        <f t="shared" si="4"/>
        <v>0</v>
      </c>
      <c r="L10" s="136">
        <f t="shared" si="4"/>
        <v>808988.77484799991</v>
      </c>
      <c r="M10" s="136">
        <f t="shared" si="4"/>
        <v>841348.32584192022</v>
      </c>
    </row>
    <row r="11" spans="1:15" ht="51.75" hidden="1" customHeight="1" thickBot="1" x14ac:dyDescent="0.35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</row>
    <row r="12" spans="1:15" ht="14.25" customHeight="1" x14ac:dyDescent="0.3">
      <c r="M12" s="6"/>
    </row>
    <row r="13" spans="1:15" hidden="1" x14ac:dyDescent="0.3">
      <c r="C13" s="145"/>
      <c r="D13" s="145"/>
      <c r="E13" s="145"/>
      <c r="F13" s="145"/>
      <c r="G13" s="145"/>
      <c r="H13" s="145"/>
      <c r="I13" s="145"/>
      <c r="J13" s="145"/>
      <c r="K13" s="145"/>
      <c r="L13" s="145"/>
    </row>
    <row r="14" spans="1:15" hidden="1" x14ac:dyDescent="0.3">
      <c r="C14" s="145"/>
      <c r="D14" s="145"/>
      <c r="E14" s="145"/>
      <c r="F14" s="145"/>
      <c r="G14" s="145"/>
      <c r="H14" s="145"/>
      <c r="I14" s="145"/>
      <c r="J14" s="145"/>
      <c r="K14" s="145"/>
      <c r="L14" s="145"/>
    </row>
    <row r="15" spans="1:15" hidden="1" x14ac:dyDescent="0.3">
      <c r="C15" s="145"/>
      <c r="D15" s="145"/>
      <c r="E15" s="145"/>
      <c r="F15" s="145"/>
      <c r="G15" s="145"/>
      <c r="H15" s="145"/>
      <c r="I15" s="145"/>
      <c r="J15" s="145"/>
      <c r="K15" s="145"/>
      <c r="L15" s="145"/>
    </row>
    <row r="16" spans="1:15" hidden="1" x14ac:dyDescent="0.3">
      <c r="C16" s="145"/>
      <c r="D16" s="145"/>
      <c r="E16" s="145"/>
      <c r="F16" s="145"/>
      <c r="G16" s="145"/>
      <c r="H16" s="145"/>
      <c r="I16" s="145"/>
      <c r="J16" s="145"/>
      <c r="K16" s="145"/>
      <c r="L16" s="145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8671875" defaultRowHeight="14.4" x14ac:dyDescent="0.3"/>
  <cols>
    <col min="3" max="3" width="13.109375" customWidth="1"/>
  </cols>
  <sheetData>
    <row r="1" spans="1:7" ht="18.600000000000001" thickBot="1" x14ac:dyDescent="0.4">
      <c r="A1" s="151" t="s">
        <v>24</v>
      </c>
      <c r="B1" s="152"/>
      <c r="C1" s="152"/>
      <c r="D1" s="152"/>
      <c r="E1" s="153"/>
      <c r="F1" s="70"/>
      <c r="G1" s="70"/>
    </row>
    <row r="2" spans="1:7" ht="15" thickBot="1" x14ac:dyDescent="0.35">
      <c r="A2" s="154" t="s">
        <v>50</v>
      </c>
      <c r="B2" s="155"/>
      <c r="C2" s="156"/>
      <c r="D2" s="157">
        <v>565</v>
      </c>
      <c r="E2" s="158"/>
      <c r="F2" s="71"/>
      <c r="G2" s="71"/>
    </row>
    <row r="3" spans="1:7" ht="15" thickTop="1" x14ac:dyDescent="0.3">
      <c r="A3" s="159" t="s">
        <v>0</v>
      </c>
      <c r="B3" s="159" t="s">
        <v>1</v>
      </c>
      <c r="C3" s="159" t="s">
        <v>2</v>
      </c>
      <c r="D3" s="161" t="s">
        <v>4</v>
      </c>
      <c r="E3" s="146" t="s">
        <v>51</v>
      </c>
      <c r="F3" s="146" t="s">
        <v>52</v>
      </c>
      <c r="G3" s="146" t="s">
        <v>44</v>
      </c>
    </row>
    <row r="4" spans="1:7" ht="15" thickBot="1" x14ac:dyDescent="0.35">
      <c r="A4" s="160"/>
      <c r="B4" s="160"/>
      <c r="C4" s="160"/>
      <c r="D4" s="162"/>
      <c r="E4" s="147"/>
      <c r="F4" s="147"/>
      <c r="G4" s="147"/>
    </row>
    <row r="5" spans="1:7" ht="15.6" thickTop="1" thickBot="1" x14ac:dyDescent="0.35">
      <c r="A5" s="72">
        <v>1</v>
      </c>
      <c r="B5" s="74" t="s">
        <v>26</v>
      </c>
      <c r="C5" s="75" t="s">
        <v>34</v>
      </c>
      <c r="D5" s="73">
        <v>0.1512</v>
      </c>
      <c r="E5" s="76">
        <v>85</v>
      </c>
      <c r="F5" s="76">
        <v>0</v>
      </c>
      <c r="G5" s="76">
        <v>0</v>
      </c>
    </row>
    <row r="6" spans="1:7" ht="15" thickBot="1" x14ac:dyDescent="0.35">
      <c r="A6" s="72">
        <v>2</v>
      </c>
      <c r="B6" s="74" t="s">
        <v>27</v>
      </c>
      <c r="C6" s="75" t="s">
        <v>35</v>
      </c>
      <c r="D6" s="73">
        <v>0.15690000000000001</v>
      </c>
      <c r="E6" s="76">
        <v>89</v>
      </c>
      <c r="F6" s="76">
        <v>0</v>
      </c>
      <c r="G6" s="76">
        <v>0</v>
      </c>
    </row>
    <row r="7" spans="1:7" ht="15" thickBot="1" x14ac:dyDescent="0.35">
      <c r="A7" s="72">
        <v>3</v>
      </c>
      <c r="B7" s="74" t="s">
        <v>28</v>
      </c>
      <c r="C7" s="75" t="s">
        <v>36</v>
      </c>
      <c r="D7" s="73">
        <v>0.15820000000000001</v>
      </c>
      <c r="E7" s="76">
        <v>89</v>
      </c>
      <c r="F7" s="76">
        <v>0</v>
      </c>
      <c r="G7" s="76">
        <v>0</v>
      </c>
    </row>
    <row r="8" spans="1:7" ht="18" customHeight="1" thickBot="1" x14ac:dyDescent="0.35">
      <c r="A8" s="72">
        <v>4</v>
      </c>
      <c r="B8" s="74" t="s">
        <v>30</v>
      </c>
      <c r="C8" s="86" t="s">
        <v>37</v>
      </c>
      <c r="D8" s="73">
        <v>0.19800000000000001</v>
      </c>
      <c r="E8" s="76">
        <v>112</v>
      </c>
      <c r="F8" s="76">
        <v>0</v>
      </c>
      <c r="G8" s="76">
        <v>0</v>
      </c>
    </row>
    <row r="9" spans="1:7" ht="15" thickBot="1" x14ac:dyDescent="0.35">
      <c r="A9" s="72">
        <v>5</v>
      </c>
      <c r="B9" s="74" t="s">
        <v>29</v>
      </c>
      <c r="C9" s="75" t="s">
        <v>32</v>
      </c>
      <c r="D9" s="73">
        <v>0.15920000000000001</v>
      </c>
      <c r="E9" s="76">
        <v>90</v>
      </c>
      <c r="F9" s="76">
        <v>0</v>
      </c>
      <c r="G9" s="76">
        <v>0</v>
      </c>
    </row>
    <row r="10" spans="1:7" ht="15" thickBot="1" x14ac:dyDescent="0.35">
      <c r="A10" s="77">
        <v>6</v>
      </c>
      <c r="B10" s="79" t="s">
        <v>31</v>
      </c>
      <c r="C10" s="80" t="s">
        <v>33</v>
      </c>
      <c r="D10" s="78">
        <v>0.17649999999999999</v>
      </c>
      <c r="E10" s="81">
        <v>100</v>
      </c>
      <c r="F10" s="81">
        <v>0</v>
      </c>
      <c r="G10" s="81">
        <v>0</v>
      </c>
    </row>
    <row r="11" spans="1:7" ht="15.6" thickTop="1" thickBot="1" x14ac:dyDescent="0.35">
      <c r="A11" s="82" t="s">
        <v>8</v>
      </c>
      <c r="B11" s="83"/>
      <c r="C11" s="83"/>
      <c r="D11" s="84">
        <v>1</v>
      </c>
      <c r="E11" s="84">
        <v>565</v>
      </c>
      <c r="F11" s="84" t="s">
        <v>53</v>
      </c>
      <c r="G11" s="85" t="s">
        <v>53</v>
      </c>
    </row>
    <row r="12" spans="1:7" ht="15.6" thickTop="1" thickBot="1" x14ac:dyDescent="0.35">
      <c r="A12" s="148"/>
      <c r="B12" s="149"/>
      <c r="C12" s="149"/>
      <c r="D12" s="149"/>
      <c r="E12" s="150"/>
      <c r="F12" s="70"/>
      <c r="G12" s="70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2026-06-30T14:44:50Z</cp:lastPrinted>
  <dcterms:created xsi:type="dcterms:W3CDTF">2020-12-10T00:27:53Z</dcterms:created>
  <dcterms:modified xsi:type="dcterms:W3CDTF">2026-07-28T21:28:03Z</dcterms:modified>
</cp:coreProperties>
</file>