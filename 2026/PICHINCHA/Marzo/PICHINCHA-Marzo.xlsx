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ICHINCHA\Marzo\"/>
    </mc:Choice>
  </mc:AlternateContent>
  <xr:revisionPtr revIDLastSave="0" documentId="13_ncr:1_{3A4C83A9-A069-455F-B666-DBF5FEA2B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gastos'!$A$1:$F$42</definedName>
    <definedName name="_xlnm.Print_Area" localSheetId="1">'prorrateo '!$A$1:$M$12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8" i="1"/>
  <c r="F6" i="1"/>
  <c r="C24" i="3" l="1"/>
  <c r="L4" i="1" l="1"/>
  <c r="C18" i="3" l="1"/>
  <c r="C25" i="3" s="1"/>
  <c r="G8" i="1"/>
  <c r="H8" i="1" s="1"/>
  <c r="G7" i="1"/>
  <c r="G6" i="1"/>
  <c r="C35" i="3" l="1"/>
  <c r="C36" i="3"/>
  <c r="J9" i="1"/>
  <c r="J6" i="1"/>
  <c r="J7" i="1"/>
  <c r="J8" i="1"/>
  <c r="J5" i="1"/>
  <c r="F14" i="3" l="1"/>
  <c r="A2" i="1"/>
  <c r="G9" i="1" l="1"/>
  <c r="C34" i="3" l="1"/>
  <c r="C37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18" i="3"/>
  <c r="J10" i="1"/>
  <c r="G10" i="1"/>
  <c r="H10" i="1"/>
  <c r="M10" i="1" l="1"/>
</calcChain>
</file>

<file path=xl/sharedStrings.xml><?xml version="1.0" encoding="utf-8"?>
<sst xmlns="http://schemas.openxmlformats.org/spreadsheetml/2006/main" count="88" uniqueCount="79">
  <si>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</si>
  <si>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</si>
  <si>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</si>
  <si>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</si>
  <si>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</si>
  <si>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</si>
  <si>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</si>
  <si>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</si>
  <si>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</si>
  <si>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</si>
  <si>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</si>
  <si>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</si>
  <si>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</si>
  <si>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</si>
  <si>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</si>
  <si>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</si>
  <si>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</si>
  <si>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</si>
  <si>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</si>
  <si>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</si>
  <si>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</si>
  <si>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</si>
  <si>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</si>
  <si>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</si>
  <si>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</si>
  <si>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</si>
  <si>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</si>
  <si>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</si>
  <si>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</si>
  <si>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</si>
  <si>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</si>
  <si>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</si>
  <si>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</si>
  <si>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</si>
  <si>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</si>
  <si>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</si>
  <si>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</si>
  <si>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</si>
  <si>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</si>
  <si>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</si>
  <si>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</si>
  <si>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</si>
  <si>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</si>
  <si>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</si>
  <si>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</si>
  <si>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</si>
  <si>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</si>
  <si>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</si>
  <si>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</si>
  <si>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</si>
  <si>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</si>
  <si>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</si>
  <si>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</si>
  <si>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</si>
  <si>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</si>
  <si>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</si>
  <si>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</si>
  <si>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</si>
  <si>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</si>
  <si>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</si>
  <si>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</si>
  <si>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</si>
  <si>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</si>
  <si>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</si>
  <si>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</si>
  <si>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</si>
  <si>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</si>
  <si>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</si>
  <si>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ARBA</t>
  </si>
  <si>
    <t>EDESUR</t>
  </si>
  <si>
    <t>SEGURO DE VIDA. SRA MONICA GOROSITO</t>
  </si>
  <si>
    <t>TSG</t>
  </si>
  <si>
    <t>-</t>
  </si>
  <si>
    <t>SUBIDOS EN EN3R0</t>
  </si>
  <si>
    <t>PREVISION ORDINARIA</t>
  </si>
  <si>
    <t>Vto. 17/04</t>
  </si>
  <si>
    <t>Liquidacion mes de MARZO</t>
  </si>
  <si>
    <t>MARZO</t>
  </si>
  <si>
    <t>DOARTERO JULIO - CAMBIO DE DOS AUTOMATICOS - MATERIALES Y 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</si>
</sst>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0" xfId="0" applyFont="1"/>
    <xf numFmtId="0" fontId="9" fillId="2" borderId="8" xfId="0" applyFont="1" applyFill="1" applyBorder="1"/>
    <xf numFmtId="0" fontId="10" fillId="2" borderId="0" xfId="0" applyFont="1" applyFill="1"/>
    <xf numFmtId="0" fontId="14" fillId="0" borderId="8" xfId="0" applyFont="1" applyBorder="1"/>
    <xf numFmtId="17" fontId="10" fillId="0" borderId="0" xfId="0" applyNumberFormat="1" applyFont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0" borderId="8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topLeftCell="A8" workbookViewId="0">
      <selection activeCell="C24" sqref="C12:C24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108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23"/>
      <c r="C5" s="3"/>
    </row>
    <row r="6" spans="1:8" x14ac:dyDescent="0.25">
      <c r="D6" s="29"/>
      <c r="E6" s="29"/>
      <c r="F6" s="29"/>
    </row>
    <row r="7" spans="1:8" x14ac:dyDescent="0.25">
      <c r="A7" s="24" t="s">
        <v>58</v>
      </c>
      <c r="B7" s="24"/>
      <c r="C7" s="67"/>
      <c r="D7" s="67"/>
      <c r="E7" s="24" t="s">
        <v>76</v>
      </c>
      <c r="F7" s="109" t="s">
        <v>75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11</v>
      </c>
    </row>
    <row r="11" spans="1:8" ht="15.75" thickBot="1" x14ac:dyDescent="0.3">
      <c r="A11" s="28" t="s">
        <v>10</v>
      </c>
      <c r="B11" s="29"/>
      <c r="C11" s="121"/>
      <c r="D11" s="5"/>
      <c r="E11" s="128" t="s">
        <v>22</v>
      </c>
      <c r="F11" s="128"/>
    </row>
    <row r="12" spans="1:8" x14ac:dyDescent="0.25">
      <c r="A12" s="51" t="s">
        <v>64</v>
      </c>
      <c r="B12" s="50"/>
      <c r="C12" s="119"/>
      <c r="D12" s="5"/>
      <c r="E12" s="55" t="s">
        <v>42</v>
      </c>
      <c r="F12" s="56">
        <v>-94900.571369267185</v>
      </c>
    </row>
    <row r="13" spans="1:8" x14ac:dyDescent="0.25">
      <c r="A13" s="122" t="s">
        <v>45</v>
      </c>
      <c r="B13" s="123"/>
      <c r="C13" s="119">
        <v>119977</v>
      </c>
      <c r="D13" s="42"/>
      <c r="E13" s="57" t="s">
        <v>7</v>
      </c>
      <c r="F13" s="58">
        <f>'prorrateo '!F10</f>
        <v>337233.93055999995</v>
      </c>
    </row>
    <row r="14" spans="1:8" ht="15.75" customHeight="1" x14ac:dyDescent="0.25">
      <c r="A14" s="122" t="s">
        <v>19</v>
      </c>
      <c r="B14" s="50" t="s">
        <v>77</v>
      </c>
      <c r="C14" s="79">
        <v>42700</v>
      </c>
      <c r="D14" s="5"/>
      <c r="E14" s="57" t="s">
        <v>20</v>
      </c>
      <c r="F14" s="58">
        <f>-(C35)</f>
        <v>-398812.47</v>
      </c>
      <c r="H14" t="s">
        <v>73</v>
      </c>
    </row>
    <row r="15" spans="1:8" x14ac:dyDescent="0.25">
      <c r="A15" s="122" t="s">
        <v>69</v>
      </c>
      <c r="B15" s="123"/>
      <c r="C15" s="117">
        <v>29782.720000000001</v>
      </c>
      <c r="E15" s="57"/>
      <c r="F15" s="58"/>
    </row>
    <row r="16" spans="1:8" x14ac:dyDescent="0.25">
      <c r="A16" s="122" t="s">
        <v>71</v>
      </c>
      <c r="B16" s="123"/>
      <c r="C16" s="117">
        <v>0</v>
      </c>
      <c r="D16" s="5"/>
      <c r="E16" s="57"/>
      <c r="F16" s="58"/>
    </row>
    <row r="17" spans="1:8" x14ac:dyDescent="0.25">
      <c r="A17" s="122" t="s">
        <v>68</v>
      </c>
      <c r="B17" s="123"/>
      <c r="C17" s="117">
        <v>0</v>
      </c>
      <c r="E17" s="57"/>
      <c r="F17" s="58"/>
      <c r="H17" s="106"/>
    </row>
    <row r="18" spans="1:8" ht="15.75" thickBot="1" x14ac:dyDescent="0.3">
      <c r="A18" s="124"/>
      <c r="B18" s="125"/>
      <c r="C18" s="86">
        <f>SUM(C12:C17)</f>
        <v>192459.72</v>
      </c>
      <c r="E18" s="59" t="s">
        <v>43</v>
      </c>
      <c r="F18" s="120">
        <f>SUM(F12:F17)</f>
        <v>-156479.11080926721</v>
      </c>
    </row>
    <row r="19" spans="1:8" x14ac:dyDescent="0.25">
      <c r="A19" s="126" t="s">
        <v>21</v>
      </c>
      <c r="B19" s="123"/>
      <c r="C19" s="111"/>
      <c r="D19" s="5"/>
      <c r="E19" s="19"/>
      <c r="F19" s="20"/>
    </row>
    <row r="20" spans="1:8" x14ac:dyDescent="0.25">
      <c r="A20" s="122" t="s">
        <v>63</v>
      </c>
      <c r="B20" s="127"/>
      <c r="C20" s="117">
        <v>71833</v>
      </c>
      <c r="D20" s="5"/>
      <c r="E20" s="19"/>
      <c r="F20" s="20"/>
    </row>
    <row r="21" spans="1:8" x14ac:dyDescent="0.25">
      <c r="A21" s="122" t="s">
        <v>70</v>
      </c>
      <c r="B21" s="127"/>
      <c r="C21" s="117">
        <v>4519.75</v>
      </c>
      <c r="D21" s="5"/>
      <c r="E21" s="19"/>
      <c r="F21" s="20"/>
    </row>
    <row r="22" spans="1:8" ht="18" customHeight="1" x14ac:dyDescent="0.25">
      <c r="A22" s="130" t="s">
        <v>78</v>
      </c>
      <c r="B22" s="131"/>
      <c r="C22" s="117">
        <v>130000</v>
      </c>
      <c r="D22" s="5"/>
      <c r="E22" s="19"/>
      <c r="F22" s="20"/>
    </row>
    <row r="23" spans="1:8" x14ac:dyDescent="0.25">
      <c r="A23" s="31" t="s">
        <v>74</v>
      </c>
      <c r="B23" s="34"/>
      <c r="C23" s="110"/>
      <c r="D23" s="5"/>
      <c r="E23" s="19"/>
      <c r="F23" s="20"/>
    </row>
    <row r="24" spans="1:8" x14ac:dyDescent="0.25">
      <c r="A24" s="32"/>
      <c r="B24" s="33"/>
      <c r="C24" s="107">
        <f>SUM(C19:C23)</f>
        <v>206352.75</v>
      </c>
      <c r="D24" s="5"/>
      <c r="E24" s="5"/>
      <c r="F24" s="54"/>
      <c r="G24" s="6"/>
    </row>
    <row r="25" spans="1:8" x14ac:dyDescent="0.25">
      <c r="A25" s="46" t="s">
        <v>12</v>
      </c>
      <c r="B25" s="47"/>
      <c r="C25" s="48">
        <f>+C24+C18</f>
        <v>398812.47</v>
      </c>
      <c r="D25" s="5"/>
      <c r="E25" s="19"/>
      <c r="F25" s="20"/>
    </row>
    <row r="26" spans="1:8" ht="14.25" customHeight="1" x14ac:dyDescent="0.25">
      <c r="A26" s="68" t="s">
        <v>24</v>
      </c>
      <c r="B26" s="81"/>
      <c r="C26" s="82"/>
      <c r="E26" s="19"/>
      <c r="F26" s="20"/>
    </row>
    <row r="27" spans="1:8" hidden="1" x14ac:dyDescent="0.25">
      <c r="A27" s="22" t="s">
        <v>24</v>
      </c>
    </row>
    <row r="28" spans="1:8" hidden="1" x14ac:dyDescent="0.25">
      <c r="A28" s="43"/>
      <c r="B28" s="29"/>
      <c r="C28" s="53"/>
      <c r="F28" s="6"/>
    </row>
    <row r="29" spans="1:8" hidden="1" x14ac:dyDescent="0.25">
      <c r="A29" s="51"/>
      <c r="B29" s="50"/>
      <c r="C29" s="52">
        <v>0</v>
      </c>
      <c r="F29" s="6"/>
    </row>
    <row r="30" spans="1:8" hidden="1" x14ac:dyDescent="0.25">
      <c r="A30" s="60"/>
      <c r="B30" s="61"/>
      <c r="C30" s="52">
        <v>0</v>
      </c>
      <c r="F30" s="6"/>
    </row>
    <row r="31" spans="1:8" x14ac:dyDescent="0.25">
      <c r="A31" s="77"/>
      <c r="B31" s="78"/>
      <c r="C31" s="80"/>
      <c r="F31" s="6"/>
    </row>
    <row r="32" spans="1:8" x14ac:dyDescent="0.25">
      <c r="A32" s="77"/>
      <c r="B32" s="84"/>
      <c r="C32" s="85"/>
      <c r="F32" s="6"/>
    </row>
    <row r="33" spans="1:6" x14ac:dyDescent="0.25">
      <c r="A33" s="77"/>
      <c r="B33" s="83"/>
      <c r="C33" s="80">
        <v>0</v>
      </c>
      <c r="F33" s="6"/>
    </row>
    <row r="34" spans="1:6" x14ac:dyDescent="0.25">
      <c r="A34" s="62" t="s">
        <v>23</v>
      </c>
      <c r="B34" s="63"/>
      <c r="C34" s="64">
        <f>SUM(C29:C33)</f>
        <v>0</v>
      </c>
    </row>
    <row r="35" spans="1:6" x14ac:dyDescent="0.25">
      <c r="A35" t="s">
        <v>54</v>
      </c>
      <c r="C35" s="52">
        <f>C25-C23</f>
        <v>398812.47</v>
      </c>
      <c r="F35" s="6"/>
    </row>
    <row r="36" spans="1:6" x14ac:dyDescent="0.25">
      <c r="A36" s="5" t="s">
        <v>49</v>
      </c>
      <c r="C36" s="76">
        <f>+C25</f>
        <v>398812.47</v>
      </c>
      <c r="F36" s="6"/>
    </row>
    <row r="37" spans="1:6" x14ac:dyDescent="0.25">
      <c r="A37" s="62" t="s">
        <v>13</v>
      </c>
      <c r="B37" s="63"/>
      <c r="C37" s="64">
        <f>+C25+C34</f>
        <v>398812.47</v>
      </c>
      <c r="E37" s="16"/>
    </row>
    <row r="42" spans="1:6" x14ac:dyDescent="0.25">
      <c r="D42" s="6"/>
    </row>
    <row r="43" spans="1:6" x14ac:dyDescent="0.25">
      <c r="D43" s="16"/>
      <c r="E43" s="16"/>
    </row>
    <row r="44" spans="1:6" x14ac:dyDescent="0.25">
      <c r="B44" s="129"/>
      <c r="C44" s="129"/>
      <c r="D44" s="129"/>
      <c r="E44" s="129"/>
    </row>
    <row r="45" spans="1:6" x14ac:dyDescent="0.25">
      <c r="B45" s="129"/>
      <c r="C45" s="129"/>
      <c r="D45" s="129"/>
      <c r="E45" s="129"/>
    </row>
    <row r="46" spans="1:6" x14ac:dyDescent="0.25">
      <c r="B46" s="129"/>
      <c r="C46" s="129"/>
      <c r="D46" s="129"/>
      <c r="E46" s="129"/>
    </row>
    <row r="58" spans="1:3" x14ac:dyDescent="0.25">
      <c r="A58" s="19"/>
      <c r="B58" s="18"/>
      <c r="C58" s="20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</sheetData>
  <mergeCells count="3">
    <mergeCell ref="E11:F11"/>
    <mergeCell ref="B44:E46"/>
    <mergeCell ref="A22:B2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5" sqref="F5:F9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4" t="s">
        <v>55</v>
      </c>
      <c r="B1" s="105"/>
      <c r="C1" s="105"/>
      <c r="D1" s="26"/>
      <c r="E1" s="25"/>
      <c r="F1" s="118"/>
      <c r="G1" s="25" t="s">
        <v>47</v>
      </c>
      <c r="H1" s="26"/>
      <c r="I1" s="26"/>
      <c r="J1" s="26"/>
      <c r="K1" s="70">
        <v>398812.47</v>
      </c>
      <c r="L1" s="70"/>
      <c r="M1" s="27"/>
    </row>
    <row r="2" spans="1:13" ht="15.75" thickBot="1" x14ac:dyDescent="0.3">
      <c r="A2" s="71" t="str">
        <f>'detalle y gastos'!E7</f>
        <v>Liquidacion mes de MARZO</v>
      </c>
      <c r="B2" s="72"/>
      <c r="C2" s="72"/>
      <c r="D2" s="73"/>
      <c r="E2" s="74"/>
      <c r="F2" s="73"/>
      <c r="G2" s="74" t="s">
        <v>48</v>
      </c>
      <c r="H2" s="73"/>
      <c r="I2" s="73"/>
      <c r="J2" s="73"/>
      <c r="K2" s="112"/>
      <c r="L2" s="112"/>
      <c r="M2" s="75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39" t="s">
        <v>14</v>
      </c>
      <c r="K3" s="113" t="s">
        <v>38</v>
      </c>
      <c r="L3" s="30" t="s">
        <v>67</v>
      </c>
      <c r="M3" s="7" t="s">
        <v>66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5">
        <v>0.04</v>
      </c>
      <c r="I4" s="7" t="s">
        <v>41</v>
      </c>
      <c r="J4" s="36" t="s">
        <v>15</v>
      </c>
      <c r="K4" s="114" t="s">
        <v>39</v>
      </c>
      <c r="L4" s="65" t="str">
        <f>'detalle y gastos'!F7</f>
        <v>Vto. 17/04</v>
      </c>
      <c r="M4" s="65" t="s">
        <v>65</v>
      </c>
    </row>
    <row r="5" spans="1:13" x14ac:dyDescent="0.25">
      <c r="A5" s="12">
        <v>1</v>
      </c>
      <c r="B5" s="13">
        <v>1</v>
      </c>
      <c r="C5" s="14" t="s">
        <v>59</v>
      </c>
      <c r="D5" s="17"/>
      <c r="E5" s="40">
        <v>110932.21399999999</v>
      </c>
      <c r="F5" s="79"/>
      <c r="G5" s="66">
        <f>E5-F5</f>
        <v>110932.21399999999</v>
      </c>
      <c r="H5" s="69">
        <f>IF(G5&gt;0,G5*4%,0)</f>
        <v>4437.28856</v>
      </c>
      <c r="I5" s="15">
        <v>0</v>
      </c>
      <c r="J5" s="37">
        <f>K$1/5</f>
        <v>79762.493999999992</v>
      </c>
      <c r="K5" s="115">
        <f>K2*D5</f>
        <v>0</v>
      </c>
      <c r="L5" s="15">
        <f>J5+K5+H5+G5</f>
        <v>195131.99656</v>
      </c>
      <c r="M5" s="38">
        <f>L5*4%+L5</f>
        <v>202937.2764224</v>
      </c>
    </row>
    <row r="6" spans="1:13" x14ac:dyDescent="0.25">
      <c r="A6" s="12">
        <v>2</v>
      </c>
      <c r="B6" s="13">
        <v>2</v>
      </c>
      <c r="C6" s="14" t="s">
        <v>62</v>
      </c>
      <c r="D6" s="17"/>
      <c r="E6" s="40">
        <v>115369.50255999999</v>
      </c>
      <c r="F6" s="79">
        <f>E6</f>
        <v>115369.50255999999</v>
      </c>
      <c r="G6" s="66">
        <f>E6-F6</f>
        <v>0</v>
      </c>
      <c r="H6" s="69">
        <f t="shared" ref="H6:H9" si="0">IF(G6&gt;0,G6*4%,0)</f>
        <v>0</v>
      </c>
      <c r="I6" s="15">
        <v>0</v>
      </c>
      <c r="J6" s="37">
        <f t="shared" ref="J6:J9" si="1">K$1/5</f>
        <v>79762.493999999992</v>
      </c>
      <c r="K6" s="115">
        <f>K2*D6</f>
        <v>0</v>
      </c>
      <c r="L6" s="15">
        <f>J6+K6+H6+G6</f>
        <v>79762.493999999992</v>
      </c>
      <c r="M6" s="38">
        <f t="shared" ref="M6:M9" si="2">L6*4%+L6</f>
        <v>82952.993759999998</v>
      </c>
    </row>
    <row r="7" spans="1:13" x14ac:dyDescent="0.25">
      <c r="A7" s="12">
        <v>3</v>
      </c>
      <c r="B7" s="13">
        <v>3</v>
      </c>
      <c r="C7" s="14" t="s">
        <v>60</v>
      </c>
      <c r="D7" s="17"/>
      <c r="E7" s="40">
        <v>110932.21399999999</v>
      </c>
      <c r="F7" s="79"/>
      <c r="G7" s="66">
        <f t="shared" ref="G7:G8" si="3">E7-F7</f>
        <v>110932.21399999999</v>
      </c>
      <c r="H7" s="69">
        <f t="shared" si="0"/>
        <v>4437.28856</v>
      </c>
      <c r="I7" s="15">
        <v>0</v>
      </c>
      <c r="J7" s="37">
        <f t="shared" si="1"/>
        <v>79762.493999999992</v>
      </c>
      <c r="K7" s="115">
        <f>K2*D7</f>
        <v>0</v>
      </c>
      <c r="L7" s="15">
        <f>J7+K7+H7+G7</f>
        <v>195131.99656</v>
      </c>
      <c r="M7" s="38">
        <f t="shared" si="2"/>
        <v>202937.2764224</v>
      </c>
    </row>
    <row r="8" spans="1:13" x14ac:dyDescent="0.25">
      <c r="A8" s="12">
        <v>4</v>
      </c>
      <c r="B8" s="13">
        <v>4</v>
      </c>
      <c r="C8" s="14" t="s">
        <v>72</v>
      </c>
      <c r="D8" s="17"/>
      <c r="E8" s="40">
        <v>110932.21399999999</v>
      </c>
      <c r="F8" s="79">
        <f>E8</f>
        <v>110932.21399999999</v>
      </c>
      <c r="G8" s="66">
        <f t="shared" si="3"/>
        <v>0</v>
      </c>
      <c r="H8" s="69">
        <f t="shared" si="0"/>
        <v>0</v>
      </c>
      <c r="I8" s="15">
        <v>0</v>
      </c>
      <c r="J8" s="37">
        <f t="shared" si="1"/>
        <v>79762.493999999992</v>
      </c>
      <c r="K8" s="115">
        <f>K2*D8</f>
        <v>0</v>
      </c>
      <c r="L8" s="15">
        <f>J8+K8+H8+G8</f>
        <v>79762.493999999992</v>
      </c>
      <c r="M8" s="38">
        <f t="shared" si="2"/>
        <v>82952.993759999998</v>
      </c>
    </row>
    <row r="9" spans="1:13" x14ac:dyDescent="0.25">
      <c r="A9" s="12">
        <v>5</v>
      </c>
      <c r="B9" s="13">
        <v>5</v>
      </c>
      <c r="C9" s="14" t="s">
        <v>61</v>
      </c>
      <c r="D9" s="17"/>
      <c r="E9" s="40">
        <v>110932.21399999999</v>
      </c>
      <c r="F9" s="79">
        <f>E9</f>
        <v>110932.21399999999</v>
      </c>
      <c r="G9" s="66">
        <f>E9-F9</f>
        <v>0</v>
      </c>
      <c r="H9" s="69">
        <f t="shared" si="0"/>
        <v>0</v>
      </c>
      <c r="I9" s="15">
        <v>0</v>
      </c>
      <c r="J9" s="37">
        <f t="shared" si="1"/>
        <v>79762.493999999992</v>
      </c>
      <c r="K9" s="115">
        <f>K2*D9</f>
        <v>0</v>
      </c>
      <c r="L9" s="15">
        <f>J9+K9+H9+G9</f>
        <v>79762.493999999992</v>
      </c>
      <c r="M9" s="38">
        <f t="shared" si="2"/>
        <v>82952.993759999998</v>
      </c>
    </row>
    <row r="10" spans="1:13" ht="15" customHeight="1" thickBot="1" x14ac:dyDescent="0.3">
      <c r="A10" s="8" t="s">
        <v>8</v>
      </c>
      <c r="B10" s="9"/>
      <c r="C10" s="10"/>
      <c r="D10" s="44">
        <f t="shared" ref="D10:M10" si="4">SUM(D5:D9)</f>
        <v>0</v>
      </c>
      <c r="E10" s="41">
        <f t="shared" si="4"/>
        <v>559098.35855999996</v>
      </c>
      <c r="F10" s="41">
        <f>SUM(F5:F9)</f>
        <v>337233.93055999995</v>
      </c>
      <c r="G10" s="49">
        <f t="shared" si="4"/>
        <v>221864.42799999999</v>
      </c>
      <c r="H10" s="49">
        <f t="shared" si="4"/>
        <v>8874.5771199999999</v>
      </c>
      <c r="I10" s="11">
        <f t="shared" si="4"/>
        <v>0</v>
      </c>
      <c r="J10" s="45">
        <f t="shared" si="4"/>
        <v>398812.47</v>
      </c>
      <c r="K10" s="45">
        <f t="shared" si="4"/>
        <v>0</v>
      </c>
      <c r="L10" s="116">
        <f t="shared" si="4"/>
        <v>629551.47511999996</v>
      </c>
      <c r="M10" s="116">
        <f t="shared" si="4"/>
        <v>654733.5341248</v>
      </c>
    </row>
    <row r="11" spans="1:13" ht="51.75" hidden="1" customHeight="1" thickBot="1" x14ac:dyDescent="0.3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</row>
    <row r="12" spans="1:13" ht="14.25" customHeight="1" x14ac:dyDescent="0.25">
      <c r="M12" s="6"/>
    </row>
    <row r="13" spans="1:13" hidden="1" x14ac:dyDescent="0.25">
      <c r="C13" s="133"/>
      <c r="D13" s="133"/>
      <c r="E13" s="133"/>
      <c r="F13" s="133"/>
      <c r="G13" s="133"/>
      <c r="H13" s="133"/>
      <c r="I13" s="133"/>
      <c r="J13" s="133"/>
      <c r="K13" s="133"/>
      <c r="L13" s="133"/>
    </row>
    <row r="14" spans="1:13" hidden="1" x14ac:dyDescent="0.25">
      <c r="C14" s="133"/>
      <c r="D14" s="133"/>
      <c r="E14" s="133"/>
      <c r="F14" s="133"/>
      <c r="G14" s="133"/>
      <c r="H14" s="133"/>
      <c r="I14" s="133"/>
      <c r="J14" s="133"/>
      <c r="K14" s="133"/>
      <c r="L14" s="133"/>
    </row>
    <row r="15" spans="1:13" hidden="1" x14ac:dyDescent="0.25">
      <c r="C15" s="133"/>
      <c r="D15" s="133"/>
      <c r="E15" s="133"/>
      <c r="F15" s="133"/>
      <c r="G15" s="133"/>
      <c r="H15" s="133"/>
      <c r="I15" s="133"/>
      <c r="J15" s="133"/>
      <c r="K15" s="133"/>
      <c r="L15" s="133"/>
    </row>
    <row r="16" spans="1:13" hidden="1" x14ac:dyDescent="0.25">
      <c r="C16" s="133"/>
      <c r="D16" s="133"/>
      <c r="E16" s="133"/>
      <c r="F16" s="133"/>
      <c r="G16" s="133"/>
      <c r="H16" s="133"/>
      <c r="I16" s="133"/>
      <c r="J16" s="133"/>
      <c r="K16" s="133"/>
      <c r="L16" s="133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39" t="s">
        <v>24</v>
      </c>
      <c r="B1" s="140"/>
      <c r="C1" s="140"/>
      <c r="D1" s="140"/>
      <c r="E1" s="141"/>
      <c r="F1" s="87"/>
      <c r="G1" s="87"/>
    </row>
    <row r="2" spans="1:7" ht="15.75" thickBot="1" x14ac:dyDescent="0.3">
      <c r="A2" s="142" t="s">
        <v>50</v>
      </c>
      <c r="B2" s="143"/>
      <c r="C2" s="144"/>
      <c r="D2" s="145">
        <v>565</v>
      </c>
      <c r="E2" s="146"/>
      <c r="F2" s="88"/>
      <c r="G2" s="88"/>
    </row>
    <row r="3" spans="1:7" ht="15.75" thickTop="1" x14ac:dyDescent="0.25">
      <c r="A3" s="147" t="s">
        <v>0</v>
      </c>
      <c r="B3" s="147" t="s">
        <v>1</v>
      </c>
      <c r="C3" s="147" t="s">
        <v>2</v>
      </c>
      <c r="D3" s="149" t="s">
        <v>4</v>
      </c>
      <c r="E3" s="134" t="s">
        <v>51</v>
      </c>
      <c r="F3" s="134" t="s">
        <v>52</v>
      </c>
      <c r="G3" s="134" t="s">
        <v>44</v>
      </c>
    </row>
    <row r="4" spans="1:7" ht="15.75" thickBot="1" x14ac:dyDescent="0.3">
      <c r="A4" s="148"/>
      <c r="B4" s="148"/>
      <c r="C4" s="148"/>
      <c r="D4" s="150"/>
      <c r="E4" s="135"/>
      <c r="F4" s="135"/>
      <c r="G4" s="135"/>
    </row>
    <row r="5" spans="1:7" ht="16.5" thickTop="1" thickBot="1" x14ac:dyDescent="0.3">
      <c r="A5" s="89">
        <v>1</v>
      </c>
      <c r="B5" s="91" t="s">
        <v>26</v>
      </c>
      <c r="C5" s="92" t="s">
        <v>34</v>
      </c>
      <c r="D5" s="90">
        <v>0.1512</v>
      </c>
      <c r="E5" s="93">
        <v>85</v>
      </c>
      <c r="F5" s="93">
        <v>0</v>
      </c>
      <c r="G5" s="93">
        <v>0</v>
      </c>
    </row>
    <row r="6" spans="1:7" ht="15.75" thickBot="1" x14ac:dyDescent="0.3">
      <c r="A6" s="89">
        <v>2</v>
      </c>
      <c r="B6" s="91" t="s">
        <v>27</v>
      </c>
      <c r="C6" s="92" t="s">
        <v>35</v>
      </c>
      <c r="D6" s="90">
        <v>0.15690000000000001</v>
      </c>
      <c r="E6" s="93">
        <v>89</v>
      </c>
      <c r="F6" s="93">
        <v>0</v>
      </c>
      <c r="G6" s="93">
        <v>0</v>
      </c>
    </row>
    <row r="7" spans="1:7" ht="15.75" thickBot="1" x14ac:dyDescent="0.3">
      <c r="A7" s="89">
        <v>3</v>
      </c>
      <c r="B7" s="91" t="s">
        <v>28</v>
      </c>
      <c r="C7" s="92" t="s">
        <v>36</v>
      </c>
      <c r="D7" s="90">
        <v>0.15820000000000001</v>
      </c>
      <c r="E7" s="93">
        <v>89</v>
      </c>
      <c r="F7" s="93">
        <v>0</v>
      </c>
      <c r="G7" s="93">
        <v>0</v>
      </c>
    </row>
    <row r="8" spans="1:7" ht="18" customHeight="1" thickBot="1" x14ac:dyDescent="0.3">
      <c r="A8" s="89">
        <v>4</v>
      </c>
      <c r="B8" s="91" t="s">
        <v>30</v>
      </c>
      <c r="C8" s="103" t="s">
        <v>37</v>
      </c>
      <c r="D8" s="90">
        <v>0.19800000000000001</v>
      </c>
      <c r="E8" s="93">
        <v>112</v>
      </c>
      <c r="F8" s="93">
        <v>0</v>
      </c>
      <c r="G8" s="93">
        <v>0</v>
      </c>
    </row>
    <row r="9" spans="1:7" ht="15.75" thickBot="1" x14ac:dyDescent="0.3">
      <c r="A9" s="89">
        <v>5</v>
      </c>
      <c r="B9" s="91" t="s">
        <v>29</v>
      </c>
      <c r="C9" s="92" t="s">
        <v>32</v>
      </c>
      <c r="D9" s="90">
        <v>0.15920000000000001</v>
      </c>
      <c r="E9" s="93">
        <v>90</v>
      </c>
      <c r="F9" s="93">
        <v>0</v>
      </c>
      <c r="G9" s="93">
        <v>0</v>
      </c>
    </row>
    <row r="10" spans="1:7" ht="15.75" thickBot="1" x14ac:dyDescent="0.3">
      <c r="A10" s="94">
        <v>6</v>
      </c>
      <c r="B10" s="96" t="s">
        <v>31</v>
      </c>
      <c r="C10" s="97" t="s">
        <v>33</v>
      </c>
      <c r="D10" s="95">
        <v>0.17649999999999999</v>
      </c>
      <c r="E10" s="98">
        <v>100</v>
      </c>
      <c r="F10" s="98">
        <v>0</v>
      </c>
      <c r="G10" s="98">
        <v>0</v>
      </c>
    </row>
    <row r="11" spans="1:7" ht="16.5" thickTop="1" thickBot="1" x14ac:dyDescent="0.3">
      <c r="A11" s="99" t="s">
        <v>8</v>
      </c>
      <c r="B11" s="100"/>
      <c r="C11" s="100"/>
      <c r="D11" s="101">
        <v>1</v>
      </c>
      <c r="E11" s="101">
        <v>565</v>
      </c>
      <c r="F11" s="101" t="s">
        <v>53</v>
      </c>
      <c r="G11" s="102" t="s">
        <v>53</v>
      </c>
    </row>
    <row r="12" spans="1:7" ht="16.5" thickTop="1" thickBot="1" x14ac:dyDescent="0.3">
      <c r="A12" s="136"/>
      <c r="B12" s="137"/>
      <c r="C12" s="137"/>
      <c r="D12" s="137"/>
      <c r="E12" s="138"/>
      <c r="F12" s="87"/>
      <c r="G12" s="87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2026-04-02T14:08:17Z</cp:lastPrinted>
  <dcterms:created xsi:type="dcterms:W3CDTF">2020-12-10T00:27:53Z</dcterms:created>
  <dcterms:modified xsi:type="dcterms:W3CDTF">2026-04-02T14:08:25Z</dcterms:modified>
</cp:coreProperties>
</file>