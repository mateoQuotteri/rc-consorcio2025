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6\PICHINCHA\ENERO\"/>
    </mc:Choice>
  </mc:AlternateContent>
  <xr:revisionPtr revIDLastSave="0" documentId="13_ncr:1_{5BF30585-C3BC-425C-9A4C-DFB6E89D00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gastos'!$A$1:$F$46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6" i="1" l="1"/>
  <c r="F8" i="1"/>
  <c r="F9" i="1"/>
  <c r="C28" i="3" l="1"/>
  <c r="L4" i="1" l="1"/>
  <c r="C21" i="3" l="1"/>
  <c r="C29" i="3" s="1"/>
  <c r="G8" i="1"/>
  <c r="H8" i="1" s="1"/>
  <c r="G7" i="1"/>
  <c r="G6" i="1"/>
  <c r="C39" i="3" l="1"/>
  <c r="C40" i="3"/>
  <c r="J9" i="1"/>
  <c r="J6" i="1"/>
  <c r="J7" i="1"/>
  <c r="J8" i="1"/>
  <c r="J5" i="1"/>
  <c r="F15" i="3" l="1"/>
  <c r="A2" i="1"/>
  <c r="G9" i="1" l="1"/>
  <c r="C38" i="3" l="1"/>
  <c r="C41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4" i="3" s="1"/>
  <c r="D10" i="1"/>
  <c r="E10" i="1"/>
  <c r="M9" i="1" l="1"/>
  <c r="L10" i="1"/>
  <c r="F21" i="3"/>
  <c r="J10" i="1"/>
  <c r="G10" i="1"/>
  <c r="H10" i="1"/>
  <c r="M10" i="1" l="1"/>
</calcChain>
</file>

<file path=xl/sharedStrings.xml><?xml version="1.0" encoding="utf-8"?>
<sst xmlns="http://schemas.openxmlformats.org/spreadsheetml/2006/main" count="93" uniqueCount="83">
  <si>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</si>
  <si>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</si>
  <si>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</si>
  <si>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</si>
  <si>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</si>
  <si>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</si>
  <si>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</si>
  <si>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</si>
  <si>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</si>
  <si>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</si>
  <si>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</si>
  <si>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</si>
  <si>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</si>
  <si>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</si>
  <si>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</si>
  <si>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</si>
  <si>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</si>
  <si>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</si>
  <si>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</si>
  <si>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</si>
  <si>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</si>
  <si>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</si>
  <si>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</si>
  <si>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</si>
  <si>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</si>
  <si>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</si>
  <si>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</si>
  <si>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</si>
  <si>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</si>
  <si>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</si>
  <si>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</si>
  <si>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</si>
  <si>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</si>
  <si>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</si>
  <si>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</si>
  <si>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</si>
  <si>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</si>
  <si>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</si>
  <si>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</si>
  <si>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</si>
  <si>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</si>
  <si>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</si>
  <si>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</si>
  <si>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</si>
  <si>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</si>
  <si>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</si>
  <si>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</si>
  <si>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</si>
  <si>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</si>
  <si>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</si>
  <si>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</si>
  <si>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</si>
  <si>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</si>
  <si>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</si>
  <si>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</si>
  <si>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</si>
  <si>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</si>
  <si>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</si>
  <si>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</si>
  <si>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</si>
  <si>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</si>
  <si>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</si>
  <si>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</si>
  <si>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</si>
  <si>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</si>
  <si>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</si>
  <si>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</si>
  <si>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</si>
  <si>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</si>
  <si>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</si>
  <si>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</si>
  <si>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</si>
  <si>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SEGURO DE VIDA. SRA MONICA GOROSITO</t>
  </si>
  <si>
    <t>TSG</t>
  </si>
  <si>
    <t>-</t>
  </si>
  <si>
    <t>Articulos de limpieza</t>
  </si>
  <si>
    <t>Julio doartero - Reparacion de porton</t>
  </si>
  <si>
    <t>Prevision Ordinaria</t>
  </si>
  <si>
    <t>Vto. 16/02</t>
  </si>
  <si>
    <t>Liquidacion mes de ENERO</t>
  </si>
  <si>
    <t>ENERO</t>
  </si>
  <si>
    <t>SUBIDOS EN EN3R0</t>
  </si>
  <si>
    <t>Pendiente articulos de limpieza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</si>
</sst>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1" fillId="0" borderId="16" xfId="0" applyFont="1" applyBorder="1"/>
    <xf numFmtId="164" fontId="10" fillId="0" borderId="21" xfId="2" applyFont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9" borderId="0" xfId="0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tabSelected="1" topLeftCell="A13" workbookViewId="0">
      <selection activeCell="D18" sqref="D18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8" x14ac:dyDescent="0.25">
      <c r="B1" t="s">
        <v>57</v>
      </c>
    </row>
    <row r="2" spans="1:8" x14ac:dyDescent="0.25">
      <c r="B2" t="s">
        <v>18</v>
      </c>
      <c r="C2" s="110" t="s">
        <v>56</v>
      </c>
    </row>
    <row r="3" spans="1:8" x14ac:dyDescent="0.25">
      <c r="B3" t="s">
        <v>9</v>
      </c>
    </row>
    <row r="4" spans="1:8" x14ac:dyDescent="0.25">
      <c r="B4" s="4" t="s">
        <v>6</v>
      </c>
    </row>
    <row r="5" spans="1:8" ht="8.25" customHeight="1" x14ac:dyDescent="0.25">
      <c r="A5" s="3"/>
      <c r="B5" s="23"/>
      <c r="C5" s="3"/>
    </row>
    <row r="6" spans="1:8" x14ac:dyDescent="0.25">
      <c r="D6" s="29"/>
      <c r="E6" s="29"/>
      <c r="F6" s="29"/>
    </row>
    <row r="7" spans="1:8" x14ac:dyDescent="0.25">
      <c r="A7" s="24" t="s">
        <v>58</v>
      </c>
      <c r="B7" s="24"/>
      <c r="C7" s="68"/>
      <c r="D7" s="68"/>
      <c r="E7" s="24" t="s">
        <v>79</v>
      </c>
      <c r="F7" s="111" t="s">
        <v>78</v>
      </c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22" t="s">
        <v>11</v>
      </c>
    </row>
    <row r="11" spans="1:8" ht="15.75" thickBot="1" x14ac:dyDescent="0.3">
      <c r="A11" s="28" t="s">
        <v>10</v>
      </c>
      <c r="B11" s="29"/>
      <c r="C11" s="125"/>
      <c r="D11" s="5"/>
      <c r="E11" s="126" t="s">
        <v>22</v>
      </c>
      <c r="F11" s="126"/>
    </row>
    <row r="12" spans="1:8" x14ac:dyDescent="0.25">
      <c r="A12" s="107" t="s">
        <v>64</v>
      </c>
      <c r="B12" s="108"/>
      <c r="C12" s="121">
        <v>18158.46</v>
      </c>
      <c r="D12" s="5"/>
      <c r="E12" s="56" t="s">
        <v>42</v>
      </c>
      <c r="F12" s="57">
        <v>-166692.01777246734</v>
      </c>
    </row>
    <row r="13" spans="1:8" x14ac:dyDescent="0.25">
      <c r="A13" s="107" t="s">
        <v>64</v>
      </c>
      <c r="B13" s="108"/>
      <c r="C13" s="121">
        <v>0</v>
      </c>
      <c r="D13" s="5"/>
      <c r="E13" s="122"/>
      <c r="F13" s="123"/>
    </row>
    <row r="14" spans="1:8" x14ac:dyDescent="0.25">
      <c r="A14" s="31" t="s">
        <v>45</v>
      </c>
      <c r="C14" s="121">
        <v>119977</v>
      </c>
      <c r="D14" s="43"/>
      <c r="E14" s="58" t="s">
        <v>7</v>
      </c>
      <c r="F14" s="59">
        <f>'prorrateo '!F10</f>
        <v>360609.52800000005</v>
      </c>
    </row>
    <row r="15" spans="1:8" ht="15.75" customHeight="1" x14ac:dyDescent="0.25">
      <c r="A15" s="31" t="s">
        <v>19</v>
      </c>
      <c r="B15" s="108" t="s">
        <v>80</v>
      </c>
      <c r="C15" s="80">
        <v>42700</v>
      </c>
      <c r="D15" s="5"/>
      <c r="E15" s="58" t="s">
        <v>20</v>
      </c>
      <c r="F15" s="59">
        <f>-(C39)</f>
        <v>-363717.38</v>
      </c>
      <c r="H15" t="s">
        <v>81</v>
      </c>
    </row>
    <row r="16" spans="1:8" x14ac:dyDescent="0.25">
      <c r="A16" s="31" t="s">
        <v>70</v>
      </c>
      <c r="B16" s="108"/>
      <c r="C16" s="119">
        <v>106529.17</v>
      </c>
      <c r="D16" s="5"/>
      <c r="E16" s="58"/>
      <c r="F16" s="59"/>
    </row>
    <row r="17" spans="1:8" x14ac:dyDescent="0.25">
      <c r="A17" s="31" t="s">
        <v>68</v>
      </c>
      <c r="B17" s="108"/>
      <c r="C17" s="119">
        <v>0</v>
      </c>
      <c r="D17" s="5"/>
      <c r="E17" s="58"/>
      <c r="F17" s="59"/>
    </row>
    <row r="18" spans="1:8" x14ac:dyDescent="0.25">
      <c r="A18" s="31" t="s">
        <v>71</v>
      </c>
      <c r="C18" s="119">
        <v>0</v>
      </c>
      <c r="D18" s="149" t="s">
        <v>82</v>
      </c>
      <c r="E18" s="58"/>
      <c r="F18" s="59"/>
    </row>
    <row r="19" spans="1:8" x14ac:dyDescent="0.25">
      <c r="A19" s="31" t="s">
        <v>73</v>
      </c>
      <c r="C19" s="119">
        <v>0</v>
      </c>
      <c r="D19" s="5"/>
      <c r="E19" s="58"/>
      <c r="F19" s="59"/>
    </row>
    <row r="20" spans="1:8" x14ac:dyDescent="0.25">
      <c r="A20" s="31" t="s">
        <v>69</v>
      </c>
      <c r="C20" s="119">
        <v>0</v>
      </c>
      <c r="E20" s="58"/>
      <c r="F20" s="59"/>
      <c r="H20" s="108"/>
    </row>
    <row r="21" spans="1:8" ht="15.75" thickBot="1" x14ac:dyDescent="0.3">
      <c r="A21" s="32"/>
      <c r="B21" s="33"/>
      <c r="C21" s="87">
        <f>SUM(C12:C20)</f>
        <v>287364.63</v>
      </c>
      <c r="E21" s="60" t="s">
        <v>43</v>
      </c>
      <c r="F21" s="124">
        <f>SUM(F12:F20)</f>
        <v>-169799.8697724673</v>
      </c>
    </row>
    <row r="22" spans="1:8" x14ac:dyDescent="0.25">
      <c r="A22" s="34" t="s">
        <v>21</v>
      </c>
      <c r="C22" s="113"/>
      <c r="D22" s="5"/>
      <c r="E22" s="19"/>
      <c r="F22" s="20"/>
    </row>
    <row r="23" spans="1:8" x14ac:dyDescent="0.25">
      <c r="A23" s="31" t="s">
        <v>63</v>
      </c>
      <c r="B23" s="35"/>
      <c r="C23" s="119">
        <v>71833</v>
      </c>
      <c r="D23" s="5"/>
      <c r="E23" s="19"/>
      <c r="F23" s="20"/>
    </row>
    <row r="24" spans="1:8" x14ac:dyDescent="0.25">
      <c r="A24" s="31" t="s">
        <v>72</v>
      </c>
      <c r="B24" s="35"/>
      <c r="C24" s="119">
        <v>4519.75</v>
      </c>
      <c r="D24" s="5"/>
      <c r="E24" s="19"/>
      <c r="F24" s="20"/>
    </row>
    <row r="25" spans="1:8" x14ac:dyDescent="0.25">
      <c r="A25" s="31" t="s">
        <v>75</v>
      </c>
      <c r="B25" s="35"/>
      <c r="C25" s="119">
        <v>0</v>
      </c>
      <c r="D25" s="5"/>
      <c r="E25" s="19"/>
      <c r="F25" s="20"/>
    </row>
    <row r="26" spans="1:8" ht="18" customHeight="1" x14ac:dyDescent="0.25">
      <c r="A26" s="128" t="s">
        <v>76</v>
      </c>
      <c r="B26" s="129"/>
      <c r="C26" s="119"/>
      <c r="D26" s="5"/>
      <c r="E26" s="19"/>
      <c r="F26" s="20"/>
    </row>
    <row r="27" spans="1:8" x14ac:dyDescent="0.25">
      <c r="A27" s="31" t="s">
        <v>77</v>
      </c>
      <c r="B27" s="35"/>
      <c r="C27" s="112"/>
      <c r="D27" s="5"/>
      <c r="E27" s="19"/>
      <c r="F27" s="20"/>
    </row>
    <row r="28" spans="1:8" x14ac:dyDescent="0.25">
      <c r="A28" s="32"/>
      <c r="B28" s="33"/>
      <c r="C28" s="109">
        <f>SUM(C22:C27)</f>
        <v>76352.75</v>
      </c>
      <c r="D28" s="5"/>
      <c r="E28" s="5"/>
      <c r="F28" s="55"/>
      <c r="G28" s="6"/>
    </row>
    <row r="29" spans="1:8" x14ac:dyDescent="0.25">
      <c r="A29" s="47" t="s">
        <v>12</v>
      </c>
      <c r="B29" s="48"/>
      <c r="C29" s="49">
        <f>+C28+C21</f>
        <v>363717.38</v>
      </c>
      <c r="D29" s="5"/>
      <c r="E29" s="19"/>
      <c r="F29" s="20"/>
    </row>
    <row r="30" spans="1:8" ht="14.25" customHeight="1" x14ac:dyDescent="0.25">
      <c r="A30" s="69" t="s">
        <v>24</v>
      </c>
      <c r="B30" s="82"/>
      <c r="C30" s="83"/>
      <c r="E30" s="19"/>
      <c r="F30" s="20"/>
    </row>
    <row r="31" spans="1:8" hidden="1" x14ac:dyDescent="0.25">
      <c r="A31" s="22" t="s">
        <v>24</v>
      </c>
    </row>
    <row r="32" spans="1:8" hidden="1" x14ac:dyDescent="0.25">
      <c r="A32" s="44"/>
      <c r="B32" s="29"/>
      <c r="C32" s="54"/>
      <c r="F32" s="6"/>
    </row>
    <row r="33" spans="1:6" hidden="1" x14ac:dyDescent="0.25">
      <c r="A33" s="52"/>
      <c r="B33" s="51"/>
      <c r="C33" s="53">
        <v>0</v>
      </c>
      <c r="F33" s="6"/>
    </row>
    <row r="34" spans="1:6" hidden="1" x14ac:dyDescent="0.25">
      <c r="A34" s="61"/>
      <c r="B34" s="62"/>
      <c r="C34" s="53">
        <v>0</v>
      </c>
      <c r="F34" s="6"/>
    </row>
    <row r="35" spans="1:6" x14ac:dyDescent="0.25">
      <c r="A35" s="78"/>
      <c r="B35" s="79"/>
      <c r="C35" s="81"/>
      <c r="F35" s="6"/>
    </row>
    <row r="36" spans="1:6" x14ac:dyDescent="0.25">
      <c r="A36" s="78"/>
      <c r="B36" s="85"/>
      <c r="C36" s="86"/>
      <c r="F36" s="6"/>
    </row>
    <row r="37" spans="1:6" x14ac:dyDescent="0.25">
      <c r="A37" s="78"/>
      <c r="B37" s="84"/>
      <c r="C37" s="81">
        <v>0</v>
      </c>
      <c r="F37" s="6"/>
    </row>
    <row r="38" spans="1:6" x14ac:dyDescent="0.25">
      <c r="A38" s="63" t="s">
        <v>23</v>
      </c>
      <c r="B38" s="64"/>
      <c r="C38" s="65">
        <f>SUM(C33:C37)</f>
        <v>0</v>
      </c>
    </row>
    <row r="39" spans="1:6" x14ac:dyDescent="0.25">
      <c r="A39" t="s">
        <v>54</v>
      </c>
      <c r="C39" s="53">
        <f>C29-C27</f>
        <v>363717.38</v>
      </c>
      <c r="F39" s="6"/>
    </row>
    <row r="40" spans="1:6" x14ac:dyDescent="0.25">
      <c r="A40" s="5" t="s">
        <v>49</v>
      </c>
      <c r="C40" s="77">
        <f>+C29</f>
        <v>363717.38</v>
      </c>
      <c r="F40" s="6"/>
    </row>
    <row r="41" spans="1:6" x14ac:dyDescent="0.25">
      <c r="A41" s="63" t="s">
        <v>13</v>
      </c>
      <c r="B41" s="64"/>
      <c r="C41" s="65">
        <f>+C29+C38</f>
        <v>363717.38</v>
      </c>
      <c r="E41" s="16"/>
    </row>
    <row r="46" spans="1:6" x14ac:dyDescent="0.25">
      <c r="D46" s="6"/>
    </row>
    <row r="47" spans="1:6" x14ac:dyDescent="0.25">
      <c r="D47" s="16"/>
      <c r="E47" s="16"/>
    </row>
    <row r="48" spans="1:6" x14ac:dyDescent="0.25">
      <c r="B48" s="127"/>
      <c r="C48" s="127"/>
      <c r="D48" s="127"/>
      <c r="E48" s="127"/>
    </row>
    <row r="49" spans="1:5" x14ac:dyDescent="0.25">
      <c r="B49" s="127"/>
      <c r="C49" s="127"/>
      <c r="D49" s="127"/>
      <c r="E49" s="127"/>
    </row>
    <row r="50" spans="1:5" x14ac:dyDescent="0.25">
      <c r="B50" s="127"/>
      <c r="C50" s="127"/>
      <c r="D50" s="127"/>
      <c r="E50" s="127"/>
    </row>
    <row r="62" spans="1:5" x14ac:dyDescent="0.25">
      <c r="A62" s="19"/>
      <c r="B62" s="18"/>
      <c r="C62" s="20"/>
    </row>
    <row r="63" spans="1:5" x14ac:dyDescent="0.25">
      <c r="A63" s="18"/>
      <c r="B63" s="18"/>
      <c r="C63" s="18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</sheetData>
  <mergeCells count="3">
    <mergeCell ref="E11:F11"/>
    <mergeCell ref="B48:E50"/>
    <mergeCell ref="A26:B26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120"/>
      <c r="G1" s="25" t="s">
        <v>47</v>
      </c>
      <c r="H1" s="26"/>
      <c r="I1" s="26"/>
      <c r="J1" s="26"/>
      <c r="K1" s="71">
        <v>363717.38</v>
      </c>
      <c r="L1" s="71"/>
      <c r="M1" s="27"/>
    </row>
    <row r="2" spans="1:13" ht="15.75" thickBot="1" x14ac:dyDescent="0.3">
      <c r="A2" s="72" t="str">
        <f>'detalle y gastos'!E7</f>
        <v>Liquidacion mes de ENERO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67</v>
      </c>
      <c r="M3" s="7" t="s">
        <v>66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16/02</v>
      </c>
      <c r="M4" s="66" t="s">
        <v>65</v>
      </c>
    </row>
    <row r="5" spans="1:13" x14ac:dyDescent="0.25">
      <c r="A5" s="12">
        <v>1</v>
      </c>
      <c r="B5" s="13">
        <v>1</v>
      </c>
      <c r="C5" s="14" t="s">
        <v>59</v>
      </c>
      <c r="D5" s="17"/>
      <c r="E5" s="41">
        <v>120203.17600000001</v>
      </c>
      <c r="F5" s="80"/>
      <c r="G5" s="67">
        <f>E5-F5</f>
        <v>120203.17600000001</v>
      </c>
      <c r="H5" s="70">
        <f>IF(G5&gt;0,G5*4%,0)</f>
        <v>4808.1270400000003</v>
      </c>
      <c r="I5" s="15">
        <v>0</v>
      </c>
      <c r="J5" s="38">
        <f>K$1/5</f>
        <v>72743.475999999995</v>
      </c>
      <c r="K5" s="117">
        <f>K2*D5</f>
        <v>0</v>
      </c>
      <c r="L5" s="15">
        <f>J5+K5+H5+G5</f>
        <v>197754.77903999999</v>
      </c>
      <c r="M5" s="39">
        <f>L5*4%+L5</f>
        <v>205664.97020159999</v>
      </c>
    </row>
    <row r="6" spans="1:13" x14ac:dyDescent="0.25">
      <c r="A6" s="12">
        <v>2</v>
      </c>
      <c r="B6" s="13">
        <v>2</v>
      </c>
      <c r="C6" s="14" t="s">
        <v>62</v>
      </c>
      <c r="D6" s="17"/>
      <c r="E6" s="41">
        <v>120203.17600000001</v>
      </c>
      <c r="F6" s="80">
        <f t="shared" ref="F6:F9" si="0">E6</f>
        <v>120203.17600000001</v>
      </c>
      <c r="G6" s="67">
        <f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72743.475999999995</v>
      </c>
      <c r="K6" s="117">
        <f>K2*D6</f>
        <v>0</v>
      </c>
      <c r="L6" s="15">
        <f>J6+K6+H6+G6</f>
        <v>72743.475999999995</v>
      </c>
      <c r="M6" s="39">
        <f t="shared" ref="M6:M9" si="3">L6*4%+L6</f>
        <v>75653.215039999995</v>
      </c>
    </row>
    <row r="7" spans="1:13" x14ac:dyDescent="0.25">
      <c r="A7" s="12">
        <v>3</v>
      </c>
      <c r="B7" s="13">
        <v>3</v>
      </c>
      <c r="C7" s="14" t="s">
        <v>60</v>
      </c>
      <c r="D7" s="17"/>
      <c r="E7" s="41">
        <v>120203.17600000001</v>
      </c>
      <c r="F7" s="80"/>
      <c r="G7" s="67">
        <f t="shared" ref="G7:G8" si="4">E7-F7</f>
        <v>120203.17600000001</v>
      </c>
      <c r="H7" s="70">
        <f t="shared" si="1"/>
        <v>4808.1270400000003</v>
      </c>
      <c r="I7" s="15">
        <v>0</v>
      </c>
      <c r="J7" s="38">
        <f t="shared" si="2"/>
        <v>72743.475999999995</v>
      </c>
      <c r="K7" s="117">
        <f>K2*D7</f>
        <v>0</v>
      </c>
      <c r="L7" s="15">
        <f>J7+K7+H7+G7</f>
        <v>197754.77903999999</v>
      </c>
      <c r="M7" s="39">
        <f t="shared" si="3"/>
        <v>205664.97020159999</v>
      </c>
    </row>
    <row r="8" spans="1:13" x14ac:dyDescent="0.25">
      <c r="A8" s="12">
        <v>4</v>
      </c>
      <c r="B8" s="13">
        <v>4</v>
      </c>
      <c r="C8" s="14" t="s">
        <v>74</v>
      </c>
      <c r="D8" s="17"/>
      <c r="E8" s="41">
        <v>120203.17600000001</v>
      </c>
      <c r="F8" s="80">
        <f t="shared" si="0"/>
        <v>120203.17600000001</v>
      </c>
      <c r="G8" s="67">
        <f t="shared" si="4"/>
        <v>0</v>
      </c>
      <c r="H8" s="70">
        <f t="shared" si="1"/>
        <v>0</v>
      </c>
      <c r="I8" s="15">
        <v>0</v>
      </c>
      <c r="J8" s="38">
        <f t="shared" si="2"/>
        <v>72743.475999999995</v>
      </c>
      <c r="K8" s="117">
        <f>K2*D8</f>
        <v>0</v>
      </c>
      <c r="L8" s="15">
        <f>J8+K8+H8+G8</f>
        <v>72743.475999999995</v>
      </c>
      <c r="M8" s="39">
        <f t="shared" si="3"/>
        <v>75653.215039999995</v>
      </c>
    </row>
    <row r="9" spans="1:13" x14ac:dyDescent="0.25">
      <c r="A9" s="12">
        <v>5</v>
      </c>
      <c r="B9" s="13">
        <v>5</v>
      </c>
      <c r="C9" s="14" t="s">
        <v>61</v>
      </c>
      <c r="D9" s="17"/>
      <c r="E9" s="41">
        <v>120203.17600000001</v>
      </c>
      <c r="F9" s="80">
        <f t="shared" si="0"/>
        <v>120203.17600000001</v>
      </c>
      <c r="G9" s="67">
        <f>E9-F9</f>
        <v>0</v>
      </c>
      <c r="H9" s="70">
        <f t="shared" si="1"/>
        <v>0</v>
      </c>
      <c r="I9" s="15">
        <v>0</v>
      </c>
      <c r="J9" s="38">
        <f t="shared" si="2"/>
        <v>72743.475999999995</v>
      </c>
      <c r="K9" s="117">
        <f>K2*D9</f>
        <v>0</v>
      </c>
      <c r="L9" s="15">
        <f>J9+K9+H9+G9</f>
        <v>72743.475999999995</v>
      </c>
      <c r="M9" s="39">
        <f t="shared" si="3"/>
        <v>75653.215039999995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5">SUM(D5:D9)</f>
        <v>0</v>
      </c>
      <c r="E10" s="42">
        <f t="shared" si="5"/>
        <v>601015.88</v>
      </c>
      <c r="F10" s="42">
        <f>SUM(F5:F9)</f>
        <v>360609.52800000005</v>
      </c>
      <c r="G10" s="50">
        <f t="shared" si="5"/>
        <v>240406.35200000001</v>
      </c>
      <c r="H10" s="50">
        <f t="shared" si="5"/>
        <v>9616.2540800000006</v>
      </c>
      <c r="I10" s="11">
        <f t="shared" si="5"/>
        <v>0</v>
      </c>
      <c r="J10" s="46">
        <f t="shared" si="5"/>
        <v>363717.38</v>
      </c>
      <c r="K10" s="46">
        <f t="shared" si="5"/>
        <v>0</v>
      </c>
      <c r="L10" s="118">
        <f t="shared" si="5"/>
        <v>613739.98607999994</v>
      </c>
      <c r="M10" s="118">
        <f t="shared" si="5"/>
        <v>638289.58552319999</v>
      </c>
    </row>
    <row r="11" spans="1:13" ht="51.75" hidden="1" customHeight="1" thickBot="1" x14ac:dyDescent="0.3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13" ht="14.25" customHeight="1" x14ac:dyDescent="0.25">
      <c r="M12" s="6"/>
    </row>
    <row r="13" spans="1:13" hidden="1" x14ac:dyDescent="0.25">
      <c r="C13" s="131"/>
      <c r="D13" s="131"/>
      <c r="E13" s="131"/>
      <c r="F13" s="131"/>
      <c r="G13" s="131"/>
      <c r="H13" s="131"/>
      <c r="I13" s="131"/>
      <c r="J13" s="131"/>
      <c r="K13" s="131"/>
      <c r="L13" s="131"/>
    </row>
    <row r="14" spans="1:13" hidden="1" x14ac:dyDescent="0.25">
      <c r="C14" s="131"/>
      <c r="D14" s="131"/>
      <c r="E14" s="131"/>
      <c r="F14" s="131"/>
      <c r="G14" s="131"/>
      <c r="H14" s="131"/>
      <c r="I14" s="131"/>
      <c r="J14" s="131"/>
      <c r="K14" s="131"/>
      <c r="L14" s="131"/>
    </row>
    <row r="15" spans="1:13" hidden="1" x14ac:dyDescent="0.25">
      <c r="C15" s="131"/>
      <c r="D15" s="131"/>
      <c r="E15" s="131"/>
      <c r="F15" s="131"/>
      <c r="G15" s="131"/>
      <c r="H15" s="131"/>
      <c r="I15" s="131"/>
      <c r="J15" s="131"/>
      <c r="K15" s="131"/>
      <c r="L15" s="131"/>
    </row>
    <row r="16" spans="1:13" hidden="1" x14ac:dyDescent="0.25">
      <c r="C16" s="131"/>
      <c r="D16" s="131"/>
      <c r="E16" s="131"/>
      <c r="F16" s="131"/>
      <c r="G16" s="131"/>
      <c r="H16" s="131"/>
      <c r="I16" s="131"/>
      <c r="J16" s="131"/>
      <c r="K16" s="131"/>
      <c r="L16" s="131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7" t="s">
        <v>24</v>
      </c>
      <c r="B1" s="138"/>
      <c r="C1" s="138"/>
      <c r="D1" s="138"/>
      <c r="E1" s="139"/>
      <c r="F1" s="88"/>
      <c r="G1" s="88"/>
    </row>
    <row r="2" spans="1:7" ht="15.75" thickBot="1" x14ac:dyDescent="0.3">
      <c r="A2" s="140" t="s">
        <v>50</v>
      </c>
      <c r="B2" s="141"/>
      <c r="C2" s="142"/>
      <c r="D2" s="143">
        <v>565</v>
      </c>
      <c r="E2" s="144"/>
      <c r="F2" s="89"/>
      <c r="G2" s="89"/>
    </row>
    <row r="3" spans="1:7" ht="15.75" thickTop="1" x14ac:dyDescent="0.25">
      <c r="A3" s="145" t="s">
        <v>0</v>
      </c>
      <c r="B3" s="145" t="s">
        <v>1</v>
      </c>
      <c r="C3" s="145" t="s">
        <v>2</v>
      </c>
      <c r="D3" s="147" t="s">
        <v>4</v>
      </c>
      <c r="E3" s="132" t="s">
        <v>51</v>
      </c>
      <c r="F3" s="132" t="s">
        <v>52</v>
      </c>
      <c r="G3" s="132" t="s">
        <v>44</v>
      </c>
    </row>
    <row r="4" spans="1:7" ht="15.75" thickBot="1" x14ac:dyDescent="0.3">
      <c r="A4" s="146"/>
      <c r="B4" s="146"/>
      <c r="C4" s="146"/>
      <c r="D4" s="148"/>
      <c r="E4" s="133"/>
      <c r="F4" s="133"/>
      <c r="G4" s="133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34"/>
      <c r="B12" s="135"/>
      <c r="C12" s="135"/>
      <c r="D12" s="135"/>
      <c r="E12" s="136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2026-01-28T14:22:52Z</cp:lastPrinted>
  <dcterms:created xsi:type="dcterms:W3CDTF">2020-12-10T00:27:53Z</dcterms:created>
  <dcterms:modified xsi:type="dcterms:W3CDTF">2026-01-29T15:00:38Z</dcterms:modified>
</cp:coreProperties>
</file>