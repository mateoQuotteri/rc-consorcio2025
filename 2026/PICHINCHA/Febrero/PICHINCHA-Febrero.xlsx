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rc-consorcio2025\2026\PICHINCHA\Febrero\"/>
    </mc:Choice>
  </mc:AlternateContent>
  <xr:revisionPtr revIDLastSave="0" documentId="13_ncr:1_{B73D7340-A15C-4A40-9E8F-D03E515307C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gastos'!$A$1:$F$47</definedName>
    <definedName name="_xlnm.Print_Area" localSheetId="1">'prorrateo '!$A$1:$M$12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C29" i="3" l="1"/>
  <c r="L4" i="1" l="1"/>
  <c r="C22" i="3" l="1"/>
  <c r="C30" i="3" s="1"/>
  <c r="G8" i="1"/>
  <c r="H8" i="1" s="1"/>
  <c r="G7" i="1"/>
  <c r="G6" i="1"/>
  <c r="C40" i="3" l="1"/>
  <c r="C41" i="3"/>
  <c r="J9" i="1"/>
  <c r="J6" i="1"/>
  <c r="J7" i="1"/>
  <c r="J8" i="1"/>
  <c r="J5" i="1"/>
  <c r="F15" i="3" l="1"/>
  <c r="A2" i="1"/>
  <c r="G9" i="1" l="1"/>
  <c r="C39" i="3" l="1"/>
  <c r="C42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4" i="3" s="1"/>
  <c r="D10" i="1"/>
  <c r="E10" i="1"/>
  <c r="M9" i="1" l="1"/>
  <c r="L10" i="1"/>
  <c r="F22" i="3"/>
  <c r="J10" i="1"/>
  <c r="G10" i="1"/>
  <c r="H10" i="1"/>
  <c r="M10" i="1" l="1"/>
</calcChain>
</file>

<file path=xl/sharedStrings.xml><?xml version="1.0" encoding="utf-8"?>
<sst xmlns="http://schemas.openxmlformats.org/spreadsheetml/2006/main" count="92" uniqueCount="81">
  <si>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</si>
  <si>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</si>
  <si>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</si>
  <si>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</si>
  <si>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</si>
  <si>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</si>
  <si>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</si>
  <si>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</si>
  <si>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</si>
  <si>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</si>
  <si>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</si>
  <si>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</si>
  <si>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</si>
  <si>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</si>
  <si>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</si>
  <si>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</si>
  <si>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</si>
  <si>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</si>
  <si>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</si>
  <si>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</si>
  <si>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</si>
  <si>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</si>
  <si>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</si>
  <si>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</si>
  <si>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</si>
  <si>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</si>
  <si>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</si>
  <si>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</si>
  <si>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</si>
  <si>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</si>
  <si>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</si>
  <si>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</si>
  <si>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</si>
  <si>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</si>
  <si>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</si>
  <si>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</si>
  <si>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</si>
  <si>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</si>
  <si>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</si>
  <si>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</si>
  <si>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</si>
  <si>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</si>
  <si>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</si>
  <si>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</si>
  <si>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</si>
  <si>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</si>
  <si>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</si>
  <si>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</si>
  <si>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</si>
  <si>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</si>
  <si>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</si>
  <si>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</si>
  <si>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</si>
  <si>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</si>
  <si>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</si>
  <si>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</si>
  <si>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</si>
  <si>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</si>
  <si>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</si>
  <si>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</si>
  <si>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</si>
  <si>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</si>
  <si>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</si>
  <si>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</si>
  <si>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</si>
  <si>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</si>
  <si>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</si>
  <si>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</si>
  <si>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</si>
  <si>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</si>
  <si>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</si>
  <si>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</si>
  <si>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</si>
  <si>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TSG</t>
  </si>
  <si>
    <t>-</t>
  </si>
  <si>
    <t>SUBIDOS EN EN3R0</t>
  </si>
  <si>
    <t>Liquidacion mes de FEBRERO</t>
  </si>
  <si>
    <t>FEBRERO</t>
  </si>
  <si>
    <t>Vto. 13/03</t>
  </si>
  <si>
    <t>ARTICULOS DE LIMPIEZA</t>
  </si>
  <si>
    <t>PREVISION 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</si>
</sst>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1" fillId="0" borderId="16" xfId="0" applyFont="1" applyBorder="1"/>
    <xf numFmtId="164" fontId="10" fillId="0" borderId="21" xfId="2" applyFont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0" xfId="0" applyFont="1"/>
    <xf numFmtId="0" fontId="9" fillId="2" borderId="8" xfId="0" applyFont="1" applyFill="1" applyBorder="1"/>
    <xf numFmtId="0" fontId="10" fillId="2" borderId="0" xfId="0" applyFont="1" applyFill="1"/>
    <xf numFmtId="0" fontId="14" fillId="0" borderId="8" xfId="0" applyFont="1" applyBorder="1"/>
    <xf numFmtId="17" fontId="10" fillId="0" borderId="0" xfId="0" applyNumberFormat="1" applyFont="1"/>
    <xf numFmtId="0" fontId="10" fillId="0" borderId="8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"/>
  <sheetViews>
    <sheetView topLeftCell="A9" workbookViewId="0">
      <selection activeCell="C30" sqref="C30"/>
    </sheetView>
  </sheetViews>
  <sheetFormatPr defaultColWidth="10.90625" defaultRowHeight="14.5" x14ac:dyDescent="0.35"/>
  <cols>
    <col min="1" max="1" width="38" customWidth="1"/>
    <col min="2" max="2" width="40.36328125" customWidth="1"/>
    <col min="3" max="3" width="13.54296875" customWidth="1"/>
    <col min="4" max="4" width="7.54296875" customWidth="1"/>
    <col min="5" max="5" width="58.08984375" bestFit="1" customWidth="1"/>
    <col min="6" max="6" width="15" customWidth="1"/>
  </cols>
  <sheetData>
    <row r="1" spans="1:8" x14ac:dyDescent="0.35">
      <c r="B1" t="s">
        <v>57</v>
      </c>
    </row>
    <row r="2" spans="1:8" x14ac:dyDescent="0.35">
      <c r="B2" t="s">
        <v>18</v>
      </c>
      <c r="C2" s="108" t="s">
        <v>56</v>
      </c>
    </row>
    <row r="3" spans="1:8" x14ac:dyDescent="0.35">
      <c r="B3" t="s">
        <v>9</v>
      </c>
    </row>
    <row r="4" spans="1:8" x14ac:dyDescent="0.35">
      <c r="B4" s="4" t="s">
        <v>6</v>
      </c>
    </row>
    <row r="5" spans="1:8" ht="8.25" customHeight="1" x14ac:dyDescent="0.35">
      <c r="A5" s="3"/>
      <c r="B5" s="23"/>
      <c r="C5" s="3"/>
    </row>
    <row r="6" spans="1:8" x14ac:dyDescent="0.35">
      <c r="D6" s="29"/>
      <c r="E6" s="29"/>
      <c r="F6" s="29"/>
    </row>
    <row r="7" spans="1:8" x14ac:dyDescent="0.35">
      <c r="A7" s="24" t="s">
        <v>58</v>
      </c>
      <c r="B7" s="24"/>
      <c r="C7" s="67"/>
      <c r="D7" s="67"/>
      <c r="E7" s="24" t="s">
        <v>76</v>
      </c>
      <c r="F7" s="109" t="s">
        <v>78</v>
      </c>
    </row>
    <row r="8" spans="1:8" x14ac:dyDescent="0.35">
      <c r="A8" s="3"/>
      <c r="B8" s="3"/>
      <c r="C8" s="3"/>
      <c r="D8" s="3"/>
      <c r="E8" s="3"/>
      <c r="F8" s="3"/>
    </row>
    <row r="10" spans="1:8" x14ac:dyDescent="0.35">
      <c r="A10" s="22" t="s">
        <v>11</v>
      </c>
    </row>
    <row r="11" spans="1:8" ht="15" thickBot="1" x14ac:dyDescent="0.4">
      <c r="A11" s="28" t="s">
        <v>10</v>
      </c>
      <c r="B11" s="29"/>
      <c r="C11" s="123"/>
      <c r="D11" s="5"/>
      <c r="E11" s="124" t="s">
        <v>22</v>
      </c>
      <c r="F11" s="124"/>
    </row>
    <row r="12" spans="1:8" x14ac:dyDescent="0.35">
      <c r="A12" s="51" t="s">
        <v>64</v>
      </c>
      <c r="B12" s="50"/>
      <c r="C12" s="119">
        <v>18649.38</v>
      </c>
      <c r="D12" s="5"/>
      <c r="E12" s="55" t="s">
        <v>42</v>
      </c>
      <c r="F12" s="56">
        <v>-169799.8697724673</v>
      </c>
    </row>
    <row r="13" spans="1:8" x14ac:dyDescent="0.35">
      <c r="A13" s="51" t="s">
        <v>64</v>
      </c>
      <c r="B13" s="50"/>
      <c r="C13" s="119">
        <v>0</v>
      </c>
      <c r="D13" s="5"/>
      <c r="E13" s="120"/>
      <c r="F13" s="121"/>
    </row>
    <row r="14" spans="1:8" x14ac:dyDescent="0.35">
      <c r="A14" s="145" t="s">
        <v>45</v>
      </c>
      <c r="B14" s="146"/>
      <c r="C14" s="119">
        <v>119977</v>
      </c>
      <c r="D14" s="42"/>
      <c r="E14" s="57" t="s">
        <v>7</v>
      </c>
      <c r="F14" s="58">
        <f>'prorrateo '!F10</f>
        <v>629560.36840320006</v>
      </c>
    </row>
    <row r="15" spans="1:8" ht="15.75" customHeight="1" x14ac:dyDescent="0.35">
      <c r="A15" s="145" t="s">
        <v>19</v>
      </c>
      <c r="B15" s="50" t="s">
        <v>77</v>
      </c>
      <c r="C15" s="79">
        <v>42700</v>
      </c>
      <c r="D15" s="5"/>
      <c r="E15" s="57" t="s">
        <v>20</v>
      </c>
      <c r="F15" s="58">
        <f>-(C40)</f>
        <v>-554661.06999999995</v>
      </c>
      <c r="H15" t="s">
        <v>75</v>
      </c>
    </row>
    <row r="16" spans="1:8" x14ac:dyDescent="0.35">
      <c r="A16" s="145" t="s">
        <v>70</v>
      </c>
      <c r="B16" s="50"/>
      <c r="C16" s="117">
        <v>40547.78</v>
      </c>
      <c r="D16" s="5"/>
      <c r="E16" s="57"/>
      <c r="F16" s="58"/>
    </row>
    <row r="17" spans="1:8" x14ac:dyDescent="0.35">
      <c r="A17" s="145" t="s">
        <v>68</v>
      </c>
      <c r="B17" s="50"/>
      <c r="C17" s="117">
        <v>93539.51</v>
      </c>
      <c r="D17" s="5"/>
      <c r="E17" s="57"/>
      <c r="F17" s="58"/>
    </row>
    <row r="18" spans="1:8" x14ac:dyDescent="0.35">
      <c r="A18" s="145" t="s">
        <v>68</v>
      </c>
      <c r="B18" s="50"/>
      <c r="C18" s="117">
        <v>91869.24</v>
      </c>
      <c r="D18" s="5"/>
      <c r="E18" s="57"/>
      <c r="F18" s="58"/>
    </row>
    <row r="19" spans="1:8" x14ac:dyDescent="0.35">
      <c r="A19" s="145" t="s">
        <v>71</v>
      </c>
      <c r="B19" s="146"/>
      <c r="C19" s="117">
        <v>24275.41</v>
      </c>
      <c r="E19" s="57"/>
      <c r="F19" s="58"/>
    </row>
    <row r="20" spans="1:8" x14ac:dyDescent="0.35">
      <c r="A20" s="145" t="s">
        <v>73</v>
      </c>
      <c r="B20" s="146"/>
      <c r="C20" s="117">
        <v>0</v>
      </c>
      <c r="D20" s="5"/>
      <c r="E20" s="57"/>
      <c r="F20" s="58"/>
    </row>
    <row r="21" spans="1:8" x14ac:dyDescent="0.35">
      <c r="A21" s="145" t="s">
        <v>69</v>
      </c>
      <c r="B21" s="146"/>
      <c r="C21" s="117">
        <v>0</v>
      </c>
      <c r="E21" s="57"/>
      <c r="F21" s="58"/>
      <c r="H21" s="106"/>
    </row>
    <row r="22" spans="1:8" ht="15" thickBot="1" x14ac:dyDescent="0.4">
      <c r="A22" s="147"/>
      <c r="B22" s="148"/>
      <c r="C22" s="86">
        <f>SUM(C12:C21)</f>
        <v>431558.31999999995</v>
      </c>
      <c r="E22" s="59" t="s">
        <v>43</v>
      </c>
      <c r="F22" s="122">
        <f>SUM(F12:F21)</f>
        <v>-94900.571369267185</v>
      </c>
    </row>
    <row r="23" spans="1:8" x14ac:dyDescent="0.35">
      <c r="A23" s="149" t="s">
        <v>21</v>
      </c>
      <c r="B23" s="146"/>
      <c r="C23" s="111"/>
      <c r="D23" s="5"/>
      <c r="E23" s="19"/>
      <c r="F23" s="20"/>
    </row>
    <row r="24" spans="1:8" x14ac:dyDescent="0.35">
      <c r="A24" s="145" t="s">
        <v>63</v>
      </c>
      <c r="B24" s="150"/>
      <c r="C24" s="117">
        <v>71833</v>
      </c>
      <c r="D24" s="5"/>
      <c r="E24" s="19"/>
      <c r="F24" s="20"/>
    </row>
    <row r="25" spans="1:8" x14ac:dyDescent="0.35">
      <c r="A25" s="145" t="s">
        <v>72</v>
      </c>
      <c r="B25" s="150"/>
      <c r="C25" s="117">
        <v>4519.75</v>
      </c>
      <c r="D25" s="5"/>
      <c r="E25" s="19"/>
      <c r="F25" s="20"/>
    </row>
    <row r="26" spans="1:8" x14ac:dyDescent="0.35">
      <c r="A26" s="50" t="s">
        <v>79</v>
      </c>
      <c r="B26" s="150"/>
      <c r="C26" s="117">
        <v>46750</v>
      </c>
      <c r="D26" s="5"/>
      <c r="E26" s="19"/>
      <c r="F26" s="20"/>
    </row>
    <row r="27" spans="1:8" ht="18" customHeight="1" x14ac:dyDescent="0.35">
      <c r="A27" s="151"/>
      <c r="B27" s="152"/>
      <c r="C27" s="117"/>
      <c r="D27" s="5"/>
      <c r="E27" s="19"/>
      <c r="F27" s="20"/>
    </row>
    <row r="28" spans="1:8" x14ac:dyDescent="0.35">
      <c r="A28" s="31" t="s">
        <v>80</v>
      </c>
      <c r="B28" s="34"/>
      <c r="C28" s="110"/>
      <c r="D28" s="5"/>
      <c r="E28" s="19"/>
      <c r="F28" s="20"/>
    </row>
    <row r="29" spans="1:8" x14ac:dyDescent="0.35">
      <c r="A29" s="32"/>
      <c r="B29" s="33"/>
      <c r="C29" s="107">
        <f>SUM(C23:C28)</f>
        <v>123102.75</v>
      </c>
      <c r="D29" s="5"/>
      <c r="E29" s="5"/>
      <c r="F29" s="54"/>
      <c r="G29" s="6"/>
    </row>
    <row r="30" spans="1:8" x14ac:dyDescent="0.35">
      <c r="A30" s="46" t="s">
        <v>12</v>
      </c>
      <c r="B30" s="47"/>
      <c r="C30" s="48">
        <f>+C29+C22</f>
        <v>554661.06999999995</v>
      </c>
      <c r="D30" s="5"/>
      <c r="E30" s="19"/>
      <c r="F30" s="20"/>
    </row>
    <row r="31" spans="1:8" ht="14.25" customHeight="1" x14ac:dyDescent="0.35">
      <c r="A31" s="68" t="s">
        <v>24</v>
      </c>
      <c r="B31" s="81"/>
      <c r="C31" s="82"/>
      <c r="E31" s="19"/>
      <c r="F31" s="20"/>
    </row>
    <row r="32" spans="1:8" hidden="1" x14ac:dyDescent="0.35">
      <c r="A32" s="22" t="s">
        <v>24</v>
      </c>
    </row>
    <row r="33" spans="1:6" hidden="1" x14ac:dyDescent="0.35">
      <c r="A33" s="43"/>
      <c r="B33" s="29"/>
      <c r="C33" s="53"/>
      <c r="F33" s="6"/>
    </row>
    <row r="34" spans="1:6" hidden="1" x14ac:dyDescent="0.35">
      <c r="A34" s="51"/>
      <c r="B34" s="50"/>
      <c r="C34" s="52">
        <v>0</v>
      </c>
      <c r="F34" s="6"/>
    </row>
    <row r="35" spans="1:6" hidden="1" x14ac:dyDescent="0.35">
      <c r="A35" s="60"/>
      <c r="B35" s="61"/>
      <c r="C35" s="52">
        <v>0</v>
      </c>
      <c r="F35" s="6"/>
    </row>
    <row r="36" spans="1:6" x14ac:dyDescent="0.35">
      <c r="A36" s="77"/>
      <c r="B36" s="78"/>
      <c r="C36" s="80"/>
      <c r="F36" s="6"/>
    </row>
    <row r="37" spans="1:6" x14ac:dyDescent="0.35">
      <c r="A37" s="77"/>
      <c r="B37" s="84"/>
      <c r="C37" s="85"/>
      <c r="F37" s="6"/>
    </row>
    <row r="38" spans="1:6" x14ac:dyDescent="0.35">
      <c r="A38" s="77"/>
      <c r="B38" s="83"/>
      <c r="C38" s="80">
        <v>0</v>
      </c>
      <c r="F38" s="6"/>
    </row>
    <row r="39" spans="1:6" x14ac:dyDescent="0.35">
      <c r="A39" s="62" t="s">
        <v>23</v>
      </c>
      <c r="B39" s="63"/>
      <c r="C39" s="64">
        <f>SUM(C34:C38)</f>
        <v>0</v>
      </c>
    </row>
    <row r="40" spans="1:6" x14ac:dyDescent="0.35">
      <c r="A40" t="s">
        <v>54</v>
      </c>
      <c r="C40" s="52">
        <f>C30-C28</f>
        <v>554661.06999999995</v>
      </c>
      <c r="F40" s="6"/>
    </row>
    <row r="41" spans="1:6" x14ac:dyDescent="0.35">
      <c r="A41" s="5" t="s">
        <v>49</v>
      </c>
      <c r="C41" s="76">
        <f>+C30</f>
        <v>554661.06999999995</v>
      </c>
      <c r="F41" s="6"/>
    </row>
    <row r="42" spans="1:6" x14ac:dyDescent="0.35">
      <c r="A42" s="62" t="s">
        <v>13</v>
      </c>
      <c r="B42" s="63"/>
      <c r="C42" s="64">
        <f>+C30+C39</f>
        <v>554661.06999999995</v>
      </c>
      <c r="E42" s="16"/>
    </row>
    <row r="47" spans="1:6" x14ac:dyDescent="0.35">
      <c r="D47" s="6"/>
    </row>
    <row r="48" spans="1:6" x14ac:dyDescent="0.35">
      <c r="D48" s="16"/>
      <c r="E48" s="16"/>
    </row>
    <row r="49" spans="1:5" x14ac:dyDescent="0.35">
      <c r="B49" s="125"/>
      <c r="C49" s="125"/>
      <c r="D49" s="125"/>
      <c r="E49" s="125"/>
    </row>
    <row r="50" spans="1:5" x14ac:dyDescent="0.35">
      <c r="B50" s="125"/>
      <c r="C50" s="125"/>
      <c r="D50" s="125"/>
      <c r="E50" s="125"/>
    </row>
    <row r="51" spans="1:5" x14ac:dyDescent="0.35">
      <c r="B51" s="125"/>
      <c r="C51" s="125"/>
      <c r="D51" s="125"/>
      <c r="E51" s="125"/>
    </row>
    <row r="63" spans="1:5" x14ac:dyDescent="0.35">
      <c r="A63" s="19"/>
      <c r="B63" s="18"/>
      <c r="C63" s="20"/>
    </row>
    <row r="64" spans="1:5" x14ac:dyDescent="0.35">
      <c r="A64" s="18"/>
      <c r="B64" s="18"/>
      <c r="C64" s="18"/>
    </row>
    <row r="65" spans="1:3" x14ac:dyDescent="0.35">
      <c r="A65" s="18"/>
      <c r="B65" s="18"/>
      <c r="C65" s="18"/>
    </row>
    <row r="66" spans="1:3" x14ac:dyDescent="0.35">
      <c r="A66" s="18"/>
      <c r="B66" s="18"/>
      <c r="C66" s="18"/>
    </row>
    <row r="67" spans="1:3" x14ac:dyDescent="0.35">
      <c r="A67" s="18"/>
      <c r="B67" s="18"/>
      <c r="C67" s="18"/>
    </row>
    <row r="68" spans="1:3" x14ac:dyDescent="0.35">
      <c r="A68" s="18"/>
      <c r="B68" s="18"/>
      <c r="C68" s="18"/>
    </row>
    <row r="69" spans="1:3" x14ac:dyDescent="0.35">
      <c r="A69" s="18"/>
      <c r="B69" s="18"/>
      <c r="C69" s="18"/>
    </row>
    <row r="70" spans="1:3" x14ac:dyDescent="0.35">
      <c r="A70" s="18"/>
      <c r="B70" s="18"/>
      <c r="C70" s="18"/>
    </row>
  </sheetData>
  <mergeCells count="3">
    <mergeCell ref="E11:F11"/>
    <mergeCell ref="B49:E51"/>
    <mergeCell ref="A27:B2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K1" sqref="K1"/>
    </sheetView>
  </sheetViews>
  <sheetFormatPr defaultColWidth="10.90625" defaultRowHeight="14.5" x14ac:dyDescent="0.35"/>
  <cols>
    <col min="1" max="1" width="5.36328125" style="1" customWidth="1"/>
    <col min="2" max="2" width="8.453125" style="1" customWidth="1"/>
    <col min="3" max="3" width="18.54296875" customWidth="1"/>
    <col min="4" max="4" width="8.984375E-2" hidden="1" customWidth="1"/>
    <col min="5" max="5" width="13.6328125" customWidth="1"/>
    <col min="6" max="6" width="12.453125" bestFit="1" customWidth="1"/>
    <col min="7" max="7" width="12.453125" customWidth="1"/>
    <col min="8" max="8" width="9.36328125" customWidth="1"/>
    <col min="9" max="9" width="13.08984375" hidden="1" customWidth="1"/>
    <col min="10" max="10" width="17.90625" customWidth="1"/>
    <col min="11" max="11" width="14.36328125" bestFit="1" customWidth="1"/>
    <col min="12" max="12" width="14.36328125" customWidth="1"/>
    <col min="13" max="13" width="12.453125" bestFit="1" customWidth="1"/>
    <col min="15" max="15" width="11.453125" style="21"/>
  </cols>
  <sheetData>
    <row r="1" spans="1:13" x14ac:dyDescent="0.35">
      <c r="A1" s="104" t="s">
        <v>55</v>
      </c>
      <c r="B1" s="105"/>
      <c r="C1" s="105"/>
      <c r="D1" s="26"/>
      <c r="E1" s="25"/>
      <c r="F1" s="118"/>
      <c r="G1" s="25" t="s">
        <v>47</v>
      </c>
      <c r="H1" s="26"/>
      <c r="I1" s="26"/>
      <c r="J1" s="26"/>
      <c r="K1" s="70">
        <v>554661.06999999995</v>
      </c>
      <c r="L1" s="70"/>
      <c r="M1" s="27"/>
    </row>
    <row r="2" spans="1:13" ht="15" thickBot="1" x14ac:dyDescent="0.4">
      <c r="A2" s="71" t="str">
        <f>'detalle y gastos'!E7</f>
        <v>Liquidacion mes de FEBRERO</v>
      </c>
      <c r="B2" s="72"/>
      <c r="C2" s="72"/>
      <c r="D2" s="73"/>
      <c r="E2" s="74"/>
      <c r="F2" s="73"/>
      <c r="G2" s="74" t="s">
        <v>48</v>
      </c>
      <c r="H2" s="73"/>
      <c r="I2" s="73"/>
      <c r="J2" s="73"/>
      <c r="K2" s="112"/>
      <c r="L2" s="112"/>
      <c r="M2" s="75"/>
    </row>
    <row r="3" spans="1:13" x14ac:dyDescent="0.3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39" t="s">
        <v>14</v>
      </c>
      <c r="K3" s="113" t="s">
        <v>38</v>
      </c>
      <c r="L3" s="30" t="s">
        <v>67</v>
      </c>
      <c r="M3" s="7" t="s">
        <v>66</v>
      </c>
    </row>
    <row r="4" spans="1:13" x14ac:dyDescent="0.3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5">
        <v>0.04</v>
      </c>
      <c r="I4" s="7" t="s">
        <v>41</v>
      </c>
      <c r="J4" s="36" t="s">
        <v>15</v>
      </c>
      <c r="K4" s="114" t="s">
        <v>39</v>
      </c>
      <c r="L4" s="65" t="str">
        <f>'detalle y gastos'!F7</f>
        <v>Vto. 13/03</v>
      </c>
      <c r="M4" s="65" t="s">
        <v>65</v>
      </c>
    </row>
    <row r="5" spans="1:13" x14ac:dyDescent="0.35">
      <c r="A5" s="12">
        <v>1</v>
      </c>
      <c r="B5" s="13">
        <v>1</v>
      </c>
      <c r="C5" s="14" t="s">
        <v>59</v>
      </c>
      <c r="D5" s="17"/>
      <c r="E5" s="40">
        <v>205664.97020159999</v>
      </c>
      <c r="F5" s="79">
        <f>E5</f>
        <v>205664.97020159999</v>
      </c>
      <c r="G5" s="66">
        <f>E5-F5</f>
        <v>0</v>
      </c>
      <c r="H5" s="69">
        <f>IF(G5&gt;0,G5*4%,0)</f>
        <v>0</v>
      </c>
      <c r="I5" s="15">
        <v>0</v>
      </c>
      <c r="J5" s="37">
        <f>K$1/5</f>
        <v>110932.21399999999</v>
      </c>
      <c r="K5" s="115">
        <f>K2*D5</f>
        <v>0</v>
      </c>
      <c r="L5" s="15">
        <f>J5+K5+H5+G5</f>
        <v>110932.21399999999</v>
      </c>
      <c r="M5" s="38">
        <f>L5*4%+L5</f>
        <v>115369.50255999999</v>
      </c>
    </row>
    <row r="6" spans="1:13" x14ac:dyDescent="0.35">
      <c r="A6" s="12">
        <v>2</v>
      </c>
      <c r="B6" s="13">
        <v>2</v>
      </c>
      <c r="C6" s="14" t="s">
        <v>62</v>
      </c>
      <c r="D6" s="17"/>
      <c r="E6" s="40">
        <v>72743.475999999995</v>
      </c>
      <c r="F6" s="79">
        <f>E6</f>
        <v>72743.475999999995</v>
      </c>
      <c r="G6" s="66">
        <f>E6-F6</f>
        <v>0</v>
      </c>
      <c r="H6" s="69">
        <f t="shared" ref="H6:H9" si="0">IF(G6&gt;0,G6*4%,0)</f>
        <v>0</v>
      </c>
      <c r="I6" s="15">
        <v>0</v>
      </c>
      <c r="J6" s="37">
        <f t="shared" ref="J6:J9" si="1">K$1/5</f>
        <v>110932.21399999999</v>
      </c>
      <c r="K6" s="115">
        <f>K2*D6</f>
        <v>0</v>
      </c>
      <c r="L6" s="15">
        <f>J6+K6+H6+G6</f>
        <v>110932.21399999999</v>
      </c>
      <c r="M6" s="38">
        <f t="shared" ref="M6:M9" si="2">L6*4%+L6</f>
        <v>115369.50255999999</v>
      </c>
    </row>
    <row r="7" spans="1:13" x14ac:dyDescent="0.35">
      <c r="A7" s="12">
        <v>3</v>
      </c>
      <c r="B7" s="13">
        <v>3</v>
      </c>
      <c r="C7" s="14" t="s">
        <v>60</v>
      </c>
      <c r="D7" s="17"/>
      <c r="E7" s="40">
        <v>205664.97020159999</v>
      </c>
      <c r="F7" s="79">
        <f>E7</f>
        <v>205664.97020159999</v>
      </c>
      <c r="G7" s="66">
        <f t="shared" ref="G7:G8" si="3">E7-F7</f>
        <v>0</v>
      </c>
      <c r="H7" s="69">
        <f t="shared" si="0"/>
        <v>0</v>
      </c>
      <c r="I7" s="15">
        <v>0</v>
      </c>
      <c r="J7" s="37">
        <f t="shared" si="1"/>
        <v>110932.21399999999</v>
      </c>
      <c r="K7" s="115">
        <f>K2*D7</f>
        <v>0</v>
      </c>
      <c r="L7" s="15">
        <f>J7+K7+H7+G7</f>
        <v>110932.21399999999</v>
      </c>
      <c r="M7" s="38">
        <f t="shared" si="2"/>
        <v>115369.50255999999</v>
      </c>
    </row>
    <row r="8" spans="1:13" x14ac:dyDescent="0.35">
      <c r="A8" s="12">
        <v>4</v>
      </c>
      <c r="B8" s="13">
        <v>4</v>
      </c>
      <c r="C8" s="14" t="s">
        <v>74</v>
      </c>
      <c r="D8" s="17"/>
      <c r="E8" s="40">
        <v>72743.475999999995</v>
      </c>
      <c r="F8" s="79">
        <f>E8</f>
        <v>72743.475999999995</v>
      </c>
      <c r="G8" s="66">
        <f t="shared" si="3"/>
        <v>0</v>
      </c>
      <c r="H8" s="69">
        <f t="shared" si="0"/>
        <v>0</v>
      </c>
      <c r="I8" s="15">
        <v>0</v>
      </c>
      <c r="J8" s="37">
        <f t="shared" si="1"/>
        <v>110932.21399999999</v>
      </c>
      <c r="K8" s="115">
        <f>K2*D8</f>
        <v>0</v>
      </c>
      <c r="L8" s="15">
        <f>J8+K8+H8+G8</f>
        <v>110932.21399999999</v>
      </c>
      <c r="M8" s="38">
        <f t="shared" si="2"/>
        <v>115369.50255999999</v>
      </c>
    </row>
    <row r="9" spans="1:13" x14ac:dyDescent="0.35">
      <c r="A9" s="12">
        <v>5</v>
      </c>
      <c r="B9" s="13">
        <v>5</v>
      </c>
      <c r="C9" s="14" t="s">
        <v>61</v>
      </c>
      <c r="D9" s="17"/>
      <c r="E9" s="40">
        <v>72743.475999999995</v>
      </c>
      <c r="F9" s="79">
        <f>E9</f>
        <v>72743.475999999995</v>
      </c>
      <c r="G9" s="66">
        <f>E9-F9</f>
        <v>0</v>
      </c>
      <c r="H9" s="69">
        <f t="shared" si="0"/>
        <v>0</v>
      </c>
      <c r="I9" s="15">
        <v>0</v>
      </c>
      <c r="J9" s="37">
        <f t="shared" si="1"/>
        <v>110932.21399999999</v>
      </c>
      <c r="K9" s="115">
        <f>K2*D9</f>
        <v>0</v>
      </c>
      <c r="L9" s="15">
        <f>J9+K9+H9+G9</f>
        <v>110932.21399999999</v>
      </c>
      <c r="M9" s="38">
        <f t="shared" si="2"/>
        <v>115369.50255999999</v>
      </c>
    </row>
    <row r="10" spans="1:13" ht="15" customHeight="1" thickBot="1" x14ac:dyDescent="0.4">
      <c r="A10" s="8" t="s">
        <v>8</v>
      </c>
      <c r="B10" s="9"/>
      <c r="C10" s="10"/>
      <c r="D10" s="44">
        <f t="shared" ref="D10:M10" si="4">SUM(D5:D9)</f>
        <v>0</v>
      </c>
      <c r="E10" s="41">
        <f t="shared" si="4"/>
        <v>629560.36840320006</v>
      </c>
      <c r="F10" s="41">
        <f>SUM(F5:F9)</f>
        <v>629560.36840320006</v>
      </c>
      <c r="G10" s="49">
        <f t="shared" si="4"/>
        <v>0</v>
      </c>
      <c r="H10" s="49">
        <f t="shared" si="4"/>
        <v>0</v>
      </c>
      <c r="I10" s="11">
        <f t="shared" si="4"/>
        <v>0</v>
      </c>
      <c r="J10" s="45">
        <f t="shared" si="4"/>
        <v>554661.06999999995</v>
      </c>
      <c r="K10" s="45">
        <f t="shared" si="4"/>
        <v>0</v>
      </c>
      <c r="L10" s="116">
        <f t="shared" si="4"/>
        <v>554661.06999999995</v>
      </c>
      <c r="M10" s="116">
        <f t="shared" si="4"/>
        <v>576847.51279999991</v>
      </c>
    </row>
    <row r="11" spans="1:13" ht="51.75" hidden="1" customHeight="1" thickBot="1" x14ac:dyDescent="0.4">
      <c r="A11" s="126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</row>
    <row r="12" spans="1:13" ht="14.25" customHeight="1" x14ac:dyDescent="0.35">
      <c r="M12" s="6"/>
    </row>
    <row r="13" spans="1:13" hidden="1" x14ac:dyDescent="0.35">
      <c r="C13" s="127"/>
      <c r="D13" s="127"/>
      <c r="E13" s="127"/>
      <c r="F13" s="127"/>
      <c r="G13" s="127"/>
      <c r="H13" s="127"/>
      <c r="I13" s="127"/>
      <c r="J13" s="127"/>
      <c r="K13" s="127"/>
      <c r="L13" s="127"/>
    </row>
    <row r="14" spans="1:13" hidden="1" x14ac:dyDescent="0.35">
      <c r="C14" s="127"/>
      <c r="D14" s="127"/>
      <c r="E14" s="127"/>
      <c r="F14" s="127"/>
      <c r="G14" s="127"/>
      <c r="H14" s="127"/>
      <c r="I14" s="127"/>
      <c r="J14" s="127"/>
      <c r="K14" s="127"/>
      <c r="L14" s="127"/>
    </row>
    <row r="15" spans="1:13" hidden="1" x14ac:dyDescent="0.35">
      <c r="C15" s="127"/>
      <c r="D15" s="127"/>
      <c r="E15" s="127"/>
      <c r="F15" s="127"/>
      <c r="G15" s="127"/>
      <c r="H15" s="127"/>
      <c r="I15" s="127"/>
      <c r="J15" s="127"/>
      <c r="K15" s="127"/>
      <c r="L15" s="127"/>
    </row>
    <row r="16" spans="1:13" hidden="1" x14ac:dyDescent="0.35">
      <c r="C16" s="127"/>
      <c r="D16" s="127"/>
      <c r="E16" s="127"/>
      <c r="F16" s="127"/>
      <c r="G16" s="127"/>
      <c r="H16" s="127"/>
      <c r="I16" s="127"/>
      <c r="J16" s="127"/>
      <c r="K16" s="127"/>
      <c r="L16" s="127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defaultColWidth="10.90625" defaultRowHeight="14.5" x14ac:dyDescent="0.35"/>
  <cols>
    <col min="3" max="3" width="13.08984375" customWidth="1"/>
  </cols>
  <sheetData>
    <row r="1" spans="1:7" ht="19" thickBot="1" x14ac:dyDescent="0.5">
      <c r="A1" s="133" t="s">
        <v>24</v>
      </c>
      <c r="B1" s="134"/>
      <c r="C1" s="134"/>
      <c r="D1" s="134"/>
      <c r="E1" s="135"/>
      <c r="F1" s="87"/>
      <c r="G1" s="87"/>
    </row>
    <row r="2" spans="1:7" ht="15" thickBot="1" x14ac:dyDescent="0.4">
      <c r="A2" s="136" t="s">
        <v>50</v>
      </c>
      <c r="B2" s="137"/>
      <c r="C2" s="138"/>
      <c r="D2" s="139">
        <v>565</v>
      </c>
      <c r="E2" s="140"/>
      <c r="F2" s="88"/>
      <c r="G2" s="88"/>
    </row>
    <row r="3" spans="1:7" ht="15" thickTop="1" x14ac:dyDescent="0.35">
      <c r="A3" s="141" t="s">
        <v>0</v>
      </c>
      <c r="B3" s="141" t="s">
        <v>1</v>
      </c>
      <c r="C3" s="141" t="s">
        <v>2</v>
      </c>
      <c r="D3" s="143" t="s">
        <v>4</v>
      </c>
      <c r="E3" s="128" t="s">
        <v>51</v>
      </c>
      <c r="F3" s="128" t="s">
        <v>52</v>
      </c>
      <c r="G3" s="128" t="s">
        <v>44</v>
      </c>
    </row>
    <row r="4" spans="1:7" ht="15" thickBot="1" x14ac:dyDescent="0.4">
      <c r="A4" s="142"/>
      <c r="B4" s="142"/>
      <c r="C4" s="142"/>
      <c r="D4" s="144"/>
      <c r="E4" s="129"/>
      <c r="F4" s="129"/>
      <c r="G4" s="129"/>
    </row>
    <row r="5" spans="1:7" ht="15.5" thickTop="1" thickBot="1" x14ac:dyDescent="0.4">
      <c r="A5" s="89">
        <v>1</v>
      </c>
      <c r="B5" s="91" t="s">
        <v>26</v>
      </c>
      <c r="C5" s="92" t="s">
        <v>34</v>
      </c>
      <c r="D5" s="90">
        <v>0.1512</v>
      </c>
      <c r="E5" s="93">
        <v>85</v>
      </c>
      <c r="F5" s="93">
        <v>0</v>
      </c>
      <c r="G5" s="93">
        <v>0</v>
      </c>
    </row>
    <row r="6" spans="1:7" ht="15" thickBot="1" x14ac:dyDescent="0.4">
      <c r="A6" s="89">
        <v>2</v>
      </c>
      <c r="B6" s="91" t="s">
        <v>27</v>
      </c>
      <c r="C6" s="92" t="s">
        <v>35</v>
      </c>
      <c r="D6" s="90">
        <v>0.15690000000000001</v>
      </c>
      <c r="E6" s="93">
        <v>89</v>
      </c>
      <c r="F6" s="93">
        <v>0</v>
      </c>
      <c r="G6" s="93">
        <v>0</v>
      </c>
    </row>
    <row r="7" spans="1:7" ht="15" thickBot="1" x14ac:dyDescent="0.4">
      <c r="A7" s="89">
        <v>3</v>
      </c>
      <c r="B7" s="91" t="s">
        <v>28</v>
      </c>
      <c r="C7" s="92" t="s">
        <v>36</v>
      </c>
      <c r="D7" s="90">
        <v>0.15820000000000001</v>
      </c>
      <c r="E7" s="93">
        <v>89</v>
      </c>
      <c r="F7" s="93">
        <v>0</v>
      </c>
      <c r="G7" s="93">
        <v>0</v>
      </c>
    </row>
    <row r="8" spans="1:7" ht="18" customHeight="1" thickBot="1" x14ac:dyDescent="0.4">
      <c r="A8" s="89">
        <v>4</v>
      </c>
      <c r="B8" s="91" t="s">
        <v>30</v>
      </c>
      <c r="C8" s="103" t="s">
        <v>37</v>
      </c>
      <c r="D8" s="90">
        <v>0.19800000000000001</v>
      </c>
      <c r="E8" s="93">
        <v>112</v>
      </c>
      <c r="F8" s="93">
        <v>0</v>
      </c>
      <c r="G8" s="93">
        <v>0</v>
      </c>
    </row>
    <row r="9" spans="1:7" ht="15" thickBot="1" x14ac:dyDescent="0.4">
      <c r="A9" s="89">
        <v>5</v>
      </c>
      <c r="B9" s="91" t="s">
        <v>29</v>
      </c>
      <c r="C9" s="92" t="s">
        <v>32</v>
      </c>
      <c r="D9" s="90">
        <v>0.15920000000000001</v>
      </c>
      <c r="E9" s="93">
        <v>90</v>
      </c>
      <c r="F9" s="93">
        <v>0</v>
      </c>
      <c r="G9" s="93">
        <v>0</v>
      </c>
    </row>
    <row r="10" spans="1:7" ht="15" thickBot="1" x14ac:dyDescent="0.4">
      <c r="A10" s="94">
        <v>6</v>
      </c>
      <c r="B10" s="96" t="s">
        <v>31</v>
      </c>
      <c r="C10" s="97" t="s">
        <v>33</v>
      </c>
      <c r="D10" s="95">
        <v>0.17649999999999999</v>
      </c>
      <c r="E10" s="98">
        <v>100</v>
      </c>
      <c r="F10" s="98">
        <v>0</v>
      </c>
      <c r="G10" s="98">
        <v>0</v>
      </c>
    </row>
    <row r="11" spans="1:7" ht="15.5" thickTop="1" thickBot="1" x14ac:dyDescent="0.4">
      <c r="A11" s="99" t="s">
        <v>8</v>
      </c>
      <c r="B11" s="100"/>
      <c r="C11" s="100"/>
      <c r="D11" s="101">
        <v>1</v>
      </c>
      <c r="E11" s="101">
        <v>565</v>
      </c>
      <c r="F11" s="101" t="s">
        <v>53</v>
      </c>
      <c r="G11" s="102" t="s">
        <v>53</v>
      </c>
    </row>
    <row r="12" spans="1:7" ht="15.5" thickTop="1" thickBot="1" x14ac:dyDescent="0.4">
      <c r="A12" s="130"/>
      <c r="B12" s="131"/>
      <c r="C12" s="131"/>
      <c r="D12" s="131"/>
      <c r="E12" s="132"/>
      <c r="F12" s="87"/>
      <c r="G12" s="87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gastos'!Print_Area</vt:lpstr>
      <vt:lpstr>'prorrateo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Quotteri Mateo Tobias</cp:lastModifiedBy>
  <cp:lastPrinted>2026-01-28T14:22:52Z</cp:lastPrinted>
  <dcterms:created xsi:type="dcterms:W3CDTF">2020-12-10T00:27:53Z</dcterms:created>
  <dcterms:modified xsi:type="dcterms:W3CDTF">2026-02-26T17:06:44Z</dcterms:modified>
</cp:coreProperties>
</file>