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Mayo\"/>
    </mc:Choice>
  </mc:AlternateContent>
  <xr:revisionPtr revIDLastSave="0" documentId="13_ncr:1_{2F99FCCD-1C20-4D81-9015-4BA109CB901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7" i="1" l="1"/>
  <c r="F5" i="1"/>
  <c r="F9" i="1"/>
  <c r="F8" i="1"/>
  <c r="C26" i="3" l="1"/>
  <c r="L4" i="1" l="1"/>
  <c r="C21" i="3" l="1"/>
  <c r="C27" i="3" s="1"/>
  <c r="G8" i="1"/>
  <c r="H8" i="1" s="1"/>
  <c r="G7" i="1"/>
  <c r="G6" i="1"/>
  <c r="C37" i="3" l="1"/>
  <c r="F14" i="3" s="1"/>
  <c r="C38" i="3"/>
  <c r="J9" i="1"/>
  <c r="J6" i="1"/>
  <c r="J7" i="1"/>
  <c r="J8" i="1"/>
  <c r="J5" i="1"/>
  <c r="A2" i="1" l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<sst xmlns="http://schemas.openxmlformats.org/spreadsheetml/2006/main" count="91" uniqueCount="82">
  <si>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</si>
  <si>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</si>
  <si>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</si>
  <si>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</si>
  <si>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</si>
  <si>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</si>
  <si>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</si>
  <si>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</si>
  <si>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</si>
  <si>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</si>
  <si>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</si>
  <si>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</si>
  <si>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</si>
  <si>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</si>
  <si>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</si>
  <si>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</si>
  <si>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</si>
  <si>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</si>
  <si>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</si>
  <si>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</si>
  <si>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</si>
  <si>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</si>
  <si>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</si>
  <si>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</si>
  <si>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</si>
  <si>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</si>
  <si>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</si>
  <si>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</si>
  <si>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</si>
  <si>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</si>
  <si>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</si>
  <si>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</si>
  <si>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</si>
  <si>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</si>
  <si>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</si>
  <si>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</si>
  <si>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</si>
  <si>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</si>
  <si>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</si>
  <si>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</si>
  <si>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</si>
  <si>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</si>
  <si>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</si>
  <si>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</si>
  <si>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</si>
  <si>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</si>
  <si>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</si>
  <si>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</si>
  <si>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</si>
  <si>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</si>
  <si>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</si>
  <si>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</si>
  <si>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</si>
  <si>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</si>
  <si>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</si>
  <si>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</si>
  <si>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</si>
  <si>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</si>
  <si>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</si>
  <si>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</si>
  <si>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</si>
  <si>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</si>
  <si>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</si>
  <si>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</si>
  <si>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</si>
  <si>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</si>
  <si>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</si>
  <si>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</si>
  <si>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EDESUR</t>
  </si>
  <si>
    <t>SEGURO DE VIDA. SRA MONICA GOROSITO</t>
  </si>
  <si>
    <t>SUBIDOS EN EN3R0</t>
  </si>
  <si>
    <t>PREVISION ORDINARIA</t>
  </si>
  <si>
    <t xml:space="preserve">FLOW </t>
  </si>
  <si>
    <t>AYSA VTO MES DE AGOSTO 2025</t>
  </si>
  <si>
    <t>AYSA CARGO POR AVISO DE MORA</t>
  </si>
  <si>
    <t>METROGAS VTO 17/03</t>
  </si>
  <si>
    <t>METROGAS VTO 17/04</t>
  </si>
  <si>
    <t>SEBASTIAN</t>
  </si>
  <si>
    <t>Recuperacion de intereses por pago fuera de termino a administracion - Desde enero 25 a dia de la fecha - Debido a que la caja inicial pertenece a la administracion</t>
  </si>
  <si>
    <t>Vto. 18/06</t>
  </si>
  <si>
    <t>Liquidacion mes de MAYO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</si>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</sst>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3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164" fontId="10" fillId="0" borderId="21" xfId="2" applyFont="1" applyBorder="1"/>
    <xf numFmtId="4" fontId="10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2" xfId="0" applyBorder="1" applyAlignment="1">
      <alignment horizontal="left" vertical="center" wrapText="1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5" fillId="6" borderId="6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workbookViewId="0">
      <selection activeCell="C15" sqref="C1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08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7"/>
      <c r="D7" s="67"/>
      <c r="E7" s="24" t="s">
        <v>80</v>
      </c>
      <c r="F7" s="109" t="s">
        <v>79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0"/>
      <c r="D11" s="5"/>
      <c r="E11" s="129" t="s">
        <v>22</v>
      </c>
      <c r="F11" s="129"/>
    </row>
    <row r="12" spans="1:8" x14ac:dyDescent="0.3">
      <c r="A12" s="51" t="s">
        <v>73</v>
      </c>
      <c r="B12" s="50"/>
      <c r="C12" s="128">
        <v>21891.25</v>
      </c>
      <c r="D12" s="5"/>
      <c r="E12" s="55" t="s">
        <v>42</v>
      </c>
      <c r="F12" s="56">
        <v>-94900.571369267185</v>
      </c>
    </row>
    <row r="13" spans="1:8" x14ac:dyDescent="0.3">
      <c r="A13" s="51" t="s">
        <v>64</v>
      </c>
      <c r="B13" s="50"/>
      <c r="C13" s="152">
        <v>20509.21</v>
      </c>
      <c r="D13" s="5"/>
      <c r="E13" s="57" t="s">
        <v>7</v>
      </c>
      <c r="F13" s="127">
        <f>'prorrateo '!F10</f>
        <v>629788.98111999989</v>
      </c>
    </row>
    <row r="14" spans="1:8" x14ac:dyDescent="0.3">
      <c r="A14" s="51" t="s">
        <v>74</v>
      </c>
      <c r="B14" s="50"/>
      <c r="C14" s="128">
        <v>15666.16</v>
      </c>
      <c r="D14" s="5"/>
      <c r="E14" s="57" t="s">
        <v>20</v>
      </c>
      <c r="F14" s="127">
        <f>-(C37)</f>
        <v>-687250.11</v>
      </c>
    </row>
    <row r="15" spans="1:8" ht="15" customHeight="1" x14ac:dyDescent="0.3">
      <c r="A15" s="121" t="s">
        <v>45</v>
      </c>
      <c r="B15" s="122"/>
      <c r="C15" s="152">
        <v>119977</v>
      </c>
      <c r="D15" s="42"/>
      <c r="E15" s="131" t="s">
        <v>78</v>
      </c>
      <c r="F15" s="132">
        <v>-98883.56</v>
      </c>
    </row>
    <row r="16" spans="1:8" ht="15.75" customHeight="1" x14ac:dyDescent="0.3">
      <c r="A16" s="121" t="s">
        <v>19</v>
      </c>
      <c r="B16" s="50" t="s">
        <v>81</v>
      </c>
      <c r="C16" s="79">
        <v>42700</v>
      </c>
      <c r="D16" s="5"/>
      <c r="E16" s="131"/>
      <c r="F16" s="132"/>
      <c r="H16" t="s">
        <v>70</v>
      </c>
    </row>
    <row r="17" spans="1:8" ht="15.75" customHeight="1" x14ac:dyDescent="0.3">
      <c r="A17" s="121" t="s">
        <v>72</v>
      </c>
      <c r="B17" s="50"/>
      <c r="C17" s="79">
        <v>164351.88</v>
      </c>
      <c r="D17" s="5"/>
      <c r="E17" s="131"/>
      <c r="F17" s="132"/>
    </row>
    <row r="18" spans="1:8" x14ac:dyDescent="0.3">
      <c r="A18" s="121" t="s">
        <v>68</v>
      </c>
      <c r="B18" s="122"/>
      <c r="C18" s="117">
        <v>24175.95</v>
      </c>
      <c r="E18" s="57"/>
      <c r="F18" s="58"/>
    </row>
    <row r="19" spans="1:8" x14ac:dyDescent="0.3">
      <c r="A19" s="121" t="s">
        <v>75</v>
      </c>
      <c r="B19" s="122"/>
      <c r="C19" s="117">
        <v>95246.25</v>
      </c>
      <c r="D19" s="5"/>
      <c r="E19" s="57"/>
      <c r="F19" s="58"/>
    </row>
    <row r="20" spans="1:8" x14ac:dyDescent="0.3">
      <c r="A20" s="121" t="s">
        <v>76</v>
      </c>
      <c r="B20" s="122"/>
      <c r="C20" s="117">
        <v>86842.66</v>
      </c>
      <c r="E20" s="57"/>
      <c r="F20" s="58"/>
      <c r="H20" s="106"/>
    </row>
    <row r="21" spans="1:8" ht="15" thickBot="1" x14ac:dyDescent="0.35">
      <c r="A21" s="123"/>
      <c r="B21" s="124"/>
      <c r="C21" s="86">
        <f>SUM(C12:C20)</f>
        <v>591360.36</v>
      </c>
      <c r="E21" s="59" t="s">
        <v>43</v>
      </c>
      <c r="F21" s="119">
        <f>SUM(F12:F20)</f>
        <v>-251245.26024926727</v>
      </c>
    </row>
    <row r="22" spans="1:8" x14ac:dyDescent="0.3">
      <c r="A22" s="125" t="s">
        <v>21</v>
      </c>
      <c r="B22" s="122"/>
      <c r="C22" s="111"/>
      <c r="D22" s="5"/>
      <c r="E22" s="19"/>
      <c r="F22" s="20"/>
    </row>
    <row r="23" spans="1:8" x14ac:dyDescent="0.3">
      <c r="A23" s="121" t="s">
        <v>63</v>
      </c>
      <c r="B23" s="126"/>
      <c r="C23" s="117">
        <v>91370</v>
      </c>
      <c r="D23" s="5"/>
      <c r="E23" s="19"/>
      <c r="F23" s="20"/>
    </row>
    <row r="24" spans="1:8" x14ac:dyDescent="0.3">
      <c r="A24" s="121" t="s">
        <v>69</v>
      </c>
      <c r="B24" s="126"/>
      <c r="C24" s="117">
        <v>4519.75</v>
      </c>
      <c r="D24" s="5"/>
      <c r="E24" s="19"/>
      <c r="F24" s="20"/>
    </row>
    <row r="25" spans="1:8" x14ac:dyDescent="0.3">
      <c r="A25" s="31" t="s">
        <v>71</v>
      </c>
      <c r="B25" s="34"/>
      <c r="C25" s="110"/>
      <c r="D25" s="5"/>
      <c r="E25" s="19"/>
      <c r="F25" s="20"/>
    </row>
    <row r="26" spans="1:8" x14ac:dyDescent="0.3">
      <c r="A26" s="32"/>
      <c r="B26" s="33"/>
      <c r="C26" s="107">
        <f>SUM(C22:C25)</f>
        <v>95889.75</v>
      </c>
      <c r="D26" s="5"/>
      <c r="E26" s="5"/>
      <c r="F26" s="54"/>
      <c r="G26" s="6"/>
    </row>
    <row r="27" spans="1:8" x14ac:dyDescent="0.3">
      <c r="A27" s="46" t="s">
        <v>12</v>
      </c>
      <c r="B27" s="47"/>
      <c r="C27" s="48">
        <f>+C26+C21</f>
        <v>687250.11</v>
      </c>
      <c r="D27" s="5"/>
      <c r="E27" s="19"/>
      <c r="F27" s="20"/>
    </row>
    <row r="28" spans="1:8" ht="14.25" customHeight="1" x14ac:dyDescent="0.3">
      <c r="A28" s="68" t="s">
        <v>24</v>
      </c>
      <c r="B28" s="81"/>
      <c r="C28" s="82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3"/>
      <c r="B30" s="29"/>
      <c r="C30" s="53"/>
      <c r="F30" s="6"/>
    </row>
    <row r="31" spans="1:8" hidden="1" x14ac:dyDescent="0.3">
      <c r="A31" s="51"/>
      <c r="B31" s="50"/>
      <c r="C31" s="52">
        <v>0</v>
      </c>
      <c r="F31" s="6"/>
    </row>
    <row r="32" spans="1:8" hidden="1" x14ac:dyDescent="0.3">
      <c r="A32" s="60"/>
      <c r="B32" s="61"/>
      <c r="C32" s="52">
        <v>0</v>
      </c>
      <c r="F32" s="6"/>
    </row>
    <row r="33" spans="1:6" x14ac:dyDescent="0.3">
      <c r="A33" s="77"/>
      <c r="B33" s="78"/>
      <c r="C33" s="80"/>
      <c r="F33" s="6"/>
    </row>
    <row r="34" spans="1:6" x14ac:dyDescent="0.3">
      <c r="A34" s="77"/>
      <c r="B34" s="84"/>
      <c r="C34" s="85"/>
      <c r="F34" s="6"/>
    </row>
    <row r="35" spans="1:6" x14ac:dyDescent="0.3">
      <c r="A35" s="77"/>
      <c r="B35" s="83"/>
      <c r="C35" s="80">
        <v>0</v>
      </c>
      <c r="F35" s="6"/>
    </row>
    <row r="36" spans="1:6" x14ac:dyDescent="0.3">
      <c r="A36" s="62" t="s">
        <v>23</v>
      </c>
      <c r="B36" s="63"/>
      <c r="C36" s="64">
        <f>SUM(C31:C35)</f>
        <v>0</v>
      </c>
    </row>
    <row r="37" spans="1:6" x14ac:dyDescent="0.3">
      <c r="A37" t="s">
        <v>54</v>
      </c>
      <c r="C37" s="52">
        <f>C27-C25</f>
        <v>687250.11</v>
      </c>
      <c r="F37" s="6"/>
    </row>
    <row r="38" spans="1:6" x14ac:dyDescent="0.3">
      <c r="A38" s="5" t="s">
        <v>49</v>
      </c>
      <c r="C38" s="76">
        <f>+C27</f>
        <v>687250.11</v>
      </c>
      <c r="F38" s="6"/>
    </row>
    <row r="39" spans="1:6" x14ac:dyDescent="0.3">
      <c r="A39" s="62" t="s">
        <v>13</v>
      </c>
      <c r="B39" s="63"/>
      <c r="C39" s="64">
        <f>+C27+C36</f>
        <v>687250.11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30"/>
      <c r="C46" s="130"/>
      <c r="D46" s="130"/>
      <c r="E46" s="130"/>
    </row>
    <row r="47" spans="1:6" x14ac:dyDescent="0.3">
      <c r="B47" s="130"/>
      <c r="C47" s="130"/>
      <c r="D47" s="130"/>
      <c r="E47" s="130"/>
    </row>
    <row r="48" spans="1:6" x14ac:dyDescent="0.3">
      <c r="B48" s="130"/>
      <c r="C48" s="130"/>
      <c r="D48" s="130"/>
      <c r="E48" s="130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4">
    <mergeCell ref="E11:F11"/>
    <mergeCell ref="B46:E48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7" sqref="F7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687632.45000000007</v>
      </c>
      <c r="L1" s="70"/>
      <c r="M1" s="27"/>
    </row>
    <row r="2" spans="1:13" ht="15" thickBot="1" x14ac:dyDescent="0.35">
      <c r="A2" s="71" t="str">
        <f>'detalle y gastos'!E7</f>
        <v>Liquidacion mes de MAYO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18/06</v>
      </c>
      <c r="M4" s="65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0">
        <v>195131.99656</v>
      </c>
      <c r="F5" s="79">
        <f>E5</f>
        <v>195131.99656</v>
      </c>
      <c r="G5" s="66">
        <f>E5-F5</f>
        <v>0</v>
      </c>
      <c r="H5" s="69">
        <f>IF(G5&gt;0,G5*4%,0)</f>
        <v>0</v>
      </c>
      <c r="I5" s="15">
        <v>0</v>
      </c>
      <c r="J5" s="37">
        <f>K$1/5</f>
        <v>137526.49000000002</v>
      </c>
      <c r="K5" s="115">
        <f>K2*D5</f>
        <v>0</v>
      </c>
      <c r="L5" s="15">
        <f>J5+K5+H5+G5</f>
        <v>137526.49000000002</v>
      </c>
      <c r="M5" s="38">
        <f>L5*4%+L5</f>
        <v>143027.54960000003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0">
        <v>79762.493999999992</v>
      </c>
      <c r="F6" s="79">
        <v>80000</v>
      </c>
      <c r="G6" s="66">
        <f>E6-F6</f>
        <v>-237.5060000000085</v>
      </c>
      <c r="H6" s="69">
        <f t="shared" ref="H6:H9" si="0">IF(G6&gt;0,G6*4%,0)</f>
        <v>0</v>
      </c>
      <c r="I6" s="15">
        <v>0</v>
      </c>
      <c r="J6" s="37">
        <f t="shared" ref="J6:J9" si="1">K$1/5</f>
        <v>137526.49000000002</v>
      </c>
      <c r="K6" s="115">
        <f>K2*D6</f>
        <v>0</v>
      </c>
      <c r="L6" s="15">
        <f>J6+K6+H6+G6</f>
        <v>137288.984</v>
      </c>
      <c r="M6" s="38">
        <f t="shared" ref="M6:M9" si="2">L6*4%+L6</f>
        <v>142780.54336000001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0">
        <v>195131.99656</v>
      </c>
      <c r="F7" s="79">
        <f>E7</f>
        <v>195131.99656</v>
      </c>
      <c r="G7" s="66">
        <f t="shared" ref="G7:G8" si="3">E7-F7</f>
        <v>0</v>
      </c>
      <c r="H7" s="69">
        <f t="shared" si="0"/>
        <v>0</v>
      </c>
      <c r="I7" s="15">
        <v>0</v>
      </c>
      <c r="J7" s="37">
        <f t="shared" si="1"/>
        <v>137526.49000000002</v>
      </c>
      <c r="K7" s="115">
        <f>K2*D7</f>
        <v>0</v>
      </c>
      <c r="L7" s="15">
        <f>J7+K7+H7+G7</f>
        <v>137526.49000000002</v>
      </c>
      <c r="M7" s="38">
        <f t="shared" si="2"/>
        <v>143027.54960000003</v>
      </c>
    </row>
    <row r="8" spans="1:13" x14ac:dyDescent="0.3">
      <c r="A8" s="12">
        <v>4</v>
      </c>
      <c r="B8" s="13">
        <v>4</v>
      </c>
      <c r="C8" s="14" t="s">
        <v>77</v>
      </c>
      <c r="D8" s="17"/>
      <c r="E8" s="40">
        <v>79762.493999999992</v>
      </c>
      <c r="F8" s="79">
        <f>E8</f>
        <v>79762.493999999992</v>
      </c>
      <c r="G8" s="66">
        <f t="shared" si="3"/>
        <v>0</v>
      </c>
      <c r="H8" s="69">
        <f t="shared" si="0"/>
        <v>0</v>
      </c>
      <c r="I8" s="15">
        <v>0</v>
      </c>
      <c r="J8" s="37">
        <f t="shared" si="1"/>
        <v>137526.49000000002</v>
      </c>
      <c r="K8" s="115">
        <f>K2*D8</f>
        <v>0</v>
      </c>
      <c r="L8" s="15">
        <f>J8+K8+H8+G8</f>
        <v>137526.49000000002</v>
      </c>
      <c r="M8" s="38">
        <f t="shared" si="2"/>
        <v>143027.54960000003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0">
        <v>79762.493999999992</v>
      </c>
      <c r="F9" s="79">
        <f>E9</f>
        <v>79762.493999999992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137526.49000000002</v>
      </c>
      <c r="K9" s="115">
        <f>K2*D9</f>
        <v>0</v>
      </c>
      <c r="L9" s="15">
        <f>J9+K9+H9+G9</f>
        <v>137526.49000000002</v>
      </c>
      <c r="M9" s="38">
        <f t="shared" si="2"/>
        <v>143027.54960000003</v>
      </c>
    </row>
    <row r="10" spans="1:13" ht="15" customHeight="1" thickBot="1" x14ac:dyDescent="0.35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629551.47511999996</v>
      </c>
      <c r="F10" s="41">
        <f>SUM(F5:F9)</f>
        <v>629788.98111999989</v>
      </c>
      <c r="G10" s="49">
        <f t="shared" si="4"/>
        <v>-237.5060000000085</v>
      </c>
      <c r="H10" s="49">
        <f t="shared" si="4"/>
        <v>0</v>
      </c>
      <c r="I10" s="11">
        <f t="shared" si="4"/>
        <v>0</v>
      </c>
      <c r="J10" s="45">
        <f t="shared" si="4"/>
        <v>687632.45000000007</v>
      </c>
      <c r="K10" s="45">
        <f t="shared" si="4"/>
        <v>0</v>
      </c>
      <c r="L10" s="116">
        <f t="shared" si="4"/>
        <v>687394.94400000002</v>
      </c>
      <c r="M10" s="116">
        <f t="shared" si="4"/>
        <v>714890.74176000012</v>
      </c>
    </row>
    <row r="11" spans="1:13" ht="51.75" hidden="1" customHeight="1" thickBot="1" x14ac:dyDescent="0.3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</row>
    <row r="12" spans="1:13" ht="14.25" customHeight="1" x14ac:dyDescent="0.3">
      <c r="M12" s="6"/>
    </row>
    <row r="13" spans="1:13" hidden="1" x14ac:dyDescent="0.3">
      <c r="C13" s="134"/>
      <c r="D13" s="134"/>
      <c r="E13" s="134"/>
      <c r="F13" s="134"/>
      <c r="G13" s="134"/>
      <c r="H13" s="134"/>
      <c r="I13" s="134"/>
      <c r="J13" s="134"/>
      <c r="K13" s="134"/>
      <c r="L13" s="134"/>
    </row>
    <row r="14" spans="1:13" hidden="1" x14ac:dyDescent="0.3">
      <c r="C14" s="134"/>
      <c r="D14" s="134"/>
      <c r="E14" s="134"/>
      <c r="F14" s="134"/>
      <c r="G14" s="134"/>
      <c r="H14" s="134"/>
      <c r="I14" s="134"/>
      <c r="J14" s="134"/>
      <c r="K14" s="134"/>
      <c r="L14" s="134"/>
    </row>
    <row r="15" spans="1:13" hidden="1" x14ac:dyDescent="0.3">
      <c r="C15" s="134"/>
      <c r="D15" s="134"/>
      <c r="E15" s="134"/>
      <c r="F15" s="134"/>
      <c r="G15" s="134"/>
      <c r="H15" s="134"/>
      <c r="I15" s="134"/>
      <c r="J15" s="134"/>
      <c r="K15" s="134"/>
      <c r="L15" s="134"/>
    </row>
    <row r="16" spans="1:13" hidden="1" x14ac:dyDescent="0.3">
      <c r="C16" s="134"/>
      <c r="D16" s="134"/>
      <c r="E16" s="134"/>
      <c r="F16" s="134"/>
      <c r="G16" s="134"/>
      <c r="H16" s="134"/>
      <c r="I16" s="134"/>
      <c r="J16" s="134"/>
      <c r="K16" s="134"/>
      <c r="L16" s="134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40" t="s">
        <v>24</v>
      </c>
      <c r="B1" s="141"/>
      <c r="C1" s="141"/>
      <c r="D1" s="141"/>
      <c r="E1" s="142"/>
      <c r="F1" s="87"/>
      <c r="G1" s="87"/>
    </row>
    <row r="2" spans="1:7" ht="15" thickBot="1" x14ac:dyDescent="0.35">
      <c r="A2" s="143" t="s">
        <v>50</v>
      </c>
      <c r="B2" s="144"/>
      <c r="C2" s="145"/>
      <c r="D2" s="146">
        <v>565</v>
      </c>
      <c r="E2" s="147"/>
      <c r="F2" s="88"/>
      <c r="G2" s="88"/>
    </row>
    <row r="3" spans="1:7" ht="15" thickTop="1" x14ac:dyDescent="0.3">
      <c r="A3" s="148" t="s">
        <v>0</v>
      </c>
      <c r="B3" s="148" t="s">
        <v>1</v>
      </c>
      <c r="C3" s="148" t="s">
        <v>2</v>
      </c>
      <c r="D3" s="150" t="s">
        <v>4</v>
      </c>
      <c r="E3" s="135" t="s">
        <v>51</v>
      </c>
      <c r="F3" s="135" t="s">
        <v>52</v>
      </c>
      <c r="G3" s="135" t="s">
        <v>44</v>
      </c>
    </row>
    <row r="4" spans="1:7" ht="15" thickBot="1" x14ac:dyDescent="0.35">
      <c r="A4" s="149"/>
      <c r="B4" s="149"/>
      <c r="C4" s="149"/>
      <c r="D4" s="151"/>
      <c r="E4" s="136"/>
      <c r="F4" s="136"/>
      <c r="G4" s="136"/>
    </row>
    <row r="5" spans="1:7" ht="15.6" thickTop="1" thickBot="1" x14ac:dyDescent="0.35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" thickBot="1" x14ac:dyDescent="0.35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" thickBot="1" x14ac:dyDescent="0.35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5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" thickBot="1" x14ac:dyDescent="0.35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" thickBot="1" x14ac:dyDescent="0.35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5.6" thickTop="1" thickBot="1" x14ac:dyDescent="0.35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5.6" thickTop="1" thickBot="1" x14ac:dyDescent="0.35">
      <c r="A12" s="137"/>
      <c r="B12" s="138"/>
      <c r="C12" s="138"/>
      <c r="D12" s="138"/>
      <c r="E12" s="139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2026-05-11T01:36:00Z</cp:lastPrinted>
  <dcterms:created xsi:type="dcterms:W3CDTF">2020-12-10T00:27:53Z</dcterms:created>
  <dcterms:modified xsi:type="dcterms:W3CDTF">2026-05-27T11:52:47Z</dcterms:modified>
</cp:coreProperties>
</file>