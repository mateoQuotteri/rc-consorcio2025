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O HIGGINS 1157\Octubre\"/>
    </mc:Choice>
  </mc:AlternateContent>
  <xr:revisionPtr revIDLastSave="0" documentId="13_ncr:1_{6EF1BFCB-59B5-44EB-8ECD-5F140F3EC03C}" xr6:coauthVersionLast="47" xr6:coauthVersionMax="47" xr10:uidLastSave="{00000000-0000-0000-0000-000000000000}"/>
  <bookViews>
    <workbookView xWindow="-108" yWindow="-108" windowWidth="23256" windowHeight="12576"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RESUMEN!$A$1:$E$116</definedName>
  </definedNames>
  <calcPr calcId="181029"/>
</workbook>
</file>

<file path=xl/calcChain.xml><?xml version="1.0" encoding="utf-8"?>
<calcChain xmlns="http://schemas.openxmlformats.org/spreadsheetml/2006/main">
  <c r="D62" i="4" l="1"/>
  <c r="G31" i="5"/>
  <c r="B89" i="4"/>
  <c r="B88" i="4" s="1"/>
  <c r="B106" i="4"/>
  <c r="G41" i="5" l="1"/>
  <c r="G15" i="5"/>
  <c r="B116" i="4"/>
  <c r="G46" i="5"/>
  <c r="G32" i="5"/>
  <c r="G37" i="5"/>
  <c r="G33" i="5"/>
  <c r="G17" i="5"/>
  <c r="G39" i="5"/>
  <c r="G27" i="5"/>
  <c r="B100" i="4"/>
  <c r="D57" i="4"/>
  <c r="E63" i="4" l="1"/>
  <c r="E41" i="4"/>
  <c r="E48" i="4"/>
  <c r="E55" i="4"/>
  <c r="E59" i="4"/>
  <c r="E37" i="4" l="1"/>
  <c r="G26" i="5" l="1"/>
  <c r="G55" i="5"/>
  <c r="G43" i="5"/>
  <c r="G40" i="5"/>
  <c r="G14" i="5"/>
  <c r="G28" i="5"/>
  <c r="G19" i="5" l="1"/>
  <c r="G35" i="5"/>
  <c r="G58" i="5"/>
  <c r="G34" i="5"/>
  <c r="G21" i="5" l="1"/>
  <c r="G22" i="5"/>
  <c r="G49" i="5"/>
  <c r="G29" i="5"/>
  <c r="G45" i="5"/>
  <c r="G51" i="5"/>
  <c r="G23" i="5"/>
  <c r="G44"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04" i="4"/>
  <c r="B95" i="4"/>
  <c r="G25" i="5"/>
  <c r="G20" i="5"/>
  <c r="G61" i="5" s="1"/>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25" i="4" l="1"/>
  <c r="E67" i="4" s="1"/>
  <c r="O13" i="5" l="1"/>
  <c r="B80" i="4" l="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74" i="4"/>
  <c r="E78" i="4" s="1"/>
  <c r="B82" i="4" s="1"/>
  <c r="K61" i="5" l="1"/>
  <c r="I56" i="5"/>
  <c r="Q16" i="5"/>
  <c r="O16" i="5" s="1"/>
  <c r="I27" i="5"/>
  <c r="I37" i="5"/>
  <c r="I23" i="5"/>
  <c r="B81" i="4"/>
  <c r="B103" i="4" s="1"/>
  <c r="J61" i="5"/>
  <c r="I15" i="5"/>
  <c r="O15" i="5" s="1"/>
  <c r="B83" i="4"/>
  <c r="P16" i="5" l="1"/>
  <c r="Q17" i="5"/>
  <c r="O17" i="5" s="1"/>
  <c r="H14" i="5"/>
  <c r="B105" i="4"/>
  <c r="B108" i="4" s="1"/>
  <c r="B110" i="4" s="1"/>
  <c r="P15" i="5"/>
  <c r="P17" i="5" l="1"/>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<sst xmlns="http://schemas.openxmlformats.org/spreadsheetml/2006/main" count="271" uniqueCount="216">
  <si>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</si>
  <si>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</si>
  <si>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</si>
  <si>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</si>
  <si>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</si>
  <si>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</si>
  <si>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</si>
  <si>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</si>
  <si>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</si>
  <si>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</si>
  <si>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</si>
  <si>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</si>
  <si>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</si>
  <si>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</si>
  <si>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</si>
  <si>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</si>
  <si>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</si>
  <si>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</si>
  <si>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</si>
  <si>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</si>
  <si>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</si>
  <si>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</si>
  <si>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</si>
  <si>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</si>
  <si>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</si>
  <si>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</si>
  <si>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</si>
  <si>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</si>
  <si>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</si>
  <si>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</si>
  <si>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</si>
  <si>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</si>
  <si>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</si>
  <si>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</si>
  <si>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</si>
  <si>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</si>
  <si>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</si>
  <si>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</si>
  <si>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</si>
  <si>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</si>
  <si>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</si>
  <si>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</si>
  <si>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</si>
  <si>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</si>
  <si>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</si>
  <si>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</si>
  <si>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</si>
  <si>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</si>
  <si>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</si>
  <si>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</si>
  <si>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</si>
  <si>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</si>
  <si>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</si>
  <si>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</si>
  <si>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</si>
  <si>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</si>
  <si>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</si>
  <si>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</si>
  <si>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</si>
  <si>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</si>
  <si>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</si>
  <si>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</si>
  <si>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</si>
  <si>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</si>
  <si>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</si>
  <si>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</si>
  <si>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</si>
  <si>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</si>
  <si>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</si>
  <si>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</si>
  <si>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</si>
  <si>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</si>
  <si>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</si>
  <si>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</si>
  <si>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</si>
  <si>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</si>
  <si>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</si>
  <si>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</si>
  <si>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</si>
  <si>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</si>
  <si>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</si>
  <si>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</si>
  <si>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</si>
  <si>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</si>
  <si>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</si>
  <si>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</si>
  <si>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</si>
  <si>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</si>
  <si>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</si>
  <si>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</si>
  <si>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</si>
  <si>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</si>
  <si>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</si>
  <si>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</si>
  <si>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</si>
  <si>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</si>
  <si>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</si>
  <si>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</si>
  <si>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</si>
  <si>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</si>
  <si>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</si>
  <si>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</si>
  <si>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</si>
  <si>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</si>
  <si>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</si>
  <si>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</si>
  <si>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</si>
  <si>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</si>
  <si>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</si>
  <si>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</si>
  <si>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</si>
  <si>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</si>
  <si>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</si>
  <si>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</si>
  <si>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</si>
  <si>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</si>
  <si>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</si>
  <si>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</si>
  <si>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</si>
  <si>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</si>
  <si>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</si>
  <si>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</si>
  <si>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</si>
  <si>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</si>
  <si>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</si>
  <si>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</si>
  <si>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</si>
  <si>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</si>
  <si>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</si>
  <si>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</si>
  <si>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</si>
  <si>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</si>
  <si>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</si>
  <si>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</si>
  <si>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</si>
  <si>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</si>
  <si>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</si>
  <si>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</si>
  <si>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</si>
  <si>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</si>
  <si>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</si>
  <si>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</si>
  <si>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</si>
  <si>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</si>
  <si>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</si>
  <si>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</si>
  <si>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</si>
  <si>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</si>
  <si>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</si>
  <si>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</si>
  <si>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</si>
  <si>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</si>
  <si>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</si>
  <si>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</si>
  <si>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</si>
  <si>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</si>
  <si>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</si>
  <si>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</si>
  <si>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</si>
  <si>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</si>
  <si>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</si>
  <si>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</si>
  <si>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</si>
  <si>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</si>
  <si>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</si>
  <si>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</si>
  <si>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</si>
  <si>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</si>
  <si>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</si>
  <si>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</si>
  <si>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</si>
  <si>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Estudio M&amp;M</t>
  </si>
  <si>
    <t>Myryam Martinez Del Valle</t>
  </si>
  <si>
    <t xml:space="preserve">Gastos bancarios </t>
  </si>
  <si>
    <t xml:space="preserve">Saldo inicial </t>
  </si>
  <si>
    <t>Saldo final</t>
  </si>
  <si>
    <t>Gombach Paula / Romero Miguel</t>
  </si>
  <si>
    <t>Brisa Agüero</t>
  </si>
  <si>
    <t>FCI Super ahorro plus</t>
  </si>
  <si>
    <t>Gasto particular / SUM</t>
  </si>
  <si>
    <t xml:space="preserve">CONS. DE PROP. O HIGGINS 1157                                                                                                                                                        
</t>
  </si>
  <si>
    <t xml:space="preserve"> </t>
  </si>
  <si>
    <t>Rescate FCI</t>
  </si>
  <si>
    <t>Interes generados</t>
  </si>
  <si>
    <t>Inicio del mes</t>
  </si>
  <si>
    <t xml:space="preserve">Haberes </t>
  </si>
  <si>
    <t>Transf 19/09</t>
  </si>
  <si>
    <t>Transf 16/09</t>
  </si>
  <si>
    <t>Casa Ruan - Compra de 6 dicroicas</t>
  </si>
  <si>
    <t xml:space="preserve">Gustavo Padron -  Sr. Contador - Mes 8 </t>
  </si>
  <si>
    <t>Transf 07/09</t>
  </si>
  <si>
    <t>Transf 09/09</t>
  </si>
  <si>
    <t>Maria Belen Gomez</t>
  </si>
  <si>
    <t>6C $251.908 el 16/09 y $923.325 el 29/09</t>
  </si>
  <si>
    <t>Transf 05/09  - 10/09</t>
  </si>
  <si>
    <t>Debito 14/09</t>
  </si>
  <si>
    <t>Cuota 18/24</t>
  </si>
  <si>
    <t>Debito 16/09</t>
  </si>
  <si>
    <t>Forlini Nora - Desagote de camara</t>
  </si>
  <si>
    <t>Transf 28/09</t>
  </si>
  <si>
    <t>Deposito 23/09</t>
  </si>
  <si>
    <t>Chade Monica  - Articulos de limpieza</t>
  </si>
  <si>
    <t>Molina soledad</t>
  </si>
  <si>
    <t>Ingresos correspondientes a caja SUM</t>
  </si>
  <si>
    <t>Vazquez Miguel Angel</t>
  </si>
  <si>
    <t>Cambon Maria estele transfiere a nombre de la unidad funcional 17 (6B) respetando centavos - Como nos suena "raro el monto" le  repreguntamos: che estas segura que esto es para el 6B? Nos lo confirmas? - Aguardamos respuesta</t>
  </si>
  <si>
    <t>VTO 16/11</t>
  </si>
  <si>
    <t>PERÍODO: OCTUBRE</t>
  </si>
  <si>
    <t>Honorarios administracion - Se abona JULIO Y SEPTIEMBRE - Se adeuda OCTUBRE ($420.000)</t>
  </si>
  <si>
    <t>Tramsf 16/10</t>
  </si>
  <si>
    <t>Transf 05/10</t>
  </si>
  <si>
    <t>Abono ascensor - ADS - Mes adeudado</t>
  </si>
  <si>
    <t>Abono ascensor - ADS - Mes de octubre</t>
  </si>
  <si>
    <t>Tramsf 09/10</t>
  </si>
  <si>
    <t>Quintana Diego - Cambio de correa y ajustes</t>
  </si>
  <si>
    <t>Transf 09/10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</si>
</sst>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1"/>
      <color theme="4" tint="0.59999389629810485"/>
      <name val="Calibri"/>
      <family val="2"/>
      <scheme val="minor"/>
    </font>
    <font>
      <b/>
      <sz val="12"/>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7030A0"/>
        <bgColor indexed="64"/>
      </patternFill>
    </fill>
    <fill>
      <patternFill patternType="solid">
        <fgColor rgb="FF74FA84"/>
        <bgColor indexed="64"/>
      </patternFill>
    </fill>
    <fill>
      <patternFill patternType="solid">
        <fgColor theme="6"/>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44" fontId="4" fillId="0" borderId="0" applyFont="0" applyFill="0" applyBorder="0" applyAlignment="0" applyProtection="0"/>
  </cellStyleXfs>
  <cellXfs count="261">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8" fontId="8" fillId="7" borderId="9" xfId="0" applyNumberFormat="1" applyFont="1" applyFill="1" applyBorder="1"/>
    <xf numFmtId="0" fontId="0" fillId="2" borderId="0" xfId="0" applyFill="1"/>
    <xf numFmtId="0" fontId="10" fillId="2" borderId="9" xfId="0" applyFont="1" applyFill="1" applyBorder="1"/>
    <xf numFmtId="44" fontId="11" fillId="7" borderId="20" xfId="1" applyFont="1" applyFill="1" applyBorder="1"/>
    <xf numFmtId="44" fontId="11" fillId="7" borderId="9" xfId="1" applyFont="1" applyFill="1" applyBorder="1"/>
    <xf numFmtId="0" fontId="0" fillId="0" borderId="9" xfId="0" applyBorder="1" applyAlignment="1">
      <alignment vertical="center" wrapText="1"/>
    </xf>
    <xf numFmtId="44" fontId="9" fillId="7" borderId="9" xfId="1" applyFont="1" applyFill="1" applyBorder="1"/>
    <xf numFmtId="44" fontId="11" fillId="7" borderId="20" xfId="1" applyFont="1" applyFill="1" applyBorder="1" applyAlignment="1">
      <alignment horizontal="center"/>
    </xf>
    <xf numFmtId="0" fontId="12" fillId="0" borderId="9" xfId="1" applyNumberFormat="1" applyFont="1" applyBorder="1"/>
    <xf numFmtId="44" fontId="9" fillId="2" borderId="20" xfId="1" applyFont="1" applyFill="1" applyBorder="1"/>
    <xf numFmtId="0" fontId="8" fillId="7" borderId="9" xfId="0" applyFont="1" applyFill="1" applyBorder="1"/>
    <xf numFmtId="8" fontId="11" fillId="7" borderId="20" xfId="0" applyNumberFormat="1" applyFont="1" applyFill="1" applyBorder="1"/>
    <xf numFmtId="8" fontId="11" fillId="7" borderId="22" xfId="0" applyNumberFormat="1" applyFont="1" applyFill="1" applyBorder="1"/>
    <xf numFmtId="44" fontId="13" fillId="7" borderId="9" xfId="1" applyFont="1" applyFill="1" applyBorder="1"/>
    <xf numFmtId="0" fontId="9" fillId="0" borderId="9" xfId="0" applyFont="1" applyBorder="1"/>
    <xf numFmtId="0" fontId="10" fillId="0" borderId="15" xfId="0" applyFont="1" applyBorder="1"/>
    <xf numFmtId="0" fontId="11" fillId="8" borderId="20" xfId="0" applyFont="1" applyFill="1" applyBorder="1"/>
    <xf numFmtId="44" fontId="13" fillId="8" borderId="9" xfId="1" applyFont="1" applyFill="1" applyBorder="1"/>
    <xf numFmtId="0" fontId="0" fillId="0" borderId="3" xfId="0" applyBorder="1"/>
    <xf numFmtId="0" fontId="9" fillId="0" borderId="0" xfId="0" applyFont="1"/>
    <xf numFmtId="0" fontId="10" fillId="0" borderId="12" xfId="0" applyFont="1" applyBorder="1"/>
    <xf numFmtId="44" fontId="0" fillId="0" borderId="0" xfId="0" applyNumberFormat="1"/>
    <xf numFmtId="0" fontId="11" fillId="6" borderId="8" xfId="0" applyFont="1" applyFill="1" applyBorder="1"/>
    <xf numFmtId="44" fontId="13" fillId="6" borderId="6" xfId="0" applyNumberFormat="1" applyFont="1" applyFill="1" applyBorder="1"/>
    <xf numFmtId="43" fontId="0" fillId="0" borderId="0" xfId="0" applyNumberFormat="1"/>
    <xf numFmtId="164" fontId="0" fillId="2" borderId="0" xfId="1" applyNumberFormat="1" applyFont="1" applyFill="1" applyAlignment="1"/>
    <xf numFmtId="0" fontId="9" fillId="6" borderId="2" xfId="0" applyFont="1" applyFill="1" applyBorder="1"/>
    <xf numFmtId="0" fontId="9" fillId="6" borderId="11" xfId="0" applyFont="1" applyFill="1" applyBorder="1"/>
    <xf numFmtId="0" fontId="10"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5"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5" fillId="9" borderId="0" xfId="0" applyFont="1" applyFill="1"/>
    <xf numFmtId="44" fontId="5" fillId="9" borderId="0" xfId="0" applyNumberFormat="1" applyFont="1" applyFill="1"/>
    <xf numFmtId="44" fontId="5" fillId="9" borderId="0" xfId="1" applyFont="1" applyFill="1"/>
    <xf numFmtId="0" fontId="0" fillId="0" borderId="13" xfId="0" applyBorder="1"/>
    <xf numFmtId="8" fontId="0" fillId="0" borderId="0" xfId="0" applyNumberFormat="1"/>
    <xf numFmtId="44" fontId="16" fillId="2" borderId="9" xfId="1" applyFont="1" applyFill="1" applyBorder="1"/>
    <xf numFmtId="0" fontId="14"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9" fillId="7" borderId="20" xfId="1" applyFont="1" applyFill="1" applyBorder="1"/>
    <xf numFmtId="0" fontId="15" fillId="2" borderId="9" xfId="0" applyFont="1" applyFill="1" applyBorder="1"/>
    <xf numFmtId="0" fontId="17" fillId="2" borderId="9" xfId="0" applyFont="1" applyFill="1" applyBorder="1"/>
    <xf numFmtId="0" fontId="15" fillId="2" borderId="9" xfId="0" applyFont="1" applyFill="1" applyBorder="1" applyAlignment="1">
      <alignment horizontal="center"/>
    </xf>
    <xf numFmtId="167" fontId="15" fillId="2" borderId="9" xfId="0" applyNumberFormat="1" applyFont="1" applyFill="1" applyBorder="1"/>
    <xf numFmtId="44" fontId="16" fillId="2" borderId="24" xfId="1" applyFont="1" applyFill="1" applyBorder="1"/>
    <xf numFmtId="0" fontId="15" fillId="2" borderId="9" xfId="0" applyFont="1" applyFill="1" applyBorder="1" applyAlignment="1">
      <alignment wrapText="1"/>
    </xf>
    <xf numFmtId="0" fontId="15" fillId="2" borderId="9" xfId="0" applyFont="1" applyFill="1" applyBorder="1" applyAlignment="1">
      <alignment vertical="center" wrapText="1"/>
    </xf>
    <xf numFmtId="44" fontId="10" fillId="0" borderId="9" xfId="1" applyFont="1" applyBorder="1" applyAlignment="1">
      <alignment vertical="center" wrapText="1"/>
    </xf>
    <xf numFmtId="44" fontId="9" fillId="7" borderId="0" xfId="1" applyFont="1" applyFill="1"/>
    <xf numFmtId="8" fontId="18" fillId="7" borderId="9" xfId="0" applyNumberFormat="1" applyFont="1" applyFill="1" applyBorder="1"/>
    <xf numFmtId="167" fontId="15" fillId="2" borderId="9" xfId="1" applyNumberFormat="1" applyFont="1" applyFill="1" applyBorder="1"/>
    <xf numFmtId="0" fontId="15" fillId="2" borderId="10" xfId="0" applyFont="1" applyFill="1" applyBorder="1"/>
    <xf numFmtId="0" fontId="15" fillId="7" borderId="27" xfId="0" applyFont="1" applyFill="1" applyBorder="1"/>
    <xf numFmtId="0" fontId="15" fillId="7" borderId="28" xfId="0" applyFont="1" applyFill="1" applyBorder="1"/>
    <xf numFmtId="168" fontId="15" fillId="7" borderId="28" xfId="0" applyNumberFormat="1" applyFont="1" applyFill="1" applyBorder="1" applyAlignment="1">
      <alignment horizontal="center"/>
    </xf>
    <xf numFmtId="44" fontId="15" fillId="7" borderId="28" xfId="0" applyNumberFormat="1" applyFont="1" applyFill="1" applyBorder="1"/>
    <xf numFmtId="167" fontId="15" fillId="7" borderId="28" xfId="0" applyNumberFormat="1" applyFont="1" applyFill="1" applyBorder="1"/>
    <xf numFmtId="164" fontId="15" fillId="7" borderId="28" xfId="0" applyNumberFormat="1" applyFont="1" applyFill="1" applyBorder="1"/>
    <xf numFmtId="167" fontId="15" fillId="7" borderId="29" xfId="0" applyNumberFormat="1" applyFont="1" applyFill="1" applyBorder="1"/>
    <xf numFmtId="44" fontId="16" fillId="2" borderId="31" xfId="1" applyFont="1" applyFill="1" applyBorder="1"/>
    <xf numFmtId="44" fontId="15" fillId="7" borderId="32" xfId="0" applyNumberFormat="1" applyFont="1" applyFill="1" applyBorder="1"/>
    <xf numFmtId="0" fontId="12" fillId="3" borderId="33" xfId="0" applyFont="1" applyFill="1" applyBorder="1" applyAlignment="1">
      <alignment horizontal="center" vertical="center" wrapText="1"/>
    </xf>
    <xf numFmtId="0" fontId="12" fillId="3" borderId="24" xfId="0" applyFont="1" applyFill="1" applyBorder="1" applyAlignment="1">
      <alignment horizontal="center" vertical="center" wrapText="1"/>
    </xf>
    <xf numFmtId="44" fontId="15" fillId="7" borderId="34" xfId="0" applyNumberFormat="1" applyFont="1" applyFill="1" applyBorder="1"/>
    <xf numFmtId="44" fontId="18" fillId="7" borderId="19" xfId="1" applyFont="1" applyFill="1" applyBorder="1"/>
    <xf numFmtId="44" fontId="10" fillId="0" borderId="9" xfId="1" applyFont="1" applyBorder="1" applyAlignment="1">
      <alignment wrapText="1"/>
    </xf>
    <xf numFmtId="8" fontId="13" fillId="7" borderId="9" xfId="1" applyNumberFormat="1" applyFont="1" applyFill="1" applyBorder="1"/>
    <xf numFmtId="8" fontId="13" fillId="7" borderId="19" xfId="1" applyNumberFormat="1" applyFont="1" applyFill="1" applyBorder="1"/>
    <xf numFmtId="8" fontId="10" fillId="2" borderId="19" xfId="1" applyNumberFormat="1" applyFont="1" applyFill="1" applyBorder="1"/>
    <xf numFmtId="44" fontId="13" fillId="7" borderId="19" xfId="1" applyFont="1" applyFill="1" applyBorder="1"/>
    <xf numFmtId="44" fontId="10" fillId="7" borderId="19" xfId="1" applyFont="1" applyFill="1" applyBorder="1"/>
    <xf numFmtId="44" fontId="13" fillId="7" borderId="5" xfId="1" applyFont="1" applyFill="1" applyBorder="1"/>
    <xf numFmtId="44" fontId="13" fillId="7" borderId="1" xfId="1" applyFont="1" applyFill="1" applyBorder="1"/>
    <xf numFmtId="44" fontId="10" fillId="2" borderId="9" xfId="1" applyFont="1" applyFill="1" applyBorder="1"/>
    <xf numFmtId="44" fontId="11" fillId="7" borderId="0" xfId="1" applyFont="1" applyFill="1"/>
    <xf numFmtId="0" fontId="9" fillId="0" borderId="0" xfId="0" applyFont="1" applyAlignment="1">
      <alignment wrapText="1"/>
    </xf>
    <xf numFmtId="44" fontId="9" fillId="0" borderId="0" xfId="0" applyNumberFormat="1" applyFont="1" applyAlignment="1">
      <alignment wrapText="1"/>
    </xf>
    <xf numFmtId="44" fontId="13" fillId="8" borderId="9" xfId="1" applyFont="1" applyFill="1" applyBorder="1" applyAlignment="1">
      <alignment vertical="center"/>
    </xf>
    <xf numFmtId="8" fontId="12" fillId="2" borderId="19" xfId="1" applyNumberFormat="1" applyFont="1" applyFill="1" applyBorder="1"/>
    <xf numFmtId="0" fontId="5" fillId="9" borderId="14" xfId="0" applyFont="1" applyFill="1" applyBorder="1" applyAlignment="1">
      <alignment vertical="center" wrapText="1"/>
    </xf>
    <xf numFmtId="0" fontId="0" fillId="0" borderId="12" xfId="0" applyBorder="1"/>
    <xf numFmtId="0" fontId="10" fillId="0" borderId="19" xfId="1" applyNumberFormat="1" applyFont="1" applyBorder="1" applyAlignment="1">
      <alignment horizontal="left" vertical="center"/>
    </xf>
    <xf numFmtId="0" fontId="16" fillId="2" borderId="10" xfId="0" applyFont="1" applyFill="1" applyBorder="1"/>
    <xf numFmtId="0" fontId="16" fillId="2" borderId="9" xfId="0" applyFont="1" applyFill="1" applyBorder="1" applyAlignment="1">
      <alignment vertical="center" wrapText="1"/>
    </xf>
    <xf numFmtId="0" fontId="16" fillId="2" borderId="9" xfId="0" applyFont="1" applyFill="1" applyBorder="1" applyAlignment="1">
      <alignment wrapText="1"/>
    </xf>
    <xf numFmtId="0" fontId="16" fillId="2" borderId="9" xfId="0" applyFont="1" applyFill="1" applyBorder="1" applyAlignment="1">
      <alignment horizontal="center"/>
    </xf>
    <xf numFmtId="167" fontId="16" fillId="2" borderId="9" xfId="0" applyNumberFormat="1" applyFont="1" applyFill="1" applyBorder="1"/>
    <xf numFmtId="167" fontId="16"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5" fillId="2" borderId="21" xfId="0" applyFont="1" applyFill="1" applyBorder="1"/>
    <xf numFmtId="0" fontId="15" fillId="7" borderId="38" xfId="0" applyFont="1" applyFill="1" applyBorder="1"/>
    <xf numFmtId="165" fontId="1" fillId="3" borderId="0" xfId="0" applyNumberFormat="1" applyFont="1" applyFill="1" applyAlignment="1">
      <alignment horizontal="center"/>
    </xf>
    <xf numFmtId="44" fontId="9" fillId="0" borderId="0" xfId="0" applyNumberFormat="1" applyFont="1"/>
    <xf numFmtId="44" fontId="9" fillId="0" borderId="9" xfId="1" applyFont="1" applyBorder="1" applyAlignment="1">
      <alignment vertical="center" wrapText="1"/>
    </xf>
    <xf numFmtId="44" fontId="6" fillId="0" borderId="9" xfId="0" applyNumberFormat="1" applyFont="1" applyBorder="1" applyAlignment="1">
      <alignment vertical="center" wrapText="1"/>
    </xf>
    <xf numFmtId="0" fontId="1" fillId="12" borderId="7" xfId="0" applyFont="1" applyFill="1" applyBorder="1" applyAlignment="1">
      <alignment vertical="center" wrapText="1"/>
    </xf>
    <xf numFmtId="44" fontId="1" fillId="12"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5" fillId="13" borderId="10" xfId="0" applyFont="1" applyFill="1" applyBorder="1"/>
    <xf numFmtId="0" fontId="15" fillId="13" borderId="21" xfId="0" applyFont="1" applyFill="1" applyBorder="1"/>
    <xf numFmtId="0" fontId="15" fillId="13" borderId="9" xfId="0" applyFont="1" applyFill="1" applyBorder="1"/>
    <xf numFmtId="0" fontId="15" fillId="13" borderId="9" xfId="0" applyFont="1" applyFill="1" applyBorder="1" applyAlignment="1">
      <alignment wrapText="1"/>
    </xf>
    <xf numFmtId="0" fontId="15" fillId="13" borderId="9" xfId="0" applyFont="1" applyFill="1" applyBorder="1" applyAlignment="1">
      <alignment horizontal="center"/>
    </xf>
    <xf numFmtId="44" fontId="16" fillId="13" borderId="9" xfId="1" applyFont="1" applyFill="1" applyBorder="1"/>
    <xf numFmtId="167" fontId="15" fillId="13" borderId="9" xfId="0" applyNumberFormat="1" applyFont="1" applyFill="1" applyBorder="1"/>
    <xf numFmtId="167" fontId="15" fillId="13" borderId="9" xfId="1" applyNumberFormat="1" applyFont="1" applyFill="1" applyBorder="1"/>
    <xf numFmtId="44" fontId="16" fillId="13" borderId="24" xfId="1" applyFont="1" applyFill="1" applyBorder="1"/>
    <xf numFmtId="44" fontId="16" fillId="13" borderId="31" xfId="1" applyFont="1" applyFill="1" applyBorder="1"/>
    <xf numFmtId="0" fontId="9" fillId="2" borderId="9" xfId="0" applyFont="1" applyFill="1" applyBorder="1"/>
    <xf numFmtId="0" fontId="11" fillId="7" borderId="9" xfId="0" applyFont="1" applyFill="1" applyBorder="1"/>
    <xf numFmtId="0" fontId="9" fillId="7" borderId="9" xfId="0" applyFont="1" applyFill="1" applyBorder="1"/>
    <xf numFmtId="0" fontId="11" fillId="2" borderId="9" xfId="0" applyFont="1" applyFill="1" applyBorder="1"/>
    <xf numFmtId="0" fontId="9" fillId="0" borderId="9" xfId="0" applyFont="1" applyBorder="1" applyAlignment="1">
      <alignment vertical="center" wrapText="1"/>
    </xf>
    <xf numFmtId="0" fontId="9" fillId="0" borderId="21" xfId="0" applyFont="1" applyBorder="1"/>
    <xf numFmtId="0" fontId="9" fillId="2" borderId="20" xfId="0" applyFont="1" applyFill="1" applyBorder="1" applyAlignment="1">
      <alignment horizontal="left" vertical="center"/>
    </xf>
    <xf numFmtId="0" fontId="11" fillId="7" borderId="9" xfId="0" applyFont="1" applyFill="1" applyBorder="1" applyAlignment="1">
      <alignment wrapText="1"/>
    </xf>
    <xf numFmtId="0" fontId="9" fillId="0" borderId="19" xfId="0" applyFont="1" applyBorder="1"/>
    <xf numFmtId="44" fontId="9" fillId="2" borderId="22" xfId="1" applyFont="1" applyFill="1" applyBorder="1"/>
    <xf numFmtId="0" fontId="11" fillId="7" borderId="19" xfId="0" applyFont="1" applyFill="1" applyBorder="1"/>
    <xf numFmtId="0" fontId="11" fillId="8" borderId="9" xfId="0" applyFont="1" applyFill="1" applyBorder="1"/>
    <xf numFmtId="0" fontId="9" fillId="0" borderId="3" xfId="0" applyFont="1" applyBorder="1"/>
    <xf numFmtId="0" fontId="11" fillId="6" borderId="7" xfId="0" applyFont="1" applyFill="1" applyBorder="1"/>
    <xf numFmtId="10" fontId="11" fillId="6" borderId="8" xfId="0" applyNumberFormat="1" applyFont="1" applyFill="1" applyBorder="1"/>
    <xf numFmtId="43" fontId="9" fillId="0" borderId="0" xfId="0" applyNumberFormat="1" applyFont="1"/>
    <xf numFmtId="0" fontId="11" fillId="6" borderId="18" xfId="0" applyFont="1" applyFill="1" applyBorder="1"/>
    <xf numFmtId="0" fontId="11" fillId="6" borderId="2" xfId="0" applyFont="1" applyFill="1" applyBorder="1"/>
    <xf numFmtId="10" fontId="11" fillId="6" borderId="2" xfId="0" applyNumberFormat="1" applyFont="1" applyFill="1" applyBorder="1"/>
    <xf numFmtId="44" fontId="9" fillId="2" borderId="19" xfId="1" applyFont="1" applyFill="1" applyBorder="1" applyAlignment="1">
      <alignment horizontal="center" vertical="center"/>
    </xf>
    <xf numFmtId="0" fontId="9" fillId="0" borderId="20" xfId="0" applyFont="1" applyBorder="1" applyAlignment="1">
      <alignment horizontal="left" vertical="center" wrapText="1"/>
    </xf>
    <xf numFmtId="0" fontId="9" fillId="0" borderId="23" xfId="0" applyFont="1" applyBorder="1" applyAlignment="1">
      <alignment horizontal="left" vertical="center" wrapText="1"/>
    </xf>
    <xf numFmtId="0" fontId="11" fillId="7" borderId="0" xfId="0" applyFont="1" applyFill="1"/>
    <xf numFmtId="0" fontId="9" fillId="7" borderId="0" xfId="0" applyFont="1" applyFill="1"/>
    <xf numFmtId="0" fontId="13" fillId="5" borderId="7" xfId="0" applyFont="1" applyFill="1" applyBorder="1"/>
    <xf numFmtId="44" fontId="13" fillId="5" borderId="6" xfId="0" applyNumberFormat="1" applyFont="1" applyFill="1" applyBorder="1"/>
    <xf numFmtId="44" fontId="11" fillId="9" borderId="14" xfId="1" applyFont="1" applyFill="1" applyBorder="1"/>
    <xf numFmtId="44" fontId="9" fillId="0" borderId="9" xfId="0" applyNumberFormat="1" applyFont="1" applyBorder="1" applyAlignment="1">
      <alignment vertical="center" wrapText="1"/>
    </xf>
    <xf numFmtId="0" fontId="11" fillId="10" borderId="4" xfId="0" applyFont="1" applyFill="1" applyBorder="1" applyAlignment="1">
      <alignment horizontal="left" vertical="center" wrapText="1"/>
    </xf>
    <xf numFmtId="44" fontId="11" fillId="10" borderId="17" xfId="1" applyFont="1" applyFill="1" applyBorder="1" applyAlignment="1">
      <alignment horizontal="left" vertical="center" wrapText="1"/>
    </xf>
    <xf numFmtId="0" fontId="11" fillId="2" borderId="0" xfId="0" applyFont="1" applyFill="1" applyAlignment="1">
      <alignment horizontal="left" vertical="center" wrapText="1"/>
    </xf>
    <xf numFmtId="44" fontId="11" fillId="2" borderId="0" xfId="1" applyFont="1" applyFill="1" applyBorder="1" applyAlignment="1">
      <alignment horizontal="left" vertical="center" wrapText="1"/>
    </xf>
    <xf numFmtId="0" fontId="15" fillId="14" borderId="9" xfId="0" applyFont="1" applyFill="1" applyBorder="1" applyAlignment="1">
      <alignment wrapText="1"/>
    </xf>
    <xf numFmtId="0" fontId="15" fillId="14" borderId="9" xfId="0" applyFont="1" applyFill="1" applyBorder="1" applyAlignment="1">
      <alignment horizontal="center"/>
    </xf>
    <xf numFmtId="44" fontId="16" fillId="14" borderId="9" xfId="1" applyFont="1" applyFill="1" applyBorder="1"/>
    <xf numFmtId="167" fontId="15" fillId="14" borderId="9" xfId="0" applyNumberFormat="1" applyFont="1" applyFill="1" applyBorder="1"/>
    <xf numFmtId="167" fontId="15" fillId="14" borderId="9" xfId="1" applyNumberFormat="1" applyFont="1" applyFill="1" applyBorder="1"/>
    <xf numFmtId="44" fontId="16" fillId="14" borderId="24" xfId="1" applyFont="1" applyFill="1" applyBorder="1"/>
    <xf numFmtId="44" fontId="16" fillId="14" borderId="31" xfId="1" applyFont="1" applyFill="1" applyBorder="1"/>
    <xf numFmtId="8" fontId="10" fillId="2" borderId="20" xfId="0" applyNumberFormat="1" applyFont="1" applyFill="1" applyBorder="1" applyAlignment="1">
      <alignment horizontal="right"/>
    </xf>
    <xf numFmtId="44" fontId="9" fillId="2" borderId="9" xfId="1" applyFont="1" applyFill="1" applyBorder="1"/>
    <xf numFmtId="8" fontId="10" fillId="2" borderId="9" xfId="0" applyNumberFormat="1" applyFont="1" applyFill="1" applyBorder="1" applyAlignment="1">
      <alignment horizontal="right"/>
    </xf>
    <xf numFmtId="44" fontId="9" fillId="2" borderId="9" xfId="1" applyFont="1" applyFill="1" applyBorder="1" applyAlignment="1">
      <alignment vertical="center" wrapText="1"/>
    </xf>
    <xf numFmtId="0" fontId="19" fillId="3" borderId="0" xfId="0" applyFont="1" applyFill="1" applyAlignment="1">
      <alignment horizontal="center"/>
    </xf>
    <xf numFmtId="0" fontId="0" fillId="15" borderId="3" xfId="0" applyFill="1" applyBorder="1"/>
    <xf numFmtId="0" fontId="0" fillId="15" borderId="0" xfId="0" applyFill="1"/>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9" fillId="0" borderId="21" xfId="0" applyFont="1" applyBorder="1" applyAlignment="1">
      <alignment horizontal="left" vertical="center" wrapText="1"/>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15" fillId="14" borderId="10" xfId="0" applyFont="1" applyFill="1" applyBorder="1"/>
    <xf numFmtId="0" fontId="15" fillId="14" borderId="21" xfId="0" applyFont="1" applyFill="1" applyBorder="1"/>
    <xf numFmtId="0" fontId="15" fillId="14" borderId="9" xfId="0" applyFont="1" applyFill="1" applyBorder="1"/>
    <xf numFmtId="0" fontId="15" fillId="14" borderId="9" xfId="0" applyFont="1" applyFill="1" applyBorder="1" applyAlignment="1">
      <alignment vertical="center" wrapText="1"/>
    </xf>
    <xf numFmtId="0" fontId="11" fillId="0" borderId="0" xfId="0" applyFont="1"/>
    <xf numFmtId="44" fontId="9" fillId="2" borderId="20" xfId="1" applyFont="1" applyFill="1" applyBorder="1" applyAlignment="1"/>
    <xf numFmtId="8" fontId="9" fillId="2" borderId="20" xfId="0" applyNumberFormat="1" applyFont="1" applyFill="1" applyBorder="1" applyAlignment="1">
      <alignment horizontal="right"/>
    </xf>
    <xf numFmtId="44" fontId="6" fillId="0" borderId="9" xfId="1" applyFont="1" applyBorder="1" applyAlignment="1">
      <alignment vertical="center" wrapText="1"/>
    </xf>
    <xf numFmtId="167" fontId="16" fillId="7" borderId="28" xfId="0" applyNumberFormat="1" applyFont="1" applyFill="1" applyBorder="1"/>
    <xf numFmtId="0" fontId="0" fillId="16" borderId="0" xfId="0" applyFill="1"/>
    <xf numFmtId="0" fontId="0" fillId="16" borderId="3" xfId="0" applyFill="1" applyBorder="1"/>
    <xf numFmtId="0" fontId="15" fillId="16" borderId="10" xfId="0" applyFont="1" applyFill="1" applyBorder="1"/>
    <xf numFmtId="0" fontId="15" fillId="16" borderId="21" xfId="0" applyFont="1" applyFill="1" applyBorder="1"/>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5" fillId="9" borderId="0" xfId="0" applyFont="1" applyFill="1" applyAlignment="1">
      <alignment horizontal="center" vertical="center"/>
    </xf>
    <xf numFmtId="0" fontId="9" fillId="0" borderId="22" xfId="0" applyFont="1" applyBorder="1" applyAlignment="1">
      <alignment horizontal="left" vertical="center" wrapText="1"/>
    </xf>
    <xf numFmtId="0" fontId="9" fillId="0" borderId="37"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7" fillId="4" borderId="0" xfId="0" applyFont="1" applyFill="1" applyAlignment="1">
      <alignment horizontal="center" vertical="center"/>
    </xf>
    <xf numFmtId="0" fontId="20" fillId="5" borderId="0" xfId="0" applyFont="1" applyFill="1" applyAlignment="1">
      <alignment horizontal="left" vertical="center" wrapText="1"/>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14" fillId="3" borderId="35"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39"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4" fillId="3" borderId="25"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9"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9" xfId="0" applyFont="1" applyFill="1" applyBorder="1" applyAlignment="1">
      <alignment horizontal="center" vertical="center"/>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44" fontId="6" fillId="2" borderId="9" xfId="1" applyFont="1" applyFill="1" applyBorder="1"/>
    <xf numFmtId="44" fontId="6" fillId="2" borderId="20" xfId="1" applyFont="1" applyFill="1" applyBorder="1"/>
    <xf numFmtId="8" fontId="6" fillId="2" borderId="20" xfId="0" applyNumberFormat="1" applyFont="1" applyFill="1" applyBorder="1" applyAlignment="1">
      <alignment horizontal="right"/>
    </xf>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17"/>
  <sheetViews>
    <sheetView tabSelected="1" topLeftCell="A40" workbookViewId="0">
      <selection activeCell="D52" sqref="D52"/>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1"/>
      <c r="B1" s="205" t="s">
        <v>59</v>
      </c>
      <c r="C1" s="205"/>
      <c r="D1" s="205"/>
      <c r="E1" s="206"/>
    </row>
    <row r="2" spans="1:5" x14ac:dyDescent="0.3">
      <c r="A2" s="2"/>
      <c r="B2" s="9" t="s">
        <v>45</v>
      </c>
      <c r="C2" s="3"/>
      <c r="D2" s="3"/>
      <c r="E2" s="4"/>
    </row>
    <row r="3" spans="1:5" ht="56.4" customHeight="1" thickBot="1" x14ac:dyDescent="0.35">
      <c r="A3" s="2"/>
      <c r="B3" s="207" t="s">
        <v>142</v>
      </c>
      <c r="C3" s="207"/>
      <c r="D3" s="207"/>
      <c r="E3" s="208"/>
    </row>
    <row r="4" spans="1:5" ht="15" thickBot="1" x14ac:dyDescent="0.35">
      <c r="A4" s="5" t="s">
        <v>3</v>
      </c>
      <c r="B4" s="6" t="s">
        <v>4</v>
      </c>
      <c r="C4" s="7"/>
      <c r="D4" s="7"/>
      <c r="E4" s="8"/>
    </row>
    <row r="5" spans="1:5" ht="15" thickBot="1" x14ac:dyDescent="0.35">
      <c r="A5" s="2" t="s">
        <v>58</v>
      </c>
      <c r="B5" s="7" t="s">
        <v>207</v>
      </c>
      <c r="C5" s="9"/>
      <c r="D5" s="3" t="s">
        <v>5</v>
      </c>
      <c r="E5" s="10"/>
    </row>
    <row r="6" spans="1:5" ht="16.2" customHeight="1" thickBot="1" x14ac:dyDescent="0.35">
      <c r="A6" s="57" t="s">
        <v>180</v>
      </c>
      <c r="B6" s="7"/>
      <c r="C6" s="7"/>
      <c r="D6" s="7" t="s">
        <v>49</v>
      </c>
      <c r="E6" s="8"/>
    </row>
    <row r="8" spans="1:5" x14ac:dyDescent="0.3">
      <c r="B8" s="209" t="s">
        <v>206</v>
      </c>
      <c r="C8" s="209"/>
    </row>
    <row r="9" spans="1:5" x14ac:dyDescent="0.3">
      <c r="B9" s="209"/>
      <c r="C9" s="209"/>
    </row>
    <row r="10" spans="1:5" x14ac:dyDescent="0.3">
      <c r="B10" s="209"/>
      <c r="C10" s="209"/>
    </row>
    <row r="11" spans="1:5" x14ac:dyDescent="0.3">
      <c r="B11" t="s">
        <v>181</v>
      </c>
    </row>
    <row r="12" spans="1:5" hidden="1" x14ac:dyDescent="0.3"/>
    <row r="13" spans="1:5" ht="15" customHeight="1" x14ac:dyDescent="0.3">
      <c r="A13" s="210" t="s">
        <v>143</v>
      </c>
      <c r="B13" s="210"/>
      <c r="C13" s="210"/>
      <c r="D13" s="210"/>
      <c r="E13" s="210"/>
    </row>
    <row r="14" spans="1:5" ht="15" customHeight="1" x14ac:dyDescent="0.3">
      <c r="A14" s="210"/>
      <c r="B14" s="210"/>
      <c r="C14" s="210"/>
      <c r="D14" s="210"/>
      <c r="E14" s="210"/>
    </row>
    <row r="15" spans="1:5" ht="15" customHeight="1" x14ac:dyDescent="0.3">
      <c r="A15" s="210"/>
      <c r="B15" s="210"/>
      <c r="C15" s="210"/>
      <c r="D15" s="210"/>
      <c r="E15" s="210"/>
    </row>
    <row r="16" spans="1:5" ht="53.25" customHeight="1" x14ac:dyDescent="0.3">
      <c r="A16" s="210"/>
      <c r="B16" s="210"/>
      <c r="C16" s="210"/>
      <c r="D16" s="210"/>
      <c r="E16" s="210"/>
    </row>
    <row r="17" spans="1:8" ht="14.25" customHeight="1" thickBot="1" x14ac:dyDescent="0.35">
      <c r="A17" s="30"/>
      <c r="B17" s="30"/>
      <c r="C17" s="30"/>
      <c r="D17" s="30"/>
      <c r="E17" s="30"/>
    </row>
    <row r="18" spans="1:8" ht="15" hidden="1" thickBot="1" x14ac:dyDescent="0.35">
      <c r="A18" s="191"/>
      <c r="B18" s="30"/>
      <c r="C18" s="30"/>
      <c r="D18" s="30"/>
      <c r="E18" s="30"/>
    </row>
    <row r="19" spans="1:8" ht="15" hidden="1" thickBot="1" x14ac:dyDescent="0.35">
      <c r="A19" s="30"/>
      <c r="B19" s="30"/>
      <c r="C19" s="30"/>
      <c r="D19" s="30"/>
      <c r="E19" s="30"/>
    </row>
    <row r="20" spans="1:8" x14ac:dyDescent="0.3">
      <c r="A20" s="152" t="s">
        <v>7</v>
      </c>
      <c r="B20" s="153"/>
      <c r="C20" s="154"/>
      <c r="D20" s="37"/>
      <c r="E20" s="38"/>
    </row>
    <row r="21" spans="1:8" x14ac:dyDescent="0.3">
      <c r="A21" s="21" t="s">
        <v>60</v>
      </c>
      <c r="B21" s="21"/>
      <c r="C21" s="21"/>
      <c r="D21" s="73"/>
      <c r="E21" s="88"/>
    </row>
    <row r="22" spans="1:8" ht="15" customHeight="1" x14ac:dyDescent="0.3">
      <c r="A22" s="200" t="s">
        <v>185</v>
      </c>
      <c r="B22" s="201"/>
      <c r="C22" s="136"/>
      <c r="D22" s="177">
        <v>1448764.03</v>
      </c>
      <c r="E22" s="89"/>
      <c r="H22" s="12"/>
    </row>
    <row r="23" spans="1:8" ht="15" customHeight="1" x14ac:dyDescent="0.3">
      <c r="A23" s="200" t="s">
        <v>48</v>
      </c>
      <c r="B23" s="201"/>
      <c r="C23" s="136"/>
      <c r="D23" s="177">
        <v>-315106.03000000003</v>
      </c>
      <c r="E23" s="13"/>
      <c r="F23" s="30"/>
      <c r="H23" s="12"/>
    </row>
    <row r="24" spans="1:8" ht="13.5" customHeight="1" x14ac:dyDescent="0.3">
      <c r="A24" s="200" t="s">
        <v>1</v>
      </c>
      <c r="B24" s="201"/>
      <c r="C24" s="136"/>
      <c r="D24" s="175"/>
      <c r="E24" s="13"/>
      <c r="F24" s="30"/>
      <c r="H24" s="12"/>
    </row>
    <row r="25" spans="1:8" x14ac:dyDescent="0.3">
      <c r="A25" s="137" t="s">
        <v>8</v>
      </c>
      <c r="B25" s="137"/>
      <c r="C25" s="137"/>
      <c r="D25" s="14"/>
      <c r="E25" s="90">
        <f>SUM(D22:D24)</f>
        <v>1133658</v>
      </c>
      <c r="F25" s="30"/>
    </row>
    <row r="26" spans="1:8" hidden="1" x14ac:dyDescent="0.3">
      <c r="A26" s="137" t="s">
        <v>50</v>
      </c>
      <c r="B26" s="137"/>
      <c r="C26" s="137"/>
      <c r="D26" s="14"/>
      <c r="E26" s="91"/>
      <c r="F26" s="30"/>
    </row>
    <row r="27" spans="1:8" hidden="1" x14ac:dyDescent="0.3">
      <c r="A27" s="136"/>
      <c r="B27" s="136"/>
      <c r="C27" s="136"/>
      <c r="D27" s="20"/>
      <c r="E27" s="102"/>
      <c r="F27" s="30"/>
    </row>
    <row r="28" spans="1:8" hidden="1" x14ac:dyDescent="0.3">
      <c r="A28" s="136"/>
      <c r="B28" s="136"/>
      <c r="C28" s="136"/>
      <c r="D28" s="20"/>
      <c r="E28" s="102"/>
      <c r="F28" s="30"/>
    </row>
    <row r="29" spans="1:8" hidden="1" x14ac:dyDescent="0.3">
      <c r="A29" s="136"/>
      <c r="B29" s="136"/>
      <c r="C29" s="136"/>
      <c r="D29" s="20"/>
      <c r="E29" s="102"/>
      <c r="F29" s="30"/>
    </row>
    <row r="30" spans="1:8" hidden="1" x14ac:dyDescent="0.3">
      <c r="A30" s="137" t="s">
        <v>8</v>
      </c>
      <c r="B30" s="138"/>
      <c r="C30" s="138"/>
      <c r="D30" s="63"/>
      <c r="E30" s="93">
        <f>SUM(D27:D29)</f>
        <v>0</v>
      </c>
      <c r="F30" s="30"/>
    </row>
    <row r="31" spans="1:8" x14ac:dyDescent="0.3">
      <c r="A31" s="21" t="s">
        <v>38</v>
      </c>
      <c r="B31" s="137"/>
      <c r="C31" s="137"/>
      <c r="D31" s="14"/>
      <c r="E31" s="91"/>
      <c r="F31" s="30"/>
    </row>
    <row r="32" spans="1:8" x14ac:dyDescent="0.3">
      <c r="A32" s="136" t="s">
        <v>61</v>
      </c>
      <c r="B32" s="139"/>
      <c r="C32" s="139"/>
      <c r="D32" s="259">
        <v>712657.95</v>
      </c>
      <c r="E32" s="19" t="s">
        <v>191</v>
      </c>
      <c r="F32" s="30"/>
      <c r="G32" s="40"/>
    </row>
    <row r="33" spans="1:7" x14ac:dyDescent="0.3">
      <c r="A33" s="136" t="s">
        <v>146</v>
      </c>
      <c r="B33" s="136" t="s">
        <v>196</v>
      </c>
      <c r="C33" s="139"/>
      <c r="D33" s="20">
        <v>182823.01</v>
      </c>
      <c r="E33" s="92" t="s">
        <v>197</v>
      </c>
      <c r="F33" s="30"/>
      <c r="G33" s="40"/>
    </row>
    <row r="34" spans="1:7" x14ac:dyDescent="0.3">
      <c r="A34" s="136" t="s">
        <v>40</v>
      </c>
      <c r="B34" s="139"/>
      <c r="C34" s="139"/>
      <c r="D34" s="259">
        <v>65194.35</v>
      </c>
      <c r="E34" s="92" t="s">
        <v>195</v>
      </c>
      <c r="F34" s="30"/>
      <c r="G34" s="40"/>
    </row>
    <row r="35" spans="1:7" x14ac:dyDescent="0.3">
      <c r="A35" s="136" t="s">
        <v>42</v>
      </c>
      <c r="B35" s="139"/>
      <c r="C35" s="139"/>
      <c r="D35" s="259">
        <v>7243.82</v>
      </c>
      <c r="E35" s="92" t="str">
        <f>E34</f>
        <v>Debito 14/09</v>
      </c>
      <c r="F35" s="30"/>
      <c r="G35" s="32"/>
    </row>
    <row r="36" spans="1:7" x14ac:dyDescent="0.3">
      <c r="A36" s="136" t="s">
        <v>41</v>
      </c>
      <c r="B36" s="139"/>
      <c r="C36" s="139"/>
      <c r="D36" s="259">
        <v>116916.65</v>
      </c>
      <c r="E36" s="92" t="str">
        <f>E34</f>
        <v>Debito 14/09</v>
      </c>
      <c r="F36" s="30"/>
    </row>
    <row r="37" spans="1:7" ht="16.5" customHeight="1" x14ac:dyDescent="0.3">
      <c r="A37" s="137" t="s">
        <v>39</v>
      </c>
      <c r="B37" s="137"/>
      <c r="C37" s="137"/>
      <c r="D37" s="14"/>
      <c r="E37" s="24">
        <f>SUM(D32:D36)</f>
        <v>1084835.7799999998</v>
      </c>
      <c r="F37" s="30"/>
    </row>
    <row r="38" spans="1:7" x14ac:dyDescent="0.3">
      <c r="A38" s="21" t="s">
        <v>9</v>
      </c>
      <c r="B38" s="137"/>
      <c r="C38" s="137"/>
      <c r="D38" s="15"/>
      <c r="E38" s="93"/>
      <c r="F38" s="30"/>
    </row>
    <row r="39" spans="1:7" ht="26.25" customHeight="1" x14ac:dyDescent="0.3">
      <c r="A39" s="211" t="s">
        <v>66</v>
      </c>
      <c r="B39" s="212"/>
      <c r="C39" s="140"/>
      <c r="D39" s="192">
        <v>205033.71</v>
      </c>
      <c r="E39" s="13" t="s">
        <v>145</v>
      </c>
      <c r="F39" s="30"/>
    </row>
    <row r="40" spans="1:7" ht="26.25" customHeight="1" x14ac:dyDescent="0.3">
      <c r="A40" s="211" t="s">
        <v>67</v>
      </c>
      <c r="B40" s="212"/>
      <c r="C40" s="140"/>
      <c r="D40" s="192">
        <v>1426.62</v>
      </c>
      <c r="E40" s="13" t="str">
        <f>E39</f>
        <v>Debito Autom.</v>
      </c>
      <c r="F40" s="30"/>
    </row>
    <row r="41" spans="1:7" x14ac:dyDescent="0.3">
      <c r="A41" s="137" t="s">
        <v>10</v>
      </c>
      <c r="B41" s="137"/>
      <c r="C41" s="137"/>
      <c r="D41" s="14"/>
      <c r="E41" s="24">
        <f>SUM(D39:D40)</f>
        <v>206460.33</v>
      </c>
      <c r="F41" s="30"/>
    </row>
    <row r="42" spans="1:7" x14ac:dyDescent="0.3">
      <c r="A42" s="21" t="s">
        <v>11</v>
      </c>
      <c r="B42" s="138"/>
      <c r="C42" s="138"/>
      <c r="D42" s="17"/>
      <c r="E42" s="94"/>
      <c r="F42" s="30"/>
    </row>
    <row r="43" spans="1:7" ht="14.25" customHeight="1" x14ac:dyDescent="0.3">
      <c r="A43" s="25" t="s">
        <v>144</v>
      </c>
      <c r="B43" s="25"/>
      <c r="C43" s="25"/>
      <c r="D43" s="176">
        <v>2001312.7</v>
      </c>
      <c r="E43" s="19" t="s">
        <v>191</v>
      </c>
      <c r="F43" s="30"/>
    </row>
    <row r="44" spans="1:7" x14ac:dyDescent="0.3">
      <c r="A44" s="25" t="s">
        <v>64</v>
      </c>
      <c r="B44" s="141"/>
      <c r="C44" s="25"/>
      <c r="D44" s="258">
        <v>7026</v>
      </c>
      <c r="E44" s="19" t="s">
        <v>210</v>
      </c>
      <c r="F44" s="30"/>
    </row>
    <row r="45" spans="1:7" x14ac:dyDescent="0.3">
      <c r="A45" s="25" t="s">
        <v>64</v>
      </c>
      <c r="B45" s="141"/>
      <c r="C45" s="25"/>
      <c r="D45" s="176">
        <v>883.29</v>
      </c>
      <c r="E45" s="19" t="s">
        <v>190</v>
      </c>
      <c r="F45" s="30"/>
    </row>
    <row r="46" spans="1:7" x14ac:dyDescent="0.3">
      <c r="A46" s="211" t="s">
        <v>65</v>
      </c>
      <c r="B46" s="212"/>
      <c r="C46" s="25"/>
      <c r="D46" s="258">
        <v>588103.91</v>
      </c>
      <c r="E46" s="19" t="s">
        <v>210</v>
      </c>
      <c r="F46" s="30"/>
    </row>
    <row r="47" spans="1:7" x14ac:dyDescent="0.3">
      <c r="A47" s="185" t="s">
        <v>63</v>
      </c>
      <c r="B47" s="184"/>
      <c r="C47" s="25"/>
      <c r="D47" s="258">
        <v>43083.995000000003</v>
      </c>
      <c r="E47" s="19" t="s">
        <v>187</v>
      </c>
      <c r="F47" s="30"/>
    </row>
    <row r="48" spans="1:7" ht="15" thickBot="1" x14ac:dyDescent="0.35">
      <c r="A48" s="137" t="s">
        <v>12</v>
      </c>
      <c r="B48" s="137"/>
      <c r="C48" s="137"/>
      <c r="D48" s="18"/>
      <c r="E48" s="95">
        <f>SUM(D43:D47)</f>
        <v>2640409.895</v>
      </c>
      <c r="F48" s="30"/>
    </row>
    <row r="49" spans="1:6" ht="15" customHeight="1" thickBot="1" x14ac:dyDescent="0.35">
      <c r="A49" s="21" t="s">
        <v>62</v>
      </c>
      <c r="B49" s="137"/>
      <c r="C49" s="137"/>
      <c r="D49" s="14"/>
      <c r="E49" s="96"/>
      <c r="F49" s="30"/>
    </row>
    <row r="50" spans="1:6" ht="21.9" customHeight="1" x14ac:dyDescent="0.3">
      <c r="A50" s="200" t="s">
        <v>211</v>
      </c>
      <c r="B50" s="201"/>
      <c r="C50" s="25"/>
      <c r="D50" s="258">
        <v>298200</v>
      </c>
      <c r="E50" s="19" t="s">
        <v>186</v>
      </c>
      <c r="F50" s="30"/>
    </row>
    <row r="51" spans="1:6" ht="21.9" customHeight="1" x14ac:dyDescent="0.3">
      <c r="A51" s="182" t="s">
        <v>212</v>
      </c>
      <c r="B51" s="183"/>
      <c r="C51" s="25"/>
      <c r="D51" s="258">
        <v>397800</v>
      </c>
      <c r="E51" s="19" t="s">
        <v>213</v>
      </c>
      <c r="F51" s="30"/>
    </row>
    <row r="52" spans="1:6" ht="20.25" customHeight="1" x14ac:dyDescent="0.3">
      <c r="A52" s="213" t="s">
        <v>214</v>
      </c>
      <c r="B52" s="214"/>
      <c r="C52" s="136"/>
      <c r="D52" s="258">
        <v>120000</v>
      </c>
      <c r="E52" s="19" t="s">
        <v>215</v>
      </c>
      <c r="F52" s="118"/>
    </row>
    <row r="53" spans="1:6" ht="20.25" customHeight="1" x14ac:dyDescent="0.3">
      <c r="A53" s="185" t="s">
        <v>198</v>
      </c>
      <c r="B53" s="186"/>
      <c r="C53" s="136"/>
      <c r="D53" s="176">
        <v>180000</v>
      </c>
      <c r="E53" s="19" t="s">
        <v>199</v>
      </c>
      <c r="F53" s="118"/>
    </row>
    <row r="54" spans="1:6" ht="19.5" customHeight="1" x14ac:dyDescent="0.3">
      <c r="A54" s="182" t="s">
        <v>201</v>
      </c>
      <c r="B54" s="183"/>
      <c r="C54" s="136"/>
      <c r="D54" s="258">
        <v>150200</v>
      </c>
      <c r="E54" s="19" t="s">
        <v>209</v>
      </c>
      <c r="F54" s="118"/>
    </row>
    <row r="55" spans="1:6" x14ac:dyDescent="0.3">
      <c r="A55" s="137" t="s">
        <v>0</v>
      </c>
      <c r="B55" s="21"/>
      <c r="C55" s="21"/>
      <c r="D55" s="21"/>
      <c r="E55" s="24">
        <f>SUM(D50:D54)</f>
        <v>1146200</v>
      </c>
      <c r="F55" s="30"/>
    </row>
    <row r="56" spans="1:6" x14ac:dyDescent="0.3">
      <c r="A56" s="21" t="s">
        <v>13</v>
      </c>
      <c r="B56" s="21"/>
      <c r="C56" s="21"/>
      <c r="D56" s="11"/>
      <c r="E56" s="88"/>
      <c r="F56" s="30"/>
    </row>
    <row r="57" spans="1:6" ht="40.5" customHeight="1" x14ac:dyDescent="0.3">
      <c r="A57" s="200" t="s">
        <v>208</v>
      </c>
      <c r="B57" s="201"/>
      <c r="C57" s="136"/>
      <c r="D57" s="193">
        <f>420000*2</f>
        <v>840000</v>
      </c>
      <c r="E57" s="89" t="s">
        <v>194</v>
      </c>
      <c r="F57" s="30"/>
    </row>
    <row r="58" spans="1:6" ht="15.75" customHeight="1" x14ac:dyDescent="0.3">
      <c r="A58" s="142" t="s">
        <v>189</v>
      </c>
      <c r="B58" s="183"/>
      <c r="C58" s="136"/>
      <c r="D58" s="260">
        <v>50000</v>
      </c>
      <c r="E58" s="89" t="s">
        <v>210</v>
      </c>
      <c r="F58" s="30"/>
    </row>
    <row r="59" spans="1:6" x14ac:dyDescent="0.3">
      <c r="A59" s="137" t="s">
        <v>8</v>
      </c>
      <c r="B59" s="137"/>
      <c r="C59" s="137"/>
      <c r="D59" s="14"/>
      <c r="E59" s="90">
        <f>SUM(D57:D58)</f>
        <v>890000</v>
      </c>
      <c r="F59" s="30"/>
    </row>
    <row r="60" spans="1:6" x14ac:dyDescent="0.3">
      <c r="A60" s="21" t="s">
        <v>14</v>
      </c>
      <c r="B60" s="143"/>
      <c r="C60" s="137"/>
      <c r="D60" s="22"/>
      <c r="E60" s="24"/>
      <c r="F60" s="30"/>
    </row>
    <row r="61" spans="1:6" x14ac:dyDescent="0.3">
      <c r="A61" s="25" t="s">
        <v>68</v>
      </c>
      <c r="B61" s="144"/>
      <c r="C61" s="144"/>
      <c r="D61" s="145">
        <v>69000</v>
      </c>
      <c r="E61" s="97"/>
      <c r="F61" s="30"/>
    </row>
    <row r="62" spans="1:6" x14ac:dyDescent="0.3">
      <c r="A62" s="25" t="s">
        <v>173</v>
      </c>
      <c r="B62" s="144"/>
      <c r="C62" s="144"/>
      <c r="D62" s="145">
        <f>145152.92-1438</f>
        <v>143714.92000000001</v>
      </c>
      <c r="E62" s="97"/>
      <c r="F62" s="30"/>
    </row>
    <row r="63" spans="1:6" x14ac:dyDescent="0.3">
      <c r="A63" s="146" t="s">
        <v>8</v>
      </c>
      <c r="B63" s="146"/>
      <c r="C63" s="146"/>
      <c r="D63" s="23"/>
      <c r="E63" s="24">
        <f>SUM(D61:D62)</f>
        <v>212714.92</v>
      </c>
      <c r="F63" s="30"/>
    </row>
    <row r="64" spans="1:6" x14ac:dyDescent="0.3">
      <c r="A64" s="25"/>
      <c r="B64" s="25"/>
      <c r="C64" s="25"/>
      <c r="D64" s="25"/>
      <c r="E64" s="26"/>
      <c r="F64" s="30"/>
    </row>
    <row r="65" spans="1:8" x14ac:dyDescent="0.3">
      <c r="A65" s="147" t="s">
        <v>15</v>
      </c>
      <c r="B65" s="147"/>
      <c r="C65" s="147"/>
      <c r="D65" s="27"/>
      <c r="E65" s="28"/>
      <c r="F65" s="30"/>
    </row>
    <row r="66" spans="1:8" ht="15" thickBot="1" x14ac:dyDescent="0.35">
      <c r="A66" s="148"/>
      <c r="B66" s="30"/>
      <c r="C66" s="30"/>
      <c r="D66" s="30"/>
      <c r="E66" s="31"/>
      <c r="F66" s="118"/>
    </row>
    <row r="67" spans="1:8" ht="15" thickBot="1" x14ac:dyDescent="0.35">
      <c r="A67" s="149" t="s">
        <v>16</v>
      </c>
      <c r="B67" s="150"/>
      <c r="C67" s="33"/>
      <c r="D67" s="33"/>
      <c r="E67" s="34">
        <f>(SUM(E21:E65))</f>
        <v>7314278.9249999998</v>
      </c>
      <c r="F67" s="151"/>
      <c r="G67" s="32"/>
    </row>
    <row r="68" spans="1:8" x14ac:dyDescent="0.3">
      <c r="A68" s="30"/>
      <c r="B68" s="30"/>
      <c r="C68" s="30"/>
      <c r="D68" s="30"/>
      <c r="E68" s="30"/>
      <c r="F68" s="30"/>
    </row>
    <row r="69" spans="1:8" ht="15" thickBot="1" x14ac:dyDescent="0.35">
      <c r="A69" s="30"/>
      <c r="B69" s="30"/>
      <c r="C69" s="30"/>
      <c r="D69" s="30"/>
      <c r="E69" s="30"/>
      <c r="F69" s="30"/>
      <c r="H69" s="36"/>
    </row>
    <row r="70" spans="1:8" x14ac:dyDescent="0.3">
      <c r="A70" s="152" t="s">
        <v>17</v>
      </c>
      <c r="B70" s="153"/>
      <c r="C70" s="154"/>
      <c r="D70" s="37"/>
      <c r="E70" s="38"/>
      <c r="F70" s="30"/>
    </row>
    <row r="71" spans="1:8" x14ac:dyDescent="0.3">
      <c r="A71" s="203"/>
      <c r="B71" s="204"/>
      <c r="C71" s="25"/>
      <c r="D71" s="155"/>
      <c r="E71" s="105"/>
      <c r="F71" s="30"/>
    </row>
    <row r="72" spans="1:8" ht="15.75" customHeight="1" x14ac:dyDescent="0.3">
      <c r="A72" s="30"/>
      <c r="B72" s="30"/>
      <c r="C72" s="30"/>
      <c r="D72" s="25"/>
      <c r="E72" s="25"/>
      <c r="F72" s="30"/>
    </row>
    <row r="73" spans="1:8" x14ac:dyDescent="0.3">
      <c r="A73" s="156"/>
      <c r="B73" s="157"/>
      <c r="C73" s="25"/>
      <c r="D73" s="20"/>
      <c r="E73" s="39"/>
      <c r="F73" s="30"/>
    </row>
    <row r="74" spans="1:8" x14ac:dyDescent="0.3">
      <c r="A74" s="158" t="s">
        <v>44</v>
      </c>
      <c r="B74" s="159"/>
      <c r="C74" s="159"/>
      <c r="D74" s="72"/>
      <c r="E74" s="98">
        <f>SUM(D71:D73)</f>
        <v>0</v>
      </c>
      <c r="F74" s="30"/>
    </row>
    <row r="75" spans="1:8" ht="15" customHeight="1" x14ac:dyDescent="0.3">
      <c r="A75" s="30"/>
      <c r="B75" s="30"/>
      <c r="C75" s="30"/>
      <c r="D75" s="30"/>
      <c r="E75" s="30"/>
      <c r="F75" s="30"/>
    </row>
    <row r="76" spans="1:8" x14ac:dyDescent="0.3">
      <c r="A76" s="147" t="s">
        <v>18</v>
      </c>
      <c r="B76" s="147"/>
      <c r="C76" s="147"/>
      <c r="D76" s="27"/>
      <c r="E76" s="101">
        <v>0</v>
      </c>
      <c r="F76" s="30"/>
    </row>
    <row r="77" spans="1:8" ht="15" thickBot="1" x14ac:dyDescent="0.35">
      <c r="A77" s="30"/>
      <c r="B77" s="30"/>
      <c r="C77" s="30"/>
      <c r="D77" s="30"/>
      <c r="E77" s="30"/>
      <c r="F77" s="30"/>
    </row>
    <row r="78" spans="1:8" ht="15" thickBot="1" x14ac:dyDescent="0.35">
      <c r="A78" s="149" t="s">
        <v>19</v>
      </c>
      <c r="B78" s="150"/>
      <c r="C78" s="33"/>
      <c r="D78" s="33"/>
      <c r="E78" s="34">
        <f>E74+E76</f>
        <v>0</v>
      </c>
      <c r="F78" s="30"/>
    </row>
    <row r="79" spans="1:8" ht="15" thickBot="1" x14ac:dyDescent="0.35">
      <c r="A79" s="30"/>
      <c r="B79" s="30"/>
      <c r="C79" s="30"/>
      <c r="D79" s="30"/>
      <c r="E79" s="30"/>
      <c r="F79" s="30"/>
    </row>
    <row r="80" spans="1:8" ht="15" thickBot="1" x14ac:dyDescent="0.35">
      <c r="A80" s="160" t="s">
        <v>20</v>
      </c>
      <c r="B80" s="161">
        <f>E67</f>
        <v>7314278.9249999998</v>
      </c>
      <c r="C80" s="30"/>
      <c r="D80" s="30"/>
      <c r="E80" s="30"/>
      <c r="F80" s="30"/>
    </row>
    <row r="81" spans="1:6" ht="15" thickBot="1" x14ac:dyDescent="0.35">
      <c r="A81" s="160" t="s">
        <v>21</v>
      </c>
      <c r="B81" s="161">
        <f>E67-E65</f>
        <v>7314278.9249999998</v>
      </c>
      <c r="C81" s="30"/>
      <c r="D81" s="30"/>
      <c r="E81" s="30"/>
      <c r="F81" s="30"/>
    </row>
    <row r="82" spans="1:6" ht="15" thickBot="1" x14ac:dyDescent="0.35">
      <c r="A82" s="160" t="s">
        <v>22</v>
      </c>
      <c r="B82" s="161">
        <f>E78-E76</f>
        <v>0</v>
      </c>
      <c r="C82" s="30"/>
      <c r="D82" s="30"/>
      <c r="E82" s="30"/>
      <c r="F82" s="30"/>
    </row>
    <row r="83" spans="1:6" ht="15" thickBot="1" x14ac:dyDescent="0.35">
      <c r="A83" s="160" t="s">
        <v>23</v>
      </c>
      <c r="B83" s="161">
        <f>E78</f>
        <v>0</v>
      </c>
      <c r="C83" s="30"/>
      <c r="D83" s="30"/>
      <c r="E83" s="30"/>
      <c r="F83" s="30"/>
    </row>
    <row r="84" spans="1:6" x14ac:dyDescent="0.3">
      <c r="A84" s="30"/>
      <c r="B84" s="30"/>
      <c r="C84" s="30"/>
      <c r="D84" s="30"/>
      <c r="E84" s="30"/>
      <c r="F84" s="30"/>
    </row>
    <row r="85" spans="1:6" x14ac:dyDescent="0.3">
      <c r="A85" s="30"/>
      <c r="B85" s="30"/>
      <c r="C85" s="30"/>
      <c r="D85" s="30"/>
      <c r="E85" s="30"/>
      <c r="F85" s="30"/>
    </row>
    <row r="86" spans="1:6" x14ac:dyDescent="0.3">
      <c r="A86" s="103" t="s">
        <v>178</v>
      </c>
      <c r="B86" s="162">
        <v>0</v>
      </c>
      <c r="C86" s="30"/>
      <c r="D86" s="30"/>
      <c r="E86" s="30"/>
      <c r="F86" s="30"/>
    </row>
    <row r="87" spans="1:6" x14ac:dyDescent="0.3">
      <c r="A87" s="140" t="s">
        <v>184</v>
      </c>
      <c r="B87" s="163">
        <v>3191560.16</v>
      </c>
      <c r="C87" s="30"/>
      <c r="D87" s="30"/>
      <c r="E87" s="30"/>
      <c r="F87" s="30"/>
    </row>
    <row r="88" spans="1:6" ht="18" customHeight="1" x14ac:dyDescent="0.3">
      <c r="A88" s="140" t="s">
        <v>183</v>
      </c>
      <c r="B88" s="119">
        <f>B89-B87</f>
        <v>53780.619999999646</v>
      </c>
      <c r="C88" s="30"/>
      <c r="D88" s="30"/>
      <c r="E88" s="30"/>
      <c r="F88" s="30"/>
    </row>
    <row r="89" spans="1:6" ht="17.25" customHeight="1" thickBot="1" x14ac:dyDescent="0.35">
      <c r="A89" s="164" t="s">
        <v>175</v>
      </c>
      <c r="B89" s="165">
        <f>3245340.78</f>
        <v>3245340.78</v>
      </c>
      <c r="C89" s="30"/>
      <c r="D89" s="30"/>
      <c r="E89" s="30"/>
      <c r="F89" s="30"/>
    </row>
    <row r="90" spans="1:6" ht="17.25" customHeight="1" x14ac:dyDescent="0.3">
      <c r="A90" s="166"/>
      <c r="B90" s="167"/>
      <c r="C90" s="30"/>
      <c r="D90" s="30"/>
      <c r="E90" s="30"/>
      <c r="F90" s="30"/>
    </row>
    <row r="91" spans="1:6" ht="17.25" customHeight="1" x14ac:dyDescent="0.3">
      <c r="A91" s="166"/>
      <c r="B91" s="167"/>
      <c r="C91" s="30"/>
      <c r="D91" s="30"/>
      <c r="E91" s="30"/>
      <c r="F91" s="30"/>
    </row>
    <row r="92" spans="1:6" ht="17.25" customHeight="1" x14ac:dyDescent="0.3">
      <c r="A92" s="103" t="s">
        <v>159</v>
      </c>
      <c r="B92" s="43">
        <v>231400</v>
      </c>
      <c r="C92" s="30"/>
      <c r="D92" s="30"/>
      <c r="E92" s="30"/>
      <c r="F92" s="30"/>
    </row>
    <row r="93" spans="1:6" ht="17.25" customHeight="1" x14ac:dyDescent="0.3">
      <c r="A93" s="140" t="s">
        <v>160</v>
      </c>
      <c r="B93" s="163">
        <v>43500</v>
      </c>
      <c r="C93" s="30"/>
      <c r="D93" s="30"/>
      <c r="E93" s="30"/>
      <c r="F93" s="30"/>
    </row>
    <row r="94" spans="1:6" ht="17.25" customHeight="1" x14ac:dyDescent="0.3">
      <c r="A94" s="140" t="s">
        <v>161</v>
      </c>
      <c r="B94" s="119"/>
      <c r="C94" s="30"/>
      <c r="D94" s="30"/>
      <c r="E94" s="30"/>
      <c r="F94" s="30"/>
    </row>
    <row r="95" spans="1:6" ht="17.25" customHeight="1" thickBot="1" x14ac:dyDescent="0.35">
      <c r="A95" s="164" t="s">
        <v>175</v>
      </c>
      <c r="B95" s="165">
        <f>SUM(B92:B94)</f>
        <v>274900</v>
      </c>
      <c r="C95" s="30"/>
      <c r="D95" s="30"/>
      <c r="E95" s="30"/>
      <c r="F95" s="30"/>
    </row>
    <row r="96" spans="1:6" ht="17.25" customHeight="1" x14ac:dyDescent="0.3">
      <c r="A96" s="166"/>
      <c r="B96" s="167"/>
      <c r="C96" s="30"/>
      <c r="D96" s="30"/>
      <c r="E96" s="30"/>
      <c r="F96" s="30"/>
    </row>
    <row r="97" spans="1:6" ht="17.25" customHeight="1" x14ac:dyDescent="0.3">
      <c r="A97" s="103" t="s">
        <v>162</v>
      </c>
      <c r="B97" s="43">
        <v>58418</v>
      </c>
      <c r="C97" s="30"/>
      <c r="D97" s="30"/>
      <c r="E97" s="30"/>
      <c r="F97" s="30"/>
    </row>
    <row r="98" spans="1:6" ht="17.25" customHeight="1" x14ac:dyDescent="0.3">
      <c r="A98" s="140" t="s">
        <v>160</v>
      </c>
      <c r="B98" s="163">
        <v>0</v>
      </c>
      <c r="C98" s="30"/>
      <c r="D98" s="30"/>
      <c r="E98" s="30"/>
      <c r="F98" s="30"/>
    </row>
    <row r="99" spans="1:6" ht="17.25" customHeight="1" x14ac:dyDescent="0.3">
      <c r="A99" s="140" t="s">
        <v>188</v>
      </c>
      <c r="B99" s="120">
        <v>-8400</v>
      </c>
      <c r="C99" s="30"/>
      <c r="D99" s="30"/>
      <c r="E99" s="30"/>
      <c r="F99" s="30"/>
    </row>
    <row r="100" spans="1:6" ht="17.25" customHeight="1" thickBot="1" x14ac:dyDescent="0.35">
      <c r="A100" s="164" t="s">
        <v>175</v>
      </c>
      <c r="B100" s="165">
        <f>SUM(B97:B99)</f>
        <v>50018</v>
      </c>
      <c r="C100" s="30"/>
      <c r="D100" s="30"/>
      <c r="E100" s="30"/>
      <c r="F100" s="30"/>
    </row>
    <row r="101" spans="1:6" s="42" customFormat="1" x14ac:dyDescent="0.3">
      <c r="A101"/>
      <c r="B101" s="40"/>
      <c r="C101" s="41"/>
      <c r="D101" s="99"/>
      <c r="E101" s="99"/>
    </row>
    <row r="102" spans="1:6" s="42" customFormat="1" ht="15.75" customHeight="1" x14ac:dyDescent="0.3">
      <c r="A102" s="103" t="s">
        <v>174</v>
      </c>
      <c r="B102" s="43">
        <v>-7980.4499999999534</v>
      </c>
      <c r="C102" s="41"/>
      <c r="D102" s="100"/>
      <c r="E102" s="100"/>
    </row>
    <row r="103" spans="1:6" x14ac:dyDescent="0.3">
      <c r="A103" s="16" t="s">
        <v>43</v>
      </c>
      <c r="B103" s="120">
        <f>-B81-B82</f>
        <v>-7314278.9249999998</v>
      </c>
      <c r="D103" s="30"/>
      <c r="E103" s="30"/>
    </row>
    <row r="104" spans="1:6" x14ac:dyDescent="0.3">
      <c r="A104" s="16" t="s">
        <v>24</v>
      </c>
      <c r="B104" s="44">
        <f>B116</f>
        <v>418200</v>
      </c>
      <c r="D104" s="30"/>
      <c r="E104" s="30"/>
      <c r="F104" s="40"/>
    </row>
    <row r="105" spans="1:6" x14ac:dyDescent="0.3">
      <c r="A105" s="16" t="s">
        <v>2</v>
      </c>
      <c r="B105" s="45">
        <f>PRORRATEO!G61</f>
        <v>10680704.860000003</v>
      </c>
      <c r="D105" s="30"/>
      <c r="E105" s="30"/>
      <c r="F105" s="40"/>
    </row>
    <row r="106" spans="1:6" x14ac:dyDescent="0.3">
      <c r="A106" s="16" t="s">
        <v>203</v>
      </c>
      <c r="B106" s="194">
        <f>-B93</f>
        <v>-43500</v>
      </c>
      <c r="D106" s="30"/>
      <c r="E106" s="30"/>
      <c r="F106" s="40"/>
    </row>
    <row r="107" spans="1:6" ht="17.25" customHeight="1" x14ac:dyDescent="0.3">
      <c r="A107" s="16" t="s">
        <v>182</v>
      </c>
      <c r="B107" s="178">
        <v>0</v>
      </c>
      <c r="D107" s="118"/>
      <c r="E107" s="30"/>
      <c r="F107" s="40"/>
    </row>
    <row r="108" spans="1:6" ht="15" thickBot="1" x14ac:dyDescent="0.35">
      <c r="A108" s="46" t="s">
        <v>47</v>
      </c>
      <c r="B108" s="47">
        <f>SUM(B102:C107)</f>
        <v>3733145.4850000031</v>
      </c>
      <c r="D108" s="40"/>
      <c r="E108" s="32"/>
      <c r="F108" s="32"/>
    </row>
    <row r="109" spans="1:6" ht="21.9" customHeight="1" thickBot="1" x14ac:dyDescent="0.35">
      <c r="E109" s="32"/>
    </row>
    <row r="110" spans="1:6" ht="21.9" customHeight="1" thickBot="1" x14ac:dyDescent="0.35">
      <c r="A110" s="121" t="s">
        <v>163</v>
      </c>
      <c r="B110" s="122">
        <f>B108+B95</f>
        <v>4008045.4850000031</v>
      </c>
      <c r="D110" s="32"/>
      <c r="E110" s="32"/>
    </row>
    <row r="111" spans="1:6" ht="21.9" customHeight="1" x14ac:dyDescent="0.3"/>
    <row r="112" spans="1:6" x14ac:dyDescent="0.3">
      <c r="A112" s="202" t="s">
        <v>25</v>
      </c>
      <c r="B112" s="202"/>
      <c r="C112" s="202"/>
    </row>
    <row r="113" spans="1:13" x14ac:dyDescent="0.3">
      <c r="A113" s="202"/>
      <c r="B113" s="202"/>
      <c r="C113" s="202"/>
    </row>
    <row r="114" spans="1:13" ht="27" customHeight="1" x14ac:dyDescent="0.3">
      <c r="A114" s="48" t="s">
        <v>200</v>
      </c>
      <c r="B114" s="71">
        <v>376000</v>
      </c>
      <c r="C114" s="49"/>
      <c r="D114" s="35"/>
    </row>
    <row r="115" spans="1:13" ht="27" customHeight="1" x14ac:dyDescent="0.3">
      <c r="A115" s="48" t="s">
        <v>200</v>
      </c>
      <c r="B115" s="71">
        <v>42200</v>
      </c>
      <c r="C115" s="49"/>
      <c r="D115" s="35"/>
    </row>
    <row r="116" spans="1:13" x14ac:dyDescent="0.3">
      <c r="A116" s="50" t="s">
        <v>0</v>
      </c>
      <c r="B116" s="51">
        <f>SUM(B114:B115)</f>
        <v>418200</v>
      </c>
      <c r="C116" s="52"/>
    </row>
    <row r="117" spans="1:13" x14ac:dyDescent="0.3">
      <c r="M117" s="53"/>
    </row>
  </sheetData>
  <mergeCells count="15">
    <mergeCell ref="A57:B57"/>
    <mergeCell ref="A112:C113"/>
    <mergeCell ref="A71:B71"/>
    <mergeCell ref="B1:E1"/>
    <mergeCell ref="A24:B24"/>
    <mergeCell ref="B3:E3"/>
    <mergeCell ref="B8:C10"/>
    <mergeCell ref="A13:E16"/>
    <mergeCell ref="A22:B22"/>
    <mergeCell ref="A23:B23"/>
    <mergeCell ref="A46:B46"/>
    <mergeCell ref="A39:B39"/>
    <mergeCell ref="A40:B40"/>
    <mergeCell ref="A52:B52"/>
    <mergeCell ref="A50:B50"/>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opLeftCell="A16" zoomScale="90" zoomScaleNormal="90" workbookViewId="0">
      <selection activeCell="B30" sqref="A30:B30"/>
    </sheetView>
  </sheetViews>
  <sheetFormatPr baseColWidth="10" defaultColWidth="10.88671875" defaultRowHeight="14.4" x14ac:dyDescent="0.3"/>
  <cols>
    <col min="1" max="1" width="4.33203125" customWidth="1"/>
    <col min="2" max="2" width="13.44140625" customWidth="1"/>
    <col min="3" max="3" width="25.5546875" customWidth="1"/>
    <col min="4" max="4" width="16" customWidth="1"/>
    <col min="5" max="5" width="8.44140625" customWidth="1"/>
    <col min="6" max="7" width="14.109375" customWidth="1"/>
    <col min="8" max="8" width="12" customWidth="1"/>
    <col min="9" max="9" width="9.5546875" customWidth="1"/>
    <col min="10" max="10" width="13.5546875" customWidth="1"/>
    <col min="11" max="13" width="14.44140625" customWidth="1"/>
    <col min="14" max="14" width="12.33203125" customWidth="1"/>
    <col min="15" max="15" width="14.6640625" customWidth="1"/>
    <col min="16" max="16" width="14.33203125" customWidth="1"/>
    <col min="17" max="17" width="8.5546875" customWidth="1"/>
    <col min="18" max="18" width="19" customWidth="1"/>
    <col min="19" max="19" width="13" bestFit="1" customWidth="1"/>
  </cols>
  <sheetData>
    <row r="1" spans="1:18" ht="28.5" customHeight="1" x14ac:dyDescent="0.3">
      <c r="A1" s="58"/>
      <c r="B1" s="112"/>
      <c r="C1" s="59"/>
      <c r="D1" s="59"/>
      <c r="E1" s="112"/>
      <c r="F1" s="112"/>
      <c r="G1" s="112"/>
      <c r="H1" s="112"/>
      <c r="I1" s="112"/>
      <c r="J1" s="221" t="str">
        <f>RESUMEN!B3</f>
        <v xml:space="preserve">Banco: Santander N.º de cuenta: 039-021152/7
CBU: 0720039720000002115272
Alias: EDIFICIO.AIRE.FRESCO
</v>
      </c>
      <c r="K1" s="221"/>
      <c r="L1" s="221"/>
      <c r="M1" s="221"/>
      <c r="N1" s="221"/>
      <c r="O1" s="221"/>
      <c r="P1" s="222"/>
    </row>
    <row r="2" spans="1:18" ht="17.25" customHeight="1" x14ac:dyDescent="0.3">
      <c r="A2" s="2" t="s">
        <v>164</v>
      </c>
      <c r="B2" s="113"/>
      <c r="C2" s="124">
        <v>4200000</v>
      </c>
      <c r="D2" s="179">
        <v>7736519.879999999</v>
      </c>
      <c r="E2" s="60"/>
      <c r="F2" s="229"/>
      <c r="G2" s="229"/>
      <c r="H2" s="60"/>
      <c r="I2" s="60"/>
      <c r="J2" s="223"/>
      <c r="K2" s="223"/>
      <c r="L2" s="223"/>
      <c r="M2" s="223"/>
      <c r="N2" s="223"/>
      <c r="O2" s="223"/>
      <c r="P2" s="224"/>
      <c r="Q2" s="54"/>
    </row>
    <row r="3" spans="1:18" x14ac:dyDescent="0.3">
      <c r="A3" s="2" t="s">
        <v>26</v>
      </c>
      <c r="B3" s="113"/>
      <c r="C3" s="124">
        <v>0</v>
      </c>
      <c r="D3" s="60"/>
      <c r="E3" s="60"/>
      <c r="F3" s="117"/>
      <c r="G3" s="117"/>
      <c r="H3" s="60"/>
      <c r="I3" s="60"/>
      <c r="J3" s="223"/>
      <c r="K3" s="223"/>
      <c r="L3" s="223"/>
      <c r="M3" s="223"/>
      <c r="N3" s="223"/>
      <c r="O3" s="223"/>
      <c r="P3" s="224"/>
      <c r="Q3" s="54"/>
      <c r="R3" s="32"/>
    </row>
    <row r="4" spans="1:18" x14ac:dyDescent="0.3">
      <c r="A4" s="2" t="s">
        <v>170</v>
      </c>
      <c r="B4" s="113"/>
      <c r="C4" s="124">
        <v>182823.01</v>
      </c>
      <c r="D4" s="60"/>
      <c r="E4" s="60"/>
      <c r="F4" s="117"/>
      <c r="G4" s="117"/>
      <c r="H4" s="60"/>
      <c r="I4" s="60"/>
      <c r="J4" s="223"/>
      <c r="K4" s="223"/>
      <c r="L4" s="223"/>
      <c r="M4" s="223"/>
      <c r="N4" s="223"/>
      <c r="O4" s="223"/>
      <c r="P4" s="224"/>
      <c r="Q4" s="54"/>
      <c r="R4" s="32"/>
    </row>
    <row r="5" spans="1:18" ht="15" customHeight="1" thickBot="1" x14ac:dyDescent="0.35">
      <c r="A5" s="123" t="s">
        <v>165</v>
      </c>
      <c r="B5" s="114"/>
      <c r="C5" s="125">
        <v>2001312.7</v>
      </c>
      <c r="D5" s="61"/>
      <c r="E5" s="61"/>
      <c r="F5" s="61"/>
      <c r="G5" s="62"/>
      <c r="H5" s="61"/>
      <c r="I5" s="61"/>
      <c r="J5" s="225"/>
      <c r="K5" s="225"/>
      <c r="L5" s="225"/>
      <c r="M5" s="225"/>
      <c r="N5" s="225"/>
      <c r="O5" s="225"/>
      <c r="P5" s="226"/>
      <c r="Q5" s="54"/>
    </row>
    <row r="6" spans="1:18" ht="12.9" customHeight="1" x14ac:dyDescent="0.3">
      <c r="A6" s="231" t="s">
        <v>167</v>
      </c>
      <c r="B6" s="232"/>
      <c r="C6" s="233"/>
      <c r="D6" s="233"/>
      <c r="E6" s="233"/>
      <c r="F6" s="233"/>
      <c r="G6" s="233"/>
      <c r="H6" s="233"/>
      <c r="I6" s="233"/>
      <c r="J6" s="233"/>
      <c r="K6" s="233"/>
      <c r="L6" s="233"/>
      <c r="M6" s="233"/>
      <c r="N6" s="233"/>
      <c r="O6" s="233"/>
      <c r="P6" s="234"/>
      <c r="Q6" s="54"/>
    </row>
    <row r="7" spans="1:18" ht="12.9" customHeight="1" x14ac:dyDescent="0.3">
      <c r="A7" s="235"/>
      <c r="B7" s="236"/>
      <c r="C7" s="236"/>
      <c r="D7" s="236"/>
      <c r="E7" s="236"/>
      <c r="F7" s="236"/>
      <c r="G7" s="236"/>
      <c r="H7" s="236"/>
      <c r="I7" s="236"/>
      <c r="J7" s="236"/>
      <c r="K7" s="236"/>
      <c r="L7" s="236"/>
      <c r="M7" s="236"/>
      <c r="N7" s="236"/>
      <c r="O7" s="236"/>
      <c r="P7" s="237"/>
      <c r="Q7" s="54"/>
    </row>
    <row r="8" spans="1:18" ht="12.9" customHeight="1" x14ac:dyDescent="0.3">
      <c r="A8" s="235"/>
      <c r="B8" s="236"/>
      <c r="C8" s="236"/>
      <c r="D8" s="236"/>
      <c r="E8" s="236"/>
      <c r="F8" s="236"/>
      <c r="G8" s="236"/>
      <c r="H8" s="236"/>
      <c r="I8" s="236"/>
      <c r="J8" s="236"/>
      <c r="K8" s="236"/>
      <c r="L8" s="236"/>
      <c r="M8" s="236"/>
      <c r="N8" s="236"/>
      <c r="O8" s="236"/>
      <c r="P8" s="237"/>
      <c r="Q8" s="54"/>
    </row>
    <row r="9" spans="1:18" ht="12.9" customHeight="1" x14ac:dyDescent="0.3">
      <c r="A9" s="235"/>
      <c r="B9" s="236"/>
      <c r="C9" s="236"/>
      <c r="D9" s="236"/>
      <c r="E9" s="236"/>
      <c r="F9" s="236"/>
      <c r="G9" s="236"/>
      <c r="H9" s="236"/>
      <c r="I9" s="236"/>
      <c r="J9" s="236"/>
      <c r="K9" s="236"/>
      <c r="L9" s="236"/>
      <c r="M9" s="236"/>
      <c r="N9" s="236"/>
      <c r="O9" s="236"/>
      <c r="P9" s="237"/>
      <c r="Q9" s="54"/>
    </row>
    <row r="10" spans="1:18" ht="192" customHeight="1" thickBot="1" x14ac:dyDescent="0.35">
      <c r="A10" s="238"/>
      <c r="B10" s="239"/>
      <c r="C10" s="239"/>
      <c r="D10" s="239"/>
      <c r="E10" s="239"/>
      <c r="F10" s="239"/>
      <c r="G10" s="239"/>
      <c r="H10" s="239"/>
      <c r="I10" s="239"/>
      <c r="J10" s="239"/>
      <c r="K10" s="239"/>
      <c r="L10" s="239"/>
      <c r="M10" s="239"/>
      <c r="N10" s="239"/>
      <c r="O10" s="239"/>
      <c r="P10" s="240"/>
    </row>
    <row r="11" spans="1:18" ht="48" customHeight="1" thickBot="1" x14ac:dyDescent="0.35">
      <c r="A11" s="249" t="s">
        <v>46</v>
      </c>
      <c r="B11" s="250"/>
      <c r="C11" s="250"/>
      <c r="D11" s="250"/>
      <c r="E11" s="250"/>
      <c r="F11" s="250"/>
      <c r="G11" s="250"/>
      <c r="H11" s="250"/>
      <c r="I11" s="250"/>
      <c r="J11" s="250"/>
      <c r="K11" s="250"/>
      <c r="L11" s="250"/>
      <c r="M11" s="250"/>
      <c r="N11" s="250"/>
      <c r="O11" s="250"/>
      <c r="P11" s="251"/>
    </row>
    <row r="12" spans="1:18" x14ac:dyDescent="0.3">
      <c r="A12" s="241" t="s">
        <v>28</v>
      </c>
      <c r="B12" s="217" t="s">
        <v>69</v>
      </c>
      <c r="C12" s="243" t="s">
        <v>29</v>
      </c>
      <c r="D12" s="243" t="s">
        <v>30</v>
      </c>
      <c r="E12" s="243" t="s">
        <v>31</v>
      </c>
      <c r="F12" s="219" t="s">
        <v>32</v>
      </c>
      <c r="G12" s="245" t="s">
        <v>33</v>
      </c>
      <c r="H12" s="247" t="s">
        <v>34</v>
      </c>
      <c r="I12" s="219" t="s">
        <v>35</v>
      </c>
      <c r="J12" s="219" t="s">
        <v>27</v>
      </c>
      <c r="K12" s="219" t="s">
        <v>26</v>
      </c>
      <c r="L12" s="217" t="s">
        <v>169</v>
      </c>
      <c r="M12" s="219" t="s">
        <v>166</v>
      </c>
      <c r="N12" s="215" t="s">
        <v>179</v>
      </c>
      <c r="O12" s="85" t="s">
        <v>36</v>
      </c>
      <c r="P12" s="227" t="s">
        <v>37</v>
      </c>
    </row>
    <row r="13" spans="1:18" ht="24.75" customHeight="1" x14ac:dyDescent="0.3">
      <c r="A13" s="242"/>
      <c r="B13" s="218"/>
      <c r="C13" s="244"/>
      <c r="D13" s="244"/>
      <c r="E13" s="244"/>
      <c r="F13" s="220"/>
      <c r="G13" s="246"/>
      <c r="H13" s="248"/>
      <c r="I13" s="220"/>
      <c r="J13" s="220"/>
      <c r="K13" s="220"/>
      <c r="L13" s="218"/>
      <c r="M13" s="220"/>
      <c r="N13" s="216"/>
      <c r="O13" s="86" t="str">
        <f>RESUMEN!B8</f>
        <v>VTO 16/11</v>
      </c>
      <c r="P13" s="228"/>
    </row>
    <row r="14" spans="1:18" ht="17.100000000000001" customHeight="1" x14ac:dyDescent="0.3">
      <c r="A14" s="75">
        <v>1</v>
      </c>
      <c r="B14" s="115" t="s">
        <v>70</v>
      </c>
      <c r="C14" s="64" t="s">
        <v>116</v>
      </c>
      <c r="D14" s="64"/>
      <c r="E14" s="66">
        <v>5.22</v>
      </c>
      <c r="F14" s="55">
        <v>403846.01</v>
      </c>
      <c r="G14" s="55">
        <f t="shared" ref="G14" si="0">F14</f>
        <v>403846.01</v>
      </c>
      <c r="H14" s="67">
        <f t="shared" ref="H14:H59" si="1">F14-G14</f>
        <v>0</v>
      </c>
      <c r="I14" s="67">
        <f>IF(H14&gt;0,H14*3%,0)</f>
        <v>0</v>
      </c>
      <c r="J14" s="74">
        <f>C$2*E14/100</f>
        <v>219240</v>
      </c>
      <c r="K14" s="74">
        <f t="shared" ref="K14:K45" si="2">F$2*E14/100</f>
        <v>0</v>
      </c>
      <c r="L14" s="74">
        <f>C$4*E14/100</f>
        <v>9543.3611220000003</v>
      </c>
      <c r="M14" s="74">
        <f>C$5*E14/100</f>
        <v>104468.52294</v>
      </c>
      <c r="N14" s="74"/>
      <c r="O14" s="68">
        <f>ROUND(SUM(H14:N14),0) + Q14</f>
        <v>333252.01</v>
      </c>
      <c r="P14" s="83">
        <f t="shared" ref="P14:P34" si="3">ROUND(O14*3%,0) + O14</f>
        <v>343250.01</v>
      </c>
      <c r="Q14" s="32">
        <v>0.01</v>
      </c>
    </row>
    <row r="15" spans="1:18" ht="17.100000000000001" customHeight="1" x14ac:dyDescent="0.3">
      <c r="A15" s="187">
        <v>2</v>
      </c>
      <c r="B15" s="188" t="s">
        <v>73</v>
      </c>
      <c r="C15" s="189" t="s">
        <v>117</v>
      </c>
      <c r="D15" s="189" t="s">
        <v>154</v>
      </c>
      <c r="E15" s="169">
        <v>3.4</v>
      </c>
      <c r="F15" s="170">
        <v>550069.02</v>
      </c>
      <c r="G15" s="170">
        <f>262068+288000</f>
        <v>550068</v>
      </c>
      <c r="H15" s="171">
        <f t="shared" si="1"/>
        <v>1.0200000000186265</v>
      </c>
      <c r="I15" s="171">
        <f t="shared" ref="I15:I59" si="4">IF(H15&gt;0,H15*3%,0)</f>
        <v>3.0600000000558791E-2</v>
      </c>
      <c r="J15" s="172">
        <f t="shared" ref="J15:J59" si="5">C$2*E15/100</f>
        <v>142800</v>
      </c>
      <c r="K15" s="172">
        <f t="shared" si="2"/>
        <v>0</v>
      </c>
      <c r="L15" s="172">
        <f t="shared" ref="L15:L59" si="6">C$4*E15/100</f>
        <v>6215.9823400000005</v>
      </c>
      <c r="M15" s="172">
        <f t="shared" ref="M15:M59" si="7">C$5*E15/100</f>
        <v>68044.631800000003</v>
      </c>
      <c r="N15" s="172"/>
      <c r="O15" s="173">
        <f t="shared" ref="O15:O59" si="8">ROUND(SUM(H15:N15),0) + Q15</f>
        <v>217062.02</v>
      </c>
      <c r="P15" s="174">
        <f t="shared" si="3"/>
        <v>223574.02</v>
      </c>
      <c r="Q15" s="32">
        <f>Q14+0.01</f>
        <v>0.02</v>
      </c>
      <c r="R15" t="s">
        <v>202</v>
      </c>
    </row>
    <row r="16" spans="1:18" ht="17.100000000000001" customHeight="1" x14ac:dyDescent="0.3">
      <c r="A16" s="75">
        <v>3</v>
      </c>
      <c r="B16" s="115" t="s">
        <v>74</v>
      </c>
      <c r="C16" s="64" t="s">
        <v>118</v>
      </c>
      <c r="D16" s="64" t="s">
        <v>156</v>
      </c>
      <c r="E16" s="66">
        <v>2.54</v>
      </c>
      <c r="F16" s="55">
        <v>196084.03</v>
      </c>
      <c r="G16" s="55">
        <v>198000</v>
      </c>
      <c r="H16" s="67">
        <f t="shared" si="1"/>
        <v>-1915.9700000000012</v>
      </c>
      <c r="I16" s="67">
        <f t="shared" si="4"/>
        <v>0</v>
      </c>
      <c r="J16" s="74">
        <f t="shared" si="5"/>
        <v>106680</v>
      </c>
      <c r="K16" s="74">
        <f t="shared" si="2"/>
        <v>0</v>
      </c>
      <c r="L16" s="74">
        <f t="shared" si="6"/>
        <v>4643.7044540000006</v>
      </c>
      <c r="M16" s="74">
        <f t="shared" si="7"/>
        <v>50833.342580000004</v>
      </c>
      <c r="N16" s="74"/>
      <c r="O16" s="68">
        <f t="shared" si="8"/>
        <v>160241.03</v>
      </c>
      <c r="P16" s="83">
        <f t="shared" si="3"/>
        <v>165048.03</v>
      </c>
      <c r="Q16" s="32">
        <f t="shared" ref="Q16:Q31" si="9">Q15+0.01</f>
        <v>0.03</v>
      </c>
      <c r="R16" t="s">
        <v>172</v>
      </c>
    </row>
    <row r="17" spans="1:18" ht="17.100000000000001" customHeight="1" x14ac:dyDescent="0.3">
      <c r="A17" s="75">
        <v>4</v>
      </c>
      <c r="B17" s="115" t="s">
        <v>75</v>
      </c>
      <c r="C17" s="64" t="s">
        <v>119</v>
      </c>
      <c r="D17" s="69" t="s">
        <v>152</v>
      </c>
      <c r="E17" s="66">
        <v>5.19</v>
      </c>
      <c r="F17" s="55">
        <v>432284.04</v>
      </c>
      <c r="G17" s="55">
        <f>498075-G55-G44</f>
        <v>432314.27</v>
      </c>
      <c r="H17" s="67">
        <f t="shared" si="1"/>
        <v>-30.230000000039581</v>
      </c>
      <c r="I17" s="67">
        <f t="shared" si="4"/>
        <v>0</v>
      </c>
      <c r="J17" s="74">
        <f t="shared" si="5"/>
        <v>217980</v>
      </c>
      <c r="K17" s="74">
        <f t="shared" si="2"/>
        <v>0</v>
      </c>
      <c r="L17" s="74">
        <f t="shared" si="6"/>
        <v>9488.5142190000006</v>
      </c>
      <c r="M17" s="74">
        <f t="shared" si="7"/>
        <v>103868.12913</v>
      </c>
      <c r="N17" s="74"/>
      <c r="O17" s="68">
        <f t="shared" si="8"/>
        <v>331306.03999999998</v>
      </c>
      <c r="P17" s="83">
        <f t="shared" si="3"/>
        <v>341245.04</v>
      </c>
      <c r="Q17" s="32">
        <f t="shared" si="9"/>
        <v>0.04</v>
      </c>
      <c r="R17" t="s">
        <v>171</v>
      </c>
    </row>
    <row r="18" spans="1:18" ht="17.100000000000001" customHeight="1" x14ac:dyDescent="0.3">
      <c r="A18" s="75">
        <v>5</v>
      </c>
      <c r="B18" s="115" t="s">
        <v>71</v>
      </c>
      <c r="C18" s="64" t="s">
        <v>120</v>
      </c>
      <c r="D18" s="69" t="s">
        <v>148</v>
      </c>
      <c r="E18" s="66">
        <v>3.4</v>
      </c>
      <c r="F18" s="55">
        <v>514407.05</v>
      </c>
      <c r="G18" s="55">
        <v>336377.05</v>
      </c>
      <c r="H18" s="67">
        <f t="shared" si="1"/>
        <v>178030</v>
      </c>
      <c r="I18" s="67">
        <f t="shared" si="4"/>
        <v>5340.9</v>
      </c>
      <c r="J18" s="74">
        <f t="shared" si="5"/>
        <v>142800</v>
      </c>
      <c r="K18" s="74">
        <f t="shared" si="2"/>
        <v>0</v>
      </c>
      <c r="L18" s="74">
        <f t="shared" si="6"/>
        <v>6215.9823400000005</v>
      </c>
      <c r="M18" s="74">
        <f t="shared" si="7"/>
        <v>68044.631800000003</v>
      </c>
      <c r="N18" s="74"/>
      <c r="O18" s="68">
        <f t="shared" si="8"/>
        <v>400432.05</v>
      </c>
      <c r="P18" s="83">
        <f t="shared" si="3"/>
        <v>412445.05</v>
      </c>
      <c r="Q18" s="32">
        <f t="shared" si="9"/>
        <v>0.05</v>
      </c>
    </row>
    <row r="19" spans="1:18" ht="17.100000000000001" customHeight="1" x14ac:dyDescent="0.3">
      <c r="A19" s="75">
        <v>6</v>
      </c>
      <c r="B19" s="115" t="s">
        <v>76</v>
      </c>
      <c r="C19" s="64" t="s">
        <v>117</v>
      </c>
      <c r="D19" s="64" t="s">
        <v>177</v>
      </c>
      <c r="E19" s="66">
        <v>2.54</v>
      </c>
      <c r="F19" s="55">
        <v>196508.06</v>
      </c>
      <c r="G19" s="55">
        <f>F19</f>
        <v>196508.06</v>
      </c>
      <c r="H19" s="67">
        <f t="shared" si="1"/>
        <v>0</v>
      </c>
      <c r="I19" s="67">
        <f t="shared" si="4"/>
        <v>0</v>
      </c>
      <c r="J19" s="74">
        <f t="shared" si="5"/>
        <v>106680</v>
      </c>
      <c r="K19" s="74">
        <f t="shared" si="2"/>
        <v>0</v>
      </c>
      <c r="L19" s="74">
        <f t="shared" si="6"/>
        <v>4643.7044540000006</v>
      </c>
      <c r="M19" s="74">
        <f t="shared" si="7"/>
        <v>50833.342580000004</v>
      </c>
      <c r="N19" s="74"/>
      <c r="O19" s="68">
        <f t="shared" si="8"/>
        <v>162157.06</v>
      </c>
      <c r="P19" s="83">
        <f t="shared" si="3"/>
        <v>167022.06</v>
      </c>
      <c r="Q19" s="32">
        <f t="shared" si="9"/>
        <v>6.0000000000000005E-2</v>
      </c>
    </row>
    <row r="20" spans="1:18" ht="17.100000000000001" customHeight="1" x14ac:dyDescent="0.3">
      <c r="A20" s="75">
        <v>7</v>
      </c>
      <c r="B20" s="115" t="s">
        <v>77</v>
      </c>
      <c r="C20" s="64" t="s">
        <v>121</v>
      </c>
      <c r="D20" s="64"/>
      <c r="E20" s="66">
        <v>5.19</v>
      </c>
      <c r="F20" s="55">
        <v>401525.07</v>
      </c>
      <c r="G20" s="55">
        <f t="shared" ref="G20:G25" si="10">F20</f>
        <v>401525.07</v>
      </c>
      <c r="H20" s="67">
        <f t="shared" si="1"/>
        <v>0</v>
      </c>
      <c r="I20" s="67">
        <f t="shared" si="4"/>
        <v>0</v>
      </c>
      <c r="J20" s="74">
        <f t="shared" si="5"/>
        <v>217980</v>
      </c>
      <c r="K20" s="74">
        <f t="shared" si="2"/>
        <v>0</v>
      </c>
      <c r="L20" s="74">
        <f t="shared" si="6"/>
        <v>9488.5142190000006</v>
      </c>
      <c r="M20" s="74">
        <f t="shared" si="7"/>
        <v>103868.12913</v>
      </c>
      <c r="N20" s="74"/>
      <c r="O20" s="68">
        <f t="shared" si="8"/>
        <v>331337.07</v>
      </c>
      <c r="P20" s="83">
        <f t="shared" si="3"/>
        <v>341277.07</v>
      </c>
      <c r="Q20" s="32">
        <f t="shared" si="9"/>
        <v>7.0000000000000007E-2</v>
      </c>
    </row>
    <row r="21" spans="1:18" ht="17.100000000000001" customHeight="1" x14ac:dyDescent="0.3">
      <c r="A21" s="75">
        <v>8</v>
      </c>
      <c r="B21" s="115" t="s">
        <v>78</v>
      </c>
      <c r="C21" s="64" t="s">
        <v>122</v>
      </c>
      <c r="D21" s="69"/>
      <c r="E21" s="66">
        <v>3.4</v>
      </c>
      <c r="F21" s="55">
        <v>263042.08</v>
      </c>
      <c r="G21" s="55">
        <f t="shared" si="10"/>
        <v>263042.08</v>
      </c>
      <c r="H21" s="67">
        <f t="shared" si="1"/>
        <v>0</v>
      </c>
      <c r="I21" s="67">
        <f t="shared" si="4"/>
        <v>0</v>
      </c>
      <c r="J21" s="74">
        <f t="shared" si="5"/>
        <v>142800</v>
      </c>
      <c r="K21" s="74">
        <f t="shared" si="2"/>
        <v>0</v>
      </c>
      <c r="L21" s="74">
        <f t="shared" si="6"/>
        <v>6215.9823400000005</v>
      </c>
      <c r="M21" s="74">
        <f t="shared" si="7"/>
        <v>68044.631800000003</v>
      </c>
      <c r="N21" s="74"/>
      <c r="O21" s="68">
        <f t="shared" si="8"/>
        <v>217061.08</v>
      </c>
      <c r="P21" s="83">
        <f t="shared" si="3"/>
        <v>223573.08</v>
      </c>
      <c r="Q21" s="32">
        <f t="shared" si="9"/>
        <v>0.08</v>
      </c>
    </row>
    <row r="22" spans="1:18" ht="17.100000000000001" customHeight="1" x14ac:dyDescent="0.3">
      <c r="A22" s="187">
        <v>9</v>
      </c>
      <c r="B22" s="188" t="s">
        <v>72</v>
      </c>
      <c r="C22" s="189" t="s">
        <v>117</v>
      </c>
      <c r="D22" s="168" t="s">
        <v>151</v>
      </c>
      <c r="E22" s="169">
        <v>2.54</v>
      </c>
      <c r="F22" s="170">
        <v>196508.09</v>
      </c>
      <c r="G22" s="170">
        <f t="shared" si="10"/>
        <v>196508.09</v>
      </c>
      <c r="H22" s="171">
        <f t="shared" si="1"/>
        <v>0</v>
      </c>
      <c r="I22" s="171">
        <f t="shared" si="4"/>
        <v>0</v>
      </c>
      <c r="J22" s="172">
        <f t="shared" si="5"/>
        <v>106680</v>
      </c>
      <c r="K22" s="172">
        <f t="shared" si="2"/>
        <v>0</v>
      </c>
      <c r="L22" s="172">
        <f t="shared" si="6"/>
        <v>4643.7044540000006</v>
      </c>
      <c r="M22" s="172">
        <f t="shared" si="7"/>
        <v>50833.342580000004</v>
      </c>
      <c r="N22" s="172"/>
      <c r="O22" s="173">
        <f t="shared" si="8"/>
        <v>162157.09</v>
      </c>
      <c r="P22" s="174">
        <f t="shared" si="3"/>
        <v>167022.09</v>
      </c>
      <c r="Q22" s="32">
        <f t="shared" si="9"/>
        <v>0.09</v>
      </c>
    </row>
    <row r="23" spans="1:18" ht="17.100000000000001" customHeight="1" x14ac:dyDescent="0.3">
      <c r="A23" s="75">
        <v>10</v>
      </c>
      <c r="B23" s="115" t="s">
        <v>79</v>
      </c>
      <c r="C23" s="64" t="s">
        <v>123</v>
      </c>
      <c r="D23" s="69"/>
      <c r="E23" s="66">
        <v>5.19</v>
      </c>
      <c r="F23" s="55">
        <v>401525.1</v>
      </c>
      <c r="G23" s="55">
        <f t="shared" si="10"/>
        <v>401525.1</v>
      </c>
      <c r="H23" s="67">
        <f t="shared" si="1"/>
        <v>0</v>
      </c>
      <c r="I23" s="67">
        <f t="shared" si="4"/>
        <v>0</v>
      </c>
      <c r="J23" s="74">
        <f t="shared" si="5"/>
        <v>217980</v>
      </c>
      <c r="K23" s="74">
        <f t="shared" si="2"/>
        <v>0</v>
      </c>
      <c r="L23" s="74">
        <f t="shared" si="6"/>
        <v>9488.5142190000006</v>
      </c>
      <c r="M23" s="74">
        <f t="shared" si="7"/>
        <v>103868.12913</v>
      </c>
      <c r="N23" s="74"/>
      <c r="O23" s="68">
        <f t="shared" si="8"/>
        <v>331337.09999999998</v>
      </c>
      <c r="P23" s="83">
        <f t="shared" si="3"/>
        <v>341277.1</v>
      </c>
      <c r="Q23" s="32">
        <f t="shared" si="9"/>
        <v>9.9999999999999992E-2</v>
      </c>
    </row>
    <row r="24" spans="1:18" ht="17.100000000000001" customHeight="1" x14ac:dyDescent="0.3">
      <c r="A24" s="75">
        <v>11</v>
      </c>
      <c r="B24" s="115" t="s">
        <v>80</v>
      </c>
      <c r="C24" s="64" t="s">
        <v>124</v>
      </c>
      <c r="D24" s="69" t="s">
        <v>149</v>
      </c>
      <c r="E24" s="66">
        <v>3.4</v>
      </c>
      <c r="F24" s="55">
        <v>263042.11</v>
      </c>
      <c r="G24" s="55">
        <v>269232</v>
      </c>
      <c r="H24" s="67">
        <f t="shared" si="1"/>
        <v>-6189.890000000014</v>
      </c>
      <c r="I24" s="67">
        <f t="shared" si="4"/>
        <v>0</v>
      </c>
      <c r="J24" s="74">
        <f t="shared" si="5"/>
        <v>142800</v>
      </c>
      <c r="K24" s="74">
        <f t="shared" si="2"/>
        <v>0</v>
      </c>
      <c r="L24" s="74">
        <f t="shared" si="6"/>
        <v>6215.9823400000005</v>
      </c>
      <c r="M24" s="74">
        <f t="shared" si="7"/>
        <v>68044.631800000003</v>
      </c>
      <c r="N24" s="74"/>
      <c r="O24" s="68">
        <f t="shared" si="8"/>
        <v>210871.11</v>
      </c>
      <c r="P24" s="83">
        <f t="shared" si="3"/>
        <v>217197.11</v>
      </c>
      <c r="Q24" s="32">
        <f t="shared" si="9"/>
        <v>0.10999999999999999</v>
      </c>
      <c r="R24" t="s">
        <v>204</v>
      </c>
    </row>
    <row r="25" spans="1:18" ht="17.25" customHeight="1" x14ac:dyDescent="0.3">
      <c r="A25" s="75">
        <v>12</v>
      </c>
      <c r="B25" s="115" t="s">
        <v>81</v>
      </c>
      <c r="C25" s="64" t="s">
        <v>125</v>
      </c>
      <c r="D25" s="69" t="s">
        <v>153</v>
      </c>
      <c r="E25" s="66">
        <v>2.54</v>
      </c>
      <c r="F25" s="55">
        <v>196508.12</v>
      </c>
      <c r="G25" s="55">
        <f t="shared" si="10"/>
        <v>196508.12</v>
      </c>
      <c r="H25" s="67">
        <f t="shared" si="1"/>
        <v>0</v>
      </c>
      <c r="I25" s="67">
        <f t="shared" si="4"/>
        <v>0</v>
      </c>
      <c r="J25" s="74">
        <f t="shared" si="5"/>
        <v>106680</v>
      </c>
      <c r="K25" s="74">
        <f t="shared" si="2"/>
        <v>0</v>
      </c>
      <c r="L25" s="74">
        <f t="shared" si="6"/>
        <v>4643.7044540000006</v>
      </c>
      <c r="M25" s="74">
        <f t="shared" si="7"/>
        <v>50833.342580000004</v>
      </c>
      <c r="N25" s="74"/>
      <c r="O25" s="68">
        <f t="shared" si="8"/>
        <v>162157.12</v>
      </c>
      <c r="P25" s="83">
        <f t="shared" si="3"/>
        <v>167022.12</v>
      </c>
      <c r="Q25" s="32">
        <f t="shared" si="9"/>
        <v>0.11999999999999998</v>
      </c>
    </row>
    <row r="26" spans="1:18" ht="17.100000000000001" customHeight="1" x14ac:dyDescent="0.3">
      <c r="A26" s="75">
        <v>13</v>
      </c>
      <c r="B26" s="115" t="s">
        <v>82</v>
      </c>
      <c r="C26" s="64" t="s">
        <v>176</v>
      </c>
      <c r="D26" s="69"/>
      <c r="E26" s="66">
        <v>5.19</v>
      </c>
      <c r="F26" s="55">
        <v>401525.13</v>
      </c>
      <c r="G26" s="55">
        <f>F26</f>
        <v>401525.13</v>
      </c>
      <c r="H26" s="67">
        <f t="shared" si="1"/>
        <v>0</v>
      </c>
      <c r="I26" s="67">
        <f t="shared" si="4"/>
        <v>0</v>
      </c>
      <c r="J26" s="74">
        <f t="shared" si="5"/>
        <v>217980</v>
      </c>
      <c r="K26" s="74">
        <f t="shared" si="2"/>
        <v>0</v>
      </c>
      <c r="L26" s="74">
        <f t="shared" si="6"/>
        <v>9488.5142190000006</v>
      </c>
      <c r="M26" s="74">
        <f t="shared" si="7"/>
        <v>103868.12913</v>
      </c>
      <c r="N26" s="74"/>
      <c r="O26" s="68">
        <f t="shared" si="8"/>
        <v>331337.13</v>
      </c>
      <c r="P26" s="83">
        <f t="shared" si="3"/>
        <v>341277.13</v>
      </c>
      <c r="Q26" s="32">
        <f t="shared" si="9"/>
        <v>0.12999999999999998</v>
      </c>
    </row>
    <row r="27" spans="1:18" ht="17.100000000000001" customHeight="1" x14ac:dyDescent="0.3">
      <c r="A27" s="126">
        <v>14</v>
      </c>
      <c r="B27" s="127" t="s">
        <v>83</v>
      </c>
      <c r="C27" s="128" t="s">
        <v>127</v>
      </c>
      <c r="D27" s="129"/>
      <c r="E27" s="130">
        <v>3.4</v>
      </c>
      <c r="F27" s="131">
        <v>253870.14</v>
      </c>
      <c r="G27" s="131">
        <f>338781.52-G51</f>
        <v>263737.14</v>
      </c>
      <c r="H27" s="132">
        <f t="shared" si="1"/>
        <v>-9867</v>
      </c>
      <c r="I27" s="132">
        <f t="shared" si="4"/>
        <v>0</v>
      </c>
      <c r="J27" s="133">
        <f t="shared" si="5"/>
        <v>142800</v>
      </c>
      <c r="K27" s="133">
        <f t="shared" si="2"/>
        <v>0</v>
      </c>
      <c r="L27" s="133">
        <f t="shared" si="6"/>
        <v>6215.9823400000005</v>
      </c>
      <c r="M27" s="133">
        <f t="shared" si="7"/>
        <v>68044.631800000003</v>
      </c>
      <c r="N27" s="133"/>
      <c r="O27" s="134">
        <f t="shared" si="8"/>
        <v>207194.14</v>
      </c>
      <c r="P27" s="135">
        <f t="shared" si="3"/>
        <v>213410.14</v>
      </c>
      <c r="Q27" s="32">
        <f t="shared" si="9"/>
        <v>0.13999999999999999</v>
      </c>
    </row>
    <row r="28" spans="1:18" ht="17.100000000000001" customHeight="1" x14ac:dyDescent="0.3">
      <c r="A28" s="75">
        <v>15</v>
      </c>
      <c r="B28" s="115" t="s">
        <v>84</v>
      </c>
      <c r="C28" s="64" t="s">
        <v>128</v>
      </c>
      <c r="D28" s="64" t="s">
        <v>150</v>
      </c>
      <c r="E28" s="66">
        <v>2.54</v>
      </c>
      <c r="F28" s="55">
        <v>196508.15</v>
      </c>
      <c r="G28" s="55">
        <f t="shared" ref="G28" si="11">F28</f>
        <v>196508.15</v>
      </c>
      <c r="H28" s="67">
        <f t="shared" si="1"/>
        <v>0</v>
      </c>
      <c r="I28" s="67">
        <f t="shared" si="4"/>
        <v>0</v>
      </c>
      <c r="J28" s="74">
        <f t="shared" si="5"/>
        <v>106680</v>
      </c>
      <c r="K28" s="74">
        <f t="shared" si="2"/>
        <v>0</v>
      </c>
      <c r="L28" s="74">
        <f t="shared" si="6"/>
        <v>4643.7044540000006</v>
      </c>
      <c r="M28" s="74">
        <f t="shared" si="7"/>
        <v>50833.342580000004</v>
      </c>
      <c r="N28" s="74"/>
      <c r="O28" s="68">
        <f t="shared" si="8"/>
        <v>162157.15</v>
      </c>
      <c r="P28" s="83">
        <f t="shared" si="3"/>
        <v>167022.15</v>
      </c>
      <c r="Q28" s="32">
        <f t="shared" si="9"/>
        <v>0.15</v>
      </c>
    </row>
    <row r="29" spans="1:18" ht="17.100000000000001" customHeight="1" x14ac:dyDescent="0.3">
      <c r="A29" s="75">
        <v>16</v>
      </c>
      <c r="B29" s="115" t="s">
        <v>85</v>
      </c>
      <c r="C29" s="64" t="s">
        <v>129</v>
      </c>
      <c r="D29" s="64"/>
      <c r="E29" s="66">
        <v>5.19</v>
      </c>
      <c r="F29" s="55">
        <v>401525.16</v>
      </c>
      <c r="G29" s="55">
        <f>F29</f>
        <v>401525.16</v>
      </c>
      <c r="H29" s="67">
        <f t="shared" si="1"/>
        <v>0</v>
      </c>
      <c r="I29" s="67">
        <f t="shared" si="4"/>
        <v>0</v>
      </c>
      <c r="J29" s="74">
        <f t="shared" si="5"/>
        <v>217980</v>
      </c>
      <c r="K29" s="74">
        <f t="shared" si="2"/>
        <v>0</v>
      </c>
      <c r="L29" s="74">
        <f t="shared" si="6"/>
        <v>9488.5142190000006</v>
      </c>
      <c r="M29" s="74">
        <f t="shared" si="7"/>
        <v>103868.12913</v>
      </c>
      <c r="N29" s="74"/>
      <c r="O29" s="68">
        <f t="shared" si="8"/>
        <v>331337.15999999997</v>
      </c>
      <c r="P29" s="83">
        <f t="shared" si="3"/>
        <v>341277.16</v>
      </c>
      <c r="Q29" s="32">
        <f t="shared" si="9"/>
        <v>0.16</v>
      </c>
    </row>
    <row r="30" spans="1:18" ht="17.100000000000001" customHeight="1" x14ac:dyDescent="0.3">
      <c r="A30" s="198">
        <v>17</v>
      </c>
      <c r="B30" s="199" t="s">
        <v>86</v>
      </c>
      <c r="C30" s="189" t="s">
        <v>130</v>
      </c>
      <c r="D30" s="168" t="s">
        <v>168</v>
      </c>
      <c r="E30" s="169">
        <v>3.4</v>
      </c>
      <c r="F30" s="170">
        <v>262042.17</v>
      </c>
      <c r="G30" s="170">
        <v>269904</v>
      </c>
      <c r="H30" s="171">
        <f t="shared" si="1"/>
        <v>-7861.8299999999872</v>
      </c>
      <c r="I30" s="171">
        <f t="shared" si="4"/>
        <v>0</v>
      </c>
      <c r="J30" s="172">
        <f t="shared" si="5"/>
        <v>142800</v>
      </c>
      <c r="K30" s="172">
        <f t="shared" si="2"/>
        <v>0</v>
      </c>
      <c r="L30" s="172">
        <f t="shared" si="6"/>
        <v>6215.9823400000005</v>
      </c>
      <c r="M30" s="172">
        <f t="shared" si="7"/>
        <v>68044.631800000003</v>
      </c>
      <c r="N30" s="172"/>
      <c r="O30" s="173">
        <f t="shared" si="8"/>
        <v>209199.17</v>
      </c>
      <c r="P30" s="174">
        <f t="shared" si="3"/>
        <v>215475.17</v>
      </c>
      <c r="Q30" s="32">
        <f t="shared" si="9"/>
        <v>0.17</v>
      </c>
    </row>
    <row r="31" spans="1:18" ht="17.100000000000001" customHeight="1" x14ac:dyDescent="0.3">
      <c r="A31" s="75">
        <v>18</v>
      </c>
      <c r="B31" s="115" t="s">
        <v>87</v>
      </c>
      <c r="C31" s="64" t="s">
        <v>131</v>
      </c>
      <c r="D31" s="65"/>
      <c r="E31" s="66">
        <v>2.54</v>
      </c>
      <c r="F31" s="55">
        <v>2098557.1800000002</v>
      </c>
      <c r="G31" s="55">
        <f>251908+923325</f>
        <v>1175233</v>
      </c>
      <c r="H31" s="67">
        <f t="shared" si="1"/>
        <v>923324.18000000017</v>
      </c>
      <c r="I31" s="67">
        <f t="shared" si="4"/>
        <v>27699.725400000003</v>
      </c>
      <c r="J31" s="74">
        <f t="shared" si="5"/>
        <v>106680</v>
      </c>
      <c r="K31" s="74">
        <f t="shared" si="2"/>
        <v>0</v>
      </c>
      <c r="L31" s="74">
        <f t="shared" si="6"/>
        <v>4643.7044540000006</v>
      </c>
      <c r="M31" s="74">
        <f t="shared" si="7"/>
        <v>50833.342580000004</v>
      </c>
      <c r="N31" s="74"/>
      <c r="O31" s="68">
        <f t="shared" si="8"/>
        <v>1113181.18</v>
      </c>
      <c r="P31" s="83">
        <f t="shared" si="3"/>
        <v>1146576.18</v>
      </c>
      <c r="Q31" s="32">
        <f t="shared" si="9"/>
        <v>0.18000000000000002</v>
      </c>
    </row>
    <row r="32" spans="1:18" x14ac:dyDescent="0.3">
      <c r="A32" s="75">
        <v>19</v>
      </c>
      <c r="B32" s="115" t="s">
        <v>88</v>
      </c>
      <c r="C32" s="64" t="s">
        <v>132</v>
      </c>
      <c r="D32" s="69"/>
      <c r="E32" s="66">
        <v>5.19</v>
      </c>
      <c r="F32" s="55">
        <v>2043868.19</v>
      </c>
      <c r="G32" s="55">
        <f>2141620.52-G46</f>
        <v>2106245.19</v>
      </c>
      <c r="H32" s="67">
        <f t="shared" si="1"/>
        <v>-62377</v>
      </c>
      <c r="I32" s="67">
        <f t="shared" si="4"/>
        <v>0</v>
      </c>
      <c r="J32" s="74">
        <f t="shared" si="5"/>
        <v>217980</v>
      </c>
      <c r="K32" s="74">
        <f t="shared" si="2"/>
        <v>0</v>
      </c>
      <c r="L32" s="74">
        <f t="shared" si="6"/>
        <v>9488.5142190000006</v>
      </c>
      <c r="M32" s="74">
        <f t="shared" si="7"/>
        <v>103868.12913</v>
      </c>
      <c r="N32" s="74"/>
      <c r="O32" s="68">
        <f t="shared" si="8"/>
        <v>268960.19</v>
      </c>
      <c r="P32" s="83">
        <f t="shared" si="3"/>
        <v>277029.19</v>
      </c>
      <c r="Q32" s="32">
        <f>Q31+0.01</f>
        <v>0.19000000000000003</v>
      </c>
    </row>
    <row r="33" spans="1:18" x14ac:dyDescent="0.3">
      <c r="A33" s="75">
        <v>20</v>
      </c>
      <c r="B33" s="115" t="s">
        <v>89</v>
      </c>
      <c r="C33" s="64" t="s">
        <v>133</v>
      </c>
      <c r="D33" s="69"/>
      <c r="E33" s="66">
        <v>3.4</v>
      </c>
      <c r="F33" s="55">
        <v>257050.2</v>
      </c>
      <c r="G33" s="55">
        <f>264762.2</f>
        <v>264762.2</v>
      </c>
      <c r="H33" s="67">
        <f t="shared" si="1"/>
        <v>-7712</v>
      </c>
      <c r="I33" s="67"/>
      <c r="J33" s="74">
        <f t="shared" si="5"/>
        <v>142800</v>
      </c>
      <c r="K33" s="74">
        <f t="shared" si="2"/>
        <v>0</v>
      </c>
      <c r="L33" s="74">
        <f t="shared" si="6"/>
        <v>6215.9823400000005</v>
      </c>
      <c r="M33" s="74">
        <f t="shared" si="7"/>
        <v>68044.631800000003</v>
      </c>
      <c r="N33" s="74"/>
      <c r="O33" s="68">
        <f t="shared" si="8"/>
        <v>209349.2</v>
      </c>
      <c r="P33" s="83">
        <f t="shared" si="3"/>
        <v>215629.2</v>
      </c>
      <c r="Q33" s="32">
        <f t="shared" ref="Q33:Q59" si="12">Q32+0.01</f>
        <v>0.20000000000000004</v>
      </c>
    </row>
    <row r="34" spans="1:18" x14ac:dyDescent="0.3">
      <c r="A34" s="75">
        <v>21</v>
      </c>
      <c r="B34" s="115" t="s">
        <v>90</v>
      </c>
      <c r="C34" s="70" t="s">
        <v>120</v>
      </c>
      <c r="D34" s="69" t="s">
        <v>147</v>
      </c>
      <c r="E34" s="66">
        <v>2.54</v>
      </c>
      <c r="F34" s="55">
        <v>196508.21</v>
      </c>
      <c r="G34" s="55">
        <f t="shared" ref="G34:G35" si="13">F34</f>
        <v>196508.21</v>
      </c>
      <c r="H34" s="67">
        <f t="shared" si="1"/>
        <v>0</v>
      </c>
      <c r="I34" s="67">
        <f t="shared" si="4"/>
        <v>0</v>
      </c>
      <c r="J34" s="74">
        <f t="shared" si="5"/>
        <v>106680</v>
      </c>
      <c r="K34" s="74">
        <f t="shared" si="2"/>
        <v>0</v>
      </c>
      <c r="L34" s="74">
        <f t="shared" si="6"/>
        <v>4643.7044540000006</v>
      </c>
      <c r="M34" s="74">
        <f t="shared" si="7"/>
        <v>50833.342580000004</v>
      </c>
      <c r="N34" s="74"/>
      <c r="O34" s="68">
        <f t="shared" si="8"/>
        <v>162157.21</v>
      </c>
      <c r="P34" s="83">
        <f t="shared" si="3"/>
        <v>167022.21</v>
      </c>
      <c r="Q34" s="32">
        <f t="shared" si="12"/>
        <v>0.21000000000000005</v>
      </c>
    </row>
    <row r="35" spans="1:18" ht="30" customHeight="1" x14ac:dyDescent="0.3">
      <c r="A35" s="75">
        <f>A34+1</f>
        <v>22</v>
      </c>
      <c r="B35" s="115" t="s">
        <v>91</v>
      </c>
      <c r="C35" s="70" t="s">
        <v>134</v>
      </c>
      <c r="D35" s="69" t="s">
        <v>157</v>
      </c>
      <c r="E35" s="66">
        <v>4.9400000000000004</v>
      </c>
      <c r="F35" s="55">
        <v>382184.22</v>
      </c>
      <c r="G35" s="55">
        <f t="shared" si="13"/>
        <v>382184.22</v>
      </c>
      <c r="H35" s="67">
        <f t="shared" si="1"/>
        <v>0</v>
      </c>
      <c r="I35" s="67">
        <f t="shared" si="4"/>
        <v>0</v>
      </c>
      <c r="J35" s="74">
        <f t="shared" si="5"/>
        <v>207480</v>
      </c>
      <c r="K35" s="74">
        <f t="shared" si="2"/>
        <v>0</v>
      </c>
      <c r="L35" s="74">
        <f t="shared" si="6"/>
        <v>9031.4566940000004</v>
      </c>
      <c r="M35" s="74">
        <f t="shared" si="7"/>
        <v>98864.847379999992</v>
      </c>
      <c r="N35" s="74"/>
      <c r="O35" s="68">
        <f t="shared" si="8"/>
        <v>315376.21999999997</v>
      </c>
      <c r="P35" s="83">
        <f t="shared" ref="P35:P59" si="14">ROUND(O35*3%,0) + O35</f>
        <v>324837.21999999997</v>
      </c>
      <c r="Q35" s="32">
        <f t="shared" si="12"/>
        <v>0.22000000000000006</v>
      </c>
    </row>
    <row r="36" spans="1:18" x14ac:dyDescent="0.3">
      <c r="A36" s="75">
        <f t="shared" ref="A36:A59" si="15">A35+1</f>
        <v>23</v>
      </c>
      <c r="B36" s="115" t="s">
        <v>92</v>
      </c>
      <c r="C36" s="70" t="s">
        <v>135</v>
      </c>
      <c r="D36" s="69" t="s">
        <v>155</v>
      </c>
      <c r="E36" s="66">
        <v>3.28</v>
      </c>
      <c r="F36" s="55">
        <v>253738.23</v>
      </c>
      <c r="G36" s="55">
        <v>241350.23</v>
      </c>
      <c r="H36" s="67">
        <f t="shared" si="1"/>
        <v>12388</v>
      </c>
      <c r="I36" s="67">
        <f t="shared" si="4"/>
        <v>371.64</v>
      </c>
      <c r="J36" s="74">
        <f t="shared" si="5"/>
        <v>137760</v>
      </c>
      <c r="K36" s="74">
        <f t="shared" si="2"/>
        <v>0</v>
      </c>
      <c r="L36" s="74">
        <f t="shared" si="6"/>
        <v>5996.594728</v>
      </c>
      <c r="M36" s="74">
        <f t="shared" si="7"/>
        <v>65643.056559999997</v>
      </c>
      <c r="N36" s="74"/>
      <c r="O36" s="68">
        <f t="shared" si="8"/>
        <v>222159.23</v>
      </c>
      <c r="P36" s="83">
        <f t="shared" si="14"/>
        <v>228824.23</v>
      </c>
      <c r="Q36" s="32">
        <f t="shared" si="12"/>
        <v>0.23000000000000007</v>
      </c>
    </row>
    <row r="37" spans="1:18" x14ac:dyDescent="0.3">
      <c r="A37" s="75">
        <f t="shared" si="15"/>
        <v>24</v>
      </c>
      <c r="B37" s="115" t="s">
        <v>93</v>
      </c>
      <c r="C37" s="70" t="s">
        <v>136</v>
      </c>
      <c r="D37" s="69"/>
      <c r="E37" s="66">
        <v>2.41</v>
      </c>
      <c r="F37" s="55">
        <v>360110.24</v>
      </c>
      <c r="G37" s="55">
        <f>197253+173660.24</f>
        <v>370913.24</v>
      </c>
      <c r="H37" s="67">
        <f t="shared" si="1"/>
        <v>-10803</v>
      </c>
      <c r="I37" s="67">
        <f t="shared" si="4"/>
        <v>0</v>
      </c>
      <c r="J37" s="74">
        <f t="shared" si="5"/>
        <v>101220</v>
      </c>
      <c r="K37" s="74">
        <f t="shared" si="2"/>
        <v>0</v>
      </c>
      <c r="L37" s="74">
        <f t="shared" si="6"/>
        <v>4406.034541</v>
      </c>
      <c r="M37" s="74">
        <f t="shared" si="7"/>
        <v>48231.63607</v>
      </c>
      <c r="N37" s="74"/>
      <c r="O37" s="68">
        <f t="shared" si="8"/>
        <v>143055.24</v>
      </c>
      <c r="P37" s="83">
        <f t="shared" si="14"/>
        <v>147347.24</v>
      </c>
      <c r="Q37" s="32">
        <f t="shared" si="12"/>
        <v>0.24000000000000007</v>
      </c>
      <c r="R37" t="s">
        <v>192</v>
      </c>
    </row>
    <row r="38" spans="1:18" x14ac:dyDescent="0.3">
      <c r="A38" s="75">
        <f t="shared" si="15"/>
        <v>25</v>
      </c>
      <c r="B38" s="115" t="s">
        <v>94</v>
      </c>
      <c r="C38" s="70" t="s">
        <v>135</v>
      </c>
      <c r="D38" s="69"/>
      <c r="E38" s="66">
        <v>0.44</v>
      </c>
      <c r="F38" s="55">
        <v>-16625.75</v>
      </c>
      <c r="G38" s="55">
        <v>0</v>
      </c>
      <c r="H38" s="67">
        <f t="shared" si="1"/>
        <v>-16625.75</v>
      </c>
      <c r="I38" s="67">
        <f t="shared" si="4"/>
        <v>0</v>
      </c>
      <c r="J38" s="74">
        <f t="shared" si="5"/>
        <v>18480</v>
      </c>
      <c r="K38" s="74">
        <f t="shared" si="2"/>
        <v>0</v>
      </c>
      <c r="L38" s="74">
        <f t="shared" si="6"/>
        <v>804.421244</v>
      </c>
      <c r="M38" s="74">
        <f t="shared" si="7"/>
        <v>8805.7758799999992</v>
      </c>
      <c r="N38" s="74"/>
      <c r="O38" s="68">
        <f t="shared" si="8"/>
        <v>11464.25</v>
      </c>
      <c r="P38" s="83">
        <f t="shared" si="14"/>
        <v>11808.25</v>
      </c>
      <c r="Q38" s="32">
        <f t="shared" si="12"/>
        <v>0.25000000000000006</v>
      </c>
      <c r="R38" t="s">
        <v>158</v>
      </c>
    </row>
    <row r="39" spans="1:18" x14ac:dyDescent="0.3">
      <c r="A39" s="75">
        <f t="shared" si="15"/>
        <v>26</v>
      </c>
      <c r="B39" s="115" t="s">
        <v>96</v>
      </c>
      <c r="C39" s="70" t="s">
        <v>123</v>
      </c>
      <c r="D39" s="69"/>
      <c r="E39" s="66">
        <v>0.55000000000000004</v>
      </c>
      <c r="F39" s="55">
        <v>83271.259999999995</v>
      </c>
      <c r="G39" s="55">
        <f>F39</f>
        <v>83271.259999999995</v>
      </c>
      <c r="H39" s="67">
        <f t="shared" si="1"/>
        <v>0</v>
      </c>
      <c r="I39" s="67">
        <f t="shared" si="4"/>
        <v>0</v>
      </c>
      <c r="J39" s="74">
        <f t="shared" si="5"/>
        <v>23100</v>
      </c>
      <c r="K39" s="74">
        <f t="shared" si="2"/>
        <v>0</v>
      </c>
      <c r="L39" s="74">
        <f t="shared" si="6"/>
        <v>1005.526555</v>
      </c>
      <c r="M39" s="74">
        <f t="shared" si="7"/>
        <v>11007.219850000001</v>
      </c>
      <c r="N39" s="74"/>
      <c r="O39" s="68">
        <f t="shared" si="8"/>
        <v>35113.26</v>
      </c>
      <c r="P39" s="83">
        <f t="shared" si="14"/>
        <v>36166.26</v>
      </c>
      <c r="Q39" s="32">
        <f t="shared" si="12"/>
        <v>0.26000000000000006</v>
      </c>
    </row>
    <row r="40" spans="1:18" x14ac:dyDescent="0.3">
      <c r="A40" s="75">
        <f t="shared" si="15"/>
        <v>27</v>
      </c>
      <c r="B40" s="115" t="s">
        <v>95</v>
      </c>
      <c r="C40" s="70" t="s">
        <v>123</v>
      </c>
      <c r="D40" s="69"/>
      <c r="E40" s="66">
        <v>0.53</v>
      </c>
      <c r="F40" s="55">
        <v>41004.269999999997</v>
      </c>
      <c r="G40" s="55">
        <f t="shared" ref="G40" si="16">F40</f>
        <v>41004.269999999997</v>
      </c>
      <c r="H40" s="67">
        <f t="shared" si="1"/>
        <v>0</v>
      </c>
      <c r="I40" s="67">
        <f t="shared" si="4"/>
        <v>0</v>
      </c>
      <c r="J40" s="74">
        <f t="shared" si="5"/>
        <v>22260</v>
      </c>
      <c r="K40" s="74">
        <f t="shared" si="2"/>
        <v>0</v>
      </c>
      <c r="L40" s="74">
        <f t="shared" si="6"/>
        <v>968.96195300000011</v>
      </c>
      <c r="M40" s="74">
        <f t="shared" si="7"/>
        <v>10606.95731</v>
      </c>
      <c r="N40" s="74"/>
      <c r="O40" s="68">
        <f t="shared" si="8"/>
        <v>33836.269999999997</v>
      </c>
      <c r="P40" s="83">
        <f t="shared" si="14"/>
        <v>34851.269999999997</v>
      </c>
      <c r="Q40" s="32">
        <f t="shared" si="12"/>
        <v>0.27000000000000007</v>
      </c>
    </row>
    <row r="41" spans="1:18" x14ac:dyDescent="0.3">
      <c r="A41" s="187">
        <f t="shared" si="15"/>
        <v>28</v>
      </c>
      <c r="B41" s="188" t="s">
        <v>97</v>
      </c>
      <c r="C41" s="190" t="s">
        <v>137</v>
      </c>
      <c r="D41" s="189" t="s">
        <v>154</v>
      </c>
      <c r="E41" s="169">
        <v>0.28999999999999998</v>
      </c>
      <c r="F41" s="170">
        <v>63606.28</v>
      </c>
      <c r="G41" s="170">
        <f>21606+42000</f>
        <v>63606</v>
      </c>
      <c r="H41" s="171">
        <f t="shared" si="1"/>
        <v>0.27999999999883585</v>
      </c>
      <c r="I41" s="171">
        <f t="shared" si="4"/>
        <v>8.3999999999650743E-3</v>
      </c>
      <c r="J41" s="172">
        <f t="shared" si="5"/>
        <v>12180</v>
      </c>
      <c r="K41" s="172">
        <f t="shared" si="2"/>
        <v>0</v>
      </c>
      <c r="L41" s="172">
        <f t="shared" si="6"/>
        <v>530.18672900000001</v>
      </c>
      <c r="M41" s="172">
        <f t="shared" si="7"/>
        <v>5803.8068299999995</v>
      </c>
      <c r="N41" s="172"/>
      <c r="O41" s="173">
        <f t="shared" si="8"/>
        <v>18514.28</v>
      </c>
      <c r="P41" s="174">
        <f t="shared" si="14"/>
        <v>19069.28</v>
      </c>
      <c r="Q41" s="32">
        <f t="shared" si="12"/>
        <v>0.28000000000000008</v>
      </c>
      <c r="R41" t="s">
        <v>202</v>
      </c>
    </row>
    <row r="42" spans="1:18" x14ac:dyDescent="0.3">
      <c r="A42" s="75">
        <f t="shared" si="15"/>
        <v>29</v>
      </c>
      <c r="B42" s="115" t="s">
        <v>98</v>
      </c>
      <c r="C42" s="70" t="s">
        <v>124</v>
      </c>
      <c r="D42" s="69" t="s">
        <v>149</v>
      </c>
      <c r="E42" s="66">
        <v>0.08</v>
      </c>
      <c r="F42" s="55">
        <v>6189.29</v>
      </c>
      <c r="G42" s="55"/>
      <c r="H42" s="67">
        <f t="shared" si="1"/>
        <v>6189.29</v>
      </c>
      <c r="I42" s="67">
        <f t="shared" si="4"/>
        <v>185.67869999999999</v>
      </c>
      <c r="J42" s="74">
        <f t="shared" si="5"/>
        <v>3360</v>
      </c>
      <c r="K42" s="74">
        <f t="shared" si="2"/>
        <v>0</v>
      </c>
      <c r="L42" s="74">
        <f t="shared" si="6"/>
        <v>146.25840800000003</v>
      </c>
      <c r="M42" s="74">
        <f t="shared" si="7"/>
        <v>1601.05016</v>
      </c>
      <c r="N42" s="74"/>
      <c r="O42" s="68">
        <f t="shared" si="8"/>
        <v>11482.29</v>
      </c>
      <c r="P42" s="83">
        <f t="shared" si="14"/>
        <v>11826.29</v>
      </c>
      <c r="Q42" s="32">
        <f t="shared" si="12"/>
        <v>0.29000000000000009</v>
      </c>
    </row>
    <row r="43" spans="1:18" x14ac:dyDescent="0.3">
      <c r="A43" s="75">
        <f t="shared" si="15"/>
        <v>30</v>
      </c>
      <c r="B43" s="115" t="s">
        <v>99</v>
      </c>
      <c r="C43" s="70" t="s">
        <v>116</v>
      </c>
      <c r="D43" s="69"/>
      <c r="E43" s="66">
        <v>0.08</v>
      </c>
      <c r="F43" s="55">
        <v>6189.3</v>
      </c>
      <c r="G43" s="55">
        <f t="shared" ref="G43" si="17">F43</f>
        <v>6189.3</v>
      </c>
      <c r="H43" s="67">
        <f t="shared" si="1"/>
        <v>0</v>
      </c>
      <c r="I43" s="67">
        <f t="shared" si="4"/>
        <v>0</v>
      </c>
      <c r="J43" s="74">
        <f t="shared" si="5"/>
        <v>3360</v>
      </c>
      <c r="K43" s="74">
        <f t="shared" si="2"/>
        <v>0</v>
      </c>
      <c r="L43" s="74">
        <f t="shared" si="6"/>
        <v>146.25840800000003</v>
      </c>
      <c r="M43" s="74">
        <f t="shared" si="7"/>
        <v>1601.05016</v>
      </c>
      <c r="N43" s="74"/>
      <c r="O43" s="68">
        <f t="shared" si="8"/>
        <v>5107.3</v>
      </c>
      <c r="P43" s="83">
        <f t="shared" si="14"/>
        <v>5260.3</v>
      </c>
      <c r="Q43" s="32">
        <f t="shared" si="12"/>
        <v>0.3000000000000001</v>
      </c>
    </row>
    <row r="44" spans="1:18" x14ac:dyDescent="0.3">
      <c r="A44" s="75">
        <f t="shared" si="15"/>
        <v>31</v>
      </c>
      <c r="B44" s="115" t="s">
        <v>100</v>
      </c>
      <c r="C44" s="70" t="s">
        <v>119</v>
      </c>
      <c r="D44" s="69" t="s">
        <v>152</v>
      </c>
      <c r="E44" s="66">
        <v>0.08</v>
      </c>
      <c r="F44" s="55">
        <v>6189.31</v>
      </c>
      <c r="G44" s="55">
        <f>F44</f>
        <v>6189.31</v>
      </c>
      <c r="H44" s="67">
        <f t="shared" si="1"/>
        <v>0</v>
      </c>
      <c r="I44" s="67">
        <f t="shared" si="4"/>
        <v>0</v>
      </c>
      <c r="J44" s="74">
        <f t="shared" si="5"/>
        <v>3360</v>
      </c>
      <c r="K44" s="74">
        <f t="shared" si="2"/>
        <v>0</v>
      </c>
      <c r="L44" s="74">
        <f t="shared" si="6"/>
        <v>146.25840800000003</v>
      </c>
      <c r="M44" s="74">
        <f t="shared" si="7"/>
        <v>1601.05016</v>
      </c>
      <c r="N44" s="74"/>
      <c r="O44" s="68">
        <f t="shared" si="8"/>
        <v>5107.3100000000004</v>
      </c>
      <c r="P44" s="83">
        <f t="shared" si="14"/>
        <v>5260.31</v>
      </c>
      <c r="Q44" s="32">
        <f t="shared" si="12"/>
        <v>0.31000000000000011</v>
      </c>
      <c r="R44" t="s">
        <v>171</v>
      </c>
    </row>
    <row r="45" spans="1:18" x14ac:dyDescent="0.3">
      <c r="A45" s="75">
        <f t="shared" si="15"/>
        <v>32</v>
      </c>
      <c r="B45" s="115" t="s">
        <v>101</v>
      </c>
      <c r="C45" s="70" t="s">
        <v>126</v>
      </c>
      <c r="D45" s="69"/>
      <c r="E45" s="66">
        <v>0.08</v>
      </c>
      <c r="F45" s="55">
        <v>6189.32</v>
      </c>
      <c r="G45" s="55">
        <f>F45</f>
        <v>6189.32</v>
      </c>
      <c r="H45" s="67">
        <f t="shared" si="1"/>
        <v>0</v>
      </c>
      <c r="I45" s="67">
        <f t="shared" si="4"/>
        <v>0</v>
      </c>
      <c r="J45" s="74">
        <f t="shared" si="5"/>
        <v>3360</v>
      </c>
      <c r="K45" s="74">
        <f t="shared" si="2"/>
        <v>0</v>
      </c>
      <c r="L45" s="74">
        <f t="shared" si="6"/>
        <v>146.25840800000003</v>
      </c>
      <c r="M45" s="74">
        <f t="shared" si="7"/>
        <v>1601.05016</v>
      </c>
      <c r="N45" s="74"/>
      <c r="O45" s="68">
        <f t="shared" si="8"/>
        <v>5107.32</v>
      </c>
      <c r="P45" s="83">
        <f t="shared" si="14"/>
        <v>5260.32</v>
      </c>
      <c r="Q45" s="32">
        <f t="shared" si="12"/>
        <v>0.32000000000000012</v>
      </c>
    </row>
    <row r="46" spans="1:18" x14ac:dyDescent="0.3">
      <c r="A46" s="75">
        <f t="shared" si="15"/>
        <v>33</v>
      </c>
      <c r="B46" s="115" t="s">
        <v>102</v>
      </c>
      <c r="C46" s="70" t="s">
        <v>138</v>
      </c>
      <c r="D46" s="69"/>
      <c r="E46" s="66">
        <v>0.08</v>
      </c>
      <c r="F46" s="55">
        <v>35375.33</v>
      </c>
      <c r="G46" s="55">
        <f>F46</f>
        <v>35375.33</v>
      </c>
      <c r="H46" s="67">
        <f t="shared" si="1"/>
        <v>0</v>
      </c>
      <c r="I46" s="67"/>
      <c r="J46" s="74">
        <f t="shared" si="5"/>
        <v>3360</v>
      </c>
      <c r="K46" s="74">
        <f t="shared" ref="K46:K59" si="18">F$2*E46/100</f>
        <v>0</v>
      </c>
      <c r="L46" s="74">
        <f t="shared" si="6"/>
        <v>146.25840800000003</v>
      </c>
      <c r="M46" s="74">
        <f t="shared" si="7"/>
        <v>1601.05016</v>
      </c>
      <c r="N46" s="74"/>
      <c r="O46" s="68">
        <f t="shared" si="8"/>
        <v>5107.33</v>
      </c>
      <c r="P46" s="83">
        <f t="shared" si="14"/>
        <v>5260.33</v>
      </c>
      <c r="Q46" s="32">
        <f t="shared" si="12"/>
        <v>0.33000000000000013</v>
      </c>
    </row>
    <row r="47" spans="1:18" x14ac:dyDescent="0.3">
      <c r="A47" s="75">
        <f t="shared" si="15"/>
        <v>34</v>
      </c>
      <c r="B47" s="115" t="s">
        <v>103</v>
      </c>
      <c r="C47" s="70" t="s">
        <v>133</v>
      </c>
      <c r="D47" s="69"/>
      <c r="E47" s="66">
        <v>0.08</v>
      </c>
      <c r="F47" s="55">
        <v>6189.34</v>
      </c>
      <c r="G47" s="55">
        <v>6365.34</v>
      </c>
      <c r="H47" s="67">
        <f t="shared" si="1"/>
        <v>-176</v>
      </c>
      <c r="I47" s="67">
        <f t="shared" si="4"/>
        <v>0</v>
      </c>
      <c r="J47" s="74">
        <f t="shared" si="5"/>
        <v>3360</v>
      </c>
      <c r="K47" s="74">
        <f t="shared" si="18"/>
        <v>0</v>
      </c>
      <c r="L47" s="74">
        <f t="shared" si="6"/>
        <v>146.25840800000003</v>
      </c>
      <c r="M47" s="74">
        <f t="shared" si="7"/>
        <v>1601.05016</v>
      </c>
      <c r="N47" s="74"/>
      <c r="O47" s="68">
        <f t="shared" si="8"/>
        <v>4931.34</v>
      </c>
      <c r="P47" s="83">
        <f t="shared" si="14"/>
        <v>5079.34</v>
      </c>
      <c r="Q47" s="32">
        <f t="shared" si="12"/>
        <v>0.34000000000000014</v>
      </c>
    </row>
    <row r="48" spans="1:18" x14ac:dyDescent="0.3">
      <c r="A48" s="106">
        <f t="shared" si="15"/>
        <v>35</v>
      </c>
      <c r="B48" s="115" t="s">
        <v>104</v>
      </c>
      <c r="C48" s="107" t="s">
        <v>139</v>
      </c>
      <c r="D48" s="108"/>
      <c r="E48" s="109">
        <v>0.09</v>
      </c>
      <c r="F48" s="55">
        <v>6591.35</v>
      </c>
      <c r="G48" s="55"/>
      <c r="H48" s="110">
        <f t="shared" si="1"/>
        <v>6591.35</v>
      </c>
      <c r="I48" s="110">
        <f t="shared" si="4"/>
        <v>197.7405</v>
      </c>
      <c r="J48" s="74">
        <f t="shared" si="5"/>
        <v>3780</v>
      </c>
      <c r="K48" s="111">
        <f t="shared" si="18"/>
        <v>0</v>
      </c>
      <c r="L48" s="74">
        <f t="shared" si="6"/>
        <v>164.54070899999999</v>
      </c>
      <c r="M48" s="74">
        <f t="shared" si="7"/>
        <v>1801.1814299999999</v>
      </c>
      <c r="N48" s="111"/>
      <c r="O48" s="68">
        <f t="shared" si="8"/>
        <v>12535.35</v>
      </c>
      <c r="P48" s="83">
        <f t="shared" si="14"/>
        <v>12911.35</v>
      </c>
      <c r="Q48" s="32">
        <f t="shared" si="12"/>
        <v>0.35000000000000014</v>
      </c>
    </row>
    <row r="49" spans="1:18" x14ac:dyDescent="0.3">
      <c r="A49" s="75">
        <f t="shared" si="15"/>
        <v>36</v>
      </c>
      <c r="B49" s="115" t="s">
        <v>105</v>
      </c>
      <c r="C49" s="70" t="s">
        <v>129</v>
      </c>
      <c r="D49" s="69"/>
      <c r="E49" s="66">
        <v>0.79</v>
      </c>
      <c r="F49" s="55">
        <v>61119.360000000001</v>
      </c>
      <c r="G49" s="55">
        <f>F49</f>
        <v>61119.360000000001</v>
      </c>
      <c r="H49" s="67">
        <f t="shared" si="1"/>
        <v>0</v>
      </c>
      <c r="I49" s="67">
        <f t="shared" si="4"/>
        <v>0</v>
      </c>
      <c r="J49" s="74">
        <f t="shared" si="5"/>
        <v>33180</v>
      </c>
      <c r="K49" s="74">
        <f t="shared" si="18"/>
        <v>0</v>
      </c>
      <c r="L49" s="74">
        <f t="shared" si="6"/>
        <v>1444.3017790000001</v>
      </c>
      <c r="M49" s="74">
        <f t="shared" si="7"/>
        <v>15810.37033</v>
      </c>
      <c r="N49" s="74"/>
      <c r="O49" s="68">
        <f t="shared" si="8"/>
        <v>50435.360000000001</v>
      </c>
      <c r="P49" s="83">
        <f t="shared" si="14"/>
        <v>51948.36</v>
      </c>
      <c r="Q49" s="32">
        <f t="shared" si="12"/>
        <v>0.36000000000000015</v>
      </c>
    </row>
    <row r="50" spans="1:18" x14ac:dyDescent="0.3">
      <c r="A50" s="75">
        <f t="shared" si="15"/>
        <v>37</v>
      </c>
      <c r="B50" s="115" t="s">
        <v>106</v>
      </c>
      <c r="C50" s="70" t="s">
        <v>134</v>
      </c>
      <c r="D50" s="69"/>
      <c r="E50" s="66">
        <v>1</v>
      </c>
      <c r="F50" s="55">
        <v>474490.37</v>
      </c>
      <c r="G50" s="55"/>
      <c r="H50" s="67">
        <f t="shared" si="1"/>
        <v>474490.37</v>
      </c>
      <c r="I50" s="67">
        <f t="shared" si="4"/>
        <v>14234.711099999999</v>
      </c>
      <c r="J50" s="74">
        <f t="shared" si="5"/>
        <v>42000</v>
      </c>
      <c r="K50" s="74">
        <f t="shared" si="18"/>
        <v>0</v>
      </c>
      <c r="L50" s="74">
        <f t="shared" si="6"/>
        <v>1828.2301</v>
      </c>
      <c r="M50" s="74">
        <f t="shared" si="7"/>
        <v>20013.127</v>
      </c>
      <c r="N50" s="74"/>
      <c r="O50" s="68">
        <f t="shared" si="8"/>
        <v>552566.37</v>
      </c>
      <c r="P50" s="83">
        <f t="shared" si="14"/>
        <v>569143.37</v>
      </c>
      <c r="Q50" s="32">
        <f t="shared" si="12"/>
        <v>0.37000000000000016</v>
      </c>
    </row>
    <row r="51" spans="1:18" x14ac:dyDescent="0.3">
      <c r="A51" s="75">
        <f t="shared" si="15"/>
        <v>38</v>
      </c>
      <c r="B51" s="115" t="s">
        <v>107</v>
      </c>
      <c r="C51" s="70" t="s">
        <v>127</v>
      </c>
      <c r="D51" s="69"/>
      <c r="E51" s="66">
        <v>0.97</v>
      </c>
      <c r="F51" s="55">
        <v>75044.38</v>
      </c>
      <c r="G51" s="55">
        <f>F51</f>
        <v>75044.38</v>
      </c>
      <c r="H51" s="67">
        <f t="shared" si="1"/>
        <v>0</v>
      </c>
      <c r="I51" s="67">
        <f t="shared" si="4"/>
        <v>0</v>
      </c>
      <c r="J51" s="74">
        <f t="shared" si="5"/>
        <v>40740</v>
      </c>
      <c r="K51" s="74">
        <f t="shared" si="18"/>
        <v>0</v>
      </c>
      <c r="L51" s="74">
        <f t="shared" si="6"/>
        <v>1773.3831969999999</v>
      </c>
      <c r="M51" s="74">
        <f t="shared" si="7"/>
        <v>19412.733189999999</v>
      </c>
      <c r="N51" s="74"/>
      <c r="O51" s="68">
        <f t="shared" si="8"/>
        <v>61926.38</v>
      </c>
      <c r="P51" s="83">
        <f t="shared" si="14"/>
        <v>63784.38</v>
      </c>
      <c r="Q51" s="32">
        <f t="shared" si="12"/>
        <v>0.38000000000000017</v>
      </c>
    </row>
    <row r="52" spans="1:18" x14ac:dyDescent="0.3">
      <c r="A52" s="75">
        <f t="shared" si="15"/>
        <v>39</v>
      </c>
      <c r="B52" s="115" t="s">
        <v>108</v>
      </c>
      <c r="C52" s="70" t="s">
        <v>140</v>
      </c>
      <c r="D52" s="69"/>
      <c r="E52" s="66">
        <v>0.77</v>
      </c>
      <c r="F52" s="55">
        <v>8406.39</v>
      </c>
      <c r="G52" s="55"/>
      <c r="H52" s="67">
        <f t="shared" si="1"/>
        <v>8406.39</v>
      </c>
      <c r="I52" s="67">
        <f t="shared" si="4"/>
        <v>252.19169999999997</v>
      </c>
      <c r="J52" s="74">
        <f t="shared" si="5"/>
        <v>32340</v>
      </c>
      <c r="K52" s="74">
        <f t="shared" si="18"/>
        <v>0</v>
      </c>
      <c r="L52" s="74">
        <f t="shared" si="6"/>
        <v>1407.737177</v>
      </c>
      <c r="M52" s="74">
        <f t="shared" si="7"/>
        <v>15410.107790000002</v>
      </c>
      <c r="N52" s="74"/>
      <c r="O52" s="68">
        <f t="shared" si="8"/>
        <v>57816.39</v>
      </c>
      <c r="P52" s="83">
        <f t="shared" si="14"/>
        <v>59550.39</v>
      </c>
      <c r="Q52" s="32">
        <f t="shared" si="12"/>
        <v>0.39000000000000018</v>
      </c>
      <c r="R52" t="s">
        <v>158</v>
      </c>
    </row>
    <row r="53" spans="1:18" x14ac:dyDescent="0.3">
      <c r="A53" s="75">
        <f t="shared" si="15"/>
        <v>40</v>
      </c>
      <c r="B53" s="115" t="s">
        <v>109</v>
      </c>
      <c r="C53" s="70" t="s">
        <v>141</v>
      </c>
      <c r="D53" s="69" t="s">
        <v>168</v>
      </c>
      <c r="E53" s="66">
        <v>0.77</v>
      </c>
      <c r="F53" s="55">
        <v>59571.4</v>
      </c>
      <c r="G53" s="55">
        <v>61358.400000000001</v>
      </c>
      <c r="H53" s="67">
        <f t="shared" si="1"/>
        <v>-1787</v>
      </c>
      <c r="I53" s="67">
        <f t="shared" si="4"/>
        <v>0</v>
      </c>
      <c r="J53" s="74">
        <f t="shared" si="5"/>
        <v>32340</v>
      </c>
      <c r="K53" s="74">
        <f t="shared" si="18"/>
        <v>0</v>
      </c>
      <c r="L53" s="74">
        <f t="shared" si="6"/>
        <v>1407.737177</v>
      </c>
      <c r="M53" s="74">
        <f t="shared" si="7"/>
        <v>15410.107790000002</v>
      </c>
      <c r="N53" s="74"/>
      <c r="O53" s="68">
        <f t="shared" si="8"/>
        <v>47371.4</v>
      </c>
      <c r="P53" s="83">
        <f t="shared" si="14"/>
        <v>48792.4</v>
      </c>
      <c r="Q53" s="32">
        <f t="shared" si="12"/>
        <v>0.40000000000000019</v>
      </c>
    </row>
    <row r="54" spans="1:18" x14ac:dyDescent="0.3">
      <c r="A54" s="75">
        <f t="shared" si="15"/>
        <v>41</v>
      </c>
      <c r="B54" s="115" t="s">
        <v>110</v>
      </c>
      <c r="C54" s="70" t="s">
        <v>120</v>
      </c>
      <c r="D54" s="69" t="s">
        <v>148</v>
      </c>
      <c r="E54" s="66">
        <v>0.81</v>
      </c>
      <c r="F54" s="55">
        <v>177656.41</v>
      </c>
      <c r="G54" s="55">
        <v>0</v>
      </c>
      <c r="H54" s="67">
        <f t="shared" si="1"/>
        <v>177656.41</v>
      </c>
      <c r="I54" s="67">
        <f t="shared" si="4"/>
        <v>5329.6922999999997</v>
      </c>
      <c r="J54" s="74">
        <f t="shared" si="5"/>
        <v>34020</v>
      </c>
      <c r="K54" s="74">
        <f t="shared" si="18"/>
        <v>0</v>
      </c>
      <c r="L54" s="74">
        <f t="shared" si="6"/>
        <v>1480.866381</v>
      </c>
      <c r="M54" s="74">
        <f t="shared" si="7"/>
        <v>16210.632869999999</v>
      </c>
      <c r="N54" s="74"/>
      <c r="O54" s="68">
        <f t="shared" si="8"/>
        <v>234698.41</v>
      </c>
      <c r="P54" s="83">
        <f t="shared" si="14"/>
        <v>241739.41</v>
      </c>
      <c r="Q54" s="32">
        <f t="shared" si="12"/>
        <v>0.4100000000000002</v>
      </c>
    </row>
    <row r="55" spans="1:18" x14ac:dyDescent="0.3">
      <c r="A55" s="75">
        <f t="shared" si="15"/>
        <v>42</v>
      </c>
      <c r="B55" s="115" t="s">
        <v>111</v>
      </c>
      <c r="C55" s="70" t="s">
        <v>141</v>
      </c>
      <c r="D55" s="69" t="s">
        <v>152</v>
      </c>
      <c r="E55" s="66">
        <v>0.77</v>
      </c>
      <c r="F55" s="55">
        <v>59571.42</v>
      </c>
      <c r="G55" s="55">
        <f>F55</f>
        <v>59571.42</v>
      </c>
      <c r="H55" s="67">
        <f t="shared" si="1"/>
        <v>0</v>
      </c>
      <c r="I55" s="67"/>
      <c r="J55" s="74">
        <f t="shared" si="5"/>
        <v>32340</v>
      </c>
      <c r="K55" s="74">
        <f t="shared" si="18"/>
        <v>0</v>
      </c>
      <c r="L55" s="74">
        <f t="shared" si="6"/>
        <v>1407.737177</v>
      </c>
      <c r="M55" s="74">
        <f t="shared" si="7"/>
        <v>15410.107790000002</v>
      </c>
      <c r="N55" s="74"/>
      <c r="O55" s="68">
        <f t="shared" si="8"/>
        <v>49158.42</v>
      </c>
      <c r="P55" s="83">
        <f t="shared" si="14"/>
        <v>50633.42</v>
      </c>
      <c r="Q55" s="32">
        <f t="shared" si="12"/>
        <v>0.42000000000000021</v>
      </c>
      <c r="R55" t="s">
        <v>171</v>
      </c>
    </row>
    <row r="56" spans="1:18" x14ac:dyDescent="0.3">
      <c r="A56" s="75">
        <f t="shared" si="15"/>
        <v>43</v>
      </c>
      <c r="B56" s="115" t="s">
        <v>112</v>
      </c>
      <c r="C56" s="70" t="s">
        <v>134</v>
      </c>
      <c r="D56" s="69"/>
      <c r="E56" s="66">
        <v>0.77</v>
      </c>
      <c r="F56" s="55">
        <v>363220.43</v>
      </c>
      <c r="G56" s="55"/>
      <c r="H56" s="67">
        <f t="shared" si="1"/>
        <v>363220.43</v>
      </c>
      <c r="I56" s="67">
        <f t="shared" si="4"/>
        <v>10896.6129</v>
      </c>
      <c r="J56" s="74">
        <f t="shared" si="5"/>
        <v>32340</v>
      </c>
      <c r="K56" s="74">
        <f t="shared" si="18"/>
        <v>0</v>
      </c>
      <c r="L56" s="74">
        <f t="shared" si="6"/>
        <v>1407.737177</v>
      </c>
      <c r="M56" s="74">
        <f t="shared" si="7"/>
        <v>15410.107790000002</v>
      </c>
      <c r="N56" s="74"/>
      <c r="O56" s="68">
        <f t="shared" si="8"/>
        <v>423275.43</v>
      </c>
      <c r="P56" s="83">
        <f t="shared" si="14"/>
        <v>435973.43</v>
      </c>
      <c r="Q56" s="32">
        <f t="shared" si="12"/>
        <v>0.43000000000000022</v>
      </c>
    </row>
    <row r="57" spans="1:18" x14ac:dyDescent="0.3">
      <c r="A57" s="75">
        <f t="shared" si="15"/>
        <v>44</v>
      </c>
      <c r="B57" s="115" t="s">
        <v>113</v>
      </c>
      <c r="C57" s="70" t="s">
        <v>128</v>
      </c>
      <c r="D57" s="69"/>
      <c r="E57" s="66">
        <v>0.77</v>
      </c>
      <c r="F57" s="55">
        <v>291885.44</v>
      </c>
      <c r="G57" s="55"/>
      <c r="H57" s="67">
        <f t="shared" si="1"/>
        <v>291885.44</v>
      </c>
      <c r="I57" s="67">
        <f t="shared" si="4"/>
        <v>8756.5632000000005</v>
      </c>
      <c r="J57" s="74">
        <f t="shared" si="5"/>
        <v>32340</v>
      </c>
      <c r="K57" s="74">
        <f t="shared" si="18"/>
        <v>0</v>
      </c>
      <c r="L57" s="74">
        <f t="shared" si="6"/>
        <v>1407.737177</v>
      </c>
      <c r="M57" s="74">
        <f t="shared" si="7"/>
        <v>15410.107790000002</v>
      </c>
      <c r="N57" s="74"/>
      <c r="O57" s="68">
        <f t="shared" si="8"/>
        <v>349800.44</v>
      </c>
      <c r="P57" s="83">
        <f t="shared" si="14"/>
        <v>360294.44</v>
      </c>
      <c r="Q57" s="32">
        <f t="shared" si="12"/>
        <v>0.44000000000000022</v>
      </c>
    </row>
    <row r="58" spans="1:18" x14ac:dyDescent="0.3">
      <c r="A58" s="75">
        <f t="shared" si="15"/>
        <v>45</v>
      </c>
      <c r="B58" s="115" t="s">
        <v>114</v>
      </c>
      <c r="C58" s="70" t="s">
        <v>120</v>
      </c>
      <c r="D58" s="69" t="s">
        <v>147</v>
      </c>
      <c r="E58" s="66">
        <v>0.77</v>
      </c>
      <c r="F58" s="55">
        <v>59571.45</v>
      </c>
      <c r="G58" s="55">
        <f t="shared" ref="G58" si="19">F58</f>
        <v>59571.45</v>
      </c>
      <c r="H58" s="67">
        <f t="shared" si="1"/>
        <v>0</v>
      </c>
      <c r="I58" s="67">
        <f t="shared" si="4"/>
        <v>0</v>
      </c>
      <c r="J58" s="74">
        <f t="shared" si="5"/>
        <v>32340</v>
      </c>
      <c r="K58" s="74">
        <f t="shared" si="18"/>
        <v>0</v>
      </c>
      <c r="L58" s="74">
        <f t="shared" si="6"/>
        <v>1407.737177</v>
      </c>
      <c r="M58" s="74">
        <f t="shared" si="7"/>
        <v>15410.107790000002</v>
      </c>
      <c r="N58" s="74"/>
      <c r="O58" s="68">
        <f t="shared" si="8"/>
        <v>49158.45</v>
      </c>
      <c r="P58" s="83">
        <f t="shared" si="14"/>
        <v>50633.45</v>
      </c>
      <c r="Q58" s="32">
        <f t="shared" si="12"/>
        <v>0.45000000000000023</v>
      </c>
    </row>
    <row r="59" spans="1:18" x14ac:dyDescent="0.3">
      <c r="A59" s="75">
        <f t="shared" si="15"/>
        <v>46</v>
      </c>
      <c r="B59" s="115" t="s">
        <v>115</v>
      </c>
      <c r="C59" s="70" t="s">
        <v>120</v>
      </c>
      <c r="D59" s="69"/>
      <c r="E59" s="66">
        <v>0.86</v>
      </c>
      <c r="F59" s="55">
        <v>15867.46</v>
      </c>
      <c r="G59" s="55"/>
      <c r="H59" s="67">
        <f t="shared" si="1"/>
        <v>15867.46</v>
      </c>
      <c r="I59" s="67">
        <f t="shared" si="4"/>
        <v>476.02379999999994</v>
      </c>
      <c r="J59" s="74">
        <f t="shared" si="5"/>
        <v>36120</v>
      </c>
      <c r="K59" s="74">
        <f t="shared" si="18"/>
        <v>0</v>
      </c>
      <c r="L59" s="74">
        <f t="shared" si="6"/>
        <v>1572.2778860000001</v>
      </c>
      <c r="M59" s="74">
        <f t="shared" si="7"/>
        <v>17211.289219999999</v>
      </c>
      <c r="N59" s="74"/>
      <c r="O59" s="68">
        <f t="shared" si="8"/>
        <v>71247.460000000006</v>
      </c>
      <c r="P59" s="83">
        <f t="shared" si="14"/>
        <v>73384.460000000006</v>
      </c>
      <c r="Q59" s="32">
        <f t="shared" si="12"/>
        <v>0.46000000000000024</v>
      </c>
      <c r="R59" t="s">
        <v>158</v>
      </c>
    </row>
    <row r="60" spans="1:18" x14ac:dyDescent="0.3">
      <c r="A60" s="75"/>
      <c r="B60" s="115"/>
      <c r="C60" s="64"/>
      <c r="D60" s="69"/>
      <c r="E60" s="66"/>
      <c r="F60" s="55"/>
      <c r="G60" s="55"/>
      <c r="H60" s="67"/>
      <c r="I60" s="67"/>
      <c r="J60" s="74"/>
      <c r="K60" s="74"/>
      <c r="L60" s="74"/>
      <c r="M60" s="74"/>
      <c r="N60" s="74"/>
      <c r="O60" s="68"/>
      <c r="P60" s="83"/>
      <c r="Q60" s="32"/>
    </row>
    <row r="61" spans="1:18" ht="17.100000000000001" customHeight="1" thickBot="1" x14ac:dyDescent="0.35">
      <c r="A61" s="76"/>
      <c r="B61" s="116"/>
      <c r="C61" s="77"/>
      <c r="D61" s="77"/>
      <c r="E61" s="78">
        <f t="shared" ref="E61:M61" si="20">SUM(E14:E60)</f>
        <v>99.999999999999986</v>
      </c>
      <c r="F61" s="79">
        <f t="shared" si="20"/>
        <v>13013409.810000001</v>
      </c>
      <c r="G61" s="195">
        <f>SUM(G14:G60)</f>
        <v>10680704.860000003</v>
      </c>
      <c r="H61" s="80">
        <f t="shared" si="20"/>
        <v>2332704.9500000002</v>
      </c>
      <c r="I61" s="80">
        <f t="shared" si="20"/>
        <v>73741.518599999996</v>
      </c>
      <c r="J61" s="81">
        <f t="shared" si="20"/>
        <v>4200000</v>
      </c>
      <c r="K61" s="81">
        <f t="shared" si="20"/>
        <v>0</v>
      </c>
      <c r="L61" s="81">
        <f t="shared" si="20"/>
        <v>182823.00999999992</v>
      </c>
      <c r="M61" s="81">
        <f t="shared" si="20"/>
        <v>2001312.7000000011</v>
      </c>
      <c r="N61" s="82"/>
      <c r="O61" s="87">
        <f>SUM(O14:O60)</f>
        <v>8790594.8100000005</v>
      </c>
      <c r="P61" s="84">
        <f>SUM(P14:P60)</f>
        <v>9054310.8100000005</v>
      </c>
    </row>
    <row r="62" spans="1:18" ht="12.75" customHeight="1" x14ac:dyDescent="0.3">
      <c r="C62" s="56"/>
      <c r="D62" s="56"/>
    </row>
    <row r="63" spans="1:18" hidden="1" x14ac:dyDescent="0.3"/>
    <row r="64" spans="1:18" ht="9" customHeight="1" x14ac:dyDescent="0.3">
      <c r="C64" s="230" t="s">
        <v>6</v>
      </c>
      <c r="D64" s="230"/>
      <c r="E64" s="230"/>
      <c r="F64" s="230"/>
      <c r="G64" s="230"/>
      <c r="H64" s="230"/>
      <c r="I64" s="230"/>
      <c r="J64" s="230"/>
      <c r="K64" s="230"/>
      <c r="L64" s="230"/>
      <c r="M64" s="230"/>
      <c r="N64" s="230"/>
      <c r="O64" s="230"/>
    </row>
    <row r="65" spans="3:15" ht="12" hidden="1" customHeight="1" x14ac:dyDescent="0.3">
      <c r="C65" s="230"/>
      <c r="D65" s="230"/>
      <c r="E65" s="230"/>
      <c r="F65" s="230"/>
      <c r="G65" s="230"/>
      <c r="H65" s="230"/>
      <c r="I65" s="230"/>
      <c r="J65" s="230"/>
      <c r="K65" s="230"/>
      <c r="L65" s="230"/>
      <c r="M65" s="230"/>
      <c r="N65" s="230"/>
      <c r="O65" s="230"/>
    </row>
    <row r="66" spans="3:15" ht="12" hidden="1" customHeight="1" x14ac:dyDescent="0.3">
      <c r="C66" s="230"/>
      <c r="D66" s="230"/>
      <c r="E66" s="230"/>
      <c r="F66" s="230"/>
      <c r="G66" s="230"/>
      <c r="H66" s="230"/>
      <c r="I66" s="230"/>
      <c r="J66" s="230"/>
      <c r="K66" s="230"/>
      <c r="L66" s="230"/>
      <c r="M66" s="230"/>
      <c r="N66" s="230"/>
      <c r="O66" s="230"/>
    </row>
    <row r="67" spans="3:15" ht="12" hidden="1" customHeight="1" x14ac:dyDescent="0.3">
      <c r="C67" s="230"/>
      <c r="D67" s="230"/>
      <c r="E67" s="230"/>
      <c r="F67" s="230"/>
      <c r="G67" s="230"/>
      <c r="H67" s="230"/>
      <c r="I67" s="230"/>
      <c r="J67" s="230"/>
      <c r="K67" s="230"/>
      <c r="L67" s="230"/>
      <c r="M67" s="230"/>
      <c r="N67" s="230"/>
      <c r="O67" s="230"/>
    </row>
    <row r="68" spans="3:15" ht="12" hidden="1" customHeight="1" x14ac:dyDescent="0.3">
      <c r="C68" s="230"/>
      <c r="D68" s="230"/>
      <c r="E68" s="230"/>
      <c r="F68" s="230"/>
      <c r="G68" s="230"/>
      <c r="H68" s="230"/>
      <c r="I68" s="230"/>
      <c r="J68" s="230"/>
      <c r="K68" s="230"/>
      <c r="L68" s="230"/>
      <c r="M68" s="230"/>
      <c r="N68" s="230"/>
      <c r="O68" s="230"/>
    </row>
    <row r="69" spans="3:15" ht="67.5" customHeight="1" x14ac:dyDescent="0.3">
      <c r="C69" s="230"/>
      <c r="D69" s="230"/>
      <c r="E69" s="230"/>
      <c r="F69" s="230"/>
      <c r="G69" s="230"/>
      <c r="H69" s="230"/>
      <c r="I69" s="230"/>
      <c r="J69" s="230"/>
      <c r="K69" s="230"/>
      <c r="L69" s="230"/>
      <c r="M69" s="230"/>
      <c r="N69" s="230"/>
      <c r="O69" s="230"/>
    </row>
  </sheetData>
  <mergeCells count="20">
    <mergeCell ref="C64:O69"/>
    <mergeCell ref="A6:P10"/>
    <mergeCell ref="A12:A13"/>
    <mergeCell ref="C12:C13"/>
    <mergeCell ref="D12:D13"/>
    <mergeCell ref="E12:E13"/>
    <mergeCell ref="F12:F13"/>
    <mergeCell ref="G12:G13"/>
    <mergeCell ref="H12:H13"/>
    <mergeCell ref="I12:I13"/>
    <mergeCell ref="A11:P11"/>
    <mergeCell ref="J12:J13"/>
    <mergeCell ref="N12:N13"/>
    <mergeCell ref="L12:L13"/>
    <mergeCell ref="K12:K13"/>
    <mergeCell ref="B12:B13"/>
    <mergeCell ref="J1:P5"/>
    <mergeCell ref="M12:M13"/>
    <mergeCell ref="P12:P13"/>
    <mergeCell ref="F2:G2"/>
  </mergeCells>
  <phoneticPr fontId="16"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4:J15"/>
  <sheetViews>
    <sheetView zoomScaleNormal="100" workbookViewId="0">
      <selection activeCell="C26" sqref="C26"/>
    </sheetView>
  </sheetViews>
  <sheetFormatPr baseColWidth="10" defaultColWidth="10.88671875" defaultRowHeight="14.4" x14ac:dyDescent="0.3"/>
  <cols>
    <col min="3" max="3" width="12.6640625" bestFit="1" customWidth="1"/>
    <col min="9" max="9" width="13" bestFit="1" customWidth="1"/>
  </cols>
  <sheetData>
    <row r="4" spans="3:10" x14ac:dyDescent="0.3">
      <c r="C4" s="180" t="s">
        <v>51</v>
      </c>
      <c r="D4" s="181"/>
      <c r="E4" t="s">
        <v>52</v>
      </c>
      <c r="G4" t="s">
        <v>53</v>
      </c>
      <c r="J4" s="104"/>
    </row>
    <row r="5" spans="3:10" x14ac:dyDescent="0.3">
      <c r="C5" s="180" t="s">
        <v>54</v>
      </c>
      <c r="D5" s="181" t="s">
        <v>55</v>
      </c>
      <c r="E5" t="s">
        <v>56</v>
      </c>
      <c r="G5" t="s">
        <v>28</v>
      </c>
      <c r="H5" t="s">
        <v>87</v>
      </c>
      <c r="J5" s="104"/>
    </row>
    <row r="6" spans="3:10" ht="15" thickBot="1" x14ac:dyDescent="0.35">
      <c r="C6" s="29" t="s">
        <v>57</v>
      </c>
      <c r="J6" s="104"/>
    </row>
    <row r="7" spans="3:10" x14ac:dyDescent="0.3">
      <c r="C7" s="252" t="s">
        <v>193</v>
      </c>
      <c r="D7" s="253"/>
      <c r="E7" s="253"/>
      <c r="F7" s="253"/>
      <c r="G7" s="253"/>
      <c r="H7" s="253"/>
      <c r="I7" s="253"/>
      <c r="J7" s="254"/>
    </row>
    <row r="8" spans="3:10" ht="15" thickBot="1" x14ac:dyDescent="0.35">
      <c r="C8" s="255"/>
      <c r="D8" s="256"/>
      <c r="E8" s="256"/>
      <c r="F8" s="256"/>
      <c r="G8" s="256"/>
      <c r="H8" s="256"/>
      <c r="I8" s="256"/>
      <c r="J8" s="257"/>
    </row>
    <row r="10" spans="3:10" x14ac:dyDescent="0.3">
      <c r="C10" s="196"/>
      <c r="D10" s="196"/>
    </row>
    <row r="11" spans="3:10" x14ac:dyDescent="0.3">
      <c r="C11" s="197" t="s">
        <v>51</v>
      </c>
      <c r="D11" s="196"/>
      <c r="E11" t="s">
        <v>52</v>
      </c>
      <c r="G11" t="s">
        <v>53</v>
      </c>
      <c r="J11" s="104"/>
    </row>
    <row r="12" spans="3:10" x14ac:dyDescent="0.3">
      <c r="C12" s="197" t="s">
        <v>54</v>
      </c>
      <c r="D12" s="196" t="s">
        <v>55</v>
      </c>
      <c r="E12" t="s">
        <v>56</v>
      </c>
      <c r="G12" t="s">
        <v>28</v>
      </c>
      <c r="H12" t="s">
        <v>86</v>
      </c>
      <c r="J12" s="104"/>
    </row>
    <row r="13" spans="3:10" ht="15" thickBot="1" x14ac:dyDescent="0.35">
      <c r="C13" s="29" t="s">
        <v>57</v>
      </c>
      <c r="J13" s="104"/>
    </row>
    <row r="14" spans="3:10" x14ac:dyDescent="0.3">
      <c r="C14" s="252" t="s">
        <v>205</v>
      </c>
      <c r="D14" s="253"/>
      <c r="E14" s="253"/>
      <c r="F14" s="253"/>
      <c r="G14" s="253"/>
      <c r="H14" s="253"/>
      <c r="I14" s="253"/>
      <c r="J14" s="254"/>
    </row>
    <row r="15" spans="3:10" ht="15" thickBot="1" x14ac:dyDescent="0.35">
      <c r="C15" s="255"/>
      <c r="D15" s="256"/>
      <c r="E15" s="256"/>
      <c r="F15" s="256"/>
      <c r="G15" s="256"/>
      <c r="H15" s="256"/>
      <c r="I15" s="256"/>
      <c r="J15" s="257"/>
    </row>
  </sheetData>
  <mergeCells count="2">
    <mergeCell ref="C7:J8"/>
    <mergeCell ref="C14:J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2026-10-03T21:27:28Z</cp:lastPrinted>
  <dcterms:created xsi:type="dcterms:W3CDTF">2016-01-12T20:02:43Z</dcterms:created>
  <dcterms:modified xsi:type="dcterms:W3CDTF">2026-10-23T19:52:44Z</dcterms:modified>
</cp:coreProperties>
</file>