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Mayo\"/>
    </mc:Choice>
  </mc:AlternateContent>
  <xr:revisionPtr revIDLastSave="0" documentId="13_ncr:1_{1F58F974-3A1A-4CB4-BEC9-DBCDBB877DC3}"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PRORRATEO!$A$1:$N$67</definedName>
    <definedName name="_xlnm.Print_Area" localSheetId="0">RESUMEN!$A$1:$E$102</definedName>
  </definedNames>
  <calcPr calcId="181029"/>
</workbook>
</file>

<file path=xl/calcChain.xml><?xml version="1.0" encoding="utf-8"?>
<calcChain xmlns="http://schemas.openxmlformats.org/spreadsheetml/2006/main">
  <c r="D44" i="6" l="1"/>
  <c r="D36" i="6"/>
  <c r="D28" i="6"/>
  <c r="D20" i="6"/>
  <c r="D12" i="6"/>
  <c r="K2" i="5" l="1"/>
  <c r="E43" i="4" l="1"/>
  <c r="B102" i="4" l="1"/>
  <c r="E31" i="4" l="1"/>
  <c r="E25" i="4" l="1"/>
  <c r="E61" i="4" l="1"/>
  <c r="E38" i="4"/>
  <c r="E49" i="4"/>
  <c r="E57" i="4" l="1"/>
  <c r="M11" i="5" l="1"/>
  <c r="G59" i="5" l="1"/>
  <c r="E65" i="4"/>
  <c r="K33" i="5"/>
  <c r="K34" i="5"/>
  <c r="K35" i="5"/>
  <c r="K36" i="5"/>
  <c r="K37" i="5"/>
  <c r="K38" i="5"/>
  <c r="K39" i="5"/>
  <c r="K40" i="5"/>
  <c r="K41" i="5"/>
  <c r="K42" i="5"/>
  <c r="K43" i="5"/>
  <c r="K44" i="5"/>
  <c r="K45" i="5"/>
  <c r="K46" i="5"/>
  <c r="K47" i="5"/>
  <c r="K48" i="5"/>
  <c r="K49" i="5"/>
  <c r="K50" i="5"/>
  <c r="K51" i="5"/>
  <c r="K52" i="5"/>
  <c r="K53" i="5"/>
  <c r="K54" i="5"/>
  <c r="K55" i="5"/>
  <c r="K56" i="5"/>
  <c r="K57" i="5"/>
  <c r="J33" i="5"/>
  <c r="J34" i="5"/>
  <c r="J35" i="5"/>
  <c r="J36" i="5"/>
  <c r="J37" i="5"/>
  <c r="J38" i="5"/>
  <c r="J39" i="5"/>
  <c r="J40" i="5"/>
  <c r="J41" i="5"/>
  <c r="J42" i="5"/>
  <c r="J43" i="5"/>
  <c r="J44" i="5"/>
  <c r="J45" i="5"/>
  <c r="J46" i="5"/>
  <c r="J47" i="5"/>
  <c r="J48" i="5"/>
  <c r="J49" i="5"/>
  <c r="J50" i="5"/>
  <c r="J51" i="5"/>
  <c r="J52" i="5"/>
  <c r="J53" i="5"/>
  <c r="J54" i="5"/>
  <c r="J55" i="5"/>
  <c r="J56" i="5"/>
  <c r="J57" i="5"/>
  <c r="H33" i="5"/>
  <c r="I33" i="5" s="1"/>
  <c r="H34" i="5"/>
  <c r="I34" i="5" s="1"/>
  <c r="H35" i="5"/>
  <c r="H36" i="5"/>
  <c r="I36" i="5" s="1"/>
  <c r="H37" i="5"/>
  <c r="I37" i="5" s="1"/>
  <c r="H38" i="5"/>
  <c r="I38" i="5" s="1"/>
  <c r="H39" i="5"/>
  <c r="I39" i="5" s="1"/>
  <c r="H40" i="5"/>
  <c r="I40" i="5" s="1"/>
  <c r="H41" i="5"/>
  <c r="I41" i="5" s="1"/>
  <c r="H42" i="5"/>
  <c r="I42" i="5" s="1"/>
  <c r="H43" i="5"/>
  <c r="I43" i="5" s="1"/>
  <c r="H44" i="5"/>
  <c r="H45" i="5"/>
  <c r="I45" i="5" s="1"/>
  <c r="H46" i="5"/>
  <c r="I46" i="5" s="1"/>
  <c r="H47" i="5"/>
  <c r="I47" i="5" s="1"/>
  <c r="H48" i="5"/>
  <c r="I48" i="5" s="1"/>
  <c r="H49" i="5"/>
  <c r="I49" i="5" s="1"/>
  <c r="H50" i="5"/>
  <c r="I50" i="5" s="1"/>
  <c r="H51" i="5"/>
  <c r="I51" i="5" s="1"/>
  <c r="H52" i="5"/>
  <c r="I52" i="5" s="1"/>
  <c r="H53" i="5"/>
  <c r="H54" i="5"/>
  <c r="H55" i="5"/>
  <c r="I55" i="5" s="1"/>
  <c r="H56" i="5"/>
  <c r="I56" i="5" s="1"/>
  <c r="H57" i="5"/>
  <c r="I57" i="5" s="1"/>
  <c r="F59" i="5"/>
  <c r="E59" i="5"/>
  <c r="A33" i="5"/>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H22" i="5"/>
  <c r="I22" i="5" s="1"/>
  <c r="K32" i="5"/>
  <c r="J32" i="5"/>
  <c r="H32" i="5"/>
  <c r="I32" i="5" s="1"/>
  <c r="K31" i="5"/>
  <c r="J31" i="5"/>
  <c r="H31" i="5"/>
  <c r="K30" i="5"/>
  <c r="J30" i="5"/>
  <c r="H30" i="5"/>
  <c r="I30" i="5" s="1"/>
  <c r="K29" i="5"/>
  <c r="J29" i="5"/>
  <c r="H29" i="5"/>
  <c r="I29" i="5" s="1"/>
  <c r="K28" i="5"/>
  <c r="J28" i="5"/>
  <c r="H28" i="5"/>
  <c r="I28" i="5" s="1"/>
  <c r="K27" i="5"/>
  <c r="J27" i="5"/>
  <c r="H27" i="5"/>
  <c r="I27" i="5" s="1"/>
  <c r="K26" i="5"/>
  <c r="J26" i="5"/>
  <c r="H26" i="5"/>
  <c r="I26" i="5" s="1"/>
  <c r="K25" i="5"/>
  <c r="J25" i="5"/>
  <c r="H25" i="5"/>
  <c r="K24" i="5"/>
  <c r="J24" i="5"/>
  <c r="H24" i="5"/>
  <c r="I24" i="5" s="1"/>
  <c r="K23" i="5"/>
  <c r="J23" i="5"/>
  <c r="H23" i="5"/>
  <c r="I23" i="5" s="1"/>
  <c r="K22" i="5"/>
  <c r="J22" i="5"/>
  <c r="K21" i="5"/>
  <c r="H21" i="5"/>
  <c r="K20" i="5"/>
  <c r="J20" i="5"/>
  <c r="H20" i="5"/>
  <c r="I20" i="5" s="1"/>
  <c r="K19" i="5"/>
  <c r="J19" i="5"/>
  <c r="H19" i="5"/>
  <c r="I19" i="5" s="1"/>
  <c r="K18" i="5"/>
  <c r="J18" i="5"/>
  <c r="H18" i="5"/>
  <c r="I18" i="5" s="1"/>
  <c r="K17" i="5"/>
  <c r="J17" i="5"/>
  <c r="H17" i="5"/>
  <c r="I17" i="5" s="1"/>
  <c r="K16" i="5"/>
  <c r="J16" i="5"/>
  <c r="H16" i="5"/>
  <c r="I16" i="5" s="1"/>
  <c r="K15" i="5"/>
  <c r="J15" i="5"/>
  <c r="H15" i="5"/>
  <c r="I15" i="5" s="1"/>
  <c r="K14" i="5"/>
  <c r="J14" i="5"/>
  <c r="H14" i="5"/>
  <c r="I14" i="5" s="1"/>
  <c r="O13" i="5"/>
  <c r="K13" i="5"/>
  <c r="J13" i="5"/>
  <c r="H13" i="5"/>
  <c r="K12" i="5"/>
  <c r="J12" i="5"/>
  <c r="B92" i="4"/>
  <c r="E76" i="4"/>
  <c r="E81" i="4" s="1"/>
  <c r="B85" i="4" s="1"/>
  <c r="M14" i="5" l="1"/>
  <c r="I54" i="5"/>
  <c r="O14" i="5"/>
  <c r="I25" i="5"/>
  <c r="I35" i="5"/>
  <c r="I21" i="5"/>
  <c r="E69" i="4"/>
  <c r="B84" i="4" s="1"/>
  <c r="B91" i="4" s="1"/>
  <c r="J59" i="5"/>
  <c r="K59" i="5"/>
  <c r="I13" i="5"/>
  <c r="M13" i="5" s="1"/>
  <c r="B86" i="4"/>
  <c r="N14" i="5" l="1"/>
  <c r="O15" i="5"/>
  <c r="M15" i="5" s="1"/>
  <c r="B83" i="4"/>
  <c r="H12" i="5"/>
  <c r="B93" i="4"/>
  <c r="B96" i="4" s="1"/>
  <c r="N13" i="5"/>
  <c r="N15" i="5" l="1"/>
  <c r="O16" i="5"/>
  <c r="M16" i="5" s="1"/>
  <c r="H59" i="5"/>
  <c r="I12" i="5"/>
  <c r="M12" i="5" s="1"/>
  <c r="N16" i="5" l="1"/>
  <c r="O17" i="5"/>
  <c r="M17" i="5" s="1"/>
  <c r="I59" i="5"/>
  <c r="N12" i="5"/>
  <c r="N17" i="5" l="1"/>
  <c r="O18" i="5"/>
  <c r="M18" i="5" s="1"/>
  <c r="N18" i="5" l="1"/>
  <c r="O19" i="5"/>
  <c r="M19" i="5" s="1"/>
  <c r="N19" i="5" l="1"/>
  <c r="O20" i="5"/>
  <c r="M20" i="5" s="1"/>
  <c r="N20" i="5" l="1"/>
  <c r="O21" i="5"/>
  <c r="M21" i="5" s="1"/>
  <c r="N21" i="5" l="1"/>
  <c r="O22" i="5"/>
  <c r="M22" i="5" s="1"/>
  <c r="N22" i="5" l="1"/>
  <c r="O23" i="5"/>
  <c r="M23" i="5" s="1"/>
  <c r="N23" i="5" l="1"/>
  <c r="O24" i="5"/>
  <c r="M24" i="5" s="1"/>
  <c r="N24" i="5" l="1"/>
  <c r="O25" i="5"/>
  <c r="M25" i="5" s="1"/>
  <c r="N25" i="5" l="1"/>
  <c r="O26" i="5"/>
  <c r="M26" i="5" s="1"/>
  <c r="N26" i="5" l="1"/>
  <c r="O27" i="5"/>
  <c r="M27" i="5" s="1"/>
  <c r="N27" i="5" l="1"/>
  <c r="O28" i="5"/>
  <c r="M28" i="5" s="1"/>
  <c r="N28" i="5" l="1"/>
  <c r="O29" i="5"/>
  <c r="M29" i="5" s="1"/>
  <c r="N29" i="5" l="1"/>
  <c r="O30" i="5"/>
  <c r="M30" i="5" s="1"/>
  <c r="N30" i="5" l="1"/>
  <c r="O31" i="5"/>
  <c r="M31" i="5" s="1"/>
  <c r="N31" i="5" l="1"/>
  <c r="O32" i="5"/>
  <c r="M32" i="5" s="1"/>
  <c r="N32" i="5" l="1"/>
  <c r="O33" i="5"/>
  <c r="M33" i="5" s="1"/>
  <c r="N33" i="5" l="1"/>
  <c r="O34" i="5"/>
  <c r="M34" i="5" s="1"/>
  <c r="N34" i="5" l="1"/>
  <c r="O35" i="5"/>
  <c r="M35" i="5" s="1"/>
  <c r="N35" i="5" l="1"/>
  <c r="O36" i="5"/>
  <c r="M36" i="5" s="1"/>
  <c r="N36" i="5" l="1"/>
  <c r="O37" i="5"/>
  <c r="M37" i="5" s="1"/>
  <c r="N37" i="5" l="1"/>
  <c r="O38" i="5"/>
  <c r="M38" i="5" s="1"/>
  <c r="N38" i="5" l="1"/>
  <c r="O39" i="5"/>
  <c r="M39" i="5" s="1"/>
  <c r="N39" i="5" l="1"/>
  <c r="O40" i="5"/>
  <c r="M40" i="5" s="1"/>
  <c r="N40" i="5" l="1"/>
  <c r="O41" i="5"/>
  <c r="M41" i="5" s="1"/>
  <c r="N41" i="5" l="1"/>
  <c r="O42" i="5"/>
  <c r="M42" i="5" s="1"/>
  <c r="N42" i="5" l="1"/>
  <c r="O43" i="5"/>
  <c r="M43" i="5" s="1"/>
  <c r="N43" i="5" l="1"/>
  <c r="O44" i="5"/>
  <c r="M44" i="5" s="1"/>
  <c r="N44" i="5" l="1"/>
  <c r="O45" i="5"/>
  <c r="M45" i="5" s="1"/>
  <c r="N45" i="5" l="1"/>
  <c r="O46" i="5"/>
  <c r="M46" i="5" s="1"/>
  <c r="N46" i="5" l="1"/>
  <c r="O47" i="5"/>
  <c r="M47" i="5" s="1"/>
  <c r="N47" i="5" l="1"/>
  <c r="O48" i="5"/>
  <c r="M48" i="5" s="1"/>
  <c r="N48" i="5" l="1"/>
  <c r="O49" i="5"/>
  <c r="M49" i="5" s="1"/>
  <c r="N49" i="5" l="1"/>
  <c r="O50" i="5"/>
  <c r="M50" i="5" s="1"/>
  <c r="N50" i="5" l="1"/>
  <c r="O51" i="5"/>
  <c r="M51" i="5" s="1"/>
  <c r="N51" i="5" l="1"/>
  <c r="O52" i="5"/>
  <c r="M52" i="5" s="1"/>
  <c r="N52" i="5" l="1"/>
  <c r="O53" i="5"/>
  <c r="M53" i="5" s="1"/>
  <c r="N53" i="5" l="1"/>
  <c r="O54" i="5"/>
  <c r="M54" i="5" s="1"/>
  <c r="N54" i="5" l="1"/>
  <c r="O55" i="5"/>
  <c r="M55" i="5" s="1"/>
  <c r="N55" i="5" l="1"/>
  <c r="O56" i="5"/>
  <c r="M56" i="5" s="1"/>
  <c r="N56" i="5" l="1"/>
  <c r="O57" i="5"/>
  <c r="M57" i="5" s="1"/>
  <c r="N57" i="5" l="1"/>
  <c r="N59" i="5" l="1"/>
  <c r="M59" i="5"/>
</calcChain>
</file>

<file path=xl/sharedStrings.xml><?xml version="1.0" encoding="utf-8"?>
<sst xmlns="http://schemas.openxmlformats.org/spreadsheetml/2006/main" count="249" uniqueCount="176">
  <si>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</si>
  <si>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</si>
  <si>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</si>
  <si>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</si>
  <si>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</si>
  <si>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</si>
  <si>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</si>
  <si>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</si>
  <si>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</si>
  <si>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</si>
  <si>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</si>
  <si>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</si>
  <si>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</si>
  <si>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</si>
  <si>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</si>
  <si>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</si>
  <si>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</si>
  <si>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</si>
  <si>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</si>
  <si>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</si>
  <si>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</si>
  <si>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</si>
  <si>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</si>
  <si>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</si>
  <si>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</si>
  <si>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</si>
  <si>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</si>
  <si>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</si>
  <si>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</si>
  <si>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</si>
  <si>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</si>
  <si>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</si>
  <si>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</si>
  <si>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</si>
  <si>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</si>
  <si>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</si>
  <si>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</si>
  <si>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</si>
  <si>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</si>
  <si>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</si>
  <si>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</si>
  <si>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</si>
  <si>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</si>
  <si>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</si>
  <si>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</si>
  <si>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</si>
  <si>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</si>
  <si>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</si>
  <si>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</si>
  <si>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</si>
  <si>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</si>
  <si>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</si>
  <si>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</si>
  <si>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10 A 15HS - EMERGENCIAS 24HS</t>
  </si>
  <si>
    <t>Gasto particular</t>
  </si>
  <si>
    <t>REEMPLAZOS</t>
  </si>
  <si>
    <t>Saldo inicial</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</si>
  <si>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</si>
  <si>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</si>
  <si>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</si>
  <si>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</si>
  <si>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</si>
  <si>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</si>
  <si>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</si>
  <si>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</si>
  <si>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</si>
  <si>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</si>
  <si>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</si>
  <si>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</si>
  <si>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</si>
  <si>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</si>
  <si>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</si>
  <si>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</si>
  <si>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</si>
  <si>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</si>
  <si>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</si>
  <si>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</si>
  <si>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</si>
  <si>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VTO 18/06</t>
  </si>
  <si>
    <t>PERÍODO: MAYO</t>
  </si>
  <si>
    <t>Gustavo Padron -  Sr. Contador - MAYO</t>
  </si>
  <si>
    <t>11C</t>
  </si>
  <si>
    <t xml:space="preserve">Jeremy </t>
  </si>
  <si>
    <t>El 11C mando un mail explicando su situacion y sus pagos - desde jeremynaguel@gmail.com - Revisar</t>
  </si>
  <si>
    <t>Honorarios administracion - Se adeuda mes de MAYO</t>
  </si>
  <si>
    <t xml:space="preserve">  </t>
  </si>
  <si>
    <t>Abono $180.866,63 el 27/04 y no lo pusimos pago. CHEQUEAR - Tranfririo el 28/05 $182.697,63</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</si>
  <si>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</si>
  <si>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</si>
  <si>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</si>
  <si>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</si>
  <si>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</si>
  <si>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</si>
  <si>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</si>
  <si>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</si>
  <si>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Abono ascensor - Adsur - Mantenimiento</t>
  </si>
  <si>
    <t>Allianz - Seguro integral de consorcio - Poliza Nro. 260230779515</t>
  </si>
  <si>
    <t>Allianz - Seguro accidentes personales encargado</t>
  </si>
  <si>
    <t>Allianz - Seguro accidentes RCP encargado</t>
  </si>
  <si>
    <t xml:space="preserve">Mantenimiento de cuenta - Banco </t>
  </si>
  <si>
    <t xml:space="preserve">Gastos bancarios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</si>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</sst>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
      <sz val="10"/>
      <color rgb="FFFF0000"/>
      <name val="Calibri"/>
      <family val="2"/>
      <scheme val="minor"/>
    </font>
    <font>
      <sz val="8"/>
      <color rgb="FFFF000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
      <patternFill patternType="solid">
        <fgColor rgb="FF74FA8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3">
    <xf numFmtId="0" fontId="0" fillId="0" borderId="0"/>
    <xf numFmtId="44" fontId="5" fillId="0" borderId="0" applyFont="0" applyFill="0" applyBorder="0" applyAlignment="0" applyProtection="0"/>
    <xf numFmtId="0" fontId="21" fillId="0" borderId="0" applyNumberFormat="0" applyFill="0" applyBorder="0" applyAlignment="0" applyProtection="0"/>
  </cellStyleXfs>
  <cellXfs count="250">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44" fontId="11" fillId="2" borderId="9" xfId="1" applyFont="1" applyFill="1"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0" fontId="12" fillId="2" borderId="19" xfId="0" applyFont="1" applyFill="1" applyBorder="1"/>
    <xf numFmtId="44" fontId="11" fillId="2" borderId="22" xfId="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3" fontId="0" fillId="0" borderId="0" xfId="0" applyNumberFormat="1"/>
    <xf numFmtId="0" fontId="0" fillId="13" borderId="18" xfId="0" applyFill="1" applyBorder="1"/>
    <xf numFmtId="0" fontId="0" fillId="13" borderId="2" xfId="0" applyFill="1" applyBorder="1"/>
    <xf numFmtId="0" fontId="0" fillId="13" borderId="3" xfId="0" applyFill="1" applyBorder="1"/>
    <xf numFmtId="0" fontId="0" fillId="13" borderId="0" xfId="0" applyFill="1"/>
    <xf numFmtId="0" fontId="21" fillId="0" borderId="0" xfId="2"/>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0" fillId="6" borderId="18" xfId="0" applyFill="1" applyBorder="1"/>
    <xf numFmtId="0" fontId="0" fillId="6" borderId="3" xfId="0" applyFill="1" applyBorder="1"/>
    <xf numFmtId="0" fontId="0" fillId="6" borderId="0" xfId="0" applyFill="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7" fillId="2" borderId="9" xfId="1" applyFont="1" applyFill="1" applyBorder="1"/>
    <xf numFmtId="8" fontId="7" fillId="2" borderId="9" xfId="0" applyNumberFormat="1" applyFont="1" applyFill="1" applyBorder="1" applyAlignment="1">
      <alignment horizontal="right"/>
    </xf>
    <xf numFmtId="44" fontId="7" fillId="2" borderId="20" xfId="1" applyFont="1" applyFill="1" applyBorder="1"/>
    <xf numFmtId="8" fontId="7" fillId="2" borderId="20" xfId="0" applyNumberFormat="1" applyFont="1" applyFill="1" applyBorder="1" applyAlignment="1">
      <alignment horizontal="right"/>
    </xf>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8" fontId="22" fillId="2" borderId="9" xfId="0" applyNumberFormat="1" applyFont="1" applyFill="1" applyBorder="1" applyAlignment="1">
      <alignment horizontal="right"/>
    </xf>
    <xf numFmtId="8" fontId="22" fillId="2" borderId="20" xfId="0" applyNumberFormat="1" applyFont="1" applyFill="1" applyBorder="1" applyAlignment="1">
      <alignment horizontal="right"/>
    </xf>
    <xf numFmtId="44" fontId="7" fillId="2" borderId="20" xfId="1" applyFont="1" applyFill="1" applyBorder="1" applyAlignment="1"/>
    <xf numFmtId="44" fontId="23" fillId="2" borderId="9" xfId="1" applyFont="1" applyFill="1" applyBorder="1"/>
    <xf numFmtId="0" fontId="0" fillId="4"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44" fontId="7" fillId="2" borderId="22" xfId="1" applyFont="1" applyFill="1" applyBorder="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0" fillId="0" borderId="22" xfId="0" applyBorder="1" applyAlignment="1">
      <alignment horizontal="left" vertical="center" wrapText="1"/>
    </xf>
    <xf numFmtId="0" fontId="0" fillId="0" borderId="37" xfId="0" applyBorder="1" applyAlignment="1">
      <alignment horizontal="left"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165" fontId="1" fillId="3" borderId="0" xfId="0" applyNumberFormat="1" applyFont="1" applyFill="1" applyAlignment="1">
      <alignment horizont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applyBorder="1"/>
    <xf numFmtId="0" fontId="0" fillId="3" borderId="16" xfId="0" applyFill="1" applyBorder="1"/>
    <xf numFmtId="0" fontId="1" fillId="3" borderId="2" xfId="0" applyFont="1" applyFill="1" applyBorder="1" applyAlignment="1">
      <alignment horizontal="left" vertical="center" wrapText="1"/>
    </xf>
    <xf numFmtId="0" fontId="1" fillId="3" borderId="0" xfId="0" applyFont="1" applyFill="1" applyBorder="1" applyAlignment="1">
      <alignment horizontal="left" vertical="center"/>
    </xf>
    <xf numFmtId="0" fontId="17" fillId="2" borderId="21" xfId="0" applyFont="1" applyFill="1" applyBorder="1"/>
    <xf numFmtId="0" fontId="17" fillId="7" borderId="38" xfId="0" applyFont="1" applyFill="1" applyBorder="1"/>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4" fillId="5" borderId="0" xfId="0" applyFont="1" applyFill="1" applyAlignment="1">
      <alignment horizontal="left" vertical="center" wrapText="1"/>
    </xf>
  </cellXfs>
  <cellStyles count="3">
    <cellStyle name="Hipervínculo" xfId="2" builtinId="8"/>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03"/>
  <sheetViews>
    <sheetView tabSelected="1" topLeftCell="A4" workbookViewId="0">
      <selection activeCell="A13" sqref="A13:E16"/>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189" t="s">
        <v>88</v>
      </c>
      <c r="C1" s="189"/>
      <c r="D1" s="189"/>
      <c r="E1" s="190"/>
    </row>
    <row r="2" spans="1:5" x14ac:dyDescent="0.3">
      <c r="A2" s="3"/>
      <c r="B2" s="10" t="s">
        <v>47</v>
      </c>
      <c r="C2" s="4"/>
      <c r="D2" s="4"/>
      <c r="E2" s="5"/>
    </row>
    <row r="3" spans="1:5" ht="56.4" customHeight="1" thickBot="1" x14ac:dyDescent="0.35">
      <c r="A3" s="3"/>
      <c r="B3" s="193" t="s">
        <v>174</v>
      </c>
      <c r="C3" s="193"/>
      <c r="D3" s="193"/>
      <c r="E3" s="194"/>
    </row>
    <row r="4" spans="1:5" ht="15" thickBot="1" x14ac:dyDescent="0.35">
      <c r="A4" s="6" t="s">
        <v>3</v>
      </c>
      <c r="B4" s="7" t="s">
        <v>4</v>
      </c>
      <c r="C4" s="8"/>
      <c r="D4" s="8"/>
      <c r="E4" s="9"/>
    </row>
    <row r="5" spans="1:5" ht="15" thickBot="1" x14ac:dyDescent="0.35">
      <c r="A5" s="3" t="s">
        <v>87</v>
      </c>
      <c r="B5" s="8" t="s">
        <v>79</v>
      </c>
      <c r="C5" s="10"/>
      <c r="D5" s="4" t="s">
        <v>5</v>
      </c>
      <c r="E5" s="11"/>
    </row>
    <row r="6" spans="1:5" ht="16.2" customHeight="1" thickBot="1" x14ac:dyDescent="0.35">
      <c r="A6" s="85" t="s">
        <v>39</v>
      </c>
      <c r="B6" s="8"/>
      <c r="C6" s="8"/>
      <c r="D6" s="8" t="s">
        <v>53</v>
      </c>
      <c r="E6" s="9"/>
    </row>
    <row r="8" spans="1:5" x14ac:dyDescent="0.3">
      <c r="B8" s="195" t="s">
        <v>78</v>
      </c>
      <c r="C8" s="195"/>
    </row>
    <row r="9" spans="1:5" x14ac:dyDescent="0.3">
      <c r="B9" s="195"/>
      <c r="C9" s="195"/>
    </row>
    <row r="10" spans="1:5" x14ac:dyDescent="0.3">
      <c r="B10" s="195"/>
      <c r="C10" s="195"/>
    </row>
    <row r="12" spans="1:5" hidden="1" x14ac:dyDescent="0.3"/>
    <row r="13" spans="1:5" ht="15" customHeight="1" x14ac:dyDescent="0.3">
      <c r="A13" s="249" t="s">
        <v>175</v>
      </c>
      <c r="B13" s="249"/>
      <c r="C13" s="249"/>
      <c r="D13" s="249"/>
      <c r="E13" s="249"/>
    </row>
    <row r="14" spans="1:5" ht="15" customHeight="1" x14ac:dyDescent="0.3">
      <c r="A14" s="249"/>
      <c r="B14" s="249"/>
      <c r="C14" s="249"/>
      <c r="D14" s="249"/>
      <c r="E14" s="249"/>
    </row>
    <row r="15" spans="1:5" ht="15" customHeight="1" x14ac:dyDescent="0.3">
      <c r="A15" s="249"/>
      <c r="B15" s="249"/>
      <c r="C15" s="249"/>
      <c r="D15" s="249"/>
      <c r="E15" s="249"/>
    </row>
    <row r="16" spans="1:5" ht="53.25" customHeight="1" x14ac:dyDescent="0.3">
      <c r="A16" s="249"/>
      <c r="B16" s="249"/>
      <c r="C16" s="249"/>
      <c r="D16" s="249"/>
      <c r="E16" s="249"/>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89</v>
      </c>
      <c r="B21" s="17"/>
      <c r="C21" s="17"/>
      <c r="D21" s="113"/>
      <c r="E21" s="132"/>
    </row>
    <row r="22" spans="1:8" ht="15" customHeight="1" x14ac:dyDescent="0.3">
      <c r="A22" s="191" t="s">
        <v>51</v>
      </c>
      <c r="B22" s="192"/>
      <c r="C22" s="20"/>
      <c r="D22" s="181"/>
      <c r="E22" s="133"/>
      <c r="H22" s="21"/>
    </row>
    <row r="23" spans="1:8" ht="15" customHeight="1" x14ac:dyDescent="0.3">
      <c r="A23" s="191" t="s">
        <v>52</v>
      </c>
      <c r="B23" s="192"/>
      <c r="C23" s="20"/>
      <c r="D23" s="181"/>
      <c r="E23" s="22"/>
      <c r="H23" s="21"/>
    </row>
    <row r="24" spans="1:8" ht="13.5" customHeight="1" x14ac:dyDescent="0.3">
      <c r="A24" s="191" t="s">
        <v>1</v>
      </c>
      <c r="B24" s="192"/>
      <c r="C24" s="20"/>
      <c r="D24" s="182"/>
      <c r="E24" s="22"/>
      <c r="H24" s="21"/>
    </row>
    <row r="25" spans="1:8" x14ac:dyDescent="0.3">
      <c r="A25" s="23" t="s">
        <v>8</v>
      </c>
      <c r="B25" s="23"/>
      <c r="C25" s="23"/>
      <c r="D25" s="24"/>
      <c r="E25" s="134">
        <f>SUM(D22:D24)</f>
        <v>0</v>
      </c>
    </row>
    <row r="26" spans="1:8" hidden="1" x14ac:dyDescent="0.3">
      <c r="A26" s="23" t="s">
        <v>55</v>
      </c>
      <c r="B26" s="23"/>
      <c r="C26" s="23"/>
      <c r="D26" s="24"/>
      <c r="E26" s="135"/>
    </row>
    <row r="27" spans="1:8" hidden="1" x14ac:dyDescent="0.3">
      <c r="A27" s="20"/>
      <c r="B27" s="20"/>
      <c r="C27" s="20"/>
      <c r="D27" s="37"/>
      <c r="E27" s="147"/>
    </row>
    <row r="28" spans="1:8" hidden="1" x14ac:dyDescent="0.3">
      <c r="A28" s="20"/>
      <c r="B28" s="20"/>
      <c r="C28" s="20"/>
      <c r="D28" s="37"/>
      <c r="E28" s="147"/>
    </row>
    <row r="29" spans="1:8" hidden="1" x14ac:dyDescent="0.3">
      <c r="A29" s="20"/>
      <c r="B29" s="20"/>
      <c r="C29" s="20"/>
      <c r="D29" s="37"/>
      <c r="E29" s="147"/>
    </row>
    <row r="30" spans="1:8" hidden="1" x14ac:dyDescent="0.3">
      <c r="A30" s="20"/>
      <c r="B30" s="20"/>
      <c r="C30" s="20"/>
      <c r="D30" s="37"/>
      <c r="E30" s="136"/>
    </row>
    <row r="31" spans="1:8" hidden="1" x14ac:dyDescent="0.3">
      <c r="A31" s="23" t="s">
        <v>8</v>
      </c>
      <c r="B31" s="29"/>
      <c r="C31" s="29"/>
      <c r="D31" s="103"/>
      <c r="E31" s="137">
        <f>D27+D30</f>
        <v>0</v>
      </c>
    </row>
    <row r="32" spans="1:8" x14ac:dyDescent="0.3">
      <c r="A32" s="17" t="s">
        <v>40</v>
      </c>
      <c r="B32" s="23"/>
      <c r="C32" s="23"/>
      <c r="D32" s="24"/>
      <c r="E32" s="135"/>
    </row>
    <row r="33" spans="1:7" x14ac:dyDescent="0.3">
      <c r="A33" s="20" t="s">
        <v>90</v>
      </c>
      <c r="B33" s="86"/>
      <c r="C33" s="86"/>
      <c r="D33" s="37"/>
      <c r="E33" s="136"/>
      <c r="G33" s="68"/>
    </row>
    <row r="34" spans="1:7" x14ac:dyDescent="0.3">
      <c r="A34" s="20" t="s">
        <v>42</v>
      </c>
      <c r="B34" s="86"/>
      <c r="C34" s="86"/>
      <c r="D34" s="175"/>
      <c r="E34" s="136"/>
      <c r="G34" s="68"/>
    </row>
    <row r="35" spans="1:7" x14ac:dyDescent="0.3">
      <c r="A35" s="20" t="s">
        <v>44</v>
      </c>
      <c r="B35" s="86"/>
      <c r="C35" s="86"/>
      <c r="D35" s="175"/>
      <c r="E35" s="136"/>
      <c r="G35" s="52"/>
    </row>
    <row r="36" spans="1:7" x14ac:dyDescent="0.3">
      <c r="A36" s="20" t="s">
        <v>43</v>
      </c>
      <c r="B36" s="86"/>
      <c r="C36" s="86"/>
      <c r="D36" s="175"/>
      <c r="E36" s="136"/>
    </row>
    <row r="37" spans="1:7" x14ac:dyDescent="0.3">
      <c r="A37" s="20"/>
      <c r="B37" s="86"/>
      <c r="C37" s="86"/>
      <c r="D37" s="37"/>
      <c r="E37" s="136"/>
    </row>
    <row r="38" spans="1:7" ht="12.75" customHeight="1" x14ac:dyDescent="0.3">
      <c r="A38" s="23" t="s">
        <v>41</v>
      </c>
      <c r="B38" s="23"/>
      <c r="C38" s="23"/>
      <c r="D38" s="24"/>
      <c r="E38" s="43">
        <f>SUM(D33:D37)</f>
        <v>0</v>
      </c>
    </row>
    <row r="39" spans="1:7" x14ac:dyDescent="0.3">
      <c r="A39" s="17" t="s">
        <v>9</v>
      </c>
      <c r="B39" s="23"/>
      <c r="C39" s="23"/>
      <c r="D39" s="25"/>
      <c r="E39" s="137"/>
    </row>
    <row r="40" spans="1:7" ht="26.25" customHeight="1" x14ac:dyDescent="0.3">
      <c r="A40" s="196" t="s">
        <v>96</v>
      </c>
      <c r="B40" s="197"/>
      <c r="C40" s="28"/>
      <c r="D40" s="183">
        <v>0</v>
      </c>
      <c r="E40" s="22"/>
    </row>
    <row r="41" spans="1:7" ht="26.25" customHeight="1" x14ac:dyDescent="0.3">
      <c r="A41" s="196" t="s">
        <v>97</v>
      </c>
      <c r="B41" s="197"/>
      <c r="C41" s="28"/>
      <c r="D41" s="183"/>
      <c r="E41" s="22"/>
    </row>
    <row r="42" spans="1:7" ht="26.25" customHeight="1" x14ac:dyDescent="0.3">
      <c r="A42" s="196" t="s">
        <v>98</v>
      </c>
      <c r="B42" s="197"/>
      <c r="C42" s="28"/>
      <c r="D42" s="183">
        <v>0</v>
      </c>
      <c r="E42" s="22"/>
    </row>
    <row r="43" spans="1:7" x14ac:dyDescent="0.3">
      <c r="A43" s="23" t="s">
        <v>10</v>
      </c>
      <c r="B43" s="23"/>
      <c r="C43" s="23"/>
      <c r="D43" s="24"/>
      <c r="E43" s="43">
        <f>SUM(D40:D42)</f>
        <v>0</v>
      </c>
    </row>
    <row r="44" spans="1:7" x14ac:dyDescent="0.3">
      <c r="A44" s="17" t="s">
        <v>11</v>
      </c>
      <c r="B44" s="29"/>
      <c r="C44" s="29"/>
      <c r="D44" s="30"/>
      <c r="E44" s="138"/>
    </row>
    <row r="45" spans="1:7" ht="14.25" customHeight="1" x14ac:dyDescent="0.3">
      <c r="A45" s="31" t="s">
        <v>12</v>
      </c>
      <c r="B45" s="31"/>
      <c r="C45" s="31"/>
      <c r="D45" s="173"/>
      <c r="E45" s="22"/>
    </row>
    <row r="46" spans="1:7" x14ac:dyDescent="0.3">
      <c r="A46" s="31" t="s">
        <v>93</v>
      </c>
      <c r="B46" s="33"/>
      <c r="C46" s="31"/>
      <c r="D46" s="173"/>
      <c r="E46" s="22"/>
    </row>
    <row r="47" spans="1:7" x14ac:dyDescent="0.3">
      <c r="A47" s="196" t="s">
        <v>94</v>
      </c>
      <c r="B47" s="197"/>
      <c r="C47" s="31"/>
      <c r="D47" s="173"/>
      <c r="E47" s="114"/>
    </row>
    <row r="48" spans="1:7" x14ac:dyDescent="0.3">
      <c r="A48" s="34" t="s">
        <v>92</v>
      </c>
      <c r="B48" s="27"/>
      <c r="C48" s="31"/>
      <c r="D48" s="32"/>
      <c r="E48" s="22"/>
    </row>
    <row r="49" spans="1:6" ht="15" thickBot="1" x14ac:dyDescent="0.35">
      <c r="A49" s="23" t="s">
        <v>13</v>
      </c>
      <c r="B49" s="23"/>
      <c r="C49" s="23"/>
      <c r="D49" s="35"/>
      <c r="E49" s="139">
        <f>SUM(D45:D48)</f>
        <v>0</v>
      </c>
    </row>
    <row r="50" spans="1:6" ht="15" customHeight="1" thickBot="1" x14ac:dyDescent="0.35">
      <c r="A50" s="17" t="s">
        <v>91</v>
      </c>
      <c r="B50" s="23"/>
      <c r="C50" s="23"/>
      <c r="D50" s="24"/>
      <c r="E50" s="140"/>
    </row>
    <row r="51" spans="1:6" ht="21.9" customHeight="1" x14ac:dyDescent="0.3">
      <c r="A51" s="191" t="s">
        <v>95</v>
      </c>
      <c r="B51" s="192"/>
      <c r="C51" s="31"/>
      <c r="D51" s="32">
        <v>250600</v>
      </c>
      <c r="E51" s="36"/>
    </row>
    <row r="52" spans="1:6" ht="17.25" customHeight="1" x14ac:dyDescent="0.3">
      <c r="A52" s="88"/>
      <c r="B52" s="19"/>
      <c r="C52" s="20"/>
      <c r="D52" s="173"/>
      <c r="E52" s="36"/>
      <c r="F52" s="52"/>
    </row>
    <row r="53" spans="1:6" ht="17.25" customHeight="1" x14ac:dyDescent="0.3">
      <c r="A53" s="88"/>
      <c r="B53" s="19"/>
      <c r="C53" s="20"/>
      <c r="D53" s="173"/>
      <c r="E53" s="36"/>
      <c r="F53" s="52"/>
    </row>
    <row r="54" spans="1:6" ht="21.9" customHeight="1" x14ac:dyDescent="0.3">
      <c r="A54" s="88"/>
      <c r="B54" s="19"/>
      <c r="C54" s="20"/>
      <c r="D54" s="173"/>
      <c r="E54" s="146"/>
      <c r="F54" s="52"/>
    </row>
    <row r="55" spans="1:6" ht="21.9" customHeight="1" x14ac:dyDescent="0.3">
      <c r="A55" s="191"/>
      <c r="B55" s="192"/>
      <c r="C55" s="20"/>
      <c r="D55" s="173"/>
      <c r="E55" s="146"/>
      <c r="F55" s="52"/>
    </row>
    <row r="56" spans="1:6" ht="21.9" customHeight="1" x14ac:dyDescent="0.3">
      <c r="A56" s="191"/>
      <c r="B56" s="192"/>
      <c r="C56" s="20"/>
      <c r="D56" s="173"/>
      <c r="E56" s="146"/>
      <c r="F56" s="52"/>
    </row>
    <row r="57" spans="1:6" x14ac:dyDescent="0.3">
      <c r="A57" s="23" t="s">
        <v>0</v>
      </c>
      <c r="B57" s="17"/>
      <c r="C57" s="17"/>
      <c r="D57" s="38"/>
      <c r="E57" s="43">
        <f>SUM(D51:D56)</f>
        <v>250600</v>
      </c>
    </row>
    <row r="58" spans="1:6" x14ac:dyDescent="0.3">
      <c r="A58" s="17" t="s">
        <v>14</v>
      </c>
      <c r="B58" s="17"/>
      <c r="C58" s="17"/>
      <c r="D58" s="18"/>
      <c r="E58" s="132"/>
    </row>
    <row r="59" spans="1:6" ht="15.75" customHeight="1" x14ac:dyDescent="0.3">
      <c r="A59" s="191" t="s">
        <v>84</v>
      </c>
      <c r="B59" s="192"/>
      <c r="C59" s="20"/>
      <c r="D59" s="174">
        <v>0</v>
      </c>
      <c r="E59" s="133"/>
    </row>
    <row r="60" spans="1:6" ht="15.75" customHeight="1" x14ac:dyDescent="0.3">
      <c r="A60" s="88" t="s">
        <v>80</v>
      </c>
      <c r="B60" s="19"/>
      <c r="C60" s="20"/>
      <c r="D60" s="176">
        <v>45000</v>
      </c>
      <c r="E60" s="133"/>
    </row>
    <row r="61" spans="1:6" x14ac:dyDescent="0.3">
      <c r="A61" s="23" t="s">
        <v>8</v>
      </c>
      <c r="B61" s="23"/>
      <c r="C61" s="23"/>
      <c r="D61" s="24"/>
      <c r="E61" s="134">
        <f>SUM(D59:D60)</f>
        <v>45000</v>
      </c>
    </row>
    <row r="62" spans="1:6" x14ac:dyDescent="0.3">
      <c r="A62" s="17" t="s">
        <v>15</v>
      </c>
      <c r="B62" s="39"/>
      <c r="C62" s="23"/>
      <c r="D62" s="40"/>
      <c r="E62" s="43"/>
    </row>
    <row r="63" spans="1:6" x14ac:dyDescent="0.3">
      <c r="A63" s="31" t="s">
        <v>99</v>
      </c>
      <c r="B63" s="87"/>
      <c r="C63" s="87"/>
      <c r="D63" s="115"/>
      <c r="E63" s="141"/>
    </row>
    <row r="64" spans="1:6" x14ac:dyDescent="0.3">
      <c r="A64" s="31" t="s">
        <v>100</v>
      </c>
      <c r="B64" s="87"/>
      <c r="C64" s="87"/>
      <c r="D64" s="188"/>
      <c r="E64" s="141"/>
    </row>
    <row r="65" spans="1:8" x14ac:dyDescent="0.3">
      <c r="A65" s="41" t="s">
        <v>8</v>
      </c>
      <c r="B65" s="41"/>
      <c r="C65" s="41"/>
      <c r="D65" s="42"/>
      <c r="E65" s="43">
        <f>SUM(D63:D64)</f>
        <v>0</v>
      </c>
    </row>
    <row r="66" spans="1:8" x14ac:dyDescent="0.3">
      <c r="A66" s="31"/>
      <c r="B66" s="31"/>
      <c r="C66" s="31"/>
      <c r="D66" s="44"/>
      <c r="E66" s="45"/>
    </row>
    <row r="67" spans="1:8" x14ac:dyDescent="0.3">
      <c r="A67" s="46" t="s">
        <v>16</v>
      </c>
      <c r="B67" s="46"/>
      <c r="C67" s="46"/>
      <c r="D67" s="47"/>
      <c r="E67" s="48"/>
    </row>
    <row r="68" spans="1:8" ht="15" thickBot="1" x14ac:dyDescent="0.35">
      <c r="A68" s="49"/>
      <c r="D68" s="50"/>
      <c r="E68" s="51"/>
      <c r="F68" s="52"/>
    </row>
    <row r="69" spans="1:8" ht="15" thickBot="1" x14ac:dyDescent="0.35">
      <c r="A69" s="53" t="s">
        <v>17</v>
      </c>
      <c r="B69" s="54"/>
      <c r="C69" s="55"/>
      <c r="D69" s="56"/>
      <c r="E69" s="57">
        <f>(SUM(E21:E67))</f>
        <v>295600</v>
      </c>
      <c r="F69" s="58"/>
      <c r="G69" s="52"/>
    </row>
    <row r="70" spans="1:8" x14ac:dyDescent="0.3">
      <c r="D70" s="50"/>
      <c r="E70" s="50"/>
    </row>
    <row r="71" spans="1:8" ht="15" thickBot="1" x14ac:dyDescent="0.35">
      <c r="D71" s="50"/>
      <c r="E71" s="50"/>
      <c r="H71" s="59"/>
    </row>
    <row r="72" spans="1:8" x14ac:dyDescent="0.3">
      <c r="A72" s="12" t="s">
        <v>18</v>
      </c>
      <c r="B72" s="13"/>
      <c r="C72" s="14"/>
      <c r="D72" s="60"/>
      <c r="E72" s="61"/>
    </row>
    <row r="73" spans="1:8" x14ac:dyDescent="0.3">
      <c r="A73" s="199"/>
      <c r="B73" s="200"/>
      <c r="C73" s="31"/>
      <c r="D73" s="186"/>
      <c r="E73" s="187"/>
    </row>
    <row r="74" spans="1:8" ht="15.75" customHeight="1" x14ac:dyDescent="0.3">
      <c r="D74" s="44"/>
      <c r="E74" s="44"/>
    </row>
    <row r="75" spans="1:8" x14ac:dyDescent="0.3">
      <c r="A75" s="26"/>
      <c r="B75" s="63"/>
      <c r="C75" s="31"/>
      <c r="D75" s="37"/>
      <c r="E75" s="62"/>
    </row>
    <row r="76" spans="1:8" x14ac:dyDescent="0.3">
      <c r="A76" s="64" t="s">
        <v>46</v>
      </c>
      <c r="B76" s="65"/>
      <c r="C76" s="65"/>
      <c r="D76" s="112"/>
      <c r="E76" s="142">
        <f>SUM(D73:D75)</f>
        <v>0</v>
      </c>
    </row>
    <row r="77" spans="1:8" ht="15" customHeight="1" x14ac:dyDescent="0.3">
      <c r="D77" s="50"/>
      <c r="E77" s="50"/>
    </row>
    <row r="78" spans="1:8" hidden="1" x14ac:dyDescent="0.3">
      <c r="D78" s="50"/>
      <c r="E78" s="50"/>
    </row>
    <row r="79" spans="1:8" x14ac:dyDescent="0.3">
      <c r="A79" s="46" t="s">
        <v>19</v>
      </c>
      <c r="B79" s="46"/>
      <c r="C79" s="46"/>
      <c r="D79" s="47"/>
      <c r="E79" s="145">
        <v>3000000</v>
      </c>
    </row>
    <row r="80" spans="1:8" ht="15" thickBot="1" x14ac:dyDescent="0.35">
      <c r="D80" s="50"/>
      <c r="E80" s="50"/>
    </row>
    <row r="81" spans="1:6" ht="15" thickBot="1" x14ac:dyDescent="0.35">
      <c r="A81" s="53" t="s">
        <v>20</v>
      </c>
      <c r="B81" s="54"/>
      <c r="C81" s="55"/>
      <c r="D81" s="56"/>
      <c r="E81" s="57">
        <f>E76+E79</f>
        <v>3000000</v>
      </c>
    </row>
    <row r="82" spans="1:6" ht="15" thickBot="1" x14ac:dyDescent="0.35">
      <c r="D82" s="50"/>
      <c r="E82" s="50"/>
    </row>
    <row r="83" spans="1:6" ht="15" thickBot="1" x14ac:dyDescent="0.35">
      <c r="A83" s="66" t="s">
        <v>21</v>
      </c>
      <c r="B83" s="67">
        <f>E69</f>
        <v>295600</v>
      </c>
      <c r="D83" s="50"/>
      <c r="E83" s="50"/>
    </row>
    <row r="84" spans="1:6" ht="15" thickBot="1" x14ac:dyDescent="0.35">
      <c r="A84" s="66" t="s">
        <v>22</v>
      </c>
      <c r="B84" s="67">
        <f>E69-E67</f>
        <v>295600</v>
      </c>
      <c r="D84" s="50"/>
      <c r="E84" s="50"/>
    </row>
    <row r="85" spans="1:6" ht="15" thickBot="1" x14ac:dyDescent="0.35">
      <c r="A85" s="66" t="s">
        <v>23</v>
      </c>
      <c r="B85" s="67">
        <f>E81-E79</f>
        <v>0</v>
      </c>
      <c r="D85" s="50"/>
      <c r="E85" s="50"/>
    </row>
    <row r="86" spans="1:6" ht="15" thickBot="1" x14ac:dyDescent="0.35">
      <c r="A86" s="66" t="s">
        <v>24</v>
      </c>
      <c r="B86" s="67">
        <f>E81</f>
        <v>3000000</v>
      </c>
      <c r="D86" s="50"/>
      <c r="E86" s="50"/>
    </row>
    <row r="87" spans="1:6" x14ac:dyDescent="0.3">
      <c r="D87" s="50"/>
      <c r="E87" s="50"/>
    </row>
    <row r="88" spans="1:6" ht="13.8" customHeight="1" x14ac:dyDescent="0.3">
      <c r="D88" s="50"/>
      <c r="E88" s="50"/>
    </row>
    <row r="89" spans="1:6" s="70" customFormat="1" x14ac:dyDescent="0.3">
      <c r="A89"/>
      <c r="B89" s="68"/>
      <c r="C89" s="69"/>
      <c r="D89" s="143"/>
      <c r="E89" s="143"/>
    </row>
    <row r="90" spans="1:6" s="70" customFormat="1" ht="15.75" customHeight="1" x14ac:dyDescent="0.3">
      <c r="A90" s="148" t="s">
        <v>56</v>
      </c>
      <c r="B90" s="71">
        <v>7386856</v>
      </c>
      <c r="C90" s="69"/>
      <c r="D90" s="144"/>
      <c r="E90" s="144"/>
    </row>
    <row r="91" spans="1:6" x14ac:dyDescent="0.3">
      <c r="A91" s="28" t="s">
        <v>45</v>
      </c>
      <c r="B91" s="72">
        <f>-B84-B85</f>
        <v>-295600</v>
      </c>
      <c r="D91" s="50"/>
      <c r="E91" s="50"/>
    </row>
    <row r="92" spans="1:6" x14ac:dyDescent="0.3">
      <c r="A92" s="28" t="s">
        <v>25</v>
      </c>
      <c r="B92" s="72">
        <f>B102</f>
        <v>0</v>
      </c>
      <c r="D92" s="50"/>
      <c r="E92" s="50"/>
      <c r="F92" s="68"/>
    </row>
    <row r="93" spans="1:6" x14ac:dyDescent="0.3">
      <c r="A93" s="28" t="s">
        <v>2</v>
      </c>
      <c r="B93" s="73">
        <f>PRORRATEO!G59</f>
        <v>6605832</v>
      </c>
      <c r="D93" s="50"/>
      <c r="E93" s="50"/>
      <c r="F93" s="68"/>
    </row>
    <row r="94" spans="1:6" x14ac:dyDescent="0.3">
      <c r="A94" s="28"/>
      <c r="B94" s="130"/>
      <c r="D94" s="50"/>
      <c r="E94" s="50"/>
      <c r="F94" s="68"/>
    </row>
    <row r="95" spans="1:6" ht="15.75" customHeight="1" x14ac:dyDescent="0.3">
      <c r="A95" s="28"/>
      <c r="B95" s="130"/>
      <c r="D95" s="50"/>
      <c r="E95" s="50"/>
      <c r="F95" s="68"/>
    </row>
    <row r="96" spans="1:6" ht="15" thickBot="1" x14ac:dyDescent="0.35">
      <c r="A96" s="74" t="s">
        <v>50</v>
      </c>
      <c r="B96" s="75">
        <f>SUM(B90:C95)</f>
        <v>13697088</v>
      </c>
      <c r="D96" s="68"/>
      <c r="E96" s="52"/>
      <c r="F96" s="52"/>
    </row>
    <row r="97" spans="1:13" ht="34.5" customHeight="1" x14ac:dyDescent="0.3"/>
    <row r="98" spans="1:13" x14ac:dyDescent="0.3">
      <c r="A98" s="198" t="s">
        <v>26</v>
      </c>
      <c r="B98" s="198"/>
      <c r="C98" s="198"/>
    </row>
    <row r="99" spans="1:13" x14ac:dyDescent="0.3">
      <c r="A99" s="198"/>
      <c r="B99" s="198"/>
      <c r="C99" s="198"/>
    </row>
    <row r="100" spans="1:13" ht="27" customHeight="1" x14ac:dyDescent="0.3">
      <c r="A100" s="76"/>
      <c r="B100" s="111"/>
      <c r="C100" s="77"/>
      <c r="D100" s="58"/>
    </row>
    <row r="101" spans="1:13" ht="27" customHeight="1" x14ac:dyDescent="0.3">
      <c r="A101" s="131"/>
      <c r="B101" s="111"/>
      <c r="C101" s="77"/>
      <c r="D101" s="58"/>
    </row>
    <row r="102" spans="1:13" x14ac:dyDescent="0.3">
      <c r="A102" s="78" t="s">
        <v>0</v>
      </c>
      <c r="B102" s="79">
        <f>SUM(B100:B101)</f>
        <v>0</v>
      </c>
      <c r="C102" s="80"/>
    </row>
    <row r="103" spans="1:13" x14ac:dyDescent="0.3">
      <c r="M103" s="81"/>
    </row>
  </sheetData>
  <mergeCells count="17">
    <mergeCell ref="A41:B41"/>
    <mergeCell ref="A98:C99"/>
    <mergeCell ref="A51:B51"/>
    <mergeCell ref="A56:B56"/>
    <mergeCell ref="A73:B73"/>
    <mergeCell ref="B1:E1"/>
    <mergeCell ref="A24:B24"/>
    <mergeCell ref="A59:B59"/>
    <mergeCell ref="B3:E3"/>
    <mergeCell ref="B8:C10"/>
    <mergeCell ref="A13:E16"/>
    <mergeCell ref="A22:B22"/>
    <mergeCell ref="A23:B23"/>
    <mergeCell ref="A47:B47"/>
    <mergeCell ref="A40:B40"/>
    <mergeCell ref="A42:B42"/>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67"/>
  <sheetViews>
    <sheetView zoomScaleNormal="100" workbookViewId="0">
      <selection activeCell="F12" sqref="F12:G57"/>
    </sheetView>
  </sheetViews>
  <sheetFormatPr baseColWidth="10" defaultColWidth="10.88671875" defaultRowHeight="14.4" x14ac:dyDescent="0.3"/>
  <cols>
    <col min="1" max="1" width="4.33203125" customWidth="1"/>
    <col min="2" max="2" width="5.6640625" customWidth="1"/>
    <col min="3" max="3" width="25.5546875" customWidth="1"/>
    <col min="4" max="4" width="0.109375" customWidth="1"/>
    <col min="5" max="5" width="8.44140625" customWidth="1"/>
    <col min="6" max="6" width="14.109375" customWidth="1"/>
    <col min="7" max="7" width="12.33203125" customWidth="1"/>
    <col min="8" max="8" width="10.5546875" customWidth="1"/>
    <col min="9" max="9" width="9.5546875" customWidth="1"/>
    <col min="10" max="10" width="12.44140625" customWidth="1"/>
    <col min="11" max="11" width="14.44140625" customWidth="1"/>
    <col min="12"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89"/>
      <c r="B1" s="240"/>
      <c r="C1" s="90"/>
      <c r="D1" s="90"/>
      <c r="E1" s="204"/>
      <c r="F1" s="204"/>
      <c r="G1" s="204"/>
      <c r="H1" s="204"/>
      <c r="I1" s="204"/>
      <c r="J1" s="204"/>
      <c r="K1" s="204"/>
      <c r="L1" s="204"/>
      <c r="M1" s="204"/>
      <c r="N1" s="91"/>
    </row>
    <row r="2" spans="1:16" ht="12.9" customHeight="1" x14ac:dyDescent="0.3">
      <c r="A2" s="92"/>
      <c r="B2" s="241"/>
      <c r="C2" s="93"/>
      <c r="D2" s="94"/>
      <c r="E2" s="94" t="s">
        <v>27</v>
      </c>
      <c r="F2" s="225">
        <v>3000000</v>
      </c>
      <c r="G2" s="225"/>
      <c r="H2" s="94"/>
      <c r="I2" s="94"/>
      <c r="J2" s="94" t="s">
        <v>28</v>
      </c>
      <c r="K2" s="95">
        <f>P2+P2*5%</f>
        <v>13312274.0625</v>
      </c>
      <c r="L2" s="95"/>
      <c r="M2" s="96"/>
      <c r="N2" s="97"/>
      <c r="O2" s="82"/>
      <c r="P2">
        <v>12678356.25</v>
      </c>
    </row>
    <row r="3" spans="1:16" ht="12.9" customHeight="1" thickBot="1" x14ac:dyDescent="0.35">
      <c r="A3" s="98"/>
      <c r="B3" s="242"/>
      <c r="C3" s="99"/>
      <c r="D3" s="99"/>
      <c r="E3" s="99"/>
      <c r="F3" s="99"/>
      <c r="G3" s="100"/>
      <c r="H3" s="99"/>
      <c r="I3" s="99"/>
      <c r="J3" s="99"/>
      <c r="K3" s="99"/>
      <c r="L3" s="99"/>
      <c r="M3" s="101"/>
      <c r="N3" s="102"/>
      <c r="O3" s="82"/>
    </row>
    <row r="4" spans="1:16" ht="12.9" customHeight="1" x14ac:dyDescent="0.3">
      <c r="A4" s="205" t="s">
        <v>49</v>
      </c>
      <c r="B4" s="243"/>
      <c r="C4" s="206"/>
      <c r="D4" s="206"/>
      <c r="E4" s="206"/>
      <c r="F4" s="206"/>
      <c r="G4" s="206"/>
      <c r="H4" s="206"/>
      <c r="I4" s="206"/>
      <c r="J4" s="206"/>
      <c r="K4" s="206"/>
      <c r="L4" s="206"/>
      <c r="M4" s="206"/>
      <c r="N4" s="207"/>
      <c r="O4" s="82"/>
    </row>
    <row r="5" spans="1:16" ht="12.9" customHeight="1" x14ac:dyDescent="0.3">
      <c r="A5" s="208"/>
      <c r="B5" s="244"/>
      <c r="C5" s="209"/>
      <c r="D5" s="209"/>
      <c r="E5" s="209"/>
      <c r="F5" s="209"/>
      <c r="G5" s="209"/>
      <c r="H5" s="209"/>
      <c r="I5" s="209"/>
      <c r="J5" s="209"/>
      <c r="K5" s="209"/>
      <c r="L5" s="209"/>
      <c r="M5" s="209"/>
      <c r="N5" s="210"/>
      <c r="O5" s="82"/>
    </row>
    <row r="6" spans="1:16" ht="12.9" customHeight="1" x14ac:dyDescent="0.3">
      <c r="A6" s="208"/>
      <c r="B6" s="244"/>
      <c r="C6" s="209"/>
      <c r="D6" s="209"/>
      <c r="E6" s="209"/>
      <c r="F6" s="209"/>
      <c r="G6" s="209"/>
      <c r="H6" s="209"/>
      <c r="I6" s="209"/>
      <c r="J6" s="209"/>
      <c r="K6" s="209"/>
      <c r="L6" s="209"/>
      <c r="M6" s="209"/>
      <c r="N6" s="210"/>
      <c r="O6" s="82"/>
    </row>
    <row r="7" spans="1:16" ht="12.9" customHeight="1" x14ac:dyDescent="0.3">
      <c r="A7" s="208"/>
      <c r="B7" s="244"/>
      <c r="C7" s="209"/>
      <c r="D7" s="209"/>
      <c r="E7" s="209"/>
      <c r="F7" s="209"/>
      <c r="G7" s="209"/>
      <c r="H7" s="209"/>
      <c r="I7" s="209"/>
      <c r="J7" s="209"/>
      <c r="K7" s="209"/>
      <c r="L7" s="209"/>
      <c r="M7" s="209"/>
      <c r="N7" s="210"/>
      <c r="O7" s="82"/>
    </row>
    <row r="8" spans="1:16" ht="192" customHeight="1" thickBot="1" x14ac:dyDescent="0.35">
      <c r="A8" s="211"/>
      <c r="B8" s="212"/>
      <c r="C8" s="212"/>
      <c r="D8" s="212"/>
      <c r="E8" s="212"/>
      <c r="F8" s="212"/>
      <c r="G8" s="212"/>
      <c r="H8" s="212"/>
      <c r="I8" s="212"/>
      <c r="J8" s="212"/>
      <c r="K8" s="212"/>
      <c r="L8" s="212"/>
      <c r="M8" s="212"/>
      <c r="N8" s="213"/>
    </row>
    <row r="9" spans="1:16" ht="48" customHeight="1" thickBot="1" x14ac:dyDescent="0.35">
      <c r="A9" s="222" t="s">
        <v>48</v>
      </c>
      <c r="B9" s="223"/>
      <c r="C9" s="223"/>
      <c r="D9" s="223"/>
      <c r="E9" s="223"/>
      <c r="F9" s="223"/>
      <c r="G9" s="223"/>
      <c r="H9" s="223"/>
      <c r="I9" s="223"/>
      <c r="J9" s="223"/>
      <c r="K9" s="223"/>
      <c r="L9" s="223"/>
      <c r="M9" s="223"/>
      <c r="N9" s="224"/>
    </row>
    <row r="10" spans="1:16" x14ac:dyDescent="0.3">
      <c r="A10" s="214" t="s">
        <v>29</v>
      </c>
      <c r="B10" s="247" t="s">
        <v>101</v>
      </c>
      <c r="C10" s="216" t="s">
        <v>30</v>
      </c>
      <c r="D10" s="216" t="s">
        <v>31</v>
      </c>
      <c r="E10" s="216" t="s">
        <v>32</v>
      </c>
      <c r="F10" s="218" t="s">
        <v>33</v>
      </c>
      <c r="G10" s="216" t="s">
        <v>34</v>
      </c>
      <c r="H10" s="220" t="s">
        <v>35</v>
      </c>
      <c r="I10" s="218" t="s">
        <v>36</v>
      </c>
      <c r="J10" s="218" t="s">
        <v>28</v>
      </c>
      <c r="K10" s="218" t="s">
        <v>27</v>
      </c>
      <c r="L10" s="226" t="s">
        <v>54</v>
      </c>
      <c r="M10" s="127" t="s">
        <v>37</v>
      </c>
      <c r="N10" s="201" t="s">
        <v>38</v>
      </c>
    </row>
    <row r="11" spans="1:16" ht="15.75" customHeight="1" x14ac:dyDescent="0.3">
      <c r="A11" s="215"/>
      <c r="B11" s="248"/>
      <c r="C11" s="217"/>
      <c r="D11" s="217"/>
      <c r="E11" s="217"/>
      <c r="F11" s="219"/>
      <c r="G11" s="217"/>
      <c r="H11" s="221"/>
      <c r="I11" s="219"/>
      <c r="J11" s="219"/>
      <c r="K11" s="219"/>
      <c r="L11" s="227"/>
      <c r="M11" s="128" t="str">
        <f>RESUMEN!B8</f>
        <v>VTO 18/06</v>
      </c>
      <c r="N11" s="202"/>
    </row>
    <row r="12" spans="1:16" ht="17.100000000000001" customHeight="1" x14ac:dyDescent="0.3">
      <c r="A12" s="117">
        <v>1</v>
      </c>
      <c r="B12" s="245" t="s">
        <v>102</v>
      </c>
      <c r="C12" s="104" t="s">
        <v>148</v>
      </c>
      <c r="D12" s="104"/>
      <c r="E12" s="106">
        <v>5.22</v>
      </c>
      <c r="F12" s="83">
        <v>361399</v>
      </c>
      <c r="G12" s="184">
        <v>361399</v>
      </c>
      <c r="H12" s="107">
        <f t="shared" ref="H12:H57" si="0">F12-G12</f>
        <v>0</v>
      </c>
      <c r="I12" s="107">
        <f>IF(H12&gt;0,H12*3%,0)</f>
        <v>0</v>
      </c>
      <c r="J12" s="116">
        <f t="shared" ref="J12:J43" si="1">K$2*E12/100</f>
        <v>694900.70606250002</v>
      </c>
      <c r="K12" s="116">
        <f t="shared" ref="K12:K43" si="2">F$2*E12/100</f>
        <v>156600</v>
      </c>
      <c r="L12" s="116"/>
      <c r="M12" s="108">
        <f>ROUND(SUM(H12:L12),0) + O12</f>
        <v>851501.01</v>
      </c>
      <c r="N12" s="125">
        <f t="shared" ref="N12:N32" si="3">ROUND(M12*3%,0) + M12</f>
        <v>877046.01</v>
      </c>
      <c r="O12" s="52">
        <v>0.01</v>
      </c>
    </row>
    <row r="13" spans="1:16" ht="17.100000000000001" customHeight="1" x14ac:dyDescent="0.3">
      <c r="A13" s="117">
        <v>2</v>
      </c>
      <c r="B13" s="245" t="s">
        <v>105</v>
      </c>
      <c r="C13" s="104" t="s">
        <v>149</v>
      </c>
      <c r="D13" s="109"/>
      <c r="E13" s="106">
        <v>3.4</v>
      </c>
      <c r="F13" s="83">
        <v>235394</v>
      </c>
      <c r="G13" s="184">
        <v>240000</v>
      </c>
      <c r="H13" s="107">
        <f t="shared" si="0"/>
        <v>-4606</v>
      </c>
      <c r="I13" s="107">
        <f t="shared" ref="I13:I57" si="4">IF(H13&gt;0,H13*3%,0)</f>
        <v>0</v>
      </c>
      <c r="J13" s="116">
        <f t="shared" si="1"/>
        <v>452617.31812499999</v>
      </c>
      <c r="K13" s="116">
        <f t="shared" si="2"/>
        <v>102000</v>
      </c>
      <c r="L13" s="116"/>
      <c r="M13" s="108">
        <f>ROUND(SUM(H13:L13),0) + O13</f>
        <v>550011.02</v>
      </c>
      <c r="N13" s="125">
        <f t="shared" si="3"/>
        <v>566511.02</v>
      </c>
      <c r="O13" s="52">
        <f>O12+0.01</f>
        <v>0.02</v>
      </c>
    </row>
    <row r="14" spans="1:16" ht="17.100000000000001" customHeight="1" x14ac:dyDescent="0.3">
      <c r="A14" s="117">
        <v>3</v>
      </c>
      <c r="B14" s="245" t="s">
        <v>106</v>
      </c>
      <c r="C14" s="104" t="s">
        <v>150</v>
      </c>
      <c r="D14" s="109"/>
      <c r="E14" s="106">
        <v>2.54</v>
      </c>
      <c r="F14" s="83">
        <v>178804</v>
      </c>
      <c r="G14" s="184">
        <v>179000</v>
      </c>
      <c r="H14" s="107">
        <f t="shared" si="0"/>
        <v>-196</v>
      </c>
      <c r="I14" s="107">
        <f t="shared" si="4"/>
        <v>0</v>
      </c>
      <c r="J14" s="116">
        <f t="shared" si="1"/>
        <v>338131.76118749997</v>
      </c>
      <c r="K14" s="116">
        <f t="shared" si="2"/>
        <v>76200</v>
      </c>
      <c r="L14" s="116"/>
      <c r="M14" s="108">
        <f>ROUND(SUM(H14:L14),0) + O14</f>
        <v>414136.03</v>
      </c>
      <c r="N14" s="125">
        <f t="shared" si="3"/>
        <v>426560.03</v>
      </c>
      <c r="O14" s="52">
        <f t="shared" ref="O14:O29" si="5">O13+0.01</f>
        <v>0.03</v>
      </c>
    </row>
    <row r="15" spans="1:16" ht="17.100000000000001" customHeight="1" x14ac:dyDescent="0.3">
      <c r="A15" s="117">
        <v>4</v>
      </c>
      <c r="B15" s="245" t="s">
        <v>107</v>
      </c>
      <c r="C15" s="104" t="s">
        <v>151</v>
      </c>
      <c r="D15" s="109"/>
      <c r="E15" s="106">
        <v>5.19</v>
      </c>
      <c r="F15" s="83">
        <v>358430</v>
      </c>
      <c r="G15" s="184">
        <v>357538</v>
      </c>
      <c r="H15" s="107">
        <f t="shared" si="0"/>
        <v>892</v>
      </c>
      <c r="I15" s="107">
        <f t="shared" si="4"/>
        <v>26.759999999999998</v>
      </c>
      <c r="J15" s="116">
        <f t="shared" si="1"/>
        <v>690907.02384375001</v>
      </c>
      <c r="K15" s="116">
        <f t="shared" si="2"/>
        <v>155700.00000000003</v>
      </c>
      <c r="L15" s="116"/>
      <c r="M15" s="108">
        <f>ROUND(SUM(H15:L15),0) + O15</f>
        <v>847526.04</v>
      </c>
      <c r="N15" s="125">
        <f t="shared" si="3"/>
        <v>872952.04</v>
      </c>
      <c r="O15" s="52">
        <f t="shared" si="5"/>
        <v>0.04</v>
      </c>
    </row>
    <row r="16" spans="1:16" ht="17.100000000000001" customHeight="1" x14ac:dyDescent="0.3">
      <c r="A16" s="117">
        <v>5</v>
      </c>
      <c r="B16" s="245" t="s">
        <v>103</v>
      </c>
      <c r="C16" s="104" t="s">
        <v>152</v>
      </c>
      <c r="D16" s="104"/>
      <c r="E16" s="106">
        <v>3.4</v>
      </c>
      <c r="F16" s="83">
        <v>235394</v>
      </c>
      <c r="G16" s="184">
        <v>235394</v>
      </c>
      <c r="H16" s="107">
        <f t="shared" si="0"/>
        <v>0</v>
      </c>
      <c r="I16" s="107">
        <f t="shared" si="4"/>
        <v>0</v>
      </c>
      <c r="J16" s="116">
        <f t="shared" si="1"/>
        <v>452617.31812499999</v>
      </c>
      <c r="K16" s="116">
        <f t="shared" si="2"/>
        <v>102000</v>
      </c>
      <c r="L16" s="116"/>
      <c r="M16" s="108">
        <f>ROUND(SUM(H16:L16),0) + O16</f>
        <v>554617.05000000005</v>
      </c>
      <c r="N16" s="125">
        <f t="shared" si="3"/>
        <v>571256.05000000005</v>
      </c>
      <c r="O16" s="52">
        <f t="shared" si="5"/>
        <v>0.05</v>
      </c>
    </row>
    <row r="17" spans="1:15" ht="17.100000000000001" customHeight="1" x14ac:dyDescent="0.3">
      <c r="A17" s="117">
        <v>6</v>
      </c>
      <c r="B17" s="245" t="s">
        <v>108</v>
      </c>
      <c r="C17" s="104" t="s">
        <v>149</v>
      </c>
      <c r="D17" s="104"/>
      <c r="E17" s="106">
        <v>2.54</v>
      </c>
      <c r="F17" s="83">
        <v>343733</v>
      </c>
      <c r="G17" s="184">
        <v>343733</v>
      </c>
      <c r="H17" s="107">
        <f t="shared" si="0"/>
        <v>0</v>
      </c>
      <c r="I17" s="107">
        <f t="shared" si="4"/>
        <v>0</v>
      </c>
      <c r="J17" s="116">
        <f t="shared" si="1"/>
        <v>338131.76118749997</v>
      </c>
      <c r="K17" s="116">
        <f t="shared" si="2"/>
        <v>76200</v>
      </c>
      <c r="L17" s="116"/>
      <c r="M17" s="108">
        <f>ROUND(SUM(H17:L17),0) + O17</f>
        <v>414332.06</v>
      </c>
      <c r="N17" s="125">
        <f t="shared" si="3"/>
        <v>426762.06</v>
      </c>
      <c r="O17" s="52">
        <f t="shared" si="5"/>
        <v>6.0000000000000005E-2</v>
      </c>
    </row>
    <row r="18" spans="1:15" ht="17.100000000000001" customHeight="1" x14ac:dyDescent="0.3">
      <c r="A18" s="117">
        <v>7</v>
      </c>
      <c r="B18" s="245" t="s">
        <v>109</v>
      </c>
      <c r="C18" s="104" t="s">
        <v>153</v>
      </c>
      <c r="D18" s="104"/>
      <c r="E18" s="106">
        <v>5.19</v>
      </c>
      <c r="F18" s="83">
        <v>359322</v>
      </c>
      <c r="G18" s="184">
        <v>359322</v>
      </c>
      <c r="H18" s="107">
        <f t="shared" si="0"/>
        <v>0</v>
      </c>
      <c r="I18" s="107">
        <f t="shared" si="4"/>
        <v>0</v>
      </c>
      <c r="J18" s="116">
        <f t="shared" si="1"/>
        <v>690907.02384375001</v>
      </c>
      <c r="K18" s="116">
        <f t="shared" si="2"/>
        <v>155700.00000000003</v>
      </c>
      <c r="L18" s="116"/>
      <c r="M18" s="108">
        <f>ROUND(SUM(H18:L18),0) + O18</f>
        <v>846607.07</v>
      </c>
      <c r="N18" s="125">
        <f t="shared" si="3"/>
        <v>872005.07</v>
      </c>
      <c r="O18" s="52">
        <f t="shared" si="5"/>
        <v>7.0000000000000007E-2</v>
      </c>
    </row>
    <row r="19" spans="1:15" ht="17.100000000000001" customHeight="1" x14ac:dyDescent="0.3">
      <c r="A19" s="117">
        <v>8</v>
      </c>
      <c r="B19" s="245" t="s">
        <v>110</v>
      </c>
      <c r="C19" s="104" t="s">
        <v>154</v>
      </c>
      <c r="D19" s="109"/>
      <c r="E19" s="106">
        <v>3.4</v>
      </c>
      <c r="F19" s="83">
        <v>235394</v>
      </c>
      <c r="G19" s="184">
        <v>235394</v>
      </c>
      <c r="H19" s="107">
        <f t="shared" si="0"/>
        <v>0</v>
      </c>
      <c r="I19" s="107">
        <f t="shared" si="4"/>
        <v>0</v>
      </c>
      <c r="J19" s="116">
        <f t="shared" si="1"/>
        <v>452617.31812499999</v>
      </c>
      <c r="K19" s="116">
        <f t="shared" si="2"/>
        <v>102000</v>
      </c>
      <c r="L19" s="116"/>
      <c r="M19" s="108">
        <f>ROUND(SUM(H19:L19),0) + O19</f>
        <v>554617.07999999996</v>
      </c>
      <c r="N19" s="125">
        <f t="shared" si="3"/>
        <v>571256.07999999996</v>
      </c>
      <c r="O19" s="52">
        <f t="shared" si="5"/>
        <v>0.08</v>
      </c>
    </row>
    <row r="20" spans="1:15" ht="17.100000000000001" customHeight="1" x14ac:dyDescent="0.3">
      <c r="A20" s="117">
        <v>9</v>
      </c>
      <c r="B20" s="245" t="s">
        <v>104</v>
      </c>
      <c r="C20" s="104" t="s">
        <v>149</v>
      </c>
      <c r="D20" s="109"/>
      <c r="E20" s="106">
        <v>2.54</v>
      </c>
      <c r="F20" s="83">
        <v>180600</v>
      </c>
      <c r="G20" s="184">
        <v>180600</v>
      </c>
      <c r="H20" s="107">
        <f t="shared" si="0"/>
        <v>0</v>
      </c>
      <c r="I20" s="107">
        <f t="shared" si="4"/>
        <v>0</v>
      </c>
      <c r="J20" s="116">
        <f t="shared" si="1"/>
        <v>338131.76118749997</v>
      </c>
      <c r="K20" s="116">
        <f t="shared" si="2"/>
        <v>76200</v>
      </c>
      <c r="L20" s="116"/>
      <c r="M20" s="108">
        <f>ROUND(SUM(H20:L20),0) + O20</f>
        <v>414332.09</v>
      </c>
      <c r="N20" s="125">
        <f t="shared" si="3"/>
        <v>426762.09</v>
      </c>
      <c r="O20" s="52">
        <f t="shared" si="5"/>
        <v>0.09</v>
      </c>
    </row>
    <row r="21" spans="1:15" ht="17.100000000000001" customHeight="1" x14ac:dyDescent="0.3">
      <c r="A21" s="117">
        <v>10</v>
      </c>
      <c r="B21" s="245" t="s">
        <v>111</v>
      </c>
      <c r="C21" s="104" t="s">
        <v>155</v>
      </c>
      <c r="D21" s="109"/>
      <c r="E21" s="106">
        <v>5.19</v>
      </c>
      <c r="F21" s="83">
        <v>359322</v>
      </c>
      <c r="G21" s="184">
        <v>359322</v>
      </c>
      <c r="H21" s="107">
        <f t="shared" si="0"/>
        <v>0</v>
      </c>
      <c r="I21" s="107">
        <f t="shared" si="4"/>
        <v>0</v>
      </c>
      <c r="J21" s="116" t="s">
        <v>85</v>
      </c>
      <c r="K21" s="116">
        <f t="shared" si="2"/>
        <v>155700.00000000003</v>
      </c>
      <c r="L21" s="116"/>
      <c r="M21" s="108">
        <f>ROUND(SUM(H21:L21),0) + O21</f>
        <v>155700.1</v>
      </c>
      <c r="N21" s="125">
        <f t="shared" si="3"/>
        <v>160371.1</v>
      </c>
      <c r="O21" s="52">
        <f t="shared" si="5"/>
        <v>9.9999999999999992E-2</v>
      </c>
    </row>
    <row r="22" spans="1:15" ht="17.100000000000001" customHeight="1" x14ac:dyDescent="0.3">
      <c r="A22" s="117">
        <v>11</v>
      </c>
      <c r="B22" s="245" t="s">
        <v>112</v>
      </c>
      <c r="C22" s="104" t="s">
        <v>156</v>
      </c>
      <c r="D22" s="109"/>
      <c r="E22" s="106">
        <v>3.4</v>
      </c>
      <c r="F22" s="83">
        <v>241955</v>
      </c>
      <c r="G22" s="184">
        <v>241955</v>
      </c>
      <c r="H22" s="107">
        <f t="shared" si="0"/>
        <v>0</v>
      </c>
      <c r="I22" s="107">
        <f t="shared" si="4"/>
        <v>0</v>
      </c>
      <c r="J22" s="116">
        <f t="shared" si="1"/>
        <v>452617.31812499999</v>
      </c>
      <c r="K22" s="116">
        <f t="shared" si="2"/>
        <v>102000</v>
      </c>
      <c r="L22" s="116"/>
      <c r="M22" s="108">
        <f>ROUND(SUM(H22:L22),0) + O22</f>
        <v>554617.11</v>
      </c>
      <c r="N22" s="125">
        <f t="shared" si="3"/>
        <v>571256.11</v>
      </c>
      <c r="O22" s="52">
        <f t="shared" si="5"/>
        <v>0.10999999999999999</v>
      </c>
    </row>
    <row r="23" spans="1:15" ht="17.25" customHeight="1" x14ac:dyDescent="0.3">
      <c r="A23" s="117">
        <v>12</v>
      </c>
      <c r="B23" s="245" t="s">
        <v>113</v>
      </c>
      <c r="C23" s="104" t="s">
        <v>157</v>
      </c>
      <c r="D23" s="109"/>
      <c r="E23" s="106">
        <v>2.54</v>
      </c>
      <c r="F23" s="83">
        <v>175853</v>
      </c>
      <c r="G23" s="184">
        <v>175853</v>
      </c>
      <c r="H23" s="107">
        <f t="shared" si="0"/>
        <v>0</v>
      </c>
      <c r="I23" s="107">
        <f t="shared" si="4"/>
        <v>0</v>
      </c>
      <c r="J23" s="116">
        <f t="shared" si="1"/>
        <v>338131.76118749997</v>
      </c>
      <c r="K23" s="116">
        <f t="shared" si="2"/>
        <v>76200</v>
      </c>
      <c r="L23" s="116"/>
      <c r="M23" s="108">
        <f>ROUND(SUM(H23:L23),0) + O23</f>
        <v>414332.12</v>
      </c>
      <c r="N23" s="125">
        <f t="shared" si="3"/>
        <v>426762.12</v>
      </c>
      <c r="O23" s="52">
        <f t="shared" si="5"/>
        <v>0.11999999999999998</v>
      </c>
    </row>
    <row r="24" spans="1:15" ht="17.100000000000001" customHeight="1" x14ac:dyDescent="0.3">
      <c r="A24" s="117">
        <v>13</v>
      </c>
      <c r="B24" s="245" t="s">
        <v>114</v>
      </c>
      <c r="C24" s="104" t="s">
        <v>158</v>
      </c>
      <c r="D24" s="109"/>
      <c r="E24" s="106">
        <v>5.19</v>
      </c>
      <c r="F24" s="83">
        <v>359322</v>
      </c>
      <c r="G24" s="184">
        <v>359322</v>
      </c>
      <c r="H24" s="107">
        <f t="shared" si="0"/>
        <v>0</v>
      </c>
      <c r="I24" s="107">
        <f t="shared" si="4"/>
        <v>0</v>
      </c>
      <c r="J24" s="116">
        <f t="shared" si="1"/>
        <v>690907.02384375001</v>
      </c>
      <c r="K24" s="116">
        <f t="shared" si="2"/>
        <v>155700.00000000003</v>
      </c>
      <c r="L24" s="116"/>
      <c r="M24" s="108">
        <f>ROUND(SUM(H24:L24),0) + O24</f>
        <v>846607.13</v>
      </c>
      <c r="N24" s="125">
        <f t="shared" si="3"/>
        <v>872005.13</v>
      </c>
      <c r="O24" s="52">
        <f t="shared" si="5"/>
        <v>0.12999999999999998</v>
      </c>
    </row>
    <row r="25" spans="1:15" ht="17.100000000000001" customHeight="1" x14ac:dyDescent="0.3">
      <c r="A25" s="117">
        <v>14</v>
      </c>
      <c r="B25" s="245" t="s">
        <v>115</v>
      </c>
      <c r="C25" s="104" t="s">
        <v>159</v>
      </c>
      <c r="D25" s="109"/>
      <c r="E25" s="106">
        <v>3.4</v>
      </c>
      <c r="F25" s="83">
        <v>234610</v>
      </c>
      <c r="G25" s="184">
        <v>234010</v>
      </c>
      <c r="H25" s="107">
        <f t="shared" si="0"/>
        <v>600</v>
      </c>
      <c r="I25" s="107">
        <f t="shared" si="4"/>
        <v>18</v>
      </c>
      <c r="J25" s="116">
        <f t="shared" si="1"/>
        <v>452617.31812499999</v>
      </c>
      <c r="K25" s="116">
        <f t="shared" si="2"/>
        <v>102000</v>
      </c>
      <c r="L25" s="116"/>
      <c r="M25" s="108">
        <f>ROUND(SUM(H25:L25),0) + O25</f>
        <v>555235.14</v>
      </c>
      <c r="N25" s="125">
        <f t="shared" si="3"/>
        <v>571892.14</v>
      </c>
      <c r="O25" s="52">
        <f t="shared" si="5"/>
        <v>0.13999999999999999</v>
      </c>
    </row>
    <row r="26" spans="1:15" ht="17.100000000000001" customHeight="1" x14ac:dyDescent="0.3">
      <c r="A26" s="117">
        <v>15</v>
      </c>
      <c r="B26" s="245" t="s">
        <v>116</v>
      </c>
      <c r="C26" s="104" t="s">
        <v>160</v>
      </c>
      <c r="D26" s="109"/>
      <c r="E26" s="106">
        <v>2.54</v>
      </c>
      <c r="F26" s="83">
        <v>175853</v>
      </c>
      <c r="G26" s="184">
        <v>141732</v>
      </c>
      <c r="H26" s="107">
        <f t="shared" si="0"/>
        <v>34121</v>
      </c>
      <c r="I26" s="107">
        <f t="shared" si="4"/>
        <v>1023.63</v>
      </c>
      <c r="J26" s="116">
        <f t="shared" si="1"/>
        <v>338131.76118749997</v>
      </c>
      <c r="K26" s="116">
        <f t="shared" si="2"/>
        <v>76200</v>
      </c>
      <c r="L26" s="116"/>
      <c r="M26" s="108">
        <f>ROUND(SUM(H26:L26),0) + O26</f>
        <v>449476.15</v>
      </c>
      <c r="N26" s="125">
        <f t="shared" si="3"/>
        <v>462960.15</v>
      </c>
      <c r="O26" s="52">
        <f t="shared" si="5"/>
        <v>0.15</v>
      </c>
    </row>
    <row r="27" spans="1:15" ht="17.100000000000001" customHeight="1" x14ac:dyDescent="0.3">
      <c r="A27" s="117">
        <v>16</v>
      </c>
      <c r="B27" s="245" t="s">
        <v>117</v>
      </c>
      <c r="C27" s="104" t="s">
        <v>161</v>
      </c>
      <c r="D27" s="104"/>
      <c r="E27" s="106">
        <v>5.19</v>
      </c>
      <c r="F27" s="83">
        <v>359322</v>
      </c>
      <c r="G27" s="184">
        <v>359322</v>
      </c>
      <c r="H27" s="107">
        <f t="shared" si="0"/>
        <v>0</v>
      </c>
      <c r="I27" s="107">
        <f t="shared" si="4"/>
        <v>0</v>
      </c>
      <c r="J27" s="116">
        <f t="shared" si="1"/>
        <v>690907.02384375001</v>
      </c>
      <c r="K27" s="116">
        <f t="shared" si="2"/>
        <v>155700.00000000003</v>
      </c>
      <c r="L27" s="116"/>
      <c r="M27" s="108">
        <f>ROUND(SUM(H27:L27),0) + O27</f>
        <v>846607.16</v>
      </c>
      <c r="N27" s="125">
        <f t="shared" si="3"/>
        <v>872005.16</v>
      </c>
      <c r="O27" s="52">
        <f t="shared" si="5"/>
        <v>0.16</v>
      </c>
    </row>
    <row r="28" spans="1:15" ht="17.100000000000001" customHeight="1" x14ac:dyDescent="0.3">
      <c r="A28" s="117">
        <v>17</v>
      </c>
      <c r="B28" s="245" t="s">
        <v>118</v>
      </c>
      <c r="C28" s="104" t="s">
        <v>162</v>
      </c>
      <c r="D28" s="109"/>
      <c r="E28" s="106">
        <v>3.4</v>
      </c>
      <c r="F28" s="83">
        <v>235394</v>
      </c>
      <c r="G28" s="184">
        <v>221794</v>
      </c>
      <c r="H28" s="107">
        <f t="shared" si="0"/>
        <v>13600</v>
      </c>
      <c r="I28" s="107">
        <f t="shared" si="4"/>
        <v>408</v>
      </c>
      <c r="J28" s="116">
        <f t="shared" si="1"/>
        <v>452617.31812499999</v>
      </c>
      <c r="K28" s="116">
        <f t="shared" si="2"/>
        <v>102000</v>
      </c>
      <c r="L28" s="116"/>
      <c r="M28" s="108">
        <f>ROUND(SUM(H28:L28),0) + O28</f>
        <v>568625.17000000004</v>
      </c>
      <c r="N28" s="125">
        <f t="shared" si="3"/>
        <v>585684.17000000004</v>
      </c>
      <c r="O28" s="52">
        <f t="shared" si="5"/>
        <v>0.17</v>
      </c>
    </row>
    <row r="29" spans="1:15" ht="17.100000000000001" customHeight="1" x14ac:dyDescent="0.3">
      <c r="A29" s="117">
        <v>18</v>
      </c>
      <c r="B29" s="245" t="s">
        <v>119</v>
      </c>
      <c r="C29" s="104" t="s">
        <v>163</v>
      </c>
      <c r="D29" s="105"/>
      <c r="E29" s="106">
        <v>2.54</v>
      </c>
      <c r="F29" s="83">
        <v>1184619</v>
      </c>
      <c r="G29" s="184"/>
      <c r="H29" s="107">
        <f t="shared" si="0"/>
        <v>1184619</v>
      </c>
      <c r="I29" s="107">
        <f t="shared" si="4"/>
        <v>35538.57</v>
      </c>
      <c r="J29" s="116">
        <f t="shared" si="1"/>
        <v>338131.76118749997</v>
      </c>
      <c r="K29" s="116">
        <f t="shared" si="2"/>
        <v>76200</v>
      </c>
      <c r="L29" s="116"/>
      <c r="M29" s="108">
        <f>ROUND(SUM(H29:L29),0) + O29</f>
        <v>1634489.18</v>
      </c>
      <c r="N29" s="125">
        <f t="shared" si="3"/>
        <v>1683524.18</v>
      </c>
      <c r="O29" s="52">
        <f t="shared" si="5"/>
        <v>0.18000000000000002</v>
      </c>
    </row>
    <row r="30" spans="1:15" x14ac:dyDescent="0.3">
      <c r="A30" s="117">
        <v>19</v>
      </c>
      <c r="B30" s="245" t="s">
        <v>120</v>
      </c>
      <c r="C30" s="104" t="s">
        <v>164</v>
      </c>
      <c r="D30" s="109"/>
      <c r="E30" s="106">
        <v>5.19</v>
      </c>
      <c r="F30" s="83">
        <v>745850</v>
      </c>
      <c r="G30" s="184">
        <v>400000</v>
      </c>
      <c r="H30" s="107">
        <f t="shared" si="0"/>
        <v>345850</v>
      </c>
      <c r="I30" s="107">
        <f t="shared" si="4"/>
        <v>10375.5</v>
      </c>
      <c r="J30" s="116">
        <f t="shared" si="1"/>
        <v>690907.02384375001</v>
      </c>
      <c r="K30" s="116">
        <f t="shared" si="2"/>
        <v>155700.00000000003</v>
      </c>
      <c r="L30" s="116"/>
      <c r="M30" s="108">
        <f>ROUND(SUM(H30:L30),0) + O30</f>
        <v>1202833.19</v>
      </c>
      <c r="N30" s="125">
        <f t="shared" si="3"/>
        <v>1238918.19</v>
      </c>
      <c r="O30" s="52">
        <f>O29+0.01</f>
        <v>0.19000000000000003</v>
      </c>
    </row>
    <row r="31" spans="1:15" x14ac:dyDescent="0.3">
      <c r="A31" s="117">
        <v>20</v>
      </c>
      <c r="B31" s="245" t="s">
        <v>121</v>
      </c>
      <c r="C31" s="104" t="s">
        <v>165</v>
      </c>
      <c r="D31" s="109"/>
      <c r="E31" s="106">
        <v>3.4</v>
      </c>
      <c r="F31" s="83">
        <v>235394</v>
      </c>
      <c r="G31" s="184">
        <v>235394</v>
      </c>
      <c r="H31" s="107">
        <f t="shared" si="0"/>
        <v>0</v>
      </c>
      <c r="I31" s="107"/>
      <c r="J31" s="116">
        <f t="shared" si="1"/>
        <v>452617.31812499999</v>
      </c>
      <c r="K31" s="116">
        <f t="shared" si="2"/>
        <v>102000</v>
      </c>
      <c r="L31" s="116"/>
      <c r="M31" s="108">
        <f>ROUND(SUM(H31:L31),0) + O31</f>
        <v>554617.19999999995</v>
      </c>
      <c r="N31" s="125">
        <f t="shared" si="3"/>
        <v>571256.19999999995</v>
      </c>
      <c r="O31" s="52">
        <f t="shared" ref="O31:O57" si="6">O30+0.01</f>
        <v>0.20000000000000004</v>
      </c>
    </row>
    <row r="32" spans="1:15" x14ac:dyDescent="0.3">
      <c r="A32" s="117">
        <v>21</v>
      </c>
      <c r="B32" s="245" t="s">
        <v>122</v>
      </c>
      <c r="C32" s="110" t="s">
        <v>152</v>
      </c>
      <c r="D32" s="109"/>
      <c r="E32" s="106">
        <v>2.54</v>
      </c>
      <c r="F32" s="83">
        <v>175853</v>
      </c>
      <c r="G32" s="184">
        <v>175853</v>
      </c>
      <c r="H32" s="107">
        <f t="shared" si="0"/>
        <v>0</v>
      </c>
      <c r="I32" s="107">
        <f t="shared" si="4"/>
        <v>0</v>
      </c>
      <c r="J32" s="116">
        <f t="shared" si="1"/>
        <v>338131.76118749997</v>
      </c>
      <c r="K32" s="116">
        <f t="shared" si="2"/>
        <v>76200</v>
      </c>
      <c r="L32" s="116"/>
      <c r="M32" s="108">
        <f>ROUND(SUM(H32:L32),0) + O32</f>
        <v>414332.21</v>
      </c>
      <c r="N32" s="125">
        <f t="shared" si="3"/>
        <v>426762.21</v>
      </c>
      <c r="O32" s="52">
        <f t="shared" si="6"/>
        <v>0.21000000000000005</v>
      </c>
    </row>
    <row r="33" spans="1:15" x14ac:dyDescent="0.3">
      <c r="A33" s="117">
        <f>A32+1</f>
        <v>22</v>
      </c>
      <c r="B33" s="245" t="s">
        <v>123</v>
      </c>
      <c r="C33" s="110" t="s">
        <v>166</v>
      </c>
      <c r="D33" s="109"/>
      <c r="E33" s="106">
        <v>4.9400000000000004</v>
      </c>
      <c r="F33" s="83">
        <v>342014</v>
      </c>
      <c r="G33" s="184">
        <v>342014</v>
      </c>
      <c r="H33" s="107">
        <f t="shared" si="0"/>
        <v>0</v>
      </c>
      <c r="I33" s="107">
        <f t="shared" si="4"/>
        <v>0</v>
      </c>
      <c r="J33" s="116">
        <f t="shared" si="1"/>
        <v>657626.3386875001</v>
      </c>
      <c r="K33" s="116">
        <f t="shared" si="2"/>
        <v>148200.00000000003</v>
      </c>
      <c r="L33" s="116"/>
      <c r="M33" s="108">
        <f>ROUND(SUM(H33:L33),0) + O33</f>
        <v>805826.22</v>
      </c>
      <c r="N33" s="125">
        <f t="shared" ref="N33:N57" si="7">ROUND(M33*3%,0) + M33</f>
        <v>830001.22</v>
      </c>
      <c r="O33" s="52">
        <f t="shared" si="6"/>
        <v>0.22000000000000006</v>
      </c>
    </row>
    <row r="34" spans="1:15" x14ac:dyDescent="0.3">
      <c r="A34" s="117">
        <f t="shared" ref="A34:A57" si="8">A33+1</f>
        <v>23</v>
      </c>
      <c r="B34" s="245" t="s">
        <v>124</v>
      </c>
      <c r="C34" s="110" t="s">
        <v>167</v>
      </c>
      <c r="D34" s="109"/>
      <c r="E34" s="106">
        <v>3.28</v>
      </c>
      <c r="F34" s="83">
        <v>233819</v>
      </c>
      <c r="G34" s="184">
        <v>233000</v>
      </c>
      <c r="H34" s="107">
        <f t="shared" si="0"/>
        <v>819</v>
      </c>
      <c r="I34" s="107">
        <f t="shared" si="4"/>
        <v>24.57</v>
      </c>
      <c r="J34" s="116">
        <f t="shared" si="1"/>
        <v>436642.58924999996</v>
      </c>
      <c r="K34" s="116">
        <f t="shared" si="2"/>
        <v>98400</v>
      </c>
      <c r="L34" s="116"/>
      <c r="M34" s="108">
        <f>ROUND(SUM(H34:L34),0) + O34</f>
        <v>535886.23</v>
      </c>
      <c r="N34" s="125">
        <f t="shared" si="7"/>
        <v>551963.23</v>
      </c>
      <c r="O34" s="52">
        <f t="shared" si="6"/>
        <v>0.23000000000000007</v>
      </c>
    </row>
    <row r="35" spans="1:15" x14ac:dyDescent="0.3">
      <c r="A35" s="117">
        <f t="shared" si="8"/>
        <v>24</v>
      </c>
      <c r="B35" s="245" t="s">
        <v>125</v>
      </c>
      <c r="C35" s="110" t="s">
        <v>168</v>
      </c>
      <c r="D35" s="109"/>
      <c r="E35" s="106">
        <v>2.41</v>
      </c>
      <c r="F35" s="83">
        <v>171357</v>
      </c>
      <c r="G35" s="184">
        <v>171357</v>
      </c>
      <c r="H35" s="107">
        <f t="shared" si="0"/>
        <v>0</v>
      </c>
      <c r="I35" s="107">
        <f t="shared" si="4"/>
        <v>0</v>
      </c>
      <c r="J35" s="116">
        <f t="shared" si="1"/>
        <v>320825.80490625004</v>
      </c>
      <c r="K35" s="116">
        <f t="shared" si="2"/>
        <v>72300</v>
      </c>
      <c r="L35" s="116"/>
      <c r="M35" s="108">
        <f>ROUND(SUM(H35:L35),0) + O35</f>
        <v>393126.24</v>
      </c>
      <c r="N35" s="125">
        <f t="shared" si="7"/>
        <v>404920.24</v>
      </c>
      <c r="O35" s="52">
        <f t="shared" si="6"/>
        <v>0.24000000000000007</v>
      </c>
    </row>
    <row r="36" spans="1:15" x14ac:dyDescent="0.3">
      <c r="A36" s="117">
        <f t="shared" si="8"/>
        <v>25</v>
      </c>
      <c r="B36" s="245" t="s">
        <v>126</v>
      </c>
      <c r="C36" s="110" t="s">
        <v>167</v>
      </c>
      <c r="D36" s="109"/>
      <c r="E36" s="106">
        <v>0.44</v>
      </c>
      <c r="F36" s="83">
        <v>31499</v>
      </c>
      <c r="G36" s="184"/>
      <c r="H36" s="107">
        <f t="shared" si="0"/>
        <v>31499</v>
      </c>
      <c r="I36" s="107">
        <f t="shared" si="4"/>
        <v>944.96999999999991</v>
      </c>
      <c r="J36" s="116">
        <f t="shared" si="1"/>
        <v>58574.005875000003</v>
      </c>
      <c r="K36" s="116">
        <f t="shared" si="2"/>
        <v>13200</v>
      </c>
      <c r="L36" s="116"/>
      <c r="M36" s="108">
        <f>ROUND(SUM(H36:L36),0) + O36</f>
        <v>104218.25</v>
      </c>
      <c r="N36" s="125">
        <f t="shared" si="7"/>
        <v>107345.25</v>
      </c>
      <c r="O36" s="52">
        <f t="shared" si="6"/>
        <v>0.25000000000000006</v>
      </c>
    </row>
    <row r="37" spans="1:15" x14ac:dyDescent="0.3">
      <c r="A37" s="117">
        <f t="shared" si="8"/>
        <v>26</v>
      </c>
      <c r="B37" s="245" t="s">
        <v>128</v>
      </c>
      <c r="C37" s="110" t="s">
        <v>155</v>
      </c>
      <c r="D37" s="109"/>
      <c r="E37" s="106">
        <v>0.55000000000000004</v>
      </c>
      <c r="F37" s="83">
        <v>38078</v>
      </c>
      <c r="G37" s="184">
        <v>38078</v>
      </c>
      <c r="H37" s="107">
        <f t="shared" si="0"/>
        <v>0</v>
      </c>
      <c r="I37" s="107">
        <f t="shared" si="4"/>
        <v>0</v>
      </c>
      <c r="J37" s="116">
        <f t="shared" si="1"/>
        <v>73217.50734375001</v>
      </c>
      <c r="K37" s="116">
        <f t="shared" si="2"/>
        <v>16500.000000000004</v>
      </c>
      <c r="L37" s="116"/>
      <c r="M37" s="108">
        <f>ROUND(SUM(H37:L37),0) + O37</f>
        <v>89718.26</v>
      </c>
      <c r="N37" s="125">
        <f t="shared" si="7"/>
        <v>92410.26</v>
      </c>
      <c r="O37" s="52">
        <f t="shared" si="6"/>
        <v>0.26000000000000006</v>
      </c>
    </row>
    <row r="38" spans="1:15" x14ac:dyDescent="0.3">
      <c r="A38" s="117">
        <f t="shared" si="8"/>
        <v>27</v>
      </c>
      <c r="B38" s="245" t="s">
        <v>127</v>
      </c>
      <c r="C38" s="110" t="s">
        <v>155</v>
      </c>
      <c r="D38" s="109"/>
      <c r="E38" s="106">
        <v>0.53</v>
      </c>
      <c r="F38" s="83">
        <v>36694</v>
      </c>
      <c r="G38" s="184">
        <v>36694</v>
      </c>
      <c r="H38" s="107">
        <f t="shared" si="0"/>
        <v>0</v>
      </c>
      <c r="I38" s="107">
        <f t="shared" si="4"/>
        <v>0</v>
      </c>
      <c r="J38" s="116">
        <f t="shared" si="1"/>
        <v>70555.05253125001</v>
      </c>
      <c r="K38" s="116">
        <f t="shared" si="2"/>
        <v>15900</v>
      </c>
      <c r="L38" s="116">
        <v>50000</v>
      </c>
      <c r="M38" s="108">
        <f>ROUND(SUM(H38:L38),0) + O38</f>
        <v>136455.26999999999</v>
      </c>
      <c r="N38" s="125">
        <f t="shared" si="7"/>
        <v>140549.26999999999</v>
      </c>
      <c r="O38" s="52">
        <f t="shared" si="6"/>
        <v>0.27000000000000007</v>
      </c>
    </row>
    <row r="39" spans="1:15" x14ac:dyDescent="0.3">
      <c r="A39" s="117">
        <f t="shared" si="8"/>
        <v>28</v>
      </c>
      <c r="B39" s="245" t="s">
        <v>129</v>
      </c>
      <c r="C39" s="110" t="s">
        <v>169</v>
      </c>
      <c r="D39" s="109"/>
      <c r="E39" s="106">
        <v>0.28999999999999998</v>
      </c>
      <c r="F39" s="83">
        <v>20078</v>
      </c>
      <c r="G39" s="184">
        <v>22000</v>
      </c>
      <c r="H39" s="107">
        <f t="shared" si="0"/>
        <v>-1922</v>
      </c>
      <c r="I39" s="107">
        <f t="shared" si="4"/>
        <v>0</v>
      </c>
      <c r="J39" s="116">
        <f t="shared" si="1"/>
        <v>38605.594781250002</v>
      </c>
      <c r="K39" s="116">
        <f t="shared" si="2"/>
        <v>8699.9999999999982</v>
      </c>
      <c r="L39" s="116"/>
      <c r="M39" s="108">
        <f>ROUND(SUM(H39:L39),0) + O39</f>
        <v>45384.28</v>
      </c>
      <c r="N39" s="125">
        <f t="shared" si="7"/>
        <v>46746.28</v>
      </c>
      <c r="O39" s="52">
        <f t="shared" si="6"/>
        <v>0.28000000000000008</v>
      </c>
    </row>
    <row r="40" spans="1:15" x14ac:dyDescent="0.3">
      <c r="A40" s="117">
        <f t="shared" si="8"/>
        <v>29</v>
      </c>
      <c r="B40" s="245" t="s">
        <v>130</v>
      </c>
      <c r="C40" s="110" t="s">
        <v>156</v>
      </c>
      <c r="D40" s="109"/>
      <c r="E40" s="106">
        <v>0.08</v>
      </c>
      <c r="F40" s="83">
        <v>5737</v>
      </c>
      <c r="G40" s="184">
        <v>5735</v>
      </c>
      <c r="H40" s="107">
        <f t="shared" si="0"/>
        <v>2</v>
      </c>
      <c r="I40" s="107">
        <f t="shared" si="4"/>
        <v>0.06</v>
      </c>
      <c r="J40" s="116">
        <f t="shared" si="1"/>
        <v>10649.81925</v>
      </c>
      <c r="K40" s="116">
        <f t="shared" si="2"/>
        <v>2400</v>
      </c>
      <c r="L40" s="116"/>
      <c r="M40" s="108">
        <f>ROUND(SUM(H40:L40),0) + O40</f>
        <v>13052.29</v>
      </c>
      <c r="N40" s="125">
        <f t="shared" si="7"/>
        <v>13444.29</v>
      </c>
      <c r="O40" s="52">
        <f t="shared" si="6"/>
        <v>0.29000000000000009</v>
      </c>
    </row>
    <row r="41" spans="1:15" x14ac:dyDescent="0.3">
      <c r="A41" s="117">
        <f t="shared" si="8"/>
        <v>30</v>
      </c>
      <c r="B41" s="245" t="s">
        <v>131</v>
      </c>
      <c r="C41" s="110" t="s">
        <v>148</v>
      </c>
      <c r="D41" s="109"/>
      <c r="E41" s="106">
        <v>0.08</v>
      </c>
      <c r="F41" s="83">
        <v>5539</v>
      </c>
      <c r="G41" s="184">
        <v>5539</v>
      </c>
      <c r="H41" s="107">
        <f t="shared" si="0"/>
        <v>0</v>
      </c>
      <c r="I41" s="107">
        <f t="shared" si="4"/>
        <v>0</v>
      </c>
      <c r="J41" s="116">
        <f t="shared" si="1"/>
        <v>10649.81925</v>
      </c>
      <c r="K41" s="116">
        <f t="shared" si="2"/>
        <v>2400</v>
      </c>
      <c r="L41" s="116"/>
      <c r="M41" s="108">
        <f>ROUND(SUM(H41:L41),0) + O41</f>
        <v>13050.3</v>
      </c>
      <c r="N41" s="125">
        <f t="shared" si="7"/>
        <v>13442.3</v>
      </c>
      <c r="O41" s="52">
        <f t="shared" si="6"/>
        <v>0.3000000000000001</v>
      </c>
    </row>
    <row r="42" spans="1:15" x14ac:dyDescent="0.3">
      <c r="A42" s="117">
        <f t="shared" si="8"/>
        <v>31</v>
      </c>
      <c r="B42" s="245" t="s">
        <v>132</v>
      </c>
      <c r="C42" s="110" t="s">
        <v>151</v>
      </c>
      <c r="D42" s="109"/>
      <c r="E42" s="106">
        <v>0.08</v>
      </c>
      <c r="F42" s="83">
        <v>5539</v>
      </c>
      <c r="G42" s="184">
        <v>5539</v>
      </c>
      <c r="H42" s="107">
        <f t="shared" si="0"/>
        <v>0</v>
      </c>
      <c r="I42" s="107">
        <f t="shared" si="4"/>
        <v>0</v>
      </c>
      <c r="J42" s="116">
        <f t="shared" si="1"/>
        <v>10649.81925</v>
      </c>
      <c r="K42" s="116">
        <f t="shared" si="2"/>
        <v>2400</v>
      </c>
      <c r="L42" s="116"/>
      <c r="M42" s="108">
        <f>ROUND(SUM(H42:L42),0) + O42</f>
        <v>13050.31</v>
      </c>
      <c r="N42" s="125">
        <f t="shared" si="7"/>
        <v>13442.31</v>
      </c>
      <c r="O42" s="52">
        <f t="shared" si="6"/>
        <v>0.31000000000000011</v>
      </c>
    </row>
    <row r="43" spans="1:15" x14ac:dyDescent="0.3">
      <c r="A43" s="117">
        <f t="shared" si="8"/>
        <v>32</v>
      </c>
      <c r="B43" s="245" t="s">
        <v>133</v>
      </c>
      <c r="C43" s="110" t="s">
        <v>158</v>
      </c>
      <c r="D43" s="109"/>
      <c r="E43" s="106">
        <v>0.08</v>
      </c>
      <c r="F43" s="83">
        <v>5539</v>
      </c>
      <c r="G43" s="184">
        <v>5539</v>
      </c>
      <c r="H43" s="107">
        <f t="shared" si="0"/>
        <v>0</v>
      </c>
      <c r="I43" s="107">
        <f t="shared" si="4"/>
        <v>0</v>
      </c>
      <c r="J43" s="116">
        <f t="shared" si="1"/>
        <v>10649.81925</v>
      </c>
      <c r="K43" s="116">
        <f t="shared" si="2"/>
        <v>2400</v>
      </c>
      <c r="L43" s="116"/>
      <c r="M43" s="108">
        <f>ROUND(SUM(H43:L43),0) + O43</f>
        <v>13050.32</v>
      </c>
      <c r="N43" s="125">
        <f t="shared" si="7"/>
        <v>13442.32</v>
      </c>
      <c r="O43" s="52">
        <f t="shared" si="6"/>
        <v>0.32000000000000012</v>
      </c>
    </row>
    <row r="44" spans="1:15" x14ac:dyDescent="0.3">
      <c r="A44" s="117">
        <f t="shared" si="8"/>
        <v>33</v>
      </c>
      <c r="B44" s="245" t="s">
        <v>134</v>
      </c>
      <c r="C44" s="110" t="s">
        <v>170</v>
      </c>
      <c r="D44" s="109"/>
      <c r="E44" s="106">
        <v>0.08</v>
      </c>
      <c r="F44" s="83">
        <v>12312</v>
      </c>
      <c r="G44" s="184"/>
      <c r="H44" s="107">
        <f t="shared" si="0"/>
        <v>12312</v>
      </c>
      <c r="I44" s="107"/>
      <c r="J44" s="116">
        <f t="shared" ref="J44:J57" si="9">K$2*E44/100</f>
        <v>10649.81925</v>
      </c>
      <c r="K44" s="116">
        <f t="shared" ref="K44:K57" si="10">F$2*E44/100</f>
        <v>2400</v>
      </c>
      <c r="L44" s="116"/>
      <c r="M44" s="108">
        <f>ROUND(SUM(H44:L44),0) + O44</f>
        <v>25362.33</v>
      </c>
      <c r="N44" s="125">
        <f t="shared" si="7"/>
        <v>26123.33</v>
      </c>
      <c r="O44" s="52">
        <f t="shared" si="6"/>
        <v>0.33000000000000013</v>
      </c>
    </row>
    <row r="45" spans="1:15" x14ac:dyDescent="0.3">
      <c r="A45" s="117">
        <f t="shared" si="8"/>
        <v>34</v>
      </c>
      <c r="B45" s="245" t="s">
        <v>135</v>
      </c>
      <c r="C45" s="110" t="s">
        <v>165</v>
      </c>
      <c r="D45" s="109"/>
      <c r="E45" s="106">
        <v>0.08</v>
      </c>
      <c r="F45" s="83">
        <v>5539</v>
      </c>
      <c r="G45" s="184">
        <v>5539</v>
      </c>
      <c r="H45" s="107">
        <f t="shared" si="0"/>
        <v>0</v>
      </c>
      <c r="I45" s="107">
        <f t="shared" si="4"/>
        <v>0</v>
      </c>
      <c r="J45" s="116">
        <f t="shared" si="9"/>
        <v>10649.81925</v>
      </c>
      <c r="K45" s="116">
        <f t="shared" si="10"/>
        <v>2400</v>
      </c>
      <c r="L45" s="116"/>
      <c r="M45" s="108">
        <f>ROUND(SUM(H45:L45),0) + O45</f>
        <v>13050.34</v>
      </c>
      <c r="N45" s="125">
        <f t="shared" si="7"/>
        <v>13442.34</v>
      </c>
      <c r="O45" s="52">
        <f t="shared" si="6"/>
        <v>0.34000000000000014</v>
      </c>
    </row>
    <row r="46" spans="1:15" x14ac:dyDescent="0.3">
      <c r="A46" s="234">
        <f t="shared" si="8"/>
        <v>35</v>
      </c>
      <c r="B46" s="245" t="s">
        <v>136</v>
      </c>
      <c r="C46" s="235" t="s">
        <v>171</v>
      </c>
      <c r="D46" s="236"/>
      <c r="E46" s="237">
        <v>0.09</v>
      </c>
      <c r="F46" s="83">
        <v>6231</v>
      </c>
      <c r="G46" s="184"/>
      <c r="H46" s="238">
        <f t="shared" si="0"/>
        <v>6231</v>
      </c>
      <c r="I46" s="238">
        <f t="shared" si="4"/>
        <v>186.93</v>
      </c>
      <c r="J46" s="239">
        <f t="shared" si="9"/>
        <v>11981.046656249999</v>
      </c>
      <c r="K46" s="239">
        <f t="shared" si="10"/>
        <v>2700</v>
      </c>
      <c r="L46" s="239"/>
      <c r="M46" s="108">
        <f>ROUND(SUM(H46:L46),0) + O46</f>
        <v>21099.35</v>
      </c>
      <c r="N46" s="125">
        <f t="shared" si="7"/>
        <v>21732.35</v>
      </c>
      <c r="O46" s="52">
        <f t="shared" si="6"/>
        <v>0.35000000000000014</v>
      </c>
    </row>
    <row r="47" spans="1:15" x14ac:dyDescent="0.3">
      <c r="A47" s="117">
        <f t="shared" si="8"/>
        <v>36</v>
      </c>
      <c r="B47" s="245" t="s">
        <v>137</v>
      </c>
      <c r="C47" s="110" t="s">
        <v>161</v>
      </c>
      <c r="D47" s="109"/>
      <c r="E47" s="106">
        <v>0.79</v>
      </c>
      <c r="F47" s="83">
        <v>54695</v>
      </c>
      <c r="G47" s="184">
        <v>54695</v>
      </c>
      <c r="H47" s="107">
        <f t="shared" si="0"/>
        <v>0</v>
      </c>
      <c r="I47" s="107">
        <f t="shared" si="4"/>
        <v>0</v>
      </c>
      <c r="J47" s="116">
        <f t="shared" si="9"/>
        <v>105166.96509375</v>
      </c>
      <c r="K47" s="116">
        <f t="shared" si="10"/>
        <v>23700</v>
      </c>
      <c r="L47" s="116"/>
      <c r="M47" s="108">
        <f>ROUND(SUM(H47:L47),0) + O47</f>
        <v>128867.36</v>
      </c>
      <c r="N47" s="125">
        <f t="shared" si="7"/>
        <v>132733.35999999999</v>
      </c>
      <c r="O47" s="52">
        <f t="shared" si="6"/>
        <v>0.36000000000000015</v>
      </c>
    </row>
    <row r="48" spans="1:15" x14ac:dyDescent="0.3">
      <c r="A48" s="117">
        <f t="shared" si="8"/>
        <v>37</v>
      </c>
      <c r="B48" s="245" t="s">
        <v>138</v>
      </c>
      <c r="C48" s="110" t="s">
        <v>166</v>
      </c>
      <c r="D48" s="109"/>
      <c r="E48" s="106">
        <v>1</v>
      </c>
      <c r="F48" s="83">
        <v>153892</v>
      </c>
      <c r="G48" s="184"/>
      <c r="H48" s="107">
        <f t="shared" si="0"/>
        <v>153892</v>
      </c>
      <c r="I48" s="107">
        <f t="shared" si="4"/>
        <v>4616.76</v>
      </c>
      <c r="J48" s="116">
        <f t="shared" si="9"/>
        <v>133122.74062500001</v>
      </c>
      <c r="K48" s="116">
        <f t="shared" si="10"/>
        <v>30000</v>
      </c>
      <c r="L48" s="116"/>
      <c r="M48" s="108">
        <f>ROUND(SUM(H48:L48),0) + O48</f>
        <v>321632.37</v>
      </c>
      <c r="N48" s="125">
        <f t="shared" si="7"/>
        <v>331281.37</v>
      </c>
      <c r="O48" s="52">
        <f t="shared" si="6"/>
        <v>0.37000000000000016</v>
      </c>
    </row>
    <row r="49" spans="1:15" x14ac:dyDescent="0.3">
      <c r="A49" s="117">
        <f t="shared" si="8"/>
        <v>38</v>
      </c>
      <c r="B49" s="245" t="s">
        <v>139</v>
      </c>
      <c r="C49" s="110" t="s">
        <v>159</v>
      </c>
      <c r="D49" s="109"/>
      <c r="E49" s="106">
        <v>0.97</v>
      </c>
      <c r="F49" s="83">
        <v>67157</v>
      </c>
      <c r="G49" s="184">
        <v>67157</v>
      </c>
      <c r="H49" s="107">
        <f t="shared" si="0"/>
        <v>0</v>
      </c>
      <c r="I49" s="107">
        <f t="shared" si="4"/>
        <v>0</v>
      </c>
      <c r="J49" s="116">
        <f t="shared" si="9"/>
        <v>129129.05840625</v>
      </c>
      <c r="K49" s="116">
        <f t="shared" si="10"/>
        <v>29100</v>
      </c>
      <c r="L49" s="116"/>
      <c r="M49" s="108">
        <f>ROUND(SUM(H49:L49),0) + O49</f>
        <v>158229.38</v>
      </c>
      <c r="N49" s="125">
        <f t="shared" si="7"/>
        <v>162976.38</v>
      </c>
      <c r="O49" s="52">
        <f t="shared" si="6"/>
        <v>0.38000000000000017</v>
      </c>
    </row>
    <row r="50" spans="1:15" x14ac:dyDescent="0.3">
      <c r="A50" s="117">
        <f t="shared" si="8"/>
        <v>39</v>
      </c>
      <c r="B50" s="245" t="s">
        <v>140</v>
      </c>
      <c r="C50" s="110" t="s">
        <v>172</v>
      </c>
      <c r="D50" s="109"/>
      <c r="E50" s="106">
        <v>0.77</v>
      </c>
      <c r="F50" s="83">
        <v>55162</v>
      </c>
      <c r="G50" s="184"/>
      <c r="H50" s="107">
        <f t="shared" si="0"/>
        <v>55162</v>
      </c>
      <c r="I50" s="107">
        <f t="shared" si="4"/>
        <v>1654.86</v>
      </c>
      <c r="J50" s="116">
        <f t="shared" si="9"/>
        <v>102504.51028125001</v>
      </c>
      <c r="K50" s="116">
        <f t="shared" si="10"/>
        <v>23100</v>
      </c>
      <c r="L50" s="116"/>
      <c r="M50" s="108">
        <f>ROUND(SUM(H50:L50),0) + O50</f>
        <v>182421.39</v>
      </c>
      <c r="N50" s="125">
        <f t="shared" si="7"/>
        <v>187894.39</v>
      </c>
      <c r="O50" s="52">
        <f t="shared" si="6"/>
        <v>0.39000000000000018</v>
      </c>
    </row>
    <row r="51" spans="1:15" x14ac:dyDescent="0.3">
      <c r="A51" s="117">
        <f t="shared" si="8"/>
        <v>40</v>
      </c>
      <c r="B51" s="245" t="s">
        <v>141</v>
      </c>
      <c r="C51" s="110" t="s">
        <v>173</v>
      </c>
      <c r="D51" s="109"/>
      <c r="E51" s="106">
        <v>0.77</v>
      </c>
      <c r="F51" s="83">
        <v>53310</v>
      </c>
      <c r="G51" s="184">
        <v>53310</v>
      </c>
      <c r="H51" s="107">
        <f t="shared" si="0"/>
        <v>0</v>
      </c>
      <c r="I51" s="107">
        <f t="shared" si="4"/>
        <v>0</v>
      </c>
      <c r="J51" s="116">
        <f t="shared" si="9"/>
        <v>102504.51028125001</v>
      </c>
      <c r="K51" s="116">
        <f t="shared" si="10"/>
        <v>23100</v>
      </c>
      <c r="L51" s="116"/>
      <c r="M51" s="108">
        <f>ROUND(SUM(H51:L51),0) + O51</f>
        <v>125605.4</v>
      </c>
      <c r="N51" s="125">
        <f t="shared" si="7"/>
        <v>129373.4</v>
      </c>
      <c r="O51" s="52">
        <f t="shared" si="6"/>
        <v>0.40000000000000019</v>
      </c>
    </row>
    <row r="52" spans="1:15" x14ac:dyDescent="0.3">
      <c r="A52" s="117">
        <f t="shared" si="8"/>
        <v>41</v>
      </c>
      <c r="B52" s="245" t="s">
        <v>142</v>
      </c>
      <c r="C52" s="110" t="s">
        <v>152</v>
      </c>
      <c r="D52" s="109"/>
      <c r="E52" s="106">
        <v>0.81</v>
      </c>
      <c r="F52" s="83">
        <v>56079</v>
      </c>
      <c r="G52" s="184">
        <v>56079</v>
      </c>
      <c r="H52" s="107">
        <f t="shared" si="0"/>
        <v>0</v>
      </c>
      <c r="I52" s="107">
        <f t="shared" si="4"/>
        <v>0</v>
      </c>
      <c r="J52" s="116">
        <f t="shared" si="9"/>
        <v>107829.41990625001</v>
      </c>
      <c r="K52" s="116">
        <f t="shared" si="10"/>
        <v>24300</v>
      </c>
      <c r="L52" s="116"/>
      <c r="M52" s="108">
        <f>ROUND(SUM(H52:L52),0) + O52</f>
        <v>132129.41</v>
      </c>
      <c r="N52" s="125">
        <f t="shared" si="7"/>
        <v>136093.41</v>
      </c>
      <c r="O52" s="52">
        <f t="shared" si="6"/>
        <v>0.4100000000000002</v>
      </c>
    </row>
    <row r="53" spans="1:15" x14ac:dyDescent="0.3">
      <c r="A53" s="117">
        <f t="shared" si="8"/>
        <v>42</v>
      </c>
      <c r="B53" s="245" t="s">
        <v>143</v>
      </c>
      <c r="C53" s="110" t="s">
        <v>173</v>
      </c>
      <c r="D53" s="109"/>
      <c r="E53" s="106">
        <v>0.77</v>
      </c>
      <c r="F53" s="83">
        <v>53310</v>
      </c>
      <c r="G53" s="184">
        <v>53310</v>
      </c>
      <c r="H53" s="107">
        <f t="shared" si="0"/>
        <v>0</v>
      </c>
      <c r="I53" s="107"/>
      <c r="J53" s="116">
        <f t="shared" si="9"/>
        <v>102504.51028125001</v>
      </c>
      <c r="K53" s="116">
        <f t="shared" si="10"/>
        <v>23100</v>
      </c>
      <c r="L53" s="116"/>
      <c r="M53" s="108">
        <f>ROUND(SUM(H53:L53),0) + O53</f>
        <v>125605.42</v>
      </c>
      <c r="N53" s="125">
        <f t="shared" si="7"/>
        <v>129373.42</v>
      </c>
      <c r="O53" s="52">
        <f t="shared" si="6"/>
        <v>0.42000000000000021</v>
      </c>
    </row>
    <row r="54" spans="1:15" x14ac:dyDescent="0.3">
      <c r="A54" s="117">
        <f t="shared" si="8"/>
        <v>43</v>
      </c>
      <c r="B54" s="245" t="s">
        <v>144</v>
      </c>
      <c r="C54" s="110" t="s">
        <v>166</v>
      </c>
      <c r="D54" s="109"/>
      <c r="E54" s="106">
        <v>0.77</v>
      </c>
      <c r="F54" s="83">
        <v>116597</v>
      </c>
      <c r="G54" s="184"/>
      <c r="H54" s="107">
        <f t="shared" si="0"/>
        <v>116597</v>
      </c>
      <c r="I54" s="107">
        <f t="shared" si="4"/>
        <v>3497.91</v>
      </c>
      <c r="J54" s="116">
        <f t="shared" si="9"/>
        <v>102504.51028125001</v>
      </c>
      <c r="K54" s="116">
        <f t="shared" si="10"/>
        <v>23100</v>
      </c>
      <c r="L54" s="116"/>
      <c r="M54" s="108">
        <f>ROUND(SUM(H54:L54),0) + O54</f>
        <v>245699.43</v>
      </c>
      <c r="N54" s="125">
        <f t="shared" si="7"/>
        <v>253070.43</v>
      </c>
      <c r="O54" s="52">
        <f t="shared" si="6"/>
        <v>0.43000000000000022</v>
      </c>
    </row>
    <row r="55" spans="1:15" x14ac:dyDescent="0.3">
      <c r="A55" s="117">
        <f t="shared" si="8"/>
        <v>44</v>
      </c>
      <c r="B55" s="245" t="s">
        <v>145</v>
      </c>
      <c r="C55" s="110" t="s">
        <v>160</v>
      </c>
      <c r="D55" s="109"/>
      <c r="E55" s="106">
        <v>0.77</v>
      </c>
      <c r="F55" s="83">
        <v>53217</v>
      </c>
      <c r="G55" s="184"/>
      <c r="H55" s="107">
        <f t="shared" si="0"/>
        <v>53217</v>
      </c>
      <c r="I55" s="107">
        <f t="shared" si="4"/>
        <v>1596.51</v>
      </c>
      <c r="J55" s="116">
        <f t="shared" si="9"/>
        <v>102504.51028125001</v>
      </c>
      <c r="K55" s="116">
        <f t="shared" si="10"/>
        <v>23100</v>
      </c>
      <c r="L55" s="116"/>
      <c r="M55" s="108">
        <f>ROUND(SUM(H55:L55),0) + O55</f>
        <v>180418.44</v>
      </c>
      <c r="N55" s="125">
        <f t="shared" si="7"/>
        <v>185831.44</v>
      </c>
      <c r="O55" s="52">
        <f t="shared" si="6"/>
        <v>0.44000000000000022</v>
      </c>
    </row>
    <row r="56" spans="1:15" x14ac:dyDescent="0.3">
      <c r="A56" s="117">
        <f t="shared" si="8"/>
        <v>45</v>
      </c>
      <c r="B56" s="245" t="s">
        <v>146</v>
      </c>
      <c r="C56" s="110" t="s">
        <v>152</v>
      </c>
      <c r="D56" s="109"/>
      <c r="E56" s="106">
        <v>0.77</v>
      </c>
      <c r="F56" s="83">
        <v>53310</v>
      </c>
      <c r="G56" s="184">
        <v>53310</v>
      </c>
      <c r="H56" s="107">
        <f t="shared" si="0"/>
        <v>0</v>
      </c>
      <c r="I56" s="107">
        <f t="shared" si="4"/>
        <v>0</v>
      </c>
      <c r="J56" s="116">
        <f t="shared" si="9"/>
        <v>102504.51028125001</v>
      </c>
      <c r="K56" s="116">
        <f t="shared" si="10"/>
        <v>23100</v>
      </c>
      <c r="L56" s="116"/>
      <c r="M56" s="108">
        <f>ROUND(SUM(H56:L56),0) + O56</f>
        <v>125605.45</v>
      </c>
      <c r="N56" s="125">
        <f t="shared" si="7"/>
        <v>129373.45</v>
      </c>
      <c r="O56" s="52">
        <f t="shared" si="6"/>
        <v>0.45000000000000023</v>
      </c>
    </row>
    <row r="57" spans="1:15" x14ac:dyDescent="0.3">
      <c r="A57" s="117">
        <f t="shared" si="8"/>
        <v>46</v>
      </c>
      <c r="B57" s="245" t="s">
        <v>147</v>
      </c>
      <c r="C57" s="110" t="s">
        <v>152</v>
      </c>
      <c r="D57" s="109"/>
      <c r="E57" s="106">
        <v>0.86</v>
      </c>
      <c r="F57" s="83">
        <v>61615</v>
      </c>
      <c r="G57" s="184"/>
      <c r="H57" s="107">
        <f t="shared" si="0"/>
        <v>61615</v>
      </c>
      <c r="I57" s="107">
        <f t="shared" si="4"/>
        <v>1848.4499999999998</v>
      </c>
      <c r="J57" s="116">
        <f t="shared" si="9"/>
        <v>114485.55693749999</v>
      </c>
      <c r="K57" s="116">
        <f t="shared" si="10"/>
        <v>25800</v>
      </c>
      <c r="L57" s="116"/>
      <c r="M57" s="108">
        <f>ROUND(SUM(H57:L57),0) + O57</f>
        <v>203749.46</v>
      </c>
      <c r="N57" s="125">
        <f t="shared" si="7"/>
        <v>209861.46</v>
      </c>
      <c r="O57" s="52">
        <f t="shared" si="6"/>
        <v>0.46000000000000024</v>
      </c>
    </row>
    <row r="58" spans="1:15" x14ac:dyDescent="0.3">
      <c r="A58" s="117"/>
      <c r="B58" s="245"/>
      <c r="C58" s="104"/>
      <c r="D58" s="109"/>
      <c r="E58" s="106"/>
      <c r="F58" s="83"/>
      <c r="G58" s="83"/>
      <c r="H58" s="107"/>
      <c r="I58" s="107"/>
      <c r="J58" s="116"/>
      <c r="K58" s="116"/>
      <c r="L58" s="116"/>
      <c r="M58" s="108"/>
      <c r="N58" s="125"/>
      <c r="O58" s="52"/>
    </row>
    <row r="59" spans="1:15" ht="17.100000000000001" customHeight="1" thickBot="1" x14ac:dyDescent="0.35">
      <c r="A59" s="118"/>
      <c r="B59" s="246"/>
      <c r="C59" s="119"/>
      <c r="D59" s="119"/>
      <c r="E59" s="120">
        <f>SUM(E12:E58)</f>
        <v>99.999999999999986</v>
      </c>
      <c r="F59" s="121">
        <f>SUM(F12:F58)</f>
        <v>8670136</v>
      </c>
      <c r="G59" s="122">
        <f>SUM(G12:G58)</f>
        <v>6605832</v>
      </c>
      <c r="H59" s="122">
        <f>SUM(H12:H58)</f>
        <v>2064304</v>
      </c>
      <c r="I59" s="122">
        <f>SUM(I12:I58)</f>
        <v>61761.48</v>
      </c>
      <c r="J59" s="123">
        <f>SUM(J12:J58)</f>
        <v>12621367.038656257</v>
      </c>
      <c r="K59" s="122">
        <f>SUM(K12:K58)</f>
        <v>3000000</v>
      </c>
      <c r="L59" s="124"/>
      <c r="M59" s="129">
        <f>SUM(M12:M58)</f>
        <v>17797444.810000002</v>
      </c>
      <c r="N59" s="126">
        <f>SUM(N12:N58)</f>
        <v>18331374.809999999</v>
      </c>
    </row>
    <row r="60" spans="1:15" ht="12.75" customHeight="1" x14ac:dyDescent="0.3">
      <c r="C60" s="84"/>
      <c r="D60" s="84"/>
    </row>
    <row r="61" spans="1:15" hidden="1" x14ac:dyDescent="0.3"/>
    <row r="62" spans="1:15" ht="9" customHeight="1" x14ac:dyDescent="0.3">
      <c r="C62" s="203" t="s">
        <v>6</v>
      </c>
      <c r="D62" s="203"/>
      <c r="E62" s="203"/>
      <c r="F62" s="203"/>
      <c r="G62" s="203"/>
      <c r="H62" s="203"/>
      <c r="I62" s="203"/>
      <c r="J62" s="203"/>
      <c r="K62" s="203"/>
      <c r="L62" s="203"/>
      <c r="M62" s="203"/>
    </row>
    <row r="63" spans="1:15" ht="12" hidden="1" customHeight="1" x14ac:dyDescent="0.3">
      <c r="C63" s="203"/>
      <c r="D63" s="203"/>
      <c r="E63" s="203"/>
      <c r="F63" s="203"/>
      <c r="G63" s="203"/>
      <c r="H63" s="203"/>
      <c r="I63" s="203"/>
      <c r="J63" s="203"/>
      <c r="K63" s="203"/>
      <c r="L63" s="203"/>
      <c r="M63" s="203"/>
    </row>
    <row r="64" spans="1:15" ht="12" hidden="1" customHeight="1" x14ac:dyDescent="0.3">
      <c r="C64" s="203"/>
      <c r="D64" s="203"/>
      <c r="E64" s="203"/>
      <c r="F64" s="203"/>
      <c r="G64" s="203"/>
      <c r="H64" s="203"/>
      <c r="I64" s="203"/>
      <c r="J64" s="203"/>
      <c r="K64" s="203"/>
      <c r="L64" s="203"/>
      <c r="M64" s="203"/>
    </row>
    <row r="65" spans="3:13" ht="12" hidden="1" customHeight="1" x14ac:dyDescent="0.3">
      <c r="C65" s="203"/>
      <c r="D65" s="203"/>
      <c r="E65" s="203"/>
      <c r="F65" s="203"/>
      <c r="G65" s="203"/>
      <c r="H65" s="203"/>
      <c r="I65" s="203"/>
      <c r="J65" s="203"/>
      <c r="K65" s="203"/>
      <c r="L65" s="203"/>
      <c r="M65" s="203"/>
    </row>
    <row r="66" spans="3:13" ht="12" hidden="1" customHeight="1" x14ac:dyDescent="0.3">
      <c r="C66" s="203"/>
      <c r="D66" s="203"/>
      <c r="E66" s="203"/>
      <c r="F66" s="203"/>
      <c r="G66" s="203"/>
      <c r="H66" s="203"/>
      <c r="I66" s="203"/>
      <c r="J66" s="203"/>
      <c r="K66" s="203"/>
      <c r="L66" s="203"/>
      <c r="M66" s="203"/>
    </row>
    <row r="67" spans="3:13" ht="67.5" customHeight="1" x14ac:dyDescent="0.3">
      <c r="C67" s="203"/>
      <c r="D67" s="203"/>
      <c r="E67" s="203"/>
      <c r="F67" s="203"/>
      <c r="G67" s="203"/>
      <c r="H67" s="203"/>
      <c r="I67" s="203"/>
      <c r="J67" s="203"/>
      <c r="K67" s="203"/>
      <c r="L67" s="203"/>
      <c r="M67" s="203"/>
    </row>
  </sheetData>
  <mergeCells count="18">
    <mergeCell ref="L10:L11"/>
    <mergeCell ref="K10:K11"/>
    <mergeCell ref="B10:B11"/>
    <mergeCell ref="N10:N11"/>
    <mergeCell ref="C62:M67"/>
    <mergeCell ref="E1:M1"/>
    <mergeCell ref="A4:N8"/>
    <mergeCell ref="A10:A11"/>
    <mergeCell ref="C10:C11"/>
    <mergeCell ref="D10:D11"/>
    <mergeCell ref="E10:E11"/>
    <mergeCell ref="F10:F11"/>
    <mergeCell ref="G10:G11"/>
    <mergeCell ref="H10:H11"/>
    <mergeCell ref="I10:I11"/>
    <mergeCell ref="A9:N9"/>
    <mergeCell ref="F2:G2"/>
    <mergeCell ref="J10:J11"/>
  </mergeCells>
  <phoneticPr fontId="18" type="noConversion"/>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L49"/>
  <sheetViews>
    <sheetView topLeftCell="A35" zoomScaleNormal="100" workbookViewId="0">
      <selection activeCell="C40" sqref="C40:J41"/>
    </sheetView>
  </sheetViews>
  <sheetFormatPr baseColWidth="10" defaultColWidth="10.88671875" defaultRowHeight="14.4" x14ac:dyDescent="0.3"/>
  <cols>
    <col min="3" max="3" width="12.6640625" bestFit="1" customWidth="1"/>
    <col min="9" max="9" width="13" bestFit="1" customWidth="1"/>
  </cols>
  <sheetData>
    <row r="3" spans="1:12" ht="15" thickBot="1" x14ac:dyDescent="0.35">
      <c r="C3" s="21"/>
    </row>
    <row r="4" spans="1:12" ht="13.2" customHeight="1" x14ac:dyDescent="0.3">
      <c r="C4" s="152" t="s">
        <v>57</v>
      </c>
      <c r="D4" s="153">
        <v>1</v>
      </c>
      <c r="E4" s="149"/>
      <c r="F4" s="149"/>
      <c r="G4" s="149"/>
      <c r="H4" s="149"/>
      <c r="I4" s="149"/>
      <c r="J4" s="150"/>
      <c r="K4" s="185"/>
      <c r="L4" s="185"/>
    </row>
    <row r="5" spans="1:12" ht="14.4" customHeight="1" x14ac:dyDescent="0.3">
      <c r="C5" s="154" t="s">
        <v>58</v>
      </c>
      <c r="D5" s="155"/>
      <c r="E5" t="s">
        <v>59</v>
      </c>
      <c r="G5" t="s">
        <v>60</v>
      </c>
      <c r="H5" t="s">
        <v>61</v>
      </c>
      <c r="J5" s="151"/>
      <c r="K5" s="185"/>
      <c r="L5" s="185"/>
    </row>
    <row r="6" spans="1:12" x14ac:dyDescent="0.3">
      <c r="C6" s="154" t="s">
        <v>62</v>
      </c>
      <c r="D6" s="155" t="s">
        <v>63</v>
      </c>
      <c r="E6" t="s">
        <v>64</v>
      </c>
      <c r="G6" t="s">
        <v>29</v>
      </c>
      <c r="H6">
        <v>71</v>
      </c>
      <c r="J6" s="151"/>
      <c r="K6" s="185"/>
      <c r="L6" s="185"/>
    </row>
    <row r="7" spans="1:12" ht="15" thickBot="1" x14ac:dyDescent="0.35">
      <c r="C7" s="49" t="s">
        <v>65</v>
      </c>
      <c r="J7" s="151"/>
      <c r="K7" s="185"/>
      <c r="L7" s="185"/>
    </row>
    <row r="8" spans="1:12" x14ac:dyDescent="0.3">
      <c r="C8" s="228" t="s">
        <v>66</v>
      </c>
      <c r="D8" s="229"/>
      <c r="E8" s="229"/>
      <c r="F8" s="229"/>
      <c r="G8" s="229"/>
      <c r="H8" s="229"/>
      <c r="I8" s="229"/>
      <c r="J8" s="230"/>
      <c r="K8" s="185"/>
      <c r="L8" s="185"/>
    </row>
    <row r="9" spans="1:12" ht="15" thickBot="1" x14ac:dyDescent="0.35">
      <c r="C9" s="231"/>
      <c r="D9" s="232"/>
      <c r="E9" s="232"/>
      <c r="F9" s="232"/>
      <c r="G9" s="232"/>
      <c r="H9" s="232"/>
      <c r="I9" s="232"/>
      <c r="J9" s="233"/>
    </row>
    <row r="11" spans="1:12" ht="15" thickBot="1" x14ac:dyDescent="0.35">
      <c r="A11" s="156"/>
    </row>
    <row r="12" spans="1:12" x14ac:dyDescent="0.3">
      <c r="C12" s="157" t="s">
        <v>57</v>
      </c>
      <c r="D12" s="158">
        <f>D4+1</f>
        <v>2</v>
      </c>
      <c r="E12" s="149"/>
      <c r="F12" s="149"/>
      <c r="G12" s="149"/>
      <c r="H12" s="149"/>
      <c r="I12" s="149"/>
      <c r="J12" s="150"/>
      <c r="K12" s="185"/>
      <c r="L12" s="185"/>
    </row>
    <row r="13" spans="1:12" x14ac:dyDescent="0.3">
      <c r="C13" s="159" t="s">
        <v>58</v>
      </c>
      <c r="D13" s="160"/>
      <c r="E13" t="s">
        <v>59</v>
      </c>
      <c r="G13" t="s">
        <v>60</v>
      </c>
      <c r="H13" t="s">
        <v>61</v>
      </c>
      <c r="J13" s="151"/>
      <c r="K13" s="185"/>
      <c r="L13" s="185"/>
    </row>
    <row r="14" spans="1:12" x14ac:dyDescent="0.3">
      <c r="C14" s="159" t="s">
        <v>62</v>
      </c>
      <c r="D14" s="160" t="s">
        <v>63</v>
      </c>
      <c r="E14" t="s">
        <v>64</v>
      </c>
      <c r="G14" t="s">
        <v>29</v>
      </c>
      <c r="H14" t="s">
        <v>68</v>
      </c>
      <c r="J14" s="151"/>
      <c r="K14" s="185"/>
      <c r="L14" s="185"/>
    </row>
    <row r="15" spans="1:12" ht="15" thickBot="1" x14ac:dyDescent="0.35">
      <c r="C15" s="49" t="s">
        <v>65</v>
      </c>
      <c r="J15" s="151"/>
      <c r="K15" s="185"/>
      <c r="L15" s="185"/>
    </row>
    <row r="16" spans="1:12" x14ac:dyDescent="0.3">
      <c r="C16" s="228" t="s">
        <v>67</v>
      </c>
      <c r="D16" s="229"/>
      <c r="E16" s="229"/>
      <c r="F16" s="229"/>
      <c r="G16" s="229"/>
      <c r="H16" s="229"/>
      <c r="I16" s="229"/>
      <c r="J16" s="230"/>
      <c r="K16" s="185"/>
      <c r="L16" s="185"/>
    </row>
    <row r="17" spans="3:12" ht="15" thickBot="1" x14ac:dyDescent="0.35">
      <c r="C17" s="231"/>
      <c r="D17" s="232"/>
      <c r="E17" s="232"/>
      <c r="F17" s="232"/>
      <c r="G17" s="232"/>
      <c r="H17" s="232"/>
      <c r="I17" s="232"/>
      <c r="J17" s="233"/>
    </row>
    <row r="19" spans="3:12" ht="15" thickBot="1" x14ac:dyDescent="0.35"/>
    <row r="20" spans="3:12" x14ac:dyDescent="0.3">
      <c r="C20" s="162" t="s">
        <v>57</v>
      </c>
      <c r="D20" s="163">
        <f>D12+1</f>
        <v>3</v>
      </c>
      <c r="E20" s="149"/>
      <c r="F20" s="149"/>
      <c r="G20" s="149"/>
      <c r="H20" s="149"/>
      <c r="I20" s="149"/>
      <c r="J20" s="150"/>
    </row>
    <row r="21" spans="3:12" x14ac:dyDescent="0.3">
      <c r="C21" s="164" t="s">
        <v>58</v>
      </c>
      <c r="D21" s="165"/>
      <c r="E21" t="s">
        <v>59</v>
      </c>
      <c r="G21" t="s">
        <v>60</v>
      </c>
      <c r="H21" t="s">
        <v>70</v>
      </c>
      <c r="I21" s="161" t="s">
        <v>69</v>
      </c>
      <c r="J21" s="151"/>
      <c r="K21" s="185"/>
      <c r="L21" s="185"/>
    </row>
    <row r="22" spans="3:12" x14ac:dyDescent="0.3">
      <c r="C22" s="164" t="s">
        <v>62</v>
      </c>
      <c r="D22" s="165" t="s">
        <v>63</v>
      </c>
      <c r="E22" t="s">
        <v>64</v>
      </c>
      <c r="G22" t="s">
        <v>29</v>
      </c>
      <c r="H22" t="s">
        <v>72</v>
      </c>
      <c r="J22" s="151"/>
      <c r="K22" s="185"/>
      <c r="L22" s="185"/>
    </row>
    <row r="23" spans="3:12" ht="15" thickBot="1" x14ac:dyDescent="0.35">
      <c r="C23" s="49" t="s">
        <v>65</v>
      </c>
      <c r="J23" s="151"/>
      <c r="K23" s="185"/>
      <c r="L23" s="185"/>
    </row>
    <row r="24" spans="3:12" x14ac:dyDescent="0.3">
      <c r="C24" s="228" t="s">
        <v>71</v>
      </c>
      <c r="D24" s="229"/>
      <c r="E24" s="229"/>
      <c r="F24" s="229"/>
      <c r="G24" s="229"/>
      <c r="H24" s="229"/>
      <c r="I24" s="229"/>
      <c r="J24" s="230"/>
      <c r="K24" s="185"/>
      <c r="L24" s="185"/>
    </row>
    <row r="25" spans="3:12" ht="15" thickBot="1" x14ac:dyDescent="0.35">
      <c r="C25" s="231"/>
      <c r="D25" s="232"/>
      <c r="E25" s="232"/>
      <c r="F25" s="232"/>
      <c r="G25" s="232"/>
      <c r="H25" s="232"/>
      <c r="I25" s="232"/>
      <c r="J25" s="233"/>
      <c r="K25" s="185"/>
      <c r="L25" s="185"/>
    </row>
    <row r="27" spans="3:12" ht="15" thickBot="1" x14ac:dyDescent="0.35"/>
    <row r="28" spans="3:12" x14ac:dyDescent="0.3">
      <c r="C28" s="166" t="s">
        <v>57</v>
      </c>
      <c r="D28" s="15">
        <f>D20+1</f>
        <v>4</v>
      </c>
      <c r="E28" s="149"/>
      <c r="F28" s="149"/>
      <c r="G28" s="149"/>
      <c r="H28" s="149"/>
      <c r="I28" s="149"/>
      <c r="J28" s="150"/>
    </row>
    <row r="29" spans="3:12" x14ac:dyDescent="0.3">
      <c r="C29" s="167" t="s">
        <v>58</v>
      </c>
      <c r="D29" s="168"/>
      <c r="E29" t="s">
        <v>59</v>
      </c>
      <c r="G29" t="s">
        <v>60</v>
      </c>
      <c r="H29" t="s">
        <v>73</v>
      </c>
      <c r="I29" s="161"/>
      <c r="J29" s="151"/>
      <c r="K29" s="185"/>
      <c r="L29" s="185"/>
    </row>
    <row r="30" spans="3:12" x14ac:dyDescent="0.3">
      <c r="C30" s="167" t="s">
        <v>62</v>
      </c>
      <c r="D30" s="168" t="s">
        <v>63</v>
      </c>
      <c r="E30" t="s">
        <v>64</v>
      </c>
      <c r="G30" t="s">
        <v>29</v>
      </c>
      <c r="H30">
        <v>46</v>
      </c>
      <c r="I30" t="s">
        <v>75</v>
      </c>
      <c r="J30" s="151"/>
      <c r="K30" s="185"/>
      <c r="L30" s="185"/>
    </row>
    <row r="31" spans="3:12" ht="15" thickBot="1" x14ac:dyDescent="0.35">
      <c r="C31" s="49" t="s">
        <v>65</v>
      </c>
      <c r="J31" s="151"/>
      <c r="K31" s="185"/>
      <c r="L31" s="185"/>
    </row>
    <row r="32" spans="3:12" x14ac:dyDescent="0.3">
      <c r="C32" s="228" t="s">
        <v>74</v>
      </c>
      <c r="D32" s="229"/>
      <c r="E32" s="229"/>
      <c r="F32" s="229"/>
      <c r="G32" s="229"/>
      <c r="H32" s="229"/>
      <c r="I32" s="229"/>
      <c r="J32" s="230"/>
      <c r="K32" s="185"/>
      <c r="L32" s="185"/>
    </row>
    <row r="33" spans="3:12" ht="15" thickBot="1" x14ac:dyDescent="0.35">
      <c r="C33" s="231"/>
      <c r="D33" s="232"/>
      <c r="E33" s="232"/>
      <c r="F33" s="232"/>
      <c r="G33" s="232"/>
      <c r="H33" s="232"/>
      <c r="I33" s="232"/>
      <c r="J33" s="233"/>
    </row>
    <row r="35" spans="3:12" ht="15" thickBot="1" x14ac:dyDescent="0.35"/>
    <row r="36" spans="3:12" x14ac:dyDescent="0.3">
      <c r="C36" s="169" t="s">
        <v>57</v>
      </c>
      <c r="D36" s="170">
        <f>D28+1</f>
        <v>5</v>
      </c>
      <c r="E36" s="149"/>
      <c r="F36" s="149"/>
      <c r="G36" s="149"/>
      <c r="H36" s="149"/>
      <c r="I36" s="149"/>
      <c r="J36" s="150"/>
      <c r="K36" s="185"/>
      <c r="L36" s="185"/>
    </row>
    <row r="37" spans="3:12" x14ac:dyDescent="0.3">
      <c r="C37" s="171" t="s">
        <v>58</v>
      </c>
      <c r="D37" s="172"/>
      <c r="E37" t="s">
        <v>59</v>
      </c>
      <c r="G37" t="s">
        <v>60</v>
      </c>
      <c r="H37" t="s">
        <v>76</v>
      </c>
      <c r="I37" s="161"/>
      <c r="J37" s="151"/>
      <c r="K37" s="185"/>
      <c r="L37" s="185"/>
    </row>
    <row r="38" spans="3:12" x14ac:dyDescent="0.3">
      <c r="C38" s="171" t="s">
        <v>62</v>
      </c>
      <c r="D38" s="172" t="s">
        <v>63</v>
      </c>
      <c r="E38" t="s">
        <v>64</v>
      </c>
      <c r="G38" t="s">
        <v>29</v>
      </c>
      <c r="H38" t="s">
        <v>77</v>
      </c>
      <c r="J38" s="151"/>
      <c r="K38" s="185"/>
      <c r="L38" s="185"/>
    </row>
    <row r="39" spans="3:12" ht="15" thickBot="1" x14ac:dyDescent="0.35">
      <c r="C39" s="49" t="s">
        <v>65</v>
      </c>
      <c r="J39" s="151"/>
      <c r="K39" s="185"/>
      <c r="L39" s="185"/>
    </row>
    <row r="40" spans="3:12" x14ac:dyDescent="0.3">
      <c r="C40" s="228" t="s">
        <v>86</v>
      </c>
      <c r="D40" s="229"/>
      <c r="E40" s="229"/>
      <c r="F40" s="229"/>
      <c r="G40" s="229"/>
      <c r="H40" s="229"/>
      <c r="I40" s="229"/>
      <c r="J40" s="230"/>
      <c r="K40" s="185"/>
      <c r="L40" s="185"/>
    </row>
    <row r="41" spans="3:12" ht="15" thickBot="1" x14ac:dyDescent="0.35">
      <c r="C41" s="231"/>
      <c r="D41" s="232"/>
      <c r="E41" s="232"/>
      <c r="F41" s="232"/>
      <c r="G41" s="232"/>
      <c r="H41" s="232"/>
      <c r="I41" s="232"/>
      <c r="J41" s="233"/>
    </row>
    <row r="43" spans="3:12" ht="15" thickBot="1" x14ac:dyDescent="0.35"/>
    <row r="44" spans="3:12" x14ac:dyDescent="0.3">
      <c r="C44" s="177" t="s">
        <v>57</v>
      </c>
      <c r="D44" s="178">
        <f>D36+1</f>
        <v>6</v>
      </c>
      <c r="E44" s="149"/>
      <c r="F44" s="149"/>
      <c r="G44" s="149"/>
      <c r="H44" s="149"/>
      <c r="I44" s="149"/>
      <c r="J44" s="150"/>
    </row>
    <row r="45" spans="3:12" x14ac:dyDescent="0.3">
      <c r="C45" s="179" t="s">
        <v>58</v>
      </c>
      <c r="D45" s="180"/>
      <c r="E45" t="s">
        <v>59</v>
      </c>
      <c r="G45" t="s">
        <v>60</v>
      </c>
      <c r="H45" t="s">
        <v>82</v>
      </c>
      <c r="I45" s="161"/>
      <c r="J45" s="151"/>
      <c r="K45" s="185"/>
      <c r="L45" s="185"/>
    </row>
    <row r="46" spans="3:12" x14ac:dyDescent="0.3">
      <c r="C46" s="179" t="s">
        <v>62</v>
      </c>
      <c r="D46" s="180" t="s">
        <v>63</v>
      </c>
      <c r="E46" t="s">
        <v>64</v>
      </c>
      <c r="G46" t="s">
        <v>29</v>
      </c>
      <c r="H46" t="s">
        <v>81</v>
      </c>
      <c r="J46" s="151"/>
      <c r="K46" s="185"/>
      <c r="L46" s="185"/>
    </row>
    <row r="47" spans="3:12" ht="15" thickBot="1" x14ac:dyDescent="0.35">
      <c r="C47" s="49" t="s">
        <v>65</v>
      </c>
      <c r="J47" s="151"/>
      <c r="K47" s="185"/>
      <c r="L47" s="185"/>
    </row>
    <row r="48" spans="3:12" x14ac:dyDescent="0.3">
      <c r="C48" s="228" t="s">
        <v>83</v>
      </c>
      <c r="D48" s="229"/>
      <c r="E48" s="229"/>
      <c r="F48" s="229"/>
      <c r="G48" s="229"/>
      <c r="H48" s="229"/>
      <c r="I48" s="229"/>
      <c r="J48" s="230"/>
      <c r="K48" s="185"/>
      <c r="L48" s="185"/>
    </row>
    <row r="49" spans="3:12" ht="15" thickBot="1" x14ac:dyDescent="0.35">
      <c r="C49" s="231"/>
      <c r="D49" s="232"/>
      <c r="E49" s="232"/>
      <c r="F49" s="232"/>
      <c r="G49" s="232"/>
      <c r="H49" s="232"/>
      <c r="I49" s="232"/>
      <c r="J49" s="233"/>
      <c r="K49" s="185"/>
      <c r="L49" s="185"/>
    </row>
  </sheetData>
  <mergeCells count="6">
    <mergeCell ref="C48:J49"/>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2026-05-11T11:44:39Z</cp:lastPrinted>
  <dcterms:created xsi:type="dcterms:W3CDTF">2016-01-12T20:02:43Z</dcterms:created>
  <dcterms:modified xsi:type="dcterms:W3CDTF">2026-05-31T19:51:43Z</dcterms:modified>
</cp:coreProperties>
</file>