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O HIGGINS 1157\Mayo\"/>
    </mc:Choice>
  </mc:AlternateContent>
  <xr:revisionPtr revIDLastSave="0" documentId="13_ncr:1_{54385EE8-C872-4E30-8D4D-1E8E122ADBD5}" xr6:coauthVersionLast="47" xr6:coauthVersionMax="47" xr10:uidLastSave="{00000000-0000-0000-0000-000000000000}"/>
  <bookViews>
    <workbookView xWindow="-120" yWindow="-120" windowWidth="20730" windowHeight="11040" activeTab="1"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RESUMEN!$A$1:$E$124</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0" i="5" l="1"/>
  <c r="G14" i="5" s="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R3" i="5"/>
  <c r="C2" i="5" s="1"/>
  <c r="E37" i="4"/>
  <c r="G53" i="5"/>
  <c r="G30" i="5" s="1"/>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D71" i="4"/>
  <c r="B124" i="4"/>
  <c r="B109" i="4"/>
  <c r="B104" i="4"/>
  <c r="G38" i="5"/>
  <c r="G35" i="5"/>
  <c r="G25" i="5"/>
  <c r="G58" i="5"/>
  <c r="G26" i="5"/>
  <c r="G33" i="5"/>
  <c r="G17" i="5"/>
  <c r="G42" i="5"/>
  <c r="G29" i="5"/>
  <c r="G20" i="5"/>
  <c r="G27" i="5"/>
  <c r="G23" i="5"/>
  <c r="E40" i="4"/>
  <c r="E41" i="4" s="1"/>
  <c r="E62" i="4"/>
  <c r="E68" i="4"/>
  <c r="E36" i="4"/>
  <c r="E35" i="4"/>
  <c r="E30" i="4"/>
  <c r="D44" i="6"/>
  <c r="D36" i="6"/>
  <c r="D28" i="6"/>
  <c r="D20" i="6"/>
  <c r="D12" i="6"/>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42" i="4"/>
  <c r="E25" i="4" l="1"/>
  <c r="E48" i="4" l="1"/>
  <c r="O13" i="5" l="1"/>
  <c r="G61" i="5" l="1"/>
  <c r="E72" i="4"/>
  <c r="E76" i="4" s="1"/>
  <c r="B89" i="4" s="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B113" i="4"/>
  <c r="E83" i="4"/>
  <c r="E87" i="4" s="1"/>
  <c r="B91" i="4" s="1"/>
  <c r="K61" i="5" l="1"/>
  <c r="I56" i="5"/>
  <c r="Q16" i="5"/>
  <c r="O16" i="5" s="1"/>
  <c r="I27" i="5"/>
  <c r="I37" i="5"/>
  <c r="I23" i="5"/>
  <c r="B90" i="4"/>
  <c r="B112" i="4" s="1"/>
  <c r="J61" i="5"/>
  <c r="I15" i="5"/>
  <c r="O15" i="5" s="1"/>
  <c r="B92" i="4"/>
  <c r="P16" i="5" l="1"/>
  <c r="Q17" i="5"/>
  <c r="O17" i="5" s="1"/>
  <c r="H14" i="5"/>
  <c r="B114" i="4"/>
  <c r="B117" i="4" s="1"/>
  <c r="B119" i="4" s="1"/>
  <c r="P15" i="5"/>
  <c r="P17" i="5" l="1"/>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<sst xmlns="http://schemas.openxmlformats.org/spreadsheetml/2006/main" count="323" uniqueCount="232">
  <si>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</si>
  <si>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</si>
  <si>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</si>
  <si>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</si>
  <si>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</si>
  <si>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</si>
  <si>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</si>
  <si>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</si>
  <si>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</si>
  <si>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</si>
  <si>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</si>
  <si>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</si>
  <si>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</si>
  <si>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</si>
  <si>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</si>
  <si>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</si>
  <si>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</si>
  <si>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</si>
  <si>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</si>
  <si>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</si>
  <si>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</si>
  <si>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</si>
  <si>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</si>
  <si>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</si>
  <si>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</si>
  <si>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</si>
  <si>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</si>
  <si>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</si>
  <si>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</si>
  <si>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</si>
  <si>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</si>
  <si>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</si>
  <si>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</si>
  <si>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</si>
  <si>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</si>
  <si>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</si>
  <si>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</si>
  <si>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</si>
  <si>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</si>
  <si>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</si>
  <si>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</si>
  <si>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</si>
  <si>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</si>
  <si>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</si>
  <si>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</si>
  <si>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</si>
  <si>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</si>
  <si>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</si>
  <si>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</si>
  <si>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Haberes</t>
  </si>
  <si>
    <t>Descuentos</t>
  </si>
  <si>
    <t>10 A 15HS - EMERGENCIAS 24HS</t>
  </si>
  <si>
    <t>Gasto particular</t>
  </si>
  <si>
    <t>REEMPLAZOS</t>
  </si>
  <si>
    <t xml:space="preserve">ANOTACION </t>
  </si>
  <si>
    <t>FECHA DE LA ANOTACION:</t>
  </si>
  <si>
    <t>0-ene</t>
  </si>
  <si>
    <t>NOMBRE:</t>
  </si>
  <si>
    <t>Ferraro jose</t>
  </si>
  <si>
    <t>QUEJA VIA:</t>
  </si>
  <si>
    <t>WHATSAPP</t>
  </si>
  <si>
    <t>MAIL</t>
  </si>
  <si>
    <t>MOTIVO DE LA QUEJA:</t>
  </si>
  <si>
    <t>El 10 C habia abonado en el mes 4 $132.420,71 , le quedaban $3677 pesos a favor y la pusimos impaga - Debe abonar $130.084,71</t>
  </si>
  <si>
    <t>El 10A deposito $220.300 el 08/05</t>
  </si>
  <si>
    <t>10A</t>
  </si>
  <si>
    <t>Cristina_Kruk@hotmail.com</t>
  </si>
  <si>
    <t>Cristina</t>
  </si>
  <si>
    <t>Deposito 15/05 $147.000</t>
  </si>
  <si>
    <t>8C creo</t>
  </si>
  <si>
    <t>Angelica</t>
  </si>
  <si>
    <t>Deposito $160.000 el 19/05 (creo)</t>
  </si>
  <si>
    <t>6F</t>
  </si>
  <si>
    <t>Gustavo Peker</t>
  </si>
  <si>
    <t>9B</t>
  </si>
  <si>
    <t>VTO 18/06</t>
  </si>
  <si>
    <t>PERÍODO: MAYO</t>
  </si>
  <si>
    <t>11C</t>
  </si>
  <si>
    <t xml:space="preserve">Jeremy </t>
  </si>
  <si>
    <t>El 11C mando un mail explicando su situacion y sus pagos - desde jeremynaguel@gmail.com - Revisar</t>
  </si>
  <si>
    <t>Abono $180.866,63 el 27/04 y no lo pusimos pago. CHEQUEAR - Tranfririo el 28/05 $182.697,63</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</si>
  <si>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</si>
  <si>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</si>
  <si>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</si>
  <si>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</si>
  <si>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</si>
  <si>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</si>
  <si>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</si>
  <si>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</si>
  <si>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</si>
  <si>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personales encargado</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</si>
  <si>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</si>
  <si>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</si>
  <si>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</si>
  <si>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</si>
  <si>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</si>
  <si>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</si>
  <si>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</si>
  <si>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</si>
  <si>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</si>
  <si>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</si>
  <si>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</si>
  <si>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</si>
  <si>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</si>
  <si>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</si>
  <si>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</si>
  <si>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</si>
  <si>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</si>
  <si>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</si>
  <si>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</si>
  <si>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</si>
  <si>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</si>
  <si>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</si>
  <si>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</si>
  <si>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</si>
  <si>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</si>
  <si>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</si>
  <si>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</si>
  <si>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</si>
  <si>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</si>
  <si>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</si>
  <si>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</si>
  <si>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</si>
  <si>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</si>
  <si>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</si>
  <si>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</si>
  <si>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</si>
  <si>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</si>
  <si>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</si>
  <si>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</si>
  <si>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</si>
  <si>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</si>
  <si>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</si>
  <si>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</si>
  <si>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</si>
  <si>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</si>
  <si>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</si>
  <si>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</si>
  <si>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</si>
  <si>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</si>
  <si>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</si>
  <si>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</si>
  <si>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</si>
  <si>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</si>
  <si>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</si>
  <si>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</si>
  <si>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</si>
  <si>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</si>
  <si>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</si>
  <si>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</si>
  <si>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</si>
  <si>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</si>
  <si>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</si>
  <si>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</si>
  <si>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</si>
  <si>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</si>
  <si>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</si>
  <si>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</si>
  <si>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</si>
  <si>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</si>
  <si>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</si>
  <si>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</si>
  <si>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</si>
  <si>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</si>
  <si>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</si>
  <si>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</si>
  <si>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</si>
  <si>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</si>
  <si>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</si>
  <si>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Transf 04/05</t>
  </si>
  <si>
    <t>Transf 05/05</t>
  </si>
  <si>
    <t>Transf 06/05</t>
  </si>
  <si>
    <t>Debito Autom.</t>
  </si>
  <si>
    <t>Debito 12/05</t>
  </si>
  <si>
    <t>Debito 06/05</t>
  </si>
  <si>
    <t>ADS - Suministro y colocacion de dos nuevas baterias para alambas autonomas de cabina - 2 luces de emergencia</t>
  </si>
  <si>
    <t>Transf 12/05</t>
  </si>
  <si>
    <t>Transf 13/05</t>
  </si>
  <si>
    <t>Papeleria Corpa - Compra de caja</t>
  </si>
  <si>
    <t xml:space="preserve">Compra de bolsas </t>
  </si>
  <si>
    <t>Flores Lisandro - Revoque Gazeta de gas</t>
  </si>
  <si>
    <t>Abono ascensor - ADS - Mantenimiento mes de abril</t>
  </si>
  <si>
    <t>Ferrateria La plaza - 6 dicroicas</t>
  </si>
  <si>
    <t>Transf 14/05</t>
  </si>
  <si>
    <t>Honorarios administracion saliente - Del 01 al 15 de Mayo - Fc. 00585</t>
  </si>
  <si>
    <t>Traspaso administracion antigua - Honorarios cobrados por administracion saliente Fc- 000586</t>
  </si>
  <si>
    <t>Transf 15/05</t>
  </si>
  <si>
    <t>Plan de Pago ARCA</t>
  </si>
  <si>
    <t>Cuota 14/24</t>
  </si>
  <si>
    <t>Debito 18/05</t>
  </si>
  <si>
    <t>Arguello Alejandro - Estado de situaicon diagnositico en sala de medidores, reparacion de perdidas y cambio de llave de paso - Reparacion de brida de regulador principal, corte de servicios y habilitacion de unidades. Encendido de artefactos - Fc. 0000384</t>
  </si>
  <si>
    <t>Transf 29/04</t>
  </si>
  <si>
    <t>Fernandez Carlos - Reparacion de postigones - Fc.  0009</t>
  </si>
  <si>
    <t>Buenas Ondas - Articulos de limpieza - Fc 0002921</t>
  </si>
  <si>
    <t>Matafuegos Protect Sur - Recarga de matafuegos - Fc. 0000195</t>
  </si>
  <si>
    <t>Transf 08/05</t>
  </si>
  <si>
    <t>Casa Ruan - Compra de lamparas</t>
  </si>
  <si>
    <t>Transf 30/04</t>
  </si>
  <si>
    <t>Orse Joathan Gabriel - Cambio de lampras en altura y medidores de gas</t>
  </si>
  <si>
    <t>Honorarios administracion - Se adeuda Mitad de Mayo</t>
  </si>
  <si>
    <t xml:space="preserve">Gustavo Padron -  Sr. Contador </t>
  </si>
  <si>
    <t>Nancy Llano</t>
  </si>
  <si>
    <t>Gonzalo Llofriu</t>
  </si>
  <si>
    <t xml:space="preserve">Mauro De Luca </t>
  </si>
  <si>
    <t>Tania Sarai Talavera Salcedo</t>
  </si>
  <si>
    <t>Ivan Campos</t>
  </si>
  <si>
    <t>Roque Mona</t>
  </si>
  <si>
    <t>Victoria Blas</t>
  </si>
  <si>
    <t>Marcelo Federico Segura</t>
  </si>
  <si>
    <t>Gimenez Gisele</t>
  </si>
  <si>
    <t>Inicio 06/05/2026</t>
  </si>
  <si>
    <t>Dinero al 29/05</t>
  </si>
  <si>
    <t>Plazo Fijo (Vto. 05/06)</t>
  </si>
  <si>
    <t>Martinez Blanca Myriam</t>
  </si>
  <si>
    <t>Transferencia Agüero Villanueva Brisa - 08/05</t>
  </si>
  <si>
    <t>Monica Bratuz y Federico Paez</t>
  </si>
  <si>
    <t>Deposita - Paga Cocheras 1, 15 y 22 - Lanzilotto</t>
  </si>
  <si>
    <t>Saldo inicial - Al 30/04</t>
  </si>
  <si>
    <t xml:space="preserve">Caja SUM </t>
  </si>
  <si>
    <t>Ingreso</t>
  </si>
  <si>
    <t>Egreso</t>
  </si>
  <si>
    <t xml:space="preserve">Caja Efectivo </t>
  </si>
  <si>
    <t>Liquidacion Plazo Fijo colocado por administracion anterior (06/05)</t>
  </si>
  <si>
    <t>Caja Real en banco (Caja Bancaria + SUM)</t>
  </si>
  <si>
    <t>Gastos bancarios - Desde el 25 del mes 4</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</si>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</sst>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2"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u/>
      <sz val="11"/>
      <color theme="1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2"/>
        <bgColor indexed="64"/>
      </patternFill>
    </fill>
    <fill>
      <patternFill patternType="solid">
        <fgColor rgb="FF74FA84"/>
        <bgColor indexed="64"/>
      </patternFill>
    </fill>
    <fill>
      <patternFill patternType="solid">
        <fgColor theme="6" tint="0.59999389629810485"/>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3">
    <xf numFmtId="0" fontId="0" fillId="0" borderId="0"/>
    <xf numFmtId="44" fontId="5" fillId="0" borderId="0" applyFont="0" applyFill="0" applyBorder="0" applyAlignment="0" applyProtection="0"/>
    <xf numFmtId="0" fontId="21" fillId="0" borderId="0" applyNumberFormat="0" applyFill="0" applyBorder="0" applyAlignment="0" applyProtection="0"/>
  </cellStyleXfs>
  <cellXfs count="260">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2" fillId="2" borderId="9" xfId="0" applyFont="1" applyFill="1" applyBorder="1"/>
    <xf numFmtId="0" fontId="1" fillId="7" borderId="9" xfId="0" applyFont="1" applyFill="1" applyBorder="1"/>
    <xf numFmtId="44" fontId="13" fillId="7" borderId="20" xfId="1" applyFont="1" applyFill="1" applyBorder="1"/>
    <xf numFmtId="44" fontId="13"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1" fillId="7" borderId="9" xfId="1" applyFont="1" applyFill="1" applyBorder="1"/>
    <xf numFmtId="0" fontId="0" fillId="0" borderId="9" xfId="0" applyBorder="1"/>
    <xf numFmtId="0" fontId="0" fillId="0" borderId="21" xfId="0" applyBorder="1"/>
    <xf numFmtId="0" fontId="0" fillId="0" borderId="20" xfId="0" applyBorder="1" applyAlignment="1">
      <alignment horizontal="left" vertical="center"/>
    </xf>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0" fontId="1" fillId="7" borderId="9" xfId="0" applyFont="1" applyFill="1" applyBorder="1" applyAlignment="1">
      <alignment wrapText="1"/>
    </xf>
    <xf numFmtId="8" fontId="13" fillId="7" borderId="20" xfId="0" applyNumberFormat="1" applyFont="1" applyFill="1" applyBorder="1"/>
    <xf numFmtId="0" fontId="1" fillId="7" borderId="19" xfId="0"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 fillId="8" borderId="9" xfId="0" applyFont="1" applyFill="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44" fontId="18" fillId="2" borderId="9" xfId="1" applyFont="1" applyFill="1" applyBorder="1"/>
    <xf numFmtId="0" fontId="16" fillId="0" borderId="0" xfId="0" applyFont="1"/>
    <xf numFmtId="0" fontId="1" fillId="3" borderId="7" xfId="0" applyFont="1" applyFill="1" applyBorder="1" applyAlignment="1">
      <alignment horizontal="left" vertical="top" wrapText="1"/>
    </xf>
    <xf numFmtId="0" fontId="1" fillId="2" borderId="9" xfId="0" applyFont="1" applyFill="1" applyBorder="1"/>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44" fontId="11" fillId="7" borderId="0" xfId="1" applyFont="1" applyFill="1"/>
    <xf numFmtId="8" fontId="20" fillId="7" borderId="9" xfId="0" applyNumberFormat="1" applyFont="1" applyFill="1" applyBorder="1"/>
    <xf numFmtId="0" fontId="12" fillId="2" borderId="19" xfId="0" applyFont="1" applyFill="1" applyBorder="1"/>
    <xf numFmtId="44" fontId="11" fillId="2" borderId="22" xfId="1" applyFont="1" applyFill="1" applyBorder="1"/>
    <xf numFmtId="167" fontId="17" fillId="2" borderId="9" xfId="1" applyNumberFormat="1" applyFont="1" applyFill="1" applyBorder="1"/>
    <xf numFmtId="0" fontId="17" fillId="2"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2"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7" fillId="0" borderId="9" xfId="1" applyFont="1" applyBorder="1" applyAlignment="1">
      <alignment vertical="center" wrapText="1"/>
    </xf>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4" fontId="15" fillId="8" borderId="9" xfId="1" applyFont="1" applyFill="1" applyBorder="1" applyAlignment="1">
      <alignment vertical="center"/>
    </xf>
    <xf numFmtId="44" fontId="14" fillId="0" borderId="9" xfId="1" applyFont="1" applyBorder="1" applyAlignment="1">
      <alignment wrapText="1"/>
    </xf>
    <xf numFmtId="8" fontId="14"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2" borderId="18" xfId="0" applyFill="1" applyBorder="1"/>
    <xf numFmtId="0" fontId="0" fillId="12" borderId="2" xfId="0" applyFill="1" applyBorder="1"/>
    <xf numFmtId="0" fontId="0" fillId="12" borderId="3" xfId="0" applyFill="1" applyBorder="1"/>
    <xf numFmtId="0" fontId="0" fillId="12" borderId="0" xfId="0" applyFill="1"/>
    <xf numFmtId="3" fontId="0" fillId="0" borderId="0" xfId="0" applyNumberFormat="1"/>
    <xf numFmtId="0" fontId="0" fillId="13" borderId="18" xfId="0" applyFill="1" applyBorder="1"/>
    <xf numFmtId="0" fontId="0" fillId="13" borderId="2" xfId="0" applyFill="1" applyBorder="1"/>
    <xf numFmtId="0" fontId="0" fillId="13" borderId="3" xfId="0" applyFill="1" applyBorder="1"/>
    <xf numFmtId="0" fontId="0" fillId="13" borderId="0" xfId="0" applyFill="1"/>
    <xf numFmtId="0" fontId="21" fillId="0" borderId="0" xfId="2"/>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0" fontId="0" fillId="6" borderId="18" xfId="0" applyFill="1" applyBorder="1"/>
    <xf numFmtId="0" fontId="0" fillId="6" borderId="3" xfId="0" applyFill="1" applyBorder="1"/>
    <xf numFmtId="0" fontId="0" fillId="6" borderId="0" xfId="0" applyFill="1"/>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0" fontId="0" fillId="16" borderId="18" xfId="0" applyFill="1" applyBorder="1"/>
    <xf numFmtId="0" fontId="0" fillId="16" borderId="2" xfId="0" applyFill="1" applyBorder="1"/>
    <xf numFmtId="0" fontId="0" fillId="16" borderId="3" xfId="0" applyFill="1" applyBorder="1"/>
    <xf numFmtId="0" fontId="0" fillId="16" borderId="0" xfId="0" applyFill="1"/>
    <xf numFmtId="0" fontId="0" fillId="4" borderId="0" xfId="0" applyFill="1"/>
    <xf numFmtId="44" fontId="7" fillId="2" borderId="19" xfId="1" applyFont="1" applyFill="1" applyBorder="1" applyAlignment="1">
      <alignment horizontal="center" vertical="center"/>
    </xf>
    <xf numFmtId="0" fontId="12" fillId="0" borderId="19" xfId="1" applyNumberFormat="1" applyFont="1" applyBorder="1" applyAlignment="1">
      <alignment horizontal="left" vertical="center"/>
    </xf>
    <xf numFmtId="0" fontId="0" fillId="2" borderId="21" xfId="0" applyFill="1" applyBorder="1" applyAlignment="1">
      <alignment horizontal="left" vertical="center" wrapText="1"/>
    </xf>
    <xf numFmtId="0" fontId="18" fillId="2" borderId="10" xfId="0" applyFont="1" applyFill="1" applyBorder="1"/>
    <xf numFmtId="0" fontId="18" fillId="2" borderId="9" xfId="0" applyFont="1" applyFill="1" applyBorder="1" applyAlignment="1">
      <alignment vertical="center" wrapText="1"/>
    </xf>
    <xf numFmtId="0" fontId="18" fillId="2" borderId="9" xfId="0" applyFont="1" applyFill="1" applyBorder="1" applyAlignment="1">
      <alignment wrapText="1"/>
    </xf>
    <xf numFmtId="0" fontId="18" fillId="2" borderId="9" xfId="0" applyFont="1" applyFill="1" applyBorder="1" applyAlignment="1">
      <alignment horizontal="center"/>
    </xf>
    <xf numFmtId="167" fontId="18" fillId="2" borderId="9" xfId="0" applyNumberFormat="1" applyFont="1" applyFill="1" applyBorder="1"/>
    <xf numFmtId="167" fontId="18" fillId="2" borderId="9" xfId="1" applyNumberFormat="1" applyFont="1" applyFill="1" applyBorder="1"/>
    <xf numFmtId="0" fontId="0" fillId="3" borderId="2" xfId="0" applyFill="1" applyBorder="1"/>
    <xf numFmtId="0" fontId="0" fillId="3" borderId="0" xfId="0" applyFill="1" applyBorder="1"/>
    <xf numFmtId="0" fontId="0" fillId="3" borderId="16" xfId="0" applyFill="1" applyBorder="1"/>
    <xf numFmtId="0" fontId="17" fillId="2" borderId="21" xfId="0" applyFont="1" applyFill="1" applyBorder="1"/>
    <xf numFmtId="0" fontId="17" fillId="7" borderId="38" xfId="0" applyFont="1" applyFill="1" applyBorder="1"/>
    <xf numFmtId="0" fontId="0" fillId="0" borderId="0" xfId="0" applyAlignment="1">
      <alignment vertical="center"/>
    </xf>
    <xf numFmtId="0" fontId="0" fillId="2" borderId="9" xfId="0" applyFont="1" applyFill="1" applyBorder="1"/>
    <xf numFmtId="0" fontId="17" fillId="2" borderId="9" xfId="0" applyFont="1" applyFill="1" applyBorder="1" applyAlignment="1"/>
    <xf numFmtId="165" fontId="1" fillId="3" borderId="0" xfId="0" applyNumberFormat="1" applyFont="1" applyFill="1" applyAlignment="1">
      <alignment horizontal="center"/>
    </xf>
    <xf numFmtId="8" fontId="11" fillId="2" borderId="20" xfId="0" applyNumberFormat="1" applyFont="1" applyFill="1" applyBorder="1" applyAlignment="1">
      <alignment horizontal="right"/>
    </xf>
    <xf numFmtId="44" fontId="11" fillId="2" borderId="9" xfId="1" applyFont="1" applyFill="1" applyBorder="1"/>
    <xf numFmtId="44" fontId="11" fillId="2" borderId="20" xfId="1" applyFont="1" applyFill="1" applyBorder="1" applyAlignment="1"/>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8" fontId="11" fillId="2" borderId="9" xfId="0" applyNumberFormat="1" applyFont="1" applyFill="1" applyBorder="1" applyAlignment="1">
      <alignment horizontal="right"/>
    </xf>
    <xf numFmtId="0" fontId="1" fillId="2" borderId="0" xfId="0" applyFont="1" applyFill="1" applyBorder="1" applyAlignment="1">
      <alignment horizontal="left" vertical="center" wrapText="1"/>
    </xf>
    <xf numFmtId="44" fontId="1" fillId="2" borderId="0" xfId="1" applyFont="1" applyFill="1" applyBorder="1" applyAlignment="1">
      <alignment horizontal="left" vertical="center" wrapText="1"/>
    </xf>
    <xf numFmtId="44" fontId="11" fillId="0" borderId="0" xfId="0" applyNumberFormat="1" applyFont="1"/>
    <xf numFmtId="44" fontId="11" fillId="0" borderId="9" xfId="1" applyFont="1" applyBorder="1" applyAlignment="1">
      <alignment vertical="center" wrapText="1"/>
    </xf>
    <xf numFmtId="44" fontId="7" fillId="0" borderId="9" xfId="0" applyNumberFormat="1" applyFont="1" applyBorder="1" applyAlignment="1">
      <alignment vertical="center" wrapText="1"/>
    </xf>
    <xf numFmtId="0" fontId="1" fillId="17" borderId="7" xfId="0" applyFont="1" applyFill="1" applyBorder="1" applyAlignment="1">
      <alignment vertical="center" wrapText="1"/>
    </xf>
    <xf numFmtId="44" fontId="1" fillId="17" borderId="1" xfId="0" applyNumberFormat="1" applyFont="1" applyFill="1" applyBorder="1"/>
    <xf numFmtId="165" fontId="1" fillId="3" borderId="0" xfId="0" applyNumberFormat="1" applyFont="1" applyFill="1" applyAlignment="1">
      <alignment horizontal="center"/>
    </xf>
    <xf numFmtId="0" fontId="0" fillId="3" borderId="2" xfId="0" applyFill="1" applyBorder="1" applyAlignment="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6" fillId="9" borderId="0" xfId="0" applyFont="1" applyFill="1" applyAlignment="1">
      <alignment horizontal="center" vertical="center"/>
    </xf>
    <xf numFmtId="0" fontId="0" fillId="0" borderId="22" xfId="0" applyBorder="1" applyAlignment="1">
      <alignment horizontal="left" vertical="center" wrapText="1"/>
    </xf>
    <xf numFmtId="0" fontId="0" fillId="0" borderId="37" xfId="0" applyBorder="1" applyAlignment="1">
      <alignment horizontal="left" vertical="center"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Border="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165" fontId="1" fillId="3" borderId="0" xfId="0" applyNumberFormat="1" applyFont="1" applyFill="1" applyAlignment="1">
      <alignment horizont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cellXfs>
  <cellStyles count="3">
    <cellStyle name="Hipervínculo" xfId="2" builtinId="8"/>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Cristina_Kruk@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25"/>
  <sheetViews>
    <sheetView topLeftCell="A112" workbookViewId="0">
      <selection activeCell="A123" sqref="A123"/>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2"/>
      <c r="B1" s="203" t="s">
        <v>82</v>
      </c>
      <c r="C1" s="203"/>
      <c r="D1" s="203"/>
      <c r="E1" s="204"/>
    </row>
    <row r="2" spans="1:5" x14ac:dyDescent="0.25">
      <c r="A2" s="3"/>
      <c r="B2" s="10" t="s">
        <v>46</v>
      </c>
      <c r="C2" s="4"/>
      <c r="D2" s="4"/>
      <c r="E2" s="5"/>
    </row>
    <row r="3" spans="1:5" ht="56.45" customHeight="1" thickBot="1" x14ac:dyDescent="0.3">
      <c r="A3" s="3"/>
      <c r="B3" s="207" t="s">
        <v>166</v>
      </c>
      <c r="C3" s="207"/>
      <c r="D3" s="207"/>
      <c r="E3" s="208"/>
    </row>
    <row r="4" spans="1:5" ht="15.75" thickBot="1" x14ac:dyDescent="0.3">
      <c r="A4" s="6" t="s">
        <v>3</v>
      </c>
      <c r="B4" s="7" t="s">
        <v>4</v>
      </c>
      <c r="C4" s="8"/>
      <c r="D4" s="8"/>
      <c r="E4" s="9"/>
    </row>
    <row r="5" spans="1:5" ht="15.75" thickBot="1" x14ac:dyDescent="0.3">
      <c r="A5" s="3" t="s">
        <v>81</v>
      </c>
      <c r="B5" s="8" t="s">
        <v>76</v>
      </c>
      <c r="C5" s="10"/>
      <c r="D5" s="4" t="s">
        <v>5</v>
      </c>
      <c r="E5" s="11"/>
    </row>
    <row r="6" spans="1:5" ht="16.149999999999999" customHeight="1" thickBot="1" x14ac:dyDescent="0.3">
      <c r="A6" s="84" t="s">
        <v>38</v>
      </c>
      <c r="B6" s="8"/>
      <c r="C6" s="8"/>
      <c r="D6" s="8" t="s">
        <v>51</v>
      </c>
      <c r="E6" s="9"/>
    </row>
    <row r="8" spans="1:5" x14ac:dyDescent="0.25">
      <c r="B8" s="209" t="s">
        <v>75</v>
      </c>
      <c r="C8" s="209"/>
    </row>
    <row r="9" spans="1:5" x14ac:dyDescent="0.25">
      <c r="B9" s="209"/>
      <c r="C9" s="209"/>
    </row>
    <row r="10" spans="1:5" x14ac:dyDescent="0.25">
      <c r="B10" s="209"/>
      <c r="C10" s="209"/>
    </row>
    <row r="12" spans="1:5" hidden="1" x14ac:dyDescent="0.25"/>
    <row r="13" spans="1:5" ht="15" customHeight="1" x14ac:dyDescent="0.25">
      <c r="A13" s="210" t="s">
        <v>167</v>
      </c>
      <c r="B13" s="210"/>
      <c r="C13" s="210"/>
      <c r="D13" s="210"/>
      <c r="E13" s="210"/>
    </row>
    <row r="14" spans="1:5" ht="15" customHeight="1" x14ac:dyDescent="0.25">
      <c r="A14" s="210"/>
      <c r="B14" s="210"/>
      <c r="C14" s="210"/>
      <c r="D14" s="210"/>
      <c r="E14" s="210"/>
    </row>
    <row r="15" spans="1:5" ht="15" customHeight="1" x14ac:dyDescent="0.25">
      <c r="A15" s="210"/>
      <c r="B15" s="210"/>
      <c r="C15" s="210"/>
      <c r="D15" s="210"/>
      <c r="E15" s="210"/>
    </row>
    <row r="16" spans="1:5" ht="53.25" customHeight="1" x14ac:dyDescent="0.25">
      <c r="A16" s="210"/>
      <c r="B16" s="210"/>
      <c r="C16" s="210"/>
      <c r="D16" s="210"/>
      <c r="E16" s="210"/>
    </row>
    <row r="17" spans="1:8" ht="14.25" customHeight="1" thickBot="1" x14ac:dyDescent="0.3"/>
    <row r="18" spans="1:8" ht="15.75" hidden="1" thickBot="1" x14ac:dyDescent="0.3">
      <c r="A18" s="1"/>
    </row>
    <row r="19" spans="1:8" ht="15.75" hidden="1" thickBot="1" x14ac:dyDescent="0.3"/>
    <row r="20" spans="1:8" x14ac:dyDescent="0.25">
      <c r="A20" s="12" t="s">
        <v>7</v>
      </c>
      <c r="B20" s="13"/>
      <c r="C20" s="14"/>
      <c r="D20" s="15"/>
      <c r="E20" s="16"/>
    </row>
    <row r="21" spans="1:8" x14ac:dyDescent="0.25">
      <c r="A21" s="17" t="s">
        <v>83</v>
      </c>
      <c r="B21" s="17"/>
      <c r="C21" s="17"/>
      <c r="D21" s="103"/>
      <c r="E21" s="121"/>
    </row>
    <row r="22" spans="1:8" ht="15" customHeight="1" x14ac:dyDescent="0.25">
      <c r="A22" s="205" t="s">
        <v>49</v>
      </c>
      <c r="B22" s="206"/>
      <c r="C22" s="20"/>
      <c r="D22" s="188">
        <v>1199023.2</v>
      </c>
      <c r="E22" s="122"/>
      <c r="H22" s="21"/>
    </row>
    <row r="23" spans="1:8" ht="15" customHeight="1" x14ac:dyDescent="0.25">
      <c r="A23" s="205" t="s">
        <v>50</v>
      </c>
      <c r="B23" s="206"/>
      <c r="C23" s="20"/>
      <c r="D23" s="188">
        <v>-260787.54</v>
      </c>
      <c r="E23" s="22"/>
      <c r="H23" s="21"/>
    </row>
    <row r="24" spans="1:8" ht="13.5" customHeight="1" x14ac:dyDescent="0.25">
      <c r="A24" s="205" t="s">
        <v>1</v>
      </c>
      <c r="B24" s="206"/>
      <c r="C24" s="20"/>
      <c r="D24" s="189">
        <v>0.34</v>
      </c>
      <c r="E24" s="22"/>
      <c r="H24" s="21"/>
    </row>
    <row r="25" spans="1:8" x14ac:dyDescent="0.25">
      <c r="A25" s="23" t="s">
        <v>8</v>
      </c>
      <c r="B25" s="23"/>
      <c r="C25" s="23"/>
      <c r="D25" s="24"/>
      <c r="E25" s="123">
        <f>SUM(D22:D24)</f>
        <v>938235.99999999988</v>
      </c>
    </row>
    <row r="26" spans="1:8" hidden="1" x14ac:dyDescent="0.25">
      <c r="A26" s="23" t="s">
        <v>53</v>
      </c>
      <c r="B26" s="23"/>
      <c r="C26" s="23"/>
      <c r="D26" s="24"/>
      <c r="E26" s="124"/>
    </row>
    <row r="27" spans="1:8" hidden="1" x14ac:dyDescent="0.25">
      <c r="A27" s="20"/>
      <c r="B27" s="20"/>
      <c r="C27" s="20"/>
      <c r="D27" s="36"/>
      <c r="E27" s="136"/>
    </row>
    <row r="28" spans="1:8" hidden="1" x14ac:dyDescent="0.25">
      <c r="A28" s="20"/>
      <c r="B28" s="20"/>
      <c r="C28" s="20"/>
      <c r="D28" s="36"/>
      <c r="E28" s="136"/>
    </row>
    <row r="29" spans="1:8" hidden="1" x14ac:dyDescent="0.25">
      <c r="A29" s="20"/>
      <c r="B29" s="20"/>
      <c r="C29" s="20"/>
      <c r="D29" s="36"/>
      <c r="E29" s="136"/>
    </row>
    <row r="30" spans="1:8" hidden="1" x14ac:dyDescent="0.25">
      <c r="A30" s="23" t="s">
        <v>8</v>
      </c>
      <c r="B30" s="29"/>
      <c r="C30" s="29"/>
      <c r="D30" s="93"/>
      <c r="E30" s="126">
        <f>SUM(D27:D29)</f>
        <v>0</v>
      </c>
    </row>
    <row r="31" spans="1:8" x14ac:dyDescent="0.25">
      <c r="A31" s="17" t="s">
        <v>39</v>
      </c>
      <c r="B31" s="23"/>
      <c r="C31" s="23"/>
      <c r="D31" s="24"/>
      <c r="E31" s="124"/>
    </row>
    <row r="32" spans="1:8" x14ac:dyDescent="0.25">
      <c r="A32" s="20" t="s">
        <v>84</v>
      </c>
      <c r="B32" s="85"/>
      <c r="C32" s="85"/>
      <c r="D32" s="36">
        <v>641302.6</v>
      </c>
      <c r="E32" s="125" t="s">
        <v>174</v>
      </c>
      <c r="G32" s="67"/>
    </row>
    <row r="33" spans="1:7" x14ac:dyDescent="0.25">
      <c r="A33" s="20" t="s">
        <v>187</v>
      </c>
      <c r="B33" s="182" t="s">
        <v>188</v>
      </c>
      <c r="C33" s="85"/>
      <c r="D33" s="36">
        <v>182823.01</v>
      </c>
      <c r="E33" s="125" t="s">
        <v>189</v>
      </c>
      <c r="G33" s="67"/>
    </row>
    <row r="34" spans="1:7" x14ac:dyDescent="0.25">
      <c r="A34" s="20" t="s">
        <v>41</v>
      </c>
      <c r="B34" s="85"/>
      <c r="C34" s="85"/>
      <c r="D34" s="36">
        <v>58593.37</v>
      </c>
      <c r="E34" s="125" t="s">
        <v>173</v>
      </c>
      <c r="G34" s="67"/>
    </row>
    <row r="35" spans="1:7" x14ac:dyDescent="0.25">
      <c r="A35" s="20" t="s">
        <v>43</v>
      </c>
      <c r="B35" s="85"/>
      <c r="C35" s="85"/>
      <c r="D35" s="36">
        <v>6510.37</v>
      </c>
      <c r="E35" s="125" t="str">
        <f>E34</f>
        <v>Debito 12/05</v>
      </c>
      <c r="G35" s="51"/>
    </row>
    <row r="36" spans="1:7" x14ac:dyDescent="0.25">
      <c r="A36" s="20" t="s">
        <v>42</v>
      </c>
      <c r="B36" s="85"/>
      <c r="C36" s="85"/>
      <c r="D36" s="36">
        <v>102793.15</v>
      </c>
      <c r="E36" s="125" t="str">
        <f>E34</f>
        <v>Debito 12/05</v>
      </c>
    </row>
    <row r="37" spans="1:7" ht="16.5" customHeight="1" x14ac:dyDescent="0.25">
      <c r="A37" s="23" t="s">
        <v>40</v>
      </c>
      <c r="B37" s="23"/>
      <c r="C37" s="23"/>
      <c r="D37" s="24"/>
      <c r="E37" s="42">
        <f>SUM(D32:D36)</f>
        <v>992022.5</v>
      </c>
    </row>
    <row r="38" spans="1:7" x14ac:dyDescent="0.25">
      <c r="A38" s="17" t="s">
        <v>9</v>
      </c>
      <c r="B38" s="23"/>
      <c r="C38" s="23"/>
      <c r="D38" s="25"/>
      <c r="E38" s="126"/>
    </row>
    <row r="39" spans="1:7" ht="26.25" customHeight="1" x14ac:dyDescent="0.25">
      <c r="A39" s="211" t="s">
        <v>89</v>
      </c>
      <c r="B39" s="212"/>
      <c r="C39" s="28"/>
      <c r="D39" s="187">
        <v>205033.71</v>
      </c>
      <c r="E39" s="22" t="s">
        <v>172</v>
      </c>
    </row>
    <row r="40" spans="1:7" ht="26.25" customHeight="1" x14ac:dyDescent="0.25">
      <c r="A40" s="211" t="s">
        <v>90</v>
      </c>
      <c r="B40" s="212"/>
      <c r="C40" s="28"/>
      <c r="D40" s="187">
        <v>1282.32</v>
      </c>
      <c r="E40" s="22" t="str">
        <f>E39</f>
        <v>Debito Autom.</v>
      </c>
    </row>
    <row r="41" spans="1:7" ht="26.25" customHeight="1" x14ac:dyDescent="0.25">
      <c r="A41" s="211" t="s">
        <v>91</v>
      </c>
      <c r="B41" s="212"/>
      <c r="C41" s="28"/>
      <c r="D41" s="187">
        <v>12020</v>
      </c>
      <c r="E41" s="22" t="str">
        <f>E40</f>
        <v>Debito Autom.</v>
      </c>
    </row>
    <row r="42" spans="1:7" x14ac:dyDescent="0.25">
      <c r="A42" s="23" t="s">
        <v>10</v>
      </c>
      <c r="B42" s="23"/>
      <c r="C42" s="23"/>
      <c r="D42" s="24"/>
      <c r="E42" s="42">
        <f>SUM(D39:D41)</f>
        <v>218336.03</v>
      </c>
    </row>
    <row r="43" spans="1:7" x14ac:dyDescent="0.25">
      <c r="A43" s="17" t="s">
        <v>11</v>
      </c>
      <c r="B43" s="29"/>
      <c r="C43" s="29"/>
      <c r="D43" s="30"/>
      <c r="E43" s="127"/>
    </row>
    <row r="44" spans="1:7" ht="14.25" customHeight="1" x14ac:dyDescent="0.25">
      <c r="A44" s="31" t="s">
        <v>168</v>
      </c>
      <c r="B44" s="31"/>
      <c r="C44" s="31"/>
      <c r="D44" s="186">
        <v>997677.51</v>
      </c>
      <c r="E44" s="22" t="s">
        <v>169</v>
      </c>
    </row>
    <row r="45" spans="1:7" x14ac:dyDescent="0.25">
      <c r="A45" s="31" t="s">
        <v>87</v>
      </c>
      <c r="B45" s="32"/>
      <c r="C45" s="31"/>
      <c r="D45" s="186">
        <v>6087.49</v>
      </c>
      <c r="E45" s="22" t="s">
        <v>170</v>
      </c>
    </row>
    <row r="46" spans="1:7" x14ac:dyDescent="0.25">
      <c r="A46" s="211" t="s">
        <v>88</v>
      </c>
      <c r="B46" s="212"/>
      <c r="C46" s="31"/>
      <c r="D46" s="186">
        <v>570397.97</v>
      </c>
      <c r="E46" s="104" t="s">
        <v>177</v>
      </c>
    </row>
    <row r="47" spans="1:7" x14ac:dyDescent="0.25">
      <c r="A47" s="33" t="s">
        <v>86</v>
      </c>
      <c r="B47" s="27"/>
      <c r="C47" s="31"/>
      <c r="D47" s="186">
        <v>0</v>
      </c>
      <c r="E47" s="22"/>
    </row>
    <row r="48" spans="1:7" ht="15.75" thickBot="1" x14ac:dyDescent="0.3">
      <c r="A48" s="23" t="s">
        <v>12</v>
      </c>
      <c r="B48" s="23"/>
      <c r="C48" s="23"/>
      <c r="D48" s="34"/>
      <c r="E48" s="128">
        <f>SUM(D44:D47)</f>
        <v>1574162.97</v>
      </c>
    </row>
    <row r="49" spans="1:6" ht="15" customHeight="1" thickBot="1" x14ac:dyDescent="0.3">
      <c r="A49" s="17" t="s">
        <v>85</v>
      </c>
      <c r="B49" s="23"/>
      <c r="C49" s="23"/>
      <c r="D49" s="24"/>
      <c r="E49" s="129"/>
    </row>
    <row r="50" spans="1:6" ht="21.95" customHeight="1" x14ac:dyDescent="0.25">
      <c r="A50" s="205" t="s">
        <v>181</v>
      </c>
      <c r="B50" s="206"/>
      <c r="C50" s="31"/>
      <c r="D50" s="186">
        <v>250600</v>
      </c>
      <c r="E50" s="35" t="s">
        <v>171</v>
      </c>
    </row>
    <row r="51" spans="1:6" ht="31.5" customHeight="1" x14ac:dyDescent="0.25">
      <c r="A51" s="205" t="s">
        <v>175</v>
      </c>
      <c r="B51" s="206"/>
      <c r="C51" s="31"/>
      <c r="D51" s="186">
        <v>367392.3</v>
      </c>
      <c r="E51" s="35" t="s">
        <v>176</v>
      </c>
    </row>
    <row r="52" spans="1:6" ht="69" customHeight="1" x14ac:dyDescent="0.25">
      <c r="A52" s="205" t="s">
        <v>190</v>
      </c>
      <c r="B52" s="206"/>
      <c r="C52" s="31"/>
      <c r="D52" s="186">
        <v>2130000</v>
      </c>
      <c r="E52" s="35" t="s">
        <v>191</v>
      </c>
    </row>
    <row r="53" spans="1:6" ht="21.75" customHeight="1" x14ac:dyDescent="0.25">
      <c r="A53" s="181" t="s">
        <v>192</v>
      </c>
      <c r="B53" s="19"/>
      <c r="C53" s="20"/>
      <c r="D53" s="186">
        <v>73000</v>
      </c>
      <c r="E53" s="35" t="s">
        <v>176</v>
      </c>
      <c r="F53" s="51"/>
    </row>
    <row r="54" spans="1:6" ht="21.75" customHeight="1" x14ac:dyDescent="0.25">
      <c r="A54" s="87" t="s">
        <v>194</v>
      </c>
      <c r="B54" s="169"/>
      <c r="C54" s="20"/>
      <c r="D54" s="186">
        <v>840000</v>
      </c>
      <c r="E54" s="35" t="s">
        <v>195</v>
      </c>
      <c r="F54" s="51"/>
    </row>
    <row r="55" spans="1:6" ht="20.25" customHeight="1" x14ac:dyDescent="0.25">
      <c r="A55" s="213" t="s">
        <v>178</v>
      </c>
      <c r="B55" s="214"/>
      <c r="C55" s="20"/>
      <c r="D55" s="186">
        <v>4400</v>
      </c>
      <c r="E55" s="35" t="s">
        <v>177</v>
      </c>
      <c r="F55" s="51"/>
    </row>
    <row r="56" spans="1:6" ht="20.25" customHeight="1" x14ac:dyDescent="0.25">
      <c r="A56" s="87" t="s">
        <v>193</v>
      </c>
      <c r="B56" s="169"/>
      <c r="C56" s="20"/>
      <c r="D56" s="186">
        <v>60500</v>
      </c>
      <c r="E56" s="35" t="s">
        <v>171</v>
      </c>
    </row>
    <row r="57" spans="1:6" ht="22.5" customHeight="1" x14ac:dyDescent="0.25">
      <c r="A57" s="87" t="s">
        <v>179</v>
      </c>
      <c r="B57" s="19"/>
      <c r="C57" s="20"/>
      <c r="D57" s="186">
        <v>28000</v>
      </c>
      <c r="E57" s="135" t="s">
        <v>177</v>
      </c>
      <c r="F57" s="51"/>
    </row>
    <row r="58" spans="1:6" ht="22.5" customHeight="1" x14ac:dyDescent="0.25">
      <c r="A58" s="87" t="s">
        <v>196</v>
      </c>
      <c r="B58" s="169"/>
      <c r="C58" s="20"/>
      <c r="D58" s="186">
        <v>10400</v>
      </c>
      <c r="E58" s="135" t="s">
        <v>197</v>
      </c>
      <c r="F58" s="51"/>
    </row>
    <row r="59" spans="1:6" ht="30.75" customHeight="1" x14ac:dyDescent="0.25">
      <c r="A59" s="205" t="s">
        <v>198</v>
      </c>
      <c r="B59" s="206"/>
      <c r="C59" s="20"/>
      <c r="D59" s="186">
        <v>50000</v>
      </c>
      <c r="E59" s="135" t="s">
        <v>197</v>
      </c>
      <c r="F59" s="51"/>
    </row>
    <row r="60" spans="1:6" ht="21.95" customHeight="1" x14ac:dyDescent="0.25">
      <c r="A60" s="205" t="s">
        <v>180</v>
      </c>
      <c r="B60" s="206"/>
      <c r="C60" s="20"/>
      <c r="D60" s="186">
        <v>127000</v>
      </c>
      <c r="E60" s="135" t="s">
        <v>177</v>
      </c>
      <c r="F60" s="51"/>
    </row>
    <row r="61" spans="1:6" ht="21.95" customHeight="1" x14ac:dyDescent="0.25">
      <c r="A61" s="205" t="s">
        <v>182</v>
      </c>
      <c r="B61" s="206"/>
      <c r="C61" s="20"/>
      <c r="D61" s="186">
        <v>7200</v>
      </c>
      <c r="E61" s="135" t="s">
        <v>183</v>
      </c>
      <c r="F61" s="51"/>
    </row>
    <row r="62" spans="1:6" x14ac:dyDescent="0.25">
      <c r="A62" s="23" t="s">
        <v>0</v>
      </c>
      <c r="B62" s="17"/>
      <c r="C62" s="17"/>
      <c r="D62" s="37"/>
      <c r="E62" s="42">
        <f>SUM(D50:D61)</f>
        <v>3948492.3</v>
      </c>
    </row>
    <row r="63" spans="1:6" x14ac:dyDescent="0.25">
      <c r="A63" s="17" t="s">
        <v>13</v>
      </c>
      <c r="B63" s="17"/>
      <c r="C63" s="17"/>
      <c r="D63" s="18"/>
      <c r="E63" s="121"/>
    </row>
    <row r="64" spans="1:6" ht="15.75" customHeight="1" x14ac:dyDescent="0.25">
      <c r="A64" s="205" t="s">
        <v>199</v>
      </c>
      <c r="B64" s="206"/>
      <c r="C64" s="20"/>
      <c r="D64" s="190">
        <v>0</v>
      </c>
      <c r="E64" s="122"/>
    </row>
    <row r="65" spans="1:8" ht="16.5" customHeight="1" x14ac:dyDescent="0.25">
      <c r="A65" s="205" t="s">
        <v>184</v>
      </c>
      <c r="B65" s="206"/>
      <c r="C65" s="20"/>
      <c r="D65" s="185">
        <v>230000</v>
      </c>
      <c r="E65" s="122" t="s">
        <v>186</v>
      </c>
    </row>
    <row r="66" spans="1:8" ht="31.5" customHeight="1" x14ac:dyDescent="0.25">
      <c r="A66" s="205" t="s">
        <v>185</v>
      </c>
      <c r="B66" s="206"/>
      <c r="C66" s="20"/>
      <c r="D66" s="185">
        <v>460000</v>
      </c>
      <c r="E66" s="122" t="s">
        <v>186</v>
      </c>
    </row>
    <row r="67" spans="1:8" ht="15.75" customHeight="1" x14ac:dyDescent="0.25">
      <c r="A67" s="87" t="s">
        <v>200</v>
      </c>
      <c r="B67" s="19"/>
      <c r="C67" s="20"/>
      <c r="D67" s="185">
        <v>0</v>
      </c>
      <c r="E67" s="122"/>
    </row>
    <row r="68" spans="1:8" x14ac:dyDescent="0.25">
      <c r="A68" s="23" t="s">
        <v>8</v>
      </c>
      <c r="B68" s="23"/>
      <c r="C68" s="23"/>
      <c r="D68" s="24"/>
      <c r="E68" s="123">
        <f>SUM(D64:D67)</f>
        <v>690000</v>
      </c>
    </row>
    <row r="69" spans="1:8" x14ac:dyDescent="0.25">
      <c r="A69" s="17" t="s">
        <v>14</v>
      </c>
      <c r="B69" s="38"/>
      <c r="C69" s="23"/>
      <c r="D69" s="39"/>
      <c r="E69" s="42"/>
    </row>
    <row r="70" spans="1:8" x14ac:dyDescent="0.25">
      <c r="A70" s="31" t="s">
        <v>92</v>
      </c>
      <c r="B70" s="86"/>
      <c r="C70" s="86"/>
      <c r="D70" s="105">
        <v>69000</v>
      </c>
      <c r="E70" s="130"/>
    </row>
    <row r="71" spans="1:8" x14ac:dyDescent="0.25">
      <c r="A71" s="31" t="s">
        <v>224</v>
      </c>
      <c r="B71" s="86"/>
      <c r="C71" s="86"/>
      <c r="D71" s="105">
        <f>110434.89+15074+30455</f>
        <v>155963.89000000001</v>
      </c>
      <c r="E71" s="130"/>
    </row>
    <row r="72" spans="1:8" x14ac:dyDescent="0.25">
      <c r="A72" s="40" t="s">
        <v>8</v>
      </c>
      <c r="B72" s="40"/>
      <c r="C72" s="40"/>
      <c r="D72" s="41"/>
      <c r="E72" s="42">
        <f>SUM(D70:D71)</f>
        <v>224963.89</v>
      </c>
    </row>
    <row r="73" spans="1:8" x14ac:dyDescent="0.25">
      <c r="A73" s="31"/>
      <c r="B73" s="31"/>
      <c r="C73" s="31"/>
      <c r="D73" s="43"/>
      <c r="E73" s="44"/>
    </row>
    <row r="74" spans="1:8" x14ac:dyDescent="0.25">
      <c r="A74" s="45" t="s">
        <v>15</v>
      </c>
      <c r="B74" s="45"/>
      <c r="C74" s="45"/>
      <c r="D74" s="46"/>
      <c r="E74" s="47"/>
    </row>
    <row r="75" spans="1:8" ht="15.75" thickBot="1" x14ac:dyDescent="0.3">
      <c r="A75" s="48"/>
      <c r="D75" s="49"/>
      <c r="E75" s="50"/>
      <c r="F75" s="51"/>
    </row>
    <row r="76" spans="1:8" ht="15.75" thickBot="1" x14ac:dyDescent="0.3">
      <c r="A76" s="52" t="s">
        <v>16</v>
      </c>
      <c r="B76" s="53"/>
      <c r="C76" s="54"/>
      <c r="D76" s="55"/>
      <c r="E76" s="56">
        <f>(SUM(E21:E74))</f>
        <v>8586213.6899999995</v>
      </c>
      <c r="F76" s="57"/>
      <c r="G76" s="51"/>
    </row>
    <row r="77" spans="1:8" x14ac:dyDescent="0.25">
      <c r="D77" s="49"/>
      <c r="E77" s="49"/>
    </row>
    <row r="78" spans="1:8" ht="15.75" thickBot="1" x14ac:dyDescent="0.3">
      <c r="D78" s="49"/>
      <c r="E78" s="49"/>
      <c r="H78" s="58"/>
    </row>
    <row r="79" spans="1:8" x14ac:dyDescent="0.25">
      <c r="A79" s="12" t="s">
        <v>17</v>
      </c>
      <c r="B79" s="13"/>
      <c r="C79" s="14"/>
      <c r="D79" s="59"/>
      <c r="E79" s="60"/>
    </row>
    <row r="80" spans="1:8" x14ac:dyDescent="0.25">
      <c r="A80" s="216"/>
      <c r="B80" s="217"/>
      <c r="C80" s="31"/>
      <c r="D80" s="167"/>
      <c r="E80" s="168"/>
    </row>
    <row r="81" spans="1:5" ht="15.75" customHeight="1" x14ac:dyDescent="0.25">
      <c r="D81" s="43"/>
      <c r="E81" s="43"/>
    </row>
    <row r="82" spans="1:5" x14ac:dyDescent="0.25">
      <c r="A82" s="26"/>
      <c r="B82" s="62"/>
      <c r="C82" s="31"/>
      <c r="D82" s="36"/>
      <c r="E82" s="61"/>
    </row>
    <row r="83" spans="1:5" x14ac:dyDescent="0.25">
      <c r="A83" s="63" t="s">
        <v>45</v>
      </c>
      <c r="B83" s="64"/>
      <c r="C83" s="64"/>
      <c r="D83" s="102"/>
      <c r="E83" s="131">
        <f>SUM(D80:D82)</f>
        <v>0</v>
      </c>
    </row>
    <row r="84" spans="1:5" ht="15" customHeight="1" x14ac:dyDescent="0.25">
      <c r="D84" s="49"/>
      <c r="E84" s="49"/>
    </row>
    <row r="85" spans="1:5" x14ac:dyDescent="0.25">
      <c r="A85" s="45" t="s">
        <v>18</v>
      </c>
      <c r="B85" s="45"/>
      <c r="C85" s="45"/>
      <c r="D85" s="46"/>
      <c r="E85" s="134">
        <v>0</v>
      </c>
    </row>
    <row r="86" spans="1:5" ht="15.75" thickBot="1" x14ac:dyDescent="0.3">
      <c r="D86" s="49"/>
      <c r="E86" s="49"/>
    </row>
    <row r="87" spans="1:5" ht="15.75" thickBot="1" x14ac:dyDescent="0.3">
      <c r="A87" s="52" t="s">
        <v>19</v>
      </c>
      <c r="B87" s="53"/>
      <c r="C87" s="54"/>
      <c r="D87" s="55"/>
      <c r="E87" s="56">
        <f>E83+E85</f>
        <v>0</v>
      </c>
    </row>
    <row r="88" spans="1:5" ht="15.75" thickBot="1" x14ac:dyDescent="0.3">
      <c r="D88" s="49"/>
      <c r="E88" s="49"/>
    </row>
    <row r="89" spans="1:5" ht="15.75" thickBot="1" x14ac:dyDescent="0.3">
      <c r="A89" s="65" t="s">
        <v>20</v>
      </c>
      <c r="B89" s="66">
        <f>E76</f>
        <v>8586213.6899999995</v>
      </c>
      <c r="D89" s="49"/>
      <c r="E89" s="49"/>
    </row>
    <row r="90" spans="1:5" ht="15.75" thickBot="1" x14ac:dyDescent="0.3">
      <c r="A90" s="65" t="s">
        <v>21</v>
      </c>
      <c r="B90" s="66">
        <f>E76-E74</f>
        <v>8586213.6899999995</v>
      </c>
      <c r="D90" s="49"/>
      <c r="E90" s="49"/>
    </row>
    <row r="91" spans="1:5" ht="15.75" thickBot="1" x14ac:dyDescent="0.3">
      <c r="A91" s="65" t="s">
        <v>22</v>
      </c>
      <c r="B91" s="66">
        <f>E87-E85</f>
        <v>0</v>
      </c>
      <c r="D91" s="49"/>
      <c r="E91" s="49"/>
    </row>
    <row r="92" spans="1:5" ht="15.75" thickBot="1" x14ac:dyDescent="0.3">
      <c r="A92" s="65" t="s">
        <v>23</v>
      </c>
      <c r="B92" s="66">
        <f>E87</f>
        <v>0</v>
      </c>
      <c r="D92" s="49"/>
      <c r="E92" s="49"/>
    </row>
    <row r="93" spans="1:5" x14ac:dyDescent="0.25">
      <c r="D93" s="49"/>
      <c r="E93" s="49"/>
    </row>
    <row r="94" spans="1:5" x14ac:dyDescent="0.25">
      <c r="D94" s="49"/>
      <c r="E94" s="49"/>
    </row>
    <row r="95" spans="1:5" x14ac:dyDescent="0.25">
      <c r="A95" s="137" t="s">
        <v>212</v>
      </c>
      <c r="B95" s="70">
        <v>0</v>
      </c>
      <c r="D95" s="49"/>
      <c r="E95" s="49"/>
    </row>
    <row r="96" spans="1:5" x14ac:dyDescent="0.25">
      <c r="A96" s="28" t="s">
        <v>210</v>
      </c>
      <c r="B96" s="71">
        <v>2000000</v>
      </c>
      <c r="D96" s="49"/>
      <c r="E96" s="49"/>
    </row>
    <row r="97" spans="1:5" ht="13.9" customHeight="1" x14ac:dyDescent="0.25">
      <c r="A97" s="28"/>
      <c r="B97" s="120"/>
      <c r="D97" s="49"/>
      <c r="E97" s="49"/>
    </row>
    <row r="98" spans="1:5" ht="17.25" customHeight="1" thickBot="1" x14ac:dyDescent="0.3">
      <c r="A98" s="73" t="s">
        <v>211</v>
      </c>
      <c r="B98" s="74">
        <v>2026301.37</v>
      </c>
      <c r="D98" s="49"/>
      <c r="E98" s="49"/>
    </row>
    <row r="99" spans="1:5" ht="17.25" customHeight="1" x14ac:dyDescent="0.25">
      <c r="A99" s="191"/>
      <c r="B99" s="192"/>
      <c r="D99" s="49"/>
      <c r="E99" s="49"/>
    </row>
    <row r="100" spans="1:5" ht="17.25" customHeight="1" x14ac:dyDescent="0.25">
      <c r="A100" s="191"/>
      <c r="B100" s="192"/>
      <c r="D100" s="49"/>
      <c r="E100" s="49"/>
    </row>
    <row r="101" spans="1:5" ht="17.25" customHeight="1" x14ac:dyDescent="0.25">
      <c r="A101" s="137" t="s">
        <v>218</v>
      </c>
      <c r="B101" s="70">
        <v>231400</v>
      </c>
      <c r="D101" s="49"/>
      <c r="E101" s="49"/>
    </row>
    <row r="102" spans="1:5" ht="17.25" customHeight="1" x14ac:dyDescent="0.25">
      <c r="A102" s="28" t="s">
        <v>219</v>
      </c>
      <c r="B102" s="71">
        <v>0</v>
      </c>
      <c r="D102" s="49"/>
      <c r="E102" s="49"/>
    </row>
    <row r="103" spans="1:5" ht="17.25" customHeight="1" x14ac:dyDescent="0.25">
      <c r="A103" s="28" t="s">
        <v>220</v>
      </c>
      <c r="B103" s="120"/>
      <c r="D103" s="49"/>
      <c r="E103" s="49"/>
    </row>
    <row r="104" spans="1:5" ht="17.25" customHeight="1" thickBot="1" x14ac:dyDescent="0.3">
      <c r="A104" s="73" t="s">
        <v>211</v>
      </c>
      <c r="B104" s="74">
        <f>SUM(B101:B103)</f>
        <v>231400</v>
      </c>
      <c r="D104" s="49"/>
      <c r="E104" s="49"/>
    </row>
    <row r="105" spans="1:5" ht="17.25" customHeight="1" x14ac:dyDescent="0.25">
      <c r="A105" s="191"/>
      <c r="B105" s="192"/>
      <c r="D105" s="49"/>
      <c r="E105" s="49"/>
    </row>
    <row r="106" spans="1:5" ht="17.25" customHeight="1" x14ac:dyDescent="0.25">
      <c r="A106" s="137" t="s">
        <v>221</v>
      </c>
      <c r="B106" s="70">
        <v>64328</v>
      </c>
      <c r="D106" s="49"/>
      <c r="E106" s="49"/>
    </row>
    <row r="107" spans="1:5" ht="17.25" customHeight="1" x14ac:dyDescent="0.25">
      <c r="A107" s="28" t="s">
        <v>219</v>
      </c>
      <c r="B107" s="71">
        <v>0</v>
      </c>
      <c r="D107" s="49"/>
      <c r="E107" s="49"/>
    </row>
    <row r="108" spans="1:5" ht="17.25" customHeight="1" x14ac:dyDescent="0.25">
      <c r="A108" s="28" t="s">
        <v>220</v>
      </c>
      <c r="B108" s="120"/>
      <c r="D108" s="49"/>
      <c r="E108" s="49"/>
    </row>
    <row r="109" spans="1:5" ht="17.25" customHeight="1" thickBot="1" x14ac:dyDescent="0.3">
      <c r="A109" s="73" t="s">
        <v>211</v>
      </c>
      <c r="B109" s="74">
        <f>SUM(B106:B108)</f>
        <v>64328</v>
      </c>
      <c r="D109" s="49"/>
      <c r="E109" s="49"/>
    </row>
    <row r="110" spans="1:5" s="69" customFormat="1" x14ac:dyDescent="0.25">
      <c r="A110"/>
      <c r="B110" s="67"/>
      <c r="C110" s="68"/>
      <c r="D110" s="132"/>
      <c r="E110" s="132"/>
    </row>
    <row r="111" spans="1:5" s="69" customFormat="1" ht="15.75" customHeight="1" x14ac:dyDescent="0.25">
      <c r="A111" s="137" t="s">
        <v>217</v>
      </c>
      <c r="B111" s="70">
        <v>4238170</v>
      </c>
      <c r="C111" s="68"/>
      <c r="D111" s="133"/>
      <c r="E111" s="133"/>
    </row>
    <row r="112" spans="1:5" x14ac:dyDescent="0.25">
      <c r="A112" s="28" t="s">
        <v>44</v>
      </c>
      <c r="B112" s="195">
        <f>-B90-B91</f>
        <v>-8586213.6899999995</v>
      </c>
      <c r="D112" s="49"/>
      <c r="E112" s="49"/>
    </row>
    <row r="113" spans="1:13" x14ac:dyDescent="0.25">
      <c r="A113" s="28" t="s">
        <v>24</v>
      </c>
      <c r="B113" s="71">
        <f>B124</f>
        <v>156782</v>
      </c>
      <c r="D113" s="49"/>
      <c r="E113" s="49"/>
      <c r="F113" s="67"/>
    </row>
    <row r="114" spans="1:13" x14ac:dyDescent="0.25">
      <c r="A114" s="28" t="s">
        <v>2</v>
      </c>
      <c r="B114" s="72">
        <f>PRORRATEO!G61</f>
        <v>6601052</v>
      </c>
      <c r="D114" s="49"/>
      <c r="E114" s="49"/>
      <c r="F114" s="67"/>
    </row>
    <row r="115" spans="1:13" ht="30" x14ac:dyDescent="0.25">
      <c r="A115" s="28" t="s">
        <v>222</v>
      </c>
      <c r="B115" s="194">
        <v>1576753.42</v>
      </c>
      <c r="D115" s="49"/>
      <c r="E115" s="49"/>
      <c r="F115" s="67"/>
    </row>
    <row r="116" spans="1:13" ht="15.75" customHeight="1" x14ac:dyDescent="0.25">
      <c r="A116" s="28"/>
      <c r="B116" s="120"/>
      <c r="D116" s="193"/>
      <c r="E116" s="49"/>
      <c r="F116" s="67"/>
    </row>
    <row r="117" spans="1:13" ht="15.75" thickBot="1" x14ac:dyDescent="0.3">
      <c r="A117" s="73" t="s">
        <v>48</v>
      </c>
      <c r="B117" s="74">
        <f>SUM(B111:C116)</f>
        <v>3986543.7300000004</v>
      </c>
      <c r="D117" s="67"/>
      <c r="E117" s="51"/>
      <c r="F117" s="51"/>
    </row>
    <row r="118" spans="1:13" ht="21.95" customHeight="1" thickBot="1" x14ac:dyDescent="0.3"/>
    <row r="119" spans="1:13" ht="21.95" customHeight="1" thickBot="1" x14ac:dyDescent="0.3">
      <c r="A119" s="196" t="s">
        <v>223</v>
      </c>
      <c r="B119" s="197">
        <f>B117+B104</f>
        <v>4217943.7300000004</v>
      </c>
      <c r="E119" s="51"/>
    </row>
    <row r="120" spans="1:13" ht="21.95" customHeight="1" x14ac:dyDescent="0.25"/>
    <row r="121" spans="1:13" x14ac:dyDescent="0.25">
      <c r="A121" s="215" t="s">
        <v>25</v>
      </c>
      <c r="B121" s="215"/>
      <c r="C121" s="215"/>
    </row>
    <row r="122" spans="1:13" x14ac:dyDescent="0.25">
      <c r="A122" s="215"/>
      <c r="B122" s="215"/>
      <c r="C122" s="215"/>
    </row>
    <row r="123" spans="1:13" ht="27" customHeight="1" x14ac:dyDescent="0.25">
      <c r="A123" s="75" t="s">
        <v>214</v>
      </c>
      <c r="B123" s="101">
        <v>156782</v>
      </c>
      <c r="C123" s="76"/>
      <c r="D123" s="57"/>
    </row>
    <row r="124" spans="1:13" x14ac:dyDescent="0.25">
      <c r="A124" s="77" t="s">
        <v>0</v>
      </c>
      <c r="B124" s="78">
        <f>SUM(B123:B123)</f>
        <v>156782</v>
      </c>
      <c r="C124" s="79"/>
    </row>
    <row r="125" spans="1:13" x14ac:dyDescent="0.25">
      <c r="M125" s="80"/>
    </row>
  </sheetData>
  <mergeCells count="23">
    <mergeCell ref="A40:B40"/>
    <mergeCell ref="A121:C122"/>
    <mergeCell ref="A50:B50"/>
    <mergeCell ref="A61:B61"/>
    <mergeCell ref="A80:B80"/>
    <mergeCell ref="A66:B66"/>
    <mergeCell ref="A65:B65"/>
    <mergeCell ref="B1:E1"/>
    <mergeCell ref="A24:B24"/>
    <mergeCell ref="A64:B64"/>
    <mergeCell ref="B3:E3"/>
    <mergeCell ref="B8:C10"/>
    <mergeCell ref="A13:E16"/>
    <mergeCell ref="A22:B22"/>
    <mergeCell ref="A23:B23"/>
    <mergeCell ref="A46:B46"/>
    <mergeCell ref="A39:B39"/>
    <mergeCell ref="A41:B41"/>
    <mergeCell ref="A60:B60"/>
    <mergeCell ref="A51:B51"/>
    <mergeCell ref="A52:B52"/>
    <mergeCell ref="A55:B55"/>
    <mergeCell ref="A59:B59"/>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abSelected="1" topLeftCell="A2" zoomScale="80" zoomScaleNormal="80" workbookViewId="0">
      <selection activeCell="A11" sqref="A11:P11"/>
    </sheetView>
  </sheetViews>
  <sheetFormatPr baseColWidth="10" defaultColWidth="10.85546875" defaultRowHeight="15" x14ac:dyDescent="0.25"/>
  <cols>
    <col min="1" max="1" width="4.28515625" customWidth="1"/>
    <col min="2" max="2" width="13.42578125" customWidth="1"/>
    <col min="3" max="3" width="25.5703125" customWidth="1"/>
    <col min="4" max="4" width="16" customWidth="1"/>
    <col min="5" max="5" width="8.42578125" customWidth="1"/>
    <col min="6" max="6" width="14.140625" customWidth="1"/>
    <col min="7" max="7" width="12.28515625" customWidth="1"/>
    <col min="8" max="8" width="10.5703125" customWidth="1"/>
    <col min="9" max="9" width="9.5703125" customWidth="1"/>
    <col min="10" max="10" width="12.42578125" customWidth="1"/>
    <col min="11" max="13" width="14.42578125" customWidth="1"/>
    <col min="14" max="14" width="12.28515625" customWidth="1"/>
    <col min="15" max="15" width="14.7109375" customWidth="1"/>
    <col min="16" max="16" width="14.28515625" customWidth="1"/>
    <col min="17" max="17" width="7.28515625" bestFit="1" customWidth="1"/>
    <col min="18" max="18" width="19" customWidth="1"/>
    <col min="19" max="19" width="13" bestFit="1" customWidth="1"/>
  </cols>
  <sheetData>
    <row r="1" spans="1:18" ht="28.5" customHeight="1" x14ac:dyDescent="0.25">
      <c r="A1" s="88"/>
      <c r="B1" s="176"/>
      <c r="C1" s="89"/>
      <c r="D1" s="89"/>
      <c r="E1" s="199"/>
      <c r="F1" s="199"/>
      <c r="G1" s="199"/>
      <c r="H1" s="199"/>
      <c r="I1" s="199"/>
      <c r="J1" s="222" t="str">
        <f>RESUMEN!B3</f>
        <v xml:space="preserve">Banco: Santander N.º de cuenta: 039-021152/7
CBU: 0720039720000002115272
Alias: EDIFICIO.AIRE.FRESCO
</v>
      </c>
      <c r="K1" s="222"/>
      <c r="L1" s="222"/>
      <c r="M1" s="222"/>
      <c r="N1" s="222"/>
      <c r="O1" s="222"/>
      <c r="P1" s="223"/>
    </row>
    <row r="2" spans="1:18" ht="12.95" customHeight="1" x14ac:dyDescent="0.25">
      <c r="A2" s="3" t="s">
        <v>225</v>
      </c>
      <c r="B2" s="177"/>
      <c r="C2" s="201">
        <f>R3</f>
        <v>6319499.4800000004</v>
      </c>
      <c r="D2" s="90"/>
      <c r="E2" s="90"/>
      <c r="F2" s="251"/>
      <c r="G2" s="251"/>
      <c r="H2" s="90"/>
      <c r="I2" s="90"/>
      <c r="J2" s="224"/>
      <c r="K2" s="224"/>
      <c r="L2" s="224"/>
      <c r="M2" s="224"/>
      <c r="N2" s="224"/>
      <c r="O2" s="224"/>
      <c r="P2" s="225"/>
      <c r="Q2" s="81"/>
      <c r="R2">
        <v>7500000</v>
      </c>
    </row>
    <row r="3" spans="1:18" x14ac:dyDescent="0.25">
      <c r="A3" s="3" t="s">
        <v>26</v>
      </c>
      <c r="B3" s="177"/>
      <c r="C3" s="201">
        <v>0</v>
      </c>
      <c r="D3" s="90"/>
      <c r="E3" s="90"/>
      <c r="F3" s="184"/>
      <c r="G3" s="184"/>
      <c r="H3" s="90"/>
      <c r="I3" s="90"/>
      <c r="J3" s="224"/>
      <c r="K3" s="224"/>
      <c r="L3" s="224"/>
      <c r="M3" s="224"/>
      <c r="N3" s="224"/>
      <c r="O3" s="224"/>
      <c r="P3" s="225"/>
      <c r="Q3" s="81"/>
      <c r="R3" s="51">
        <f>R2-C5-C4</f>
        <v>6319499.4800000004</v>
      </c>
    </row>
    <row r="4" spans="1:18" x14ac:dyDescent="0.25">
      <c r="A4" s="3" t="s">
        <v>231</v>
      </c>
      <c r="B4" s="177"/>
      <c r="C4" s="201">
        <v>182823.01</v>
      </c>
      <c r="D4" s="90"/>
      <c r="E4" s="90"/>
      <c r="F4" s="198"/>
      <c r="G4" s="198"/>
      <c r="H4" s="90"/>
      <c r="I4" s="90"/>
      <c r="J4" s="224"/>
      <c r="K4" s="224"/>
      <c r="L4" s="224"/>
      <c r="M4" s="224"/>
      <c r="N4" s="224"/>
      <c r="O4" s="224"/>
      <c r="P4" s="225"/>
      <c r="Q4" s="81"/>
      <c r="R4" s="51"/>
    </row>
    <row r="5" spans="1:18" ht="15" customHeight="1" thickBot="1" x14ac:dyDescent="0.3">
      <c r="A5" s="200" t="s">
        <v>226</v>
      </c>
      <c r="B5" s="178"/>
      <c r="C5" s="202">
        <v>997677.51</v>
      </c>
      <c r="D5" s="91"/>
      <c r="E5" s="91"/>
      <c r="F5" s="91"/>
      <c r="G5" s="92"/>
      <c r="H5" s="91"/>
      <c r="I5" s="91"/>
      <c r="J5" s="226"/>
      <c r="K5" s="226"/>
      <c r="L5" s="226"/>
      <c r="M5" s="226"/>
      <c r="N5" s="226"/>
      <c r="O5" s="226"/>
      <c r="P5" s="227"/>
      <c r="Q5" s="81"/>
    </row>
    <row r="6" spans="1:18" ht="12.95" customHeight="1" x14ac:dyDescent="0.25">
      <c r="A6" s="231" t="s">
        <v>228</v>
      </c>
      <c r="B6" s="232"/>
      <c r="C6" s="233"/>
      <c r="D6" s="233"/>
      <c r="E6" s="233"/>
      <c r="F6" s="233"/>
      <c r="G6" s="233"/>
      <c r="H6" s="233"/>
      <c r="I6" s="233"/>
      <c r="J6" s="233"/>
      <c r="K6" s="233"/>
      <c r="L6" s="233"/>
      <c r="M6" s="233"/>
      <c r="N6" s="233"/>
      <c r="O6" s="233"/>
      <c r="P6" s="234"/>
      <c r="Q6" s="81"/>
    </row>
    <row r="7" spans="1:18" ht="12.95" customHeight="1" x14ac:dyDescent="0.25">
      <c r="A7" s="235"/>
      <c r="B7" s="236"/>
      <c r="C7" s="237"/>
      <c r="D7" s="237"/>
      <c r="E7" s="237"/>
      <c r="F7" s="237"/>
      <c r="G7" s="237"/>
      <c r="H7" s="237"/>
      <c r="I7" s="237"/>
      <c r="J7" s="237"/>
      <c r="K7" s="237"/>
      <c r="L7" s="237"/>
      <c r="M7" s="237"/>
      <c r="N7" s="237"/>
      <c r="O7" s="237"/>
      <c r="P7" s="238"/>
      <c r="Q7" s="81"/>
    </row>
    <row r="8" spans="1:18" ht="12.95" customHeight="1" x14ac:dyDescent="0.25">
      <c r="A8" s="235"/>
      <c r="B8" s="236"/>
      <c r="C8" s="237"/>
      <c r="D8" s="237"/>
      <c r="E8" s="237"/>
      <c r="F8" s="237"/>
      <c r="G8" s="237"/>
      <c r="H8" s="237"/>
      <c r="I8" s="237"/>
      <c r="J8" s="237"/>
      <c r="K8" s="237"/>
      <c r="L8" s="237"/>
      <c r="M8" s="237"/>
      <c r="N8" s="237"/>
      <c r="O8" s="237"/>
      <c r="P8" s="238"/>
      <c r="Q8" s="81"/>
    </row>
    <row r="9" spans="1:18" ht="12.95" customHeight="1" x14ac:dyDescent="0.25">
      <c r="A9" s="235"/>
      <c r="B9" s="236"/>
      <c r="C9" s="237"/>
      <c r="D9" s="237"/>
      <c r="E9" s="237"/>
      <c r="F9" s="237"/>
      <c r="G9" s="237"/>
      <c r="H9" s="237"/>
      <c r="I9" s="237"/>
      <c r="J9" s="237"/>
      <c r="K9" s="237"/>
      <c r="L9" s="237"/>
      <c r="M9" s="237"/>
      <c r="N9" s="237"/>
      <c r="O9" s="237"/>
      <c r="P9" s="238"/>
      <c r="Q9" s="81"/>
    </row>
    <row r="10" spans="1:18" ht="192" customHeight="1" thickBot="1" x14ac:dyDescent="0.3">
      <c r="A10" s="239"/>
      <c r="B10" s="240"/>
      <c r="C10" s="240"/>
      <c r="D10" s="240"/>
      <c r="E10" s="240"/>
      <c r="F10" s="240"/>
      <c r="G10" s="240"/>
      <c r="H10" s="240"/>
      <c r="I10" s="240"/>
      <c r="J10" s="240"/>
      <c r="K10" s="240"/>
      <c r="L10" s="240"/>
      <c r="M10" s="240"/>
      <c r="N10" s="240"/>
      <c r="O10" s="240"/>
      <c r="P10" s="241"/>
    </row>
    <row r="11" spans="1:18" ht="48" customHeight="1" thickBot="1" x14ac:dyDescent="0.3">
      <c r="A11" s="248" t="s">
        <v>47</v>
      </c>
      <c r="B11" s="249"/>
      <c r="C11" s="249"/>
      <c r="D11" s="249"/>
      <c r="E11" s="249"/>
      <c r="F11" s="249"/>
      <c r="G11" s="249"/>
      <c r="H11" s="249"/>
      <c r="I11" s="249"/>
      <c r="J11" s="249"/>
      <c r="K11" s="249"/>
      <c r="L11" s="249"/>
      <c r="M11" s="249"/>
      <c r="N11" s="249"/>
      <c r="O11" s="249"/>
      <c r="P11" s="250"/>
    </row>
    <row r="12" spans="1:18" x14ac:dyDescent="0.25">
      <c r="A12" s="242" t="s">
        <v>28</v>
      </c>
      <c r="B12" s="220" t="s">
        <v>93</v>
      </c>
      <c r="C12" s="244" t="s">
        <v>29</v>
      </c>
      <c r="D12" s="244" t="s">
        <v>30</v>
      </c>
      <c r="E12" s="244" t="s">
        <v>31</v>
      </c>
      <c r="F12" s="218" t="s">
        <v>32</v>
      </c>
      <c r="G12" s="244" t="s">
        <v>33</v>
      </c>
      <c r="H12" s="246" t="s">
        <v>34</v>
      </c>
      <c r="I12" s="218" t="s">
        <v>35</v>
      </c>
      <c r="J12" s="218" t="s">
        <v>27</v>
      </c>
      <c r="K12" s="218" t="s">
        <v>26</v>
      </c>
      <c r="L12" s="220" t="s">
        <v>230</v>
      </c>
      <c r="M12" s="218" t="s">
        <v>227</v>
      </c>
      <c r="N12" s="252" t="s">
        <v>52</v>
      </c>
      <c r="O12" s="117" t="s">
        <v>36</v>
      </c>
      <c r="P12" s="228" t="s">
        <v>37</v>
      </c>
    </row>
    <row r="13" spans="1:18" ht="15.75" customHeight="1" x14ac:dyDescent="0.25">
      <c r="A13" s="243"/>
      <c r="B13" s="221"/>
      <c r="C13" s="245"/>
      <c r="D13" s="245"/>
      <c r="E13" s="245"/>
      <c r="F13" s="219"/>
      <c r="G13" s="245"/>
      <c r="H13" s="247"/>
      <c r="I13" s="219"/>
      <c r="J13" s="219"/>
      <c r="K13" s="219"/>
      <c r="L13" s="221"/>
      <c r="M13" s="219"/>
      <c r="N13" s="253"/>
      <c r="O13" s="118" t="str">
        <f>RESUMEN!B8</f>
        <v>VTO 18/06</v>
      </c>
      <c r="P13" s="229"/>
    </row>
    <row r="14" spans="1:18" ht="17.100000000000001" customHeight="1" x14ac:dyDescent="0.25">
      <c r="A14" s="107">
        <v>1</v>
      </c>
      <c r="B14" s="179" t="s">
        <v>94</v>
      </c>
      <c r="C14" s="94" t="s">
        <v>140</v>
      </c>
      <c r="D14" s="94"/>
      <c r="E14" s="96">
        <v>5.22</v>
      </c>
      <c r="F14" s="82">
        <v>361399</v>
      </c>
      <c r="G14" s="82">
        <f>406632-G43-G40</f>
        <v>364399</v>
      </c>
      <c r="H14" s="97">
        <f t="shared" ref="H14:H59" si="0">F14-G14</f>
        <v>-3000</v>
      </c>
      <c r="I14" s="97">
        <f>IF(H14&gt;0,H14*3%,0)</f>
        <v>0</v>
      </c>
      <c r="J14" s="106">
        <f>C$2*E14/100</f>
        <v>329877.87285599997</v>
      </c>
      <c r="K14" s="106">
        <f t="shared" ref="K14:K45" si="1">F$2*E14/100</f>
        <v>0</v>
      </c>
      <c r="L14" s="106">
        <f>C$4*E14/100</f>
        <v>9543.3611220000003</v>
      </c>
      <c r="M14" s="106">
        <f>C$5*E14/100</f>
        <v>52078.766021999996</v>
      </c>
      <c r="N14" s="106"/>
      <c r="O14" s="98">
        <f>ROUND(SUM(H14:N14),0) + Q14</f>
        <v>388500.01</v>
      </c>
      <c r="P14" s="115">
        <f t="shared" ref="P14:P34" si="2">ROUND(O14*3%,0) + O14</f>
        <v>400155.01</v>
      </c>
      <c r="Q14" s="51">
        <v>0.01</v>
      </c>
    </row>
    <row r="15" spans="1:18" ht="17.100000000000001" customHeight="1" x14ac:dyDescent="0.25">
      <c r="A15" s="107">
        <v>2</v>
      </c>
      <c r="B15" s="179" t="s">
        <v>97</v>
      </c>
      <c r="C15" s="94" t="s">
        <v>141</v>
      </c>
      <c r="D15" s="183" t="s">
        <v>208</v>
      </c>
      <c r="E15" s="96">
        <v>3.4</v>
      </c>
      <c r="F15" s="82">
        <v>235394</v>
      </c>
      <c r="G15" s="82">
        <v>240000</v>
      </c>
      <c r="H15" s="97">
        <f t="shared" si="0"/>
        <v>-4606</v>
      </c>
      <c r="I15" s="97">
        <f t="shared" ref="I15:I59" si="3">IF(H15&gt;0,H15*3%,0)</f>
        <v>0</v>
      </c>
      <c r="J15" s="106">
        <f t="shared" ref="J15:J59" si="4">C$2*E15/100</f>
        <v>214862.98232000001</v>
      </c>
      <c r="K15" s="106">
        <f t="shared" si="1"/>
        <v>0</v>
      </c>
      <c r="L15" s="106">
        <f t="shared" ref="L15:L59" si="5">C$4*E15/100</f>
        <v>6215.9823400000005</v>
      </c>
      <c r="M15" s="106">
        <f t="shared" ref="M15:M59" si="6">C$5*E15/100</f>
        <v>33921.035340000002</v>
      </c>
      <c r="N15" s="106"/>
      <c r="O15" s="98">
        <f t="shared" ref="O15:O59" si="7">ROUND(SUM(H15:N15),0) + Q15</f>
        <v>250394.02</v>
      </c>
      <c r="P15" s="115">
        <f t="shared" si="2"/>
        <v>257906.02</v>
      </c>
      <c r="Q15" s="51">
        <f>Q14+0.01</f>
        <v>0.02</v>
      </c>
    </row>
    <row r="16" spans="1:18" ht="17.100000000000001" customHeight="1" x14ac:dyDescent="0.25">
      <c r="A16" s="107">
        <v>3</v>
      </c>
      <c r="B16" s="179" t="s">
        <v>98</v>
      </c>
      <c r="C16" s="94" t="s">
        <v>142</v>
      </c>
      <c r="D16" s="183" t="s">
        <v>213</v>
      </c>
      <c r="E16" s="96">
        <v>2.54</v>
      </c>
      <c r="F16" s="82">
        <v>178804</v>
      </c>
      <c r="G16" s="82">
        <v>179000</v>
      </c>
      <c r="H16" s="97">
        <f t="shared" si="0"/>
        <v>-196</v>
      </c>
      <c r="I16" s="97">
        <f t="shared" si="3"/>
        <v>0</v>
      </c>
      <c r="J16" s="106">
        <f t="shared" si="4"/>
        <v>160515.286792</v>
      </c>
      <c r="K16" s="106">
        <f t="shared" si="1"/>
        <v>0</v>
      </c>
      <c r="L16" s="106">
        <f t="shared" si="5"/>
        <v>4643.7044540000006</v>
      </c>
      <c r="M16" s="106">
        <f t="shared" si="6"/>
        <v>25341.008754000002</v>
      </c>
      <c r="N16" s="106"/>
      <c r="O16" s="98">
        <f t="shared" si="7"/>
        <v>190304.03</v>
      </c>
      <c r="P16" s="115">
        <f t="shared" si="2"/>
        <v>196013.03</v>
      </c>
      <c r="Q16" s="51">
        <f t="shared" ref="Q16:Q31" si="8">Q15+0.01</f>
        <v>0.03</v>
      </c>
    </row>
    <row r="17" spans="1:17" ht="17.100000000000001" customHeight="1" x14ac:dyDescent="0.25">
      <c r="A17" s="107">
        <v>4</v>
      </c>
      <c r="B17" s="179" t="s">
        <v>99</v>
      </c>
      <c r="C17" s="94" t="s">
        <v>143</v>
      </c>
      <c r="D17" s="99" t="s">
        <v>206</v>
      </c>
      <c r="E17" s="96">
        <v>5.19</v>
      </c>
      <c r="F17" s="82">
        <v>358430</v>
      </c>
      <c r="G17" s="82">
        <f>416387-G55</f>
        <v>363077</v>
      </c>
      <c r="H17" s="97">
        <f t="shared" si="0"/>
        <v>-4647</v>
      </c>
      <c r="I17" s="97">
        <f t="shared" si="3"/>
        <v>0</v>
      </c>
      <c r="J17" s="106">
        <f t="shared" si="4"/>
        <v>327982.02301200008</v>
      </c>
      <c r="K17" s="106">
        <f t="shared" si="1"/>
        <v>0</v>
      </c>
      <c r="L17" s="106">
        <f t="shared" si="5"/>
        <v>9488.5142190000006</v>
      </c>
      <c r="M17" s="106">
        <f t="shared" si="6"/>
        <v>51779.462769000005</v>
      </c>
      <c r="N17" s="106"/>
      <c r="O17" s="98">
        <f t="shared" si="7"/>
        <v>384603.04</v>
      </c>
      <c r="P17" s="115">
        <f t="shared" si="2"/>
        <v>396141.04</v>
      </c>
      <c r="Q17" s="51">
        <f t="shared" si="8"/>
        <v>0.04</v>
      </c>
    </row>
    <row r="18" spans="1:17" ht="17.100000000000001" customHeight="1" x14ac:dyDescent="0.25">
      <c r="A18" s="107">
        <v>5</v>
      </c>
      <c r="B18" s="179" t="s">
        <v>95</v>
      </c>
      <c r="C18" s="94" t="s">
        <v>144</v>
      </c>
      <c r="D18" s="99" t="s">
        <v>202</v>
      </c>
      <c r="E18" s="96">
        <v>3.4</v>
      </c>
      <c r="F18" s="82">
        <v>235394</v>
      </c>
      <c r="G18" s="82">
        <v>235394</v>
      </c>
      <c r="H18" s="97">
        <f t="shared" si="0"/>
        <v>0</v>
      </c>
      <c r="I18" s="97">
        <f t="shared" si="3"/>
        <v>0</v>
      </c>
      <c r="J18" s="106">
        <f t="shared" si="4"/>
        <v>214862.98232000001</v>
      </c>
      <c r="K18" s="106">
        <f t="shared" si="1"/>
        <v>0</v>
      </c>
      <c r="L18" s="106">
        <f t="shared" si="5"/>
        <v>6215.9823400000005</v>
      </c>
      <c r="M18" s="106">
        <f t="shared" si="6"/>
        <v>33921.035340000002</v>
      </c>
      <c r="N18" s="106"/>
      <c r="O18" s="98">
        <f t="shared" si="7"/>
        <v>255000.05</v>
      </c>
      <c r="P18" s="115">
        <f t="shared" si="2"/>
        <v>262650.05</v>
      </c>
      <c r="Q18" s="51">
        <f t="shared" si="8"/>
        <v>0.05</v>
      </c>
    </row>
    <row r="19" spans="1:17" ht="17.100000000000001" customHeight="1" x14ac:dyDescent="0.25">
      <c r="A19" s="107">
        <v>6</v>
      </c>
      <c r="B19" s="179" t="s">
        <v>100</v>
      </c>
      <c r="C19" s="94" t="s">
        <v>141</v>
      </c>
      <c r="D19" s="94"/>
      <c r="E19" s="96">
        <v>2.54</v>
      </c>
      <c r="F19" s="82">
        <v>343733</v>
      </c>
      <c r="G19" s="82">
        <v>186951</v>
      </c>
      <c r="H19" s="97">
        <f t="shared" si="0"/>
        <v>156782</v>
      </c>
      <c r="I19" s="97">
        <f t="shared" si="3"/>
        <v>4703.46</v>
      </c>
      <c r="J19" s="106">
        <f t="shared" si="4"/>
        <v>160515.286792</v>
      </c>
      <c r="K19" s="106">
        <f t="shared" si="1"/>
        <v>0</v>
      </c>
      <c r="L19" s="106">
        <f t="shared" si="5"/>
        <v>4643.7044540000006</v>
      </c>
      <c r="M19" s="106">
        <f t="shared" si="6"/>
        <v>25341.008754000002</v>
      </c>
      <c r="N19" s="106"/>
      <c r="O19" s="98">
        <f t="shared" si="7"/>
        <v>351985.06</v>
      </c>
      <c r="P19" s="115">
        <f t="shared" si="2"/>
        <v>362545.06</v>
      </c>
      <c r="Q19" s="51">
        <f t="shared" si="8"/>
        <v>6.0000000000000005E-2</v>
      </c>
    </row>
    <row r="20" spans="1:17" ht="17.100000000000001" customHeight="1" x14ac:dyDescent="0.25">
      <c r="A20" s="107">
        <v>7</v>
      </c>
      <c r="B20" s="179" t="s">
        <v>101</v>
      </c>
      <c r="C20" s="94" t="s">
        <v>145</v>
      </c>
      <c r="D20" s="94"/>
      <c r="E20" s="96">
        <v>5.19</v>
      </c>
      <c r="F20" s="82">
        <v>359322</v>
      </c>
      <c r="G20" s="82">
        <f>F20</f>
        <v>359322</v>
      </c>
      <c r="H20" s="97">
        <f t="shared" si="0"/>
        <v>0</v>
      </c>
      <c r="I20" s="97">
        <f t="shared" si="3"/>
        <v>0</v>
      </c>
      <c r="J20" s="106">
        <f t="shared" si="4"/>
        <v>327982.02301200008</v>
      </c>
      <c r="K20" s="106">
        <f t="shared" si="1"/>
        <v>0</v>
      </c>
      <c r="L20" s="106">
        <f t="shared" si="5"/>
        <v>9488.5142190000006</v>
      </c>
      <c r="M20" s="106">
        <f t="shared" si="6"/>
        <v>51779.462769000005</v>
      </c>
      <c r="N20" s="106"/>
      <c r="O20" s="98">
        <f t="shared" si="7"/>
        <v>389250.07</v>
      </c>
      <c r="P20" s="115">
        <f t="shared" si="2"/>
        <v>400928.07</v>
      </c>
      <c r="Q20" s="51">
        <f t="shared" si="8"/>
        <v>7.0000000000000007E-2</v>
      </c>
    </row>
    <row r="21" spans="1:17" ht="17.100000000000001" customHeight="1" x14ac:dyDescent="0.25">
      <c r="A21" s="107">
        <v>8</v>
      </c>
      <c r="B21" s="179" t="s">
        <v>102</v>
      </c>
      <c r="C21" s="94" t="s">
        <v>146</v>
      </c>
      <c r="D21" s="99"/>
      <c r="E21" s="96">
        <v>3.4</v>
      </c>
      <c r="F21" s="82">
        <v>235394</v>
      </c>
      <c r="G21" s="82">
        <v>235394</v>
      </c>
      <c r="H21" s="97">
        <f t="shared" si="0"/>
        <v>0</v>
      </c>
      <c r="I21" s="97">
        <f t="shared" si="3"/>
        <v>0</v>
      </c>
      <c r="J21" s="106">
        <f t="shared" si="4"/>
        <v>214862.98232000001</v>
      </c>
      <c r="K21" s="106">
        <f t="shared" si="1"/>
        <v>0</v>
      </c>
      <c r="L21" s="106">
        <f t="shared" si="5"/>
        <v>6215.9823400000005</v>
      </c>
      <c r="M21" s="106">
        <f t="shared" si="6"/>
        <v>33921.035340000002</v>
      </c>
      <c r="N21" s="106"/>
      <c r="O21" s="98">
        <f t="shared" si="7"/>
        <v>255000.08</v>
      </c>
      <c r="P21" s="115">
        <f t="shared" si="2"/>
        <v>262650.07999999996</v>
      </c>
      <c r="Q21" s="51">
        <f t="shared" si="8"/>
        <v>0.08</v>
      </c>
    </row>
    <row r="22" spans="1:17" ht="17.100000000000001" customHeight="1" x14ac:dyDescent="0.25">
      <c r="A22" s="107">
        <v>9</v>
      </c>
      <c r="B22" s="179" t="s">
        <v>96</v>
      </c>
      <c r="C22" s="94" t="s">
        <v>141</v>
      </c>
      <c r="D22" s="99" t="s">
        <v>205</v>
      </c>
      <c r="E22" s="96">
        <v>2.54</v>
      </c>
      <c r="F22" s="82">
        <v>180600</v>
      </c>
      <c r="G22" s="82">
        <v>180600</v>
      </c>
      <c r="H22" s="97">
        <f t="shared" si="0"/>
        <v>0</v>
      </c>
      <c r="I22" s="97">
        <f t="shared" si="3"/>
        <v>0</v>
      </c>
      <c r="J22" s="106">
        <f t="shared" si="4"/>
        <v>160515.286792</v>
      </c>
      <c r="K22" s="106">
        <f t="shared" si="1"/>
        <v>0</v>
      </c>
      <c r="L22" s="106">
        <f t="shared" si="5"/>
        <v>4643.7044540000006</v>
      </c>
      <c r="M22" s="106">
        <f t="shared" si="6"/>
        <v>25341.008754000002</v>
      </c>
      <c r="N22" s="106"/>
      <c r="O22" s="98">
        <f t="shared" si="7"/>
        <v>190500.09</v>
      </c>
      <c r="P22" s="115">
        <f t="shared" si="2"/>
        <v>196215.09</v>
      </c>
      <c r="Q22" s="51">
        <f t="shared" si="8"/>
        <v>0.09</v>
      </c>
    </row>
    <row r="23" spans="1:17" ht="17.100000000000001" customHeight="1" x14ac:dyDescent="0.25">
      <c r="A23" s="107">
        <v>10</v>
      </c>
      <c r="B23" s="179" t="s">
        <v>103</v>
      </c>
      <c r="C23" s="94" t="s">
        <v>147</v>
      </c>
      <c r="D23" s="99"/>
      <c r="E23" s="96">
        <v>5.19</v>
      </c>
      <c r="F23" s="82">
        <v>359322</v>
      </c>
      <c r="G23" s="82">
        <f>397400-G39</f>
        <v>359322</v>
      </c>
      <c r="H23" s="97">
        <f t="shared" si="0"/>
        <v>0</v>
      </c>
      <c r="I23" s="97">
        <f t="shared" si="3"/>
        <v>0</v>
      </c>
      <c r="J23" s="106">
        <f t="shared" si="4"/>
        <v>327982.02301200008</v>
      </c>
      <c r="K23" s="106">
        <f t="shared" si="1"/>
        <v>0</v>
      </c>
      <c r="L23" s="106">
        <f t="shared" si="5"/>
        <v>9488.5142190000006</v>
      </c>
      <c r="M23" s="106">
        <f t="shared" si="6"/>
        <v>51779.462769000005</v>
      </c>
      <c r="N23" s="106"/>
      <c r="O23" s="98">
        <f t="shared" si="7"/>
        <v>389250.1</v>
      </c>
      <c r="P23" s="115">
        <f t="shared" si="2"/>
        <v>400928.1</v>
      </c>
      <c r="Q23" s="51">
        <f t="shared" si="8"/>
        <v>9.9999999999999992E-2</v>
      </c>
    </row>
    <row r="24" spans="1:17" ht="17.100000000000001" customHeight="1" x14ac:dyDescent="0.25">
      <c r="A24" s="107">
        <v>11</v>
      </c>
      <c r="B24" s="179" t="s">
        <v>104</v>
      </c>
      <c r="C24" s="94" t="s">
        <v>148</v>
      </c>
      <c r="D24" s="99" t="s">
        <v>203</v>
      </c>
      <c r="E24" s="96">
        <v>3.4</v>
      </c>
      <c r="F24" s="82">
        <v>241955</v>
      </c>
      <c r="G24" s="82">
        <v>241955</v>
      </c>
      <c r="H24" s="97">
        <f t="shared" si="0"/>
        <v>0</v>
      </c>
      <c r="I24" s="97">
        <f t="shared" si="3"/>
        <v>0</v>
      </c>
      <c r="J24" s="106">
        <f t="shared" si="4"/>
        <v>214862.98232000001</v>
      </c>
      <c r="K24" s="106">
        <f t="shared" si="1"/>
        <v>0</v>
      </c>
      <c r="L24" s="106">
        <f t="shared" si="5"/>
        <v>6215.9823400000005</v>
      </c>
      <c r="M24" s="106">
        <f t="shared" si="6"/>
        <v>33921.035340000002</v>
      </c>
      <c r="N24" s="106"/>
      <c r="O24" s="98">
        <f t="shared" si="7"/>
        <v>255000.11</v>
      </c>
      <c r="P24" s="115">
        <f t="shared" si="2"/>
        <v>262650.11</v>
      </c>
      <c r="Q24" s="51">
        <f t="shared" si="8"/>
        <v>0.10999999999999999</v>
      </c>
    </row>
    <row r="25" spans="1:17" ht="17.25" customHeight="1" x14ac:dyDescent="0.25">
      <c r="A25" s="107">
        <v>12</v>
      </c>
      <c r="B25" s="179" t="s">
        <v>105</v>
      </c>
      <c r="C25" s="94" t="s">
        <v>149</v>
      </c>
      <c r="D25" s="99" t="s">
        <v>207</v>
      </c>
      <c r="E25" s="96">
        <v>2.54</v>
      </c>
      <c r="F25" s="82">
        <v>175853</v>
      </c>
      <c r="G25" s="82">
        <f>F25</f>
        <v>175853</v>
      </c>
      <c r="H25" s="97">
        <f t="shared" si="0"/>
        <v>0</v>
      </c>
      <c r="I25" s="97">
        <f t="shared" si="3"/>
        <v>0</v>
      </c>
      <c r="J25" s="106">
        <f t="shared" si="4"/>
        <v>160515.286792</v>
      </c>
      <c r="K25" s="106">
        <f t="shared" si="1"/>
        <v>0</v>
      </c>
      <c r="L25" s="106">
        <f t="shared" si="5"/>
        <v>4643.7044540000006</v>
      </c>
      <c r="M25" s="106">
        <f t="shared" si="6"/>
        <v>25341.008754000002</v>
      </c>
      <c r="N25" s="106"/>
      <c r="O25" s="98">
        <f t="shared" si="7"/>
        <v>190500.12</v>
      </c>
      <c r="P25" s="115">
        <f t="shared" si="2"/>
        <v>196215.12</v>
      </c>
      <c r="Q25" s="51">
        <f t="shared" si="8"/>
        <v>0.11999999999999998</v>
      </c>
    </row>
    <row r="26" spans="1:17" ht="17.100000000000001" customHeight="1" x14ac:dyDescent="0.25">
      <c r="A26" s="107">
        <v>13</v>
      </c>
      <c r="B26" s="179" t="s">
        <v>106</v>
      </c>
      <c r="C26" s="94" t="s">
        <v>150</v>
      </c>
      <c r="D26" s="99"/>
      <c r="E26" s="96">
        <v>5.19</v>
      </c>
      <c r="F26" s="82">
        <v>359322</v>
      </c>
      <c r="G26" s="82">
        <f>364861-G45</f>
        <v>359322</v>
      </c>
      <c r="H26" s="97">
        <f t="shared" si="0"/>
        <v>0</v>
      </c>
      <c r="I26" s="97">
        <f t="shared" si="3"/>
        <v>0</v>
      </c>
      <c r="J26" s="106">
        <f t="shared" si="4"/>
        <v>327982.02301200008</v>
      </c>
      <c r="K26" s="106">
        <f t="shared" si="1"/>
        <v>0</v>
      </c>
      <c r="L26" s="106">
        <f t="shared" si="5"/>
        <v>9488.5142190000006</v>
      </c>
      <c r="M26" s="106">
        <f t="shared" si="6"/>
        <v>51779.462769000005</v>
      </c>
      <c r="N26" s="106"/>
      <c r="O26" s="98">
        <f t="shared" si="7"/>
        <v>389250.13</v>
      </c>
      <c r="P26" s="115">
        <f t="shared" si="2"/>
        <v>400928.13</v>
      </c>
      <c r="Q26" s="51">
        <f t="shared" si="8"/>
        <v>0.12999999999999998</v>
      </c>
    </row>
    <row r="27" spans="1:17" ht="17.100000000000001" customHeight="1" x14ac:dyDescent="0.25">
      <c r="A27" s="107">
        <v>14</v>
      </c>
      <c r="B27" s="179" t="s">
        <v>107</v>
      </c>
      <c r="C27" s="94" t="s">
        <v>151</v>
      </c>
      <c r="D27" s="99"/>
      <c r="E27" s="96">
        <v>3.4</v>
      </c>
      <c r="F27" s="82">
        <v>234610</v>
      </c>
      <c r="G27" s="82">
        <f>301167-G51</f>
        <v>234010</v>
      </c>
      <c r="H27" s="97">
        <f t="shared" si="0"/>
        <v>600</v>
      </c>
      <c r="I27" s="97">
        <f t="shared" si="3"/>
        <v>18</v>
      </c>
      <c r="J27" s="106">
        <f t="shared" si="4"/>
        <v>214862.98232000001</v>
      </c>
      <c r="K27" s="106">
        <f t="shared" si="1"/>
        <v>0</v>
      </c>
      <c r="L27" s="106">
        <f t="shared" si="5"/>
        <v>6215.9823400000005</v>
      </c>
      <c r="M27" s="106">
        <f t="shared" si="6"/>
        <v>33921.035340000002</v>
      </c>
      <c r="N27" s="106"/>
      <c r="O27" s="98">
        <f t="shared" si="7"/>
        <v>255618.14</v>
      </c>
      <c r="P27" s="115">
        <f t="shared" si="2"/>
        <v>263287.14</v>
      </c>
      <c r="Q27" s="51">
        <f t="shared" si="8"/>
        <v>0.13999999999999999</v>
      </c>
    </row>
    <row r="28" spans="1:17" ht="17.100000000000001" customHeight="1" x14ac:dyDescent="0.25">
      <c r="A28" s="107">
        <v>15</v>
      </c>
      <c r="B28" s="179" t="s">
        <v>108</v>
      </c>
      <c r="C28" s="94" t="s">
        <v>152</v>
      </c>
      <c r="D28" s="183" t="s">
        <v>204</v>
      </c>
      <c r="E28" s="96">
        <v>2.54</v>
      </c>
      <c r="F28" s="82">
        <v>175853</v>
      </c>
      <c r="G28" s="82">
        <v>141732</v>
      </c>
      <c r="H28" s="97">
        <f t="shared" si="0"/>
        <v>34121</v>
      </c>
      <c r="I28" s="97">
        <f t="shared" si="3"/>
        <v>1023.63</v>
      </c>
      <c r="J28" s="106">
        <f t="shared" si="4"/>
        <v>160515.286792</v>
      </c>
      <c r="K28" s="106">
        <f t="shared" si="1"/>
        <v>0</v>
      </c>
      <c r="L28" s="106">
        <f t="shared" si="5"/>
        <v>4643.7044540000006</v>
      </c>
      <c r="M28" s="106">
        <f t="shared" si="6"/>
        <v>25341.008754000002</v>
      </c>
      <c r="N28" s="106"/>
      <c r="O28" s="98">
        <f t="shared" si="7"/>
        <v>225645.15</v>
      </c>
      <c r="P28" s="115">
        <f t="shared" si="2"/>
        <v>232414.15</v>
      </c>
      <c r="Q28" s="51">
        <f t="shared" si="8"/>
        <v>0.15</v>
      </c>
    </row>
    <row r="29" spans="1:17" ht="17.100000000000001" customHeight="1" x14ac:dyDescent="0.25">
      <c r="A29" s="107">
        <v>16</v>
      </c>
      <c r="B29" s="179" t="s">
        <v>109</v>
      </c>
      <c r="C29" s="94" t="s">
        <v>153</v>
      </c>
      <c r="D29" s="94"/>
      <c r="E29" s="96">
        <v>5.19</v>
      </c>
      <c r="F29" s="82">
        <v>359322</v>
      </c>
      <c r="G29" s="82">
        <f>414017-G49</f>
        <v>359322</v>
      </c>
      <c r="H29" s="97">
        <f t="shared" si="0"/>
        <v>0</v>
      </c>
      <c r="I29" s="97">
        <f t="shared" si="3"/>
        <v>0</v>
      </c>
      <c r="J29" s="106">
        <f t="shared" si="4"/>
        <v>327982.02301200008</v>
      </c>
      <c r="K29" s="106">
        <f t="shared" si="1"/>
        <v>0</v>
      </c>
      <c r="L29" s="106">
        <f t="shared" si="5"/>
        <v>9488.5142190000006</v>
      </c>
      <c r="M29" s="106">
        <f t="shared" si="6"/>
        <v>51779.462769000005</v>
      </c>
      <c r="N29" s="106"/>
      <c r="O29" s="98">
        <f t="shared" si="7"/>
        <v>389250.16</v>
      </c>
      <c r="P29" s="115">
        <f t="shared" si="2"/>
        <v>400928.16</v>
      </c>
      <c r="Q29" s="51">
        <f t="shared" si="8"/>
        <v>0.16</v>
      </c>
    </row>
    <row r="30" spans="1:17" ht="17.100000000000001" customHeight="1" x14ac:dyDescent="0.25">
      <c r="A30" s="107">
        <v>17</v>
      </c>
      <c r="B30" s="179" t="s">
        <v>110</v>
      </c>
      <c r="C30" s="94" t="s">
        <v>154</v>
      </c>
      <c r="D30" s="99" t="s">
        <v>229</v>
      </c>
      <c r="E30" s="96">
        <v>3.4</v>
      </c>
      <c r="F30" s="82">
        <v>235394</v>
      </c>
      <c r="G30" s="82">
        <f>275104-G53</f>
        <v>221794</v>
      </c>
      <c r="H30" s="97">
        <f t="shared" si="0"/>
        <v>13600</v>
      </c>
      <c r="I30" s="97">
        <f t="shared" si="3"/>
        <v>408</v>
      </c>
      <c r="J30" s="106">
        <f t="shared" si="4"/>
        <v>214862.98232000001</v>
      </c>
      <c r="K30" s="106">
        <f t="shared" si="1"/>
        <v>0</v>
      </c>
      <c r="L30" s="106">
        <f t="shared" si="5"/>
        <v>6215.9823400000005</v>
      </c>
      <c r="M30" s="106">
        <f t="shared" si="6"/>
        <v>33921.035340000002</v>
      </c>
      <c r="N30" s="106"/>
      <c r="O30" s="98">
        <f t="shared" si="7"/>
        <v>269008.17</v>
      </c>
      <c r="P30" s="115">
        <f t="shared" si="2"/>
        <v>277078.17</v>
      </c>
      <c r="Q30" s="51">
        <f t="shared" si="8"/>
        <v>0.17</v>
      </c>
    </row>
    <row r="31" spans="1:17" ht="17.100000000000001" customHeight="1" x14ac:dyDescent="0.25">
      <c r="A31" s="107">
        <v>18</v>
      </c>
      <c r="B31" s="179" t="s">
        <v>111</v>
      </c>
      <c r="C31" s="94" t="s">
        <v>155</v>
      </c>
      <c r="D31" s="95"/>
      <c r="E31" s="96">
        <v>2.54</v>
      </c>
      <c r="F31" s="82">
        <v>1184619</v>
      </c>
      <c r="G31" s="82"/>
      <c r="H31" s="97">
        <f t="shared" si="0"/>
        <v>1184619</v>
      </c>
      <c r="I31" s="97">
        <f t="shared" si="3"/>
        <v>35538.57</v>
      </c>
      <c r="J31" s="106">
        <f t="shared" si="4"/>
        <v>160515.286792</v>
      </c>
      <c r="K31" s="106">
        <f t="shared" si="1"/>
        <v>0</v>
      </c>
      <c r="L31" s="106">
        <f t="shared" si="5"/>
        <v>4643.7044540000006</v>
      </c>
      <c r="M31" s="106">
        <f t="shared" si="6"/>
        <v>25341.008754000002</v>
      </c>
      <c r="N31" s="106"/>
      <c r="O31" s="98">
        <f t="shared" si="7"/>
        <v>1410658.18</v>
      </c>
      <c r="P31" s="115">
        <f t="shared" si="2"/>
        <v>1452978.18</v>
      </c>
      <c r="Q31" s="51">
        <f t="shared" si="8"/>
        <v>0.18000000000000002</v>
      </c>
    </row>
    <row r="32" spans="1:17" x14ac:dyDescent="0.25">
      <c r="A32" s="107">
        <v>19</v>
      </c>
      <c r="B32" s="179" t="s">
        <v>112</v>
      </c>
      <c r="C32" s="94" t="s">
        <v>156</v>
      </c>
      <c r="D32" s="99"/>
      <c r="E32" s="96">
        <v>5.19</v>
      </c>
      <c r="F32" s="82">
        <v>745850</v>
      </c>
      <c r="G32" s="82">
        <v>400000</v>
      </c>
      <c r="H32" s="97">
        <f t="shared" si="0"/>
        <v>345850</v>
      </c>
      <c r="I32" s="97">
        <f t="shared" si="3"/>
        <v>10375.5</v>
      </c>
      <c r="J32" s="106">
        <f t="shared" si="4"/>
        <v>327982.02301200008</v>
      </c>
      <c r="K32" s="106">
        <f t="shared" si="1"/>
        <v>0</v>
      </c>
      <c r="L32" s="106">
        <f t="shared" si="5"/>
        <v>9488.5142190000006</v>
      </c>
      <c r="M32" s="106">
        <f t="shared" si="6"/>
        <v>51779.462769000005</v>
      </c>
      <c r="N32" s="106"/>
      <c r="O32" s="98">
        <f t="shared" si="7"/>
        <v>745476.19</v>
      </c>
      <c r="P32" s="115">
        <f t="shared" si="2"/>
        <v>767840.19</v>
      </c>
      <c r="Q32" s="51">
        <f>Q31+0.01</f>
        <v>0.19000000000000003</v>
      </c>
    </row>
    <row r="33" spans="1:18" x14ac:dyDescent="0.25">
      <c r="A33" s="107">
        <v>20</v>
      </c>
      <c r="B33" s="179" t="s">
        <v>113</v>
      </c>
      <c r="C33" s="94" t="s">
        <v>157</v>
      </c>
      <c r="D33" s="99"/>
      <c r="E33" s="96">
        <v>3.4</v>
      </c>
      <c r="F33" s="82">
        <v>235394</v>
      </c>
      <c r="G33" s="82">
        <f>240933-G47</f>
        <v>235394</v>
      </c>
      <c r="H33" s="97">
        <f t="shared" si="0"/>
        <v>0</v>
      </c>
      <c r="I33" s="97"/>
      <c r="J33" s="106">
        <f t="shared" si="4"/>
        <v>214862.98232000001</v>
      </c>
      <c r="K33" s="106">
        <f t="shared" si="1"/>
        <v>0</v>
      </c>
      <c r="L33" s="106">
        <f t="shared" si="5"/>
        <v>6215.9823400000005</v>
      </c>
      <c r="M33" s="106">
        <f t="shared" si="6"/>
        <v>33921.035340000002</v>
      </c>
      <c r="N33" s="106"/>
      <c r="O33" s="98">
        <f t="shared" si="7"/>
        <v>255000.2</v>
      </c>
      <c r="P33" s="115">
        <f t="shared" si="2"/>
        <v>262650.2</v>
      </c>
      <c r="Q33" s="51">
        <f t="shared" ref="Q33:Q59" si="9">Q32+0.01</f>
        <v>0.20000000000000004</v>
      </c>
    </row>
    <row r="34" spans="1:18" x14ac:dyDescent="0.25">
      <c r="A34" s="107">
        <v>21</v>
      </c>
      <c r="B34" s="179" t="s">
        <v>114</v>
      </c>
      <c r="C34" s="100" t="s">
        <v>144</v>
      </c>
      <c r="D34" s="99" t="s">
        <v>201</v>
      </c>
      <c r="E34" s="96">
        <v>2.54</v>
      </c>
      <c r="F34" s="82">
        <v>175853</v>
      </c>
      <c r="G34" s="82">
        <v>175853</v>
      </c>
      <c r="H34" s="97">
        <f t="shared" si="0"/>
        <v>0</v>
      </c>
      <c r="I34" s="97">
        <f t="shared" si="3"/>
        <v>0</v>
      </c>
      <c r="J34" s="106">
        <f t="shared" si="4"/>
        <v>160515.286792</v>
      </c>
      <c r="K34" s="106">
        <f t="shared" si="1"/>
        <v>0</v>
      </c>
      <c r="L34" s="106">
        <f t="shared" si="5"/>
        <v>4643.7044540000006</v>
      </c>
      <c r="M34" s="106">
        <f t="shared" si="6"/>
        <v>25341.008754000002</v>
      </c>
      <c r="N34" s="106"/>
      <c r="O34" s="98">
        <f t="shared" si="7"/>
        <v>190500.21</v>
      </c>
      <c r="P34" s="115">
        <f t="shared" si="2"/>
        <v>196215.21</v>
      </c>
      <c r="Q34" s="51">
        <f t="shared" si="9"/>
        <v>0.21000000000000005</v>
      </c>
    </row>
    <row r="35" spans="1:18" ht="23.25" x14ac:dyDescent="0.25">
      <c r="A35" s="107">
        <f>A34+1</f>
        <v>22</v>
      </c>
      <c r="B35" s="179" t="s">
        <v>115</v>
      </c>
      <c r="C35" s="100" t="s">
        <v>158</v>
      </c>
      <c r="D35" s="99" t="s">
        <v>215</v>
      </c>
      <c r="E35" s="96">
        <v>4.9400000000000004</v>
      </c>
      <c r="F35" s="82">
        <v>342014</v>
      </c>
      <c r="G35" s="82">
        <f>342014</f>
        <v>342014</v>
      </c>
      <c r="H35" s="97">
        <f t="shared" si="0"/>
        <v>0</v>
      </c>
      <c r="I35" s="97">
        <f t="shared" si="3"/>
        <v>0</v>
      </c>
      <c r="J35" s="106">
        <f t="shared" si="4"/>
        <v>312183.27431200002</v>
      </c>
      <c r="K35" s="106">
        <f t="shared" si="1"/>
        <v>0</v>
      </c>
      <c r="L35" s="106">
        <f t="shared" si="5"/>
        <v>9031.4566940000004</v>
      </c>
      <c r="M35" s="106">
        <f t="shared" si="6"/>
        <v>49285.268994000005</v>
      </c>
      <c r="N35" s="106"/>
      <c r="O35" s="98">
        <f t="shared" si="7"/>
        <v>370500.22</v>
      </c>
      <c r="P35" s="115">
        <f t="shared" ref="P35:P59" si="10">ROUND(O35*3%,0) + O35</f>
        <v>381615.22</v>
      </c>
      <c r="Q35" s="51">
        <f t="shared" si="9"/>
        <v>0.22000000000000006</v>
      </c>
    </row>
    <row r="36" spans="1:18" x14ac:dyDescent="0.25">
      <c r="A36" s="107">
        <f t="shared" ref="A36:A59" si="11">A35+1</f>
        <v>23</v>
      </c>
      <c r="B36" s="179" t="s">
        <v>116</v>
      </c>
      <c r="C36" s="100" t="s">
        <v>159</v>
      </c>
      <c r="D36" s="99" t="s">
        <v>209</v>
      </c>
      <c r="E36" s="96">
        <v>3.28</v>
      </c>
      <c r="F36" s="82">
        <v>233819</v>
      </c>
      <c r="G36" s="82">
        <v>233000</v>
      </c>
      <c r="H36" s="97">
        <f t="shared" si="0"/>
        <v>819</v>
      </c>
      <c r="I36" s="97">
        <f t="shared" si="3"/>
        <v>24.57</v>
      </c>
      <c r="J36" s="106">
        <f t="shared" si="4"/>
        <v>207279.58294399999</v>
      </c>
      <c r="K36" s="106">
        <f t="shared" si="1"/>
        <v>0</v>
      </c>
      <c r="L36" s="106">
        <f t="shared" si="5"/>
        <v>5996.594728</v>
      </c>
      <c r="M36" s="106">
        <f t="shared" si="6"/>
        <v>32723.822327999998</v>
      </c>
      <c r="N36" s="106"/>
      <c r="O36" s="98">
        <f t="shared" si="7"/>
        <v>246844.23</v>
      </c>
      <c r="P36" s="115">
        <f t="shared" si="10"/>
        <v>254249.23</v>
      </c>
      <c r="Q36" s="51">
        <f t="shared" si="9"/>
        <v>0.23000000000000007</v>
      </c>
    </row>
    <row r="37" spans="1:18" x14ac:dyDescent="0.25">
      <c r="A37" s="107">
        <f t="shared" si="11"/>
        <v>24</v>
      </c>
      <c r="B37" s="179" t="s">
        <v>117</v>
      </c>
      <c r="C37" s="100" t="s">
        <v>160</v>
      </c>
      <c r="D37" s="99"/>
      <c r="E37" s="96">
        <v>2.41</v>
      </c>
      <c r="F37" s="82">
        <v>171357</v>
      </c>
      <c r="G37" s="82">
        <v>171357</v>
      </c>
      <c r="H37" s="97">
        <f t="shared" si="0"/>
        <v>0</v>
      </c>
      <c r="I37" s="97">
        <f t="shared" si="3"/>
        <v>0</v>
      </c>
      <c r="J37" s="106">
        <f t="shared" si="4"/>
        <v>152299.93746800002</v>
      </c>
      <c r="K37" s="106">
        <f t="shared" si="1"/>
        <v>0</v>
      </c>
      <c r="L37" s="106">
        <f t="shared" si="5"/>
        <v>4406.034541</v>
      </c>
      <c r="M37" s="106">
        <f t="shared" si="6"/>
        <v>24044.027990999999</v>
      </c>
      <c r="N37" s="106"/>
      <c r="O37" s="98">
        <f t="shared" si="7"/>
        <v>180750.24</v>
      </c>
      <c r="P37" s="115">
        <f t="shared" si="10"/>
        <v>186173.24</v>
      </c>
      <c r="Q37" s="51">
        <f t="shared" si="9"/>
        <v>0.24000000000000007</v>
      </c>
    </row>
    <row r="38" spans="1:18" x14ac:dyDescent="0.25">
      <c r="A38" s="107">
        <f t="shared" si="11"/>
        <v>25</v>
      </c>
      <c r="B38" s="179" t="s">
        <v>118</v>
      </c>
      <c r="C38" s="100" t="s">
        <v>159</v>
      </c>
      <c r="D38" s="99"/>
      <c r="E38" s="96">
        <v>0.44</v>
      </c>
      <c r="F38" s="82">
        <v>31499</v>
      </c>
      <c r="G38" s="82">
        <f>149000-G52-G59</f>
        <v>39610</v>
      </c>
      <c r="H38" s="97">
        <f t="shared" si="0"/>
        <v>-8111</v>
      </c>
      <c r="I38" s="97">
        <f t="shared" si="3"/>
        <v>0</v>
      </c>
      <c r="J38" s="106">
        <f t="shared" si="4"/>
        <v>27805.797712000003</v>
      </c>
      <c r="K38" s="106">
        <f t="shared" si="1"/>
        <v>0</v>
      </c>
      <c r="L38" s="106">
        <f t="shared" si="5"/>
        <v>804.421244</v>
      </c>
      <c r="M38" s="106">
        <f t="shared" si="6"/>
        <v>4389.7810440000003</v>
      </c>
      <c r="N38" s="106"/>
      <c r="O38" s="98">
        <f t="shared" si="7"/>
        <v>24889.25</v>
      </c>
      <c r="P38" s="115">
        <f t="shared" si="10"/>
        <v>25636.25</v>
      </c>
      <c r="Q38" s="51">
        <f t="shared" si="9"/>
        <v>0.25000000000000006</v>
      </c>
      <c r="R38" t="s">
        <v>216</v>
      </c>
    </row>
    <row r="39" spans="1:18" x14ac:dyDescent="0.25">
      <c r="A39" s="107">
        <f t="shared" si="11"/>
        <v>26</v>
      </c>
      <c r="B39" s="179" t="s">
        <v>120</v>
      </c>
      <c r="C39" s="100" t="s">
        <v>147</v>
      </c>
      <c r="D39" s="99"/>
      <c r="E39" s="96">
        <v>0.55000000000000004</v>
      </c>
      <c r="F39" s="82">
        <v>38078</v>
      </c>
      <c r="G39" s="82">
        <v>38078</v>
      </c>
      <c r="H39" s="97">
        <f t="shared" si="0"/>
        <v>0</v>
      </c>
      <c r="I39" s="97">
        <f t="shared" si="3"/>
        <v>0</v>
      </c>
      <c r="J39" s="106">
        <f t="shared" si="4"/>
        <v>34757.247140000007</v>
      </c>
      <c r="K39" s="106">
        <f t="shared" si="1"/>
        <v>0</v>
      </c>
      <c r="L39" s="106">
        <f t="shared" si="5"/>
        <v>1005.526555</v>
      </c>
      <c r="M39" s="106">
        <f t="shared" si="6"/>
        <v>5487.226305000001</v>
      </c>
      <c r="N39" s="106"/>
      <c r="O39" s="98">
        <f t="shared" si="7"/>
        <v>41250.26</v>
      </c>
      <c r="P39" s="115">
        <f t="shared" si="10"/>
        <v>42488.26</v>
      </c>
      <c r="Q39" s="51">
        <f t="shared" si="9"/>
        <v>0.26000000000000006</v>
      </c>
    </row>
    <row r="40" spans="1:18" x14ac:dyDescent="0.25">
      <c r="A40" s="107">
        <f t="shared" si="11"/>
        <v>27</v>
      </c>
      <c r="B40" s="179" t="s">
        <v>119</v>
      </c>
      <c r="C40" s="100" t="s">
        <v>147</v>
      </c>
      <c r="D40" s="99"/>
      <c r="E40" s="96">
        <v>0.53</v>
      </c>
      <c r="F40" s="82">
        <v>36694</v>
      </c>
      <c r="G40" s="82">
        <f>F40</f>
        <v>36694</v>
      </c>
      <c r="H40" s="97">
        <f t="shared" si="0"/>
        <v>0</v>
      </c>
      <c r="I40" s="97">
        <f t="shared" si="3"/>
        <v>0</v>
      </c>
      <c r="J40" s="106">
        <f t="shared" si="4"/>
        <v>33493.347244000004</v>
      </c>
      <c r="K40" s="106">
        <f t="shared" si="1"/>
        <v>0</v>
      </c>
      <c r="L40" s="106">
        <f t="shared" si="5"/>
        <v>968.96195300000011</v>
      </c>
      <c r="M40" s="106">
        <f t="shared" si="6"/>
        <v>5287.6908030000004</v>
      </c>
      <c r="N40" s="106"/>
      <c r="O40" s="98">
        <f t="shared" si="7"/>
        <v>39750.269999999997</v>
      </c>
      <c r="P40" s="115">
        <f t="shared" si="10"/>
        <v>40943.269999999997</v>
      </c>
      <c r="Q40" s="51">
        <f t="shared" si="9"/>
        <v>0.27000000000000007</v>
      </c>
    </row>
    <row r="41" spans="1:18" x14ac:dyDescent="0.25">
      <c r="A41" s="107">
        <f t="shared" si="11"/>
        <v>28</v>
      </c>
      <c r="B41" s="179" t="s">
        <v>121</v>
      </c>
      <c r="C41" s="100" t="s">
        <v>161</v>
      </c>
      <c r="D41" s="183" t="s">
        <v>208</v>
      </c>
      <c r="E41" s="96">
        <v>0.28999999999999998</v>
      </c>
      <c r="F41" s="82">
        <v>20078</v>
      </c>
      <c r="G41" s="82">
        <v>22000</v>
      </c>
      <c r="H41" s="97">
        <f t="shared" si="0"/>
        <v>-1922</v>
      </c>
      <c r="I41" s="97">
        <f t="shared" si="3"/>
        <v>0</v>
      </c>
      <c r="J41" s="106">
        <f t="shared" si="4"/>
        <v>18326.548492000002</v>
      </c>
      <c r="K41" s="106">
        <f t="shared" si="1"/>
        <v>0</v>
      </c>
      <c r="L41" s="106">
        <f t="shared" si="5"/>
        <v>530.18672900000001</v>
      </c>
      <c r="M41" s="106">
        <f t="shared" si="6"/>
        <v>2893.2647790000001</v>
      </c>
      <c r="N41" s="106"/>
      <c r="O41" s="98">
        <f t="shared" si="7"/>
        <v>19828.28</v>
      </c>
      <c r="P41" s="115">
        <f t="shared" si="10"/>
        <v>20423.28</v>
      </c>
      <c r="Q41" s="51">
        <f t="shared" si="9"/>
        <v>0.28000000000000008</v>
      </c>
    </row>
    <row r="42" spans="1:18" x14ac:dyDescent="0.25">
      <c r="A42" s="107">
        <f t="shared" si="11"/>
        <v>29</v>
      </c>
      <c r="B42" s="179" t="s">
        <v>122</v>
      </c>
      <c r="C42" s="100" t="s">
        <v>148</v>
      </c>
      <c r="D42" s="99" t="s">
        <v>203</v>
      </c>
      <c r="E42" s="96">
        <v>0.08</v>
      </c>
      <c r="F42" s="82">
        <v>5737</v>
      </c>
      <c r="G42" s="82">
        <f>F42</f>
        <v>5737</v>
      </c>
      <c r="H42" s="97">
        <f t="shared" si="0"/>
        <v>0</v>
      </c>
      <c r="I42" s="97">
        <f t="shared" si="3"/>
        <v>0</v>
      </c>
      <c r="J42" s="106">
        <f t="shared" si="4"/>
        <v>5055.5995840000005</v>
      </c>
      <c r="K42" s="106">
        <f t="shared" si="1"/>
        <v>0</v>
      </c>
      <c r="L42" s="106">
        <f t="shared" si="5"/>
        <v>146.25840800000003</v>
      </c>
      <c r="M42" s="106">
        <f t="shared" si="6"/>
        <v>798.14200800000003</v>
      </c>
      <c r="N42" s="106"/>
      <c r="O42" s="98">
        <f t="shared" si="7"/>
        <v>6000.29</v>
      </c>
      <c r="P42" s="115">
        <f t="shared" si="10"/>
        <v>6180.29</v>
      </c>
      <c r="Q42" s="51">
        <f t="shared" si="9"/>
        <v>0.29000000000000009</v>
      </c>
    </row>
    <row r="43" spans="1:18" x14ac:dyDescent="0.25">
      <c r="A43" s="107">
        <f t="shared" si="11"/>
        <v>30</v>
      </c>
      <c r="B43" s="179" t="s">
        <v>123</v>
      </c>
      <c r="C43" s="100" t="s">
        <v>140</v>
      </c>
      <c r="D43" s="99"/>
      <c r="E43" s="96">
        <v>0.08</v>
      </c>
      <c r="F43" s="82">
        <v>5539</v>
      </c>
      <c r="G43" s="82">
        <v>5539</v>
      </c>
      <c r="H43" s="97">
        <f t="shared" si="0"/>
        <v>0</v>
      </c>
      <c r="I43" s="97">
        <f t="shared" si="3"/>
        <v>0</v>
      </c>
      <c r="J43" s="106">
        <f t="shared" si="4"/>
        <v>5055.5995840000005</v>
      </c>
      <c r="K43" s="106">
        <f t="shared" si="1"/>
        <v>0</v>
      </c>
      <c r="L43" s="106">
        <f t="shared" si="5"/>
        <v>146.25840800000003</v>
      </c>
      <c r="M43" s="106">
        <f t="shared" si="6"/>
        <v>798.14200800000003</v>
      </c>
      <c r="N43" s="106"/>
      <c r="O43" s="98">
        <f t="shared" si="7"/>
        <v>6000.3</v>
      </c>
      <c r="P43" s="115">
        <f t="shared" si="10"/>
        <v>6180.3</v>
      </c>
      <c r="Q43" s="51">
        <f t="shared" si="9"/>
        <v>0.3000000000000001</v>
      </c>
    </row>
    <row r="44" spans="1:18" x14ac:dyDescent="0.25">
      <c r="A44" s="107">
        <f t="shared" si="11"/>
        <v>31</v>
      </c>
      <c r="B44" s="179" t="s">
        <v>124</v>
      </c>
      <c r="C44" s="100" t="s">
        <v>143</v>
      </c>
      <c r="D44" s="99"/>
      <c r="E44" s="96">
        <v>0.08</v>
      </c>
      <c r="F44" s="82">
        <v>5539</v>
      </c>
      <c r="G44" s="82"/>
      <c r="H44" s="97">
        <f t="shared" si="0"/>
        <v>5539</v>
      </c>
      <c r="I44" s="97">
        <f t="shared" si="3"/>
        <v>166.17</v>
      </c>
      <c r="J44" s="106">
        <f t="shared" si="4"/>
        <v>5055.5995840000005</v>
      </c>
      <c r="K44" s="106">
        <f t="shared" si="1"/>
        <v>0</v>
      </c>
      <c r="L44" s="106">
        <f t="shared" si="5"/>
        <v>146.25840800000003</v>
      </c>
      <c r="M44" s="106">
        <f t="shared" si="6"/>
        <v>798.14200800000003</v>
      </c>
      <c r="N44" s="106"/>
      <c r="O44" s="98">
        <f t="shared" si="7"/>
        <v>11705.31</v>
      </c>
      <c r="P44" s="115">
        <f t="shared" si="10"/>
        <v>12056.31</v>
      </c>
      <c r="Q44" s="51">
        <f t="shared" si="9"/>
        <v>0.31000000000000011</v>
      </c>
    </row>
    <row r="45" spans="1:18" x14ac:dyDescent="0.25">
      <c r="A45" s="107">
        <f t="shared" si="11"/>
        <v>32</v>
      </c>
      <c r="B45" s="179" t="s">
        <v>125</v>
      </c>
      <c r="C45" s="100" t="s">
        <v>150</v>
      </c>
      <c r="D45" s="99"/>
      <c r="E45" s="96">
        <v>0.08</v>
      </c>
      <c r="F45" s="82">
        <v>5539</v>
      </c>
      <c r="G45" s="82">
        <v>5539</v>
      </c>
      <c r="H45" s="97">
        <f t="shared" si="0"/>
        <v>0</v>
      </c>
      <c r="I45" s="97">
        <f t="shared" si="3"/>
        <v>0</v>
      </c>
      <c r="J45" s="106">
        <f t="shared" si="4"/>
        <v>5055.5995840000005</v>
      </c>
      <c r="K45" s="106">
        <f t="shared" si="1"/>
        <v>0</v>
      </c>
      <c r="L45" s="106">
        <f t="shared" si="5"/>
        <v>146.25840800000003</v>
      </c>
      <c r="M45" s="106">
        <f t="shared" si="6"/>
        <v>798.14200800000003</v>
      </c>
      <c r="N45" s="106"/>
      <c r="O45" s="98">
        <f t="shared" si="7"/>
        <v>6000.32</v>
      </c>
      <c r="P45" s="115">
        <f t="shared" si="10"/>
        <v>6180.32</v>
      </c>
      <c r="Q45" s="51">
        <f t="shared" si="9"/>
        <v>0.32000000000000012</v>
      </c>
    </row>
    <row r="46" spans="1:18" x14ac:dyDescent="0.25">
      <c r="A46" s="107">
        <f t="shared" si="11"/>
        <v>33</v>
      </c>
      <c r="B46" s="179" t="s">
        <v>126</v>
      </c>
      <c r="C46" s="100" t="s">
        <v>162</v>
      </c>
      <c r="D46" s="99"/>
      <c r="E46" s="96">
        <v>0.08</v>
      </c>
      <c r="F46" s="82">
        <v>12312</v>
      </c>
      <c r="G46" s="82"/>
      <c r="H46" s="97">
        <f t="shared" si="0"/>
        <v>12312</v>
      </c>
      <c r="I46" s="97"/>
      <c r="J46" s="106">
        <f t="shared" si="4"/>
        <v>5055.5995840000005</v>
      </c>
      <c r="K46" s="106">
        <f t="shared" ref="K46:K59" si="12">F$2*E46/100</f>
        <v>0</v>
      </c>
      <c r="L46" s="106">
        <f t="shared" si="5"/>
        <v>146.25840800000003</v>
      </c>
      <c r="M46" s="106">
        <f t="shared" si="6"/>
        <v>798.14200800000003</v>
      </c>
      <c r="N46" s="106"/>
      <c r="O46" s="98">
        <f t="shared" si="7"/>
        <v>18312.330000000002</v>
      </c>
      <c r="P46" s="115">
        <f t="shared" si="10"/>
        <v>18861.330000000002</v>
      </c>
      <c r="Q46" s="51">
        <f t="shared" si="9"/>
        <v>0.33000000000000013</v>
      </c>
    </row>
    <row r="47" spans="1:18" x14ac:dyDescent="0.25">
      <c r="A47" s="107">
        <f t="shared" si="11"/>
        <v>34</v>
      </c>
      <c r="B47" s="179" t="s">
        <v>127</v>
      </c>
      <c r="C47" s="100" t="s">
        <v>157</v>
      </c>
      <c r="D47" s="99"/>
      <c r="E47" s="96">
        <v>0.08</v>
      </c>
      <c r="F47" s="82">
        <v>5539</v>
      </c>
      <c r="G47" s="82">
        <v>5539</v>
      </c>
      <c r="H47" s="97">
        <f t="shared" si="0"/>
        <v>0</v>
      </c>
      <c r="I47" s="97">
        <f t="shared" si="3"/>
        <v>0</v>
      </c>
      <c r="J47" s="106">
        <f t="shared" si="4"/>
        <v>5055.5995840000005</v>
      </c>
      <c r="K47" s="106">
        <f t="shared" si="12"/>
        <v>0</v>
      </c>
      <c r="L47" s="106">
        <f t="shared" si="5"/>
        <v>146.25840800000003</v>
      </c>
      <c r="M47" s="106">
        <f t="shared" si="6"/>
        <v>798.14200800000003</v>
      </c>
      <c r="N47" s="106"/>
      <c r="O47" s="98">
        <f t="shared" si="7"/>
        <v>6000.34</v>
      </c>
      <c r="P47" s="115">
        <f t="shared" si="10"/>
        <v>6180.34</v>
      </c>
      <c r="Q47" s="51">
        <f t="shared" si="9"/>
        <v>0.34000000000000014</v>
      </c>
    </row>
    <row r="48" spans="1:18" x14ac:dyDescent="0.25">
      <c r="A48" s="170">
        <f t="shared" si="11"/>
        <v>35</v>
      </c>
      <c r="B48" s="179" t="s">
        <v>128</v>
      </c>
      <c r="C48" s="171" t="s">
        <v>163</v>
      </c>
      <c r="D48" s="172"/>
      <c r="E48" s="173">
        <v>0.09</v>
      </c>
      <c r="F48" s="82">
        <v>6231</v>
      </c>
      <c r="G48" s="82"/>
      <c r="H48" s="174">
        <f t="shared" si="0"/>
        <v>6231</v>
      </c>
      <c r="I48" s="174">
        <f t="shared" si="3"/>
        <v>186.93</v>
      </c>
      <c r="J48" s="106">
        <f t="shared" si="4"/>
        <v>5687.549532</v>
      </c>
      <c r="K48" s="175">
        <f t="shared" si="12"/>
        <v>0</v>
      </c>
      <c r="L48" s="106">
        <f t="shared" si="5"/>
        <v>164.54070899999999</v>
      </c>
      <c r="M48" s="106">
        <f t="shared" si="6"/>
        <v>897.90975899999989</v>
      </c>
      <c r="N48" s="175"/>
      <c r="O48" s="98">
        <f t="shared" si="7"/>
        <v>13168.35</v>
      </c>
      <c r="P48" s="115">
        <f t="shared" si="10"/>
        <v>13563.35</v>
      </c>
      <c r="Q48" s="51">
        <f t="shared" si="9"/>
        <v>0.35000000000000014</v>
      </c>
    </row>
    <row r="49" spans="1:18" x14ac:dyDescent="0.25">
      <c r="A49" s="107">
        <f t="shared" si="11"/>
        <v>36</v>
      </c>
      <c r="B49" s="179" t="s">
        <v>129</v>
      </c>
      <c r="C49" s="100" t="s">
        <v>153</v>
      </c>
      <c r="D49" s="99"/>
      <c r="E49" s="96">
        <v>0.79</v>
      </c>
      <c r="F49" s="82">
        <v>54695</v>
      </c>
      <c r="G49" s="82">
        <v>54695</v>
      </c>
      <c r="H49" s="97">
        <f t="shared" si="0"/>
        <v>0</v>
      </c>
      <c r="I49" s="97">
        <f t="shared" si="3"/>
        <v>0</v>
      </c>
      <c r="J49" s="106">
        <f t="shared" si="4"/>
        <v>49924.045892000002</v>
      </c>
      <c r="K49" s="106">
        <f t="shared" si="12"/>
        <v>0</v>
      </c>
      <c r="L49" s="106">
        <f t="shared" si="5"/>
        <v>1444.3017790000001</v>
      </c>
      <c r="M49" s="106">
        <f t="shared" si="6"/>
        <v>7881.6523290000005</v>
      </c>
      <c r="N49" s="106"/>
      <c r="O49" s="98">
        <f t="shared" si="7"/>
        <v>59250.36</v>
      </c>
      <c r="P49" s="115">
        <f t="shared" si="10"/>
        <v>61028.36</v>
      </c>
      <c r="Q49" s="51">
        <f t="shared" si="9"/>
        <v>0.36000000000000015</v>
      </c>
    </row>
    <row r="50" spans="1:18" x14ac:dyDescent="0.25">
      <c r="A50" s="107">
        <f t="shared" si="11"/>
        <v>37</v>
      </c>
      <c r="B50" s="179" t="s">
        <v>130</v>
      </c>
      <c r="C50" s="100" t="s">
        <v>158</v>
      </c>
      <c r="D50" s="99"/>
      <c r="E50" s="96">
        <v>1</v>
      </c>
      <c r="F50" s="82">
        <v>153892</v>
      </c>
      <c r="G50" s="82"/>
      <c r="H50" s="97">
        <f t="shared" si="0"/>
        <v>153892</v>
      </c>
      <c r="I50" s="97">
        <f t="shared" si="3"/>
        <v>4616.76</v>
      </c>
      <c r="J50" s="106">
        <f t="shared" si="4"/>
        <v>63194.994800000008</v>
      </c>
      <c r="K50" s="106">
        <f t="shared" si="12"/>
        <v>0</v>
      </c>
      <c r="L50" s="106">
        <f t="shared" si="5"/>
        <v>1828.2301</v>
      </c>
      <c r="M50" s="106">
        <f t="shared" si="6"/>
        <v>9976.7751000000007</v>
      </c>
      <c r="N50" s="106"/>
      <c r="O50" s="98">
        <f t="shared" si="7"/>
        <v>233509.37</v>
      </c>
      <c r="P50" s="115">
        <f t="shared" si="10"/>
        <v>240514.37</v>
      </c>
      <c r="Q50" s="51">
        <f t="shared" si="9"/>
        <v>0.37000000000000016</v>
      </c>
    </row>
    <row r="51" spans="1:18" x14ac:dyDescent="0.25">
      <c r="A51" s="107">
        <f t="shared" si="11"/>
        <v>38</v>
      </c>
      <c r="B51" s="179" t="s">
        <v>131</v>
      </c>
      <c r="C51" s="100" t="s">
        <v>151</v>
      </c>
      <c r="D51" s="99"/>
      <c r="E51" s="96">
        <v>0.97</v>
      </c>
      <c r="F51" s="82">
        <v>67157</v>
      </c>
      <c r="G51" s="82">
        <v>67157</v>
      </c>
      <c r="H51" s="97">
        <f t="shared" si="0"/>
        <v>0</v>
      </c>
      <c r="I51" s="97">
        <f t="shared" si="3"/>
        <v>0</v>
      </c>
      <c r="J51" s="106">
        <f t="shared" si="4"/>
        <v>61299.144956000004</v>
      </c>
      <c r="K51" s="106">
        <f t="shared" si="12"/>
        <v>0</v>
      </c>
      <c r="L51" s="106">
        <f t="shared" si="5"/>
        <v>1773.3831969999999</v>
      </c>
      <c r="M51" s="106">
        <f t="shared" si="6"/>
        <v>9677.4718470000007</v>
      </c>
      <c r="N51" s="106"/>
      <c r="O51" s="98">
        <f t="shared" si="7"/>
        <v>72750.38</v>
      </c>
      <c r="P51" s="115">
        <f t="shared" si="10"/>
        <v>74933.38</v>
      </c>
      <c r="Q51" s="51">
        <f t="shared" si="9"/>
        <v>0.38000000000000017</v>
      </c>
    </row>
    <row r="52" spans="1:18" x14ac:dyDescent="0.25">
      <c r="A52" s="107">
        <f t="shared" si="11"/>
        <v>39</v>
      </c>
      <c r="B52" s="179" t="s">
        <v>132</v>
      </c>
      <c r="C52" s="100" t="s">
        <v>164</v>
      </c>
      <c r="D52" s="99"/>
      <c r="E52" s="96">
        <v>0.77</v>
      </c>
      <c r="F52" s="82">
        <v>55162</v>
      </c>
      <c r="G52" s="82">
        <v>54695</v>
      </c>
      <c r="H52" s="97">
        <f t="shared" si="0"/>
        <v>467</v>
      </c>
      <c r="I52" s="97">
        <f t="shared" si="3"/>
        <v>14.01</v>
      </c>
      <c r="J52" s="106">
        <f t="shared" si="4"/>
        <v>48660.145996000007</v>
      </c>
      <c r="K52" s="106">
        <f t="shared" si="12"/>
        <v>0</v>
      </c>
      <c r="L52" s="106">
        <f t="shared" si="5"/>
        <v>1407.737177</v>
      </c>
      <c r="M52" s="106">
        <f t="shared" si="6"/>
        <v>7682.1168269999998</v>
      </c>
      <c r="N52" s="106"/>
      <c r="O52" s="98">
        <f t="shared" si="7"/>
        <v>58231.39</v>
      </c>
      <c r="P52" s="115">
        <f t="shared" si="10"/>
        <v>59978.39</v>
      </c>
      <c r="Q52" s="51">
        <f t="shared" si="9"/>
        <v>0.39000000000000018</v>
      </c>
      <c r="R52" t="s">
        <v>216</v>
      </c>
    </row>
    <row r="53" spans="1:18" x14ac:dyDescent="0.25">
      <c r="A53" s="107">
        <f t="shared" si="11"/>
        <v>40</v>
      </c>
      <c r="B53" s="179" t="s">
        <v>133</v>
      </c>
      <c r="C53" s="100" t="s">
        <v>165</v>
      </c>
      <c r="D53" s="99" t="s">
        <v>229</v>
      </c>
      <c r="E53" s="96">
        <v>0.77</v>
      </c>
      <c r="F53" s="82">
        <v>53310</v>
      </c>
      <c r="G53" s="82">
        <f>F53</f>
        <v>53310</v>
      </c>
      <c r="H53" s="97">
        <f t="shared" si="0"/>
        <v>0</v>
      </c>
      <c r="I53" s="97">
        <f t="shared" si="3"/>
        <v>0</v>
      </c>
      <c r="J53" s="106">
        <f t="shared" si="4"/>
        <v>48660.145996000007</v>
      </c>
      <c r="K53" s="106">
        <f t="shared" si="12"/>
        <v>0</v>
      </c>
      <c r="L53" s="106">
        <f t="shared" si="5"/>
        <v>1407.737177</v>
      </c>
      <c r="M53" s="106">
        <f t="shared" si="6"/>
        <v>7682.1168269999998</v>
      </c>
      <c r="N53" s="106"/>
      <c r="O53" s="98">
        <f t="shared" si="7"/>
        <v>57750.400000000001</v>
      </c>
      <c r="P53" s="115">
        <f t="shared" si="10"/>
        <v>59483.4</v>
      </c>
      <c r="Q53" s="51">
        <f t="shared" si="9"/>
        <v>0.40000000000000019</v>
      </c>
    </row>
    <row r="54" spans="1:18" x14ac:dyDescent="0.25">
      <c r="A54" s="107">
        <f t="shared" si="11"/>
        <v>41</v>
      </c>
      <c r="B54" s="179" t="s">
        <v>134</v>
      </c>
      <c r="C54" s="100" t="s">
        <v>144</v>
      </c>
      <c r="D54" s="99" t="s">
        <v>202</v>
      </c>
      <c r="E54" s="96">
        <v>0.81</v>
      </c>
      <c r="F54" s="82">
        <v>56079</v>
      </c>
      <c r="G54" s="82">
        <v>56079</v>
      </c>
      <c r="H54" s="97">
        <f t="shared" si="0"/>
        <v>0</v>
      </c>
      <c r="I54" s="97">
        <f t="shared" si="3"/>
        <v>0</v>
      </c>
      <c r="J54" s="106">
        <f t="shared" si="4"/>
        <v>51187.945788000005</v>
      </c>
      <c r="K54" s="106">
        <f t="shared" si="12"/>
        <v>0</v>
      </c>
      <c r="L54" s="106">
        <f t="shared" si="5"/>
        <v>1480.866381</v>
      </c>
      <c r="M54" s="106">
        <f t="shared" si="6"/>
        <v>8081.1878310000011</v>
      </c>
      <c r="N54" s="106"/>
      <c r="O54" s="98">
        <f t="shared" si="7"/>
        <v>60750.41</v>
      </c>
      <c r="P54" s="115">
        <f t="shared" si="10"/>
        <v>62573.41</v>
      </c>
      <c r="Q54" s="51">
        <f t="shared" si="9"/>
        <v>0.4100000000000002</v>
      </c>
    </row>
    <row r="55" spans="1:18" x14ac:dyDescent="0.25">
      <c r="A55" s="107">
        <f t="shared" si="11"/>
        <v>42</v>
      </c>
      <c r="B55" s="179" t="s">
        <v>135</v>
      </c>
      <c r="C55" s="100" t="s">
        <v>165</v>
      </c>
      <c r="D55" s="99" t="s">
        <v>206</v>
      </c>
      <c r="E55" s="96">
        <v>0.77</v>
      </c>
      <c r="F55" s="82">
        <v>53310</v>
      </c>
      <c r="G55" s="82">
        <v>53310</v>
      </c>
      <c r="H55" s="97">
        <f t="shared" si="0"/>
        <v>0</v>
      </c>
      <c r="I55" s="97"/>
      <c r="J55" s="106">
        <f t="shared" si="4"/>
        <v>48660.145996000007</v>
      </c>
      <c r="K55" s="106">
        <f t="shared" si="12"/>
        <v>0</v>
      </c>
      <c r="L55" s="106">
        <f t="shared" si="5"/>
        <v>1407.737177</v>
      </c>
      <c r="M55" s="106">
        <f t="shared" si="6"/>
        <v>7682.1168269999998</v>
      </c>
      <c r="N55" s="106"/>
      <c r="O55" s="98">
        <f t="shared" si="7"/>
        <v>57750.42</v>
      </c>
      <c r="P55" s="115">
        <f t="shared" si="10"/>
        <v>59483.42</v>
      </c>
      <c r="Q55" s="51">
        <f t="shared" si="9"/>
        <v>0.42000000000000021</v>
      </c>
    </row>
    <row r="56" spans="1:18" x14ac:dyDescent="0.25">
      <c r="A56" s="107">
        <f t="shared" si="11"/>
        <v>43</v>
      </c>
      <c r="B56" s="179" t="s">
        <v>136</v>
      </c>
      <c r="C56" s="100" t="s">
        <v>158</v>
      </c>
      <c r="D56" s="99"/>
      <c r="E56" s="96">
        <v>0.77</v>
      </c>
      <c r="F56" s="82">
        <v>116597</v>
      </c>
      <c r="G56" s="82"/>
      <c r="H56" s="97">
        <f t="shared" si="0"/>
        <v>116597</v>
      </c>
      <c r="I56" s="97">
        <f t="shared" si="3"/>
        <v>3497.91</v>
      </c>
      <c r="J56" s="106">
        <f t="shared" si="4"/>
        <v>48660.145996000007</v>
      </c>
      <c r="K56" s="106">
        <f t="shared" si="12"/>
        <v>0</v>
      </c>
      <c r="L56" s="106">
        <f t="shared" si="5"/>
        <v>1407.737177</v>
      </c>
      <c r="M56" s="106">
        <f t="shared" si="6"/>
        <v>7682.1168269999998</v>
      </c>
      <c r="N56" s="106"/>
      <c r="O56" s="98">
        <f t="shared" si="7"/>
        <v>177845.43</v>
      </c>
      <c r="P56" s="115">
        <f t="shared" si="10"/>
        <v>183180.43</v>
      </c>
      <c r="Q56" s="51">
        <f t="shared" si="9"/>
        <v>0.43000000000000022</v>
      </c>
    </row>
    <row r="57" spans="1:18" x14ac:dyDescent="0.25">
      <c r="A57" s="107">
        <f t="shared" si="11"/>
        <v>44</v>
      </c>
      <c r="B57" s="179" t="s">
        <v>137</v>
      </c>
      <c r="C57" s="100" t="s">
        <v>152</v>
      </c>
      <c r="D57" s="99"/>
      <c r="E57" s="96">
        <v>0.77</v>
      </c>
      <c r="F57" s="82">
        <v>53217</v>
      </c>
      <c r="G57" s="82"/>
      <c r="H57" s="97">
        <f t="shared" si="0"/>
        <v>53217</v>
      </c>
      <c r="I57" s="97">
        <f t="shared" si="3"/>
        <v>1596.51</v>
      </c>
      <c r="J57" s="106">
        <f t="shared" si="4"/>
        <v>48660.145996000007</v>
      </c>
      <c r="K57" s="106">
        <f t="shared" si="12"/>
        <v>0</v>
      </c>
      <c r="L57" s="106">
        <f t="shared" si="5"/>
        <v>1407.737177</v>
      </c>
      <c r="M57" s="106">
        <f t="shared" si="6"/>
        <v>7682.1168269999998</v>
      </c>
      <c r="N57" s="106"/>
      <c r="O57" s="98">
        <f t="shared" si="7"/>
        <v>112564.44</v>
      </c>
      <c r="P57" s="115">
        <f t="shared" si="10"/>
        <v>115941.44</v>
      </c>
      <c r="Q57" s="51">
        <f t="shared" si="9"/>
        <v>0.44000000000000022</v>
      </c>
    </row>
    <row r="58" spans="1:18" x14ac:dyDescent="0.25">
      <c r="A58" s="107">
        <f t="shared" si="11"/>
        <v>45</v>
      </c>
      <c r="B58" s="179" t="s">
        <v>138</v>
      </c>
      <c r="C58" s="100" t="s">
        <v>144</v>
      </c>
      <c r="D58" s="99" t="s">
        <v>201</v>
      </c>
      <c r="E58" s="96">
        <v>0.77</v>
      </c>
      <c r="F58" s="82">
        <v>53310</v>
      </c>
      <c r="G58" s="82">
        <f>F58</f>
        <v>53310</v>
      </c>
      <c r="H58" s="97">
        <f t="shared" si="0"/>
        <v>0</v>
      </c>
      <c r="I58" s="97">
        <f t="shared" si="3"/>
        <v>0</v>
      </c>
      <c r="J58" s="106">
        <f t="shared" si="4"/>
        <v>48660.145996000007</v>
      </c>
      <c r="K58" s="106">
        <f t="shared" si="12"/>
        <v>0</v>
      </c>
      <c r="L58" s="106">
        <f t="shared" si="5"/>
        <v>1407.737177</v>
      </c>
      <c r="M58" s="106">
        <f t="shared" si="6"/>
        <v>7682.1168269999998</v>
      </c>
      <c r="N58" s="106"/>
      <c r="O58" s="98">
        <f t="shared" si="7"/>
        <v>57750.45</v>
      </c>
      <c r="P58" s="115">
        <f t="shared" si="10"/>
        <v>59483.45</v>
      </c>
      <c r="Q58" s="51">
        <f t="shared" si="9"/>
        <v>0.45000000000000023</v>
      </c>
    </row>
    <row r="59" spans="1:18" x14ac:dyDescent="0.25">
      <c r="A59" s="107">
        <f t="shared" si="11"/>
        <v>46</v>
      </c>
      <c r="B59" s="179" t="s">
        <v>139</v>
      </c>
      <c r="C59" s="100" t="s">
        <v>144</v>
      </c>
      <c r="D59" s="99"/>
      <c r="E59" s="96">
        <v>0.86</v>
      </c>
      <c r="F59" s="82">
        <v>61615</v>
      </c>
      <c r="G59" s="82">
        <v>54695</v>
      </c>
      <c r="H59" s="97">
        <f t="shared" si="0"/>
        <v>6920</v>
      </c>
      <c r="I59" s="97">
        <f t="shared" si="3"/>
        <v>207.6</v>
      </c>
      <c r="J59" s="106">
        <f t="shared" si="4"/>
        <v>54347.695528000004</v>
      </c>
      <c r="K59" s="106">
        <f t="shared" si="12"/>
        <v>0</v>
      </c>
      <c r="L59" s="106">
        <f t="shared" si="5"/>
        <v>1572.2778860000001</v>
      </c>
      <c r="M59" s="106">
        <f t="shared" si="6"/>
        <v>8580.026586</v>
      </c>
      <c r="N59" s="106"/>
      <c r="O59" s="98">
        <f t="shared" si="7"/>
        <v>71628.460000000006</v>
      </c>
      <c r="P59" s="115">
        <f t="shared" si="10"/>
        <v>73777.460000000006</v>
      </c>
      <c r="Q59" s="51">
        <f t="shared" si="9"/>
        <v>0.46000000000000024</v>
      </c>
      <c r="R59" t="s">
        <v>216</v>
      </c>
    </row>
    <row r="60" spans="1:18" x14ac:dyDescent="0.25">
      <c r="A60" s="107"/>
      <c r="B60" s="179"/>
      <c r="C60" s="94"/>
      <c r="D60" s="99"/>
      <c r="E60" s="96"/>
      <c r="F60" s="82"/>
      <c r="G60" s="82"/>
      <c r="H60" s="97"/>
      <c r="I60" s="97"/>
      <c r="J60" s="106"/>
      <c r="K60" s="106"/>
      <c r="L60" s="106"/>
      <c r="M60" s="106"/>
      <c r="N60" s="106"/>
      <c r="O60" s="98"/>
      <c r="P60" s="115"/>
      <c r="Q60" s="51"/>
    </row>
    <row r="61" spans="1:18" ht="17.100000000000001" customHeight="1" thickBot="1" x14ac:dyDescent="0.3">
      <c r="A61" s="108"/>
      <c r="B61" s="180"/>
      <c r="C61" s="109"/>
      <c r="D61" s="109"/>
      <c r="E61" s="110">
        <f t="shared" ref="E61:M61" si="13">SUM(E14:E60)</f>
        <v>99.999999999999986</v>
      </c>
      <c r="F61" s="111">
        <f t="shared" si="13"/>
        <v>8670136</v>
      </c>
      <c r="G61" s="112">
        <f t="shared" si="13"/>
        <v>6601052</v>
      </c>
      <c r="H61" s="112">
        <f t="shared" si="13"/>
        <v>2069084</v>
      </c>
      <c r="I61" s="112">
        <f t="shared" si="13"/>
        <v>62377.62000000001</v>
      </c>
      <c r="J61" s="113">
        <f t="shared" si="13"/>
        <v>6319499.4799999995</v>
      </c>
      <c r="K61" s="113">
        <f t="shared" si="13"/>
        <v>0</v>
      </c>
      <c r="L61" s="113">
        <f t="shared" si="13"/>
        <v>182823.00999999992</v>
      </c>
      <c r="M61" s="113">
        <f t="shared" si="13"/>
        <v>997677.51000000013</v>
      </c>
      <c r="N61" s="114"/>
      <c r="O61" s="119">
        <f>SUM(O14:O60)</f>
        <v>9631474.8099999987</v>
      </c>
      <c r="P61" s="116">
        <f>SUM(P14:P60)</f>
        <v>9920424.8099999987</v>
      </c>
    </row>
    <row r="62" spans="1:18" ht="12.75" customHeight="1" x14ac:dyDescent="0.25">
      <c r="C62" s="83"/>
      <c r="D62" s="83"/>
    </row>
    <row r="63" spans="1:18" hidden="1" x14ac:dyDescent="0.25"/>
    <row r="64" spans="1:18" ht="9" customHeight="1" x14ac:dyDescent="0.25">
      <c r="C64" s="230" t="s">
        <v>6</v>
      </c>
      <c r="D64" s="230"/>
      <c r="E64" s="230"/>
      <c r="F64" s="230"/>
      <c r="G64" s="230"/>
      <c r="H64" s="230"/>
      <c r="I64" s="230"/>
      <c r="J64" s="230"/>
      <c r="K64" s="230"/>
      <c r="L64" s="230"/>
      <c r="M64" s="230"/>
      <c r="N64" s="230"/>
      <c r="O64" s="230"/>
    </row>
    <row r="65" spans="3:15" ht="12" hidden="1" customHeight="1" x14ac:dyDescent="0.25">
      <c r="C65" s="230"/>
      <c r="D65" s="230"/>
      <c r="E65" s="230"/>
      <c r="F65" s="230"/>
      <c r="G65" s="230"/>
      <c r="H65" s="230"/>
      <c r="I65" s="230"/>
      <c r="J65" s="230"/>
      <c r="K65" s="230"/>
      <c r="L65" s="230"/>
      <c r="M65" s="230"/>
      <c r="N65" s="230"/>
      <c r="O65" s="230"/>
    </row>
    <row r="66" spans="3:15" ht="12" hidden="1" customHeight="1" x14ac:dyDescent="0.25">
      <c r="C66" s="230"/>
      <c r="D66" s="230"/>
      <c r="E66" s="230"/>
      <c r="F66" s="230"/>
      <c r="G66" s="230"/>
      <c r="H66" s="230"/>
      <c r="I66" s="230"/>
      <c r="J66" s="230"/>
      <c r="K66" s="230"/>
      <c r="L66" s="230"/>
      <c r="M66" s="230"/>
      <c r="N66" s="230"/>
      <c r="O66" s="230"/>
    </row>
    <row r="67" spans="3:15" ht="12" hidden="1" customHeight="1" x14ac:dyDescent="0.25">
      <c r="C67" s="230"/>
      <c r="D67" s="230"/>
      <c r="E67" s="230"/>
      <c r="F67" s="230"/>
      <c r="G67" s="230"/>
      <c r="H67" s="230"/>
      <c r="I67" s="230"/>
      <c r="J67" s="230"/>
      <c r="K67" s="230"/>
      <c r="L67" s="230"/>
      <c r="M67" s="230"/>
      <c r="N67" s="230"/>
      <c r="O67" s="230"/>
    </row>
    <row r="68" spans="3:15" ht="12" hidden="1" customHeight="1" x14ac:dyDescent="0.25">
      <c r="C68" s="230"/>
      <c r="D68" s="230"/>
      <c r="E68" s="230"/>
      <c r="F68" s="230"/>
      <c r="G68" s="230"/>
      <c r="H68" s="230"/>
      <c r="I68" s="230"/>
      <c r="J68" s="230"/>
      <c r="K68" s="230"/>
      <c r="L68" s="230"/>
      <c r="M68" s="230"/>
      <c r="N68" s="230"/>
      <c r="O68" s="230"/>
    </row>
    <row r="69" spans="3:15" ht="67.5" customHeight="1" x14ac:dyDescent="0.25">
      <c r="C69" s="230"/>
      <c r="D69" s="230"/>
      <c r="E69" s="230"/>
      <c r="F69" s="230"/>
      <c r="G69" s="230"/>
      <c r="H69" s="230"/>
      <c r="I69" s="230"/>
      <c r="J69" s="230"/>
      <c r="K69" s="230"/>
      <c r="L69" s="230"/>
      <c r="M69" s="230"/>
      <c r="N69" s="230"/>
      <c r="O69" s="230"/>
    </row>
  </sheetData>
  <mergeCells count="20">
    <mergeCell ref="C64:O69"/>
    <mergeCell ref="A6:P10"/>
    <mergeCell ref="A12:A13"/>
    <mergeCell ref="C12:C13"/>
    <mergeCell ref="D12:D13"/>
    <mergeCell ref="E12:E13"/>
    <mergeCell ref="F12:F13"/>
    <mergeCell ref="G12:G13"/>
    <mergeCell ref="H12:H13"/>
    <mergeCell ref="I12:I13"/>
    <mergeCell ref="A11:P11"/>
    <mergeCell ref="J12:J13"/>
    <mergeCell ref="N12:N13"/>
    <mergeCell ref="L12:L13"/>
    <mergeCell ref="K12:K13"/>
    <mergeCell ref="B12:B13"/>
    <mergeCell ref="J1:P5"/>
    <mergeCell ref="M12:M13"/>
    <mergeCell ref="P12:P13"/>
    <mergeCell ref="F2:G2"/>
  </mergeCells>
  <phoneticPr fontId="18"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A3:L49"/>
  <sheetViews>
    <sheetView topLeftCell="A35" zoomScaleNormal="100" workbookViewId="0">
      <selection activeCell="C40" sqref="C40:J41"/>
    </sheetView>
  </sheetViews>
  <sheetFormatPr baseColWidth="10" defaultColWidth="10.85546875" defaultRowHeight="15" x14ac:dyDescent="0.25"/>
  <cols>
    <col min="3" max="3" width="12.7109375" bestFit="1" customWidth="1"/>
    <col min="9" max="9" width="13" bestFit="1" customWidth="1"/>
  </cols>
  <sheetData>
    <row r="3" spans="1:12" ht="15.75" thickBot="1" x14ac:dyDescent="0.3">
      <c r="C3" s="21"/>
    </row>
    <row r="4" spans="1:12" ht="13.15" customHeight="1" x14ac:dyDescent="0.25">
      <c r="C4" s="141" t="s">
        <v>54</v>
      </c>
      <c r="D4" s="142">
        <v>1</v>
      </c>
      <c r="E4" s="138"/>
      <c r="F4" s="138"/>
      <c r="G4" s="138"/>
      <c r="H4" s="138"/>
      <c r="I4" s="138"/>
      <c r="J4" s="139"/>
      <c r="K4" s="166"/>
      <c r="L4" s="166"/>
    </row>
    <row r="5" spans="1:12" ht="14.45" customHeight="1" x14ac:dyDescent="0.25">
      <c r="C5" s="143" t="s">
        <v>55</v>
      </c>
      <c r="D5" s="144"/>
      <c r="E5" t="s">
        <v>56</v>
      </c>
      <c r="G5" t="s">
        <v>57</v>
      </c>
      <c r="H5" t="s">
        <v>58</v>
      </c>
      <c r="J5" s="140"/>
      <c r="K5" s="166"/>
      <c r="L5" s="166"/>
    </row>
    <row r="6" spans="1:12" x14ac:dyDescent="0.25">
      <c r="C6" s="143" t="s">
        <v>59</v>
      </c>
      <c r="D6" s="144" t="s">
        <v>60</v>
      </c>
      <c r="E6" t="s">
        <v>61</v>
      </c>
      <c r="G6" t="s">
        <v>28</v>
      </c>
      <c r="H6">
        <v>71</v>
      </c>
      <c r="J6" s="140"/>
      <c r="K6" s="166"/>
      <c r="L6" s="166"/>
    </row>
    <row r="7" spans="1:12" ht="15.75" thickBot="1" x14ac:dyDescent="0.3">
      <c r="C7" s="48" t="s">
        <v>62</v>
      </c>
      <c r="J7" s="140"/>
      <c r="K7" s="166"/>
      <c r="L7" s="166"/>
    </row>
    <row r="8" spans="1:12" x14ac:dyDescent="0.25">
      <c r="C8" s="254" t="s">
        <v>63</v>
      </c>
      <c r="D8" s="255"/>
      <c r="E8" s="255"/>
      <c r="F8" s="255"/>
      <c r="G8" s="255"/>
      <c r="H8" s="255"/>
      <c r="I8" s="255"/>
      <c r="J8" s="256"/>
      <c r="K8" s="166"/>
      <c r="L8" s="166"/>
    </row>
    <row r="9" spans="1:12" ht="15.75" thickBot="1" x14ac:dyDescent="0.3">
      <c r="C9" s="257"/>
      <c r="D9" s="258"/>
      <c r="E9" s="258"/>
      <c r="F9" s="258"/>
      <c r="G9" s="258"/>
      <c r="H9" s="258"/>
      <c r="I9" s="258"/>
      <c r="J9" s="259"/>
    </row>
    <row r="11" spans="1:12" ht="15.75" thickBot="1" x14ac:dyDescent="0.3">
      <c r="A11" s="145"/>
    </row>
    <row r="12" spans="1:12" x14ac:dyDescent="0.25">
      <c r="C12" s="146" t="s">
        <v>54</v>
      </c>
      <c r="D12" s="147">
        <f>D4+1</f>
        <v>2</v>
      </c>
      <c r="E12" s="138"/>
      <c r="F12" s="138"/>
      <c r="G12" s="138"/>
      <c r="H12" s="138"/>
      <c r="I12" s="138"/>
      <c r="J12" s="139"/>
      <c r="K12" s="166"/>
      <c r="L12" s="166"/>
    </row>
    <row r="13" spans="1:12" x14ac:dyDescent="0.25">
      <c r="C13" s="148" t="s">
        <v>55</v>
      </c>
      <c r="D13" s="149"/>
      <c r="E13" t="s">
        <v>56</v>
      </c>
      <c r="G13" t="s">
        <v>57</v>
      </c>
      <c r="H13" t="s">
        <v>58</v>
      </c>
      <c r="J13" s="140"/>
      <c r="K13" s="166"/>
      <c r="L13" s="166"/>
    </row>
    <row r="14" spans="1:12" x14ac:dyDescent="0.25">
      <c r="C14" s="148" t="s">
        <v>59</v>
      </c>
      <c r="D14" s="149" t="s">
        <v>60</v>
      </c>
      <c r="E14" t="s">
        <v>61</v>
      </c>
      <c r="G14" t="s">
        <v>28</v>
      </c>
      <c r="H14" t="s">
        <v>65</v>
      </c>
      <c r="J14" s="140"/>
      <c r="K14" s="166"/>
      <c r="L14" s="166"/>
    </row>
    <row r="15" spans="1:12" ht="15.75" thickBot="1" x14ac:dyDescent="0.3">
      <c r="C15" s="48" t="s">
        <v>62</v>
      </c>
      <c r="J15" s="140"/>
      <c r="K15" s="166"/>
      <c r="L15" s="166"/>
    </row>
    <row r="16" spans="1:12" x14ac:dyDescent="0.25">
      <c r="C16" s="254" t="s">
        <v>64</v>
      </c>
      <c r="D16" s="255"/>
      <c r="E16" s="255"/>
      <c r="F16" s="255"/>
      <c r="G16" s="255"/>
      <c r="H16" s="255"/>
      <c r="I16" s="255"/>
      <c r="J16" s="256"/>
      <c r="K16" s="166"/>
      <c r="L16" s="166"/>
    </row>
    <row r="17" spans="3:12" ht="15.75" thickBot="1" x14ac:dyDescent="0.3">
      <c r="C17" s="257"/>
      <c r="D17" s="258"/>
      <c r="E17" s="258"/>
      <c r="F17" s="258"/>
      <c r="G17" s="258"/>
      <c r="H17" s="258"/>
      <c r="I17" s="258"/>
      <c r="J17" s="259"/>
    </row>
    <row r="19" spans="3:12" ht="15.75" thickBot="1" x14ac:dyDescent="0.3"/>
    <row r="20" spans="3:12" x14ac:dyDescent="0.25">
      <c r="C20" s="151" t="s">
        <v>54</v>
      </c>
      <c r="D20" s="152">
        <f>D12+1</f>
        <v>3</v>
      </c>
      <c r="E20" s="138"/>
      <c r="F20" s="138"/>
      <c r="G20" s="138"/>
      <c r="H20" s="138"/>
      <c r="I20" s="138"/>
      <c r="J20" s="139"/>
    </row>
    <row r="21" spans="3:12" x14ac:dyDescent="0.25">
      <c r="C21" s="153" t="s">
        <v>55</v>
      </c>
      <c r="D21" s="154"/>
      <c r="E21" t="s">
        <v>56</v>
      </c>
      <c r="G21" t="s">
        <v>57</v>
      </c>
      <c r="H21" t="s">
        <v>67</v>
      </c>
      <c r="I21" s="150" t="s">
        <v>66</v>
      </c>
      <c r="J21" s="140"/>
      <c r="K21" s="166"/>
      <c r="L21" s="166"/>
    </row>
    <row r="22" spans="3:12" x14ac:dyDescent="0.25">
      <c r="C22" s="153" t="s">
        <v>59</v>
      </c>
      <c r="D22" s="154" t="s">
        <v>60</v>
      </c>
      <c r="E22" t="s">
        <v>61</v>
      </c>
      <c r="G22" t="s">
        <v>28</v>
      </c>
      <c r="H22" t="s">
        <v>69</v>
      </c>
      <c r="J22" s="140"/>
      <c r="K22" s="166"/>
      <c r="L22" s="166"/>
    </row>
    <row r="23" spans="3:12" ht="15.75" thickBot="1" x14ac:dyDescent="0.3">
      <c r="C23" s="48" t="s">
        <v>62</v>
      </c>
      <c r="J23" s="140"/>
      <c r="K23" s="166"/>
      <c r="L23" s="166"/>
    </row>
    <row r="24" spans="3:12" x14ac:dyDescent="0.25">
      <c r="C24" s="254" t="s">
        <v>68</v>
      </c>
      <c r="D24" s="255"/>
      <c r="E24" s="255"/>
      <c r="F24" s="255"/>
      <c r="G24" s="255"/>
      <c r="H24" s="255"/>
      <c r="I24" s="255"/>
      <c r="J24" s="256"/>
      <c r="K24" s="166"/>
      <c r="L24" s="166"/>
    </row>
    <row r="25" spans="3:12" ht="15.75" thickBot="1" x14ac:dyDescent="0.3">
      <c r="C25" s="257"/>
      <c r="D25" s="258"/>
      <c r="E25" s="258"/>
      <c r="F25" s="258"/>
      <c r="G25" s="258"/>
      <c r="H25" s="258"/>
      <c r="I25" s="258"/>
      <c r="J25" s="259"/>
      <c r="K25" s="166"/>
      <c r="L25" s="166"/>
    </row>
    <row r="27" spans="3:12" ht="15.75" thickBot="1" x14ac:dyDescent="0.3"/>
    <row r="28" spans="3:12" x14ac:dyDescent="0.25">
      <c r="C28" s="155" t="s">
        <v>54</v>
      </c>
      <c r="D28" s="15">
        <f>D20+1</f>
        <v>4</v>
      </c>
      <c r="E28" s="138"/>
      <c r="F28" s="138"/>
      <c r="G28" s="138"/>
      <c r="H28" s="138"/>
      <c r="I28" s="138"/>
      <c r="J28" s="139"/>
    </row>
    <row r="29" spans="3:12" x14ac:dyDescent="0.25">
      <c r="C29" s="156" t="s">
        <v>55</v>
      </c>
      <c r="D29" s="157"/>
      <c r="E29" t="s">
        <v>56</v>
      </c>
      <c r="G29" t="s">
        <v>57</v>
      </c>
      <c r="H29" t="s">
        <v>70</v>
      </c>
      <c r="I29" s="150"/>
      <c r="J29" s="140"/>
      <c r="K29" s="166"/>
      <c r="L29" s="166"/>
    </row>
    <row r="30" spans="3:12" x14ac:dyDescent="0.25">
      <c r="C30" s="156" t="s">
        <v>59</v>
      </c>
      <c r="D30" s="157" t="s">
        <v>60</v>
      </c>
      <c r="E30" t="s">
        <v>61</v>
      </c>
      <c r="G30" t="s">
        <v>28</v>
      </c>
      <c r="H30">
        <v>46</v>
      </c>
      <c r="I30" t="s">
        <v>72</v>
      </c>
      <c r="J30" s="140"/>
      <c r="K30" s="166"/>
      <c r="L30" s="166"/>
    </row>
    <row r="31" spans="3:12" ht="15.75" thickBot="1" x14ac:dyDescent="0.3">
      <c r="C31" s="48" t="s">
        <v>62</v>
      </c>
      <c r="J31" s="140"/>
      <c r="K31" s="166"/>
      <c r="L31" s="166"/>
    </row>
    <row r="32" spans="3:12" x14ac:dyDescent="0.25">
      <c r="C32" s="254" t="s">
        <v>71</v>
      </c>
      <c r="D32" s="255"/>
      <c r="E32" s="255"/>
      <c r="F32" s="255"/>
      <c r="G32" s="255"/>
      <c r="H32" s="255"/>
      <c r="I32" s="255"/>
      <c r="J32" s="256"/>
      <c r="K32" s="166"/>
      <c r="L32" s="166"/>
    </row>
    <row r="33" spans="3:12" ht="15.75" thickBot="1" x14ac:dyDescent="0.3">
      <c r="C33" s="257"/>
      <c r="D33" s="258"/>
      <c r="E33" s="258"/>
      <c r="F33" s="258"/>
      <c r="G33" s="258"/>
      <c r="H33" s="258"/>
      <c r="I33" s="258"/>
      <c r="J33" s="259"/>
    </row>
    <row r="35" spans="3:12" ht="15.75" thickBot="1" x14ac:dyDescent="0.3"/>
    <row r="36" spans="3:12" x14ac:dyDescent="0.25">
      <c r="C36" s="158" t="s">
        <v>54</v>
      </c>
      <c r="D36" s="159">
        <f>D28+1</f>
        <v>5</v>
      </c>
      <c r="E36" s="138"/>
      <c r="F36" s="138"/>
      <c r="G36" s="138"/>
      <c r="H36" s="138"/>
      <c r="I36" s="138"/>
      <c r="J36" s="139"/>
      <c r="K36" s="166"/>
      <c r="L36" s="166"/>
    </row>
    <row r="37" spans="3:12" x14ac:dyDescent="0.25">
      <c r="C37" s="160" t="s">
        <v>55</v>
      </c>
      <c r="D37" s="161"/>
      <c r="E37" t="s">
        <v>56</v>
      </c>
      <c r="G37" t="s">
        <v>57</v>
      </c>
      <c r="H37" t="s">
        <v>73</v>
      </c>
      <c r="I37" s="150"/>
      <c r="J37" s="140"/>
      <c r="K37" s="166"/>
      <c r="L37" s="166"/>
    </row>
    <row r="38" spans="3:12" x14ac:dyDescent="0.25">
      <c r="C38" s="160" t="s">
        <v>59</v>
      </c>
      <c r="D38" s="161" t="s">
        <v>60</v>
      </c>
      <c r="E38" t="s">
        <v>61</v>
      </c>
      <c r="G38" t="s">
        <v>28</v>
      </c>
      <c r="H38" t="s">
        <v>74</v>
      </c>
      <c r="J38" s="140"/>
      <c r="K38" s="166"/>
      <c r="L38" s="166"/>
    </row>
    <row r="39" spans="3:12" ht="15.75" thickBot="1" x14ac:dyDescent="0.3">
      <c r="C39" s="48" t="s">
        <v>62</v>
      </c>
      <c r="J39" s="140"/>
      <c r="K39" s="166"/>
      <c r="L39" s="166"/>
    </row>
    <row r="40" spans="3:12" x14ac:dyDescent="0.25">
      <c r="C40" s="254" t="s">
        <v>80</v>
      </c>
      <c r="D40" s="255"/>
      <c r="E40" s="255"/>
      <c r="F40" s="255"/>
      <c r="G40" s="255"/>
      <c r="H40" s="255"/>
      <c r="I40" s="255"/>
      <c r="J40" s="256"/>
      <c r="K40" s="166"/>
      <c r="L40" s="166"/>
    </row>
    <row r="41" spans="3:12" ht="15.75" thickBot="1" x14ac:dyDescent="0.3">
      <c r="C41" s="257"/>
      <c r="D41" s="258"/>
      <c r="E41" s="258"/>
      <c r="F41" s="258"/>
      <c r="G41" s="258"/>
      <c r="H41" s="258"/>
      <c r="I41" s="258"/>
      <c r="J41" s="259"/>
    </row>
    <row r="43" spans="3:12" ht="15.75" thickBot="1" x14ac:dyDescent="0.3"/>
    <row r="44" spans="3:12" x14ac:dyDescent="0.25">
      <c r="C44" s="162" t="s">
        <v>54</v>
      </c>
      <c r="D44" s="163">
        <f>D36+1</f>
        <v>6</v>
      </c>
      <c r="E44" s="138"/>
      <c r="F44" s="138"/>
      <c r="G44" s="138"/>
      <c r="H44" s="138"/>
      <c r="I44" s="138"/>
      <c r="J44" s="139"/>
    </row>
    <row r="45" spans="3:12" x14ac:dyDescent="0.25">
      <c r="C45" s="164" t="s">
        <v>55</v>
      </c>
      <c r="D45" s="165"/>
      <c r="E45" t="s">
        <v>56</v>
      </c>
      <c r="G45" t="s">
        <v>57</v>
      </c>
      <c r="H45" t="s">
        <v>78</v>
      </c>
      <c r="I45" s="150"/>
      <c r="J45" s="140"/>
      <c r="K45" s="166"/>
      <c r="L45" s="166"/>
    </row>
    <row r="46" spans="3:12" x14ac:dyDescent="0.25">
      <c r="C46" s="164" t="s">
        <v>59</v>
      </c>
      <c r="D46" s="165" t="s">
        <v>60</v>
      </c>
      <c r="E46" t="s">
        <v>61</v>
      </c>
      <c r="G46" t="s">
        <v>28</v>
      </c>
      <c r="H46" t="s">
        <v>77</v>
      </c>
      <c r="J46" s="140"/>
      <c r="K46" s="166"/>
      <c r="L46" s="166"/>
    </row>
    <row r="47" spans="3:12" ht="15.75" thickBot="1" x14ac:dyDescent="0.3">
      <c r="C47" s="48" t="s">
        <v>62</v>
      </c>
      <c r="J47" s="140"/>
      <c r="K47" s="166"/>
      <c r="L47" s="166"/>
    </row>
    <row r="48" spans="3:12" x14ac:dyDescent="0.25">
      <c r="C48" s="254" t="s">
        <v>79</v>
      </c>
      <c r="D48" s="255"/>
      <c r="E48" s="255"/>
      <c r="F48" s="255"/>
      <c r="G48" s="255"/>
      <c r="H48" s="255"/>
      <c r="I48" s="255"/>
      <c r="J48" s="256"/>
      <c r="K48" s="166"/>
      <c r="L48" s="166"/>
    </row>
    <row r="49" spans="3:12" ht="15.75" thickBot="1" x14ac:dyDescent="0.3">
      <c r="C49" s="257"/>
      <c r="D49" s="258"/>
      <c r="E49" s="258"/>
      <c r="F49" s="258"/>
      <c r="G49" s="258"/>
      <c r="H49" s="258"/>
      <c r="I49" s="258"/>
      <c r="J49" s="259"/>
      <c r="K49" s="166"/>
      <c r="L49" s="166"/>
    </row>
  </sheetData>
  <mergeCells count="6">
    <mergeCell ref="C48:J49"/>
    <mergeCell ref="C8:J9"/>
    <mergeCell ref="C16:J17"/>
    <mergeCell ref="C24:J25"/>
    <mergeCell ref="C32:J33"/>
    <mergeCell ref="C40:J41"/>
  </mergeCells>
  <hyperlinks>
    <hyperlink ref="I21" r:id="rId1" xr:uid="{594C449D-3B6C-4B8F-B1F1-8C5EBB24B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2026-06-03T18:05:56Z</cp:lastPrinted>
  <dcterms:created xsi:type="dcterms:W3CDTF">2016-01-12T20:02:43Z</dcterms:created>
  <dcterms:modified xsi:type="dcterms:W3CDTF">2026-06-03T18:06:13Z</dcterms:modified>
</cp:coreProperties>
</file>