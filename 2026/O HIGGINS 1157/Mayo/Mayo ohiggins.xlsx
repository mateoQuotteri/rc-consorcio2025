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O HIGGINS 1157\Mayo\"/>
    </mc:Choice>
  </mc:AlternateContent>
  <xr:revisionPtr revIDLastSave="0" documentId="13_ncr:1_{2DDD8C4C-CF4E-4B4F-8746-A270766BD95F}" xr6:coauthVersionLast="47" xr6:coauthVersionMax="47" xr10:uidLastSave="{00000000-0000-0000-0000-000000000000}"/>
  <bookViews>
    <workbookView xWindow="-120" yWindow="-120" windowWidth="20730" windowHeight="11040" activeTab="1" xr2:uid="{00000000-000D-0000-FFFF-FFFF00000000}"/>
  </bookViews>
  <sheets>
    <sheet name="RESUMEN" sheetId="4" r:id="rId1"/>
    <sheet name="PRORRATEO" sheetId="5" r:id="rId2"/>
    <sheet name="ANOTACIONES" sheetId="6" r:id="rId3"/>
  </sheets>
  <definedNames>
    <definedName name="_xlnm.Print_Area" localSheetId="1">PRORRATEO!$A$1:$N$67</definedName>
    <definedName name="_xlnm.Print_Area" localSheetId="0">RESUMEN!$A$1:$E$126</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21" i="5" l="1"/>
  <c r="K2" i="5"/>
  <c r="D72" i="4"/>
  <c r="B126" i="4"/>
  <c r="B110" i="4"/>
  <c r="B105" i="4"/>
  <c r="G36" i="5"/>
  <c r="G33" i="5"/>
  <c r="G23" i="5"/>
  <c r="G56" i="5"/>
  <c r="G24" i="5"/>
  <c r="G31" i="5"/>
  <c r="G15" i="5"/>
  <c r="G12" i="5"/>
  <c r="G40" i="5"/>
  <c r="G27" i="5"/>
  <c r="G18" i="5"/>
  <c r="G25" i="5"/>
  <c r="G21" i="5"/>
  <c r="E41" i="4"/>
  <c r="E42" i="4" s="1"/>
  <c r="E63" i="4"/>
  <c r="E69" i="4"/>
  <c r="E38" i="4"/>
  <c r="E36" i="4"/>
  <c r="E35" i="4"/>
  <c r="E30" i="4"/>
  <c r="D44" i="6"/>
  <c r="D36" i="6"/>
  <c r="D28" i="6"/>
  <c r="D20" i="6"/>
  <c r="D12" i="6"/>
  <c r="E43" i="4" l="1"/>
  <c r="E25" i="4" l="1"/>
  <c r="E49" i="4" l="1"/>
  <c r="M11" i="5" l="1"/>
  <c r="G59" i="5" l="1"/>
  <c r="E73" i="4"/>
  <c r="E77" i="4" s="1"/>
  <c r="B90" i="4" s="1"/>
  <c r="K33" i="5"/>
  <c r="K34" i="5"/>
  <c r="K35" i="5"/>
  <c r="K36" i="5"/>
  <c r="K37" i="5"/>
  <c r="K38" i="5"/>
  <c r="K39" i="5"/>
  <c r="K40" i="5"/>
  <c r="K41" i="5"/>
  <c r="K42" i="5"/>
  <c r="K43" i="5"/>
  <c r="K44" i="5"/>
  <c r="K45" i="5"/>
  <c r="K46" i="5"/>
  <c r="K47" i="5"/>
  <c r="K48" i="5"/>
  <c r="K49" i="5"/>
  <c r="K50" i="5"/>
  <c r="K51" i="5"/>
  <c r="K52" i="5"/>
  <c r="K53" i="5"/>
  <c r="K54" i="5"/>
  <c r="K55" i="5"/>
  <c r="K56" i="5"/>
  <c r="K57" i="5"/>
  <c r="J33" i="5"/>
  <c r="J34" i="5"/>
  <c r="J35" i="5"/>
  <c r="J36" i="5"/>
  <c r="J37" i="5"/>
  <c r="J38" i="5"/>
  <c r="J39" i="5"/>
  <c r="J40" i="5"/>
  <c r="J41" i="5"/>
  <c r="J42" i="5"/>
  <c r="J43" i="5"/>
  <c r="J44" i="5"/>
  <c r="J45" i="5"/>
  <c r="J46" i="5"/>
  <c r="J47" i="5"/>
  <c r="J48" i="5"/>
  <c r="J49" i="5"/>
  <c r="J50" i="5"/>
  <c r="J51" i="5"/>
  <c r="J52" i="5"/>
  <c r="J53" i="5"/>
  <c r="J54" i="5"/>
  <c r="J55" i="5"/>
  <c r="J56" i="5"/>
  <c r="J57" i="5"/>
  <c r="H33" i="5"/>
  <c r="I33" i="5" s="1"/>
  <c r="H34" i="5"/>
  <c r="I34" i="5" s="1"/>
  <c r="H35" i="5"/>
  <c r="H36" i="5"/>
  <c r="I36" i="5" s="1"/>
  <c r="H37" i="5"/>
  <c r="I37" i="5" s="1"/>
  <c r="H38" i="5"/>
  <c r="I38" i="5" s="1"/>
  <c r="H39" i="5"/>
  <c r="I39" i="5" s="1"/>
  <c r="H40" i="5"/>
  <c r="I40" i="5" s="1"/>
  <c r="H41" i="5"/>
  <c r="I41" i="5" s="1"/>
  <c r="H42" i="5"/>
  <c r="I42" i="5" s="1"/>
  <c r="H43" i="5"/>
  <c r="I43" i="5" s="1"/>
  <c r="H44" i="5"/>
  <c r="H45" i="5"/>
  <c r="I45" i="5" s="1"/>
  <c r="H46" i="5"/>
  <c r="I46" i="5" s="1"/>
  <c r="H47" i="5"/>
  <c r="I47" i="5" s="1"/>
  <c r="H48" i="5"/>
  <c r="I48" i="5" s="1"/>
  <c r="H49" i="5"/>
  <c r="I49" i="5" s="1"/>
  <c r="H50" i="5"/>
  <c r="I50" i="5" s="1"/>
  <c r="H51" i="5"/>
  <c r="I51" i="5" s="1"/>
  <c r="H52" i="5"/>
  <c r="I52" i="5" s="1"/>
  <c r="H53" i="5"/>
  <c r="H54" i="5"/>
  <c r="H55" i="5"/>
  <c r="I55" i="5" s="1"/>
  <c r="H56" i="5"/>
  <c r="I56" i="5" s="1"/>
  <c r="H57" i="5"/>
  <c r="I57" i="5" s="1"/>
  <c r="F59" i="5"/>
  <c r="E59" i="5"/>
  <c r="A33" i="5"/>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H22" i="5"/>
  <c r="I22" i="5" s="1"/>
  <c r="K32" i="5"/>
  <c r="J32" i="5"/>
  <c r="H32" i="5"/>
  <c r="I32" i="5" s="1"/>
  <c r="K31" i="5"/>
  <c r="J31" i="5"/>
  <c r="H31" i="5"/>
  <c r="K30" i="5"/>
  <c r="J30" i="5"/>
  <c r="H30" i="5"/>
  <c r="I30" i="5" s="1"/>
  <c r="K29" i="5"/>
  <c r="J29" i="5"/>
  <c r="H29" i="5"/>
  <c r="I29" i="5" s="1"/>
  <c r="K28" i="5"/>
  <c r="J28" i="5"/>
  <c r="H28" i="5"/>
  <c r="I28" i="5" s="1"/>
  <c r="K27" i="5"/>
  <c r="J27" i="5"/>
  <c r="H27" i="5"/>
  <c r="I27" i="5" s="1"/>
  <c r="K26" i="5"/>
  <c r="J26" i="5"/>
  <c r="H26" i="5"/>
  <c r="I26" i="5" s="1"/>
  <c r="K25" i="5"/>
  <c r="J25" i="5"/>
  <c r="H25" i="5"/>
  <c r="K24" i="5"/>
  <c r="J24" i="5"/>
  <c r="H24" i="5"/>
  <c r="I24" i="5" s="1"/>
  <c r="K23" i="5"/>
  <c r="J23" i="5"/>
  <c r="H23" i="5"/>
  <c r="I23" i="5" s="1"/>
  <c r="K22" i="5"/>
  <c r="J22" i="5"/>
  <c r="K21" i="5"/>
  <c r="H21" i="5"/>
  <c r="K20" i="5"/>
  <c r="J20" i="5"/>
  <c r="H20" i="5"/>
  <c r="I20" i="5" s="1"/>
  <c r="K19" i="5"/>
  <c r="J19" i="5"/>
  <c r="H19" i="5"/>
  <c r="I19" i="5" s="1"/>
  <c r="K18" i="5"/>
  <c r="J18" i="5"/>
  <c r="H18" i="5"/>
  <c r="I18" i="5" s="1"/>
  <c r="K17" i="5"/>
  <c r="J17" i="5"/>
  <c r="H17" i="5"/>
  <c r="I17" i="5" s="1"/>
  <c r="K16" i="5"/>
  <c r="J16" i="5"/>
  <c r="H16" i="5"/>
  <c r="I16" i="5" s="1"/>
  <c r="K15" i="5"/>
  <c r="J15" i="5"/>
  <c r="H15" i="5"/>
  <c r="I15" i="5" s="1"/>
  <c r="K14" i="5"/>
  <c r="J14" i="5"/>
  <c r="H14" i="5"/>
  <c r="I14" i="5" s="1"/>
  <c r="O13" i="5"/>
  <c r="K13" i="5"/>
  <c r="J13" i="5"/>
  <c r="H13" i="5"/>
  <c r="K12" i="5"/>
  <c r="J12" i="5"/>
  <c r="B114" i="4"/>
  <c r="E84" i="4"/>
  <c r="E88" i="4" s="1"/>
  <c r="B92" i="4" s="1"/>
  <c r="M14" i="5" l="1"/>
  <c r="I54" i="5"/>
  <c r="O14" i="5"/>
  <c r="I25" i="5"/>
  <c r="I35" i="5"/>
  <c r="I21" i="5"/>
  <c r="B91" i="4"/>
  <c r="B113" i="4" s="1"/>
  <c r="J59" i="5"/>
  <c r="K59" i="5"/>
  <c r="I13" i="5"/>
  <c r="M13" i="5" s="1"/>
  <c r="B93" i="4"/>
  <c r="N14" i="5" l="1"/>
  <c r="O15" i="5"/>
  <c r="M15" i="5" s="1"/>
  <c r="H12" i="5"/>
  <c r="B115" i="4"/>
  <c r="B118" i="4" s="1"/>
  <c r="B120" i="4" s="1"/>
  <c r="N13" i="5"/>
  <c r="N15" i="5" l="1"/>
  <c r="O16" i="5"/>
  <c r="M16" i="5" s="1"/>
  <c r="H59" i="5"/>
  <c r="I12" i="5"/>
  <c r="M12" i="5" s="1"/>
  <c r="N16" i="5" l="1"/>
  <c r="O17" i="5"/>
  <c r="M17" i="5" s="1"/>
  <c r="I59" i="5"/>
  <c r="N12" i="5"/>
  <c r="N17" i="5" l="1"/>
  <c r="O18" i="5"/>
  <c r="M18" i="5" s="1"/>
  <c r="N18" i="5" l="1"/>
  <c r="O19" i="5"/>
  <c r="M19" i="5" s="1"/>
  <c r="N19" i="5" l="1"/>
  <c r="O20" i="5"/>
  <c r="M20" i="5" s="1"/>
  <c r="N20" i="5" l="1"/>
  <c r="O21" i="5"/>
  <c r="M21" i="5" s="1"/>
  <c r="N21" i="5" l="1"/>
  <c r="O22" i="5"/>
  <c r="M22" i="5" s="1"/>
  <c r="N22" i="5" l="1"/>
  <c r="O23" i="5"/>
  <c r="M23" i="5" s="1"/>
  <c r="N23" i="5" l="1"/>
  <c r="O24" i="5"/>
  <c r="M24" i="5" s="1"/>
  <c r="N24" i="5" l="1"/>
  <c r="O25" i="5"/>
  <c r="M25" i="5" s="1"/>
  <c r="N25" i="5" l="1"/>
  <c r="O26" i="5"/>
  <c r="M26" i="5" s="1"/>
  <c r="N26" i="5" l="1"/>
  <c r="O27" i="5"/>
  <c r="M27" i="5" s="1"/>
  <c r="N27" i="5" l="1"/>
  <c r="O28" i="5"/>
  <c r="M28" i="5" s="1"/>
  <c r="N28" i="5" l="1"/>
  <c r="O29" i="5"/>
  <c r="M29" i="5" s="1"/>
  <c r="N29" i="5" l="1"/>
  <c r="O30" i="5"/>
  <c r="M30" i="5" s="1"/>
  <c r="N30" i="5" l="1"/>
  <c r="O31" i="5"/>
  <c r="M31" i="5" s="1"/>
  <c r="N31" i="5" l="1"/>
  <c r="O32" i="5"/>
  <c r="M32" i="5" s="1"/>
  <c r="N32" i="5" l="1"/>
  <c r="O33" i="5"/>
  <c r="M33" i="5" s="1"/>
  <c r="N33" i="5" l="1"/>
  <c r="O34" i="5"/>
  <c r="M34" i="5" s="1"/>
  <c r="N34" i="5" l="1"/>
  <c r="O35" i="5"/>
  <c r="M35" i="5" s="1"/>
  <c r="N35" i="5" l="1"/>
  <c r="O36" i="5"/>
  <c r="M36" i="5" s="1"/>
  <c r="N36" i="5" l="1"/>
  <c r="O37" i="5"/>
  <c r="M37" i="5" s="1"/>
  <c r="N37" i="5" l="1"/>
  <c r="O38" i="5"/>
  <c r="M38" i="5" s="1"/>
  <c r="N38" i="5" l="1"/>
  <c r="O39" i="5"/>
  <c r="M39" i="5" s="1"/>
  <c r="N39" i="5" l="1"/>
  <c r="O40" i="5"/>
  <c r="M40" i="5" s="1"/>
  <c r="N40" i="5" l="1"/>
  <c r="O41" i="5"/>
  <c r="M41" i="5" s="1"/>
  <c r="N41" i="5" l="1"/>
  <c r="O42" i="5"/>
  <c r="M42" i="5" s="1"/>
  <c r="N42" i="5" l="1"/>
  <c r="O43" i="5"/>
  <c r="M43" i="5" s="1"/>
  <c r="N43" i="5" l="1"/>
  <c r="O44" i="5"/>
  <c r="M44" i="5" s="1"/>
  <c r="N44" i="5" l="1"/>
  <c r="O45" i="5"/>
  <c r="M45" i="5" s="1"/>
  <c r="N45" i="5" l="1"/>
  <c r="O46" i="5"/>
  <c r="M46" i="5" s="1"/>
  <c r="N46" i="5" l="1"/>
  <c r="O47" i="5"/>
  <c r="M47" i="5" s="1"/>
  <c r="N47" i="5" l="1"/>
  <c r="O48" i="5"/>
  <c r="M48" i="5" s="1"/>
  <c r="N48" i="5" l="1"/>
  <c r="O49" i="5"/>
  <c r="M49" i="5" s="1"/>
  <c r="N49" i="5" l="1"/>
  <c r="O50" i="5"/>
  <c r="M50" i="5" s="1"/>
  <c r="N50" i="5" l="1"/>
  <c r="O51" i="5"/>
  <c r="M51" i="5" s="1"/>
  <c r="N51" i="5" l="1"/>
  <c r="O52" i="5"/>
  <c r="M52" i="5" s="1"/>
  <c r="N52" i="5" l="1"/>
  <c r="O53" i="5"/>
  <c r="M53" i="5" s="1"/>
  <c r="N53" i="5" l="1"/>
  <c r="O54" i="5"/>
  <c r="M54" i="5" s="1"/>
  <c r="N54" i="5" l="1"/>
  <c r="O55" i="5"/>
  <c r="M55" i="5" s="1"/>
  <c r="N55" i="5" l="1"/>
  <c r="O56" i="5"/>
  <c r="M56" i="5" s="1"/>
  <c r="N56" i="5" l="1"/>
  <c r="O57" i="5"/>
  <c r="M57" i="5" s="1"/>
  <c r="N57" i="5" l="1"/>
  <c r="N59" i="5" l="1"/>
  <c r="M59" i="5"/>
</calcChain>
</file>

<file path=xl/sharedStrings.xml><?xml version="1.0" encoding="utf-8"?>
<sst xmlns="http://schemas.openxmlformats.org/spreadsheetml/2006/main" count="318" uniqueCount="227">
  <si>
    <t>TOTAL</t>
  </si>
  <si>
    <t>Redondeo</t>
  </si>
  <si>
    <t>Ingresos</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</si>
  <si>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</si>
  <si>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</si>
  <si>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</si>
  <si>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</si>
  <si>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</si>
  <si>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</si>
  <si>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</si>
  <si>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</si>
  <si>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</si>
  <si>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</si>
  <si>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</si>
  <si>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</si>
  <si>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</si>
  <si>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</si>
  <si>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</si>
  <si>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</si>
  <si>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</si>
  <si>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</si>
  <si>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</si>
  <si>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</si>
  <si>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</si>
  <si>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</si>
  <si>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</si>
  <si>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</si>
  <si>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</si>
  <si>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</si>
  <si>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</si>
  <si>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</si>
  <si>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</si>
  <si>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</si>
  <si>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</si>
  <si>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</si>
  <si>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</si>
  <si>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</si>
  <si>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</si>
  <si>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</si>
  <si>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IMPUESTOS</t>
  </si>
  <si>
    <t>TOTAL IMPUESTOS</t>
  </si>
  <si>
    <t>Sindicato - Suther</t>
  </si>
  <si>
    <t>Sindicato - Fathery</t>
  </si>
  <si>
    <t>Sindicato - Seracarh</t>
  </si>
  <si>
    <t xml:space="preserve">Egresos del mes </t>
  </si>
  <si>
    <t>TOTAL GASTOS B</t>
  </si>
  <si>
    <t>CUIT ADMINISTRACION:  27-23125687-9</t>
  </si>
  <si>
    <t>QUIENES ESTAN COLOREADOS DE COLOR VIOLETA NO ESTAN RESPETANDO LOS CENTAVOS AL ABONAR</t>
  </si>
  <si>
    <t xml:space="preserve">CAJA DE BANCOS </t>
  </si>
  <si>
    <t>Haberes</t>
  </si>
  <si>
    <t>Descuentos</t>
  </si>
  <si>
    <t>10 A 15HS - EMERGENCIAS 24HS</t>
  </si>
  <si>
    <t>Gasto particular</t>
  </si>
  <si>
    <t>REEMPLAZOS</t>
  </si>
  <si>
    <t xml:space="preserve">ANOTACION </t>
  </si>
  <si>
    <t>FECHA DE LA ANOTACION:</t>
  </si>
  <si>
    <t>0-ene</t>
  </si>
  <si>
    <t>NOMBRE:</t>
  </si>
  <si>
    <t>Ferraro jose</t>
  </si>
  <si>
    <t>QUEJA VIA:</t>
  </si>
  <si>
    <t>WHATSAPP</t>
  </si>
  <si>
    <t>MAIL</t>
  </si>
  <si>
    <t>MOTIVO DE LA QUEJA:</t>
  </si>
  <si>
    <t>El 10 C habia abonado en el mes 4 $132.420,71 , le quedaban $3677 pesos a favor y la pusimos impaga - Debe abonar $130.084,71</t>
  </si>
  <si>
    <t>El 10A deposito $220.300 el 08/05</t>
  </si>
  <si>
    <t>10A</t>
  </si>
  <si>
    <t>Cristina_Kruk@hotmail.com</t>
  </si>
  <si>
    <t>Cristina</t>
  </si>
  <si>
    <t>Deposito 15/05 $147.000</t>
  </si>
  <si>
    <t>8C creo</t>
  </si>
  <si>
    <t>Angelica</t>
  </si>
  <si>
    <t>Deposito $160.000 el 19/05 (creo)</t>
  </si>
  <si>
    <t>6F</t>
  </si>
  <si>
    <t>Gustavo Peker</t>
  </si>
  <si>
    <t>9B</t>
  </si>
  <si>
    <t>VTO 18/06</t>
  </si>
  <si>
    <t>PERÍODO: MAYO</t>
  </si>
  <si>
    <t>11C</t>
  </si>
  <si>
    <t xml:space="preserve">Jeremy </t>
  </si>
  <si>
    <t>El 11C mando un mail explicando su situacion y sus pagos - desde jeremynaguel@gmail.com - Revisar</t>
  </si>
  <si>
    <t>Abono $180.866,63 el 27/04 y no lo pusimos pago. CHEQUEAR - Tranfririo el 28/05 $182.697,63</t>
  </si>
  <si>
    <t>CUIT DEL EDIFICIO: 33-71743270-9</t>
  </si>
  <si>
    <t>MAIL: consorcioohiggins1557@gmail.com</t>
  </si>
  <si>
    <t>Sr. Fernandez Fabio - Sueldo encargado</t>
  </si>
  <si>
    <t>Arca</t>
  </si>
  <si>
    <t>MANTENIMIENTO MENSUAL</t>
  </si>
  <si>
    <t>Servicio de interet Claro (Camaras)</t>
  </si>
  <si>
    <t>Metrogas - Nro. 40000605226</t>
  </si>
  <si>
    <t>AySa - Cuenta de servicios 320415</t>
  </si>
  <si>
    <t>Allianz - Seguro integral de consorcio - Poliza Nro. 260230779515</t>
  </si>
  <si>
    <t>Allianz - Seguro accidentes personales encargado</t>
  </si>
  <si>
    <t>Allianz - Seguro accidentes RCP encargado</t>
  </si>
  <si>
    <t xml:space="preserve">Mantenimiento de cuenta - Banco </t>
  </si>
  <si>
    <t>Dpto</t>
  </si>
  <si>
    <t>1A</t>
  </si>
  <si>
    <t>2B</t>
  </si>
  <si>
    <t>3C</t>
  </si>
  <si>
    <t>1B</t>
  </si>
  <si>
    <t>1C</t>
  </si>
  <si>
    <t>2A</t>
  </si>
  <si>
    <t>2C</t>
  </si>
  <si>
    <t>3A</t>
  </si>
  <si>
    <t>3B</t>
  </si>
  <si>
    <t>4A</t>
  </si>
  <si>
    <t>4B</t>
  </si>
  <si>
    <t>4C</t>
  </si>
  <si>
    <t>5A</t>
  </si>
  <si>
    <t>5B</t>
  </si>
  <si>
    <t>5C</t>
  </si>
  <si>
    <t>6A</t>
  </si>
  <si>
    <t>6B</t>
  </si>
  <si>
    <t>6C</t>
  </si>
  <si>
    <t>7A</t>
  </si>
  <si>
    <t>7B</t>
  </si>
  <si>
    <t>7C</t>
  </si>
  <si>
    <t>8A</t>
  </si>
  <si>
    <t>8B</t>
  </si>
  <si>
    <t>8C</t>
  </si>
  <si>
    <t>COC 1</t>
  </si>
  <si>
    <t>COC 3</t>
  </si>
  <si>
    <t>COC 2</t>
  </si>
  <si>
    <t>COC 4</t>
  </si>
  <si>
    <t>COC 5</t>
  </si>
  <si>
    <t>COC 6</t>
  </si>
  <si>
    <t>COC 7</t>
  </si>
  <si>
    <t>COC 8</t>
  </si>
  <si>
    <t>COC 9</t>
  </si>
  <si>
    <t>COC 10</t>
  </si>
  <si>
    <t>COC 11</t>
  </si>
  <si>
    <t>COC 12</t>
  </si>
  <si>
    <t>COC 13</t>
  </si>
  <si>
    <t>COC 14</t>
  </si>
  <si>
    <t>COC 15</t>
  </si>
  <si>
    <t>COC 16</t>
  </si>
  <si>
    <t>COC 17</t>
  </si>
  <si>
    <t>COC 18</t>
  </si>
  <si>
    <t>COC 19</t>
  </si>
  <si>
    <t>COC 20</t>
  </si>
  <si>
    <t>COC 21</t>
  </si>
  <si>
    <t>COC 22</t>
  </si>
  <si>
    <t>Hovsepian/Mannarino</t>
  </si>
  <si>
    <t>Cano German</t>
  </si>
  <si>
    <t>Catena Lomonaco</t>
  </si>
  <si>
    <t>Cycla (Norma Lachman)</t>
  </si>
  <si>
    <t>Infanti Sergio</t>
  </si>
  <si>
    <t>Coutone Juan Carlos</t>
  </si>
  <si>
    <t>Cesarini Ricardo</t>
  </si>
  <si>
    <t>Luis Mannarino</t>
  </si>
  <si>
    <t>Pablo Blanco</t>
  </si>
  <si>
    <t>Cecilia Paula Gomez</t>
  </si>
  <si>
    <t>Gombach Paula / Romero Mi</t>
  </si>
  <si>
    <t>Adriana Gutierrez</t>
  </si>
  <si>
    <t>Carnevale</t>
  </si>
  <si>
    <t>Parisi David</t>
  </si>
  <si>
    <t>Gazillon Luis</t>
  </si>
  <si>
    <t>Alsil</t>
  </si>
  <si>
    <t>Lucas Ordoñez</t>
  </si>
  <si>
    <t>Silvina Albelda</t>
  </si>
  <si>
    <t>Dario Di Cocco</t>
  </si>
  <si>
    <t>Gnecchi Nicolás</t>
  </si>
  <si>
    <t>Gustavo Gomez</t>
  </si>
  <si>
    <t>Cano</t>
  </si>
  <si>
    <t>Ordoñez Luis</t>
  </si>
  <si>
    <t>Ordoñez, Luis</t>
  </si>
  <si>
    <t>Sr propietario</t>
  </si>
  <si>
    <t>Sr. Propietario</t>
  </si>
  <si>
    <t xml:space="preserve">Banco: Santander N.º de cuenta: 039-021152/7
CBU: 0720039720000002115272
Alias: EDIFICIO.AIRE.FRESCO
</t>
  </si>
  <si>
    <t xml:space="preserve">ESTIMADOS PROPIETARIOS E INQUILINOS: POR FAVOR LOS QUE ABONAN EN PRIMER VENCIMIENTO ABONEN EL MONTO DE PRIMER VENCIMIENTO, ASI AGILIZAN LA LIQUIDACION, RESPETEN LOS CENTAVOS CORRESPONDIENTES A LA UNIDAD FUNCIONAL. </t>
  </si>
  <si>
    <t>Edesur - Cliente Nro. 04742252</t>
  </si>
  <si>
    <t>Transf 04/05</t>
  </si>
  <si>
    <t>Transf 05/05</t>
  </si>
  <si>
    <t>Transf 06/05</t>
  </si>
  <si>
    <t>Debito Autom.</t>
  </si>
  <si>
    <t>Debito 12/05</t>
  </si>
  <si>
    <t>Debito 06/05</t>
  </si>
  <si>
    <t>ADS - Suministro y colocacion de dos nuevas baterias para alambas autonomas de cabina - 2 luces de emergencia</t>
  </si>
  <si>
    <t>Transf 12/05</t>
  </si>
  <si>
    <t>Transf 13/05</t>
  </si>
  <si>
    <t>Papeleria Corpa - Compra de caja</t>
  </si>
  <si>
    <t xml:space="preserve">Compra de bolsas </t>
  </si>
  <si>
    <t>Flores Lisandro - Revoque Gazeta de gas</t>
  </si>
  <si>
    <t>Abono ascensor - ADS - Mantenimiento mes de abril</t>
  </si>
  <si>
    <t>Ferrateria La plaza - 6 dicroicas</t>
  </si>
  <si>
    <t>Transf 14/05</t>
  </si>
  <si>
    <t>Honorarios administracion saliente - Del 01 al 15 de Mayo - Fc. 00585</t>
  </si>
  <si>
    <t>Traspaso administracion antigua - Honorarios cobrados por administracion saliente Fc- 000586</t>
  </si>
  <si>
    <t>Transf 15/05</t>
  </si>
  <si>
    <t>Plan de Pago ARCA</t>
  </si>
  <si>
    <t>Cuota 14/24</t>
  </si>
  <si>
    <t>Debito 18/05</t>
  </si>
  <si>
    <t>Arguello Alejandro - Estado de situaicon diagnositico en sala de medidores, reparacion de perdidas y cambio de llave de paso - Reparacion de brida de regulador principal, corte de servicios y habilitacion de unidades. Encendido de artefactos - Fc. 0000384</t>
  </si>
  <si>
    <t>Transf 29/04</t>
  </si>
  <si>
    <t>Fernandez Carlos - Reparacion de postigones - Fc.  0009</t>
  </si>
  <si>
    <t>Buenas Ondas - Articulos de limpieza - Fc 0002921</t>
  </si>
  <si>
    <t>Matafuegos Protect Sur - Recarga de matafuegos - Fc. 0000195</t>
  </si>
  <si>
    <t>Transf 08/05</t>
  </si>
  <si>
    <t>Casa Ruan - Compra de lamparas</t>
  </si>
  <si>
    <t>Transf 30/04</t>
  </si>
  <si>
    <t>Orse Joathan Gabriel - Cambio de lampras en altura y medidores de gas</t>
  </si>
  <si>
    <t>Honorarios administracion - Se adeuda Mitad de Mayo</t>
  </si>
  <si>
    <t xml:space="preserve">Gustavo Padron -  Sr. Contador </t>
  </si>
  <si>
    <t>Nancy Llano</t>
  </si>
  <si>
    <t>Gonzalo Llofriu</t>
  </si>
  <si>
    <t xml:space="preserve">Mauro De Luca </t>
  </si>
  <si>
    <t>Tania Sarai Talavera Salcedo</t>
  </si>
  <si>
    <t>Ivan Campos</t>
  </si>
  <si>
    <t>Roque Mona</t>
  </si>
  <si>
    <t>Victoria Blas</t>
  </si>
  <si>
    <t>Marcelo Federico Segura</t>
  </si>
  <si>
    <t>Gimenez Gisele</t>
  </si>
  <si>
    <t>Inicio 06/05/2026</t>
  </si>
  <si>
    <t>Dinero al 29/05</t>
  </si>
  <si>
    <t>Plazo Fijo (Vto. 05/06)</t>
  </si>
  <si>
    <t>Transferencia Iraola Federico - 05/05</t>
  </si>
  <si>
    <t>Martinez Blanca Myriam</t>
  </si>
  <si>
    <t>Transferencia Agüero Villanueva Brisa - 08/05</t>
  </si>
  <si>
    <t>Monica Bratuz y Federico Paez</t>
  </si>
  <si>
    <t>Deposita - Paga Cocheras 1, 15 y 22 - Lanzilotto</t>
  </si>
  <si>
    <t>Saldo inicial - Al 30/04</t>
  </si>
  <si>
    <t xml:space="preserve">Caja SUM </t>
  </si>
  <si>
    <t>Ingreso</t>
  </si>
  <si>
    <t>Egreso</t>
  </si>
  <si>
    <t xml:space="preserve">Caja Efectivo </t>
  </si>
  <si>
    <t>Liquidacion Plazo Fijo colocado por administracion anterior (06/05)</t>
  </si>
  <si>
    <t>Caja Real en banco (Caja Bancaria + SUM)</t>
  </si>
  <si>
    <t>Gastos bancarios - Desde el 25 del mes 4</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</si>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</sst>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2"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u/>
      <sz val="11"/>
      <color theme="10"/>
      <name val="Calibri"/>
      <family val="2"/>
      <scheme val="minor"/>
    </font>
  </fonts>
  <fills count="1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6"/>
        <bgColor indexed="64"/>
      </patternFill>
    </fill>
    <fill>
      <patternFill patternType="solid">
        <fgColor theme="5"/>
        <bgColor indexed="64"/>
      </patternFill>
    </fill>
    <fill>
      <patternFill patternType="solid">
        <fgColor theme="4"/>
        <bgColor indexed="64"/>
      </patternFill>
    </fill>
    <fill>
      <patternFill patternType="solid">
        <fgColor theme="2"/>
        <bgColor indexed="64"/>
      </patternFill>
    </fill>
    <fill>
      <patternFill patternType="solid">
        <fgColor rgb="FF74FA84"/>
        <bgColor indexed="64"/>
      </patternFill>
    </fill>
    <fill>
      <patternFill patternType="solid">
        <fgColor theme="6" tint="0.59999389629810485"/>
        <bgColor indexed="64"/>
      </patternFill>
    </fill>
  </fills>
  <borders count="4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s>
  <cellStyleXfs count="3">
    <xf numFmtId="0" fontId="0" fillId="0" borderId="0"/>
    <xf numFmtId="44" fontId="5" fillId="0" borderId="0" applyFont="0" applyFill="0" applyBorder="0" applyAlignment="0" applyProtection="0"/>
    <xf numFmtId="0" fontId="21" fillId="0" borderId="0" applyNumberFormat="0" applyFill="0" applyBorder="0" applyAlignment="0" applyProtection="0"/>
  </cellStyleXfs>
  <cellXfs count="258">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9" fillId="7" borderId="9" xfId="0" applyFont="1" applyFill="1" applyBorder="1"/>
    <xf numFmtId="8" fontId="10" fillId="7" borderId="9" xfId="0" applyNumberFormat="1" applyFont="1" applyFill="1" applyBorder="1"/>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2" fillId="2" borderId="9" xfId="0" applyFont="1" applyFill="1" applyBorder="1"/>
    <xf numFmtId="0" fontId="1" fillId="7" borderId="9" xfId="0" applyFont="1" applyFill="1" applyBorder="1"/>
    <xf numFmtId="44" fontId="13" fillId="7" borderId="20" xfId="1" applyFont="1" applyFill="1" applyBorder="1"/>
    <xf numFmtId="44" fontId="13"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1" fillId="7" borderId="9" xfId="1" applyFont="1" applyFill="1" applyBorder="1"/>
    <xf numFmtId="0" fontId="0" fillId="0" borderId="9" xfId="0" applyBorder="1"/>
    <xf numFmtId="0" fontId="0" fillId="0" borderId="21" xfId="0" applyBorder="1"/>
    <xf numFmtId="0" fontId="0" fillId="0" borderId="20" xfId="0" applyBorder="1" applyAlignment="1">
      <alignment horizontal="left" vertical="center"/>
    </xf>
    <xf numFmtId="44" fontId="13" fillId="7" borderId="20" xfId="1" applyFont="1" applyFill="1" applyBorder="1" applyAlignment="1">
      <alignment horizontal="center"/>
    </xf>
    <xf numFmtId="0" fontId="14" fillId="0" borderId="9" xfId="1" applyNumberFormat="1" applyFont="1" applyBorder="1"/>
    <xf numFmtId="44" fontId="11" fillId="2" borderId="20" xfId="1" applyFont="1" applyFill="1" applyBorder="1"/>
    <xf numFmtId="0" fontId="10" fillId="7" borderId="9" xfId="0" applyFont="1" applyFill="1" applyBorder="1"/>
    <xf numFmtId="0" fontId="1" fillId="7" borderId="9" xfId="0" applyFont="1" applyFill="1" applyBorder="1" applyAlignment="1">
      <alignment wrapText="1"/>
    </xf>
    <xf numFmtId="8" fontId="13" fillId="7" borderId="20" xfId="0" applyNumberFormat="1" applyFont="1" applyFill="1" applyBorder="1"/>
    <xf numFmtId="0" fontId="1" fillId="7" borderId="19" xfId="0" applyFont="1" applyFill="1" applyBorder="1"/>
    <xf numFmtId="8" fontId="13" fillId="7" borderId="22" xfId="0" applyNumberFormat="1" applyFont="1" applyFill="1" applyBorder="1"/>
    <xf numFmtId="44" fontId="15" fillId="7" borderId="9" xfId="1" applyFont="1" applyFill="1" applyBorder="1"/>
    <xf numFmtId="0" fontId="11" fillId="0" borderId="9" xfId="0" applyFont="1" applyBorder="1"/>
    <xf numFmtId="0" fontId="12" fillId="0" borderId="15" xfId="0" applyFont="1" applyBorder="1"/>
    <xf numFmtId="0" fontId="1" fillId="8" borderId="9" xfId="0" applyFont="1" applyFill="1" applyBorder="1"/>
    <xf numFmtId="0" fontId="13" fillId="8" borderId="20" xfId="0" applyFont="1" applyFill="1" applyBorder="1"/>
    <xf numFmtId="44" fontId="15" fillId="8" borderId="9" xfId="1" applyFont="1" applyFill="1" applyBorder="1"/>
    <xf numFmtId="0" fontId="0" fillId="0" borderId="3" xfId="0" applyBorder="1"/>
    <xf numFmtId="0" fontId="11" fillId="0" borderId="0" xfId="0" applyFont="1"/>
    <xf numFmtId="0" fontId="12"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3" fillId="6" borderId="8" xfId="0" applyFont="1" applyFill="1" applyBorder="1"/>
    <xf numFmtId="44" fontId="15" fillId="6" borderId="6" xfId="0" applyNumberFormat="1" applyFont="1" applyFill="1" applyBorder="1"/>
    <xf numFmtId="43" fontId="0" fillId="0" borderId="0" xfId="0" applyNumberFormat="1"/>
    <xf numFmtId="164" fontId="0" fillId="2" borderId="0" xfId="1" applyNumberFormat="1" applyFont="1" applyFill="1" applyAlignment="1"/>
    <xf numFmtId="0" fontId="11" fillId="6" borderId="2" xfId="0" applyFont="1" applyFill="1" applyBorder="1"/>
    <xf numFmtId="0" fontId="11" fillId="6" borderId="11" xfId="0" applyFont="1" applyFill="1" applyBorder="1"/>
    <xf numFmtId="0" fontId="12"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44" fontId="18" fillId="2" borderId="9" xfId="1" applyFont="1" applyFill="1" applyBorder="1"/>
    <xf numFmtId="0" fontId="16" fillId="0" borderId="0" xfId="0" applyFont="1"/>
    <xf numFmtId="0" fontId="1" fillId="3" borderId="7" xfId="0" applyFont="1" applyFill="1" applyBorder="1" applyAlignment="1">
      <alignment horizontal="left" vertical="top" wrapText="1"/>
    </xf>
    <xf numFmtId="0" fontId="1" fillId="2" borderId="9" xfId="0" applyFont="1" applyFill="1" applyBorder="1"/>
    <xf numFmtId="0" fontId="0" fillId="0" borderId="19" xfId="0" applyBorder="1"/>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1" fillId="7" borderId="20" xfId="1" applyFont="1" applyFill="1" applyBorder="1"/>
    <xf numFmtId="0" fontId="17" fillId="2" borderId="9" xfId="0" applyFont="1" applyFill="1" applyBorder="1"/>
    <xf numFmtId="0" fontId="19" fillId="2" borderId="9" xfId="0" applyFont="1" applyFill="1" applyBorder="1"/>
    <xf numFmtId="0" fontId="17" fillId="2" borderId="9" xfId="0" applyFont="1" applyFill="1" applyBorder="1" applyAlignment="1">
      <alignment horizontal="center"/>
    </xf>
    <xf numFmtId="167" fontId="17" fillId="2" borderId="9" xfId="0" applyNumberFormat="1" applyFont="1" applyFill="1" applyBorder="1"/>
    <xf numFmtId="44" fontId="18" fillId="2" borderId="24" xfId="1" applyFont="1" applyFill="1" applyBorder="1"/>
    <xf numFmtId="0" fontId="17" fillId="2" borderId="9" xfId="0" applyFont="1" applyFill="1" applyBorder="1" applyAlignment="1">
      <alignment wrapText="1"/>
    </xf>
    <xf numFmtId="0" fontId="17" fillId="2" borderId="9" xfId="0" applyFont="1" applyFill="1" applyBorder="1" applyAlignment="1">
      <alignment vertical="center" wrapText="1"/>
    </xf>
    <xf numFmtId="44" fontId="12" fillId="0" borderId="9" xfId="1" applyFont="1" applyBorder="1" applyAlignment="1">
      <alignment vertical="center" wrapText="1"/>
    </xf>
    <xf numFmtId="44" fontId="11" fillId="7" borderId="0" xfId="1" applyFont="1" applyFill="1"/>
    <xf numFmtId="8" fontId="20" fillId="7" borderId="9" xfId="0" applyNumberFormat="1" applyFont="1" applyFill="1" applyBorder="1"/>
    <xf numFmtId="0" fontId="12" fillId="2" borderId="19" xfId="0" applyFont="1" applyFill="1" applyBorder="1"/>
    <xf numFmtId="44" fontId="11" fillId="2" borderId="22" xfId="1" applyFont="1" applyFill="1" applyBorder="1"/>
    <xf numFmtId="167" fontId="17" fillId="2" borderId="9" xfId="1" applyNumberFormat="1" applyFont="1" applyFill="1" applyBorder="1"/>
    <xf numFmtId="0" fontId="17" fillId="2" borderId="10" xfId="0" applyFont="1" applyFill="1" applyBorder="1"/>
    <xf numFmtId="0" fontId="17" fillId="7" borderId="27" xfId="0" applyFont="1" applyFill="1" applyBorder="1"/>
    <xf numFmtId="0" fontId="17" fillId="7" borderId="28" xfId="0" applyFont="1" applyFill="1" applyBorder="1"/>
    <xf numFmtId="168" fontId="17" fillId="7" borderId="28" xfId="0" applyNumberFormat="1" applyFont="1" applyFill="1" applyBorder="1" applyAlignment="1">
      <alignment horizontal="center"/>
    </xf>
    <xf numFmtId="44" fontId="17" fillId="7" borderId="28" xfId="0" applyNumberFormat="1" applyFont="1" applyFill="1" applyBorder="1"/>
    <xf numFmtId="167" fontId="17" fillId="7" borderId="28" xfId="0" applyNumberFormat="1" applyFont="1" applyFill="1" applyBorder="1"/>
    <xf numFmtId="164" fontId="17" fillId="7" borderId="28" xfId="0" applyNumberFormat="1" applyFont="1" applyFill="1" applyBorder="1"/>
    <xf numFmtId="167" fontId="17" fillId="7" borderId="29" xfId="0" applyNumberFormat="1" applyFont="1" applyFill="1" applyBorder="1"/>
    <xf numFmtId="44" fontId="18" fillId="2" borderId="31" xfId="1" applyFont="1" applyFill="1" applyBorder="1"/>
    <xf numFmtId="44" fontId="17" fillId="7" borderId="32" xfId="0" applyNumberFormat="1" applyFont="1" applyFill="1" applyBorder="1"/>
    <xf numFmtId="0" fontId="14" fillId="3" borderId="33" xfId="0" applyFont="1" applyFill="1" applyBorder="1" applyAlignment="1">
      <alignment horizontal="center" vertical="center" wrapText="1"/>
    </xf>
    <xf numFmtId="0" fontId="14" fillId="3" borderId="24" xfId="0" applyFont="1" applyFill="1" applyBorder="1" applyAlignment="1">
      <alignment horizontal="center" vertical="center" wrapText="1"/>
    </xf>
    <xf numFmtId="44" fontId="17" fillId="7" borderId="34" xfId="0" applyNumberFormat="1" applyFont="1" applyFill="1" applyBorder="1"/>
    <xf numFmtId="44" fontId="7" fillId="0" borderId="9" xfId="1" applyFont="1" applyBorder="1" applyAlignment="1">
      <alignment vertical="center" wrapText="1"/>
    </xf>
    <xf numFmtId="44" fontId="20" fillId="7" borderId="19" xfId="1" applyFont="1" applyFill="1" applyBorder="1"/>
    <xf numFmtId="44" fontId="12" fillId="0" borderId="9" xfId="1" applyFont="1" applyBorder="1" applyAlignment="1">
      <alignment wrapText="1"/>
    </xf>
    <xf numFmtId="8" fontId="15" fillId="7" borderId="9" xfId="1" applyNumberFormat="1" applyFont="1" applyFill="1" applyBorder="1"/>
    <xf numFmtId="8" fontId="15" fillId="7" borderId="19" xfId="1" applyNumberFormat="1" applyFont="1" applyFill="1" applyBorder="1"/>
    <xf numFmtId="8" fontId="12" fillId="2" borderId="19" xfId="1" applyNumberFormat="1" applyFont="1" applyFill="1" applyBorder="1"/>
    <xf numFmtId="44" fontId="15" fillId="7" borderId="19" xfId="1" applyFont="1" applyFill="1" applyBorder="1"/>
    <xf numFmtId="44" fontId="12" fillId="7" borderId="19" xfId="1" applyFont="1" applyFill="1" applyBorder="1"/>
    <xf numFmtId="44" fontId="15" fillId="7" borderId="5" xfId="1" applyFont="1" applyFill="1" applyBorder="1"/>
    <xf numFmtId="44" fontId="15" fillId="7" borderId="1" xfId="1" applyFont="1" applyFill="1" applyBorder="1"/>
    <xf numFmtId="44" fontId="12" fillId="2" borderId="9" xfId="1" applyFont="1" applyFill="1" applyBorder="1"/>
    <xf numFmtId="44" fontId="13" fillId="7" borderId="0" xfId="1" applyFont="1" applyFill="1"/>
    <xf numFmtId="0" fontId="11" fillId="0" borderId="0" xfId="0" applyFont="1" applyAlignment="1">
      <alignment wrapText="1"/>
    </xf>
    <xf numFmtId="44" fontId="11" fillId="0" borderId="0" xfId="0" applyNumberFormat="1" applyFont="1" applyAlignment="1">
      <alignment wrapText="1"/>
    </xf>
    <xf numFmtId="44" fontId="15" fillId="8" borderId="9" xfId="1" applyFont="1" applyFill="1" applyBorder="1" applyAlignment="1">
      <alignment vertical="center"/>
    </xf>
    <xf numFmtId="44" fontId="14" fillId="0" borderId="9" xfId="1" applyFont="1" applyBorder="1" applyAlignment="1">
      <alignment wrapText="1"/>
    </xf>
    <xf numFmtId="8" fontId="14" fillId="2" borderId="19"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2" borderId="18" xfId="0" applyFill="1" applyBorder="1"/>
    <xf numFmtId="0" fontId="0" fillId="12" borderId="2" xfId="0" applyFill="1" applyBorder="1"/>
    <xf numFmtId="0" fontId="0" fillId="12" borderId="3" xfId="0" applyFill="1" applyBorder="1"/>
    <xf numFmtId="0" fontId="0" fillId="12" borderId="0" xfId="0" applyFill="1"/>
    <xf numFmtId="3" fontId="0" fillId="0" borderId="0" xfId="0" applyNumberFormat="1"/>
    <xf numFmtId="0" fontId="0" fillId="13" borderId="18" xfId="0" applyFill="1" applyBorder="1"/>
    <xf numFmtId="0" fontId="0" fillId="13" borderId="2" xfId="0" applyFill="1" applyBorder="1"/>
    <xf numFmtId="0" fontId="0" fillId="13" borderId="3" xfId="0" applyFill="1" applyBorder="1"/>
    <xf numFmtId="0" fontId="0" fillId="13" borderId="0" xfId="0" applyFill="1"/>
    <xf numFmtId="0" fontId="21" fillId="0" borderId="0" xfId="2"/>
    <xf numFmtId="0" fontId="0" fillId="14" borderId="18" xfId="0" applyFill="1" applyBorder="1"/>
    <xf numFmtId="0" fontId="0" fillId="14" borderId="2" xfId="0" applyFill="1" applyBorder="1"/>
    <xf numFmtId="0" fontId="0" fillId="14" borderId="3" xfId="0" applyFill="1" applyBorder="1"/>
    <xf numFmtId="0" fontId="0" fillId="14" borderId="0" xfId="0" applyFill="1"/>
    <xf numFmtId="0" fontId="0" fillId="6" borderId="18" xfId="0" applyFill="1" applyBorder="1"/>
    <xf numFmtId="0" fontId="0" fillId="6" borderId="3" xfId="0" applyFill="1" applyBorder="1"/>
    <xf numFmtId="0" fontId="0" fillId="6" borderId="0" xfId="0" applyFill="1"/>
    <xf numFmtId="0" fontId="0" fillId="15" borderId="18" xfId="0" applyFill="1" applyBorder="1"/>
    <xf numFmtId="0" fontId="0" fillId="15" borderId="2" xfId="0" applyFill="1" applyBorder="1"/>
    <xf numFmtId="0" fontId="0" fillId="15" borderId="3" xfId="0" applyFill="1" applyBorder="1"/>
    <xf numFmtId="0" fontId="0" fillId="15" borderId="0" xfId="0" applyFill="1"/>
    <xf numFmtId="0" fontId="0" fillId="16" borderId="18" xfId="0" applyFill="1" applyBorder="1"/>
    <xf numFmtId="0" fontId="0" fillId="16" borderId="2" xfId="0" applyFill="1" applyBorder="1"/>
    <xf numFmtId="0" fontId="0" fillId="16" borderId="3" xfId="0" applyFill="1" applyBorder="1"/>
    <xf numFmtId="0" fontId="0" fillId="16" borderId="0" xfId="0" applyFill="1"/>
    <xf numFmtId="0" fontId="0" fillId="4" borderId="0" xfId="0" applyFill="1"/>
    <xf numFmtId="44" fontId="7" fillId="2" borderId="19" xfId="1" applyFont="1" applyFill="1" applyBorder="1" applyAlignment="1">
      <alignment horizontal="center" vertical="center"/>
    </xf>
    <xf numFmtId="0" fontId="12" fillId="0" borderId="19" xfId="1" applyNumberFormat="1" applyFont="1" applyBorder="1" applyAlignment="1">
      <alignment horizontal="left" vertical="center"/>
    </xf>
    <xf numFmtId="0" fontId="0" fillId="2" borderId="21" xfId="0" applyFill="1" applyBorder="1" applyAlignment="1">
      <alignment horizontal="left" vertical="center" wrapText="1"/>
    </xf>
    <xf numFmtId="0" fontId="18" fillId="2" borderId="10" xfId="0" applyFont="1" applyFill="1" applyBorder="1"/>
    <xf numFmtId="0" fontId="18" fillId="2" borderId="9" xfId="0" applyFont="1" applyFill="1" applyBorder="1" applyAlignment="1">
      <alignment vertical="center" wrapText="1"/>
    </xf>
    <xf numFmtId="0" fontId="18" fillId="2" borderId="9" xfId="0" applyFont="1" applyFill="1" applyBorder="1" applyAlignment="1">
      <alignment wrapText="1"/>
    </xf>
    <xf numFmtId="0" fontId="18" fillId="2" borderId="9" xfId="0" applyFont="1" applyFill="1" applyBorder="1" applyAlignment="1">
      <alignment horizontal="center"/>
    </xf>
    <xf numFmtId="167" fontId="18" fillId="2" borderId="9" xfId="0" applyNumberFormat="1" applyFont="1" applyFill="1" applyBorder="1"/>
    <xf numFmtId="167" fontId="18" fillId="2" borderId="9" xfId="1" applyNumberFormat="1" applyFont="1" applyFill="1" applyBorder="1"/>
    <xf numFmtId="0" fontId="0" fillId="3" borderId="2" xfId="0" applyFill="1" applyBorder="1"/>
    <xf numFmtId="0" fontId="0" fillId="3" borderId="0" xfId="0" applyFill="1" applyBorder="1"/>
    <xf numFmtId="0" fontId="0" fillId="3" borderId="16" xfId="0" applyFill="1" applyBorder="1"/>
    <xf numFmtId="0" fontId="17" fillId="2" borderId="21" xfId="0" applyFont="1" applyFill="1" applyBorder="1"/>
    <xf numFmtId="0" fontId="17" fillId="7" borderId="38" xfId="0" applyFont="1" applyFill="1" applyBorder="1"/>
    <xf numFmtId="0" fontId="0" fillId="0" borderId="0" xfId="0" applyAlignment="1">
      <alignment vertical="center"/>
    </xf>
    <xf numFmtId="0" fontId="0" fillId="2" borderId="9" xfId="0" applyFont="1" applyFill="1" applyBorder="1"/>
    <xf numFmtId="0" fontId="17" fillId="2" borderId="9" xfId="0" applyFont="1" applyFill="1" applyBorder="1" applyAlignment="1"/>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8" fillId="4" borderId="0" xfId="0" applyFont="1" applyFill="1" applyAlignment="1">
      <alignment horizontal="center" vertical="center"/>
    </xf>
    <xf numFmtId="0" fontId="4" fillId="5" borderId="0" xfId="0" applyFont="1" applyFill="1" applyAlignment="1">
      <alignment horizontal="left" vertical="center" wrapText="1"/>
    </xf>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20" xfId="0" applyBorder="1" applyAlignment="1">
      <alignment horizontal="left" vertical="center"/>
    </xf>
    <xf numFmtId="0" fontId="0" fillId="0" borderId="21" xfId="0" applyBorder="1" applyAlignment="1">
      <alignment horizontal="left" vertical="center"/>
    </xf>
    <xf numFmtId="0" fontId="6" fillId="9" borderId="0" xfId="0" applyFont="1" applyFill="1" applyAlignment="1">
      <alignment horizontal="center" vertical="center"/>
    </xf>
    <xf numFmtId="0" fontId="0" fillId="0" borderId="22" xfId="0" applyBorder="1" applyAlignment="1">
      <alignment horizontal="left" vertical="center" wrapText="1"/>
    </xf>
    <xf numFmtId="0" fontId="0" fillId="0" borderId="37" xfId="0" applyBorder="1" applyAlignment="1">
      <alignment horizontal="left"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6" fillId="3" borderId="25" xfId="0" applyFont="1" applyFill="1" applyBorder="1" applyAlignment="1">
      <alignment horizontal="center" vertical="center"/>
    </xf>
    <xf numFmtId="0" fontId="16" fillId="3" borderId="10" xfId="0" applyFont="1" applyFill="1" applyBorder="1" applyAlignment="1">
      <alignment horizontal="center" vertical="center"/>
    </xf>
    <xf numFmtId="0" fontId="16" fillId="3" borderId="26" xfId="0" applyFont="1" applyFill="1" applyBorder="1" applyAlignment="1">
      <alignment horizontal="center" vertical="center"/>
    </xf>
    <xf numFmtId="0" fontId="16" fillId="3" borderId="9" xfId="0" applyFont="1" applyFill="1" applyBorder="1" applyAlignment="1">
      <alignment horizontal="center" vertical="center"/>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7" fillId="3" borderId="26" xfId="0" applyFont="1" applyFill="1" applyBorder="1" applyAlignment="1">
      <alignment horizontal="center" vertical="center" wrapText="1"/>
    </xf>
    <xf numFmtId="0" fontId="17"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165" fontId="1" fillId="3" borderId="0" xfId="0" applyNumberFormat="1" applyFont="1" applyFill="1" applyAlignment="1">
      <alignment horizontal="center"/>
    </xf>
    <xf numFmtId="0" fontId="16" fillId="3" borderId="35" xfId="0" applyFont="1" applyFill="1" applyBorder="1" applyAlignment="1">
      <alignment horizontal="center" vertical="center" wrapText="1"/>
    </xf>
    <xf numFmtId="0" fontId="16" fillId="3" borderId="36" xfId="0" applyFont="1" applyFill="1" applyBorder="1" applyAlignment="1">
      <alignment horizontal="center" vertical="center" wrapText="1"/>
    </xf>
    <xf numFmtId="0" fontId="16" fillId="3" borderId="39"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14" fillId="3" borderId="30" xfId="0" applyFont="1" applyFill="1" applyBorder="1" applyAlignment="1">
      <alignment horizontal="center" vertical="center" wrapText="1"/>
    </xf>
    <xf numFmtId="0" fontId="14" fillId="3" borderId="31" xfId="0" applyFont="1" applyFill="1" applyBorder="1" applyAlignment="1">
      <alignment horizontal="center" vertical="center" wrapText="1"/>
    </xf>
    <xf numFmtId="0" fontId="1" fillId="4" borderId="0" xfId="0" applyFont="1" applyFill="1" applyAlignment="1">
      <alignment horizontal="center" vertical="center" wrapText="1"/>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8" fontId="11" fillId="2" borderId="20" xfId="0" applyNumberFormat="1" applyFont="1" applyFill="1" applyBorder="1" applyAlignment="1">
      <alignment horizontal="right"/>
    </xf>
    <xf numFmtId="44" fontId="11" fillId="2" borderId="9" xfId="1" applyFont="1" applyFill="1" applyBorder="1"/>
    <xf numFmtId="44" fontId="11" fillId="2" borderId="20" xfId="1" applyFont="1" applyFill="1" applyBorder="1" applyAlignment="1"/>
    <xf numFmtId="8" fontId="12" fillId="2" borderId="9" xfId="0" applyNumberFormat="1" applyFont="1" applyFill="1" applyBorder="1" applyAlignment="1">
      <alignment horizontal="right"/>
    </xf>
    <xf numFmtId="8" fontId="12" fillId="2" borderId="20" xfId="0" applyNumberFormat="1" applyFont="1" applyFill="1" applyBorder="1" applyAlignment="1">
      <alignment horizontal="right"/>
    </xf>
    <xf numFmtId="8" fontId="11" fillId="2" borderId="9" xfId="0" applyNumberFormat="1" applyFont="1" applyFill="1" applyBorder="1" applyAlignment="1">
      <alignment horizontal="right"/>
    </xf>
    <xf numFmtId="0" fontId="1" fillId="2" borderId="0" xfId="0" applyFont="1" applyFill="1" applyBorder="1" applyAlignment="1">
      <alignment horizontal="left" vertical="center" wrapText="1"/>
    </xf>
    <xf numFmtId="44" fontId="1" fillId="2" borderId="0" xfId="1" applyFont="1" applyFill="1" applyBorder="1" applyAlignment="1">
      <alignment horizontal="left" vertical="center" wrapText="1"/>
    </xf>
    <xf numFmtId="44" fontId="11" fillId="0" borderId="0" xfId="0" applyNumberFormat="1" applyFont="1"/>
    <xf numFmtId="44" fontId="11" fillId="0" borderId="9" xfId="1" applyFont="1" applyBorder="1" applyAlignment="1">
      <alignment vertical="center" wrapText="1"/>
    </xf>
    <xf numFmtId="44" fontId="7" fillId="0" borderId="9" xfId="0" applyNumberFormat="1" applyFont="1" applyBorder="1" applyAlignment="1">
      <alignment vertical="center" wrapText="1"/>
    </xf>
    <xf numFmtId="0" fontId="1" fillId="17" borderId="7" xfId="0" applyFont="1" applyFill="1" applyBorder="1" applyAlignment="1">
      <alignment vertical="center" wrapText="1"/>
    </xf>
    <xf numFmtId="44" fontId="1" fillId="17" borderId="1" xfId="0" applyNumberFormat="1" applyFont="1" applyFill="1" applyBorder="1"/>
  </cellXfs>
  <cellStyles count="3">
    <cellStyle name="Hipervínculo" xfId="2" builtinId="8"/>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hyperlink" Target="mailto:Cristina_Kruk@hot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27"/>
  <sheetViews>
    <sheetView topLeftCell="A37" workbookViewId="0">
      <selection activeCell="E87" sqref="E87"/>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6.7109375" customWidth="1"/>
    <col min="6" max="6" width="15.5703125" bestFit="1" customWidth="1"/>
    <col min="7" max="7" width="14.5703125" bestFit="1" customWidth="1"/>
    <col min="8" max="8" width="12" bestFit="1" customWidth="1"/>
    <col min="10" max="10" width="22.7109375" customWidth="1"/>
    <col min="11" max="11" width="18" customWidth="1"/>
    <col min="12" max="12" width="18.28515625" customWidth="1"/>
  </cols>
  <sheetData>
    <row r="1" spans="1:5" ht="18.75" customHeight="1" x14ac:dyDescent="0.25">
      <c r="A1" s="2"/>
      <c r="B1" s="193" t="s">
        <v>82</v>
      </c>
      <c r="C1" s="193"/>
      <c r="D1" s="193"/>
      <c r="E1" s="194"/>
    </row>
    <row r="2" spans="1:5" x14ac:dyDescent="0.25">
      <c r="A2" s="3"/>
      <c r="B2" s="10" t="s">
        <v>46</v>
      </c>
      <c r="C2" s="4"/>
      <c r="D2" s="4"/>
      <c r="E2" s="5"/>
    </row>
    <row r="3" spans="1:5" ht="56.45" customHeight="1" thickBot="1" x14ac:dyDescent="0.3">
      <c r="A3" s="3"/>
      <c r="B3" s="197" t="s">
        <v>166</v>
      </c>
      <c r="C3" s="197"/>
      <c r="D3" s="197"/>
      <c r="E3" s="198"/>
    </row>
    <row r="4" spans="1:5" ht="15.75" thickBot="1" x14ac:dyDescent="0.3">
      <c r="A4" s="6" t="s">
        <v>3</v>
      </c>
      <c r="B4" s="7" t="s">
        <v>4</v>
      </c>
      <c r="C4" s="8"/>
      <c r="D4" s="8"/>
      <c r="E4" s="9"/>
    </row>
    <row r="5" spans="1:5" ht="15.75" thickBot="1" x14ac:dyDescent="0.3">
      <c r="A5" s="3" t="s">
        <v>81</v>
      </c>
      <c r="B5" s="8" t="s">
        <v>76</v>
      </c>
      <c r="C5" s="10"/>
      <c r="D5" s="4" t="s">
        <v>5</v>
      </c>
      <c r="E5" s="11"/>
    </row>
    <row r="6" spans="1:5" ht="16.149999999999999" customHeight="1" thickBot="1" x14ac:dyDescent="0.3">
      <c r="A6" s="84" t="s">
        <v>38</v>
      </c>
      <c r="B6" s="8"/>
      <c r="C6" s="8"/>
      <c r="D6" s="8" t="s">
        <v>51</v>
      </c>
      <c r="E6" s="9"/>
    </row>
    <row r="8" spans="1:5" x14ac:dyDescent="0.25">
      <c r="B8" s="199" t="s">
        <v>75</v>
      </c>
      <c r="C8" s="199"/>
    </row>
    <row r="9" spans="1:5" x14ac:dyDescent="0.25">
      <c r="B9" s="199"/>
      <c r="C9" s="199"/>
    </row>
    <row r="10" spans="1:5" x14ac:dyDescent="0.25">
      <c r="B10" s="199"/>
      <c r="C10" s="199"/>
    </row>
    <row r="12" spans="1:5" hidden="1" x14ac:dyDescent="0.25"/>
    <row r="13" spans="1:5" ht="15" customHeight="1" x14ac:dyDescent="0.25">
      <c r="A13" s="200" t="s">
        <v>167</v>
      </c>
      <c r="B13" s="200"/>
      <c r="C13" s="200"/>
      <c r="D13" s="200"/>
      <c r="E13" s="200"/>
    </row>
    <row r="14" spans="1:5" ht="15" customHeight="1" x14ac:dyDescent="0.25">
      <c r="A14" s="200"/>
      <c r="B14" s="200"/>
      <c r="C14" s="200"/>
      <c r="D14" s="200"/>
      <c r="E14" s="200"/>
    </row>
    <row r="15" spans="1:5" ht="15" customHeight="1" x14ac:dyDescent="0.25">
      <c r="A15" s="200"/>
      <c r="B15" s="200"/>
      <c r="C15" s="200"/>
      <c r="D15" s="200"/>
      <c r="E15" s="200"/>
    </row>
    <row r="16" spans="1:5" ht="53.25" customHeight="1" x14ac:dyDescent="0.25">
      <c r="A16" s="200"/>
      <c r="B16" s="200"/>
      <c r="C16" s="200"/>
      <c r="D16" s="200"/>
      <c r="E16" s="200"/>
    </row>
    <row r="17" spans="1:8" ht="14.25" customHeight="1" thickBot="1" x14ac:dyDescent="0.3"/>
    <row r="18" spans="1:8" ht="15.75" hidden="1" thickBot="1" x14ac:dyDescent="0.3">
      <c r="A18" s="1"/>
    </row>
    <row r="19" spans="1:8" ht="15.75" hidden="1" thickBot="1" x14ac:dyDescent="0.3"/>
    <row r="20" spans="1:8" x14ac:dyDescent="0.25">
      <c r="A20" s="12" t="s">
        <v>7</v>
      </c>
      <c r="B20" s="13"/>
      <c r="C20" s="14"/>
      <c r="D20" s="15"/>
      <c r="E20" s="16"/>
    </row>
    <row r="21" spans="1:8" x14ac:dyDescent="0.25">
      <c r="A21" s="17" t="s">
        <v>83</v>
      </c>
      <c r="B21" s="17"/>
      <c r="C21" s="17"/>
      <c r="D21" s="112"/>
      <c r="E21" s="130"/>
    </row>
    <row r="22" spans="1:8" ht="15" customHeight="1" x14ac:dyDescent="0.25">
      <c r="A22" s="195" t="s">
        <v>49</v>
      </c>
      <c r="B22" s="196"/>
      <c r="C22" s="20"/>
      <c r="D22" s="248">
        <v>1199023.2</v>
      </c>
      <c r="E22" s="131"/>
      <c r="H22" s="21"/>
    </row>
    <row r="23" spans="1:8" ht="15" customHeight="1" x14ac:dyDescent="0.25">
      <c r="A23" s="195" t="s">
        <v>50</v>
      </c>
      <c r="B23" s="196"/>
      <c r="C23" s="20"/>
      <c r="D23" s="248">
        <v>-260787.54</v>
      </c>
      <c r="E23" s="22"/>
      <c r="H23" s="21"/>
    </row>
    <row r="24" spans="1:8" ht="13.5" customHeight="1" x14ac:dyDescent="0.25">
      <c r="A24" s="195" t="s">
        <v>1</v>
      </c>
      <c r="B24" s="196"/>
      <c r="C24" s="20"/>
      <c r="D24" s="249">
        <v>0.34</v>
      </c>
      <c r="E24" s="22"/>
      <c r="H24" s="21"/>
    </row>
    <row r="25" spans="1:8" x14ac:dyDescent="0.25">
      <c r="A25" s="23" t="s">
        <v>8</v>
      </c>
      <c r="B25" s="23"/>
      <c r="C25" s="23"/>
      <c r="D25" s="24"/>
      <c r="E25" s="132">
        <f>SUM(D22:D24)</f>
        <v>938235.99999999988</v>
      </c>
    </row>
    <row r="26" spans="1:8" hidden="1" x14ac:dyDescent="0.25">
      <c r="A26" s="23" t="s">
        <v>53</v>
      </c>
      <c r="B26" s="23"/>
      <c r="C26" s="23"/>
      <c r="D26" s="24"/>
      <c r="E26" s="133"/>
    </row>
    <row r="27" spans="1:8" hidden="1" x14ac:dyDescent="0.25">
      <c r="A27" s="20"/>
      <c r="B27" s="20"/>
      <c r="C27" s="20"/>
      <c r="D27" s="36"/>
      <c r="E27" s="145"/>
    </row>
    <row r="28" spans="1:8" hidden="1" x14ac:dyDescent="0.25">
      <c r="A28" s="20"/>
      <c r="B28" s="20"/>
      <c r="C28" s="20"/>
      <c r="D28" s="36"/>
      <c r="E28" s="145"/>
    </row>
    <row r="29" spans="1:8" hidden="1" x14ac:dyDescent="0.25">
      <c r="A29" s="20"/>
      <c r="B29" s="20"/>
      <c r="C29" s="20"/>
      <c r="D29" s="36"/>
      <c r="E29" s="145"/>
    </row>
    <row r="30" spans="1:8" hidden="1" x14ac:dyDescent="0.25">
      <c r="A30" s="23" t="s">
        <v>8</v>
      </c>
      <c r="B30" s="29"/>
      <c r="C30" s="29"/>
      <c r="D30" s="102"/>
      <c r="E30" s="135">
        <f>SUM(D27:D29)</f>
        <v>0</v>
      </c>
    </row>
    <row r="31" spans="1:8" x14ac:dyDescent="0.25">
      <c r="A31" s="17" t="s">
        <v>39</v>
      </c>
      <c r="B31" s="23"/>
      <c r="C31" s="23"/>
      <c r="D31" s="24"/>
      <c r="E31" s="133"/>
    </row>
    <row r="32" spans="1:8" x14ac:dyDescent="0.25">
      <c r="A32" s="20" t="s">
        <v>84</v>
      </c>
      <c r="B32" s="85"/>
      <c r="C32" s="85"/>
      <c r="D32" s="36">
        <v>641302.6</v>
      </c>
      <c r="E32" s="134" t="s">
        <v>174</v>
      </c>
      <c r="G32" s="67"/>
    </row>
    <row r="33" spans="1:7" x14ac:dyDescent="0.25">
      <c r="A33" s="20" t="s">
        <v>187</v>
      </c>
      <c r="B33" s="191" t="s">
        <v>188</v>
      </c>
      <c r="C33" s="85"/>
      <c r="D33" s="36">
        <v>182823.01</v>
      </c>
      <c r="E33" s="134" t="s">
        <v>189</v>
      </c>
      <c r="G33" s="67"/>
    </row>
    <row r="34" spans="1:7" x14ac:dyDescent="0.25">
      <c r="A34" s="20" t="s">
        <v>41</v>
      </c>
      <c r="B34" s="85"/>
      <c r="C34" s="85"/>
      <c r="D34" s="36">
        <v>58593.37</v>
      </c>
      <c r="E34" s="134" t="s">
        <v>173</v>
      </c>
      <c r="G34" s="67"/>
    </row>
    <row r="35" spans="1:7" x14ac:dyDescent="0.25">
      <c r="A35" s="20" t="s">
        <v>43</v>
      </c>
      <c r="B35" s="85"/>
      <c r="C35" s="85"/>
      <c r="D35" s="36">
        <v>6510.37</v>
      </c>
      <c r="E35" s="134" t="str">
        <f>E34</f>
        <v>Debito 12/05</v>
      </c>
      <c r="G35" s="51"/>
    </row>
    <row r="36" spans="1:7" x14ac:dyDescent="0.25">
      <c r="A36" s="20" t="s">
        <v>42</v>
      </c>
      <c r="B36" s="85"/>
      <c r="C36" s="85"/>
      <c r="D36" s="36">
        <v>102793.15</v>
      </c>
      <c r="E36" s="134" t="str">
        <f>E34</f>
        <v>Debito 12/05</v>
      </c>
    </row>
    <row r="37" spans="1:7" x14ac:dyDescent="0.25">
      <c r="A37" s="20"/>
      <c r="B37" s="85"/>
      <c r="C37" s="85"/>
      <c r="D37" s="36"/>
      <c r="E37" s="134"/>
    </row>
    <row r="38" spans="1:7" ht="16.5" customHeight="1" x14ac:dyDescent="0.25">
      <c r="A38" s="23" t="s">
        <v>40</v>
      </c>
      <c r="B38" s="23"/>
      <c r="C38" s="23"/>
      <c r="D38" s="24"/>
      <c r="E38" s="42">
        <f>SUM(D32:D37)</f>
        <v>992022.5</v>
      </c>
    </row>
    <row r="39" spans="1:7" x14ac:dyDescent="0.25">
      <c r="A39" s="17" t="s">
        <v>9</v>
      </c>
      <c r="B39" s="23"/>
      <c r="C39" s="23"/>
      <c r="D39" s="25"/>
      <c r="E39" s="135"/>
    </row>
    <row r="40" spans="1:7" ht="26.25" customHeight="1" x14ac:dyDescent="0.25">
      <c r="A40" s="201" t="s">
        <v>89</v>
      </c>
      <c r="B40" s="202"/>
      <c r="C40" s="28"/>
      <c r="D40" s="247">
        <v>205033.71</v>
      </c>
      <c r="E40" s="22" t="s">
        <v>172</v>
      </c>
    </row>
    <row r="41" spans="1:7" ht="26.25" customHeight="1" x14ac:dyDescent="0.25">
      <c r="A41" s="201" t="s">
        <v>90</v>
      </c>
      <c r="B41" s="202"/>
      <c r="C41" s="28"/>
      <c r="D41" s="247">
        <v>1282.32</v>
      </c>
      <c r="E41" s="22" t="str">
        <f>E40</f>
        <v>Debito Autom.</v>
      </c>
    </row>
    <row r="42" spans="1:7" ht="26.25" customHeight="1" x14ac:dyDescent="0.25">
      <c r="A42" s="201" t="s">
        <v>91</v>
      </c>
      <c r="B42" s="202"/>
      <c r="C42" s="28"/>
      <c r="D42" s="247">
        <v>12020</v>
      </c>
      <c r="E42" s="22" t="str">
        <f>E41</f>
        <v>Debito Autom.</v>
      </c>
    </row>
    <row r="43" spans="1:7" x14ac:dyDescent="0.25">
      <c r="A43" s="23" t="s">
        <v>10</v>
      </c>
      <c r="B43" s="23"/>
      <c r="C43" s="23"/>
      <c r="D43" s="24"/>
      <c r="E43" s="42">
        <f>SUM(D40:D42)</f>
        <v>218336.03</v>
      </c>
    </row>
    <row r="44" spans="1:7" x14ac:dyDescent="0.25">
      <c r="A44" s="17" t="s">
        <v>11</v>
      </c>
      <c r="B44" s="29"/>
      <c r="C44" s="29"/>
      <c r="D44" s="30"/>
      <c r="E44" s="136"/>
    </row>
    <row r="45" spans="1:7" ht="14.25" customHeight="1" x14ac:dyDescent="0.25">
      <c r="A45" s="31" t="s">
        <v>168</v>
      </c>
      <c r="B45" s="31"/>
      <c r="C45" s="31"/>
      <c r="D45" s="246">
        <v>997677.51</v>
      </c>
      <c r="E45" s="22" t="s">
        <v>169</v>
      </c>
    </row>
    <row r="46" spans="1:7" x14ac:dyDescent="0.25">
      <c r="A46" s="31" t="s">
        <v>87</v>
      </c>
      <c r="B46" s="32"/>
      <c r="C46" s="31"/>
      <c r="D46" s="246">
        <v>6087.49</v>
      </c>
      <c r="E46" s="22" t="s">
        <v>170</v>
      </c>
    </row>
    <row r="47" spans="1:7" x14ac:dyDescent="0.25">
      <c r="A47" s="201" t="s">
        <v>88</v>
      </c>
      <c r="B47" s="202"/>
      <c r="C47" s="31"/>
      <c r="D47" s="246">
        <v>570397.97</v>
      </c>
      <c r="E47" s="113" t="s">
        <v>177</v>
      </c>
    </row>
    <row r="48" spans="1:7" x14ac:dyDescent="0.25">
      <c r="A48" s="33" t="s">
        <v>86</v>
      </c>
      <c r="B48" s="27"/>
      <c r="C48" s="31"/>
      <c r="D48" s="246">
        <v>0</v>
      </c>
      <c r="E48" s="22"/>
    </row>
    <row r="49" spans="1:6" ht="15.75" thickBot="1" x14ac:dyDescent="0.3">
      <c r="A49" s="23" t="s">
        <v>12</v>
      </c>
      <c r="B49" s="23"/>
      <c r="C49" s="23"/>
      <c r="D49" s="34"/>
      <c r="E49" s="137">
        <f>SUM(D45:D48)</f>
        <v>1574162.97</v>
      </c>
    </row>
    <row r="50" spans="1:6" ht="15" customHeight="1" thickBot="1" x14ac:dyDescent="0.3">
      <c r="A50" s="17" t="s">
        <v>85</v>
      </c>
      <c r="B50" s="23"/>
      <c r="C50" s="23"/>
      <c r="D50" s="24"/>
      <c r="E50" s="138"/>
    </row>
    <row r="51" spans="1:6" ht="21.95" customHeight="1" x14ac:dyDescent="0.25">
      <c r="A51" s="195" t="s">
        <v>181</v>
      </c>
      <c r="B51" s="196"/>
      <c r="C51" s="31"/>
      <c r="D51" s="246">
        <v>250600</v>
      </c>
      <c r="E51" s="35" t="s">
        <v>171</v>
      </c>
    </row>
    <row r="52" spans="1:6" ht="31.5" customHeight="1" x14ac:dyDescent="0.25">
      <c r="A52" s="195" t="s">
        <v>175</v>
      </c>
      <c r="B52" s="196"/>
      <c r="C52" s="31"/>
      <c r="D52" s="246">
        <v>367392.3</v>
      </c>
      <c r="E52" s="35" t="s">
        <v>176</v>
      </c>
    </row>
    <row r="53" spans="1:6" ht="69" customHeight="1" x14ac:dyDescent="0.25">
      <c r="A53" s="195" t="s">
        <v>190</v>
      </c>
      <c r="B53" s="196"/>
      <c r="C53" s="31"/>
      <c r="D53" s="246">
        <v>2130000</v>
      </c>
      <c r="E53" s="35" t="s">
        <v>191</v>
      </c>
    </row>
    <row r="54" spans="1:6" ht="21.75" customHeight="1" x14ac:dyDescent="0.25">
      <c r="A54" s="190" t="s">
        <v>192</v>
      </c>
      <c r="B54" s="19"/>
      <c r="C54" s="20"/>
      <c r="D54" s="246">
        <v>73000</v>
      </c>
      <c r="E54" s="35" t="s">
        <v>176</v>
      </c>
      <c r="F54" s="51"/>
    </row>
    <row r="55" spans="1:6" ht="21.75" customHeight="1" x14ac:dyDescent="0.25">
      <c r="A55" s="87" t="s">
        <v>194</v>
      </c>
      <c r="B55" s="178"/>
      <c r="C55" s="20"/>
      <c r="D55" s="246">
        <v>840000</v>
      </c>
      <c r="E55" s="35" t="s">
        <v>195</v>
      </c>
      <c r="F55" s="51"/>
    </row>
    <row r="56" spans="1:6" ht="20.25" customHeight="1" x14ac:dyDescent="0.25">
      <c r="A56" s="203" t="s">
        <v>178</v>
      </c>
      <c r="B56" s="204"/>
      <c r="C56" s="20"/>
      <c r="D56" s="246">
        <v>4400</v>
      </c>
      <c r="E56" s="35" t="s">
        <v>177</v>
      </c>
      <c r="F56" s="51"/>
    </row>
    <row r="57" spans="1:6" ht="20.25" customHeight="1" x14ac:dyDescent="0.25">
      <c r="A57" s="87" t="s">
        <v>193</v>
      </c>
      <c r="B57" s="178"/>
      <c r="C57" s="20"/>
      <c r="D57" s="246">
        <v>60500</v>
      </c>
      <c r="E57" s="35" t="s">
        <v>171</v>
      </c>
    </row>
    <row r="58" spans="1:6" ht="22.5" customHeight="1" x14ac:dyDescent="0.25">
      <c r="A58" s="87" t="s">
        <v>179</v>
      </c>
      <c r="B58" s="19"/>
      <c r="C58" s="20"/>
      <c r="D58" s="246">
        <v>28000</v>
      </c>
      <c r="E58" s="144" t="s">
        <v>177</v>
      </c>
      <c r="F58" s="51"/>
    </row>
    <row r="59" spans="1:6" ht="22.5" customHeight="1" x14ac:dyDescent="0.25">
      <c r="A59" s="87" t="s">
        <v>196</v>
      </c>
      <c r="B59" s="178"/>
      <c r="C59" s="20"/>
      <c r="D59" s="246">
        <v>10400</v>
      </c>
      <c r="E59" s="144" t="s">
        <v>197</v>
      </c>
      <c r="F59" s="51"/>
    </row>
    <row r="60" spans="1:6" ht="30.75" customHeight="1" x14ac:dyDescent="0.25">
      <c r="A60" s="195" t="s">
        <v>198</v>
      </c>
      <c r="B60" s="196"/>
      <c r="C60" s="20"/>
      <c r="D60" s="246">
        <v>50000</v>
      </c>
      <c r="E60" s="144" t="s">
        <v>197</v>
      </c>
      <c r="F60" s="51"/>
    </row>
    <row r="61" spans="1:6" ht="21.95" customHeight="1" x14ac:dyDescent="0.25">
      <c r="A61" s="195" t="s">
        <v>180</v>
      </c>
      <c r="B61" s="196"/>
      <c r="C61" s="20"/>
      <c r="D61" s="246">
        <v>127000</v>
      </c>
      <c r="E61" s="144" t="s">
        <v>177</v>
      </c>
      <c r="F61" s="51"/>
    </row>
    <row r="62" spans="1:6" ht="21.95" customHeight="1" x14ac:dyDescent="0.25">
      <c r="A62" s="195" t="s">
        <v>182</v>
      </c>
      <c r="B62" s="196"/>
      <c r="C62" s="20"/>
      <c r="D62" s="246">
        <v>7200</v>
      </c>
      <c r="E62" s="144" t="s">
        <v>183</v>
      </c>
      <c r="F62" s="51"/>
    </row>
    <row r="63" spans="1:6" x14ac:dyDescent="0.25">
      <c r="A63" s="23" t="s">
        <v>0</v>
      </c>
      <c r="B63" s="17"/>
      <c r="C63" s="17"/>
      <c r="D63" s="37"/>
      <c r="E63" s="42">
        <f>SUM(D51:D62)</f>
        <v>3948492.3</v>
      </c>
    </row>
    <row r="64" spans="1:6" x14ac:dyDescent="0.25">
      <c r="A64" s="17" t="s">
        <v>13</v>
      </c>
      <c r="B64" s="17"/>
      <c r="C64" s="17"/>
      <c r="D64" s="18"/>
      <c r="E64" s="130"/>
    </row>
    <row r="65" spans="1:8" ht="15.75" customHeight="1" x14ac:dyDescent="0.25">
      <c r="A65" s="195" t="s">
        <v>199</v>
      </c>
      <c r="B65" s="196"/>
      <c r="C65" s="20"/>
      <c r="D65" s="250">
        <v>0</v>
      </c>
      <c r="E65" s="131"/>
    </row>
    <row r="66" spans="1:8" ht="16.5" customHeight="1" x14ac:dyDescent="0.25">
      <c r="A66" s="195" t="s">
        <v>184</v>
      </c>
      <c r="B66" s="196"/>
      <c r="C66" s="20"/>
      <c r="D66" s="245">
        <v>230000</v>
      </c>
      <c r="E66" s="131" t="s">
        <v>186</v>
      </c>
    </row>
    <row r="67" spans="1:8" ht="31.5" customHeight="1" x14ac:dyDescent="0.25">
      <c r="A67" s="195" t="s">
        <v>185</v>
      </c>
      <c r="B67" s="196"/>
      <c r="C67" s="20"/>
      <c r="D67" s="245">
        <v>460000</v>
      </c>
      <c r="E67" s="131" t="s">
        <v>186</v>
      </c>
    </row>
    <row r="68" spans="1:8" ht="15.75" customHeight="1" x14ac:dyDescent="0.25">
      <c r="A68" s="87" t="s">
        <v>200</v>
      </c>
      <c r="B68" s="19"/>
      <c r="C68" s="20"/>
      <c r="D68" s="245">
        <v>0</v>
      </c>
      <c r="E68" s="131"/>
    </row>
    <row r="69" spans="1:8" x14ac:dyDescent="0.25">
      <c r="A69" s="23" t="s">
        <v>8</v>
      </c>
      <c r="B69" s="23"/>
      <c r="C69" s="23"/>
      <c r="D69" s="24"/>
      <c r="E69" s="132">
        <f>SUM(D65:D68)</f>
        <v>690000</v>
      </c>
    </row>
    <row r="70" spans="1:8" x14ac:dyDescent="0.25">
      <c r="A70" s="17" t="s">
        <v>14</v>
      </c>
      <c r="B70" s="38"/>
      <c r="C70" s="23"/>
      <c r="D70" s="39"/>
      <c r="E70" s="42"/>
    </row>
    <row r="71" spans="1:8" x14ac:dyDescent="0.25">
      <c r="A71" s="31" t="s">
        <v>92</v>
      </c>
      <c r="B71" s="86"/>
      <c r="C71" s="86"/>
      <c r="D71" s="114">
        <v>69000</v>
      </c>
      <c r="E71" s="139"/>
    </row>
    <row r="72" spans="1:8" x14ac:dyDescent="0.25">
      <c r="A72" s="31" t="s">
        <v>225</v>
      </c>
      <c r="B72" s="86"/>
      <c r="C72" s="86"/>
      <c r="D72" s="114">
        <f>110434.89+15074+30455</f>
        <v>155963.89000000001</v>
      </c>
      <c r="E72" s="139"/>
    </row>
    <row r="73" spans="1:8" x14ac:dyDescent="0.25">
      <c r="A73" s="40" t="s">
        <v>8</v>
      </c>
      <c r="B73" s="40"/>
      <c r="C73" s="40"/>
      <c r="D73" s="41"/>
      <c r="E73" s="42">
        <f>SUM(D71:D72)</f>
        <v>224963.89</v>
      </c>
    </row>
    <row r="74" spans="1:8" x14ac:dyDescent="0.25">
      <c r="A74" s="31"/>
      <c r="B74" s="31"/>
      <c r="C74" s="31"/>
      <c r="D74" s="43"/>
      <c r="E74" s="44"/>
    </row>
    <row r="75" spans="1:8" x14ac:dyDescent="0.25">
      <c r="A75" s="45" t="s">
        <v>15</v>
      </c>
      <c r="B75" s="45"/>
      <c r="C75" s="45"/>
      <c r="D75" s="46"/>
      <c r="E75" s="47"/>
    </row>
    <row r="76" spans="1:8" ht="15.75" thickBot="1" x14ac:dyDescent="0.3">
      <c r="A76" s="48"/>
      <c r="D76" s="49"/>
      <c r="E76" s="50"/>
      <c r="F76" s="51"/>
    </row>
    <row r="77" spans="1:8" ht="15.75" thickBot="1" x14ac:dyDescent="0.3">
      <c r="A77" s="52" t="s">
        <v>16</v>
      </c>
      <c r="B77" s="53"/>
      <c r="C77" s="54"/>
      <c r="D77" s="55"/>
      <c r="E77" s="56">
        <f>(SUM(E21:E75))</f>
        <v>8586213.6899999995</v>
      </c>
      <c r="F77" s="57"/>
      <c r="G77" s="51"/>
    </row>
    <row r="78" spans="1:8" x14ac:dyDescent="0.25">
      <c r="D78" s="49"/>
      <c r="E78" s="49"/>
    </row>
    <row r="79" spans="1:8" ht="15.75" thickBot="1" x14ac:dyDescent="0.3">
      <c r="D79" s="49"/>
      <c r="E79" s="49"/>
      <c r="H79" s="58"/>
    </row>
    <row r="80" spans="1:8" x14ac:dyDescent="0.25">
      <c r="A80" s="12" t="s">
        <v>17</v>
      </c>
      <c r="B80" s="13"/>
      <c r="C80" s="14"/>
      <c r="D80" s="59"/>
      <c r="E80" s="60"/>
    </row>
    <row r="81" spans="1:5" x14ac:dyDescent="0.25">
      <c r="A81" s="206"/>
      <c r="B81" s="207"/>
      <c r="C81" s="31"/>
      <c r="D81" s="176"/>
      <c r="E81" s="177"/>
    </row>
    <row r="82" spans="1:5" ht="15.75" customHeight="1" x14ac:dyDescent="0.25">
      <c r="D82" s="43"/>
      <c r="E82" s="43"/>
    </row>
    <row r="83" spans="1:5" x14ac:dyDescent="0.25">
      <c r="A83" s="26"/>
      <c r="B83" s="62"/>
      <c r="C83" s="31"/>
      <c r="D83" s="36"/>
      <c r="E83" s="61"/>
    </row>
    <row r="84" spans="1:5" x14ac:dyDescent="0.25">
      <c r="A84" s="63" t="s">
        <v>45</v>
      </c>
      <c r="B84" s="64"/>
      <c r="C84" s="64"/>
      <c r="D84" s="111"/>
      <c r="E84" s="140">
        <f>SUM(D81:D83)</f>
        <v>0</v>
      </c>
    </row>
    <row r="85" spans="1:5" ht="15" customHeight="1" x14ac:dyDescent="0.25">
      <c r="D85" s="49"/>
      <c r="E85" s="49"/>
    </row>
    <row r="86" spans="1:5" x14ac:dyDescent="0.25">
      <c r="A86" s="45" t="s">
        <v>18</v>
      </c>
      <c r="B86" s="45"/>
      <c r="C86" s="45"/>
      <c r="D86" s="46"/>
      <c r="E86" s="143">
        <v>0</v>
      </c>
    </row>
    <row r="87" spans="1:5" ht="15.75" thickBot="1" x14ac:dyDescent="0.3">
      <c r="D87" s="49"/>
      <c r="E87" s="49"/>
    </row>
    <row r="88" spans="1:5" ht="15.75" thickBot="1" x14ac:dyDescent="0.3">
      <c r="A88" s="52" t="s">
        <v>19</v>
      </c>
      <c r="B88" s="53"/>
      <c r="C88" s="54"/>
      <c r="D88" s="55"/>
      <c r="E88" s="56">
        <f>E84+E86</f>
        <v>0</v>
      </c>
    </row>
    <row r="89" spans="1:5" ht="15.75" thickBot="1" x14ac:dyDescent="0.3">
      <c r="D89" s="49"/>
      <c r="E89" s="49"/>
    </row>
    <row r="90" spans="1:5" ht="15.75" thickBot="1" x14ac:dyDescent="0.3">
      <c r="A90" s="65" t="s">
        <v>20</v>
      </c>
      <c r="B90" s="66">
        <f>E77</f>
        <v>8586213.6899999995</v>
      </c>
      <c r="D90" s="49"/>
      <c r="E90" s="49"/>
    </row>
    <row r="91" spans="1:5" ht="15.75" thickBot="1" x14ac:dyDescent="0.3">
      <c r="A91" s="65" t="s">
        <v>21</v>
      </c>
      <c r="B91" s="66">
        <f>E77-E75</f>
        <v>8586213.6899999995</v>
      </c>
      <c r="D91" s="49"/>
      <c r="E91" s="49"/>
    </row>
    <row r="92" spans="1:5" ht="15.75" thickBot="1" x14ac:dyDescent="0.3">
      <c r="A92" s="65" t="s">
        <v>22</v>
      </c>
      <c r="B92" s="66">
        <f>E88-E86</f>
        <v>0</v>
      </c>
      <c r="D92" s="49"/>
      <c r="E92" s="49"/>
    </row>
    <row r="93" spans="1:5" ht="15.75" thickBot="1" x14ac:dyDescent="0.3">
      <c r="A93" s="65" t="s">
        <v>23</v>
      </c>
      <c r="B93" s="66">
        <f>E88</f>
        <v>0</v>
      </c>
      <c r="D93" s="49"/>
      <c r="E93" s="49"/>
    </row>
    <row r="94" spans="1:5" x14ac:dyDescent="0.25">
      <c r="D94" s="49"/>
      <c r="E94" s="49"/>
    </row>
    <row r="95" spans="1:5" x14ac:dyDescent="0.25">
      <c r="D95" s="49"/>
      <c r="E95" s="49"/>
    </row>
    <row r="96" spans="1:5" x14ac:dyDescent="0.25">
      <c r="A96" s="146" t="s">
        <v>212</v>
      </c>
      <c r="B96" s="70">
        <v>0</v>
      </c>
      <c r="D96" s="49"/>
      <c r="E96" s="49"/>
    </row>
    <row r="97" spans="1:5" x14ac:dyDescent="0.25">
      <c r="A97" s="28" t="s">
        <v>210</v>
      </c>
      <c r="B97" s="71">
        <v>2000000</v>
      </c>
      <c r="D97" s="49"/>
      <c r="E97" s="49"/>
    </row>
    <row r="98" spans="1:5" ht="13.9" customHeight="1" x14ac:dyDescent="0.25">
      <c r="A98" s="28"/>
      <c r="B98" s="129"/>
      <c r="D98" s="49"/>
      <c r="E98" s="49"/>
    </row>
    <row r="99" spans="1:5" ht="17.25" customHeight="1" thickBot="1" x14ac:dyDescent="0.3">
      <c r="A99" s="73" t="s">
        <v>211</v>
      </c>
      <c r="B99" s="74">
        <v>2026301.37</v>
      </c>
      <c r="D99" s="49"/>
      <c r="E99" s="49"/>
    </row>
    <row r="100" spans="1:5" ht="17.25" customHeight="1" x14ac:dyDescent="0.25">
      <c r="A100" s="251"/>
      <c r="B100" s="252"/>
      <c r="D100" s="49"/>
      <c r="E100" s="49"/>
    </row>
    <row r="101" spans="1:5" ht="17.25" customHeight="1" x14ac:dyDescent="0.25">
      <c r="A101" s="251"/>
      <c r="B101" s="252"/>
      <c r="D101" s="49"/>
      <c r="E101" s="49"/>
    </row>
    <row r="102" spans="1:5" ht="17.25" customHeight="1" x14ac:dyDescent="0.25">
      <c r="A102" s="146" t="s">
        <v>219</v>
      </c>
      <c r="B102" s="70">
        <v>231400</v>
      </c>
      <c r="D102" s="49"/>
      <c r="E102" s="49"/>
    </row>
    <row r="103" spans="1:5" ht="17.25" customHeight="1" x14ac:dyDescent="0.25">
      <c r="A103" s="28" t="s">
        <v>220</v>
      </c>
      <c r="B103" s="71">
        <v>0</v>
      </c>
      <c r="D103" s="49"/>
      <c r="E103" s="49"/>
    </row>
    <row r="104" spans="1:5" ht="17.25" customHeight="1" x14ac:dyDescent="0.25">
      <c r="A104" s="28" t="s">
        <v>221</v>
      </c>
      <c r="B104" s="129"/>
      <c r="D104" s="49"/>
      <c r="E104" s="49"/>
    </row>
    <row r="105" spans="1:5" ht="17.25" customHeight="1" thickBot="1" x14ac:dyDescent="0.3">
      <c r="A105" s="73" t="s">
        <v>211</v>
      </c>
      <c r="B105" s="74">
        <f>SUM(B102:B104)</f>
        <v>231400</v>
      </c>
      <c r="D105" s="49"/>
      <c r="E105" s="49"/>
    </row>
    <row r="106" spans="1:5" ht="17.25" customHeight="1" x14ac:dyDescent="0.25">
      <c r="A106" s="251"/>
      <c r="B106" s="252"/>
      <c r="D106" s="49"/>
      <c r="E106" s="49"/>
    </row>
    <row r="107" spans="1:5" ht="17.25" customHeight="1" x14ac:dyDescent="0.25">
      <c r="A107" s="146" t="s">
        <v>222</v>
      </c>
      <c r="B107" s="70">
        <v>64328</v>
      </c>
      <c r="D107" s="49"/>
      <c r="E107" s="49"/>
    </row>
    <row r="108" spans="1:5" ht="17.25" customHeight="1" x14ac:dyDescent="0.25">
      <c r="A108" s="28" t="s">
        <v>220</v>
      </c>
      <c r="B108" s="71">
        <v>0</v>
      </c>
      <c r="D108" s="49"/>
      <c r="E108" s="49"/>
    </row>
    <row r="109" spans="1:5" ht="17.25" customHeight="1" x14ac:dyDescent="0.25">
      <c r="A109" s="28" t="s">
        <v>221</v>
      </c>
      <c r="B109" s="129"/>
      <c r="D109" s="49"/>
      <c r="E109" s="49"/>
    </row>
    <row r="110" spans="1:5" ht="17.25" customHeight="1" thickBot="1" x14ac:dyDescent="0.3">
      <c r="A110" s="73" t="s">
        <v>211</v>
      </c>
      <c r="B110" s="74">
        <f>SUM(B107:B109)</f>
        <v>64328</v>
      </c>
      <c r="D110" s="49"/>
      <c r="E110" s="49"/>
    </row>
    <row r="111" spans="1:5" s="69" customFormat="1" x14ac:dyDescent="0.25">
      <c r="A111"/>
      <c r="B111" s="67"/>
      <c r="C111" s="68"/>
      <c r="D111" s="141"/>
      <c r="E111" s="141"/>
    </row>
    <row r="112" spans="1:5" s="69" customFormat="1" ht="15.75" customHeight="1" x14ac:dyDescent="0.25">
      <c r="A112" s="146" t="s">
        <v>218</v>
      </c>
      <c r="B112" s="70">
        <v>4238170</v>
      </c>
      <c r="C112" s="68"/>
      <c r="D112" s="142"/>
      <c r="E112" s="142"/>
    </row>
    <row r="113" spans="1:13" x14ac:dyDescent="0.25">
      <c r="A113" s="28" t="s">
        <v>44</v>
      </c>
      <c r="B113" s="255">
        <f>-B91-B92</f>
        <v>-8586213.6899999995</v>
      </c>
      <c r="D113" s="49"/>
      <c r="E113" s="49"/>
    </row>
    <row r="114" spans="1:13" x14ac:dyDescent="0.25">
      <c r="A114" s="28" t="s">
        <v>24</v>
      </c>
      <c r="B114" s="71">
        <f>B126</f>
        <v>431886</v>
      </c>
      <c r="D114" s="49"/>
      <c r="E114" s="49"/>
      <c r="F114" s="67"/>
    </row>
    <row r="115" spans="1:13" x14ac:dyDescent="0.25">
      <c r="A115" s="28" t="s">
        <v>2</v>
      </c>
      <c r="B115" s="72">
        <f>PRORRATEO!G59</f>
        <v>6325948</v>
      </c>
      <c r="D115" s="49"/>
      <c r="E115" s="49"/>
      <c r="F115" s="67"/>
    </row>
    <row r="116" spans="1:13" ht="30" x14ac:dyDescent="0.25">
      <c r="A116" s="28" t="s">
        <v>223</v>
      </c>
      <c r="B116" s="254">
        <v>1576753.42</v>
      </c>
      <c r="D116" s="49"/>
      <c r="E116" s="49"/>
      <c r="F116" s="67"/>
    </row>
    <row r="117" spans="1:13" ht="15.75" customHeight="1" x14ac:dyDescent="0.25">
      <c r="A117" s="28"/>
      <c r="B117" s="129"/>
      <c r="D117" s="253"/>
      <c r="E117" s="49"/>
      <c r="F117" s="67"/>
    </row>
    <row r="118" spans="1:13" ht="15.75" thickBot="1" x14ac:dyDescent="0.3">
      <c r="A118" s="73" t="s">
        <v>48</v>
      </c>
      <c r="B118" s="74">
        <f>SUM(B112:C117)</f>
        <v>3986543.7300000004</v>
      </c>
      <c r="D118" s="67"/>
      <c r="E118" s="51"/>
      <c r="F118" s="51"/>
    </row>
    <row r="119" spans="1:13" ht="21.95" customHeight="1" thickBot="1" x14ac:dyDescent="0.3"/>
    <row r="120" spans="1:13" ht="21.95" customHeight="1" thickBot="1" x14ac:dyDescent="0.3">
      <c r="A120" s="256" t="s">
        <v>224</v>
      </c>
      <c r="B120" s="257">
        <f>B118+B105</f>
        <v>4217943.7300000004</v>
      </c>
      <c r="E120" s="51"/>
    </row>
    <row r="121" spans="1:13" ht="21.95" customHeight="1" x14ac:dyDescent="0.25"/>
    <row r="122" spans="1:13" x14ac:dyDescent="0.25">
      <c r="A122" s="205" t="s">
        <v>25</v>
      </c>
      <c r="B122" s="205"/>
      <c r="C122" s="205"/>
    </row>
    <row r="123" spans="1:13" x14ac:dyDescent="0.25">
      <c r="A123" s="205"/>
      <c r="B123" s="205"/>
      <c r="C123" s="205"/>
    </row>
    <row r="124" spans="1:13" ht="27" customHeight="1" x14ac:dyDescent="0.25">
      <c r="A124" s="75" t="s">
        <v>213</v>
      </c>
      <c r="B124" s="110">
        <v>275104</v>
      </c>
      <c r="C124" s="76"/>
      <c r="D124" s="57"/>
    </row>
    <row r="125" spans="1:13" ht="27" customHeight="1" x14ac:dyDescent="0.25">
      <c r="A125" s="75" t="s">
        <v>215</v>
      </c>
      <c r="B125" s="110">
        <v>156782</v>
      </c>
      <c r="C125" s="76"/>
      <c r="D125" s="57"/>
    </row>
    <row r="126" spans="1:13" x14ac:dyDescent="0.25">
      <c r="A126" s="77" t="s">
        <v>0</v>
      </c>
      <c r="B126" s="78">
        <f>SUM(B124:B125)</f>
        <v>431886</v>
      </c>
      <c r="C126" s="79"/>
    </row>
    <row r="127" spans="1:13" x14ac:dyDescent="0.25">
      <c r="M127" s="80"/>
    </row>
  </sheetData>
  <mergeCells count="23">
    <mergeCell ref="A41:B41"/>
    <mergeCell ref="A122:C123"/>
    <mergeCell ref="A51:B51"/>
    <mergeCell ref="A62:B62"/>
    <mergeCell ref="A81:B81"/>
    <mergeCell ref="A67:B67"/>
    <mergeCell ref="A66:B66"/>
    <mergeCell ref="B1:E1"/>
    <mergeCell ref="A24:B24"/>
    <mergeCell ref="A65:B65"/>
    <mergeCell ref="B3:E3"/>
    <mergeCell ref="B8:C10"/>
    <mergeCell ref="A13:E16"/>
    <mergeCell ref="A22:B22"/>
    <mergeCell ref="A23:B23"/>
    <mergeCell ref="A47:B47"/>
    <mergeCell ref="A40:B40"/>
    <mergeCell ref="A42:B42"/>
    <mergeCell ref="A61:B61"/>
    <mergeCell ref="A52:B52"/>
    <mergeCell ref="A53:B53"/>
    <mergeCell ref="A56:B56"/>
    <mergeCell ref="A60:B60"/>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P67"/>
  <sheetViews>
    <sheetView tabSelected="1" topLeftCell="A13" zoomScaleNormal="100" workbookViewId="0">
      <selection activeCell="G28" sqref="G28"/>
    </sheetView>
  </sheetViews>
  <sheetFormatPr baseColWidth="10" defaultColWidth="10.85546875" defaultRowHeight="15" x14ac:dyDescent="0.25"/>
  <cols>
    <col min="1" max="1" width="4.28515625" customWidth="1"/>
    <col min="2" max="2" width="5.7109375" customWidth="1"/>
    <col min="3" max="3" width="25.5703125" customWidth="1"/>
    <col min="4" max="4" width="16" customWidth="1"/>
    <col min="5" max="5" width="8.42578125" customWidth="1"/>
    <col min="6" max="6" width="14.140625" customWidth="1"/>
    <col min="7" max="7" width="12.28515625" customWidth="1"/>
    <col min="8" max="8" width="10.5703125" customWidth="1"/>
    <col min="9" max="9" width="9.5703125" customWidth="1"/>
    <col min="10" max="10" width="12.42578125" customWidth="1"/>
    <col min="11" max="11" width="14.42578125" customWidth="1"/>
    <col min="12" max="12" width="12.28515625" customWidth="1"/>
    <col min="13" max="13" width="14.7109375" customWidth="1"/>
    <col min="14" max="14" width="14.28515625" customWidth="1"/>
    <col min="15" max="15" width="7.28515625" bestFit="1" customWidth="1"/>
    <col min="16" max="16" width="12" bestFit="1" customWidth="1"/>
    <col min="17" max="17" width="13" bestFit="1" customWidth="1"/>
  </cols>
  <sheetData>
    <row r="1" spans="1:16" ht="12.95" customHeight="1" x14ac:dyDescent="0.25">
      <c r="A1" s="88"/>
      <c r="B1" s="185"/>
      <c r="C1" s="89"/>
      <c r="D1" s="89"/>
      <c r="E1" s="208"/>
      <c r="F1" s="208"/>
      <c r="G1" s="208"/>
      <c r="H1" s="208"/>
      <c r="I1" s="208"/>
      <c r="J1" s="208"/>
      <c r="K1" s="208"/>
      <c r="L1" s="208"/>
      <c r="M1" s="208"/>
      <c r="N1" s="90"/>
    </row>
    <row r="2" spans="1:16" ht="12.95" customHeight="1" x14ac:dyDescent="0.25">
      <c r="A2" s="91"/>
      <c r="B2" s="186"/>
      <c r="C2" s="92"/>
      <c r="D2" s="93"/>
      <c r="E2" s="93" t="s">
        <v>26</v>
      </c>
      <c r="F2" s="231">
        <v>0</v>
      </c>
      <c r="G2" s="231"/>
      <c r="H2" s="93"/>
      <c r="I2" s="93"/>
      <c r="J2" s="93" t="s">
        <v>27</v>
      </c>
      <c r="K2" s="94">
        <f>P2</f>
        <v>7500000</v>
      </c>
      <c r="L2" s="94"/>
      <c r="M2" s="95"/>
      <c r="N2" s="96"/>
      <c r="O2" s="81"/>
      <c r="P2">
        <v>7500000</v>
      </c>
    </row>
    <row r="3" spans="1:16" ht="12.95" customHeight="1" thickBot="1" x14ac:dyDescent="0.3">
      <c r="A3" s="97"/>
      <c r="B3" s="187"/>
      <c r="C3" s="98"/>
      <c r="D3" s="98"/>
      <c r="E3" s="98"/>
      <c r="F3" s="98"/>
      <c r="G3" s="99"/>
      <c r="H3" s="98"/>
      <c r="I3" s="98"/>
      <c r="J3" s="98"/>
      <c r="K3" s="98"/>
      <c r="L3" s="98"/>
      <c r="M3" s="100"/>
      <c r="N3" s="101"/>
      <c r="O3" s="81"/>
    </row>
    <row r="4" spans="1:16" ht="12.95" customHeight="1" x14ac:dyDescent="0.25">
      <c r="A4" s="209" t="s">
        <v>226</v>
      </c>
      <c r="B4" s="210"/>
      <c r="C4" s="211"/>
      <c r="D4" s="211"/>
      <c r="E4" s="211"/>
      <c r="F4" s="211"/>
      <c r="G4" s="211"/>
      <c r="H4" s="211"/>
      <c r="I4" s="211"/>
      <c r="J4" s="211"/>
      <c r="K4" s="211"/>
      <c r="L4" s="211"/>
      <c r="M4" s="211"/>
      <c r="N4" s="212"/>
      <c r="O4" s="81"/>
    </row>
    <row r="5" spans="1:16" ht="12.95" customHeight="1" x14ac:dyDescent="0.25">
      <c r="A5" s="213"/>
      <c r="B5" s="214"/>
      <c r="C5" s="215"/>
      <c r="D5" s="215"/>
      <c r="E5" s="215"/>
      <c r="F5" s="215"/>
      <c r="G5" s="215"/>
      <c r="H5" s="215"/>
      <c r="I5" s="215"/>
      <c r="J5" s="215"/>
      <c r="K5" s="215"/>
      <c r="L5" s="215"/>
      <c r="M5" s="215"/>
      <c r="N5" s="216"/>
      <c r="O5" s="81"/>
    </row>
    <row r="6" spans="1:16" ht="12.95" customHeight="1" x14ac:dyDescent="0.25">
      <c r="A6" s="213"/>
      <c r="B6" s="214"/>
      <c r="C6" s="215"/>
      <c r="D6" s="215"/>
      <c r="E6" s="215"/>
      <c r="F6" s="215"/>
      <c r="G6" s="215"/>
      <c r="H6" s="215"/>
      <c r="I6" s="215"/>
      <c r="J6" s="215"/>
      <c r="K6" s="215"/>
      <c r="L6" s="215"/>
      <c r="M6" s="215"/>
      <c r="N6" s="216"/>
      <c r="O6" s="81"/>
    </row>
    <row r="7" spans="1:16" ht="12.95" customHeight="1" x14ac:dyDescent="0.25">
      <c r="A7" s="213"/>
      <c r="B7" s="214"/>
      <c r="C7" s="215"/>
      <c r="D7" s="215"/>
      <c r="E7" s="215"/>
      <c r="F7" s="215"/>
      <c r="G7" s="215"/>
      <c r="H7" s="215"/>
      <c r="I7" s="215"/>
      <c r="J7" s="215"/>
      <c r="K7" s="215"/>
      <c r="L7" s="215"/>
      <c r="M7" s="215"/>
      <c r="N7" s="216"/>
      <c r="O7" s="81"/>
    </row>
    <row r="8" spans="1:16" ht="192" customHeight="1" thickBot="1" x14ac:dyDescent="0.3">
      <c r="A8" s="217"/>
      <c r="B8" s="218"/>
      <c r="C8" s="218"/>
      <c r="D8" s="218"/>
      <c r="E8" s="218"/>
      <c r="F8" s="218"/>
      <c r="G8" s="218"/>
      <c r="H8" s="218"/>
      <c r="I8" s="218"/>
      <c r="J8" s="218"/>
      <c r="K8" s="218"/>
      <c r="L8" s="218"/>
      <c r="M8" s="218"/>
      <c r="N8" s="219"/>
    </row>
    <row r="9" spans="1:16" ht="48" customHeight="1" thickBot="1" x14ac:dyDescent="0.3">
      <c r="A9" s="228" t="s">
        <v>47</v>
      </c>
      <c r="B9" s="229"/>
      <c r="C9" s="229"/>
      <c r="D9" s="229"/>
      <c r="E9" s="229"/>
      <c r="F9" s="229"/>
      <c r="G9" s="229"/>
      <c r="H9" s="229"/>
      <c r="I9" s="229"/>
      <c r="J9" s="229"/>
      <c r="K9" s="229"/>
      <c r="L9" s="229"/>
      <c r="M9" s="229"/>
      <c r="N9" s="230"/>
    </row>
    <row r="10" spans="1:16" x14ac:dyDescent="0.25">
      <c r="A10" s="220" t="s">
        <v>28</v>
      </c>
      <c r="B10" s="234" t="s">
        <v>93</v>
      </c>
      <c r="C10" s="222" t="s">
        <v>29</v>
      </c>
      <c r="D10" s="222" t="s">
        <v>30</v>
      </c>
      <c r="E10" s="222" t="s">
        <v>31</v>
      </c>
      <c r="F10" s="224" t="s">
        <v>32</v>
      </c>
      <c r="G10" s="222" t="s">
        <v>33</v>
      </c>
      <c r="H10" s="226" t="s">
        <v>34</v>
      </c>
      <c r="I10" s="224" t="s">
        <v>35</v>
      </c>
      <c r="J10" s="224" t="s">
        <v>27</v>
      </c>
      <c r="K10" s="224" t="s">
        <v>26</v>
      </c>
      <c r="L10" s="232" t="s">
        <v>52</v>
      </c>
      <c r="M10" s="126" t="s">
        <v>36</v>
      </c>
      <c r="N10" s="236" t="s">
        <v>37</v>
      </c>
    </row>
    <row r="11" spans="1:16" ht="15.75" customHeight="1" x14ac:dyDescent="0.25">
      <c r="A11" s="221"/>
      <c r="B11" s="235"/>
      <c r="C11" s="223"/>
      <c r="D11" s="223"/>
      <c r="E11" s="223"/>
      <c r="F11" s="225"/>
      <c r="G11" s="223"/>
      <c r="H11" s="227"/>
      <c r="I11" s="225"/>
      <c r="J11" s="225"/>
      <c r="K11" s="225"/>
      <c r="L11" s="233"/>
      <c r="M11" s="127" t="str">
        <f>RESUMEN!B8</f>
        <v>VTO 18/06</v>
      </c>
      <c r="N11" s="237"/>
    </row>
    <row r="12" spans="1:16" ht="17.100000000000001" customHeight="1" x14ac:dyDescent="0.25">
      <c r="A12" s="116">
        <v>1</v>
      </c>
      <c r="B12" s="188" t="s">
        <v>94</v>
      </c>
      <c r="C12" s="103" t="s">
        <v>140</v>
      </c>
      <c r="D12" s="103"/>
      <c r="E12" s="105">
        <v>5.22</v>
      </c>
      <c r="F12" s="82">
        <v>361399</v>
      </c>
      <c r="G12" s="82">
        <f>406632-G41</f>
        <v>401093</v>
      </c>
      <c r="H12" s="106">
        <f t="shared" ref="H12:H57" si="0">F12-G12</f>
        <v>-39694</v>
      </c>
      <c r="I12" s="106">
        <f>IF(H12&gt;0,H12*3%,0)</f>
        <v>0</v>
      </c>
      <c r="J12" s="115">
        <f t="shared" ref="J12:J43" si="1">K$2*E12/100</f>
        <v>391500</v>
      </c>
      <c r="K12" s="115">
        <f t="shared" ref="K12:K43" si="2">F$2*E12/100</f>
        <v>0</v>
      </c>
      <c r="L12" s="115"/>
      <c r="M12" s="107">
        <f t="shared" ref="M12:M57" si="3">ROUND(SUM(H12:L12),0) + O12</f>
        <v>351806.01</v>
      </c>
      <c r="N12" s="124">
        <f t="shared" ref="N12:N32" si="4">ROUND(M12*3%,0) + M12</f>
        <v>362360.01</v>
      </c>
      <c r="O12" s="51">
        <v>0.01</v>
      </c>
    </row>
    <row r="13" spans="1:16" ht="17.100000000000001" customHeight="1" x14ac:dyDescent="0.25">
      <c r="A13" s="116">
        <v>2</v>
      </c>
      <c r="B13" s="188" t="s">
        <v>97</v>
      </c>
      <c r="C13" s="103" t="s">
        <v>141</v>
      </c>
      <c r="D13" s="192" t="s">
        <v>208</v>
      </c>
      <c r="E13" s="105">
        <v>3.4</v>
      </c>
      <c r="F13" s="82">
        <v>235394</v>
      </c>
      <c r="G13" s="82">
        <v>240000</v>
      </c>
      <c r="H13" s="106">
        <f t="shared" si="0"/>
        <v>-4606</v>
      </c>
      <c r="I13" s="106">
        <f t="shared" ref="I13:I57" si="5">IF(H13&gt;0,H13*3%,0)</f>
        <v>0</v>
      </c>
      <c r="J13" s="115">
        <f t="shared" si="1"/>
        <v>255000</v>
      </c>
      <c r="K13" s="115">
        <f t="shared" si="2"/>
        <v>0</v>
      </c>
      <c r="L13" s="115"/>
      <c r="M13" s="107">
        <f t="shared" si="3"/>
        <v>250394.02</v>
      </c>
      <c r="N13" s="124">
        <f t="shared" si="4"/>
        <v>257906.02</v>
      </c>
      <c r="O13" s="51">
        <f>O12+0.01</f>
        <v>0.02</v>
      </c>
    </row>
    <row r="14" spans="1:16" ht="17.100000000000001" customHeight="1" x14ac:dyDescent="0.25">
      <c r="A14" s="116">
        <v>3</v>
      </c>
      <c r="B14" s="188" t="s">
        <v>98</v>
      </c>
      <c r="C14" s="103" t="s">
        <v>142</v>
      </c>
      <c r="D14" s="192" t="s">
        <v>214</v>
      </c>
      <c r="E14" s="105">
        <v>2.54</v>
      </c>
      <c r="F14" s="82">
        <v>178804</v>
      </c>
      <c r="G14" s="82">
        <v>179000</v>
      </c>
      <c r="H14" s="106">
        <f t="shared" si="0"/>
        <v>-196</v>
      </c>
      <c r="I14" s="106">
        <f t="shared" si="5"/>
        <v>0</v>
      </c>
      <c r="J14" s="115">
        <f t="shared" si="1"/>
        <v>190500</v>
      </c>
      <c r="K14" s="115">
        <f t="shared" si="2"/>
        <v>0</v>
      </c>
      <c r="L14" s="115"/>
      <c r="M14" s="107">
        <f t="shared" si="3"/>
        <v>190304.03</v>
      </c>
      <c r="N14" s="124">
        <f t="shared" si="4"/>
        <v>196013.03</v>
      </c>
      <c r="O14" s="51">
        <f t="shared" ref="O14:O29" si="6">O13+0.01</f>
        <v>0.03</v>
      </c>
    </row>
    <row r="15" spans="1:16" ht="17.100000000000001" customHeight="1" x14ac:dyDescent="0.25">
      <c r="A15" s="116">
        <v>4</v>
      </c>
      <c r="B15" s="188" t="s">
        <v>99</v>
      </c>
      <c r="C15" s="103" t="s">
        <v>143</v>
      </c>
      <c r="D15" s="108" t="s">
        <v>206</v>
      </c>
      <c r="E15" s="105">
        <v>5.19</v>
      </c>
      <c r="F15" s="82">
        <v>358430</v>
      </c>
      <c r="G15" s="82">
        <f>416387-G53</f>
        <v>363077</v>
      </c>
      <c r="H15" s="106">
        <f t="shared" si="0"/>
        <v>-4647</v>
      </c>
      <c r="I15" s="106">
        <f t="shared" si="5"/>
        <v>0</v>
      </c>
      <c r="J15" s="115">
        <f t="shared" si="1"/>
        <v>389250</v>
      </c>
      <c r="K15" s="115">
        <f t="shared" si="2"/>
        <v>0</v>
      </c>
      <c r="L15" s="115"/>
      <c r="M15" s="107">
        <f t="shared" si="3"/>
        <v>384603.04</v>
      </c>
      <c r="N15" s="124">
        <f t="shared" si="4"/>
        <v>396141.04</v>
      </c>
      <c r="O15" s="51">
        <f t="shared" si="6"/>
        <v>0.04</v>
      </c>
    </row>
    <row r="16" spans="1:16" ht="17.100000000000001" customHeight="1" x14ac:dyDescent="0.25">
      <c r="A16" s="116">
        <v>5</v>
      </c>
      <c r="B16" s="188" t="s">
        <v>95</v>
      </c>
      <c r="C16" s="103" t="s">
        <v>144</v>
      </c>
      <c r="D16" s="108" t="s">
        <v>202</v>
      </c>
      <c r="E16" s="105">
        <v>3.4</v>
      </c>
      <c r="F16" s="82">
        <v>235394</v>
      </c>
      <c r="G16" s="82">
        <v>235394</v>
      </c>
      <c r="H16" s="106">
        <f t="shared" si="0"/>
        <v>0</v>
      </c>
      <c r="I16" s="106">
        <f t="shared" si="5"/>
        <v>0</v>
      </c>
      <c r="J16" s="115">
        <f t="shared" si="1"/>
        <v>255000</v>
      </c>
      <c r="K16" s="115">
        <f t="shared" si="2"/>
        <v>0</v>
      </c>
      <c r="L16" s="115"/>
      <c r="M16" s="107">
        <f t="shared" si="3"/>
        <v>255000.05</v>
      </c>
      <c r="N16" s="124">
        <f t="shared" si="4"/>
        <v>262650.05</v>
      </c>
      <c r="O16" s="51">
        <f t="shared" si="6"/>
        <v>0.05</v>
      </c>
    </row>
    <row r="17" spans="1:15" ht="17.100000000000001" customHeight="1" x14ac:dyDescent="0.25">
      <c r="A17" s="116">
        <v>6</v>
      </c>
      <c r="B17" s="188" t="s">
        <v>100</v>
      </c>
      <c r="C17" s="103" t="s">
        <v>141</v>
      </c>
      <c r="D17" s="103"/>
      <c r="E17" s="105">
        <v>2.54</v>
      </c>
      <c r="F17" s="82">
        <v>343733</v>
      </c>
      <c r="G17" s="82">
        <v>186951</v>
      </c>
      <c r="H17" s="106">
        <f t="shared" si="0"/>
        <v>156782</v>
      </c>
      <c r="I17" s="106">
        <f t="shared" si="5"/>
        <v>4703.46</v>
      </c>
      <c r="J17" s="115">
        <f t="shared" si="1"/>
        <v>190500</v>
      </c>
      <c r="K17" s="115">
        <f t="shared" si="2"/>
        <v>0</v>
      </c>
      <c r="L17" s="115"/>
      <c r="M17" s="107">
        <f t="shared" si="3"/>
        <v>351985.06</v>
      </c>
      <c r="N17" s="124">
        <f t="shared" si="4"/>
        <v>362545.06</v>
      </c>
      <c r="O17" s="51">
        <f t="shared" si="6"/>
        <v>6.0000000000000005E-2</v>
      </c>
    </row>
    <row r="18" spans="1:15" ht="17.100000000000001" customHeight="1" x14ac:dyDescent="0.25">
      <c r="A18" s="116">
        <v>7</v>
      </c>
      <c r="B18" s="188" t="s">
        <v>101</v>
      </c>
      <c r="C18" s="103" t="s">
        <v>145</v>
      </c>
      <c r="D18" s="103"/>
      <c r="E18" s="105">
        <v>5.19</v>
      </c>
      <c r="F18" s="82">
        <v>359322</v>
      </c>
      <c r="G18" s="82">
        <f>F18</f>
        <v>359322</v>
      </c>
      <c r="H18" s="106">
        <f t="shared" si="0"/>
        <v>0</v>
      </c>
      <c r="I18" s="106">
        <f t="shared" si="5"/>
        <v>0</v>
      </c>
      <c r="J18" s="115">
        <f t="shared" si="1"/>
        <v>389250</v>
      </c>
      <c r="K18" s="115">
        <f t="shared" si="2"/>
        <v>0</v>
      </c>
      <c r="L18" s="115"/>
      <c r="M18" s="107">
        <f t="shared" si="3"/>
        <v>389250.07</v>
      </c>
      <c r="N18" s="124">
        <f t="shared" si="4"/>
        <v>400928.07</v>
      </c>
      <c r="O18" s="51">
        <f t="shared" si="6"/>
        <v>7.0000000000000007E-2</v>
      </c>
    </row>
    <row r="19" spans="1:15" ht="17.100000000000001" customHeight="1" x14ac:dyDescent="0.25">
      <c r="A19" s="116">
        <v>8</v>
      </c>
      <c r="B19" s="188" t="s">
        <v>102</v>
      </c>
      <c r="C19" s="103" t="s">
        <v>146</v>
      </c>
      <c r="D19" s="108"/>
      <c r="E19" s="105">
        <v>3.4</v>
      </c>
      <c r="F19" s="82">
        <v>235394</v>
      </c>
      <c r="G19" s="82">
        <v>235394</v>
      </c>
      <c r="H19" s="106">
        <f t="shared" si="0"/>
        <v>0</v>
      </c>
      <c r="I19" s="106">
        <f t="shared" si="5"/>
        <v>0</v>
      </c>
      <c r="J19" s="115">
        <f t="shared" si="1"/>
        <v>255000</v>
      </c>
      <c r="K19" s="115">
        <f t="shared" si="2"/>
        <v>0</v>
      </c>
      <c r="L19" s="115"/>
      <c r="M19" s="107">
        <f t="shared" si="3"/>
        <v>255000.08</v>
      </c>
      <c r="N19" s="124">
        <f t="shared" si="4"/>
        <v>262650.07999999996</v>
      </c>
      <c r="O19" s="51">
        <f t="shared" si="6"/>
        <v>0.08</v>
      </c>
    </row>
    <row r="20" spans="1:15" ht="17.100000000000001" customHeight="1" x14ac:dyDescent="0.25">
      <c r="A20" s="116">
        <v>9</v>
      </c>
      <c r="B20" s="188" t="s">
        <v>96</v>
      </c>
      <c r="C20" s="103" t="s">
        <v>141</v>
      </c>
      <c r="D20" s="108" t="s">
        <v>205</v>
      </c>
      <c r="E20" s="105">
        <v>2.54</v>
      </c>
      <c r="F20" s="82">
        <v>180600</v>
      </c>
      <c r="G20" s="82">
        <v>180600</v>
      </c>
      <c r="H20" s="106">
        <f t="shared" si="0"/>
        <v>0</v>
      </c>
      <c r="I20" s="106">
        <f t="shared" si="5"/>
        <v>0</v>
      </c>
      <c r="J20" s="115">
        <f t="shared" si="1"/>
        <v>190500</v>
      </c>
      <c r="K20" s="115">
        <f t="shared" si="2"/>
        <v>0</v>
      </c>
      <c r="L20" s="115"/>
      <c r="M20" s="107">
        <f t="shared" si="3"/>
        <v>190500.09</v>
      </c>
      <c r="N20" s="124">
        <f t="shared" si="4"/>
        <v>196215.09</v>
      </c>
      <c r="O20" s="51">
        <f t="shared" si="6"/>
        <v>0.09</v>
      </c>
    </row>
    <row r="21" spans="1:15" ht="17.100000000000001" customHeight="1" x14ac:dyDescent="0.25">
      <c r="A21" s="116">
        <v>10</v>
      </c>
      <c r="B21" s="188" t="s">
        <v>103</v>
      </c>
      <c r="C21" s="103" t="s">
        <v>147</v>
      </c>
      <c r="D21" s="108"/>
      <c r="E21" s="105">
        <v>5.19</v>
      </c>
      <c r="F21" s="82">
        <v>359322</v>
      </c>
      <c r="G21" s="82">
        <f>397400-G37</f>
        <v>359322</v>
      </c>
      <c r="H21" s="106">
        <f t="shared" si="0"/>
        <v>0</v>
      </c>
      <c r="I21" s="106">
        <f t="shared" si="5"/>
        <v>0</v>
      </c>
      <c r="J21" s="115">
        <f t="shared" si="1"/>
        <v>389250</v>
      </c>
      <c r="K21" s="115">
        <f t="shared" si="2"/>
        <v>0</v>
      </c>
      <c r="L21" s="115"/>
      <c r="M21" s="107">
        <f t="shared" si="3"/>
        <v>389250.1</v>
      </c>
      <c r="N21" s="124">
        <f t="shared" si="4"/>
        <v>400928.1</v>
      </c>
      <c r="O21" s="51">
        <f t="shared" si="6"/>
        <v>9.9999999999999992E-2</v>
      </c>
    </row>
    <row r="22" spans="1:15" ht="17.100000000000001" customHeight="1" x14ac:dyDescent="0.25">
      <c r="A22" s="116">
        <v>11</v>
      </c>
      <c r="B22" s="188" t="s">
        <v>104</v>
      </c>
      <c r="C22" s="103" t="s">
        <v>148</v>
      </c>
      <c r="D22" s="108" t="s">
        <v>203</v>
      </c>
      <c r="E22" s="105">
        <v>3.4</v>
      </c>
      <c r="F22" s="82">
        <v>241955</v>
      </c>
      <c r="G22" s="82">
        <v>241955</v>
      </c>
      <c r="H22" s="106">
        <f t="shared" si="0"/>
        <v>0</v>
      </c>
      <c r="I22" s="106">
        <f t="shared" si="5"/>
        <v>0</v>
      </c>
      <c r="J22" s="115">
        <f t="shared" si="1"/>
        <v>255000</v>
      </c>
      <c r="K22" s="115">
        <f t="shared" si="2"/>
        <v>0</v>
      </c>
      <c r="L22" s="115"/>
      <c r="M22" s="107">
        <f t="shared" si="3"/>
        <v>255000.11</v>
      </c>
      <c r="N22" s="124">
        <f t="shared" si="4"/>
        <v>262650.11</v>
      </c>
      <c r="O22" s="51">
        <f t="shared" si="6"/>
        <v>0.10999999999999999</v>
      </c>
    </row>
    <row r="23" spans="1:15" ht="17.25" customHeight="1" x14ac:dyDescent="0.25">
      <c r="A23" s="116">
        <v>12</v>
      </c>
      <c r="B23" s="188" t="s">
        <v>105</v>
      </c>
      <c r="C23" s="103" t="s">
        <v>149</v>
      </c>
      <c r="D23" s="108" t="s">
        <v>207</v>
      </c>
      <c r="E23" s="105">
        <v>2.54</v>
      </c>
      <c r="F23" s="82">
        <v>175853</v>
      </c>
      <c r="G23" s="82">
        <f>F23</f>
        <v>175853</v>
      </c>
      <c r="H23" s="106">
        <f t="shared" si="0"/>
        <v>0</v>
      </c>
      <c r="I23" s="106">
        <f t="shared" si="5"/>
        <v>0</v>
      </c>
      <c r="J23" s="115">
        <f t="shared" si="1"/>
        <v>190500</v>
      </c>
      <c r="K23" s="115">
        <f t="shared" si="2"/>
        <v>0</v>
      </c>
      <c r="L23" s="115"/>
      <c r="M23" s="107">
        <f t="shared" si="3"/>
        <v>190500.12</v>
      </c>
      <c r="N23" s="124">
        <f t="shared" si="4"/>
        <v>196215.12</v>
      </c>
      <c r="O23" s="51">
        <f t="shared" si="6"/>
        <v>0.11999999999999998</v>
      </c>
    </row>
    <row r="24" spans="1:15" ht="17.100000000000001" customHeight="1" x14ac:dyDescent="0.25">
      <c r="A24" s="116">
        <v>13</v>
      </c>
      <c r="B24" s="188" t="s">
        <v>106</v>
      </c>
      <c r="C24" s="103" t="s">
        <v>150</v>
      </c>
      <c r="D24" s="108"/>
      <c r="E24" s="105">
        <v>5.19</v>
      </c>
      <c r="F24" s="82">
        <v>359322</v>
      </c>
      <c r="G24" s="82">
        <f>364861-G43</f>
        <v>359322</v>
      </c>
      <c r="H24" s="106">
        <f t="shared" si="0"/>
        <v>0</v>
      </c>
      <c r="I24" s="106">
        <f t="shared" si="5"/>
        <v>0</v>
      </c>
      <c r="J24" s="115">
        <f t="shared" si="1"/>
        <v>389250</v>
      </c>
      <c r="K24" s="115">
        <f t="shared" si="2"/>
        <v>0</v>
      </c>
      <c r="L24" s="115"/>
      <c r="M24" s="107">
        <f t="shared" si="3"/>
        <v>389250.13</v>
      </c>
      <c r="N24" s="124">
        <f t="shared" si="4"/>
        <v>400928.13</v>
      </c>
      <c r="O24" s="51">
        <f t="shared" si="6"/>
        <v>0.12999999999999998</v>
      </c>
    </row>
    <row r="25" spans="1:15" ht="17.100000000000001" customHeight="1" x14ac:dyDescent="0.25">
      <c r="A25" s="116">
        <v>14</v>
      </c>
      <c r="B25" s="188" t="s">
        <v>107</v>
      </c>
      <c r="C25" s="103" t="s">
        <v>151</v>
      </c>
      <c r="D25" s="108"/>
      <c r="E25" s="105">
        <v>3.4</v>
      </c>
      <c r="F25" s="82">
        <v>234610</v>
      </c>
      <c r="G25" s="82">
        <f>301167-G49</f>
        <v>234010</v>
      </c>
      <c r="H25" s="106">
        <f t="shared" si="0"/>
        <v>600</v>
      </c>
      <c r="I25" s="106">
        <f t="shared" si="5"/>
        <v>18</v>
      </c>
      <c r="J25" s="115">
        <f t="shared" si="1"/>
        <v>255000</v>
      </c>
      <c r="K25" s="115">
        <f t="shared" si="2"/>
        <v>0</v>
      </c>
      <c r="L25" s="115"/>
      <c r="M25" s="107">
        <f t="shared" si="3"/>
        <v>255618.14</v>
      </c>
      <c r="N25" s="124">
        <f t="shared" si="4"/>
        <v>263287.14</v>
      </c>
      <c r="O25" s="51">
        <f t="shared" si="6"/>
        <v>0.13999999999999999</v>
      </c>
    </row>
    <row r="26" spans="1:15" ht="17.100000000000001" customHeight="1" x14ac:dyDescent="0.25">
      <c r="A26" s="116">
        <v>15</v>
      </c>
      <c r="B26" s="188" t="s">
        <v>108</v>
      </c>
      <c r="C26" s="103" t="s">
        <v>152</v>
      </c>
      <c r="D26" s="192" t="s">
        <v>204</v>
      </c>
      <c r="E26" s="105">
        <v>2.54</v>
      </c>
      <c r="F26" s="82">
        <v>175853</v>
      </c>
      <c r="G26" s="82">
        <v>141732</v>
      </c>
      <c r="H26" s="106">
        <f t="shared" si="0"/>
        <v>34121</v>
      </c>
      <c r="I26" s="106">
        <f t="shared" si="5"/>
        <v>1023.63</v>
      </c>
      <c r="J26" s="115">
        <f t="shared" si="1"/>
        <v>190500</v>
      </c>
      <c r="K26" s="115">
        <f t="shared" si="2"/>
        <v>0</v>
      </c>
      <c r="L26" s="115"/>
      <c r="M26" s="107">
        <f t="shared" si="3"/>
        <v>225645.15</v>
      </c>
      <c r="N26" s="124">
        <f t="shared" si="4"/>
        <v>232414.15</v>
      </c>
      <c r="O26" s="51">
        <f t="shared" si="6"/>
        <v>0.15</v>
      </c>
    </row>
    <row r="27" spans="1:15" ht="17.100000000000001" customHeight="1" x14ac:dyDescent="0.25">
      <c r="A27" s="116">
        <v>16</v>
      </c>
      <c r="B27" s="188" t="s">
        <v>109</v>
      </c>
      <c r="C27" s="103" t="s">
        <v>153</v>
      </c>
      <c r="D27" s="103"/>
      <c r="E27" s="105">
        <v>5.19</v>
      </c>
      <c r="F27" s="82">
        <v>359322</v>
      </c>
      <c r="G27" s="82">
        <f>414017-G47</f>
        <v>359322</v>
      </c>
      <c r="H27" s="106">
        <f t="shared" si="0"/>
        <v>0</v>
      </c>
      <c r="I27" s="106">
        <f t="shared" si="5"/>
        <v>0</v>
      </c>
      <c r="J27" s="115">
        <f t="shared" si="1"/>
        <v>389250</v>
      </c>
      <c r="K27" s="115">
        <f t="shared" si="2"/>
        <v>0</v>
      </c>
      <c r="L27" s="115"/>
      <c r="M27" s="107">
        <f t="shared" si="3"/>
        <v>389250.16</v>
      </c>
      <c r="N27" s="124">
        <f t="shared" si="4"/>
        <v>400928.16</v>
      </c>
      <c r="O27" s="51">
        <f t="shared" si="6"/>
        <v>0.16</v>
      </c>
    </row>
    <row r="28" spans="1:15" ht="17.100000000000001" customHeight="1" x14ac:dyDescent="0.25">
      <c r="A28" s="116">
        <v>17</v>
      </c>
      <c r="B28" s="188" t="s">
        <v>110</v>
      </c>
      <c r="C28" s="103" t="s">
        <v>154</v>
      </c>
      <c r="D28" s="108"/>
      <c r="E28" s="105">
        <v>3.4</v>
      </c>
      <c r="F28" s="82">
        <v>235394</v>
      </c>
      <c r="G28" s="82"/>
      <c r="H28" s="106">
        <f t="shared" si="0"/>
        <v>235394</v>
      </c>
      <c r="I28" s="106">
        <f t="shared" si="5"/>
        <v>7061.82</v>
      </c>
      <c r="J28" s="115">
        <f t="shared" si="1"/>
        <v>255000</v>
      </c>
      <c r="K28" s="115">
        <f t="shared" si="2"/>
        <v>0</v>
      </c>
      <c r="L28" s="115"/>
      <c r="M28" s="107">
        <f t="shared" si="3"/>
        <v>497456.17</v>
      </c>
      <c r="N28" s="124">
        <f t="shared" si="4"/>
        <v>512380.17</v>
      </c>
      <c r="O28" s="51">
        <f t="shared" si="6"/>
        <v>0.17</v>
      </c>
    </row>
    <row r="29" spans="1:15" ht="17.100000000000001" customHeight="1" x14ac:dyDescent="0.25">
      <c r="A29" s="116">
        <v>18</v>
      </c>
      <c r="B29" s="188" t="s">
        <v>111</v>
      </c>
      <c r="C29" s="103" t="s">
        <v>155</v>
      </c>
      <c r="D29" s="104"/>
      <c r="E29" s="105">
        <v>2.54</v>
      </c>
      <c r="F29" s="82">
        <v>1184619</v>
      </c>
      <c r="G29" s="82"/>
      <c r="H29" s="106">
        <f t="shared" si="0"/>
        <v>1184619</v>
      </c>
      <c r="I29" s="106">
        <f t="shared" si="5"/>
        <v>35538.57</v>
      </c>
      <c r="J29" s="115">
        <f t="shared" si="1"/>
        <v>190500</v>
      </c>
      <c r="K29" s="115">
        <f t="shared" si="2"/>
        <v>0</v>
      </c>
      <c r="L29" s="115"/>
      <c r="M29" s="107">
        <f t="shared" si="3"/>
        <v>1410658.18</v>
      </c>
      <c r="N29" s="124">
        <f t="shared" si="4"/>
        <v>1452978.18</v>
      </c>
      <c r="O29" s="51">
        <f t="shared" si="6"/>
        <v>0.18000000000000002</v>
      </c>
    </row>
    <row r="30" spans="1:15" x14ac:dyDescent="0.25">
      <c r="A30" s="116">
        <v>19</v>
      </c>
      <c r="B30" s="188" t="s">
        <v>112</v>
      </c>
      <c r="C30" s="103" t="s">
        <v>156</v>
      </c>
      <c r="D30" s="108"/>
      <c r="E30" s="105">
        <v>5.19</v>
      </c>
      <c r="F30" s="82">
        <v>745850</v>
      </c>
      <c r="G30" s="82">
        <v>400000</v>
      </c>
      <c r="H30" s="106">
        <f t="shared" si="0"/>
        <v>345850</v>
      </c>
      <c r="I30" s="106">
        <f t="shared" si="5"/>
        <v>10375.5</v>
      </c>
      <c r="J30" s="115">
        <f t="shared" si="1"/>
        <v>389250</v>
      </c>
      <c r="K30" s="115">
        <f t="shared" si="2"/>
        <v>0</v>
      </c>
      <c r="L30" s="115"/>
      <c r="M30" s="107">
        <f t="shared" si="3"/>
        <v>745476.19</v>
      </c>
      <c r="N30" s="124">
        <f t="shared" si="4"/>
        <v>767840.19</v>
      </c>
      <c r="O30" s="51">
        <f>O29+0.01</f>
        <v>0.19000000000000003</v>
      </c>
    </row>
    <row r="31" spans="1:15" x14ac:dyDescent="0.25">
      <c r="A31" s="116">
        <v>20</v>
      </c>
      <c r="B31" s="188" t="s">
        <v>113</v>
      </c>
      <c r="C31" s="103" t="s">
        <v>157</v>
      </c>
      <c r="D31" s="108"/>
      <c r="E31" s="105">
        <v>3.4</v>
      </c>
      <c r="F31" s="82">
        <v>235394</v>
      </c>
      <c r="G31" s="82">
        <f>240933-G45</f>
        <v>235394</v>
      </c>
      <c r="H31" s="106">
        <f t="shared" si="0"/>
        <v>0</v>
      </c>
      <c r="I31" s="106"/>
      <c r="J31" s="115">
        <f t="shared" si="1"/>
        <v>255000</v>
      </c>
      <c r="K31" s="115">
        <f t="shared" si="2"/>
        <v>0</v>
      </c>
      <c r="L31" s="115"/>
      <c r="M31" s="107">
        <f t="shared" si="3"/>
        <v>255000.2</v>
      </c>
      <c r="N31" s="124">
        <f t="shared" si="4"/>
        <v>262650.2</v>
      </c>
      <c r="O31" s="51">
        <f t="shared" ref="O31:O57" si="7">O30+0.01</f>
        <v>0.20000000000000004</v>
      </c>
    </row>
    <row r="32" spans="1:15" x14ac:dyDescent="0.25">
      <c r="A32" s="116">
        <v>21</v>
      </c>
      <c r="B32" s="188" t="s">
        <v>114</v>
      </c>
      <c r="C32" s="109" t="s">
        <v>144</v>
      </c>
      <c r="D32" s="108" t="s">
        <v>201</v>
      </c>
      <c r="E32" s="105">
        <v>2.54</v>
      </c>
      <c r="F32" s="82">
        <v>175853</v>
      </c>
      <c r="G32" s="82">
        <v>175853</v>
      </c>
      <c r="H32" s="106">
        <f t="shared" si="0"/>
        <v>0</v>
      </c>
      <c r="I32" s="106">
        <f t="shared" si="5"/>
        <v>0</v>
      </c>
      <c r="J32" s="115">
        <f t="shared" si="1"/>
        <v>190500</v>
      </c>
      <c r="K32" s="115">
        <f t="shared" si="2"/>
        <v>0</v>
      </c>
      <c r="L32" s="115"/>
      <c r="M32" s="107">
        <f t="shared" si="3"/>
        <v>190500.21</v>
      </c>
      <c r="N32" s="124">
        <f t="shared" si="4"/>
        <v>196215.21</v>
      </c>
      <c r="O32" s="51">
        <f t="shared" si="7"/>
        <v>0.21000000000000005</v>
      </c>
    </row>
    <row r="33" spans="1:16" ht="23.25" x14ac:dyDescent="0.25">
      <c r="A33" s="116">
        <f>A32+1</f>
        <v>22</v>
      </c>
      <c r="B33" s="188" t="s">
        <v>115</v>
      </c>
      <c r="C33" s="109" t="s">
        <v>158</v>
      </c>
      <c r="D33" s="108" t="s">
        <v>216</v>
      </c>
      <c r="E33" s="105">
        <v>4.9400000000000004</v>
      </c>
      <c r="F33" s="82">
        <v>342014</v>
      </c>
      <c r="G33" s="82">
        <f>342014</f>
        <v>342014</v>
      </c>
      <c r="H33" s="106">
        <f t="shared" si="0"/>
        <v>0</v>
      </c>
      <c r="I33" s="106">
        <f t="shared" si="5"/>
        <v>0</v>
      </c>
      <c r="J33" s="115">
        <f t="shared" si="1"/>
        <v>370500</v>
      </c>
      <c r="K33" s="115">
        <f t="shared" si="2"/>
        <v>0</v>
      </c>
      <c r="L33" s="115"/>
      <c r="M33" s="107">
        <f t="shared" si="3"/>
        <v>370500.22</v>
      </c>
      <c r="N33" s="124">
        <f t="shared" ref="N33:N57" si="8">ROUND(M33*3%,0) + M33</f>
        <v>381615.22</v>
      </c>
      <c r="O33" s="51">
        <f t="shared" si="7"/>
        <v>0.22000000000000006</v>
      </c>
    </row>
    <row r="34" spans="1:16" x14ac:dyDescent="0.25">
      <c r="A34" s="116">
        <f t="shared" ref="A34:A57" si="9">A33+1</f>
        <v>23</v>
      </c>
      <c r="B34" s="188" t="s">
        <v>116</v>
      </c>
      <c r="C34" s="109" t="s">
        <v>159</v>
      </c>
      <c r="D34" s="108" t="s">
        <v>209</v>
      </c>
      <c r="E34" s="105">
        <v>3.28</v>
      </c>
      <c r="F34" s="82">
        <v>233819</v>
      </c>
      <c r="G34" s="82">
        <v>233000</v>
      </c>
      <c r="H34" s="106">
        <f t="shared" si="0"/>
        <v>819</v>
      </c>
      <c r="I34" s="106">
        <f t="shared" si="5"/>
        <v>24.57</v>
      </c>
      <c r="J34" s="115">
        <f t="shared" si="1"/>
        <v>246000</v>
      </c>
      <c r="K34" s="115">
        <f t="shared" si="2"/>
        <v>0</v>
      </c>
      <c r="L34" s="115"/>
      <c r="M34" s="107">
        <f t="shared" si="3"/>
        <v>246844.23</v>
      </c>
      <c r="N34" s="124">
        <f t="shared" si="8"/>
        <v>254249.23</v>
      </c>
      <c r="O34" s="51">
        <f t="shared" si="7"/>
        <v>0.23000000000000007</v>
      </c>
    </row>
    <row r="35" spans="1:16" x14ac:dyDescent="0.25">
      <c r="A35" s="116">
        <f t="shared" si="9"/>
        <v>24</v>
      </c>
      <c r="B35" s="188" t="s">
        <v>117</v>
      </c>
      <c r="C35" s="109" t="s">
        <v>160</v>
      </c>
      <c r="D35" s="108"/>
      <c r="E35" s="105">
        <v>2.41</v>
      </c>
      <c r="F35" s="82">
        <v>171357</v>
      </c>
      <c r="G35" s="82">
        <v>171357</v>
      </c>
      <c r="H35" s="106">
        <f t="shared" si="0"/>
        <v>0</v>
      </c>
      <c r="I35" s="106">
        <f t="shared" si="5"/>
        <v>0</v>
      </c>
      <c r="J35" s="115">
        <f t="shared" si="1"/>
        <v>180750</v>
      </c>
      <c r="K35" s="115">
        <f t="shared" si="2"/>
        <v>0</v>
      </c>
      <c r="L35" s="115"/>
      <c r="M35" s="107">
        <f t="shared" si="3"/>
        <v>180750.24</v>
      </c>
      <c r="N35" s="124">
        <f t="shared" si="8"/>
        <v>186173.24</v>
      </c>
      <c r="O35" s="51">
        <f t="shared" si="7"/>
        <v>0.24000000000000007</v>
      </c>
    </row>
    <row r="36" spans="1:16" x14ac:dyDescent="0.25">
      <c r="A36" s="116">
        <f t="shared" si="9"/>
        <v>25</v>
      </c>
      <c r="B36" s="188" t="s">
        <v>118</v>
      </c>
      <c r="C36" s="109" t="s">
        <v>159</v>
      </c>
      <c r="D36" s="108"/>
      <c r="E36" s="105">
        <v>0.44</v>
      </c>
      <c r="F36" s="82">
        <v>31499</v>
      </c>
      <c r="G36" s="82">
        <f>149000-G50-G57</f>
        <v>39610</v>
      </c>
      <c r="H36" s="106">
        <f t="shared" si="0"/>
        <v>-8111</v>
      </c>
      <c r="I36" s="106">
        <f t="shared" si="5"/>
        <v>0</v>
      </c>
      <c r="J36" s="115">
        <f t="shared" si="1"/>
        <v>33000</v>
      </c>
      <c r="K36" s="115">
        <f t="shared" si="2"/>
        <v>0</v>
      </c>
      <c r="L36" s="115"/>
      <c r="M36" s="107">
        <f t="shared" si="3"/>
        <v>24889.25</v>
      </c>
      <c r="N36" s="124">
        <f t="shared" si="8"/>
        <v>25636.25</v>
      </c>
      <c r="O36" s="51">
        <f t="shared" si="7"/>
        <v>0.25000000000000006</v>
      </c>
      <c r="P36" t="s">
        <v>217</v>
      </c>
    </row>
    <row r="37" spans="1:16" x14ac:dyDescent="0.25">
      <c r="A37" s="116">
        <f t="shared" si="9"/>
        <v>26</v>
      </c>
      <c r="B37" s="188" t="s">
        <v>120</v>
      </c>
      <c r="C37" s="109" t="s">
        <v>147</v>
      </c>
      <c r="D37" s="108"/>
      <c r="E37" s="105">
        <v>0.55000000000000004</v>
      </c>
      <c r="F37" s="82">
        <v>38078</v>
      </c>
      <c r="G37" s="82">
        <v>38078</v>
      </c>
      <c r="H37" s="106">
        <f t="shared" si="0"/>
        <v>0</v>
      </c>
      <c r="I37" s="106">
        <f t="shared" si="5"/>
        <v>0</v>
      </c>
      <c r="J37" s="115">
        <f t="shared" si="1"/>
        <v>41250.000000000007</v>
      </c>
      <c r="K37" s="115">
        <f t="shared" si="2"/>
        <v>0</v>
      </c>
      <c r="L37" s="115"/>
      <c r="M37" s="107">
        <f t="shared" si="3"/>
        <v>41250.26</v>
      </c>
      <c r="N37" s="124">
        <f t="shared" si="8"/>
        <v>42488.26</v>
      </c>
      <c r="O37" s="51">
        <f t="shared" si="7"/>
        <v>0.26000000000000006</v>
      </c>
    </row>
    <row r="38" spans="1:16" x14ac:dyDescent="0.25">
      <c r="A38" s="116">
        <f t="shared" si="9"/>
        <v>27</v>
      </c>
      <c r="B38" s="188" t="s">
        <v>119</v>
      </c>
      <c r="C38" s="109" t="s">
        <v>147</v>
      </c>
      <c r="D38" s="108"/>
      <c r="E38" s="105">
        <v>0.53</v>
      </c>
      <c r="F38" s="82">
        <v>36694</v>
      </c>
      <c r="G38" s="82"/>
      <c r="H38" s="106">
        <f t="shared" si="0"/>
        <v>36694</v>
      </c>
      <c r="I38" s="106">
        <f t="shared" si="5"/>
        <v>1100.82</v>
      </c>
      <c r="J38" s="115">
        <f t="shared" si="1"/>
        <v>39750</v>
      </c>
      <c r="K38" s="115">
        <f t="shared" si="2"/>
        <v>0</v>
      </c>
      <c r="L38" s="115"/>
      <c r="M38" s="107">
        <f t="shared" si="3"/>
        <v>77545.27</v>
      </c>
      <c r="N38" s="124">
        <f t="shared" si="8"/>
        <v>79871.27</v>
      </c>
      <c r="O38" s="51">
        <f t="shared" si="7"/>
        <v>0.27000000000000007</v>
      </c>
    </row>
    <row r="39" spans="1:16" x14ac:dyDescent="0.25">
      <c r="A39" s="116">
        <f t="shared" si="9"/>
        <v>28</v>
      </c>
      <c r="B39" s="188" t="s">
        <v>121</v>
      </c>
      <c r="C39" s="109" t="s">
        <v>161</v>
      </c>
      <c r="D39" s="192" t="s">
        <v>208</v>
      </c>
      <c r="E39" s="105">
        <v>0.28999999999999998</v>
      </c>
      <c r="F39" s="82">
        <v>20078</v>
      </c>
      <c r="G39" s="82">
        <v>22000</v>
      </c>
      <c r="H39" s="106">
        <f t="shared" si="0"/>
        <v>-1922</v>
      </c>
      <c r="I39" s="106">
        <f t="shared" si="5"/>
        <v>0</v>
      </c>
      <c r="J39" s="115">
        <f t="shared" si="1"/>
        <v>21750</v>
      </c>
      <c r="K39" s="115">
        <f t="shared" si="2"/>
        <v>0</v>
      </c>
      <c r="L39" s="115"/>
      <c r="M39" s="107">
        <f t="shared" si="3"/>
        <v>19828.28</v>
      </c>
      <c r="N39" s="124">
        <f t="shared" si="8"/>
        <v>20423.28</v>
      </c>
      <c r="O39" s="51">
        <f t="shared" si="7"/>
        <v>0.28000000000000008</v>
      </c>
    </row>
    <row r="40" spans="1:16" x14ac:dyDescent="0.25">
      <c r="A40" s="116">
        <f t="shared" si="9"/>
        <v>29</v>
      </c>
      <c r="B40" s="188" t="s">
        <v>122</v>
      </c>
      <c r="C40" s="109" t="s">
        <v>148</v>
      </c>
      <c r="D40" s="108" t="s">
        <v>203</v>
      </c>
      <c r="E40" s="105">
        <v>0.08</v>
      </c>
      <c r="F40" s="82">
        <v>5737</v>
      </c>
      <c r="G40" s="82">
        <f>F40</f>
        <v>5737</v>
      </c>
      <c r="H40" s="106">
        <f t="shared" si="0"/>
        <v>0</v>
      </c>
      <c r="I40" s="106">
        <f t="shared" si="5"/>
        <v>0</v>
      </c>
      <c r="J40" s="115">
        <f t="shared" si="1"/>
        <v>6000</v>
      </c>
      <c r="K40" s="115">
        <f t="shared" si="2"/>
        <v>0</v>
      </c>
      <c r="L40" s="115"/>
      <c r="M40" s="107">
        <f t="shared" si="3"/>
        <v>6000.29</v>
      </c>
      <c r="N40" s="124">
        <f t="shared" si="8"/>
        <v>6180.29</v>
      </c>
      <c r="O40" s="51">
        <f t="shared" si="7"/>
        <v>0.29000000000000009</v>
      </c>
    </row>
    <row r="41" spans="1:16" x14ac:dyDescent="0.25">
      <c r="A41" s="116">
        <f t="shared" si="9"/>
        <v>30</v>
      </c>
      <c r="B41" s="188" t="s">
        <v>123</v>
      </c>
      <c r="C41" s="109" t="s">
        <v>140</v>
      </c>
      <c r="D41" s="108"/>
      <c r="E41" s="105">
        <v>0.08</v>
      </c>
      <c r="F41" s="82">
        <v>5539</v>
      </c>
      <c r="G41" s="82">
        <v>5539</v>
      </c>
      <c r="H41" s="106">
        <f t="shared" si="0"/>
        <v>0</v>
      </c>
      <c r="I41" s="106">
        <f t="shared" si="5"/>
        <v>0</v>
      </c>
      <c r="J41" s="115">
        <f t="shared" si="1"/>
        <v>6000</v>
      </c>
      <c r="K41" s="115">
        <f t="shared" si="2"/>
        <v>0</v>
      </c>
      <c r="L41" s="115"/>
      <c r="M41" s="107">
        <f t="shared" si="3"/>
        <v>6000.3</v>
      </c>
      <c r="N41" s="124">
        <f t="shared" si="8"/>
        <v>6180.3</v>
      </c>
      <c r="O41" s="51">
        <f t="shared" si="7"/>
        <v>0.3000000000000001</v>
      </c>
    </row>
    <row r="42" spans="1:16" x14ac:dyDescent="0.25">
      <c r="A42" s="116">
        <f t="shared" si="9"/>
        <v>31</v>
      </c>
      <c r="B42" s="188" t="s">
        <v>124</v>
      </c>
      <c r="C42" s="109" t="s">
        <v>143</v>
      </c>
      <c r="D42" s="108"/>
      <c r="E42" s="105">
        <v>0.08</v>
      </c>
      <c r="F42" s="82">
        <v>5539</v>
      </c>
      <c r="G42" s="82"/>
      <c r="H42" s="106">
        <f t="shared" si="0"/>
        <v>5539</v>
      </c>
      <c r="I42" s="106">
        <f t="shared" si="5"/>
        <v>166.17</v>
      </c>
      <c r="J42" s="115">
        <f t="shared" si="1"/>
        <v>6000</v>
      </c>
      <c r="K42" s="115">
        <f t="shared" si="2"/>
        <v>0</v>
      </c>
      <c r="L42" s="115"/>
      <c r="M42" s="107">
        <f t="shared" si="3"/>
        <v>11705.31</v>
      </c>
      <c r="N42" s="124">
        <f t="shared" si="8"/>
        <v>12056.31</v>
      </c>
      <c r="O42" s="51">
        <f t="shared" si="7"/>
        <v>0.31000000000000011</v>
      </c>
    </row>
    <row r="43" spans="1:16" x14ac:dyDescent="0.25">
      <c r="A43" s="116">
        <f t="shared" si="9"/>
        <v>32</v>
      </c>
      <c r="B43" s="188" t="s">
        <v>125</v>
      </c>
      <c r="C43" s="109" t="s">
        <v>150</v>
      </c>
      <c r="D43" s="108"/>
      <c r="E43" s="105">
        <v>0.08</v>
      </c>
      <c r="F43" s="82">
        <v>5539</v>
      </c>
      <c r="G43" s="82">
        <v>5539</v>
      </c>
      <c r="H43" s="106">
        <f t="shared" si="0"/>
        <v>0</v>
      </c>
      <c r="I43" s="106">
        <f t="shared" si="5"/>
        <v>0</v>
      </c>
      <c r="J43" s="115">
        <f t="shared" si="1"/>
        <v>6000</v>
      </c>
      <c r="K43" s="115">
        <f t="shared" si="2"/>
        <v>0</v>
      </c>
      <c r="L43" s="115"/>
      <c r="M43" s="107">
        <f t="shared" si="3"/>
        <v>6000.32</v>
      </c>
      <c r="N43" s="124">
        <f t="shared" si="8"/>
        <v>6180.32</v>
      </c>
      <c r="O43" s="51">
        <f t="shared" si="7"/>
        <v>0.32000000000000012</v>
      </c>
    </row>
    <row r="44" spans="1:16" x14ac:dyDescent="0.25">
      <c r="A44" s="116">
        <f t="shared" si="9"/>
        <v>33</v>
      </c>
      <c r="B44" s="188" t="s">
        <v>126</v>
      </c>
      <c r="C44" s="109" t="s">
        <v>162</v>
      </c>
      <c r="D44" s="108"/>
      <c r="E44" s="105">
        <v>0.08</v>
      </c>
      <c r="F44" s="82">
        <v>12312</v>
      </c>
      <c r="G44" s="82"/>
      <c r="H44" s="106">
        <f t="shared" si="0"/>
        <v>12312</v>
      </c>
      <c r="I44" s="106"/>
      <c r="J44" s="115">
        <f t="shared" ref="J44:J57" si="10">K$2*E44/100</f>
        <v>6000</v>
      </c>
      <c r="K44" s="115">
        <f t="shared" ref="K44:K57" si="11">F$2*E44/100</f>
        <v>0</v>
      </c>
      <c r="L44" s="115"/>
      <c r="M44" s="107">
        <f t="shared" si="3"/>
        <v>18312.330000000002</v>
      </c>
      <c r="N44" s="124">
        <f t="shared" si="8"/>
        <v>18861.330000000002</v>
      </c>
      <c r="O44" s="51">
        <f t="shared" si="7"/>
        <v>0.33000000000000013</v>
      </c>
    </row>
    <row r="45" spans="1:16" x14ac:dyDescent="0.25">
      <c r="A45" s="116">
        <f t="shared" si="9"/>
        <v>34</v>
      </c>
      <c r="B45" s="188" t="s">
        <v>127</v>
      </c>
      <c r="C45" s="109" t="s">
        <v>157</v>
      </c>
      <c r="D45" s="108"/>
      <c r="E45" s="105">
        <v>0.08</v>
      </c>
      <c r="F45" s="82">
        <v>5539</v>
      </c>
      <c r="G45" s="82">
        <v>5539</v>
      </c>
      <c r="H45" s="106">
        <f t="shared" si="0"/>
        <v>0</v>
      </c>
      <c r="I45" s="106">
        <f t="shared" si="5"/>
        <v>0</v>
      </c>
      <c r="J45" s="115">
        <f t="shared" si="10"/>
        <v>6000</v>
      </c>
      <c r="K45" s="115">
        <f t="shared" si="11"/>
        <v>0</v>
      </c>
      <c r="L45" s="115"/>
      <c r="M45" s="107">
        <f t="shared" si="3"/>
        <v>6000.34</v>
      </c>
      <c r="N45" s="124">
        <f t="shared" si="8"/>
        <v>6180.34</v>
      </c>
      <c r="O45" s="51">
        <f t="shared" si="7"/>
        <v>0.34000000000000014</v>
      </c>
    </row>
    <row r="46" spans="1:16" x14ac:dyDescent="0.25">
      <c r="A46" s="179">
        <f t="shared" si="9"/>
        <v>35</v>
      </c>
      <c r="B46" s="188" t="s">
        <v>128</v>
      </c>
      <c r="C46" s="180" t="s">
        <v>163</v>
      </c>
      <c r="D46" s="181"/>
      <c r="E46" s="182">
        <v>0.09</v>
      </c>
      <c r="F46" s="82">
        <v>6231</v>
      </c>
      <c r="G46" s="82"/>
      <c r="H46" s="183">
        <f t="shared" si="0"/>
        <v>6231</v>
      </c>
      <c r="I46" s="183">
        <f t="shared" si="5"/>
        <v>186.93</v>
      </c>
      <c r="J46" s="184">
        <f t="shared" si="10"/>
        <v>6750</v>
      </c>
      <c r="K46" s="184">
        <f t="shared" si="11"/>
        <v>0</v>
      </c>
      <c r="L46" s="184"/>
      <c r="M46" s="107">
        <f t="shared" si="3"/>
        <v>13168.35</v>
      </c>
      <c r="N46" s="124">
        <f t="shared" si="8"/>
        <v>13563.35</v>
      </c>
      <c r="O46" s="51">
        <f t="shared" si="7"/>
        <v>0.35000000000000014</v>
      </c>
    </row>
    <row r="47" spans="1:16" x14ac:dyDescent="0.25">
      <c r="A47" s="116">
        <f t="shared" si="9"/>
        <v>36</v>
      </c>
      <c r="B47" s="188" t="s">
        <v>129</v>
      </c>
      <c r="C47" s="109" t="s">
        <v>153</v>
      </c>
      <c r="D47" s="108"/>
      <c r="E47" s="105">
        <v>0.79</v>
      </c>
      <c r="F47" s="82">
        <v>54695</v>
      </c>
      <c r="G47" s="82">
        <v>54695</v>
      </c>
      <c r="H47" s="106">
        <f t="shared" si="0"/>
        <v>0</v>
      </c>
      <c r="I47" s="106">
        <f t="shared" si="5"/>
        <v>0</v>
      </c>
      <c r="J47" s="115">
        <f t="shared" si="10"/>
        <v>59250</v>
      </c>
      <c r="K47" s="115">
        <f t="shared" si="11"/>
        <v>0</v>
      </c>
      <c r="L47" s="115"/>
      <c r="M47" s="107">
        <f t="shared" si="3"/>
        <v>59250.36</v>
      </c>
      <c r="N47" s="124">
        <f t="shared" si="8"/>
        <v>61028.36</v>
      </c>
      <c r="O47" s="51">
        <f t="shared" si="7"/>
        <v>0.36000000000000015</v>
      </c>
    </row>
    <row r="48" spans="1:16" x14ac:dyDescent="0.25">
      <c r="A48" s="116">
        <f t="shared" si="9"/>
        <v>37</v>
      </c>
      <c r="B48" s="188" t="s">
        <v>130</v>
      </c>
      <c r="C48" s="109" t="s">
        <v>158</v>
      </c>
      <c r="D48" s="108"/>
      <c r="E48" s="105">
        <v>1</v>
      </c>
      <c r="F48" s="82">
        <v>153892</v>
      </c>
      <c r="G48" s="82"/>
      <c r="H48" s="106">
        <f t="shared" si="0"/>
        <v>153892</v>
      </c>
      <c r="I48" s="106">
        <f t="shared" si="5"/>
        <v>4616.76</v>
      </c>
      <c r="J48" s="115">
        <f t="shared" si="10"/>
        <v>75000</v>
      </c>
      <c r="K48" s="115">
        <f t="shared" si="11"/>
        <v>0</v>
      </c>
      <c r="L48" s="115"/>
      <c r="M48" s="107">
        <f t="shared" si="3"/>
        <v>233509.37</v>
      </c>
      <c r="N48" s="124">
        <f t="shared" si="8"/>
        <v>240514.37</v>
      </c>
      <c r="O48" s="51">
        <f t="shared" si="7"/>
        <v>0.37000000000000016</v>
      </c>
    </row>
    <row r="49" spans="1:16" x14ac:dyDescent="0.25">
      <c r="A49" s="116">
        <f t="shared" si="9"/>
        <v>38</v>
      </c>
      <c r="B49" s="188" t="s">
        <v>131</v>
      </c>
      <c r="C49" s="109" t="s">
        <v>151</v>
      </c>
      <c r="D49" s="108"/>
      <c r="E49" s="105">
        <v>0.97</v>
      </c>
      <c r="F49" s="82">
        <v>67157</v>
      </c>
      <c r="G49" s="82">
        <v>67157</v>
      </c>
      <c r="H49" s="106">
        <f t="shared" si="0"/>
        <v>0</v>
      </c>
      <c r="I49" s="106">
        <f t="shared" si="5"/>
        <v>0</v>
      </c>
      <c r="J49" s="115">
        <f t="shared" si="10"/>
        <v>72750</v>
      </c>
      <c r="K49" s="115">
        <f t="shared" si="11"/>
        <v>0</v>
      </c>
      <c r="L49" s="115"/>
      <c r="M49" s="107">
        <f t="shared" si="3"/>
        <v>72750.38</v>
      </c>
      <c r="N49" s="124">
        <f t="shared" si="8"/>
        <v>74933.38</v>
      </c>
      <c r="O49" s="51">
        <f t="shared" si="7"/>
        <v>0.38000000000000017</v>
      </c>
    </row>
    <row r="50" spans="1:16" x14ac:dyDescent="0.25">
      <c r="A50" s="116">
        <f t="shared" si="9"/>
        <v>39</v>
      </c>
      <c r="B50" s="188" t="s">
        <v>132</v>
      </c>
      <c r="C50" s="109" t="s">
        <v>164</v>
      </c>
      <c r="D50" s="108"/>
      <c r="E50" s="105">
        <v>0.77</v>
      </c>
      <c r="F50" s="82">
        <v>55162</v>
      </c>
      <c r="G50" s="82">
        <v>54695</v>
      </c>
      <c r="H50" s="106">
        <f t="shared" si="0"/>
        <v>467</v>
      </c>
      <c r="I50" s="106">
        <f t="shared" si="5"/>
        <v>14.01</v>
      </c>
      <c r="J50" s="115">
        <f t="shared" si="10"/>
        <v>57750</v>
      </c>
      <c r="K50" s="115">
        <f t="shared" si="11"/>
        <v>0</v>
      </c>
      <c r="L50" s="115"/>
      <c r="M50" s="107">
        <f t="shared" si="3"/>
        <v>58231.39</v>
      </c>
      <c r="N50" s="124">
        <f t="shared" si="8"/>
        <v>59978.39</v>
      </c>
      <c r="O50" s="51">
        <f t="shared" si="7"/>
        <v>0.39000000000000018</v>
      </c>
      <c r="P50" t="s">
        <v>217</v>
      </c>
    </row>
    <row r="51" spans="1:16" x14ac:dyDescent="0.25">
      <c r="A51" s="116">
        <f t="shared" si="9"/>
        <v>40</v>
      </c>
      <c r="B51" s="188" t="s">
        <v>133</v>
      </c>
      <c r="C51" s="109" t="s">
        <v>165</v>
      </c>
      <c r="D51" s="108"/>
      <c r="E51" s="105">
        <v>0.77</v>
      </c>
      <c r="F51" s="82">
        <v>53310</v>
      </c>
      <c r="G51" s="82"/>
      <c r="H51" s="106">
        <f t="shared" si="0"/>
        <v>53310</v>
      </c>
      <c r="I51" s="106">
        <f t="shared" si="5"/>
        <v>1599.3</v>
      </c>
      <c r="J51" s="115">
        <f t="shared" si="10"/>
        <v>57750</v>
      </c>
      <c r="K51" s="115">
        <f t="shared" si="11"/>
        <v>0</v>
      </c>
      <c r="L51" s="115"/>
      <c r="M51" s="107">
        <f t="shared" si="3"/>
        <v>112659.4</v>
      </c>
      <c r="N51" s="124">
        <f t="shared" si="8"/>
        <v>116039.4</v>
      </c>
      <c r="O51" s="51">
        <f t="shared" si="7"/>
        <v>0.40000000000000019</v>
      </c>
    </row>
    <row r="52" spans="1:16" x14ac:dyDescent="0.25">
      <c r="A52" s="116">
        <f t="shared" si="9"/>
        <v>41</v>
      </c>
      <c r="B52" s="188" t="s">
        <v>134</v>
      </c>
      <c r="C52" s="109" t="s">
        <v>144</v>
      </c>
      <c r="D52" s="108" t="s">
        <v>202</v>
      </c>
      <c r="E52" s="105">
        <v>0.81</v>
      </c>
      <c r="F52" s="82">
        <v>56079</v>
      </c>
      <c r="G52" s="82">
        <v>56079</v>
      </c>
      <c r="H52" s="106">
        <f t="shared" si="0"/>
        <v>0</v>
      </c>
      <c r="I52" s="106">
        <f t="shared" si="5"/>
        <v>0</v>
      </c>
      <c r="J52" s="115">
        <f t="shared" si="10"/>
        <v>60750</v>
      </c>
      <c r="K52" s="115">
        <f t="shared" si="11"/>
        <v>0</v>
      </c>
      <c r="L52" s="115"/>
      <c r="M52" s="107">
        <f t="shared" si="3"/>
        <v>60750.41</v>
      </c>
      <c r="N52" s="124">
        <f t="shared" si="8"/>
        <v>62573.41</v>
      </c>
      <c r="O52" s="51">
        <f t="shared" si="7"/>
        <v>0.4100000000000002</v>
      </c>
    </row>
    <row r="53" spans="1:16" x14ac:dyDescent="0.25">
      <c r="A53" s="116">
        <f t="shared" si="9"/>
        <v>42</v>
      </c>
      <c r="B53" s="188" t="s">
        <v>135</v>
      </c>
      <c r="C53" s="109" t="s">
        <v>165</v>
      </c>
      <c r="D53" s="108" t="s">
        <v>206</v>
      </c>
      <c r="E53" s="105">
        <v>0.77</v>
      </c>
      <c r="F53" s="82">
        <v>53310</v>
      </c>
      <c r="G53" s="82">
        <v>53310</v>
      </c>
      <c r="H53" s="106">
        <f t="shared" si="0"/>
        <v>0</v>
      </c>
      <c r="I53" s="106"/>
      <c r="J53" s="115">
        <f t="shared" si="10"/>
        <v>57750</v>
      </c>
      <c r="K53" s="115">
        <f t="shared" si="11"/>
        <v>0</v>
      </c>
      <c r="L53" s="115"/>
      <c r="M53" s="107">
        <f t="shared" si="3"/>
        <v>57750.42</v>
      </c>
      <c r="N53" s="124">
        <f t="shared" si="8"/>
        <v>59483.42</v>
      </c>
      <c r="O53" s="51">
        <f t="shared" si="7"/>
        <v>0.42000000000000021</v>
      </c>
    </row>
    <row r="54" spans="1:16" x14ac:dyDescent="0.25">
      <c r="A54" s="116">
        <f t="shared" si="9"/>
        <v>43</v>
      </c>
      <c r="B54" s="188" t="s">
        <v>136</v>
      </c>
      <c r="C54" s="109" t="s">
        <v>158</v>
      </c>
      <c r="D54" s="108"/>
      <c r="E54" s="105">
        <v>0.77</v>
      </c>
      <c r="F54" s="82">
        <v>116597</v>
      </c>
      <c r="G54" s="82"/>
      <c r="H54" s="106">
        <f t="shared" si="0"/>
        <v>116597</v>
      </c>
      <c r="I54" s="106">
        <f t="shared" si="5"/>
        <v>3497.91</v>
      </c>
      <c r="J54" s="115">
        <f t="shared" si="10"/>
        <v>57750</v>
      </c>
      <c r="K54" s="115">
        <f t="shared" si="11"/>
        <v>0</v>
      </c>
      <c r="L54" s="115"/>
      <c r="M54" s="107">
        <f t="shared" si="3"/>
        <v>177845.43</v>
      </c>
      <c r="N54" s="124">
        <f t="shared" si="8"/>
        <v>183180.43</v>
      </c>
      <c r="O54" s="51">
        <f t="shared" si="7"/>
        <v>0.43000000000000022</v>
      </c>
    </row>
    <row r="55" spans="1:16" x14ac:dyDescent="0.25">
      <c r="A55" s="116">
        <f t="shared" si="9"/>
        <v>44</v>
      </c>
      <c r="B55" s="188" t="s">
        <v>137</v>
      </c>
      <c r="C55" s="109" t="s">
        <v>152</v>
      </c>
      <c r="D55" s="108"/>
      <c r="E55" s="105">
        <v>0.77</v>
      </c>
      <c r="F55" s="82">
        <v>53217</v>
      </c>
      <c r="G55" s="82"/>
      <c r="H55" s="106">
        <f t="shared" si="0"/>
        <v>53217</v>
      </c>
      <c r="I55" s="106">
        <f t="shared" si="5"/>
        <v>1596.51</v>
      </c>
      <c r="J55" s="115">
        <f t="shared" si="10"/>
        <v>57750</v>
      </c>
      <c r="K55" s="115">
        <f t="shared" si="11"/>
        <v>0</v>
      </c>
      <c r="L55" s="115"/>
      <c r="M55" s="107">
        <f t="shared" si="3"/>
        <v>112564.44</v>
      </c>
      <c r="N55" s="124">
        <f t="shared" si="8"/>
        <v>115941.44</v>
      </c>
      <c r="O55" s="51">
        <f t="shared" si="7"/>
        <v>0.44000000000000022</v>
      </c>
    </row>
    <row r="56" spans="1:16" x14ac:dyDescent="0.25">
      <c r="A56" s="116">
        <f t="shared" si="9"/>
        <v>45</v>
      </c>
      <c r="B56" s="188" t="s">
        <v>138</v>
      </c>
      <c r="C56" s="109" t="s">
        <v>144</v>
      </c>
      <c r="D56" s="108" t="s">
        <v>201</v>
      </c>
      <c r="E56" s="105">
        <v>0.77</v>
      </c>
      <c r="F56" s="82">
        <v>53310</v>
      </c>
      <c r="G56" s="82">
        <f>F56</f>
        <v>53310</v>
      </c>
      <c r="H56" s="106">
        <f t="shared" si="0"/>
        <v>0</v>
      </c>
      <c r="I56" s="106">
        <f t="shared" si="5"/>
        <v>0</v>
      </c>
      <c r="J56" s="115">
        <f t="shared" si="10"/>
        <v>57750</v>
      </c>
      <c r="K56" s="115">
        <f t="shared" si="11"/>
        <v>0</v>
      </c>
      <c r="L56" s="115"/>
      <c r="M56" s="107">
        <f t="shared" si="3"/>
        <v>57750.45</v>
      </c>
      <c r="N56" s="124">
        <f t="shared" si="8"/>
        <v>59483.45</v>
      </c>
      <c r="O56" s="51">
        <f t="shared" si="7"/>
        <v>0.45000000000000023</v>
      </c>
    </row>
    <row r="57" spans="1:16" x14ac:dyDescent="0.25">
      <c r="A57" s="116">
        <f t="shared" si="9"/>
        <v>46</v>
      </c>
      <c r="B57" s="188" t="s">
        <v>139</v>
      </c>
      <c r="C57" s="109" t="s">
        <v>144</v>
      </c>
      <c r="D57" s="108"/>
      <c r="E57" s="105">
        <v>0.86</v>
      </c>
      <c r="F57" s="82">
        <v>61615</v>
      </c>
      <c r="G57" s="82">
        <v>54695</v>
      </c>
      <c r="H57" s="106">
        <f t="shared" si="0"/>
        <v>6920</v>
      </c>
      <c r="I57" s="106">
        <f t="shared" si="5"/>
        <v>207.6</v>
      </c>
      <c r="J57" s="115">
        <f t="shared" si="10"/>
        <v>64500</v>
      </c>
      <c r="K57" s="115">
        <f t="shared" si="11"/>
        <v>0</v>
      </c>
      <c r="L57" s="115"/>
      <c r="M57" s="107">
        <f t="shared" si="3"/>
        <v>71628.460000000006</v>
      </c>
      <c r="N57" s="124">
        <f t="shared" si="8"/>
        <v>73777.460000000006</v>
      </c>
      <c r="O57" s="51">
        <f t="shared" si="7"/>
        <v>0.46000000000000024</v>
      </c>
      <c r="P57" t="s">
        <v>217</v>
      </c>
    </row>
    <row r="58" spans="1:16" x14ac:dyDescent="0.25">
      <c r="A58" s="116"/>
      <c r="B58" s="188"/>
      <c r="C58" s="103"/>
      <c r="D58" s="108"/>
      <c r="E58" s="105"/>
      <c r="F58" s="82"/>
      <c r="G58" s="82"/>
      <c r="H58" s="106"/>
      <c r="I58" s="106"/>
      <c r="J58" s="115"/>
      <c r="K58" s="115"/>
      <c r="L58" s="115"/>
      <c r="M58" s="107"/>
      <c r="N58" s="124"/>
      <c r="O58" s="51"/>
    </row>
    <row r="59" spans="1:16" ht="17.100000000000001" customHeight="1" thickBot="1" x14ac:dyDescent="0.3">
      <c r="A59" s="117"/>
      <c r="B59" s="189"/>
      <c r="C59" s="118"/>
      <c r="D59" s="118"/>
      <c r="E59" s="119">
        <f t="shared" ref="E59:K59" si="12">SUM(E12:E58)</f>
        <v>99.999999999999986</v>
      </c>
      <c r="F59" s="120">
        <f t="shared" si="12"/>
        <v>8670136</v>
      </c>
      <c r="G59" s="121">
        <f t="shared" si="12"/>
        <v>6325948</v>
      </c>
      <c r="H59" s="121">
        <f t="shared" si="12"/>
        <v>2344188</v>
      </c>
      <c r="I59" s="121">
        <f t="shared" si="12"/>
        <v>71731.56</v>
      </c>
      <c r="J59" s="122">
        <f t="shared" si="12"/>
        <v>7500000</v>
      </c>
      <c r="K59" s="121">
        <f t="shared" si="12"/>
        <v>0</v>
      </c>
      <c r="L59" s="123"/>
      <c r="M59" s="128">
        <f>SUM(M12:M58)</f>
        <v>9915932.8099999987</v>
      </c>
      <c r="N59" s="125">
        <f>SUM(N12:N58)</f>
        <v>10213415.810000001</v>
      </c>
    </row>
    <row r="60" spans="1:16" ht="12.75" customHeight="1" x14ac:dyDescent="0.25">
      <c r="C60" s="83"/>
      <c r="D60" s="83"/>
    </row>
    <row r="61" spans="1:16" hidden="1" x14ac:dyDescent="0.25"/>
    <row r="62" spans="1:16" ht="9" customHeight="1" x14ac:dyDescent="0.25">
      <c r="C62" s="238" t="s">
        <v>6</v>
      </c>
      <c r="D62" s="238"/>
      <c r="E62" s="238"/>
      <c r="F62" s="238"/>
      <c r="G62" s="238"/>
      <c r="H62" s="238"/>
      <c r="I62" s="238"/>
      <c r="J62" s="238"/>
      <c r="K62" s="238"/>
      <c r="L62" s="238"/>
      <c r="M62" s="238"/>
    </row>
    <row r="63" spans="1:16" ht="12" hidden="1" customHeight="1" x14ac:dyDescent="0.25">
      <c r="C63" s="238"/>
      <c r="D63" s="238"/>
      <c r="E63" s="238"/>
      <c r="F63" s="238"/>
      <c r="G63" s="238"/>
      <c r="H63" s="238"/>
      <c r="I63" s="238"/>
      <c r="J63" s="238"/>
      <c r="K63" s="238"/>
      <c r="L63" s="238"/>
      <c r="M63" s="238"/>
    </row>
    <row r="64" spans="1:16" ht="12" hidden="1" customHeight="1" x14ac:dyDescent="0.25">
      <c r="C64" s="238"/>
      <c r="D64" s="238"/>
      <c r="E64" s="238"/>
      <c r="F64" s="238"/>
      <c r="G64" s="238"/>
      <c r="H64" s="238"/>
      <c r="I64" s="238"/>
      <c r="J64" s="238"/>
      <c r="K64" s="238"/>
      <c r="L64" s="238"/>
      <c r="M64" s="238"/>
    </row>
    <row r="65" spans="3:13" ht="12" hidden="1" customHeight="1" x14ac:dyDescent="0.25">
      <c r="C65" s="238"/>
      <c r="D65" s="238"/>
      <c r="E65" s="238"/>
      <c r="F65" s="238"/>
      <c r="G65" s="238"/>
      <c r="H65" s="238"/>
      <c r="I65" s="238"/>
      <c r="J65" s="238"/>
      <c r="K65" s="238"/>
      <c r="L65" s="238"/>
      <c r="M65" s="238"/>
    </row>
    <row r="66" spans="3:13" ht="12" hidden="1" customHeight="1" x14ac:dyDescent="0.25">
      <c r="C66" s="238"/>
      <c r="D66" s="238"/>
      <c r="E66" s="238"/>
      <c r="F66" s="238"/>
      <c r="G66" s="238"/>
      <c r="H66" s="238"/>
      <c r="I66" s="238"/>
      <c r="J66" s="238"/>
      <c r="K66" s="238"/>
      <c r="L66" s="238"/>
      <c r="M66" s="238"/>
    </row>
    <row r="67" spans="3:13" ht="67.5" customHeight="1" x14ac:dyDescent="0.25">
      <c r="C67" s="238"/>
      <c r="D67" s="238"/>
      <c r="E67" s="238"/>
      <c r="F67" s="238"/>
      <c r="G67" s="238"/>
      <c r="H67" s="238"/>
      <c r="I67" s="238"/>
      <c r="J67" s="238"/>
      <c r="K67" s="238"/>
      <c r="L67" s="238"/>
      <c r="M67" s="238"/>
    </row>
  </sheetData>
  <mergeCells count="18">
    <mergeCell ref="N10:N11"/>
    <mergeCell ref="C62:M67"/>
    <mergeCell ref="E1:M1"/>
    <mergeCell ref="A4:N8"/>
    <mergeCell ref="A10:A11"/>
    <mergeCell ref="C10:C11"/>
    <mergeCell ref="D10:D11"/>
    <mergeCell ref="E10:E11"/>
    <mergeCell ref="F10:F11"/>
    <mergeCell ref="G10:G11"/>
    <mergeCell ref="H10:H11"/>
    <mergeCell ref="I10:I11"/>
    <mergeCell ref="A9:N9"/>
    <mergeCell ref="F2:G2"/>
    <mergeCell ref="J10:J11"/>
    <mergeCell ref="L10:L11"/>
    <mergeCell ref="K10:K11"/>
    <mergeCell ref="B10:B11"/>
  </mergeCells>
  <phoneticPr fontId="18" type="noConversion"/>
  <pageMargins left="0.23622047244094491" right="0.23622047244094491" top="0.74803149606299213" bottom="0.74803149606299213" header="0.31496062992125984" footer="0.31496062992125984"/>
  <pageSetup paperSize="3" scale="8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A3:L49"/>
  <sheetViews>
    <sheetView topLeftCell="A35" zoomScaleNormal="100" workbookViewId="0">
      <selection activeCell="C40" sqref="C40:J41"/>
    </sheetView>
  </sheetViews>
  <sheetFormatPr baseColWidth="10" defaultColWidth="10.85546875" defaultRowHeight="15" x14ac:dyDescent="0.25"/>
  <cols>
    <col min="3" max="3" width="12.7109375" bestFit="1" customWidth="1"/>
    <col min="9" max="9" width="13" bestFit="1" customWidth="1"/>
  </cols>
  <sheetData>
    <row r="3" spans="1:12" ht="15.75" thickBot="1" x14ac:dyDescent="0.3">
      <c r="C3" s="21"/>
    </row>
    <row r="4" spans="1:12" ht="13.15" customHeight="1" x14ac:dyDescent="0.25">
      <c r="C4" s="150" t="s">
        <v>54</v>
      </c>
      <c r="D4" s="151">
        <v>1</v>
      </c>
      <c r="E4" s="147"/>
      <c r="F4" s="147"/>
      <c r="G4" s="147"/>
      <c r="H4" s="147"/>
      <c r="I4" s="147"/>
      <c r="J4" s="148"/>
      <c r="K4" s="175"/>
      <c r="L4" s="175"/>
    </row>
    <row r="5" spans="1:12" ht="14.45" customHeight="1" x14ac:dyDescent="0.25">
      <c r="C5" s="152" t="s">
        <v>55</v>
      </c>
      <c r="D5" s="153"/>
      <c r="E5" t="s">
        <v>56</v>
      </c>
      <c r="G5" t="s">
        <v>57</v>
      </c>
      <c r="H5" t="s">
        <v>58</v>
      </c>
      <c r="J5" s="149"/>
      <c r="K5" s="175"/>
      <c r="L5" s="175"/>
    </row>
    <row r="6" spans="1:12" x14ac:dyDescent="0.25">
      <c r="C6" s="152" t="s">
        <v>59</v>
      </c>
      <c r="D6" s="153" t="s">
        <v>60</v>
      </c>
      <c r="E6" t="s">
        <v>61</v>
      </c>
      <c r="G6" t="s">
        <v>28</v>
      </c>
      <c r="H6">
        <v>71</v>
      </c>
      <c r="J6" s="149"/>
      <c r="K6" s="175"/>
      <c r="L6" s="175"/>
    </row>
    <row r="7" spans="1:12" ht="15.75" thickBot="1" x14ac:dyDescent="0.3">
      <c r="C7" s="48" t="s">
        <v>62</v>
      </c>
      <c r="J7" s="149"/>
      <c r="K7" s="175"/>
      <c r="L7" s="175"/>
    </row>
    <row r="8" spans="1:12" x14ac:dyDescent="0.25">
      <c r="C8" s="239" t="s">
        <v>63</v>
      </c>
      <c r="D8" s="240"/>
      <c r="E8" s="240"/>
      <c r="F8" s="240"/>
      <c r="G8" s="240"/>
      <c r="H8" s="240"/>
      <c r="I8" s="240"/>
      <c r="J8" s="241"/>
      <c r="K8" s="175"/>
      <c r="L8" s="175"/>
    </row>
    <row r="9" spans="1:12" ht="15.75" thickBot="1" x14ac:dyDescent="0.3">
      <c r="C9" s="242"/>
      <c r="D9" s="243"/>
      <c r="E9" s="243"/>
      <c r="F9" s="243"/>
      <c r="G9" s="243"/>
      <c r="H9" s="243"/>
      <c r="I9" s="243"/>
      <c r="J9" s="244"/>
    </row>
    <row r="11" spans="1:12" ht="15.75" thickBot="1" x14ac:dyDescent="0.3">
      <c r="A11" s="154"/>
    </row>
    <row r="12" spans="1:12" x14ac:dyDescent="0.25">
      <c r="C12" s="155" t="s">
        <v>54</v>
      </c>
      <c r="D12" s="156">
        <f>D4+1</f>
        <v>2</v>
      </c>
      <c r="E12" s="147"/>
      <c r="F12" s="147"/>
      <c r="G12" s="147"/>
      <c r="H12" s="147"/>
      <c r="I12" s="147"/>
      <c r="J12" s="148"/>
      <c r="K12" s="175"/>
      <c r="L12" s="175"/>
    </row>
    <row r="13" spans="1:12" x14ac:dyDescent="0.25">
      <c r="C13" s="157" t="s">
        <v>55</v>
      </c>
      <c r="D13" s="158"/>
      <c r="E13" t="s">
        <v>56</v>
      </c>
      <c r="G13" t="s">
        <v>57</v>
      </c>
      <c r="H13" t="s">
        <v>58</v>
      </c>
      <c r="J13" s="149"/>
      <c r="K13" s="175"/>
      <c r="L13" s="175"/>
    </row>
    <row r="14" spans="1:12" x14ac:dyDescent="0.25">
      <c r="C14" s="157" t="s">
        <v>59</v>
      </c>
      <c r="D14" s="158" t="s">
        <v>60</v>
      </c>
      <c r="E14" t="s">
        <v>61</v>
      </c>
      <c r="G14" t="s">
        <v>28</v>
      </c>
      <c r="H14" t="s">
        <v>65</v>
      </c>
      <c r="J14" s="149"/>
      <c r="K14" s="175"/>
      <c r="L14" s="175"/>
    </row>
    <row r="15" spans="1:12" ht="15.75" thickBot="1" x14ac:dyDescent="0.3">
      <c r="C15" s="48" t="s">
        <v>62</v>
      </c>
      <c r="J15" s="149"/>
      <c r="K15" s="175"/>
      <c r="L15" s="175"/>
    </row>
    <row r="16" spans="1:12" x14ac:dyDescent="0.25">
      <c r="C16" s="239" t="s">
        <v>64</v>
      </c>
      <c r="D16" s="240"/>
      <c r="E16" s="240"/>
      <c r="F16" s="240"/>
      <c r="G16" s="240"/>
      <c r="H16" s="240"/>
      <c r="I16" s="240"/>
      <c r="J16" s="241"/>
      <c r="K16" s="175"/>
      <c r="L16" s="175"/>
    </row>
    <row r="17" spans="3:12" ht="15.75" thickBot="1" x14ac:dyDescent="0.3">
      <c r="C17" s="242"/>
      <c r="D17" s="243"/>
      <c r="E17" s="243"/>
      <c r="F17" s="243"/>
      <c r="G17" s="243"/>
      <c r="H17" s="243"/>
      <c r="I17" s="243"/>
      <c r="J17" s="244"/>
    </row>
    <row r="19" spans="3:12" ht="15.75" thickBot="1" x14ac:dyDescent="0.3"/>
    <row r="20" spans="3:12" x14ac:dyDescent="0.25">
      <c r="C20" s="160" t="s">
        <v>54</v>
      </c>
      <c r="D20" s="161">
        <f>D12+1</f>
        <v>3</v>
      </c>
      <c r="E20" s="147"/>
      <c r="F20" s="147"/>
      <c r="G20" s="147"/>
      <c r="H20" s="147"/>
      <c r="I20" s="147"/>
      <c r="J20" s="148"/>
    </row>
    <row r="21" spans="3:12" x14ac:dyDescent="0.25">
      <c r="C21" s="162" t="s">
        <v>55</v>
      </c>
      <c r="D21" s="163"/>
      <c r="E21" t="s">
        <v>56</v>
      </c>
      <c r="G21" t="s">
        <v>57</v>
      </c>
      <c r="H21" t="s">
        <v>67</v>
      </c>
      <c r="I21" s="159" t="s">
        <v>66</v>
      </c>
      <c r="J21" s="149"/>
      <c r="K21" s="175"/>
      <c r="L21" s="175"/>
    </row>
    <row r="22" spans="3:12" x14ac:dyDescent="0.25">
      <c r="C22" s="162" t="s">
        <v>59</v>
      </c>
      <c r="D22" s="163" t="s">
        <v>60</v>
      </c>
      <c r="E22" t="s">
        <v>61</v>
      </c>
      <c r="G22" t="s">
        <v>28</v>
      </c>
      <c r="H22" t="s">
        <v>69</v>
      </c>
      <c r="J22" s="149"/>
      <c r="K22" s="175"/>
      <c r="L22" s="175"/>
    </row>
    <row r="23" spans="3:12" ht="15.75" thickBot="1" x14ac:dyDescent="0.3">
      <c r="C23" s="48" t="s">
        <v>62</v>
      </c>
      <c r="J23" s="149"/>
      <c r="K23" s="175"/>
      <c r="L23" s="175"/>
    </row>
    <row r="24" spans="3:12" x14ac:dyDescent="0.25">
      <c r="C24" s="239" t="s">
        <v>68</v>
      </c>
      <c r="D24" s="240"/>
      <c r="E24" s="240"/>
      <c r="F24" s="240"/>
      <c r="G24" s="240"/>
      <c r="H24" s="240"/>
      <c r="I24" s="240"/>
      <c r="J24" s="241"/>
      <c r="K24" s="175"/>
      <c r="L24" s="175"/>
    </row>
    <row r="25" spans="3:12" ht="15.75" thickBot="1" x14ac:dyDescent="0.3">
      <c r="C25" s="242"/>
      <c r="D25" s="243"/>
      <c r="E25" s="243"/>
      <c r="F25" s="243"/>
      <c r="G25" s="243"/>
      <c r="H25" s="243"/>
      <c r="I25" s="243"/>
      <c r="J25" s="244"/>
      <c r="K25" s="175"/>
      <c r="L25" s="175"/>
    </row>
    <row r="27" spans="3:12" ht="15.75" thickBot="1" x14ac:dyDescent="0.3"/>
    <row r="28" spans="3:12" x14ac:dyDescent="0.25">
      <c r="C28" s="164" t="s">
        <v>54</v>
      </c>
      <c r="D28" s="15">
        <f>D20+1</f>
        <v>4</v>
      </c>
      <c r="E28" s="147"/>
      <c r="F28" s="147"/>
      <c r="G28" s="147"/>
      <c r="H28" s="147"/>
      <c r="I28" s="147"/>
      <c r="J28" s="148"/>
    </row>
    <row r="29" spans="3:12" x14ac:dyDescent="0.25">
      <c r="C29" s="165" t="s">
        <v>55</v>
      </c>
      <c r="D29" s="166"/>
      <c r="E29" t="s">
        <v>56</v>
      </c>
      <c r="G29" t="s">
        <v>57</v>
      </c>
      <c r="H29" t="s">
        <v>70</v>
      </c>
      <c r="I29" s="159"/>
      <c r="J29" s="149"/>
      <c r="K29" s="175"/>
      <c r="L29" s="175"/>
    </row>
    <row r="30" spans="3:12" x14ac:dyDescent="0.25">
      <c r="C30" s="165" t="s">
        <v>59</v>
      </c>
      <c r="D30" s="166" t="s">
        <v>60</v>
      </c>
      <c r="E30" t="s">
        <v>61</v>
      </c>
      <c r="G30" t="s">
        <v>28</v>
      </c>
      <c r="H30">
        <v>46</v>
      </c>
      <c r="I30" t="s">
        <v>72</v>
      </c>
      <c r="J30" s="149"/>
      <c r="K30" s="175"/>
      <c r="L30" s="175"/>
    </row>
    <row r="31" spans="3:12" ht="15.75" thickBot="1" x14ac:dyDescent="0.3">
      <c r="C31" s="48" t="s">
        <v>62</v>
      </c>
      <c r="J31" s="149"/>
      <c r="K31" s="175"/>
      <c r="L31" s="175"/>
    </row>
    <row r="32" spans="3:12" x14ac:dyDescent="0.25">
      <c r="C32" s="239" t="s">
        <v>71</v>
      </c>
      <c r="D32" s="240"/>
      <c r="E32" s="240"/>
      <c r="F32" s="240"/>
      <c r="G32" s="240"/>
      <c r="H32" s="240"/>
      <c r="I32" s="240"/>
      <c r="J32" s="241"/>
      <c r="K32" s="175"/>
      <c r="L32" s="175"/>
    </row>
    <row r="33" spans="3:12" ht="15.75" thickBot="1" x14ac:dyDescent="0.3">
      <c r="C33" s="242"/>
      <c r="D33" s="243"/>
      <c r="E33" s="243"/>
      <c r="F33" s="243"/>
      <c r="G33" s="243"/>
      <c r="H33" s="243"/>
      <c r="I33" s="243"/>
      <c r="J33" s="244"/>
    </row>
    <row r="35" spans="3:12" ht="15.75" thickBot="1" x14ac:dyDescent="0.3"/>
    <row r="36" spans="3:12" x14ac:dyDescent="0.25">
      <c r="C36" s="167" t="s">
        <v>54</v>
      </c>
      <c r="D36" s="168">
        <f>D28+1</f>
        <v>5</v>
      </c>
      <c r="E36" s="147"/>
      <c r="F36" s="147"/>
      <c r="G36" s="147"/>
      <c r="H36" s="147"/>
      <c r="I36" s="147"/>
      <c r="J36" s="148"/>
      <c r="K36" s="175"/>
      <c r="L36" s="175"/>
    </row>
    <row r="37" spans="3:12" x14ac:dyDescent="0.25">
      <c r="C37" s="169" t="s">
        <v>55</v>
      </c>
      <c r="D37" s="170"/>
      <c r="E37" t="s">
        <v>56</v>
      </c>
      <c r="G37" t="s">
        <v>57</v>
      </c>
      <c r="H37" t="s">
        <v>73</v>
      </c>
      <c r="I37" s="159"/>
      <c r="J37" s="149"/>
      <c r="K37" s="175"/>
      <c r="L37" s="175"/>
    </row>
    <row r="38" spans="3:12" x14ac:dyDescent="0.25">
      <c r="C38" s="169" t="s">
        <v>59</v>
      </c>
      <c r="D38" s="170" t="s">
        <v>60</v>
      </c>
      <c r="E38" t="s">
        <v>61</v>
      </c>
      <c r="G38" t="s">
        <v>28</v>
      </c>
      <c r="H38" t="s">
        <v>74</v>
      </c>
      <c r="J38" s="149"/>
      <c r="K38" s="175"/>
      <c r="L38" s="175"/>
    </row>
    <row r="39" spans="3:12" ht="15.75" thickBot="1" x14ac:dyDescent="0.3">
      <c r="C39" s="48" t="s">
        <v>62</v>
      </c>
      <c r="J39" s="149"/>
      <c r="K39" s="175"/>
      <c r="L39" s="175"/>
    </row>
    <row r="40" spans="3:12" x14ac:dyDescent="0.25">
      <c r="C40" s="239" t="s">
        <v>80</v>
      </c>
      <c r="D40" s="240"/>
      <c r="E40" s="240"/>
      <c r="F40" s="240"/>
      <c r="G40" s="240"/>
      <c r="H40" s="240"/>
      <c r="I40" s="240"/>
      <c r="J40" s="241"/>
      <c r="K40" s="175"/>
      <c r="L40" s="175"/>
    </row>
    <row r="41" spans="3:12" ht="15.75" thickBot="1" x14ac:dyDescent="0.3">
      <c r="C41" s="242"/>
      <c r="D41" s="243"/>
      <c r="E41" s="243"/>
      <c r="F41" s="243"/>
      <c r="G41" s="243"/>
      <c r="H41" s="243"/>
      <c r="I41" s="243"/>
      <c r="J41" s="244"/>
    </row>
    <row r="43" spans="3:12" ht="15.75" thickBot="1" x14ac:dyDescent="0.3"/>
    <row r="44" spans="3:12" x14ac:dyDescent="0.25">
      <c r="C44" s="171" t="s">
        <v>54</v>
      </c>
      <c r="D44" s="172">
        <f>D36+1</f>
        <v>6</v>
      </c>
      <c r="E44" s="147"/>
      <c r="F44" s="147"/>
      <c r="G44" s="147"/>
      <c r="H44" s="147"/>
      <c r="I44" s="147"/>
      <c r="J44" s="148"/>
    </row>
    <row r="45" spans="3:12" x14ac:dyDescent="0.25">
      <c r="C45" s="173" t="s">
        <v>55</v>
      </c>
      <c r="D45" s="174"/>
      <c r="E45" t="s">
        <v>56</v>
      </c>
      <c r="G45" t="s">
        <v>57</v>
      </c>
      <c r="H45" t="s">
        <v>78</v>
      </c>
      <c r="I45" s="159"/>
      <c r="J45" s="149"/>
      <c r="K45" s="175"/>
      <c r="L45" s="175"/>
    </row>
    <row r="46" spans="3:12" x14ac:dyDescent="0.25">
      <c r="C46" s="173" t="s">
        <v>59</v>
      </c>
      <c r="D46" s="174" t="s">
        <v>60</v>
      </c>
      <c r="E46" t="s">
        <v>61</v>
      </c>
      <c r="G46" t="s">
        <v>28</v>
      </c>
      <c r="H46" t="s">
        <v>77</v>
      </c>
      <c r="J46" s="149"/>
      <c r="K46" s="175"/>
      <c r="L46" s="175"/>
    </row>
    <row r="47" spans="3:12" ht="15.75" thickBot="1" x14ac:dyDescent="0.3">
      <c r="C47" s="48" t="s">
        <v>62</v>
      </c>
      <c r="J47" s="149"/>
      <c r="K47" s="175"/>
      <c r="L47" s="175"/>
    </row>
    <row r="48" spans="3:12" x14ac:dyDescent="0.25">
      <c r="C48" s="239" t="s">
        <v>79</v>
      </c>
      <c r="D48" s="240"/>
      <c r="E48" s="240"/>
      <c r="F48" s="240"/>
      <c r="G48" s="240"/>
      <c r="H48" s="240"/>
      <c r="I48" s="240"/>
      <c r="J48" s="241"/>
      <c r="K48" s="175"/>
      <c r="L48" s="175"/>
    </row>
    <row r="49" spans="3:12" ht="15.75" thickBot="1" x14ac:dyDescent="0.3">
      <c r="C49" s="242"/>
      <c r="D49" s="243"/>
      <c r="E49" s="243"/>
      <c r="F49" s="243"/>
      <c r="G49" s="243"/>
      <c r="H49" s="243"/>
      <c r="I49" s="243"/>
      <c r="J49" s="244"/>
      <c r="K49" s="175"/>
      <c r="L49" s="175"/>
    </row>
  </sheetData>
  <mergeCells count="6">
    <mergeCell ref="C48:J49"/>
    <mergeCell ref="C8:J9"/>
    <mergeCell ref="C16:J17"/>
    <mergeCell ref="C24:J25"/>
    <mergeCell ref="C32:J33"/>
    <mergeCell ref="C40:J41"/>
  </mergeCells>
  <hyperlinks>
    <hyperlink ref="I21" r:id="rId1" xr:uid="{594C449D-3B6C-4B8F-B1F1-8C5EBB24B13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2026-06-01T17:50:37Z</cp:lastPrinted>
  <dcterms:created xsi:type="dcterms:W3CDTF">2016-01-12T20:02:43Z</dcterms:created>
  <dcterms:modified xsi:type="dcterms:W3CDTF">2026-06-01T17:50:46Z</dcterms:modified>
</cp:coreProperties>
</file>