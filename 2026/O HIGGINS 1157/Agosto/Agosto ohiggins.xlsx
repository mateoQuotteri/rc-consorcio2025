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Sistemax\Desktop\rc-consorcio2025\2026\O HIGGINS 1157\Agosto\"/>
    </mc:Choice>
  </mc:AlternateContent>
  <xr:revisionPtr revIDLastSave="0" documentId="13_ncr:1_{B1C1FB02-ABD3-4FE2-A116-A7C1140F0C40}" xr6:coauthVersionLast="47" xr6:coauthVersionMax="47" xr10:uidLastSave="{00000000-0000-0000-0000-000000000000}"/>
  <bookViews>
    <workbookView xWindow="-120" yWindow="-120" windowWidth="20730" windowHeight="11040" activeTab="2" xr2:uid="{00000000-000D-0000-FFFF-FFFF00000000}"/>
  </bookViews>
  <sheets>
    <sheet name="RESUMEN" sheetId="4" r:id="rId1"/>
    <sheet name="PRORRATEO" sheetId="5" r:id="rId2"/>
    <sheet name="ANOTACIONES" sheetId="6" r:id="rId3"/>
  </sheets>
  <definedNames>
    <definedName name="_xlnm.Print_Area" localSheetId="1">PRORRATEO!$A$1:$P$69</definedName>
    <definedName name="_xlnm.Print_Area" localSheetId="0">RESUMEN!$A$1:$E$123</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8" i="5" l="1"/>
  <c r="G59" i="5"/>
  <c r="G26" i="5" l="1"/>
  <c r="G17" i="5"/>
  <c r="G55" i="5"/>
  <c r="G36" i="5"/>
  <c r="G33" i="5"/>
  <c r="G27" i="5"/>
  <c r="G43" i="5"/>
  <c r="G40" i="5"/>
  <c r="G14" i="5"/>
  <c r="G42" i="5"/>
  <c r="G24" i="5"/>
  <c r="G28" i="5"/>
  <c r="G48" i="5"/>
  <c r="G30" i="5"/>
  <c r="C2" i="5" l="1"/>
  <c r="E48" i="4"/>
  <c r="E60" i="4"/>
  <c r="E65" i="4"/>
  <c r="E69" i="4"/>
  <c r="B95" i="4"/>
  <c r="B96" i="4" s="1"/>
  <c r="B115" i="4" l="1"/>
  <c r="G18" i="5"/>
  <c r="G19" i="5"/>
  <c r="G35" i="5"/>
  <c r="G39" i="5"/>
  <c r="G58" i="5"/>
  <c r="G34" i="5"/>
  <c r="D40" i="4"/>
  <c r="E41" i="4" s="1"/>
  <c r="G21" i="5" l="1"/>
  <c r="E37" i="4"/>
  <c r="G22" i="5"/>
  <c r="G49" i="5"/>
  <c r="G29" i="5"/>
  <c r="G45" i="5"/>
  <c r="G51" i="5"/>
  <c r="G47" i="5"/>
  <c r="G23" i="5"/>
  <c r="G44" i="5"/>
  <c r="E40" i="4" l="1"/>
  <c r="L61"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14" i="5"/>
  <c r="M14" i="5"/>
  <c r="G53" i="5"/>
  <c r="J1"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B123" i="4"/>
  <c r="B111" i="4" s="1"/>
  <c r="B107" i="4"/>
  <c r="B102" i="4"/>
  <c r="G25" i="5"/>
  <c r="G61" i="5" s="1"/>
  <c r="G20" i="5"/>
  <c r="E36" i="4"/>
  <c r="E35" i="4"/>
  <c r="E30" i="4"/>
  <c r="M61" i="5" l="1"/>
  <c r="J18" i="5"/>
  <c r="J14" i="5"/>
  <c r="J16" i="5"/>
  <c r="J21" i="5"/>
  <c r="J25" i="5"/>
  <c r="J29" i="5"/>
  <c r="J33" i="5"/>
  <c r="J37" i="5"/>
  <c r="J41" i="5"/>
  <c r="J45" i="5"/>
  <c r="J49" i="5"/>
  <c r="J53" i="5"/>
  <c r="J57" i="5"/>
  <c r="J19" i="5"/>
  <c r="J23" i="5"/>
  <c r="J27" i="5"/>
  <c r="J35" i="5"/>
  <c r="J39" i="5"/>
  <c r="J47" i="5"/>
  <c r="J51" i="5"/>
  <c r="J59" i="5"/>
  <c r="J20" i="5"/>
  <c r="J32" i="5"/>
  <c r="J40" i="5"/>
  <c r="J48" i="5"/>
  <c r="J56" i="5"/>
  <c r="J17" i="5"/>
  <c r="J22" i="5"/>
  <c r="J26" i="5"/>
  <c r="J30" i="5"/>
  <c r="J34" i="5"/>
  <c r="J38" i="5"/>
  <c r="J42" i="5"/>
  <c r="J46" i="5"/>
  <c r="J50" i="5"/>
  <c r="J54" i="5"/>
  <c r="J58" i="5"/>
  <c r="J31" i="5"/>
  <c r="J43" i="5"/>
  <c r="J55" i="5"/>
  <c r="J15" i="5"/>
  <c r="J24" i="5"/>
  <c r="J28" i="5"/>
  <c r="J36" i="5"/>
  <c r="J44" i="5"/>
  <c r="J52" i="5"/>
  <c r="E25" i="4" l="1"/>
  <c r="O13" i="5" l="1"/>
  <c r="E73" i="4" l="1"/>
  <c r="B86" i="4" s="1"/>
  <c r="K35" i="5"/>
  <c r="K36" i="5"/>
  <c r="K37" i="5"/>
  <c r="K38" i="5"/>
  <c r="K39" i="5"/>
  <c r="K40" i="5"/>
  <c r="K41" i="5"/>
  <c r="K42" i="5"/>
  <c r="K43" i="5"/>
  <c r="K44" i="5"/>
  <c r="K45" i="5"/>
  <c r="K46" i="5"/>
  <c r="K47" i="5"/>
  <c r="K48" i="5"/>
  <c r="K49" i="5"/>
  <c r="K50" i="5"/>
  <c r="K51" i="5"/>
  <c r="K52" i="5"/>
  <c r="K53" i="5"/>
  <c r="K54" i="5"/>
  <c r="K55" i="5"/>
  <c r="K56" i="5"/>
  <c r="K57" i="5"/>
  <c r="K58" i="5"/>
  <c r="K59" i="5"/>
  <c r="H35" i="5"/>
  <c r="I35" i="5" s="1"/>
  <c r="H36" i="5"/>
  <c r="I36" i="5" s="1"/>
  <c r="H37" i="5"/>
  <c r="H38" i="5"/>
  <c r="I38" i="5" s="1"/>
  <c r="H39" i="5"/>
  <c r="I39" i="5" s="1"/>
  <c r="H40" i="5"/>
  <c r="I40" i="5" s="1"/>
  <c r="H41" i="5"/>
  <c r="I41" i="5" s="1"/>
  <c r="H42" i="5"/>
  <c r="I42" i="5" s="1"/>
  <c r="H43" i="5"/>
  <c r="I43" i="5" s="1"/>
  <c r="H44" i="5"/>
  <c r="I44" i="5" s="1"/>
  <c r="H45" i="5"/>
  <c r="I45" i="5" s="1"/>
  <c r="H46" i="5"/>
  <c r="H47" i="5"/>
  <c r="I47" i="5" s="1"/>
  <c r="H48" i="5"/>
  <c r="I48" i="5" s="1"/>
  <c r="H49" i="5"/>
  <c r="I49" i="5" s="1"/>
  <c r="H50" i="5"/>
  <c r="I50" i="5" s="1"/>
  <c r="H51" i="5"/>
  <c r="I51" i="5" s="1"/>
  <c r="H52" i="5"/>
  <c r="I52" i="5" s="1"/>
  <c r="H53" i="5"/>
  <c r="I53" i="5" s="1"/>
  <c r="H54" i="5"/>
  <c r="I54" i="5" s="1"/>
  <c r="H55" i="5"/>
  <c r="H56" i="5"/>
  <c r="H57" i="5"/>
  <c r="I57" i="5" s="1"/>
  <c r="H58" i="5"/>
  <c r="I58" i="5" s="1"/>
  <c r="H59" i="5"/>
  <c r="I59" i="5" s="1"/>
  <c r="F61" i="5"/>
  <c r="E61" i="5"/>
  <c r="A35" i="5"/>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H24" i="5"/>
  <c r="I24" i="5" s="1"/>
  <c r="K34" i="5"/>
  <c r="H34" i="5"/>
  <c r="I34" i="5" s="1"/>
  <c r="K33" i="5"/>
  <c r="H33" i="5"/>
  <c r="K32" i="5"/>
  <c r="H32" i="5"/>
  <c r="I32" i="5" s="1"/>
  <c r="K31" i="5"/>
  <c r="H31" i="5"/>
  <c r="I31" i="5" s="1"/>
  <c r="K30" i="5"/>
  <c r="H30" i="5"/>
  <c r="I30" i="5" s="1"/>
  <c r="K29" i="5"/>
  <c r="H29" i="5"/>
  <c r="I29" i="5" s="1"/>
  <c r="K28" i="5"/>
  <c r="H28" i="5"/>
  <c r="I28" i="5" s="1"/>
  <c r="K27" i="5"/>
  <c r="H27" i="5"/>
  <c r="K26" i="5"/>
  <c r="H26" i="5"/>
  <c r="I26" i="5" s="1"/>
  <c r="K25" i="5"/>
  <c r="H25" i="5"/>
  <c r="I25" i="5" s="1"/>
  <c r="K24" i="5"/>
  <c r="K23" i="5"/>
  <c r="H23" i="5"/>
  <c r="K22" i="5"/>
  <c r="H22" i="5"/>
  <c r="I22" i="5" s="1"/>
  <c r="K21" i="5"/>
  <c r="H21" i="5"/>
  <c r="I21" i="5" s="1"/>
  <c r="K20" i="5"/>
  <c r="H20" i="5"/>
  <c r="I20" i="5" s="1"/>
  <c r="K19" i="5"/>
  <c r="H19" i="5"/>
  <c r="I19" i="5" s="1"/>
  <c r="K18" i="5"/>
  <c r="H18" i="5"/>
  <c r="I18" i="5" s="1"/>
  <c r="K17" i="5"/>
  <c r="H17" i="5"/>
  <c r="I17" i="5" s="1"/>
  <c r="K16" i="5"/>
  <c r="H16" i="5"/>
  <c r="I16" i="5" s="1"/>
  <c r="Q15" i="5"/>
  <c r="K15" i="5"/>
  <c r="H15" i="5"/>
  <c r="K14" i="5"/>
  <c r="E80" i="4"/>
  <c r="E84" i="4" s="1"/>
  <c r="B88" i="4" s="1"/>
  <c r="K61" i="5" l="1"/>
  <c r="I56" i="5"/>
  <c r="Q16" i="5"/>
  <c r="O16" i="5" s="1"/>
  <c r="I27" i="5"/>
  <c r="I37" i="5"/>
  <c r="I23" i="5"/>
  <c r="B87" i="4"/>
  <c r="B110" i="4" s="1"/>
  <c r="J61" i="5"/>
  <c r="I15" i="5"/>
  <c r="O15" i="5" s="1"/>
  <c r="B89" i="4"/>
  <c r="P16" i="5" l="1"/>
  <c r="Q17" i="5"/>
  <c r="O17" i="5" s="1"/>
  <c r="H14" i="5"/>
  <c r="B112" i="4"/>
  <c r="P15" i="5"/>
  <c r="B116" i="4" l="1"/>
  <c r="B118" i="4" s="1"/>
  <c r="P17" i="5"/>
  <c r="Q18" i="5"/>
  <c r="O18" i="5" s="1"/>
  <c r="H61" i="5"/>
  <c r="I14" i="5"/>
  <c r="O14" i="5" s="1"/>
  <c r="P18" i="5" l="1"/>
  <c r="Q19" i="5"/>
  <c r="O19" i="5" s="1"/>
  <c r="I61" i="5"/>
  <c r="P14" i="5"/>
  <c r="P19" i="5" l="1"/>
  <c r="Q20" i="5"/>
  <c r="O20" i="5" s="1"/>
  <c r="P20" i="5" l="1"/>
  <c r="Q21" i="5"/>
  <c r="O21" i="5" s="1"/>
  <c r="P21" i="5" l="1"/>
  <c r="Q22" i="5"/>
  <c r="O22" i="5" s="1"/>
  <c r="P22" i="5" l="1"/>
  <c r="Q23" i="5"/>
  <c r="O23" i="5" s="1"/>
  <c r="P23" i="5" l="1"/>
  <c r="Q24" i="5"/>
  <c r="O24" i="5" s="1"/>
  <c r="P24" i="5" l="1"/>
  <c r="Q25" i="5"/>
  <c r="O25" i="5" s="1"/>
  <c r="P25" i="5" l="1"/>
  <c r="Q26" i="5"/>
  <c r="O26" i="5" s="1"/>
  <c r="P26" i="5" l="1"/>
  <c r="Q27" i="5"/>
  <c r="O27" i="5" s="1"/>
  <c r="P27" i="5" l="1"/>
  <c r="Q28" i="5"/>
  <c r="O28" i="5" s="1"/>
  <c r="P28" i="5" l="1"/>
  <c r="Q29" i="5"/>
  <c r="O29" i="5" s="1"/>
  <c r="P29" i="5" l="1"/>
  <c r="Q30" i="5"/>
  <c r="O30" i="5" s="1"/>
  <c r="P30" i="5" l="1"/>
  <c r="Q31" i="5"/>
  <c r="O31" i="5" s="1"/>
  <c r="P31" i="5" l="1"/>
  <c r="Q32" i="5"/>
  <c r="O32" i="5" s="1"/>
  <c r="P32" i="5" l="1"/>
  <c r="Q33" i="5"/>
  <c r="O33" i="5" s="1"/>
  <c r="P33" i="5" l="1"/>
  <c r="Q34" i="5"/>
  <c r="O34" i="5" s="1"/>
  <c r="P34" i="5" l="1"/>
  <c r="Q35" i="5"/>
  <c r="O35" i="5" s="1"/>
  <c r="P35" i="5" l="1"/>
  <c r="Q36" i="5"/>
  <c r="O36" i="5" s="1"/>
  <c r="P36" i="5" l="1"/>
  <c r="Q37" i="5"/>
  <c r="O37" i="5" s="1"/>
  <c r="P37" i="5" l="1"/>
  <c r="Q38" i="5"/>
  <c r="O38" i="5" s="1"/>
  <c r="P38" i="5" l="1"/>
  <c r="Q39" i="5"/>
  <c r="O39" i="5" s="1"/>
  <c r="P39" i="5" l="1"/>
  <c r="Q40" i="5"/>
  <c r="O40" i="5" s="1"/>
  <c r="P40" i="5" l="1"/>
  <c r="Q41" i="5"/>
  <c r="O41" i="5" s="1"/>
  <c r="P41" i="5" l="1"/>
  <c r="Q42" i="5"/>
  <c r="O42" i="5" s="1"/>
  <c r="P42" i="5" l="1"/>
  <c r="Q43" i="5"/>
  <c r="O43" i="5" s="1"/>
  <c r="P43" i="5" l="1"/>
  <c r="Q44" i="5"/>
  <c r="O44" i="5" s="1"/>
  <c r="P44" i="5" l="1"/>
  <c r="Q45" i="5"/>
  <c r="O45" i="5" s="1"/>
  <c r="P45" i="5" l="1"/>
  <c r="Q46" i="5"/>
  <c r="O46" i="5" s="1"/>
  <c r="P46" i="5" l="1"/>
  <c r="Q47" i="5"/>
  <c r="O47" i="5" s="1"/>
  <c r="P47" i="5" l="1"/>
  <c r="Q48" i="5"/>
  <c r="O48" i="5" s="1"/>
  <c r="P48" i="5" l="1"/>
  <c r="Q49" i="5"/>
  <c r="O49" i="5" s="1"/>
  <c r="P49" i="5" l="1"/>
  <c r="Q50" i="5"/>
  <c r="O50" i="5" s="1"/>
  <c r="P50" i="5" l="1"/>
  <c r="Q51" i="5"/>
  <c r="O51" i="5" s="1"/>
  <c r="P51" i="5" l="1"/>
  <c r="Q52" i="5"/>
  <c r="O52" i="5" s="1"/>
  <c r="P52" i="5" l="1"/>
  <c r="Q53" i="5"/>
  <c r="O53" i="5" s="1"/>
  <c r="P53" i="5" l="1"/>
  <c r="Q54" i="5"/>
  <c r="O54" i="5" s="1"/>
  <c r="P54" i="5" l="1"/>
  <c r="Q55" i="5"/>
  <c r="O55" i="5" s="1"/>
  <c r="P55" i="5" l="1"/>
  <c r="Q56" i="5"/>
  <c r="O56" i="5" s="1"/>
  <c r="P56" i="5" l="1"/>
  <c r="Q57" i="5"/>
  <c r="O57" i="5" s="1"/>
  <c r="P57" i="5" l="1"/>
  <c r="Q58" i="5"/>
  <c r="O58" i="5" s="1"/>
  <c r="P58" i="5" l="1"/>
  <c r="Q59" i="5"/>
  <c r="O59" i="5" s="1"/>
  <c r="P59" i="5" l="1"/>
  <c r="P61" i="5" l="1"/>
  <c r="O61" i="5"/>
</calcChain>
</file>

<file path=xl/sharedStrings.xml><?xml version="1.0" encoding="utf-8"?>
<sst xmlns="http://schemas.openxmlformats.org/spreadsheetml/2006/main" count="291" uniqueCount="227">
  <si>
    <t>TOTAL</t>
  </si>
  <si>
    <t>Redondeo</t>
  </si>
  <si>
    <t>Ingresos</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</si>
  <si>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</si>
  <si>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</si>
  <si>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</si>
  <si>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</si>
  <si>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</si>
  <si>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</si>
  <si>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</si>
  <si>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</si>
  <si>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</si>
  <si>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</si>
  <si>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</si>
  <si>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</si>
  <si>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</si>
  <si>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</si>
  <si>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</si>
  <si>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</si>
  <si>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</si>
  <si>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</si>
  <si>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</si>
  <si>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</si>
  <si>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</si>
  <si>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</si>
  <si>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</si>
  <si>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</si>
  <si>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</si>
  <si>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</si>
  <si>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</si>
  <si>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</si>
  <si>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</si>
  <si>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</si>
  <si>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</si>
  <si>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</si>
  <si>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</si>
  <si>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1er Vto</t>
  </si>
  <si>
    <t>Total 2do Vto</t>
  </si>
  <si>
    <t>IMPUESTOS</t>
  </si>
  <si>
    <t>TOTAL IMPUESTOS</t>
  </si>
  <si>
    <t>Sindicato - Suther</t>
  </si>
  <si>
    <t>Sindicato - Fathery</t>
  </si>
  <si>
    <t>Sindicato - Seracarh</t>
  </si>
  <si>
    <t xml:space="preserve">Egresos del mes </t>
  </si>
  <si>
    <t>TOTAL GASTOS B</t>
  </si>
  <si>
    <t>CUIT ADMINISTRACION:  27-23125687-9</t>
  </si>
  <si>
    <t>QUIENES ESTAN COLOREADOS DE COLOR VIOLETA NO ESTAN RESPETANDO LOS CENTAVOS AL ABONAR</t>
  </si>
  <si>
    <t xml:space="preserve">CAJA DE BANCOS </t>
  </si>
  <si>
    <t>Descuentos</t>
  </si>
  <si>
    <t>10 A 15HS - EMERGENCIAS 24HS</t>
  </si>
  <si>
    <t>REEMPLAZOS</t>
  </si>
  <si>
    <t xml:space="preserve">ANOTACION </t>
  </si>
  <si>
    <t>FECHA DE LA ANOTACION:</t>
  </si>
  <si>
    <t>0-ene</t>
  </si>
  <si>
    <t>NOMBRE:</t>
  </si>
  <si>
    <t>QUEJA VIA:</t>
  </si>
  <si>
    <t>WHATSAPP</t>
  </si>
  <si>
    <t>MAIL</t>
  </si>
  <si>
    <t>MOTIVO DE LA QUEJA:</t>
  </si>
  <si>
    <t>CUIT DEL EDIFICIO: 33-71743270-9</t>
  </si>
  <si>
    <t>MAIL: consorcioohiggins1557@gmail.com</t>
  </si>
  <si>
    <t>Sr. Fernandez Fabio - Sueldo encargado</t>
  </si>
  <si>
    <t>Arca</t>
  </si>
  <si>
    <t>MANTENIMIENTO MENSUAL</t>
  </si>
  <si>
    <t>Servicio de interet Claro (Camaras)</t>
  </si>
  <si>
    <t>Metrogas - Nro. 40000605226</t>
  </si>
  <si>
    <t>AySa - Cuenta de servicios 320415</t>
  </si>
  <si>
    <t>Allianz - Seguro integral de consorcio - Poliza Nro. 260230779515</t>
  </si>
  <si>
    <t>Allianz - Seguro accidentes RCP encargado</t>
  </si>
  <si>
    <t xml:space="preserve">Mantenimiento de cuenta - Banco </t>
  </si>
  <si>
    <t>Dpto</t>
  </si>
  <si>
    <t>1A</t>
  </si>
  <si>
    <t>2B</t>
  </si>
  <si>
    <t>3C</t>
  </si>
  <si>
    <t>1B</t>
  </si>
  <si>
    <t>1C</t>
  </si>
  <si>
    <t>2A</t>
  </si>
  <si>
    <t>2C</t>
  </si>
  <si>
    <t>3A</t>
  </si>
  <si>
    <t>3B</t>
  </si>
  <si>
    <t>4A</t>
  </si>
  <si>
    <t>4B</t>
  </si>
  <si>
    <t>4C</t>
  </si>
  <si>
    <t>5A</t>
  </si>
  <si>
    <t>5B</t>
  </si>
  <si>
    <t>5C</t>
  </si>
  <si>
    <t>6A</t>
  </si>
  <si>
    <t>6B</t>
  </si>
  <si>
    <t>6C</t>
  </si>
  <si>
    <t>7A</t>
  </si>
  <si>
    <t>7B</t>
  </si>
  <si>
    <t>7C</t>
  </si>
  <si>
    <t>8A</t>
  </si>
  <si>
    <t>8B</t>
  </si>
  <si>
    <t>8C</t>
  </si>
  <si>
    <t>COC 1</t>
  </si>
  <si>
    <t>COC 3</t>
  </si>
  <si>
    <t>COC 2</t>
  </si>
  <si>
    <t>COC 4</t>
  </si>
  <si>
    <t>COC 5</t>
  </si>
  <si>
    <t>COC 6</t>
  </si>
  <si>
    <t>COC 7</t>
  </si>
  <si>
    <t>COC 8</t>
  </si>
  <si>
    <t>COC 9</t>
  </si>
  <si>
    <t>COC 10</t>
  </si>
  <si>
    <t>COC 11</t>
  </si>
  <si>
    <t>COC 12</t>
  </si>
  <si>
    <t>COC 13</t>
  </si>
  <si>
    <t>COC 14</t>
  </si>
  <si>
    <t>COC 15</t>
  </si>
  <si>
    <t>COC 16</t>
  </si>
  <si>
    <t>COC 17</t>
  </si>
  <si>
    <t>COC 18</t>
  </si>
  <si>
    <t>COC 19</t>
  </si>
  <si>
    <t>COC 20</t>
  </si>
  <si>
    <t>COC 21</t>
  </si>
  <si>
    <t>COC 22</t>
  </si>
  <si>
    <t>Hovsepian/Mannarino</t>
  </si>
  <si>
    <t>Cano German</t>
  </si>
  <si>
    <t>Catena Lomonaco</t>
  </si>
  <si>
    <t>Cycla (Norma Lachman)</t>
  </si>
  <si>
    <t>Infanti Sergio</t>
  </si>
  <si>
    <t>Coutone Juan Carlos</t>
  </si>
  <si>
    <t>Cesarini Ricardo</t>
  </si>
  <si>
    <t>Luis Mannarino</t>
  </si>
  <si>
    <t>Pablo Blanco</t>
  </si>
  <si>
    <t>Cecilia Paula Gomez</t>
  </si>
  <si>
    <t>Gombach Paula / Romero Mi</t>
  </si>
  <si>
    <t>Adriana Gutierrez</t>
  </si>
  <si>
    <t>Carnevale</t>
  </si>
  <si>
    <t>Parisi David</t>
  </si>
  <si>
    <t>Gazillon Luis</t>
  </si>
  <si>
    <t>Alsil</t>
  </si>
  <si>
    <t>Lucas Ordoñez</t>
  </si>
  <si>
    <t>Silvina Albelda</t>
  </si>
  <si>
    <t>Dario Di Cocco</t>
  </si>
  <si>
    <t>Gnecchi Nicolás</t>
  </si>
  <si>
    <t>Gustavo Gomez</t>
  </si>
  <si>
    <t>Cano</t>
  </si>
  <si>
    <t>Ordoñez Luis</t>
  </si>
  <si>
    <t>Ordoñez, Luis</t>
  </si>
  <si>
    <t>Sr propietario</t>
  </si>
  <si>
    <t>Sr. Propietario</t>
  </si>
  <si>
    <t xml:space="preserve">Banco: Santander N.º de cuenta: 039-021152/7
CBU: 0720039720000002115272
Alias: EDIFICIO.AIRE.FRESCO
</t>
  </si>
  <si>
    <t xml:space="preserve">ESTIMADOS PROPIETARIOS E INQUILINOS: POR FAVOR LOS QUE ABONAN EN PRIMER VENCIMIENTO ABONEN EL MONTO DE PRIMER VENCIMIENTO, ASI AGILIZAN LA LIQUIDACION, RESPETEN LOS CENTAVOS CORRESPONDIENTES A LA UNIDAD FUNCIONAL. </t>
  </si>
  <si>
    <t>Edesur - Cliente Nro. 04742252</t>
  </si>
  <si>
    <t>Debito Autom.</t>
  </si>
  <si>
    <t>Plan de Pago ARCA</t>
  </si>
  <si>
    <t>Nancy Llano</t>
  </si>
  <si>
    <t>Gonzalo Llofriu</t>
  </si>
  <si>
    <t xml:space="preserve">Mauro De Luca </t>
  </si>
  <si>
    <t>Tania Sarai Talavera Salcedo</t>
  </si>
  <si>
    <t>Ivan Campos</t>
  </si>
  <si>
    <t>Roque Mona</t>
  </si>
  <si>
    <t>Victoria Blas</t>
  </si>
  <si>
    <t>Marcelo Federico Segura</t>
  </si>
  <si>
    <t>Gimenez Gisele</t>
  </si>
  <si>
    <t>Martinez Blanca Myriam</t>
  </si>
  <si>
    <t>Monica Bratuz y Federico Paez</t>
  </si>
  <si>
    <t>Deposita - Paga Cocheras 1, 15 y 22 - Lanzilotto</t>
  </si>
  <si>
    <t xml:space="preserve">Caja SUM </t>
  </si>
  <si>
    <t>Ingreso</t>
  </si>
  <si>
    <t>Egreso</t>
  </si>
  <si>
    <t xml:space="preserve">Caja Efectivo </t>
  </si>
  <si>
    <t>Caja Real en banco (Caja Bancaria + SUM)</t>
  </si>
  <si>
    <t>Gastos A:</t>
  </si>
  <si>
    <t>Edesur:</t>
  </si>
  <si>
    <t>Edesur</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</si>
  <si>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</si>
  <si>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Iraola Federico</t>
  </si>
  <si>
    <t>Plan de pago arca</t>
  </si>
  <si>
    <t>ARCA P. De pago:</t>
  </si>
  <si>
    <t>Estudio M&amp;M</t>
  </si>
  <si>
    <t>Myryam Martinez Del Valle</t>
  </si>
  <si>
    <t>Abono de 2 meses</t>
  </si>
  <si>
    <t>Haberes + SAC</t>
  </si>
  <si>
    <t xml:space="preserve">Gastos bancarios </t>
  </si>
  <si>
    <t xml:space="preserve">Saldo inicial </t>
  </si>
  <si>
    <t>Saldo final</t>
  </si>
  <si>
    <t>Gombach Paula / Romero Miguel</t>
  </si>
  <si>
    <t>Brisa Agüero</t>
  </si>
  <si>
    <t>Punitorios mal cobrados</t>
  </si>
  <si>
    <t>FCI Super ahorro plus</t>
  </si>
  <si>
    <t>Egreso pago de metrogas</t>
  </si>
  <si>
    <t>Gasto particular / SUM</t>
  </si>
  <si>
    <t xml:space="preserve">CONS. DE PROP. O HIGGINS 1157                                                                                                                                                        
</t>
  </si>
  <si>
    <t xml:space="preserve"> </t>
  </si>
  <si>
    <t>Rescate FCI</t>
  </si>
  <si>
    <t>Articulos de limpieza</t>
  </si>
  <si>
    <t>Interes generados</t>
  </si>
  <si>
    <t>Inicio del mes</t>
  </si>
  <si>
    <t>La caja nos da una diferencia de $60.000 pesos aprox que Cabrera le debe al consorcio de ohgiggins</t>
  </si>
  <si>
    <t>Silvina albaneda volvio a no respetar centavos, transfirio: $ 249002,48 - Sumo: $243079,14 dpto
$5923,34 cochera</t>
  </si>
  <si>
    <t>14 y 34</t>
  </si>
  <si>
    <t>Mayra Gimenez</t>
  </si>
  <si>
    <t>Transfirio $229.441 el 13/08 - Dice que pago $20.000 de mas</t>
  </si>
  <si>
    <t>Cochera 1, 15 y 22</t>
  </si>
  <si>
    <t>Dice que no tiene deuda en las cocheras adjunta depositos por $160.000 el 29/06 - $137.000 el 16/07 - $152.000 el 21/08</t>
  </si>
  <si>
    <t>VTO 17/09</t>
  </si>
  <si>
    <t>PERÍODO: AGOSTO</t>
  </si>
  <si>
    <t>Transf 17/8</t>
  </si>
  <si>
    <t>Palazzo Andres - Reparacion de camaras (fuente, cajas, conectores)</t>
  </si>
  <si>
    <t>Transf 07/08</t>
  </si>
  <si>
    <t>Servisur - Retiro de 9 luces de emergencia obsoletas e instalacion de nuevas</t>
  </si>
  <si>
    <t>Casa Fernandez - Motorrag SM INOX 150</t>
  </si>
  <si>
    <t>Transf 10/08</t>
  </si>
  <si>
    <t>Transf 06/08</t>
  </si>
  <si>
    <t>Gabriel Chiantori - Se realizó el retiro de la bomba sumergible quemada, instalación de una nueva bomba con rejilla protectora anti-sedimentos y reacondicionamiento integral de la instalación eléctrica, incluyendo nuevo cableado y conexión hasta la caja del techo del subsuelo.</t>
  </si>
  <si>
    <t>Galvan Zaffalon - Visita de guardia por saltado de termica baja</t>
  </si>
  <si>
    <t>Galvan Zaffalon - Instalacion de pedrollo de su propiedad</t>
  </si>
  <si>
    <t>Debito 10/08</t>
  </si>
  <si>
    <t>Debito 12/08</t>
  </si>
  <si>
    <t>Transf 12/08</t>
  </si>
  <si>
    <t>Gustavo Padron -  Sr. Contador - Mes 5 , 6  y 7</t>
  </si>
  <si>
    <t>Transf 13/08</t>
  </si>
  <si>
    <t>Abono ascensor - ADS - Se abona mes de mayo</t>
  </si>
  <si>
    <t>Duplicacion de pago</t>
  </si>
  <si>
    <t>Transf 18/08</t>
  </si>
  <si>
    <t>Abono ascensor - ADS - Se abona el mes de junio</t>
  </si>
  <si>
    <t>Cuota 17/24</t>
  </si>
  <si>
    <t>Debito 18/08</t>
  </si>
  <si>
    <t>Honorarios administracion - Mitad de MAYO adeudada</t>
  </si>
  <si>
    <t>Honorarios administracion - Se debe Julio y Agosto ($420.000 c/u)</t>
  </si>
  <si>
    <t>Transf 26/08</t>
  </si>
  <si>
    <t>Transf 28/08</t>
  </si>
  <si>
    <t>Rescate 12/08</t>
  </si>
  <si>
    <t>Deposito ya identificad 29/6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</si>
</sst>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3"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6"/>
      <color theme="1"/>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color rgb="FFFF0000"/>
      <name val="Calibri"/>
      <family val="2"/>
      <scheme val="minor"/>
    </font>
    <font>
      <sz val="8"/>
      <color rgb="FFFF0000"/>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bgColor indexed="64"/>
      </patternFill>
    </fill>
    <fill>
      <patternFill patternType="solid">
        <fgColor theme="6" tint="0.59999389629810485"/>
        <bgColor indexed="64"/>
      </patternFill>
    </fill>
    <fill>
      <patternFill patternType="solid">
        <fgColor theme="7" tint="-0.249977111117893"/>
        <bgColor indexed="64"/>
      </patternFill>
    </fill>
    <fill>
      <patternFill patternType="solid">
        <fgColor rgb="FF7030A0"/>
        <bgColor indexed="64"/>
      </patternFill>
    </fill>
    <fill>
      <patternFill patternType="solid">
        <fgColor theme="5"/>
        <bgColor indexed="64"/>
      </patternFill>
    </fill>
    <fill>
      <patternFill patternType="solid">
        <fgColor theme="4"/>
        <bgColor indexed="64"/>
      </patternFill>
    </fill>
    <fill>
      <patternFill patternType="solid">
        <fgColor theme="6" tint="-0.249977111117893"/>
        <bgColor indexed="64"/>
      </patternFill>
    </fill>
  </fills>
  <borders count="40">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s>
  <cellStyleXfs count="2">
    <xf numFmtId="0" fontId="0" fillId="0" borderId="0"/>
    <xf numFmtId="44" fontId="5" fillId="0" borderId="0" applyFont="0" applyFill="0" applyBorder="0" applyAlignment="0" applyProtection="0"/>
  </cellStyleXfs>
  <cellXfs count="275">
    <xf numFmtId="0" fontId="0" fillId="0" borderId="0" xfId="0"/>
    <xf numFmtId="0" fontId="1" fillId="0" borderId="0" xfId="0" applyFont="1"/>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0" fillId="6" borderId="2" xfId="0" applyFill="1" applyBorder="1"/>
    <xf numFmtId="0" fontId="0" fillId="6" borderId="11" xfId="0" applyFill="1" applyBorder="1"/>
    <xf numFmtId="0" fontId="9" fillId="7" borderId="9" xfId="0" applyFont="1" applyFill="1" applyBorder="1"/>
    <xf numFmtId="8" fontId="10" fillId="7" borderId="9" xfId="0" applyNumberFormat="1" applyFont="1" applyFill="1" applyBorder="1"/>
    <xf numFmtId="0" fontId="0" fillId="2" borderId="9" xfId="0" applyFill="1" applyBorder="1"/>
    <xf numFmtId="0" fontId="0" fillId="2" borderId="0" xfId="0" applyFill="1"/>
    <xf numFmtId="0" fontId="12" fillId="2" borderId="9" xfId="0" applyFont="1" applyFill="1" applyBorder="1"/>
    <xf numFmtId="44" fontId="13" fillId="7" borderId="20" xfId="1" applyFont="1" applyFill="1" applyBorder="1"/>
    <xf numFmtId="44" fontId="13" fillId="7" borderId="9" xfId="1" applyFont="1" applyFill="1" applyBorder="1"/>
    <xf numFmtId="0" fontId="0" fillId="0" borderId="9" xfId="0" applyBorder="1" applyAlignment="1">
      <alignment vertical="center" wrapText="1"/>
    </xf>
    <xf numFmtId="44" fontId="11" fillId="7" borderId="9" xfId="1" applyFont="1" applyFill="1" applyBorder="1"/>
    <xf numFmtId="44" fontId="13" fillId="7" borderId="20" xfId="1" applyFont="1" applyFill="1" applyBorder="1" applyAlignment="1">
      <alignment horizontal="center"/>
    </xf>
    <xf numFmtId="0" fontId="14" fillId="0" borderId="9" xfId="1" applyNumberFormat="1" applyFont="1" applyBorder="1"/>
    <xf numFmtId="44" fontId="11" fillId="2" borderId="20" xfId="1" applyFont="1" applyFill="1" applyBorder="1"/>
    <xf numFmtId="0" fontId="10" fillId="7" borderId="9" xfId="0" applyFont="1" applyFill="1" applyBorder="1"/>
    <xf numFmtId="8" fontId="13" fillId="7" borderId="20" xfId="0" applyNumberFormat="1" applyFont="1" applyFill="1" applyBorder="1"/>
    <xf numFmtId="8" fontId="13" fillId="7" borderId="22" xfId="0" applyNumberFormat="1" applyFont="1" applyFill="1" applyBorder="1"/>
    <xf numFmtId="44" fontId="15" fillId="7" borderId="9" xfId="1" applyFont="1" applyFill="1" applyBorder="1"/>
    <xf numFmtId="0" fontId="11" fillId="0" borderId="9" xfId="0" applyFont="1" applyBorder="1"/>
    <xf numFmtId="0" fontId="12" fillId="0" borderId="15" xfId="0" applyFont="1" applyBorder="1"/>
    <xf numFmtId="0" fontId="13" fillId="8" borderId="20" xfId="0" applyFont="1" applyFill="1" applyBorder="1"/>
    <xf numFmtId="44" fontId="15" fillId="8" borderId="9" xfId="1" applyFont="1" applyFill="1" applyBorder="1"/>
    <xf numFmtId="0" fontId="0" fillId="0" borderId="3" xfId="0" applyBorder="1"/>
    <xf numFmtId="0" fontId="11" fillId="0" borderId="0" xfId="0" applyFont="1"/>
    <xf numFmtId="0" fontId="12" fillId="0" borderId="12" xfId="0" applyFont="1" applyBorder="1"/>
    <xf numFmtId="44" fontId="0" fillId="0" borderId="0" xfId="0" applyNumberFormat="1"/>
    <xf numFmtId="0" fontId="13" fillId="6" borderId="8" xfId="0" applyFont="1" applyFill="1" applyBorder="1"/>
    <xf numFmtId="44" fontId="15" fillId="6" borderId="6" xfId="0" applyNumberFormat="1" applyFont="1" applyFill="1" applyBorder="1"/>
    <xf numFmtId="43" fontId="0" fillId="0" borderId="0" xfId="0" applyNumberFormat="1"/>
    <xf numFmtId="164" fontId="0" fillId="2" borderId="0" xfId="1" applyNumberFormat="1" applyFont="1" applyFill="1" applyAlignment="1"/>
    <xf numFmtId="0" fontId="11" fillId="6" borderId="2" xfId="0" applyFont="1" applyFill="1" applyBorder="1"/>
    <xf numFmtId="0" fontId="11" fillId="6" borderId="11" xfId="0" applyFont="1" applyFill="1" applyBorder="1"/>
    <xf numFmtId="0" fontId="12" fillId="0" borderId="9" xfId="1" applyNumberFormat="1" applyFont="1" applyBorder="1" applyAlignment="1">
      <alignment horizontal="left"/>
    </xf>
    <xf numFmtId="44" fontId="0" fillId="0" borderId="0" xfId="1" applyFont="1"/>
    <xf numFmtId="4" fontId="2" fillId="0" borderId="0" xfId="0" applyNumberFormat="1" applyFont="1" applyAlignment="1">
      <alignment wrapText="1"/>
    </xf>
    <xf numFmtId="0" fontId="0" fillId="0" borderId="0" xfId="0" applyAlignment="1">
      <alignment wrapText="1"/>
    </xf>
    <xf numFmtId="44" fontId="6" fillId="9" borderId="14" xfId="1" applyFont="1" applyFill="1" applyBorder="1"/>
    <xf numFmtId="44" fontId="0" fillId="0" borderId="9" xfId="0" applyNumberFormat="1" applyBorder="1" applyAlignment="1">
      <alignment vertical="center" wrapText="1"/>
    </xf>
    <xf numFmtId="44" fontId="0" fillId="0" borderId="9" xfId="1" applyFont="1" applyBorder="1" applyAlignment="1">
      <alignmen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6" fillId="9" borderId="0" xfId="0" applyFont="1" applyFill="1"/>
    <xf numFmtId="44" fontId="6" fillId="9" borderId="0" xfId="0" applyNumberFormat="1" applyFont="1" applyFill="1"/>
    <xf numFmtId="44" fontId="6" fillId="9" borderId="0" xfId="1" applyFont="1" applyFill="1"/>
    <xf numFmtId="0" fontId="0" fillId="0" borderId="13" xfId="0" applyBorder="1"/>
    <xf numFmtId="8" fontId="0" fillId="0" borderId="0" xfId="0" applyNumberFormat="1"/>
    <xf numFmtId="44" fontId="18" fillId="2" borderId="9" xfId="1" applyFont="1" applyFill="1" applyBorder="1"/>
    <xf numFmtId="0" fontId="16" fillId="0" borderId="0" xfId="0" applyFont="1"/>
    <xf numFmtId="0" fontId="1" fillId="3" borderId="7" xfId="0" applyFont="1" applyFill="1" applyBorder="1" applyAlignment="1">
      <alignment horizontal="left" vertical="top" wrapText="1"/>
    </xf>
    <xf numFmtId="0" fontId="0" fillId="3" borderId="18" xfId="0" applyFill="1" applyBorder="1"/>
    <xf numFmtId="0" fontId="0" fillId="3" borderId="2" xfId="0" applyFill="1" applyBorder="1" applyAlignment="1">
      <alignment horizontal="center"/>
    </xf>
    <xf numFmtId="0" fontId="1" fillId="3" borderId="0" xfId="0" applyFont="1" applyFill="1" applyAlignment="1">
      <alignment horizontal="center"/>
    </xf>
    <xf numFmtId="0" fontId="0" fillId="3" borderId="16" xfId="0" applyFill="1" applyBorder="1" applyAlignment="1">
      <alignment horizontal="center"/>
    </xf>
    <xf numFmtId="166" fontId="0" fillId="3" borderId="16" xfId="0" applyNumberFormat="1" applyFill="1" applyBorder="1" applyAlignment="1">
      <alignment horizontal="center"/>
    </xf>
    <xf numFmtId="44" fontId="11" fillId="7" borderId="20" xfId="1" applyFont="1" applyFill="1" applyBorder="1"/>
    <xf numFmtId="0" fontId="17" fillId="2" borderId="9" xfId="0" applyFont="1" applyFill="1" applyBorder="1"/>
    <xf numFmtId="0" fontId="19" fillId="2" borderId="9" xfId="0" applyFont="1" applyFill="1" applyBorder="1"/>
    <xf numFmtId="0" fontId="17" fillId="2" borderId="9" xfId="0" applyFont="1" applyFill="1" applyBorder="1" applyAlignment="1">
      <alignment horizontal="center"/>
    </xf>
    <xf numFmtId="167" fontId="17" fillId="2" borderId="9" xfId="0" applyNumberFormat="1" applyFont="1" applyFill="1" applyBorder="1"/>
    <xf numFmtId="44" fontId="18" fillId="2" borderId="24" xfId="1" applyFont="1" applyFill="1" applyBorder="1"/>
    <xf numFmtId="0" fontId="17" fillId="2" borderId="9" xfId="0" applyFont="1" applyFill="1" applyBorder="1" applyAlignment="1">
      <alignment wrapText="1"/>
    </xf>
    <xf numFmtId="0" fontId="17" fillId="2" borderId="9" xfId="0" applyFont="1" applyFill="1" applyBorder="1" applyAlignment="1">
      <alignment vertical="center" wrapText="1"/>
    </xf>
    <xf numFmtId="44" fontId="12" fillId="0" borderId="9" xfId="1" applyFont="1" applyBorder="1" applyAlignment="1">
      <alignment vertical="center" wrapText="1"/>
    </xf>
    <xf numFmtId="44" fontId="11" fillId="7" borderId="0" xfId="1" applyFont="1" applyFill="1"/>
    <xf numFmtId="8" fontId="20" fillId="7" borderId="9" xfId="0" applyNumberFormat="1" applyFont="1" applyFill="1" applyBorder="1"/>
    <xf numFmtId="167" fontId="17" fillId="2" borderId="9" xfId="1" applyNumberFormat="1" applyFont="1" applyFill="1" applyBorder="1"/>
    <xf numFmtId="0" fontId="17" fillId="2" borderId="10" xfId="0" applyFont="1" applyFill="1" applyBorder="1"/>
    <xf numFmtId="0" fontId="17" fillId="7" borderId="27" xfId="0" applyFont="1" applyFill="1" applyBorder="1"/>
    <xf numFmtId="0" fontId="17" fillId="7" borderId="28" xfId="0" applyFont="1" applyFill="1" applyBorder="1"/>
    <xf numFmtId="168" fontId="17" fillId="7" borderId="28" xfId="0" applyNumberFormat="1" applyFont="1" applyFill="1" applyBorder="1" applyAlignment="1">
      <alignment horizontal="center"/>
    </xf>
    <xf numFmtId="44" fontId="17" fillId="7" borderId="28" xfId="0" applyNumberFormat="1" applyFont="1" applyFill="1" applyBorder="1"/>
    <xf numFmtId="167" fontId="17" fillId="7" borderId="28" xfId="0" applyNumberFormat="1" applyFont="1" applyFill="1" applyBorder="1"/>
    <xf numFmtId="164" fontId="17" fillId="7" borderId="28" xfId="0" applyNumberFormat="1" applyFont="1" applyFill="1" applyBorder="1"/>
    <xf numFmtId="167" fontId="17" fillId="7" borderId="29" xfId="0" applyNumberFormat="1" applyFont="1" applyFill="1" applyBorder="1"/>
    <xf numFmtId="44" fontId="18" fillId="2" borderId="31" xfId="1" applyFont="1" applyFill="1" applyBorder="1"/>
    <xf numFmtId="44" fontId="17" fillId="7" borderId="32" xfId="0" applyNumberFormat="1" applyFont="1" applyFill="1" applyBorder="1"/>
    <xf numFmtId="0" fontId="14" fillId="3" borderId="33" xfId="0" applyFont="1" applyFill="1" applyBorder="1" applyAlignment="1">
      <alignment horizontal="center" vertical="center" wrapText="1"/>
    </xf>
    <xf numFmtId="0" fontId="14" fillId="3" borderId="24" xfId="0" applyFont="1" applyFill="1" applyBorder="1" applyAlignment="1">
      <alignment horizontal="center" vertical="center" wrapText="1"/>
    </xf>
    <xf numFmtId="44" fontId="17" fillId="7" borderId="34" xfId="0" applyNumberFormat="1" applyFont="1" applyFill="1" applyBorder="1"/>
    <xf numFmtId="44" fontId="20" fillId="7" borderId="19" xfId="1" applyFont="1" applyFill="1" applyBorder="1"/>
    <xf numFmtId="44" fontId="12" fillId="0" borderId="9" xfId="1" applyFont="1" applyBorder="1" applyAlignment="1">
      <alignment wrapText="1"/>
    </xf>
    <xf numFmtId="8" fontId="15" fillId="7" borderId="9" xfId="1" applyNumberFormat="1" applyFont="1" applyFill="1" applyBorder="1"/>
    <xf numFmtId="8" fontId="15" fillId="7" borderId="19" xfId="1" applyNumberFormat="1" applyFont="1" applyFill="1" applyBorder="1"/>
    <xf numFmtId="8" fontId="12" fillId="2" borderId="19" xfId="1" applyNumberFormat="1" applyFont="1" applyFill="1" applyBorder="1"/>
    <xf numFmtId="44" fontId="15" fillId="7" borderId="19" xfId="1" applyFont="1" applyFill="1" applyBorder="1"/>
    <xf numFmtId="44" fontId="12" fillId="7" borderId="19" xfId="1" applyFont="1" applyFill="1" applyBorder="1"/>
    <xf numFmtId="44" fontId="15" fillId="7" borderId="5" xfId="1" applyFont="1" applyFill="1" applyBorder="1"/>
    <xf numFmtId="44" fontId="15" fillId="7" borderId="1" xfId="1" applyFont="1" applyFill="1" applyBorder="1"/>
    <xf numFmtId="44" fontId="12" fillId="2" borderId="9" xfId="1" applyFont="1" applyFill="1" applyBorder="1"/>
    <xf numFmtId="44" fontId="13" fillId="7" borderId="0" xfId="1" applyFont="1" applyFill="1"/>
    <xf numFmtId="0" fontId="11" fillId="0" borderId="0" xfId="0" applyFont="1" applyAlignment="1">
      <alignment wrapText="1"/>
    </xf>
    <xf numFmtId="44" fontId="11" fillId="0" borderId="0" xfId="0" applyNumberFormat="1" applyFont="1" applyAlignment="1">
      <alignment wrapText="1"/>
    </xf>
    <xf numFmtId="44" fontId="15" fillId="8" borderId="9" xfId="1" applyFont="1" applyFill="1" applyBorder="1" applyAlignment="1">
      <alignment vertical="center"/>
    </xf>
    <xf numFmtId="8" fontId="14" fillId="2" borderId="19" xfId="1" applyNumberFormat="1" applyFont="1" applyFill="1" applyBorder="1"/>
    <xf numFmtId="0" fontId="6" fillId="9" borderId="14" xfId="0" applyFont="1" applyFill="1" applyBorder="1" applyAlignment="1">
      <alignment vertical="center" wrapText="1"/>
    </xf>
    <xf numFmtId="0" fontId="0" fillId="0" borderId="2" xfId="0" applyBorder="1"/>
    <xf numFmtId="0" fontId="0" fillId="0" borderId="11" xfId="0" applyBorder="1"/>
    <xf numFmtId="0" fontId="0" fillId="0" borderId="12" xfId="0" applyBorder="1"/>
    <xf numFmtId="0" fontId="0" fillId="12" borderId="18" xfId="0" applyFill="1" applyBorder="1"/>
    <xf numFmtId="0" fontId="0" fillId="12" borderId="2" xfId="0" applyFill="1" applyBorder="1"/>
    <xf numFmtId="0" fontId="0" fillId="12" borderId="3" xfId="0" applyFill="1" applyBorder="1"/>
    <xf numFmtId="0" fontId="0" fillId="12" borderId="0" xfId="0" applyFill="1"/>
    <xf numFmtId="0" fontId="12" fillId="0" borderId="19" xfId="1" applyNumberFormat="1" applyFont="1" applyBorder="1" applyAlignment="1">
      <alignment horizontal="left" vertical="center"/>
    </xf>
    <xf numFmtId="0" fontId="18" fillId="2" borderId="10" xfId="0" applyFont="1" applyFill="1" applyBorder="1"/>
    <xf numFmtId="0" fontId="18" fillId="2" borderId="9" xfId="0" applyFont="1" applyFill="1" applyBorder="1" applyAlignment="1">
      <alignment vertical="center" wrapText="1"/>
    </xf>
    <xf numFmtId="0" fontId="18" fillId="2" borderId="9" xfId="0" applyFont="1" applyFill="1" applyBorder="1" applyAlignment="1">
      <alignment wrapText="1"/>
    </xf>
    <xf numFmtId="0" fontId="18" fillId="2" borderId="9" xfId="0" applyFont="1" applyFill="1" applyBorder="1" applyAlignment="1">
      <alignment horizontal="center"/>
    </xf>
    <xf numFmtId="167" fontId="18" fillId="2" borderId="9" xfId="0" applyNumberFormat="1" applyFont="1" applyFill="1" applyBorder="1"/>
    <xf numFmtId="167" fontId="18" fillId="2" borderId="9" xfId="1" applyNumberFormat="1" applyFont="1" applyFill="1" applyBorder="1"/>
    <xf numFmtId="0" fontId="0" fillId="3" borderId="2" xfId="0" applyFill="1" applyBorder="1"/>
    <xf numFmtId="0" fontId="0" fillId="3" borderId="0" xfId="0" applyFill="1"/>
    <xf numFmtId="0" fontId="0" fillId="3" borderId="16" xfId="0" applyFill="1" applyBorder="1"/>
    <xf numFmtId="0" fontId="17" fillId="2" borderId="21" xfId="0" applyFont="1" applyFill="1" applyBorder="1"/>
    <xf numFmtId="0" fontId="17" fillId="7" borderId="38" xfId="0" applyFont="1" applyFill="1" applyBorder="1"/>
    <xf numFmtId="165" fontId="1" fillId="3" borderId="0" xfId="0" applyNumberFormat="1" applyFont="1" applyFill="1" applyAlignment="1">
      <alignment horizontal="center"/>
    </xf>
    <xf numFmtId="44" fontId="11" fillId="0" borderId="0" xfId="0" applyNumberFormat="1" applyFont="1"/>
    <xf numFmtId="44" fontId="11" fillId="0" borderId="9" xfId="1" applyFont="1" applyBorder="1" applyAlignment="1">
      <alignment vertical="center" wrapText="1"/>
    </xf>
    <xf numFmtId="44" fontId="7" fillId="0" borderId="9" xfId="0" applyNumberFormat="1" applyFont="1" applyBorder="1" applyAlignment="1">
      <alignment vertical="center" wrapText="1"/>
    </xf>
    <xf numFmtId="0" fontId="1" fillId="13" borderId="7" xfId="0" applyFont="1" applyFill="1" applyBorder="1" applyAlignment="1">
      <alignment vertical="center" wrapText="1"/>
    </xf>
    <xf numFmtId="44" fontId="1" fillId="13" borderId="1" xfId="0" applyNumberFormat="1" applyFont="1" applyFill="1" applyBorder="1"/>
    <xf numFmtId="0" fontId="1" fillId="3" borderId="4" xfId="0" applyFont="1" applyFill="1" applyBorder="1"/>
    <xf numFmtId="44" fontId="1" fillId="3" borderId="0" xfId="1" applyFont="1" applyFill="1" applyAlignment="1">
      <alignment horizontal="center"/>
    </xf>
    <xf numFmtId="44" fontId="1" fillId="3" borderId="16" xfId="1" applyFont="1" applyFill="1" applyBorder="1" applyAlignment="1">
      <alignment horizontal="center"/>
    </xf>
    <xf numFmtId="0" fontId="17" fillId="14" borderId="10" xfId="0" applyFont="1" applyFill="1" applyBorder="1"/>
    <xf numFmtId="0" fontId="17" fillId="14" borderId="21" xfId="0" applyFont="1" applyFill="1" applyBorder="1"/>
    <xf numFmtId="0" fontId="17" fillId="14" borderId="9" xfId="0" applyFont="1" applyFill="1" applyBorder="1"/>
    <xf numFmtId="0" fontId="17" fillId="14" borderId="9" xfId="0" applyFont="1" applyFill="1" applyBorder="1" applyAlignment="1">
      <alignment wrapText="1"/>
    </xf>
    <xf numFmtId="0" fontId="17" fillId="14" borderId="9" xfId="0" applyFont="1" applyFill="1" applyBorder="1" applyAlignment="1">
      <alignment horizontal="center"/>
    </xf>
    <xf numFmtId="44" fontId="18" fillId="14" borderId="9" xfId="1" applyFont="1" applyFill="1" applyBorder="1"/>
    <xf numFmtId="167" fontId="17" fillId="14" borderId="9" xfId="0" applyNumberFormat="1" applyFont="1" applyFill="1" applyBorder="1"/>
    <xf numFmtId="167" fontId="17" fillId="14" borderId="9" xfId="1" applyNumberFormat="1" applyFont="1" applyFill="1" applyBorder="1"/>
    <xf numFmtId="44" fontId="18" fillId="14" borderId="24" xfId="1" applyFont="1" applyFill="1" applyBorder="1"/>
    <xf numFmtId="44" fontId="18" fillId="14" borderId="31" xfId="1" applyFont="1" applyFill="1" applyBorder="1"/>
    <xf numFmtId="0" fontId="11" fillId="2" borderId="9" xfId="0" applyFont="1" applyFill="1" applyBorder="1"/>
    <xf numFmtId="0" fontId="13" fillId="7" borderId="9" xfId="0" applyFont="1" applyFill="1" applyBorder="1"/>
    <xf numFmtId="0" fontId="11" fillId="7" borderId="9" xfId="0" applyFont="1" applyFill="1" applyBorder="1"/>
    <xf numFmtId="0" fontId="13" fillId="2" borderId="9" xfId="0" applyFont="1" applyFill="1" applyBorder="1"/>
    <xf numFmtId="0" fontId="11" fillId="0" borderId="9" xfId="0" applyFont="1" applyBorder="1" applyAlignment="1">
      <alignment vertical="center" wrapText="1"/>
    </xf>
    <xf numFmtId="0" fontId="11" fillId="0" borderId="21" xfId="0" applyFont="1" applyBorder="1"/>
    <xf numFmtId="0" fontId="11" fillId="0" borderId="20" xfId="0" applyFont="1" applyBorder="1" applyAlignment="1">
      <alignment horizontal="left" vertical="center"/>
    </xf>
    <xf numFmtId="0" fontId="11" fillId="0" borderId="21" xfId="0" applyFont="1" applyBorder="1" applyAlignment="1">
      <alignment horizontal="left" vertical="center" wrapText="1"/>
    </xf>
    <xf numFmtId="0" fontId="11" fillId="2" borderId="21" xfId="0" applyFont="1" applyFill="1" applyBorder="1" applyAlignment="1">
      <alignment horizontal="left" vertical="center" wrapText="1"/>
    </xf>
    <xf numFmtId="0" fontId="11" fillId="2" borderId="20" xfId="0" applyFont="1" applyFill="1" applyBorder="1" applyAlignment="1">
      <alignment horizontal="left" vertical="center"/>
    </xf>
    <xf numFmtId="0" fontId="13" fillId="7" borderId="9" xfId="0" applyFont="1" applyFill="1" applyBorder="1" applyAlignment="1">
      <alignment wrapText="1"/>
    </xf>
    <xf numFmtId="0" fontId="11" fillId="0" borderId="19" xfId="0" applyFont="1" applyBorder="1"/>
    <xf numFmtId="44" fontId="11" fillId="2" borderId="22" xfId="1" applyFont="1" applyFill="1" applyBorder="1"/>
    <xf numFmtId="0" fontId="13" fillId="7" borderId="19" xfId="0" applyFont="1" applyFill="1" applyBorder="1"/>
    <xf numFmtId="0" fontId="13" fillId="8" borderId="9" xfId="0" applyFont="1" applyFill="1" applyBorder="1"/>
    <xf numFmtId="0" fontId="11" fillId="0" borderId="3" xfId="0" applyFont="1" applyBorder="1"/>
    <xf numFmtId="0" fontId="13" fillId="6" borderId="7" xfId="0" applyFont="1" applyFill="1" applyBorder="1"/>
    <xf numFmtId="10" fontId="13" fillId="6" borderId="8" xfId="0" applyNumberFormat="1" applyFont="1" applyFill="1" applyBorder="1"/>
    <xf numFmtId="43" fontId="11" fillId="0" borderId="0" xfId="0" applyNumberFormat="1" applyFont="1"/>
    <xf numFmtId="0" fontId="13" fillId="6" borderId="18" xfId="0" applyFont="1" applyFill="1" applyBorder="1"/>
    <xf numFmtId="0" fontId="13" fillId="6" borderId="2" xfId="0" applyFont="1" applyFill="1" applyBorder="1"/>
    <xf numFmtId="10" fontId="13" fillId="6" borderId="2" xfId="0" applyNumberFormat="1" applyFont="1" applyFill="1" applyBorder="1"/>
    <xf numFmtId="44" fontId="11" fillId="2" borderId="19" xfId="1" applyFont="1" applyFill="1" applyBorder="1" applyAlignment="1">
      <alignment horizontal="center" vertical="center"/>
    </xf>
    <xf numFmtId="0" fontId="11" fillId="0" borderId="20" xfId="0" applyFont="1" applyBorder="1" applyAlignment="1">
      <alignment horizontal="left" vertical="center" wrapText="1"/>
    </xf>
    <xf numFmtId="0" fontId="11" fillId="0" borderId="23" xfId="0" applyFont="1" applyBorder="1" applyAlignment="1">
      <alignment horizontal="left" vertical="center" wrapText="1"/>
    </xf>
    <xf numFmtId="0" fontId="13" fillId="7" borderId="0" xfId="0" applyFont="1" applyFill="1"/>
    <xf numFmtId="0" fontId="11" fillId="7" borderId="0" xfId="0" applyFont="1" applyFill="1"/>
    <xf numFmtId="0" fontId="15" fillId="5" borderId="7" xfId="0" applyFont="1" applyFill="1" applyBorder="1"/>
    <xf numFmtId="44" fontId="15" fillId="5" borderId="6" xfId="0" applyNumberFormat="1" applyFont="1" applyFill="1" applyBorder="1"/>
    <xf numFmtId="44" fontId="13" fillId="9" borderId="14" xfId="1" applyFont="1" applyFill="1" applyBorder="1"/>
    <xf numFmtId="44" fontId="11" fillId="0" borderId="9" xfId="0" applyNumberFormat="1" applyFont="1" applyBorder="1" applyAlignment="1">
      <alignment vertical="center" wrapText="1"/>
    </xf>
    <xf numFmtId="0" fontId="13" fillId="10" borderId="4" xfId="0" applyFont="1" applyFill="1" applyBorder="1" applyAlignment="1">
      <alignment horizontal="left" vertical="center" wrapText="1"/>
    </xf>
    <xf numFmtId="44" fontId="13" fillId="10" borderId="17" xfId="1" applyFont="1" applyFill="1" applyBorder="1" applyAlignment="1">
      <alignment horizontal="left" vertical="center" wrapText="1"/>
    </xf>
    <xf numFmtId="0" fontId="13" fillId="2" borderId="0" xfId="0" applyFont="1" applyFill="1" applyAlignment="1">
      <alignment horizontal="left" vertical="center" wrapText="1"/>
    </xf>
    <xf numFmtId="44" fontId="13" fillId="2" borderId="0" xfId="1" applyFont="1" applyFill="1" applyBorder="1" applyAlignment="1">
      <alignment horizontal="left" vertical="center" wrapText="1"/>
    </xf>
    <xf numFmtId="0" fontId="7" fillId="2" borderId="0" xfId="0" applyFont="1" applyFill="1"/>
    <xf numFmtId="0" fontId="17" fillId="15" borderId="9" xfId="0" applyFont="1" applyFill="1" applyBorder="1" applyAlignment="1">
      <alignment wrapText="1"/>
    </xf>
    <xf numFmtId="0" fontId="17" fillId="15" borderId="9" xfId="0" applyFont="1" applyFill="1" applyBorder="1" applyAlignment="1">
      <alignment horizontal="center"/>
    </xf>
    <xf numFmtId="44" fontId="18" fillId="15" borderId="9" xfId="1" applyFont="1" applyFill="1" applyBorder="1"/>
    <xf numFmtId="167" fontId="17" fillId="15" borderId="9" xfId="0" applyNumberFormat="1" applyFont="1" applyFill="1" applyBorder="1"/>
    <xf numFmtId="167" fontId="17" fillId="15" borderId="9" xfId="1" applyNumberFormat="1" applyFont="1" applyFill="1" applyBorder="1"/>
    <xf numFmtId="44" fontId="18" fillId="15" borderId="24" xfId="1" applyFont="1" applyFill="1" applyBorder="1"/>
    <xf numFmtId="44" fontId="18" fillId="15" borderId="31" xfId="1" applyFont="1" applyFill="1" applyBorder="1"/>
    <xf numFmtId="0" fontId="11" fillId="2" borderId="20" xfId="0" applyFont="1" applyFill="1" applyBorder="1" applyAlignment="1">
      <alignment horizontal="left" vertical="center" wrapText="1"/>
    </xf>
    <xf numFmtId="8" fontId="12" fillId="2" borderId="20" xfId="0" applyNumberFormat="1" applyFont="1" applyFill="1" applyBorder="1" applyAlignment="1">
      <alignment horizontal="right"/>
    </xf>
    <xf numFmtId="44" fontId="11" fillId="2" borderId="20" xfId="1" applyFont="1" applyFill="1" applyBorder="1" applyAlignment="1"/>
    <xf numFmtId="0" fontId="0" fillId="16" borderId="3" xfId="0" applyFill="1" applyBorder="1"/>
    <xf numFmtId="0" fontId="0" fillId="16" borderId="0" xfId="0" applyFill="1"/>
    <xf numFmtId="0" fontId="0" fillId="17" borderId="3" xfId="0" applyFill="1" applyBorder="1"/>
    <xf numFmtId="0" fontId="0" fillId="17" borderId="0" xfId="0" applyFill="1"/>
    <xf numFmtId="0" fontId="11" fillId="2" borderId="20" xfId="0" applyFont="1" applyFill="1" applyBorder="1" applyAlignment="1">
      <alignment horizontal="left" vertical="center" wrapText="1"/>
    </xf>
    <xf numFmtId="0" fontId="11" fillId="0" borderId="20" xfId="0" applyFont="1" applyBorder="1" applyAlignment="1">
      <alignment horizontal="left" vertical="center" wrapText="1"/>
    </xf>
    <xf numFmtId="0" fontId="11" fillId="0" borderId="21" xfId="0" applyFont="1" applyBorder="1" applyAlignment="1">
      <alignment horizontal="left" vertical="center" wrapText="1"/>
    </xf>
    <xf numFmtId="0" fontId="11" fillId="0" borderId="37" xfId="0" applyFont="1" applyBorder="1" applyAlignment="1">
      <alignment horizontal="left" vertical="center" wrapText="1"/>
    </xf>
    <xf numFmtId="0" fontId="11" fillId="0" borderId="20" xfId="0" applyFont="1" applyBorder="1" applyAlignment="1">
      <alignment horizontal="left" vertical="center"/>
    </xf>
    <xf numFmtId="0" fontId="11" fillId="0" borderId="21" xfId="0" applyFont="1" applyBorder="1" applyAlignment="1">
      <alignment horizontal="left" vertical="center"/>
    </xf>
    <xf numFmtId="0" fontId="11" fillId="2" borderId="20" xfId="0" applyFont="1" applyFill="1" applyBorder="1" applyAlignment="1">
      <alignment horizontal="left" vertical="center" wrapText="1"/>
    </xf>
    <xf numFmtId="0" fontId="11" fillId="2" borderId="21" xfId="0" applyFont="1" applyFill="1" applyBorder="1" applyAlignment="1">
      <alignment horizontal="left" vertical="center" wrapText="1"/>
    </xf>
    <xf numFmtId="0" fontId="6" fillId="9" borderId="0" xfId="0" applyFont="1" applyFill="1" applyAlignment="1">
      <alignment horizontal="center" vertical="center"/>
    </xf>
    <xf numFmtId="0" fontId="11" fillId="0" borderId="22" xfId="0" applyFont="1" applyBorder="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8" fillId="4" borderId="0" xfId="0" applyFont="1" applyFill="1" applyAlignment="1">
      <alignment horizontal="center" vertical="center"/>
    </xf>
    <xf numFmtId="0" fontId="4" fillId="5" borderId="0" xfId="0" applyFont="1" applyFill="1" applyAlignment="1">
      <alignment horizontal="left" vertical="center"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1" fillId="3" borderId="2" xfId="0" applyFont="1" applyFill="1" applyBorder="1" applyAlignment="1">
      <alignment horizontal="left" wrapText="1"/>
    </xf>
    <xf numFmtId="0" fontId="1" fillId="3" borderId="11" xfId="0" applyFont="1" applyFill="1" applyBorder="1" applyAlignment="1">
      <alignment horizontal="left" wrapText="1"/>
    </xf>
    <xf numFmtId="0" fontId="1" fillId="3" borderId="0" xfId="0" applyFont="1" applyFill="1" applyAlignment="1">
      <alignment horizontal="left" wrapText="1"/>
    </xf>
    <xf numFmtId="0" fontId="1" fillId="3" borderId="12" xfId="0" applyFont="1" applyFill="1" applyBorder="1" applyAlignment="1">
      <alignment horizontal="left" wrapText="1"/>
    </xf>
    <xf numFmtId="0" fontId="1" fillId="3" borderId="16" xfId="0" applyFont="1" applyFill="1" applyBorder="1" applyAlignment="1">
      <alignment horizontal="left" wrapText="1"/>
    </xf>
    <xf numFmtId="0" fontId="1" fillId="3" borderId="17" xfId="0" applyFont="1" applyFill="1" applyBorder="1" applyAlignment="1">
      <alignment horizontal="left" wrapText="1"/>
    </xf>
    <xf numFmtId="0" fontId="16" fillId="3" borderId="26"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4" fillId="3" borderId="31" xfId="0" applyFont="1" applyFill="1" applyBorder="1" applyAlignment="1">
      <alignment horizontal="center" vertical="center" wrapText="1"/>
    </xf>
    <xf numFmtId="165" fontId="1" fillId="3" borderId="0" xfId="0" applyNumberFormat="1" applyFont="1" applyFill="1" applyAlignment="1">
      <alignment horizontal="center"/>
    </xf>
    <xf numFmtId="0" fontId="1" fillId="4" borderId="0" xfId="0" applyFont="1" applyFill="1" applyAlignment="1">
      <alignment horizontal="center" vertical="center" wrapText="1"/>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6" fillId="3" borderId="25"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26" xfId="0" applyFont="1" applyFill="1" applyBorder="1" applyAlignment="1">
      <alignment horizontal="center" vertical="center"/>
    </xf>
    <xf numFmtId="0" fontId="16" fillId="3" borderId="9" xfId="0" applyFont="1" applyFill="1" applyBorder="1" applyAlignment="1">
      <alignment horizontal="center" vertical="center"/>
    </xf>
    <xf numFmtId="0" fontId="14" fillId="3" borderId="26" xfId="0" applyFont="1" applyFill="1" applyBorder="1" applyAlignment="1">
      <alignment horizontal="center" vertical="center"/>
    </xf>
    <xf numFmtId="0" fontId="14" fillId="3" borderId="9" xfId="0" applyFont="1" applyFill="1" applyBorder="1" applyAlignment="1">
      <alignment horizontal="center" vertical="center"/>
    </xf>
    <xf numFmtId="0" fontId="17" fillId="3" borderId="26"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6" fillId="3" borderId="35" xfId="0" applyFont="1" applyFill="1" applyBorder="1" applyAlignment="1">
      <alignment horizontal="center" vertical="center" wrapText="1"/>
    </xf>
    <xf numFmtId="0" fontId="16" fillId="3" borderId="36" xfId="0" applyFont="1" applyFill="1" applyBorder="1" applyAlignment="1">
      <alignment horizontal="center" vertical="center" wrapText="1"/>
    </xf>
    <xf numFmtId="0" fontId="16" fillId="3" borderId="39"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44" fontId="7" fillId="18" borderId="20" xfId="1" applyFont="1" applyFill="1" applyBorder="1" applyAlignment="1"/>
    <xf numFmtId="44" fontId="7" fillId="18" borderId="9" xfId="1" applyFont="1" applyFill="1" applyBorder="1"/>
    <xf numFmtId="44" fontId="7" fillId="18" borderId="20" xfId="1" applyFont="1" applyFill="1" applyBorder="1"/>
    <xf numFmtId="8" fontId="7" fillId="18" borderId="20" xfId="0" applyNumberFormat="1" applyFont="1" applyFill="1" applyBorder="1" applyAlignment="1">
      <alignment horizontal="right"/>
    </xf>
    <xf numFmtId="8" fontId="7" fillId="18" borderId="9" xfId="0" applyNumberFormat="1" applyFont="1" applyFill="1" applyBorder="1" applyAlignment="1">
      <alignment horizontal="right"/>
    </xf>
    <xf numFmtId="8" fontId="21" fillId="18" borderId="9" xfId="0" applyNumberFormat="1" applyFont="1" applyFill="1" applyBorder="1" applyAlignment="1">
      <alignment horizontal="right"/>
    </xf>
    <xf numFmtId="44" fontId="7" fillId="18" borderId="22" xfId="1" applyFont="1" applyFill="1" applyBorder="1"/>
    <xf numFmtId="44" fontId="7" fillId="18" borderId="9" xfId="1" applyFont="1" applyFill="1" applyBorder="1" applyAlignment="1">
      <alignment vertical="center" wrapText="1"/>
    </xf>
    <xf numFmtId="44" fontId="22" fillId="2" borderId="9" xfId="1" applyFont="1" applyFill="1" applyBorder="1"/>
    <xf numFmtId="44" fontId="22" fillId="14" borderId="9" xfId="1" applyFont="1" applyFill="1" applyBorder="1"/>
    <xf numFmtId="44" fontId="22" fillId="15" borderId="9" xfId="1" applyFont="1" applyFill="1" applyBorder="1"/>
    <xf numFmtId="0" fontId="7" fillId="4" borderId="0" xfId="0" applyFont="1" applyFill="1"/>
    <xf numFmtId="0" fontId="0" fillId="4" borderId="0" xfId="0" applyFill="1"/>
    <xf numFmtId="0" fontId="17" fillId="14" borderId="9" xfId="0" applyFont="1" applyFill="1" applyBorder="1" applyAlignment="1">
      <alignment vertical="center" wrapText="1"/>
    </xf>
  </cellXfs>
  <cellStyles count="2">
    <cellStyle name="Moneda" xfId="1" builtinId="4"/>
    <cellStyle name="Normal" xfId="0" builtinId="0"/>
  </cellStyles>
  <dxfs count="0"/>
  <tableStyles count="0" defaultTableStyle="TableStyleMedium9" defaultPivotStyle="PivotStyleLight16"/>
  <colors>
    <mruColors>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24"/>
  <sheetViews>
    <sheetView topLeftCell="A85" workbookViewId="0">
      <selection activeCell="B113" sqref="B113:B114"/>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6.7109375" customWidth="1"/>
    <col min="6" max="6" width="15.5703125" bestFit="1" customWidth="1"/>
    <col min="7" max="7" width="14.5703125" bestFit="1" customWidth="1"/>
    <col min="8" max="8" width="12" bestFit="1" customWidth="1"/>
    <col min="10" max="10" width="22.7109375" customWidth="1"/>
    <col min="11" max="11" width="18" customWidth="1"/>
    <col min="12" max="12" width="18.28515625" customWidth="1"/>
  </cols>
  <sheetData>
    <row r="1" spans="1:5" ht="18.75" customHeight="1" x14ac:dyDescent="0.25">
      <c r="A1" s="2"/>
      <c r="B1" s="210" t="s">
        <v>60</v>
      </c>
      <c r="C1" s="210"/>
      <c r="D1" s="210"/>
      <c r="E1" s="211"/>
    </row>
    <row r="2" spans="1:5" x14ac:dyDescent="0.25">
      <c r="A2" s="3"/>
      <c r="B2" s="10" t="s">
        <v>45</v>
      </c>
      <c r="C2" s="4"/>
      <c r="D2" s="4"/>
      <c r="E2" s="5"/>
    </row>
    <row r="3" spans="1:5" ht="56.45" customHeight="1" thickBot="1" x14ac:dyDescent="0.3">
      <c r="A3" s="3"/>
      <c r="B3" s="212" t="s">
        <v>143</v>
      </c>
      <c r="C3" s="212"/>
      <c r="D3" s="212"/>
      <c r="E3" s="213"/>
    </row>
    <row r="4" spans="1:5" ht="15.75" thickBot="1" x14ac:dyDescent="0.3">
      <c r="A4" s="6" t="s">
        <v>3</v>
      </c>
      <c r="B4" s="7" t="s">
        <v>4</v>
      </c>
      <c r="C4" s="8"/>
      <c r="D4" s="8"/>
      <c r="E4" s="9"/>
    </row>
    <row r="5" spans="1:5" ht="15.75" thickBot="1" x14ac:dyDescent="0.3">
      <c r="A5" s="3" t="s">
        <v>59</v>
      </c>
      <c r="B5" s="8" t="s">
        <v>199</v>
      </c>
      <c r="C5" s="10"/>
      <c r="D5" s="4" t="s">
        <v>5</v>
      </c>
      <c r="E5" s="11"/>
    </row>
    <row r="6" spans="1:5" ht="16.149999999999999" customHeight="1" thickBot="1" x14ac:dyDescent="0.3">
      <c r="A6" s="65" t="s">
        <v>185</v>
      </c>
      <c r="B6" s="8"/>
      <c r="C6" s="8"/>
      <c r="D6" s="8" t="s">
        <v>49</v>
      </c>
      <c r="E6" s="9"/>
    </row>
    <row r="8" spans="1:5" x14ac:dyDescent="0.25">
      <c r="B8" s="214" t="s">
        <v>198</v>
      </c>
      <c r="C8" s="214"/>
    </row>
    <row r="9" spans="1:5" x14ac:dyDescent="0.25">
      <c r="B9" s="214"/>
      <c r="C9" s="214"/>
    </row>
    <row r="10" spans="1:5" x14ac:dyDescent="0.25">
      <c r="B10" s="214"/>
      <c r="C10" s="214"/>
    </row>
    <row r="11" spans="1:5" x14ac:dyDescent="0.25">
      <c r="B11" t="s">
        <v>186</v>
      </c>
    </row>
    <row r="12" spans="1:5" hidden="1" x14ac:dyDescent="0.25"/>
    <row r="13" spans="1:5" ht="15" customHeight="1" x14ac:dyDescent="0.25">
      <c r="A13" s="215" t="s">
        <v>144</v>
      </c>
      <c r="B13" s="215"/>
      <c r="C13" s="215"/>
      <c r="D13" s="215"/>
      <c r="E13" s="215"/>
    </row>
    <row r="14" spans="1:5" ht="15" customHeight="1" x14ac:dyDescent="0.25">
      <c r="A14" s="215"/>
      <c r="B14" s="215"/>
      <c r="C14" s="215"/>
      <c r="D14" s="215"/>
      <c r="E14" s="215"/>
    </row>
    <row r="15" spans="1:5" ht="15" customHeight="1" x14ac:dyDescent="0.25">
      <c r="A15" s="215"/>
      <c r="B15" s="215"/>
      <c r="C15" s="215"/>
      <c r="D15" s="215"/>
      <c r="E15" s="215"/>
    </row>
    <row r="16" spans="1:5" ht="53.25" customHeight="1" x14ac:dyDescent="0.25">
      <c r="A16" s="215"/>
      <c r="B16" s="215"/>
      <c r="C16" s="215"/>
      <c r="D16" s="215"/>
      <c r="E16" s="215"/>
    </row>
    <row r="17" spans="1:8" ht="14.25" customHeight="1" thickBot="1" x14ac:dyDescent="0.3"/>
    <row r="18" spans="1:8" ht="15.75" hidden="1" thickBot="1" x14ac:dyDescent="0.3">
      <c r="A18" s="1"/>
    </row>
    <row r="19" spans="1:8" ht="15.75" hidden="1" thickBot="1" x14ac:dyDescent="0.3"/>
    <row r="20" spans="1:8" x14ac:dyDescent="0.25">
      <c r="A20" s="12" t="s">
        <v>7</v>
      </c>
      <c r="B20" s="13"/>
      <c r="C20" s="14"/>
      <c r="D20" s="15"/>
      <c r="E20" s="16"/>
    </row>
    <row r="21" spans="1:8" x14ac:dyDescent="0.25">
      <c r="A21" s="17" t="s">
        <v>61</v>
      </c>
      <c r="B21" s="17"/>
      <c r="C21" s="17"/>
      <c r="D21" s="81"/>
      <c r="E21" s="96"/>
    </row>
    <row r="22" spans="1:8" ht="15" customHeight="1" x14ac:dyDescent="0.25">
      <c r="A22" s="216" t="s">
        <v>175</v>
      </c>
      <c r="B22" s="217"/>
      <c r="C22" s="19"/>
      <c r="D22" s="266">
        <v>1460357.72</v>
      </c>
      <c r="E22" s="97"/>
      <c r="H22" s="20"/>
    </row>
    <row r="23" spans="1:8" ht="15" customHeight="1" x14ac:dyDescent="0.25">
      <c r="A23" s="206" t="s">
        <v>48</v>
      </c>
      <c r="B23" s="207"/>
      <c r="C23" s="150"/>
      <c r="D23" s="266">
        <v>-317627.71999999997</v>
      </c>
      <c r="E23" s="21"/>
      <c r="F23" s="38"/>
      <c r="H23" s="20"/>
    </row>
    <row r="24" spans="1:8" ht="13.5" customHeight="1" x14ac:dyDescent="0.25">
      <c r="A24" s="206" t="s">
        <v>1</v>
      </c>
      <c r="B24" s="207"/>
      <c r="C24" s="150"/>
      <c r="D24" s="194"/>
      <c r="E24" s="21"/>
      <c r="F24" s="38"/>
      <c r="H24" s="20"/>
    </row>
    <row r="25" spans="1:8" x14ac:dyDescent="0.25">
      <c r="A25" s="151" t="s">
        <v>8</v>
      </c>
      <c r="B25" s="151"/>
      <c r="C25" s="151"/>
      <c r="D25" s="22"/>
      <c r="E25" s="98">
        <f>SUM(D22:D24)</f>
        <v>1142730</v>
      </c>
      <c r="F25" s="38"/>
    </row>
    <row r="26" spans="1:8" hidden="1" x14ac:dyDescent="0.25">
      <c r="A26" s="151" t="s">
        <v>50</v>
      </c>
      <c r="B26" s="151"/>
      <c r="C26" s="151"/>
      <c r="D26" s="22"/>
      <c r="E26" s="99"/>
      <c r="F26" s="38"/>
    </row>
    <row r="27" spans="1:8" hidden="1" x14ac:dyDescent="0.25">
      <c r="A27" s="150"/>
      <c r="B27" s="150"/>
      <c r="C27" s="150"/>
      <c r="D27" s="28"/>
      <c r="E27" s="110"/>
      <c r="F27" s="38"/>
    </row>
    <row r="28" spans="1:8" hidden="1" x14ac:dyDescent="0.25">
      <c r="A28" s="150"/>
      <c r="B28" s="150"/>
      <c r="C28" s="150"/>
      <c r="D28" s="28"/>
      <c r="E28" s="110"/>
      <c r="F28" s="38"/>
    </row>
    <row r="29" spans="1:8" hidden="1" x14ac:dyDescent="0.25">
      <c r="A29" s="150"/>
      <c r="B29" s="150"/>
      <c r="C29" s="150"/>
      <c r="D29" s="28"/>
      <c r="E29" s="110"/>
      <c r="F29" s="38"/>
    </row>
    <row r="30" spans="1:8" hidden="1" x14ac:dyDescent="0.25">
      <c r="A30" s="151" t="s">
        <v>8</v>
      </c>
      <c r="B30" s="152"/>
      <c r="C30" s="152"/>
      <c r="D30" s="71"/>
      <c r="E30" s="101">
        <f>SUM(D27:D29)</f>
        <v>0</v>
      </c>
      <c r="F30" s="38"/>
    </row>
    <row r="31" spans="1:8" x14ac:dyDescent="0.25">
      <c r="A31" s="29" t="s">
        <v>38</v>
      </c>
      <c r="B31" s="151"/>
      <c r="C31" s="151"/>
      <c r="D31" s="22"/>
      <c r="E31" s="99"/>
      <c r="F31" s="38"/>
    </row>
    <row r="32" spans="1:8" x14ac:dyDescent="0.25">
      <c r="A32" s="150" t="s">
        <v>62</v>
      </c>
      <c r="B32" s="153"/>
      <c r="C32" s="153"/>
      <c r="D32" s="263">
        <v>673382.02</v>
      </c>
      <c r="E32" s="100" t="s">
        <v>210</v>
      </c>
      <c r="F32" s="38"/>
      <c r="G32" s="48"/>
    </row>
    <row r="33" spans="1:7" x14ac:dyDescent="0.25">
      <c r="A33" s="150" t="s">
        <v>147</v>
      </c>
      <c r="B33" s="150" t="s">
        <v>219</v>
      </c>
      <c r="C33" s="153"/>
      <c r="D33" s="263">
        <v>182823.01</v>
      </c>
      <c r="E33" s="100" t="s">
        <v>220</v>
      </c>
      <c r="F33" s="38"/>
      <c r="G33" s="48"/>
    </row>
    <row r="34" spans="1:7" x14ac:dyDescent="0.25">
      <c r="A34" s="150" t="s">
        <v>40</v>
      </c>
      <c r="B34" s="153"/>
      <c r="C34" s="153"/>
      <c r="D34" s="263">
        <v>61610.09</v>
      </c>
      <c r="E34" s="100" t="s">
        <v>211</v>
      </c>
      <c r="F34" s="38"/>
      <c r="G34" s="48"/>
    </row>
    <row r="35" spans="1:7" x14ac:dyDescent="0.25">
      <c r="A35" s="150" t="s">
        <v>42</v>
      </c>
      <c r="B35" s="153"/>
      <c r="C35" s="153"/>
      <c r="D35" s="263">
        <v>6845.57</v>
      </c>
      <c r="E35" s="100" t="str">
        <f>E34</f>
        <v>Debito 12/08</v>
      </c>
      <c r="F35" s="38"/>
      <c r="G35" s="40"/>
    </row>
    <row r="36" spans="1:7" x14ac:dyDescent="0.25">
      <c r="A36" s="150" t="s">
        <v>41</v>
      </c>
      <c r="B36" s="153"/>
      <c r="C36" s="153"/>
      <c r="D36" s="263">
        <v>110477.88</v>
      </c>
      <c r="E36" s="100" t="str">
        <f>E34</f>
        <v>Debito 12/08</v>
      </c>
      <c r="F36" s="38"/>
    </row>
    <row r="37" spans="1:7" ht="16.5" customHeight="1" x14ac:dyDescent="0.25">
      <c r="A37" s="151" t="s">
        <v>39</v>
      </c>
      <c r="B37" s="151"/>
      <c r="C37" s="151"/>
      <c r="D37" s="22"/>
      <c r="E37" s="32">
        <f>SUM(D32:D36)</f>
        <v>1035138.57</v>
      </c>
      <c r="F37" s="38"/>
    </row>
    <row r="38" spans="1:7" x14ac:dyDescent="0.25">
      <c r="A38" s="29" t="s">
        <v>9</v>
      </c>
      <c r="B38" s="151"/>
      <c r="C38" s="151"/>
      <c r="D38" s="23"/>
      <c r="E38" s="101"/>
      <c r="F38" s="38"/>
    </row>
    <row r="39" spans="1:7" ht="26.25" customHeight="1" x14ac:dyDescent="0.25">
      <c r="A39" s="201" t="s">
        <v>67</v>
      </c>
      <c r="B39" s="202"/>
      <c r="C39" s="154"/>
      <c r="D39" s="261">
        <v>205033.71</v>
      </c>
      <c r="E39" s="21" t="s">
        <v>146</v>
      </c>
      <c r="F39" s="38"/>
    </row>
    <row r="40" spans="1:7" ht="26.25" customHeight="1" x14ac:dyDescent="0.25">
      <c r="A40" s="201" t="s">
        <v>68</v>
      </c>
      <c r="B40" s="202"/>
      <c r="C40" s="154"/>
      <c r="D40" s="195">
        <f>1285.32+12020</f>
        <v>13305.32</v>
      </c>
      <c r="E40" s="21" t="str">
        <f>E39</f>
        <v>Debito Autom.</v>
      </c>
      <c r="F40" s="38"/>
    </row>
    <row r="41" spans="1:7" x14ac:dyDescent="0.25">
      <c r="A41" s="151" t="s">
        <v>10</v>
      </c>
      <c r="B41" s="151"/>
      <c r="C41" s="151"/>
      <c r="D41" s="22"/>
      <c r="E41" s="32">
        <f>SUM(D39:D40)</f>
        <v>218339.03</v>
      </c>
      <c r="F41" s="38"/>
    </row>
    <row r="42" spans="1:7" x14ac:dyDescent="0.25">
      <c r="A42" s="29" t="s">
        <v>11</v>
      </c>
      <c r="B42" s="152"/>
      <c r="C42" s="152"/>
      <c r="D42" s="25"/>
      <c r="E42" s="102"/>
      <c r="F42" s="38"/>
    </row>
    <row r="43" spans="1:7" ht="14.25" customHeight="1" x14ac:dyDescent="0.25">
      <c r="A43" s="33" t="s">
        <v>145</v>
      </c>
      <c r="B43" s="33"/>
      <c r="C43" s="33"/>
      <c r="D43" s="262">
        <v>1726596.39</v>
      </c>
      <c r="E43" s="27" t="s">
        <v>214</v>
      </c>
      <c r="F43" s="38"/>
    </row>
    <row r="44" spans="1:7" x14ac:dyDescent="0.25">
      <c r="A44" s="33" t="s">
        <v>65</v>
      </c>
      <c r="B44" s="155"/>
      <c r="C44" s="33"/>
      <c r="D44" s="262">
        <v>6637.89</v>
      </c>
      <c r="E44" s="27" t="s">
        <v>205</v>
      </c>
      <c r="F44" s="38"/>
    </row>
    <row r="45" spans="1:7" x14ac:dyDescent="0.25">
      <c r="A45" s="33" t="s">
        <v>65</v>
      </c>
      <c r="B45" s="155" t="s">
        <v>216</v>
      </c>
      <c r="C45" s="33"/>
      <c r="D45" s="262">
        <v>6637.89</v>
      </c>
      <c r="E45" s="27" t="s">
        <v>217</v>
      </c>
      <c r="F45" s="38"/>
    </row>
    <row r="46" spans="1:7" x14ac:dyDescent="0.25">
      <c r="A46" s="201" t="s">
        <v>66</v>
      </c>
      <c r="B46" s="202"/>
      <c r="C46" s="33"/>
      <c r="D46" s="262">
        <v>542877.21</v>
      </c>
      <c r="E46" s="27" t="s">
        <v>212</v>
      </c>
      <c r="F46" s="38"/>
    </row>
    <row r="47" spans="1:7" x14ac:dyDescent="0.25">
      <c r="A47" s="156" t="s">
        <v>64</v>
      </c>
      <c r="B47" s="157" t="s">
        <v>174</v>
      </c>
      <c r="C47" s="33"/>
      <c r="D47" s="262">
        <v>40810.79</v>
      </c>
      <c r="E47" s="27" t="s">
        <v>205</v>
      </c>
      <c r="F47" s="38"/>
    </row>
    <row r="48" spans="1:7" ht="15.75" thickBot="1" x14ac:dyDescent="0.3">
      <c r="A48" s="151" t="s">
        <v>12</v>
      </c>
      <c r="B48" s="151"/>
      <c r="C48" s="151"/>
      <c r="D48" s="26"/>
      <c r="E48" s="103">
        <f>SUM(D43:D47)</f>
        <v>2323560.17</v>
      </c>
      <c r="F48" s="38"/>
    </row>
    <row r="49" spans="1:6" ht="15" customHeight="1" thickBot="1" x14ac:dyDescent="0.3">
      <c r="A49" s="29" t="s">
        <v>63</v>
      </c>
      <c r="B49" s="151"/>
      <c r="C49" s="151"/>
      <c r="D49" s="22"/>
      <c r="E49" s="104"/>
      <c r="F49" s="38"/>
    </row>
    <row r="50" spans="1:6" ht="21.95" customHeight="1" x14ac:dyDescent="0.25">
      <c r="A50" s="206" t="s">
        <v>215</v>
      </c>
      <c r="B50" s="207"/>
      <c r="C50" s="33"/>
      <c r="D50" s="262">
        <v>250600</v>
      </c>
      <c r="E50" s="27" t="s">
        <v>200</v>
      </c>
      <c r="F50" s="38"/>
    </row>
    <row r="51" spans="1:6" ht="21.95" customHeight="1" x14ac:dyDescent="0.25">
      <c r="A51" s="206" t="s">
        <v>218</v>
      </c>
      <c r="B51" s="207"/>
      <c r="C51" s="33"/>
      <c r="D51" s="262">
        <v>298200</v>
      </c>
      <c r="E51" s="27" t="s">
        <v>200</v>
      </c>
      <c r="F51" s="38"/>
    </row>
    <row r="52" spans="1:6" ht="106.5" customHeight="1" x14ac:dyDescent="0.25">
      <c r="A52" s="201" t="s">
        <v>207</v>
      </c>
      <c r="B52" s="202"/>
      <c r="C52" s="150"/>
      <c r="D52" s="262">
        <v>300000</v>
      </c>
      <c r="E52" s="27" t="s">
        <v>206</v>
      </c>
      <c r="F52" s="132"/>
    </row>
    <row r="53" spans="1:6" ht="20.25" customHeight="1" x14ac:dyDescent="0.25">
      <c r="A53" s="204" t="s">
        <v>208</v>
      </c>
      <c r="B53" s="205"/>
      <c r="C53" s="150"/>
      <c r="D53" s="262">
        <v>150000</v>
      </c>
      <c r="E53" s="27" t="s">
        <v>205</v>
      </c>
      <c r="F53" s="132"/>
    </row>
    <row r="54" spans="1:6" ht="20.25" customHeight="1" x14ac:dyDescent="0.25">
      <c r="A54" s="204" t="s">
        <v>209</v>
      </c>
      <c r="B54" s="205"/>
      <c r="C54" s="150"/>
      <c r="D54" s="262">
        <v>350000</v>
      </c>
      <c r="E54" s="27" t="s">
        <v>205</v>
      </c>
      <c r="F54" s="132"/>
    </row>
    <row r="55" spans="1:6" ht="20.25" customHeight="1" x14ac:dyDescent="0.25">
      <c r="A55" s="204" t="s">
        <v>204</v>
      </c>
      <c r="B55" s="205"/>
      <c r="C55" s="150"/>
      <c r="D55" s="262">
        <v>202973</v>
      </c>
      <c r="E55" s="27" t="s">
        <v>206</v>
      </c>
      <c r="F55" s="132"/>
    </row>
    <row r="56" spans="1:6" ht="31.5" customHeight="1" x14ac:dyDescent="0.25">
      <c r="A56" s="201" t="s">
        <v>203</v>
      </c>
      <c r="B56" s="202"/>
      <c r="C56" s="150"/>
      <c r="D56" s="262">
        <v>180000</v>
      </c>
      <c r="E56" s="27" t="s">
        <v>206</v>
      </c>
      <c r="F56" s="38"/>
    </row>
    <row r="57" spans="1:6" ht="18" customHeight="1" x14ac:dyDescent="0.25">
      <c r="A57" s="206" t="s">
        <v>201</v>
      </c>
      <c r="B57" s="207"/>
      <c r="C57" s="150"/>
      <c r="D57" s="262">
        <v>265200</v>
      </c>
      <c r="E57" s="27" t="s">
        <v>202</v>
      </c>
      <c r="F57" s="38"/>
    </row>
    <row r="58" spans="1:6" ht="18" customHeight="1" x14ac:dyDescent="0.25">
      <c r="A58" s="193" t="s">
        <v>188</v>
      </c>
      <c r="B58" s="158"/>
      <c r="C58" s="150"/>
      <c r="D58" s="262">
        <v>130500</v>
      </c>
      <c r="E58" s="27" t="s">
        <v>223</v>
      </c>
      <c r="F58" s="38"/>
    </row>
    <row r="59" spans="1:6" ht="19.5" customHeight="1" x14ac:dyDescent="0.25">
      <c r="A59" s="200" t="s">
        <v>188</v>
      </c>
      <c r="B59" s="158"/>
      <c r="C59" s="150"/>
      <c r="D59" s="262">
        <v>118800</v>
      </c>
      <c r="E59" s="27" t="s">
        <v>224</v>
      </c>
      <c r="F59" s="132"/>
    </row>
    <row r="60" spans="1:6" x14ac:dyDescent="0.25">
      <c r="A60" s="151" t="s">
        <v>0</v>
      </c>
      <c r="B60" s="29"/>
      <c r="C60" s="29"/>
      <c r="D60" s="29"/>
      <c r="E60" s="32">
        <f>SUM(D50:D59)</f>
        <v>2246273</v>
      </c>
      <c r="F60" s="38"/>
    </row>
    <row r="61" spans="1:6" x14ac:dyDescent="0.25">
      <c r="A61" s="29" t="s">
        <v>13</v>
      </c>
      <c r="B61" s="29"/>
      <c r="C61" s="29"/>
      <c r="D61" s="18"/>
      <c r="E61" s="96"/>
      <c r="F61" s="38"/>
    </row>
    <row r="62" spans="1:6" ht="18" customHeight="1" x14ac:dyDescent="0.25">
      <c r="A62" s="206" t="s">
        <v>221</v>
      </c>
      <c r="B62" s="207"/>
      <c r="C62" s="150"/>
      <c r="D62" s="265">
        <v>210000</v>
      </c>
      <c r="E62" s="97"/>
      <c r="F62" s="38"/>
    </row>
    <row r="63" spans="1:6" ht="18" customHeight="1" x14ac:dyDescent="0.25">
      <c r="A63" s="206" t="s">
        <v>222</v>
      </c>
      <c r="B63" s="207"/>
      <c r="C63" s="150"/>
      <c r="D63" s="264">
        <v>0</v>
      </c>
      <c r="E63" s="97"/>
      <c r="F63" s="38"/>
    </row>
    <row r="64" spans="1:6" ht="15.75" customHeight="1" x14ac:dyDescent="0.25">
      <c r="A64" s="159" t="s">
        <v>213</v>
      </c>
      <c r="B64" s="158"/>
      <c r="C64" s="150"/>
      <c r="D64" s="264">
        <v>150000</v>
      </c>
      <c r="E64" s="97"/>
      <c r="F64" s="38"/>
    </row>
    <row r="65" spans="1:8" x14ac:dyDescent="0.25">
      <c r="A65" s="151" t="s">
        <v>8</v>
      </c>
      <c r="B65" s="151"/>
      <c r="C65" s="151"/>
      <c r="D65" s="22"/>
      <c r="E65" s="98">
        <f>SUM(D62:D64)</f>
        <v>360000</v>
      </c>
      <c r="F65" s="38"/>
    </row>
    <row r="66" spans="1:8" x14ac:dyDescent="0.25">
      <c r="A66" s="29" t="s">
        <v>14</v>
      </c>
      <c r="B66" s="160"/>
      <c r="C66" s="151"/>
      <c r="D66" s="30"/>
      <c r="E66" s="32"/>
      <c r="F66" s="38"/>
    </row>
    <row r="67" spans="1:8" x14ac:dyDescent="0.25">
      <c r="A67" s="33" t="s">
        <v>69</v>
      </c>
      <c r="B67" s="161"/>
      <c r="C67" s="161"/>
      <c r="D67" s="267">
        <v>69000</v>
      </c>
      <c r="E67" s="105"/>
      <c r="F67" s="38"/>
    </row>
    <row r="68" spans="1:8" x14ac:dyDescent="0.25">
      <c r="A68" s="33" t="s">
        <v>176</v>
      </c>
      <c r="B68" s="161"/>
      <c r="C68" s="161"/>
      <c r="D68" s="162">
        <v>110424.89</v>
      </c>
      <c r="E68" s="105"/>
      <c r="F68" s="38"/>
    </row>
    <row r="69" spans="1:8" x14ac:dyDescent="0.25">
      <c r="A69" s="163" t="s">
        <v>8</v>
      </c>
      <c r="B69" s="163"/>
      <c r="C69" s="163"/>
      <c r="D69" s="31"/>
      <c r="E69" s="32">
        <f>SUM(D67:D68)</f>
        <v>179424.89</v>
      </c>
      <c r="F69" s="38"/>
    </row>
    <row r="70" spans="1:8" x14ac:dyDescent="0.25">
      <c r="A70" s="33"/>
      <c r="B70" s="33"/>
      <c r="C70" s="33"/>
      <c r="D70" s="33"/>
      <c r="E70" s="34"/>
      <c r="F70" s="38"/>
    </row>
    <row r="71" spans="1:8" x14ac:dyDescent="0.25">
      <c r="A71" s="164" t="s">
        <v>15</v>
      </c>
      <c r="B71" s="164"/>
      <c r="C71" s="164"/>
      <c r="D71" s="35"/>
      <c r="E71" s="36"/>
      <c r="F71" s="38"/>
    </row>
    <row r="72" spans="1:8" ht="15.75" thickBot="1" x14ac:dyDescent="0.3">
      <c r="A72" s="165"/>
      <c r="B72" s="38"/>
      <c r="C72" s="38"/>
      <c r="D72" s="38"/>
      <c r="E72" s="39"/>
      <c r="F72" s="132"/>
    </row>
    <row r="73" spans="1:8" ht="15.75" thickBot="1" x14ac:dyDescent="0.3">
      <c r="A73" s="166" t="s">
        <v>16</v>
      </c>
      <c r="B73" s="167"/>
      <c r="C73" s="41"/>
      <c r="D73" s="41"/>
      <c r="E73" s="42">
        <f>(SUM(E21:E71))</f>
        <v>7505465.6599999992</v>
      </c>
      <c r="F73" s="168"/>
      <c r="G73" s="40"/>
    </row>
    <row r="74" spans="1:8" x14ac:dyDescent="0.25">
      <c r="A74" s="38"/>
      <c r="B74" s="38"/>
      <c r="C74" s="38"/>
      <c r="D74" s="38"/>
      <c r="E74" s="38"/>
      <c r="F74" s="38"/>
    </row>
    <row r="75" spans="1:8" ht="15.75" thickBot="1" x14ac:dyDescent="0.3">
      <c r="A75" s="38"/>
      <c r="B75" s="38"/>
      <c r="C75" s="38"/>
      <c r="D75" s="38"/>
      <c r="E75" s="38"/>
      <c r="F75" s="38"/>
      <c r="H75" s="44"/>
    </row>
    <row r="76" spans="1:8" x14ac:dyDescent="0.25">
      <c r="A76" s="169" t="s">
        <v>17</v>
      </c>
      <c r="B76" s="170"/>
      <c r="C76" s="171"/>
      <c r="D76" s="45"/>
      <c r="E76" s="46"/>
      <c r="F76" s="38"/>
    </row>
    <row r="77" spans="1:8" x14ac:dyDescent="0.25">
      <c r="A77" s="209"/>
      <c r="B77" s="203"/>
      <c r="C77" s="33"/>
      <c r="D77" s="172"/>
      <c r="E77" s="119"/>
      <c r="F77" s="38"/>
    </row>
    <row r="78" spans="1:8" ht="15.75" customHeight="1" x14ac:dyDescent="0.25">
      <c r="A78" s="38"/>
      <c r="B78" s="38"/>
      <c r="C78" s="38"/>
      <c r="D78" s="33"/>
      <c r="E78" s="33"/>
      <c r="F78" s="38"/>
    </row>
    <row r="79" spans="1:8" x14ac:dyDescent="0.25">
      <c r="A79" s="173"/>
      <c r="B79" s="174"/>
      <c r="C79" s="33"/>
      <c r="D79" s="28"/>
      <c r="E79" s="47"/>
      <c r="F79" s="38"/>
    </row>
    <row r="80" spans="1:8" x14ac:dyDescent="0.25">
      <c r="A80" s="175" t="s">
        <v>44</v>
      </c>
      <c r="B80" s="176"/>
      <c r="C80" s="176"/>
      <c r="D80" s="80"/>
      <c r="E80" s="106">
        <f>SUM(D77:D79)</f>
        <v>0</v>
      </c>
      <c r="F80" s="38"/>
    </row>
    <row r="81" spans="1:6" ht="15" customHeight="1" x14ac:dyDescent="0.25">
      <c r="A81" s="38"/>
      <c r="B81" s="38"/>
      <c r="C81" s="38"/>
      <c r="D81" s="38"/>
      <c r="E81" s="38"/>
      <c r="F81" s="38"/>
    </row>
    <row r="82" spans="1:6" x14ac:dyDescent="0.25">
      <c r="A82" s="164" t="s">
        <v>18</v>
      </c>
      <c r="B82" s="164"/>
      <c r="C82" s="164"/>
      <c r="D82" s="35"/>
      <c r="E82" s="109">
        <v>0</v>
      </c>
      <c r="F82" s="38"/>
    </row>
    <row r="83" spans="1:6" ht="15.75" thickBot="1" x14ac:dyDescent="0.3">
      <c r="A83" s="38"/>
      <c r="B83" s="38"/>
      <c r="C83" s="38"/>
      <c r="D83" s="38"/>
      <c r="E83" s="38"/>
      <c r="F83" s="38"/>
    </row>
    <row r="84" spans="1:6" ht="15.75" thickBot="1" x14ac:dyDescent="0.3">
      <c r="A84" s="166" t="s">
        <v>19</v>
      </c>
      <c r="B84" s="167"/>
      <c r="C84" s="41"/>
      <c r="D84" s="41"/>
      <c r="E84" s="42">
        <f>E80+E82</f>
        <v>0</v>
      </c>
      <c r="F84" s="38"/>
    </row>
    <row r="85" spans="1:6" ht="15.75" thickBot="1" x14ac:dyDescent="0.3">
      <c r="A85" s="38"/>
      <c r="B85" s="38"/>
      <c r="C85" s="38"/>
      <c r="D85" s="38"/>
      <c r="E85" s="38"/>
      <c r="F85" s="38"/>
    </row>
    <row r="86" spans="1:6" ht="15.75" thickBot="1" x14ac:dyDescent="0.3">
      <c r="A86" s="177" t="s">
        <v>20</v>
      </c>
      <c r="B86" s="178">
        <f>E73</f>
        <v>7505465.6599999992</v>
      </c>
      <c r="C86" s="38"/>
      <c r="D86" s="38"/>
      <c r="E86" s="38"/>
      <c r="F86" s="38"/>
    </row>
    <row r="87" spans="1:6" ht="15.75" thickBot="1" x14ac:dyDescent="0.3">
      <c r="A87" s="177" t="s">
        <v>21</v>
      </c>
      <c r="B87" s="178">
        <f>E73-E71</f>
        <v>7505465.6599999992</v>
      </c>
      <c r="C87" s="38"/>
      <c r="D87" s="38"/>
      <c r="E87" s="38"/>
      <c r="F87" s="38"/>
    </row>
    <row r="88" spans="1:6" ht="15.75" thickBot="1" x14ac:dyDescent="0.3">
      <c r="A88" s="177" t="s">
        <v>22</v>
      </c>
      <c r="B88" s="178">
        <f>E84-E82</f>
        <v>0</v>
      </c>
      <c r="C88" s="38"/>
      <c r="D88" s="38"/>
      <c r="E88" s="38"/>
      <c r="F88" s="38"/>
    </row>
    <row r="89" spans="1:6" ht="15.75" thickBot="1" x14ac:dyDescent="0.3">
      <c r="A89" s="177" t="s">
        <v>23</v>
      </c>
      <c r="B89" s="178">
        <f>E84</f>
        <v>0</v>
      </c>
      <c r="C89" s="38"/>
      <c r="D89" s="38"/>
      <c r="E89" s="38"/>
      <c r="F89" s="38"/>
    </row>
    <row r="90" spans="1:6" x14ac:dyDescent="0.25">
      <c r="A90" s="38"/>
      <c r="B90" s="38"/>
      <c r="C90" s="38"/>
      <c r="D90" s="38"/>
      <c r="E90" s="38"/>
      <c r="F90" s="38"/>
    </row>
    <row r="91" spans="1:6" x14ac:dyDescent="0.25">
      <c r="A91" s="38"/>
      <c r="B91" s="38"/>
      <c r="C91" s="38"/>
      <c r="D91" s="38"/>
      <c r="E91" s="38"/>
      <c r="F91" s="38"/>
    </row>
    <row r="92" spans="1:6" x14ac:dyDescent="0.25">
      <c r="A92" s="111" t="s">
        <v>182</v>
      </c>
      <c r="B92" s="179">
        <v>0</v>
      </c>
      <c r="C92" s="38"/>
      <c r="D92" s="38"/>
      <c r="E92" s="38"/>
      <c r="F92" s="38"/>
    </row>
    <row r="93" spans="1:6" x14ac:dyDescent="0.25">
      <c r="A93" s="154" t="s">
        <v>190</v>
      </c>
      <c r="B93" s="180">
        <v>6500000</v>
      </c>
      <c r="C93" s="38"/>
      <c r="D93" s="38"/>
      <c r="E93" s="38"/>
      <c r="F93" s="38"/>
    </row>
    <row r="94" spans="1:6" ht="13.9" customHeight="1" x14ac:dyDescent="0.25">
      <c r="A94" s="154" t="s">
        <v>225</v>
      </c>
      <c r="B94" s="268">
        <v>-2000574.76</v>
      </c>
      <c r="C94" s="38"/>
      <c r="D94" s="38"/>
      <c r="E94" s="38"/>
      <c r="F94" s="38"/>
    </row>
    <row r="95" spans="1:6" ht="13.9" customHeight="1" x14ac:dyDescent="0.25">
      <c r="A95" s="154" t="s">
        <v>189</v>
      </c>
      <c r="B95" s="133">
        <f>5125397.67-4998045.07</f>
        <v>127352.59999999963</v>
      </c>
      <c r="C95" s="38"/>
      <c r="D95" s="38"/>
      <c r="E95" s="38"/>
      <c r="F95" s="38"/>
    </row>
    <row r="96" spans="1:6" ht="17.25" customHeight="1" thickBot="1" x14ac:dyDescent="0.3">
      <c r="A96" s="181" t="s">
        <v>178</v>
      </c>
      <c r="B96" s="182">
        <f>SUM(B92:B95)</f>
        <v>4626777.84</v>
      </c>
      <c r="C96" s="38"/>
      <c r="D96" s="38"/>
      <c r="E96" s="38"/>
      <c r="F96" s="38"/>
    </row>
    <row r="97" spans="1:6" ht="17.25" customHeight="1" x14ac:dyDescent="0.25">
      <c r="A97" s="183"/>
      <c r="B97" s="184"/>
      <c r="C97" s="38"/>
      <c r="D97" s="38"/>
      <c r="E97" s="38"/>
      <c r="F97" s="38"/>
    </row>
    <row r="98" spans="1:6" ht="17.25" customHeight="1" x14ac:dyDescent="0.25">
      <c r="A98" s="183"/>
      <c r="B98" s="184"/>
      <c r="C98" s="38"/>
      <c r="D98" s="38"/>
      <c r="E98" s="38"/>
      <c r="F98" s="38"/>
    </row>
    <row r="99" spans="1:6" ht="17.25" customHeight="1" x14ac:dyDescent="0.25">
      <c r="A99" s="111" t="s">
        <v>160</v>
      </c>
      <c r="B99" s="51">
        <v>231400</v>
      </c>
      <c r="C99" s="38"/>
      <c r="D99" s="38"/>
      <c r="E99" s="38"/>
      <c r="F99" s="38"/>
    </row>
    <row r="100" spans="1:6" ht="17.25" customHeight="1" x14ac:dyDescent="0.25">
      <c r="A100" s="154" t="s">
        <v>161</v>
      </c>
      <c r="B100" s="180">
        <v>0</v>
      </c>
      <c r="C100" s="38"/>
      <c r="D100" s="38"/>
      <c r="E100" s="38"/>
      <c r="F100" s="38"/>
    </row>
    <row r="101" spans="1:6" ht="17.25" customHeight="1" x14ac:dyDescent="0.25">
      <c r="A101" s="154" t="s">
        <v>162</v>
      </c>
      <c r="B101" s="133"/>
      <c r="C101" s="38"/>
      <c r="D101" s="38"/>
      <c r="E101" s="38"/>
      <c r="F101" s="38"/>
    </row>
    <row r="102" spans="1:6" ht="17.25" customHeight="1" thickBot="1" x14ac:dyDescent="0.3">
      <c r="A102" s="181" t="s">
        <v>178</v>
      </c>
      <c r="B102" s="182">
        <f>SUM(B99:B101)</f>
        <v>231400</v>
      </c>
      <c r="C102" s="38"/>
      <c r="D102" s="38"/>
      <c r="E102" s="38"/>
      <c r="F102" s="38"/>
    </row>
    <row r="103" spans="1:6" ht="17.25" customHeight="1" x14ac:dyDescent="0.25">
      <c r="A103" s="183"/>
      <c r="B103" s="184"/>
      <c r="C103" s="38"/>
      <c r="D103" s="38"/>
      <c r="E103" s="38"/>
      <c r="F103" s="38"/>
    </row>
    <row r="104" spans="1:6" ht="17.25" customHeight="1" x14ac:dyDescent="0.25">
      <c r="A104" s="111" t="s">
        <v>163</v>
      </c>
      <c r="B104" s="51">
        <v>58418</v>
      </c>
      <c r="C104" s="38"/>
      <c r="D104" s="38"/>
      <c r="E104" s="38"/>
      <c r="F104" s="38"/>
    </row>
    <row r="105" spans="1:6" ht="17.25" customHeight="1" x14ac:dyDescent="0.25">
      <c r="A105" s="154" t="s">
        <v>161</v>
      </c>
      <c r="B105" s="180">
        <v>0</v>
      </c>
      <c r="C105" s="38"/>
      <c r="D105" s="38"/>
      <c r="E105" s="38"/>
      <c r="F105" s="38"/>
    </row>
    <row r="106" spans="1:6" ht="17.25" customHeight="1" x14ac:dyDescent="0.25">
      <c r="A106" s="154" t="s">
        <v>183</v>
      </c>
      <c r="B106" s="133">
        <v>0</v>
      </c>
      <c r="C106" s="38"/>
      <c r="D106" s="38"/>
      <c r="E106" s="38"/>
      <c r="F106" s="38"/>
    </row>
    <row r="107" spans="1:6" ht="17.25" customHeight="1" thickBot="1" x14ac:dyDescent="0.3">
      <c r="A107" s="181" t="s">
        <v>178</v>
      </c>
      <c r="B107" s="182">
        <f>SUM(B104:B106)</f>
        <v>58418</v>
      </c>
      <c r="C107" s="38"/>
      <c r="D107" s="38"/>
      <c r="E107" s="38"/>
      <c r="F107" s="38"/>
    </row>
    <row r="108" spans="1:6" s="50" customFormat="1" x14ac:dyDescent="0.25">
      <c r="A108"/>
      <c r="B108" s="48"/>
      <c r="C108" s="49"/>
      <c r="D108" s="107"/>
      <c r="E108" s="107"/>
    </row>
    <row r="109" spans="1:6" s="50" customFormat="1" ht="15.75" customHeight="1" x14ac:dyDescent="0.25">
      <c r="A109" s="111" t="s">
        <v>177</v>
      </c>
      <c r="B109" s="51">
        <v>281967.3499999987</v>
      </c>
      <c r="C109" s="49"/>
      <c r="D109" s="108"/>
      <c r="E109" s="108"/>
    </row>
    <row r="110" spans="1:6" x14ac:dyDescent="0.25">
      <c r="A110" s="24" t="s">
        <v>43</v>
      </c>
      <c r="B110" s="134">
        <f>-B87-B88</f>
        <v>-7505465.6599999992</v>
      </c>
      <c r="D110" s="38"/>
      <c r="E110" s="38"/>
    </row>
    <row r="111" spans="1:6" x14ac:dyDescent="0.25">
      <c r="A111" s="24" t="s">
        <v>24</v>
      </c>
      <c r="B111" s="52">
        <f>B123</f>
        <v>0</v>
      </c>
      <c r="D111" s="38"/>
      <c r="E111" s="38"/>
      <c r="F111" s="48"/>
    </row>
    <row r="112" spans="1:6" x14ac:dyDescent="0.25">
      <c r="A112" s="24" t="s">
        <v>2</v>
      </c>
      <c r="B112" s="53">
        <f>PRORRATEO!G61</f>
        <v>6230781.8999999994</v>
      </c>
      <c r="D112" s="38"/>
      <c r="E112" s="38"/>
      <c r="F112" s="48"/>
    </row>
    <row r="113" spans="1:13" x14ac:dyDescent="0.25">
      <c r="A113" s="24" t="s">
        <v>226</v>
      </c>
      <c r="B113" s="268">
        <v>-160000</v>
      </c>
      <c r="D113" s="38"/>
      <c r="E113" s="38"/>
      <c r="F113" s="48"/>
    </row>
    <row r="114" spans="1:13" x14ac:dyDescent="0.25">
      <c r="A114" s="24" t="s">
        <v>181</v>
      </c>
      <c r="B114" s="268">
        <v>-16162</v>
      </c>
      <c r="D114" s="38"/>
      <c r="E114" s="38"/>
      <c r="F114" s="48"/>
    </row>
    <row r="115" spans="1:13" ht="17.25" customHeight="1" x14ac:dyDescent="0.25">
      <c r="A115" s="24" t="s">
        <v>187</v>
      </c>
      <c r="B115" s="268">
        <f>-B94</f>
        <v>2000574.76</v>
      </c>
      <c r="D115" s="132"/>
      <c r="E115" s="38"/>
      <c r="F115" s="48"/>
    </row>
    <row r="116" spans="1:13" ht="15.75" thickBot="1" x14ac:dyDescent="0.3">
      <c r="A116" s="54" t="s">
        <v>47</v>
      </c>
      <c r="B116" s="55">
        <f>SUM(B109:C115)</f>
        <v>831696.34999999893</v>
      </c>
      <c r="D116" s="48"/>
      <c r="E116" s="40"/>
      <c r="F116" s="40"/>
    </row>
    <row r="117" spans="1:13" ht="21.95" customHeight="1" thickBot="1" x14ac:dyDescent="0.3"/>
    <row r="118" spans="1:13" ht="21.95" customHeight="1" thickBot="1" x14ac:dyDescent="0.3">
      <c r="A118" s="135" t="s">
        <v>164</v>
      </c>
      <c r="B118" s="136">
        <f>B116+B102</f>
        <v>1063096.3499999989</v>
      </c>
      <c r="D118" s="40"/>
      <c r="E118" s="40"/>
      <c r="H118" t="s">
        <v>191</v>
      </c>
    </row>
    <row r="119" spans="1:13" ht="21.95" customHeight="1" x14ac:dyDescent="0.25"/>
    <row r="120" spans="1:13" x14ac:dyDescent="0.25">
      <c r="A120" s="208" t="s">
        <v>25</v>
      </c>
      <c r="B120" s="208"/>
      <c r="C120" s="208"/>
    </row>
    <row r="121" spans="1:13" x14ac:dyDescent="0.25">
      <c r="A121" s="208"/>
      <c r="B121" s="208"/>
      <c r="C121" s="208"/>
    </row>
    <row r="122" spans="1:13" ht="27" customHeight="1" x14ac:dyDescent="0.25">
      <c r="A122" s="56"/>
      <c r="B122" s="79"/>
      <c r="C122" s="57"/>
      <c r="D122" s="43"/>
    </row>
    <row r="123" spans="1:13" x14ac:dyDescent="0.25">
      <c r="A123" s="58" t="s">
        <v>0</v>
      </c>
      <c r="B123" s="59">
        <f>SUM(B122:B122)</f>
        <v>0</v>
      </c>
      <c r="C123" s="60"/>
    </row>
    <row r="124" spans="1:13" x14ac:dyDescent="0.25">
      <c r="M124" s="61"/>
    </row>
  </sheetData>
  <mergeCells count="22">
    <mergeCell ref="A63:B63"/>
    <mergeCell ref="A120:C121"/>
    <mergeCell ref="A50:B50"/>
    <mergeCell ref="A77:B77"/>
    <mergeCell ref="A57:B57"/>
    <mergeCell ref="B1:E1"/>
    <mergeCell ref="A24:B24"/>
    <mergeCell ref="A62:B62"/>
    <mergeCell ref="B3:E3"/>
    <mergeCell ref="B8:C10"/>
    <mergeCell ref="A13:E16"/>
    <mergeCell ref="A22:B22"/>
    <mergeCell ref="A23:B23"/>
    <mergeCell ref="A46:B46"/>
    <mergeCell ref="A39:B39"/>
    <mergeCell ref="A40:B40"/>
    <mergeCell ref="A53:B53"/>
    <mergeCell ref="A56:B56"/>
    <mergeCell ref="A55:B55"/>
    <mergeCell ref="A52:B52"/>
    <mergeCell ref="A51:B51"/>
    <mergeCell ref="A54:B54"/>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R69"/>
  <sheetViews>
    <sheetView topLeftCell="A24" zoomScale="90" zoomScaleNormal="90" workbookViewId="0">
      <selection activeCell="C39" sqref="A37:C39"/>
    </sheetView>
  </sheetViews>
  <sheetFormatPr baseColWidth="10" defaultColWidth="10.85546875" defaultRowHeight="15" x14ac:dyDescent="0.25"/>
  <cols>
    <col min="1" max="1" width="4.28515625" customWidth="1"/>
    <col min="2" max="2" width="13.42578125" customWidth="1"/>
    <col min="3" max="3" width="25.5703125" customWidth="1"/>
    <col min="4" max="4" width="16" customWidth="1"/>
    <col min="5" max="5" width="8.42578125" customWidth="1"/>
    <col min="6" max="6" width="14.140625" customWidth="1"/>
    <col min="7" max="7" width="12.28515625" customWidth="1"/>
    <col min="8" max="8" width="12" customWidth="1"/>
    <col min="9" max="9" width="9.5703125" customWidth="1"/>
    <col min="10" max="10" width="13.5703125" customWidth="1"/>
    <col min="11" max="13" width="14.42578125" customWidth="1"/>
    <col min="14" max="14" width="12.28515625" customWidth="1"/>
    <col min="15" max="15" width="14.7109375" customWidth="1"/>
    <col min="16" max="16" width="14.28515625" customWidth="1"/>
    <col min="17" max="17" width="8.5703125" customWidth="1"/>
    <col min="18" max="18" width="19" customWidth="1"/>
    <col min="19" max="19" width="13" bestFit="1" customWidth="1"/>
  </cols>
  <sheetData>
    <row r="1" spans="1:18" ht="28.5" customHeight="1" x14ac:dyDescent="0.25">
      <c r="A1" s="66"/>
      <c r="B1" s="126"/>
      <c r="C1" s="67"/>
      <c r="D1" s="67"/>
      <c r="E1" s="126"/>
      <c r="F1" s="126"/>
      <c r="G1" s="126"/>
      <c r="H1" s="126"/>
      <c r="I1" s="126"/>
      <c r="J1" s="218" t="str">
        <f>RESUMEN!B3</f>
        <v xml:space="preserve">Banco: Santander N.º de cuenta: 039-021152/7
CBU: 0720039720000002115272
Alias: EDIFICIO.AIRE.FRESCO
</v>
      </c>
      <c r="K1" s="218"/>
      <c r="L1" s="218"/>
      <c r="M1" s="218"/>
      <c r="N1" s="218"/>
      <c r="O1" s="218"/>
      <c r="P1" s="219"/>
    </row>
    <row r="2" spans="1:18" ht="17.25" customHeight="1" x14ac:dyDescent="0.25">
      <c r="A2" s="3" t="s">
        <v>165</v>
      </c>
      <c r="B2" s="127"/>
      <c r="C2" s="138">
        <f>7325605.04-C5-305000.04-15405.58</f>
        <v>5300000</v>
      </c>
      <c r="D2" s="68"/>
      <c r="E2" s="68"/>
      <c r="F2" s="228"/>
      <c r="G2" s="228"/>
      <c r="H2" s="68"/>
      <c r="I2" s="68"/>
      <c r="J2" s="220"/>
      <c r="K2" s="220"/>
      <c r="L2" s="220"/>
      <c r="M2" s="220"/>
      <c r="N2" s="220"/>
      <c r="O2" s="220"/>
      <c r="P2" s="221"/>
      <c r="Q2" s="62"/>
    </row>
    <row r="3" spans="1:18" x14ac:dyDescent="0.25">
      <c r="A3" s="3" t="s">
        <v>26</v>
      </c>
      <c r="B3" s="127"/>
      <c r="C3" s="138">
        <v>0</v>
      </c>
      <c r="D3" s="68"/>
      <c r="E3" s="68"/>
      <c r="F3" s="131"/>
      <c r="G3" s="131"/>
      <c r="H3" s="68"/>
      <c r="I3" s="68"/>
      <c r="J3" s="220"/>
      <c r="K3" s="220"/>
      <c r="L3" s="220"/>
      <c r="M3" s="220"/>
      <c r="N3" s="220"/>
      <c r="O3" s="220"/>
      <c r="P3" s="221"/>
      <c r="Q3" s="62"/>
      <c r="R3" s="40"/>
    </row>
    <row r="4" spans="1:18" x14ac:dyDescent="0.25">
      <c r="A4" s="3" t="s">
        <v>171</v>
      </c>
      <c r="B4" s="127"/>
      <c r="C4" s="138">
        <v>182823.01</v>
      </c>
      <c r="D4" s="68"/>
      <c r="E4" s="68"/>
      <c r="F4" s="131"/>
      <c r="G4" s="131"/>
      <c r="H4" s="68"/>
      <c r="I4" s="68"/>
      <c r="J4" s="220"/>
      <c r="K4" s="220"/>
      <c r="L4" s="220"/>
      <c r="M4" s="220"/>
      <c r="N4" s="220"/>
      <c r="O4" s="220"/>
      <c r="P4" s="221"/>
      <c r="Q4" s="62"/>
      <c r="R4" s="40"/>
    </row>
    <row r="5" spans="1:18" ht="15" customHeight="1" thickBot="1" x14ac:dyDescent="0.3">
      <c r="A5" s="137" t="s">
        <v>166</v>
      </c>
      <c r="B5" s="128"/>
      <c r="C5" s="139">
        <v>1705199.42</v>
      </c>
      <c r="D5" s="69"/>
      <c r="E5" s="69"/>
      <c r="F5" s="69"/>
      <c r="G5" s="70"/>
      <c r="H5" s="69"/>
      <c r="I5" s="69"/>
      <c r="J5" s="222"/>
      <c r="K5" s="222"/>
      <c r="L5" s="222"/>
      <c r="M5" s="222"/>
      <c r="N5" s="222"/>
      <c r="O5" s="222"/>
      <c r="P5" s="223"/>
      <c r="Q5" s="62"/>
    </row>
    <row r="6" spans="1:18" ht="12.95" customHeight="1" x14ac:dyDescent="0.25">
      <c r="A6" s="230" t="s">
        <v>168</v>
      </c>
      <c r="B6" s="231"/>
      <c r="C6" s="232"/>
      <c r="D6" s="232"/>
      <c r="E6" s="232"/>
      <c r="F6" s="232"/>
      <c r="G6" s="232"/>
      <c r="H6" s="232"/>
      <c r="I6" s="232"/>
      <c r="J6" s="232"/>
      <c r="K6" s="232"/>
      <c r="L6" s="232"/>
      <c r="M6" s="232"/>
      <c r="N6" s="232"/>
      <c r="O6" s="232"/>
      <c r="P6" s="233"/>
      <c r="Q6" s="62"/>
    </row>
    <row r="7" spans="1:18" ht="12.95" customHeight="1" x14ac:dyDescent="0.25">
      <c r="A7" s="234"/>
      <c r="B7" s="235"/>
      <c r="C7" s="235"/>
      <c r="D7" s="235"/>
      <c r="E7" s="235"/>
      <c r="F7" s="235"/>
      <c r="G7" s="235"/>
      <c r="H7" s="235"/>
      <c r="I7" s="235"/>
      <c r="J7" s="235"/>
      <c r="K7" s="235"/>
      <c r="L7" s="235"/>
      <c r="M7" s="235"/>
      <c r="N7" s="235"/>
      <c r="O7" s="235"/>
      <c r="P7" s="236"/>
      <c r="Q7" s="62"/>
    </row>
    <row r="8" spans="1:18" ht="12.95" customHeight="1" x14ac:dyDescent="0.25">
      <c r="A8" s="234"/>
      <c r="B8" s="235"/>
      <c r="C8" s="235"/>
      <c r="D8" s="235"/>
      <c r="E8" s="235"/>
      <c r="F8" s="235"/>
      <c r="G8" s="235"/>
      <c r="H8" s="235"/>
      <c r="I8" s="235"/>
      <c r="J8" s="235"/>
      <c r="K8" s="235"/>
      <c r="L8" s="235"/>
      <c r="M8" s="235"/>
      <c r="N8" s="235"/>
      <c r="O8" s="235"/>
      <c r="P8" s="236"/>
      <c r="Q8" s="62"/>
    </row>
    <row r="9" spans="1:18" ht="12.95" customHeight="1" x14ac:dyDescent="0.25">
      <c r="A9" s="234"/>
      <c r="B9" s="235"/>
      <c r="C9" s="235"/>
      <c r="D9" s="235"/>
      <c r="E9" s="235"/>
      <c r="F9" s="235"/>
      <c r="G9" s="235"/>
      <c r="H9" s="235"/>
      <c r="I9" s="235"/>
      <c r="J9" s="235"/>
      <c r="K9" s="235"/>
      <c r="L9" s="235"/>
      <c r="M9" s="235"/>
      <c r="N9" s="235"/>
      <c r="O9" s="235"/>
      <c r="P9" s="236"/>
      <c r="Q9" s="62"/>
    </row>
    <row r="10" spans="1:18" ht="192" customHeight="1" thickBot="1" x14ac:dyDescent="0.3">
      <c r="A10" s="237"/>
      <c r="B10" s="238"/>
      <c r="C10" s="238"/>
      <c r="D10" s="238"/>
      <c r="E10" s="238"/>
      <c r="F10" s="238"/>
      <c r="G10" s="238"/>
      <c r="H10" s="238"/>
      <c r="I10" s="238"/>
      <c r="J10" s="238"/>
      <c r="K10" s="238"/>
      <c r="L10" s="238"/>
      <c r="M10" s="238"/>
      <c r="N10" s="238"/>
      <c r="O10" s="238"/>
      <c r="P10" s="239"/>
    </row>
    <row r="11" spans="1:18" ht="48" customHeight="1" thickBot="1" x14ac:dyDescent="0.3">
      <c r="A11" s="248" t="s">
        <v>46</v>
      </c>
      <c r="B11" s="249"/>
      <c r="C11" s="249"/>
      <c r="D11" s="249"/>
      <c r="E11" s="249"/>
      <c r="F11" s="249"/>
      <c r="G11" s="249"/>
      <c r="H11" s="249"/>
      <c r="I11" s="249"/>
      <c r="J11" s="249"/>
      <c r="K11" s="249"/>
      <c r="L11" s="249"/>
      <c r="M11" s="249"/>
      <c r="N11" s="249"/>
      <c r="O11" s="249"/>
      <c r="P11" s="250"/>
    </row>
    <row r="12" spans="1:18" x14ac:dyDescent="0.25">
      <c r="A12" s="240" t="s">
        <v>28</v>
      </c>
      <c r="B12" s="253" t="s">
        <v>70</v>
      </c>
      <c r="C12" s="242" t="s">
        <v>29</v>
      </c>
      <c r="D12" s="242" t="s">
        <v>30</v>
      </c>
      <c r="E12" s="242" t="s">
        <v>31</v>
      </c>
      <c r="F12" s="224" t="s">
        <v>32</v>
      </c>
      <c r="G12" s="244" t="s">
        <v>33</v>
      </c>
      <c r="H12" s="246" t="s">
        <v>34</v>
      </c>
      <c r="I12" s="224" t="s">
        <v>35</v>
      </c>
      <c r="J12" s="224" t="s">
        <v>27</v>
      </c>
      <c r="K12" s="224" t="s">
        <v>26</v>
      </c>
      <c r="L12" s="253" t="s">
        <v>170</v>
      </c>
      <c r="M12" s="224" t="s">
        <v>167</v>
      </c>
      <c r="N12" s="251" t="s">
        <v>184</v>
      </c>
      <c r="O12" s="93" t="s">
        <v>36</v>
      </c>
      <c r="P12" s="226" t="s">
        <v>37</v>
      </c>
    </row>
    <row r="13" spans="1:18" ht="24.75" customHeight="1" x14ac:dyDescent="0.25">
      <c r="A13" s="241"/>
      <c r="B13" s="254"/>
      <c r="C13" s="243"/>
      <c r="D13" s="243"/>
      <c r="E13" s="243"/>
      <c r="F13" s="225"/>
      <c r="G13" s="245"/>
      <c r="H13" s="247"/>
      <c r="I13" s="225"/>
      <c r="J13" s="225"/>
      <c r="K13" s="225"/>
      <c r="L13" s="254"/>
      <c r="M13" s="225"/>
      <c r="N13" s="252"/>
      <c r="O13" s="94" t="str">
        <f>RESUMEN!B8</f>
        <v>VTO 17/09</v>
      </c>
      <c r="P13" s="227"/>
    </row>
    <row r="14" spans="1:18" ht="17.100000000000001" customHeight="1" x14ac:dyDescent="0.25">
      <c r="A14" s="83">
        <v>1</v>
      </c>
      <c r="B14" s="129" t="s">
        <v>71</v>
      </c>
      <c r="C14" s="72" t="s">
        <v>117</v>
      </c>
      <c r="D14" s="72"/>
      <c r="E14" s="74">
        <v>5.22</v>
      </c>
      <c r="F14" s="63">
        <v>375215.01</v>
      </c>
      <c r="G14" s="269">
        <f t="shared" ref="G14" si="0">F14</f>
        <v>375215.01</v>
      </c>
      <c r="H14" s="75">
        <f t="shared" ref="H14:H59" si="1">F14-G14</f>
        <v>0</v>
      </c>
      <c r="I14" s="75">
        <f>IF(H14&gt;0,H14*3%,0)</f>
        <v>0</v>
      </c>
      <c r="J14" s="82">
        <f>C$2*E14/100</f>
        <v>276660</v>
      </c>
      <c r="K14" s="82">
        <f t="shared" ref="K14:K45" si="2">F$2*E14/100</f>
        <v>0</v>
      </c>
      <c r="L14" s="82">
        <f>C$4*E14/100</f>
        <v>9543.3611220000003</v>
      </c>
      <c r="M14" s="82">
        <f>C$5*E14/100</f>
        <v>89011.409723999983</v>
      </c>
      <c r="N14" s="82"/>
      <c r="O14" s="76">
        <f>ROUND(SUM(H14:N14),0) + Q14</f>
        <v>375215.01</v>
      </c>
      <c r="P14" s="91">
        <f t="shared" ref="P14:P34" si="3">ROUND(O14*3%,0) + O14</f>
        <v>386471.01</v>
      </c>
      <c r="Q14" s="40">
        <v>0.01</v>
      </c>
    </row>
    <row r="15" spans="1:18" ht="17.100000000000001" customHeight="1" x14ac:dyDescent="0.25">
      <c r="A15" s="83">
        <v>2</v>
      </c>
      <c r="B15" s="129" t="s">
        <v>74</v>
      </c>
      <c r="C15" s="72" t="s">
        <v>118</v>
      </c>
      <c r="D15" s="72" t="s">
        <v>155</v>
      </c>
      <c r="E15" s="74">
        <v>3.4</v>
      </c>
      <c r="F15" s="63">
        <v>278667.02</v>
      </c>
      <c r="G15" s="63"/>
      <c r="H15" s="75">
        <f t="shared" si="1"/>
        <v>278667.02</v>
      </c>
      <c r="I15" s="75">
        <f t="shared" ref="I15:I59" si="4">IF(H15&gt;0,H15*3%,0)</f>
        <v>8360.0105999999996</v>
      </c>
      <c r="J15" s="82">
        <f t="shared" ref="J15:J59" si="5">C$2*E15/100</f>
        <v>180200</v>
      </c>
      <c r="K15" s="82">
        <f t="shared" si="2"/>
        <v>0</v>
      </c>
      <c r="L15" s="82">
        <f t="shared" ref="L15:L59" si="6">C$4*E15/100</f>
        <v>6215.9823400000005</v>
      </c>
      <c r="M15" s="82">
        <f t="shared" ref="M15:M59" si="7">C$5*E15/100</f>
        <v>57976.780279999999</v>
      </c>
      <c r="N15" s="82"/>
      <c r="O15" s="76">
        <f t="shared" ref="O15:O59" si="8">ROUND(SUM(H15:N15),0) + Q15</f>
        <v>531420.02</v>
      </c>
      <c r="P15" s="91">
        <f t="shared" si="3"/>
        <v>547363.02</v>
      </c>
      <c r="Q15" s="40">
        <f>Q14+0.01</f>
        <v>0.02</v>
      </c>
    </row>
    <row r="16" spans="1:18" ht="17.100000000000001" customHeight="1" x14ac:dyDescent="0.25">
      <c r="A16" s="83">
        <v>3</v>
      </c>
      <c r="B16" s="129" t="s">
        <v>75</v>
      </c>
      <c r="C16" s="72" t="s">
        <v>119</v>
      </c>
      <c r="D16" s="72" t="s">
        <v>157</v>
      </c>
      <c r="E16" s="74">
        <v>2.54</v>
      </c>
      <c r="F16" s="63">
        <v>182576.03</v>
      </c>
      <c r="G16" s="269">
        <v>183000</v>
      </c>
      <c r="H16" s="75">
        <f t="shared" si="1"/>
        <v>-423.97000000000116</v>
      </c>
      <c r="I16" s="75">
        <f t="shared" si="4"/>
        <v>0</v>
      </c>
      <c r="J16" s="82">
        <f t="shared" si="5"/>
        <v>134620</v>
      </c>
      <c r="K16" s="82">
        <f t="shared" si="2"/>
        <v>0</v>
      </c>
      <c r="L16" s="82">
        <f t="shared" si="6"/>
        <v>4643.7044540000006</v>
      </c>
      <c r="M16" s="82">
        <f t="shared" si="7"/>
        <v>43312.065267999998</v>
      </c>
      <c r="N16" s="82"/>
      <c r="O16" s="76">
        <f t="shared" si="8"/>
        <v>182152.03</v>
      </c>
      <c r="P16" s="91">
        <f t="shared" si="3"/>
        <v>187617.03</v>
      </c>
      <c r="Q16" s="40">
        <f t="shared" ref="Q16:Q31" si="9">Q15+0.01</f>
        <v>0.03</v>
      </c>
      <c r="R16" t="s">
        <v>173</v>
      </c>
    </row>
    <row r="17" spans="1:18" ht="17.100000000000001" customHeight="1" x14ac:dyDescent="0.25">
      <c r="A17" s="83">
        <v>4</v>
      </c>
      <c r="B17" s="129" t="s">
        <v>76</v>
      </c>
      <c r="C17" s="72" t="s">
        <v>120</v>
      </c>
      <c r="D17" s="77" t="s">
        <v>153</v>
      </c>
      <c r="E17" s="74">
        <v>5.19</v>
      </c>
      <c r="F17" s="63">
        <v>361285.04</v>
      </c>
      <c r="G17" s="269">
        <f>435125-G55-G44</f>
        <v>374026.27</v>
      </c>
      <c r="H17" s="75">
        <f t="shared" si="1"/>
        <v>-12741.23000000004</v>
      </c>
      <c r="I17" s="75">
        <f t="shared" si="4"/>
        <v>0</v>
      </c>
      <c r="J17" s="82">
        <f t="shared" si="5"/>
        <v>275070.00000000006</v>
      </c>
      <c r="K17" s="82">
        <f t="shared" si="2"/>
        <v>0</v>
      </c>
      <c r="L17" s="82">
        <f t="shared" si="6"/>
        <v>9488.5142190000006</v>
      </c>
      <c r="M17" s="82">
        <f t="shared" si="7"/>
        <v>88499.849898</v>
      </c>
      <c r="N17" s="82"/>
      <c r="O17" s="76">
        <f t="shared" si="8"/>
        <v>360317.04</v>
      </c>
      <c r="P17" s="91">
        <f t="shared" si="3"/>
        <v>371127.03999999998</v>
      </c>
      <c r="Q17" s="40">
        <f t="shared" si="9"/>
        <v>0.04</v>
      </c>
      <c r="R17" t="s">
        <v>172</v>
      </c>
    </row>
    <row r="18" spans="1:18" ht="17.100000000000001" customHeight="1" x14ac:dyDescent="0.25">
      <c r="A18" s="83">
        <v>5</v>
      </c>
      <c r="B18" s="129" t="s">
        <v>72</v>
      </c>
      <c r="C18" s="72" t="s">
        <v>121</v>
      </c>
      <c r="D18" s="77" t="s">
        <v>149</v>
      </c>
      <c r="E18" s="74">
        <v>3.4</v>
      </c>
      <c r="F18" s="63">
        <v>244044.05</v>
      </c>
      <c r="G18" s="63">
        <f>77540+140500</f>
        <v>218040</v>
      </c>
      <c r="H18" s="75">
        <f t="shared" si="1"/>
        <v>26004.049999999988</v>
      </c>
      <c r="I18" s="75">
        <f t="shared" si="4"/>
        <v>780.12149999999963</v>
      </c>
      <c r="J18" s="82">
        <f t="shared" si="5"/>
        <v>180200</v>
      </c>
      <c r="K18" s="82">
        <f t="shared" si="2"/>
        <v>0</v>
      </c>
      <c r="L18" s="82">
        <f t="shared" si="6"/>
        <v>6215.9823400000005</v>
      </c>
      <c r="M18" s="82">
        <f t="shared" si="7"/>
        <v>57976.780279999999</v>
      </c>
      <c r="N18" s="82"/>
      <c r="O18" s="76">
        <f t="shared" si="8"/>
        <v>271177.05</v>
      </c>
      <c r="P18" s="91">
        <f t="shared" si="3"/>
        <v>279312.05</v>
      </c>
      <c r="Q18" s="40">
        <f t="shared" si="9"/>
        <v>0.05</v>
      </c>
    </row>
    <row r="19" spans="1:18" ht="17.100000000000001" customHeight="1" x14ac:dyDescent="0.25">
      <c r="A19" s="83">
        <v>6</v>
      </c>
      <c r="B19" s="129" t="s">
        <v>77</v>
      </c>
      <c r="C19" s="72" t="s">
        <v>118</v>
      </c>
      <c r="D19" s="72" t="s">
        <v>180</v>
      </c>
      <c r="E19" s="74">
        <v>2.54</v>
      </c>
      <c r="F19" s="63">
        <v>182576.06</v>
      </c>
      <c r="G19" s="269">
        <f>F19</f>
        <v>182576.06</v>
      </c>
      <c r="H19" s="75">
        <f t="shared" si="1"/>
        <v>0</v>
      </c>
      <c r="I19" s="75">
        <f t="shared" si="4"/>
        <v>0</v>
      </c>
      <c r="J19" s="82">
        <f t="shared" si="5"/>
        <v>134620</v>
      </c>
      <c r="K19" s="82">
        <f t="shared" si="2"/>
        <v>0</v>
      </c>
      <c r="L19" s="82">
        <f t="shared" si="6"/>
        <v>4643.7044540000006</v>
      </c>
      <c r="M19" s="82">
        <f t="shared" si="7"/>
        <v>43312.065267999998</v>
      </c>
      <c r="N19" s="82"/>
      <c r="O19" s="76">
        <f t="shared" si="8"/>
        <v>182576.06</v>
      </c>
      <c r="P19" s="91">
        <f t="shared" si="3"/>
        <v>188053.06</v>
      </c>
      <c r="Q19" s="40">
        <f t="shared" si="9"/>
        <v>6.0000000000000005E-2</v>
      </c>
    </row>
    <row r="20" spans="1:18" ht="17.100000000000001" customHeight="1" x14ac:dyDescent="0.25">
      <c r="A20" s="83">
        <v>7</v>
      </c>
      <c r="B20" s="129" t="s">
        <v>78</v>
      </c>
      <c r="C20" s="72" t="s">
        <v>122</v>
      </c>
      <c r="D20" s="72"/>
      <c r="E20" s="74">
        <v>5.19</v>
      </c>
      <c r="F20" s="63">
        <v>373058.07</v>
      </c>
      <c r="G20" s="269">
        <f t="shared" ref="G20:G25" si="10">F20</f>
        <v>373058.07</v>
      </c>
      <c r="H20" s="75">
        <f t="shared" si="1"/>
        <v>0</v>
      </c>
      <c r="I20" s="75">
        <f t="shared" si="4"/>
        <v>0</v>
      </c>
      <c r="J20" s="82">
        <f t="shared" si="5"/>
        <v>275070.00000000006</v>
      </c>
      <c r="K20" s="82">
        <f t="shared" si="2"/>
        <v>0</v>
      </c>
      <c r="L20" s="82">
        <f t="shared" si="6"/>
        <v>9488.5142190000006</v>
      </c>
      <c r="M20" s="82">
        <f t="shared" si="7"/>
        <v>88499.849898</v>
      </c>
      <c r="N20" s="82"/>
      <c r="O20" s="76">
        <f t="shared" si="8"/>
        <v>373058.07</v>
      </c>
      <c r="P20" s="91">
        <f t="shared" si="3"/>
        <v>384250.07</v>
      </c>
      <c r="Q20" s="40">
        <f t="shared" si="9"/>
        <v>7.0000000000000007E-2</v>
      </c>
    </row>
    <row r="21" spans="1:18" ht="17.100000000000001" customHeight="1" x14ac:dyDescent="0.25">
      <c r="A21" s="83">
        <v>8</v>
      </c>
      <c r="B21" s="129" t="s">
        <v>79</v>
      </c>
      <c r="C21" s="72" t="s">
        <v>123</v>
      </c>
      <c r="D21" s="77"/>
      <c r="E21" s="74">
        <v>3.4</v>
      </c>
      <c r="F21" s="63">
        <v>244393.08</v>
      </c>
      <c r="G21" s="269">
        <f t="shared" si="10"/>
        <v>244393.08</v>
      </c>
      <c r="H21" s="75">
        <f t="shared" si="1"/>
        <v>0</v>
      </c>
      <c r="I21" s="75">
        <f t="shared" si="4"/>
        <v>0</v>
      </c>
      <c r="J21" s="82">
        <f t="shared" si="5"/>
        <v>180200</v>
      </c>
      <c r="K21" s="82">
        <f t="shared" si="2"/>
        <v>0</v>
      </c>
      <c r="L21" s="82">
        <f t="shared" si="6"/>
        <v>6215.9823400000005</v>
      </c>
      <c r="M21" s="82">
        <f t="shared" si="7"/>
        <v>57976.780279999999</v>
      </c>
      <c r="N21" s="82"/>
      <c r="O21" s="76">
        <f t="shared" si="8"/>
        <v>244393.08</v>
      </c>
      <c r="P21" s="91">
        <f t="shared" si="3"/>
        <v>251725.08</v>
      </c>
      <c r="Q21" s="40">
        <f t="shared" si="9"/>
        <v>0.08</v>
      </c>
    </row>
    <row r="22" spans="1:18" ht="17.100000000000001" customHeight="1" x14ac:dyDescent="0.25">
      <c r="A22" s="83">
        <v>9</v>
      </c>
      <c r="B22" s="129" t="s">
        <v>73</v>
      </c>
      <c r="C22" s="72" t="s">
        <v>118</v>
      </c>
      <c r="D22" s="77" t="s">
        <v>152</v>
      </c>
      <c r="E22" s="74">
        <v>2.54</v>
      </c>
      <c r="F22" s="63">
        <v>182576.09</v>
      </c>
      <c r="G22" s="269">
        <f t="shared" si="10"/>
        <v>182576.09</v>
      </c>
      <c r="H22" s="75">
        <f t="shared" si="1"/>
        <v>0</v>
      </c>
      <c r="I22" s="75">
        <f t="shared" si="4"/>
        <v>0</v>
      </c>
      <c r="J22" s="82">
        <f t="shared" si="5"/>
        <v>134620</v>
      </c>
      <c r="K22" s="82">
        <f t="shared" si="2"/>
        <v>0</v>
      </c>
      <c r="L22" s="82">
        <f t="shared" si="6"/>
        <v>4643.7044540000006</v>
      </c>
      <c r="M22" s="82">
        <f t="shared" si="7"/>
        <v>43312.065267999998</v>
      </c>
      <c r="N22" s="82"/>
      <c r="O22" s="76">
        <f t="shared" si="8"/>
        <v>182576.09</v>
      </c>
      <c r="P22" s="91">
        <f t="shared" si="3"/>
        <v>188053.09</v>
      </c>
      <c r="Q22" s="40">
        <f t="shared" si="9"/>
        <v>0.09</v>
      </c>
    </row>
    <row r="23" spans="1:18" ht="17.100000000000001" customHeight="1" x14ac:dyDescent="0.25">
      <c r="A23" s="83">
        <v>10</v>
      </c>
      <c r="B23" s="129" t="s">
        <v>80</v>
      </c>
      <c r="C23" s="72" t="s">
        <v>124</v>
      </c>
      <c r="D23" s="77"/>
      <c r="E23" s="74">
        <v>5.19</v>
      </c>
      <c r="F23" s="63">
        <v>373058.1</v>
      </c>
      <c r="G23" s="269">
        <f t="shared" si="10"/>
        <v>373058.1</v>
      </c>
      <c r="H23" s="75">
        <f t="shared" si="1"/>
        <v>0</v>
      </c>
      <c r="I23" s="75">
        <f t="shared" si="4"/>
        <v>0</v>
      </c>
      <c r="J23" s="82">
        <f t="shared" si="5"/>
        <v>275070.00000000006</v>
      </c>
      <c r="K23" s="82">
        <f t="shared" si="2"/>
        <v>0</v>
      </c>
      <c r="L23" s="82">
        <f t="shared" si="6"/>
        <v>9488.5142190000006</v>
      </c>
      <c r="M23" s="82">
        <f t="shared" si="7"/>
        <v>88499.849898</v>
      </c>
      <c r="N23" s="82"/>
      <c r="O23" s="76">
        <f t="shared" si="8"/>
        <v>373058.1</v>
      </c>
      <c r="P23" s="91">
        <f t="shared" si="3"/>
        <v>384250.1</v>
      </c>
      <c r="Q23" s="40">
        <f t="shared" si="9"/>
        <v>9.9999999999999992E-2</v>
      </c>
    </row>
    <row r="24" spans="1:18" ht="17.100000000000001" customHeight="1" x14ac:dyDescent="0.25">
      <c r="A24" s="83">
        <v>11</v>
      </c>
      <c r="B24" s="129" t="s">
        <v>81</v>
      </c>
      <c r="C24" s="72" t="s">
        <v>125</v>
      </c>
      <c r="D24" s="77" t="s">
        <v>150</v>
      </c>
      <c r="E24" s="74">
        <v>3.4</v>
      </c>
      <c r="F24" s="63">
        <v>244393.11</v>
      </c>
      <c r="G24" s="269">
        <f t="shared" si="10"/>
        <v>244393.11</v>
      </c>
      <c r="H24" s="75">
        <f t="shared" si="1"/>
        <v>0</v>
      </c>
      <c r="I24" s="75">
        <f t="shared" si="4"/>
        <v>0</v>
      </c>
      <c r="J24" s="82">
        <f t="shared" si="5"/>
        <v>180200</v>
      </c>
      <c r="K24" s="82">
        <f t="shared" si="2"/>
        <v>0</v>
      </c>
      <c r="L24" s="82">
        <f t="shared" si="6"/>
        <v>6215.9823400000005</v>
      </c>
      <c r="M24" s="82">
        <f t="shared" si="7"/>
        <v>57976.780279999999</v>
      </c>
      <c r="N24" s="82"/>
      <c r="O24" s="76">
        <f t="shared" si="8"/>
        <v>244393.11</v>
      </c>
      <c r="P24" s="91">
        <f t="shared" si="3"/>
        <v>251725.11</v>
      </c>
      <c r="Q24" s="40">
        <f t="shared" si="9"/>
        <v>0.10999999999999999</v>
      </c>
    </row>
    <row r="25" spans="1:18" ht="17.25" customHeight="1" x14ac:dyDescent="0.25">
      <c r="A25" s="83">
        <v>12</v>
      </c>
      <c r="B25" s="129" t="s">
        <v>82</v>
      </c>
      <c r="C25" s="72" t="s">
        <v>126</v>
      </c>
      <c r="D25" s="77" t="s">
        <v>154</v>
      </c>
      <c r="E25" s="74">
        <v>2.54</v>
      </c>
      <c r="F25" s="63">
        <v>182576.12</v>
      </c>
      <c r="G25" s="269">
        <f t="shared" si="10"/>
        <v>182576.12</v>
      </c>
      <c r="H25" s="75">
        <f t="shared" si="1"/>
        <v>0</v>
      </c>
      <c r="I25" s="75">
        <f t="shared" si="4"/>
        <v>0</v>
      </c>
      <c r="J25" s="82">
        <f t="shared" si="5"/>
        <v>134620</v>
      </c>
      <c r="K25" s="82">
        <f t="shared" si="2"/>
        <v>0</v>
      </c>
      <c r="L25" s="82">
        <f t="shared" si="6"/>
        <v>4643.7044540000006</v>
      </c>
      <c r="M25" s="82">
        <f t="shared" si="7"/>
        <v>43312.065267999998</v>
      </c>
      <c r="N25" s="82"/>
      <c r="O25" s="76">
        <f t="shared" si="8"/>
        <v>182576.12</v>
      </c>
      <c r="P25" s="91">
        <f t="shared" si="3"/>
        <v>188053.12</v>
      </c>
      <c r="Q25" s="40">
        <f t="shared" si="9"/>
        <v>0.11999999999999998</v>
      </c>
    </row>
    <row r="26" spans="1:18" ht="17.100000000000001" customHeight="1" x14ac:dyDescent="0.25">
      <c r="A26" s="83">
        <v>13</v>
      </c>
      <c r="B26" s="129" t="s">
        <v>83</v>
      </c>
      <c r="C26" s="72" t="s">
        <v>179</v>
      </c>
      <c r="D26" s="77"/>
      <c r="E26" s="74">
        <v>5.19</v>
      </c>
      <c r="F26" s="63">
        <v>363291.13</v>
      </c>
      <c r="G26" s="269">
        <f>F26</f>
        <v>363291.13</v>
      </c>
      <c r="H26" s="75">
        <f t="shared" si="1"/>
        <v>0</v>
      </c>
      <c r="I26" s="75">
        <f t="shared" si="4"/>
        <v>0</v>
      </c>
      <c r="J26" s="82">
        <f t="shared" si="5"/>
        <v>275070.00000000006</v>
      </c>
      <c r="K26" s="82">
        <f t="shared" si="2"/>
        <v>0</v>
      </c>
      <c r="L26" s="82">
        <f t="shared" si="6"/>
        <v>9488.5142190000006</v>
      </c>
      <c r="M26" s="82">
        <f t="shared" si="7"/>
        <v>88499.849898</v>
      </c>
      <c r="N26" s="82"/>
      <c r="O26" s="76">
        <f t="shared" si="8"/>
        <v>373058.13</v>
      </c>
      <c r="P26" s="91">
        <f t="shared" si="3"/>
        <v>384250.13</v>
      </c>
      <c r="Q26" s="40">
        <f t="shared" si="9"/>
        <v>0.12999999999999998</v>
      </c>
    </row>
    <row r="27" spans="1:18" ht="17.100000000000001" customHeight="1" x14ac:dyDescent="0.25">
      <c r="A27" s="140">
        <v>14</v>
      </c>
      <c r="B27" s="141" t="s">
        <v>84</v>
      </c>
      <c r="C27" s="142" t="s">
        <v>128</v>
      </c>
      <c r="D27" s="143"/>
      <c r="E27" s="144">
        <v>3.4</v>
      </c>
      <c r="F27" s="145">
        <v>235999.14</v>
      </c>
      <c r="G27" s="270">
        <f>314895.52-G51</f>
        <v>245171.14</v>
      </c>
      <c r="H27" s="146">
        <f t="shared" si="1"/>
        <v>-9172</v>
      </c>
      <c r="I27" s="146">
        <f t="shared" si="4"/>
        <v>0</v>
      </c>
      <c r="J27" s="147">
        <f t="shared" si="5"/>
        <v>180200</v>
      </c>
      <c r="K27" s="147">
        <f t="shared" si="2"/>
        <v>0</v>
      </c>
      <c r="L27" s="147">
        <f t="shared" si="6"/>
        <v>6215.9823400000005</v>
      </c>
      <c r="M27" s="147">
        <f t="shared" si="7"/>
        <v>57976.780279999999</v>
      </c>
      <c r="N27" s="147"/>
      <c r="O27" s="148">
        <f t="shared" si="8"/>
        <v>235221.14</v>
      </c>
      <c r="P27" s="149">
        <f t="shared" si="3"/>
        <v>242278.14</v>
      </c>
      <c r="Q27" s="40">
        <f t="shared" si="9"/>
        <v>0.13999999999999999</v>
      </c>
    </row>
    <row r="28" spans="1:18" ht="17.100000000000001" customHeight="1" x14ac:dyDescent="0.25">
      <c r="A28" s="83">
        <v>15</v>
      </c>
      <c r="B28" s="129" t="s">
        <v>85</v>
      </c>
      <c r="C28" s="72" t="s">
        <v>129</v>
      </c>
      <c r="D28" s="72" t="s">
        <v>151</v>
      </c>
      <c r="E28" s="74">
        <v>2.54</v>
      </c>
      <c r="F28" s="63">
        <v>182576.15</v>
      </c>
      <c r="G28" s="269">
        <f t="shared" ref="G28" si="11">F28</f>
        <v>182576.15</v>
      </c>
      <c r="H28" s="75">
        <f t="shared" si="1"/>
        <v>0</v>
      </c>
      <c r="I28" s="75">
        <f t="shared" si="4"/>
        <v>0</v>
      </c>
      <c r="J28" s="82">
        <f t="shared" si="5"/>
        <v>134620</v>
      </c>
      <c r="K28" s="82">
        <f t="shared" si="2"/>
        <v>0</v>
      </c>
      <c r="L28" s="82">
        <f t="shared" si="6"/>
        <v>4643.7044540000006</v>
      </c>
      <c r="M28" s="82">
        <f t="shared" si="7"/>
        <v>43312.065267999998</v>
      </c>
      <c r="N28" s="82"/>
      <c r="O28" s="76">
        <f t="shared" si="8"/>
        <v>182576.15</v>
      </c>
      <c r="P28" s="91">
        <f t="shared" si="3"/>
        <v>188053.15</v>
      </c>
      <c r="Q28" s="40">
        <f t="shared" si="9"/>
        <v>0.15</v>
      </c>
    </row>
    <row r="29" spans="1:18" ht="17.100000000000001" customHeight="1" x14ac:dyDescent="0.25">
      <c r="A29" s="83">
        <v>16</v>
      </c>
      <c r="B29" s="129" t="s">
        <v>86</v>
      </c>
      <c r="C29" s="72" t="s">
        <v>130</v>
      </c>
      <c r="D29" s="72"/>
      <c r="E29" s="74">
        <v>5.19</v>
      </c>
      <c r="F29" s="63">
        <v>373058.16</v>
      </c>
      <c r="G29" s="269">
        <f>F29</f>
        <v>373058.16</v>
      </c>
      <c r="H29" s="75">
        <f t="shared" si="1"/>
        <v>0</v>
      </c>
      <c r="I29" s="75">
        <f t="shared" si="4"/>
        <v>0</v>
      </c>
      <c r="J29" s="82">
        <f t="shared" si="5"/>
        <v>275070.00000000006</v>
      </c>
      <c r="K29" s="82">
        <f t="shared" si="2"/>
        <v>0</v>
      </c>
      <c r="L29" s="82">
        <f t="shared" si="6"/>
        <v>9488.5142190000006</v>
      </c>
      <c r="M29" s="82">
        <f t="shared" si="7"/>
        <v>88499.849898</v>
      </c>
      <c r="N29" s="82"/>
      <c r="O29" s="76">
        <f t="shared" si="8"/>
        <v>373058.16</v>
      </c>
      <c r="P29" s="91">
        <f t="shared" si="3"/>
        <v>384250.16</v>
      </c>
      <c r="Q29" s="40">
        <f t="shared" si="9"/>
        <v>0.16</v>
      </c>
    </row>
    <row r="30" spans="1:18" ht="17.100000000000001" customHeight="1" x14ac:dyDescent="0.25">
      <c r="A30" s="83">
        <v>17</v>
      </c>
      <c r="B30" s="129" t="s">
        <v>87</v>
      </c>
      <c r="C30" s="72" t="s">
        <v>131</v>
      </c>
      <c r="D30" s="77" t="s">
        <v>169</v>
      </c>
      <c r="E30" s="74">
        <v>3.4</v>
      </c>
      <c r="F30" s="63">
        <v>242901.17</v>
      </c>
      <c r="G30" s="269">
        <f>243901.17</f>
        <v>243901.17</v>
      </c>
      <c r="H30" s="75">
        <f t="shared" si="1"/>
        <v>-1000</v>
      </c>
      <c r="I30" s="75">
        <f t="shared" si="4"/>
        <v>0</v>
      </c>
      <c r="J30" s="82">
        <f t="shared" si="5"/>
        <v>180200</v>
      </c>
      <c r="K30" s="82">
        <f t="shared" si="2"/>
        <v>0</v>
      </c>
      <c r="L30" s="82">
        <f t="shared" si="6"/>
        <v>6215.9823400000005</v>
      </c>
      <c r="M30" s="82">
        <f t="shared" si="7"/>
        <v>57976.780279999999</v>
      </c>
      <c r="N30" s="82"/>
      <c r="O30" s="76">
        <f t="shared" si="8"/>
        <v>243393.17</v>
      </c>
      <c r="P30" s="91">
        <f t="shared" si="3"/>
        <v>250695.17</v>
      </c>
      <c r="Q30" s="40">
        <f t="shared" si="9"/>
        <v>0.17</v>
      </c>
    </row>
    <row r="31" spans="1:18" ht="17.100000000000001" customHeight="1" x14ac:dyDescent="0.25">
      <c r="A31" s="83">
        <v>18</v>
      </c>
      <c r="B31" s="129" t="s">
        <v>88</v>
      </c>
      <c r="C31" s="72" t="s">
        <v>132</v>
      </c>
      <c r="D31" s="73"/>
      <c r="E31" s="74">
        <v>2.54</v>
      </c>
      <c r="F31" s="63">
        <v>1846650.18</v>
      </c>
      <c r="G31" s="63"/>
      <c r="H31" s="75">
        <f t="shared" si="1"/>
        <v>1846650.18</v>
      </c>
      <c r="I31" s="75">
        <f t="shared" si="4"/>
        <v>55399.505399999995</v>
      </c>
      <c r="J31" s="82">
        <f t="shared" si="5"/>
        <v>134620</v>
      </c>
      <c r="K31" s="82">
        <f t="shared" si="2"/>
        <v>0</v>
      </c>
      <c r="L31" s="82">
        <f t="shared" si="6"/>
        <v>4643.7044540000006</v>
      </c>
      <c r="M31" s="82">
        <f t="shared" si="7"/>
        <v>43312.065267999998</v>
      </c>
      <c r="N31" s="82"/>
      <c r="O31" s="76">
        <f t="shared" si="8"/>
        <v>2084625.18</v>
      </c>
      <c r="P31" s="91">
        <f t="shared" si="3"/>
        <v>2147164.1799999997</v>
      </c>
      <c r="Q31" s="40">
        <f t="shared" si="9"/>
        <v>0.18000000000000002</v>
      </c>
    </row>
    <row r="32" spans="1:18" x14ac:dyDescent="0.25">
      <c r="A32" s="83">
        <v>19</v>
      </c>
      <c r="B32" s="129" t="s">
        <v>89</v>
      </c>
      <c r="C32" s="72" t="s">
        <v>133</v>
      </c>
      <c r="D32" s="77"/>
      <c r="E32" s="74">
        <v>5.19</v>
      </c>
      <c r="F32" s="63">
        <v>1594507.19</v>
      </c>
      <c r="G32" s="63">
        <v>0</v>
      </c>
      <c r="H32" s="75">
        <f t="shared" si="1"/>
        <v>1594507.19</v>
      </c>
      <c r="I32" s="75">
        <f t="shared" si="4"/>
        <v>47835.215699999993</v>
      </c>
      <c r="J32" s="82">
        <f t="shared" si="5"/>
        <v>275070.00000000006</v>
      </c>
      <c r="K32" s="82">
        <f t="shared" si="2"/>
        <v>0</v>
      </c>
      <c r="L32" s="82">
        <f t="shared" si="6"/>
        <v>9488.5142190000006</v>
      </c>
      <c r="M32" s="82">
        <f t="shared" si="7"/>
        <v>88499.849898</v>
      </c>
      <c r="N32" s="82">
        <v>43500</v>
      </c>
      <c r="O32" s="76">
        <f t="shared" si="8"/>
        <v>2058901.19</v>
      </c>
      <c r="P32" s="91">
        <f t="shared" si="3"/>
        <v>2120668.19</v>
      </c>
      <c r="Q32" s="40">
        <f>Q31+0.01</f>
        <v>0.19000000000000003</v>
      </c>
    </row>
    <row r="33" spans="1:18" x14ac:dyDescent="0.25">
      <c r="A33" s="140">
        <v>20</v>
      </c>
      <c r="B33" s="141" t="s">
        <v>90</v>
      </c>
      <c r="C33" s="142" t="s">
        <v>134</v>
      </c>
      <c r="D33" s="186"/>
      <c r="E33" s="187">
        <v>3.4</v>
      </c>
      <c r="F33" s="188">
        <v>237260.2</v>
      </c>
      <c r="G33" s="271">
        <f>249002-G47</f>
        <v>243251.66</v>
      </c>
      <c r="H33" s="189">
        <f t="shared" si="1"/>
        <v>-5991.4599999999919</v>
      </c>
      <c r="I33" s="189"/>
      <c r="J33" s="190">
        <f t="shared" si="5"/>
        <v>180200</v>
      </c>
      <c r="K33" s="190">
        <f t="shared" si="2"/>
        <v>0</v>
      </c>
      <c r="L33" s="190">
        <f t="shared" si="6"/>
        <v>6215.9823400000005</v>
      </c>
      <c r="M33" s="190">
        <f t="shared" si="7"/>
        <v>57976.780279999999</v>
      </c>
      <c r="N33" s="190"/>
      <c r="O33" s="191">
        <f t="shared" si="8"/>
        <v>238401.2</v>
      </c>
      <c r="P33" s="192">
        <f t="shared" si="3"/>
        <v>245553.2</v>
      </c>
      <c r="Q33" s="40">
        <f t="shared" ref="Q33:Q59" si="12">Q32+0.01</f>
        <v>0.20000000000000004</v>
      </c>
    </row>
    <row r="34" spans="1:18" x14ac:dyDescent="0.25">
      <c r="A34" s="83">
        <v>21</v>
      </c>
      <c r="B34" s="129" t="s">
        <v>91</v>
      </c>
      <c r="C34" s="78" t="s">
        <v>121</v>
      </c>
      <c r="D34" s="77" t="s">
        <v>148</v>
      </c>
      <c r="E34" s="74">
        <v>2.54</v>
      </c>
      <c r="F34" s="63">
        <v>182576.21</v>
      </c>
      <c r="G34" s="269">
        <f t="shared" ref="G34:G35" si="13">F34</f>
        <v>182576.21</v>
      </c>
      <c r="H34" s="75">
        <f t="shared" si="1"/>
        <v>0</v>
      </c>
      <c r="I34" s="75">
        <f t="shared" si="4"/>
        <v>0</v>
      </c>
      <c r="J34" s="82">
        <f t="shared" si="5"/>
        <v>134620</v>
      </c>
      <c r="K34" s="82">
        <f t="shared" si="2"/>
        <v>0</v>
      </c>
      <c r="L34" s="82">
        <f t="shared" si="6"/>
        <v>4643.7044540000006</v>
      </c>
      <c r="M34" s="82">
        <f t="shared" si="7"/>
        <v>43312.065267999998</v>
      </c>
      <c r="N34" s="82"/>
      <c r="O34" s="76">
        <f t="shared" si="8"/>
        <v>182576.21</v>
      </c>
      <c r="P34" s="91">
        <f t="shared" si="3"/>
        <v>188053.21</v>
      </c>
      <c r="Q34" s="40">
        <f t="shared" si="12"/>
        <v>0.21000000000000005</v>
      </c>
    </row>
    <row r="35" spans="1:18" ht="30" customHeight="1" x14ac:dyDescent="0.25">
      <c r="A35" s="83">
        <f>A34+1</f>
        <v>22</v>
      </c>
      <c r="B35" s="129" t="s">
        <v>92</v>
      </c>
      <c r="C35" s="78" t="s">
        <v>135</v>
      </c>
      <c r="D35" s="77" t="s">
        <v>158</v>
      </c>
      <c r="E35" s="74">
        <v>4.9400000000000004</v>
      </c>
      <c r="F35" s="63">
        <v>355088.22</v>
      </c>
      <c r="G35" s="269">
        <f t="shared" si="13"/>
        <v>355088.22</v>
      </c>
      <c r="H35" s="75">
        <f t="shared" si="1"/>
        <v>0</v>
      </c>
      <c r="I35" s="75">
        <f t="shared" si="4"/>
        <v>0</v>
      </c>
      <c r="J35" s="82">
        <f t="shared" si="5"/>
        <v>261820.00000000003</v>
      </c>
      <c r="K35" s="82">
        <f t="shared" si="2"/>
        <v>0</v>
      </c>
      <c r="L35" s="82">
        <f t="shared" si="6"/>
        <v>9031.4566940000004</v>
      </c>
      <c r="M35" s="82">
        <f t="shared" si="7"/>
        <v>84236.851347999997</v>
      </c>
      <c r="N35" s="82"/>
      <c r="O35" s="76">
        <f t="shared" si="8"/>
        <v>355088.22</v>
      </c>
      <c r="P35" s="91">
        <f t="shared" ref="P35:P59" si="14">ROUND(O35*3%,0) + O35</f>
        <v>365741.22</v>
      </c>
      <c r="Q35" s="40">
        <f t="shared" si="12"/>
        <v>0.22000000000000006</v>
      </c>
    </row>
    <row r="36" spans="1:18" x14ac:dyDescent="0.25">
      <c r="A36" s="83">
        <f t="shared" ref="A36:A59" si="15">A35+1</f>
        <v>23</v>
      </c>
      <c r="B36" s="129" t="s">
        <v>93</v>
      </c>
      <c r="C36" s="78" t="s">
        <v>136</v>
      </c>
      <c r="D36" s="77" t="s">
        <v>156</v>
      </c>
      <c r="E36" s="74">
        <v>3.28</v>
      </c>
      <c r="F36" s="63">
        <v>229421.23</v>
      </c>
      <c r="G36" s="269">
        <f>229441</f>
        <v>229441</v>
      </c>
      <c r="H36" s="75">
        <f t="shared" si="1"/>
        <v>-19.769999999989523</v>
      </c>
      <c r="I36" s="75">
        <f t="shared" si="4"/>
        <v>0</v>
      </c>
      <c r="J36" s="82">
        <f t="shared" si="5"/>
        <v>173840</v>
      </c>
      <c r="K36" s="82">
        <f t="shared" si="2"/>
        <v>0</v>
      </c>
      <c r="L36" s="82">
        <f t="shared" si="6"/>
        <v>5996.594728</v>
      </c>
      <c r="M36" s="82">
        <f t="shared" si="7"/>
        <v>55930.540975999989</v>
      </c>
      <c r="N36" s="82"/>
      <c r="O36" s="76">
        <f t="shared" si="8"/>
        <v>235747.23</v>
      </c>
      <c r="P36" s="91">
        <f t="shared" si="14"/>
        <v>242819.23</v>
      </c>
      <c r="Q36" s="40">
        <f t="shared" si="12"/>
        <v>0.23000000000000007</v>
      </c>
    </row>
    <row r="37" spans="1:18" x14ac:dyDescent="0.25">
      <c r="A37" s="83">
        <f t="shared" si="15"/>
        <v>24</v>
      </c>
      <c r="B37" s="129" t="s">
        <v>94</v>
      </c>
      <c r="C37" s="78" t="s">
        <v>137</v>
      </c>
      <c r="D37" s="77"/>
      <c r="E37" s="74">
        <v>2.41</v>
      </c>
      <c r="F37" s="63">
        <v>168602.23999999999</v>
      </c>
      <c r="G37" s="63">
        <v>158933.24</v>
      </c>
      <c r="H37" s="75">
        <f t="shared" si="1"/>
        <v>9669</v>
      </c>
      <c r="I37" s="75">
        <f t="shared" si="4"/>
        <v>290.07</v>
      </c>
      <c r="J37" s="82">
        <f t="shared" si="5"/>
        <v>127730</v>
      </c>
      <c r="K37" s="82">
        <f t="shared" si="2"/>
        <v>0</v>
      </c>
      <c r="L37" s="82">
        <f t="shared" si="6"/>
        <v>4406.034541</v>
      </c>
      <c r="M37" s="82">
        <f t="shared" si="7"/>
        <v>41095.306022000004</v>
      </c>
      <c r="N37" s="82"/>
      <c r="O37" s="76">
        <f t="shared" si="8"/>
        <v>183190.24</v>
      </c>
      <c r="P37" s="91">
        <f t="shared" si="14"/>
        <v>188686.24</v>
      </c>
      <c r="Q37" s="40">
        <f t="shared" si="12"/>
        <v>0.24000000000000007</v>
      </c>
    </row>
    <row r="38" spans="1:18" x14ac:dyDescent="0.25">
      <c r="A38" s="83">
        <f t="shared" si="15"/>
        <v>25</v>
      </c>
      <c r="B38" s="129" t="s">
        <v>95</v>
      </c>
      <c r="C38" s="78" t="s">
        <v>136</v>
      </c>
      <c r="D38" s="77"/>
      <c r="E38" s="74">
        <v>0.44</v>
      </c>
      <c r="F38" s="63">
        <v>87050.25</v>
      </c>
      <c r="G38" s="269">
        <f>16162+70888</f>
        <v>87050</v>
      </c>
      <c r="H38" s="75">
        <f t="shared" si="1"/>
        <v>0.25</v>
      </c>
      <c r="I38" s="75">
        <f t="shared" si="4"/>
        <v>7.4999999999999997E-3</v>
      </c>
      <c r="J38" s="82">
        <f t="shared" si="5"/>
        <v>23320</v>
      </c>
      <c r="K38" s="82">
        <f t="shared" si="2"/>
        <v>0</v>
      </c>
      <c r="L38" s="82">
        <f t="shared" si="6"/>
        <v>804.421244</v>
      </c>
      <c r="M38" s="82">
        <f t="shared" si="7"/>
        <v>7502.8774480000002</v>
      </c>
      <c r="N38" s="82"/>
      <c r="O38" s="76">
        <f t="shared" si="8"/>
        <v>31628.25</v>
      </c>
      <c r="P38" s="91">
        <f t="shared" si="14"/>
        <v>32577.25</v>
      </c>
      <c r="Q38" s="40">
        <f t="shared" si="12"/>
        <v>0.25000000000000006</v>
      </c>
      <c r="R38" t="s">
        <v>159</v>
      </c>
    </row>
    <row r="39" spans="1:18" x14ac:dyDescent="0.25">
      <c r="A39" s="83">
        <f t="shared" si="15"/>
        <v>26</v>
      </c>
      <c r="B39" s="129" t="s">
        <v>97</v>
      </c>
      <c r="C39" s="78" t="s">
        <v>124</v>
      </c>
      <c r="D39" s="77"/>
      <c r="E39" s="74">
        <v>0.55000000000000004</v>
      </c>
      <c r="F39" s="63">
        <v>39534.26</v>
      </c>
      <c r="G39" s="63">
        <f t="shared" ref="G39:G40" si="16">F39</f>
        <v>39534.26</v>
      </c>
      <c r="H39" s="75">
        <f t="shared" si="1"/>
        <v>0</v>
      </c>
      <c r="I39" s="75">
        <f t="shared" si="4"/>
        <v>0</v>
      </c>
      <c r="J39" s="82">
        <f t="shared" si="5"/>
        <v>29150.000000000004</v>
      </c>
      <c r="K39" s="82">
        <f t="shared" si="2"/>
        <v>0</v>
      </c>
      <c r="L39" s="82">
        <f t="shared" si="6"/>
        <v>1005.526555</v>
      </c>
      <c r="M39" s="82">
        <f t="shared" si="7"/>
        <v>9378.5968099999991</v>
      </c>
      <c r="N39" s="82"/>
      <c r="O39" s="76">
        <f t="shared" si="8"/>
        <v>39534.26</v>
      </c>
      <c r="P39" s="91">
        <f t="shared" si="14"/>
        <v>40720.26</v>
      </c>
      <c r="Q39" s="40">
        <f t="shared" si="12"/>
        <v>0.26000000000000006</v>
      </c>
    </row>
    <row r="40" spans="1:18" x14ac:dyDescent="0.25">
      <c r="A40" s="83">
        <f t="shared" si="15"/>
        <v>27</v>
      </c>
      <c r="B40" s="129" t="s">
        <v>96</v>
      </c>
      <c r="C40" s="78" t="s">
        <v>124</v>
      </c>
      <c r="D40" s="77"/>
      <c r="E40" s="74">
        <v>0.53</v>
      </c>
      <c r="F40" s="63">
        <v>38097.269999999997</v>
      </c>
      <c r="G40" s="269">
        <f t="shared" si="16"/>
        <v>38097.269999999997</v>
      </c>
      <c r="H40" s="75">
        <f t="shared" si="1"/>
        <v>0</v>
      </c>
      <c r="I40" s="75">
        <f t="shared" si="4"/>
        <v>0</v>
      </c>
      <c r="J40" s="82">
        <f t="shared" si="5"/>
        <v>28090</v>
      </c>
      <c r="K40" s="82">
        <f t="shared" si="2"/>
        <v>0</v>
      </c>
      <c r="L40" s="82">
        <f t="shared" si="6"/>
        <v>968.96195300000011</v>
      </c>
      <c r="M40" s="82">
        <f t="shared" si="7"/>
        <v>9037.5569259999993</v>
      </c>
      <c r="N40" s="82"/>
      <c r="O40" s="76">
        <f t="shared" si="8"/>
        <v>38097.269999999997</v>
      </c>
      <c r="P40" s="91">
        <f t="shared" si="14"/>
        <v>39240.269999999997</v>
      </c>
      <c r="Q40" s="40">
        <f t="shared" si="12"/>
        <v>0.27000000000000007</v>
      </c>
    </row>
    <row r="41" spans="1:18" x14ac:dyDescent="0.25">
      <c r="A41" s="83">
        <f t="shared" si="15"/>
        <v>28</v>
      </c>
      <c r="B41" s="129" t="s">
        <v>98</v>
      </c>
      <c r="C41" s="78" t="s">
        <v>138</v>
      </c>
      <c r="D41" s="72" t="s">
        <v>155</v>
      </c>
      <c r="E41" s="74">
        <v>0.28999999999999998</v>
      </c>
      <c r="F41" s="63">
        <v>39971.279999999999</v>
      </c>
      <c r="G41" s="63"/>
      <c r="H41" s="75">
        <f t="shared" si="1"/>
        <v>39971.279999999999</v>
      </c>
      <c r="I41" s="75">
        <f t="shared" si="4"/>
        <v>1199.1383999999998</v>
      </c>
      <c r="J41" s="82">
        <f t="shared" si="5"/>
        <v>15370</v>
      </c>
      <c r="K41" s="82">
        <f t="shared" si="2"/>
        <v>0</v>
      </c>
      <c r="L41" s="82">
        <f t="shared" si="6"/>
        <v>530.18672900000001</v>
      </c>
      <c r="M41" s="82">
        <f t="shared" si="7"/>
        <v>4945.0783179999989</v>
      </c>
      <c r="N41" s="82"/>
      <c r="O41" s="76">
        <f t="shared" si="8"/>
        <v>62016.28</v>
      </c>
      <c r="P41" s="91">
        <f t="shared" si="14"/>
        <v>63876.28</v>
      </c>
      <c r="Q41" s="40">
        <f t="shared" si="12"/>
        <v>0.28000000000000008</v>
      </c>
    </row>
    <row r="42" spans="1:18" x14ac:dyDescent="0.25">
      <c r="A42" s="83">
        <f t="shared" si="15"/>
        <v>29</v>
      </c>
      <c r="B42" s="129" t="s">
        <v>99</v>
      </c>
      <c r="C42" s="78" t="s">
        <v>125</v>
      </c>
      <c r="D42" s="77" t="s">
        <v>150</v>
      </c>
      <c r="E42" s="74">
        <v>0.08</v>
      </c>
      <c r="F42" s="63">
        <v>5750.29</v>
      </c>
      <c r="G42" s="269">
        <f t="shared" ref="G42:G43" si="17">F42</f>
        <v>5750.29</v>
      </c>
      <c r="H42" s="75">
        <f t="shared" si="1"/>
        <v>0</v>
      </c>
      <c r="I42" s="75">
        <f t="shared" si="4"/>
        <v>0</v>
      </c>
      <c r="J42" s="82">
        <f t="shared" si="5"/>
        <v>4240</v>
      </c>
      <c r="K42" s="82">
        <f t="shared" si="2"/>
        <v>0</v>
      </c>
      <c r="L42" s="82">
        <f t="shared" si="6"/>
        <v>146.25840800000003</v>
      </c>
      <c r="M42" s="82">
        <f t="shared" si="7"/>
        <v>1364.1595360000001</v>
      </c>
      <c r="N42" s="82"/>
      <c r="O42" s="76">
        <f t="shared" si="8"/>
        <v>5750.29</v>
      </c>
      <c r="P42" s="91">
        <f t="shared" si="14"/>
        <v>5923.29</v>
      </c>
      <c r="Q42" s="40">
        <f t="shared" si="12"/>
        <v>0.29000000000000009</v>
      </c>
    </row>
    <row r="43" spans="1:18" x14ac:dyDescent="0.25">
      <c r="A43" s="83">
        <f t="shared" si="15"/>
        <v>30</v>
      </c>
      <c r="B43" s="129" t="s">
        <v>100</v>
      </c>
      <c r="C43" s="78" t="s">
        <v>117</v>
      </c>
      <c r="D43" s="77"/>
      <c r="E43" s="74">
        <v>0.08</v>
      </c>
      <c r="F43" s="63">
        <v>5750.3</v>
      </c>
      <c r="G43" s="269">
        <f t="shared" si="17"/>
        <v>5750.3</v>
      </c>
      <c r="H43" s="75">
        <f t="shared" si="1"/>
        <v>0</v>
      </c>
      <c r="I43" s="75">
        <f t="shared" si="4"/>
        <v>0</v>
      </c>
      <c r="J43" s="82">
        <f t="shared" si="5"/>
        <v>4240</v>
      </c>
      <c r="K43" s="82">
        <f t="shared" si="2"/>
        <v>0</v>
      </c>
      <c r="L43" s="82">
        <f t="shared" si="6"/>
        <v>146.25840800000003</v>
      </c>
      <c r="M43" s="82">
        <f t="shared" si="7"/>
        <v>1364.1595360000001</v>
      </c>
      <c r="N43" s="82"/>
      <c r="O43" s="76">
        <f t="shared" si="8"/>
        <v>5750.3</v>
      </c>
      <c r="P43" s="91">
        <f t="shared" si="14"/>
        <v>5923.3</v>
      </c>
      <c r="Q43" s="40">
        <f t="shared" si="12"/>
        <v>0.3000000000000001</v>
      </c>
    </row>
    <row r="44" spans="1:18" x14ac:dyDescent="0.25">
      <c r="A44" s="83">
        <f t="shared" si="15"/>
        <v>31</v>
      </c>
      <c r="B44" s="129" t="s">
        <v>101</v>
      </c>
      <c r="C44" s="78" t="s">
        <v>120</v>
      </c>
      <c r="D44" s="77" t="s">
        <v>153</v>
      </c>
      <c r="E44" s="74">
        <v>0.08</v>
      </c>
      <c r="F44" s="63">
        <v>5750.31</v>
      </c>
      <c r="G44" s="269">
        <f>F44</f>
        <v>5750.31</v>
      </c>
      <c r="H44" s="75">
        <f t="shared" si="1"/>
        <v>0</v>
      </c>
      <c r="I44" s="75">
        <f t="shared" si="4"/>
        <v>0</v>
      </c>
      <c r="J44" s="82">
        <f t="shared" si="5"/>
        <v>4240</v>
      </c>
      <c r="K44" s="82">
        <f t="shared" si="2"/>
        <v>0</v>
      </c>
      <c r="L44" s="82">
        <f t="shared" si="6"/>
        <v>146.25840800000003</v>
      </c>
      <c r="M44" s="82">
        <f t="shared" si="7"/>
        <v>1364.1595360000001</v>
      </c>
      <c r="N44" s="82"/>
      <c r="O44" s="76">
        <f t="shared" si="8"/>
        <v>5750.31</v>
      </c>
      <c r="P44" s="91">
        <f t="shared" si="14"/>
        <v>5923.31</v>
      </c>
      <c r="Q44" s="40">
        <f t="shared" si="12"/>
        <v>0.31000000000000011</v>
      </c>
      <c r="R44" t="s">
        <v>172</v>
      </c>
    </row>
    <row r="45" spans="1:18" x14ac:dyDescent="0.25">
      <c r="A45" s="83">
        <f t="shared" si="15"/>
        <v>32</v>
      </c>
      <c r="B45" s="129" t="s">
        <v>102</v>
      </c>
      <c r="C45" s="78" t="s">
        <v>127</v>
      </c>
      <c r="D45" s="77"/>
      <c r="E45" s="74">
        <v>0.08</v>
      </c>
      <c r="F45" s="63">
        <v>5750.32</v>
      </c>
      <c r="G45" s="269">
        <f>F45</f>
        <v>5750.32</v>
      </c>
      <c r="H45" s="75">
        <f t="shared" si="1"/>
        <v>0</v>
      </c>
      <c r="I45" s="75">
        <f t="shared" si="4"/>
        <v>0</v>
      </c>
      <c r="J45" s="82">
        <f t="shared" si="5"/>
        <v>4240</v>
      </c>
      <c r="K45" s="82">
        <f t="shared" si="2"/>
        <v>0</v>
      </c>
      <c r="L45" s="82">
        <f t="shared" si="6"/>
        <v>146.25840800000003</v>
      </c>
      <c r="M45" s="82">
        <f t="shared" si="7"/>
        <v>1364.1595360000001</v>
      </c>
      <c r="N45" s="82"/>
      <c r="O45" s="76">
        <f t="shared" si="8"/>
        <v>5750.32</v>
      </c>
      <c r="P45" s="91">
        <f t="shared" si="14"/>
        <v>5923.32</v>
      </c>
      <c r="Q45" s="40">
        <f t="shared" si="12"/>
        <v>0.32000000000000012</v>
      </c>
    </row>
    <row r="46" spans="1:18" x14ac:dyDescent="0.25">
      <c r="A46" s="83">
        <f t="shared" si="15"/>
        <v>33</v>
      </c>
      <c r="B46" s="129" t="s">
        <v>103</v>
      </c>
      <c r="C46" s="78" t="s">
        <v>139</v>
      </c>
      <c r="D46" s="77"/>
      <c r="E46" s="74">
        <v>0.08</v>
      </c>
      <c r="F46" s="63">
        <v>29185.33</v>
      </c>
      <c r="G46" s="63"/>
      <c r="H46" s="75">
        <f t="shared" si="1"/>
        <v>29185.33</v>
      </c>
      <c r="I46" s="75"/>
      <c r="J46" s="82">
        <f t="shared" si="5"/>
        <v>4240</v>
      </c>
      <c r="K46" s="82">
        <f t="shared" ref="K46:K59" si="18">F$2*E46/100</f>
        <v>0</v>
      </c>
      <c r="L46" s="82">
        <f t="shared" si="6"/>
        <v>146.25840800000003</v>
      </c>
      <c r="M46" s="82">
        <f t="shared" si="7"/>
        <v>1364.1595360000001</v>
      </c>
      <c r="N46" s="82"/>
      <c r="O46" s="76">
        <f t="shared" si="8"/>
        <v>34936.33</v>
      </c>
      <c r="P46" s="91">
        <f t="shared" si="14"/>
        <v>35984.33</v>
      </c>
      <c r="Q46" s="40">
        <f t="shared" si="12"/>
        <v>0.33000000000000013</v>
      </c>
    </row>
    <row r="47" spans="1:18" x14ac:dyDescent="0.25">
      <c r="A47" s="83">
        <f t="shared" si="15"/>
        <v>34</v>
      </c>
      <c r="B47" s="129" t="s">
        <v>104</v>
      </c>
      <c r="C47" s="78" t="s">
        <v>134</v>
      </c>
      <c r="D47" s="77"/>
      <c r="E47" s="74">
        <v>0.08</v>
      </c>
      <c r="F47" s="63">
        <v>5750.34</v>
      </c>
      <c r="G47" s="269">
        <f>F47</f>
        <v>5750.34</v>
      </c>
      <c r="H47" s="75">
        <f t="shared" si="1"/>
        <v>0</v>
      </c>
      <c r="I47" s="75">
        <f t="shared" si="4"/>
        <v>0</v>
      </c>
      <c r="J47" s="82">
        <f t="shared" si="5"/>
        <v>4240</v>
      </c>
      <c r="K47" s="82">
        <f t="shared" si="18"/>
        <v>0</v>
      </c>
      <c r="L47" s="82">
        <f t="shared" si="6"/>
        <v>146.25840800000003</v>
      </c>
      <c r="M47" s="82">
        <f t="shared" si="7"/>
        <v>1364.1595360000001</v>
      </c>
      <c r="N47" s="82"/>
      <c r="O47" s="76">
        <f t="shared" si="8"/>
        <v>5750.34</v>
      </c>
      <c r="P47" s="91">
        <f t="shared" si="14"/>
        <v>5923.34</v>
      </c>
      <c r="Q47" s="40">
        <f t="shared" si="12"/>
        <v>0.34000000000000014</v>
      </c>
    </row>
    <row r="48" spans="1:18" x14ac:dyDescent="0.25">
      <c r="A48" s="120">
        <f t="shared" si="15"/>
        <v>35</v>
      </c>
      <c r="B48" s="129" t="s">
        <v>105</v>
      </c>
      <c r="C48" s="121" t="s">
        <v>140</v>
      </c>
      <c r="D48" s="122"/>
      <c r="E48" s="123">
        <v>0.09</v>
      </c>
      <c r="F48" s="63">
        <v>12404.35</v>
      </c>
      <c r="G48" s="269">
        <f>12776.35</f>
        <v>12776.35</v>
      </c>
      <c r="H48" s="124">
        <f t="shared" si="1"/>
        <v>-372</v>
      </c>
      <c r="I48" s="124">
        <f t="shared" si="4"/>
        <v>0</v>
      </c>
      <c r="J48" s="82">
        <f t="shared" si="5"/>
        <v>4770</v>
      </c>
      <c r="K48" s="125">
        <f t="shared" si="18"/>
        <v>0</v>
      </c>
      <c r="L48" s="82">
        <f t="shared" si="6"/>
        <v>164.54070899999999</v>
      </c>
      <c r="M48" s="82">
        <f t="shared" si="7"/>
        <v>1534.679478</v>
      </c>
      <c r="N48" s="125"/>
      <c r="O48" s="76">
        <f t="shared" si="8"/>
        <v>6097.35</v>
      </c>
      <c r="P48" s="91">
        <f t="shared" si="14"/>
        <v>6280.35</v>
      </c>
      <c r="Q48" s="40">
        <f t="shared" si="12"/>
        <v>0.35000000000000014</v>
      </c>
    </row>
    <row r="49" spans="1:18" x14ac:dyDescent="0.25">
      <c r="A49" s="83">
        <f t="shared" si="15"/>
        <v>36</v>
      </c>
      <c r="B49" s="129" t="s">
        <v>106</v>
      </c>
      <c r="C49" s="78" t="s">
        <v>130</v>
      </c>
      <c r="D49" s="77"/>
      <c r="E49" s="74">
        <v>0.79</v>
      </c>
      <c r="F49" s="63">
        <v>56785.36</v>
      </c>
      <c r="G49" s="269">
        <f>F49</f>
        <v>56785.36</v>
      </c>
      <c r="H49" s="75">
        <f t="shared" si="1"/>
        <v>0</v>
      </c>
      <c r="I49" s="75">
        <f t="shared" si="4"/>
        <v>0</v>
      </c>
      <c r="J49" s="82">
        <f t="shared" si="5"/>
        <v>41870</v>
      </c>
      <c r="K49" s="82">
        <f t="shared" si="18"/>
        <v>0</v>
      </c>
      <c r="L49" s="82">
        <f t="shared" si="6"/>
        <v>1444.3017790000001</v>
      </c>
      <c r="M49" s="82">
        <f t="shared" si="7"/>
        <v>13471.075418</v>
      </c>
      <c r="N49" s="82"/>
      <c r="O49" s="76">
        <f t="shared" si="8"/>
        <v>56785.36</v>
      </c>
      <c r="P49" s="91">
        <f t="shared" si="14"/>
        <v>58489.36</v>
      </c>
      <c r="Q49" s="40">
        <f t="shared" si="12"/>
        <v>0.36000000000000015</v>
      </c>
    </row>
    <row r="50" spans="1:18" x14ac:dyDescent="0.25">
      <c r="A50" s="83">
        <f t="shared" si="15"/>
        <v>37</v>
      </c>
      <c r="B50" s="129" t="s">
        <v>107</v>
      </c>
      <c r="C50" s="78" t="s">
        <v>135</v>
      </c>
      <c r="D50" s="77"/>
      <c r="E50" s="74">
        <v>1</v>
      </c>
      <c r="F50" s="63">
        <v>385558.37</v>
      </c>
      <c r="G50" s="63"/>
      <c r="H50" s="75">
        <f t="shared" si="1"/>
        <v>385558.37</v>
      </c>
      <c r="I50" s="75">
        <f t="shared" si="4"/>
        <v>11566.751099999999</v>
      </c>
      <c r="J50" s="82">
        <f t="shared" si="5"/>
        <v>53000</v>
      </c>
      <c r="K50" s="82">
        <f t="shared" si="18"/>
        <v>0</v>
      </c>
      <c r="L50" s="82">
        <f t="shared" si="6"/>
        <v>1828.2301</v>
      </c>
      <c r="M50" s="82">
        <f t="shared" si="7"/>
        <v>17051.994200000001</v>
      </c>
      <c r="N50" s="82"/>
      <c r="O50" s="76">
        <f t="shared" si="8"/>
        <v>469005.37</v>
      </c>
      <c r="P50" s="91">
        <f t="shared" si="14"/>
        <v>483075.37</v>
      </c>
      <c r="Q50" s="40">
        <f t="shared" si="12"/>
        <v>0.37000000000000016</v>
      </c>
    </row>
    <row r="51" spans="1:18" x14ac:dyDescent="0.25">
      <c r="A51" s="83">
        <f t="shared" si="15"/>
        <v>38</v>
      </c>
      <c r="B51" s="129" t="s">
        <v>108</v>
      </c>
      <c r="C51" s="78" t="s">
        <v>128</v>
      </c>
      <c r="D51" s="77"/>
      <c r="E51" s="74">
        <v>0.97</v>
      </c>
      <c r="F51" s="63">
        <v>69724.38</v>
      </c>
      <c r="G51" s="269">
        <f>F51</f>
        <v>69724.38</v>
      </c>
      <c r="H51" s="75">
        <f t="shared" si="1"/>
        <v>0</v>
      </c>
      <c r="I51" s="75">
        <f t="shared" si="4"/>
        <v>0</v>
      </c>
      <c r="J51" s="82">
        <f t="shared" si="5"/>
        <v>51410</v>
      </c>
      <c r="K51" s="82">
        <f t="shared" si="18"/>
        <v>0</v>
      </c>
      <c r="L51" s="82">
        <f t="shared" si="6"/>
        <v>1773.3831969999999</v>
      </c>
      <c r="M51" s="82">
        <f t="shared" si="7"/>
        <v>16540.434374</v>
      </c>
      <c r="N51" s="82"/>
      <c r="O51" s="76">
        <f t="shared" si="8"/>
        <v>69724.38</v>
      </c>
      <c r="P51" s="91">
        <f t="shared" si="14"/>
        <v>71816.38</v>
      </c>
      <c r="Q51" s="40">
        <f t="shared" si="12"/>
        <v>0.38000000000000017</v>
      </c>
    </row>
    <row r="52" spans="1:18" x14ac:dyDescent="0.25">
      <c r="A52" s="83">
        <f t="shared" si="15"/>
        <v>39</v>
      </c>
      <c r="B52" s="129" t="s">
        <v>109</v>
      </c>
      <c r="C52" s="78" t="s">
        <v>141</v>
      </c>
      <c r="D52" s="77"/>
      <c r="E52" s="74">
        <v>0.77</v>
      </c>
      <c r="F52" s="63">
        <v>159501.39000000001</v>
      </c>
      <c r="G52" s="269">
        <v>160000</v>
      </c>
      <c r="H52" s="75">
        <f t="shared" si="1"/>
        <v>-498.60999999998603</v>
      </c>
      <c r="I52" s="75">
        <f t="shared" si="4"/>
        <v>0</v>
      </c>
      <c r="J52" s="82">
        <f t="shared" si="5"/>
        <v>40810</v>
      </c>
      <c r="K52" s="82">
        <f t="shared" si="18"/>
        <v>0</v>
      </c>
      <c r="L52" s="82">
        <f t="shared" si="6"/>
        <v>1407.737177</v>
      </c>
      <c r="M52" s="82">
        <f t="shared" si="7"/>
        <v>13130.035533999999</v>
      </c>
      <c r="N52" s="82"/>
      <c r="O52" s="76">
        <f t="shared" si="8"/>
        <v>54849.39</v>
      </c>
      <c r="P52" s="91">
        <f t="shared" si="14"/>
        <v>56494.39</v>
      </c>
      <c r="Q52" s="40">
        <f t="shared" si="12"/>
        <v>0.39000000000000018</v>
      </c>
      <c r="R52" t="s">
        <v>159</v>
      </c>
    </row>
    <row r="53" spans="1:18" x14ac:dyDescent="0.25">
      <c r="A53" s="140">
        <f t="shared" si="15"/>
        <v>40</v>
      </c>
      <c r="B53" s="141" t="s">
        <v>110</v>
      </c>
      <c r="C53" s="274" t="s">
        <v>142</v>
      </c>
      <c r="D53" s="143" t="s">
        <v>169</v>
      </c>
      <c r="E53" s="144">
        <v>0.77</v>
      </c>
      <c r="F53" s="145">
        <v>55348.4</v>
      </c>
      <c r="G53" s="270">
        <f>F53</f>
        <v>55348.4</v>
      </c>
      <c r="H53" s="146">
        <f t="shared" si="1"/>
        <v>0</v>
      </c>
      <c r="I53" s="146">
        <f t="shared" si="4"/>
        <v>0</v>
      </c>
      <c r="J53" s="147">
        <f t="shared" si="5"/>
        <v>40810</v>
      </c>
      <c r="K53" s="147">
        <f t="shared" si="18"/>
        <v>0</v>
      </c>
      <c r="L53" s="147">
        <f t="shared" si="6"/>
        <v>1407.737177</v>
      </c>
      <c r="M53" s="147">
        <f t="shared" si="7"/>
        <v>13130.035533999999</v>
      </c>
      <c r="N53" s="147"/>
      <c r="O53" s="148">
        <f t="shared" si="8"/>
        <v>55348.4</v>
      </c>
      <c r="P53" s="149">
        <f t="shared" si="14"/>
        <v>57008.4</v>
      </c>
      <c r="Q53" s="40">
        <f t="shared" si="12"/>
        <v>0.40000000000000019</v>
      </c>
    </row>
    <row r="54" spans="1:18" x14ac:dyDescent="0.25">
      <c r="A54" s="83">
        <f t="shared" si="15"/>
        <v>41</v>
      </c>
      <c r="B54" s="129" t="s">
        <v>111</v>
      </c>
      <c r="C54" s="78" t="s">
        <v>121</v>
      </c>
      <c r="D54" s="77" t="s">
        <v>149</v>
      </c>
      <c r="E54" s="74">
        <v>0.81</v>
      </c>
      <c r="F54" s="63">
        <v>111641.41</v>
      </c>
      <c r="G54" s="63">
        <v>0</v>
      </c>
      <c r="H54" s="75">
        <f t="shared" si="1"/>
        <v>111641.41</v>
      </c>
      <c r="I54" s="75">
        <f t="shared" si="4"/>
        <v>3349.2422999999999</v>
      </c>
      <c r="J54" s="82">
        <f t="shared" si="5"/>
        <v>42930</v>
      </c>
      <c r="K54" s="82">
        <f t="shared" si="18"/>
        <v>0</v>
      </c>
      <c r="L54" s="82">
        <f t="shared" si="6"/>
        <v>1480.866381</v>
      </c>
      <c r="M54" s="82">
        <f t="shared" si="7"/>
        <v>13812.115301999998</v>
      </c>
      <c r="N54" s="82"/>
      <c r="O54" s="76">
        <f t="shared" si="8"/>
        <v>173214.41</v>
      </c>
      <c r="P54" s="91">
        <f t="shared" si="14"/>
        <v>178410.41</v>
      </c>
      <c r="Q54" s="40">
        <f t="shared" si="12"/>
        <v>0.4100000000000002</v>
      </c>
    </row>
    <row r="55" spans="1:18" x14ac:dyDescent="0.25">
      <c r="A55" s="83">
        <f t="shared" si="15"/>
        <v>42</v>
      </c>
      <c r="B55" s="129" t="s">
        <v>112</v>
      </c>
      <c r="C55" s="78" t="s">
        <v>142</v>
      </c>
      <c r="D55" s="77" t="s">
        <v>153</v>
      </c>
      <c r="E55" s="74">
        <v>0.77</v>
      </c>
      <c r="F55" s="63">
        <v>55348.42</v>
      </c>
      <c r="G55" s="269">
        <f>F55</f>
        <v>55348.42</v>
      </c>
      <c r="H55" s="75">
        <f t="shared" si="1"/>
        <v>0</v>
      </c>
      <c r="I55" s="75"/>
      <c r="J55" s="82">
        <f t="shared" si="5"/>
        <v>40810</v>
      </c>
      <c r="K55" s="82">
        <f t="shared" si="18"/>
        <v>0</v>
      </c>
      <c r="L55" s="82">
        <f t="shared" si="6"/>
        <v>1407.737177</v>
      </c>
      <c r="M55" s="82">
        <f t="shared" si="7"/>
        <v>13130.035533999999</v>
      </c>
      <c r="N55" s="82"/>
      <c r="O55" s="76">
        <f t="shared" si="8"/>
        <v>55348.42</v>
      </c>
      <c r="P55" s="91">
        <f t="shared" si="14"/>
        <v>57008.42</v>
      </c>
      <c r="Q55" s="40">
        <f t="shared" si="12"/>
        <v>0.42000000000000021</v>
      </c>
      <c r="R55" t="s">
        <v>172</v>
      </c>
    </row>
    <row r="56" spans="1:18" x14ac:dyDescent="0.25">
      <c r="A56" s="83">
        <f t="shared" si="15"/>
        <v>43</v>
      </c>
      <c r="B56" s="129" t="s">
        <v>113</v>
      </c>
      <c r="C56" s="78" t="s">
        <v>135</v>
      </c>
      <c r="D56" s="77"/>
      <c r="E56" s="74">
        <v>0.77</v>
      </c>
      <c r="F56" s="63">
        <v>294804.43</v>
      </c>
      <c r="G56" s="63"/>
      <c r="H56" s="75">
        <f t="shared" si="1"/>
        <v>294804.43</v>
      </c>
      <c r="I56" s="75">
        <f t="shared" si="4"/>
        <v>8844.1328999999987</v>
      </c>
      <c r="J56" s="82">
        <f t="shared" si="5"/>
        <v>40810</v>
      </c>
      <c r="K56" s="82">
        <f t="shared" si="18"/>
        <v>0</v>
      </c>
      <c r="L56" s="82">
        <f t="shared" si="6"/>
        <v>1407.737177</v>
      </c>
      <c r="M56" s="82">
        <f t="shared" si="7"/>
        <v>13130.035533999999</v>
      </c>
      <c r="N56" s="82"/>
      <c r="O56" s="76">
        <f t="shared" si="8"/>
        <v>358996.43</v>
      </c>
      <c r="P56" s="91">
        <f t="shared" si="14"/>
        <v>369766.43</v>
      </c>
      <c r="Q56" s="40">
        <f t="shared" si="12"/>
        <v>0.43000000000000022</v>
      </c>
    </row>
    <row r="57" spans="1:18" x14ac:dyDescent="0.25">
      <c r="A57" s="83">
        <f t="shared" si="15"/>
        <v>44</v>
      </c>
      <c r="B57" s="129" t="s">
        <v>114</v>
      </c>
      <c r="C57" s="78" t="s">
        <v>129</v>
      </c>
      <c r="D57" s="77"/>
      <c r="E57" s="74">
        <v>0.77</v>
      </c>
      <c r="F57" s="63">
        <v>225547.44</v>
      </c>
      <c r="G57" s="63"/>
      <c r="H57" s="75">
        <f t="shared" si="1"/>
        <v>225547.44</v>
      </c>
      <c r="I57" s="75">
        <f t="shared" si="4"/>
        <v>6766.4232000000002</v>
      </c>
      <c r="J57" s="82">
        <f t="shared" si="5"/>
        <v>40810</v>
      </c>
      <c r="K57" s="82">
        <f t="shared" si="18"/>
        <v>0</v>
      </c>
      <c r="L57" s="82">
        <f t="shared" si="6"/>
        <v>1407.737177</v>
      </c>
      <c r="M57" s="82">
        <f t="shared" si="7"/>
        <v>13130.035533999999</v>
      </c>
      <c r="N57" s="82"/>
      <c r="O57" s="76">
        <f t="shared" si="8"/>
        <v>287662.44</v>
      </c>
      <c r="P57" s="91">
        <f t="shared" si="14"/>
        <v>296292.44</v>
      </c>
      <c r="Q57" s="40">
        <f t="shared" si="12"/>
        <v>0.44000000000000022</v>
      </c>
    </row>
    <row r="58" spans="1:18" x14ac:dyDescent="0.25">
      <c r="A58" s="83">
        <f t="shared" si="15"/>
        <v>45</v>
      </c>
      <c r="B58" s="129" t="s">
        <v>115</v>
      </c>
      <c r="C58" s="78" t="s">
        <v>121</v>
      </c>
      <c r="D58" s="77" t="s">
        <v>148</v>
      </c>
      <c r="E58" s="74">
        <v>0.77</v>
      </c>
      <c r="F58" s="63">
        <v>55348.45</v>
      </c>
      <c r="G58" s="269">
        <f t="shared" ref="G58" si="19">F58</f>
        <v>55348.45</v>
      </c>
      <c r="H58" s="75">
        <f t="shared" si="1"/>
        <v>0</v>
      </c>
      <c r="I58" s="75">
        <f t="shared" si="4"/>
        <v>0</v>
      </c>
      <c r="J58" s="82">
        <f t="shared" si="5"/>
        <v>40810</v>
      </c>
      <c r="K58" s="82">
        <f t="shared" si="18"/>
        <v>0</v>
      </c>
      <c r="L58" s="82">
        <f t="shared" si="6"/>
        <v>1407.737177</v>
      </c>
      <c r="M58" s="82">
        <f t="shared" si="7"/>
        <v>13130.035533999999</v>
      </c>
      <c r="N58" s="82"/>
      <c r="O58" s="76">
        <f t="shared" si="8"/>
        <v>55348.45</v>
      </c>
      <c r="P58" s="91">
        <f t="shared" si="14"/>
        <v>57008.45</v>
      </c>
      <c r="Q58" s="40">
        <f t="shared" si="12"/>
        <v>0.45000000000000023</v>
      </c>
    </row>
    <row r="59" spans="1:18" x14ac:dyDescent="0.25">
      <c r="A59" s="83">
        <f t="shared" si="15"/>
        <v>46</v>
      </c>
      <c r="B59" s="129" t="s">
        <v>116</v>
      </c>
      <c r="C59" s="78" t="s">
        <v>121</v>
      </c>
      <c r="D59" s="77"/>
      <c r="E59" s="74">
        <v>0.86</v>
      </c>
      <c r="F59" s="63">
        <v>61817.46</v>
      </c>
      <c r="G59" s="269">
        <f>132705.46-70888</f>
        <v>61817.459999999992</v>
      </c>
      <c r="H59" s="75">
        <f t="shared" si="1"/>
        <v>0</v>
      </c>
      <c r="I59" s="75">
        <f t="shared" si="4"/>
        <v>0</v>
      </c>
      <c r="J59" s="82">
        <f t="shared" si="5"/>
        <v>45580</v>
      </c>
      <c r="K59" s="82">
        <f t="shared" si="18"/>
        <v>0</v>
      </c>
      <c r="L59" s="82">
        <f t="shared" si="6"/>
        <v>1572.2778860000001</v>
      </c>
      <c r="M59" s="82">
        <f t="shared" si="7"/>
        <v>14664.715011999999</v>
      </c>
      <c r="N59" s="82"/>
      <c r="O59" s="76">
        <f t="shared" si="8"/>
        <v>61817.46</v>
      </c>
      <c r="P59" s="91">
        <f t="shared" si="14"/>
        <v>63672.46</v>
      </c>
      <c r="Q59" s="40">
        <f t="shared" si="12"/>
        <v>0.46000000000000024</v>
      </c>
      <c r="R59" t="s">
        <v>159</v>
      </c>
    </row>
    <row r="60" spans="1:18" x14ac:dyDescent="0.25">
      <c r="A60" s="83"/>
      <c r="B60" s="129"/>
      <c r="C60" s="72"/>
      <c r="D60" s="77"/>
      <c r="E60" s="74"/>
      <c r="F60" s="63"/>
      <c r="G60" s="63"/>
      <c r="H60" s="75"/>
      <c r="I60" s="75"/>
      <c r="J60" s="82"/>
      <c r="K60" s="82"/>
      <c r="L60" s="82"/>
      <c r="M60" s="82"/>
      <c r="N60" s="82"/>
      <c r="O60" s="76"/>
      <c r="P60" s="91"/>
      <c r="Q60" s="40"/>
    </row>
    <row r="61" spans="1:18" ht="17.100000000000001" customHeight="1" thickBot="1" x14ac:dyDescent="0.3">
      <c r="A61" s="84"/>
      <c r="B61" s="130"/>
      <c r="C61" s="85"/>
      <c r="D61" s="85"/>
      <c r="E61" s="86">
        <f t="shared" ref="E61:M61" si="20">SUM(E14:E60)</f>
        <v>99.999999999999986</v>
      </c>
      <c r="F61" s="87">
        <f t="shared" si="20"/>
        <v>11042768.810000001</v>
      </c>
      <c r="G61" s="88">
        <f>SUM(G14:G60)</f>
        <v>6230781.8999999994</v>
      </c>
      <c r="H61" s="88">
        <f t="shared" si="20"/>
        <v>4811986.91</v>
      </c>
      <c r="I61" s="88">
        <f t="shared" si="20"/>
        <v>144390.61859999999</v>
      </c>
      <c r="J61" s="89">
        <f t="shared" si="20"/>
        <v>5300000</v>
      </c>
      <c r="K61" s="89">
        <f t="shared" si="20"/>
        <v>0</v>
      </c>
      <c r="L61" s="89">
        <f t="shared" si="20"/>
        <v>182823.00999999992</v>
      </c>
      <c r="M61" s="89">
        <f t="shared" si="20"/>
        <v>1705199.4200000009</v>
      </c>
      <c r="N61" s="90"/>
      <c r="O61" s="95">
        <f>SUM(O14:O60)</f>
        <v>12187909.810000001</v>
      </c>
      <c r="P61" s="92">
        <f>SUM(P14:P60)</f>
        <v>12553549.810000001</v>
      </c>
    </row>
    <row r="62" spans="1:18" ht="12.75" customHeight="1" x14ac:dyDescent="0.25">
      <c r="C62" s="64"/>
      <c r="D62" s="64"/>
    </row>
    <row r="63" spans="1:18" hidden="1" x14ac:dyDescent="0.25"/>
    <row r="64" spans="1:18" ht="9" customHeight="1" x14ac:dyDescent="0.25">
      <c r="C64" s="229" t="s">
        <v>6</v>
      </c>
      <c r="D64" s="229"/>
      <c r="E64" s="229"/>
      <c r="F64" s="229"/>
      <c r="G64" s="229"/>
      <c r="H64" s="229"/>
      <c r="I64" s="229"/>
      <c r="J64" s="229"/>
      <c r="K64" s="229"/>
      <c r="L64" s="229"/>
      <c r="M64" s="229"/>
      <c r="N64" s="229"/>
      <c r="O64" s="229"/>
    </row>
    <row r="65" spans="3:15" ht="12" hidden="1" customHeight="1" x14ac:dyDescent="0.25">
      <c r="C65" s="229"/>
      <c r="D65" s="229"/>
      <c r="E65" s="229"/>
      <c r="F65" s="229"/>
      <c r="G65" s="229"/>
      <c r="H65" s="229"/>
      <c r="I65" s="229"/>
      <c r="J65" s="229"/>
      <c r="K65" s="229"/>
      <c r="L65" s="229"/>
      <c r="M65" s="229"/>
      <c r="N65" s="229"/>
      <c r="O65" s="229"/>
    </row>
    <row r="66" spans="3:15" ht="12" hidden="1" customHeight="1" x14ac:dyDescent="0.25">
      <c r="C66" s="229"/>
      <c r="D66" s="229"/>
      <c r="E66" s="229"/>
      <c r="F66" s="229"/>
      <c r="G66" s="229"/>
      <c r="H66" s="229"/>
      <c r="I66" s="229"/>
      <c r="J66" s="229"/>
      <c r="K66" s="229"/>
      <c r="L66" s="229"/>
      <c r="M66" s="229"/>
      <c r="N66" s="229"/>
      <c r="O66" s="229"/>
    </row>
    <row r="67" spans="3:15" ht="12" hidden="1" customHeight="1" x14ac:dyDescent="0.25">
      <c r="C67" s="229"/>
      <c r="D67" s="229"/>
      <c r="E67" s="229"/>
      <c r="F67" s="229"/>
      <c r="G67" s="229"/>
      <c r="H67" s="229"/>
      <c r="I67" s="229"/>
      <c r="J67" s="229"/>
      <c r="K67" s="229"/>
      <c r="L67" s="229"/>
      <c r="M67" s="229"/>
      <c r="N67" s="229"/>
      <c r="O67" s="229"/>
    </row>
    <row r="68" spans="3:15" ht="12" hidden="1" customHeight="1" x14ac:dyDescent="0.25">
      <c r="C68" s="229"/>
      <c r="D68" s="229"/>
      <c r="E68" s="229"/>
      <c r="F68" s="229"/>
      <c r="G68" s="229"/>
      <c r="H68" s="229"/>
      <c r="I68" s="229"/>
      <c r="J68" s="229"/>
      <c r="K68" s="229"/>
      <c r="L68" s="229"/>
      <c r="M68" s="229"/>
      <c r="N68" s="229"/>
      <c r="O68" s="229"/>
    </row>
    <row r="69" spans="3:15" ht="67.5" customHeight="1" x14ac:dyDescent="0.25">
      <c r="C69" s="229"/>
      <c r="D69" s="229"/>
      <c r="E69" s="229"/>
      <c r="F69" s="229"/>
      <c r="G69" s="229"/>
      <c r="H69" s="229"/>
      <c r="I69" s="229"/>
      <c r="J69" s="229"/>
      <c r="K69" s="229"/>
      <c r="L69" s="229"/>
      <c r="M69" s="229"/>
      <c r="N69" s="229"/>
      <c r="O69" s="229"/>
    </row>
  </sheetData>
  <mergeCells count="20">
    <mergeCell ref="N12:N13"/>
    <mergeCell ref="L12:L13"/>
    <mergeCell ref="K12:K13"/>
    <mergeCell ref="B12:B13"/>
    <mergeCell ref="J1:P5"/>
    <mergeCell ref="M12:M13"/>
    <mergeCell ref="P12:P13"/>
    <mergeCell ref="F2:G2"/>
    <mergeCell ref="C64:O69"/>
    <mergeCell ref="A6:P10"/>
    <mergeCell ref="A12:A13"/>
    <mergeCell ref="C12:C13"/>
    <mergeCell ref="D12:D13"/>
    <mergeCell ref="E12:E13"/>
    <mergeCell ref="F12:F13"/>
    <mergeCell ref="G12:G13"/>
    <mergeCell ref="H12:H13"/>
    <mergeCell ref="I12:I13"/>
    <mergeCell ref="A11:P11"/>
    <mergeCell ref="J12:J13"/>
  </mergeCells>
  <phoneticPr fontId="18" type="noConversion"/>
  <pageMargins left="0.23622047244094491" right="0.23622047244094491" top="0.74803149606299213" bottom="0.74803149606299213" header="0.31496062992125984" footer="0.31496062992125984"/>
  <pageSetup paperSize="3" scale="6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3:L23"/>
  <sheetViews>
    <sheetView tabSelected="1" topLeftCell="A10" zoomScaleNormal="100" workbookViewId="0">
      <selection activeCell="K19" sqref="K19:L23"/>
    </sheetView>
  </sheetViews>
  <sheetFormatPr baseColWidth="10" defaultColWidth="10.85546875" defaultRowHeight="15" x14ac:dyDescent="0.25"/>
  <cols>
    <col min="3" max="3" width="12.7109375" bestFit="1" customWidth="1"/>
    <col min="9" max="9" width="13" bestFit="1" customWidth="1"/>
  </cols>
  <sheetData>
    <row r="3" spans="3:12" ht="15.75" thickBot="1" x14ac:dyDescent="0.3">
      <c r="C3" s="20"/>
    </row>
    <row r="4" spans="3:12" ht="13.15" customHeight="1" x14ac:dyDescent="0.25">
      <c r="C4" s="115" t="s">
        <v>51</v>
      </c>
      <c r="D4" s="116">
        <v>1</v>
      </c>
      <c r="E4" s="112"/>
      <c r="F4" s="112"/>
      <c r="G4" s="112"/>
      <c r="H4" s="112"/>
      <c r="I4" s="112"/>
      <c r="J4" s="113"/>
      <c r="K4" s="20"/>
      <c r="L4" s="20"/>
    </row>
    <row r="5" spans="3:12" ht="14.45" customHeight="1" x14ac:dyDescent="0.25">
      <c r="C5" s="117" t="s">
        <v>52</v>
      </c>
      <c r="D5" s="118"/>
      <c r="E5" t="s">
        <v>53</v>
      </c>
      <c r="G5" t="s">
        <v>54</v>
      </c>
      <c r="J5" s="114"/>
      <c r="K5" s="272"/>
      <c r="L5" s="273"/>
    </row>
    <row r="6" spans="3:12" x14ac:dyDescent="0.25">
      <c r="C6" s="117" t="s">
        <v>55</v>
      </c>
      <c r="D6" s="118" t="s">
        <v>56</v>
      </c>
      <c r="E6" t="s">
        <v>57</v>
      </c>
      <c r="G6" t="s">
        <v>28</v>
      </c>
      <c r="H6" t="s">
        <v>193</v>
      </c>
      <c r="J6" s="114"/>
      <c r="K6" s="272"/>
      <c r="L6" s="273"/>
    </row>
    <row r="7" spans="3:12" ht="15.75" thickBot="1" x14ac:dyDescent="0.3">
      <c r="C7" s="37" t="s">
        <v>58</v>
      </c>
      <c r="J7" s="114"/>
      <c r="K7" s="272"/>
      <c r="L7" s="273"/>
    </row>
    <row r="8" spans="3:12" x14ac:dyDescent="0.25">
      <c r="C8" s="255" t="s">
        <v>192</v>
      </c>
      <c r="D8" s="256"/>
      <c r="E8" s="256"/>
      <c r="F8" s="256"/>
      <c r="G8" s="256"/>
      <c r="H8" s="256"/>
      <c r="I8" s="256"/>
      <c r="J8" s="257"/>
      <c r="K8" s="272"/>
      <c r="L8" s="273"/>
    </row>
    <row r="9" spans="3:12" ht="15.75" thickBot="1" x14ac:dyDescent="0.3">
      <c r="C9" s="258"/>
      <c r="D9" s="259"/>
      <c r="E9" s="259"/>
      <c r="F9" s="259"/>
      <c r="G9" s="259"/>
      <c r="H9" s="259"/>
      <c r="I9" s="259"/>
      <c r="J9" s="260"/>
      <c r="K9" s="185"/>
    </row>
    <row r="12" spans="3:12" x14ac:dyDescent="0.25">
      <c r="C12" s="196" t="s">
        <v>52</v>
      </c>
      <c r="D12" s="197"/>
      <c r="E12" t="s">
        <v>53</v>
      </c>
      <c r="G12" t="s">
        <v>54</v>
      </c>
      <c r="H12" t="s">
        <v>194</v>
      </c>
      <c r="J12" s="114"/>
    </row>
    <row r="13" spans="3:12" x14ac:dyDescent="0.25">
      <c r="C13" s="196" t="s">
        <v>55</v>
      </c>
      <c r="D13" s="197" t="s">
        <v>56</v>
      </c>
      <c r="E13" t="s">
        <v>57</v>
      </c>
      <c r="G13" t="s">
        <v>28</v>
      </c>
      <c r="H13" t="s">
        <v>93</v>
      </c>
      <c r="J13" s="114"/>
      <c r="K13" s="273"/>
      <c r="L13" s="273"/>
    </row>
    <row r="14" spans="3:12" ht="15.75" thickBot="1" x14ac:dyDescent="0.3">
      <c r="C14" s="37" t="s">
        <v>58</v>
      </c>
      <c r="J14" s="114"/>
      <c r="K14" s="273"/>
      <c r="L14" s="273"/>
    </row>
    <row r="15" spans="3:12" x14ac:dyDescent="0.25">
      <c r="C15" s="255" t="s">
        <v>195</v>
      </c>
      <c r="D15" s="256"/>
      <c r="E15" s="256"/>
      <c r="F15" s="256"/>
      <c r="G15" s="256"/>
      <c r="H15" s="256"/>
      <c r="I15" s="256"/>
      <c r="J15" s="257"/>
      <c r="K15" s="273"/>
      <c r="L15" s="273"/>
    </row>
    <row r="16" spans="3:12" ht="15.75" thickBot="1" x14ac:dyDescent="0.3">
      <c r="C16" s="258"/>
      <c r="D16" s="259"/>
      <c r="E16" s="259"/>
      <c r="F16" s="259"/>
      <c r="G16" s="259"/>
      <c r="H16" s="259"/>
      <c r="I16" s="259"/>
      <c r="J16" s="260"/>
      <c r="K16" s="273"/>
      <c r="L16" s="273"/>
    </row>
    <row r="17" spans="3:12" x14ac:dyDescent="0.25">
      <c r="K17" s="273"/>
      <c r="L17" s="273"/>
    </row>
    <row r="18" spans="3:12" x14ac:dyDescent="0.25">
      <c r="K18" s="273"/>
      <c r="L18" s="273"/>
    </row>
    <row r="19" spans="3:12" x14ac:dyDescent="0.25">
      <c r="C19" s="198" t="s">
        <v>52</v>
      </c>
      <c r="D19" s="199"/>
      <c r="E19" t="s">
        <v>53</v>
      </c>
      <c r="G19" t="s">
        <v>54</v>
      </c>
      <c r="J19" s="114"/>
      <c r="K19" s="273"/>
      <c r="L19" s="273"/>
    </row>
    <row r="20" spans="3:12" x14ac:dyDescent="0.25">
      <c r="C20" s="198" t="s">
        <v>55</v>
      </c>
      <c r="D20" s="199" t="s">
        <v>56</v>
      </c>
      <c r="E20" t="s">
        <v>57</v>
      </c>
      <c r="G20" t="s">
        <v>28</v>
      </c>
      <c r="H20" t="s">
        <v>196</v>
      </c>
      <c r="J20" s="114"/>
      <c r="K20" s="273"/>
      <c r="L20" s="273"/>
    </row>
    <row r="21" spans="3:12" ht="15.75" thickBot="1" x14ac:dyDescent="0.3">
      <c r="C21" s="37" t="s">
        <v>58</v>
      </c>
      <c r="J21" s="114"/>
      <c r="K21" s="273"/>
      <c r="L21" s="273"/>
    </row>
    <row r="22" spans="3:12" x14ac:dyDescent="0.25">
      <c r="C22" s="255" t="s">
        <v>197</v>
      </c>
      <c r="D22" s="256"/>
      <c r="E22" s="256"/>
      <c r="F22" s="256"/>
      <c r="G22" s="256"/>
      <c r="H22" s="256"/>
      <c r="I22" s="256"/>
      <c r="J22" s="257"/>
      <c r="K22" s="273"/>
      <c r="L22" s="273"/>
    </row>
    <row r="23" spans="3:12" ht="15.75" thickBot="1" x14ac:dyDescent="0.3">
      <c r="C23" s="258"/>
      <c r="D23" s="259"/>
      <c r="E23" s="259"/>
      <c r="F23" s="259"/>
      <c r="G23" s="259"/>
      <c r="H23" s="259"/>
      <c r="I23" s="259"/>
      <c r="J23" s="260"/>
      <c r="K23" s="273"/>
      <c r="L23" s="273"/>
    </row>
  </sheetData>
  <mergeCells count="3">
    <mergeCell ref="C8:J9"/>
    <mergeCell ref="C15:J16"/>
    <mergeCell ref="C22:J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Sistemax</cp:lastModifiedBy>
  <cp:lastPrinted>2026-08-03T17:00:17Z</cp:lastPrinted>
  <dcterms:created xsi:type="dcterms:W3CDTF">2016-01-12T20:02:43Z</dcterms:created>
  <dcterms:modified xsi:type="dcterms:W3CDTF">2026-08-29T22:23:16Z</dcterms:modified>
</cp:coreProperties>
</file>