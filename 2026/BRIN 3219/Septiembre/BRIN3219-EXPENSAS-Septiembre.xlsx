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istemax\Desktop\rc-consorcio2025\2026\BRIN 3219\Agosto\"/>
    </mc:Choice>
  </mc:AlternateContent>
  <xr:revisionPtr revIDLastSave="0" documentId="13_ncr:1_{BB583894-03A5-42F7-A7A6-05F09C0F77A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Planilla!$A$1:$O$32</definedName>
    <definedName name="_xlnm.Print_Area" localSheetId="0">RESUMEN!$A$1:$H$95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G30" i="1"/>
  <c r="G22" i="1"/>
  <c r="G25" i="1"/>
  <c r="G9" i="1"/>
  <c r="H65" i="27"/>
  <c r="H43" i="27" l="1"/>
  <c r="H29" i="27"/>
  <c r="G31" i="1"/>
  <c r="G24" i="1"/>
  <c r="G15" i="1"/>
  <c r="G13" i="1"/>
  <c r="H85" i="27"/>
  <c r="H24" i="27"/>
  <c r="G10" i="1"/>
  <c r="G11" i="1"/>
  <c r="G16" i="1"/>
  <c r="G29" i="1"/>
  <c r="G23" i="1"/>
  <c r="H66" i="27"/>
  <c r="H56" i="27" l="1"/>
  <c r="G2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9" i="1"/>
  <c r="B5" i="1" l="1"/>
  <c r="G14" i="1"/>
  <c r="J9" i="1" l="1"/>
  <c r="F4" i="1"/>
  <c r="H35" i="27" l="1"/>
  <c r="G26" i="1"/>
  <c r="F32" i="1" l="1"/>
  <c r="L10" i="1" l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9" i="1"/>
  <c r="M9" i="1"/>
  <c r="G32" i="1"/>
  <c r="H46" i="27"/>
  <c r="H18" i="27" l="1"/>
  <c r="Q29" i="1" l="1"/>
  <c r="N9" i="1"/>
  <c r="H1" i="1" l="1"/>
  <c r="H50" i="27" l="1"/>
  <c r="H26" i="27"/>
  <c r="H22" i="27" l="1"/>
  <c r="F1" i="1" l="1"/>
  <c r="H31" i="27" l="1"/>
  <c r="H18" i="1" l="1"/>
  <c r="I18" i="1" l="1"/>
  <c r="H95" i="27" l="1"/>
  <c r="H53" i="27" l="1"/>
  <c r="H71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68" i="27" l="1"/>
  <c r="H73" i="27" s="1"/>
  <c r="H74" i="27" l="1"/>
  <c r="N10" i="1"/>
  <c r="N11" i="1"/>
  <c r="N12" i="1"/>
  <c r="N13" i="1"/>
  <c r="N14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 l="1"/>
  <c r="K32" i="1" l="1"/>
  <c r="J30" i="1"/>
  <c r="J23" i="1"/>
  <c r="H22" i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H10" i="1"/>
  <c r="H11" i="1"/>
  <c r="H12" i="1"/>
  <c r="H13" i="1"/>
  <c r="H16" i="1"/>
  <c r="H19" i="1"/>
  <c r="H21" i="1"/>
  <c r="H23" i="1"/>
  <c r="H24" i="1"/>
  <c r="H25" i="1"/>
  <c r="H26" i="1"/>
  <c r="H27" i="1"/>
  <c r="H28" i="1"/>
  <c r="H29" i="1"/>
  <c r="H31" i="1"/>
  <c r="H9" i="1"/>
  <c r="I25" i="1" l="1"/>
  <c r="I22" i="1"/>
  <c r="I28" i="1"/>
  <c r="I24" i="1"/>
  <c r="I16" i="1"/>
  <c r="I10" i="1"/>
  <c r="I9" i="1"/>
  <c r="O9" i="1" s="1"/>
  <c r="I27" i="1"/>
  <c r="I23" i="1"/>
  <c r="I13" i="1"/>
  <c r="I29" i="1"/>
  <c r="I19" i="1"/>
  <c r="I11" i="1"/>
  <c r="I31" i="1"/>
  <c r="I26" i="1"/>
  <c r="I21" i="1"/>
  <c r="I12" i="1"/>
  <c r="J12" i="1"/>
  <c r="H15" i="1"/>
  <c r="J22" i="1"/>
  <c r="H30" i="1"/>
  <c r="H20" i="1"/>
  <c r="H14" i="1"/>
  <c r="H61" i="27"/>
  <c r="H84" i="27" s="1"/>
  <c r="I14" i="1" l="1"/>
  <c r="I15" i="1"/>
  <c r="I20" i="1"/>
  <c r="I30" i="1"/>
  <c r="H83" i="27"/>
  <c r="E32" i="1"/>
  <c r="B32" i="1"/>
  <c r="H72" i="27" l="1"/>
  <c r="H60" i="27"/>
  <c r="H75" i="27" l="1"/>
  <c r="M11" i="1" l="1"/>
  <c r="O11" i="1" s="1"/>
  <c r="M15" i="1"/>
  <c r="O15" i="1" s="1"/>
  <c r="M19" i="1"/>
  <c r="O19" i="1" s="1"/>
  <c r="M23" i="1"/>
  <c r="O23" i="1" s="1"/>
  <c r="M27" i="1"/>
  <c r="M31" i="1"/>
  <c r="O31" i="1" s="1"/>
  <c r="M17" i="1"/>
  <c r="M21" i="1"/>
  <c r="O21" i="1" s="1"/>
  <c r="M29" i="1"/>
  <c r="M10" i="1"/>
  <c r="O10" i="1" s="1"/>
  <c r="M18" i="1"/>
  <c r="O18" i="1" s="1"/>
  <c r="M26" i="1"/>
  <c r="O26" i="1" s="1"/>
  <c r="M12" i="1"/>
  <c r="O12" i="1" s="1"/>
  <c r="M16" i="1"/>
  <c r="O16" i="1" s="1"/>
  <c r="M20" i="1"/>
  <c r="O20" i="1" s="1"/>
  <c r="M24" i="1"/>
  <c r="O24" i="1" s="1"/>
  <c r="M28" i="1"/>
  <c r="O28" i="1" s="1"/>
  <c r="M13" i="1"/>
  <c r="O13" i="1" s="1"/>
  <c r="M25" i="1"/>
  <c r="O25" i="1" s="1"/>
  <c r="M14" i="1"/>
  <c r="O14" i="1" s="1"/>
  <c r="M22" i="1"/>
  <c r="O22" i="1" s="1"/>
  <c r="M30" i="1"/>
  <c r="O30" i="1" s="1"/>
  <c r="O29" i="1" l="1"/>
  <c r="P29" i="1"/>
  <c r="P27" i="1"/>
  <c r="O27" i="1"/>
  <c r="M32" i="1"/>
  <c r="J17" i="1" l="1"/>
  <c r="J32" i="1" s="1"/>
  <c r="H82" i="27"/>
  <c r="H88" i="27" s="1"/>
  <c r="H17" i="1"/>
  <c r="I17" i="1" l="1"/>
  <c r="O17" i="1" s="1"/>
  <c r="O32" i="1" s="1"/>
  <c r="I32" i="1"/>
  <c r="H32" i="1"/>
</calcChain>
</file>

<file path=xl/sharedStrings.xml><?xml version="1.0" encoding="utf-8"?>
<sst xmlns="http://schemas.openxmlformats.org/spreadsheetml/2006/main" count="237" uniqueCount="161">
  <si>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</si>
  <si>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</si>
  <si>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</si>
  <si>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</si>
  <si>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</si>
  <si>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</si>
  <si>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</si>
  <si>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</si>
  <si>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</si>
  <si>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</si>
  <si>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</si>
  <si>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</si>
  <si>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</si>
  <si>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</si>
  <si>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</si>
  <si>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</si>
  <si>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</si>
  <si>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</si>
  <si>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</si>
  <si>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</si>
  <si>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</si>
  <si>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</si>
  <si>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</si>
  <si>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</si>
  <si>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</si>
  <si>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</si>
  <si>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</si>
  <si>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</si>
  <si>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</si>
  <si>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</si>
  <si>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</si>
  <si>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</si>
  <si>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</si>
  <si>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</si>
  <si>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</si>
  <si>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</si>
  <si>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</si>
  <si>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</si>
  <si>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</si>
  <si>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</si>
  <si>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</si>
  <si>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</si>
  <si>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</si>
  <si>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</si>
  <si>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</si>
  <si>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</si>
  <si>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</si>
  <si>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</si>
  <si>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</si>
  <si>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</si>
  <si>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</si>
  <si>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</si>
  <si>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</si>
  <si>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</si>
  <si>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</si>
  <si>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</si>
  <si>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</si>
  <si>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</si>
  <si>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</si>
  <si>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</si>
  <si>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</si>
  <si>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</si>
  <si>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</si>
  <si>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</si>
  <si>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</si>
  <si>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</si>
  <si>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</si>
  <si>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</si>
  <si>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</si>
  <si>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</si>
  <si>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</si>
  <si>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</si>
  <si>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</si>
  <si>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</si>
  <si>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</si>
  <si>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</si>
  <si>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</si>
  <si>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</si>
  <si>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</si>
  <si>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</si>
  <si>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</si>
  <si>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</si>
  <si>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</si>
  <si>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</si>
  <si>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</si>
  <si>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</si>
  <si>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</si>
  <si>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</si>
  <si>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</si>
  <si>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</si>
  <si>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</si>
  <si>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</si>
  <si>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</si>
  <si>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</si>
  <si>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</si>
  <si>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</si>
  <si>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</si>
  <si>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</si>
  <si>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</si>
  <si>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</si>
  <si>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</si>
  <si>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</si>
  <si>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</si>
  <si>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</si>
  <si>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Miriam</t>
  </si>
  <si>
    <t>Leonel</t>
  </si>
  <si>
    <t>Laura</t>
  </si>
  <si>
    <t>Corina</t>
  </si>
  <si>
    <t>Vanina</t>
  </si>
  <si>
    <t>Oscar</t>
  </si>
  <si>
    <t>Paula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</si>
  <si>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</si>
  <si>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</si>
  <si>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</si>
  <si>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</si>
  <si>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</si>
  <si>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</si>
  <si>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</si>
  <si>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</si>
  <si>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</si>
  <si>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t>Claudia</t>
  </si>
  <si>
    <t>Noelia</t>
  </si>
  <si>
    <t>Legales</t>
  </si>
  <si>
    <t>Eliseo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</si>
  <si>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</si>
  <si>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</si>
  <si>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</si>
  <si>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</si>
  <si>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</si>
  <si>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</si>
  <si>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</si>
  <si>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</si>
  <si>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</si>
  <si>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</si>
  <si>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</si>
  <si>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</si>
  <si>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REEMPLAZO</t>
  </si>
  <si>
    <t xml:space="preserve">Ascensor </t>
  </si>
  <si>
    <t>Ordinarios:</t>
  </si>
  <si>
    <t>Le queda a favor esto actualmente</t>
  </si>
  <si>
    <t>INGRESO</t>
  </si>
  <si>
    <t>Ingreso por alquiler Piso 6 UF 24 y Expensas</t>
  </si>
  <si>
    <t xml:space="preserve">Ingreso por pago de Expensas </t>
  </si>
  <si>
    <t>Extraordinarias</t>
  </si>
  <si>
    <t>Reemplazo por vacaciones</t>
  </si>
  <si>
    <t>Seguro - Reemplazo</t>
  </si>
  <si>
    <t>Acuerdo de deuda - Sindicatos</t>
  </si>
  <si>
    <t>subidos en jul10</t>
  </si>
  <si>
    <t>VTO: 17/9</t>
  </si>
  <si>
    <t>AGOSTO</t>
  </si>
  <si>
    <t>Damato fumigaciones - AGOSTO</t>
  </si>
  <si>
    <t>Egresos por gastos mes - AGOSTO</t>
  </si>
  <si>
    <t>Doartero Julio - Cambio de transformador 220volts a A24 volts</t>
  </si>
  <si>
    <t>Colcoacion de termotanque - Materiales + Mano de obra</t>
  </si>
  <si>
    <t>Cuota 5 de 5 - Limpieza de columnas, cocina y baño de todas las unidades funcionales - Cuello Natalia</t>
  </si>
  <si>
    <t>Doartero Julio - Cambio de cañeria de entrada</t>
  </si>
  <si>
    <t>Ezequiel Sarro Murillo -  Sr. Abogado - Presentacion de escrito</t>
  </si>
  <si>
    <t>Cetrogar - Compra de termotanque escorial multigas Col 45L</t>
  </si>
  <si>
    <t>Sr. Andres Jose - Electricista - Campio de termica - Materiales + mano de obra</t>
  </si>
  <si>
    <t>SINDICATOS - SUTHER, FATHERY, SERACARH</t>
  </si>
  <si>
    <r>
      <t xml:space="preserve">1- </t>
    </r>
    <r>
      <rPr>
        <b/>
        <sz val="12"/>
        <color theme="1"/>
        <rFont val="Calibri"/>
        <family val="2"/>
        <scheme val="minor"/>
      </rPr>
      <t>SUELDO ENCARGADA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</si>
</sst>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Google Sans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4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17" xfId="0" applyFont="1" applyBorder="1"/>
    <xf numFmtId="0" fontId="15" fillId="0" borderId="17" xfId="0" applyFont="1" applyBorder="1"/>
    <xf numFmtId="0" fontId="16" fillId="0" borderId="0" xfId="0" applyFont="1"/>
    <xf numFmtId="0" fontId="0" fillId="0" borderId="1" xfId="0" applyBorder="1"/>
    <xf numFmtId="0" fontId="18" fillId="0" borderId="17" xfId="0" applyFont="1" applyBorder="1" applyAlignment="1">
      <alignment vertical="center" wrapText="1"/>
    </xf>
    <xf numFmtId="0" fontId="14" fillId="0" borderId="0" xfId="0" applyFont="1"/>
    <xf numFmtId="44" fontId="14" fillId="0" borderId="0" xfId="1" applyFont="1" applyBorder="1" applyAlignment="1">
      <alignment horizontal="left"/>
    </xf>
    <xf numFmtId="0" fontId="19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7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164" fontId="0" fillId="0" borderId="13" xfId="0" applyNumberFormat="1" applyBorder="1"/>
    <xf numFmtId="0" fontId="14" fillId="3" borderId="15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vertical="center"/>
    </xf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2" fillId="3" borderId="0" xfId="0" applyFont="1" applyFill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3" fillId="0" borderId="6" xfId="0" applyFont="1" applyBorder="1"/>
    <xf numFmtId="0" fontId="23" fillId="0" borderId="1" xfId="0" applyFont="1" applyBorder="1"/>
    <xf numFmtId="0" fontId="23" fillId="2" borderId="1" xfId="0" applyFont="1" applyFill="1" applyBorder="1"/>
    <xf numFmtId="0" fontId="24" fillId="0" borderId="1" xfId="0" applyFont="1" applyBorder="1"/>
    <xf numFmtId="0" fontId="23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4" fillId="3" borderId="4" xfId="0" applyNumberFormat="1" applyFont="1" applyFill="1" applyBorder="1" applyAlignment="1">
      <alignment horizontal="center"/>
    </xf>
    <xf numFmtId="0" fontId="24" fillId="2" borderId="28" xfId="0" applyFont="1" applyFill="1" applyBorder="1"/>
    <xf numFmtId="0" fontId="17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4" fillId="0" borderId="1" xfId="0" applyFont="1" applyBorder="1"/>
    <xf numFmtId="0" fontId="16" fillId="0" borderId="1" xfId="0" applyFont="1" applyBorder="1"/>
    <xf numFmtId="164" fontId="2" fillId="0" borderId="1" xfId="1" applyNumberFormat="1" applyFont="1" applyBorder="1"/>
    <xf numFmtId="0" fontId="15" fillId="0" borderId="1" xfId="0" applyFont="1" applyBorder="1"/>
    <xf numFmtId="0" fontId="2" fillId="0" borderId="1" xfId="0" applyFont="1" applyBorder="1"/>
    <xf numFmtId="0" fontId="18" fillId="0" borderId="1" xfId="0" applyFont="1" applyBorder="1" applyAlignment="1">
      <alignment vertical="center" wrapText="1"/>
    </xf>
    <xf numFmtId="164" fontId="15" fillId="3" borderId="4" xfId="0" applyNumberFormat="1" applyFont="1" applyFill="1" applyBorder="1" applyAlignment="1">
      <alignment horizontal="center"/>
    </xf>
    <xf numFmtId="164" fontId="14" fillId="3" borderId="40" xfId="1" applyNumberFormat="1" applyFont="1" applyFill="1" applyBorder="1" applyAlignment="1">
      <alignment horizontal="center" vertical="center"/>
    </xf>
    <xf numFmtId="0" fontId="17" fillId="0" borderId="1" xfId="0" applyFont="1" applyBorder="1"/>
    <xf numFmtId="44" fontId="0" fillId="2" borderId="1" xfId="1" applyFont="1" applyFill="1" applyBorder="1"/>
    <xf numFmtId="44" fontId="25" fillId="0" borderId="0" xfId="0" applyNumberFormat="1" applyFon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4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3" fillId="8" borderId="1" xfId="0" applyFont="1" applyFill="1" applyBorder="1"/>
    <xf numFmtId="10" fontId="10" fillId="8" borderId="1" xfId="0" applyNumberFormat="1" applyFont="1" applyFill="1" applyBorder="1"/>
    <xf numFmtId="0" fontId="23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3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6" fillId="8" borderId="13" xfId="1" applyNumberFormat="1" applyFont="1" applyFill="1" applyBorder="1"/>
    <xf numFmtId="164" fontId="0" fillId="0" borderId="0" xfId="0" applyNumberFormat="1"/>
    <xf numFmtId="164" fontId="20" fillId="2" borderId="1" xfId="1" applyNumberFormat="1" applyFont="1" applyFill="1" applyBorder="1"/>
    <xf numFmtId="164" fontId="20" fillId="8" borderId="1" xfId="1" applyNumberFormat="1" applyFont="1" applyFill="1" applyBorder="1"/>
    <xf numFmtId="164" fontId="20" fillId="9" borderId="1" xfId="1" applyNumberFormat="1" applyFont="1" applyFill="1" applyBorder="1"/>
    <xf numFmtId="44" fontId="0" fillId="0" borderId="0" xfId="1" applyFont="1"/>
    <xf numFmtId="44" fontId="4" fillId="0" borderId="0" xfId="1" applyFont="1"/>
    <xf numFmtId="164" fontId="26" fillId="2" borderId="1" xfId="1" applyNumberFormat="1" applyFont="1" applyFill="1" applyBorder="1"/>
    <xf numFmtId="44" fontId="2" fillId="2" borderId="13" xfId="0" applyNumberFormat="1" applyFont="1" applyFill="1" applyBorder="1"/>
    <xf numFmtId="44" fontId="2" fillId="8" borderId="13" xfId="0" applyNumberFormat="1" applyFont="1" applyFill="1" applyBorder="1"/>
    <xf numFmtId="164" fontId="27" fillId="0" borderId="1" xfId="1" applyNumberFormat="1" applyFont="1" applyBorder="1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1" fontId="22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1" fillId="5" borderId="0" xfId="1" applyNumberFormat="1" applyFont="1" applyFill="1" applyAlignment="1">
      <alignment horizontal="center" vertical="center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44" fontId="0" fillId="0" borderId="4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20" fillId="0" borderId="4" xfId="1" applyFont="1" applyBorder="1" applyAlignment="1">
      <alignment horizontal="center"/>
    </xf>
    <xf numFmtId="44" fontId="20" fillId="0" borderId="6" xfId="1" applyFont="1" applyBorder="1" applyAlignment="1">
      <alignment horizont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164" fontId="28" fillId="0" borderId="1" xfId="1" applyNumberFormat="1" applyFont="1" applyBorder="1"/>
    <xf numFmtId="0" fontId="0" fillId="0" borderId="9" xfId="0" applyFont="1" applyBorder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10" xfId="0" applyFont="1" applyBorder="1" applyAlignment="1">
      <alignment horizontal="left"/>
    </xf>
    <xf numFmtId="0" fontId="29" fillId="0" borderId="0" xfId="0" applyFont="1" applyAlignment="1">
      <alignment horizontal="left" vertical="center"/>
    </xf>
    <xf numFmtId="0" fontId="0" fillId="0" borderId="10" xfId="0" applyFont="1" applyBorder="1"/>
    <xf numFmtId="0" fontId="30" fillId="0" borderId="0" xfId="2" applyFont="1" applyBorder="1" applyAlignment="1">
      <alignment horizontal="left"/>
    </xf>
    <xf numFmtId="0" fontId="0" fillId="0" borderId="7" xfId="0" applyFont="1" applyBorder="1"/>
    <xf numFmtId="0" fontId="0" fillId="0" borderId="2" xfId="0" applyFont="1" applyBorder="1"/>
    <xf numFmtId="0" fontId="0" fillId="0" borderId="8" xfId="0" applyFont="1" applyBorder="1"/>
    <xf numFmtId="0" fontId="0" fillId="0" borderId="11" xfId="0" applyFont="1" applyBorder="1"/>
    <xf numFmtId="0" fontId="0" fillId="0" borderId="3" xfId="0" applyFont="1" applyBorder="1"/>
    <xf numFmtId="0" fontId="0" fillId="0" borderId="12" xfId="0" applyFont="1" applyBorder="1"/>
    <xf numFmtId="0" fontId="2" fillId="3" borderId="1" xfId="0" applyFont="1" applyFill="1" applyBorder="1" applyAlignment="1">
      <alignment horizontal="center"/>
    </xf>
    <xf numFmtId="165" fontId="0" fillId="0" borderId="1" xfId="0" applyNumberFormat="1" applyFont="1" applyBorder="1"/>
    <xf numFmtId="0" fontId="0" fillId="0" borderId="1" xfId="0" applyFont="1" applyBorder="1"/>
    <xf numFmtId="44" fontId="0" fillId="0" borderId="0" xfId="0" applyNumberFormat="1" applyFont="1"/>
    <xf numFmtId="44" fontId="2" fillId="2" borderId="1" xfId="1" applyFont="1" applyFill="1" applyBorder="1"/>
    <xf numFmtId="165" fontId="2" fillId="3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/>
    </xf>
    <xf numFmtId="16" fontId="0" fillId="0" borderId="1" xfId="0" applyNumberFormat="1" applyFont="1" applyBorder="1"/>
    <xf numFmtId="0" fontId="0" fillId="0" borderId="1" xfId="0" applyFont="1" applyBorder="1" applyAlignment="1">
      <alignment horizontal="left"/>
    </xf>
    <xf numFmtId="44" fontId="2" fillId="0" borderId="1" xfId="1" applyFont="1" applyBorder="1"/>
    <xf numFmtId="0" fontId="0" fillId="2" borderId="1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2" borderId="4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2" borderId="0" xfId="0" applyFont="1" applyFill="1"/>
    <xf numFmtId="44" fontId="0" fillId="2" borderId="0" xfId="0" applyNumberFormat="1" applyFont="1" applyFill="1"/>
    <xf numFmtId="44" fontId="2" fillId="2" borderId="6" xfId="1" applyFont="1" applyFill="1" applyBorder="1"/>
    <xf numFmtId="0" fontId="0" fillId="2" borderId="7" xfId="0" applyFont="1" applyFill="1" applyBorder="1"/>
    <xf numFmtId="0" fontId="0" fillId="2" borderId="2" xfId="0" applyFont="1" applyFill="1" applyBorder="1"/>
    <xf numFmtId="44" fontId="0" fillId="2" borderId="8" xfId="1" applyFont="1" applyFill="1" applyBorder="1"/>
    <xf numFmtId="0" fontId="0" fillId="2" borderId="5" xfId="0" applyFont="1" applyFill="1" applyBorder="1"/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44" fontId="6" fillId="3" borderId="6" xfId="0" applyNumberFormat="1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44" fontId="6" fillId="3" borderId="1" xfId="0" applyNumberFormat="1" applyFont="1" applyFill="1" applyBorder="1"/>
    <xf numFmtId="0" fontId="0" fillId="2" borderId="4" xfId="0" applyFont="1" applyFill="1" applyBorder="1" applyAlignment="1">
      <alignment horizontal="left" vertical="center" wrapText="1"/>
    </xf>
    <xf numFmtId="0" fontId="0" fillId="2" borderId="5" xfId="0" applyFont="1" applyFill="1" applyBorder="1" applyAlignment="1">
      <alignment horizontal="left" vertical="center" wrapText="1"/>
    </xf>
    <xf numFmtId="0" fontId="0" fillId="2" borderId="6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44" fontId="2" fillId="2" borderId="0" xfId="1" applyFont="1" applyFill="1" applyBorder="1"/>
    <xf numFmtId="0" fontId="6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44" fontId="6" fillId="3" borderId="24" xfId="0" applyNumberFormat="1" applyFont="1" applyFill="1" applyBorder="1"/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164" fontId="0" fillId="0" borderId="0" xfId="0" applyNumberFormat="1" applyFont="1"/>
    <xf numFmtId="43" fontId="0" fillId="0" borderId="0" xfId="0" applyNumberFormat="1" applyFont="1"/>
    <xf numFmtId="0" fontId="6" fillId="3" borderId="3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44" fontId="6" fillId="3" borderId="34" xfId="0" applyNumberFormat="1" applyFont="1" applyFill="1" applyBorder="1"/>
    <xf numFmtId="44" fontId="0" fillId="0" borderId="0" xfId="0" applyNumberFormat="1" applyFont="1" applyAlignment="1">
      <alignment horizontal="center"/>
    </xf>
    <xf numFmtId="44" fontId="6" fillId="3" borderId="31" xfId="0" applyNumberFormat="1" applyFont="1" applyFill="1" applyBorder="1"/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44" fontId="6" fillId="3" borderId="27" xfId="0" applyNumberFormat="1" applyFont="1" applyFill="1" applyBorder="1"/>
    <xf numFmtId="0" fontId="6" fillId="3" borderId="29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44" fontId="6" fillId="3" borderId="30" xfId="0" applyNumberFormat="1" applyFont="1" applyFill="1" applyBorder="1"/>
    <xf numFmtId="0" fontId="6" fillId="2" borderId="1" xfId="0" applyFont="1" applyFill="1" applyBorder="1" applyAlignment="1">
      <alignment horizontal="center"/>
    </xf>
    <xf numFmtId="44" fontId="6" fillId="2" borderId="1" xfId="0" applyNumberFormat="1" applyFont="1" applyFill="1" applyBorder="1"/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8" fontId="9" fillId="0" borderId="1" xfId="0" applyNumberFormat="1" applyFont="1" applyBorder="1"/>
    <xf numFmtId="16" fontId="0" fillId="0" borderId="3" xfId="0" applyNumberFormat="1" applyFont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topLeftCell="A74" zoomScaleNormal="100" workbookViewId="0">
      <selection activeCell="J88" sqref="A3:K88"/>
    </sheetView>
  </sheetViews>
  <sheetFormatPr baseColWidth="10" defaultRowHeight="15"/>
  <cols>
    <col min="1" max="1" width="28.7109375" customWidth="1"/>
    <col min="2" max="2" width="11.85546875" bestFit="1" customWidth="1"/>
    <col min="5" max="5" width="13.42578125" customWidth="1"/>
    <col min="6" max="6" width="15.7109375" bestFit="1" customWidth="1"/>
    <col min="7" max="7" width="25.140625" bestFit="1" customWidth="1"/>
    <col min="8" max="8" width="19.7109375" customWidth="1"/>
    <col min="9" max="9" width="13.5703125" customWidth="1"/>
    <col min="10" max="10" width="13.5703125" bestFit="1" customWidth="1"/>
  </cols>
  <sheetData>
    <row r="1" spans="1:11">
      <c r="A1" s="8"/>
      <c r="B1" s="3"/>
      <c r="C1" s="3"/>
      <c r="D1" s="3"/>
      <c r="E1" s="3"/>
      <c r="F1" s="3"/>
      <c r="G1" s="3"/>
      <c r="H1" s="9"/>
    </row>
    <row r="2" spans="1:11" ht="48" customHeight="1">
      <c r="A2" s="10"/>
      <c r="D2" s="142"/>
      <c r="E2" s="143"/>
      <c r="F2" s="143"/>
      <c r="G2" s="143"/>
      <c r="H2" s="144"/>
    </row>
    <row r="3" spans="1:11">
      <c r="A3" s="164"/>
      <c r="B3" s="165"/>
      <c r="C3" s="165"/>
      <c r="D3" s="11" t="s">
        <v>6</v>
      </c>
      <c r="E3" s="166">
        <v>1153202676</v>
      </c>
      <c r="F3" s="166"/>
      <c r="G3" s="166"/>
      <c r="H3" s="167"/>
      <c r="I3" s="165"/>
      <c r="J3" s="165"/>
      <c r="K3" s="165"/>
    </row>
    <row r="4" spans="1:11">
      <c r="A4" s="164"/>
      <c r="B4" s="165"/>
      <c r="C4" s="165"/>
      <c r="D4" s="11" t="s">
        <v>4</v>
      </c>
      <c r="E4" s="168" t="s">
        <v>65</v>
      </c>
      <c r="F4" s="165"/>
      <c r="G4" s="165"/>
      <c r="H4" s="169"/>
      <c r="I4" s="165"/>
      <c r="J4" s="165"/>
      <c r="K4" s="165"/>
    </row>
    <row r="5" spans="1:11">
      <c r="A5" s="164"/>
      <c r="B5" s="165"/>
      <c r="C5" s="165"/>
      <c r="D5" s="11" t="s">
        <v>18</v>
      </c>
      <c r="E5" s="170">
        <v>30707328890</v>
      </c>
      <c r="F5" s="165"/>
      <c r="G5" s="165"/>
      <c r="H5" s="169"/>
      <c r="I5" s="165"/>
      <c r="J5" s="165"/>
      <c r="K5" s="165"/>
    </row>
    <row r="6" spans="1:11">
      <c r="A6" s="164"/>
      <c r="B6" s="165"/>
      <c r="C6" s="165"/>
      <c r="D6" s="11" t="s">
        <v>9</v>
      </c>
      <c r="E6" s="165"/>
      <c r="F6" s="165"/>
      <c r="G6" s="165" t="s">
        <v>111</v>
      </c>
      <c r="H6" s="169"/>
      <c r="I6" s="165"/>
      <c r="J6" s="165"/>
      <c r="K6" s="165"/>
    </row>
    <row r="7" spans="1:11">
      <c r="A7" s="164"/>
      <c r="B7" s="165"/>
      <c r="C7" s="165"/>
      <c r="D7" s="165"/>
      <c r="E7" s="165"/>
      <c r="F7" s="165"/>
      <c r="G7" s="165"/>
      <c r="H7" s="169"/>
      <c r="I7" s="165"/>
      <c r="J7" s="165"/>
      <c r="K7" s="165"/>
    </row>
    <row r="8" spans="1:11" s="5" customFormat="1" ht="18.75">
      <c r="A8" s="15" t="s">
        <v>5</v>
      </c>
      <c r="B8" s="16"/>
      <c r="C8" s="16"/>
      <c r="D8" s="16"/>
      <c r="E8" s="16" t="s">
        <v>66</v>
      </c>
      <c r="F8" s="75" t="s">
        <v>149</v>
      </c>
      <c r="G8" s="16" t="s">
        <v>148</v>
      </c>
      <c r="H8" s="17"/>
    </row>
    <row r="9" spans="1:11">
      <c r="A9" s="171"/>
      <c r="B9" s="172"/>
      <c r="C9" s="172"/>
      <c r="D9" s="172"/>
      <c r="E9" s="172"/>
      <c r="F9" s="172"/>
      <c r="G9" s="172"/>
      <c r="H9" s="173"/>
      <c r="I9" s="165"/>
      <c r="J9" s="165"/>
      <c r="K9" s="165"/>
    </row>
    <row r="10" spans="1:11">
      <c r="A10" s="12" t="s">
        <v>14</v>
      </c>
      <c r="B10" s="165"/>
      <c r="C10" s="165"/>
      <c r="D10" s="165"/>
      <c r="E10" s="11" t="s">
        <v>13</v>
      </c>
      <c r="F10" s="165"/>
      <c r="G10" s="165"/>
      <c r="H10" s="169"/>
      <c r="I10" s="165"/>
      <c r="J10" s="165"/>
      <c r="K10" s="165"/>
    </row>
    <row r="11" spans="1:11" ht="14.25" customHeight="1">
      <c r="A11" s="12"/>
      <c r="B11" s="165"/>
      <c r="C11" s="165"/>
      <c r="D11" s="165"/>
      <c r="E11" s="11"/>
      <c r="F11" s="165"/>
      <c r="G11" s="165"/>
      <c r="H11" s="169"/>
      <c r="I11" s="165"/>
      <c r="J11" s="165"/>
      <c r="K11" s="165"/>
    </row>
    <row r="12" spans="1:11" ht="67.5" hidden="1" customHeight="1">
      <c r="A12" s="145"/>
      <c r="B12" s="146"/>
      <c r="C12" s="146"/>
      <c r="D12" s="146"/>
      <c r="E12" s="146"/>
      <c r="F12" s="146"/>
      <c r="G12" s="146"/>
      <c r="H12" s="147"/>
      <c r="I12" s="165"/>
      <c r="J12" s="165"/>
      <c r="K12" s="165"/>
    </row>
    <row r="13" spans="1:11" ht="13.5" customHeight="1">
      <c r="A13" s="174"/>
      <c r="B13" s="175"/>
      <c r="C13" s="175"/>
      <c r="D13" s="175"/>
      <c r="E13" s="175"/>
      <c r="F13" s="175"/>
      <c r="G13" s="175"/>
      <c r="H13" s="176"/>
      <c r="I13" s="165"/>
      <c r="J13" s="165"/>
      <c r="K13" s="165"/>
    </row>
    <row r="14" spans="1:11" ht="15.75">
      <c r="A14" s="177" t="s">
        <v>160</v>
      </c>
      <c r="B14" s="177"/>
      <c r="C14" s="177"/>
      <c r="D14" s="177"/>
      <c r="E14" s="177"/>
      <c r="F14" s="177"/>
      <c r="G14" s="177"/>
      <c r="H14" s="177"/>
      <c r="I14" s="165"/>
      <c r="J14" s="165"/>
      <c r="K14" s="165"/>
    </row>
    <row r="15" spans="1:11">
      <c r="A15" s="178" t="s">
        <v>133</v>
      </c>
      <c r="B15" s="179"/>
      <c r="C15" s="179"/>
      <c r="D15" s="179"/>
      <c r="E15" s="179"/>
      <c r="F15" s="179"/>
      <c r="G15" s="179"/>
      <c r="H15" s="110">
        <v>433458.65</v>
      </c>
      <c r="I15" s="165"/>
      <c r="J15" s="165"/>
      <c r="K15" s="165"/>
    </row>
    <row r="16" spans="1:11">
      <c r="A16" s="178" t="s">
        <v>84</v>
      </c>
      <c r="B16" s="179"/>
      <c r="C16" s="179"/>
      <c r="D16" s="179"/>
      <c r="E16" s="179"/>
      <c r="F16" s="179"/>
      <c r="G16" s="179"/>
      <c r="H16" s="110">
        <v>-68269.649999999994</v>
      </c>
      <c r="I16" s="180"/>
      <c r="J16" s="165"/>
      <c r="K16" s="165"/>
    </row>
    <row r="17" spans="1:11">
      <c r="A17" s="178" t="s">
        <v>114</v>
      </c>
      <c r="B17" s="179"/>
      <c r="C17" s="179"/>
      <c r="D17" s="179"/>
      <c r="E17" s="179"/>
      <c r="F17" s="179"/>
      <c r="G17" s="179"/>
      <c r="H17" s="110">
        <v>0</v>
      </c>
      <c r="I17" s="180"/>
      <c r="J17" s="165"/>
      <c r="K17" s="165"/>
    </row>
    <row r="18" spans="1:11">
      <c r="A18" s="178" t="s">
        <v>73</v>
      </c>
      <c r="B18" s="179"/>
      <c r="C18" s="179"/>
      <c r="D18" s="179"/>
      <c r="E18" s="179"/>
      <c r="F18" s="179"/>
      <c r="G18" s="179"/>
      <c r="H18" s="181">
        <f>SUM(H15:H17)</f>
        <v>365189</v>
      </c>
      <c r="I18" s="180"/>
      <c r="J18" s="165"/>
      <c r="K18" s="165"/>
    </row>
    <row r="19" spans="1:11" hidden="1">
      <c r="A19" s="182" t="s">
        <v>136</v>
      </c>
      <c r="B19" s="182"/>
      <c r="C19" s="182"/>
      <c r="D19" s="182"/>
      <c r="E19" s="182"/>
      <c r="F19" s="182"/>
      <c r="G19" s="182"/>
      <c r="H19" s="182"/>
      <c r="I19" s="165"/>
      <c r="J19" s="165"/>
      <c r="K19" s="165"/>
    </row>
    <row r="20" spans="1:11" hidden="1">
      <c r="A20" s="178" t="s">
        <v>144</v>
      </c>
      <c r="B20" s="179"/>
      <c r="C20" s="179"/>
      <c r="D20" s="179"/>
      <c r="E20" s="179"/>
      <c r="F20" s="179"/>
      <c r="G20" s="179"/>
      <c r="H20" s="110">
        <v>0</v>
      </c>
      <c r="I20" s="165"/>
      <c r="J20" s="165"/>
      <c r="K20" s="165"/>
    </row>
    <row r="21" spans="1:11" hidden="1">
      <c r="A21" s="178" t="s">
        <v>145</v>
      </c>
      <c r="B21" s="179"/>
      <c r="C21" s="179"/>
      <c r="D21" s="179"/>
      <c r="E21" s="179"/>
      <c r="F21" s="179"/>
      <c r="G21" s="179"/>
      <c r="H21" s="110">
        <v>0</v>
      </c>
      <c r="I21" s="165"/>
      <c r="J21" s="165"/>
      <c r="K21" s="165"/>
    </row>
    <row r="22" spans="1:11" hidden="1">
      <c r="A22" s="178" t="s">
        <v>73</v>
      </c>
      <c r="B22" s="179"/>
      <c r="C22" s="179"/>
      <c r="D22" s="179"/>
      <c r="E22" s="179"/>
      <c r="F22" s="179"/>
      <c r="G22" s="179"/>
      <c r="H22" s="181">
        <f>SUM(H20:H21)</f>
        <v>0</v>
      </c>
      <c r="I22" s="165"/>
      <c r="J22" s="165"/>
      <c r="K22" s="165"/>
    </row>
    <row r="23" spans="1:11">
      <c r="A23" s="183" t="s">
        <v>124</v>
      </c>
      <c r="B23" s="183"/>
      <c r="C23" s="183"/>
      <c r="D23" s="183"/>
      <c r="E23" s="183"/>
      <c r="F23" s="183"/>
      <c r="G23" s="183"/>
      <c r="H23" s="183"/>
      <c r="I23" s="165"/>
      <c r="J23" s="165"/>
      <c r="K23" s="165"/>
    </row>
    <row r="24" spans="1:11">
      <c r="A24" s="179" t="s">
        <v>131</v>
      </c>
      <c r="B24" s="179"/>
      <c r="C24" s="179"/>
      <c r="D24" s="179"/>
      <c r="E24" s="179"/>
      <c r="F24" s="179"/>
      <c r="G24" s="179"/>
      <c r="H24" s="110">
        <f>(17000+32000)/2</f>
        <v>24500</v>
      </c>
      <c r="I24" s="165"/>
      <c r="J24" s="165"/>
      <c r="K24" s="165"/>
    </row>
    <row r="25" spans="1:11">
      <c r="A25" s="179"/>
      <c r="B25" s="179"/>
      <c r="C25" s="179"/>
      <c r="D25" s="179"/>
      <c r="E25" s="179"/>
      <c r="F25" s="179"/>
      <c r="G25" s="179"/>
      <c r="H25" s="110"/>
      <c r="I25" s="165"/>
      <c r="J25" s="165"/>
      <c r="K25" s="165"/>
    </row>
    <row r="26" spans="1:11">
      <c r="A26" s="179" t="s">
        <v>73</v>
      </c>
      <c r="B26" s="179"/>
      <c r="C26" s="179"/>
      <c r="D26" s="179"/>
      <c r="E26" s="179"/>
      <c r="F26" s="179"/>
      <c r="G26" s="179"/>
      <c r="H26" s="181">
        <f>SUM(H24:H25)</f>
        <v>24500</v>
      </c>
      <c r="I26" s="165"/>
      <c r="J26" s="165"/>
      <c r="K26" s="165"/>
    </row>
    <row r="27" spans="1:11">
      <c r="A27" s="184" t="s">
        <v>85</v>
      </c>
      <c r="B27" s="184"/>
      <c r="C27" s="184"/>
      <c r="D27" s="184"/>
      <c r="E27" s="184"/>
      <c r="F27" s="184"/>
      <c r="G27" s="184"/>
      <c r="H27" s="184"/>
      <c r="I27" s="165"/>
      <c r="J27" s="165"/>
      <c r="K27" s="165"/>
    </row>
    <row r="28" spans="1:11">
      <c r="A28" s="178"/>
      <c r="B28" s="179"/>
      <c r="C28" s="179"/>
      <c r="D28" s="179"/>
      <c r="E28" s="179"/>
      <c r="F28" s="179"/>
      <c r="G28" s="179"/>
      <c r="H28" s="110"/>
      <c r="I28" s="165"/>
      <c r="J28" s="165"/>
      <c r="K28" s="165"/>
    </row>
    <row r="29" spans="1:11">
      <c r="A29" s="178" t="s">
        <v>159</v>
      </c>
      <c r="B29" s="185"/>
      <c r="C29" s="179"/>
      <c r="D29" s="179"/>
      <c r="E29" s="179"/>
      <c r="F29" s="179"/>
      <c r="G29" s="179"/>
      <c r="H29" s="110">
        <f>18001.98+2000.22+31929.89</f>
        <v>51932.09</v>
      </c>
      <c r="I29" s="165"/>
      <c r="J29" s="165"/>
      <c r="K29" s="165"/>
    </row>
    <row r="30" spans="1:11">
      <c r="A30" s="179" t="s">
        <v>132</v>
      </c>
      <c r="B30" s="179"/>
      <c r="C30" s="179"/>
      <c r="D30" s="179"/>
      <c r="E30" s="179"/>
      <c r="F30" s="179"/>
      <c r="G30" s="179"/>
      <c r="H30" s="110">
        <v>0</v>
      </c>
      <c r="I30" s="165"/>
      <c r="J30" s="165"/>
      <c r="K30" s="165"/>
    </row>
    <row r="31" spans="1:11">
      <c r="A31" s="179" t="s">
        <v>72</v>
      </c>
      <c r="B31" s="179"/>
      <c r="C31" s="179"/>
      <c r="D31" s="179"/>
      <c r="E31" s="179"/>
      <c r="F31" s="179"/>
      <c r="G31" s="179"/>
      <c r="H31" s="181">
        <f>SUM(H28:H30)</f>
        <v>51932.09</v>
      </c>
      <c r="I31" s="165"/>
      <c r="J31" s="165"/>
      <c r="K31" s="165"/>
    </row>
    <row r="32" spans="1:11">
      <c r="A32" s="184" t="s">
        <v>125</v>
      </c>
      <c r="B32" s="184"/>
      <c r="C32" s="184"/>
      <c r="D32" s="184"/>
      <c r="E32" s="184"/>
      <c r="F32" s="184"/>
      <c r="G32" s="184"/>
      <c r="H32" s="184"/>
      <c r="I32" s="165"/>
      <c r="J32" s="165"/>
      <c r="K32" s="165"/>
    </row>
    <row r="33" spans="1:11" ht="14.25" customHeight="1">
      <c r="A33" s="179" t="s">
        <v>134</v>
      </c>
      <c r="B33" s="179"/>
      <c r="C33" s="179"/>
      <c r="D33" s="179"/>
      <c r="E33" s="179"/>
      <c r="F33" s="179"/>
      <c r="G33" s="179"/>
      <c r="H33" s="110">
        <v>283260.5</v>
      </c>
      <c r="I33" s="165"/>
      <c r="J33" s="165"/>
      <c r="K33" s="165"/>
    </row>
    <row r="34" spans="1:11">
      <c r="A34" s="186" t="s">
        <v>97</v>
      </c>
      <c r="B34" s="179"/>
      <c r="C34" s="179"/>
      <c r="D34" s="179"/>
      <c r="E34" s="179"/>
      <c r="F34" s="179"/>
      <c r="G34" s="179"/>
      <c r="H34" s="110">
        <v>81399.570000000007</v>
      </c>
      <c r="I34" s="165"/>
      <c r="J34" s="165"/>
      <c r="K34" s="165"/>
    </row>
    <row r="35" spans="1:11">
      <c r="A35" s="179" t="s">
        <v>73</v>
      </c>
      <c r="B35" s="179"/>
      <c r="C35" s="179"/>
      <c r="D35" s="179"/>
      <c r="E35" s="179"/>
      <c r="F35" s="179"/>
      <c r="G35" s="179"/>
      <c r="H35" s="187">
        <f>SUM(H33:H34)</f>
        <v>364660.07</v>
      </c>
      <c r="I35" s="165"/>
      <c r="J35" s="165"/>
      <c r="K35" s="165"/>
    </row>
    <row r="36" spans="1:11">
      <c r="A36" s="177" t="s">
        <v>126</v>
      </c>
      <c r="B36" s="177"/>
      <c r="C36" s="177"/>
      <c r="D36" s="177"/>
      <c r="E36" s="177"/>
      <c r="F36" s="177"/>
      <c r="G36" s="177"/>
      <c r="H36" s="177"/>
      <c r="I36" s="165"/>
      <c r="J36" s="165"/>
      <c r="K36" s="165"/>
    </row>
    <row r="37" spans="1:11">
      <c r="A37" s="188" t="s">
        <v>68</v>
      </c>
      <c r="B37" s="179"/>
      <c r="C37" s="179"/>
      <c r="D37" s="179"/>
      <c r="E37" s="179"/>
      <c r="F37" s="179"/>
      <c r="G37" s="179"/>
      <c r="H37" s="110">
        <v>102500</v>
      </c>
      <c r="I37" s="165"/>
      <c r="J37" s="165"/>
      <c r="K37" s="165"/>
    </row>
    <row r="38" spans="1:11">
      <c r="A38" s="179" t="s">
        <v>69</v>
      </c>
      <c r="B38" s="179"/>
      <c r="C38" s="179"/>
      <c r="D38" s="179"/>
      <c r="E38" s="179"/>
      <c r="F38" s="179"/>
      <c r="G38" s="179"/>
      <c r="H38" s="110">
        <v>35247.839999999997</v>
      </c>
      <c r="I38" s="165"/>
      <c r="J38" s="165"/>
      <c r="K38" s="165"/>
    </row>
    <row r="39" spans="1:11">
      <c r="A39" s="189" t="s">
        <v>152</v>
      </c>
      <c r="B39" s="190"/>
      <c r="C39" s="190"/>
      <c r="D39" s="190"/>
      <c r="E39" s="190"/>
      <c r="F39" s="190"/>
      <c r="G39" s="191"/>
      <c r="H39" s="110">
        <v>85000</v>
      </c>
      <c r="I39" s="165"/>
      <c r="J39" s="165"/>
      <c r="K39" s="165"/>
    </row>
    <row r="40" spans="1:11">
      <c r="A40" s="189" t="s">
        <v>155</v>
      </c>
      <c r="B40" s="190"/>
      <c r="C40" s="190"/>
      <c r="D40" s="190"/>
      <c r="E40" s="190"/>
      <c r="F40" s="190"/>
      <c r="G40" s="191"/>
      <c r="H40" s="110">
        <v>250000</v>
      </c>
      <c r="I40" s="165"/>
      <c r="J40" s="165"/>
      <c r="K40" s="165"/>
    </row>
    <row r="41" spans="1:11">
      <c r="A41" s="189" t="s">
        <v>153</v>
      </c>
      <c r="B41" s="190"/>
      <c r="C41" s="190"/>
      <c r="D41" s="190"/>
      <c r="E41" s="190"/>
      <c r="F41" s="190"/>
      <c r="G41" s="191"/>
      <c r="H41" s="110">
        <v>207000</v>
      </c>
      <c r="I41" s="165"/>
      <c r="J41" s="165"/>
      <c r="K41" s="165"/>
    </row>
    <row r="42" spans="1:11">
      <c r="A42" s="189" t="s">
        <v>157</v>
      </c>
      <c r="B42" s="190"/>
      <c r="C42" s="190"/>
      <c r="D42" s="190"/>
      <c r="E42" s="190"/>
      <c r="F42" s="190"/>
      <c r="G42" s="191"/>
      <c r="H42" s="110">
        <v>355999</v>
      </c>
      <c r="I42" s="165"/>
      <c r="J42" s="165"/>
      <c r="K42" s="165"/>
    </row>
    <row r="43" spans="1:11">
      <c r="A43" s="192" t="s">
        <v>158</v>
      </c>
      <c r="B43" s="190"/>
      <c r="C43" s="190"/>
      <c r="D43" s="190"/>
      <c r="E43" s="190"/>
      <c r="F43" s="190"/>
      <c r="G43" s="191"/>
      <c r="H43" s="110">
        <f>110000+12700</f>
        <v>122700</v>
      </c>
      <c r="I43" s="165"/>
      <c r="J43" s="165"/>
      <c r="K43" s="165"/>
    </row>
    <row r="44" spans="1:11">
      <c r="A44" s="179" t="s">
        <v>150</v>
      </c>
      <c r="B44" s="179"/>
      <c r="C44" s="179"/>
      <c r="D44" s="179"/>
      <c r="E44" s="179"/>
      <c r="F44" s="179"/>
      <c r="G44" s="179"/>
      <c r="H44" s="110">
        <v>75000</v>
      </c>
      <c r="I44" s="165"/>
      <c r="J44" s="165"/>
      <c r="K44" s="165"/>
    </row>
    <row r="45" spans="1:11">
      <c r="A45" s="179" t="s">
        <v>154</v>
      </c>
      <c r="B45" s="179"/>
      <c r="C45" s="179"/>
      <c r="D45" s="179"/>
      <c r="E45" s="179"/>
      <c r="F45" s="179"/>
      <c r="G45" s="179"/>
      <c r="H45" s="110">
        <v>413700</v>
      </c>
      <c r="I45" s="165"/>
      <c r="J45" s="165"/>
      <c r="K45" s="165"/>
    </row>
    <row r="46" spans="1:11">
      <c r="A46" s="179" t="s">
        <v>73</v>
      </c>
      <c r="B46" s="179"/>
      <c r="C46" s="179"/>
      <c r="D46" s="179"/>
      <c r="E46" s="179"/>
      <c r="F46" s="179"/>
      <c r="G46" s="179"/>
      <c r="H46" s="181">
        <f>SUM(H37:H45)</f>
        <v>1647146.8399999999</v>
      </c>
      <c r="I46" s="165"/>
      <c r="J46" s="165"/>
      <c r="K46" s="165"/>
    </row>
    <row r="47" spans="1:11">
      <c r="A47" s="177" t="s">
        <v>127</v>
      </c>
      <c r="B47" s="177"/>
      <c r="C47" s="177"/>
      <c r="D47" s="177"/>
      <c r="E47" s="177"/>
      <c r="F47" s="177"/>
      <c r="G47" s="177"/>
      <c r="H47" s="177"/>
      <c r="I47" s="165"/>
      <c r="J47" s="165"/>
      <c r="K47" s="165"/>
    </row>
    <row r="48" spans="1:11">
      <c r="A48" s="188" t="s">
        <v>70</v>
      </c>
      <c r="B48" s="188"/>
      <c r="C48" s="188"/>
      <c r="D48" s="188"/>
      <c r="E48" s="188"/>
      <c r="F48" s="188"/>
      <c r="G48" s="188"/>
      <c r="H48" s="110">
        <v>209000</v>
      </c>
      <c r="I48" s="165"/>
      <c r="J48" s="165" t="s">
        <v>147</v>
      </c>
      <c r="K48" s="165"/>
    </row>
    <row r="49" spans="1:11">
      <c r="A49" s="188" t="s">
        <v>113</v>
      </c>
      <c r="B49" s="188"/>
      <c r="C49" s="188"/>
      <c r="D49" s="188"/>
      <c r="E49" s="188"/>
      <c r="F49" s="188"/>
      <c r="G49" s="188"/>
      <c r="H49" s="110">
        <v>50000</v>
      </c>
      <c r="I49" s="165"/>
      <c r="J49" s="165"/>
      <c r="K49" s="165"/>
    </row>
    <row r="50" spans="1:11">
      <c r="A50" s="179" t="s">
        <v>72</v>
      </c>
      <c r="B50" s="179"/>
      <c r="C50" s="179"/>
      <c r="D50" s="179"/>
      <c r="E50" s="179"/>
      <c r="F50" s="179"/>
      <c r="G50" s="179"/>
      <c r="H50" s="187">
        <f>SUM(H48:H49)</f>
        <v>259000</v>
      </c>
      <c r="I50" s="165"/>
      <c r="J50" s="165"/>
      <c r="K50" s="180"/>
    </row>
    <row r="51" spans="1:11" s="6" customFormat="1">
      <c r="A51" s="193" t="s">
        <v>128</v>
      </c>
      <c r="B51" s="194"/>
      <c r="C51" s="194"/>
      <c r="D51" s="194"/>
      <c r="E51" s="194"/>
      <c r="F51" s="194"/>
      <c r="G51" s="194"/>
      <c r="H51" s="195"/>
      <c r="I51" s="196"/>
      <c r="J51" s="196"/>
      <c r="K51" s="196"/>
    </row>
    <row r="52" spans="1:11" s="6" customFormat="1">
      <c r="A52" s="188" t="s">
        <v>115</v>
      </c>
      <c r="B52" s="188"/>
      <c r="C52" s="188"/>
      <c r="D52" s="188"/>
      <c r="E52" s="188"/>
      <c r="F52" s="188"/>
      <c r="G52" s="188"/>
      <c r="H52" s="110">
        <v>28834</v>
      </c>
      <c r="I52" s="197"/>
      <c r="J52" s="196"/>
      <c r="K52" s="196"/>
    </row>
    <row r="53" spans="1:11" s="6" customFormat="1">
      <c r="A53" s="188" t="s">
        <v>73</v>
      </c>
      <c r="B53" s="188"/>
      <c r="C53" s="188"/>
      <c r="D53" s="188"/>
      <c r="E53" s="188"/>
      <c r="F53" s="188"/>
      <c r="G53" s="188"/>
      <c r="H53" s="181">
        <f>SUM(H52)</f>
        <v>28834</v>
      </c>
      <c r="I53" s="196"/>
      <c r="J53" s="196"/>
      <c r="K53" s="196"/>
    </row>
    <row r="54" spans="1:11" s="6" customFormat="1">
      <c r="A54" s="177" t="s">
        <v>129</v>
      </c>
      <c r="B54" s="177"/>
      <c r="C54" s="177"/>
      <c r="D54" s="177"/>
      <c r="E54" s="177"/>
      <c r="F54" s="177"/>
      <c r="G54" s="177"/>
      <c r="H54" s="177"/>
      <c r="I54" s="196"/>
      <c r="J54" s="196"/>
      <c r="K54" s="196"/>
    </row>
    <row r="55" spans="1:11" s="6" customFormat="1">
      <c r="A55" s="188" t="s">
        <v>156</v>
      </c>
      <c r="B55" s="188"/>
      <c r="C55" s="188"/>
      <c r="D55" s="188"/>
      <c r="E55" s="188"/>
      <c r="F55" s="188"/>
      <c r="G55" s="188"/>
      <c r="H55" s="110">
        <v>110000</v>
      </c>
      <c r="I55" s="196"/>
      <c r="J55" s="196"/>
      <c r="K55" s="196"/>
    </row>
    <row r="56" spans="1:11" s="6" customFormat="1" ht="15" customHeight="1">
      <c r="A56" s="188" t="s">
        <v>74</v>
      </c>
      <c r="B56" s="188"/>
      <c r="C56" s="188"/>
      <c r="D56" s="188"/>
      <c r="E56" s="188"/>
      <c r="F56" s="188"/>
      <c r="G56" s="188"/>
      <c r="H56" s="181">
        <f>SUM(H55:H55)</f>
        <v>110000</v>
      </c>
      <c r="I56" s="197"/>
      <c r="J56" s="196"/>
      <c r="K56" s="196"/>
    </row>
    <row r="57" spans="1:11" s="6" customFormat="1" ht="18" customHeight="1">
      <c r="A57" s="193"/>
      <c r="B57" s="194"/>
      <c r="C57" s="194"/>
      <c r="D57" s="194"/>
      <c r="E57" s="194"/>
      <c r="F57" s="194"/>
      <c r="G57" s="194"/>
      <c r="H57" s="195"/>
      <c r="I57" s="196"/>
      <c r="J57" s="196"/>
      <c r="K57" s="196"/>
    </row>
    <row r="58" spans="1:11" s="6" customFormat="1" ht="23.25" hidden="1" customHeight="1">
      <c r="A58" s="189"/>
      <c r="B58" s="190"/>
      <c r="C58" s="190"/>
      <c r="D58" s="190"/>
      <c r="E58" s="190"/>
      <c r="F58" s="190"/>
      <c r="G58" s="190"/>
      <c r="H58" s="198">
        <v>0</v>
      </c>
      <c r="I58" s="196"/>
      <c r="J58" s="196"/>
      <c r="K58" s="196"/>
    </row>
    <row r="59" spans="1:11" s="6" customFormat="1" ht="20.25" hidden="1" customHeight="1">
      <c r="A59" s="199"/>
      <c r="B59" s="200"/>
      <c r="C59" s="200"/>
      <c r="D59" s="200"/>
      <c r="E59" s="200"/>
      <c r="F59" s="200"/>
      <c r="G59" s="200"/>
      <c r="H59" s="201">
        <v>0</v>
      </c>
      <c r="I59" s="196"/>
      <c r="J59" s="196"/>
      <c r="K59" s="196"/>
    </row>
    <row r="60" spans="1:11" s="6" customFormat="1" ht="18" hidden="1" customHeight="1">
      <c r="A60" s="192"/>
      <c r="B60" s="202"/>
      <c r="C60" s="202"/>
      <c r="D60" s="202"/>
      <c r="E60" s="202"/>
      <c r="F60" s="202"/>
      <c r="G60" s="202"/>
      <c r="H60" s="198">
        <f>H58+H59</f>
        <v>0</v>
      </c>
      <c r="I60" s="196"/>
      <c r="J60" s="196"/>
      <c r="K60" s="196"/>
    </row>
    <row r="61" spans="1:11" s="6" customFormat="1" ht="18" hidden="1" customHeight="1">
      <c r="A61" s="203" t="s">
        <v>79</v>
      </c>
      <c r="B61" s="204"/>
      <c r="C61" s="204"/>
      <c r="D61" s="204"/>
      <c r="E61" s="204"/>
      <c r="F61" s="204"/>
      <c r="G61" s="204"/>
      <c r="H61" s="205">
        <f>H56</f>
        <v>110000</v>
      </c>
      <c r="I61" s="196"/>
      <c r="J61" s="196"/>
      <c r="K61" s="196"/>
    </row>
    <row r="62" spans="1:11" s="6" customFormat="1" ht="18" customHeight="1">
      <c r="A62" s="206"/>
      <c r="B62" s="206"/>
      <c r="C62" s="206"/>
      <c r="D62" s="206"/>
      <c r="E62" s="206"/>
      <c r="F62" s="206"/>
      <c r="G62" s="206"/>
      <c r="H62" s="206"/>
      <c r="I62" s="196"/>
      <c r="J62" s="196"/>
      <c r="K62" s="196"/>
    </row>
    <row r="63" spans="1:11" s="6" customFormat="1" ht="86.25" hidden="1" customHeight="1">
      <c r="A63" s="207"/>
      <c r="B63" s="207"/>
      <c r="C63" s="207"/>
      <c r="D63" s="207"/>
      <c r="E63" s="207"/>
      <c r="F63" s="207"/>
      <c r="G63" s="207"/>
      <c r="H63" s="207"/>
      <c r="I63" s="196"/>
      <c r="J63" s="196"/>
      <c r="K63" s="196"/>
    </row>
    <row r="64" spans="1:11" s="6" customFormat="1" ht="18" customHeight="1">
      <c r="A64" s="208" t="s">
        <v>81</v>
      </c>
      <c r="B64" s="208"/>
      <c r="C64" s="208"/>
      <c r="D64" s="208"/>
      <c r="E64" s="208"/>
      <c r="F64" s="208"/>
      <c r="G64" s="208"/>
      <c r="H64" s="209"/>
      <c r="I64" s="196"/>
      <c r="J64" s="196"/>
      <c r="K64" s="196"/>
    </row>
    <row r="65" spans="1:11" s="6" customFormat="1" ht="18.75" customHeight="1">
      <c r="A65" s="210" t="s">
        <v>146</v>
      </c>
      <c r="B65" s="211"/>
      <c r="C65" s="211"/>
      <c r="D65" s="211"/>
      <c r="E65" s="211"/>
      <c r="F65" s="211"/>
      <c r="G65" s="212"/>
      <c r="H65" s="110">
        <f>67896.29+809224.86+120072.2</f>
        <v>997193.35</v>
      </c>
      <c r="I65" s="196"/>
      <c r="J65" s="196"/>
      <c r="K65" s="196"/>
    </row>
    <row r="66" spans="1:11" s="6" customFormat="1">
      <c r="A66" s="213" t="s">
        <v>73</v>
      </c>
      <c r="B66" s="188"/>
      <c r="C66" s="188"/>
      <c r="D66" s="188"/>
      <c r="E66" s="188"/>
      <c r="F66" s="188"/>
      <c r="G66" s="188"/>
      <c r="H66" s="181">
        <f>SUM(H65)</f>
        <v>997193.35</v>
      </c>
      <c r="I66" s="196"/>
      <c r="J66" s="196"/>
      <c r="K66" s="196"/>
    </row>
    <row r="67" spans="1:11" s="6" customFormat="1" ht="18" customHeight="1" thickBot="1">
      <c r="A67" s="196"/>
      <c r="B67" s="196"/>
      <c r="C67" s="196"/>
      <c r="D67" s="196"/>
      <c r="E67" s="196"/>
      <c r="F67" s="196"/>
      <c r="G67" s="196"/>
      <c r="H67" s="214"/>
      <c r="I67" s="196"/>
      <c r="J67" s="196"/>
      <c r="K67" s="196"/>
    </row>
    <row r="68" spans="1:11" s="6" customFormat="1" ht="18" customHeight="1" thickBot="1">
      <c r="A68" s="215" t="s">
        <v>80</v>
      </c>
      <c r="B68" s="216"/>
      <c r="C68" s="216"/>
      <c r="D68" s="216"/>
      <c r="E68" s="216"/>
      <c r="F68" s="216"/>
      <c r="G68" s="216"/>
      <c r="H68" s="217">
        <f>H66</f>
        <v>997193.35</v>
      </c>
      <c r="I68" s="196"/>
      <c r="J68" s="196"/>
      <c r="K68" s="196"/>
    </row>
    <row r="69" spans="1:11" s="6" customFormat="1" ht="18" customHeight="1" thickBot="1">
      <c r="A69" s="218" t="s">
        <v>86</v>
      </c>
      <c r="B69" s="219"/>
      <c r="C69" s="219"/>
      <c r="D69" s="219"/>
      <c r="E69" s="219"/>
      <c r="F69" s="219"/>
      <c r="G69" s="220"/>
      <c r="H69" s="217">
        <v>1500000</v>
      </c>
      <c r="I69" s="196"/>
      <c r="J69" s="196"/>
      <c r="K69" s="196"/>
    </row>
    <row r="70" spans="1:11" s="6" customFormat="1" ht="18" customHeight="1" thickBot="1">
      <c r="A70" s="218" t="s">
        <v>91</v>
      </c>
      <c r="B70" s="219"/>
      <c r="C70" s="219"/>
      <c r="D70" s="219"/>
      <c r="E70" s="219"/>
      <c r="F70" s="219"/>
      <c r="G70" s="220"/>
      <c r="H70" s="217"/>
      <c r="I70" s="196"/>
      <c r="J70" s="196"/>
      <c r="K70" s="196"/>
    </row>
    <row r="71" spans="1:11" ht="18.75">
      <c r="A71" s="215" t="s">
        <v>87</v>
      </c>
      <c r="B71" s="216"/>
      <c r="C71" s="216"/>
      <c r="D71" s="216"/>
      <c r="E71" s="216"/>
      <c r="F71" s="216"/>
      <c r="G71" s="216"/>
      <c r="H71" s="217">
        <f>H26+H35+H46+H50+H53+H31+H18+H22</f>
        <v>2741262</v>
      </c>
      <c r="I71" s="165"/>
      <c r="J71" s="221"/>
      <c r="K71" s="222"/>
    </row>
    <row r="72" spans="1:11" ht="18.75">
      <c r="A72" s="223" t="s">
        <v>118</v>
      </c>
      <c r="B72" s="224"/>
      <c r="C72" s="224"/>
      <c r="D72" s="224"/>
      <c r="E72" s="224"/>
      <c r="F72" s="224"/>
      <c r="G72" s="225"/>
      <c r="H72" s="226">
        <f>H69+H71</f>
        <v>4241262</v>
      </c>
      <c r="I72" s="111"/>
      <c r="J72" s="227"/>
      <c r="K72" s="227"/>
    </row>
    <row r="73" spans="1:11" ht="18.75">
      <c r="A73" s="223" t="s">
        <v>92</v>
      </c>
      <c r="B73" s="224"/>
      <c r="C73" s="224"/>
      <c r="D73" s="224"/>
      <c r="E73" s="224"/>
      <c r="F73" s="224"/>
      <c r="G73" s="225"/>
      <c r="H73" s="228">
        <f>H70+H68</f>
        <v>997193.35</v>
      </c>
      <c r="I73" s="165"/>
      <c r="J73" s="222"/>
      <c r="K73" s="165"/>
    </row>
    <row r="74" spans="1:11" ht="20.25" customHeight="1" thickBot="1">
      <c r="A74" s="229" t="s">
        <v>82</v>
      </c>
      <c r="B74" s="230"/>
      <c r="C74" s="230"/>
      <c r="D74" s="230"/>
      <c r="E74" s="230"/>
      <c r="F74" s="230"/>
      <c r="G74" s="230"/>
      <c r="H74" s="231">
        <f>H71+H68</f>
        <v>3738455.35</v>
      </c>
      <c r="I74" s="165"/>
      <c r="J74" s="180"/>
      <c r="K74" s="165"/>
    </row>
    <row r="75" spans="1:11" ht="18.75" hidden="1">
      <c r="A75" s="232" t="s">
        <v>17</v>
      </c>
      <c r="B75" s="233"/>
      <c r="C75" s="233"/>
      <c r="D75" s="233"/>
      <c r="E75" s="233"/>
      <c r="F75" s="233"/>
      <c r="G75" s="233"/>
      <c r="H75" s="234">
        <f>H60</f>
        <v>0</v>
      </c>
      <c r="I75" s="165"/>
      <c r="J75" s="180"/>
      <c r="K75" s="165"/>
    </row>
    <row r="76" spans="1:11" ht="18.75" hidden="1">
      <c r="A76" s="235"/>
      <c r="B76" s="235"/>
      <c r="C76" s="235"/>
      <c r="D76" s="235"/>
      <c r="E76" s="235"/>
      <c r="F76" s="235"/>
      <c r="G76" s="235"/>
      <c r="H76" s="236"/>
      <c r="I76" s="165"/>
      <c r="J76" s="180"/>
      <c r="K76" s="165"/>
    </row>
    <row r="77" spans="1:11" ht="18.75" hidden="1">
      <c r="A77" s="235"/>
      <c r="B77" s="235"/>
      <c r="C77" s="235"/>
      <c r="D77" s="235"/>
      <c r="E77" s="235"/>
      <c r="F77" s="235"/>
      <c r="G77" s="235"/>
      <c r="H77" s="236"/>
      <c r="I77" s="165"/>
      <c r="J77" s="180"/>
      <c r="K77" s="165"/>
    </row>
    <row r="78" spans="1:11" ht="18.75" hidden="1">
      <c r="A78" s="235"/>
      <c r="B78" s="235"/>
      <c r="C78" s="235"/>
      <c r="D78" s="235"/>
      <c r="E78" s="235"/>
      <c r="F78" s="235"/>
      <c r="G78" s="235"/>
      <c r="H78" s="236"/>
      <c r="I78" s="165"/>
      <c r="J78" s="180"/>
      <c r="K78" s="165"/>
    </row>
    <row r="79" spans="1:11" ht="14.25" customHeight="1">
      <c r="A79" s="179"/>
      <c r="B79" s="179"/>
      <c r="C79" s="179"/>
      <c r="D79" s="179"/>
      <c r="E79" s="179"/>
      <c r="F79" s="179"/>
      <c r="G79" s="179"/>
      <c r="H79" s="179"/>
      <c r="I79" s="165"/>
      <c r="J79" s="165"/>
      <c r="K79" s="165"/>
    </row>
    <row r="80" spans="1:11" ht="18.75">
      <c r="A80" s="237" t="s">
        <v>10</v>
      </c>
      <c r="B80" s="238"/>
      <c r="C80" s="238"/>
      <c r="D80" s="238"/>
      <c r="E80" s="238"/>
      <c r="F80" s="238"/>
      <c r="G80" s="238"/>
      <c r="H80" s="239"/>
      <c r="I80" s="165"/>
      <c r="J80" s="165"/>
      <c r="K80" s="165"/>
    </row>
    <row r="81" spans="1:11" ht="18.75">
      <c r="A81" s="240" t="s">
        <v>12</v>
      </c>
      <c r="B81" s="241"/>
      <c r="C81" s="241"/>
      <c r="D81" s="241"/>
      <c r="E81" s="241"/>
      <c r="F81" s="241"/>
      <c r="G81" s="241"/>
      <c r="H81" s="242">
        <v>5631401.1872961279</v>
      </c>
      <c r="I81" s="165"/>
      <c r="J81" s="165"/>
      <c r="K81" s="165"/>
    </row>
    <row r="82" spans="1:11">
      <c r="A82" s="189" t="s">
        <v>142</v>
      </c>
      <c r="B82" s="190"/>
      <c r="C82" s="190"/>
      <c r="D82" s="190"/>
      <c r="E82" s="190"/>
      <c r="F82" s="190"/>
      <c r="G82" s="190"/>
      <c r="H82" s="18">
        <f>Planilla!G32</f>
        <v>2157075.7076916099</v>
      </c>
      <c r="I82" s="165"/>
      <c r="J82" s="165"/>
      <c r="K82" s="165"/>
    </row>
    <row r="83" spans="1:11">
      <c r="A83" s="174" t="s">
        <v>151</v>
      </c>
      <c r="B83" s="175"/>
      <c r="C83" s="175"/>
      <c r="D83" s="175"/>
      <c r="E83" s="175"/>
      <c r="F83" s="175"/>
      <c r="G83" s="175"/>
      <c r="H83" s="14">
        <f>-(H74)</f>
        <v>-3738455.35</v>
      </c>
      <c r="I83" s="165"/>
      <c r="J83" s="165"/>
      <c r="K83" s="165"/>
    </row>
    <row r="84" spans="1:11">
      <c r="A84" s="174" t="s">
        <v>83</v>
      </c>
      <c r="B84" s="175"/>
      <c r="C84" s="175"/>
      <c r="D84" s="175"/>
      <c r="E84" s="175"/>
      <c r="F84" s="175"/>
      <c r="G84" s="175"/>
      <c r="H84" s="14">
        <f>-H61</f>
        <v>-110000</v>
      </c>
      <c r="I84" s="165"/>
      <c r="J84" s="165"/>
      <c r="K84" s="196"/>
    </row>
    <row r="85" spans="1:11">
      <c r="A85" s="174" t="s">
        <v>141</v>
      </c>
      <c r="B85" s="175"/>
      <c r="C85" s="175"/>
      <c r="D85" s="175"/>
      <c r="E85" s="175"/>
      <c r="F85" s="175"/>
      <c r="G85" s="175"/>
      <c r="H85" s="84">
        <f>217300-H86</f>
        <v>154086</v>
      </c>
      <c r="I85" s="165"/>
      <c r="J85" s="180"/>
      <c r="K85" s="165"/>
    </row>
    <row r="86" spans="1:11">
      <c r="A86" s="174" t="s">
        <v>71</v>
      </c>
      <c r="B86" s="175"/>
      <c r="C86" s="175"/>
      <c r="D86" s="175"/>
      <c r="E86" s="175"/>
      <c r="F86" s="175"/>
      <c r="G86" s="175"/>
      <c r="H86" s="84">
        <v>63214</v>
      </c>
      <c r="I86" s="222"/>
      <c r="J86" s="180"/>
      <c r="K86" s="165"/>
    </row>
    <row r="87" spans="1:11">
      <c r="A87" s="174" t="s">
        <v>116</v>
      </c>
      <c r="B87" s="243"/>
      <c r="C87" s="175"/>
      <c r="D87" s="175"/>
      <c r="E87" s="175"/>
      <c r="F87" s="175"/>
      <c r="G87" s="175"/>
      <c r="H87" s="84"/>
      <c r="I87" s="165"/>
      <c r="J87" s="165"/>
      <c r="K87" s="165"/>
    </row>
    <row r="88" spans="1:11" ht="18.75">
      <c r="A88" s="19" t="s">
        <v>11</v>
      </c>
      <c r="B88" s="20"/>
      <c r="C88" s="20"/>
      <c r="D88" s="20"/>
      <c r="E88" s="20"/>
      <c r="F88" s="20"/>
      <c r="G88" s="20"/>
      <c r="H88" s="70">
        <f>SUM(H81:H87)</f>
        <v>4157321.5449877377</v>
      </c>
      <c r="I88" s="165"/>
      <c r="J88" s="165"/>
      <c r="K88" s="165"/>
    </row>
    <row r="89" spans="1:11" ht="15.75" thickBot="1"/>
    <row r="90" spans="1:11" ht="16.5" thickBot="1">
      <c r="A90" s="148" t="s">
        <v>96</v>
      </c>
      <c r="B90" s="149"/>
      <c r="C90" s="149"/>
      <c r="D90" s="149"/>
      <c r="E90" s="149"/>
      <c r="F90" s="149"/>
      <c r="G90" s="149"/>
      <c r="H90" s="150"/>
    </row>
    <row r="91" spans="1:11" ht="15.75">
      <c r="A91" s="73" t="s">
        <v>12</v>
      </c>
      <c r="B91" s="73"/>
      <c r="C91" s="73"/>
      <c r="D91" s="73"/>
      <c r="E91" s="73"/>
      <c r="F91" s="73"/>
      <c r="G91" s="73"/>
      <c r="H91" s="74">
        <v>0</v>
      </c>
    </row>
    <row r="92" spans="1:11">
      <c r="A92" s="55" t="s">
        <v>117</v>
      </c>
      <c r="B92" s="77"/>
      <c r="C92" s="4"/>
      <c r="D92" s="55"/>
      <c r="E92" s="55"/>
      <c r="F92" s="55"/>
      <c r="G92" s="55"/>
      <c r="H92" s="110"/>
    </row>
    <row r="93" spans="1:11">
      <c r="A93" s="55"/>
      <c r="B93" s="83"/>
      <c r="C93" s="55"/>
      <c r="D93" s="55"/>
      <c r="E93" s="55"/>
      <c r="F93" s="55"/>
      <c r="G93" s="55"/>
      <c r="H93" s="18"/>
    </row>
    <row r="94" spans="1:11">
      <c r="A94" s="55"/>
      <c r="B94" s="55"/>
      <c r="C94" s="55"/>
      <c r="D94" s="55"/>
      <c r="E94" s="55"/>
      <c r="F94" s="55"/>
      <c r="G94" s="55"/>
      <c r="H94" s="18"/>
    </row>
    <row r="95" spans="1:11">
      <c r="A95" s="71" t="s">
        <v>11</v>
      </c>
      <c r="B95" s="71"/>
      <c r="C95" s="71"/>
      <c r="D95" s="71"/>
      <c r="E95" s="71"/>
      <c r="F95" s="71"/>
      <c r="G95" s="71"/>
      <c r="H95" s="72">
        <f>SUM(H91:H94)</f>
        <v>0</v>
      </c>
    </row>
    <row r="98" spans="1:8" hidden="1">
      <c r="A98" s="146"/>
      <c r="B98" s="146"/>
      <c r="C98" s="146"/>
      <c r="D98" s="146"/>
      <c r="E98" s="146"/>
      <c r="F98" s="146"/>
      <c r="G98" s="146"/>
      <c r="H98" s="146"/>
    </row>
    <row r="99" spans="1:8" hidden="1">
      <c r="A99" s="146"/>
      <c r="B99" s="146"/>
      <c r="C99" s="146"/>
      <c r="D99" s="146"/>
      <c r="E99" s="146"/>
      <c r="F99" s="146"/>
      <c r="G99" s="146"/>
      <c r="H99" s="146"/>
    </row>
    <row r="100" spans="1:8" hidden="1">
      <c r="A100" s="146"/>
      <c r="B100" s="146"/>
      <c r="C100" s="146"/>
      <c r="D100" s="146"/>
      <c r="E100" s="146"/>
      <c r="F100" s="146"/>
      <c r="G100" s="146"/>
      <c r="H100" s="146"/>
    </row>
    <row r="101" spans="1:8" hidden="1">
      <c r="A101" s="146"/>
      <c r="B101" s="146"/>
      <c r="C101" s="146"/>
      <c r="D101" s="146"/>
      <c r="E101" s="146"/>
      <c r="F101" s="146"/>
      <c r="G101" s="146"/>
      <c r="H101" s="146"/>
    </row>
  </sheetData>
  <mergeCells count="29">
    <mergeCell ref="A98:H101"/>
    <mergeCell ref="A90:H90"/>
    <mergeCell ref="A80:H80"/>
    <mergeCell ref="A71:G71"/>
    <mergeCell ref="A75:G75"/>
    <mergeCell ref="A74:G74"/>
    <mergeCell ref="A73:G73"/>
    <mergeCell ref="A72:G72"/>
    <mergeCell ref="D2:H2"/>
    <mergeCell ref="A27:H27"/>
    <mergeCell ref="E3:H3"/>
    <mergeCell ref="J72:K72"/>
    <mergeCell ref="A70:G70"/>
    <mergeCell ref="A23:H23"/>
    <mergeCell ref="A19:H19"/>
    <mergeCell ref="A12:H12"/>
    <mergeCell ref="A54:H54"/>
    <mergeCell ref="A57:H57"/>
    <mergeCell ref="A14:H14"/>
    <mergeCell ref="A32:H32"/>
    <mergeCell ref="A36:H36"/>
    <mergeCell ref="A47:H47"/>
    <mergeCell ref="A51:H51"/>
    <mergeCell ref="A69:G69"/>
    <mergeCell ref="A61:G61"/>
    <mergeCell ref="A68:G68"/>
    <mergeCell ref="A64:G64"/>
    <mergeCell ref="A62:H63"/>
    <mergeCell ref="A65:G65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topLeftCell="A7" zoomScaleNormal="100" workbookViewId="0">
      <selection activeCell="F16" sqref="F16"/>
    </sheetView>
  </sheetViews>
  <sheetFormatPr baseColWidth="10" defaultRowHeight="15"/>
  <cols>
    <col min="1" max="1" width="4.5703125" customWidth="1"/>
    <col min="2" max="2" width="9.5703125" customWidth="1"/>
    <col min="3" max="3" width="20.85546875" customWidth="1"/>
    <col min="4" max="4" width="7.85546875" customWidth="1"/>
    <col min="5" max="5" width="14" customWidth="1"/>
    <col min="6" max="6" width="15.28515625" style="2" customWidth="1"/>
    <col min="7" max="8" width="12.28515625" style="2" customWidth="1"/>
    <col min="9" max="9" width="12.5703125" style="2" customWidth="1"/>
    <col min="10" max="10" width="11" style="2" customWidth="1"/>
    <col min="11" max="11" width="13.28515625" style="2" customWidth="1"/>
    <col min="12" max="12" width="13.7109375" style="2" customWidth="1"/>
    <col min="13" max="13" width="14.5703125" customWidth="1"/>
    <col min="14" max="14" width="13.42578125" hidden="1" customWidth="1"/>
    <col min="15" max="15" width="15.140625" customWidth="1"/>
    <col min="16" max="16" width="12" bestFit="1" customWidth="1"/>
    <col min="17" max="17" width="14.5703125" bestFit="1" customWidth="1"/>
  </cols>
  <sheetData>
    <row r="1" spans="1:17" ht="26.25" customHeight="1">
      <c r="A1" s="88"/>
      <c r="B1" s="89"/>
      <c r="C1" s="89"/>
      <c r="D1" s="89"/>
      <c r="E1" s="90" t="s">
        <v>67</v>
      </c>
      <c r="F1" s="91" t="str">
        <f>RESUMEN!F8</f>
        <v>AGOSTO</v>
      </c>
      <c r="G1" s="92"/>
      <c r="H1" s="90" t="str">
        <f>RESUMEN!G8</f>
        <v>VTO: 17/9</v>
      </c>
      <c r="I1" s="89"/>
      <c r="J1" s="89"/>
      <c r="K1" s="89"/>
      <c r="L1" s="89"/>
      <c r="M1" s="89"/>
      <c r="N1" s="89"/>
      <c r="O1" s="93"/>
    </row>
    <row r="2" spans="1:17">
      <c r="A2" s="55"/>
      <c r="B2" s="55"/>
      <c r="C2" s="109">
        <v>1934410.7</v>
      </c>
      <c r="D2" s="55"/>
      <c r="E2" s="55"/>
      <c r="F2" s="100"/>
      <c r="G2" s="100"/>
      <c r="H2" s="100"/>
      <c r="I2" s="100"/>
      <c r="J2" s="100"/>
      <c r="K2" s="100"/>
      <c r="L2" s="100"/>
      <c r="M2" s="55"/>
      <c r="N2" s="55"/>
      <c r="O2" s="55"/>
    </row>
    <row r="3" spans="1:17">
      <c r="A3" s="101"/>
      <c r="B3" s="102"/>
      <c r="C3" s="87">
        <v>2741262</v>
      </c>
      <c r="D3" s="55"/>
      <c r="E3" s="55"/>
      <c r="F3" s="163">
        <v>997193.35</v>
      </c>
      <c r="G3" s="103"/>
      <c r="H3" s="103"/>
      <c r="I3" s="103"/>
      <c r="J3" s="103"/>
      <c r="K3" s="103"/>
      <c r="L3" s="55" t="s">
        <v>77</v>
      </c>
      <c r="M3" s="55"/>
      <c r="N3" s="55"/>
      <c r="O3" s="55"/>
    </row>
    <row r="4" spans="1:17" ht="18.75" customHeight="1">
      <c r="A4" s="104"/>
      <c r="B4" s="105" t="s">
        <v>138</v>
      </c>
      <c r="C4" s="55"/>
      <c r="D4" s="55"/>
      <c r="E4" s="105" t="s">
        <v>78</v>
      </c>
      <c r="F4" s="141">
        <f>278067+10000+9000-3000-520+225+12</f>
        <v>293784</v>
      </c>
      <c r="G4" s="103"/>
      <c r="H4" s="103"/>
      <c r="I4" s="103"/>
      <c r="J4" s="103"/>
      <c r="K4" s="103"/>
      <c r="L4" s="55" t="s">
        <v>76</v>
      </c>
      <c r="M4" s="55"/>
      <c r="N4" s="55"/>
      <c r="O4" s="55"/>
    </row>
    <row r="5" spans="1:17" ht="15.75" customHeight="1">
      <c r="A5" s="106"/>
      <c r="B5" s="152">
        <f>C2</f>
        <v>1934410.7</v>
      </c>
      <c r="C5" s="152"/>
      <c r="D5" s="18"/>
      <c r="E5" s="158">
        <v>110000</v>
      </c>
      <c r="F5" s="159"/>
      <c r="G5" s="100"/>
      <c r="H5" s="100"/>
      <c r="I5" s="100"/>
      <c r="J5" s="100"/>
      <c r="K5" s="100"/>
      <c r="L5" s="100"/>
      <c r="M5" s="55"/>
      <c r="N5" s="55"/>
      <c r="O5" s="55"/>
    </row>
    <row r="6" spans="1:17" ht="15.75" customHeight="1">
      <c r="A6" s="106"/>
      <c r="B6" s="154"/>
      <c r="C6" s="155"/>
      <c r="D6" s="18"/>
      <c r="E6" s="154" t="s">
        <v>143</v>
      </c>
      <c r="F6" s="155"/>
      <c r="G6" s="100"/>
      <c r="H6" s="100"/>
      <c r="I6" s="100"/>
      <c r="J6" s="100"/>
      <c r="K6" s="100"/>
      <c r="L6" s="100"/>
      <c r="M6" s="55"/>
      <c r="N6" s="55"/>
      <c r="O6" s="55"/>
    </row>
    <row r="7" spans="1:17" ht="18.75" customHeight="1">
      <c r="A7" s="106"/>
      <c r="B7" s="152"/>
      <c r="C7" s="152"/>
      <c r="D7" s="18"/>
      <c r="E7" s="156">
        <f>F3</f>
        <v>997193.35</v>
      </c>
      <c r="F7" s="157"/>
      <c r="G7" s="100"/>
      <c r="H7" s="100"/>
      <c r="I7" s="100"/>
      <c r="J7" s="100"/>
      <c r="K7" s="100"/>
      <c r="L7" s="100"/>
      <c r="M7" s="55"/>
      <c r="N7" s="55"/>
      <c r="O7" s="55"/>
    </row>
    <row r="8" spans="1:17" ht="53.25" customHeight="1" thickBot="1">
      <c r="A8" s="94" t="s">
        <v>0</v>
      </c>
      <c r="B8" s="95" t="s">
        <v>3</v>
      </c>
      <c r="C8" s="96" t="s">
        <v>1</v>
      </c>
      <c r="D8" s="97" t="s">
        <v>101</v>
      </c>
      <c r="E8" s="95" t="s">
        <v>2</v>
      </c>
      <c r="F8" s="98" t="s">
        <v>16</v>
      </c>
      <c r="G8" s="98" t="s">
        <v>140</v>
      </c>
      <c r="H8" s="98" t="s">
        <v>63</v>
      </c>
      <c r="I8" s="98" t="s">
        <v>130</v>
      </c>
      <c r="J8" s="98" t="s">
        <v>64</v>
      </c>
      <c r="K8" s="108" t="s">
        <v>122</v>
      </c>
      <c r="L8" s="95" t="s">
        <v>81</v>
      </c>
      <c r="M8" s="95" t="s">
        <v>7</v>
      </c>
      <c r="N8" s="95" t="s">
        <v>137</v>
      </c>
      <c r="O8" s="99" t="s">
        <v>8</v>
      </c>
    </row>
    <row r="9" spans="1:17" ht="15" customHeight="1">
      <c r="A9" s="130">
        <v>1</v>
      </c>
      <c r="B9" s="126" t="s">
        <v>40</v>
      </c>
      <c r="C9" s="127" t="s">
        <v>19</v>
      </c>
      <c r="D9" s="127" t="s">
        <v>100</v>
      </c>
      <c r="E9" s="128">
        <v>4.0500000000000001E-2</v>
      </c>
      <c r="F9" s="84">
        <v>285440.19193161</v>
      </c>
      <c r="G9" s="133">
        <f>F9</f>
        <v>285440.19193161</v>
      </c>
      <c r="H9" s="62">
        <f>IF(F9&gt;G9,F9-G9,0)</f>
        <v>0</v>
      </c>
      <c r="I9" s="62">
        <f>H9*3.7%</f>
        <v>0</v>
      </c>
      <c r="J9" s="62">
        <f>IF(G9&gt;F9,G9-F9,0)</f>
        <v>0</v>
      </c>
      <c r="K9" s="62">
        <f>E$5*E9</f>
        <v>4455</v>
      </c>
      <c r="L9" s="62">
        <f>E$7*E9</f>
        <v>40386.330674999997</v>
      </c>
      <c r="M9" s="129">
        <f>B$5*E9</f>
        <v>78343.633350000004</v>
      </c>
      <c r="N9" s="129">
        <f>B$7*E9</f>
        <v>0</v>
      </c>
      <c r="O9" s="139">
        <f>H9+I9-J9+K9+M9+N9+L9</f>
        <v>123184.96402499999</v>
      </c>
    </row>
    <row r="10" spans="1:17" ht="15" customHeight="1">
      <c r="A10" s="48">
        <v>2</v>
      </c>
      <c r="B10" s="35" t="s">
        <v>41</v>
      </c>
      <c r="C10" s="78" t="s">
        <v>20</v>
      </c>
      <c r="D10" s="78"/>
      <c r="E10" s="42">
        <v>6.4799999999999996E-2</v>
      </c>
      <c r="F10" s="14">
        <v>162318.86135999998</v>
      </c>
      <c r="G10" s="133">
        <f>F10</f>
        <v>162318.86135999998</v>
      </c>
      <c r="H10" s="21">
        <f t="shared" ref="H10:H31" si="0">IF(F10&gt;G10,F10-G10,0)</f>
        <v>0</v>
      </c>
      <c r="I10" s="21">
        <f>H10*3.7%</f>
        <v>0</v>
      </c>
      <c r="J10" s="21">
        <f t="shared" ref="J10:J31" si="1">IF(G10&gt;F10,G10-F10,0)</f>
        <v>0</v>
      </c>
      <c r="K10" s="62">
        <f t="shared" ref="K10:K31" si="2">E$5*E10</f>
        <v>7128</v>
      </c>
      <c r="L10" s="62">
        <f t="shared" ref="L10:L31" si="3">E$7*E10</f>
        <v>64618.129079999992</v>
      </c>
      <c r="M10" s="22">
        <f t="shared" ref="M10:M31" si="4">B$5*E10</f>
        <v>125349.81335999999</v>
      </c>
      <c r="N10" s="22">
        <f t="shared" ref="N10:N31" si="5">B$7*E10</f>
        <v>0</v>
      </c>
      <c r="O10" s="139">
        <f t="shared" ref="O10:O31" si="6">H10+I10-J10+K10+M10+N10+L10</f>
        <v>197095.94243999996</v>
      </c>
    </row>
    <row r="11" spans="1:17" ht="15" customHeight="1">
      <c r="A11" s="125">
        <v>3</v>
      </c>
      <c r="B11" s="126" t="s">
        <v>42</v>
      </c>
      <c r="C11" s="127" t="s">
        <v>21</v>
      </c>
      <c r="D11" s="127" t="s">
        <v>102</v>
      </c>
      <c r="E11" s="128">
        <v>4.82E-2</v>
      </c>
      <c r="F11" s="84">
        <v>120737.17774</v>
      </c>
      <c r="G11" s="133">
        <f>F11</f>
        <v>120737.17774</v>
      </c>
      <c r="H11" s="62">
        <f t="shared" si="0"/>
        <v>0</v>
      </c>
      <c r="I11" s="62">
        <f t="shared" ref="I11:I31" si="7">H11*3.7%</f>
        <v>0</v>
      </c>
      <c r="J11" s="62">
        <f t="shared" si="1"/>
        <v>0</v>
      </c>
      <c r="K11" s="62">
        <f t="shared" si="2"/>
        <v>5302</v>
      </c>
      <c r="L11" s="62">
        <f t="shared" si="3"/>
        <v>48064.719469999996</v>
      </c>
      <c r="M11" s="129">
        <f t="shared" si="4"/>
        <v>93238.595740000004</v>
      </c>
      <c r="N11" s="129">
        <f t="shared" si="5"/>
        <v>0</v>
      </c>
      <c r="O11" s="139">
        <f t="shared" si="6"/>
        <v>146605.31521</v>
      </c>
      <c r="P11" s="132"/>
    </row>
    <row r="12" spans="1:17" ht="15" customHeight="1">
      <c r="A12" s="112">
        <v>4</v>
      </c>
      <c r="B12" s="124" t="s">
        <v>43</v>
      </c>
      <c r="C12" s="122" t="s">
        <v>98</v>
      </c>
      <c r="D12" s="122" t="s">
        <v>103</v>
      </c>
      <c r="E12" s="123">
        <v>5.3499999999999999E-2</v>
      </c>
      <c r="F12" s="116">
        <v>6319161.1107881349</v>
      </c>
      <c r="G12" s="134"/>
      <c r="H12" s="117">
        <f t="shared" si="0"/>
        <v>6319161.1107881349</v>
      </c>
      <c r="I12" s="117">
        <f t="shared" si="7"/>
        <v>233808.96109916101</v>
      </c>
      <c r="J12" s="117">
        <f t="shared" si="1"/>
        <v>0</v>
      </c>
      <c r="K12" s="117">
        <f t="shared" si="2"/>
        <v>5885</v>
      </c>
      <c r="L12" s="117">
        <f t="shared" si="3"/>
        <v>53349.844225000001</v>
      </c>
      <c r="M12" s="118">
        <f t="shared" si="4"/>
        <v>103490.97245</v>
      </c>
      <c r="N12" s="118">
        <f t="shared" si="5"/>
        <v>0</v>
      </c>
      <c r="O12" s="140">
        <f t="shared" si="6"/>
        <v>6715695.8885622956</v>
      </c>
    </row>
    <row r="13" spans="1:17" ht="15" customHeight="1">
      <c r="A13" s="48">
        <v>5</v>
      </c>
      <c r="B13" s="35" t="s">
        <v>44</v>
      </c>
      <c r="C13" s="79" t="s">
        <v>23</v>
      </c>
      <c r="D13" s="78"/>
      <c r="E13" s="42">
        <v>3.85E-2</v>
      </c>
      <c r="F13" s="14">
        <v>96439.446949999998</v>
      </c>
      <c r="G13" s="133">
        <f>F13</f>
        <v>96439.446949999998</v>
      </c>
      <c r="H13" s="21">
        <f t="shared" si="0"/>
        <v>0</v>
      </c>
      <c r="I13" s="21">
        <f t="shared" si="7"/>
        <v>0</v>
      </c>
      <c r="J13" s="21">
        <f t="shared" si="1"/>
        <v>0</v>
      </c>
      <c r="K13" s="62">
        <f t="shared" si="2"/>
        <v>4235</v>
      </c>
      <c r="L13" s="62">
        <f t="shared" si="3"/>
        <v>38391.943975000002</v>
      </c>
      <c r="M13" s="22">
        <f t="shared" si="4"/>
        <v>74474.811950000003</v>
      </c>
      <c r="N13" s="22">
        <f t="shared" si="5"/>
        <v>0</v>
      </c>
      <c r="O13" s="139">
        <f t="shared" si="6"/>
        <v>117101.755925</v>
      </c>
    </row>
    <row r="14" spans="1:17" ht="15" customHeight="1">
      <c r="A14" s="48">
        <v>6</v>
      </c>
      <c r="B14" s="37" t="s">
        <v>45</v>
      </c>
      <c r="C14" s="79" t="s">
        <v>24</v>
      </c>
      <c r="D14" s="78"/>
      <c r="E14" s="42">
        <v>3.5900000000000001E-2</v>
      </c>
      <c r="F14" s="14">
        <v>89926.653129999992</v>
      </c>
      <c r="G14" s="133">
        <f>F14</f>
        <v>89926.653129999992</v>
      </c>
      <c r="H14" s="21">
        <f t="shared" si="0"/>
        <v>0</v>
      </c>
      <c r="I14" s="21">
        <f t="shared" si="7"/>
        <v>0</v>
      </c>
      <c r="J14" s="21">
        <f t="shared" si="1"/>
        <v>0</v>
      </c>
      <c r="K14" s="62">
        <f t="shared" si="2"/>
        <v>3949</v>
      </c>
      <c r="L14" s="62">
        <f t="shared" si="3"/>
        <v>35799.241264999997</v>
      </c>
      <c r="M14" s="22">
        <f t="shared" si="4"/>
        <v>69445.344129999998</v>
      </c>
      <c r="N14" s="22">
        <f t="shared" si="5"/>
        <v>0</v>
      </c>
      <c r="O14" s="139">
        <f t="shared" si="6"/>
        <v>109193.585395</v>
      </c>
    </row>
    <row r="15" spans="1:17" ht="15" customHeight="1">
      <c r="A15" s="48">
        <v>7</v>
      </c>
      <c r="B15" s="37" t="s">
        <v>46</v>
      </c>
      <c r="C15" s="79" t="s">
        <v>135</v>
      </c>
      <c r="D15" s="78" t="s">
        <v>104</v>
      </c>
      <c r="E15" s="42">
        <v>4.1399999999999999E-2</v>
      </c>
      <c r="F15" s="14">
        <v>103703.71698</v>
      </c>
      <c r="G15" s="133">
        <f>F15</f>
        <v>103703.71698</v>
      </c>
      <c r="H15" s="21">
        <f t="shared" si="0"/>
        <v>0</v>
      </c>
      <c r="I15" s="21">
        <f t="shared" si="7"/>
        <v>0</v>
      </c>
      <c r="J15" s="21">
        <f t="shared" si="1"/>
        <v>0</v>
      </c>
      <c r="K15" s="62">
        <f t="shared" si="2"/>
        <v>4554</v>
      </c>
      <c r="L15" s="62">
        <f t="shared" si="3"/>
        <v>41283.804689999997</v>
      </c>
      <c r="M15" s="22">
        <f t="shared" si="4"/>
        <v>80084.602979999996</v>
      </c>
      <c r="N15" s="22">
        <v>0</v>
      </c>
      <c r="O15" s="139">
        <f t="shared" si="6"/>
        <v>125922.40766999999</v>
      </c>
      <c r="Q15" s="136"/>
    </row>
    <row r="16" spans="1:17" ht="15" customHeight="1">
      <c r="A16" s="48">
        <v>8</v>
      </c>
      <c r="B16" s="37" t="s">
        <v>47</v>
      </c>
      <c r="C16" s="79" t="s">
        <v>75</v>
      </c>
      <c r="D16" s="78" t="s">
        <v>105</v>
      </c>
      <c r="E16" s="42">
        <v>5.3499999999999999E-2</v>
      </c>
      <c r="F16" s="14">
        <v>134013.25745</v>
      </c>
      <c r="G16" s="133">
        <f>F16</f>
        <v>134013.25745</v>
      </c>
      <c r="H16" s="21">
        <f t="shared" si="0"/>
        <v>0</v>
      </c>
      <c r="I16" s="21">
        <f t="shared" si="7"/>
        <v>0</v>
      </c>
      <c r="J16" s="21">
        <f t="shared" si="1"/>
        <v>0</v>
      </c>
      <c r="K16" s="62">
        <f t="shared" si="2"/>
        <v>5885</v>
      </c>
      <c r="L16" s="62">
        <f t="shared" si="3"/>
        <v>53349.844225000001</v>
      </c>
      <c r="M16" s="22">
        <f t="shared" si="4"/>
        <v>103490.97245</v>
      </c>
      <c r="N16" s="22">
        <f t="shared" si="5"/>
        <v>0</v>
      </c>
      <c r="O16" s="139">
        <f t="shared" si="6"/>
        <v>162725.81667500001</v>
      </c>
      <c r="Q16" s="136"/>
    </row>
    <row r="17" spans="1:18" ht="15" customHeight="1">
      <c r="A17" s="48">
        <v>9</v>
      </c>
      <c r="B17" s="37" t="s">
        <v>48</v>
      </c>
      <c r="C17" s="79" t="s">
        <v>26</v>
      </c>
      <c r="D17" s="78" t="s">
        <v>106</v>
      </c>
      <c r="E17" s="42">
        <v>3.85E-2</v>
      </c>
      <c r="F17" s="14">
        <v>96439.446949999998</v>
      </c>
      <c r="G17" s="133"/>
      <c r="H17" s="21">
        <f t="shared" si="0"/>
        <v>96439.446949999998</v>
      </c>
      <c r="I17" s="21">
        <f t="shared" si="7"/>
        <v>3568.2595371500006</v>
      </c>
      <c r="J17" s="21">
        <f t="shared" si="1"/>
        <v>0</v>
      </c>
      <c r="K17" s="62">
        <f t="shared" si="2"/>
        <v>4235</v>
      </c>
      <c r="L17" s="62">
        <f t="shared" si="3"/>
        <v>38391.943975000002</v>
      </c>
      <c r="M17" s="22">
        <f t="shared" si="4"/>
        <v>74474.811950000003</v>
      </c>
      <c r="N17" s="22">
        <f t="shared" si="5"/>
        <v>0</v>
      </c>
      <c r="O17" s="139">
        <f t="shared" si="6"/>
        <v>217109.46241214999</v>
      </c>
      <c r="Q17" s="136"/>
    </row>
    <row r="18" spans="1:18" ht="15" customHeight="1">
      <c r="A18" s="125">
        <v>10</v>
      </c>
      <c r="B18" s="39" t="s">
        <v>49</v>
      </c>
      <c r="C18" s="80" t="s">
        <v>27</v>
      </c>
      <c r="D18" s="127"/>
      <c r="E18" s="128">
        <v>3.5900000000000001E-2</v>
      </c>
      <c r="F18" s="84">
        <v>-161079.21336708963</v>
      </c>
      <c r="G18" s="133"/>
      <c r="H18" s="62">
        <f>IF(F18&gt;G18,F18-G18,0)</f>
        <v>0</v>
      </c>
      <c r="I18" s="62">
        <f t="shared" si="7"/>
        <v>0</v>
      </c>
      <c r="J18" s="62">
        <f t="shared" si="1"/>
        <v>161079.21336708963</v>
      </c>
      <c r="K18" s="62">
        <f t="shared" si="2"/>
        <v>3949</v>
      </c>
      <c r="L18" s="62">
        <f t="shared" si="3"/>
        <v>35799.241264999997</v>
      </c>
      <c r="M18" s="129">
        <f t="shared" si="4"/>
        <v>69445.344129999998</v>
      </c>
      <c r="N18" s="129">
        <f t="shared" si="5"/>
        <v>0</v>
      </c>
      <c r="O18" s="139">
        <f t="shared" si="6"/>
        <v>-51885.627972089635</v>
      </c>
      <c r="Q18" s="136"/>
    </row>
    <row r="19" spans="1:18" ht="15" customHeight="1">
      <c r="A19" s="112">
        <v>11</v>
      </c>
      <c r="B19" s="119" t="s">
        <v>50</v>
      </c>
      <c r="C19" s="120" t="s">
        <v>28</v>
      </c>
      <c r="D19" s="122" t="s">
        <v>107</v>
      </c>
      <c r="E19" s="123">
        <v>4.1399999999999999E-2</v>
      </c>
      <c r="F19" s="116">
        <v>4499793.8620253969</v>
      </c>
      <c r="G19" s="134"/>
      <c r="H19" s="117">
        <f t="shared" si="0"/>
        <v>4499793.8620253969</v>
      </c>
      <c r="I19" s="117">
        <f t="shared" si="7"/>
        <v>166492.3728949397</v>
      </c>
      <c r="J19" s="117">
        <f t="shared" si="1"/>
        <v>0</v>
      </c>
      <c r="K19" s="117">
        <f t="shared" si="2"/>
        <v>4554</v>
      </c>
      <c r="L19" s="117">
        <f t="shared" si="3"/>
        <v>41283.804689999997</v>
      </c>
      <c r="M19" s="118">
        <f t="shared" si="4"/>
        <v>80084.602979999996</v>
      </c>
      <c r="N19" s="118">
        <f t="shared" si="5"/>
        <v>0</v>
      </c>
      <c r="O19" s="140">
        <f t="shared" si="6"/>
        <v>4792208.6425903365</v>
      </c>
      <c r="Q19" s="136"/>
    </row>
    <row r="20" spans="1:18" ht="15" customHeight="1">
      <c r="A20" s="48">
        <v>12</v>
      </c>
      <c r="B20" s="38" t="s">
        <v>51</v>
      </c>
      <c r="C20" s="86" t="s">
        <v>112</v>
      </c>
      <c r="D20" s="82" t="s">
        <v>120</v>
      </c>
      <c r="E20" s="43">
        <v>5.3499999999999999E-2</v>
      </c>
      <c r="F20" s="14">
        <v>134013.25745</v>
      </c>
      <c r="G20" s="133">
        <f>F20</f>
        <v>134013.25745</v>
      </c>
      <c r="H20" s="21">
        <f t="shared" si="0"/>
        <v>0</v>
      </c>
      <c r="I20" s="21">
        <f t="shared" si="7"/>
        <v>0</v>
      </c>
      <c r="J20" s="21">
        <f t="shared" si="1"/>
        <v>0</v>
      </c>
      <c r="K20" s="62">
        <f t="shared" si="2"/>
        <v>5885</v>
      </c>
      <c r="L20" s="62">
        <f t="shared" si="3"/>
        <v>53349.844225000001</v>
      </c>
      <c r="M20" s="22">
        <f t="shared" si="4"/>
        <v>103490.97245</v>
      </c>
      <c r="N20" s="22">
        <f t="shared" si="5"/>
        <v>0</v>
      </c>
      <c r="O20" s="139">
        <f t="shared" si="6"/>
        <v>162725.81667500001</v>
      </c>
      <c r="Q20" s="136"/>
    </row>
    <row r="21" spans="1:18" ht="15" customHeight="1">
      <c r="A21" s="112">
        <v>13</v>
      </c>
      <c r="B21" s="119" t="s">
        <v>52</v>
      </c>
      <c r="C21" s="120" t="s">
        <v>30</v>
      </c>
      <c r="D21" s="120"/>
      <c r="E21" s="121">
        <v>3.85E-2</v>
      </c>
      <c r="F21" s="116">
        <v>2161953.9345871457</v>
      </c>
      <c r="G21" s="135">
        <v>0</v>
      </c>
      <c r="H21" s="117">
        <f t="shared" si="0"/>
        <v>2161953.9345871457</v>
      </c>
      <c r="I21" s="117">
        <f t="shared" si="7"/>
        <v>79992.295579724407</v>
      </c>
      <c r="J21" s="117">
        <f t="shared" si="1"/>
        <v>0</v>
      </c>
      <c r="K21" s="117">
        <f t="shared" si="2"/>
        <v>4235</v>
      </c>
      <c r="L21" s="117">
        <f t="shared" si="3"/>
        <v>38391.943975000002</v>
      </c>
      <c r="M21" s="118">
        <f t="shared" si="4"/>
        <v>74474.811950000003</v>
      </c>
      <c r="N21" s="118">
        <f t="shared" si="5"/>
        <v>0</v>
      </c>
      <c r="O21" s="140">
        <f t="shared" si="6"/>
        <v>2359047.9860918703</v>
      </c>
      <c r="Q21" s="136"/>
    </row>
    <row r="22" spans="1:18" ht="15" customHeight="1">
      <c r="A22" s="48">
        <v>14</v>
      </c>
      <c r="B22" s="37" t="s">
        <v>53</v>
      </c>
      <c r="C22" s="79" t="s">
        <v>31</v>
      </c>
      <c r="D22" s="79" t="s">
        <v>108</v>
      </c>
      <c r="E22" s="44">
        <v>3.5900000000000001E-2</v>
      </c>
      <c r="F22" s="14">
        <v>89926.653129999992</v>
      </c>
      <c r="G22" s="133">
        <f>F22+RESUMEN!H43</f>
        <v>212626.65312999999</v>
      </c>
      <c r="H22" s="21">
        <f t="shared" si="0"/>
        <v>0</v>
      </c>
      <c r="I22" s="21">
        <f t="shared" si="7"/>
        <v>0</v>
      </c>
      <c r="J22" s="21">
        <f t="shared" si="1"/>
        <v>122700</v>
      </c>
      <c r="K22" s="62">
        <f t="shared" si="2"/>
        <v>3949</v>
      </c>
      <c r="L22" s="62">
        <f t="shared" si="3"/>
        <v>35799.241264999997</v>
      </c>
      <c r="M22" s="22">
        <f t="shared" si="4"/>
        <v>69445.344129999998</v>
      </c>
      <c r="N22" s="22">
        <f t="shared" si="5"/>
        <v>0</v>
      </c>
      <c r="O22" s="139">
        <f t="shared" si="6"/>
        <v>-13506.414605000005</v>
      </c>
      <c r="Q22" s="136"/>
    </row>
    <row r="23" spans="1:18" ht="15" customHeight="1">
      <c r="A23" s="48">
        <v>15</v>
      </c>
      <c r="B23" s="39" t="s">
        <v>54</v>
      </c>
      <c r="C23" s="80" t="s">
        <v>32</v>
      </c>
      <c r="D23" s="80" t="s">
        <v>109</v>
      </c>
      <c r="E23" s="45">
        <v>4.1399999999999999E-2</v>
      </c>
      <c r="F23" s="14">
        <v>103703.71698</v>
      </c>
      <c r="G23" s="133">
        <f>F23</f>
        <v>103703.71698</v>
      </c>
      <c r="H23" s="21">
        <f t="shared" si="0"/>
        <v>0</v>
      </c>
      <c r="I23" s="21">
        <f t="shared" si="7"/>
        <v>0</v>
      </c>
      <c r="J23" s="21">
        <f t="shared" si="1"/>
        <v>0</v>
      </c>
      <c r="K23" s="62">
        <f t="shared" si="2"/>
        <v>4554</v>
      </c>
      <c r="L23" s="62">
        <f t="shared" si="3"/>
        <v>41283.804689999997</v>
      </c>
      <c r="M23" s="22">
        <f t="shared" si="4"/>
        <v>80084.602979999996</v>
      </c>
      <c r="N23" s="22">
        <f t="shared" si="5"/>
        <v>0</v>
      </c>
      <c r="O23" s="139">
        <f t="shared" si="6"/>
        <v>125922.40766999999</v>
      </c>
      <c r="Q23" s="136"/>
    </row>
    <row r="24" spans="1:18" ht="15" customHeight="1">
      <c r="A24" s="48">
        <v>16</v>
      </c>
      <c r="B24" s="40" t="s">
        <v>55</v>
      </c>
      <c r="C24" s="81" t="s">
        <v>33</v>
      </c>
      <c r="D24" s="81"/>
      <c r="E24" s="46">
        <v>5.3499999999999999E-2</v>
      </c>
      <c r="F24" s="14">
        <v>134013.25745</v>
      </c>
      <c r="G24" s="133">
        <f>F24</f>
        <v>134013.25745</v>
      </c>
      <c r="H24" s="21">
        <f t="shared" si="0"/>
        <v>0</v>
      </c>
      <c r="I24" s="21">
        <f t="shared" si="7"/>
        <v>0</v>
      </c>
      <c r="J24" s="21">
        <f t="shared" si="1"/>
        <v>0</v>
      </c>
      <c r="K24" s="62">
        <f t="shared" si="2"/>
        <v>5885</v>
      </c>
      <c r="L24" s="62">
        <f t="shared" si="3"/>
        <v>53349.844225000001</v>
      </c>
      <c r="M24" s="22">
        <f t="shared" si="4"/>
        <v>103490.97245</v>
      </c>
      <c r="N24" s="22">
        <f t="shared" si="5"/>
        <v>0</v>
      </c>
      <c r="O24" s="139">
        <f t="shared" si="6"/>
        <v>162725.81667500001</v>
      </c>
      <c r="Q24" s="136"/>
    </row>
    <row r="25" spans="1:18" s="1" customFormat="1" ht="15.75" customHeight="1">
      <c r="A25" s="48">
        <v>17</v>
      </c>
      <c r="B25" s="60" t="s">
        <v>56</v>
      </c>
      <c r="C25" s="81" t="s">
        <v>90</v>
      </c>
      <c r="D25" s="81" t="s">
        <v>110</v>
      </c>
      <c r="E25" s="46">
        <v>3.85E-2</v>
      </c>
      <c r="F25" s="14">
        <v>96439.446949999998</v>
      </c>
      <c r="G25" s="133">
        <f>F25</f>
        <v>96439.446949999998</v>
      </c>
      <c r="H25" s="21">
        <f t="shared" si="0"/>
        <v>0</v>
      </c>
      <c r="I25" s="21">
        <f t="shared" si="7"/>
        <v>0</v>
      </c>
      <c r="J25" s="21">
        <f t="shared" si="1"/>
        <v>0</v>
      </c>
      <c r="K25" s="62">
        <f t="shared" si="2"/>
        <v>4235</v>
      </c>
      <c r="L25" s="62">
        <f t="shared" si="3"/>
        <v>38391.943975000002</v>
      </c>
      <c r="M25" s="22">
        <f t="shared" si="4"/>
        <v>74474.811950000003</v>
      </c>
      <c r="N25" s="22">
        <f t="shared" si="5"/>
        <v>0</v>
      </c>
      <c r="O25" s="139">
        <f t="shared" si="6"/>
        <v>117101.755925</v>
      </c>
      <c r="Q25" s="137"/>
    </row>
    <row r="26" spans="1:18" ht="15" customHeight="1">
      <c r="A26" s="48">
        <v>18</v>
      </c>
      <c r="B26" s="41" t="s">
        <v>57</v>
      </c>
      <c r="C26" s="81" t="s">
        <v>34</v>
      </c>
      <c r="D26" s="81"/>
      <c r="E26" s="46">
        <v>3.5900000000000001E-2</v>
      </c>
      <c r="F26" s="14">
        <v>89926.653129999992</v>
      </c>
      <c r="G26" s="133">
        <f>F26</f>
        <v>89926.653129999992</v>
      </c>
      <c r="H26" s="21">
        <f t="shared" si="0"/>
        <v>0</v>
      </c>
      <c r="I26" s="21">
        <f t="shared" si="7"/>
        <v>0</v>
      </c>
      <c r="J26" s="21">
        <f t="shared" si="1"/>
        <v>0</v>
      </c>
      <c r="K26" s="62">
        <f t="shared" si="2"/>
        <v>3949</v>
      </c>
      <c r="L26" s="62">
        <f t="shared" si="3"/>
        <v>35799.241264999997</v>
      </c>
      <c r="M26" s="22">
        <f t="shared" si="4"/>
        <v>69445.344129999998</v>
      </c>
      <c r="N26" s="22">
        <f t="shared" si="5"/>
        <v>0</v>
      </c>
      <c r="O26" s="139">
        <f t="shared" si="6"/>
        <v>109193.585395</v>
      </c>
      <c r="Q26" s="136"/>
    </row>
    <row r="27" spans="1:18" ht="15" customHeight="1">
      <c r="A27" s="112">
        <v>19</v>
      </c>
      <c r="B27" s="113" t="s">
        <v>58</v>
      </c>
      <c r="C27" s="114" t="s">
        <v>35</v>
      </c>
      <c r="D27" s="114" t="s">
        <v>121</v>
      </c>
      <c r="E27" s="115">
        <v>4.1399999999999999E-2</v>
      </c>
      <c r="F27" s="116">
        <v>3777486.1683688676</v>
      </c>
      <c r="G27" s="134">
        <v>103703.6</v>
      </c>
      <c r="H27" s="131">
        <f t="shared" si="0"/>
        <v>3673782.5683688675</v>
      </c>
      <c r="I27" s="117">
        <f t="shared" si="7"/>
        <v>135929.95502964812</v>
      </c>
      <c r="J27" s="117">
        <f t="shared" si="1"/>
        <v>0</v>
      </c>
      <c r="K27" s="117">
        <f t="shared" si="2"/>
        <v>4554</v>
      </c>
      <c r="L27" s="117">
        <f t="shared" si="3"/>
        <v>41283.804689999997</v>
      </c>
      <c r="M27" s="118">
        <f t="shared" si="4"/>
        <v>80084.602979999996</v>
      </c>
      <c r="N27" s="118">
        <f t="shared" si="5"/>
        <v>0</v>
      </c>
      <c r="O27" s="140">
        <f t="shared" si="6"/>
        <v>3935634.9310685159</v>
      </c>
      <c r="P27" s="138">
        <f>M27+N27</f>
        <v>80084.602979999996</v>
      </c>
    </row>
    <row r="28" spans="1:18" ht="17.25" customHeight="1">
      <c r="A28" s="48">
        <v>20</v>
      </c>
      <c r="B28" s="41" t="s">
        <v>59</v>
      </c>
      <c r="C28" s="81" t="s">
        <v>36</v>
      </c>
      <c r="D28" s="81"/>
      <c r="E28" s="46">
        <v>5.3499999999999999E-2</v>
      </c>
      <c r="F28" s="14">
        <v>3648286.5570198223</v>
      </c>
      <c r="G28" s="133"/>
      <c r="H28" s="62">
        <f t="shared" si="0"/>
        <v>3648286.5570198223</v>
      </c>
      <c r="I28" s="21">
        <f t="shared" si="7"/>
        <v>134986.60260973344</v>
      </c>
      <c r="J28" s="21">
        <f t="shared" si="1"/>
        <v>0</v>
      </c>
      <c r="K28" s="62">
        <f t="shared" si="2"/>
        <v>5885</v>
      </c>
      <c r="L28" s="62">
        <f t="shared" si="3"/>
        <v>53349.844225000001</v>
      </c>
      <c r="M28" s="22">
        <f t="shared" si="4"/>
        <v>103490.97245</v>
      </c>
      <c r="N28" s="22">
        <f t="shared" si="5"/>
        <v>0</v>
      </c>
      <c r="O28" s="139">
        <f t="shared" si="6"/>
        <v>3945998.9763045558</v>
      </c>
      <c r="P28" s="7"/>
    </row>
    <row r="29" spans="1:18" ht="15" customHeight="1">
      <c r="A29" s="48">
        <v>21</v>
      </c>
      <c r="B29" s="40" t="s">
        <v>60</v>
      </c>
      <c r="C29" s="81" t="s">
        <v>99</v>
      </c>
      <c r="D29" s="81" t="s">
        <v>121</v>
      </c>
      <c r="E29" s="46">
        <v>3.85E-2</v>
      </c>
      <c r="F29" s="14">
        <v>96439.446949999998</v>
      </c>
      <c r="G29" s="133">
        <f>F29</f>
        <v>96439.446949999998</v>
      </c>
      <c r="H29" s="21">
        <f t="shared" si="0"/>
        <v>0</v>
      </c>
      <c r="I29" s="21">
        <f t="shared" si="7"/>
        <v>0</v>
      </c>
      <c r="J29" s="21">
        <f t="shared" si="1"/>
        <v>0</v>
      </c>
      <c r="K29" s="62">
        <f t="shared" si="2"/>
        <v>4235</v>
      </c>
      <c r="L29" s="62">
        <f t="shared" si="3"/>
        <v>38391.943975000002</v>
      </c>
      <c r="M29" s="22">
        <f t="shared" si="4"/>
        <v>74474.811950000003</v>
      </c>
      <c r="N29" s="22">
        <f t="shared" si="5"/>
        <v>0</v>
      </c>
      <c r="O29" s="139">
        <f t="shared" si="6"/>
        <v>117101.755925</v>
      </c>
      <c r="P29" s="7">
        <f>M29/2</f>
        <v>37237.405975000001</v>
      </c>
      <c r="Q29" s="7">
        <f>SUM(Q15:Q28)</f>
        <v>0</v>
      </c>
      <c r="R29" t="s">
        <v>139</v>
      </c>
    </row>
    <row r="30" spans="1:18" ht="15" customHeight="1">
      <c r="A30" s="48">
        <v>22</v>
      </c>
      <c r="B30" s="40" t="s">
        <v>61</v>
      </c>
      <c r="C30" s="81" t="s">
        <v>119</v>
      </c>
      <c r="D30" s="81" t="s">
        <v>123</v>
      </c>
      <c r="E30" s="46">
        <v>3.5900000000000001E-2</v>
      </c>
      <c r="F30" s="14">
        <v>89926.653129999992</v>
      </c>
      <c r="G30" s="133">
        <f>F30</f>
        <v>89926.653129999992</v>
      </c>
      <c r="H30" s="21">
        <f t="shared" si="0"/>
        <v>0</v>
      </c>
      <c r="I30" s="21">
        <f t="shared" si="7"/>
        <v>0</v>
      </c>
      <c r="J30" s="21">
        <f t="shared" si="1"/>
        <v>0</v>
      </c>
      <c r="K30" s="62">
        <f t="shared" si="2"/>
        <v>3949</v>
      </c>
      <c r="L30" s="62">
        <f t="shared" si="3"/>
        <v>35799.241264999997</v>
      </c>
      <c r="M30" s="22">
        <f t="shared" si="4"/>
        <v>69445.344129999998</v>
      </c>
      <c r="N30" s="22">
        <f t="shared" si="5"/>
        <v>0</v>
      </c>
      <c r="O30" s="139">
        <f t="shared" si="6"/>
        <v>109193.585395</v>
      </c>
    </row>
    <row r="31" spans="1:18" ht="15" customHeight="1">
      <c r="A31" s="48">
        <v>23</v>
      </c>
      <c r="B31" s="40" t="s">
        <v>62</v>
      </c>
      <c r="C31" s="81" t="s">
        <v>39</v>
      </c>
      <c r="D31" s="81"/>
      <c r="E31" s="46">
        <v>4.1399999999999999E-2</v>
      </c>
      <c r="F31" s="14">
        <v>103703.71698</v>
      </c>
      <c r="G31" s="133">
        <f>F31</f>
        <v>103703.71698</v>
      </c>
      <c r="H31" s="21">
        <f t="shared" si="0"/>
        <v>0</v>
      </c>
      <c r="I31" s="21">
        <f t="shared" si="7"/>
        <v>0</v>
      </c>
      <c r="J31" s="21">
        <f t="shared" si="1"/>
        <v>0</v>
      </c>
      <c r="K31" s="62">
        <f t="shared" si="2"/>
        <v>4554</v>
      </c>
      <c r="L31" s="62">
        <f t="shared" si="3"/>
        <v>41283.804689999997</v>
      </c>
      <c r="M31" s="22">
        <f t="shared" si="4"/>
        <v>80084.602979999996</v>
      </c>
      <c r="N31" s="22">
        <f t="shared" si="5"/>
        <v>0</v>
      </c>
      <c r="O31" s="139">
        <f t="shared" si="6"/>
        <v>125922.40766999999</v>
      </c>
    </row>
    <row r="32" spans="1:18" ht="15.75">
      <c r="A32" s="34"/>
      <c r="B32" s="49">
        <f>SUM(B9:B31)</f>
        <v>0</v>
      </c>
      <c r="C32" s="34"/>
      <c r="D32" s="34"/>
      <c r="E32" s="50">
        <f>SUM(E9:E31)</f>
        <v>1</v>
      </c>
      <c r="F32" s="85">
        <f>SUM(F9:F31)</f>
        <v>22272713.974063884</v>
      </c>
      <c r="G32" s="85">
        <f>SUM(G9:G31)</f>
        <v>2157075.7076916099</v>
      </c>
      <c r="H32" s="107">
        <f>SUM(H9:H31)</f>
        <v>20399417.479739368</v>
      </c>
      <c r="I32" s="51">
        <f>SUM(I9:I31)</f>
        <v>754778.4467503567</v>
      </c>
      <c r="J32" s="85">
        <f t="shared" ref="J32" si="8">SUM(J9:J31)</f>
        <v>283779.21336708963</v>
      </c>
      <c r="K32" s="76">
        <f>SUM(K9:K31)</f>
        <v>110000</v>
      </c>
      <c r="L32" s="76"/>
      <c r="M32" s="51">
        <f>SUM(M9:M31)</f>
        <v>1934410.7000000002</v>
      </c>
      <c r="N32" s="76">
        <f>SUM(N9:N31)</f>
        <v>0</v>
      </c>
      <c r="O32" s="51">
        <f>SUM(O9:O31)</f>
        <v>23912020.763122637</v>
      </c>
    </row>
    <row r="33" spans="1:15" ht="14.25" customHeight="1"/>
    <row r="34" spans="1:15" hidden="1"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</row>
    <row r="35" spans="1:15" hidden="1"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</row>
    <row r="36" spans="1:15" hidden="1"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</row>
    <row r="37" spans="1:15" hidden="1"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</row>
    <row r="38" spans="1:15" hidden="1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</row>
    <row r="39" spans="1:15" hidden="1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</row>
    <row r="40" spans="1:15" hidden="1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</row>
    <row r="41" spans="1:15">
      <c r="O41" s="7"/>
    </row>
  </sheetData>
  <mergeCells count="8">
    <mergeCell ref="B34:O37"/>
    <mergeCell ref="B5:C5"/>
    <mergeCell ref="B7:C7"/>
    <mergeCell ref="A38:O40"/>
    <mergeCell ref="B6:C6"/>
    <mergeCell ref="E6:F6"/>
    <mergeCell ref="E7:F7"/>
    <mergeCell ref="E5:F5"/>
  </mergeCells>
  <pageMargins left="0.23622047244094491" right="0.23622047244094491" top="0.74803149606299213" bottom="0.74803149606299213" header="0.31496062992125984" footer="0.31496062992125984"/>
  <pageSetup paperSize="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5"/>
  <cols>
    <col min="1" max="1" width="4.140625" customWidth="1"/>
    <col min="3" max="3" width="19.28515625" customWidth="1"/>
    <col min="5" max="5" width="18" bestFit="1" customWidth="1"/>
    <col min="6" max="6" width="13.28515625" customWidth="1"/>
    <col min="7" max="7" width="11.5703125" bestFit="1" customWidth="1"/>
  </cols>
  <sheetData>
    <row r="1" spans="1:7" ht="34.5" customHeight="1" thickBot="1">
      <c r="A1" s="160" t="s">
        <v>89</v>
      </c>
      <c r="B1" s="161"/>
      <c r="C1" s="161"/>
      <c r="D1" s="161"/>
      <c r="E1" s="161"/>
      <c r="F1" s="161"/>
      <c r="G1" s="162"/>
    </row>
    <row r="2" spans="1:7">
      <c r="A2" s="27"/>
      <c r="G2" s="28"/>
    </row>
    <row r="3" spans="1:7">
      <c r="A3" s="52"/>
      <c r="B3" s="54" t="s">
        <v>88</v>
      </c>
      <c r="G3" s="28"/>
    </row>
    <row r="4" spans="1:7">
      <c r="A4" s="53"/>
      <c r="B4" s="57">
        <v>400000</v>
      </c>
      <c r="D4" s="11"/>
      <c r="G4" s="28"/>
    </row>
    <row r="5" spans="1:7">
      <c r="A5" s="56"/>
      <c r="B5" s="29"/>
      <c r="C5" s="13"/>
      <c r="D5" s="61">
        <v>9508.5</v>
      </c>
      <c r="G5" s="28"/>
    </row>
    <row r="6" spans="1:7">
      <c r="A6" s="65"/>
      <c r="B6" s="58"/>
      <c r="C6" s="13"/>
      <c r="G6" s="28"/>
    </row>
    <row r="7" spans="1:7" ht="15.75" thickBot="1">
      <c r="A7" s="56"/>
      <c r="B7" s="29"/>
      <c r="C7" s="13"/>
      <c r="G7" s="28"/>
    </row>
    <row r="8" spans="1:7" ht="30.75" thickBot="1">
      <c r="A8" s="23" t="s">
        <v>0</v>
      </c>
      <c r="B8" s="24" t="s">
        <v>3</v>
      </c>
      <c r="C8" s="25" t="s">
        <v>1</v>
      </c>
      <c r="D8" s="64" t="s">
        <v>2</v>
      </c>
      <c r="E8" s="24" t="s">
        <v>15</v>
      </c>
      <c r="F8" s="66" t="s">
        <v>93</v>
      </c>
      <c r="G8" s="26" t="s">
        <v>8</v>
      </c>
    </row>
    <row r="9" spans="1:7">
      <c r="A9" s="47">
        <v>1</v>
      </c>
      <c r="B9" s="35" t="s">
        <v>40</v>
      </c>
      <c r="C9" s="30" t="s">
        <v>19</v>
      </c>
      <c r="D9" s="42">
        <v>4.0500000000000001E-2</v>
      </c>
      <c r="E9" s="63">
        <f>B$4*D9</f>
        <v>16200</v>
      </c>
      <c r="F9" s="63"/>
      <c r="G9" s="63" t="s">
        <v>95</v>
      </c>
    </row>
    <row r="10" spans="1:7">
      <c r="A10" s="48">
        <v>2</v>
      </c>
      <c r="B10" s="35" t="s">
        <v>41</v>
      </c>
      <c r="C10" s="30" t="s">
        <v>20</v>
      </c>
      <c r="D10" s="42">
        <v>6.4799999999999996E-2</v>
      </c>
      <c r="E10" s="63">
        <f t="shared" ref="E10:E31" si="0">B$4*D10</f>
        <v>25920</v>
      </c>
      <c r="F10" s="63"/>
      <c r="G10" s="63" t="s">
        <v>95</v>
      </c>
    </row>
    <row r="11" spans="1:7">
      <c r="A11" s="48">
        <v>3</v>
      </c>
      <c r="B11" s="35" t="s">
        <v>42</v>
      </c>
      <c r="C11" s="30" t="s">
        <v>21</v>
      </c>
      <c r="D11" s="42">
        <v>4.82E-2</v>
      </c>
      <c r="E11" s="63">
        <f t="shared" si="0"/>
        <v>19280</v>
      </c>
      <c r="F11" s="63"/>
      <c r="G11" s="63" t="s">
        <v>95</v>
      </c>
    </row>
    <row r="12" spans="1:7">
      <c r="A12" s="48">
        <v>4</v>
      </c>
      <c r="B12" s="36" t="s">
        <v>43</v>
      </c>
      <c r="C12" s="30" t="s">
        <v>22</v>
      </c>
      <c r="D12" s="42">
        <v>5.3499999999999999E-2</v>
      </c>
      <c r="E12" s="63">
        <f t="shared" si="0"/>
        <v>21400</v>
      </c>
      <c r="F12" s="63"/>
      <c r="G12" s="63" t="s">
        <v>95</v>
      </c>
    </row>
    <row r="13" spans="1:7">
      <c r="A13" s="48">
        <v>5</v>
      </c>
      <c r="B13" s="35" t="s">
        <v>44</v>
      </c>
      <c r="C13" s="31" t="s">
        <v>23</v>
      </c>
      <c r="D13" s="42">
        <v>3.85E-2</v>
      </c>
      <c r="E13" s="63">
        <f t="shared" si="0"/>
        <v>15400</v>
      </c>
      <c r="F13" s="63"/>
      <c r="G13" s="63" t="s">
        <v>95</v>
      </c>
    </row>
    <row r="14" spans="1:7">
      <c r="A14" s="48">
        <v>6</v>
      </c>
      <c r="B14" s="37" t="s">
        <v>45</v>
      </c>
      <c r="C14" s="31" t="s">
        <v>24</v>
      </c>
      <c r="D14" s="42">
        <v>3.5900000000000001E-2</v>
      </c>
      <c r="E14" s="63">
        <f t="shared" si="0"/>
        <v>14360</v>
      </c>
      <c r="F14" s="63">
        <f>E14*6.3%</f>
        <v>904.68</v>
      </c>
      <c r="G14" s="63">
        <f t="shared" ref="G14:G27" si="1">E14 +F14</f>
        <v>15264.68</v>
      </c>
    </row>
    <row r="15" spans="1:7">
      <c r="A15" s="48">
        <v>7</v>
      </c>
      <c r="B15" s="37" t="s">
        <v>46</v>
      </c>
      <c r="C15" s="31" t="s">
        <v>25</v>
      </c>
      <c r="D15" s="42">
        <v>4.1399999999999999E-2</v>
      </c>
      <c r="E15" s="63">
        <f t="shared" si="0"/>
        <v>16560</v>
      </c>
      <c r="F15" s="63"/>
      <c r="G15" s="63" t="s">
        <v>95</v>
      </c>
    </row>
    <row r="16" spans="1:7">
      <c r="A16" s="48">
        <v>8</v>
      </c>
      <c r="B16" s="37" t="s">
        <v>47</v>
      </c>
      <c r="C16" s="31" t="s">
        <v>75</v>
      </c>
      <c r="D16" s="42">
        <v>5.3499999999999999E-2</v>
      </c>
      <c r="E16" s="63">
        <f t="shared" si="0"/>
        <v>21400</v>
      </c>
      <c r="F16" s="63"/>
      <c r="G16" s="63" t="s">
        <v>95</v>
      </c>
    </row>
    <row r="17" spans="1:7">
      <c r="A17" s="48">
        <v>9</v>
      </c>
      <c r="B17" s="37" t="s">
        <v>48</v>
      </c>
      <c r="C17" s="31" t="s">
        <v>26</v>
      </c>
      <c r="D17" s="42">
        <v>3.85E-2</v>
      </c>
      <c r="E17" s="63">
        <f t="shared" si="0"/>
        <v>15400</v>
      </c>
      <c r="F17" s="63"/>
      <c r="G17" s="63" t="s">
        <v>95</v>
      </c>
    </row>
    <row r="18" spans="1:7">
      <c r="A18" s="48">
        <v>10</v>
      </c>
      <c r="B18" s="37" t="s">
        <v>49</v>
      </c>
      <c r="C18" s="31" t="s">
        <v>27</v>
      </c>
      <c r="D18" s="42">
        <v>3.5900000000000001E-2</v>
      </c>
      <c r="E18" s="63">
        <f t="shared" si="0"/>
        <v>14360</v>
      </c>
      <c r="F18" s="63"/>
      <c r="G18" s="63" t="s">
        <v>95</v>
      </c>
    </row>
    <row r="19" spans="1:7">
      <c r="A19" s="48">
        <v>11</v>
      </c>
      <c r="B19" s="37" t="s">
        <v>50</v>
      </c>
      <c r="C19" s="31" t="s">
        <v>28</v>
      </c>
      <c r="D19" s="42">
        <v>4.1399999999999999E-2</v>
      </c>
      <c r="E19" s="63">
        <f t="shared" si="0"/>
        <v>16560</v>
      </c>
      <c r="F19" s="63">
        <f>E19*6.3%</f>
        <v>1043.28</v>
      </c>
      <c r="G19" s="63">
        <f t="shared" si="1"/>
        <v>17603.28</v>
      </c>
    </row>
    <row r="20" spans="1:7">
      <c r="A20" s="48">
        <v>12</v>
      </c>
      <c r="B20" s="38" t="s">
        <v>51</v>
      </c>
      <c r="C20" s="32" t="s">
        <v>29</v>
      </c>
      <c r="D20" s="43">
        <v>5.3499999999999999E-2</v>
      </c>
      <c r="E20" s="63">
        <f t="shared" si="0"/>
        <v>21400</v>
      </c>
      <c r="F20" s="63"/>
      <c r="G20" s="63" t="s">
        <v>95</v>
      </c>
    </row>
    <row r="21" spans="1:7">
      <c r="A21" s="48">
        <v>13</v>
      </c>
      <c r="B21" s="37" t="s">
        <v>52</v>
      </c>
      <c r="C21" s="31" t="s">
        <v>30</v>
      </c>
      <c r="D21" s="44">
        <v>3.85E-2</v>
      </c>
      <c r="E21" s="63">
        <f t="shared" si="0"/>
        <v>15400</v>
      </c>
      <c r="F21" s="63"/>
      <c r="G21" s="63" t="s">
        <v>95</v>
      </c>
    </row>
    <row r="22" spans="1:7">
      <c r="A22" s="48">
        <v>14</v>
      </c>
      <c r="B22" s="37" t="s">
        <v>53</v>
      </c>
      <c r="C22" s="31" t="s">
        <v>31</v>
      </c>
      <c r="D22" s="44">
        <v>3.5900000000000001E-2</v>
      </c>
      <c r="E22" s="63">
        <f t="shared" si="0"/>
        <v>14360</v>
      </c>
      <c r="F22" s="63"/>
      <c r="G22" s="63" t="s">
        <v>95</v>
      </c>
    </row>
    <row r="23" spans="1:7">
      <c r="A23" s="48">
        <v>15</v>
      </c>
      <c r="B23" s="39" t="s">
        <v>54</v>
      </c>
      <c r="C23" s="33" t="s">
        <v>32</v>
      </c>
      <c r="D23" s="45">
        <v>4.1399999999999999E-2</v>
      </c>
      <c r="E23" s="63">
        <f t="shared" si="0"/>
        <v>16560</v>
      </c>
      <c r="F23" s="63"/>
      <c r="G23" s="63" t="s">
        <v>95</v>
      </c>
    </row>
    <row r="24" spans="1:7" ht="15.75">
      <c r="A24" s="48">
        <v>16</v>
      </c>
      <c r="B24" s="40" t="s">
        <v>55</v>
      </c>
      <c r="C24" s="59" t="s">
        <v>33</v>
      </c>
      <c r="D24" s="46">
        <v>5.3499999999999999E-2</v>
      </c>
      <c r="E24" s="63">
        <f t="shared" si="0"/>
        <v>21400</v>
      </c>
      <c r="F24" s="63"/>
      <c r="G24" s="63" t="s">
        <v>95</v>
      </c>
    </row>
    <row r="25" spans="1:7" ht="15.75">
      <c r="A25" s="48">
        <v>17</v>
      </c>
      <c r="B25" s="60" t="s">
        <v>56</v>
      </c>
      <c r="C25" s="59" t="s">
        <v>90</v>
      </c>
      <c r="D25" s="46">
        <v>3.85E-2</v>
      </c>
      <c r="E25" s="63">
        <f t="shared" si="0"/>
        <v>15400</v>
      </c>
      <c r="F25" s="63"/>
      <c r="G25" s="63" t="s">
        <v>95</v>
      </c>
    </row>
    <row r="26" spans="1:7" ht="15.75">
      <c r="A26" s="48">
        <v>18</v>
      </c>
      <c r="B26" s="41" t="s">
        <v>57</v>
      </c>
      <c r="C26" s="59" t="s">
        <v>34</v>
      </c>
      <c r="D26" s="46">
        <v>3.5900000000000001E-2</v>
      </c>
      <c r="E26" s="63">
        <f t="shared" si="0"/>
        <v>14360</v>
      </c>
      <c r="F26" s="63"/>
      <c r="G26" s="63" t="s">
        <v>95</v>
      </c>
    </row>
    <row r="27" spans="1:7" ht="15.75">
      <c r="A27" s="48">
        <v>19</v>
      </c>
      <c r="B27" s="40" t="s">
        <v>58</v>
      </c>
      <c r="C27" s="59" t="s">
        <v>35</v>
      </c>
      <c r="D27" s="46">
        <v>4.1399999999999999E-2</v>
      </c>
      <c r="E27" s="63">
        <f t="shared" si="0"/>
        <v>16560</v>
      </c>
      <c r="F27" s="63">
        <f>E27*6.3%</f>
        <v>1043.28</v>
      </c>
      <c r="G27" s="63">
        <f t="shared" si="1"/>
        <v>17603.28</v>
      </c>
    </row>
    <row r="28" spans="1:7" ht="15.75">
      <c r="A28" s="48">
        <v>20</v>
      </c>
      <c r="B28" s="41" t="s">
        <v>59</v>
      </c>
      <c r="C28" s="59" t="s">
        <v>36</v>
      </c>
      <c r="D28" s="46">
        <v>5.3499999999999999E-2</v>
      </c>
      <c r="E28" s="63">
        <f t="shared" si="0"/>
        <v>21400</v>
      </c>
      <c r="F28" s="63"/>
      <c r="G28" s="63" t="s">
        <v>95</v>
      </c>
    </row>
    <row r="29" spans="1:7" ht="15.75">
      <c r="A29" s="48">
        <v>21</v>
      </c>
      <c r="B29" s="40" t="s">
        <v>60</v>
      </c>
      <c r="C29" s="59" t="s">
        <v>37</v>
      </c>
      <c r="D29" s="46">
        <v>3.85E-2</v>
      </c>
      <c r="E29" s="63">
        <f t="shared" si="0"/>
        <v>15400</v>
      </c>
      <c r="F29" s="63"/>
      <c r="G29" s="63" t="s">
        <v>95</v>
      </c>
    </row>
    <row r="30" spans="1:7" ht="15.75">
      <c r="A30" s="48">
        <v>22</v>
      </c>
      <c r="B30" s="40" t="s">
        <v>61</v>
      </c>
      <c r="C30" s="59" t="s">
        <v>38</v>
      </c>
      <c r="D30" s="46">
        <v>3.5900000000000001E-2</v>
      </c>
      <c r="E30" s="63">
        <f t="shared" si="0"/>
        <v>14360</v>
      </c>
      <c r="F30" s="63"/>
      <c r="G30" s="63" t="s">
        <v>95</v>
      </c>
    </row>
    <row r="31" spans="1:7" ht="15.75">
      <c r="A31" s="48">
        <v>23</v>
      </c>
      <c r="B31" s="40" t="s">
        <v>62</v>
      </c>
      <c r="C31" s="59" t="s">
        <v>39</v>
      </c>
      <c r="D31" s="46">
        <v>4.1399999999999999E-2</v>
      </c>
      <c r="E31" s="63">
        <f t="shared" si="0"/>
        <v>16560</v>
      </c>
      <c r="F31" s="63"/>
      <c r="G31" s="63" t="s">
        <v>95</v>
      </c>
    </row>
    <row r="32" spans="1:7" ht="15.75">
      <c r="A32" s="34"/>
      <c r="B32" s="49">
        <f>SUM(B9:B31)</f>
        <v>0</v>
      </c>
      <c r="C32" s="34"/>
      <c r="D32" s="50">
        <f>SUM(D9:D31)</f>
        <v>1</v>
      </c>
      <c r="E32" s="51">
        <f>SUM(E9:E31)</f>
        <v>400000</v>
      </c>
      <c r="F32" s="51"/>
      <c r="G32" s="51"/>
    </row>
    <row r="34" spans="3:5" ht="13.5" customHeight="1">
      <c r="C34" s="69" t="s">
        <v>94</v>
      </c>
      <c r="D34" s="67"/>
      <c r="E34" s="68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2026-09-03T23:23:20Z</cp:lastPrinted>
  <dcterms:created xsi:type="dcterms:W3CDTF">2021-10-25T13:53:39Z</dcterms:created>
  <dcterms:modified xsi:type="dcterms:W3CDTF">2026-09-03T23:23:25Z</dcterms:modified>
</cp:coreProperties>
</file>