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BRIN 3219\Julio\"/>
    </mc:Choice>
  </mc:AlternateContent>
  <xr:revisionPtr revIDLastSave="0" documentId="13_ncr:1_{AD9656C2-2811-450B-B0D9-86BD979C8E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Planilla!$A$1:$O$32</definedName>
    <definedName name="_xlnm.Print_Area" localSheetId="0">RESUMEN!$A$1:$H$97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27" l="1"/>
  <c r="H58" i="27"/>
  <c r="H71" i="27"/>
  <c r="G18" i="1"/>
  <c r="G16" i="1"/>
  <c r="G13" i="1"/>
  <c r="G10" i="1"/>
  <c r="G23" i="1"/>
  <c r="G25" i="1"/>
  <c r="G11" i="1"/>
  <c r="G20" i="1"/>
  <c r="G15" i="1"/>
  <c r="G22" i="1"/>
  <c r="G29" i="1"/>
  <c r="G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9" i="1"/>
  <c r="G32" i="1"/>
  <c r="H39" i="27" l="1"/>
  <c r="B5" i="1"/>
  <c r="G14" i="1"/>
  <c r="H24" i="27" l="1"/>
  <c r="J9" i="1"/>
  <c r="F4" i="1"/>
  <c r="H35" i="27" l="1"/>
  <c r="G30" i="1"/>
  <c r="G26" i="1"/>
  <c r="F32" i="1" l="1"/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9" i="1"/>
  <c r="M9" i="1"/>
  <c r="G24" i="1"/>
  <c r="H47" i="27"/>
  <c r="H18" i="27" l="1"/>
  <c r="Q29" i="1" l="1"/>
  <c r="N9" i="1"/>
  <c r="H1" i="1" l="1"/>
  <c r="H51" i="27" l="1"/>
  <c r="H26" i="27"/>
  <c r="H22" i="27" l="1"/>
  <c r="H68" i="27" l="1"/>
  <c r="F1" i="1" l="1"/>
  <c r="H31" i="27" l="1"/>
  <c r="H18" i="1" l="1"/>
  <c r="I18" i="1" l="1"/>
  <c r="H97" i="27" l="1"/>
  <c r="H54" i="27" l="1"/>
  <c r="H73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0" i="27" l="1"/>
  <c r="H75" i="27" s="1"/>
  <c r="H76" i="27" l="1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 l="1"/>
  <c r="K32" i="1" l="1"/>
  <c r="J30" i="1"/>
  <c r="J23" i="1"/>
  <c r="H22" i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H10" i="1"/>
  <c r="H11" i="1"/>
  <c r="H12" i="1"/>
  <c r="H13" i="1"/>
  <c r="H16" i="1"/>
  <c r="H19" i="1"/>
  <c r="H21" i="1"/>
  <c r="H23" i="1"/>
  <c r="H24" i="1"/>
  <c r="H25" i="1"/>
  <c r="H26" i="1"/>
  <c r="H27" i="1"/>
  <c r="H28" i="1"/>
  <c r="H29" i="1"/>
  <c r="H31" i="1"/>
  <c r="H9" i="1"/>
  <c r="I25" i="1" l="1"/>
  <c r="I22" i="1"/>
  <c r="I28" i="1"/>
  <c r="I24" i="1"/>
  <c r="I16" i="1"/>
  <c r="I10" i="1"/>
  <c r="I9" i="1"/>
  <c r="O9" i="1" s="1"/>
  <c r="I27" i="1"/>
  <c r="I23" i="1"/>
  <c r="I13" i="1"/>
  <c r="I29" i="1"/>
  <c r="I19" i="1"/>
  <c r="I11" i="1"/>
  <c r="I31" i="1"/>
  <c r="I26" i="1"/>
  <c r="I21" i="1"/>
  <c r="I12" i="1"/>
  <c r="J12" i="1"/>
  <c r="H15" i="1"/>
  <c r="J22" i="1"/>
  <c r="H30" i="1"/>
  <c r="H20" i="1"/>
  <c r="H14" i="1"/>
  <c r="H63" i="27"/>
  <c r="H86" i="27" s="1"/>
  <c r="I14" i="1" l="1"/>
  <c r="I15" i="1"/>
  <c r="I20" i="1"/>
  <c r="I30" i="1"/>
  <c r="H85" i="27"/>
  <c r="E32" i="1"/>
  <c r="B32" i="1"/>
  <c r="H74" i="27" l="1"/>
  <c r="H62" i="27"/>
  <c r="H77" i="27" l="1"/>
  <c r="M11" i="1" l="1"/>
  <c r="O11" i="1" s="1"/>
  <c r="M15" i="1"/>
  <c r="O15" i="1" s="1"/>
  <c r="M19" i="1"/>
  <c r="O19" i="1" s="1"/>
  <c r="M23" i="1"/>
  <c r="O23" i="1" s="1"/>
  <c r="M27" i="1"/>
  <c r="M31" i="1"/>
  <c r="O31" i="1" s="1"/>
  <c r="M17" i="1"/>
  <c r="M21" i="1"/>
  <c r="O21" i="1" s="1"/>
  <c r="M29" i="1"/>
  <c r="M10" i="1"/>
  <c r="O10" i="1" s="1"/>
  <c r="M18" i="1"/>
  <c r="O18" i="1" s="1"/>
  <c r="M26" i="1"/>
  <c r="O26" i="1" s="1"/>
  <c r="M12" i="1"/>
  <c r="O12" i="1" s="1"/>
  <c r="M16" i="1"/>
  <c r="O16" i="1" s="1"/>
  <c r="M20" i="1"/>
  <c r="O20" i="1" s="1"/>
  <c r="M24" i="1"/>
  <c r="O24" i="1" s="1"/>
  <c r="M28" i="1"/>
  <c r="O28" i="1" s="1"/>
  <c r="M13" i="1"/>
  <c r="O13" i="1" s="1"/>
  <c r="M25" i="1"/>
  <c r="O25" i="1" s="1"/>
  <c r="M14" i="1"/>
  <c r="O14" i="1" s="1"/>
  <c r="M22" i="1"/>
  <c r="O22" i="1" s="1"/>
  <c r="M30" i="1"/>
  <c r="O30" i="1" s="1"/>
  <c r="O29" i="1" l="1"/>
  <c r="P29" i="1"/>
  <c r="P27" i="1"/>
  <c r="O27" i="1"/>
  <c r="M32" i="1"/>
  <c r="J17" i="1" l="1"/>
  <c r="J32" i="1" s="1"/>
  <c r="H84" i="27"/>
  <c r="H90" i="27" s="1"/>
  <c r="H17" i="1"/>
  <c r="I17" i="1" l="1"/>
  <c r="O17" i="1" s="1"/>
  <c r="O32" i="1" s="1"/>
  <c r="I32" i="1"/>
  <c r="H32" i="1"/>
</calcChain>
</file>

<file path=xl/sharedStrings.xml><?xml version="1.0" encoding="utf-8"?>
<sst xmlns="http://schemas.openxmlformats.org/spreadsheetml/2006/main" count="237" uniqueCount="162">
  <si>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</si>
  <si>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</si>
  <si>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</si>
  <si>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</si>
  <si>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</si>
  <si>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</si>
  <si>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</si>
  <si>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</si>
  <si>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</si>
  <si>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</si>
  <si>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</si>
  <si>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</si>
  <si>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</si>
  <si>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</si>
  <si>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</si>
  <si>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</si>
  <si>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</si>
  <si>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</si>
  <si>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</si>
  <si>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</si>
  <si>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</si>
  <si>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</si>
  <si>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</si>
  <si>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</si>
  <si>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</si>
  <si>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</si>
  <si>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</si>
  <si>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</si>
  <si>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</si>
  <si>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</si>
  <si>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</si>
  <si>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</si>
  <si>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</si>
  <si>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</si>
  <si>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</si>
  <si>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</si>
  <si>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</si>
  <si>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</si>
  <si>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</si>
  <si>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</si>
  <si>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</si>
  <si>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</si>
  <si>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</si>
  <si>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</si>
  <si>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</si>
  <si>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</si>
  <si>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</si>
  <si>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</si>
  <si>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</si>
  <si>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</si>
  <si>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</si>
  <si>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</si>
  <si>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</si>
  <si>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</si>
  <si>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</si>
  <si>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</si>
  <si>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</si>
  <si>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</si>
  <si>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</si>
  <si>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</si>
  <si>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</si>
  <si>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</si>
  <si>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</si>
  <si>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</si>
  <si>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</si>
  <si>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</si>
  <si>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</si>
  <si>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</si>
  <si>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</si>
  <si>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</si>
  <si>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</si>
  <si>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</si>
  <si>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</si>
  <si>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</si>
  <si>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</si>
  <si>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</si>
  <si>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</si>
  <si>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</si>
  <si>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</si>
  <si>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</si>
  <si>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</si>
  <si>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</si>
  <si>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</si>
  <si>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</si>
  <si>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</si>
  <si>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</si>
  <si>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</si>
  <si>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</si>
  <si>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</si>
  <si>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</si>
  <si>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</si>
  <si>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</si>
  <si>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</si>
  <si>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</si>
  <si>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</si>
  <si>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</si>
  <si>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</si>
  <si>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</si>
  <si>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</si>
  <si>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</si>
  <si>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</si>
  <si>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</si>
  <si>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</si>
  <si>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</si>
  <si>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</si>
  <si>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Miriam</t>
  </si>
  <si>
    <t>Leonel</t>
  </si>
  <si>
    <t>Laura</t>
  </si>
  <si>
    <t>Corina</t>
  </si>
  <si>
    <t>Vanina</t>
  </si>
  <si>
    <t>Oscar</t>
  </si>
  <si>
    <t>Paula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</si>
  <si>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</si>
  <si>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</si>
  <si>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</si>
  <si>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</si>
  <si>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</si>
  <si>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</si>
  <si>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</si>
  <si>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</si>
  <si>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</si>
  <si>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</si>
  <si>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</si>
  <si>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</si>
  <si>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</si>
  <si>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</si>
  <si>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</si>
  <si>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</si>
  <si>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</si>
  <si>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</si>
  <si>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</si>
  <si>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</si>
  <si>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</si>
  <si>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</si>
  <si>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</si>
  <si>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</si>
  <si>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</si>
  <si>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</si>
  <si>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</si>
  <si>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 xml:space="preserve">Ascensor </t>
  </si>
  <si>
    <t>Ordinarios:</t>
  </si>
  <si>
    <t>Le queda a favor esto actualmente</t>
  </si>
  <si>
    <t>INGRESO</t>
  </si>
  <si>
    <t>Nico Plagas - Desratizacion</t>
  </si>
  <si>
    <t>Ingreso por alquiler Piso 6 UF 24 y Expensas</t>
  </si>
  <si>
    <t xml:space="preserve">Ingreso por pago de Expensas </t>
  </si>
  <si>
    <t>Extraordinarias</t>
  </si>
  <si>
    <t>subidos en m4rz0</t>
  </si>
  <si>
    <t>Reemplazo por vacaciones</t>
  </si>
  <si>
    <t>Seguro - Reemplazo</t>
  </si>
  <si>
    <t>Articulos de limpieza</t>
  </si>
  <si>
    <t>MAM - Sistema de camaras</t>
  </si>
  <si>
    <t>Honorarios Sr. Ezequiel Sarro - Abogado</t>
  </si>
  <si>
    <t>Pago de convenio sindicato (abogado Maximiliano Nicolas Oliver Abogado del Sindicato para la apertura del pago de deuda de la cual estamos intimados)</t>
  </si>
  <si>
    <t>VTO: 17/8</t>
  </si>
  <si>
    <t>JULIO</t>
  </si>
  <si>
    <t>Damato fumigaciones - JULIO</t>
  </si>
  <si>
    <t>Egresos por gastos mes - JULIO</t>
  </si>
  <si>
    <t>Cuota 4 de 5 - Limpieza de columnas, cocina y baño de todas las unidades funcionales - Cuello Natalia</t>
  </si>
  <si>
    <t>Facundo heredia -</t>
  </si>
  <si>
    <t>Doartero Julio - Reparacion flotante de entrada de agua</t>
  </si>
  <si>
    <t>Doartero Julio - Visita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</si>
</sst>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5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164" fontId="30" fillId="2" borderId="1" xfId="1" applyNumberFormat="1" applyFont="1" applyFill="1" applyBorder="1"/>
    <xf numFmtId="44" fontId="2" fillId="2" borderId="13" xfId="0" applyNumberFormat="1" applyFont="1" applyFill="1" applyBorder="1"/>
    <xf numFmtId="44" fontId="2" fillId="8" borderId="13" xfId="0" applyNumberFormat="1" applyFont="1" applyFill="1" applyBorder="1"/>
    <xf numFmtId="164" fontId="31" fillId="0" borderId="1" xfId="1" applyNumberFormat="1" applyFont="1" applyBorder="1"/>
    <xf numFmtId="0" fontId="21" fillId="0" borderId="6" xfId="0" applyFont="1" applyBorder="1"/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44" fontId="0" fillId="0" borderId="0" xfId="0" applyNumberFormat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0" fillId="0" borderId="4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21" fillId="0" borderId="4" xfId="1" applyFont="1" applyBorder="1" applyAlignment="1">
      <alignment horizontal="center"/>
    </xf>
    <xf numFmtId="44" fontId="21" fillId="0" borderId="6" xfId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30" fillId="2" borderId="1" xfId="1" applyFont="1" applyFill="1" applyBorder="1"/>
    <xf numFmtId="0" fontId="21" fillId="5" borderId="4" xfId="0" applyFont="1" applyFill="1" applyBorder="1" applyAlignment="1">
      <alignment horizontal="left" vertical="center" wrapText="1"/>
    </xf>
    <xf numFmtId="0" fontId="21" fillId="5" borderId="5" xfId="0" applyFont="1" applyFill="1" applyBorder="1" applyAlignment="1">
      <alignment horizontal="left" vertical="center" wrapText="1"/>
    </xf>
    <xf numFmtId="0" fontId="21" fillId="5" borderId="6" xfId="0" applyFont="1" applyFill="1" applyBorder="1" applyAlignment="1">
      <alignment horizontal="left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3"/>
  <sheetViews>
    <sheetView tabSelected="1" topLeftCell="A26" zoomScaleNormal="100" workbookViewId="0">
      <selection activeCell="A43" sqref="A43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03"/>
      <c r="E2" s="204"/>
      <c r="F2" s="204"/>
      <c r="G2" s="204"/>
      <c r="H2" s="205"/>
    </row>
    <row r="3" spans="1:9">
      <c r="A3" s="10"/>
      <c r="D3" s="14" t="s">
        <v>6</v>
      </c>
      <c r="E3" s="207">
        <v>1153202676</v>
      </c>
      <c r="F3" s="207"/>
      <c r="G3" s="207"/>
      <c r="H3" s="208"/>
    </row>
    <row r="4" spans="1:9">
      <c r="A4" s="10"/>
      <c r="D4" s="14" t="s">
        <v>4</v>
      </c>
      <c r="E4" s="55" t="s">
        <v>65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112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66</v>
      </c>
      <c r="F8" s="89" t="s">
        <v>155</v>
      </c>
      <c r="G8" s="19" t="s">
        <v>154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18"/>
      <c r="B12" s="187"/>
      <c r="C12" s="187"/>
      <c r="D12" s="187"/>
      <c r="E12" s="187"/>
      <c r="F12" s="187"/>
      <c r="G12" s="187"/>
      <c r="H12" s="219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20" t="s">
        <v>121</v>
      </c>
      <c r="B14" s="220"/>
      <c r="C14" s="220"/>
      <c r="D14" s="220"/>
      <c r="E14" s="220"/>
      <c r="F14" s="220"/>
      <c r="G14" s="220"/>
      <c r="H14" s="220"/>
    </row>
    <row r="15" spans="1:9">
      <c r="A15" s="172" t="s">
        <v>135</v>
      </c>
      <c r="B15" s="137"/>
      <c r="C15" s="137"/>
      <c r="D15" s="137"/>
      <c r="E15" s="137"/>
      <c r="F15" s="137"/>
      <c r="G15" s="137"/>
      <c r="H15" s="73">
        <v>619789.12</v>
      </c>
    </row>
    <row r="16" spans="1:9">
      <c r="A16" s="172" t="s">
        <v>85</v>
      </c>
      <c r="B16" s="137"/>
      <c r="C16" s="137"/>
      <c r="D16" s="137"/>
      <c r="E16" s="137"/>
      <c r="F16" s="137"/>
      <c r="G16" s="137"/>
      <c r="H16" s="73">
        <v>-97616.78</v>
      </c>
      <c r="I16" s="7"/>
    </row>
    <row r="17" spans="1:9">
      <c r="A17" s="172" t="s">
        <v>115</v>
      </c>
      <c r="B17" s="137"/>
      <c r="C17" s="137"/>
      <c r="D17" s="137"/>
      <c r="E17" s="137"/>
      <c r="F17" s="137"/>
      <c r="G17" s="137"/>
      <c r="H17" s="73">
        <v>0.66</v>
      </c>
      <c r="I17" s="7"/>
    </row>
    <row r="18" spans="1:9">
      <c r="A18" s="172" t="s">
        <v>73</v>
      </c>
      <c r="B18" s="137"/>
      <c r="C18" s="137"/>
      <c r="D18" s="137"/>
      <c r="E18" s="137"/>
      <c r="F18" s="137"/>
      <c r="G18" s="137"/>
      <c r="H18" s="69">
        <f>SUM(H15:H17)</f>
        <v>522172.99999999994</v>
      </c>
      <c r="I18" s="7"/>
    </row>
    <row r="19" spans="1:9" hidden="1">
      <c r="A19" s="214" t="s">
        <v>138</v>
      </c>
      <c r="B19" s="214"/>
      <c r="C19" s="214"/>
      <c r="D19" s="214"/>
      <c r="E19" s="214"/>
      <c r="F19" s="214"/>
      <c r="G19" s="214"/>
      <c r="H19" s="214"/>
    </row>
    <row r="20" spans="1:9" hidden="1">
      <c r="A20" s="172" t="s">
        <v>148</v>
      </c>
      <c r="B20" s="137"/>
      <c r="C20" s="137"/>
      <c r="D20" s="137"/>
      <c r="E20" s="137"/>
      <c r="F20" s="137"/>
      <c r="G20" s="137"/>
      <c r="H20" s="73">
        <v>0</v>
      </c>
    </row>
    <row r="21" spans="1:9" hidden="1">
      <c r="A21" s="172" t="s">
        <v>149</v>
      </c>
      <c r="B21" s="137"/>
      <c r="C21" s="137"/>
      <c r="D21" s="137"/>
      <c r="E21" s="137"/>
      <c r="F21" s="137"/>
      <c r="G21" s="137"/>
      <c r="H21" s="73">
        <v>0</v>
      </c>
    </row>
    <row r="22" spans="1:9" hidden="1">
      <c r="A22" s="172" t="s">
        <v>73</v>
      </c>
      <c r="B22" s="137"/>
      <c r="C22" s="137"/>
      <c r="D22" s="137"/>
      <c r="E22" s="137"/>
      <c r="F22" s="137"/>
      <c r="G22" s="137"/>
      <c r="H22" s="69">
        <f>SUM(H20:H21)</f>
        <v>0</v>
      </c>
    </row>
    <row r="23" spans="1:9">
      <c r="A23" s="213" t="s">
        <v>126</v>
      </c>
      <c r="B23" s="213"/>
      <c r="C23" s="213"/>
      <c r="D23" s="213"/>
      <c r="E23" s="213"/>
      <c r="F23" s="213"/>
      <c r="G23" s="213"/>
      <c r="H23" s="213"/>
    </row>
    <row r="24" spans="1:9">
      <c r="A24" s="137" t="s">
        <v>133</v>
      </c>
      <c r="B24" s="137"/>
      <c r="C24" s="137"/>
      <c r="D24" s="137"/>
      <c r="E24" s="137"/>
      <c r="F24" s="137"/>
      <c r="G24" s="137"/>
      <c r="H24" s="73">
        <f>(17000+32000)/2</f>
        <v>24500</v>
      </c>
    </row>
    <row r="25" spans="1:9">
      <c r="A25" s="137"/>
      <c r="B25" s="137"/>
      <c r="C25" s="137"/>
      <c r="D25" s="137"/>
      <c r="E25" s="137"/>
      <c r="F25" s="137"/>
      <c r="G25" s="137"/>
      <c r="H25" s="73"/>
    </row>
    <row r="26" spans="1:9">
      <c r="A26" s="137" t="s">
        <v>73</v>
      </c>
      <c r="B26" s="137"/>
      <c r="C26" s="137"/>
      <c r="D26" s="137"/>
      <c r="E26" s="137"/>
      <c r="F26" s="137"/>
      <c r="G26" s="137"/>
      <c r="H26" s="69">
        <f>SUM(H24:H25)</f>
        <v>24500</v>
      </c>
    </row>
    <row r="27" spans="1:9">
      <c r="A27" s="206" t="s">
        <v>86</v>
      </c>
      <c r="B27" s="206"/>
      <c r="C27" s="206"/>
      <c r="D27" s="206"/>
      <c r="E27" s="206"/>
      <c r="F27" s="206"/>
      <c r="G27" s="206"/>
      <c r="H27" s="206"/>
    </row>
    <row r="28" spans="1:9">
      <c r="A28" s="172"/>
      <c r="B28" s="137"/>
      <c r="C28" s="137"/>
      <c r="D28" s="137"/>
      <c r="E28" s="137"/>
      <c r="F28" s="137"/>
      <c r="G28" s="137"/>
      <c r="H28" s="73"/>
    </row>
    <row r="29" spans="1:9">
      <c r="A29" s="172" t="s">
        <v>78</v>
      </c>
      <c r="B29" s="173"/>
      <c r="C29" s="137"/>
      <c r="D29" s="137"/>
      <c r="E29" s="137"/>
      <c r="F29" s="137"/>
      <c r="G29" s="137"/>
      <c r="H29" s="241">
        <f>96723.22+60583.82</f>
        <v>157307.04</v>
      </c>
    </row>
    <row r="30" spans="1:9">
      <c r="A30" s="137" t="s">
        <v>134</v>
      </c>
      <c r="B30" s="137"/>
      <c r="C30" s="137"/>
      <c r="D30" s="137"/>
      <c r="E30" s="137"/>
      <c r="F30" s="137"/>
      <c r="G30" s="137"/>
      <c r="H30" s="73">
        <v>0</v>
      </c>
    </row>
    <row r="31" spans="1:9">
      <c r="A31" s="137" t="s">
        <v>72</v>
      </c>
      <c r="B31" s="137"/>
      <c r="C31" s="137"/>
      <c r="D31" s="137"/>
      <c r="E31" s="137"/>
      <c r="F31" s="137"/>
      <c r="G31" s="137"/>
      <c r="H31" s="69">
        <f>SUM(H28:H30)</f>
        <v>157307.04</v>
      </c>
    </row>
    <row r="32" spans="1:9">
      <c r="A32" s="206" t="s">
        <v>127</v>
      </c>
      <c r="B32" s="206"/>
      <c r="C32" s="206"/>
      <c r="D32" s="206"/>
      <c r="E32" s="206"/>
      <c r="F32" s="206"/>
      <c r="G32" s="206"/>
      <c r="H32" s="206"/>
    </row>
    <row r="33" spans="1:9" ht="14.25" customHeight="1">
      <c r="A33" s="137" t="s">
        <v>136</v>
      </c>
      <c r="B33" s="137"/>
      <c r="C33" s="137"/>
      <c r="D33" s="137"/>
      <c r="E33" s="137"/>
      <c r="F33" s="137"/>
      <c r="G33" s="137"/>
      <c r="H33" s="241">
        <v>283260.5</v>
      </c>
    </row>
    <row r="34" spans="1:9">
      <c r="A34" s="174" t="s">
        <v>98</v>
      </c>
      <c r="B34" s="137"/>
      <c r="C34" s="137"/>
      <c r="D34" s="137"/>
      <c r="E34" s="137"/>
      <c r="F34" s="137"/>
      <c r="G34" s="137"/>
      <c r="H34" s="241">
        <v>83971.55</v>
      </c>
    </row>
    <row r="35" spans="1:9">
      <c r="A35" s="137" t="s">
        <v>73</v>
      </c>
      <c r="B35" s="137"/>
      <c r="C35" s="137"/>
      <c r="D35" s="137"/>
      <c r="E35" s="137"/>
      <c r="F35" s="137"/>
      <c r="G35" s="137"/>
      <c r="H35" s="175">
        <f>SUM(H33:H34)</f>
        <v>367232.05</v>
      </c>
    </row>
    <row r="36" spans="1:9">
      <c r="A36" s="220" t="s">
        <v>128</v>
      </c>
      <c r="B36" s="220"/>
      <c r="C36" s="220"/>
      <c r="D36" s="220"/>
      <c r="E36" s="220"/>
      <c r="F36" s="220"/>
      <c r="G36" s="220"/>
      <c r="H36" s="220"/>
    </row>
    <row r="37" spans="1:9">
      <c r="A37" s="80" t="s">
        <v>68</v>
      </c>
      <c r="B37" s="137"/>
      <c r="C37" s="137"/>
      <c r="D37" s="137"/>
      <c r="E37" s="137"/>
      <c r="F37" s="137"/>
      <c r="G37" s="137"/>
      <c r="H37" s="241">
        <v>93200</v>
      </c>
    </row>
    <row r="38" spans="1:9">
      <c r="A38" s="80" t="s">
        <v>143</v>
      </c>
      <c r="B38" s="137"/>
      <c r="C38" s="137"/>
      <c r="D38" s="137"/>
      <c r="E38" s="137"/>
      <c r="F38" s="137"/>
      <c r="G38" s="137"/>
      <c r="H38" s="73">
        <v>200000</v>
      </c>
      <c r="I38" s="7"/>
    </row>
    <row r="39" spans="1:9" ht="15.6" customHeight="1">
      <c r="A39" s="215" t="s">
        <v>150</v>
      </c>
      <c r="B39" s="216"/>
      <c r="C39" s="216"/>
      <c r="D39" s="216"/>
      <c r="E39" s="216"/>
      <c r="F39" s="216"/>
      <c r="G39" s="217"/>
      <c r="H39" s="73">
        <f>71000+75400+57100</f>
        <v>203500</v>
      </c>
      <c r="I39" s="7"/>
    </row>
    <row r="40" spans="1:9">
      <c r="A40" s="137" t="s">
        <v>69</v>
      </c>
      <c r="B40" s="137"/>
      <c r="C40" s="137"/>
      <c r="D40" s="137"/>
      <c r="E40" s="137"/>
      <c r="F40" s="137"/>
      <c r="G40" s="137"/>
      <c r="H40" s="241">
        <v>33600.61</v>
      </c>
    </row>
    <row r="41" spans="1:9">
      <c r="A41" s="81" t="s">
        <v>151</v>
      </c>
      <c r="B41" s="82"/>
      <c r="C41" s="82"/>
      <c r="D41" s="82"/>
      <c r="E41" s="82"/>
      <c r="F41" s="82"/>
      <c r="G41" s="186"/>
      <c r="H41" s="73">
        <v>45000</v>
      </c>
    </row>
    <row r="42" spans="1:9">
      <c r="A42" s="81" t="s">
        <v>160</v>
      </c>
      <c r="B42" s="82"/>
      <c r="C42" s="82"/>
      <c r="D42" s="82"/>
      <c r="E42" s="82"/>
      <c r="F42" s="82"/>
      <c r="G42" s="186"/>
      <c r="H42" s="241">
        <v>110000</v>
      </c>
    </row>
    <row r="43" spans="1:9">
      <c r="A43" s="81" t="s">
        <v>161</v>
      </c>
      <c r="B43" s="82"/>
      <c r="C43" s="82"/>
      <c r="D43" s="82"/>
      <c r="E43" s="82"/>
      <c r="F43" s="82"/>
      <c r="G43" s="186"/>
      <c r="H43" s="241">
        <v>35000</v>
      </c>
    </row>
    <row r="44" spans="1:9" ht="37.950000000000003" customHeight="1">
      <c r="A44" s="242" t="s">
        <v>159</v>
      </c>
      <c r="B44" s="243"/>
      <c r="C44" s="243"/>
      <c r="D44" s="243"/>
      <c r="E44" s="243"/>
      <c r="F44" s="243"/>
      <c r="G44" s="244"/>
      <c r="H44" s="241">
        <v>280000</v>
      </c>
    </row>
    <row r="45" spans="1:9">
      <c r="A45" s="137" t="s">
        <v>156</v>
      </c>
      <c r="B45" s="137"/>
      <c r="C45" s="137"/>
      <c r="D45" s="137"/>
      <c r="E45" s="137"/>
      <c r="F45" s="137"/>
      <c r="G45" s="137"/>
      <c r="H45" s="241">
        <v>75000</v>
      </c>
    </row>
    <row r="46" spans="1:9">
      <c r="A46" s="137" t="s">
        <v>158</v>
      </c>
      <c r="B46" s="137"/>
      <c r="C46" s="137"/>
      <c r="D46" s="137"/>
      <c r="E46" s="137"/>
      <c r="F46" s="137"/>
      <c r="G46" s="137"/>
      <c r="H46" s="241">
        <v>413700</v>
      </c>
    </row>
    <row r="47" spans="1:9">
      <c r="A47" s="137" t="s">
        <v>73</v>
      </c>
      <c r="B47" s="137"/>
      <c r="C47" s="137"/>
      <c r="D47" s="137"/>
      <c r="E47" s="137"/>
      <c r="F47" s="137"/>
      <c r="G47" s="137"/>
      <c r="H47" s="69">
        <f>SUM(H37:H46)</f>
        <v>1489000.6099999999</v>
      </c>
    </row>
    <row r="48" spans="1:9">
      <c r="A48" s="220" t="s">
        <v>129</v>
      </c>
      <c r="B48" s="220"/>
      <c r="C48" s="220"/>
      <c r="D48" s="220"/>
      <c r="E48" s="220"/>
      <c r="F48" s="220"/>
      <c r="G48" s="220"/>
      <c r="H48" s="220"/>
    </row>
    <row r="49" spans="1:11">
      <c r="A49" s="137" t="s">
        <v>70</v>
      </c>
      <c r="B49" s="137"/>
      <c r="C49" s="137"/>
      <c r="D49" s="137"/>
      <c r="E49" s="137"/>
      <c r="F49" s="137"/>
      <c r="G49" s="137"/>
      <c r="H49" s="73">
        <v>189700</v>
      </c>
      <c r="J49" t="s">
        <v>147</v>
      </c>
    </row>
    <row r="50" spans="1:11">
      <c r="A50" s="137" t="s">
        <v>114</v>
      </c>
      <c r="B50" s="137"/>
      <c r="C50" s="137"/>
      <c r="D50" s="137"/>
      <c r="E50" s="137"/>
      <c r="F50" s="137"/>
      <c r="G50" s="137"/>
      <c r="H50" s="241">
        <v>50000</v>
      </c>
    </row>
    <row r="51" spans="1:11">
      <c r="A51" s="137" t="s">
        <v>72</v>
      </c>
      <c r="B51" s="137"/>
      <c r="C51" s="137"/>
      <c r="D51" s="137"/>
      <c r="E51" s="137"/>
      <c r="F51" s="137"/>
      <c r="G51" s="137"/>
      <c r="H51" s="175">
        <f>SUM(H49:H50)</f>
        <v>239700</v>
      </c>
      <c r="K51" s="7"/>
    </row>
    <row r="52" spans="1:11" s="6" customFormat="1">
      <c r="A52" s="221" t="s">
        <v>130</v>
      </c>
      <c r="B52" s="222"/>
      <c r="C52" s="222"/>
      <c r="D52" s="222"/>
      <c r="E52" s="222"/>
      <c r="F52" s="222"/>
      <c r="G52" s="222"/>
      <c r="H52" s="223"/>
    </row>
    <row r="53" spans="1:11" s="6" customFormat="1">
      <c r="A53" s="80" t="s">
        <v>116</v>
      </c>
      <c r="B53" s="80"/>
      <c r="C53" s="80"/>
      <c r="D53" s="80"/>
      <c r="E53" s="80"/>
      <c r="F53" s="80"/>
      <c r="G53" s="80"/>
      <c r="H53" s="241">
        <v>28834</v>
      </c>
      <c r="I53" s="60"/>
    </row>
    <row r="54" spans="1:11" s="6" customFormat="1">
      <c r="A54" s="80" t="s">
        <v>73</v>
      </c>
      <c r="B54" s="80"/>
      <c r="C54" s="80"/>
      <c r="D54" s="80"/>
      <c r="E54" s="80"/>
      <c r="F54" s="80"/>
      <c r="G54" s="80"/>
      <c r="H54" s="69">
        <f>SUM(H53)</f>
        <v>28834</v>
      </c>
    </row>
    <row r="55" spans="1:11" s="6" customFormat="1">
      <c r="A55" s="220" t="s">
        <v>131</v>
      </c>
      <c r="B55" s="220"/>
      <c r="C55" s="220"/>
      <c r="D55" s="220"/>
      <c r="E55" s="220"/>
      <c r="F55" s="220"/>
      <c r="G55" s="220"/>
      <c r="H55" s="220"/>
    </row>
    <row r="56" spans="1:11" s="6" customFormat="1">
      <c r="A56" s="80" t="s">
        <v>152</v>
      </c>
      <c r="B56" s="80"/>
      <c r="C56" s="80"/>
      <c r="D56" s="80"/>
      <c r="E56" s="80"/>
      <c r="F56" s="80"/>
      <c r="G56" s="80"/>
      <c r="H56" s="73">
        <v>100000</v>
      </c>
    </row>
    <row r="57" spans="1:11" s="6" customFormat="1" ht="31.5" customHeight="1">
      <c r="A57" s="215" t="s">
        <v>153</v>
      </c>
      <c r="B57" s="216"/>
      <c r="C57" s="216"/>
      <c r="D57" s="216"/>
      <c r="E57" s="216"/>
      <c r="F57" s="216"/>
      <c r="G57" s="217"/>
      <c r="H57" s="73">
        <v>997000</v>
      </c>
    </row>
    <row r="58" spans="1:11" s="6" customFormat="1" ht="15" customHeight="1">
      <c r="A58" s="80" t="s">
        <v>74</v>
      </c>
      <c r="B58" s="80"/>
      <c r="C58" s="80"/>
      <c r="D58" s="80"/>
      <c r="E58" s="80"/>
      <c r="F58" s="80"/>
      <c r="G58" s="80"/>
      <c r="H58" s="69">
        <f>SUM(H56:H57)</f>
        <v>1097000</v>
      </c>
      <c r="I58" s="60"/>
    </row>
    <row r="59" spans="1:11" s="6" customFormat="1" ht="18" customHeight="1">
      <c r="A59" s="221"/>
      <c r="B59" s="222"/>
      <c r="C59" s="222"/>
      <c r="D59" s="222"/>
      <c r="E59" s="222"/>
      <c r="F59" s="222"/>
      <c r="G59" s="222"/>
      <c r="H59" s="223"/>
    </row>
    <row r="60" spans="1:11" s="6" customFormat="1" ht="23.25" hidden="1" customHeight="1">
      <c r="A60" s="81"/>
      <c r="B60" s="82"/>
      <c r="C60" s="82"/>
      <c r="D60" s="82"/>
      <c r="E60" s="82"/>
      <c r="F60" s="82"/>
      <c r="G60" s="82"/>
      <c r="H60" s="156">
        <v>0</v>
      </c>
    </row>
    <row r="61" spans="1:11" s="6" customFormat="1" ht="20.25" hidden="1" customHeight="1">
      <c r="A61" s="157"/>
      <c r="B61" s="158"/>
      <c r="C61" s="158"/>
      <c r="D61" s="158"/>
      <c r="E61" s="158"/>
      <c r="F61" s="158"/>
      <c r="G61" s="158"/>
      <c r="H61" s="159">
        <v>0</v>
      </c>
    </row>
    <row r="62" spans="1:11" s="6" customFormat="1" ht="18" hidden="1" customHeight="1">
      <c r="A62" s="160"/>
      <c r="B62" s="161"/>
      <c r="C62" s="161"/>
      <c r="D62" s="161"/>
      <c r="E62" s="161"/>
      <c r="F62" s="161"/>
      <c r="G62" s="161"/>
      <c r="H62" s="156">
        <f>H60+H61</f>
        <v>0</v>
      </c>
    </row>
    <row r="63" spans="1:11" s="6" customFormat="1" ht="18" hidden="1" customHeight="1">
      <c r="A63" s="224" t="s">
        <v>80</v>
      </c>
      <c r="B63" s="225"/>
      <c r="C63" s="225"/>
      <c r="D63" s="225"/>
      <c r="E63" s="225"/>
      <c r="F63" s="225"/>
      <c r="G63" s="225"/>
      <c r="H63" s="162">
        <f>H58</f>
        <v>1097000</v>
      </c>
    </row>
    <row r="64" spans="1:11" s="6" customFormat="1" ht="18" customHeight="1">
      <c r="A64" s="227"/>
      <c r="B64" s="227"/>
      <c r="C64" s="227"/>
      <c r="D64" s="227"/>
      <c r="E64" s="227"/>
      <c r="F64" s="227"/>
      <c r="G64" s="227"/>
      <c r="H64" s="227"/>
    </row>
    <row r="65" spans="1:11" s="6" customFormat="1" ht="86.25" hidden="1" customHeight="1">
      <c r="A65" s="228"/>
      <c r="B65" s="228"/>
      <c r="C65" s="228"/>
      <c r="D65" s="228"/>
      <c r="E65" s="228"/>
      <c r="F65" s="228"/>
      <c r="G65" s="228"/>
      <c r="H65" s="228"/>
    </row>
    <row r="66" spans="1:11" s="6" customFormat="1" ht="18" customHeight="1">
      <c r="A66" s="226" t="s">
        <v>82</v>
      </c>
      <c r="B66" s="226"/>
      <c r="C66" s="226"/>
      <c r="D66" s="226"/>
      <c r="E66" s="226"/>
      <c r="F66" s="226"/>
      <c r="G66" s="226"/>
      <c r="H66" s="163"/>
    </row>
    <row r="67" spans="1:11" s="6" customFormat="1" ht="26.25" customHeight="1">
      <c r="A67" s="215"/>
      <c r="B67" s="216"/>
      <c r="C67" s="216"/>
      <c r="D67" s="216"/>
      <c r="E67" s="216"/>
      <c r="F67" s="216"/>
      <c r="G67" s="217"/>
      <c r="H67" s="73"/>
    </row>
    <row r="68" spans="1:11" s="6" customFormat="1" ht="18" customHeight="1">
      <c r="A68" s="127" t="s">
        <v>73</v>
      </c>
      <c r="B68" s="80"/>
      <c r="C68" s="80"/>
      <c r="D68" s="80"/>
      <c r="E68" s="80"/>
      <c r="F68" s="80"/>
      <c r="G68" s="80"/>
      <c r="H68" s="69">
        <f>SUM(H67:H67)</f>
        <v>0</v>
      </c>
    </row>
    <row r="69" spans="1:11" s="6" customFormat="1" ht="18" customHeight="1" thickBot="1">
      <c r="A69" s="128"/>
      <c r="B69" s="128"/>
      <c r="C69" s="128"/>
      <c r="D69" s="128"/>
      <c r="E69" s="128"/>
      <c r="F69" s="128"/>
      <c r="G69" s="128"/>
      <c r="H69" s="129"/>
    </row>
    <row r="70" spans="1:11" s="6" customFormat="1" ht="18" customHeight="1" thickBot="1">
      <c r="A70" s="194" t="s">
        <v>81</v>
      </c>
      <c r="B70" s="195"/>
      <c r="C70" s="195"/>
      <c r="D70" s="195"/>
      <c r="E70" s="195"/>
      <c r="F70" s="195"/>
      <c r="G70" s="195"/>
      <c r="H70" s="130">
        <f>H68</f>
        <v>0</v>
      </c>
    </row>
    <row r="71" spans="1:11" s="6" customFormat="1" ht="18" customHeight="1" thickBot="1">
      <c r="A71" s="210" t="s">
        <v>87</v>
      </c>
      <c r="B71" s="211"/>
      <c r="C71" s="211"/>
      <c r="D71" s="211"/>
      <c r="E71" s="211"/>
      <c r="F71" s="211"/>
      <c r="G71" s="212"/>
      <c r="H71" s="130">
        <f>3283892.26-2477720.36</f>
        <v>806171.89999999991</v>
      </c>
    </row>
    <row r="72" spans="1:11" s="6" customFormat="1" ht="18" customHeight="1" thickBot="1">
      <c r="A72" s="210" t="s">
        <v>92</v>
      </c>
      <c r="B72" s="211"/>
      <c r="C72" s="211"/>
      <c r="D72" s="211"/>
      <c r="E72" s="211"/>
      <c r="F72" s="211"/>
      <c r="G72" s="212"/>
      <c r="H72" s="130"/>
    </row>
    <row r="73" spans="1:11" ht="18">
      <c r="A73" s="194" t="s">
        <v>88</v>
      </c>
      <c r="B73" s="195"/>
      <c r="C73" s="195"/>
      <c r="D73" s="195"/>
      <c r="E73" s="195"/>
      <c r="F73" s="195"/>
      <c r="G73" s="195"/>
      <c r="H73" s="130">
        <f>H26+H35+H47+H51+H54+H31+H18+H22</f>
        <v>2828746.7</v>
      </c>
      <c r="J73" s="171"/>
      <c r="K73" s="142"/>
    </row>
    <row r="74" spans="1:11" ht="18">
      <c r="A74" s="200" t="s">
        <v>119</v>
      </c>
      <c r="B74" s="201"/>
      <c r="C74" s="201"/>
      <c r="D74" s="201"/>
      <c r="E74" s="201"/>
      <c r="F74" s="201"/>
      <c r="G74" s="202"/>
      <c r="H74" s="131">
        <f>H71+H73</f>
        <v>3634918.6</v>
      </c>
      <c r="I74" s="126"/>
      <c r="J74" s="209"/>
      <c r="K74" s="209"/>
    </row>
    <row r="75" spans="1:11" ht="18">
      <c r="A75" s="200" t="s">
        <v>93</v>
      </c>
      <c r="B75" s="201"/>
      <c r="C75" s="201"/>
      <c r="D75" s="201"/>
      <c r="E75" s="201"/>
      <c r="F75" s="201"/>
      <c r="G75" s="202"/>
      <c r="H75" s="132">
        <f>H72+H70</f>
        <v>0</v>
      </c>
      <c r="J75" s="142"/>
    </row>
    <row r="76" spans="1:11" ht="20.25" customHeight="1" thickBot="1">
      <c r="A76" s="198" t="s">
        <v>83</v>
      </c>
      <c r="B76" s="199"/>
      <c r="C76" s="199"/>
      <c r="D76" s="199"/>
      <c r="E76" s="199"/>
      <c r="F76" s="199"/>
      <c r="G76" s="199"/>
      <c r="H76" s="133">
        <f>H73+H70</f>
        <v>2828746.7</v>
      </c>
      <c r="J76" s="7"/>
    </row>
    <row r="77" spans="1:11" ht="18" hidden="1">
      <c r="A77" s="196" t="s">
        <v>17</v>
      </c>
      <c r="B77" s="197"/>
      <c r="C77" s="197"/>
      <c r="D77" s="197"/>
      <c r="E77" s="197"/>
      <c r="F77" s="197"/>
      <c r="G77" s="197"/>
      <c r="H77" s="134">
        <f>H62</f>
        <v>0</v>
      </c>
      <c r="J77" s="7"/>
    </row>
    <row r="78" spans="1:11" ht="18" hidden="1">
      <c r="A78" s="135"/>
      <c r="B78" s="135"/>
      <c r="C78" s="135"/>
      <c r="D78" s="135"/>
      <c r="E78" s="135"/>
      <c r="F78" s="135"/>
      <c r="G78" s="135"/>
      <c r="H78" s="136"/>
      <c r="J78" s="7"/>
    </row>
    <row r="79" spans="1:11" ht="18" hidden="1">
      <c r="A79" s="135"/>
      <c r="B79" s="135"/>
      <c r="C79" s="135"/>
      <c r="D79" s="135"/>
      <c r="E79" s="135"/>
      <c r="F79" s="135"/>
      <c r="G79" s="135"/>
      <c r="H79" s="136"/>
      <c r="J79" s="7"/>
    </row>
    <row r="80" spans="1:11" ht="18" hidden="1">
      <c r="A80" s="135"/>
      <c r="B80" s="135"/>
      <c r="C80" s="135"/>
      <c r="D80" s="135"/>
      <c r="E80" s="135"/>
      <c r="F80" s="135"/>
      <c r="G80" s="135"/>
      <c r="H80" s="136"/>
      <c r="J80" s="7"/>
    </row>
    <row r="81" spans="1:11" ht="14.25" customHeight="1">
      <c r="A81" s="137"/>
      <c r="B81" s="137"/>
      <c r="C81" s="137"/>
      <c r="D81" s="137"/>
      <c r="E81" s="137"/>
      <c r="F81" s="137"/>
      <c r="G81" s="137"/>
      <c r="H81" s="137"/>
    </row>
    <row r="82" spans="1:11" ht="18">
      <c r="A82" s="191" t="s">
        <v>10</v>
      </c>
      <c r="B82" s="192"/>
      <c r="C82" s="192"/>
      <c r="D82" s="192"/>
      <c r="E82" s="192"/>
      <c r="F82" s="192"/>
      <c r="G82" s="192"/>
      <c r="H82" s="193"/>
    </row>
    <row r="83" spans="1:11" ht="18">
      <c r="A83" s="138" t="s">
        <v>12</v>
      </c>
      <c r="B83" s="139"/>
      <c r="C83" s="139"/>
      <c r="D83" s="139"/>
      <c r="E83" s="139"/>
      <c r="F83" s="139"/>
      <c r="G83" s="139"/>
      <c r="H83" s="140">
        <v>4724122.12</v>
      </c>
    </row>
    <row r="84" spans="1:11">
      <c r="A84" s="81" t="s">
        <v>145</v>
      </c>
      <c r="B84" s="82"/>
      <c r="C84" s="82"/>
      <c r="D84" s="82"/>
      <c r="E84" s="82"/>
      <c r="F84" s="82"/>
      <c r="G84" s="82"/>
      <c r="H84" s="141">
        <f>Planilla!G32</f>
        <v>2867785.4767692201</v>
      </c>
    </row>
    <row r="85" spans="1:11">
      <c r="A85" s="78" t="s">
        <v>157</v>
      </c>
      <c r="B85" s="79"/>
      <c r="C85" s="79"/>
      <c r="D85" s="79"/>
      <c r="E85" s="79"/>
      <c r="F85" s="79"/>
      <c r="G85" s="79"/>
      <c r="H85" s="179">
        <f>-(H76)</f>
        <v>-2828746.7</v>
      </c>
    </row>
    <row r="86" spans="1:11">
      <c r="A86" s="78" t="s">
        <v>84</v>
      </c>
      <c r="B86" s="79"/>
      <c r="C86" s="79"/>
      <c r="D86" s="79"/>
      <c r="E86" s="79"/>
      <c r="F86" s="79"/>
      <c r="G86" s="79"/>
      <c r="H86" s="179">
        <f>-H63</f>
        <v>-1097000</v>
      </c>
      <c r="K86" s="6"/>
    </row>
    <row r="87" spans="1:11">
      <c r="A87" s="78" t="s">
        <v>144</v>
      </c>
      <c r="B87" s="79"/>
      <c r="C87" s="79"/>
      <c r="D87" s="79"/>
      <c r="E87" s="79"/>
      <c r="F87" s="79"/>
      <c r="G87" s="79"/>
      <c r="H87" s="121">
        <v>154000</v>
      </c>
      <c r="J87" s="7"/>
    </row>
    <row r="88" spans="1:11">
      <c r="A88" s="78" t="s">
        <v>71</v>
      </c>
      <c r="B88" s="79"/>
      <c r="C88" s="79"/>
      <c r="D88" s="79"/>
      <c r="E88" s="79"/>
      <c r="F88" s="79"/>
      <c r="G88" s="79"/>
      <c r="H88" s="121">
        <v>63214</v>
      </c>
      <c r="I88" s="142"/>
      <c r="J88" s="7"/>
    </row>
    <row r="89" spans="1:11">
      <c r="A89" s="12" t="s">
        <v>117</v>
      </c>
      <c r="B89" s="83"/>
      <c r="C89" s="4"/>
      <c r="D89" s="4"/>
      <c r="E89" s="4"/>
      <c r="F89" s="4"/>
      <c r="G89" s="4"/>
      <c r="H89" s="98"/>
    </row>
    <row r="90" spans="1:11" ht="18">
      <c r="A90" s="22" t="s">
        <v>11</v>
      </c>
      <c r="B90" s="23"/>
      <c r="C90" s="23"/>
      <c r="D90" s="23"/>
      <c r="E90" s="23"/>
      <c r="F90" s="23"/>
      <c r="G90" s="23"/>
      <c r="H90" s="84">
        <f>SUM(H83:H89)</f>
        <v>3883374.89676922</v>
      </c>
    </row>
    <row r="91" spans="1:11" ht="15" thickBot="1"/>
    <row r="92" spans="1:11" ht="16.2" thickBot="1">
      <c r="A92" s="188" t="s">
        <v>97</v>
      </c>
      <c r="B92" s="189"/>
      <c r="C92" s="189"/>
      <c r="D92" s="189"/>
      <c r="E92" s="189"/>
      <c r="F92" s="189"/>
      <c r="G92" s="189"/>
      <c r="H92" s="190"/>
    </row>
    <row r="93" spans="1:11" ht="15.6">
      <c r="A93" s="87" t="s">
        <v>12</v>
      </c>
      <c r="B93" s="87"/>
      <c r="C93" s="87"/>
      <c r="D93" s="87"/>
      <c r="E93" s="87"/>
      <c r="F93" s="87"/>
      <c r="G93" s="87"/>
      <c r="H93" s="88">
        <v>0</v>
      </c>
    </row>
    <row r="94" spans="1:11">
      <c r="A94" s="61" t="s">
        <v>118</v>
      </c>
      <c r="B94" s="91"/>
      <c r="C94" s="4"/>
      <c r="D94" s="61"/>
      <c r="E94" s="61"/>
      <c r="F94" s="61"/>
      <c r="G94" s="61"/>
      <c r="H94" s="125"/>
    </row>
    <row r="95" spans="1:11">
      <c r="A95" s="61"/>
      <c r="B95" s="97"/>
      <c r="C95" s="61"/>
      <c r="D95" s="61"/>
      <c r="E95" s="61"/>
      <c r="F95" s="61"/>
      <c r="G95" s="61"/>
      <c r="H95" s="21"/>
    </row>
    <row r="96" spans="1:11">
      <c r="A96" s="61"/>
      <c r="B96" s="61"/>
      <c r="C96" s="61"/>
      <c r="D96" s="61"/>
      <c r="E96" s="61"/>
      <c r="F96" s="61"/>
      <c r="G96" s="61"/>
      <c r="H96" s="21"/>
    </row>
    <row r="97" spans="1:8">
      <c r="A97" s="85" t="s">
        <v>11</v>
      </c>
      <c r="B97" s="85"/>
      <c r="C97" s="85"/>
      <c r="D97" s="85"/>
      <c r="E97" s="85"/>
      <c r="F97" s="85"/>
      <c r="G97" s="85"/>
      <c r="H97" s="86">
        <f>SUM(H93:H96)</f>
        <v>0</v>
      </c>
    </row>
    <row r="100" spans="1:8" hidden="1">
      <c r="A100" s="187"/>
      <c r="B100" s="187"/>
      <c r="C100" s="187"/>
      <c r="D100" s="187"/>
      <c r="E100" s="187"/>
      <c r="F100" s="187"/>
      <c r="G100" s="187"/>
      <c r="H100" s="187"/>
    </row>
    <row r="101" spans="1:8" hidden="1">
      <c r="A101" s="187"/>
      <c r="B101" s="187"/>
      <c r="C101" s="187"/>
      <c r="D101" s="187"/>
      <c r="E101" s="187"/>
      <c r="F101" s="187"/>
      <c r="G101" s="187"/>
      <c r="H101" s="187"/>
    </row>
    <row r="102" spans="1:8" hidden="1">
      <c r="A102" s="187"/>
      <c r="B102" s="187"/>
      <c r="C102" s="187"/>
      <c r="D102" s="187"/>
      <c r="E102" s="187"/>
      <c r="F102" s="187"/>
      <c r="G102" s="187"/>
      <c r="H102" s="187"/>
    </row>
    <row r="103" spans="1:8" hidden="1">
      <c r="A103" s="187"/>
      <c r="B103" s="187"/>
      <c r="C103" s="187"/>
      <c r="D103" s="187"/>
      <c r="E103" s="187"/>
      <c r="F103" s="187"/>
      <c r="G103" s="187"/>
      <c r="H103" s="187"/>
    </row>
  </sheetData>
  <mergeCells count="32">
    <mergeCell ref="A44:G44"/>
    <mergeCell ref="A52:H52"/>
    <mergeCell ref="A71:G71"/>
    <mergeCell ref="A63:G63"/>
    <mergeCell ref="A70:G70"/>
    <mergeCell ref="A66:G66"/>
    <mergeCell ref="A64:H65"/>
    <mergeCell ref="A57:G57"/>
    <mergeCell ref="D2:H2"/>
    <mergeCell ref="A27:H27"/>
    <mergeCell ref="E3:H3"/>
    <mergeCell ref="J74:K74"/>
    <mergeCell ref="A72:G72"/>
    <mergeCell ref="A23:H23"/>
    <mergeCell ref="A19:H19"/>
    <mergeCell ref="A67:G67"/>
    <mergeCell ref="A12:H12"/>
    <mergeCell ref="A55:H55"/>
    <mergeCell ref="A59:H59"/>
    <mergeCell ref="A14:H14"/>
    <mergeCell ref="A32:H32"/>
    <mergeCell ref="A36:H36"/>
    <mergeCell ref="A48:H48"/>
    <mergeCell ref="A39:G39"/>
    <mergeCell ref="A100:H103"/>
    <mergeCell ref="A92:H92"/>
    <mergeCell ref="A82:H82"/>
    <mergeCell ref="A73:G73"/>
    <mergeCell ref="A77:G77"/>
    <mergeCell ref="A76:G76"/>
    <mergeCell ref="A75:G75"/>
    <mergeCell ref="A74:G74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zoomScaleNormal="100" workbookViewId="0">
      <selection activeCell="O9" sqref="O9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3.33203125" style="2" customWidth="1"/>
    <col min="12" max="12" width="13.6640625" style="2" customWidth="1"/>
    <col min="13" max="13" width="14.5546875" customWidth="1"/>
    <col min="14" max="14" width="13.44140625" hidden="1" customWidth="1"/>
    <col min="15" max="15" width="15.109375" customWidth="1"/>
    <col min="16" max="16" width="12" bestFit="1" customWidth="1"/>
    <col min="17" max="17" width="14.5546875" bestFit="1" customWidth="1"/>
  </cols>
  <sheetData>
    <row r="1" spans="1:17" ht="26.25" customHeight="1">
      <c r="A1" s="102"/>
      <c r="B1" s="103"/>
      <c r="C1" s="103"/>
      <c r="D1" s="103"/>
      <c r="E1" s="104" t="s">
        <v>67</v>
      </c>
      <c r="F1" s="105" t="str">
        <f>RESUMEN!F8</f>
        <v>JULIO</v>
      </c>
      <c r="G1" s="106"/>
      <c r="H1" s="104" t="str">
        <f>RESUMEN!G8</f>
        <v>VTO: 17/8</v>
      </c>
      <c r="I1" s="103"/>
      <c r="J1" s="103"/>
      <c r="K1" s="103"/>
      <c r="L1" s="103"/>
      <c r="M1" s="103"/>
      <c r="N1" s="103"/>
      <c r="O1" s="107"/>
    </row>
    <row r="2" spans="1:17">
      <c r="A2" s="61"/>
      <c r="B2" s="61"/>
      <c r="C2" s="124">
        <v>3283892.26</v>
      </c>
      <c r="D2" s="61"/>
      <c r="E2" s="61"/>
      <c r="F2" s="114"/>
      <c r="G2" s="114"/>
      <c r="H2" s="114"/>
      <c r="I2" s="114"/>
      <c r="J2" s="114"/>
      <c r="K2" s="114"/>
      <c r="L2" s="114"/>
      <c r="M2" s="61"/>
      <c r="N2" s="61"/>
      <c r="O2" s="61"/>
    </row>
    <row r="3" spans="1:17">
      <c r="A3" s="115"/>
      <c r="B3" s="116"/>
      <c r="C3" s="101">
        <v>4081947.54</v>
      </c>
      <c r="D3" s="61"/>
      <c r="E3" s="61"/>
      <c r="F3" s="117"/>
      <c r="G3" s="117"/>
      <c r="H3" s="117"/>
      <c r="I3" s="117"/>
      <c r="J3" s="117"/>
      <c r="K3" s="117"/>
      <c r="L3" s="61" t="s">
        <v>77</v>
      </c>
      <c r="M3" s="61"/>
      <c r="N3" s="61"/>
      <c r="O3" s="61"/>
    </row>
    <row r="4" spans="1:17" ht="18.75" customHeight="1">
      <c r="A4" s="118"/>
      <c r="B4" s="119" t="s">
        <v>140</v>
      </c>
      <c r="C4" s="61"/>
      <c r="D4" s="61"/>
      <c r="E4" s="119" t="s">
        <v>79</v>
      </c>
      <c r="F4" s="185">
        <f>278067+10000+9000-3000-520+225+12</f>
        <v>293784</v>
      </c>
      <c r="G4" s="117"/>
      <c r="H4" s="117"/>
      <c r="I4" s="117"/>
      <c r="J4" s="117"/>
      <c r="K4" s="117"/>
      <c r="L4" s="61" t="s">
        <v>76</v>
      </c>
      <c r="M4" s="61"/>
      <c r="N4" s="61"/>
      <c r="O4" s="61"/>
    </row>
    <row r="5" spans="1:17" ht="15.75" customHeight="1">
      <c r="A5" s="120"/>
      <c r="B5" s="230">
        <f>C2</f>
        <v>3283892.26</v>
      </c>
      <c r="C5" s="230"/>
      <c r="D5" s="21"/>
      <c r="E5" s="236">
        <v>1097000</v>
      </c>
      <c r="F5" s="237"/>
      <c r="G5" s="114"/>
      <c r="H5" s="114"/>
      <c r="I5" s="114"/>
      <c r="J5" s="114"/>
      <c r="K5" s="114"/>
      <c r="L5" s="114"/>
      <c r="M5" s="61"/>
      <c r="N5" s="61"/>
      <c r="O5" s="61"/>
    </row>
    <row r="6" spans="1:17" ht="15.75" customHeight="1">
      <c r="A6" s="120"/>
      <c r="B6" s="232"/>
      <c r="C6" s="233"/>
      <c r="D6" s="21"/>
      <c r="E6" s="232" t="s">
        <v>146</v>
      </c>
      <c r="F6" s="233"/>
      <c r="G6" s="114"/>
      <c r="H6" s="114"/>
      <c r="I6" s="114"/>
      <c r="J6" s="114"/>
      <c r="K6" s="114"/>
      <c r="L6" s="114"/>
      <c r="M6" s="61"/>
      <c r="N6" s="61"/>
      <c r="O6" s="61"/>
    </row>
    <row r="7" spans="1:17" ht="18.75" customHeight="1">
      <c r="A7" s="120"/>
      <c r="B7" s="230"/>
      <c r="C7" s="230"/>
      <c r="D7" s="21"/>
      <c r="E7" s="234"/>
      <c r="F7" s="235"/>
      <c r="G7" s="114"/>
      <c r="H7" s="114"/>
      <c r="I7" s="114"/>
      <c r="J7" s="114"/>
      <c r="K7" s="114"/>
      <c r="L7" s="114"/>
      <c r="M7" s="61"/>
      <c r="N7" s="61"/>
      <c r="O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102</v>
      </c>
      <c r="E8" s="109" t="s">
        <v>2</v>
      </c>
      <c r="F8" s="112" t="s">
        <v>16</v>
      </c>
      <c r="G8" s="112" t="s">
        <v>142</v>
      </c>
      <c r="H8" s="112" t="s">
        <v>63</v>
      </c>
      <c r="I8" s="112" t="s">
        <v>132</v>
      </c>
      <c r="J8" s="112" t="s">
        <v>64</v>
      </c>
      <c r="K8" s="123" t="s">
        <v>124</v>
      </c>
      <c r="L8" s="109" t="s">
        <v>82</v>
      </c>
      <c r="M8" s="109" t="s">
        <v>7</v>
      </c>
      <c r="N8" s="109" t="s">
        <v>139</v>
      </c>
      <c r="O8" s="113" t="s">
        <v>8</v>
      </c>
    </row>
    <row r="9" spans="1:17" ht="15" customHeight="1">
      <c r="A9" s="169">
        <v>1</v>
      </c>
      <c r="B9" s="165" t="s">
        <v>40</v>
      </c>
      <c r="C9" s="166" t="s">
        <v>19</v>
      </c>
      <c r="D9" s="166" t="s">
        <v>101</v>
      </c>
      <c r="E9" s="167">
        <v>4.0500000000000001E-2</v>
      </c>
      <c r="F9" s="98">
        <v>146111.69953921993</v>
      </c>
      <c r="G9" s="176">
        <f>F9</f>
        <v>146111.69953921993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E$5*E9</f>
        <v>44428.5</v>
      </c>
      <c r="L9" s="68">
        <f>E$7*E9</f>
        <v>0</v>
      </c>
      <c r="M9" s="168">
        <f>B$5*E9</f>
        <v>132997.63652999999</v>
      </c>
      <c r="N9" s="168">
        <f>B$7*E9</f>
        <v>0</v>
      </c>
      <c r="O9" s="183">
        <f>H9+I9-J9+K9+M9+N9+L9</f>
        <v>177426.13652999999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231833.42164799996</v>
      </c>
      <c r="G10" s="176">
        <f>F10</f>
        <v>231833.42164799996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68">
        <f t="shared" ref="K10:K31" si="2">E$5*E10</f>
        <v>71085.599999999991</v>
      </c>
      <c r="L10" s="68">
        <f t="shared" ref="L10:L31" si="3">E$7*E10</f>
        <v>0</v>
      </c>
      <c r="M10" s="25">
        <f t="shared" ref="M10:M31" si="4">B$5*E10</f>
        <v>212796.21844799997</v>
      </c>
      <c r="N10" s="25">
        <f t="shared" ref="N10:N31" si="5">B$7*E10</f>
        <v>0</v>
      </c>
      <c r="O10" s="183">
        <f t="shared" ref="O10:O31" si="6">H10+I10-J10+K10+M10+N10+L10</f>
        <v>283881.81844799995</v>
      </c>
    </row>
    <row r="11" spans="1:17" ht="15" customHeight="1">
      <c r="A11" s="164">
        <v>3</v>
      </c>
      <c r="B11" s="165" t="s">
        <v>42</v>
      </c>
      <c r="C11" s="166" t="s">
        <v>21</v>
      </c>
      <c r="D11" s="166" t="s">
        <v>103</v>
      </c>
      <c r="E11" s="167">
        <v>4.82E-2</v>
      </c>
      <c r="F11" s="98">
        <v>172443.99573199998</v>
      </c>
      <c r="G11" s="176">
        <f>F11</f>
        <v>172443.99573199998</v>
      </c>
      <c r="H11" s="68">
        <f t="shared" si="0"/>
        <v>0</v>
      </c>
      <c r="I11" s="68">
        <f t="shared" ref="I11:I31" si="7">H11*3.7%</f>
        <v>0</v>
      </c>
      <c r="J11" s="68">
        <f t="shared" si="1"/>
        <v>0</v>
      </c>
      <c r="K11" s="68">
        <f t="shared" si="2"/>
        <v>52875.4</v>
      </c>
      <c r="L11" s="68">
        <f t="shared" si="3"/>
        <v>0</v>
      </c>
      <c r="M11" s="168">
        <f t="shared" si="4"/>
        <v>158283.606932</v>
      </c>
      <c r="N11" s="168">
        <f t="shared" si="5"/>
        <v>0</v>
      </c>
      <c r="O11" s="183">
        <f t="shared" si="6"/>
        <v>211159.00693199999</v>
      </c>
      <c r="P11" s="171"/>
    </row>
    <row r="12" spans="1:17" ht="15" customHeight="1">
      <c r="A12" s="143">
        <v>4</v>
      </c>
      <c r="B12" s="155" t="s">
        <v>43</v>
      </c>
      <c r="C12" s="153" t="s">
        <v>99</v>
      </c>
      <c r="D12" s="153" t="s">
        <v>104</v>
      </c>
      <c r="E12" s="154">
        <v>5.3499999999999999E-2</v>
      </c>
      <c r="F12" s="147">
        <v>5525636.4477676637</v>
      </c>
      <c r="G12" s="177"/>
      <c r="H12" s="148">
        <f t="shared" si="0"/>
        <v>5525636.4477676637</v>
      </c>
      <c r="I12" s="148">
        <f t="shared" si="7"/>
        <v>204448.54856740357</v>
      </c>
      <c r="J12" s="148">
        <f t="shared" si="1"/>
        <v>0</v>
      </c>
      <c r="K12" s="148">
        <f t="shared" si="2"/>
        <v>58689.5</v>
      </c>
      <c r="L12" s="148">
        <f t="shared" si="3"/>
        <v>0</v>
      </c>
      <c r="M12" s="149">
        <f t="shared" si="4"/>
        <v>175688.23590999999</v>
      </c>
      <c r="N12" s="149">
        <f t="shared" si="5"/>
        <v>0</v>
      </c>
      <c r="O12" s="184">
        <f t="shared" si="6"/>
        <v>5964462.7322450671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137740.53600999998</v>
      </c>
      <c r="G13" s="176">
        <f>F13</f>
        <v>137740.53600999998</v>
      </c>
      <c r="H13" s="24">
        <f t="shared" si="0"/>
        <v>0</v>
      </c>
      <c r="I13" s="24">
        <f t="shared" si="7"/>
        <v>0</v>
      </c>
      <c r="J13" s="24">
        <f t="shared" si="1"/>
        <v>0</v>
      </c>
      <c r="K13" s="68">
        <f t="shared" si="2"/>
        <v>42234.5</v>
      </c>
      <c r="L13" s="68">
        <f t="shared" si="3"/>
        <v>0</v>
      </c>
      <c r="M13" s="25">
        <f t="shared" si="4"/>
        <v>126429.85200999999</v>
      </c>
      <c r="N13" s="25">
        <f t="shared" si="5"/>
        <v>0</v>
      </c>
      <c r="O13" s="183">
        <f t="shared" si="6"/>
        <v>168664.35200999997</v>
      </c>
    </row>
    <row r="14" spans="1:17" ht="15" customHeight="1">
      <c r="A14" s="51">
        <v>6</v>
      </c>
      <c r="B14" s="40" t="s">
        <v>45</v>
      </c>
      <c r="C14" s="93" t="s">
        <v>24</v>
      </c>
      <c r="D14" s="92"/>
      <c r="E14" s="45">
        <v>3.5900000000000001E-2</v>
      </c>
      <c r="F14" s="17">
        <v>128438.57773399999</v>
      </c>
      <c r="G14" s="176">
        <f>F14</f>
        <v>128438.57773399999</v>
      </c>
      <c r="H14" s="24">
        <f t="shared" si="0"/>
        <v>0</v>
      </c>
      <c r="I14" s="24">
        <f t="shared" si="7"/>
        <v>0</v>
      </c>
      <c r="J14" s="24">
        <f t="shared" si="1"/>
        <v>0</v>
      </c>
      <c r="K14" s="68">
        <f t="shared" si="2"/>
        <v>39382.300000000003</v>
      </c>
      <c r="L14" s="68">
        <f t="shared" si="3"/>
        <v>0</v>
      </c>
      <c r="M14" s="25">
        <f t="shared" si="4"/>
        <v>117891.73213399999</v>
      </c>
      <c r="N14" s="25">
        <f t="shared" si="5"/>
        <v>0</v>
      </c>
      <c r="O14" s="183">
        <f t="shared" si="6"/>
        <v>157274.03213399998</v>
      </c>
    </row>
    <row r="15" spans="1:17" ht="15" customHeight="1">
      <c r="A15" s="51">
        <v>7</v>
      </c>
      <c r="B15" s="40" t="s">
        <v>46</v>
      </c>
      <c r="C15" s="93" t="s">
        <v>137</v>
      </c>
      <c r="D15" s="92" t="s">
        <v>105</v>
      </c>
      <c r="E15" s="45">
        <v>4.1399999999999999E-2</v>
      </c>
      <c r="F15" s="17">
        <v>148115.79716399999</v>
      </c>
      <c r="G15" s="176">
        <f>F15</f>
        <v>148115.79716399999</v>
      </c>
      <c r="H15" s="24">
        <f t="shared" si="0"/>
        <v>0</v>
      </c>
      <c r="I15" s="24">
        <f t="shared" si="7"/>
        <v>0</v>
      </c>
      <c r="J15" s="24">
        <f t="shared" si="1"/>
        <v>0</v>
      </c>
      <c r="K15" s="68">
        <f t="shared" si="2"/>
        <v>45415.799999999996</v>
      </c>
      <c r="L15" s="68">
        <f t="shared" si="3"/>
        <v>0</v>
      </c>
      <c r="M15" s="25">
        <f t="shared" si="4"/>
        <v>135953.13956399998</v>
      </c>
      <c r="N15" s="25">
        <v>0</v>
      </c>
      <c r="O15" s="183">
        <f t="shared" si="6"/>
        <v>181368.93956399997</v>
      </c>
      <c r="Q15" s="180"/>
    </row>
    <row r="16" spans="1:17" ht="15" customHeight="1">
      <c r="A16" s="51">
        <v>8</v>
      </c>
      <c r="B16" s="40" t="s">
        <v>47</v>
      </c>
      <c r="C16" s="93" t="s">
        <v>75</v>
      </c>
      <c r="D16" s="92" t="s">
        <v>106</v>
      </c>
      <c r="E16" s="45">
        <v>5.3499999999999999E-2</v>
      </c>
      <c r="F16" s="17">
        <v>191405.67990999998</v>
      </c>
      <c r="G16" s="176">
        <f>F16</f>
        <v>191405.67990999998</v>
      </c>
      <c r="H16" s="24">
        <f t="shared" si="0"/>
        <v>0</v>
      </c>
      <c r="I16" s="24">
        <f t="shared" si="7"/>
        <v>0</v>
      </c>
      <c r="J16" s="24">
        <f t="shared" si="1"/>
        <v>0</v>
      </c>
      <c r="K16" s="68">
        <f t="shared" si="2"/>
        <v>58689.5</v>
      </c>
      <c r="L16" s="68">
        <f t="shared" si="3"/>
        <v>0</v>
      </c>
      <c r="M16" s="25">
        <f t="shared" si="4"/>
        <v>175688.23590999999</v>
      </c>
      <c r="N16" s="25">
        <f t="shared" si="5"/>
        <v>0</v>
      </c>
      <c r="O16" s="183">
        <f t="shared" si="6"/>
        <v>234377.73590999999</v>
      </c>
      <c r="Q16" s="180"/>
    </row>
    <row r="17" spans="1:18" ht="15" customHeight="1">
      <c r="A17" s="51">
        <v>9</v>
      </c>
      <c r="B17" s="40" t="s">
        <v>48</v>
      </c>
      <c r="C17" s="93" t="s">
        <v>26</v>
      </c>
      <c r="D17" s="92" t="s">
        <v>107</v>
      </c>
      <c r="E17" s="45">
        <v>3.85E-2</v>
      </c>
      <c r="F17" s="17">
        <v>240652.97185236996</v>
      </c>
      <c r="G17" s="176"/>
      <c r="H17" s="24">
        <f t="shared" si="0"/>
        <v>240652.97185236996</v>
      </c>
      <c r="I17" s="24">
        <f t="shared" si="7"/>
        <v>8904.1599585376898</v>
      </c>
      <c r="J17" s="24">
        <f t="shared" si="1"/>
        <v>0</v>
      </c>
      <c r="K17" s="68">
        <f t="shared" si="2"/>
        <v>42234.5</v>
      </c>
      <c r="L17" s="68">
        <f t="shared" si="3"/>
        <v>0</v>
      </c>
      <c r="M17" s="25">
        <f t="shared" si="4"/>
        <v>126429.85200999999</v>
      </c>
      <c r="N17" s="25">
        <f t="shared" si="5"/>
        <v>0</v>
      </c>
      <c r="O17" s="183">
        <f t="shared" si="6"/>
        <v>418221.4838209076</v>
      </c>
      <c r="Q17" s="180"/>
    </row>
    <row r="18" spans="1:18" ht="15" customHeight="1">
      <c r="A18" s="164">
        <v>10</v>
      </c>
      <c r="B18" s="42" t="s">
        <v>49</v>
      </c>
      <c r="C18" s="94" t="s">
        <v>27</v>
      </c>
      <c r="D18" s="166"/>
      <c r="E18" s="167">
        <v>3.5900000000000001E-2</v>
      </c>
      <c r="F18" s="98">
        <v>23120.101368910371</v>
      </c>
      <c r="G18" s="176">
        <f>RESUMEN!H37+RESUMEN!H45+RESUMEN!H50</f>
        <v>218200</v>
      </c>
      <c r="H18" s="68">
        <f>IF(F18&gt;G18,F18-G18,0)</f>
        <v>0</v>
      </c>
      <c r="I18" s="68">
        <f t="shared" si="7"/>
        <v>0</v>
      </c>
      <c r="J18" s="68">
        <f t="shared" si="1"/>
        <v>195079.89863108963</v>
      </c>
      <c r="K18" s="68">
        <f t="shared" si="2"/>
        <v>39382.300000000003</v>
      </c>
      <c r="L18" s="68">
        <f t="shared" si="3"/>
        <v>0</v>
      </c>
      <c r="M18" s="168">
        <f t="shared" si="4"/>
        <v>117891.73213399999</v>
      </c>
      <c r="N18" s="168">
        <f t="shared" si="5"/>
        <v>0</v>
      </c>
      <c r="O18" s="183">
        <f t="shared" si="6"/>
        <v>-37805.866497089621</v>
      </c>
      <c r="Q18" s="180"/>
    </row>
    <row r="19" spans="1:18" ht="15" customHeight="1">
      <c r="A19" s="143">
        <v>11</v>
      </c>
      <c r="B19" s="150" t="s">
        <v>50</v>
      </c>
      <c r="C19" s="151" t="s">
        <v>28</v>
      </c>
      <c r="D19" s="153" t="s">
        <v>108</v>
      </c>
      <c r="E19" s="154">
        <v>4.1399999999999999E-2</v>
      </c>
      <c r="F19" s="147">
        <v>3913085.233736075</v>
      </c>
      <c r="G19" s="177"/>
      <c r="H19" s="148">
        <f t="shared" si="0"/>
        <v>3913085.233736075</v>
      </c>
      <c r="I19" s="148">
        <f t="shared" si="7"/>
        <v>144784.15364823479</v>
      </c>
      <c r="J19" s="148">
        <f t="shared" si="1"/>
        <v>0</v>
      </c>
      <c r="K19" s="148">
        <f t="shared" si="2"/>
        <v>45415.799999999996</v>
      </c>
      <c r="L19" s="148">
        <f t="shared" si="3"/>
        <v>0</v>
      </c>
      <c r="M19" s="149">
        <f t="shared" si="4"/>
        <v>135953.13956399998</v>
      </c>
      <c r="N19" s="149">
        <f t="shared" si="5"/>
        <v>0</v>
      </c>
      <c r="O19" s="184">
        <f t="shared" si="6"/>
        <v>4239238.3269483093</v>
      </c>
      <c r="Q19" s="180"/>
    </row>
    <row r="20" spans="1:18" ht="15" customHeight="1">
      <c r="A20" s="51">
        <v>12</v>
      </c>
      <c r="B20" s="41" t="s">
        <v>51</v>
      </c>
      <c r="C20" s="100" t="s">
        <v>113</v>
      </c>
      <c r="D20" s="96" t="s">
        <v>122</v>
      </c>
      <c r="E20" s="46">
        <v>5.3499999999999999E-2</v>
      </c>
      <c r="F20" s="17">
        <v>191405.67990999998</v>
      </c>
      <c r="G20" s="176">
        <f>F20</f>
        <v>191405.67990999998</v>
      </c>
      <c r="H20" s="24">
        <f t="shared" si="0"/>
        <v>0</v>
      </c>
      <c r="I20" s="24">
        <f t="shared" si="7"/>
        <v>0</v>
      </c>
      <c r="J20" s="24">
        <f t="shared" si="1"/>
        <v>0</v>
      </c>
      <c r="K20" s="68">
        <f t="shared" si="2"/>
        <v>58689.5</v>
      </c>
      <c r="L20" s="68">
        <f t="shared" si="3"/>
        <v>0</v>
      </c>
      <c r="M20" s="25">
        <f t="shared" si="4"/>
        <v>175688.23590999999</v>
      </c>
      <c r="N20" s="25">
        <f t="shared" si="5"/>
        <v>0</v>
      </c>
      <c r="O20" s="183">
        <f t="shared" si="6"/>
        <v>234377.73590999999</v>
      </c>
      <c r="Q20" s="180"/>
    </row>
    <row r="21" spans="1:18" ht="15" customHeight="1">
      <c r="A21" s="143">
        <v>13</v>
      </c>
      <c r="B21" s="150" t="s">
        <v>52</v>
      </c>
      <c r="C21" s="151" t="s">
        <v>30</v>
      </c>
      <c r="D21" s="151"/>
      <c r="E21" s="152">
        <v>3.85E-2</v>
      </c>
      <c r="F21" s="147">
        <v>1758103.0833163089</v>
      </c>
      <c r="G21" s="178">
        <v>0</v>
      </c>
      <c r="H21" s="148">
        <f t="shared" si="0"/>
        <v>1758103.0833163089</v>
      </c>
      <c r="I21" s="148">
        <f t="shared" si="7"/>
        <v>65049.814082703437</v>
      </c>
      <c r="J21" s="148">
        <f t="shared" si="1"/>
        <v>0</v>
      </c>
      <c r="K21" s="148">
        <f t="shared" si="2"/>
        <v>42234.5</v>
      </c>
      <c r="L21" s="148">
        <f t="shared" si="3"/>
        <v>0</v>
      </c>
      <c r="M21" s="149">
        <f t="shared" si="4"/>
        <v>126429.85200999999</v>
      </c>
      <c r="N21" s="149">
        <f t="shared" si="5"/>
        <v>0</v>
      </c>
      <c r="O21" s="184">
        <f t="shared" si="6"/>
        <v>1991817.2494090125</v>
      </c>
      <c r="Q21" s="180"/>
    </row>
    <row r="22" spans="1:18" ht="15" customHeight="1">
      <c r="A22" s="51">
        <v>14</v>
      </c>
      <c r="B22" s="40" t="s">
        <v>53</v>
      </c>
      <c r="C22" s="93" t="s">
        <v>31</v>
      </c>
      <c r="D22" s="93" t="s">
        <v>109</v>
      </c>
      <c r="E22" s="47">
        <v>3.5900000000000001E-2</v>
      </c>
      <c r="F22" s="17">
        <v>128438.57773399999</v>
      </c>
      <c r="G22" s="176">
        <f>F22</f>
        <v>128438.57773399999</v>
      </c>
      <c r="H22" s="24">
        <f t="shared" si="0"/>
        <v>0</v>
      </c>
      <c r="I22" s="24">
        <f t="shared" si="7"/>
        <v>0</v>
      </c>
      <c r="J22" s="24">
        <f t="shared" si="1"/>
        <v>0</v>
      </c>
      <c r="K22" s="68">
        <f t="shared" si="2"/>
        <v>39382.300000000003</v>
      </c>
      <c r="L22" s="68">
        <f t="shared" si="3"/>
        <v>0</v>
      </c>
      <c r="M22" s="25">
        <f t="shared" si="4"/>
        <v>117891.73213399999</v>
      </c>
      <c r="N22" s="25">
        <f t="shared" si="5"/>
        <v>0</v>
      </c>
      <c r="O22" s="183">
        <f t="shared" si="6"/>
        <v>157274.03213399998</v>
      </c>
      <c r="Q22" s="180"/>
    </row>
    <row r="23" spans="1:18" ht="15" customHeight="1">
      <c r="A23" s="51">
        <v>15</v>
      </c>
      <c r="B23" s="42" t="s">
        <v>54</v>
      </c>
      <c r="C23" s="94" t="s">
        <v>32</v>
      </c>
      <c r="D23" s="94" t="s">
        <v>110</v>
      </c>
      <c r="E23" s="48">
        <v>4.1399999999999999E-2</v>
      </c>
      <c r="F23" s="17">
        <v>148115.79716399999</v>
      </c>
      <c r="G23" s="176">
        <f>135953+12163</f>
        <v>148116</v>
      </c>
      <c r="H23" s="24">
        <f t="shared" si="0"/>
        <v>0</v>
      </c>
      <c r="I23" s="24">
        <f t="shared" si="7"/>
        <v>0</v>
      </c>
      <c r="J23" s="24">
        <f t="shared" si="1"/>
        <v>0.20283600001130253</v>
      </c>
      <c r="K23" s="68">
        <f t="shared" si="2"/>
        <v>45415.799999999996</v>
      </c>
      <c r="L23" s="68">
        <f t="shared" si="3"/>
        <v>0</v>
      </c>
      <c r="M23" s="25">
        <f t="shared" si="4"/>
        <v>135953.13956399998</v>
      </c>
      <c r="N23" s="25">
        <f t="shared" si="5"/>
        <v>0</v>
      </c>
      <c r="O23" s="183">
        <f t="shared" si="6"/>
        <v>181368.73672799996</v>
      </c>
      <c r="Q23" s="180"/>
    </row>
    <row r="24" spans="1:18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191405.67990999998</v>
      </c>
      <c r="G24" s="176">
        <f>F24</f>
        <v>191405.67990999998</v>
      </c>
      <c r="H24" s="24">
        <f t="shared" si="0"/>
        <v>0</v>
      </c>
      <c r="I24" s="24">
        <f t="shared" si="7"/>
        <v>0</v>
      </c>
      <c r="J24" s="24">
        <f t="shared" si="1"/>
        <v>0</v>
      </c>
      <c r="K24" s="68">
        <f t="shared" si="2"/>
        <v>58689.5</v>
      </c>
      <c r="L24" s="68">
        <f t="shared" si="3"/>
        <v>0</v>
      </c>
      <c r="M24" s="25">
        <f t="shared" si="4"/>
        <v>175688.23590999999</v>
      </c>
      <c r="N24" s="25">
        <f t="shared" si="5"/>
        <v>0</v>
      </c>
      <c r="O24" s="183">
        <f t="shared" si="6"/>
        <v>234377.73590999999</v>
      </c>
      <c r="Q24" s="180"/>
    </row>
    <row r="25" spans="1:18" s="1" customFormat="1" ht="15.75" customHeight="1">
      <c r="A25" s="51">
        <v>17</v>
      </c>
      <c r="B25" s="66" t="s">
        <v>56</v>
      </c>
      <c r="C25" s="95" t="s">
        <v>91</v>
      </c>
      <c r="D25" s="95" t="s">
        <v>111</v>
      </c>
      <c r="E25" s="49">
        <v>3.85E-2</v>
      </c>
      <c r="F25" s="17">
        <v>137740.53600999998</v>
      </c>
      <c r="G25" s="176">
        <f>126430+11311</f>
        <v>137741</v>
      </c>
      <c r="H25" s="24">
        <f t="shared" si="0"/>
        <v>0</v>
      </c>
      <c r="I25" s="24">
        <f t="shared" si="7"/>
        <v>0</v>
      </c>
      <c r="J25" s="24">
        <f t="shared" si="1"/>
        <v>0.46399000001838431</v>
      </c>
      <c r="K25" s="68">
        <f t="shared" si="2"/>
        <v>42234.5</v>
      </c>
      <c r="L25" s="68">
        <f t="shared" si="3"/>
        <v>0</v>
      </c>
      <c r="M25" s="25">
        <f t="shared" si="4"/>
        <v>126429.85200999999</v>
      </c>
      <c r="N25" s="25">
        <f t="shared" si="5"/>
        <v>0</v>
      </c>
      <c r="O25" s="183">
        <f t="shared" si="6"/>
        <v>168663.88801999995</v>
      </c>
      <c r="Q25" s="181"/>
    </row>
    <row r="26" spans="1:18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128438.57773399999</v>
      </c>
      <c r="G26" s="176">
        <f>F26</f>
        <v>128438.57773399999</v>
      </c>
      <c r="H26" s="24">
        <f t="shared" si="0"/>
        <v>0</v>
      </c>
      <c r="I26" s="24">
        <f t="shared" si="7"/>
        <v>0</v>
      </c>
      <c r="J26" s="24">
        <f t="shared" si="1"/>
        <v>0</v>
      </c>
      <c r="K26" s="68">
        <f t="shared" si="2"/>
        <v>39382.300000000003</v>
      </c>
      <c r="L26" s="68">
        <f t="shared" si="3"/>
        <v>0</v>
      </c>
      <c r="M26" s="25">
        <f t="shared" si="4"/>
        <v>117891.73213399999</v>
      </c>
      <c r="N26" s="25">
        <f t="shared" si="5"/>
        <v>0</v>
      </c>
      <c r="O26" s="183">
        <f t="shared" si="6"/>
        <v>157274.03213399998</v>
      </c>
      <c r="Q26" s="180"/>
    </row>
    <row r="27" spans="1:18" ht="15" customHeight="1">
      <c r="A27" s="143">
        <v>19</v>
      </c>
      <c r="B27" s="144" t="s">
        <v>58</v>
      </c>
      <c r="C27" s="145" t="s">
        <v>35</v>
      </c>
      <c r="D27" s="145" t="s">
        <v>123</v>
      </c>
      <c r="E27" s="146">
        <v>4.1399999999999999E-2</v>
      </c>
      <c r="F27" s="147">
        <v>3564415.7164625912</v>
      </c>
      <c r="G27" s="177">
        <v>148116.14000000001</v>
      </c>
      <c r="H27" s="170">
        <f t="shared" si="0"/>
        <v>3416299.5764625911</v>
      </c>
      <c r="I27" s="148">
        <f t="shared" si="7"/>
        <v>126403.08432911588</v>
      </c>
      <c r="J27" s="148">
        <f t="shared" si="1"/>
        <v>0</v>
      </c>
      <c r="K27" s="148">
        <f t="shared" si="2"/>
        <v>45415.799999999996</v>
      </c>
      <c r="L27" s="148">
        <f t="shared" si="3"/>
        <v>0</v>
      </c>
      <c r="M27" s="149">
        <f t="shared" si="4"/>
        <v>135953.13956399998</v>
      </c>
      <c r="N27" s="149">
        <f t="shared" si="5"/>
        <v>0</v>
      </c>
      <c r="O27" s="184">
        <f t="shared" si="6"/>
        <v>3724071.6003557066</v>
      </c>
      <c r="P27" s="182">
        <f>M27+N27</f>
        <v>135953.13956399998</v>
      </c>
    </row>
    <row r="28" spans="1:18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3041954.5174085847</v>
      </c>
      <c r="G28" s="176"/>
      <c r="H28" s="68">
        <f t="shared" si="0"/>
        <v>3041954.5174085847</v>
      </c>
      <c r="I28" s="24">
        <f t="shared" si="7"/>
        <v>112552.31714411765</v>
      </c>
      <c r="J28" s="24">
        <f t="shared" si="1"/>
        <v>0</v>
      </c>
      <c r="K28" s="68">
        <f t="shared" si="2"/>
        <v>58689.5</v>
      </c>
      <c r="L28" s="68">
        <f t="shared" si="3"/>
        <v>0</v>
      </c>
      <c r="M28" s="25">
        <f t="shared" si="4"/>
        <v>175688.23590999999</v>
      </c>
      <c r="N28" s="25">
        <f t="shared" si="5"/>
        <v>0</v>
      </c>
      <c r="O28" s="183">
        <f t="shared" si="6"/>
        <v>3388884.5704627023</v>
      </c>
      <c r="P28" s="7"/>
    </row>
    <row r="29" spans="1:18" ht="15" customHeight="1">
      <c r="A29" s="51">
        <v>21</v>
      </c>
      <c r="B29" s="43" t="s">
        <v>60</v>
      </c>
      <c r="C29" s="95" t="s">
        <v>100</v>
      </c>
      <c r="D29" s="95"/>
      <c r="E29" s="49">
        <v>3.85E-2</v>
      </c>
      <c r="F29" s="17">
        <v>137740.53600999998</v>
      </c>
      <c r="G29" s="176">
        <f>F29</f>
        <v>137740.53600999998</v>
      </c>
      <c r="H29" s="24">
        <f t="shared" si="0"/>
        <v>0</v>
      </c>
      <c r="I29" s="24">
        <f t="shared" si="7"/>
        <v>0</v>
      </c>
      <c r="J29" s="24">
        <f t="shared" si="1"/>
        <v>0</v>
      </c>
      <c r="K29" s="68">
        <f t="shared" si="2"/>
        <v>42234.5</v>
      </c>
      <c r="L29" s="68">
        <f t="shared" si="3"/>
        <v>0</v>
      </c>
      <c r="M29" s="25">
        <f t="shared" si="4"/>
        <v>126429.85200999999</v>
      </c>
      <c r="N29" s="25">
        <f t="shared" si="5"/>
        <v>0</v>
      </c>
      <c r="O29" s="183">
        <f t="shared" si="6"/>
        <v>168664.35200999997</v>
      </c>
      <c r="P29" s="7">
        <f>M29/2</f>
        <v>63214.926004999994</v>
      </c>
      <c r="Q29" s="7">
        <f>SUM(Q15:Q28)</f>
        <v>0</v>
      </c>
      <c r="R29" t="s">
        <v>141</v>
      </c>
    </row>
    <row r="30" spans="1:18" ht="15" customHeight="1">
      <c r="A30" s="51">
        <v>22</v>
      </c>
      <c r="B30" s="43" t="s">
        <v>61</v>
      </c>
      <c r="C30" s="95" t="s">
        <v>120</v>
      </c>
      <c r="D30" s="95" t="s">
        <v>125</v>
      </c>
      <c r="E30" s="49">
        <v>3.5900000000000001E-2</v>
      </c>
      <c r="F30" s="17">
        <v>128438.57773399999</v>
      </c>
      <c r="G30" s="176">
        <f>F30</f>
        <v>128438.57773399999</v>
      </c>
      <c r="H30" s="24">
        <f t="shared" si="0"/>
        <v>0</v>
      </c>
      <c r="I30" s="24">
        <f t="shared" si="7"/>
        <v>0</v>
      </c>
      <c r="J30" s="24">
        <f t="shared" si="1"/>
        <v>0</v>
      </c>
      <c r="K30" s="68">
        <f t="shared" si="2"/>
        <v>39382.300000000003</v>
      </c>
      <c r="L30" s="68">
        <f t="shared" si="3"/>
        <v>0</v>
      </c>
      <c r="M30" s="25">
        <f t="shared" si="4"/>
        <v>117891.73213399999</v>
      </c>
      <c r="N30" s="25">
        <f t="shared" si="5"/>
        <v>0</v>
      </c>
      <c r="O30" s="183">
        <f t="shared" si="6"/>
        <v>157274.03213399998</v>
      </c>
    </row>
    <row r="31" spans="1:18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148115.79716399999</v>
      </c>
      <c r="G31" s="176">
        <v>153655</v>
      </c>
      <c r="H31" s="24">
        <f t="shared" si="0"/>
        <v>0</v>
      </c>
      <c r="I31" s="24">
        <f t="shared" si="7"/>
        <v>0</v>
      </c>
      <c r="J31" s="24">
        <f t="shared" si="1"/>
        <v>5539.2028360000113</v>
      </c>
      <c r="K31" s="68">
        <f t="shared" si="2"/>
        <v>45415.799999999996</v>
      </c>
      <c r="L31" s="68">
        <f t="shared" si="3"/>
        <v>0</v>
      </c>
      <c r="M31" s="25">
        <f t="shared" si="4"/>
        <v>135953.13956399998</v>
      </c>
      <c r="N31" s="25">
        <f t="shared" si="5"/>
        <v>0</v>
      </c>
      <c r="O31" s="183">
        <f t="shared" si="6"/>
        <v>175829.73672799996</v>
      </c>
    </row>
    <row r="32" spans="1:18" ht="15.6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20562897.539019726</v>
      </c>
      <c r="G32" s="99">
        <f>SUM(G9:G31)</f>
        <v>2867785.4767692201</v>
      </c>
      <c r="H32" s="122">
        <f>SUM(H9:H31)</f>
        <v>17895731.830543593</v>
      </c>
      <c r="I32" s="54">
        <f>SUM(I9:I31)</f>
        <v>662142.07773011306</v>
      </c>
      <c r="J32" s="99">
        <f t="shared" ref="J32" si="8">SUM(J9:J31)</f>
        <v>200619.76829308967</v>
      </c>
      <c r="K32" s="90">
        <f>SUM(K9:K31)</f>
        <v>1097000.0000000002</v>
      </c>
      <c r="L32" s="90"/>
      <c r="M32" s="54">
        <f>SUM(M9:M31)</f>
        <v>3283892.26</v>
      </c>
      <c r="N32" s="90">
        <f>SUM(N9:N31)</f>
        <v>0</v>
      </c>
      <c r="O32" s="54">
        <f>SUM(O9:O31)</f>
        <v>22738146.39998062</v>
      </c>
    </row>
    <row r="33" spans="1:15" ht="14.25" customHeight="1"/>
    <row r="34" spans="1:15" hidden="1"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</row>
    <row r="35" spans="1:15" hidden="1"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</row>
    <row r="36" spans="1:15" hidden="1"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</row>
    <row r="37" spans="1:15" hidden="1"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</row>
    <row r="38" spans="1:15" hidden="1">
      <c r="A38" s="231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</row>
    <row r="39" spans="1:15" hidden="1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1"/>
    </row>
    <row r="40" spans="1:15" hidden="1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</row>
    <row r="41" spans="1:15">
      <c r="O41" s="7"/>
    </row>
  </sheetData>
  <mergeCells count="8">
    <mergeCell ref="B34:O37"/>
    <mergeCell ref="B5:C5"/>
    <mergeCell ref="B7:C7"/>
    <mergeCell ref="A38:O40"/>
    <mergeCell ref="B6:C6"/>
    <mergeCell ref="E6:F6"/>
    <mergeCell ref="E7:F7"/>
    <mergeCell ref="E5:F5"/>
  </mergeCells>
  <pageMargins left="0.23622047244094491" right="0.23622047244094491" top="0.74803149606299213" bottom="0.74803149606299213" header="0.31496062992125984" footer="0.31496062992125984"/>
  <pageSetup paperSize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238" t="s">
        <v>90</v>
      </c>
      <c r="B1" s="239"/>
      <c r="C1" s="239"/>
      <c r="D1" s="239"/>
      <c r="E1" s="239"/>
      <c r="F1" s="239"/>
      <c r="G1" s="240"/>
    </row>
    <row r="2" spans="1:7">
      <c r="A2" s="30"/>
      <c r="G2" s="31"/>
    </row>
    <row r="3" spans="1:7">
      <c r="A3" s="57"/>
      <c r="B3" s="59" t="s">
        <v>89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94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96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96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96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96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96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96</v>
      </c>
    </row>
    <row r="16" spans="1:7">
      <c r="A16" s="51">
        <v>8</v>
      </c>
      <c r="B16" s="40" t="s">
        <v>47</v>
      </c>
      <c r="C16" s="34" t="s">
        <v>75</v>
      </c>
      <c r="D16" s="45">
        <v>5.3499999999999999E-2</v>
      </c>
      <c r="E16" s="70">
        <f t="shared" si="0"/>
        <v>21400</v>
      </c>
      <c r="F16" s="70"/>
      <c r="G16" s="70" t="s">
        <v>96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96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96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96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96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96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96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96</v>
      </c>
    </row>
    <row r="25" spans="1:7" ht="15.6">
      <c r="A25" s="51">
        <v>17</v>
      </c>
      <c r="B25" s="66" t="s">
        <v>56</v>
      </c>
      <c r="C25" s="65" t="s">
        <v>91</v>
      </c>
      <c r="D25" s="49">
        <v>3.85E-2</v>
      </c>
      <c r="E25" s="70">
        <f t="shared" si="0"/>
        <v>15400</v>
      </c>
      <c r="F25" s="70"/>
      <c r="G25" s="70" t="s">
        <v>96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96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96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96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96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96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95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2026-07-06T13:26:31Z</cp:lastPrinted>
  <dcterms:created xsi:type="dcterms:W3CDTF">2021-10-25T13:53:39Z</dcterms:created>
  <dcterms:modified xsi:type="dcterms:W3CDTF">2026-07-28T03:41:12Z</dcterms:modified>
</cp:coreProperties>
</file>