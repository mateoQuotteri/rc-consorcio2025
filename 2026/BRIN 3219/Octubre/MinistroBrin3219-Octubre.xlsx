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Octubre\"/>
    </mc:Choice>
  </mc:AlternateContent>
  <xr:revisionPtr revIDLastSave="0" documentId="13_ncr:1_{1423E442-6779-4D6C-8BFB-F0343FD5570C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EDESUR" sheetId="7" r:id="rId3"/>
    <sheet name="Anotaciones" sheetId="4" r:id="rId4"/>
  </sheets>
  <definedNames>
    <definedName name="_xlnm.Print_Area" localSheetId="1">PRORRATEO!$A$1:$O$46</definedName>
    <definedName name="_xlnm.Print_Area" localSheetId="0">RESUMEN!$A$1:$E$113</definedName>
  </definedNames>
  <calcPr calcId="181029"/>
</workbook>
</file>

<file path=xl/calcChain.xml><?xml version="1.0" encoding="utf-8"?>
<calcChain xmlns="http://schemas.openxmlformats.org/spreadsheetml/2006/main">
  <c r="M15" i="2" l="1"/>
  <c r="F4" i="2"/>
  <c r="K16" i="2"/>
  <c r="K20" i="2"/>
  <c r="K25" i="2"/>
  <c r="K26" i="2"/>
  <c r="K27" i="2"/>
  <c r="K28" i="2"/>
  <c r="K29" i="2"/>
  <c r="K30" i="2"/>
  <c r="K31" i="2"/>
  <c r="K36" i="2"/>
  <c r="K37" i="2"/>
  <c r="K15" i="2"/>
  <c r="L38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15" i="2"/>
  <c r="E51" i="1"/>
  <c r="E25" i="1"/>
  <c r="E83" i="1"/>
  <c r="E85" i="1" s="1"/>
  <c r="B96" i="1" s="1"/>
  <c r="D67" i="1"/>
  <c r="E29" i="1"/>
  <c r="E55" i="1"/>
  <c r="K24" i="2" l="1"/>
  <c r="K23" i="2"/>
  <c r="K22" i="2"/>
  <c r="K21" i="2"/>
  <c r="K19" i="2"/>
  <c r="K35" i="2"/>
  <c r="K18" i="2"/>
  <c r="K33" i="2"/>
  <c r="K17" i="2"/>
  <c r="K32" i="2"/>
  <c r="M30" i="7" l="1"/>
  <c r="I30" i="7"/>
  <c r="K29" i="7"/>
  <c r="O29" i="7" s="1"/>
  <c r="K28" i="7"/>
  <c r="O28" i="7" s="1"/>
  <c r="K27" i="7"/>
  <c r="O27" i="7" s="1"/>
  <c r="K26" i="7"/>
  <c r="O26" i="7" s="1"/>
  <c r="K25" i="7"/>
  <c r="O25" i="7" s="1"/>
  <c r="K24" i="7"/>
  <c r="O24" i="7" s="1"/>
  <c r="K23" i="7"/>
  <c r="O23" i="7" s="1"/>
  <c r="K22" i="7"/>
  <c r="K30" i="7" s="1"/>
  <c r="I20" i="7"/>
  <c r="I32" i="7" s="1"/>
  <c r="F20" i="7"/>
  <c r="D20" i="7"/>
  <c r="M18" i="7"/>
  <c r="K18" i="7"/>
  <c r="O18" i="7" s="1"/>
  <c r="K17" i="7"/>
  <c r="M16" i="7"/>
  <c r="K16" i="7"/>
  <c r="O16" i="7" s="1"/>
  <c r="K15" i="7"/>
  <c r="M15" i="7" s="1"/>
  <c r="O15" i="7" s="1"/>
  <c r="M14" i="7"/>
  <c r="O14" i="7" s="1"/>
  <c r="K14" i="7"/>
  <c r="K13" i="7"/>
  <c r="K12" i="7"/>
  <c r="O12" i="7" s="1"/>
  <c r="M11" i="7"/>
  <c r="O11" i="7" s="1"/>
  <c r="K11" i="7"/>
  <c r="K10" i="7"/>
  <c r="M9" i="7"/>
  <c r="K9" i="7"/>
  <c r="O9" i="7" s="1"/>
  <c r="K8" i="7"/>
  <c r="M8" i="7" s="1"/>
  <c r="O8" i="7" s="1"/>
  <c r="M7" i="7"/>
  <c r="O7" i="7" s="1"/>
  <c r="K7" i="7"/>
  <c r="K6" i="7"/>
  <c r="K5" i="7"/>
  <c r="O5" i="7" s="1"/>
  <c r="M4" i="7"/>
  <c r="K4" i="7"/>
  <c r="K20" i="7" s="1"/>
  <c r="O13" i="7" l="1"/>
  <c r="K32" i="7"/>
  <c r="O4" i="7"/>
  <c r="M6" i="7"/>
  <c r="M20" i="7" s="1"/>
  <c r="M32" i="7" s="1"/>
  <c r="M10" i="7"/>
  <c r="O10" i="7" s="1"/>
  <c r="M13" i="7"/>
  <c r="M17" i="7"/>
  <c r="O17" i="7" s="1"/>
  <c r="O22" i="7"/>
  <c r="O30" i="7" s="1"/>
  <c r="O6" i="7" l="1"/>
  <c r="O20" i="7" s="1"/>
  <c r="O32" i="7" s="1"/>
  <c r="E37" i="1" l="1"/>
  <c r="E59" i="1" l="1"/>
  <c r="E32" i="1" l="1"/>
  <c r="E63" i="1" s="1"/>
  <c r="G24" i="2" l="1"/>
  <c r="H24" i="2" s="1"/>
  <c r="B88" i="1" l="1"/>
  <c r="B94" i="1" s="1"/>
  <c r="F38" i="2" l="1"/>
  <c r="B97" i="1" s="1"/>
  <c r="K38" i="2"/>
  <c r="G33" i="2" l="1"/>
  <c r="H33" i="2" s="1"/>
  <c r="G34" i="2"/>
  <c r="H34" i="2" s="1"/>
  <c r="G35" i="2"/>
  <c r="H35" i="2" s="1"/>
  <c r="G36" i="2"/>
  <c r="H36" i="2" s="1"/>
  <c r="G37" i="2"/>
  <c r="H37" i="2" s="1"/>
  <c r="D38" i="2"/>
  <c r="B41" i="2" l="1"/>
  <c r="G26" i="2" l="1"/>
  <c r="H26" i="2" s="1"/>
  <c r="E71" i="1" l="1"/>
  <c r="E76" i="1" s="1"/>
  <c r="B89" i="1" s="1"/>
  <c r="B95" i="1" s="1"/>
  <c r="B112" i="1" l="1"/>
  <c r="B98" i="1" s="1"/>
  <c r="G29" i="2" l="1"/>
  <c r="H29" i="2" s="1"/>
  <c r="M14" i="2" l="1"/>
  <c r="P16" i="2" l="1"/>
  <c r="P17" i="2" l="1"/>
  <c r="E38" i="2"/>
  <c r="P18" i="2" l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5" i="2"/>
  <c r="H25" i="2" s="1"/>
  <c r="G27" i="2"/>
  <c r="H27" i="2" s="1"/>
  <c r="G28" i="2"/>
  <c r="H28" i="2" s="1"/>
  <c r="G30" i="2"/>
  <c r="H30" i="2" s="1"/>
  <c r="G31" i="2"/>
  <c r="H31" i="2" s="1"/>
  <c r="G32" i="2"/>
  <c r="H32" i="2" s="1"/>
  <c r="G15" i="2"/>
  <c r="H15" i="2" s="1"/>
  <c r="P19" i="2" l="1"/>
  <c r="B90" i="1"/>
  <c r="G38" i="2"/>
  <c r="M19" i="2"/>
  <c r="M16" i="2"/>
  <c r="M18" i="2"/>
  <c r="M17" i="2"/>
  <c r="P20" i="2" l="1"/>
  <c r="M20" i="2" s="1"/>
  <c r="H38" i="2"/>
  <c r="O20" i="2" l="1"/>
  <c r="P21" i="2"/>
  <c r="M21" i="2" s="1"/>
  <c r="O16" i="2"/>
  <c r="O15" i="2"/>
  <c r="O19" i="2"/>
  <c r="O18" i="2"/>
  <c r="O17" i="2"/>
  <c r="N18" i="2"/>
  <c r="N15" i="2"/>
  <c r="N17" i="2"/>
  <c r="N19" i="2"/>
  <c r="N16" i="2"/>
  <c r="I38" i="2"/>
  <c r="P22" i="2" l="1"/>
  <c r="M22" i="2" s="1"/>
  <c r="N20" i="2"/>
  <c r="B102" i="1"/>
  <c r="N21" i="2" l="1"/>
  <c r="O21" i="2"/>
  <c r="P23" i="2"/>
  <c r="M23" i="2" s="1"/>
  <c r="B87" i="1"/>
  <c r="O22" i="2" l="1"/>
  <c r="N22" i="2"/>
  <c r="P24" i="2"/>
  <c r="M24" i="2" s="1"/>
  <c r="J38" i="2"/>
  <c r="N23" i="2" l="1"/>
  <c r="O23" i="2"/>
  <c r="P25" i="2"/>
  <c r="M25" i="2" s="1"/>
  <c r="N24" i="2" l="1"/>
  <c r="O24" i="2"/>
  <c r="P26" i="2"/>
  <c r="M26" i="2" s="1"/>
  <c r="N25" i="2" l="1"/>
  <c r="O25" i="2"/>
  <c r="P27" i="2"/>
  <c r="M27" i="2" s="1"/>
  <c r="O26" i="2" l="1"/>
  <c r="N26" i="2"/>
  <c r="P28" i="2"/>
  <c r="M28" i="2" s="1"/>
  <c r="O27" i="2" l="1"/>
  <c r="N27" i="2"/>
  <c r="P29" i="2"/>
  <c r="M29" i="2" s="1"/>
  <c r="O28" i="2" l="1"/>
  <c r="N28" i="2"/>
  <c r="P30" i="2"/>
  <c r="M30" i="2" s="1"/>
  <c r="O29" i="2" l="1"/>
  <c r="N29" i="2"/>
  <c r="P31" i="2"/>
  <c r="M31" i="2" s="1"/>
  <c r="O30" i="2" l="1"/>
  <c r="N30" i="2"/>
  <c r="P32" i="2"/>
  <c r="M32" i="2" s="1"/>
  <c r="N31" i="2" l="1"/>
  <c r="O31" i="2"/>
  <c r="P33" i="2"/>
  <c r="M33" i="2" s="1"/>
  <c r="O33" i="2" l="1"/>
  <c r="P34" i="2"/>
  <c r="M34" i="2" s="1"/>
  <c r="N32" i="2"/>
  <c r="N38" i="2" s="1"/>
  <c r="O32" i="2"/>
  <c r="P35" i="2" l="1"/>
  <c r="M35" i="2" s="1"/>
  <c r="O35" i="2" l="1"/>
  <c r="P36" i="2"/>
  <c r="M36" i="2" s="1"/>
  <c r="O34" i="2"/>
  <c r="P37" i="2" l="1"/>
  <c r="M37" i="2" l="1"/>
  <c r="O37" i="2" s="1"/>
  <c r="O36" i="2"/>
  <c r="M38" i="2" l="1"/>
  <c r="O38" i="2"/>
</calcChain>
</file>

<file path=xl/sharedStrings.xml><?xml version="1.0" encoding="utf-8"?>
<sst xmlns="http://schemas.openxmlformats.org/spreadsheetml/2006/main" count="205" uniqueCount="177">
  <si>
    <t>LIQUIDACION DE EXPENSAS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</si>
  <si>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</si>
  <si>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</si>
  <si>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</si>
  <si>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</si>
  <si>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</si>
  <si>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</si>
  <si>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</si>
  <si>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</si>
  <si>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</si>
  <si>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</si>
  <si>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</si>
  <si>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</si>
  <si>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</si>
  <si>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</si>
  <si>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</si>
  <si>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</si>
  <si>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</si>
  <si>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</si>
  <si>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</si>
  <si>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 xml:space="preserve">Saldo Ord </t>
  </si>
  <si>
    <t>Pagos sin identificar</t>
  </si>
  <si>
    <t>Edesur</t>
  </si>
  <si>
    <t xml:space="preserve">LIMPIEZA </t>
  </si>
  <si>
    <t>Piso</t>
  </si>
  <si>
    <t>Depto</t>
  </si>
  <si>
    <t>A</t>
  </si>
  <si>
    <t>C</t>
  </si>
  <si>
    <t>D</t>
  </si>
  <si>
    <t>B</t>
  </si>
  <si>
    <t>Cochera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</si>
  <si>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</si>
  <si>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Gastos bancarios</t>
  </si>
  <si>
    <t>QUIENES ESTAN EN VIOLETA NO ESTAN RESPETANDO LOS CENTAVOS AL ABONAR.</t>
  </si>
  <si>
    <t>Consumo Kw</t>
  </si>
  <si>
    <t>% Consumido</t>
  </si>
  <si>
    <t xml:space="preserve">Consumo x Dep </t>
  </si>
  <si>
    <t>Cons Esp Com</t>
  </si>
  <si>
    <t>Cons Coch</t>
  </si>
  <si>
    <t>TOTAL FACT EDESUR</t>
  </si>
  <si>
    <t>A gaston le doble cobramos un sum erroneamente el mes pasado, corregir en agosto - Debe abonar 132.216,09 , pago 182.216,09</t>
  </si>
  <si>
    <t>Mantenimiento de cuenta</t>
  </si>
  <si>
    <t>Consumos PARTICULARES</t>
  </si>
  <si>
    <t>Consumos GENERALES</t>
  </si>
  <si>
    <t>Total Edesur x Depto</t>
  </si>
  <si>
    <t>Bonificado x EDESUR</t>
  </si>
  <si>
    <t>SALDO a PAGAR</t>
  </si>
  <si>
    <t>Porcentaje</t>
  </si>
  <si>
    <t>Totales</t>
  </si>
  <si>
    <t>Mes ANTERIOR</t>
  </si>
  <si>
    <t xml:space="preserve">SALDO CAJA </t>
  </si>
  <si>
    <t>Ingresos del mes</t>
  </si>
  <si>
    <t>0-1</t>
  </si>
  <si>
    <t>Fabio Victor Hugo</t>
  </si>
  <si>
    <t>0-2</t>
  </si>
  <si>
    <t>De Pascale Gabriel</t>
  </si>
  <si>
    <t>0-3</t>
  </si>
  <si>
    <t>Citroni Mario</t>
  </si>
  <si>
    <t>1.4</t>
  </si>
  <si>
    <t>Chitriangulo Matias/Pablo</t>
  </si>
  <si>
    <t>1.5</t>
  </si>
  <si>
    <t xml:space="preserve">Noya Claudio </t>
  </si>
  <si>
    <t>1.6</t>
  </si>
  <si>
    <t>Maceira Mariana</t>
  </si>
  <si>
    <t>1.7</t>
  </si>
  <si>
    <t xml:space="preserve">Romera Carlos Augusto </t>
  </si>
  <si>
    <t>2.8</t>
  </si>
  <si>
    <t>Leandro Espinola</t>
  </si>
  <si>
    <t>2.9</t>
  </si>
  <si>
    <t>Yañez alejandra</t>
  </si>
  <si>
    <t>2.10</t>
  </si>
  <si>
    <t>Rivas Rodrigo</t>
  </si>
  <si>
    <t>2.11</t>
  </si>
  <si>
    <t>Perez Quattrochi</t>
  </si>
  <si>
    <t>3.12</t>
  </si>
  <si>
    <t xml:space="preserve">Martinez Rafael </t>
  </si>
  <si>
    <t>3.13</t>
  </si>
  <si>
    <t>Sovran Delia</t>
  </si>
  <si>
    <t>3.14</t>
  </si>
  <si>
    <t>Roura Juan</t>
  </si>
  <si>
    <t>3.15</t>
  </si>
  <si>
    <t>Mandaguy Luis</t>
  </si>
  <si>
    <t>4.16</t>
  </si>
  <si>
    <t>Pirolo Veronica</t>
  </si>
  <si>
    <t>4.17</t>
  </si>
  <si>
    <t>Piris Andrea</t>
  </si>
  <si>
    <t>4.18</t>
  </si>
  <si>
    <t>Edgardo Nolli</t>
  </si>
  <si>
    <t>4.19</t>
  </si>
  <si>
    <t>Alvarez Navarro J</t>
  </si>
  <si>
    <t>5.20</t>
  </si>
  <si>
    <t>Elena Graciela</t>
  </si>
  <si>
    <t>5.21</t>
  </si>
  <si>
    <t>Vazquez Marcela / Alejandra</t>
  </si>
  <si>
    <t>5.22</t>
  </si>
  <si>
    <t>Daniel Exner</t>
  </si>
  <si>
    <t>5.23</t>
  </si>
  <si>
    <t>Szarko Patricia</t>
  </si>
  <si>
    <t>Daniel</t>
  </si>
  <si>
    <t>Jose</t>
  </si>
  <si>
    <t>Gabriel</t>
  </si>
  <si>
    <t>Leonel</t>
  </si>
  <si>
    <t>Laura</t>
  </si>
  <si>
    <t>Corina</t>
  </si>
  <si>
    <t>Claudia</t>
  </si>
  <si>
    <t>Vanina</t>
  </si>
  <si>
    <t>Oscar</t>
  </si>
  <si>
    <t>Paula</t>
  </si>
  <si>
    <t>Noelia</t>
  </si>
  <si>
    <t>Eliseo</t>
  </si>
  <si>
    <t>Interes 3,7%</t>
  </si>
  <si>
    <t>Gastos Ordinarios</t>
  </si>
  <si>
    <t>Gastos Extraordinarios</t>
  </si>
  <si>
    <t>Legales</t>
  </si>
  <si>
    <t>Cuota 1/6</t>
  </si>
  <si>
    <t>Gastos Extr.</t>
  </si>
  <si>
    <t>Gastos Legales</t>
  </si>
  <si>
    <t xml:space="preserve">Lema ascensores abono mantenimiento </t>
  </si>
  <si>
    <t>Empresa internet claro</t>
  </si>
  <si>
    <t>Compra termotanque porteria - Cuota 1/12</t>
  </si>
  <si>
    <t>Sr. Facundo - Mano de obra pintura Dpto. (techos baño) 1.7</t>
  </si>
  <si>
    <t>Oscar Cordoba - Arreglo desague Dpto. 4.16</t>
  </si>
  <si>
    <t>Kromacolor - compra de pintura: cielos rasos siteplast, caablanca sellador fijador y lija al agua sinteplast</t>
  </si>
  <si>
    <t>Kromacolor - compra de enduido</t>
  </si>
  <si>
    <t>Articulos de limpieza</t>
  </si>
  <si>
    <t>Gustavo Padron - Sr. Contador</t>
  </si>
  <si>
    <t xml:space="preserve">Aysa   </t>
  </si>
  <si>
    <t>Aysa -  Destapacion caja de PB</t>
  </si>
  <si>
    <t>TOTAL SEGUROS</t>
  </si>
  <si>
    <t>IMPUESTOS</t>
  </si>
  <si>
    <t>TOTAL IMPUESTOS</t>
  </si>
  <si>
    <t>Sindicatos - Suther, Fathery y Seracarh</t>
  </si>
  <si>
    <t>Arca - No se abona hasta no resolver situacion de cuenta</t>
  </si>
  <si>
    <t>Sueldo Sra. Monica</t>
  </si>
  <si>
    <t>Descuentos</t>
  </si>
  <si>
    <t xml:space="preserve">Seguro Mercantil Andina -  Poliza nro. 001167917 </t>
  </si>
  <si>
    <t>Horas extra fumigacion</t>
  </si>
  <si>
    <t>Acuerdo de deuda - Sindicatos</t>
  </si>
  <si>
    <t>GASTOS EXTRAORDINARIOS:</t>
  </si>
  <si>
    <t>GASTOS EXTRAORDINARIOS:ANCARIOS</t>
  </si>
  <si>
    <t>PREVISION GASTOS EXTRAORDINARIOS:</t>
  </si>
  <si>
    <t>TOTAL GASTOS EXTRAORDINARIOS::</t>
  </si>
  <si>
    <t>GASTOS EXTRAORDINARIOS: SIN PREVISION:</t>
  </si>
  <si>
    <t>GASTOS EXTRAORDINARIOS: CON PREVISION (B):</t>
  </si>
  <si>
    <t>GASTOS ORDINARIOS: - UNIDADES FUNCIONALES:</t>
  </si>
  <si>
    <t>PREVISION GASTOS ORDINARIOS:</t>
  </si>
  <si>
    <t>TOTAL GASTOS ORDINARIOS:</t>
  </si>
  <si>
    <t>GASTOS ORDINARIOS: + PREVISION (A) :</t>
  </si>
  <si>
    <t>GASTOS ORDINARIOS: SIN PREVISION:</t>
  </si>
  <si>
    <t>Egresos del mes ordinarios</t>
  </si>
  <si>
    <t>Egresos del mes extraordinarios</t>
  </si>
  <si>
    <t>Egresos del mes legales</t>
  </si>
  <si>
    <t xml:space="preserve">Ingreso por alquiler Piso 6 UF 24 </t>
  </si>
  <si>
    <t xml:space="preserve">Ingreso por Expensas Piso 6 UF 24 </t>
  </si>
  <si>
    <t>GASTOS LEGALES:</t>
  </si>
  <si>
    <t>TOTAL GASTOS LEGALES:</t>
  </si>
  <si>
    <t>Ezequiel Sarro Murillo -  Sr. Abogado - Audiencia prescencial en el juzgado 22/09</t>
  </si>
  <si>
    <t>Pago Juicio Sra. Elena Final ($2.591.824,45) Se prorrateara en 6 cuotas para recuperar la caja (6 cuotas de $431.970)</t>
  </si>
  <si>
    <t>CONSORCIO DE PROPIETARIOS DEL EDIFICIO MINISTRO BRIN 3219</t>
  </si>
  <si>
    <t>DE 10 A 15HS</t>
  </si>
  <si>
    <t>REITERAMOS QUE LOS DATOS DE LA CUENTA EN DONDE DEBEN ABONAR LAS EXPENSAS SON: Banco: Santander
CBU: 0720533020000003379686
Alias: HULE.PASTO.CONVIDABA
CUIT: 30-70732889-0
Cuenta: CC 533-033796/8</t>
  </si>
  <si>
    <t>Titular / Identificación: C D P MTRO BRIN 3219
CUIT/CUIL: 30-70732889-0
Banco: Santander
Tipo de cuenta: Cuenta Corriente (CC)
Número de cuenta: 533-033796/8
CBU: 0720533020000003379686
Alias: HULE.PASTO.CONVIDABA</t>
  </si>
  <si>
    <t>CUIT DEL EDIFICIO: 30-70732889-0</t>
  </si>
  <si>
    <t>SALDO FINAL</t>
  </si>
  <si>
    <t>SE LE ADEUDA A LA ADMINISTRACION $838.352,52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</si>
  <si>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 Enviar comprobantes de pago SOLO via mail :  ministrobrin3219@gmail.com
Muchas gracias por su colaboración.</t>
  </si>
  <si>
    <t>MAIL: ministrobrin3219@gmail.com</t>
  </si>
  <si>
    <t>Transf 16/10</t>
  </si>
  <si>
    <t>Transf 01/10</t>
  </si>
  <si>
    <t>Transf 13/10</t>
  </si>
  <si>
    <t>Tramsf 09/10</t>
  </si>
  <si>
    <t>VTO 16/11</t>
  </si>
  <si>
    <t>PERÍODO: OCTUBRE</t>
  </si>
  <si>
    <t>Damato fumigaciones - OCTUBRE</t>
  </si>
  <si>
    <t>Desratizacion - Servicio OCTUBRE</t>
  </si>
  <si>
    <t xml:space="preserve">Honorario administracion - Mes de OCTUBRE </t>
  </si>
  <si>
    <t>Doartero septiembre - Reparacion automatizacion de bomba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</si>
</sst>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3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8" borderId="1" xfId="0" applyFont="1" applyFill="1" applyBorder="1"/>
    <xf numFmtId="0" fontId="2" fillId="8" borderId="6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12" fillId="0" borderId="0" xfId="0" applyFont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7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6" xfId="1" applyFont="1" applyBorder="1"/>
    <xf numFmtId="0" fontId="13" fillId="4" borderId="25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8" xfId="0" applyFont="1" applyFill="1" applyBorder="1" applyAlignment="1">
      <alignment horizontal="left" vertical="center" wrapText="1"/>
    </xf>
    <xf numFmtId="44" fontId="2" fillId="10" borderId="25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44" fontId="20" fillId="4" borderId="3" xfId="1" applyFont="1" applyFill="1" applyBorder="1"/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165" fontId="13" fillId="0" borderId="6" xfId="1" applyNumberFormat="1" applyFont="1" applyBorder="1"/>
    <xf numFmtId="8" fontId="10" fillId="4" borderId="1" xfId="0" applyNumberFormat="1" applyFont="1" applyFill="1" applyBorder="1"/>
    <xf numFmtId="166" fontId="0" fillId="2" borderId="0" xfId="1" applyNumberFormat="1" applyFont="1" applyFill="1" applyAlignment="1"/>
    <xf numFmtId="168" fontId="13" fillId="4" borderId="13" xfId="0" applyNumberFormat="1" applyFont="1" applyFill="1" applyBorder="1" applyAlignment="1">
      <alignment horizontal="center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165" fontId="13" fillId="2" borderId="1" xfId="0" applyNumberFormat="1" applyFont="1" applyFill="1" applyBorder="1"/>
    <xf numFmtId="44" fontId="17" fillId="2" borderId="6" xfId="1" applyFont="1" applyFill="1" applyBorder="1"/>
    <xf numFmtId="44" fontId="17" fillId="2" borderId="27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3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14" fillId="2" borderId="1" xfId="0" applyFont="1" applyFill="1" applyBorder="1"/>
    <xf numFmtId="44" fontId="13" fillId="0" borderId="7" xfId="1" applyFont="1" applyBorder="1"/>
    <xf numFmtId="164" fontId="2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0" borderId="7" xfId="0" applyFont="1" applyBorder="1"/>
    <xf numFmtId="0" fontId="4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1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0" fontId="6" fillId="5" borderId="12" xfId="0" applyNumberFormat="1" applyFont="1" applyFill="1" applyBorder="1"/>
    <xf numFmtId="0" fontId="4" fillId="0" borderId="6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2" fillId="0" borderId="1" xfId="0" applyNumberFormat="1" applyFont="1" applyBorder="1"/>
    <xf numFmtId="0" fontId="2" fillId="0" borderId="0" xfId="0" applyFont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0" fontId="0" fillId="13" borderId="0" xfId="0" applyFill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8" fontId="6" fillId="4" borderId="6" xfId="0" applyNumberFormat="1" applyFont="1" applyFill="1" applyBorder="1"/>
    <xf numFmtId="8" fontId="6" fillId="4" borderId="22" xfId="0" applyNumberFormat="1" applyFont="1" applyFill="1" applyBorder="1"/>
    <xf numFmtId="0" fontId="21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22" fillId="0" borderId="1" xfId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9" fontId="0" fillId="0" borderId="1" xfId="0" applyNumberFormat="1" applyBorder="1"/>
    <xf numFmtId="164" fontId="21" fillId="0" borderId="1" xfId="0" applyNumberFormat="1" applyFont="1" applyBorder="1" applyAlignment="1">
      <alignment horizontal="center"/>
    </xf>
    <xf numFmtId="44" fontId="21" fillId="0" borderId="1" xfId="1" applyFont="1" applyBorder="1" applyAlignment="1">
      <alignment horizontal="center"/>
    </xf>
    <xf numFmtId="164" fontId="26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164" fontId="22" fillId="0" borderId="1" xfId="0" applyNumberFormat="1" applyFont="1" applyBorder="1" applyAlignment="1">
      <alignment horizontal="center"/>
    </xf>
    <xf numFmtId="10" fontId="27" fillId="2" borderId="7" xfId="0" applyNumberFormat="1" applyFont="1" applyFill="1" applyBorder="1"/>
    <xf numFmtId="10" fontId="27" fillId="0" borderId="7" xfId="0" applyNumberFormat="1" applyFont="1" applyBorder="1"/>
    <xf numFmtId="10" fontId="27" fillId="14" borderId="7" xfId="0" applyNumberFormat="1" applyFont="1" applyFill="1" applyBorder="1"/>
    <xf numFmtId="10" fontId="27" fillId="0" borderId="23" xfId="0" applyNumberFormat="1" applyFont="1" applyBorder="1"/>
    <xf numFmtId="10" fontId="27" fillId="14" borderId="1" xfId="0" applyNumberFormat="1" applyFont="1" applyFill="1" applyBorder="1"/>
    <xf numFmtId="10" fontId="27" fillId="0" borderId="1" xfId="0" applyNumberFormat="1" applyFont="1" applyBorder="1"/>
    <xf numFmtId="10" fontId="27" fillId="2" borderId="1" xfId="0" applyNumberFormat="1" applyFont="1" applyFill="1" applyBorder="1"/>
    <xf numFmtId="10" fontId="14" fillId="0" borderId="1" xfId="0" applyNumberFormat="1" applyFont="1" applyBorder="1"/>
    <xf numFmtId="10" fontId="14" fillId="14" borderId="1" xfId="0" applyNumberFormat="1" applyFont="1" applyFill="1" applyBorder="1"/>
    <xf numFmtId="0" fontId="4" fillId="0" borderId="6" xfId="0" applyFont="1" applyBorder="1"/>
    <xf numFmtId="0" fontId="4" fillId="2" borderId="6" xfId="0" applyFont="1" applyFill="1" applyBorder="1"/>
    <xf numFmtId="8" fontId="9" fillId="4" borderId="3" xfId="1" applyNumberFormat="1" applyFont="1" applyFill="1" applyBorder="1"/>
    <xf numFmtId="0" fontId="6" fillId="2" borderId="1" xfId="0" applyFont="1" applyFill="1" applyBorder="1"/>
    <xf numFmtId="8" fontId="9" fillId="2" borderId="3" xfId="1" applyNumberFormat="1" applyFont="1" applyFill="1" applyBorder="1"/>
    <xf numFmtId="0" fontId="28" fillId="4" borderId="1" xfId="0" applyFont="1" applyFill="1" applyBorder="1"/>
    <xf numFmtId="44" fontId="2" fillId="4" borderId="0" xfId="1" applyFont="1" applyFill="1"/>
    <xf numFmtId="0" fontId="5" fillId="7" borderId="9" xfId="0" applyFont="1" applyFill="1" applyBorder="1" applyAlignment="1">
      <alignment vertical="center" wrapText="1"/>
    </xf>
    <xf numFmtId="44" fontId="7" fillId="0" borderId="1" xfId="0" applyNumberFormat="1" applyFont="1" applyBorder="1" applyAlignment="1">
      <alignment vertical="center" wrapText="1"/>
    </xf>
    <xf numFmtId="0" fontId="2" fillId="2" borderId="0" xfId="0" applyFont="1" applyFill="1"/>
    <xf numFmtId="10" fontId="2" fillId="2" borderId="0" xfId="0" applyNumberFormat="1" applyFont="1" applyFill="1"/>
    <xf numFmtId="44" fontId="5" fillId="2" borderId="0" xfId="0" applyNumberFormat="1" applyFont="1" applyFill="1"/>
    <xf numFmtId="0" fontId="8" fillId="15" borderId="14" xfId="0" applyFont="1" applyFill="1" applyBorder="1"/>
    <xf numFmtId="0" fontId="8" fillId="15" borderId="12" xfId="0" applyFont="1" applyFill="1" applyBorder="1"/>
    <xf numFmtId="10" fontId="8" fillId="15" borderId="12" xfId="0" applyNumberFormat="1" applyFont="1" applyFill="1" applyBorder="1"/>
    <xf numFmtId="0" fontId="8" fillId="15" borderId="15" xfId="0" applyFont="1" applyFill="1" applyBorder="1"/>
    <xf numFmtId="0" fontId="8" fillId="15" borderId="9" xfId="0" applyFont="1" applyFill="1" applyBorder="1"/>
    <xf numFmtId="10" fontId="8" fillId="15" borderId="10" xfId="0" applyNumberFormat="1" applyFont="1" applyFill="1" applyBorder="1"/>
    <xf numFmtId="0" fontId="8" fillId="15" borderId="10" xfId="0" applyFont="1" applyFill="1" applyBorder="1"/>
    <xf numFmtId="44" fontId="29" fillId="15" borderId="11" xfId="0" applyNumberFormat="1" applyFont="1" applyFill="1" applyBorder="1"/>
    <xf numFmtId="0" fontId="13" fillId="14" borderId="1" xfId="0" applyFont="1" applyFill="1" applyBorder="1"/>
    <xf numFmtId="0" fontId="13" fillId="14" borderId="1" xfId="0" applyFont="1" applyFill="1" applyBorder="1" applyAlignment="1">
      <alignment wrapText="1"/>
    </xf>
    <xf numFmtId="44" fontId="17" fillId="14" borderId="1" xfId="1" applyFont="1" applyFill="1" applyBorder="1"/>
    <xf numFmtId="165" fontId="13" fillId="14" borderId="1" xfId="0" applyNumberFormat="1" applyFont="1" applyFill="1" applyBorder="1"/>
    <xf numFmtId="165" fontId="13" fillId="14" borderId="6" xfId="1" applyNumberFormat="1" applyFont="1" applyFill="1" applyBorder="1"/>
    <xf numFmtId="165" fontId="13" fillId="14" borderId="1" xfId="1" applyNumberFormat="1" applyFont="1" applyFill="1" applyBorder="1"/>
    <xf numFmtId="44" fontId="13" fillId="14" borderId="7" xfId="1" applyFont="1" applyFill="1" applyBorder="1"/>
    <xf numFmtId="44" fontId="17" fillId="14" borderId="7" xfId="1" applyFont="1" applyFill="1" applyBorder="1"/>
    <xf numFmtId="44" fontId="17" fillId="14" borderId="6" xfId="1" applyFont="1" applyFill="1" applyBorder="1"/>
    <xf numFmtId="44" fontId="17" fillId="14" borderId="27" xfId="1" applyFont="1" applyFill="1" applyBorder="1"/>
    <xf numFmtId="0" fontId="17" fillId="14" borderId="1" xfId="0" applyFont="1" applyFill="1" applyBorder="1"/>
    <xf numFmtId="0" fontId="17" fillId="14" borderId="1" xfId="0" applyFont="1" applyFill="1" applyBorder="1" applyAlignment="1">
      <alignment wrapText="1"/>
    </xf>
    <xf numFmtId="10" fontId="14" fillId="14" borderId="7" xfId="0" applyNumberFormat="1" applyFont="1" applyFill="1" applyBorder="1"/>
    <xf numFmtId="165" fontId="17" fillId="14" borderId="1" xfId="0" applyNumberFormat="1" applyFont="1" applyFill="1" applyBorder="1"/>
    <xf numFmtId="165" fontId="17" fillId="14" borderId="6" xfId="1" applyNumberFormat="1" applyFont="1" applyFill="1" applyBorder="1"/>
    <xf numFmtId="165" fontId="17" fillId="14" borderId="1" xfId="1" applyNumberFormat="1" applyFont="1" applyFill="1" applyBorder="1"/>
    <xf numFmtId="44" fontId="17" fillId="2" borderId="2" xfId="1" applyFont="1" applyFill="1" applyBorder="1"/>
    <xf numFmtId="0" fontId="2" fillId="9" borderId="12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8" fontId="4" fillId="2" borderId="6" xfId="0" applyNumberFormat="1" applyFont="1" applyFill="1" applyBorder="1" applyAlignment="1">
      <alignment horizontal="right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8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5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4" fontId="7" fillId="2" borderId="1" xfId="1" applyFont="1" applyFill="1" applyBorder="1"/>
    <xf numFmtId="44" fontId="7" fillId="2" borderId="6" xfId="1" applyFont="1" applyFill="1" applyBorder="1"/>
    <xf numFmtId="8" fontId="7" fillId="2" borderId="6" xfId="0" applyNumberFormat="1" applyFont="1" applyFill="1" applyBorder="1" applyAlignment="1">
      <alignment horizontal="right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</xdr:colOff>
      <xdr:row>0</xdr:row>
      <xdr:rowOff>62865</xdr:rowOff>
    </xdr:from>
    <xdr:to>
      <xdr:col>0</xdr:col>
      <xdr:colOff>2468880</xdr:colOff>
      <xdr:row>2</xdr:row>
      <xdr:rowOff>1356360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" y="62865"/>
          <a:ext cx="2360295" cy="16592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>
      <selection activeCell="B7" sqref="B7"/>
    </sheetView>
  </sheetViews>
  <sheetFormatPr baseColWidth="10" defaultColWidth="10.88671875" defaultRowHeight="14.4" x14ac:dyDescent="0.3"/>
  <cols>
    <col min="1" max="1" width="37.5546875" customWidth="1"/>
    <col min="2" max="2" width="24.5546875" customWidth="1"/>
    <col min="3" max="3" width="15.88671875" hidden="1" customWidth="1"/>
    <col min="4" max="4" width="21.5546875" customWidth="1"/>
    <col min="5" max="5" width="14.554687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44140625" customWidth="1"/>
  </cols>
  <sheetData>
    <row r="1" spans="1:5" x14ac:dyDescent="0.3">
      <c r="A1" s="12"/>
      <c r="B1" s="43" t="s">
        <v>166</v>
      </c>
      <c r="C1" s="43"/>
      <c r="D1" s="43"/>
      <c r="E1" s="44"/>
    </row>
    <row r="2" spans="1:5" x14ac:dyDescent="0.3">
      <c r="A2" s="13"/>
      <c r="B2" s="45" t="s">
        <v>12</v>
      </c>
      <c r="C2" s="45"/>
      <c r="D2" s="45"/>
      <c r="E2" s="46"/>
    </row>
    <row r="3" spans="1:5" ht="114.6" customHeight="1" thickBot="1" x14ac:dyDescent="0.35">
      <c r="A3" s="13"/>
      <c r="B3" s="247" t="s">
        <v>161</v>
      </c>
      <c r="C3" s="247"/>
      <c r="D3" s="247"/>
      <c r="E3" s="248"/>
    </row>
    <row r="4" spans="1:5" ht="15" thickBot="1" x14ac:dyDescent="0.35">
      <c r="A4" s="16" t="s">
        <v>0</v>
      </c>
      <c r="B4" s="60" t="s">
        <v>19</v>
      </c>
      <c r="C4" s="17"/>
      <c r="D4" s="17"/>
      <c r="E4" s="18"/>
    </row>
    <row r="5" spans="1:5" ht="15" thickBot="1" x14ac:dyDescent="0.35">
      <c r="A5" s="13" t="s">
        <v>162</v>
      </c>
      <c r="B5" s="17" t="s">
        <v>172</v>
      </c>
      <c r="C5" s="14"/>
      <c r="D5" s="45" t="s">
        <v>13</v>
      </c>
      <c r="E5" s="15"/>
    </row>
    <row r="6" spans="1:5" ht="15" thickBot="1" x14ac:dyDescent="0.35">
      <c r="A6" s="16" t="s">
        <v>158</v>
      </c>
      <c r="B6" s="17"/>
      <c r="C6" s="17"/>
      <c r="D6" s="17" t="s">
        <v>159</v>
      </c>
      <c r="E6" s="18"/>
    </row>
    <row r="8" spans="1:5" x14ac:dyDescent="0.3">
      <c r="B8" s="250" t="s">
        <v>171</v>
      </c>
      <c r="C8" s="250"/>
    </row>
    <row r="9" spans="1:5" x14ac:dyDescent="0.3">
      <c r="B9" s="250"/>
      <c r="C9" s="250"/>
    </row>
    <row r="10" spans="1:5" x14ac:dyDescent="0.3">
      <c r="B10" s="250"/>
      <c r="C10" s="250"/>
    </row>
    <row r="12" spans="1:5" hidden="1" x14ac:dyDescent="0.3"/>
    <row r="13" spans="1:5" ht="15" customHeight="1" x14ac:dyDescent="0.3">
      <c r="A13" s="249" t="s">
        <v>31</v>
      </c>
      <c r="B13" s="249"/>
      <c r="C13" s="249"/>
      <c r="D13" s="249"/>
      <c r="E13" s="249"/>
    </row>
    <row r="14" spans="1:5" ht="15" customHeight="1" x14ac:dyDescent="0.3">
      <c r="A14" s="249"/>
      <c r="B14" s="249"/>
      <c r="C14" s="249"/>
      <c r="D14" s="249"/>
      <c r="E14" s="249"/>
    </row>
    <row r="15" spans="1:5" ht="15" customHeight="1" x14ac:dyDescent="0.3">
      <c r="A15" s="249"/>
      <c r="B15" s="249"/>
      <c r="C15" s="249"/>
      <c r="D15" s="249"/>
      <c r="E15" s="249"/>
    </row>
    <row r="16" spans="1:5" ht="53.25" customHeight="1" x14ac:dyDescent="0.3">
      <c r="A16" s="249"/>
      <c r="B16" s="249"/>
      <c r="C16" s="249"/>
      <c r="D16" s="249"/>
      <c r="E16" s="249"/>
    </row>
    <row r="17" spans="1:8" ht="14.25" customHeight="1" thickBot="1" x14ac:dyDescent="0.35"/>
    <row r="18" spans="1:8" hidden="1" x14ac:dyDescent="0.3">
      <c r="A18" s="1"/>
    </row>
    <row r="19" spans="1:8" ht="15" hidden="1" thickBot="1" x14ac:dyDescent="0.35"/>
    <row r="20" spans="1:8" x14ac:dyDescent="0.3">
      <c r="A20" s="8" t="s">
        <v>144</v>
      </c>
      <c r="B20" s="9"/>
      <c r="C20" s="10"/>
      <c r="D20" s="6"/>
      <c r="E20" s="11"/>
    </row>
    <row r="21" spans="1:8" x14ac:dyDescent="0.3">
      <c r="A21" s="22" t="s">
        <v>23</v>
      </c>
      <c r="B21" s="22"/>
      <c r="C21" s="22"/>
      <c r="D21" s="95"/>
      <c r="E21" s="90"/>
    </row>
    <row r="22" spans="1:8" ht="15" customHeight="1" x14ac:dyDescent="0.3">
      <c r="A22" s="236" t="s">
        <v>133</v>
      </c>
      <c r="B22" s="237"/>
      <c r="C22" s="138"/>
      <c r="D22" s="164">
        <v>442956.59</v>
      </c>
      <c r="E22" s="135"/>
      <c r="H22" s="80"/>
    </row>
    <row r="23" spans="1:8" ht="15" customHeight="1" x14ac:dyDescent="0.3">
      <c r="A23" s="236" t="s">
        <v>134</v>
      </c>
      <c r="B23" s="237"/>
      <c r="C23" s="138"/>
      <c r="D23" s="164">
        <v>-69765.59</v>
      </c>
      <c r="E23" s="91"/>
      <c r="H23" s="80"/>
    </row>
    <row r="24" spans="1:8" ht="15" customHeight="1" x14ac:dyDescent="0.3">
      <c r="A24" s="185" t="s">
        <v>136</v>
      </c>
      <c r="B24" s="145"/>
      <c r="C24" s="138"/>
      <c r="D24" s="235">
        <v>24500</v>
      </c>
      <c r="E24" s="91"/>
      <c r="H24" s="80"/>
    </row>
    <row r="25" spans="1:8" x14ac:dyDescent="0.3">
      <c r="A25" s="139" t="s">
        <v>7</v>
      </c>
      <c r="B25" s="139"/>
      <c r="C25" s="139"/>
      <c r="D25" s="165"/>
      <c r="E25" s="126">
        <f>SUM(D22:D24)</f>
        <v>397691</v>
      </c>
    </row>
    <row r="26" spans="1:8" x14ac:dyDescent="0.3">
      <c r="A26" s="201" t="s">
        <v>129</v>
      </c>
      <c r="B26" s="139"/>
      <c r="C26" s="139"/>
      <c r="D26" s="165"/>
      <c r="E26" s="198"/>
    </row>
    <row r="27" spans="1:8" x14ac:dyDescent="0.3">
      <c r="A27" s="138" t="s">
        <v>131</v>
      </c>
      <c r="B27" s="199"/>
      <c r="C27" s="199"/>
      <c r="D27" s="66">
        <v>55887.28</v>
      </c>
      <c r="E27" s="200"/>
    </row>
    <row r="28" spans="1:8" x14ac:dyDescent="0.3">
      <c r="A28" s="138" t="s">
        <v>132</v>
      </c>
      <c r="B28" s="199"/>
      <c r="C28" s="199"/>
      <c r="D28" s="66"/>
      <c r="E28" s="200"/>
    </row>
    <row r="29" spans="1:8" x14ac:dyDescent="0.3">
      <c r="A29" s="139" t="s">
        <v>130</v>
      </c>
      <c r="B29" s="139"/>
      <c r="C29" s="139"/>
      <c r="D29" s="165"/>
      <c r="E29" s="98">
        <f>SUM(D26:D28)</f>
        <v>55887.28</v>
      </c>
    </row>
    <row r="30" spans="1:8" x14ac:dyDescent="0.3">
      <c r="A30" s="140" t="s">
        <v>15</v>
      </c>
      <c r="B30" s="139"/>
      <c r="C30" s="139"/>
      <c r="D30" s="166"/>
      <c r="E30" s="127"/>
    </row>
    <row r="31" spans="1:8" ht="30" customHeight="1" x14ac:dyDescent="0.3">
      <c r="A31" s="236" t="s">
        <v>135</v>
      </c>
      <c r="B31" s="237"/>
      <c r="C31" s="141"/>
      <c r="D31" s="280">
        <v>28834</v>
      </c>
      <c r="E31" s="93"/>
    </row>
    <row r="32" spans="1:8" x14ac:dyDescent="0.3">
      <c r="A32" s="139" t="s">
        <v>128</v>
      </c>
      <c r="B32" s="139"/>
      <c r="C32" s="139"/>
      <c r="D32" s="165"/>
      <c r="E32" s="98">
        <f>SUM(D31:D31)</f>
        <v>28834</v>
      </c>
    </row>
    <row r="33" spans="1:5" x14ac:dyDescent="0.3">
      <c r="A33" s="140" t="s">
        <v>8</v>
      </c>
      <c r="B33" s="142"/>
      <c r="C33" s="142"/>
      <c r="D33" s="167"/>
      <c r="E33" s="128"/>
    </row>
    <row r="34" spans="1:5" ht="14.25" customHeight="1" x14ac:dyDescent="0.3">
      <c r="A34" s="63" t="s">
        <v>126</v>
      </c>
      <c r="B34" s="63"/>
      <c r="C34" s="63"/>
      <c r="D34" s="92">
        <v>1555264.54</v>
      </c>
      <c r="E34" s="93"/>
    </row>
    <row r="35" spans="1:5" x14ac:dyDescent="0.3">
      <c r="A35" s="63" t="s">
        <v>127</v>
      </c>
      <c r="B35" s="63"/>
      <c r="C35" s="63"/>
      <c r="D35" s="280">
        <v>1535226.62</v>
      </c>
      <c r="E35" s="135" t="s">
        <v>168</v>
      </c>
    </row>
    <row r="36" spans="1:5" x14ac:dyDescent="0.3">
      <c r="A36" s="63" t="s">
        <v>22</v>
      </c>
      <c r="B36" s="143"/>
      <c r="C36" s="63"/>
      <c r="D36" s="280">
        <v>2123.31</v>
      </c>
      <c r="E36" s="93" t="s">
        <v>170</v>
      </c>
    </row>
    <row r="37" spans="1:5" ht="15" thickBot="1" x14ac:dyDescent="0.35">
      <c r="A37" s="139" t="s">
        <v>1</v>
      </c>
      <c r="B37" s="139"/>
      <c r="C37" s="139"/>
      <c r="D37" s="168"/>
      <c r="E37" s="129">
        <f>SUM(D34:D36)</f>
        <v>3092614.47</v>
      </c>
    </row>
    <row r="38" spans="1:5" ht="15" customHeight="1" thickBot="1" x14ac:dyDescent="0.35">
      <c r="A38" s="140"/>
      <c r="B38" s="139"/>
      <c r="C38" s="139"/>
      <c r="D38" s="165"/>
      <c r="E38" s="130"/>
    </row>
    <row r="39" spans="1:5" ht="16.95" customHeight="1" x14ac:dyDescent="0.3">
      <c r="A39" s="138" t="s">
        <v>117</v>
      </c>
      <c r="B39" s="138"/>
      <c r="C39" s="63"/>
      <c r="D39" s="280">
        <v>102500</v>
      </c>
      <c r="E39" s="93" t="s">
        <v>167</v>
      </c>
    </row>
    <row r="40" spans="1:5" ht="16.95" customHeight="1" x14ac:dyDescent="0.3">
      <c r="A40" s="63" t="s">
        <v>118</v>
      </c>
      <c r="B40" s="63"/>
      <c r="C40" s="63"/>
      <c r="D40" s="92">
        <v>36480.69</v>
      </c>
      <c r="E40" s="93"/>
    </row>
    <row r="41" spans="1:5" ht="16.95" customHeight="1" x14ac:dyDescent="0.3">
      <c r="A41" s="196" t="s">
        <v>119</v>
      </c>
      <c r="B41" s="196"/>
      <c r="C41" s="63"/>
      <c r="D41" s="92">
        <v>29600</v>
      </c>
      <c r="E41" s="93"/>
    </row>
    <row r="42" spans="1:5" ht="16.95" customHeight="1" x14ac:dyDescent="0.3">
      <c r="A42" s="196" t="s">
        <v>176</v>
      </c>
      <c r="B42" s="196"/>
      <c r="C42" s="63"/>
      <c r="D42" s="92">
        <v>160000</v>
      </c>
      <c r="E42" s="93"/>
    </row>
    <row r="43" spans="1:5" ht="16.95" customHeight="1" x14ac:dyDescent="0.3">
      <c r="A43" s="196" t="s">
        <v>120</v>
      </c>
      <c r="B43" s="196"/>
      <c r="C43" s="63"/>
      <c r="D43" s="92">
        <v>280000</v>
      </c>
      <c r="E43" s="93"/>
    </row>
    <row r="44" spans="1:5" ht="16.95" customHeight="1" x14ac:dyDescent="0.3">
      <c r="A44" s="196" t="s">
        <v>121</v>
      </c>
      <c r="B44" s="196"/>
      <c r="C44" s="63"/>
      <c r="D44" s="92">
        <v>215000</v>
      </c>
      <c r="E44" s="93"/>
    </row>
    <row r="45" spans="1:5" ht="39" customHeight="1" x14ac:dyDescent="0.3">
      <c r="A45" s="236" t="s">
        <v>122</v>
      </c>
      <c r="B45" s="237"/>
      <c r="C45" s="63"/>
      <c r="D45" s="92">
        <v>31939.11</v>
      </c>
      <c r="E45" s="93"/>
    </row>
    <row r="46" spans="1:5" ht="16.95" customHeight="1" x14ac:dyDescent="0.3">
      <c r="A46" s="197" t="s">
        <v>123</v>
      </c>
      <c r="B46" s="197"/>
      <c r="C46" s="63"/>
      <c r="D46" s="92">
        <v>14500</v>
      </c>
      <c r="E46" s="93"/>
    </row>
    <row r="47" spans="1:5" ht="16.95" customHeight="1" x14ac:dyDescent="0.3">
      <c r="A47" s="63" t="s">
        <v>173</v>
      </c>
      <c r="B47" s="63"/>
      <c r="C47" s="63"/>
      <c r="D47" s="280">
        <v>75000</v>
      </c>
      <c r="E47" s="93" t="s">
        <v>169</v>
      </c>
    </row>
    <row r="48" spans="1:5" ht="16.95" customHeight="1" x14ac:dyDescent="0.3">
      <c r="A48" s="63" t="s">
        <v>174</v>
      </c>
      <c r="B48" s="63"/>
      <c r="C48" s="63"/>
      <c r="D48" s="92">
        <v>200000</v>
      </c>
      <c r="E48" s="93"/>
    </row>
    <row r="49" spans="1:7" ht="16.95" customHeight="1" x14ac:dyDescent="0.3">
      <c r="A49" s="63" t="s">
        <v>124</v>
      </c>
      <c r="B49" s="63"/>
      <c r="C49" s="63"/>
      <c r="D49" s="281">
        <v>41400</v>
      </c>
      <c r="E49" s="93" t="s">
        <v>167</v>
      </c>
    </row>
    <row r="50" spans="1:7" ht="16.95" customHeight="1" x14ac:dyDescent="0.3">
      <c r="A50" s="236"/>
      <c r="B50" s="237"/>
      <c r="C50" s="63"/>
      <c r="D50" s="66"/>
      <c r="E50" s="93"/>
    </row>
    <row r="51" spans="1:7" x14ac:dyDescent="0.3">
      <c r="A51" s="139" t="s">
        <v>5</v>
      </c>
      <c r="B51" s="140"/>
      <c r="C51" s="140"/>
      <c r="D51" s="140"/>
      <c r="E51" s="98">
        <f>SUM(D39:D50)</f>
        <v>1186419.7999999998</v>
      </c>
    </row>
    <row r="52" spans="1:7" x14ac:dyDescent="0.3">
      <c r="A52" s="140" t="s">
        <v>9</v>
      </c>
      <c r="B52" s="140"/>
      <c r="C52" s="140"/>
      <c r="D52" s="95"/>
      <c r="E52" s="131"/>
    </row>
    <row r="53" spans="1:7" ht="17.399999999999999" customHeight="1" x14ac:dyDescent="0.3">
      <c r="A53" s="236" t="s">
        <v>175</v>
      </c>
      <c r="B53" s="237"/>
      <c r="C53" s="138"/>
      <c r="D53" s="235">
        <v>209000</v>
      </c>
      <c r="E53" s="132"/>
    </row>
    <row r="54" spans="1:7" ht="16.2" customHeight="1" x14ac:dyDescent="0.3">
      <c r="A54" s="185" t="s">
        <v>125</v>
      </c>
      <c r="B54" s="145"/>
      <c r="C54" s="138"/>
      <c r="D54" s="282">
        <v>50000</v>
      </c>
      <c r="E54" s="93" t="s">
        <v>167</v>
      </c>
    </row>
    <row r="55" spans="1:7" x14ac:dyDescent="0.3">
      <c r="A55" s="139" t="s">
        <v>7</v>
      </c>
      <c r="B55" s="139"/>
      <c r="C55" s="139"/>
      <c r="D55" s="165"/>
      <c r="E55" s="126">
        <f>SUM(D53:D54)</f>
        <v>259000</v>
      </c>
    </row>
    <row r="56" spans="1:7" x14ac:dyDescent="0.3">
      <c r="A56" s="140" t="s">
        <v>139</v>
      </c>
      <c r="B56" s="146"/>
      <c r="C56" s="139"/>
      <c r="D56" s="169"/>
      <c r="E56" s="98"/>
    </row>
    <row r="57" spans="1:7" x14ac:dyDescent="0.3">
      <c r="A57" s="63" t="s">
        <v>41</v>
      </c>
      <c r="B57" s="63"/>
      <c r="C57" s="63"/>
      <c r="D57" s="92">
        <v>0</v>
      </c>
      <c r="E57" s="133"/>
    </row>
    <row r="58" spans="1:7" x14ac:dyDescent="0.3">
      <c r="A58" s="63" t="s">
        <v>32</v>
      </c>
      <c r="B58" s="63"/>
      <c r="C58" s="63"/>
      <c r="D58" s="92">
        <v>0</v>
      </c>
      <c r="E58" s="134"/>
    </row>
    <row r="59" spans="1:7" x14ac:dyDescent="0.3">
      <c r="A59" s="147" t="s">
        <v>7</v>
      </c>
      <c r="B59" s="147"/>
      <c r="C59" s="147"/>
      <c r="D59" s="170"/>
      <c r="E59" s="98">
        <f>SUM(D57:D58)</f>
        <v>0</v>
      </c>
    </row>
    <row r="60" spans="1:7" x14ac:dyDescent="0.3">
      <c r="A60" s="63"/>
      <c r="B60" s="63"/>
      <c r="C60" s="63"/>
      <c r="D60" s="63"/>
      <c r="E60" s="68"/>
    </row>
    <row r="61" spans="1:7" x14ac:dyDescent="0.3">
      <c r="A61" s="148" t="s">
        <v>145</v>
      </c>
      <c r="B61" s="148"/>
      <c r="C61" s="148"/>
      <c r="D61" s="69"/>
      <c r="E61" s="99">
        <v>0</v>
      </c>
    </row>
    <row r="62" spans="1:7" ht="15" thickBot="1" x14ac:dyDescent="0.35">
      <c r="A62" s="149"/>
      <c r="B62" s="70"/>
      <c r="C62" s="70"/>
      <c r="D62" s="70"/>
      <c r="E62" s="71"/>
      <c r="F62" s="27"/>
    </row>
    <row r="63" spans="1:7" ht="15" thickBot="1" x14ac:dyDescent="0.35">
      <c r="A63" s="150" t="s">
        <v>146</v>
      </c>
      <c r="B63" s="151"/>
      <c r="C63" s="72"/>
      <c r="D63" s="72"/>
      <c r="E63" s="73">
        <f>(SUM(E21:E61))</f>
        <v>5020446.55</v>
      </c>
      <c r="F63" s="89"/>
      <c r="G63" s="27"/>
    </row>
    <row r="64" spans="1:7" x14ac:dyDescent="0.3">
      <c r="A64" s="70"/>
      <c r="B64" s="70"/>
      <c r="C64" s="70"/>
      <c r="D64" s="70"/>
      <c r="E64" s="70"/>
    </row>
    <row r="65" spans="1:8" ht="15" thickBot="1" x14ac:dyDescent="0.35">
      <c r="A65" s="70"/>
      <c r="B65" s="70"/>
      <c r="C65" s="70"/>
      <c r="D65" s="70"/>
      <c r="E65" s="70"/>
      <c r="H65" s="96"/>
    </row>
    <row r="66" spans="1:8" x14ac:dyDescent="0.3">
      <c r="A66" s="152" t="s">
        <v>138</v>
      </c>
      <c r="B66" s="153"/>
      <c r="C66" s="154"/>
      <c r="D66" s="74"/>
      <c r="E66" s="75"/>
    </row>
    <row r="67" spans="1:8" ht="15" customHeight="1" x14ac:dyDescent="0.3">
      <c r="A67" s="155" t="s">
        <v>137</v>
      </c>
      <c r="B67" s="144"/>
      <c r="C67" s="63"/>
      <c r="D67" s="92">
        <f>108397.71+759533.45</f>
        <v>867931.15999999992</v>
      </c>
      <c r="E67" s="64"/>
    </row>
    <row r="68" spans="1:8" ht="15" customHeight="1" x14ac:dyDescent="0.3">
      <c r="A68" s="240"/>
      <c r="B68" s="240"/>
      <c r="C68" s="63"/>
      <c r="D68" s="92"/>
      <c r="E68" s="64"/>
    </row>
    <row r="69" spans="1:8" ht="15.75" customHeight="1" x14ac:dyDescent="0.3">
      <c r="A69" s="4"/>
      <c r="B69" s="4"/>
      <c r="C69" s="4"/>
      <c r="D69" s="4"/>
      <c r="E69" s="4"/>
    </row>
    <row r="70" spans="1:8" x14ac:dyDescent="0.3">
      <c r="A70" s="65"/>
      <c r="B70" s="67"/>
      <c r="C70" s="4"/>
      <c r="D70" s="66"/>
      <c r="E70" s="64"/>
    </row>
    <row r="71" spans="1:8" x14ac:dyDescent="0.3">
      <c r="A71" s="147" t="s">
        <v>7</v>
      </c>
      <c r="B71" s="31"/>
      <c r="C71" s="31"/>
      <c r="D71" s="35"/>
      <c r="E71" s="202">
        <f>SUM(D67:D70)</f>
        <v>867931.15999999992</v>
      </c>
    </row>
    <row r="72" spans="1:8" ht="15" customHeight="1" x14ac:dyDescent="0.3"/>
    <row r="73" spans="1:8" ht="15" hidden="1" thickBot="1" x14ac:dyDescent="0.35"/>
    <row r="74" spans="1:8" x14ac:dyDescent="0.3">
      <c r="A74" s="20" t="s">
        <v>140</v>
      </c>
      <c r="B74" s="20"/>
      <c r="C74" s="20"/>
      <c r="D74" s="21"/>
      <c r="E74" s="125"/>
    </row>
    <row r="75" spans="1:8" ht="15" thickBot="1" x14ac:dyDescent="0.35"/>
    <row r="76" spans="1:8" ht="15" thickBot="1" x14ac:dyDescent="0.35">
      <c r="A76" s="2" t="s">
        <v>141</v>
      </c>
      <c r="B76" s="7"/>
      <c r="C76" s="3"/>
      <c r="D76" s="3"/>
      <c r="E76" s="42">
        <f>E71+E74</f>
        <v>867931.15999999992</v>
      </c>
    </row>
    <row r="77" spans="1:8" s="80" customFormat="1" ht="15" thickBot="1" x14ac:dyDescent="0.35">
      <c r="A77" s="205"/>
      <c r="B77" s="206"/>
      <c r="C77" s="205"/>
      <c r="D77" s="205"/>
      <c r="E77" s="207"/>
    </row>
    <row r="78" spans="1:8" s="80" customFormat="1" x14ac:dyDescent="0.3">
      <c r="A78" s="208" t="s">
        <v>154</v>
      </c>
      <c r="B78" s="209"/>
      <c r="C78" s="210"/>
      <c r="D78" s="209"/>
      <c r="E78" s="211"/>
    </row>
    <row r="79" spans="1:8" s="80" customFormat="1" ht="33.6" customHeight="1" x14ac:dyDescent="0.3">
      <c r="A79" s="241" t="s">
        <v>156</v>
      </c>
      <c r="B79" s="242"/>
      <c r="C79" s="63"/>
      <c r="D79" s="92">
        <v>160000</v>
      </c>
      <c r="E79" s="64"/>
    </row>
    <row r="80" spans="1:8" s="80" customFormat="1" ht="50.4" customHeight="1" x14ac:dyDescent="0.3">
      <c r="A80" s="240" t="s">
        <v>157</v>
      </c>
      <c r="B80" s="240"/>
      <c r="C80" s="63"/>
      <c r="D80" s="92">
        <v>2591824.4500000002</v>
      </c>
      <c r="E80" s="64"/>
    </row>
    <row r="81" spans="1:5" s="80" customFormat="1" x14ac:dyDescent="0.3">
      <c r="A81" s="4"/>
      <c r="B81" s="4"/>
      <c r="C81" s="4"/>
      <c r="D81" s="4"/>
      <c r="E81" s="4"/>
    </row>
    <row r="82" spans="1:5" s="80" customFormat="1" x14ac:dyDescent="0.3">
      <c r="A82" s="65"/>
      <c r="B82" s="67"/>
      <c r="C82" s="4"/>
      <c r="D82" s="66"/>
      <c r="E82" s="64"/>
    </row>
    <row r="83" spans="1:5" s="80" customFormat="1" x14ac:dyDescent="0.3">
      <c r="A83" s="147" t="s">
        <v>7</v>
      </c>
      <c r="B83" s="31"/>
      <c r="C83" s="31"/>
      <c r="D83" s="35"/>
      <c r="E83" s="202">
        <f>SUM(D79:D82)</f>
        <v>2751824.45</v>
      </c>
    </row>
    <row r="84" spans="1:5" s="80" customFormat="1" ht="15" thickBot="1" x14ac:dyDescent="0.35">
      <c r="A84"/>
      <c r="B84"/>
      <c r="C84"/>
      <c r="D84"/>
      <c r="E84"/>
    </row>
    <row r="85" spans="1:5" s="80" customFormat="1" ht="15" thickBot="1" x14ac:dyDescent="0.35">
      <c r="A85" s="212" t="s">
        <v>155</v>
      </c>
      <c r="B85" s="213"/>
      <c r="C85" s="214"/>
      <c r="D85" s="214"/>
      <c r="E85" s="215">
        <f>E83</f>
        <v>2751824.45</v>
      </c>
    </row>
    <row r="86" spans="1:5" ht="15" thickBot="1" x14ac:dyDescent="0.35"/>
    <row r="87" spans="1:5" ht="15" thickBot="1" x14ac:dyDescent="0.35">
      <c r="A87" s="61" t="s">
        <v>147</v>
      </c>
      <c r="B87" s="62">
        <f>E63</f>
        <v>5020446.55</v>
      </c>
    </row>
    <row r="88" spans="1:5" ht="15" thickBot="1" x14ac:dyDescent="0.35">
      <c r="A88" s="61" t="s">
        <v>148</v>
      </c>
      <c r="B88" s="62">
        <f>E63-E61</f>
        <v>5020446.55</v>
      </c>
    </row>
    <row r="89" spans="1:5" ht="15" thickBot="1" x14ac:dyDescent="0.35">
      <c r="A89" s="61" t="s">
        <v>142</v>
      </c>
      <c r="B89" s="62">
        <f>E76-E74</f>
        <v>867931.15999999992</v>
      </c>
    </row>
    <row r="90" spans="1:5" ht="35.4" customHeight="1" thickBot="1" x14ac:dyDescent="0.35">
      <c r="A90" s="203" t="s">
        <v>143</v>
      </c>
      <c r="B90" s="62">
        <f>E76</f>
        <v>867931.15999999992</v>
      </c>
    </row>
    <row r="92" spans="1:5" s="25" customFormat="1" x14ac:dyDescent="0.3">
      <c r="A92"/>
      <c r="B92" s="26"/>
      <c r="C92" s="24"/>
    </row>
    <row r="93" spans="1:5" s="25" customFormat="1" x14ac:dyDescent="0.3">
      <c r="A93" s="82" t="s">
        <v>50</v>
      </c>
      <c r="B93" s="104">
        <v>4157321.54</v>
      </c>
      <c r="C93" s="24"/>
      <c r="D93" s="30"/>
    </row>
    <row r="94" spans="1:5" x14ac:dyDescent="0.3">
      <c r="A94" s="34" t="s">
        <v>149</v>
      </c>
      <c r="B94" s="204">
        <f>-B88</f>
        <v>-5020446.55</v>
      </c>
      <c r="E94" s="27"/>
    </row>
    <row r="95" spans="1:5" x14ac:dyDescent="0.3">
      <c r="A95" s="34" t="s">
        <v>150</v>
      </c>
      <c r="B95" s="204">
        <f>-B89</f>
        <v>-867931.15999999992</v>
      </c>
      <c r="E95" s="27"/>
    </row>
    <row r="96" spans="1:5" x14ac:dyDescent="0.3">
      <c r="A96" s="34" t="s">
        <v>151</v>
      </c>
      <c r="B96" s="204">
        <f>-E85</f>
        <v>-2751824.45</v>
      </c>
      <c r="E96" s="27"/>
    </row>
    <row r="97" spans="1:5" x14ac:dyDescent="0.3">
      <c r="A97" s="34" t="s">
        <v>51</v>
      </c>
      <c r="B97" s="87">
        <f>PRORRATEO!F38</f>
        <v>2271965.5230871504</v>
      </c>
      <c r="E97" s="27"/>
    </row>
    <row r="98" spans="1:5" x14ac:dyDescent="0.3">
      <c r="A98" s="34" t="s">
        <v>21</v>
      </c>
      <c r="B98" s="87">
        <f>B112</f>
        <v>0</v>
      </c>
    </row>
    <row r="99" spans="1:5" x14ac:dyDescent="0.3">
      <c r="A99" s="34" t="s">
        <v>152</v>
      </c>
      <c r="B99" s="87">
        <v>154086</v>
      </c>
    </row>
    <row r="100" spans="1:5" x14ac:dyDescent="0.3">
      <c r="A100" s="34" t="s">
        <v>153</v>
      </c>
      <c r="B100" s="87">
        <v>63214</v>
      </c>
    </row>
    <row r="101" spans="1:5" x14ac:dyDescent="0.3">
      <c r="A101" s="34"/>
      <c r="B101" s="88"/>
    </row>
    <row r="102" spans="1:5" ht="15" thickBot="1" x14ac:dyDescent="0.35">
      <c r="A102" s="85" t="s">
        <v>163</v>
      </c>
      <c r="B102" s="86">
        <f>SUM(B93:C101)</f>
        <v>-1993615.0969128497</v>
      </c>
    </row>
    <row r="103" spans="1:5" ht="15" thickBot="1" x14ac:dyDescent="0.35">
      <c r="A103" s="83"/>
      <c r="B103" s="83"/>
      <c r="E103" s="26"/>
    </row>
    <row r="104" spans="1:5" ht="14.4" customHeight="1" x14ac:dyDescent="0.3">
      <c r="A104" s="243" t="s">
        <v>164</v>
      </c>
      <c r="B104" s="244"/>
      <c r="C104" s="233"/>
      <c r="E104" s="26"/>
    </row>
    <row r="105" spans="1:5" ht="15" thickBot="1" x14ac:dyDescent="0.35">
      <c r="A105" s="245"/>
      <c r="B105" s="246"/>
      <c r="C105" s="234"/>
      <c r="E105" s="26"/>
    </row>
    <row r="106" spans="1:5" x14ac:dyDescent="0.3">
      <c r="A106" s="83"/>
      <c r="B106" s="83"/>
      <c r="E106" s="26"/>
    </row>
    <row r="107" spans="1:5" x14ac:dyDescent="0.3">
      <c r="A107" s="83"/>
      <c r="B107" s="83"/>
    </row>
    <row r="108" spans="1:5" x14ac:dyDescent="0.3">
      <c r="A108" s="239" t="s">
        <v>16</v>
      </c>
      <c r="B108" s="239"/>
      <c r="C108" s="239"/>
    </row>
    <row r="109" spans="1:5" x14ac:dyDescent="0.3">
      <c r="A109" s="239"/>
      <c r="B109" s="239"/>
      <c r="C109" s="239"/>
    </row>
    <row r="110" spans="1:5" ht="35.25" customHeight="1" x14ac:dyDescent="0.3">
      <c r="A110" s="77"/>
      <c r="B110" s="23"/>
      <c r="C110" s="23">
        <v>40000</v>
      </c>
      <c r="E110" s="89"/>
    </row>
    <row r="111" spans="1:5" ht="27" customHeight="1" x14ac:dyDescent="0.3">
      <c r="A111" s="77"/>
      <c r="B111" s="79"/>
      <c r="C111" s="76"/>
      <c r="D111" s="89"/>
    </row>
    <row r="112" spans="1:5" x14ac:dyDescent="0.3">
      <c r="A112" s="28" t="s">
        <v>5</v>
      </c>
      <c r="B112" s="78">
        <f>SUM(B110:B111)</f>
        <v>0</v>
      </c>
      <c r="C112" s="29"/>
    </row>
    <row r="113" spans="1:13" x14ac:dyDescent="0.3">
      <c r="M113" s="5"/>
    </row>
    <row r="114" spans="1:13" ht="15" customHeight="1" x14ac:dyDescent="0.3">
      <c r="A114" s="238"/>
      <c r="B114" s="238"/>
      <c r="C114" s="238"/>
      <c r="D114" s="238"/>
      <c r="E114" s="238"/>
    </row>
    <row r="115" spans="1:13" x14ac:dyDescent="0.3">
      <c r="A115" s="238"/>
      <c r="B115" s="238"/>
      <c r="C115" s="238"/>
      <c r="D115" s="238"/>
      <c r="E115" s="238"/>
    </row>
    <row r="116" spans="1:13" x14ac:dyDescent="0.3">
      <c r="A116" s="238"/>
      <c r="B116" s="238"/>
      <c r="C116" s="238"/>
      <c r="D116" s="238"/>
      <c r="E116" s="238"/>
    </row>
    <row r="117" spans="1:13" x14ac:dyDescent="0.3">
      <c r="A117" s="238"/>
      <c r="B117" s="238"/>
      <c r="C117" s="238"/>
      <c r="D117" s="238"/>
      <c r="E117" s="238"/>
    </row>
  </sheetData>
  <mergeCells count="15">
    <mergeCell ref="A23:B23"/>
    <mergeCell ref="A22:B22"/>
    <mergeCell ref="B3:E3"/>
    <mergeCell ref="A13:E16"/>
    <mergeCell ref="B8:C10"/>
    <mergeCell ref="A31:B31"/>
    <mergeCell ref="A114:E117"/>
    <mergeCell ref="A108:C109"/>
    <mergeCell ref="A68:B68"/>
    <mergeCell ref="A50:B50"/>
    <mergeCell ref="A53:B53"/>
    <mergeCell ref="A45:B45"/>
    <mergeCell ref="A80:B80"/>
    <mergeCell ref="A79:B79"/>
    <mergeCell ref="A104:B10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topLeftCell="A4" zoomScaleNormal="100" workbookViewId="0">
      <selection activeCell="A11" sqref="A11:O11"/>
    </sheetView>
  </sheetViews>
  <sheetFormatPr baseColWidth="10" defaultColWidth="10.88671875" defaultRowHeight="14.4" x14ac:dyDescent="0.3"/>
  <cols>
    <col min="1" max="1" width="4.44140625" customWidth="1"/>
    <col min="2" max="2" width="18.5546875" customWidth="1"/>
    <col min="3" max="3" width="16" customWidth="1"/>
    <col min="4" max="4" width="8.44140625" customWidth="1"/>
    <col min="5" max="5" width="14.109375" customWidth="1"/>
    <col min="6" max="6" width="13.88671875" customWidth="1"/>
    <col min="7" max="7" width="10.5546875" customWidth="1"/>
    <col min="8" max="8" width="9.5546875" customWidth="1"/>
    <col min="9" max="9" width="14.33203125" customWidth="1"/>
    <col min="10" max="10" width="14.5546875" bestFit="1" customWidth="1"/>
    <col min="11" max="11" width="14.5546875" customWidth="1"/>
    <col min="12" max="12" width="13.44140625" customWidth="1"/>
    <col min="13" max="13" width="14.5546875" customWidth="1"/>
    <col min="14" max="14" width="12" hidden="1" customWidth="1"/>
    <col min="15" max="15" width="14.44140625" customWidth="1"/>
    <col min="16" max="16" width="7.44140625" hidden="1" customWidth="1"/>
    <col min="17" max="17" width="12" bestFit="1" customWidth="1"/>
    <col min="18" max="18" width="13" bestFit="1" customWidth="1"/>
  </cols>
  <sheetData>
    <row r="1" spans="1:16" ht="12.9" customHeight="1" x14ac:dyDescent="0.3">
      <c r="A1" s="105"/>
      <c r="B1" s="107"/>
      <c r="C1" s="107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106"/>
      <c r="O1" s="108"/>
    </row>
    <row r="2" spans="1:16" ht="12.9" customHeight="1" x14ac:dyDescent="0.3">
      <c r="A2" s="109"/>
      <c r="B2" s="110"/>
      <c r="C2" s="111"/>
      <c r="D2" s="111" t="s">
        <v>111</v>
      </c>
      <c r="E2" s="111"/>
      <c r="F2" s="112">
        <v>3865183.9699999997</v>
      </c>
      <c r="G2" s="111"/>
      <c r="H2" s="111"/>
      <c r="I2" s="111" t="s">
        <v>115</v>
      </c>
      <c r="J2" s="113">
        <v>867931.15999999992</v>
      </c>
      <c r="K2" s="113"/>
      <c r="L2" s="113"/>
      <c r="M2" s="114"/>
      <c r="N2" s="115"/>
      <c r="O2" s="116"/>
      <c r="P2" s="19"/>
    </row>
    <row r="3" spans="1:16" ht="12.9" customHeight="1" x14ac:dyDescent="0.3">
      <c r="A3" s="109"/>
      <c r="B3" s="110"/>
      <c r="C3" s="111"/>
      <c r="D3" s="111"/>
      <c r="E3" s="111"/>
      <c r="F3" s="112"/>
      <c r="G3" s="111"/>
      <c r="H3" s="111"/>
      <c r="I3" s="111"/>
      <c r="J3" s="113"/>
      <c r="K3" s="113"/>
      <c r="L3" s="113"/>
      <c r="M3" s="114"/>
      <c r="N3" s="115"/>
      <c r="O3" s="116"/>
      <c r="P3" s="19"/>
    </row>
    <row r="4" spans="1:16" ht="12.9" customHeight="1" x14ac:dyDescent="0.3">
      <c r="A4" s="109"/>
      <c r="B4" s="110"/>
      <c r="C4" s="111"/>
      <c r="D4" s="111" t="s">
        <v>116</v>
      </c>
      <c r="E4" s="111"/>
      <c r="F4" s="112">
        <f>170000-900-50-7</f>
        <v>169043</v>
      </c>
      <c r="G4" s="111"/>
      <c r="H4" s="111"/>
      <c r="I4" s="111" t="s">
        <v>114</v>
      </c>
      <c r="J4" s="113">
        <v>431970</v>
      </c>
      <c r="K4" s="113"/>
      <c r="L4" s="113"/>
      <c r="M4" s="114"/>
      <c r="N4" s="115"/>
      <c r="O4" s="116"/>
      <c r="P4" s="19"/>
    </row>
    <row r="5" spans="1:16" ht="15" thickBot="1" x14ac:dyDescent="0.35">
      <c r="A5" s="109"/>
      <c r="B5" s="110"/>
      <c r="C5" s="110"/>
      <c r="D5" s="110"/>
      <c r="E5" s="110"/>
      <c r="F5" s="117"/>
      <c r="G5" s="110"/>
      <c r="H5" s="110"/>
      <c r="I5" s="110"/>
      <c r="J5" s="110"/>
      <c r="K5" s="110"/>
      <c r="L5" s="110"/>
      <c r="M5" s="114"/>
      <c r="N5" s="115"/>
      <c r="O5" s="116"/>
      <c r="P5" s="19"/>
    </row>
    <row r="6" spans="1:16" x14ac:dyDescent="0.3">
      <c r="A6" s="261" t="s">
        <v>165</v>
      </c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3"/>
      <c r="P6" s="19"/>
    </row>
    <row r="7" spans="1:16" x14ac:dyDescent="0.3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6"/>
      <c r="P7" s="19"/>
    </row>
    <row r="8" spans="1:16" ht="12.9" customHeight="1" x14ac:dyDescent="0.3">
      <c r="A8" s="264"/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6"/>
      <c r="P8" s="19"/>
    </row>
    <row r="9" spans="1:16" ht="12.9" customHeight="1" x14ac:dyDescent="0.3">
      <c r="A9" s="264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6"/>
      <c r="P9" s="19"/>
    </row>
    <row r="10" spans="1:16" ht="33.75" customHeight="1" thickBot="1" x14ac:dyDescent="0.35">
      <c r="A10" s="267"/>
      <c r="B10" s="268"/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9"/>
    </row>
    <row r="11" spans="1:16" ht="102" customHeight="1" thickBot="1" x14ac:dyDescent="0.35">
      <c r="A11" s="272" t="s">
        <v>160</v>
      </c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</row>
    <row r="12" spans="1:16" ht="48" customHeight="1" thickBot="1" x14ac:dyDescent="0.35">
      <c r="A12" s="274" t="s">
        <v>33</v>
      </c>
      <c r="B12" s="274"/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</row>
    <row r="13" spans="1:16" ht="14.4" customHeight="1" x14ac:dyDescent="0.3">
      <c r="A13" s="251" t="s">
        <v>2</v>
      </c>
      <c r="B13" s="251" t="s">
        <v>3</v>
      </c>
      <c r="C13" s="251" t="s">
        <v>11</v>
      </c>
      <c r="D13" s="251" t="s">
        <v>6</v>
      </c>
      <c r="E13" s="254" t="s">
        <v>20</v>
      </c>
      <c r="F13" s="251" t="s">
        <v>4</v>
      </c>
      <c r="G13" s="259" t="s">
        <v>14</v>
      </c>
      <c r="H13" s="254" t="s">
        <v>110</v>
      </c>
      <c r="I13" s="254" t="s">
        <v>112</v>
      </c>
      <c r="J13" s="254" t="s">
        <v>111</v>
      </c>
      <c r="K13" s="254" t="s">
        <v>113</v>
      </c>
      <c r="L13" s="254" t="s">
        <v>114</v>
      </c>
      <c r="M13" s="38" t="s">
        <v>18</v>
      </c>
      <c r="N13" s="257" t="s">
        <v>10</v>
      </c>
      <c r="O13" s="270" t="s">
        <v>17</v>
      </c>
    </row>
    <row r="14" spans="1:16" ht="15.75" customHeight="1" x14ac:dyDescent="0.3">
      <c r="A14" s="252"/>
      <c r="B14" s="253"/>
      <c r="C14" s="252"/>
      <c r="D14" s="253"/>
      <c r="E14" s="255"/>
      <c r="F14" s="253"/>
      <c r="G14" s="260"/>
      <c r="H14" s="255"/>
      <c r="I14" s="255"/>
      <c r="J14" s="255"/>
      <c r="K14" s="255"/>
      <c r="L14" s="255"/>
      <c r="M14" s="36" t="str">
        <f>RESUMEN!B8</f>
        <v>VTO 16/11</v>
      </c>
      <c r="N14" s="258"/>
      <c r="O14" s="271"/>
    </row>
    <row r="15" spans="1:16" ht="17.100000000000001" customHeight="1" x14ac:dyDescent="0.3">
      <c r="A15" s="39" t="s">
        <v>52</v>
      </c>
      <c r="B15" s="39" t="s">
        <v>53</v>
      </c>
      <c r="C15" s="39" t="s">
        <v>98</v>
      </c>
      <c r="D15" s="187">
        <v>4.0500000000000001E-2</v>
      </c>
      <c r="E15" s="47">
        <v>123184.96402499999</v>
      </c>
      <c r="F15" s="48">
        <v>123184.96402499999</v>
      </c>
      <c r="G15" s="49">
        <f t="shared" ref="G15:G37" si="0">E15-F15</f>
        <v>0</v>
      </c>
      <c r="H15" s="49">
        <f>IF(G15&gt;0,G15*3.7%,0)</f>
        <v>0</v>
      </c>
      <c r="I15" s="94">
        <f>J$2*D15</f>
        <v>35151.21198</v>
      </c>
      <c r="J15" s="94">
        <f>F$2*D15</f>
        <v>156539.95078499999</v>
      </c>
      <c r="K15" s="124">
        <f>F$4*D15</f>
        <v>6846.2415000000001</v>
      </c>
      <c r="L15" s="136">
        <f>J$4*D15</f>
        <v>17494.785</v>
      </c>
      <c r="M15" s="123">
        <f>ROUND(SUM(G15:L15),0) + P15</f>
        <v>216032.01</v>
      </c>
      <c r="N15" s="50">
        <f>ROUND(M15*6% + M15,0) + P15</f>
        <v>228994.01</v>
      </c>
      <c r="O15" s="51">
        <f>ROUND(M15*3%,0) + M15</f>
        <v>222513.01</v>
      </c>
      <c r="P15" s="27">
        <v>0.01</v>
      </c>
    </row>
    <row r="16" spans="1:16" ht="17.100000000000001" customHeight="1" x14ac:dyDescent="0.3">
      <c r="A16" s="118" t="s">
        <v>54</v>
      </c>
      <c r="B16" s="118" t="s">
        <v>55</v>
      </c>
      <c r="C16" s="119"/>
      <c r="D16" s="188">
        <v>6.4799999999999996E-2</v>
      </c>
      <c r="E16" s="48">
        <v>197095.94243999996</v>
      </c>
      <c r="F16" s="48">
        <v>197095.94243999996</v>
      </c>
      <c r="G16" s="120">
        <f t="shared" si="0"/>
        <v>0</v>
      </c>
      <c r="H16" s="49">
        <f t="shared" ref="H16:H37" si="1">IF(G16&gt;0,G16*3.7%,0)</f>
        <v>0</v>
      </c>
      <c r="I16" s="94">
        <f t="shared" ref="I16:I37" si="2">J$2*D16</f>
        <v>56241.93916799999</v>
      </c>
      <c r="J16" s="94">
        <f t="shared" ref="J16:J37" si="3">F$2*D16</f>
        <v>250463.92125599997</v>
      </c>
      <c r="K16" s="124">
        <f t="shared" ref="K16:K37" si="4">F$4*D16</f>
        <v>10953.9864</v>
      </c>
      <c r="L16" s="136">
        <f t="shared" ref="L16:L37" si="5">J$4*D16</f>
        <v>27991.655999999999</v>
      </c>
      <c r="M16" s="123">
        <f t="shared" ref="M16:M37" si="6">ROUND(SUM(G16:L16),0) + P16</f>
        <v>345652.02</v>
      </c>
      <c r="N16" s="121">
        <f t="shared" ref="N16:N32" si="7">ROUND(M16*6% + M16,0) + P16</f>
        <v>366391.02</v>
      </c>
      <c r="O16" s="122">
        <f t="shared" ref="O16:O37" si="8">ROUND(M16*3%,0) + M16</f>
        <v>356022.02</v>
      </c>
      <c r="P16" s="27">
        <f>P15+0.01</f>
        <v>0.02</v>
      </c>
    </row>
    <row r="17" spans="1:16" ht="17.100000000000001" customHeight="1" x14ac:dyDescent="0.3">
      <c r="A17" s="39" t="s">
        <v>56</v>
      </c>
      <c r="B17" s="39" t="s">
        <v>57</v>
      </c>
      <c r="C17" s="40" t="s">
        <v>99</v>
      </c>
      <c r="D17" s="187">
        <v>4.82E-2</v>
      </c>
      <c r="E17" s="47">
        <v>146605.31521</v>
      </c>
      <c r="F17" s="48">
        <v>146605.31521</v>
      </c>
      <c r="G17" s="49">
        <f t="shared" si="0"/>
        <v>0</v>
      </c>
      <c r="H17" s="49">
        <f t="shared" si="1"/>
        <v>0</v>
      </c>
      <c r="I17" s="94">
        <f t="shared" si="2"/>
        <v>41834.281911999999</v>
      </c>
      <c r="J17" s="94">
        <f t="shared" si="3"/>
        <v>186301.86735399999</v>
      </c>
      <c r="K17" s="124">
        <f t="shared" si="4"/>
        <v>8147.8725999999997</v>
      </c>
      <c r="L17" s="136">
        <f t="shared" si="5"/>
        <v>20820.954000000002</v>
      </c>
      <c r="M17" s="123">
        <f t="shared" si="6"/>
        <v>257105.03</v>
      </c>
      <c r="N17" s="50">
        <f t="shared" si="7"/>
        <v>272531.03000000003</v>
      </c>
      <c r="O17" s="51">
        <f t="shared" si="8"/>
        <v>264818.03000000003</v>
      </c>
      <c r="P17" s="27">
        <f t="shared" ref="P17:P32" si="9">P16+0.01</f>
        <v>0.03</v>
      </c>
    </row>
    <row r="18" spans="1:16" ht="26.25" customHeight="1" x14ac:dyDescent="0.3">
      <c r="A18" s="226" t="s">
        <v>58</v>
      </c>
      <c r="B18" s="226" t="s">
        <v>59</v>
      </c>
      <c r="C18" s="227" t="s">
        <v>100</v>
      </c>
      <c r="D18" s="228">
        <v>5.3499999999999999E-2</v>
      </c>
      <c r="E18" s="218">
        <v>6715695.8885622956</v>
      </c>
      <c r="F18" s="218"/>
      <c r="G18" s="229">
        <f t="shared" si="0"/>
        <v>6715695.8885622956</v>
      </c>
      <c r="H18" s="229">
        <f t="shared" si="1"/>
        <v>248480.74787680496</v>
      </c>
      <c r="I18" s="230">
        <f t="shared" si="2"/>
        <v>46434.317059999994</v>
      </c>
      <c r="J18" s="230">
        <f t="shared" si="3"/>
        <v>206787.34239499999</v>
      </c>
      <c r="K18" s="231">
        <f t="shared" si="4"/>
        <v>9043.8004999999994</v>
      </c>
      <c r="L18" s="223">
        <f t="shared" si="5"/>
        <v>23110.395</v>
      </c>
      <c r="M18" s="223">
        <f t="shared" si="6"/>
        <v>7249552.04</v>
      </c>
      <c r="N18" s="224">
        <f t="shared" si="7"/>
        <v>7684525.04</v>
      </c>
      <c r="O18" s="225">
        <f t="shared" si="8"/>
        <v>7467039.04</v>
      </c>
      <c r="P18" s="27">
        <f t="shared" si="9"/>
        <v>0.04</v>
      </c>
    </row>
    <row r="19" spans="1:16" ht="17.100000000000001" customHeight="1" x14ac:dyDescent="0.3">
      <c r="A19" s="118" t="s">
        <v>60</v>
      </c>
      <c r="B19" s="118" t="s">
        <v>61</v>
      </c>
      <c r="C19" s="118"/>
      <c r="D19" s="188">
        <v>3.85E-2</v>
      </c>
      <c r="E19" s="48">
        <v>117101.755925</v>
      </c>
      <c r="F19" s="48">
        <v>117101.755925</v>
      </c>
      <c r="G19" s="120">
        <f t="shared" si="0"/>
        <v>0</v>
      </c>
      <c r="H19" s="49">
        <f t="shared" si="1"/>
        <v>0</v>
      </c>
      <c r="I19" s="94">
        <f t="shared" si="2"/>
        <v>33415.34966</v>
      </c>
      <c r="J19" s="94">
        <f t="shared" si="3"/>
        <v>148809.582845</v>
      </c>
      <c r="K19" s="124">
        <f t="shared" si="4"/>
        <v>6508.1554999999998</v>
      </c>
      <c r="L19" s="136">
        <f t="shared" si="5"/>
        <v>16630.845000000001</v>
      </c>
      <c r="M19" s="123">
        <f t="shared" si="6"/>
        <v>205364.05</v>
      </c>
      <c r="N19" s="121">
        <f t="shared" si="7"/>
        <v>217686.05</v>
      </c>
      <c r="O19" s="122">
        <f t="shared" si="8"/>
        <v>211525.05</v>
      </c>
      <c r="P19" s="27">
        <f t="shared" si="9"/>
        <v>0.05</v>
      </c>
    </row>
    <row r="20" spans="1:16" ht="17.100000000000001" customHeight="1" x14ac:dyDescent="0.3">
      <c r="A20" s="39" t="s">
        <v>62</v>
      </c>
      <c r="B20" s="39" t="s">
        <v>63</v>
      </c>
      <c r="C20" s="39"/>
      <c r="D20" s="188">
        <v>3.5900000000000001E-2</v>
      </c>
      <c r="E20" s="47">
        <v>109193.585395</v>
      </c>
      <c r="F20" s="48">
        <v>0</v>
      </c>
      <c r="G20" s="49">
        <f t="shared" si="0"/>
        <v>109193.585395</v>
      </c>
      <c r="H20" s="49">
        <f t="shared" si="1"/>
        <v>4040.1626596150008</v>
      </c>
      <c r="I20" s="94">
        <f t="shared" si="2"/>
        <v>31158.728643999999</v>
      </c>
      <c r="J20" s="94">
        <f t="shared" si="3"/>
        <v>138760.10452299999</v>
      </c>
      <c r="K20" s="124">
        <f t="shared" si="4"/>
        <v>6068.6437000000005</v>
      </c>
      <c r="L20" s="136">
        <f t="shared" si="5"/>
        <v>15507.723</v>
      </c>
      <c r="M20" s="123">
        <f t="shared" si="6"/>
        <v>304729.06</v>
      </c>
      <c r="N20" s="50">
        <f t="shared" si="7"/>
        <v>323013.06</v>
      </c>
      <c r="O20" s="51">
        <f t="shared" si="8"/>
        <v>313871.06</v>
      </c>
      <c r="P20" s="27">
        <f t="shared" si="9"/>
        <v>6.0000000000000005E-2</v>
      </c>
    </row>
    <row r="21" spans="1:16" ht="17.100000000000001" customHeight="1" x14ac:dyDescent="0.3">
      <c r="A21" s="118" t="s">
        <v>64</v>
      </c>
      <c r="B21" s="118" t="s">
        <v>65</v>
      </c>
      <c r="C21" s="118"/>
      <c r="D21" s="188">
        <v>4.1399999999999999E-2</v>
      </c>
      <c r="E21" s="48">
        <v>125922.40766999999</v>
      </c>
      <c r="F21" s="48">
        <v>125922.40766999999</v>
      </c>
      <c r="G21" s="120">
        <f t="shared" si="0"/>
        <v>0</v>
      </c>
      <c r="H21" s="49">
        <f t="shared" si="1"/>
        <v>0</v>
      </c>
      <c r="I21" s="94">
        <f t="shared" si="2"/>
        <v>35932.350023999999</v>
      </c>
      <c r="J21" s="94">
        <f t="shared" si="3"/>
        <v>160018.616358</v>
      </c>
      <c r="K21" s="124">
        <f t="shared" si="4"/>
        <v>6998.3801999999996</v>
      </c>
      <c r="L21" s="136">
        <f t="shared" si="5"/>
        <v>17883.558000000001</v>
      </c>
      <c r="M21" s="123">
        <f t="shared" si="6"/>
        <v>220833.07</v>
      </c>
      <c r="N21" s="121">
        <f t="shared" si="7"/>
        <v>234083.07</v>
      </c>
      <c r="O21" s="122">
        <f t="shared" si="8"/>
        <v>227458.07</v>
      </c>
      <c r="P21" s="27">
        <f t="shared" si="9"/>
        <v>7.0000000000000007E-2</v>
      </c>
    </row>
    <row r="22" spans="1:16" ht="17.100000000000001" customHeight="1" x14ac:dyDescent="0.3">
      <c r="A22" s="118" t="s">
        <v>66</v>
      </c>
      <c r="B22" s="118" t="s">
        <v>67</v>
      </c>
      <c r="C22" s="119" t="s">
        <v>101</v>
      </c>
      <c r="D22" s="188">
        <v>5.3499999999999999E-2</v>
      </c>
      <c r="E22" s="48">
        <v>162725.81667500001</v>
      </c>
      <c r="F22" s="48">
        <v>154000</v>
      </c>
      <c r="G22" s="120">
        <f t="shared" si="0"/>
        <v>8725.8166750000091</v>
      </c>
      <c r="H22" s="49">
        <f>IF(G22&gt;0,G22*3.7%,0)</f>
        <v>322.85521697500036</v>
      </c>
      <c r="I22" s="94">
        <f t="shared" si="2"/>
        <v>46434.317059999994</v>
      </c>
      <c r="J22" s="94">
        <f t="shared" si="3"/>
        <v>206787.34239499999</v>
      </c>
      <c r="K22" s="124">
        <f t="shared" si="4"/>
        <v>9043.8004999999994</v>
      </c>
      <c r="L22" s="136">
        <f t="shared" si="5"/>
        <v>23110.395</v>
      </c>
      <c r="M22" s="123">
        <f t="shared" si="6"/>
        <v>294425.08</v>
      </c>
      <c r="N22" s="121">
        <f t="shared" si="7"/>
        <v>312091.08</v>
      </c>
      <c r="O22" s="122">
        <f t="shared" si="8"/>
        <v>303258.08</v>
      </c>
      <c r="P22" s="27">
        <f t="shared" si="9"/>
        <v>0.08</v>
      </c>
    </row>
    <row r="23" spans="1:16" ht="17.100000000000001" customHeight="1" x14ac:dyDescent="0.3">
      <c r="A23" s="118" t="s">
        <v>68</v>
      </c>
      <c r="B23" s="118" t="s">
        <v>69</v>
      </c>
      <c r="C23" s="119" t="s">
        <v>102</v>
      </c>
      <c r="D23" s="188">
        <v>3.85E-2</v>
      </c>
      <c r="E23" s="47">
        <v>217109.46241214999</v>
      </c>
      <c r="F23" s="48">
        <v>217109.46241214999</v>
      </c>
      <c r="G23" s="49">
        <f t="shared" si="0"/>
        <v>0</v>
      </c>
      <c r="H23" s="49">
        <f t="shared" si="1"/>
        <v>0</v>
      </c>
      <c r="I23" s="94">
        <f t="shared" si="2"/>
        <v>33415.34966</v>
      </c>
      <c r="J23" s="94">
        <f t="shared" si="3"/>
        <v>148809.582845</v>
      </c>
      <c r="K23" s="124">
        <f t="shared" si="4"/>
        <v>6508.1554999999998</v>
      </c>
      <c r="L23" s="136">
        <f t="shared" si="5"/>
        <v>16630.845000000001</v>
      </c>
      <c r="M23" s="123">
        <f t="shared" si="6"/>
        <v>205364.09</v>
      </c>
      <c r="N23" s="50">
        <f t="shared" si="7"/>
        <v>217686.09</v>
      </c>
      <c r="O23" s="51">
        <f t="shared" si="8"/>
        <v>211525.09</v>
      </c>
      <c r="P23" s="27">
        <f t="shared" si="9"/>
        <v>0.09</v>
      </c>
    </row>
    <row r="24" spans="1:16" ht="17.100000000000001" customHeight="1" x14ac:dyDescent="0.3">
      <c r="A24" s="118" t="s">
        <v>70</v>
      </c>
      <c r="B24" s="118" t="s">
        <v>71</v>
      </c>
      <c r="C24" s="119"/>
      <c r="D24" s="187">
        <v>3.5900000000000001E-2</v>
      </c>
      <c r="E24" s="47">
        <v>-51885.627972089635</v>
      </c>
      <c r="F24" s="48"/>
      <c r="G24" s="49">
        <f>E24-F24</f>
        <v>-51885.627972089635</v>
      </c>
      <c r="H24" s="49">
        <f t="shared" si="1"/>
        <v>0</v>
      </c>
      <c r="I24" s="94">
        <f t="shared" si="2"/>
        <v>31158.728643999999</v>
      </c>
      <c r="J24" s="94">
        <f t="shared" si="3"/>
        <v>138760.10452299999</v>
      </c>
      <c r="K24" s="124">
        <f t="shared" si="4"/>
        <v>6068.6437000000005</v>
      </c>
      <c r="L24" s="136">
        <f t="shared" si="5"/>
        <v>15507.723</v>
      </c>
      <c r="M24" s="123">
        <f t="shared" si="6"/>
        <v>139610.1</v>
      </c>
      <c r="N24" s="50">
        <f t="shared" si="7"/>
        <v>147987.1</v>
      </c>
      <c r="O24" s="51">
        <f t="shared" si="8"/>
        <v>143798.1</v>
      </c>
      <c r="P24" s="27">
        <f t="shared" si="9"/>
        <v>9.9999999999999992E-2</v>
      </c>
    </row>
    <row r="25" spans="1:16" ht="17.100000000000001" customHeight="1" x14ac:dyDescent="0.3">
      <c r="A25" s="216" t="s">
        <v>72</v>
      </c>
      <c r="B25" s="216" t="s">
        <v>73</v>
      </c>
      <c r="C25" s="217" t="s">
        <v>103</v>
      </c>
      <c r="D25" s="189">
        <v>4.1399999999999999E-2</v>
      </c>
      <c r="E25" s="218">
        <v>4792208.6425903365</v>
      </c>
      <c r="F25" s="218"/>
      <c r="G25" s="219">
        <f t="shared" si="0"/>
        <v>4792208.6425903365</v>
      </c>
      <c r="H25" s="219">
        <f t="shared" si="1"/>
        <v>177311.71977584247</v>
      </c>
      <c r="I25" s="220">
        <f t="shared" si="2"/>
        <v>35932.350023999999</v>
      </c>
      <c r="J25" s="220">
        <f t="shared" si="3"/>
        <v>160018.616358</v>
      </c>
      <c r="K25" s="221">
        <f t="shared" si="4"/>
        <v>6998.3801999999996</v>
      </c>
      <c r="L25" s="222">
        <f t="shared" si="5"/>
        <v>17883.558000000001</v>
      </c>
      <c r="M25" s="223">
        <f t="shared" si="6"/>
        <v>5190353.1100000003</v>
      </c>
      <c r="N25" s="224">
        <f t="shared" si="7"/>
        <v>5501774.1100000003</v>
      </c>
      <c r="O25" s="225">
        <f t="shared" si="8"/>
        <v>5346064.1100000003</v>
      </c>
      <c r="P25" s="27">
        <f t="shared" si="9"/>
        <v>0.10999999999999999</v>
      </c>
    </row>
    <row r="26" spans="1:16" ht="30" customHeight="1" x14ac:dyDescent="0.3">
      <c r="A26" s="39" t="s">
        <v>74</v>
      </c>
      <c r="B26" s="39" t="s">
        <v>75</v>
      </c>
      <c r="C26" s="40" t="s">
        <v>104</v>
      </c>
      <c r="D26" s="190">
        <v>5.3499999999999999E-2</v>
      </c>
      <c r="E26" s="47">
        <v>162725.81667500001</v>
      </c>
      <c r="F26" s="48">
        <v>162725.81667500001</v>
      </c>
      <c r="G26" s="49">
        <f t="shared" si="0"/>
        <v>0</v>
      </c>
      <c r="H26" s="49">
        <f t="shared" si="1"/>
        <v>0</v>
      </c>
      <c r="I26" s="94">
        <f t="shared" si="2"/>
        <v>46434.317059999994</v>
      </c>
      <c r="J26" s="94">
        <f t="shared" si="3"/>
        <v>206787.34239499999</v>
      </c>
      <c r="K26" s="124">
        <f t="shared" si="4"/>
        <v>9043.8004999999994</v>
      </c>
      <c r="L26" s="136">
        <f t="shared" si="5"/>
        <v>23110.395</v>
      </c>
      <c r="M26" s="123">
        <f t="shared" si="6"/>
        <v>285376.12</v>
      </c>
      <c r="N26" s="50">
        <f t="shared" si="7"/>
        <v>302499.12</v>
      </c>
      <c r="O26" s="51">
        <f t="shared" si="8"/>
        <v>293937.12</v>
      </c>
      <c r="P26" s="27">
        <f t="shared" si="9"/>
        <v>0.11999999999999998</v>
      </c>
    </row>
    <row r="27" spans="1:16" ht="17.100000000000001" customHeight="1" x14ac:dyDescent="0.3">
      <c r="A27" s="216" t="s">
        <v>76</v>
      </c>
      <c r="B27" s="216" t="s">
        <v>77</v>
      </c>
      <c r="C27" s="217"/>
      <c r="D27" s="191">
        <v>3.85E-2</v>
      </c>
      <c r="E27" s="218">
        <v>2359047.9860918703</v>
      </c>
      <c r="F27" s="218">
        <v>0</v>
      </c>
      <c r="G27" s="219">
        <f t="shared" si="0"/>
        <v>2359047.9860918703</v>
      </c>
      <c r="H27" s="219">
        <f t="shared" si="1"/>
        <v>87284.775485399208</v>
      </c>
      <c r="I27" s="220">
        <f t="shared" si="2"/>
        <v>33415.34966</v>
      </c>
      <c r="J27" s="220">
        <f t="shared" si="3"/>
        <v>148809.582845</v>
      </c>
      <c r="K27" s="221">
        <f t="shared" si="4"/>
        <v>6508.1554999999998</v>
      </c>
      <c r="L27" s="222">
        <f t="shared" si="5"/>
        <v>16630.845000000001</v>
      </c>
      <c r="M27" s="223">
        <f t="shared" si="6"/>
        <v>2651697.13</v>
      </c>
      <c r="N27" s="224">
        <f t="shared" si="7"/>
        <v>2810799.13</v>
      </c>
      <c r="O27" s="225">
        <f t="shared" si="8"/>
        <v>2731248.13</v>
      </c>
      <c r="P27" s="27">
        <f t="shared" si="9"/>
        <v>0.12999999999999998</v>
      </c>
    </row>
    <row r="28" spans="1:16" ht="17.100000000000001" customHeight="1" x14ac:dyDescent="0.3">
      <c r="A28" s="118" t="s">
        <v>78</v>
      </c>
      <c r="B28" s="118" t="s">
        <v>79</v>
      </c>
      <c r="C28" s="119" t="s">
        <v>105</v>
      </c>
      <c r="D28" s="192">
        <v>3.5900000000000001E-2</v>
      </c>
      <c r="E28" s="48">
        <v>-13506.414605000005</v>
      </c>
      <c r="F28" s="48">
        <v>0</v>
      </c>
      <c r="G28" s="120">
        <f t="shared" si="0"/>
        <v>-13506.414605000005</v>
      </c>
      <c r="H28" s="49">
        <f t="shared" si="1"/>
        <v>0</v>
      </c>
      <c r="I28" s="94">
        <f t="shared" si="2"/>
        <v>31158.728643999999</v>
      </c>
      <c r="J28" s="94">
        <f t="shared" si="3"/>
        <v>138760.10452299999</v>
      </c>
      <c r="K28" s="124">
        <f t="shared" si="4"/>
        <v>6068.6437000000005</v>
      </c>
      <c r="L28" s="136">
        <f t="shared" si="5"/>
        <v>15507.723</v>
      </c>
      <c r="M28" s="123">
        <f t="shared" si="6"/>
        <v>177989.14</v>
      </c>
      <c r="N28" s="121">
        <f t="shared" si="7"/>
        <v>188668.14</v>
      </c>
      <c r="O28" s="122">
        <f t="shared" si="8"/>
        <v>183329.14</v>
      </c>
      <c r="P28" s="27">
        <f t="shared" si="9"/>
        <v>0.13999999999999999</v>
      </c>
    </row>
    <row r="29" spans="1:16" ht="17.100000000000001" customHeight="1" x14ac:dyDescent="0.3">
      <c r="A29" s="39" t="s">
        <v>80</v>
      </c>
      <c r="B29" s="39" t="s">
        <v>81</v>
      </c>
      <c r="C29" s="40" t="s">
        <v>106</v>
      </c>
      <c r="D29" s="193">
        <v>4.1399999999999999E-2</v>
      </c>
      <c r="E29" s="47">
        <v>125922.40766999999</v>
      </c>
      <c r="F29" s="48">
        <v>125922.40766999999</v>
      </c>
      <c r="G29" s="49">
        <f t="shared" si="0"/>
        <v>0</v>
      </c>
      <c r="H29" s="49">
        <f t="shared" si="1"/>
        <v>0</v>
      </c>
      <c r="I29" s="94">
        <f t="shared" si="2"/>
        <v>35932.350023999999</v>
      </c>
      <c r="J29" s="94">
        <f t="shared" si="3"/>
        <v>160018.616358</v>
      </c>
      <c r="K29" s="124">
        <f t="shared" si="4"/>
        <v>6998.3801999999996</v>
      </c>
      <c r="L29" s="136">
        <f t="shared" si="5"/>
        <v>17883.558000000001</v>
      </c>
      <c r="M29" s="123">
        <f t="shared" si="6"/>
        <v>220833.15</v>
      </c>
      <c r="N29" s="50">
        <f t="shared" si="7"/>
        <v>234083.15</v>
      </c>
      <c r="O29" s="51">
        <f t="shared" si="8"/>
        <v>227458.15</v>
      </c>
      <c r="P29" s="27">
        <f t="shared" si="9"/>
        <v>0.15</v>
      </c>
    </row>
    <row r="30" spans="1:16" ht="17.100000000000001" customHeight="1" x14ac:dyDescent="0.3">
      <c r="A30" s="118" t="s">
        <v>82</v>
      </c>
      <c r="B30" s="118" t="s">
        <v>83</v>
      </c>
      <c r="C30" s="39"/>
      <c r="D30" s="194">
        <v>5.3499999999999999E-2</v>
      </c>
      <c r="E30" s="47">
        <v>162725.81667500001</v>
      </c>
      <c r="F30" s="48">
        <v>197861.70667500002</v>
      </c>
      <c r="G30" s="49">
        <f t="shared" si="0"/>
        <v>-35135.890000000014</v>
      </c>
      <c r="H30" s="49">
        <f t="shared" si="1"/>
        <v>0</v>
      </c>
      <c r="I30" s="94">
        <f t="shared" si="2"/>
        <v>46434.317059999994</v>
      </c>
      <c r="J30" s="94">
        <f t="shared" si="3"/>
        <v>206787.34239499999</v>
      </c>
      <c r="K30" s="124">
        <f t="shared" si="4"/>
        <v>9043.8004999999994</v>
      </c>
      <c r="L30" s="136">
        <f t="shared" si="5"/>
        <v>23110.395</v>
      </c>
      <c r="M30" s="123">
        <f t="shared" si="6"/>
        <v>250240.16</v>
      </c>
      <c r="N30" s="50">
        <f t="shared" si="7"/>
        <v>265255.15999999997</v>
      </c>
      <c r="O30" s="51">
        <f t="shared" si="8"/>
        <v>257747.16</v>
      </c>
      <c r="P30" s="27">
        <f t="shared" si="9"/>
        <v>0.16</v>
      </c>
    </row>
    <row r="31" spans="1:16" ht="17.100000000000001" customHeight="1" x14ac:dyDescent="0.3">
      <c r="A31" s="118" t="s">
        <v>84</v>
      </c>
      <c r="B31" s="118" t="s">
        <v>85</v>
      </c>
      <c r="C31" s="40" t="s">
        <v>107</v>
      </c>
      <c r="D31" s="194">
        <v>3.85E-2</v>
      </c>
      <c r="E31" s="48">
        <v>117101.755925</v>
      </c>
      <c r="F31" s="48">
        <v>117101.81</v>
      </c>
      <c r="G31" s="49">
        <f t="shared" si="0"/>
        <v>-5.4074999992735684E-2</v>
      </c>
      <c r="H31" s="49">
        <f t="shared" si="1"/>
        <v>0</v>
      </c>
      <c r="I31" s="94">
        <f t="shared" si="2"/>
        <v>33415.34966</v>
      </c>
      <c r="J31" s="94">
        <f t="shared" si="3"/>
        <v>148809.582845</v>
      </c>
      <c r="K31" s="124">
        <f t="shared" si="4"/>
        <v>6508.1554999999998</v>
      </c>
      <c r="L31" s="136">
        <f t="shared" si="5"/>
        <v>16630.845000000001</v>
      </c>
      <c r="M31" s="123">
        <f t="shared" si="6"/>
        <v>205364.17</v>
      </c>
      <c r="N31" s="50">
        <f t="shared" si="7"/>
        <v>217686.17</v>
      </c>
      <c r="O31" s="51">
        <f t="shared" si="8"/>
        <v>211525.17</v>
      </c>
      <c r="P31" s="27">
        <f t="shared" si="9"/>
        <v>0.17</v>
      </c>
    </row>
    <row r="32" spans="1:16" ht="17.100000000000001" customHeight="1" x14ac:dyDescent="0.3">
      <c r="A32" s="39" t="s">
        <v>86</v>
      </c>
      <c r="B32" s="39" t="s">
        <v>87</v>
      </c>
      <c r="C32" s="81"/>
      <c r="D32" s="194">
        <v>3.5900000000000001E-2</v>
      </c>
      <c r="E32" s="47">
        <v>109193.585395</v>
      </c>
      <c r="F32" s="48">
        <v>109193.585395</v>
      </c>
      <c r="G32" s="49">
        <f t="shared" si="0"/>
        <v>0</v>
      </c>
      <c r="H32" s="49">
        <f t="shared" si="1"/>
        <v>0</v>
      </c>
      <c r="I32" s="94">
        <f t="shared" si="2"/>
        <v>31158.728643999999</v>
      </c>
      <c r="J32" s="94">
        <f t="shared" si="3"/>
        <v>138760.10452299999</v>
      </c>
      <c r="K32" s="124">
        <f t="shared" si="4"/>
        <v>6068.6437000000005</v>
      </c>
      <c r="L32" s="136">
        <f t="shared" si="5"/>
        <v>15507.723</v>
      </c>
      <c r="M32" s="123">
        <f t="shared" si="6"/>
        <v>191495.18</v>
      </c>
      <c r="N32" s="50">
        <f t="shared" si="7"/>
        <v>202985.18</v>
      </c>
      <c r="O32" s="51">
        <f t="shared" si="8"/>
        <v>197240.18</v>
      </c>
      <c r="P32" s="27">
        <f t="shared" si="9"/>
        <v>0.18000000000000002</v>
      </c>
    </row>
    <row r="33" spans="1:16" x14ac:dyDescent="0.3">
      <c r="A33" s="216" t="s">
        <v>88</v>
      </c>
      <c r="B33" s="216" t="s">
        <v>89</v>
      </c>
      <c r="C33" s="217" t="s">
        <v>108</v>
      </c>
      <c r="D33" s="195">
        <v>4.1399999999999999E-2</v>
      </c>
      <c r="E33" s="218">
        <v>3935634.9310685159</v>
      </c>
      <c r="F33" s="218">
        <v>125922.6</v>
      </c>
      <c r="G33" s="219">
        <f t="shared" si="0"/>
        <v>3809712.3310685158</v>
      </c>
      <c r="H33" s="219">
        <f t="shared" si="1"/>
        <v>140959.35624953511</v>
      </c>
      <c r="I33" s="220">
        <f t="shared" si="2"/>
        <v>35932.350023999999</v>
      </c>
      <c r="J33" s="220">
        <f t="shared" si="3"/>
        <v>160018.616358</v>
      </c>
      <c r="K33" s="221">
        <f t="shared" si="4"/>
        <v>6998.3801999999996</v>
      </c>
      <c r="L33" s="222">
        <f t="shared" si="5"/>
        <v>17883.558000000001</v>
      </c>
      <c r="M33" s="223">
        <f t="shared" si="6"/>
        <v>4171505.19</v>
      </c>
      <c r="N33" s="224"/>
      <c r="O33" s="225">
        <f t="shared" si="8"/>
        <v>4296650.1899999995</v>
      </c>
      <c r="P33" s="27">
        <f>P32+0.01</f>
        <v>0.19000000000000003</v>
      </c>
    </row>
    <row r="34" spans="1:16" x14ac:dyDescent="0.3">
      <c r="A34" s="52" t="s">
        <v>90</v>
      </c>
      <c r="B34" s="39" t="s">
        <v>91</v>
      </c>
      <c r="C34" s="40"/>
      <c r="D34" s="194">
        <v>5.3499999999999999E-2</v>
      </c>
      <c r="E34" s="54">
        <v>3945998.9763045558</v>
      </c>
      <c r="F34" s="48"/>
      <c r="G34" s="49">
        <f t="shared" si="0"/>
        <v>3945998.9763045558</v>
      </c>
      <c r="H34" s="49">
        <f t="shared" si="1"/>
        <v>146001.96212326857</v>
      </c>
      <c r="I34" s="94">
        <f t="shared" si="2"/>
        <v>46434.317059999994</v>
      </c>
      <c r="J34" s="94">
        <f t="shared" si="3"/>
        <v>206787.34239499999</v>
      </c>
      <c r="K34" s="124">
        <v>0</v>
      </c>
      <c r="L34" s="136">
        <f t="shared" si="5"/>
        <v>23110.395</v>
      </c>
      <c r="M34" s="123">
        <f t="shared" si="6"/>
        <v>4368333.2</v>
      </c>
      <c r="N34" s="50"/>
      <c r="O34" s="51">
        <f t="shared" si="8"/>
        <v>4499383.2</v>
      </c>
      <c r="P34" s="27">
        <f t="shared" ref="P34:P37" si="10">P33+0.01</f>
        <v>0.20000000000000004</v>
      </c>
    </row>
    <row r="35" spans="1:16" x14ac:dyDescent="0.3">
      <c r="A35" s="52" t="s">
        <v>92</v>
      </c>
      <c r="B35" s="41" t="s">
        <v>93</v>
      </c>
      <c r="C35" s="40" t="s">
        <v>108</v>
      </c>
      <c r="D35" s="194">
        <v>3.85E-2</v>
      </c>
      <c r="E35" s="54">
        <v>117101.755925</v>
      </c>
      <c r="F35" s="48">
        <v>117101.755925</v>
      </c>
      <c r="G35" s="49">
        <f t="shared" si="0"/>
        <v>0</v>
      </c>
      <c r="H35" s="49">
        <f t="shared" si="1"/>
        <v>0</v>
      </c>
      <c r="I35" s="94">
        <f t="shared" si="2"/>
        <v>33415.34966</v>
      </c>
      <c r="J35" s="94">
        <f t="shared" si="3"/>
        <v>148809.582845</v>
      </c>
      <c r="K35" s="124">
        <f t="shared" si="4"/>
        <v>6508.1554999999998</v>
      </c>
      <c r="L35" s="136">
        <f t="shared" si="5"/>
        <v>16630.845000000001</v>
      </c>
      <c r="M35" s="123">
        <f t="shared" si="6"/>
        <v>205364.21</v>
      </c>
      <c r="N35" s="50"/>
      <c r="O35" s="51">
        <f t="shared" si="8"/>
        <v>211525.21</v>
      </c>
      <c r="P35" s="27">
        <f t="shared" si="10"/>
        <v>0.21000000000000005</v>
      </c>
    </row>
    <row r="36" spans="1:16" x14ac:dyDescent="0.3">
      <c r="A36" s="53" t="s">
        <v>94</v>
      </c>
      <c r="B36" s="39" t="s">
        <v>95</v>
      </c>
      <c r="C36" s="40" t="s">
        <v>109</v>
      </c>
      <c r="D36" s="194">
        <v>3.5900000000000001E-2</v>
      </c>
      <c r="E36" s="54">
        <v>109193.585395</v>
      </c>
      <c r="F36" s="232">
        <v>109193.585395</v>
      </c>
      <c r="G36" s="49">
        <f t="shared" si="0"/>
        <v>0</v>
      </c>
      <c r="H36" s="49">
        <f t="shared" si="1"/>
        <v>0</v>
      </c>
      <c r="I36" s="94">
        <f t="shared" si="2"/>
        <v>31158.728643999999</v>
      </c>
      <c r="J36" s="94">
        <f t="shared" si="3"/>
        <v>138760.10452299999</v>
      </c>
      <c r="K36" s="124">
        <f t="shared" si="4"/>
        <v>6068.6437000000005</v>
      </c>
      <c r="L36" s="136">
        <f t="shared" si="5"/>
        <v>15507.723</v>
      </c>
      <c r="M36" s="123">
        <f t="shared" si="6"/>
        <v>191495.22</v>
      </c>
      <c r="N36" s="50"/>
      <c r="O36" s="51">
        <f t="shared" si="8"/>
        <v>197240.22</v>
      </c>
      <c r="P36" s="27">
        <f t="shared" si="10"/>
        <v>0.22000000000000006</v>
      </c>
    </row>
    <row r="37" spans="1:16" ht="17.100000000000001" customHeight="1" thickBot="1" x14ac:dyDescent="0.35">
      <c r="A37" s="55" t="s">
        <v>96</v>
      </c>
      <c r="B37" s="55" t="s">
        <v>97</v>
      </c>
      <c r="C37" s="40"/>
      <c r="D37" s="194">
        <v>4.1399999999999999E-2</v>
      </c>
      <c r="E37" s="54">
        <v>125922.40766999999</v>
      </c>
      <c r="F37" s="48">
        <v>125922.40766999999</v>
      </c>
      <c r="G37" s="49">
        <f t="shared" si="0"/>
        <v>0</v>
      </c>
      <c r="H37" s="49">
        <f t="shared" si="1"/>
        <v>0</v>
      </c>
      <c r="I37" s="94">
        <f t="shared" si="2"/>
        <v>35932.350023999999</v>
      </c>
      <c r="J37" s="94">
        <f t="shared" si="3"/>
        <v>160018.616358</v>
      </c>
      <c r="K37" s="124">
        <f t="shared" si="4"/>
        <v>6998.3801999999996</v>
      </c>
      <c r="L37" s="136">
        <f t="shared" si="5"/>
        <v>17883.558000000001</v>
      </c>
      <c r="M37" s="123">
        <f t="shared" si="6"/>
        <v>220833.23</v>
      </c>
      <c r="N37" s="56"/>
      <c r="O37" s="51">
        <f t="shared" si="8"/>
        <v>227458.23</v>
      </c>
      <c r="P37" s="27">
        <f t="shared" si="10"/>
        <v>0.23000000000000007</v>
      </c>
    </row>
    <row r="38" spans="1:16" ht="17.100000000000001" customHeight="1" thickBot="1" x14ac:dyDescent="0.35">
      <c r="A38" s="57"/>
      <c r="B38" s="58"/>
      <c r="C38" s="58"/>
      <c r="D38" s="97">
        <f>SUM(D15:D37)</f>
        <v>1</v>
      </c>
      <c r="E38" s="33">
        <f>SUM(E15:E37)</f>
        <v>23912020.763122637</v>
      </c>
      <c r="F38" s="37">
        <f>SUM(F15:F37)</f>
        <v>2271965.5230871504</v>
      </c>
      <c r="G38" s="37">
        <f>SUM(G15:G37)</f>
        <v>21640055.240035485</v>
      </c>
      <c r="H38" s="37">
        <f t="shared" ref="H38:N38" si="11">SUM(H15:H37)</f>
        <v>804401.57938744035</v>
      </c>
      <c r="I38" s="84">
        <f t="shared" si="11"/>
        <v>867931.16</v>
      </c>
      <c r="J38" s="37">
        <f t="shared" si="11"/>
        <v>3865183.9699999997</v>
      </c>
      <c r="K38" s="59">
        <f>SUM(K15:K37)</f>
        <v>159999.19949999999</v>
      </c>
      <c r="L38" s="59">
        <f>SUM(L15:L37)</f>
        <v>431970.00000000006</v>
      </c>
      <c r="M38" s="59">
        <f>SUM(M15:M37)</f>
        <v>27769545.760000002</v>
      </c>
      <c r="N38" s="59">
        <f t="shared" si="11"/>
        <v>19728737.710000001</v>
      </c>
      <c r="O38" s="59">
        <f>SUM(O15:O37)</f>
        <v>28602633.759999998</v>
      </c>
    </row>
    <row r="39" spans="1:16" ht="12.75" customHeight="1" x14ac:dyDescent="0.3">
      <c r="B39" s="32"/>
      <c r="C39" s="32"/>
    </row>
    <row r="40" spans="1:16" hidden="1" x14ac:dyDescent="0.3"/>
    <row r="41" spans="1:16" ht="9" customHeight="1" x14ac:dyDescent="0.3">
      <c r="B41" s="23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</row>
    <row r="42" spans="1:16" ht="12" hidden="1" customHeight="1" x14ac:dyDescent="0.3"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</row>
    <row r="43" spans="1:16" ht="12" hidden="1" customHeight="1" x14ac:dyDescent="0.3"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</row>
    <row r="44" spans="1:16" ht="12" hidden="1" customHeight="1" x14ac:dyDescent="0.3"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</row>
    <row r="45" spans="1:16" ht="12" hidden="1" customHeight="1" x14ac:dyDescent="0.3"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</row>
    <row r="46" spans="1:16" ht="67.5" customHeight="1" x14ac:dyDescent="0.3"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</row>
  </sheetData>
  <mergeCells count="19">
    <mergeCell ref="D1:M1"/>
    <mergeCell ref="H13:H14"/>
    <mergeCell ref="E13:E14"/>
    <mergeCell ref="N13:N14"/>
    <mergeCell ref="F13:F14"/>
    <mergeCell ref="G13:G14"/>
    <mergeCell ref="I13:I14"/>
    <mergeCell ref="J13:J14"/>
    <mergeCell ref="A6:O10"/>
    <mergeCell ref="O13:O14"/>
    <mergeCell ref="A11:O11"/>
    <mergeCell ref="A12:O12"/>
    <mergeCell ref="K13:K14"/>
    <mergeCell ref="A13:A14"/>
    <mergeCell ref="B41:M46"/>
    <mergeCell ref="C13:C14"/>
    <mergeCell ref="B13:B14"/>
    <mergeCell ref="D13:D14"/>
    <mergeCell ref="L13:L14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DE44-94AC-4627-8367-E065E39D764D}">
  <dimension ref="B2:O32"/>
  <sheetViews>
    <sheetView topLeftCell="A13" workbookViewId="0">
      <selection activeCell="O5" sqref="O5"/>
    </sheetView>
  </sheetViews>
  <sheetFormatPr baseColWidth="10" defaultColWidth="9.109375" defaultRowHeight="14.4" x14ac:dyDescent="0.3"/>
  <cols>
    <col min="1" max="1" width="4" customWidth="1"/>
    <col min="2" max="2" width="8.44140625" customWidth="1"/>
    <col min="3" max="3" width="8" customWidth="1"/>
    <col min="4" max="4" width="12.5546875" customWidth="1"/>
    <col min="5" max="5" width="14" customWidth="1"/>
    <col min="6" max="6" width="15.33203125" customWidth="1"/>
    <col min="7" max="7" width="1.88671875" customWidth="1"/>
    <col min="8" max="8" width="10.5546875" customWidth="1"/>
    <col min="9" max="9" width="14.33203125" customWidth="1"/>
    <col min="10" max="10" width="1.88671875" customWidth="1"/>
    <col min="11" max="11" width="19.5546875" style="102" customWidth="1"/>
    <col min="12" max="12" width="2.109375" customWidth="1"/>
    <col min="13" max="13" width="19.6640625" style="103" customWidth="1"/>
    <col min="14" max="14" width="2" customWidth="1"/>
    <col min="15" max="15" width="15.33203125" style="161" customWidth="1"/>
  </cols>
  <sheetData>
    <row r="2" spans="2:15" x14ac:dyDescent="0.3">
      <c r="D2" s="275" t="s">
        <v>42</v>
      </c>
      <c r="E2" s="275"/>
      <c r="F2" s="275"/>
      <c r="G2" s="1"/>
      <c r="H2" s="276" t="s">
        <v>43</v>
      </c>
      <c r="I2" s="277"/>
      <c r="J2" s="1"/>
      <c r="K2" s="184" t="s">
        <v>44</v>
      </c>
      <c r="M2" s="171" t="s">
        <v>45</v>
      </c>
      <c r="O2" s="184" t="s">
        <v>46</v>
      </c>
    </row>
    <row r="3" spans="2:15" x14ac:dyDescent="0.3">
      <c r="B3" s="100" t="s">
        <v>24</v>
      </c>
      <c r="C3" s="100" t="s">
        <v>25</v>
      </c>
      <c r="D3" s="100" t="s">
        <v>34</v>
      </c>
      <c r="E3" s="100" t="s">
        <v>35</v>
      </c>
      <c r="F3" s="184" t="s">
        <v>36</v>
      </c>
      <c r="H3" s="100" t="s">
        <v>47</v>
      </c>
      <c r="I3" s="156" t="s">
        <v>37</v>
      </c>
      <c r="K3" s="100"/>
      <c r="M3" s="101"/>
      <c r="O3" s="184"/>
    </row>
    <row r="4" spans="2:15" x14ac:dyDescent="0.3">
      <c r="B4" s="172">
        <v>1</v>
      </c>
      <c r="C4" s="172" t="s">
        <v>26</v>
      </c>
      <c r="D4" s="173">
        <v>0</v>
      </c>
      <c r="E4" s="174">
        <v>0</v>
      </c>
      <c r="F4" s="175">
        <v>0</v>
      </c>
      <c r="H4" s="157">
        <v>0.12</v>
      </c>
      <c r="I4" s="176">
        <v>5711.4946104294486</v>
      </c>
      <c r="K4" s="137">
        <f>I4+F4</f>
        <v>5711.4946104294486</v>
      </c>
      <c r="M4" s="177">
        <f>K4</f>
        <v>5711.4946104294486</v>
      </c>
      <c r="O4" s="137">
        <f>K4-M4</f>
        <v>0</v>
      </c>
    </row>
    <row r="5" spans="2:15" x14ac:dyDescent="0.3">
      <c r="B5" s="100">
        <v>1</v>
      </c>
      <c r="C5" s="100" t="s">
        <v>27</v>
      </c>
      <c r="D5" s="159">
        <v>300.19999999999982</v>
      </c>
      <c r="E5" s="174">
        <v>0.56112149532710243</v>
      </c>
      <c r="F5" s="175">
        <v>122121.84345092018</v>
      </c>
      <c r="H5" s="158">
        <v>6.6000000000000003E-2</v>
      </c>
      <c r="I5" s="176">
        <v>3141.322035736197</v>
      </c>
      <c r="K5" s="137">
        <f t="shared" ref="K5:K18" si="0">I5+F5</f>
        <v>125263.16548665638</v>
      </c>
      <c r="M5" s="177">
        <v>0</v>
      </c>
      <c r="O5" s="137">
        <f t="shared" ref="O5:O18" si="1">K5-M5</f>
        <v>125263.16548665638</v>
      </c>
    </row>
    <row r="6" spans="2:15" x14ac:dyDescent="0.3">
      <c r="B6" s="172">
        <v>1</v>
      </c>
      <c r="C6" s="172" t="s">
        <v>28</v>
      </c>
      <c r="D6" s="173">
        <v>0</v>
      </c>
      <c r="E6" s="174">
        <v>0</v>
      </c>
      <c r="F6" s="175">
        <v>0</v>
      </c>
      <c r="H6" s="158">
        <v>5.3999999999999999E-2</v>
      </c>
      <c r="I6" s="176">
        <v>2570.172574693252</v>
      </c>
      <c r="K6" s="137">
        <f t="shared" si="0"/>
        <v>2570.172574693252</v>
      </c>
      <c r="M6" s="177">
        <f t="shared" ref="M6:M18" si="2">K6</f>
        <v>2570.172574693252</v>
      </c>
      <c r="O6" s="137">
        <f t="shared" si="1"/>
        <v>0</v>
      </c>
    </row>
    <row r="7" spans="2:15" x14ac:dyDescent="0.3">
      <c r="B7" s="172">
        <v>2</v>
      </c>
      <c r="C7" s="172" t="s">
        <v>26</v>
      </c>
      <c r="D7" s="173">
        <v>0</v>
      </c>
      <c r="E7" s="174">
        <v>0</v>
      </c>
      <c r="F7" s="175">
        <v>0</v>
      </c>
      <c r="H7" s="158">
        <v>5.3999999999999999E-2</v>
      </c>
      <c r="I7" s="176">
        <v>2570.172574693252</v>
      </c>
      <c r="K7" s="137">
        <f t="shared" si="0"/>
        <v>2570.172574693252</v>
      </c>
      <c r="M7" s="177">
        <f t="shared" si="2"/>
        <v>2570.172574693252</v>
      </c>
      <c r="O7" s="137">
        <f t="shared" si="1"/>
        <v>0</v>
      </c>
    </row>
    <row r="8" spans="2:15" x14ac:dyDescent="0.3">
      <c r="B8" s="172">
        <v>2</v>
      </c>
      <c r="C8" s="172" t="s">
        <v>29</v>
      </c>
      <c r="D8" s="173">
        <v>0</v>
      </c>
      <c r="E8" s="174">
        <v>0</v>
      </c>
      <c r="F8" s="175">
        <v>0</v>
      </c>
      <c r="H8" s="158">
        <v>6.6000000000000003E-2</v>
      </c>
      <c r="I8" s="176">
        <v>3141.322035736197</v>
      </c>
      <c r="K8" s="137">
        <f t="shared" si="0"/>
        <v>3141.322035736197</v>
      </c>
      <c r="M8" s="177">
        <f t="shared" si="2"/>
        <v>3141.322035736197</v>
      </c>
      <c r="O8" s="137">
        <f t="shared" si="1"/>
        <v>0</v>
      </c>
    </row>
    <row r="9" spans="2:15" x14ac:dyDescent="0.3">
      <c r="B9" s="172">
        <v>2</v>
      </c>
      <c r="C9" s="172" t="s">
        <v>27</v>
      </c>
      <c r="D9" s="173">
        <v>0</v>
      </c>
      <c r="E9" s="174">
        <v>0</v>
      </c>
      <c r="F9" s="175">
        <v>0</v>
      </c>
      <c r="H9" s="158">
        <v>6.6000000000000003E-2</v>
      </c>
      <c r="I9" s="176">
        <v>3141.322035736197</v>
      </c>
      <c r="K9" s="137">
        <f t="shared" si="0"/>
        <v>3141.322035736197</v>
      </c>
      <c r="M9" s="177">
        <f t="shared" si="2"/>
        <v>3141.322035736197</v>
      </c>
      <c r="O9" s="137">
        <f t="shared" si="1"/>
        <v>0</v>
      </c>
    </row>
    <row r="10" spans="2:15" x14ac:dyDescent="0.3">
      <c r="B10" s="172">
        <v>2</v>
      </c>
      <c r="C10" s="172" t="s">
        <v>28</v>
      </c>
      <c r="D10" s="173">
        <v>0</v>
      </c>
      <c r="E10" s="174">
        <v>0</v>
      </c>
      <c r="F10" s="178">
        <v>0</v>
      </c>
      <c r="H10" s="158">
        <v>5.3999999999999999E-2</v>
      </c>
      <c r="I10" s="176">
        <v>2570.172574693252</v>
      </c>
      <c r="K10" s="137">
        <f t="shared" si="0"/>
        <v>2570.172574693252</v>
      </c>
      <c r="M10" s="177">
        <f t="shared" si="2"/>
        <v>2570.172574693252</v>
      </c>
      <c r="O10" s="137">
        <f t="shared" si="1"/>
        <v>0</v>
      </c>
    </row>
    <row r="11" spans="2:15" x14ac:dyDescent="0.3">
      <c r="B11" s="172">
        <v>3</v>
      </c>
      <c r="C11" s="172" t="s">
        <v>26</v>
      </c>
      <c r="D11" s="173">
        <v>0</v>
      </c>
      <c r="E11" s="174">
        <v>0</v>
      </c>
      <c r="F11" s="175">
        <v>0</v>
      </c>
      <c r="H11" s="158">
        <v>5.3999999999999999E-2</v>
      </c>
      <c r="I11" s="176">
        <v>2570.172574693252</v>
      </c>
      <c r="K11" s="137">
        <f t="shared" si="0"/>
        <v>2570.172574693252</v>
      </c>
      <c r="M11" s="177">
        <f t="shared" si="2"/>
        <v>2570.172574693252</v>
      </c>
      <c r="O11" s="137">
        <f t="shared" si="1"/>
        <v>0</v>
      </c>
    </row>
    <row r="12" spans="2:15" x14ac:dyDescent="0.3">
      <c r="B12" s="100">
        <v>3</v>
      </c>
      <c r="C12" s="100" t="s">
        <v>29</v>
      </c>
      <c r="D12" s="159">
        <v>234.80000000000018</v>
      </c>
      <c r="E12" s="174">
        <v>0.43887850467289752</v>
      </c>
      <c r="F12" s="175">
        <v>95517.018128834432</v>
      </c>
      <c r="H12" s="158">
        <v>6.6000000000000003E-2</v>
      </c>
      <c r="I12" s="176">
        <v>3141.322035736197</v>
      </c>
      <c r="K12" s="137">
        <f t="shared" si="0"/>
        <v>98658.340164570633</v>
      </c>
      <c r="M12" s="177">
        <v>0</v>
      </c>
      <c r="O12" s="137">
        <f t="shared" si="1"/>
        <v>98658.340164570633</v>
      </c>
    </row>
    <row r="13" spans="2:15" x14ac:dyDescent="0.3">
      <c r="B13" s="172">
        <v>3</v>
      </c>
      <c r="C13" s="172" t="s">
        <v>27</v>
      </c>
      <c r="D13" s="173">
        <v>0</v>
      </c>
      <c r="E13" s="174">
        <v>0</v>
      </c>
      <c r="F13" s="175">
        <v>0</v>
      </c>
      <c r="H13" s="158">
        <v>6.6000000000000003E-2</v>
      </c>
      <c r="I13" s="176">
        <v>3141.322035736197</v>
      </c>
      <c r="K13" s="137">
        <f t="shared" si="0"/>
        <v>3141.322035736197</v>
      </c>
      <c r="M13" s="177">
        <f t="shared" si="2"/>
        <v>3141.322035736197</v>
      </c>
      <c r="O13" s="137">
        <f t="shared" si="1"/>
        <v>0</v>
      </c>
    </row>
    <row r="14" spans="2:15" x14ac:dyDescent="0.3">
      <c r="B14" s="172">
        <v>3</v>
      </c>
      <c r="C14" s="172" t="s">
        <v>28</v>
      </c>
      <c r="D14" s="173">
        <v>0</v>
      </c>
      <c r="E14" s="174">
        <v>0</v>
      </c>
      <c r="F14" s="175">
        <v>0</v>
      </c>
      <c r="H14" s="158">
        <v>5.3999999999999999E-2</v>
      </c>
      <c r="I14" s="176">
        <v>2570.172574693252</v>
      </c>
      <c r="K14" s="137">
        <f t="shared" si="0"/>
        <v>2570.172574693252</v>
      </c>
      <c r="M14" s="177">
        <f t="shared" si="2"/>
        <v>2570.172574693252</v>
      </c>
      <c r="O14" s="137">
        <f t="shared" si="1"/>
        <v>0</v>
      </c>
    </row>
    <row r="15" spans="2:15" x14ac:dyDescent="0.3">
      <c r="B15" s="172">
        <v>4</v>
      </c>
      <c r="C15" s="172" t="s">
        <v>26</v>
      </c>
      <c r="D15" s="173">
        <v>0</v>
      </c>
      <c r="E15" s="174">
        <v>0</v>
      </c>
      <c r="F15" s="175">
        <v>0</v>
      </c>
      <c r="H15" s="158">
        <v>5.3999999999999999E-2</v>
      </c>
      <c r="I15" s="176">
        <v>2570.172574693252</v>
      </c>
      <c r="K15" s="137">
        <f t="shared" si="0"/>
        <v>2570.172574693252</v>
      </c>
      <c r="M15" s="177">
        <f t="shared" si="2"/>
        <v>2570.172574693252</v>
      </c>
      <c r="O15" s="137">
        <f t="shared" si="1"/>
        <v>0</v>
      </c>
    </row>
    <row r="16" spans="2:15" x14ac:dyDescent="0.3">
      <c r="B16" s="172">
        <v>4</v>
      </c>
      <c r="C16" s="172" t="s">
        <v>29</v>
      </c>
      <c r="D16" s="173">
        <v>0</v>
      </c>
      <c r="E16" s="174">
        <v>0</v>
      </c>
      <c r="F16" s="175">
        <v>0</v>
      </c>
      <c r="H16" s="158">
        <v>6.6000000000000003E-2</v>
      </c>
      <c r="I16" s="176">
        <v>3141.322035736197</v>
      </c>
      <c r="K16" s="137">
        <f t="shared" si="0"/>
        <v>3141.322035736197</v>
      </c>
      <c r="M16" s="177">
        <f t="shared" si="2"/>
        <v>3141.322035736197</v>
      </c>
      <c r="O16" s="137">
        <f t="shared" si="1"/>
        <v>0</v>
      </c>
    </row>
    <row r="17" spans="2:15" x14ac:dyDescent="0.3">
      <c r="B17" s="172">
        <v>4</v>
      </c>
      <c r="C17" s="172" t="s">
        <v>27</v>
      </c>
      <c r="D17" s="173">
        <v>0</v>
      </c>
      <c r="E17" s="174">
        <v>0</v>
      </c>
      <c r="F17" s="175">
        <v>0</v>
      </c>
      <c r="H17" s="158">
        <v>6.6000000000000003E-2</v>
      </c>
      <c r="I17" s="176">
        <v>3141.322035736197</v>
      </c>
      <c r="K17" s="137">
        <f t="shared" si="0"/>
        <v>3141.322035736197</v>
      </c>
      <c r="M17" s="177">
        <f t="shared" si="2"/>
        <v>3141.322035736197</v>
      </c>
      <c r="O17" s="137">
        <f t="shared" si="1"/>
        <v>0</v>
      </c>
    </row>
    <row r="18" spans="2:15" x14ac:dyDescent="0.3">
      <c r="B18" s="172">
        <v>4</v>
      </c>
      <c r="C18" s="172" t="s">
        <v>28</v>
      </c>
      <c r="D18" s="173">
        <v>0</v>
      </c>
      <c r="E18" s="174">
        <v>0</v>
      </c>
      <c r="F18" s="175">
        <v>0</v>
      </c>
      <c r="H18" s="158">
        <v>5.3999999999999999E-2</v>
      </c>
      <c r="I18" s="176">
        <v>2570.172574693252</v>
      </c>
      <c r="K18" s="137">
        <f t="shared" si="0"/>
        <v>2570.172574693252</v>
      </c>
      <c r="M18" s="177">
        <f t="shared" si="2"/>
        <v>2570.172574693252</v>
      </c>
      <c r="O18" s="137">
        <f t="shared" si="1"/>
        <v>0</v>
      </c>
    </row>
    <row r="19" spans="2:15" x14ac:dyDescent="0.3">
      <c r="B19" s="172"/>
      <c r="C19" s="172"/>
      <c r="D19" s="173"/>
      <c r="E19" s="174"/>
      <c r="F19" s="179"/>
      <c r="H19" s="100"/>
      <c r="I19" s="160"/>
      <c r="K19" s="100"/>
      <c r="M19" s="101"/>
      <c r="O19" s="184"/>
    </row>
    <row r="20" spans="2:15" x14ac:dyDescent="0.3">
      <c r="B20" s="100"/>
      <c r="C20" s="100" t="s">
        <v>48</v>
      </c>
      <c r="D20" s="159">
        <f>SUM(D4:D19)</f>
        <v>535</v>
      </c>
      <c r="E20" s="184"/>
      <c r="F20" s="179">
        <f>SUM(F4:F19)</f>
        <v>217638.86157975462</v>
      </c>
      <c r="H20" s="180"/>
      <c r="I20" s="160">
        <f>SUM(I4:I19)</f>
        <v>45691.956883435589</v>
      </c>
      <c r="K20" s="137">
        <f>SUM(K4:K19)</f>
        <v>263330.81846319023</v>
      </c>
      <c r="M20" s="181">
        <f>SUM(M4:M19)</f>
        <v>39409.312811963202</v>
      </c>
      <c r="O20" s="137">
        <f>SUM(O4:O19)</f>
        <v>223921.50565122702</v>
      </c>
    </row>
    <row r="21" spans="2:15" x14ac:dyDescent="0.3">
      <c r="B21" s="100"/>
      <c r="C21" s="100"/>
      <c r="D21" s="4"/>
      <c r="E21" s="4" t="s">
        <v>49</v>
      </c>
      <c r="F21" s="4"/>
    </row>
    <row r="22" spans="2:15" x14ac:dyDescent="0.3">
      <c r="B22" s="100" t="s">
        <v>30</v>
      </c>
      <c r="C22" s="100">
        <v>1</v>
      </c>
      <c r="D22" s="4"/>
      <c r="E22" s="4"/>
      <c r="F22" s="4"/>
      <c r="H22" s="158">
        <v>7.0000000000000001E-3</v>
      </c>
      <c r="I22" s="176">
        <v>333.17051894171789</v>
      </c>
      <c r="K22" s="176">
        <f>I22</f>
        <v>333.17051894171789</v>
      </c>
      <c r="M22" s="182">
        <v>333.17051894171789</v>
      </c>
      <c r="O22" s="137">
        <f>K22-M22</f>
        <v>0</v>
      </c>
    </row>
    <row r="23" spans="2:15" x14ac:dyDescent="0.3">
      <c r="B23" s="100" t="s">
        <v>30</v>
      </c>
      <c r="C23" s="100">
        <v>2</v>
      </c>
      <c r="D23" s="4"/>
      <c r="E23" s="4"/>
      <c r="F23" s="4"/>
      <c r="H23" s="158">
        <v>6.0000000000000001E-3</v>
      </c>
      <c r="I23" s="176">
        <v>285.57473052147247</v>
      </c>
      <c r="K23" s="176">
        <f t="shared" ref="K23:K29" si="3">I23</f>
        <v>285.57473052147247</v>
      </c>
      <c r="M23" s="182">
        <v>285.57473052147247</v>
      </c>
      <c r="O23" s="137">
        <f t="shared" ref="O23:O29" si="4">K23-M23</f>
        <v>0</v>
      </c>
    </row>
    <row r="24" spans="2:15" x14ac:dyDescent="0.3">
      <c r="B24" s="100" t="s">
        <v>30</v>
      </c>
      <c r="C24" s="100">
        <v>3</v>
      </c>
      <c r="D24" s="4"/>
      <c r="E24" s="4"/>
      <c r="F24" s="4"/>
      <c r="H24" s="158">
        <v>6.0000000000000001E-3</v>
      </c>
      <c r="I24" s="176">
        <v>285.57473052147247</v>
      </c>
      <c r="K24" s="176">
        <f t="shared" si="3"/>
        <v>285.57473052147247</v>
      </c>
      <c r="M24" s="182">
        <v>285.57473052147247</v>
      </c>
      <c r="O24" s="137">
        <f t="shared" si="4"/>
        <v>0</v>
      </c>
    </row>
    <row r="25" spans="2:15" x14ac:dyDescent="0.3">
      <c r="B25" s="100" t="s">
        <v>30</v>
      </c>
      <c r="C25" s="100">
        <v>4</v>
      </c>
      <c r="D25" s="4"/>
      <c r="E25" s="4"/>
      <c r="F25" s="4"/>
      <c r="H25" s="158">
        <v>6.0000000000000001E-3</v>
      </c>
      <c r="I25" s="176">
        <v>285.57473052147247</v>
      </c>
      <c r="K25" s="176">
        <f t="shared" si="3"/>
        <v>285.57473052147247</v>
      </c>
      <c r="M25" s="182">
        <v>285.57473052147247</v>
      </c>
      <c r="O25" s="137">
        <f t="shared" si="4"/>
        <v>0</v>
      </c>
    </row>
    <row r="26" spans="2:15" x14ac:dyDescent="0.3">
      <c r="B26" s="100" t="s">
        <v>30</v>
      </c>
      <c r="C26" s="100">
        <v>5</v>
      </c>
      <c r="D26" s="4"/>
      <c r="E26" s="4"/>
      <c r="F26" s="4"/>
      <c r="H26" s="158">
        <v>6.0000000000000001E-3</v>
      </c>
      <c r="I26" s="176">
        <v>285.57473052147247</v>
      </c>
      <c r="K26" s="176">
        <f t="shared" si="3"/>
        <v>285.57473052147247</v>
      </c>
      <c r="M26" s="182">
        <v>285.57473052147247</v>
      </c>
      <c r="O26" s="137">
        <f t="shared" si="4"/>
        <v>0</v>
      </c>
    </row>
    <row r="27" spans="2:15" x14ac:dyDescent="0.3">
      <c r="B27" s="100" t="s">
        <v>30</v>
      </c>
      <c r="C27" s="100">
        <v>6</v>
      </c>
      <c r="D27" s="4"/>
      <c r="E27" s="4"/>
      <c r="F27" s="4"/>
      <c r="H27" s="158">
        <v>3.0000000000000001E-3</v>
      </c>
      <c r="I27" s="176">
        <v>142.78736526073624</v>
      </c>
      <c r="K27" s="176">
        <f t="shared" si="3"/>
        <v>142.78736526073624</v>
      </c>
      <c r="M27" s="182">
        <v>142.78736526073624</v>
      </c>
      <c r="O27" s="137">
        <f t="shared" si="4"/>
        <v>0</v>
      </c>
    </row>
    <row r="28" spans="2:15" x14ac:dyDescent="0.3">
      <c r="B28" s="100" t="s">
        <v>30</v>
      </c>
      <c r="C28" s="100">
        <v>7</v>
      </c>
      <c r="D28" s="4"/>
      <c r="E28" s="4"/>
      <c r="F28" s="4"/>
      <c r="H28" s="158">
        <v>3.0000000000000001E-3</v>
      </c>
      <c r="I28" s="176">
        <v>142.78736526073624</v>
      </c>
      <c r="K28" s="176">
        <f t="shared" si="3"/>
        <v>142.78736526073624</v>
      </c>
      <c r="M28" s="182">
        <v>142.78736526073624</v>
      </c>
      <c r="O28" s="137">
        <f t="shared" si="4"/>
        <v>0</v>
      </c>
    </row>
    <row r="29" spans="2:15" x14ac:dyDescent="0.3">
      <c r="B29" s="100" t="s">
        <v>30</v>
      </c>
      <c r="C29" s="100">
        <v>8</v>
      </c>
      <c r="D29" s="4"/>
      <c r="E29" s="4"/>
      <c r="F29" s="4"/>
      <c r="H29" s="158">
        <v>3.0000000000000001E-3</v>
      </c>
      <c r="I29" s="176">
        <v>142.78736526073624</v>
      </c>
      <c r="K29" s="176">
        <f t="shared" si="3"/>
        <v>142.78736526073624</v>
      </c>
      <c r="M29" s="182">
        <v>142.78736526073624</v>
      </c>
      <c r="O29" s="137">
        <f t="shared" si="4"/>
        <v>0</v>
      </c>
    </row>
    <row r="30" spans="2:15" x14ac:dyDescent="0.3">
      <c r="H30" s="184" t="s">
        <v>38</v>
      </c>
      <c r="I30" s="176">
        <f>SUM(I22:I29)</f>
        <v>1903.8315368098165</v>
      </c>
      <c r="K30" s="186">
        <f>SUM(K22:K29)</f>
        <v>1903.8315368098165</v>
      </c>
      <c r="M30" s="181">
        <f>SUM(M22:M29)</f>
        <v>1903.8315368098165</v>
      </c>
      <c r="O30" s="137">
        <f>SUM(O22:O29)</f>
        <v>0</v>
      </c>
    </row>
    <row r="31" spans="2:15" x14ac:dyDescent="0.3">
      <c r="O31" s="137"/>
    </row>
    <row r="32" spans="2:15" ht="15.6" x14ac:dyDescent="0.3">
      <c r="D32" s="278" t="s">
        <v>39</v>
      </c>
      <c r="E32" s="279"/>
      <c r="F32" s="162">
        <v>265234.65000000002</v>
      </c>
      <c r="I32" s="183">
        <f>F20+I20+I30</f>
        <v>265234.65000000002</v>
      </c>
      <c r="K32" s="137">
        <f>K20+K30</f>
        <v>265234.65000000002</v>
      </c>
      <c r="M32" s="181">
        <f>M20+M30</f>
        <v>41313.144348773021</v>
      </c>
      <c r="O32" s="137">
        <f>O20+O30</f>
        <v>223921.50565122702</v>
      </c>
    </row>
  </sheetData>
  <mergeCells count="3">
    <mergeCell ref="D2:F2"/>
    <mergeCell ref="H2:I2"/>
    <mergeCell ref="D32:E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C3"/>
  <sheetViews>
    <sheetView workbookViewId="0">
      <selection activeCell="C4" sqref="C4"/>
    </sheetView>
  </sheetViews>
  <sheetFormatPr baseColWidth="10" defaultRowHeight="14.4" x14ac:dyDescent="0.3"/>
  <sheetData>
    <row r="3" spans="3:3" x14ac:dyDescent="0.3">
      <c r="C3" s="16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EDESUR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2026-10-01T15:53:05Z</cp:lastPrinted>
  <dcterms:created xsi:type="dcterms:W3CDTF">2023-09-17T12:29:07Z</dcterms:created>
  <dcterms:modified xsi:type="dcterms:W3CDTF">2026-10-23T19:42:47Z</dcterms:modified>
</cp:coreProperties>
</file>