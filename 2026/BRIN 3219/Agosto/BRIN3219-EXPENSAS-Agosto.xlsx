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Agosto\"/>
    </mc:Choice>
  </mc:AlternateContent>
  <xr:revisionPtr revIDLastSave="0" documentId="13_ncr:1_{5732819D-161C-4F5F-965E-8400F2BE34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7" l="1"/>
  <c r="G31" i="1"/>
  <c r="G24" i="1"/>
  <c r="G15" i="1"/>
  <c r="G13" i="1"/>
  <c r="H85" i="27"/>
  <c r="G18" i="1"/>
  <c r="H24" i="27"/>
  <c r="G10" i="1"/>
  <c r="G11" i="1"/>
  <c r="G17" i="1"/>
  <c r="G22" i="1"/>
  <c r="G30" i="1"/>
  <c r="G16" i="1"/>
  <c r="G25" i="1"/>
  <c r="G29" i="1"/>
  <c r="G23" i="1"/>
  <c r="H65" i="27"/>
  <c r="H66" i="27" s="1"/>
  <c r="H56" i="27" l="1"/>
  <c r="G2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9" i="1"/>
  <c r="B5" i="1" l="1"/>
  <c r="G14" i="1"/>
  <c r="J9" i="1" l="1"/>
  <c r="F4" i="1"/>
  <c r="H35" i="27" l="1"/>
  <c r="G26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32" i="1"/>
  <c r="H46" i="27"/>
  <c r="H18" i="27" l="1"/>
  <c r="Q29" i="1" l="1"/>
  <c r="N9" i="1"/>
  <c r="H1" i="1" l="1"/>
  <c r="H50" i="27" l="1"/>
  <c r="H26" i="27"/>
  <c r="H22" i="27" l="1"/>
  <c r="F1" i="1" l="1"/>
  <c r="H31" i="27" l="1"/>
  <c r="H18" i="1" l="1"/>
  <c r="I18" i="1" l="1"/>
  <c r="H95" i="27" l="1"/>
  <c r="H53" i="27" l="1"/>
  <c r="H71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8" i="27" l="1"/>
  <c r="H73" i="27" s="1"/>
  <c r="H74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61" i="27"/>
  <c r="H84" i="27" s="1"/>
  <c r="I14" i="1" l="1"/>
  <c r="I15" i="1"/>
  <c r="I20" i="1"/>
  <c r="I30" i="1"/>
  <c r="H83" i="27"/>
  <c r="E32" i="1"/>
  <c r="B32" i="1"/>
  <c r="H72" i="27" l="1"/>
  <c r="H60" i="27"/>
  <c r="H75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2" i="27"/>
  <c r="H88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<sst xmlns="http://schemas.openxmlformats.org/spreadsheetml/2006/main" count="234" uniqueCount="159">
  <si>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</si>
  <si>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</si>
  <si>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</si>
  <si>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</si>
  <si>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</si>
  <si>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</si>
  <si>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</si>
  <si>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</si>
  <si>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</si>
  <si>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</si>
  <si>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</si>
  <si>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</si>
  <si>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</si>
  <si>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</si>
  <si>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</si>
  <si>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</si>
  <si>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</si>
  <si>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</si>
  <si>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</si>
  <si>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</si>
  <si>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</si>
  <si>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</si>
  <si>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</si>
  <si>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</si>
  <si>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</si>
  <si>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</si>
  <si>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</si>
  <si>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</si>
  <si>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</si>
  <si>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</si>
  <si>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</si>
  <si>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</si>
  <si>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</si>
  <si>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</si>
  <si>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</si>
  <si>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</si>
  <si>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</si>
  <si>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</si>
  <si>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</si>
  <si>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</si>
  <si>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</si>
  <si>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</si>
  <si>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</si>
  <si>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</si>
  <si>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</si>
  <si>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</si>
  <si>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</si>
  <si>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</si>
  <si>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</si>
  <si>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</si>
  <si>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</si>
  <si>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</si>
  <si>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</si>
  <si>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</si>
  <si>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</si>
  <si>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</si>
  <si>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</si>
  <si>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</si>
  <si>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</si>
  <si>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</si>
  <si>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</si>
  <si>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</si>
  <si>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</si>
  <si>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</si>
  <si>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</si>
  <si>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</si>
  <si>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</si>
  <si>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</si>
  <si>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</si>
  <si>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</si>
  <si>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</si>
  <si>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</si>
  <si>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</si>
  <si>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</si>
  <si>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</si>
  <si>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</si>
  <si>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</si>
  <si>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</si>
  <si>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</si>
  <si>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</si>
  <si>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</si>
  <si>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</si>
  <si>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</si>
  <si>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</si>
  <si>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</si>
  <si>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</si>
  <si>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</si>
  <si>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</si>
  <si>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</si>
  <si>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</si>
  <si>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</si>
  <si>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</si>
  <si>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</si>
  <si>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</si>
  <si>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</si>
  <si>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</si>
  <si>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</si>
  <si>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</si>
  <si>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</si>
  <si>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</si>
  <si>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</si>
  <si>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</si>
  <si>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</si>
  <si>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</si>
  <si>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</si>
  <si>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</si>
  <si>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</si>
  <si>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</si>
  <si>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</si>
  <si>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</si>
  <si>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</si>
  <si>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</si>
  <si>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</si>
  <si>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</si>
  <si>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</si>
  <si>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</si>
  <si>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</si>
  <si>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</si>
  <si>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</si>
  <si>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</si>
  <si>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</si>
  <si>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</si>
  <si>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</si>
  <si>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</si>
  <si>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</si>
  <si>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</si>
  <si>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</si>
  <si>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</si>
  <si>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</si>
  <si>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</si>
  <si>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</si>
  <si>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</si>
  <si>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</si>
  <si>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</si>
  <si>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</si>
  <si>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</si>
  <si>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</si>
  <si>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</si>
  <si>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</si>
  <si>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</si>
  <si>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</si>
  <si>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</si>
  <si>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</si>
  <si>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Ingreso por alquiler Piso 6 UF 24 y Expensas</t>
  </si>
  <si>
    <t xml:space="preserve">Ingreso por pago de Expensas </t>
  </si>
  <si>
    <t>Extraordinarias</t>
  </si>
  <si>
    <t>Reemplazo por vacaciones</t>
  </si>
  <si>
    <t>Seguro - Reemplazo</t>
  </si>
  <si>
    <t>Acuerdo de deuda - Sindicatos</t>
  </si>
  <si>
    <t>subidos en jul10</t>
  </si>
  <si>
    <t>VTO: 17/9</t>
  </si>
  <si>
    <t>AGOSTO</t>
  </si>
  <si>
    <t>Damato fumigaciones - AGOSTO</t>
  </si>
  <si>
    <t>Egresos por gastos mes - AGOSTO</t>
  </si>
  <si>
    <t>Doartero Julio - Cambio de transformador 220volts a A24 volts</t>
  </si>
  <si>
    <t>Colcoacion de termotanque - Materiales + Mano de obra</t>
  </si>
  <si>
    <t>Cuota 5 de 5 - Limpieza de columnas, cocina y baño de todas las unidades funcionales - Cuello Natalia</t>
  </si>
  <si>
    <t>Doartero Julio - Cambio de cañeria de entrada</t>
  </si>
  <si>
    <t>Cetrigar - Compra de termotanque escorial multigas Col 45L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</si>
</sst>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3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31" fillId="0" borderId="1" xfId="1" applyNumberFormat="1" applyFont="1" applyBorder="1"/>
    <xf numFmtId="0" fontId="21" fillId="0" borderId="6" xfId="0" applyFont="1" applyBorder="1"/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0" fontId="21" fillId="5" borderId="4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abSelected="1" topLeftCell="A23" zoomScaleNormal="100" workbookViewId="0">
      <selection activeCell="H30" sqref="H30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3"/>
      <c r="E2" s="204"/>
      <c r="F2" s="204"/>
      <c r="G2" s="204"/>
      <c r="H2" s="205"/>
    </row>
    <row r="3" spans="1:9">
      <c r="A3" s="10"/>
      <c r="D3" s="14" t="s">
        <v>6</v>
      </c>
      <c r="E3" s="207">
        <v>1153202676</v>
      </c>
      <c r="F3" s="207"/>
      <c r="G3" s="207"/>
      <c r="H3" s="208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112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151</v>
      </c>
      <c r="G8" s="19" t="s">
        <v>150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5"/>
      <c r="B12" s="187"/>
      <c r="C12" s="187"/>
      <c r="D12" s="187"/>
      <c r="E12" s="187"/>
      <c r="F12" s="187"/>
      <c r="G12" s="187"/>
      <c r="H12" s="216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17" t="s">
        <v>121</v>
      </c>
      <c r="B14" s="217"/>
      <c r="C14" s="217"/>
      <c r="D14" s="217"/>
      <c r="E14" s="217"/>
      <c r="F14" s="217"/>
      <c r="G14" s="217"/>
      <c r="H14" s="217"/>
    </row>
    <row r="15" spans="1:9">
      <c r="A15" s="172" t="s">
        <v>135</v>
      </c>
      <c r="B15" s="137"/>
      <c r="C15" s="137"/>
      <c r="D15" s="137"/>
      <c r="E15" s="137"/>
      <c r="F15" s="137"/>
      <c r="G15" s="137"/>
      <c r="H15" s="73">
        <v>400043.91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-63006.91</v>
      </c>
      <c r="I16" s="7"/>
    </row>
    <row r="17" spans="1:9">
      <c r="A17" s="172" t="s">
        <v>115</v>
      </c>
      <c r="B17" s="137"/>
      <c r="C17" s="137"/>
      <c r="D17" s="137"/>
      <c r="E17" s="137"/>
      <c r="F17" s="137"/>
      <c r="G17" s="137"/>
      <c r="H17" s="73">
        <v>0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337037</v>
      </c>
      <c r="I18" s="7"/>
    </row>
    <row r="19" spans="1:9" hidden="1">
      <c r="A19" s="214" t="s">
        <v>138</v>
      </c>
      <c r="B19" s="214"/>
      <c r="C19" s="214"/>
      <c r="D19" s="214"/>
      <c r="E19" s="214"/>
      <c r="F19" s="214"/>
      <c r="G19" s="214"/>
      <c r="H19" s="214"/>
    </row>
    <row r="20" spans="1:9" hidden="1">
      <c r="A20" s="172" t="s">
        <v>146</v>
      </c>
      <c r="B20" s="137"/>
      <c r="C20" s="137"/>
      <c r="D20" s="137"/>
      <c r="E20" s="137"/>
      <c r="F20" s="137"/>
      <c r="G20" s="137"/>
      <c r="H20" s="73">
        <v>0</v>
      </c>
    </row>
    <row r="21" spans="1:9" hidden="1">
      <c r="A21" s="172" t="s">
        <v>147</v>
      </c>
      <c r="B21" s="137"/>
      <c r="C21" s="137"/>
      <c r="D21" s="137"/>
      <c r="E21" s="137"/>
      <c r="F21" s="137"/>
      <c r="G21" s="137"/>
      <c r="H21" s="73">
        <v>0</v>
      </c>
    </row>
    <row r="22" spans="1:9" hidden="1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0</v>
      </c>
    </row>
    <row r="23" spans="1:9">
      <c r="A23" s="213" t="s">
        <v>126</v>
      </c>
      <c r="B23" s="213"/>
      <c r="C23" s="213"/>
      <c r="D23" s="213"/>
      <c r="E23" s="213"/>
      <c r="F23" s="213"/>
      <c r="G23" s="213"/>
      <c r="H23" s="213"/>
    </row>
    <row r="24" spans="1:9">
      <c r="A24" s="137" t="s">
        <v>133</v>
      </c>
      <c r="B24" s="137"/>
      <c r="C24" s="137"/>
      <c r="D24" s="137"/>
      <c r="E24" s="137"/>
      <c r="F24" s="137"/>
      <c r="G24" s="137"/>
      <c r="H24" s="73">
        <f>(17000+32000)/2</f>
        <v>24500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24500</v>
      </c>
    </row>
    <row r="27" spans="1:9">
      <c r="A27" s="206" t="s">
        <v>86</v>
      </c>
      <c r="B27" s="206"/>
      <c r="C27" s="206"/>
      <c r="D27" s="206"/>
      <c r="E27" s="206"/>
      <c r="F27" s="206"/>
      <c r="G27" s="206"/>
      <c r="H27" s="206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241">
        <f>18001.98+2000.22+31929.89</f>
        <v>51932.09</v>
      </c>
    </row>
    <row r="30" spans="1:9">
      <c r="A30" s="137" t="s">
        <v>134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51932.09</v>
      </c>
    </row>
    <row r="32" spans="1:9">
      <c r="A32" s="206" t="s">
        <v>127</v>
      </c>
      <c r="B32" s="206"/>
      <c r="C32" s="206"/>
      <c r="D32" s="206"/>
      <c r="E32" s="206"/>
      <c r="F32" s="206"/>
      <c r="G32" s="206"/>
      <c r="H32" s="206"/>
    </row>
    <row r="33" spans="1:10" ht="14.25" customHeight="1">
      <c r="A33" s="137" t="s">
        <v>136</v>
      </c>
      <c r="B33" s="137"/>
      <c r="C33" s="137"/>
      <c r="D33" s="137"/>
      <c r="E33" s="137"/>
      <c r="F33" s="137"/>
      <c r="G33" s="137"/>
      <c r="H33" s="241">
        <v>283260.5</v>
      </c>
    </row>
    <row r="34" spans="1:10">
      <c r="A34" s="174" t="s">
        <v>98</v>
      </c>
      <c r="B34" s="137"/>
      <c r="C34" s="137"/>
      <c r="D34" s="137"/>
      <c r="E34" s="137"/>
      <c r="F34" s="137"/>
      <c r="G34" s="137"/>
      <c r="H34" s="241">
        <v>81399.570000000007</v>
      </c>
    </row>
    <row r="35" spans="1:10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364660.07</v>
      </c>
    </row>
    <row r="36" spans="1:10">
      <c r="A36" s="217" t="s">
        <v>128</v>
      </c>
      <c r="B36" s="217"/>
      <c r="C36" s="217"/>
      <c r="D36" s="217"/>
      <c r="E36" s="217"/>
      <c r="F36" s="217"/>
      <c r="G36" s="217"/>
      <c r="H36" s="217"/>
    </row>
    <row r="37" spans="1:10">
      <c r="A37" s="80" t="s">
        <v>68</v>
      </c>
      <c r="B37" s="137"/>
      <c r="C37" s="137"/>
      <c r="D37" s="137"/>
      <c r="E37" s="137"/>
      <c r="F37" s="137"/>
      <c r="G37" s="137"/>
      <c r="H37" s="241">
        <v>102500</v>
      </c>
    </row>
    <row r="38" spans="1:10">
      <c r="A38" s="137" t="s">
        <v>69</v>
      </c>
      <c r="B38" s="137"/>
      <c r="C38" s="137"/>
      <c r="D38" s="137"/>
      <c r="E38" s="137"/>
      <c r="F38" s="137"/>
      <c r="G38" s="137"/>
      <c r="H38" s="241">
        <v>35247.839999999997</v>
      </c>
    </row>
    <row r="39" spans="1:10">
      <c r="A39" s="81" t="s">
        <v>154</v>
      </c>
      <c r="B39" s="82"/>
      <c r="C39" s="82"/>
      <c r="D39" s="82"/>
      <c r="E39" s="82"/>
      <c r="F39" s="82"/>
      <c r="G39" s="186"/>
      <c r="H39" s="241">
        <v>85000</v>
      </c>
    </row>
    <row r="40" spans="1:10">
      <c r="A40" s="81" t="s">
        <v>157</v>
      </c>
      <c r="B40" s="82"/>
      <c r="C40" s="82"/>
      <c r="D40" s="82"/>
      <c r="E40" s="82"/>
      <c r="F40" s="82"/>
      <c r="G40" s="186"/>
      <c r="H40" s="241">
        <v>250000</v>
      </c>
    </row>
    <row r="41" spans="1:10">
      <c r="A41" s="81" t="s">
        <v>155</v>
      </c>
      <c r="B41" s="82"/>
      <c r="C41" s="82"/>
      <c r="D41" s="82"/>
      <c r="E41" s="82"/>
      <c r="F41" s="82"/>
      <c r="G41" s="186"/>
      <c r="H41" s="241">
        <v>207000</v>
      </c>
    </row>
    <row r="42" spans="1:10">
      <c r="A42" s="81" t="s">
        <v>158</v>
      </c>
      <c r="B42" s="82"/>
      <c r="C42" s="82"/>
      <c r="D42" s="82"/>
      <c r="E42" s="82"/>
      <c r="F42" s="82"/>
      <c r="G42" s="186"/>
      <c r="H42" s="241">
        <v>355999</v>
      </c>
    </row>
    <row r="43" spans="1:10">
      <c r="A43" s="242"/>
      <c r="B43" s="82"/>
      <c r="C43" s="82"/>
      <c r="D43" s="82"/>
      <c r="E43" s="82"/>
      <c r="F43" s="82"/>
      <c r="G43" s="186"/>
      <c r="H43" s="241">
        <v>12700</v>
      </c>
    </row>
    <row r="44" spans="1:10">
      <c r="A44" s="137" t="s">
        <v>152</v>
      </c>
      <c r="B44" s="137"/>
      <c r="C44" s="137"/>
      <c r="D44" s="137"/>
      <c r="E44" s="137"/>
      <c r="F44" s="137"/>
      <c r="G44" s="137"/>
      <c r="H44" s="241">
        <v>75000</v>
      </c>
    </row>
    <row r="45" spans="1:10">
      <c r="A45" s="137" t="s">
        <v>156</v>
      </c>
      <c r="B45" s="137"/>
      <c r="C45" s="137"/>
      <c r="D45" s="137"/>
      <c r="E45" s="137"/>
      <c r="F45" s="137"/>
      <c r="G45" s="137"/>
      <c r="H45" s="241">
        <v>413700</v>
      </c>
    </row>
    <row r="46" spans="1:10">
      <c r="A46" s="137" t="s">
        <v>73</v>
      </c>
      <c r="B46" s="137"/>
      <c r="C46" s="137"/>
      <c r="D46" s="137"/>
      <c r="E46" s="137"/>
      <c r="F46" s="137"/>
      <c r="G46" s="137"/>
      <c r="H46" s="69">
        <f>SUM(H37:H45)</f>
        <v>1537146.8399999999</v>
      </c>
    </row>
    <row r="47" spans="1:10">
      <c r="A47" s="217" t="s">
        <v>129</v>
      </c>
      <c r="B47" s="217"/>
      <c r="C47" s="217"/>
      <c r="D47" s="217"/>
      <c r="E47" s="217"/>
      <c r="F47" s="217"/>
      <c r="G47" s="217"/>
      <c r="H47" s="217"/>
    </row>
    <row r="48" spans="1:10">
      <c r="A48" s="80" t="s">
        <v>70</v>
      </c>
      <c r="B48" s="80"/>
      <c r="C48" s="80"/>
      <c r="D48" s="80"/>
      <c r="E48" s="80"/>
      <c r="F48" s="80"/>
      <c r="G48" s="80"/>
      <c r="H48" s="73">
        <v>209000</v>
      </c>
      <c r="J48" t="s">
        <v>149</v>
      </c>
    </row>
    <row r="49" spans="1:11">
      <c r="A49" s="80" t="s">
        <v>114</v>
      </c>
      <c r="B49" s="80"/>
      <c r="C49" s="80"/>
      <c r="D49" s="80"/>
      <c r="E49" s="80"/>
      <c r="F49" s="80"/>
      <c r="G49" s="80"/>
      <c r="H49" s="241">
        <v>50000</v>
      </c>
    </row>
    <row r="50" spans="1:11">
      <c r="A50" s="137" t="s">
        <v>72</v>
      </c>
      <c r="B50" s="137"/>
      <c r="C50" s="137"/>
      <c r="D50" s="137"/>
      <c r="E50" s="137"/>
      <c r="F50" s="137"/>
      <c r="G50" s="137"/>
      <c r="H50" s="175">
        <f>SUM(H48:H49)</f>
        <v>259000</v>
      </c>
      <c r="K50" s="7"/>
    </row>
    <row r="51" spans="1:11" s="6" customFormat="1">
      <c r="A51" s="218" t="s">
        <v>130</v>
      </c>
      <c r="B51" s="219"/>
      <c r="C51" s="219"/>
      <c r="D51" s="219"/>
      <c r="E51" s="219"/>
      <c r="F51" s="219"/>
      <c r="G51" s="219"/>
      <c r="H51" s="220"/>
    </row>
    <row r="52" spans="1:11" s="6" customFormat="1">
      <c r="A52" s="80" t="s">
        <v>116</v>
      </c>
      <c r="B52" s="80"/>
      <c r="C52" s="80"/>
      <c r="D52" s="80"/>
      <c r="E52" s="80"/>
      <c r="F52" s="80"/>
      <c r="G52" s="80"/>
      <c r="H52" s="241">
        <v>28834</v>
      </c>
      <c r="I52" s="60"/>
    </row>
    <row r="53" spans="1:11" s="6" customFormat="1">
      <c r="A53" s="80" t="s">
        <v>73</v>
      </c>
      <c r="B53" s="80"/>
      <c r="C53" s="80"/>
      <c r="D53" s="80"/>
      <c r="E53" s="80"/>
      <c r="F53" s="80"/>
      <c r="G53" s="80"/>
      <c r="H53" s="69">
        <f>SUM(H52)</f>
        <v>28834</v>
      </c>
    </row>
    <row r="54" spans="1:11" s="6" customFormat="1">
      <c r="A54" s="217" t="s">
        <v>131</v>
      </c>
      <c r="B54" s="217"/>
      <c r="C54" s="217"/>
      <c r="D54" s="217"/>
      <c r="E54" s="217"/>
      <c r="F54" s="217"/>
      <c r="G54" s="217"/>
      <c r="H54" s="217"/>
    </row>
    <row r="55" spans="1:11" s="6" customFormat="1">
      <c r="A55" s="80"/>
      <c r="B55" s="80"/>
      <c r="C55" s="80"/>
      <c r="D55" s="80"/>
      <c r="E55" s="80"/>
      <c r="F55" s="80"/>
      <c r="G55" s="80"/>
      <c r="H55" s="73"/>
    </row>
    <row r="56" spans="1:11" s="6" customFormat="1" ht="15" customHeight="1">
      <c r="A56" s="80" t="s">
        <v>74</v>
      </c>
      <c r="B56" s="80"/>
      <c r="C56" s="80"/>
      <c r="D56" s="80"/>
      <c r="E56" s="80"/>
      <c r="F56" s="80"/>
      <c r="G56" s="80"/>
      <c r="H56" s="69">
        <f>SUM(H55:H55)</f>
        <v>0</v>
      </c>
      <c r="I56" s="60"/>
    </row>
    <row r="57" spans="1:11" s="6" customFormat="1" ht="18" customHeight="1">
      <c r="A57" s="218"/>
      <c r="B57" s="219"/>
      <c r="C57" s="219"/>
      <c r="D57" s="219"/>
      <c r="E57" s="219"/>
      <c r="F57" s="219"/>
      <c r="G57" s="219"/>
      <c r="H57" s="220"/>
    </row>
    <row r="58" spans="1:11" s="6" customFormat="1" ht="23.25" hidden="1" customHeight="1">
      <c r="A58" s="81"/>
      <c r="B58" s="82"/>
      <c r="C58" s="82"/>
      <c r="D58" s="82"/>
      <c r="E58" s="82"/>
      <c r="F58" s="82"/>
      <c r="G58" s="82"/>
      <c r="H58" s="156">
        <v>0</v>
      </c>
    </row>
    <row r="59" spans="1:11" s="6" customFormat="1" ht="20.25" hidden="1" customHeight="1">
      <c r="A59" s="157"/>
      <c r="B59" s="158"/>
      <c r="C59" s="158"/>
      <c r="D59" s="158"/>
      <c r="E59" s="158"/>
      <c r="F59" s="158"/>
      <c r="G59" s="158"/>
      <c r="H59" s="159">
        <v>0</v>
      </c>
    </row>
    <row r="60" spans="1:11" s="6" customFormat="1" ht="18" hidden="1" customHeight="1">
      <c r="A60" s="160"/>
      <c r="B60" s="161"/>
      <c r="C60" s="161"/>
      <c r="D60" s="161"/>
      <c r="E60" s="161"/>
      <c r="F60" s="161"/>
      <c r="G60" s="161"/>
      <c r="H60" s="156">
        <f>H58+H59</f>
        <v>0</v>
      </c>
    </row>
    <row r="61" spans="1:11" s="6" customFormat="1" ht="18" hidden="1" customHeight="1">
      <c r="A61" s="221" t="s">
        <v>80</v>
      </c>
      <c r="B61" s="222"/>
      <c r="C61" s="222"/>
      <c r="D61" s="222"/>
      <c r="E61" s="222"/>
      <c r="F61" s="222"/>
      <c r="G61" s="222"/>
      <c r="H61" s="162">
        <f>H56</f>
        <v>0</v>
      </c>
    </row>
    <row r="62" spans="1:11" s="6" customFormat="1" ht="18" customHeight="1">
      <c r="A62" s="224"/>
      <c r="B62" s="224"/>
      <c r="C62" s="224"/>
      <c r="D62" s="224"/>
      <c r="E62" s="224"/>
      <c r="F62" s="224"/>
      <c r="G62" s="224"/>
      <c r="H62" s="224"/>
    </row>
    <row r="63" spans="1:11" s="6" customFormat="1" ht="86.25" hidden="1" customHeight="1">
      <c r="A63" s="225"/>
      <c r="B63" s="225"/>
      <c r="C63" s="225"/>
      <c r="D63" s="225"/>
      <c r="E63" s="225"/>
      <c r="F63" s="225"/>
      <c r="G63" s="225"/>
      <c r="H63" s="225"/>
    </row>
    <row r="64" spans="1:11" s="6" customFormat="1" ht="18" customHeight="1">
      <c r="A64" s="223" t="s">
        <v>82</v>
      </c>
      <c r="B64" s="223"/>
      <c r="C64" s="223"/>
      <c r="D64" s="223"/>
      <c r="E64" s="223"/>
      <c r="F64" s="223"/>
      <c r="G64" s="223"/>
      <c r="H64" s="163"/>
    </row>
    <row r="65" spans="1:11" s="6" customFormat="1" ht="18.75" customHeight="1">
      <c r="A65" s="226" t="s">
        <v>148</v>
      </c>
      <c r="B65" s="227"/>
      <c r="C65" s="227"/>
      <c r="D65" s="227"/>
      <c r="E65" s="227"/>
      <c r="F65" s="227"/>
      <c r="G65" s="228"/>
      <c r="H65" s="73">
        <f>60583.82+96723.22+413203.1</f>
        <v>570510.14</v>
      </c>
    </row>
    <row r="66" spans="1:11" s="6" customFormat="1">
      <c r="A66" s="127" t="s">
        <v>73</v>
      </c>
      <c r="B66" s="80"/>
      <c r="C66" s="80"/>
      <c r="D66" s="80"/>
      <c r="E66" s="80"/>
      <c r="F66" s="80"/>
      <c r="G66" s="80"/>
      <c r="H66" s="69">
        <f>SUM(H65)</f>
        <v>570510.14</v>
      </c>
    </row>
    <row r="67" spans="1:11" s="6" customFormat="1" ht="18" customHeight="1" thickBot="1">
      <c r="A67" s="128"/>
      <c r="B67" s="128"/>
      <c r="C67" s="128"/>
      <c r="D67" s="128"/>
      <c r="E67" s="128"/>
      <c r="F67" s="128"/>
      <c r="G67" s="128"/>
      <c r="H67" s="129"/>
    </row>
    <row r="68" spans="1:11" s="6" customFormat="1" ht="18" customHeight="1" thickBot="1">
      <c r="A68" s="194" t="s">
        <v>81</v>
      </c>
      <c r="B68" s="195"/>
      <c r="C68" s="195"/>
      <c r="D68" s="195"/>
      <c r="E68" s="195"/>
      <c r="F68" s="195"/>
      <c r="G68" s="195"/>
      <c r="H68" s="130">
        <f>H66</f>
        <v>570510.14</v>
      </c>
    </row>
    <row r="69" spans="1:11" s="6" customFormat="1" ht="18" customHeight="1" thickBot="1">
      <c r="A69" s="210" t="s">
        <v>87</v>
      </c>
      <c r="B69" s="211"/>
      <c r="C69" s="211"/>
      <c r="D69" s="211"/>
      <c r="E69" s="211"/>
      <c r="F69" s="211"/>
      <c r="G69" s="212"/>
      <c r="H69" s="130">
        <v>0</v>
      </c>
    </row>
    <row r="70" spans="1:11" s="6" customFormat="1" ht="18" customHeight="1" thickBot="1">
      <c r="A70" s="210" t="s">
        <v>92</v>
      </c>
      <c r="B70" s="211"/>
      <c r="C70" s="211"/>
      <c r="D70" s="211"/>
      <c r="E70" s="211"/>
      <c r="F70" s="211"/>
      <c r="G70" s="212"/>
      <c r="H70" s="130"/>
    </row>
    <row r="71" spans="1:11" ht="18">
      <c r="A71" s="194" t="s">
        <v>88</v>
      </c>
      <c r="B71" s="195"/>
      <c r="C71" s="195"/>
      <c r="D71" s="195"/>
      <c r="E71" s="195"/>
      <c r="F71" s="195"/>
      <c r="G71" s="195"/>
      <c r="H71" s="130">
        <f>H26+H35+H46+H50+H53+H31+H18+H22</f>
        <v>2603110</v>
      </c>
      <c r="J71" s="171"/>
      <c r="K71" s="142"/>
    </row>
    <row r="72" spans="1:11" ht="18">
      <c r="A72" s="200" t="s">
        <v>119</v>
      </c>
      <c r="B72" s="201"/>
      <c r="C72" s="201"/>
      <c r="D72" s="201"/>
      <c r="E72" s="201"/>
      <c r="F72" s="201"/>
      <c r="G72" s="202"/>
      <c r="H72" s="131">
        <f>H69+H71</f>
        <v>2603110</v>
      </c>
      <c r="I72" s="126"/>
      <c r="J72" s="209"/>
      <c r="K72" s="209"/>
    </row>
    <row r="73" spans="1:11" ht="18">
      <c r="A73" s="200" t="s">
        <v>93</v>
      </c>
      <c r="B73" s="201"/>
      <c r="C73" s="201"/>
      <c r="D73" s="201"/>
      <c r="E73" s="201"/>
      <c r="F73" s="201"/>
      <c r="G73" s="202"/>
      <c r="H73" s="132">
        <f>H70+H68</f>
        <v>570510.14</v>
      </c>
      <c r="J73" s="142"/>
    </row>
    <row r="74" spans="1:11" ht="20.25" customHeight="1" thickBot="1">
      <c r="A74" s="198" t="s">
        <v>83</v>
      </c>
      <c r="B74" s="199"/>
      <c r="C74" s="199"/>
      <c r="D74" s="199"/>
      <c r="E74" s="199"/>
      <c r="F74" s="199"/>
      <c r="G74" s="199"/>
      <c r="H74" s="133">
        <f>H71+H68</f>
        <v>3173620.14</v>
      </c>
      <c r="J74" s="7"/>
    </row>
    <row r="75" spans="1:11" ht="18" hidden="1">
      <c r="A75" s="196" t="s">
        <v>17</v>
      </c>
      <c r="B75" s="197"/>
      <c r="C75" s="197"/>
      <c r="D75" s="197"/>
      <c r="E75" s="197"/>
      <c r="F75" s="197"/>
      <c r="G75" s="197"/>
      <c r="H75" s="134">
        <f>H60</f>
        <v>0</v>
      </c>
      <c r="J75" s="7"/>
    </row>
    <row r="76" spans="1:11" ht="18" hidden="1">
      <c r="A76" s="135"/>
      <c r="B76" s="135"/>
      <c r="C76" s="135"/>
      <c r="D76" s="135"/>
      <c r="E76" s="135"/>
      <c r="F76" s="135"/>
      <c r="G76" s="135"/>
      <c r="H76" s="136"/>
      <c r="J76" s="7"/>
    </row>
    <row r="77" spans="1:11" ht="18" hidden="1">
      <c r="A77" s="135"/>
      <c r="B77" s="135"/>
      <c r="C77" s="135"/>
      <c r="D77" s="135"/>
      <c r="E77" s="135"/>
      <c r="F77" s="135"/>
      <c r="G77" s="135"/>
      <c r="H77" s="136"/>
      <c r="J77" s="7"/>
    </row>
    <row r="78" spans="1:11" ht="18" hidden="1">
      <c r="A78" s="135"/>
      <c r="B78" s="135"/>
      <c r="C78" s="135"/>
      <c r="D78" s="135"/>
      <c r="E78" s="135"/>
      <c r="F78" s="135"/>
      <c r="G78" s="135"/>
      <c r="H78" s="136"/>
      <c r="J78" s="7"/>
    </row>
    <row r="79" spans="1:11" ht="14.25" customHeight="1">
      <c r="A79" s="137"/>
      <c r="B79" s="137"/>
      <c r="C79" s="137"/>
      <c r="D79" s="137"/>
      <c r="E79" s="137"/>
      <c r="F79" s="137"/>
      <c r="G79" s="137"/>
      <c r="H79" s="137"/>
    </row>
    <row r="80" spans="1:11" ht="18">
      <c r="A80" s="191" t="s">
        <v>10</v>
      </c>
      <c r="B80" s="192"/>
      <c r="C80" s="192"/>
      <c r="D80" s="192"/>
      <c r="E80" s="192"/>
      <c r="F80" s="192"/>
      <c r="G80" s="192"/>
      <c r="H80" s="193"/>
    </row>
    <row r="81" spans="1:11" ht="18">
      <c r="A81" s="138" t="s">
        <v>12</v>
      </c>
      <c r="B81" s="139"/>
      <c r="C81" s="139"/>
      <c r="D81" s="139"/>
      <c r="E81" s="139"/>
      <c r="F81" s="139"/>
      <c r="G81" s="139"/>
      <c r="H81" s="140">
        <v>4229401.2367692199</v>
      </c>
    </row>
    <row r="82" spans="1:11">
      <c r="A82" s="81" t="s">
        <v>144</v>
      </c>
      <c r="B82" s="82"/>
      <c r="C82" s="82"/>
      <c r="D82" s="82"/>
      <c r="E82" s="82"/>
      <c r="F82" s="82"/>
      <c r="G82" s="82"/>
      <c r="H82" s="141">
        <f>Planilla!G32</f>
        <v>3698920.7905269074</v>
      </c>
    </row>
    <row r="83" spans="1:11">
      <c r="A83" s="78" t="s">
        <v>153</v>
      </c>
      <c r="B83" s="79"/>
      <c r="C83" s="79"/>
      <c r="D83" s="79"/>
      <c r="E83" s="79"/>
      <c r="F83" s="79"/>
      <c r="G83" s="79"/>
      <c r="H83" s="179">
        <f>-(H74)</f>
        <v>-3173620.14</v>
      </c>
    </row>
    <row r="84" spans="1:11">
      <c r="A84" s="78" t="s">
        <v>84</v>
      </c>
      <c r="B84" s="79"/>
      <c r="C84" s="79"/>
      <c r="D84" s="79"/>
      <c r="E84" s="79"/>
      <c r="F84" s="79"/>
      <c r="G84" s="79"/>
      <c r="H84" s="179">
        <f>-H61</f>
        <v>0</v>
      </c>
      <c r="K84" s="6"/>
    </row>
    <row r="85" spans="1:11">
      <c r="A85" s="78" t="s">
        <v>143</v>
      </c>
      <c r="B85" s="79"/>
      <c r="C85" s="79"/>
      <c r="D85" s="79"/>
      <c r="E85" s="79"/>
      <c r="F85" s="79"/>
      <c r="G85" s="79"/>
      <c r="H85" s="121">
        <f>217300-H86</f>
        <v>154086</v>
      </c>
      <c r="J85" s="7"/>
    </row>
    <row r="86" spans="1:11">
      <c r="A86" s="78" t="s">
        <v>71</v>
      </c>
      <c r="B86" s="79"/>
      <c r="C86" s="79"/>
      <c r="D86" s="79"/>
      <c r="E86" s="79"/>
      <c r="F86" s="79"/>
      <c r="G86" s="79"/>
      <c r="H86" s="121">
        <v>63214</v>
      </c>
      <c r="I86" s="142"/>
      <c r="J86" s="7"/>
    </row>
    <row r="87" spans="1:11">
      <c r="A87" s="12" t="s">
        <v>117</v>
      </c>
      <c r="B87" s="83"/>
      <c r="C87" s="4"/>
      <c r="D87" s="4"/>
      <c r="E87" s="4"/>
      <c r="F87" s="4"/>
      <c r="G87" s="4"/>
      <c r="H87" s="98"/>
    </row>
    <row r="88" spans="1:11" ht="18">
      <c r="A88" s="22" t="s">
        <v>11</v>
      </c>
      <c r="B88" s="23"/>
      <c r="C88" s="23"/>
      <c r="D88" s="23"/>
      <c r="E88" s="23"/>
      <c r="F88" s="23"/>
      <c r="G88" s="23"/>
      <c r="H88" s="84">
        <f>SUM(H81:H87)</f>
        <v>4972001.8872961272</v>
      </c>
    </row>
    <row r="89" spans="1:11" ht="15" thickBot="1"/>
    <row r="90" spans="1:11" ht="16.2" thickBot="1">
      <c r="A90" s="188" t="s">
        <v>97</v>
      </c>
      <c r="B90" s="189"/>
      <c r="C90" s="189"/>
      <c r="D90" s="189"/>
      <c r="E90" s="189"/>
      <c r="F90" s="189"/>
      <c r="G90" s="189"/>
      <c r="H90" s="190"/>
    </row>
    <row r="91" spans="1:11" ht="15.6">
      <c r="A91" s="87" t="s">
        <v>12</v>
      </c>
      <c r="B91" s="87"/>
      <c r="C91" s="87"/>
      <c r="D91" s="87"/>
      <c r="E91" s="87"/>
      <c r="F91" s="87"/>
      <c r="G91" s="87"/>
      <c r="H91" s="88">
        <v>0</v>
      </c>
    </row>
    <row r="92" spans="1:11">
      <c r="A92" s="61" t="s">
        <v>118</v>
      </c>
      <c r="B92" s="91"/>
      <c r="C92" s="4"/>
      <c r="D92" s="61"/>
      <c r="E92" s="61"/>
      <c r="F92" s="61"/>
      <c r="G92" s="61"/>
      <c r="H92" s="125"/>
    </row>
    <row r="93" spans="1:11">
      <c r="A93" s="61"/>
      <c r="B93" s="97"/>
      <c r="C93" s="61"/>
      <c r="D93" s="61"/>
      <c r="E93" s="61"/>
      <c r="F93" s="61"/>
      <c r="G93" s="61"/>
      <c r="H93" s="21"/>
    </row>
    <row r="94" spans="1:11">
      <c r="A94" s="61"/>
      <c r="B94" s="61"/>
      <c r="C94" s="61"/>
      <c r="D94" s="61"/>
      <c r="E94" s="61"/>
      <c r="F94" s="61"/>
      <c r="G94" s="61"/>
      <c r="H94" s="21"/>
    </row>
    <row r="95" spans="1:11">
      <c r="A95" s="85" t="s">
        <v>11</v>
      </c>
      <c r="B95" s="85"/>
      <c r="C95" s="85"/>
      <c r="D95" s="85"/>
      <c r="E95" s="85"/>
      <c r="F95" s="85"/>
      <c r="G95" s="85"/>
      <c r="H95" s="86">
        <f>SUM(H91:H94)</f>
        <v>0</v>
      </c>
    </row>
    <row r="98" spans="1:8" hidden="1">
      <c r="A98" s="187"/>
      <c r="B98" s="187"/>
      <c r="C98" s="187"/>
      <c r="D98" s="187"/>
      <c r="E98" s="187"/>
      <c r="F98" s="187"/>
      <c r="G98" s="187"/>
      <c r="H98" s="187"/>
    </row>
    <row r="99" spans="1:8" hidden="1">
      <c r="A99" s="187"/>
      <c r="B99" s="187"/>
      <c r="C99" s="187"/>
      <c r="D99" s="187"/>
      <c r="E99" s="187"/>
      <c r="F99" s="187"/>
      <c r="G99" s="187"/>
      <c r="H99" s="187"/>
    </row>
    <row r="100" spans="1:8" hidden="1">
      <c r="A100" s="187"/>
      <c r="B100" s="187"/>
      <c r="C100" s="187"/>
      <c r="D100" s="187"/>
      <c r="E100" s="187"/>
      <c r="F100" s="187"/>
      <c r="G100" s="187"/>
      <c r="H100" s="187"/>
    </row>
    <row r="101" spans="1:8" hidden="1">
      <c r="A101" s="187"/>
      <c r="B101" s="187"/>
      <c r="C101" s="187"/>
      <c r="D101" s="187"/>
      <c r="E101" s="187"/>
      <c r="F101" s="187"/>
      <c r="G101" s="187"/>
      <c r="H101" s="187"/>
    </row>
  </sheetData>
  <mergeCells count="29">
    <mergeCell ref="A61:G61"/>
    <mergeCell ref="A68:G68"/>
    <mergeCell ref="A64:G64"/>
    <mergeCell ref="A62:H63"/>
    <mergeCell ref="A65:G65"/>
    <mergeCell ref="D2:H2"/>
    <mergeCell ref="A27:H27"/>
    <mergeCell ref="E3:H3"/>
    <mergeCell ref="J72:K72"/>
    <mergeCell ref="A70:G70"/>
    <mergeCell ref="A23:H23"/>
    <mergeCell ref="A19:H19"/>
    <mergeCell ref="A12:H12"/>
    <mergeCell ref="A54:H54"/>
    <mergeCell ref="A57:H57"/>
    <mergeCell ref="A14:H14"/>
    <mergeCell ref="A32:H32"/>
    <mergeCell ref="A36:H36"/>
    <mergeCell ref="A47:H47"/>
    <mergeCell ref="A51:H51"/>
    <mergeCell ref="A69:G69"/>
    <mergeCell ref="A98:H101"/>
    <mergeCell ref="A90:H90"/>
    <mergeCell ref="A80:H80"/>
    <mergeCell ref="A71:G71"/>
    <mergeCell ref="A75:G75"/>
    <mergeCell ref="A74:G74"/>
    <mergeCell ref="A73:G73"/>
    <mergeCell ref="A72:G72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A3" zoomScaleNormal="100" workbookViewId="0">
      <selection activeCell="G9" sqref="G9:G31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3.33203125" style="2" customWidth="1"/>
    <col min="12" max="12" width="13.6640625" style="2" customWidth="1"/>
    <col min="13" max="13" width="14.5546875" customWidth="1"/>
    <col min="14" max="14" width="13.44140625" hidden="1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AGOSTO</v>
      </c>
      <c r="G1" s="106"/>
      <c r="H1" s="104" t="str">
        <f>RESUMEN!G8</f>
        <v>VTO: 17/9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1934410.7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61" t="s">
        <v>77</v>
      </c>
      <c r="M3" s="61"/>
      <c r="N3" s="61"/>
      <c r="O3" s="61"/>
    </row>
    <row r="4" spans="1:17" ht="18.75" customHeight="1">
      <c r="A4" s="118"/>
      <c r="B4" s="119" t="s">
        <v>140</v>
      </c>
      <c r="C4" s="61"/>
      <c r="D4" s="61"/>
      <c r="E4" s="119" t="s">
        <v>79</v>
      </c>
      <c r="F4" s="185">
        <f>278067+10000+9000-3000-520+225+12</f>
        <v>293784</v>
      </c>
      <c r="G4" s="117"/>
      <c r="H4" s="117"/>
      <c r="I4" s="117"/>
      <c r="J4" s="117"/>
      <c r="K4" s="117"/>
      <c r="L4" s="61" t="s">
        <v>76</v>
      </c>
      <c r="M4" s="61"/>
      <c r="N4" s="61"/>
      <c r="O4" s="61"/>
    </row>
    <row r="5" spans="1:17" ht="15.75" customHeight="1">
      <c r="A5" s="120"/>
      <c r="B5" s="230">
        <f>C2</f>
        <v>1934410.7</v>
      </c>
      <c r="C5" s="230"/>
      <c r="D5" s="21"/>
      <c r="E5" s="236">
        <v>0</v>
      </c>
      <c r="F5" s="237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2"/>
      <c r="C6" s="233"/>
      <c r="D6" s="21"/>
      <c r="E6" s="232" t="s">
        <v>145</v>
      </c>
      <c r="F6" s="233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30"/>
      <c r="C7" s="230"/>
      <c r="D7" s="21"/>
      <c r="E7" s="234">
        <v>570510</v>
      </c>
      <c r="F7" s="235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142</v>
      </c>
      <c r="H8" s="112" t="s">
        <v>63</v>
      </c>
      <c r="I8" s="112" t="s">
        <v>132</v>
      </c>
      <c r="J8" s="112" t="s">
        <v>64</v>
      </c>
      <c r="K8" s="123" t="s">
        <v>124</v>
      </c>
      <c r="L8" s="109" t="s">
        <v>82</v>
      </c>
      <c r="M8" s="109" t="s">
        <v>7</v>
      </c>
      <c r="N8" s="109" t="s">
        <v>139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177426.13652999999</v>
      </c>
      <c r="G9" s="176"/>
      <c r="H9" s="68">
        <f>IF(F9&gt;G9,F9-G9,0)</f>
        <v>177426.13652999999</v>
      </c>
      <c r="I9" s="68">
        <f>H9*3.7%</f>
        <v>6564.7670516100006</v>
      </c>
      <c r="J9" s="68">
        <f>IF(G9&gt;F9,G9-F9,0)</f>
        <v>0</v>
      </c>
      <c r="K9" s="68">
        <f>E$5*E9</f>
        <v>0</v>
      </c>
      <c r="L9" s="68">
        <f>E$7*E9</f>
        <v>23105.655000000002</v>
      </c>
      <c r="M9" s="168">
        <f>B$5*E9</f>
        <v>78343.633350000004</v>
      </c>
      <c r="N9" s="168">
        <f>B$7*E9</f>
        <v>0</v>
      </c>
      <c r="O9" s="183">
        <f>H9+I9-J9+K9+M9+N9+L9</f>
        <v>285440.19193161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283881.81844799995</v>
      </c>
      <c r="G10" s="176">
        <f>F10</f>
        <v>283881.81844799995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68">
        <f t="shared" ref="K10:K31" si="2">E$5*E10</f>
        <v>0</v>
      </c>
      <c r="L10" s="68">
        <f t="shared" ref="L10:L31" si="3">E$7*E10</f>
        <v>36969.047999999995</v>
      </c>
      <c r="M10" s="25">
        <f t="shared" ref="M10:M31" si="4">B$5*E10</f>
        <v>125349.81335999999</v>
      </c>
      <c r="N10" s="25">
        <f t="shared" ref="N10:N31" si="5">B$7*E10</f>
        <v>0</v>
      </c>
      <c r="O10" s="183">
        <f t="shared" ref="O10:O31" si="6">H10+I10-J10+K10+M10+N10+L10</f>
        <v>162318.86135999998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211159.00693199999</v>
      </c>
      <c r="G11" s="176">
        <f>F11</f>
        <v>211159.00693199999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0</v>
      </c>
      <c r="L11" s="68">
        <f t="shared" si="3"/>
        <v>27498.581999999999</v>
      </c>
      <c r="M11" s="168">
        <f t="shared" si="4"/>
        <v>93238.595740000004</v>
      </c>
      <c r="N11" s="168">
        <f t="shared" si="5"/>
        <v>0</v>
      </c>
      <c r="O11" s="183">
        <f t="shared" si="6"/>
        <v>120737.17774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5964462.7322450671</v>
      </c>
      <c r="G12" s="177"/>
      <c r="H12" s="148">
        <f t="shared" si="0"/>
        <v>5964462.7322450671</v>
      </c>
      <c r="I12" s="148">
        <f t="shared" si="7"/>
        <v>220685.12109306752</v>
      </c>
      <c r="J12" s="148">
        <f t="shared" si="1"/>
        <v>0</v>
      </c>
      <c r="K12" s="148">
        <f t="shared" si="2"/>
        <v>0</v>
      </c>
      <c r="L12" s="148">
        <f t="shared" si="3"/>
        <v>30522.285</v>
      </c>
      <c r="M12" s="149">
        <f t="shared" si="4"/>
        <v>103490.97245</v>
      </c>
      <c r="N12" s="149">
        <f t="shared" si="5"/>
        <v>0</v>
      </c>
      <c r="O12" s="184">
        <f t="shared" si="6"/>
        <v>6319161.1107881349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168664.35200999997</v>
      </c>
      <c r="G13" s="176">
        <f>F13</f>
        <v>168664.35200999997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68">
        <f t="shared" si="2"/>
        <v>0</v>
      </c>
      <c r="L13" s="68">
        <f t="shared" si="3"/>
        <v>21964.634999999998</v>
      </c>
      <c r="M13" s="25">
        <f t="shared" si="4"/>
        <v>74474.811950000003</v>
      </c>
      <c r="N13" s="25">
        <f t="shared" si="5"/>
        <v>0</v>
      </c>
      <c r="O13" s="183">
        <f t="shared" si="6"/>
        <v>96439.446949999998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/>
      <c r="E14" s="45">
        <v>3.5900000000000001E-2</v>
      </c>
      <c r="F14" s="17">
        <v>157274.03213399998</v>
      </c>
      <c r="G14" s="176">
        <f>F14</f>
        <v>157274.03213399998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68">
        <f t="shared" si="2"/>
        <v>0</v>
      </c>
      <c r="L14" s="68">
        <f t="shared" si="3"/>
        <v>20481.309000000001</v>
      </c>
      <c r="M14" s="25">
        <f t="shared" si="4"/>
        <v>69445.344129999998</v>
      </c>
      <c r="N14" s="25">
        <f t="shared" si="5"/>
        <v>0</v>
      </c>
      <c r="O14" s="183">
        <f t="shared" si="6"/>
        <v>89926.653129999992</v>
      </c>
    </row>
    <row r="15" spans="1:17" ht="15" customHeight="1">
      <c r="A15" s="51">
        <v>7</v>
      </c>
      <c r="B15" s="40" t="s">
        <v>46</v>
      </c>
      <c r="C15" s="93" t="s">
        <v>137</v>
      </c>
      <c r="D15" s="92" t="s">
        <v>105</v>
      </c>
      <c r="E15" s="45">
        <v>4.1399999999999999E-2</v>
      </c>
      <c r="F15" s="17">
        <v>181368.93956399997</v>
      </c>
      <c r="G15" s="176">
        <f>F15</f>
        <v>181368.93956399997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68">
        <f t="shared" si="2"/>
        <v>0</v>
      </c>
      <c r="L15" s="68">
        <f t="shared" si="3"/>
        <v>23619.114000000001</v>
      </c>
      <c r="M15" s="25">
        <f t="shared" si="4"/>
        <v>80084.602979999996</v>
      </c>
      <c r="N15" s="25">
        <v>0</v>
      </c>
      <c r="O15" s="183">
        <f t="shared" si="6"/>
        <v>103703.71698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106</v>
      </c>
      <c r="E16" s="45">
        <v>5.3499999999999999E-2</v>
      </c>
      <c r="F16" s="17">
        <v>234377.73590999999</v>
      </c>
      <c r="G16" s="176">
        <f>F16</f>
        <v>234377.73590999999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68">
        <f t="shared" si="2"/>
        <v>0</v>
      </c>
      <c r="L16" s="68">
        <f t="shared" si="3"/>
        <v>30522.285</v>
      </c>
      <c r="M16" s="25">
        <f t="shared" si="4"/>
        <v>103490.97245</v>
      </c>
      <c r="N16" s="25">
        <f t="shared" si="5"/>
        <v>0</v>
      </c>
      <c r="O16" s="183">
        <f t="shared" si="6"/>
        <v>134013.25745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107</v>
      </c>
      <c r="E17" s="45">
        <v>3.85E-2</v>
      </c>
      <c r="F17" s="17">
        <v>418221.4838209076</v>
      </c>
      <c r="G17" s="176">
        <f>F17</f>
        <v>418221.4838209076</v>
      </c>
      <c r="H17" s="24">
        <f t="shared" si="0"/>
        <v>0</v>
      </c>
      <c r="I17" s="24">
        <f t="shared" si="7"/>
        <v>0</v>
      </c>
      <c r="J17" s="24">
        <f t="shared" si="1"/>
        <v>0</v>
      </c>
      <c r="K17" s="68">
        <f t="shared" si="2"/>
        <v>0</v>
      </c>
      <c r="L17" s="68">
        <f t="shared" si="3"/>
        <v>21964.634999999998</v>
      </c>
      <c r="M17" s="25">
        <f t="shared" si="4"/>
        <v>74474.811950000003</v>
      </c>
      <c r="N17" s="25">
        <f t="shared" si="5"/>
        <v>0</v>
      </c>
      <c r="O17" s="183">
        <f t="shared" si="6"/>
        <v>96439.446949999998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-32805.866497089621</v>
      </c>
      <c r="G18" s="176">
        <f>RESUMEN!H37+RESUMEN!H44+RESUMEN!H49</f>
        <v>227500</v>
      </c>
      <c r="H18" s="68">
        <f>IF(F18&gt;G18,F18-G18,0)</f>
        <v>0</v>
      </c>
      <c r="I18" s="68">
        <f t="shared" si="7"/>
        <v>0</v>
      </c>
      <c r="J18" s="68">
        <f t="shared" si="1"/>
        <v>260305.86649708962</v>
      </c>
      <c r="K18" s="68">
        <f t="shared" si="2"/>
        <v>0</v>
      </c>
      <c r="L18" s="68">
        <f t="shared" si="3"/>
        <v>20481.309000000001</v>
      </c>
      <c r="M18" s="168">
        <f t="shared" si="4"/>
        <v>69445.344129999998</v>
      </c>
      <c r="N18" s="168">
        <f t="shared" si="5"/>
        <v>0</v>
      </c>
      <c r="O18" s="183">
        <f t="shared" si="6"/>
        <v>-170379.21336708963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108</v>
      </c>
      <c r="E19" s="154">
        <v>4.1399999999999999E-2</v>
      </c>
      <c r="F19" s="147">
        <v>4239238.3269483093</v>
      </c>
      <c r="G19" s="177"/>
      <c r="H19" s="148">
        <f t="shared" si="0"/>
        <v>4239238.3269483093</v>
      </c>
      <c r="I19" s="148">
        <f t="shared" si="7"/>
        <v>156851.81809708747</v>
      </c>
      <c r="J19" s="148">
        <f t="shared" si="1"/>
        <v>0</v>
      </c>
      <c r="K19" s="148">
        <f t="shared" si="2"/>
        <v>0</v>
      </c>
      <c r="L19" s="148">
        <f t="shared" si="3"/>
        <v>23619.114000000001</v>
      </c>
      <c r="M19" s="149">
        <f t="shared" si="4"/>
        <v>80084.602979999996</v>
      </c>
      <c r="N19" s="149">
        <f t="shared" si="5"/>
        <v>0</v>
      </c>
      <c r="O19" s="184">
        <f t="shared" si="6"/>
        <v>4499793.8620253969</v>
      </c>
      <c r="Q19" s="180"/>
    </row>
    <row r="20" spans="1:18" ht="15" customHeight="1">
      <c r="A20" s="51">
        <v>12</v>
      </c>
      <c r="B20" s="41" t="s">
        <v>51</v>
      </c>
      <c r="C20" s="100" t="s">
        <v>113</v>
      </c>
      <c r="D20" s="96" t="s">
        <v>122</v>
      </c>
      <c r="E20" s="46">
        <v>5.3499999999999999E-2</v>
      </c>
      <c r="F20" s="17">
        <v>234377.73590999999</v>
      </c>
      <c r="G20" s="176">
        <f>F20</f>
        <v>234377.73590999999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68">
        <f t="shared" si="2"/>
        <v>0</v>
      </c>
      <c r="L20" s="68">
        <f t="shared" si="3"/>
        <v>30522.285</v>
      </c>
      <c r="M20" s="25">
        <f t="shared" si="4"/>
        <v>103490.97245</v>
      </c>
      <c r="N20" s="25">
        <f t="shared" si="5"/>
        <v>0</v>
      </c>
      <c r="O20" s="183">
        <f t="shared" si="6"/>
        <v>134013.25745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/>
      <c r="E21" s="152">
        <v>3.85E-2</v>
      </c>
      <c r="F21" s="147">
        <v>1991817.2494090125</v>
      </c>
      <c r="G21" s="178">
        <v>0</v>
      </c>
      <c r="H21" s="148">
        <f t="shared" si="0"/>
        <v>1991817.2494090125</v>
      </c>
      <c r="I21" s="148">
        <f t="shared" si="7"/>
        <v>73697.238228133472</v>
      </c>
      <c r="J21" s="148">
        <f t="shared" si="1"/>
        <v>0</v>
      </c>
      <c r="K21" s="148">
        <f t="shared" si="2"/>
        <v>0</v>
      </c>
      <c r="L21" s="148">
        <f t="shared" si="3"/>
        <v>21964.634999999998</v>
      </c>
      <c r="M21" s="149">
        <f t="shared" si="4"/>
        <v>74474.811950000003</v>
      </c>
      <c r="N21" s="149">
        <f t="shared" si="5"/>
        <v>0</v>
      </c>
      <c r="O21" s="184">
        <f t="shared" si="6"/>
        <v>2161953.9345871457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109</v>
      </c>
      <c r="E22" s="47">
        <v>3.5900000000000001E-2</v>
      </c>
      <c r="F22" s="17">
        <v>157274.03213399998</v>
      </c>
      <c r="G22" s="176">
        <f>F22</f>
        <v>157274.03213399998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68">
        <f t="shared" si="2"/>
        <v>0</v>
      </c>
      <c r="L22" s="68">
        <f t="shared" si="3"/>
        <v>20481.309000000001</v>
      </c>
      <c r="M22" s="25">
        <f t="shared" si="4"/>
        <v>69445.344129999998</v>
      </c>
      <c r="N22" s="25">
        <f t="shared" si="5"/>
        <v>0</v>
      </c>
      <c r="O22" s="183">
        <f t="shared" si="6"/>
        <v>89926.653129999992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110</v>
      </c>
      <c r="E23" s="48">
        <v>4.1399999999999999E-2</v>
      </c>
      <c r="F23" s="17">
        <v>181368.73672799996</v>
      </c>
      <c r="G23" s="176">
        <f>F23</f>
        <v>181368.73672799996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68">
        <f t="shared" si="2"/>
        <v>0</v>
      </c>
      <c r="L23" s="68">
        <f t="shared" si="3"/>
        <v>23619.114000000001</v>
      </c>
      <c r="M23" s="25">
        <f t="shared" si="4"/>
        <v>80084.602979999996</v>
      </c>
      <c r="N23" s="25">
        <f t="shared" si="5"/>
        <v>0</v>
      </c>
      <c r="O23" s="183">
        <f t="shared" si="6"/>
        <v>103703.71698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234377.73590999999</v>
      </c>
      <c r="G24" s="176">
        <f>F24</f>
        <v>234377.73590999999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68">
        <f t="shared" si="2"/>
        <v>0</v>
      </c>
      <c r="L24" s="68">
        <f t="shared" si="3"/>
        <v>30522.285</v>
      </c>
      <c r="M24" s="25">
        <f t="shared" si="4"/>
        <v>103490.97245</v>
      </c>
      <c r="N24" s="25">
        <f t="shared" si="5"/>
        <v>0</v>
      </c>
      <c r="O24" s="183">
        <f t="shared" si="6"/>
        <v>134013.25745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111</v>
      </c>
      <c r="E25" s="49">
        <v>3.85E-2</v>
      </c>
      <c r="F25" s="17">
        <v>168663.88801999995</v>
      </c>
      <c r="G25" s="176">
        <f>F25</f>
        <v>168663.88801999995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68">
        <f t="shared" si="2"/>
        <v>0</v>
      </c>
      <c r="L25" s="68">
        <f t="shared" si="3"/>
        <v>21964.634999999998</v>
      </c>
      <c r="M25" s="25">
        <f t="shared" si="4"/>
        <v>74474.811950000003</v>
      </c>
      <c r="N25" s="25">
        <f t="shared" si="5"/>
        <v>0</v>
      </c>
      <c r="O25" s="183">
        <f t="shared" si="6"/>
        <v>96439.446949999998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157274.03213399998</v>
      </c>
      <c r="G26" s="176">
        <f>F26</f>
        <v>157274.03213399998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68">
        <f t="shared" si="2"/>
        <v>0</v>
      </c>
      <c r="L26" s="68">
        <f t="shared" si="3"/>
        <v>20481.309000000001</v>
      </c>
      <c r="M26" s="25">
        <f t="shared" si="4"/>
        <v>69445.344129999998</v>
      </c>
      <c r="N26" s="25">
        <f t="shared" si="5"/>
        <v>0</v>
      </c>
      <c r="O26" s="183">
        <f t="shared" si="6"/>
        <v>89926.653129999992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123</v>
      </c>
      <c r="E27" s="146">
        <v>4.1399999999999999E-2</v>
      </c>
      <c r="F27" s="147">
        <v>3724071.6003557066</v>
      </c>
      <c r="G27" s="177">
        <v>181369.14</v>
      </c>
      <c r="H27" s="170">
        <f t="shared" si="0"/>
        <v>3542702.4603557065</v>
      </c>
      <c r="I27" s="148">
        <f t="shared" si="7"/>
        <v>131079.99103316115</v>
      </c>
      <c r="J27" s="148">
        <f t="shared" si="1"/>
        <v>0</v>
      </c>
      <c r="K27" s="148">
        <f t="shared" si="2"/>
        <v>0</v>
      </c>
      <c r="L27" s="148">
        <f t="shared" si="3"/>
        <v>23619.114000000001</v>
      </c>
      <c r="M27" s="149">
        <f t="shared" si="4"/>
        <v>80084.602979999996</v>
      </c>
      <c r="N27" s="149">
        <f t="shared" si="5"/>
        <v>0</v>
      </c>
      <c r="O27" s="184">
        <f t="shared" si="6"/>
        <v>3777486.1683688676</v>
      </c>
      <c r="P27" s="182">
        <f>M27+N27</f>
        <v>80084.602979999996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3388884.5704627023</v>
      </c>
      <c r="G28" s="176"/>
      <c r="H28" s="68">
        <f t="shared" si="0"/>
        <v>3388884.5704627023</v>
      </c>
      <c r="I28" s="24">
        <f t="shared" si="7"/>
        <v>125388.72910712</v>
      </c>
      <c r="J28" s="24">
        <f t="shared" si="1"/>
        <v>0</v>
      </c>
      <c r="K28" s="68">
        <f t="shared" si="2"/>
        <v>0</v>
      </c>
      <c r="L28" s="68">
        <f t="shared" si="3"/>
        <v>30522.285</v>
      </c>
      <c r="M28" s="25">
        <f t="shared" si="4"/>
        <v>103490.97245</v>
      </c>
      <c r="N28" s="25">
        <f t="shared" si="5"/>
        <v>0</v>
      </c>
      <c r="O28" s="183">
        <f t="shared" si="6"/>
        <v>3648286.5570198223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168664.35200999997</v>
      </c>
      <c r="G29" s="176">
        <f>F29</f>
        <v>168664.35200999997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68">
        <f t="shared" si="2"/>
        <v>0</v>
      </c>
      <c r="L29" s="68">
        <f t="shared" si="3"/>
        <v>21964.634999999998</v>
      </c>
      <c r="M29" s="25">
        <f t="shared" si="4"/>
        <v>74474.811950000003</v>
      </c>
      <c r="N29" s="25">
        <f t="shared" si="5"/>
        <v>0</v>
      </c>
      <c r="O29" s="183">
        <f t="shared" si="6"/>
        <v>96439.446949999998</v>
      </c>
      <c r="P29" s="7">
        <f>M29/2</f>
        <v>37237.405975000001</v>
      </c>
      <c r="Q29" s="7">
        <f>SUM(Q15:Q28)</f>
        <v>0</v>
      </c>
      <c r="R29" t="s">
        <v>141</v>
      </c>
    </row>
    <row r="30" spans="1:18" ht="15" customHeight="1">
      <c r="A30" s="51">
        <v>22</v>
      </c>
      <c r="B30" s="43" t="s">
        <v>61</v>
      </c>
      <c r="C30" s="95" t="s">
        <v>120</v>
      </c>
      <c r="D30" s="95" t="s">
        <v>125</v>
      </c>
      <c r="E30" s="49">
        <v>3.5900000000000001E-2</v>
      </c>
      <c r="F30" s="17">
        <v>157274.03213399998</v>
      </c>
      <c r="G30" s="176">
        <f>F30</f>
        <v>157274.03213399998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68">
        <f t="shared" si="2"/>
        <v>0</v>
      </c>
      <c r="L30" s="68">
        <f t="shared" si="3"/>
        <v>20481.309000000001</v>
      </c>
      <c r="M30" s="25">
        <f t="shared" si="4"/>
        <v>69445.344129999998</v>
      </c>
      <c r="N30" s="25">
        <f t="shared" si="5"/>
        <v>0</v>
      </c>
      <c r="O30" s="183">
        <f t="shared" si="6"/>
        <v>89926.653129999992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175829.73672799996</v>
      </c>
      <c r="G31" s="176">
        <f>F31</f>
        <v>175829.73672799996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68">
        <f t="shared" si="2"/>
        <v>0</v>
      </c>
      <c r="L31" s="68">
        <f t="shared" si="3"/>
        <v>23619.114000000001</v>
      </c>
      <c r="M31" s="25">
        <f t="shared" si="4"/>
        <v>80084.602979999996</v>
      </c>
      <c r="N31" s="25">
        <f t="shared" si="5"/>
        <v>0</v>
      </c>
      <c r="O31" s="183">
        <f t="shared" si="6"/>
        <v>103703.71698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22743146.39998062</v>
      </c>
      <c r="G32" s="99">
        <f>SUM(G9:G31)</f>
        <v>3698920.7905269074</v>
      </c>
      <c r="H32" s="122">
        <f>SUM(H9:H31)</f>
        <v>19304531.4759508</v>
      </c>
      <c r="I32" s="54">
        <f>SUM(I9:I31)</f>
        <v>714267.66461017949</v>
      </c>
      <c r="J32" s="99">
        <f t="shared" ref="J32" si="8">SUM(J9:J31)</f>
        <v>260305.86649708962</v>
      </c>
      <c r="K32" s="90">
        <f>SUM(K9:K31)</f>
        <v>0</v>
      </c>
      <c r="L32" s="90"/>
      <c r="M32" s="54">
        <f>SUM(M9:M31)</f>
        <v>1934410.7000000002</v>
      </c>
      <c r="N32" s="90">
        <f>SUM(N9:N31)</f>
        <v>0</v>
      </c>
      <c r="O32" s="54">
        <f>SUM(O9:O31)</f>
        <v>22263413.974063884</v>
      </c>
    </row>
    <row r="33" spans="1:15" ht="14.25" customHeight="1"/>
    <row r="34" spans="1:15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</row>
    <row r="35" spans="1:15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</row>
    <row r="36" spans="1:15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</row>
    <row r="37" spans="1:15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</row>
    <row r="38" spans="1:15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</row>
    <row r="39" spans="1:15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</row>
    <row r="40" spans="1:15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8" t="s">
        <v>90</v>
      </c>
      <c r="B1" s="239"/>
      <c r="C1" s="239"/>
      <c r="D1" s="239"/>
      <c r="E1" s="239"/>
      <c r="F1" s="239"/>
      <c r="G1" s="240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2026-07-06T13:26:31Z</cp:lastPrinted>
  <dcterms:created xsi:type="dcterms:W3CDTF">2021-10-25T13:53:39Z</dcterms:created>
  <dcterms:modified xsi:type="dcterms:W3CDTF">2026-08-28T03:45:20Z</dcterms:modified>
</cp:coreProperties>
</file>