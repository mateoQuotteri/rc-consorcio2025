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ROSALES\Marzo\"/>
    </mc:Choice>
  </mc:AlternateContent>
  <xr:revisionPtr revIDLastSave="0" documentId="13_ncr:1_{57560F36-23B0-47DD-870A-5B436F4E06F5}" xr6:coauthVersionLast="47" xr6:coauthVersionMax="47" xr10:uidLastSave="{00000000-0000-0000-0000-000000000000}"/>
  <bookViews>
    <workbookView xWindow="-120" yWindow="-120" windowWidth="20730" windowHeight="11160" activeTab="2" xr2:uid="{00000000-000D-0000-FFFF-FFFF00000000}"/>
  </bookViews>
  <sheets>
    <sheet name="detalle y gastos" sheetId="3" r:id="rId1"/>
    <sheet name="prorrateo " sheetId="1" r:id="rId2"/>
    <sheet name="Edesur" sheetId="4" r:id="rId3"/>
  </sheets>
  <definedNames>
    <definedName name="_xlnm.Print_Area" localSheetId="0">'detalle y gastos'!$A$1:$C$62</definedName>
    <definedName name="_xlnm.Print_Area" localSheetId="2">Edesur!$A$1:$N$40</definedName>
    <definedName name="_xlnm.Print_Area" localSheetId="1">'prorrateo '!$A$1:$M$33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1" i="3" l="1"/>
  <c r="C23" i="3"/>
  <c r="C25" i="3"/>
  <c r="F10" i="1" l="1"/>
  <c r="B1" i="1" l="1"/>
  <c r="F3" i="1"/>
  <c r="F6" i="1"/>
  <c r="F12" i="1"/>
  <c r="F11" i="1"/>
  <c r="F9" i="1" l="1"/>
  <c r="C7" i="4"/>
  <c r="C41" i="3" l="1"/>
  <c r="F8" i="1"/>
  <c r="F25" i="1"/>
  <c r="F14" i="1" s="1"/>
  <c r="F23" i="1" l="1"/>
  <c r="F5" i="1" s="1"/>
  <c r="C6" i="4" l="1"/>
  <c r="H10" i="4"/>
  <c r="F18" i="1"/>
  <c r="C32"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24" i="1" l="1"/>
  <c r="F13" i="1" s="1"/>
  <c r="F21" i="1" l="1"/>
  <c r="F16" i="1" s="1"/>
  <c r="F28" i="1" l="1"/>
  <c r="F7" i="1" s="1"/>
  <c r="F26" i="1"/>
  <c r="F27" i="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9" i="1"/>
  <c r="P27" i="1" s="1"/>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G12" i="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H29" i="1"/>
  <c r="M29" i="1" s="1"/>
  <c r="O29" i="1" s="1"/>
  <c r="H5" i="1"/>
  <c r="H15" i="1"/>
  <c r="H19" i="1"/>
  <c r="M19" i="1" s="1"/>
  <c r="O19" i="1" s="1"/>
  <c r="H23" i="1"/>
  <c r="H27" i="1"/>
  <c r="M27" i="1" s="1"/>
  <c r="O27" i="1" s="1"/>
  <c r="H22" i="1"/>
  <c r="M22" i="1" s="1"/>
  <c r="O22" i="1" s="1"/>
  <c r="I31" i="1"/>
  <c r="F31" i="1"/>
  <c r="C48" i="3" s="1"/>
  <c r="C56" i="3"/>
  <c r="M3" i="1" l="1"/>
  <c r="O3" i="1" s="1"/>
  <c r="O17" i="4"/>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O12" i="4" l="1"/>
  <c r="O35" i="4"/>
  <c r="O30" i="4"/>
  <c r="O11" i="4"/>
  <c r="O13" i="4"/>
  <c r="O19" i="4"/>
  <c r="M31" i="1"/>
  <c r="O20" i="4"/>
  <c r="O24" i="4"/>
  <c r="O23" i="4"/>
  <c r="O15" i="4"/>
  <c r="O32" i="4"/>
  <c r="O25" i="4"/>
  <c r="O22" i="4"/>
  <c r="O33" i="4"/>
  <c r="O10" i="4"/>
  <c r="C59" i="3"/>
  <c r="C43" i="3" l="1"/>
  <c r="C47" i="3" s="1"/>
  <c r="C51" i="3" s="1"/>
</calcChain>
</file>

<file path=xl/sharedStrings.xml><?xml version="1.0" encoding="utf-8"?>
<sst xmlns="http://schemas.openxmlformats.org/spreadsheetml/2006/main" count="191" uniqueCount="122">
  <si>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</si>
  <si>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</si>
  <si>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</si>
  <si>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</si>
  <si>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</si>
  <si>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</si>
  <si>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</si>
  <si>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</si>
  <si>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</si>
  <si>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</si>
  <si>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</si>
  <si>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</si>
  <si>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</si>
  <si>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</si>
  <si>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</si>
  <si>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</si>
  <si>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</si>
  <si>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</si>
  <si>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</si>
  <si>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</si>
  <si>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</si>
  <si>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</si>
  <si>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</si>
  <si>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</si>
  <si>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</si>
  <si>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</si>
  <si>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</si>
  <si>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</si>
  <si>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</si>
  <si>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</si>
  <si>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</si>
  <si>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</si>
  <si>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</si>
  <si>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</si>
  <si>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</si>
  <si>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</si>
  <si>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</si>
  <si>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</si>
  <si>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</si>
  <si>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</si>
  <si>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</si>
  <si>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</si>
  <si>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</si>
  <si>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</si>
  <si>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</si>
  <si>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</si>
  <si>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</si>
  <si>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</si>
  <si>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</si>
  <si>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</si>
  <si>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</si>
  <si>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</si>
  <si>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</si>
  <si>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</si>
  <si>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</si>
  <si>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</si>
  <si>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</si>
  <si>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</si>
  <si>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</si>
  <si>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</si>
  <si>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</si>
  <si>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</si>
  <si>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</si>
  <si>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</si>
  <si>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</si>
  <si>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</si>
  <si>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</si>
  <si>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</si>
  <si>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</si>
  <si>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</si>
  <si>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</si>
  <si>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</si>
  <si>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</si>
  <si>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</si>
  <si>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</si>
  <si>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</si>
  <si>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</si>
  <si>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</si>
  <si>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</si>
  <si>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</si>
  <si>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</si>
  <si>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</si>
  <si>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</si>
  <si>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</si>
  <si>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</si>
  <si>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</si>
  <si>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</si>
  <si>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</si>
  <si>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</si>
  <si>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</si>
  <si>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</si>
  <si>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</si>
  <si>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</si>
  <si>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Leandro</t>
  </si>
  <si>
    <t xml:space="preserve">Leonor </t>
  </si>
  <si>
    <t>INGRESOS CORRESPONDIENTES AL PAGO DE EXPENSAS</t>
  </si>
  <si>
    <t>Sueldo personal de limpieza y maestranza</t>
  </si>
  <si>
    <t>Seguro de vida Sra encargada</t>
  </si>
  <si>
    <t>CAJA ANTERIOR</t>
  </si>
  <si>
    <t>Gastos extraordinarios:</t>
  </si>
  <si>
    <t>Expensas ordinarias:</t>
  </si>
  <si>
    <t>ORDINARIAS</t>
  </si>
  <si>
    <t>Seguro de consorcio obligatorio -  federacion patronal - poliza nro. 2027630</t>
  </si>
  <si>
    <t>Anabella</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</si>
  <si>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</si>
  <si>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</si>
  <si>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Fumigacion</t>
  </si>
  <si>
    <t>EXTRAORD.</t>
  </si>
  <si>
    <t>ARBA:</t>
  </si>
  <si>
    <t>PUNITORIOS MAL COBRADOS</t>
  </si>
  <si>
    <t>EDESUR</t>
  </si>
  <si>
    <t>SIN EDESUR</t>
  </si>
  <si>
    <t xml:space="preserve">Subidos en EN3R0 </t>
  </si>
  <si>
    <t>PREVISION EXTRAORDINARIA - ARBA</t>
  </si>
  <si>
    <t>Articulos de limpieza</t>
  </si>
  <si>
    <t>Carnevalli Christian</t>
  </si>
  <si>
    <t>Espacio Edesur</t>
  </si>
  <si>
    <t>Vto. 17/04</t>
  </si>
  <si>
    <t>LIQUIDACIÓN EXPENSAS MARZO 2025</t>
  </si>
  <si>
    <t>EGRESOS DEL MES DE MARZO</t>
  </si>
  <si>
    <t>ARBA - Cuota 4 del plan</t>
  </si>
  <si>
    <t>Fumigacion - Mes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</si>
</sst>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1"/>
      <color rgb="FFFF0000"/>
      <name val="Calibri"/>
      <family val="2"/>
      <scheme val="minor"/>
    </font>
    <font>
      <sz val="11"/>
      <color theme="0"/>
      <name val="Calibri"/>
      <family val="2"/>
    </font>
    <font>
      <b/>
      <sz val="10"/>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14">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170" fontId="25" fillId="6" borderId="15"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1"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 fontId="0" fillId="5" borderId="1" xfId="0" applyNumberFormat="1" applyFill="1" applyBorder="1"/>
    <xf numFmtId="164" fontId="19" fillId="5" borderId="1" xfId="0" applyNumberFormat="1" applyFont="1" applyFill="1" applyBorder="1"/>
    <xf numFmtId="44" fontId="20" fillId="5" borderId="4" xfId="2" applyNumberFormat="1" applyFont="1" applyFill="1" applyBorder="1"/>
    <xf numFmtId="4" fontId="32" fillId="0" borderId="1" xfId="0" applyNumberFormat="1" applyFont="1" applyBorder="1"/>
    <xf numFmtId="164" fontId="32" fillId="0" borderId="1" xfId="2" applyFont="1" applyBorder="1"/>
    <xf numFmtId="0" fontId="10" fillId="0" borderId="1" xfId="0" applyFont="1" applyBorder="1" applyAlignment="1">
      <alignment horizontal="center"/>
    </xf>
    <xf numFmtId="44" fontId="33" fillId="0" borderId="13" xfId="0" applyNumberFormat="1" applyFont="1" applyBorder="1"/>
    <xf numFmtId="171" fontId="34" fillId="5" borderId="1" xfId="0" applyNumberFormat="1" applyFont="1" applyFill="1" applyBorder="1"/>
    <xf numFmtId="166" fontId="19" fillId="0" borderId="4" xfId="0" applyNumberFormat="1" applyFont="1" applyBorder="1"/>
    <xf numFmtId="166" fontId="19" fillId="5" borderId="4" xfId="0" applyNumberFormat="1" applyFont="1" applyFill="1" applyBorder="1"/>
    <xf numFmtId="0" fontId="27" fillId="7" borderId="9" xfId="0" applyFont="1" applyFill="1" applyBorder="1" applyAlignment="1">
      <alignment horizontal="center" vertical="center" wrapText="1"/>
    </xf>
    <xf numFmtId="171" fontId="25" fillId="0" borderId="13" xfId="0" applyNumberFormat="1" applyFont="1" applyBorder="1"/>
    <xf numFmtId="171" fontId="28" fillId="5" borderId="13" xfId="0" applyNumberFormat="1" applyFont="1" applyFill="1" applyBorder="1"/>
    <xf numFmtId="171" fontId="28" fillId="5" borderId="1" xfId="0" applyNumberFormat="1" applyFont="1" applyFill="1" applyBorder="1"/>
    <xf numFmtId="171" fontId="25" fillId="5" borderId="1" xfId="0" applyNumberFormat="1" applyFont="1" applyFill="1" applyBorder="1" applyAlignment="1">
      <alignment horizontal="right" vertical="center"/>
    </xf>
    <xf numFmtId="171" fontId="25" fillId="6" borderId="1" xfId="0" applyNumberFormat="1" applyFont="1" applyFill="1" applyBorder="1"/>
    <xf numFmtId="171" fontId="28" fillId="6" borderId="1" xfId="0" applyNumberFormat="1" applyFont="1" applyFill="1" applyBorder="1"/>
    <xf numFmtId="0" fontId="19" fillId="5" borderId="1" xfId="0" applyFont="1" applyFill="1" applyBorder="1" applyAlignment="1">
      <alignment horizontal="left" vertical="center"/>
    </xf>
    <xf numFmtId="0" fontId="19" fillId="5" borderId="1" xfId="0" applyFont="1" applyFill="1" applyBorder="1" applyAlignment="1">
      <alignment horizontal="centerContinuous" vertical="center" wrapText="1"/>
    </xf>
    <xf numFmtId="0" fontId="23" fillId="5" borderId="15" xfId="0" applyFont="1" applyFill="1" applyBorder="1" applyAlignment="1">
      <alignment horizontal="left"/>
    </xf>
    <xf numFmtId="0" fontId="23" fillId="5" borderId="15" xfId="0" applyFont="1" applyFill="1" applyBorder="1" applyAlignment="1">
      <alignment horizontal="center"/>
    </xf>
    <xf numFmtId="0" fontId="26" fillId="6" borderId="3" xfId="3" applyFont="1" applyFill="1" applyBorder="1"/>
    <xf numFmtId="43" fontId="26" fillId="6" borderId="3" xfId="4" applyFont="1" applyFill="1" applyBorder="1"/>
    <xf numFmtId="0" fontId="19" fillId="6" borderId="15" xfId="0" applyFont="1" applyFill="1" applyBorder="1"/>
    <xf numFmtId="171" fontId="25" fillId="6" borderId="16" xfId="0" applyNumberFormat="1" applyFont="1" applyFill="1" applyBorder="1"/>
    <xf numFmtId="4" fontId="14" fillId="5" borderId="1" xfId="0" applyNumberFormat="1" applyFont="1" applyFill="1" applyBorder="1" applyAlignment="1">
      <alignment horizontal="right"/>
    </xf>
    <xf numFmtId="4" fontId="14" fillId="5" borderId="1" xfId="0" applyNumberFormat="1" applyFont="1" applyFill="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left" vertical="center" wrapText="1"/>
    </xf>
    <xf numFmtId="0" fontId="31" fillId="6" borderId="0" xfId="0" applyFont="1" applyFill="1" applyAlignment="1">
      <alignment horizontal="left" vertical="center"/>
    </xf>
    <xf numFmtId="164" fontId="0" fillId="0" borderId="2" xfId="2" applyFont="1" applyBorder="1" applyAlignment="1">
      <alignment horizontal="center"/>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33" fillId="0" borderId="13" xfId="0" applyNumberFormat="1" applyFont="1" applyBorder="1" applyAlignment="1">
      <alignment horizontal="center"/>
    </xf>
    <xf numFmtId="0" fontId="0" fillId="0" borderId="1" xfId="0" applyBorder="1" applyAlignment="1"/>
    <xf numFmtId="4" fontId="14" fillId="5" borderId="1" xfId="0" applyNumberFormat="1" applyFont="1" applyFill="1" applyBorder="1" applyAlignment="1">
      <alignment horizontal="right" vertical="center"/>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571500</xdr:colOff>
      <xdr:row>1</xdr:row>
      <xdr:rowOff>104775</xdr:rowOff>
    </xdr:from>
    <xdr:ext cx="1647825" cy="981076"/>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581150" y="371475"/>
          <a:ext cx="1647825" cy="981076"/>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3"/>
  <sheetViews>
    <sheetView topLeftCell="A17" workbookViewId="0">
      <selection activeCell="C32" sqref="C32"/>
    </sheetView>
  </sheetViews>
  <sheetFormatPr baseColWidth="10" defaultRowHeight="15" x14ac:dyDescent="0.25"/>
  <cols>
    <col min="1" max="1" width="38" customWidth="1"/>
    <col min="2" max="2" width="40.28515625" customWidth="1"/>
    <col min="3" max="3" width="16.42578125" customWidth="1"/>
    <col min="4" max="4" width="13.8554687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118</v>
      </c>
      <c r="C7" s="17" t="s">
        <v>117</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12" t="s">
        <v>102</v>
      </c>
      <c r="B18" s="38"/>
      <c r="C18" s="199">
        <v>76654</v>
      </c>
      <c r="D18" s="4"/>
      <c r="E18" s="6"/>
    </row>
    <row r="19" spans="1:6" x14ac:dyDescent="0.25">
      <c r="A19" s="212" t="s">
        <v>10</v>
      </c>
      <c r="B19" s="39"/>
      <c r="C19" s="198">
        <v>372886.04</v>
      </c>
      <c r="D19" s="20"/>
      <c r="F19" s="6"/>
    </row>
    <row r="20" spans="1:6" x14ac:dyDescent="0.25">
      <c r="A20" s="212" t="s">
        <v>25</v>
      </c>
      <c r="B20" s="39"/>
      <c r="C20" s="199">
        <v>85000</v>
      </c>
      <c r="D20" s="20"/>
      <c r="F20" s="6"/>
    </row>
    <row r="21" spans="1:6" ht="12.75" customHeight="1" x14ac:dyDescent="0.25">
      <c r="A21" s="212" t="s">
        <v>120</v>
      </c>
      <c r="B21" s="39"/>
      <c r="C21" s="199">
        <v>1034026.5</v>
      </c>
      <c r="D21" s="20"/>
      <c r="F21" s="6"/>
    </row>
    <row r="22" spans="1:6" x14ac:dyDescent="0.25">
      <c r="A22" s="212" t="s">
        <v>11</v>
      </c>
      <c r="B22" s="39" t="s">
        <v>22</v>
      </c>
      <c r="C22" s="199">
        <v>89200</v>
      </c>
      <c r="F22" t="s">
        <v>112</v>
      </c>
    </row>
    <row r="23" spans="1:6" x14ac:dyDescent="0.25">
      <c r="A23" s="40"/>
      <c r="B23" s="41"/>
      <c r="C23" s="23">
        <f>SUM(C17:C22)</f>
        <v>1657766.54</v>
      </c>
    </row>
    <row r="24" spans="1:6" ht="15.75" x14ac:dyDescent="0.25">
      <c r="A24" s="35" t="s">
        <v>12</v>
      </c>
      <c r="B24" s="39"/>
      <c r="C24" s="178"/>
      <c r="D24" s="45"/>
      <c r="F24" s="12"/>
    </row>
    <row r="25" spans="1:6" ht="15.75" x14ac:dyDescent="0.25">
      <c r="A25" s="28" t="s">
        <v>96</v>
      </c>
      <c r="B25" s="42"/>
      <c r="C25" s="199">
        <f>384067+ (384067*3%)</f>
        <v>395589.01</v>
      </c>
      <c r="D25" s="45"/>
      <c r="F25" s="12"/>
    </row>
    <row r="26" spans="1:6" ht="15.75" x14ac:dyDescent="0.25">
      <c r="A26" s="28" t="s">
        <v>97</v>
      </c>
      <c r="B26" s="28"/>
      <c r="C26" s="199">
        <v>7458</v>
      </c>
      <c r="D26" s="45"/>
      <c r="F26" s="12"/>
    </row>
    <row r="27" spans="1:6" ht="15.75" x14ac:dyDescent="0.25">
      <c r="A27" s="28" t="s">
        <v>114</v>
      </c>
      <c r="B27" s="42"/>
      <c r="C27" s="33">
        <v>0</v>
      </c>
      <c r="D27" s="45"/>
      <c r="F27" s="12"/>
    </row>
    <row r="28" spans="1:6" ht="15.75" x14ac:dyDescent="0.25">
      <c r="A28" s="28" t="s">
        <v>121</v>
      </c>
      <c r="B28" s="42"/>
      <c r="C28" s="213">
        <v>55000</v>
      </c>
      <c r="D28" s="45"/>
      <c r="F28" s="12"/>
    </row>
    <row r="29" spans="1:6" ht="15.75" x14ac:dyDescent="0.25">
      <c r="A29" s="28" t="s">
        <v>106</v>
      </c>
      <c r="B29" s="42"/>
      <c r="C29" s="213">
        <v>55000</v>
      </c>
      <c r="F29" s="12"/>
    </row>
    <row r="30" spans="1:6" ht="15.75" x14ac:dyDescent="0.25">
      <c r="A30" s="28" t="s">
        <v>91</v>
      </c>
      <c r="B30" s="39"/>
      <c r="C30" s="34"/>
      <c r="D30" s="4"/>
      <c r="E30" s="6"/>
      <c r="F30" s="12"/>
    </row>
    <row r="31" spans="1:6" ht="15.75" x14ac:dyDescent="0.25">
      <c r="A31" s="40"/>
      <c r="B31" s="41"/>
      <c r="C31" s="23">
        <f>SUM(C24:C30)</f>
        <v>513047.01</v>
      </c>
      <c r="F31" s="12"/>
    </row>
    <row r="32" spans="1:6" ht="15.75" x14ac:dyDescent="0.25">
      <c r="A32" s="30" t="s">
        <v>6</v>
      </c>
      <c r="B32" s="30"/>
      <c r="C32" s="43">
        <f>+C31+C23</f>
        <v>2170813.5499999998</v>
      </c>
      <c r="F32" s="12"/>
    </row>
    <row r="33" spans="1:6" ht="15.75" x14ac:dyDescent="0.25">
      <c r="C33" s="24"/>
      <c r="F33" s="12"/>
    </row>
    <row r="34" spans="1:6" ht="15.75" x14ac:dyDescent="0.25">
      <c r="A34" s="13" t="s">
        <v>17</v>
      </c>
      <c r="C34" s="24"/>
      <c r="F34" s="12"/>
    </row>
    <row r="35" spans="1:6" ht="15.75" x14ac:dyDescent="0.25">
      <c r="A35" s="28"/>
      <c r="B35" s="28"/>
      <c r="C35" s="173"/>
      <c r="F35" s="12"/>
    </row>
    <row r="36" spans="1:6" ht="15.75" x14ac:dyDescent="0.25">
      <c r="A36" s="28"/>
      <c r="B36" s="28"/>
      <c r="C36" s="173"/>
      <c r="F36" s="12"/>
    </row>
    <row r="37" spans="1:6" ht="15.75" x14ac:dyDescent="0.25">
      <c r="A37" s="28"/>
      <c r="B37" s="28"/>
      <c r="C37" s="34"/>
      <c r="F37" s="12"/>
    </row>
    <row r="38" spans="1:6" ht="15.75" x14ac:dyDescent="0.25">
      <c r="C38" s="25"/>
      <c r="F38" s="12"/>
    </row>
    <row r="39" spans="1:6" ht="15.75" x14ac:dyDescent="0.25">
      <c r="A39" s="157" t="s">
        <v>113</v>
      </c>
      <c r="B39" s="157"/>
      <c r="C39" s="158">
        <v>0</v>
      </c>
      <c r="F39" s="12"/>
    </row>
    <row r="40" spans="1:6" ht="15.75" x14ac:dyDescent="0.25">
      <c r="C40" s="25"/>
      <c r="F40" s="12"/>
    </row>
    <row r="41" spans="1:6" x14ac:dyDescent="0.25">
      <c r="A41" s="13" t="s">
        <v>15</v>
      </c>
      <c r="B41" s="13"/>
      <c r="C41" s="14">
        <f>+C35+C36+C37+C40</f>
        <v>0</v>
      </c>
      <c r="E41" s="6"/>
    </row>
    <row r="43" spans="1:6" x14ac:dyDescent="0.25">
      <c r="A43" s="18" t="s">
        <v>7</v>
      </c>
      <c r="B43" s="18"/>
      <c r="C43" s="19">
        <f>+C41+C32</f>
        <v>2170813.5499999998</v>
      </c>
    </row>
    <row r="45" spans="1:6" ht="15" customHeight="1" x14ac:dyDescent="0.25">
      <c r="A45" s="4"/>
      <c r="C45" s="141"/>
      <c r="D45" s="6"/>
      <c r="E45" s="6"/>
    </row>
    <row r="46" spans="1:6" x14ac:dyDescent="0.25">
      <c r="A46" s="163" t="s">
        <v>98</v>
      </c>
      <c r="B46" s="28"/>
      <c r="C46" s="164">
        <v>1039280.7042474523</v>
      </c>
      <c r="D46" s="6"/>
      <c r="E46" s="6"/>
    </row>
    <row r="47" spans="1:6" x14ac:dyDescent="0.25">
      <c r="A47" s="163" t="s">
        <v>119</v>
      </c>
      <c r="B47" s="28"/>
      <c r="C47" s="177">
        <f>-(C43-C30)</f>
        <v>-2170813.5499999998</v>
      </c>
      <c r="D47" s="6"/>
      <c r="E47" s="6"/>
    </row>
    <row r="48" spans="1:6" x14ac:dyDescent="0.25">
      <c r="A48" s="163" t="s">
        <v>95</v>
      </c>
      <c r="B48" s="28"/>
      <c r="C48" s="165">
        <f>'prorrateo '!F31</f>
        <v>3584406.0490640621</v>
      </c>
    </row>
    <row r="49" spans="1:6" x14ac:dyDescent="0.25">
      <c r="A49" s="163" t="s">
        <v>110</v>
      </c>
      <c r="B49" s="28"/>
      <c r="C49" s="176">
        <v>-1024355.45</v>
      </c>
    </row>
    <row r="50" spans="1:6" x14ac:dyDescent="0.25">
      <c r="A50" s="163" t="s">
        <v>109</v>
      </c>
      <c r="B50" s="28"/>
      <c r="C50" s="31">
        <v>0</v>
      </c>
    </row>
    <row r="51" spans="1:6" x14ac:dyDescent="0.25">
      <c r="A51" s="163" t="s">
        <v>8</v>
      </c>
      <c r="B51" s="28"/>
      <c r="C51" s="164">
        <f>SUM(C46:C50)</f>
        <v>1428517.7533115146</v>
      </c>
      <c r="D51" s="5"/>
    </row>
    <row r="52" spans="1:6" ht="12.75" customHeight="1" x14ac:dyDescent="0.25">
      <c r="A52" s="9"/>
      <c r="B52" s="8"/>
      <c r="C52" s="10"/>
    </row>
    <row r="53" spans="1:6" hidden="1" x14ac:dyDescent="0.25">
      <c r="A53" s="200"/>
      <c r="B53" s="200"/>
      <c r="C53" s="200"/>
      <c r="F53" s="44"/>
    </row>
    <row r="54" spans="1:6" ht="46.5" hidden="1" customHeight="1" x14ac:dyDescent="0.25">
      <c r="A54" s="201"/>
      <c r="B54" s="201"/>
      <c r="C54" s="201"/>
    </row>
    <row r="55" spans="1:6" ht="0.75" hidden="1" customHeight="1" x14ac:dyDescent="0.25">
      <c r="A55" s="26" t="s">
        <v>20</v>
      </c>
      <c r="B55" s="27"/>
      <c r="C55" s="29"/>
    </row>
    <row r="56" spans="1:6" hidden="1" x14ac:dyDescent="0.25">
      <c r="A56" s="28" t="s">
        <v>23</v>
      </c>
      <c r="B56" s="28"/>
      <c r="C56" s="31">
        <f>-C41</f>
        <v>0</v>
      </c>
    </row>
    <row r="57" spans="1:6" hidden="1" x14ac:dyDescent="0.25">
      <c r="A57" s="28"/>
      <c r="B57" s="28"/>
      <c r="C57" s="31"/>
    </row>
    <row r="58" spans="1:6" hidden="1" x14ac:dyDescent="0.25">
      <c r="A58" s="28"/>
      <c r="B58" s="28"/>
      <c r="C58" s="32"/>
    </row>
    <row r="59" spans="1:6" hidden="1" x14ac:dyDescent="0.25">
      <c r="A59" s="142" t="s">
        <v>0</v>
      </c>
      <c r="B59" s="143"/>
      <c r="C59" s="144">
        <f>SUM(C55:C58)</f>
        <v>0</v>
      </c>
    </row>
    <row r="60" spans="1:6" x14ac:dyDescent="0.25">
      <c r="A60" s="202" t="s">
        <v>105</v>
      </c>
      <c r="B60" s="203"/>
      <c r="C60" s="203"/>
    </row>
    <row r="61" spans="1:6" x14ac:dyDescent="0.25">
      <c r="A61" s="203"/>
      <c r="B61" s="203"/>
      <c r="C61" s="203"/>
    </row>
    <row r="62" spans="1:6" ht="45.75" customHeight="1" x14ac:dyDescent="0.25">
      <c r="A62" s="203"/>
      <c r="B62" s="203"/>
      <c r="C62" s="203"/>
    </row>
    <row r="63" spans="1:6" x14ac:dyDescent="0.25">
      <c r="A63" s="8"/>
      <c r="B63" s="8"/>
      <c r="C63" s="8"/>
    </row>
  </sheetData>
  <mergeCells count="2">
    <mergeCell ref="A53:C54"/>
    <mergeCell ref="A60:C62"/>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6"/>
  <sheetViews>
    <sheetView workbookViewId="0">
      <selection activeCell="G35" sqref="F1:H35"/>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710937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100</v>
      </c>
      <c r="B1" s="204">
        <f>N1</f>
        <v>2249583.1469999999</v>
      </c>
      <c r="C1" s="204"/>
      <c r="D1" s="135">
        <v>1667839.1270000001</v>
      </c>
      <c r="E1" t="s">
        <v>99</v>
      </c>
      <c r="G1" s="205">
        <v>0</v>
      </c>
      <c r="H1" s="205"/>
      <c r="I1" s="206" t="s">
        <v>108</v>
      </c>
      <c r="J1" s="206"/>
      <c r="K1" s="206"/>
      <c r="L1" s="204">
        <v>500000</v>
      </c>
      <c r="M1" s="204"/>
      <c r="N1">
        <v>2249583.1469999999</v>
      </c>
    </row>
    <row r="2" spans="1:16" ht="34.5" customHeight="1" x14ac:dyDescent="0.25">
      <c r="A2" s="46" t="s">
        <v>26</v>
      </c>
      <c r="B2" s="46" t="s">
        <v>19</v>
      </c>
      <c r="C2" s="134" t="s">
        <v>89</v>
      </c>
      <c r="D2" s="47" t="s">
        <v>1</v>
      </c>
      <c r="E2" s="48" t="s">
        <v>27</v>
      </c>
      <c r="F2" s="48" t="s">
        <v>28</v>
      </c>
      <c r="G2" s="49" t="s">
        <v>29</v>
      </c>
      <c r="H2" s="162" t="s">
        <v>92</v>
      </c>
      <c r="I2" s="50" t="s">
        <v>101</v>
      </c>
      <c r="J2" s="50" t="s">
        <v>110</v>
      </c>
      <c r="K2" s="50" t="s">
        <v>107</v>
      </c>
      <c r="L2" s="50" t="s">
        <v>104</v>
      </c>
      <c r="M2" s="51" t="s">
        <v>30</v>
      </c>
      <c r="O2" s="11" t="s">
        <v>111</v>
      </c>
    </row>
    <row r="3" spans="1:16" x14ac:dyDescent="0.25">
      <c r="A3" s="52" t="s">
        <v>31</v>
      </c>
      <c r="B3" s="53" t="s">
        <v>90</v>
      </c>
      <c r="C3" s="54" t="s">
        <v>32</v>
      </c>
      <c r="D3" s="55">
        <v>5.1100000000000003</v>
      </c>
      <c r="E3" s="126">
        <v>196577.35914129001</v>
      </c>
      <c r="F3" s="175">
        <f t="shared" ref="F3" si="0">E3</f>
        <v>196577.35914129001</v>
      </c>
      <c r="G3" s="181">
        <f>E3-F3</f>
        <v>0</v>
      </c>
      <c r="H3" s="56">
        <f>IF(G3&gt;0,G3*4%,0)</f>
        <v>0</v>
      </c>
      <c r="I3" s="56">
        <f>B$1*D3/100</f>
        <v>114953.69881170001</v>
      </c>
      <c r="J3" s="56">
        <f>Edesur!N10</f>
        <v>70956.490479300017</v>
      </c>
      <c r="K3" s="56">
        <f>G$1*D3/100</f>
        <v>0</v>
      </c>
      <c r="L3" s="56">
        <f>L$1*D3/100</f>
        <v>25550</v>
      </c>
      <c r="M3" s="57">
        <f>I3+G3+L3+K3+H3+J3</f>
        <v>211460.18929100002</v>
      </c>
      <c r="N3" s="44"/>
      <c r="O3" s="138">
        <f>M3-J3</f>
        <v>140503.69881169999</v>
      </c>
    </row>
    <row r="4" spans="1:16" x14ac:dyDescent="0.25">
      <c r="A4" s="58" t="s">
        <v>33</v>
      </c>
      <c r="B4" s="59"/>
      <c r="C4" s="60" t="s">
        <v>34</v>
      </c>
      <c r="D4" s="61">
        <v>5.09</v>
      </c>
      <c r="E4" s="126">
        <v>305245.8364308484</v>
      </c>
      <c r="F4" s="175">
        <v>110474</v>
      </c>
      <c r="G4" s="181">
        <f t="shared" ref="G4:G29" si="1">E4-F4</f>
        <v>194771.8364308484</v>
      </c>
      <c r="H4" s="56">
        <f t="shared" ref="H4:H29" si="2">IF(G4&gt;0,G4*4%,0)</f>
        <v>7790.8734572339363</v>
      </c>
      <c r="I4" s="56">
        <f t="shared" ref="I4:I29" si="3">B$1*D4/100</f>
        <v>114503.7821823</v>
      </c>
      <c r="J4" s="56">
        <f>Edesur!N11</f>
        <v>61860.630546699955</v>
      </c>
      <c r="K4" s="56">
        <f t="shared" ref="K4:K29" si="4">G$1*D4/100</f>
        <v>0</v>
      </c>
      <c r="L4" s="56">
        <f t="shared" ref="L4:L29" si="5">L$1*D4/100</f>
        <v>25450</v>
      </c>
      <c r="M4" s="57">
        <f t="shared" ref="M4:M29" si="6">I4+G4+L4+K4+H4+J4</f>
        <v>404377.12261708232</v>
      </c>
      <c r="N4" s="44"/>
      <c r="O4" s="138">
        <f t="shared" ref="O4:O29" si="7">M4-J4</f>
        <v>342516.49207038234</v>
      </c>
    </row>
    <row r="5" spans="1:16" x14ac:dyDescent="0.25">
      <c r="A5" s="58" t="s">
        <v>35</v>
      </c>
      <c r="B5" s="59"/>
      <c r="C5" s="60" t="s">
        <v>36</v>
      </c>
      <c r="D5" s="61">
        <v>5.04</v>
      </c>
      <c r="E5" s="126">
        <v>204343.43875076872</v>
      </c>
      <c r="F5" s="175">
        <f>301940.37-F23</f>
        <v>265339.25398188003</v>
      </c>
      <c r="G5" s="181">
        <f t="shared" si="1"/>
        <v>-60995.815231111308</v>
      </c>
      <c r="H5" s="56">
        <f t="shared" si="2"/>
        <v>0</v>
      </c>
      <c r="I5" s="56">
        <f t="shared" si="3"/>
        <v>113378.9906088</v>
      </c>
      <c r="J5" s="56">
        <f>Edesur!N12</f>
        <v>70267.6434152</v>
      </c>
      <c r="K5" s="56">
        <f t="shared" si="4"/>
        <v>0</v>
      </c>
      <c r="L5" s="56">
        <f t="shared" si="5"/>
        <v>25200</v>
      </c>
      <c r="M5" s="57">
        <f t="shared" si="6"/>
        <v>147850.81879288869</v>
      </c>
      <c r="N5" s="44"/>
      <c r="O5" s="138">
        <f t="shared" si="7"/>
        <v>77583.175377688691</v>
      </c>
    </row>
    <row r="6" spans="1:16" x14ac:dyDescent="0.25">
      <c r="A6" s="62" t="s">
        <v>37</v>
      </c>
      <c r="B6" s="161"/>
      <c r="C6" s="63" t="s">
        <v>38</v>
      </c>
      <c r="D6" s="160">
        <v>5.21</v>
      </c>
      <c r="E6" s="126">
        <v>188205.46156518997</v>
      </c>
      <c r="F6" s="175">
        <f>E6</f>
        <v>188205.46156518997</v>
      </c>
      <c r="G6" s="182">
        <f t="shared" si="1"/>
        <v>0</v>
      </c>
      <c r="H6" s="64">
        <f t="shared" si="2"/>
        <v>0</v>
      </c>
      <c r="I6" s="64">
        <f t="shared" si="3"/>
        <v>117203.28195869998</v>
      </c>
      <c r="J6" s="64">
        <f>Edesur!N13</f>
        <v>68548.147942300013</v>
      </c>
      <c r="K6" s="64">
        <f t="shared" si="4"/>
        <v>0</v>
      </c>
      <c r="L6" s="64">
        <f t="shared" si="5"/>
        <v>26050</v>
      </c>
      <c r="M6" s="174">
        <f t="shared" si="6"/>
        <v>211801.429901</v>
      </c>
      <c r="O6" s="138">
        <f t="shared" si="7"/>
        <v>143253.28195869998</v>
      </c>
      <c r="P6" s="159"/>
    </row>
    <row r="7" spans="1:16" x14ac:dyDescent="0.25">
      <c r="A7" s="58" t="s">
        <v>35</v>
      </c>
      <c r="B7" s="59" t="s">
        <v>93</v>
      </c>
      <c r="C7" s="60" t="s">
        <v>39</v>
      </c>
      <c r="D7" s="61">
        <v>5.1100000000000003</v>
      </c>
      <c r="E7" s="126">
        <v>199212.77119878004</v>
      </c>
      <c r="F7" s="175">
        <f>199250.14+92850-F28</f>
        <v>255499.02398188002</v>
      </c>
      <c r="G7" s="181">
        <f t="shared" si="1"/>
        <v>-56286.252783099975</v>
      </c>
      <c r="H7" s="56">
        <f t="shared" si="2"/>
        <v>0</v>
      </c>
      <c r="I7" s="56">
        <f t="shared" si="3"/>
        <v>114953.69881170001</v>
      </c>
      <c r="J7" s="56">
        <f>Edesur!N14</f>
        <v>73516.875579300031</v>
      </c>
      <c r="K7" s="56">
        <f t="shared" si="4"/>
        <v>0</v>
      </c>
      <c r="L7" s="56">
        <f t="shared" si="5"/>
        <v>25550</v>
      </c>
      <c r="M7" s="57">
        <f t="shared" si="6"/>
        <v>157734.32160790008</v>
      </c>
      <c r="O7" s="138">
        <f t="shared" si="7"/>
        <v>84217.446028600054</v>
      </c>
      <c r="P7" s="159"/>
    </row>
    <row r="8" spans="1:16" x14ac:dyDescent="0.25">
      <c r="A8" s="58" t="s">
        <v>40</v>
      </c>
      <c r="B8" s="59"/>
      <c r="C8" s="60" t="s">
        <v>41</v>
      </c>
      <c r="D8" s="61">
        <v>5.09</v>
      </c>
      <c r="E8" s="126">
        <v>202248.94059650999</v>
      </c>
      <c r="F8" s="175">
        <f t="shared" ref="F8" si="8">E8</f>
        <v>202248.94059650999</v>
      </c>
      <c r="G8" s="181">
        <f t="shared" si="1"/>
        <v>0</v>
      </c>
      <c r="H8" s="56">
        <f t="shared" si="2"/>
        <v>0</v>
      </c>
      <c r="I8" s="56">
        <f t="shared" si="3"/>
        <v>114503.7821823</v>
      </c>
      <c r="J8" s="56">
        <f>Edesur!N15</f>
        <v>69204.152646699979</v>
      </c>
      <c r="K8" s="56">
        <f t="shared" si="4"/>
        <v>0</v>
      </c>
      <c r="L8" s="56">
        <f t="shared" si="5"/>
        <v>25450</v>
      </c>
      <c r="M8" s="57">
        <f t="shared" si="6"/>
        <v>209157.93482899998</v>
      </c>
      <c r="O8" s="138">
        <f t="shared" si="7"/>
        <v>139953.7821823</v>
      </c>
    </row>
    <row r="9" spans="1:16" x14ac:dyDescent="0.25">
      <c r="A9" s="58" t="s">
        <v>42</v>
      </c>
      <c r="B9" s="59"/>
      <c r="C9" s="60" t="s">
        <v>43</v>
      </c>
      <c r="D9" s="61">
        <v>5.1100000000000003</v>
      </c>
      <c r="E9" s="126">
        <v>186016.94294129004</v>
      </c>
      <c r="F9" s="175">
        <f>E9</f>
        <v>186016.94294129004</v>
      </c>
      <c r="G9" s="181">
        <f t="shared" si="1"/>
        <v>0</v>
      </c>
      <c r="H9" s="56">
        <f t="shared" si="2"/>
        <v>0</v>
      </c>
      <c r="I9" s="56">
        <f t="shared" si="3"/>
        <v>114953.69881170001</v>
      </c>
      <c r="J9" s="56">
        <f>Edesur!N16</f>
        <v>69615.336379300003</v>
      </c>
      <c r="K9" s="56">
        <f t="shared" si="4"/>
        <v>0</v>
      </c>
      <c r="L9" s="56">
        <f t="shared" si="5"/>
        <v>25550</v>
      </c>
      <c r="M9" s="57">
        <f t="shared" si="6"/>
        <v>210119.03519100003</v>
      </c>
      <c r="O9" s="138">
        <f t="shared" si="7"/>
        <v>140503.69881170004</v>
      </c>
      <c r="P9" s="159"/>
    </row>
    <row r="10" spans="1:16" ht="24.75" customHeight="1" x14ac:dyDescent="0.25">
      <c r="A10" s="190" t="s">
        <v>115</v>
      </c>
      <c r="B10" s="191"/>
      <c r="C10" s="63" t="s">
        <v>45</v>
      </c>
      <c r="D10" s="160">
        <v>5.09</v>
      </c>
      <c r="E10" s="126">
        <v>176391.66853574003</v>
      </c>
      <c r="F10" s="175">
        <f>379452.66-107386-F22</f>
        <v>224925.00925147996</v>
      </c>
      <c r="G10" s="182">
        <f t="shared" si="1"/>
        <v>-48533.340715739934</v>
      </c>
      <c r="H10" s="64"/>
      <c r="I10" s="64">
        <f t="shared" si="3"/>
        <v>114503.7821823</v>
      </c>
      <c r="J10" s="64">
        <f>Edesur!N17</f>
        <v>63164.269846700008</v>
      </c>
      <c r="K10" s="64">
        <f t="shared" si="4"/>
        <v>0</v>
      </c>
      <c r="L10" s="64">
        <f t="shared" si="5"/>
        <v>25450</v>
      </c>
      <c r="M10" s="174">
        <f t="shared" si="6"/>
        <v>154584.71131326008</v>
      </c>
      <c r="O10" s="138">
        <f t="shared" si="7"/>
        <v>91420.441466560063</v>
      </c>
    </row>
    <row r="11" spans="1:16" x14ac:dyDescent="0.25">
      <c r="A11" s="58" t="s">
        <v>94</v>
      </c>
      <c r="B11" s="59"/>
      <c r="C11" s="60" t="s">
        <v>46</v>
      </c>
      <c r="D11" s="61">
        <v>5.04</v>
      </c>
      <c r="E11" s="126">
        <v>182106.54158456001</v>
      </c>
      <c r="F11" s="175">
        <f>E11</f>
        <v>182106.54158456001</v>
      </c>
      <c r="G11" s="181">
        <f t="shared" si="1"/>
        <v>0</v>
      </c>
      <c r="H11" s="56">
        <f t="shared" si="2"/>
        <v>0</v>
      </c>
      <c r="I11" s="56">
        <f t="shared" si="3"/>
        <v>113378.9906088</v>
      </c>
      <c r="J11" s="56">
        <f>Edesur!N18</f>
        <v>66778.767015199977</v>
      </c>
      <c r="K11" s="56">
        <f t="shared" si="4"/>
        <v>0</v>
      </c>
      <c r="L11" s="56">
        <f t="shared" si="5"/>
        <v>25200</v>
      </c>
      <c r="M11" s="57">
        <f t="shared" si="6"/>
        <v>205357.75762399996</v>
      </c>
      <c r="O11" s="138">
        <f t="shared" si="7"/>
        <v>138578.99060879997</v>
      </c>
    </row>
    <row r="12" spans="1:16" x14ac:dyDescent="0.25">
      <c r="A12" s="58" t="s">
        <v>47</v>
      </c>
      <c r="B12" s="59"/>
      <c r="C12" s="60" t="s">
        <v>48</v>
      </c>
      <c r="D12" s="61">
        <v>5.21</v>
      </c>
      <c r="E12" s="126">
        <v>211989.84476518998</v>
      </c>
      <c r="F12" s="175">
        <f t="shared" ref="F12" si="9">E12</f>
        <v>211989.84476518998</v>
      </c>
      <c r="G12" s="181">
        <f t="shared" si="1"/>
        <v>0</v>
      </c>
      <c r="H12" s="56">
        <f t="shared" si="2"/>
        <v>0</v>
      </c>
      <c r="I12" s="56">
        <f t="shared" si="3"/>
        <v>117203.28195869998</v>
      </c>
      <c r="J12" s="56">
        <f>Edesur!N19</f>
        <v>79933.889742300031</v>
      </c>
      <c r="K12" s="56">
        <f t="shared" si="4"/>
        <v>0</v>
      </c>
      <c r="L12" s="56">
        <f t="shared" si="5"/>
        <v>26050</v>
      </c>
      <c r="M12" s="57">
        <f t="shared" si="6"/>
        <v>223187.17170100001</v>
      </c>
      <c r="O12" s="138">
        <f t="shared" si="7"/>
        <v>143253.28195869998</v>
      </c>
    </row>
    <row r="13" spans="1:16" x14ac:dyDescent="0.25">
      <c r="A13" s="58" t="s">
        <v>49</v>
      </c>
      <c r="B13" s="59" t="s">
        <v>50</v>
      </c>
      <c r="C13" s="60" t="s">
        <v>51</v>
      </c>
      <c r="D13" s="61">
        <v>5.1100000000000003</v>
      </c>
      <c r="E13" s="126">
        <v>205111.98067307967</v>
      </c>
      <c r="F13" s="175">
        <f>300766.05-F24</f>
        <v>264164.93398187996</v>
      </c>
      <c r="G13" s="181">
        <f t="shared" si="1"/>
        <v>-59052.953308800294</v>
      </c>
      <c r="H13" s="56">
        <f t="shared" si="2"/>
        <v>0</v>
      </c>
      <c r="I13" s="56">
        <f t="shared" si="3"/>
        <v>114953.69881170001</v>
      </c>
      <c r="J13" s="56">
        <f>Edesur!N20</f>
        <v>76808.799279299972</v>
      </c>
      <c r="K13" s="56">
        <f t="shared" si="4"/>
        <v>0</v>
      </c>
      <c r="L13" s="56">
        <f t="shared" si="5"/>
        <v>25550</v>
      </c>
      <c r="M13" s="57">
        <f t="shared" si="6"/>
        <v>158259.54478219969</v>
      </c>
      <c r="N13" s="44"/>
      <c r="O13" s="138">
        <f t="shared" si="7"/>
        <v>81450.745502899721</v>
      </c>
    </row>
    <row r="14" spans="1:16" x14ac:dyDescent="0.25">
      <c r="A14" s="62" t="s">
        <v>49</v>
      </c>
      <c r="B14" s="161" t="s">
        <v>103</v>
      </c>
      <c r="C14" s="63" t="s">
        <v>52</v>
      </c>
      <c r="D14" s="160">
        <v>5.09</v>
      </c>
      <c r="E14" s="126">
        <v>180752.96200829698</v>
      </c>
      <c r="F14" s="175">
        <f>275555.42-F25</f>
        <v>238954.30398187999</v>
      </c>
      <c r="G14" s="182">
        <f t="shared" si="1"/>
        <v>-58201.34197358301</v>
      </c>
      <c r="H14" s="64">
        <f t="shared" si="2"/>
        <v>0</v>
      </c>
      <c r="I14" s="64">
        <f t="shared" si="3"/>
        <v>114503.7821823</v>
      </c>
      <c r="J14" s="56">
        <f>Edesur!N21</f>
        <v>66728.175846700004</v>
      </c>
      <c r="K14" s="64">
        <f t="shared" si="4"/>
        <v>0</v>
      </c>
      <c r="L14" s="56">
        <f t="shared" si="5"/>
        <v>25450</v>
      </c>
      <c r="M14" s="57">
        <f t="shared" si="6"/>
        <v>148480.61605541699</v>
      </c>
      <c r="O14" s="138">
        <f t="shared" si="7"/>
        <v>81752.440208716987</v>
      </c>
    </row>
    <row r="15" spans="1:16" x14ac:dyDescent="0.25">
      <c r="A15" s="58" t="s">
        <v>53</v>
      </c>
      <c r="B15" s="59" t="s">
        <v>54</v>
      </c>
      <c r="C15" s="60" t="s">
        <v>55</v>
      </c>
      <c r="D15" s="61">
        <v>5.04</v>
      </c>
      <c r="E15" s="126">
        <v>441931.81109535758</v>
      </c>
      <c r="F15" s="175"/>
      <c r="G15" s="181">
        <f t="shared" si="1"/>
        <v>441931.81109535758</v>
      </c>
      <c r="H15" s="56">
        <f t="shared" si="2"/>
        <v>17677.272443814305</v>
      </c>
      <c r="I15" s="56">
        <f t="shared" si="3"/>
        <v>113378.9906088</v>
      </c>
      <c r="J15" s="56">
        <f>Edesur!N22</f>
        <v>-233958.62718480005</v>
      </c>
      <c r="K15" s="56">
        <f t="shared" si="4"/>
        <v>0</v>
      </c>
      <c r="L15" s="56">
        <f t="shared" si="5"/>
        <v>25200</v>
      </c>
      <c r="M15" s="57">
        <f t="shared" si="6"/>
        <v>364229.44696317188</v>
      </c>
      <c r="O15" s="138">
        <f t="shared" si="7"/>
        <v>598188.07414797193</v>
      </c>
    </row>
    <row r="16" spans="1:16" x14ac:dyDescent="0.25">
      <c r="A16" s="58" t="s">
        <v>56</v>
      </c>
      <c r="B16" s="59" t="s">
        <v>57</v>
      </c>
      <c r="C16" s="60" t="s">
        <v>58</v>
      </c>
      <c r="D16" s="61">
        <v>5.21</v>
      </c>
      <c r="E16" s="126">
        <v>200838.57252916362</v>
      </c>
      <c r="F16" s="175">
        <f>304624.57-F21</f>
        <v>268023.45398187998</v>
      </c>
      <c r="G16" s="181">
        <f t="shared" si="1"/>
        <v>-67184.881452716363</v>
      </c>
      <c r="H16" s="56">
        <f t="shared" si="2"/>
        <v>0</v>
      </c>
      <c r="I16" s="56">
        <f t="shared" si="3"/>
        <v>117203.28195869998</v>
      </c>
      <c r="J16" s="56">
        <f>Edesur!N23</f>
        <v>76163.65234229996</v>
      </c>
      <c r="K16" s="56">
        <f t="shared" si="4"/>
        <v>0</v>
      </c>
      <c r="L16" s="56">
        <f t="shared" si="5"/>
        <v>26050</v>
      </c>
      <c r="M16" s="57">
        <f t="shared" si="6"/>
        <v>152232.05284828358</v>
      </c>
      <c r="N16" s="44"/>
      <c r="O16" s="138">
        <f t="shared" si="7"/>
        <v>76068.40050598362</v>
      </c>
    </row>
    <row r="17" spans="1:17" x14ac:dyDescent="0.25">
      <c r="A17" s="58" t="s">
        <v>59</v>
      </c>
      <c r="B17" s="59"/>
      <c r="C17" s="60" t="s">
        <v>60</v>
      </c>
      <c r="D17" s="61">
        <v>5.04</v>
      </c>
      <c r="E17" s="126">
        <v>276073.04574271035</v>
      </c>
      <c r="F17" s="175"/>
      <c r="G17" s="181">
        <f t="shared" si="1"/>
        <v>276073.04574271035</v>
      </c>
      <c r="H17" s="56">
        <f t="shared" si="2"/>
        <v>11042.921829708413</v>
      </c>
      <c r="I17" s="56">
        <f t="shared" si="3"/>
        <v>113378.9906088</v>
      </c>
      <c r="J17" s="56">
        <f>Edesur!N24</f>
        <v>61076.517415199996</v>
      </c>
      <c r="K17" s="56">
        <f t="shared" si="4"/>
        <v>0</v>
      </c>
      <c r="L17" s="56">
        <f t="shared" si="5"/>
        <v>25200</v>
      </c>
      <c r="M17" s="57">
        <f t="shared" si="6"/>
        <v>486771.47559641872</v>
      </c>
      <c r="O17" s="138">
        <f t="shared" si="7"/>
        <v>425694.95818121871</v>
      </c>
    </row>
    <row r="18" spans="1:17" ht="23.25" customHeight="1" x14ac:dyDescent="0.25">
      <c r="A18" s="167" t="s">
        <v>61</v>
      </c>
      <c r="B18" s="168"/>
      <c r="C18" s="63" t="s">
        <v>62</v>
      </c>
      <c r="D18" s="160">
        <v>5.21</v>
      </c>
      <c r="E18" s="126">
        <v>191713.09536518998</v>
      </c>
      <c r="F18" s="175">
        <f t="shared" ref="F18:F21" si="10">E18</f>
        <v>191713.09536518998</v>
      </c>
      <c r="G18" s="182">
        <f t="shared" si="1"/>
        <v>0</v>
      </c>
      <c r="H18" s="64">
        <f t="shared" si="2"/>
        <v>0</v>
      </c>
      <c r="I18" s="64">
        <f t="shared" si="3"/>
        <v>117203.28195869998</v>
      </c>
      <c r="J18" s="56">
        <f>Edesur!N25</f>
        <v>63136.638042300001</v>
      </c>
      <c r="K18" s="64">
        <f t="shared" si="4"/>
        <v>0</v>
      </c>
      <c r="L18" s="64">
        <f t="shared" si="5"/>
        <v>26050</v>
      </c>
      <c r="M18" s="57">
        <f t="shared" si="6"/>
        <v>206389.92000099999</v>
      </c>
      <c r="N18" s="170"/>
      <c r="O18" s="138">
        <f t="shared" si="7"/>
        <v>143253.28195869998</v>
      </c>
      <c r="P18" s="169"/>
      <c r="Q18" s="166"/>
    </row>
    <row r="19" spans="1:17" x14ac:dyDescent="0.25">
      <c r="A19" s="62" t="s">
        <v>63</v>
      </c>
      <c r="B19" s="161"/>
      <c r="C19" s="63" t="s">
        <v>64</v>
      </c>
      <c r="D19" s="160">
        <v>7.4</v>
      </c>
      <c r="E19" s="126">
        <v>294818.42106860003</v>
      </c>
      <c r="F19" s="175">
        <f t="shared" si="10"/>
        <v>294818.42106860003</v>
      </c>
      <c r="G19" s="182">
        <f t="shared" si="1"/>
        <v>0</v>
      </c>
      <c r="H19" s="64">
        <f t="shared" si="2"/>
        <v>0</v>
      </c>
      <c r="I19" s="64">
        <f t="shared" si="3"/>
        <v>166469.15287799999</v>
      </c>
      <c r="J19" s="56">
        <f>Edesur!N26</f>
        <v>89675.839061999985</v>
      </c>
      <c r="K19" s="64">
        <f t="shared" si="4"/>
        <v>0</v>
      </c>
      <c r="L19" s="64">
        <f t="shared" si="5"/>
        <v>37000</v>
      </c>
      <c r="M19" s="57">
        <f t="shared" si="6"/>
        <v>293144.99193999998</v>
      </c>
      <c r="O19" s="138">
        <f t="shared" si="7"/>
        <v>203469.15287799999</v>
      </c>
    </row>
    <row r="20" spans="1:17" x14ac:dyDescent="0.25">
      <c r="A20" s="62" t="s">
        <v>116</v>
      </c>
      <c r="B20" s="191"/>
      <c r="C20" s="63" t="s">
        <v>65</v>
      </c>
      <c r="D20" s="160">
        <v>1.08</v>
      </c>
      <c r="E20" s="126">
        <v>435982.31791082409</v>
      </c>
      <c r="F20" s="175">
        <v>0</v>
      </c>
      <c r="G20" s="182">
        <f t="shared" si="1"/>
        <v>435982.31791082409</v>
      </c>
      <c r="H20" s="64"/>
      <c r="I20" s="64">
        <f t="shared" si="3"/>
        <v>24295.4979876</v>
      </c>
      <c r="J20" s="64">
        <f>Edesur!N27</f>
        <v>13087.825160400002</v>
      </c>
      <c r="K20" s="64">
        <f t="shared" si="4"/>
        <v>0</v>
      </c>
      <c r="L20" s="64">
        <f t="shared" si="5"/>
        <v>5400</v>
      </c>
      <c r="M20" s="174">
        <f t="shared" si="6"/>
        <v>478765.64105882408</v>
      </c>
      <c r="O20" s="138">
        <f t="shared" si="7"/>
        <v>465677.81589842407</v>
      </c>
    </row>
    <row r="21" spans="1:17" x14ac:dyDescent="0.25">
      <c r="A21" s="62"/>
      <c r="B21" s="59" t="s">
        <v>57</v>
      </c>
      <c r="C21" s="63" t="s">
        <v>66</v>
      </c>
      <c r="D21" s="61">
        <v>1.08</v>
      </c>
      <c r="E21" s="126">
        <v>36601.116018119996</v>
      </c>
      <c r="F21" s="175">
        <f t="shared" si="10"/>
        <v>36601.116018119996</v>
      </c>
      <c r="G21" s="181">
        <f t="shared" si="1"/>
        <v>0</v>
      </c>
      <c r="H21" s="56">
        <f t="shared" si="2"/>
        <v>0</v>
      </c>
      <c r="I21" s="56">
        <f t="shared" si="3"/>
        <v>24295.4979876</v>
      </c>
      <c r="J21" s="56">
        <f>Edesur!N28</f>
        <v>13087.825160400002</v>
      </c>
      <c r="K21" s="56">
        <f t="shared" si="4"/>
        <v>0</v>
      </c>
      <c r="L21" s="56">
        <f t="shared" si="5"/>
        <v>5400</v>
      </c>
      <c r="M21" s="57">
        <f t="shared" si="6"/>
        <v>42783.323148000003</v>
      </c>
      <c r="O21" s="138">
        <f t="shared" si="7"/>
        <v>29695.4979876</v>
      </c>
    </row>
    <row r="22" spans="1:17" x14ac:dyDescent="0.25">
      <c r="A22" s="62" t="s">
        <v>115</v>
      </c>
      <c r="B22" s="161"/>
      <c r="C22" s="63" t="s">
        <v>67</v>
      </c>
      <c r="D22" s="160">
        <v>1.08</v>
      </c>
      <c r="E22" s="126">
        <v>36601.116018119996</v>
      </c>
      <c r="F22" s="175">
        <v>47141.650748520005</v>
      </c>
      <c r="G22" s="182">
        <f t="shared" si="1"/>
        <v>-10540.53473040001</v>
      </c>
      <c r="H22" s="64">
        <f t="shared" si="2"/>
        <v>0</v>
      </c>
      <c r="I22" s="64">
        <f t="shared" si="3"/>
        <v>24295.4979876</v>
      </c>
      <c r="J22" s="64">
        <f>Edesur!N29</f>
        <v>13087.825160400002</v>
      </c>
      <c r="K22" s="64">
        <f t="shared" si="4"/>
        <v>0</v>
      </c>
      <c r="L22" s="64">
        <f t="shared" si="5"/>
        <v>5400</v>
      </c>
      <c r="M22" s="174">
        <f t="shared" si="6"/>
        <v>32242.788417599993</v>
      </c>
      <c r="O22" s="138">
        <f t="shared" si="7"/>
        <v>19154.96325719999</v>
      </c>
    </row>
    <row r="23" spans="1:17" x14ac:dyDescent="0.25">
      <c r="A23" s="58" t="s">
        <v>35</v>
      </c>
      <c r="B23" s="59"/>
      <c r="C23" s="60" t="s">
        <v>68</v>
      </c>
      <c r="D23" s="61">
        <v>1.08</v>
      </c>
      <c r="E23" s="126">
        <v>36601.116018119996</v>
      </c>
      <c r="F23" s="175">
        <f>E23</f>
        <v>36601.116018119996</v>
      </c>
      <c r="G23" s="181">
        <f t="shared" si="1"/>
        <v>0</v>
      </c>
      <c r="H23" s="56">
        <f t="shared" si="2"/>
        <v>0</v>
      </c>
      <c r="I23" s="56">
        <f t="shared" si="3"/>
        <v>24295.4979876</v>
      </c>
      <c r="J23" s="56">
        <f>Edesur!N30</f>
        <v>13087.825160400002</v>
      </c>
      <c r="K23" s="56">
        <f t="shared" si="4"/>
        <v>0</v>
      </c>
      <c r="L23" s="56">
        <f t="shared" si="5"/>
        <v>5400</v>
      </c>
      <c r="M23" s="57">
        <f t="shared" si="6"/>
        <v>42783.323148000003</v>
      </c>
      <c r="O23" s="138">
        <f t="shared" si="7"/>
        <v>29695.4979876</v>
      </c>
    </row>
    <row r="24" spans="1:17" x14ac:dyDescent="0.25">
      <c r="A24" s="58" t="s">
        <v>49</v>
      </c>
      <c r="B24" s="59" t="s">
        <v>50</v>
      </c>
      <c r="C24" s="60" t="s">
        <v>69</v>
      </c>
      <c r="D24" s="61">
        <v>1.08</v>
      </c>
      <c r="E24" s="126">
        <v>36601.116018119996</v>
      </c>
      <c r="F24" s="175">
        <f t="shared" ref="F24" si="11">E24</f>
        <v>36601.116018119996</v>
      </c>
      <c r="G24" s="181">
        <f t="shared" si="1"/>
        <v>0</v>
      </c>
      <c r="H24" s="56">
        <f t="shared" si="2"/>
        <v>0</v>
      </c>
      <c r="I24" s="56">
        <f t="shared" si="3"/>
        <v>24295.4979876</v>
      </c>
      <c r="J24" s="56">
        <f>Edesur!N31</f>
        <v>13087.825160400002</v>
      </c>
      <c r="K24" s="56">
        <f t="shared" si="4"/>
        <v>0</v>
      </c>
      <c r="L24" s="56">
        <f t="shared" si="5"/>
        <v>5400</v>
      </c>
      <c r="M24" s="57">
        <f t="shared" si="6"/>
        <v>42783.323148000003</v>
      </c>
      <c r="O24" s="138">
        <f t="shared" si="7"/>
        <v>29695.4979876</v>
      </c>
    </row>
    <row r="25" spans="1:17" x14ac:dyDescent="0.25">
      <c r="A25" s="58" t="s">
        <v>49</v>
      </c>
      <c r="B25" s="161" t="s">
        <v>103</v>
      </c>
      <c r="C25" s="60" t="s">
        <v>70</v>
      </c>
      <c r="D25" s="61">
        <v>1.08</v>
      </c>
      <c r="E25" s="126">
        <v>36601.116018119996</v>
      </c>
      <c r="F25" s="175">
        <f>E25</f>
        <v>36601.116018119996</v>
      </c>
      <c r="G25" s="181">
        <f t="shared" si="1"/>
        <v>0</v>
      </c>
      <c r="H25" s="56">
        <f t="shared" si="2"/>
        <v>0</v>
      </c>
      <c r="I25" s="56">
        <f t="shared" si="3"/>
        <v>24295.4979876</v>
      </c>
      <c r="J25" s="56">
        <f>Edesur!N32</f>
        <v>13087.825160400002</v>
      </c>
      <c r="K25" s="56">
        <f t="shared" si="4"/>
        <v>0</v>
      </c>
      <c r="L25" s="56">
        <f t="shared" si="5"/>
        <v>5400</v>
      </c>
      <c r="M25" s="57">
        <f t="shared" si="6"/>
        <v>42783.323148000003</v>
      </c>
      <c r="O25" s="138">
        <f t="shared" si="7"/>
        <v>29695.4979876</v>
      </c>
    </row>
    <row r="26" spans="1:17" x14ac:dyDescent="0.25">
      <c r="A26" s="58" t="s">
        <v>63</v>
      </c>
      <c r="B26" s="59"/>
      <c r="C26" s="60" t="s">
        <v>71</v>
      </c>
      <c r="D26" s="61">
        <v>1.08</v>
      </c>
      <c r="E26" s="126">
        <v>36601.116018119996</v>
      </c>
      <c r="F26" s="175">
        <f t="shared" ref="F26:F28" si="12">E26</f>
        <v>36601.116018119996</v>
      </c>
      <c r="G26" s="181">
        <f t="shared" si="1"/>
        <v>0</v>
      </c>
      <c r="H26" s="56">
        <f t="shared" si="2"/>
        <v>0</v>
      </c>
      <c r="I26" s="56">
        <f t="shared" si="3"/>
        <v>24295.4979876</v>
      </c>
      <c r="J26" s="56">
        <f>Edesur!N33</f>
        <v>13087.825160400002</v>
      </c>
      <c r="K26" s="56">
        <f t="shared" si="4"/>
        <v>0</v>
      </c>
      <c r="L26" s="56">
        <f t="shared" si="5"/>
        <v>5400</v>
      </c>
      <c r="M26" s="57">
        <f t="shared" si="6"/>
        <v>42783.323148000003</v>
      </c>
      <c r="O26" s="138">
        <f t="shared" si="7"/>
        <v>29695.4979876</v>
      </c>
    </row>
    <row r="27" spans="1:17" x14ac:dyDescent="0.25">
      <c r="A27" s="58" t="s">
        <v>63</v>
      </c>
      <c r="B27" s="65"/>
      <c r="C27" s="60" t="s">
        <v>72</v>
      </c>
      <c r="D27" s="61">
        <v>1.08</v>
      </c>
      <c r="E27" s="126">
        <v>36601.116018119996</v>
      </c>
      <c r="F27" s="175">
        <f t="shared" si="12"/>
        <v>36601.116018119996</v>
      </c>
      <c r="G27" s="181">
        <f t="shared" si="1"/>
        <v>0</v>
      </c>
      <c r="H27" s="56">
        <f t="shared" si="2"/>
        <v>0</v>
      </c>
      <c r="I27" s="56">
        <f t="shared" si="3"/>
        <v>24295.4979876</v>
      </c>
      <c r="J27" s="56">
        <f>Edesur!N34</f>
        <v>13087.825160400002</v>
      </c>
      <c r="K27" s="56">
        <f t="shared" si="4"/>
        <v>0</v>
      </c>
      <c r="L27" s="56">
        <f t="shared" si="5"/>
        <v>5400</v>
      </c>
      <c r="M27" s="57">
        <f t="shared" si="6"/>
        <v>42783.323148000003</v>
      </c>
      <c r="O27" s="138">
        <f t="shared" si="7"/>
        <v>29695.4979876</v>
      </c>
      <c r="P27" s="44">
        <f>F27+F26+F19</f>
        <v>368020.65310484002</v>
      </c>
    </row>
    <row r="28" spans="1:17" x14ac:dyDescent="0.25">
      <c r="A28" s="66"/>
      <c r="B28" s="65" t="str">
        <f>B7</f>
        <v>Leandro</v>
      </c>
      <c r="C28" s="60" t="s">
        <v>73</v>
      </c>
      <c r="D28" s="61">
        <v>1.08</v>
      </c>
      <c r="E28" s="126">
        <v>36601.116018119996</v>
      </c>
      <c r="F28" s="175">
        <f t="shared" si="12"/>
        <v>36601.116018119996</v>
      </c>
      <c r="G28" s="181">
        <f t="shared" si="1"/>
        <v>0</v>
      </c>
      <c r="H28" s="56">
        <f t="shared" si="2"/>
        <v>0</v>
      </c>
      <c r="I28" s="56">
        <f t="shared" si="3"/>
        <v>24295.4979876</v>
      </c>
      <c r="J28" s="56">
        <f>Edesur!N35</f>
        <v>13087.825160400002</v>
      </c>
      <c r="K28" s="56">
        <f t="shared" si="4"/>
        <v>0</v>
      </c>
      <c r="L28" s="56">
        <f t="shared" si="5"/>
        <v>5400</v>
      </c>
      <c r="M28" s="57">
        <f t="shared" si="6"/>
        <v>42783.323148000003</v>
      </c>
      <c r="O28" s="138">
        <f t="shared" si="7"/>
        <v>29695.4979876</v>
      </c>
    </row>
    <row r="29" spans="1:17" x14ac:dyDescent="0.25">
      <c r="A29" s="66" t="s">
        <v>53</v>
      </c>
      <c r="B29" s="59" t="s">
        <v>54</v>
      </c>
      <c r="C29" s="60" t="s">
        <v>74</v>
      </c>
      <c r="D29" s="61">
        <v>1.08</v>
      </c>
      <c r="E29" s="126">
        <v>85628.43279658079</v>
      </c>
      <c r="F29" s="175"/>
      <c r="G29" s="181">
        <f t="shared" si="1"/>
        <v>85628.43279658079</v>
      </c>
      <c r="H29" s="56">
        <f t="shared" si="2"/>
        <v>3425.1373118632318</v>
      </c>
      <c r="I29" s="56">
        <f t="shared" si="3"/>
        <v>24295.4979876</v>
      </c>
      <c r="J29" s="56">
        <f>Edesur!N36</f>
        <v>13087.825160400002</v>
      </c>
      <c r="K29" s="56">
        <f t="shared" si="4"/>
        <v>0</v>
      </c>
      <c r="L29" s="56">
        <f t="shared" si="5"/>
        <v>5400</v>
      </c>
      <c r="M29" s="57">
        <f t="shared" si="6"/>
        <v>131836.89325644402</v>
      </c>
      <c r="O29" s="138">
        <f t="shared" si="7"/>
        <v>118749.06809604402</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2">
        <f>SUM(F3:F30)</f>
        <v>3584406.0490640621</v>
      </c>
      <c r="G31" s="75"/>
      <c r="H31" s="75"/>
      <c r="I31" s="133">
        <f>SUM(I3:I30)</f>
        <v>2249583.1469999999</v>
      </c>
      <c r="J31" s="133"/>
      <c r="K31" s="133">
        <f>SUM(K3:K30)</f>
        <v>0</v>
      </c>
      <c r="L31" s="132"/>
      <c r="M31" s="132">
        <f>SUM(M3:M29)</f>
        <v>4887467.1258234903</v>
      </c>
    </row>
    <row r="32" spans="1:17" x14ac:dyDescent="0.25">
      <c r="K32" s="22"/>
    </row>
    <row r="34" spans="5:6" x14ac:dyDescent="0.25">
      <c r="F34" s="44"/>
    </row>
    <row r="36" spans="5:6" x14ac:dyDescent="0.25">
      <c r="E36" s="21"/>
    </row>
  </sheetData>
  <mergeCells count="4">
    <mergeCell ref="B1:C1"/>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topLeftCell="C10" workbookViewId="0">
      <selection activeCell="G23" sqref="G23"/>
    </sheetView>
  </sheetViews>
  <sheetFormatPr baseColWidth="10" defaultRowHeight="15" x14ac:dyDescent="0.25"/>
  <cols>
    <col min="1" max="1" width="5" hidden="1" customWidth="1"/>
    <col min="2" max="2" width="8.28515625" hidden="1" customWidth="1"/>
    <col min="3" max="3" width="15.140625" customWidth="1"/>
    <col min="4" max="4" width="21.7109375" customWidth="1"/>
    <col min="5" max="5" width="0.140625" customWidth="1"/>
    <col min="6" max="6" width="8.7109375" bestFit="1" customWidth="1"/>
    <col min="7" max="7" width="8.140625" bestFit="1" customWidth="1"/>
    <col min="8" max="8" width="7.7109375" customWidth="1"/>
    <col min="9" max="9" width="10.42578125" bestFit="1" customWidth="1"/>
    <col min="10" max="10" width="11.140625" bestFit="1" customWidth="1"/>
    <col min="11" max="11" width="13" bestFit="1" customWidth="1"/>
    <col min="12" max="12" width="12.42578125" bestFit="1" customWidth="1"/>
    <col min="13" max="13" width="5.7109375" bestFit="1" customWidth="1"/>
    <col min="14" max="14" width="12.85546875" customWidth="1"/>
    <col min="15" max="15" width="11.42578125" hidden="1" customWidth="1"/>
  </cols>
  <sheetData>
    <row r="1" spans="1:19" ht="21" customHeight="1" x14ac:dyDescent="0.25">
      <c r="A1" s="207" t="s">
        <v>77</v>
      </c>
      <c r="B1" s="208"/>
      <c r="C1" s="208"/>
      <c r="D1" s="208"/>
      <c r="E1" s="208"/>
      <c r="F1" s="208"/>
      <c r="G1" s="208"/>
      <c r="H1" s="208"/>
      <c r="I1" s="208"/>
      <c r="J1" s="208"/>
      <c r="K1" s="208"/>
      <c r="L1" s="208"/>
      <c r="M1" s="208"/>
      <c r="N1" s="209"/>
      <c r="O1" s="76"/>
    </row>
    <row r="2" spans="1:19" x14ac:dyDescent="0.25">
      <c r="A2" s="77"/>
      <c r="B2" s="77"/>
      <c r="C2" s="146"/>
      <c r="D2" s="146"/>
      <c r="E2" s="146"/>
      <c r="F2" s="146"/>
      <c r="G2" s="146"/>
      <c r="H2" s="147"/>
      <c r="I2" s="146"/>
      <c r="J2" s="146"/>
      <c r="K2" s="146"/>
      <c r="L2" s="146"/>
      <c r="M2" s="146"/>
      <c r="N2" s="146"/>
      <c r="O2" s="78"/>
      <c r="P2" s="11"/>
    </row>
    <row r="3" spans="1:19" x14ac:dyDescent="0.25">
      <c r="A3" s="80"/>
      <c r="B3" s="80"/>
      <c r="C3" s="148"/>
      <c r="D3" s="148"/>
      <c r="E3" s="148"/>
      <c r="F3" s="148"/>
      <c r="G3" s="148"/>
      <c r="H3" s="147"/>
      <c r="I3" s="146"/>
      <c r="J3" s="146"/>
      <c r="K3" s="146"/>
      <c r="L3" s="146"/>
      <c r="M3" s="146"/>
      <c r="N3" s="146"/>
      <c r="O3" s="78"/>
      <c r="P3" s="11"/>
    </row>
    <row r="4" spans="1:19" x14ac:dyDescent="0.25">
      <c r="A4" s="80"/>
      <c r="B4" s="80"/>
      <c r="C4" s="148"/>
      <c r="D4" s="148"/>
      <c r="E4" s="148"/>
      <c r="F4" s="148"/>
      <c r="G4" s="148"/>
      <c r="H4" s="147"/>
      <c r="I4" s="146" t="s">
        <v>76</v>
      </c>
      <c r="J4" s="146"/>
      <c r="K4" s="146"/>
      <c r="L4" s="146"/>
      <c r="M4" s="146"/>
      <c r="N4" s="146"/>
      <c r="O4" s="78"/>
      <c r="P4" s="11"/>
    </row>
    <row r="5" spans="1:19" x14ac:dyDescent="0.25">
      <c r="A5" s="80"/>
      <c r="B5" s="80"/>
      <c r="C5" s="148"/>
      <c r="D5" s="148"/>
      <c r="E5" s="148"/>
      <c r="F5" s="148"/>
      <c r="G5" s="148"/>
      <c r="H5" s="147"/>
      <c r="I5" s="146"/>
      <c r="J5" s="146"/>
      <c r="K5" s="146"/>
      <c r="L5" s="146"/>
      <c r="M5" s="146"/>
      <c r="N5" s="146"/>
      <c r="O5" s="78"/>
      <c r="P5" s="11"/>
    </row>
    <row r="6" spans="1:19" x14ac:dyDescent="0.25">
      <c r="A6" s="80"/>
      <c r="B6" s="80"/>
      <c r="C6" s="172" t="str">
        <f>'detalle y gastos'!C7</f>
        <v>Vto. 17/04</v>
      </c>
      <c r="D6" s="28"/>
      <c r="E6" s="146"/>
      <c r="F6" s="146"/>
      <c r="G6" s="146"/>
      <c r="H6" s="147"/>
      <c r="I6" s="146"/>
      <c r="J6" s="146"/>
      <c r="K6" s="146"/>
      <c r="L6" s="146"/>
      <c r="M6" s="146"/>
      <c r="N6" s="146"/>
      <c r="O6" s="78"/>
      <c r="P6" s="11"/>
    </row>
    <row r="7" spans="1:19" ht="19.5" customHeight="1" x14ac:dyDescent="0.25">
      <c r="A7" s="81"/>
      <c r="B7" s="81" t="s">
        <v>77</v>
      </c>
      <c r="C7" s="180">
        <f>-'detalle y gastos'!C49</f>
        <v>1024355.45</v>
      </c>
      <c r="D7" s="28"/>
      <c r="E7" s="146"/>
      <c r="F7" s="146"/>
      <c r="G7" s="146"/>
      <c r="H7" s="147"/>
      <c r="I7" s="146"/>
      <c r="J7" s="146"/>
      <c r="K7" s="146"/>
      <c r="L7" s="146"/>
      <c r="M7" s="146"/>
      <c r="N7" s="146"/>
      <c r="O7" s="78"/>
      <c r="P7" s="11"/>
    </row>
    <row r="8" spans="1:19" hidden="1" x14ac:dyDescent="0.25">
      <c r="A8" s="81"/>
      <c r="B8" s="80" t="s">
        <v>77</v>
      </c>
      <c r="C8" s="85"/>
      <c r="E8" s="82"/>
      <c r="F8" s="82"/>
      <c r="G8" s="82"/>
      <c r="H8" s="83"/>
      <c r="I8" s="82"/>
      <c r="J8" s="78"/>
      <c r="K8" s="179">
        <f>C8-J38</f>
        <v>187480.21300000005</v>
      </c>
      <c r="L8" s="211">
        <f>C7-J38</f>
        <v>1211835.6629999999</v>
      </c>
      <c r="M8" s="211"/>
      <c r="N8" s="84"/>
      <c r="O8" s="78"/>
      <c r="P8" s="11"/>
    </row>
    <row r="9" spans="1:19" ht="28.5" customHeight="1" x14ac:dyDescent="0.25">
      <c r="A9" s="86" t="s">
        <v>78</v>
      </c>
      <c r="B9" s="86" t="s">
        <v>78</v>
      </c>
      <c r="C9" s="117" t="s">
        <v>79</v>
      </c>
      <c r="D9" s="118" t="s">
        <v>80</v>
      </c>
      <c r="E9" s="118" t="s">
        <v>1</v>
      </c>
      <c r="F9" s="116" t="s">
        <v>81</v>
      </c>
      <c r="G9" s="116" t="s">
        <v>82</v>
      </c>
      <c r="H9" s="119" t="s">
        <v>85</v>
      </c>
      <c r="I9" s="120" t="s">
        <v>83</v>
      </c>
      <c r="J9" s="121" t="s">
        <v>77</v>
      </c>
      <c r="K9" s="183" t="s">
        <v>84</v>
      </c>
      <c r="L9" s="183" t="s">
        <v>84</v>
      </c>
      <c r="M9" s="122" t="s">
        <v>85</v>
      </c>
      <c r="N9" s="116" t="s">
        <v>86</v>
      </c>
      <c r="P9" s="11"/>
    </row>
    <row r="10" spans="1:19" x14ac:dyDescent="0.25">
      <c r="A10" s="97">
        <v>1</v>
      </c>
      <c r="B10" s="87">
        <v>1</v>
      </c>
      <c r="C10" s="113" t="s">
        <v>32</v>
      </c>
      <c r="D10" s="99" t="s">
        <v>31</v>
      </c>
      <c r="E10" s="100">
        <v>5.1100000000000003</v>
      </c>
      <c r="F10" s="102">
        <v>5143</v>
      </c>
      <c r="G10" s="102">
        <v>5239.3</v>
      </c>
      <c r="H10" s="103">
        <f>G10-F10</f>
        <v>96.300000000000182</v>
      </c>
      <c r="I10" s="104">
        <f t="shared" ref="I10:I37" si="0">H10*7%</f>
        <v>6.741000000000013</v>
      </c>
      <c r="J10" s="114">
        <f>M10*93.787</f>
        <v>9031.6881000000176</v>
      </c>
      <c r="K10" s="114">
        <f>K8*E10%</f>
        <v>9580.2388843000044</v>
      </c>
      <c r="L10" s="186">
        <f>L$8*E10/S$12</f>
        <v>61924.802379299996</v>
      </c>
      <c r="M10" s="105">
        <f>G10-F10</f>
        <v>96.300000000000182</v>
      </c>
      <c r="N10" s="103">
        <f>J10+L10</f>
        <v>70956.490479300017</v>
      </c>
      <c r="O10" s="96">
        <f>N10+'prorrateo '!M3</f>
        <v>282416.67977030005</v>
      </c>
      <c r="P10" s="11"/>
    </row>
    <row r="11" spans="1:19" x14ac:dyDescent="0.25">
      <c r="A11" s="98">
        <v>2</v>
      </c>
      <c r="B11" s="88">
        <v>2</v>
      </c>
      <c r="C11" s="113" t="s">
        <v>34</v>
      </c>
      <c r="D11" s="99" t="s">
        <v>33</v>
      </c>
      <c r="E11" s="100">
        <v>5.09</v>
      </c>
      <c r="F11" s="102">
        <v>4548.1000000000004</v>
      </c>
      <c r="G11" s="102">
        <v>4550</v>
      </c>
      <c r="H11" s="103">
        <f t="shared" ref="H11:H27" si="1">G11-F11</f>
        <v>1.8999999999996362</v>
      </c>
      <c r="I11" s="104">
        <f t="shared" si="0"/>
        <v>0.13299999999997456</v>
      </c>
      <c r="J11" s="114">
        <f t="shared" ref="J11:J26" si="2">M11*93.787</f>
        <v>178.1952999999659</v>
      </c>
      <c r="K11" s="114">
        <f>K8*E11%</f>
        <v>9542.7428417000028</v>
      </c>
      <c r="L11" s="186">
        <f t="shared" ref="L11:L36" si="3">L$8*E11/S$12</f>
        <v>61682.435246699992</v>
      </c>
      <c r="M11" s="105">
        <f t="shared" ref="M11:M26" si="4">G11-F11</f>
        <v>1.8999999999996362</v>
      </c>
      <c r="N11" s="103">
        <f t="shared" ref="N11:N25" si="5">J11+L11</f>
        <v>61860.630546699955</v>
      </c>
      <c r="O11" s="96">
        <f>N11+'prorrateo '!M4</f>
        <v>466237.7531637823</v>
      </c>
      <c r="P11" s="11"/>
    </row>
    <row r="12" spans="1:19" ht="16.5" customHeight="1" x14ac:dyDescent="0.25">
      <c r="A12" s="97">
        <v>3</v>
      </c>
      <c r="B12" s="88">
        <v>3</v>
      </c>
      <c r="C12" s="113" t="s">
        <v>36</v>
      </c>
      <c r="D12" s="99" t="s">
        <v>35</v>
      </c>
      <c r="E12" s="100">
        <v>5.04</v>
      </c>
      <c r="F12" s="102">
        <v>2710.5</v>
      </c>
      <c r="G12" s="102">
        <v>2808.5</v>
      </c>
      <c r="H12" s="103">
        <f t="shared" si="1"/>
        <v>98</v>
      </c>
      <c r="I12" s="104">
        <f t="shared" si="0"/>
        <v>6.86</v>
      </c>
      <c r="J12" s="114">
        <f t="shared" si="2"/>
        <v>9191.1260000000002</v>
      </c>
      <c r="K12" s="114">
        <f>K8*E12%</f>
        <v>9449.0027352000016</v>
      </c>
      <c r="L12" s="186">
        <f t="shared" si="3"/>
        <v>61076.517415199996</v>
      </c>
      <c r="M12" s="105">
        <f>G12-F12</f>
        <v>98</v>
      </c>
      <c r="N12" s="103">
        <f t="shared" si="5"/>
        <v>70267.6434152</v>
      </c>
      <c r="O12" s="96">
        <f>N12+'prorrateo '!M5</f>
        <v>218118.46220808869</v>
      </c>
      <c r="P12" s="11"/>
      <c r="S12">
        <v>100</v>
      </c>
    </row>
    <row r="13" spans="1:19" x14ac:dyDescent="0.25">
      <c r="A13" s="97">
        <v>4</v>
      </c>
      <c r="B13" s="88" t="s">
        <v>87</v>
      </c>
      <c r="C13" s="149" t="s">
        <v>38</v>
      </c>
      <c r="D13" s="99" t="s">
        <v>37</v>
      </c>
      <c r="E13" s="150">
        <v>5.21</v>
      </c>
      <c r="F13" s="102">
        <v>1635.6</v>
      </c>
      <c r="G13" s="102">
        <v>1693.3</v>
      </c>
      <c r="H13" s="103">
        <f t="shared" si="1"/>
        <v>57.700000000000045</v>
      </c>
      <c r="I13" s="151">
        <f t="shared" si="0"/>
        <v>4.0390000000000033</v>
      </c>
      <c r="J13" s="114">
        <f t="shared" si="2"/>
        <v>5411.5099000000046</v>
      </c>
      <c r="K13" s="187">
        <f>K8*E13%</f>
        <v>9767.7190973000033</v>
      </c>
      <c r="L13" s="186">
        <f t="shared" si="3"/>
        <v>63136.638042300001</v>
      </c>
      <c r="M13" s="152">
        <f t="shared" si="4"/>
        <v>57.700000000000045</v>
      </c>
      <c r="N13" s="103">
        <f t="shared" si="5"/>
        <v>68548.147942300013</v>
      </c>
      <c r="O13" s="96">
        <f>N13+'prorrateo '!M6</f>
        <v>280349.57784330001</v>
      </c>
      <c r="P13" s="11"/>
    </row>
    <row r="14" spans="1:19" x14ac:dyDescent="0.25">
      <c r="A14" s="97">
        <v>6</v>
      </c>
      <c r="B14" s="88">
        <v>6</v>
      </c>
      <c r="C14" s="113" t="s">
        <v>39</v>
      </c>
      <c r="D14" s="99" t="s">
        <v>35</v>
      </c>
      <c r="E14" s="100">
        <v>5.1100000000000003</v>
      </c>
      <c r="F14" s="102">
        <v>2641.2</v>
      </c>
      <c r="G14" s="102">
        <v>2764.8</v>
      </c>
      <c r="H14" s="103">
        <f t="shared" si="1"/>
        <v>123.60000000000036</v>
      </c>
      <c r="I14" s="104">
        <f t="shared" si="0"/>
        <v>8.6520000000000259</v>
      </c>
      <c r="J14" s="114">
        <f t="shared" si="2"/>
        <v>11592.073200000035</v>
      </c>
      <c r="K14" s="114">
        <f>K8*E14%</f>
        <v>9580.2388843000044</v>
      </c>
      <c r="L14" s="186">
        <f t="shared" si="3"/>
        <v>61924.802379299996</v>
      </c>
      <c r="M14" s="105">
        <f t="shared" si="4"/>
        <v>123.60000000000036</v>
      </c>
      <c r="N14" s="103">
        <f t="shared" si="5"/>
        <v>73516.875579300031</v>
      </c>
      <c r="O14" s="96">
        <f>N14+'prorrateo '!M7</f>
        <v>231251.19718720013</v>
      </c>
      <c r="P14" s="11"/>
    </row>
    <row r="15" spans="1:19" x14ac:dyDescent="0.25">
      <c r="A15" s="97">
        <v>7</v>
      </c>
      <c r="B15" s="88">
        <v>7</v>
      </c>
      <c r="C15" s="113" t="s">
        <v>41</v>
      </c>
      <c r="D15" s="99" t="s">
        <v>40</v>
      </c>
      <c r="E15" s="100">
        <v>5.09</v>
      </c>
      <c r="F15" s="102">
        <v>3881.5</v>
      </c>
      <c r="G15" s="102">
        <v>3961.7</v>
      </c>
      <c r="H15" s="103">
        <f t="shared" si="1"/>
        <v>80.199999999999818</v>
      </c>
      <c r="I15" s="104">
        <f t="shared" si="0"/>
        <v>5.6139999999999874</v>
      </c>
      <c r="J15" s="114">
        <f t="shared" si="2"/>
        <v>7521.7173999999832</v>
      </c>
      <c r="K15" s="114">
        <f>K8*E15%</f>
        <v>9542.7428417000028</v>
      </c>
      <c r="L15" s="186">
        <f t="shared" si="3"/>
        <v>61682.435246699992</v>
      </c>
      <c r="M15" s="105">
        <f t="shared" si="4"/>
        <v>80.199999999999818</v>
      </c>
      <c r="N15" s="103">
        <f t="shared" si="5"/>
        <v>69204.152646699979</v>
      </c>
      <c r="O15" s="96">
        <f>N15+'prorrateo '!M8</f>
        <v>278362.08747569995</v>
      </c>
    </row>
    <row r="16" spans="1:19" x14ac:dyDescent="0.25">
      <c r="A16" s="97">
        <v>8</v>
      </c>
      <c r="B16" s="88">
        <v>8</v>
      </c>
      <c r="C16" s="113" t="s">
        <v>43</v>
      </c>
      <c r="D16" s="99" t="s">
        <v>42</v>
      </c>
      <c r="E16" s="100">
        <v>5.1100000000000003</v>
      </c>
      <c r="F16" s="102">
        <v>2973.6</v>
      </c>
      <c r="G16" s="102">
        <v>3055.6</v>
      </c>
      <c r="H16" s="103">
        <f t="shared" si="1"/>
        <v>82</v>
      </c>
      <c r="I16" s="104">
        <f t="shared" si="0"/>
        <v>5.74</v>
      </c>
      <c r="J16" s="114">
        <f t="shared" si="2"/>
        <v>7690.5340000000006</v>
      </c>
      <c r="K16" s="114">
        <f>K8*E16%</f>
        <v>9580.2388843000044</v>
      </c>
      <c r="L16" s="186">
        <f t="shared" si="3"/>
        <v>61924.802379299996</v>
      </c>
      <c r="M16" s="105">
        <f t="shared" si="4"/>
        <v>82</v>
      </c>
      <c r="N16" s="103">
        <f t="shared" si="5"/>
        <v>69615.336379300003</v>
      </c>
      <c r="O16" s="96">
        <f>N16+'prorrateo '!M9</f>
        <v>279734.37157030002</v>
      </c>
    </row>
    <row r="17" spans="1:15" x14ac:dyDescent="0.25">
      <c r="A17" s="97">
        <v>9</v>
      </c>
      <c r="B17" s="88">
        <v>9</v>
      </c>
      <c r="C17" s="113" t="s">
        <v>45</v>
      </c>
      <c r="D17" s="99" t="s">
        <v>44</v>
      </c>
      <c r="E17" s="100">
        <v>5.09</v>
      </c>
      <c r="F17" s="102">
        <v>3501</v>
      </c>
      <c r="G17" s="102">
        <v>3516.8</v>
      </c>
      <c r="H17" s="103">
        <f t="shared" si="1"/>
        <v>15.800000000000182</v>
      </c>
      <c r="I17" s="104">
        <f t="shared" si="0"/>
        <v>1.1060000000000128</v>
      </c>
      <c r="J17" s="114">
        <f t="shared" si="2"/>
        <v>1481.8346000000172</v>
      </c>
      <c r="K17" s="114">
        <f>K8*E17%</f>
        <v>9542.7428417000028</v>
      </c>
      <c r="L17" s="186">
        <f t="shared" si="3"/>
        <v>61682.435246699992</v>
      </c>
      <c r="M17" s="105">
        <f t="shared" si="4"/>
        <v>15.800000000000182</v>
      </c>
      <c r="N17" s="103">
        <f t="shared" si="5"/>
        <v>63164.269846700008</v>
      </c>
      <c r="O17" s="96">
        <f>N17+'prorrateo '!M10</f>
        <v>217748.98115996009</v>
      </c>
    </row>
    <row r="18" spans="1:15" x14ac:dyDescent="0.25">
      <c r="A18" s="97">
        <v>10</v>
      </c>
      <c r="B18" s="88">
        <v>10</v>
      </c>
      <c r="C18" s="113" t="s">
        <v>46</v>
      </c>
      <c r="D18" s="99" t="s">
        <v>94</v>
      </c>
      <c r="E18" s="100">
        <v>5.04</v>
      </c>
      <c r="F18" s="102">
        <v>2722.4</v>
      </c>
      <c r="G18" s="102">
        <v>2783.2</v>
      </c>
      <c r="H18" s="103">
        <f t="shared" si="1"/>
        <v>60.799999999999727</v>
      </c>
      <c r="I18" s="104">
        <f t="shared" si="0"/>
        <v>4.2559999999999816</v>
      </c>
      <c r="J18" s="114">
        <f t="shared" si="2"/>
        <v>5702.2495999999746</v>
      </c>
      <c r="K18" s="114">
        <f>K8*E18%</f>
        <v>9449.0027352000016</v>
      </c>
      <c r="L18" s="186">
        <f t="shared" si="3"/>
        <v>61076.517415199996</v>
      </c>
      <c r="M18" s="105">
        <f t="shared" si="4"/>
        <v>60.799999999999727</v>
      </c>
      <c r="N18" s="103">
        <f t="shared" si="5"/>
        <v>66778.767015199977</v>
      </c>
      <c r="O18" s="96">
        <f>N18+'prorrateo '!M11</f>
        <v>272136.52463919995</v>
      </c>
    </row>
    <row r="19" spans="1:15" ht="15" customHeight="1" x14ac:dyDescent="0.25">
      <c r="A19" s="97">
        <v>11</v>
      </c>
      <c r="B19" s="88">
        <v>11</v>
      </c>
      <c r="C19" s="113" t="s">
        <v>48</v>
      </c>
      <c r="D19" s="106" t="s">
        <v>47</v>
      </c>
      <c r="E19" s="100">
        <v>5.21</v>
      </c>
      <c r="F19" s="102">
        <v>5568.7</v>
      </c>
      <c r="G19" s="102">
        <v>5747.8</v>
      </c>
      <c r="H19" s="103">
        <f t="shared" si="1"/>
        <v>179.10000000000036</v>
      </c>
      <c r="I19" s="104">
        <f t="shared" si="0"/>
        <v>12.537000000000027</v>
      </c>
      <c r="J19" s="114">
        <f t="shared" si="2"/>
        <v>16797.251700000033</v>
      </c>
      <c r="K19" s="114">
        <f>K8*E19%</f>
        <v>9767.7190973000033</v>
      </c>
      <c r="L19" s="186">
        <f t="shared" si="3"/>
        <v>63136.638042300001</v>
      </c>
      <c r="M19" s="105">
        <f>G19-F19</f>
        <v>179.10000000000036</v>
      </c>
      <c r="N19" s="103">
        <f t="shared" si="5"/>
        <v>79933.889742300031</v>
      </c>
      <c r="O19" s="96">
        <f>N19+'prorrateo '!M12</f>
        <v>303121.06144330004</v>
      </c>
    </row>
    <row r="20" spans="1:15" ht="15" customHeight="1" x14ac:dyDescent="0.25">
      <c r="A20" s="97">
        <v>12</v>
      </c>
      <c r="B20" s="88">
        <v>12</v>
      </c>
      <c r="C20" s="113" t="s">
        <v>51</v>
      </c>
      <c r="D20" s="106" t="s">
        <v>49</v>
      </c>
      <c r="E20" s="100">
        <v>5.1100000000000003</v>
      </c>
      <c r="F20" s="102">
        <v>7045.5</v>
      </c>
      <c r="G20" s="102">
        <v>7204.2</v>
      </c>
      <c r="H20" s="103">
        <f t="shared" si="1"/>
        <v>158.69999999999982</v>
      </c>
      <c r="I20" s="104">
        <f t="shared" si="0"/>
        <v>11.108999999999988</v>
      </c>
      <c r="J20" s="114">
        <f t="shared" si="2"/>
        <v>14883.996899999984</v>
      </c>
      <c r="K20" s="114">
        <f>K8*E20%</f>
        <v>9580.2388843000044</v>
      </c>
      <c r="L20" s="186">
        <f t="shared" si="3"/>
        <v>61924.802379299996</v>
      </c>
      <c r="M20" s="105">
        <f t="shared" si="4"/>
        <v>158.69999999999982</v>
      </c>
      <c r="N20" s="103">
        <f t="shared" si="5"/>
        <v>76808.799279299972</v>
      </c>
      <c r="O20" s="96">
        <f>N20+'prorrateo '!M13</f>
        <v>235068.34406149967</v>
      </c>
    </row>
    <row r="21" spans="1:15" x14ac:dyDescent="0.25">
      <c r="A21" s="97">
        <v>13</v>
      </c>
      <c r="B21" s="88">
        <v>13</v>
      </c>
      <c r="C21" s="113" t="s">
        <v>52</v>
      </c>
      <c r="D21" s="99" t="s">
        <v>49</v>
      </c>
      <c r="E21" s="100">
        <v>5.09</v>
      </c>
      <c r="F21" s="102">
        <v>4426.3</v>
      </c>
      <c r="G21" s="102">
        <v>4480.1000000000004</v>
      </c>
      <c r="H21" s="103">
        <f t="shared" si="1"/>
        <v>53.800000000000182</v>
      </c>
      <c r="I21" s="104">
        <f t="shared" si="0"/>
        <v>3.7660000000000129</v>
      </c>
      <c r="J21" s="114">
        <f t="shared" si="2"/>
        <v>5045.7406000000174</v>
      </c>
      <c r="K21" s="114">
        <f>K8*E21%</f>
        <v>9542.7428417000028</v>
      </c>
      <c r="L21" s="186">
        <f t="shared" si="3"/>
        <v>61682.435246699992</v>
      </c>
      <c r="M21" s="105">
        <f t="shared" si="4"/>
        <v>53.800000000000182</v>
      </c>
      <c r="N21" s="103">
        <f t="shared" si="5"/>
        <v>66728.175846700004</v>
      </c>
      <c r="O21" s="96">
        <f>N21+'prorrateo '!M14</f>
        <v>215208.79190211699</v>
      </c>
    </row>
    <row r="22" spans="1:15" x14ac:dyDescent="0.25">
      <c r="A22" s="97">
        <v>14</v>
      </c>
      <c r="B22" s="88">
        <v>14</v>
      </c>
      <c r="C22" s="113" t="s">
        <v>55</v>
      </c>
      <c r="D22" s="99" t="s">
        <v>53</v>
      </c>
      <c r="E22" s="100">
        <v>5.04</v>
      </c>
      <c r="F22" s="102">
        <v>3145.8</v>
      </c>
      <c r="G22" s="196"/>
      <c r="H22" s="103">
        <f t="shared" si="1"/>
        <v>-3145.8</v>
      </c>
      <c r="I22" s="104">
        <f t="shared" si="0"/>
        <v>-220.20600000000005</v>
      </c>
      <c r="J22" s="114">
        <f t="shared" si="2"/>
        <v>-295035.14460000006</v>
      </c>
      <c r="K22" s="114">
        <f>K8*E22%</f>
        <v>9449.0027352000016</v>
      </c>
      <c r="L22" s="186">
        <f t="shared" si="3"/>
        <v>61076.517415199996</v>
      </c>
      <c r="M22" s="105">
        <f t="shared" si="4"/>
        <v>-3145.8</v>
      </c>
      <c r="N22" s="103">
        <f t="shared" si="5"/>
        <v>-233958.62718480005</v>
      </c>
      <c r="O22" s="96">
        <f>N22+'prorrateo '!M15</f>
        <v>130270.81977837184</v>
      </c>
    </row>
    <row r="23" spans="1:15" x14ac:dyDescent="0.25">
      <c r="A23" s="97">
        <v>15</v>
      </c>
      <c r="B23" s="88">
        <v>15</v>
      </c>
      <c r="C23" s="113" t="s">
        <v>58</v>
      </c>
      <c r="D23" s="99" t="s">
        <v>56</v>
      </c>
      <c r="E23" s="100">
        <v>5.21</v>
      </c>
      <c r="F23" s="102">
        <v>5835.3</v>
      </c>
      <c r="G23" s="102">
        <v>5974.2</v>
      </c>
      <c r="H23" s="103">
        <f t="shared" si="1"/>
        <v>138.89999999999964</v>
      </c>
      <c r="I23" s="104">
        <f t="shared" si="0"/>
        <v>9.7229999999999759</v>
      </c>
      <c r="J23" s="114">
        <f t="shared" si="2"/>
        <v>13027.014299999966</v>
      </c>
      <c r="K23" s="114">
        <f>K8*E23%</f>
        <v>9767.7190973000033</v>
      </c>
      <c r="L23" s="186">
        <f t="shared" si="3"/>
        <v>63136.638042300001</v>
      </c>
      <c r="M23" s="105">
        <f t="shared" si="4"/>
        <v>138.89999999999964</v>
      </c>
      <c r="N23" s="103">
        <f t="shared" si="5"/>
        <v>76163.65234229996</v>
      </c>
      <c r="O23" s="96">
        <f>N23+'prorrateo '!M16</f>
        <v>228395.70519058354</v>
      </c>
    </row>
    <row r="24" spans="1:15" x14ac:dyDescent="0.25">
      <c r="A24" s="97">
        <v>16</v>
      </c>
      <c r="B24" s="88">
        <v>16</v>
      </c>
      <c r="C24" s="113" t="s">
        <v>60</v>
      </c>
      <c r="D24" s="99" t="s">
        <v>59</v>
      </c>
      <c r="E24" s="100">
        <v>5.04</v>
      </c>
      <c r="F24" s="102">
        <v>2020.8</v>
      </c>
      <c r="G24" s="102">
        <v>2020.8</v>
      </c>
      <c r="H24" s="103">
        <f t="shared" si="1"/>
        <v>0</v>
      </c>
      <c r="I24" s="104">
        <f t="shared" si="0"/>
        <v>0</v>
      </c>
      <c r="J24" s="114">
        <f t="shared" si="2"/>
        <v>0</v>
      </c>
      <c r="K24" s="114">
        <f>K8*E24%</f>
        <v>9449.0027352000016</v>
      </c>
      <c r="L24" s="186">
        <f t="shared" si="3"/>
        <v>61076.517415199996</v>
      </c>
      <c r="M24" s="105">
        <f t="shared" si="4"/>
        <v>0</v>
      </c>
      <c r="N24" s="103">
        <f t="shared" si="5"/>
        <v>61076.517415199996</v>
      </c>
      <c r="O24" s="96">
        <f>N24+'prorrateo '!M17</f>
        <v>547847.99301161873</v>
      </c>
    </row>
    <row r="25" spans="1:15" x14ac:dyDescent="0.25">
      <c r="A25" s="97">
        <v>17</v>
      </c>
      <c r="B25" s="88">
        <v>17</v>
      </c>
      <c r="C25" s="113" t="s">
        <v>62</v>
      </c>
      <c r="D25" s="99" t="s">
        <v>61</v>
      </c>
      <c r="E25" s="100">
        <v>5.21</v>
      </c>
      <c r="F25" s="102">
        <v>2317.3000000000002</v>
      </c>
      <c r="G25" s="102">
        <v>2317.3000000000002</v>
      </c>
      <c r="H25" s="103">
        <f t="shared" si="1"/>
        <v>0</v>
      </c>
      <c r="I25" s="104">
        <f t="shared" si="0"/>
        <v>0</v>
      </c>
      <c r="J25" s="114">
        <f t="shared" si="2"/>
        <v>0</v>
      </c>
      <c r="K25" s="114">
        <f>K8*E25%</f>
        <v>9767.7190973000033</v>
      </c>
      <c r="L25" s="186">
        <f t="shared" si="3"/>
        <v>63136.638042300001</v>
      </c>
      <c r="M25" s="105">
        <f t="shared" si="4"/>
        <v>0</v>
      </c>
      <c r="N25" s="103">
        <f t="shared" si="5"/>
        <v>63136.638042300001</v>
      </c>
      <c r="O25" s="96">
        <f>N25+'prorrateo '!M18</f>
        <v>269526.5580433</v>
      </c>
    </row>
    <row r="26" spans="1:15" x14ac:dyDescent="0.25">
      <c r="A26" s="97">
        <v>18</v>
      </c>
      <c r="B26" s="88">
        <v>18</v>
      </c>
      <c r="C26" s="113" t="s">
        <v>64</v>
      </c>
      <c r="D26" s="99" t="s">
        <v>63</v>
      </c>
      <c r="E26" s="100">
        <v>7.4</v>
      </c>
      <c r="F26" s="102">
        <v>10444</v>
      </c>
      <c r="G26" s="102">
        <v>10444</v>
      </c>
      <c r="H26" s="103">
        <f t="shared" si="1"/>
        <v>0</v>
      </c>
      <c r="I26" s="104">
        <f t="shared" si="0"/>
        <v>0</v>
      </c>
      <c r="J26" s="114">
        <f t="shared" si="2"/>
        <v>0</v>
      </c>
      <c r="K26" s="114">
        <f>K8*E26%</f>
        <v>13873.535762000005</v>
      </c>
      <c r="L26" s="186">
        <f t="shared" si="3"/>
        <v>89675.839061999985</v>
      </c>
      <c r="M26" s="105">
        <f t="shared" si="4"/>
        <v>0</v>
      </c>
      <c r="N26" s="103">
        <f>J26+L26</f>
        <v>89675.839061999985</v>
      </c>
      <c r="O26" s="96">
        <f>N26+'prorrateo '!M19</f>
        <v>382820.83100199996</v>
      </c>
    </row>
    <row r="27" spans="1:15" ht="14.25" customHeight="1" x14ac:dyDescent="0.25">
      <c r="A27" s="192">
        <v>19</v>
      </c>
      <c r="B27" s="193">
        <v>19</v>
      </c>
      <c r="C27" s="145" t="s">
        <v>65</v>
      </c>
      <c r="D27" s="194"/>
      <c r="E27" s="195">
        <v>1.08</v>
      </c>
      <c r="F27" s="196"/>
      <c r="G27" s="196"/>
      <c r="H27" s="136">
        <f t="shared" si="1"/>
        <v>0</v>
      </c>
      <c r="I27" s="197">
        <f t="shared" si="0"/>
        <v>0</v>
      </c>
      <c r="J27" s="188"/>
      <c r="K27" s="188"/>
      <c r="L27" s="189">
        <f t="shared" si="3"/>
        <v>13087.825160400002</v>
      </c>
      <c r="M27" s="137">
        <v>0</v>
      </c>
      <c r="N27" s="136">
        <f t="shared" ref="N27:N37" si="6">J27+L27</f>
        <v>13087.825160400002</v>
      </c>
      <c r="O27" s="96">
        <f>N27+'prorrateo '!M20</f>
        <v>491853.46621922409</v>
      </c>
    </row>
    <row r="28" spans="1:15" x14ac:dyDescent="0.25">
      <c r="A28" s="97">
        <v>20</v>
      </c>
      <c r="B28" s="89"/>
      <c r="C28" s="153" t="s">
        <v>66</v>
      </c>
      <c r="D28" s="101"/>
      <c r="E28" s="101">
        <v>1.08</v>
      </c>
      <c r="F28" s="101"/>
      <c r="G28" s="101"/>
      <c r="H28" s="103">
        <v>0</v>
      </c>
      <c r="I28" s="154">
        <f t="shared" si="0"/>
        <v>0</v>
      </c>
      <c r="J28" s="155"/>
      <c r="K28" s="114"/>
      <c r="L28" s="186">
        <f t="shared" si="3"/>
        <v>13087.825160400002</v>
      </c>
      <c r="M28" s="105">
        <v>0</v>
      </c>
      <c r="N28" s="103">
        <f t="shared" si="6"/>
        <v>13087.825160400002</v>
      </c>
      <c r="O28" s="96">
        <f>N28+'prorrateo '!M21</f>
        <v>55871.148308400006</v>
      </c>
    </row>
    <row r="29" spans="1:15" x14ac:dyDescent="0.25">
      <c r="A29" s="97"/>
      <c r="B29" s="89"/>
      <c r="C29" s="153" t="s">
        <v>67</v>
      </c>
      <c r="D29" s="101"/>
      <c r="E29" s="101">
        <v>1.08</v>
      </c>
      <c r="F29" s="101"/>
      <c r="G29" s="101"/>
      <c r="H29" s="103"/>
      <c r="I29" s="154"/>
      <c r="J29" s="155"/>
      <c r="K29" s="114"/>
      <c r="L29" s="186">
        <f t="shared" si="3"/>
        <v>13087.825160400002</v>
      </c>
      <c r="M29" s="105">
        <v>0</v>
      </c>
      <c r="N29" s="103">
        <f t="shared" si="6"/>
        <v>13087.825160400002</v>
      </c>
      <c r="O29" s="96">
        <f>N29+'prorrateo '!M22</f>
        <v>45330.613577999997</v>
      </c>
    </row>
    <row r="30" spans="1:15" x14ac:dyDescent="0.25">
      <c r="A30" s="97"/>
      <c r="B30" s="89"/>
      <c r="C30" s="153" t="s">
        <v>68</v>
      </c>
      <c r="D30" s="101"/>
      <c r="E30" s="101">
        <v>1.08</v>
      </c>
      <c r="F30" s="101"/>
      <c r="G30" s="101"/>
      <c r="H30" s="103"/>
      <c r="I30" s="154"/>
      <c r="J30" s="155"/>
      <c r="K30" s="114"/>
      <c r="L30" s="186">
        <f t="shared" si="3"/>
        <v>13087.825160400002</v>
      </c>
      <c r="M30" s="105">
        <v>0</v>
      </c>
      <c r="N30" s="103">
        <f t="shared" si="6"/>
        <v>13087.825160400002</v>
      </c>
      <c r="O30" s="96">
        <f>N30+'prorrateo '!M23</f>
        <v>55871.148308400006</v>
      </c>
    </row>
    <row r="31" spans="1:15" x14ac:dyDescent="0.25">
      <c r="A31" s="97"/>
      <c r="B31" s="89"/>
      <c r="C31" s="153" t="s">
        <v>69</v>
      </c>
      <c r="D31" s="101" t="s">
        <v>49</v>
      </c>
      <c r="E31" s="101">
        <v>1.08</v>
      </c>
      <c r="F31" s="101"/>
      <c r="G31" s="101"/>
      <c r="H31" s="103"/>
      <c r="I31" s="154"/>
      <c r="J31" s="155"/>
      <c r="K31" s="114"/>
      <c r="L31" s="186">
        <f t="shared" si="3"/>
        <v>13087.825160400002</v>
      </c>
      <c r="M31" s="105">
        <v>0</v>
      </c>
      <c r="N31" s="103">
        <f t="shared" si="6"/>
        <v>13087.825160400002</v>
      </c>
      <c r="O31" s="96">
        <f>N31+'prorrateo '!M24</f>
        <v>55871.148308400006</v>
      </c>
    </row>
    <row r="32" spans="1:15" x14ac:dyDescent="0.25">
      <c r="A32" s="98"/>
      <c r="B32" s="171"/>
      <c r="C32" s="153" t="s">
        <v>70</v>
      </c>
      <c r="D32" s="101" t="s">
        <v>49</v>
      </c>
      <c r="E32" s="101">
        <v>1.08</v>
      </c>
      <c r="F32" s="101"/>
      <c r="G32" s="101"/>
      <c r="H32" s="103"/>
      <c r="I32" s="154"/>
      <c r="J32" s="155"/>
      <c r="K32" s="114"/>
      <c r="L32" s="186">
        <f t="shared" si="3"/>
        <v>13087.825160400002</v>
      </c>
      <c r="M32" s="105">
        <v>0</v>
      </c>
      <c r="N32" s="103">
        <f t="shared" si="6"/>
        <v>13087.825160400002</v>
      </c>
      <c r="O32" s="96">
        <f>N32+'prorrateo '!M25</f>
        <v>55871.148308400006</v>
      </c>
    </row>
    <row r="33" spans="1:16" x14ac:dyDescent="0.25">
      <c r="A33" s="97"/>
      <c r="B33" s="89"/>
      <c r="C33" s="127" t="s">
        <v>71</v>
      </c>
      <c r="D33" s="107" t="s">
        <v>63</v>
      </c>
      <c r="E33" s="107">
        <v>1.08</v>
      </c>
      <c r="F33" s="107"/>
      <c r="G33" s="107"/>
      <c r="H33" s="108"/>
      <c r="I33" s="109"/>
      <c r="J33" s="128"/>
      <c r="K33" s="115"/>
      <c r="L33" s="186">
        <f t="shared" si="3"/>
        <v>13087.825160400002</v>
      </c>
      <c r="M33" s="105">
        <v>0</v>
      </c>
      <c r="N33" s="103">
        <f t="shared" si="6"/>
        <v>13087.825160400002</v>
      </c>
      <c r="O33" s="96">
        <f>N33+'prorrateo '!M26</f>
        <v>55871.148308400006</v>
      </c>
    </row>
    <row r="34" spans="1:16" x14ac:dyDescent="0.25">
      <c r="A34" s="97"/>
      <c r="B34" s="89"/>
      <c r="C34" s="127" t="s">
        <v>72</v>
      </c>
      <c r="D34" s="107" t="s">
        <v>63</v>
      </c>
      <c r="E34" s="107">
        <v>1.08</v>
      </c>
      <c r="F34" s="107"/>
      <c r="G34" s="107"/>
      <c r="H34" s="108"/>
      <c r="I34" s="109"/>
      <c r="J34" s="128"/>
      <c r="K34" s="115"/>
      <c r="L34" s="186">
        <f t="shared" si="3"/>
        <v>13087.825160400002</v>
      </c>
      <c r="M34" s="105">
        <v>0</v>
      </c>
      <c r="N34" s="103">
        <f t="shared" si="6"/>
        <v>13087.825160400002</v>
      </c>
      <c r="O34" s="96">
        <f>N34+'prorrateo '!M27</f>
        <v>55871.148308400006</v>
      </c>
    </row>
    <row r="35" spans="1:16" x14ac:dyDescent="0.25">
      <c r="A35" s="97">
        <v>21</v>
      </c>
      <c r="B35" s="89"/>
      <c r="C35" s="153" t="s">
        <v>73</v>
      </c>
      <c r="D35" s="101"/>
      <c r="E35" s="101">
        <v>1.08</v>
      </c>
      <c r="F35" s="101"/>
      <c r="G35" s="101"/>
      <c r="H35" s="103">
        <v>0</v>
      </c>
      <c r="I35" s="154">
        <f t="shared" si="0"/>
        <v>0</v>
      </c>
      <c r="J35" s="156"/>
      <c r="K35" s="114"/>
      <c r="L35" s="186">
        <f t="shared" si="3"/>
        <v>13087.825160400002</v>
      </c>
      <c r="M35" s="105">
        <v>0</v>
      </c>
      <c r="N35" s="103">
        <f t="shared" si="6"/>
        <v>13087.825160400002</v>
      </c>
      <c r="O35" s="96">
        <f>N35+'prorrateo '!M28</f>
        <v>55871.148308400006</v>
      </c>
    </row>
    <row r="36" spans="1:16" x14ac:dyDescent="0.25">
      <c r="A36" s="97">
        <v>22</v>
      </c>
      <c r="B36" s="89"/>
      <c r="C36" s="153" t="s">
        <v>74</v>
      </c>
      <c r="D36" s="101" t="s">
        <v>53</v>
      </c>
      <c r="E36" s="101">
        <v>1.08</v>
      </c>
      <c r="F36" s="101"/>
      <c r="G36" s="101"/>
      <c r="H36" s="103">
        <v>0</v>
      </c>
      <c r="I36" s="154">
        <f t="shared" si="0"/>
        <v>0</v>
      </c>
      <c r="J36" s="156"/>
      <c r="K36" s="114"/>
      <c r="L36" s="186">
        <f t="shared" si="3"/>
        <v>13087.825160400002</v>
      </c>
      <c r="M36" s="105">
        <v>0</v>
      </c>
      <c r="N36" s="103">
        <f t="shared" si="6"/>
        <v>13087.825160400002</v>
      </c>
      <c r="O36" s="96">
        <f>N36+'prorrateo '!M29</f>
        <v>144924.71841684403</v>
      </c>
    </row>
    <row r="37" spans="1:16" x14ac:dyDescent="0.25">
      <c r="A37" s="97">
        <v>23</v>
      </c>
      <c r="B37" s="89"/>
      <c r="C37" s="107"/>
      <c r="D37" s="107"/>
      <c r="E37" s="107"/>
      <c r="F37" s="107"/>
      <c r="G37" s="107"/>
      <c r="H37" s="108">
        <v>0</v>
      </c>
      <c r="I37" s="109">
        <f t="shared" si="0"/>
        <v>0</v>
      </c>
      <c r="J37" s="129"/>
      <c r="K37" s="184"/>
      <c r="L37" s="185">
        <v>0</v>
      </c>
      <c r="M37" s="124">
        <v>0</v>
      </c>
      <c r="N37" s="103">
        <f t="shared" si="6"/>
        <v>0</v>
      </c>
    </row>
    <row r="38" spans="1:16" ht="14.25" customHeight="1" x14ac:dyDescent="0.25">
      <c r="A38" s="97">
        <v>24</v>
      </c>
      <c r="B38" s="89"/>
      <c r="C38" s="107"/>
      <c r="D38" s="107"/>
      <c r="E38" s="125"/>
      <c r="F38" s="107"/>
      <c r="G38" s="107"/>
      <c r="H38" s="108"/>
      <c r="I38" s="110"/>
      <c r="J38" s="115">
        <f>SUM(J10:J37)</f>
        <v>-187480.21300000005</v>
      </c>
      <c r="K38" s="111"/>
      <c r="L38" s="111">
        <f>SUM(L10:L37)</f>
        <v>1211835.6630000002</v>
      </c>
      <c r="M38" s="112"/>
      <c r="N38" s="108">
        <f>SUM(N10:N37)</f>
        <v>1024355.4500000002</v>
      </c>
      <c r="P38" s="44"/>
    </row>
    <row r="39" spans="1:16" hidden="1" x14ac:dyDescent="0.25">
      <c r="A39" s="78"/>
      <c r="C39" s="90"/>
      <c r="D39" s="91"/>
      <c r="E39" s="131">
        <f>SUM(E10:E38)</f>
        <v>99.999999999999986</v>
      </c>
      <c r="F39" s="91"/>
      <c r="G39" s="91"/>
      <c r="H39" s="92"/>
      <c r="I39" s="93">
        <f>SUM(I10:I38)</f>
        <v>-139.93000000000004</v>
      </c>
      <c r="J39" s="123"/>
      <c r="K39" s="93"/>
      <c r="L39" s="130">
        <f>L38+J38</f>
        <v>1024355.4500000002</v>
      </c>
      <c r="M39" s="92"/>
      <c r="N39" s="92"/>
      <c r="O39" s="79"/>
    </row>
    <row r="40" spans="1:16" ht="30" hidden="1" x14ac:dyDescent="0.25">
      <c r="A40" s="94" t="s">
        <v>88</v>
      </c>
      <c r="C40" s="210"/>
      <c r="D40" s="208"/>
      <c r="E40" s="208"/>
      <c r="F40" s="208"/>
      <c r="G40" s="208"/>
      <c r="H40" s="208"/>
      <c r="I40" s="208"/>
      <c r="J40" s="208"/>
      <c r="K40" s="208"/>
      <c r="L40" s="208"/>
      <c r="M40" s="208"/>
      <c r="N40" s="208"/>
      <c r="O40" s="94"/>
    </row>
    <row r="41" spans="1:16" x14ac:dyDescent="0.25">
      <c r="H41" s="79"/>
      <c r="J41" s="95"/>
      <c r="K41" s="95"/>
      <c r="L41" s="95"/>
      <c r="N41" s="96"/>
    </row>
    <row r="43" spans="1:16" x14ac:dyDescent="0.25">
      <c r="E43" s="4"/>
    </row>
    <row r="44" spans="1:16" x14ac:dyDescent="0.25">
      <c r="L44" s="138"/>
    </row>
    <row r="45" spans="1:16" x14ac:dyDescent="0.25">
      <c r="L45" s="95"/>
    </row>
    <row r="46" spans="1:16" x14ac:dyDescent="0.25">
      <c r="E46" s="139"/>
      <c r="F46" s="139"/>
      <c r="G46" s="139"/>
      <c r="H46" s="139"/>
      <c r="I46" s="139"/>
      <c r="J46" s="139"/>
      <c r="K46" s="139"/>
      <c r="L46" s="140"/>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2026-03-18T12:48:27Z</cp:lastPrinted>
  <dcterms:created xsi:type="dcterms:W3CDTF">2020-12-10T00:27:53Z</dcterms:created>
  <dcterms:modified xsi:type="dcterms:W3CDTF">2026-03-29T18:02:22Z</dcterms:modified>
</cp:coreProperties>
</file>