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ROSALES\Febrero\"/>
    </mc:Choice>
  </mc:AlternateContent>
  <xr:revisionPtr revIDLastSave="0" documentId="13_ncr:1_{EF954B37-B5F3-48CF-A17B-C7B499CDD6EC}" xr6:coauthVersionLast="47" xr6:coauthVersionMax="47" xr10:uidLastSave="{00000000-0000-0000-0000-000000000000}"/>
  <bookViews>
    <workbookView xWindow="-120" yWindow="-120" windowWidth="20730" windowHeight="11160" xr2:uid="{00000000-000D-0000-FFFF-FFFF00000000}"/>
  </bookViews>
  <sheets>
    <sheet name="detalle y gastos" sheetId="3" r:id="rId1"/>
    <sheet name="prorrateo " sheetId="1" r:id="rId2"/>
    <sheet name="Edesur" sheetId="4" r:id="rId3"/>
  </sheets>
  <definedNames>
    <definedName name="_xlnm.Print_Area" localSheetId="0">'detalle y gastos'!$A$1:$C$63</definedName>
    <definedName name="_xlnm.Print_Area" localSheetId="2">Edesur!$A$1:$N$40</definedName>
    <definedName name="_xlnm.Print_Area" localSheetId="1">'prorrateo '!$A$1:$M$33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 i="1" l="1"/>
  <c r="B1" i="1" l="1"/>
  <c r="F14" i="1"/>
  <c r="F7" i="1"/>
  <c r="F16" i="1"/>
  <c r="F5" i="1"/>
  <c r="F13" i="1"/>
  <c r="F3" i="1"/>
  <c r="F6" i="1"/>
  <c r="F12" i="1"/>
  <c r="F11" i="1"/>
  <c r="F9" i="1" l="1"/>
  <c r="C7" i="4"/>
  <c r="C24" i="3" l="1"/>
  <c r="C41" i="3" l="1"/>
  <c r="F8" i="1"/>
  <c r="F25" i="1"/>
  <c r="F23" i="1" l="1"/>
  <c r="C6" i="4" l="1"/>
  <c r="H10" i="4"/>
  <c r="F18" i="1"/>
  <c r="C26" i="3" l="1"/>
  <c r="C31" i="3" s="1"/>
  <c r="C32"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24" i="1" l="1"/>
  <c r="F21" i="1" l="1"/>
  <c r="F28" i="1" l="1"/>
  <c r="F26" i="1"/>
  <c r="F27" i="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F19" i="1"/>
  <c r="P27" i="1" s="1"/>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J5" i="1" s="1"/>
  <c r="I39" i="4"/>
  <c r="K8" i="4" l="1"/>
  <c r="K22" i="4" s="1"/>
  <c r="L23" i="4"/>
  <c r="N23" i="4" s="1"/>
  <c r="J16" i="1" s="1"/>
  <c r="L31" i="4"/>
  <c r="N31" i="4" s="1"/>
  <c r="J24" i="1" s="1"/>
  <c r="L17" i="4"/>
  <c r="N17" i="4" s="1"/>
  <c r="J10" i="1" s="1"/>
  <c r="L22" i="4"/>
  <c r="N22" i="4" s="1"/>
  <c r="J15" i="1" s="1"/>
  <c r="L29" i="4"/>
  <c r="N29" i="4" s="1"/>
  <c r="J22" i="1" s="1"/>
  <c r="L15" i="4"/>
  <c r="N15" i="4" s="1"/>
  <c r="J8" i="1" s="1"/>
  <c r="L27" i="4"/>
  <c r="N27" i="4" s="1"/>
  <c r="J20" i="1" s="1"/>
  <c r="L13" i="4"/>
  <c r="N13" i="4" s="1"/>
  <c r="J6" i="1" s="1"/>
  <c r="L26" i="4"/>
  <c r="N26" i="4" s="1"/>
  <c r="J19" i="1" s="1"/>
  <c r="L33" i="4"/>
  <c r="N33" i="4" s="1"/>
  <c r="J26" i="1" s="1"/>
  <c r="L28" i="4"/>
  <c r="N28" i="4" s="1"/>
  <c r="J21" i="1" s="1"/>
  <c r="L24" i="4"/>
  <c r="N24" i="4" s="1"/>
  <c r="J17" i="1" s="1"/>
  <c r="L11" i="4"/>
  <c r="N11" i="4" s="1"/>
  <c r="J4" i="1" s="1"/>
  <c r="L34" i="4"/>
  <c r="N34" i="4" s="1"/>
  <c r="J27" i="1" s="1"/>
  <c r="L18" i="4"/>
  <c r="N18" i="4" s="1"/>
  <c r="J11" i="1" s="1"/>
  <c r="L19" i="4"/>
  <c r="N19" i="4" s="1"/>
  <c r="J12" i="1" s="1"/>
  <c r="L25" i="4"/>
  <c r="N25" i="4" s="1"/>
  <c r="J18" i="1" s="1"/>
  <c r="L36" i="4"/>
  <c r="N36" i="4" s="1"/>
  <c r="J29" i="1" s="1"/>
  <c r="L20" i="4"/>
  <c r="N20" i="4" s="1"/>
  <c r="J13" i="1" s="1"/>
  <c r="L35" i="4"/>
  <c r="N35" i="4" s="1"/>
  <c r="J28" i="1" s="1"/>
  <c r="L30" i="4"/>
  <c r="N30" i="4" s="1"/>
  <c r="J23" i="1" s="1"/>
  <c r="L14" i="4"/>
  <c r="N14" i="4" s="1"/>
  <c r="J7" i="1" s="1"/>
  <c r="L10" i="4"/>
  <c r="N10" i="4" s="1"/>
  <c r="J3" i="1" s="1"/>
  <c r="L21" i="4"/>
  <c r="N21" i="4" s="1"/>
  <c r="J14" i="1" s="1"/>
  <c r="L32" i="4"/>
  <c r="N32" i="4" s="1"/>
  <c r="J25" i="1" s="1"/>
  <c r="L16" i="4"/>
  <c r="N16" i="4" s="1"/>
  <c r="J9" i="1"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K31" i="1"/>
  <c r="D31" i="1"/>
  <c r="G29" i="1"/>
  <c r="G28" i="1"/>
  <c r="G27" i="1"/>
  <c r="G26" i="1"/>
  <c r="G25" i="1"/>
  <c r="G24" i="1"/>
  <c r="G23" i="1"/>
  <c r="G22" i="1"/>
  <c r="G21" i="1"/>
  <c r="G20" i="1"/>
  <c r="G19" i="1"/>
  <c r="G18" i="1"/>
  <c r="G17" i="1"/>
  <c r="G16" i="1"/>
  <c r="G15" i="1"/>
  <c r="G14" i="1"/>
  <c r="G13" i="1"/>
  <c r="G12" i="1"/>
  <c r="G11" i="1"/>
  <c r="G10" i="1"/>
  <c r="G9" i="1"/>
  <c r="G8" i="1"/>
  <c r="G7" i="1"/>
  <c r="G6" i="1"/>
  <c r="G5" i="1"/>
  <c r="G4" i="1"/>
  <c r="G3" i="1"/>
  <c r="M10" i="1" l="1"/>
  <c r="O10" i="1" s="1"/>
  <c r="M20" i="1"/>
  <c r="O20" i="1" s="1"/>
  <c r="H6" i="1"/>
  <c r="H12" i="1"/>
  <c r="H24" i="1"/>
  <c r="M24" i="1" s="1"/>
  <c r="O24" i="1" s="1"/>
  <c r="H7" i="1"/>
  <c r="M7" i="1" s="1"/>
  <c r="O7" i="1" s="1"/>
  <c r="H13" i="1"/>
  <c r="H17" i="1"/>
  <c r="H21" i="1"/>
  <c r="M21" i="1" s="1"/>
  <c r="O21" i="1" s="1"/>
  <c r="H25" i="1"/>
  <c r="H4" i="1"/>
  <c r="H8" i="1"/>
  <c r="H11" i="1"/>
  <c r="M11" i="1" s="1"/>
  <c r="O11" i="1" s="1"/>
  <c r="H14" i="1"/>
  <c r="M14" i="1" s="1"/>
  <c r="O14" i="1" s="1"/>
  <c r="H18" i="1"/>
  <c r="H26" i="1"/>
  <c r="H9" i="1"/>
  <c r="M9" i="1" s="1"/>
  <c r="O9" i="1" s="1"/>
  <c r="H16" i="1"/>
  <c r="H28" i="1"/>
  <c r="H3" i="1"/>
  <c r="H29" i="1"/>
  <c r="M29" i="1" s="1"/>
  <c r="O29" i="1" s="1"/>
  <c r="H5" i="1"/>
  <c r="H15" i="1"/>
  <c r="H19" i="1"/>
  <c r="M19" i="1" s="1"/>
  <c r="O19" i="1" s="1"/>
  <c r="H23" i="1"/>
  <c r="H27" i="1"/>
  <c r="M27" i="1" s="1"/>
  <c r="O27" i="1" s="1"/>
  <c r="H22" i="1"/>
  <c r="M22" i="1" s="1"/>
  <c r="O22" i="1" s="1"/>
  <c r="I31" i="1"/>
  <c r="F31" i="1"/>
  <c r="C57" i="3"/>
  <c r="M3" i="1" l="1"/>
  <c r="O3" i="1" s="1"/>
  <c r="O17" i="4"/>
  <c r="O27" i="4"/>
  <c r="O34" i="4"/>
  <c r="M5" i="1"/>
  <c r="O5" i="1" s="1"/>
  <c r="M26" i="1"/>
  <c r="O26" i="1" s="1"/>
  <c r="M28" i="1"/>
  <c r="O28" i="1" s="1"/>
  <c r="M17" i="1"/>
  <c r="O17" i="1" s="1"/>
  <c r="M4" i="1"/>
  <c r="O4" i="1" s="1"/>
  <c r="O14" i="4"/>
  <c r="M12" i="1"/>
  <c r="O12" i="1" s="1"/>
  <c r="M6" i="1"/>
  <c r="O6" i="1" s="1"/>
  <c r="M15" i="1"/>
  <c r="O15" i="1" s="1"/>
  <c r="M8" i="1"/>
  <c r="O8" i="1" s="1"/>
  <c r="O29" i="4"/>
  <c r="O36" i="4"/>
  <c r="O21" i="4"/>
  <c r="O26" i="4"/>
  <c r="O16" i="4"/>
  <c r="O18" i="4"/>
  <c r="O28" i="4"/>
  <c r="O31" i="4"/>
  <c r="M23" i="1"/>
  <c r="O23" i="1" s="1"/>
  <c r="M13" i="1"/>
  <c r="O13" i="1" s="1"/>
  <c r="M25" i="1"/>
  <c r="O25" i="1" s="1"/>
  <c r="M18" i="1"/>
  <c r="O18" i="1" s="1"/>
  <c r="M16" i="1"/>
  <c r="O16" i="1" s="1"/>
  <c r="C48" i="3"/>
  <c r="O12" i="4" l="1"/>
  <c r="O35" i="4"/>
  <c r="O30" i="4"/>
  <c r="O11" i="4"/>
  <c r="O13" i="4"/>
  <c r="O19" i="4"/>
  <c r="M31" i="1"/>
  <c r="O20" i="4"/>
  <c r="O24" i="4"/>
  <c r="O23" i="4"/>
  <c r="O15" i="4"/>
  <c r="O32" i="4"/>
  <c r="O25" i="4"/>
  <c r="O22" i="4"/>
  <c r="O33" i="4"/>
  <c r="O10" i="4"/>
  <c r="C60" i="3"/>
  <c r="C43" i="3" l="1"/>
  <c r="C47" i="3" s="1"/>
  <c r="C52" i="3" s="1"/>
</calcChain>
</file>

<file path=xl/sharedStrings.xml><?xml version="1.0" encoding="utf-8"?>
<sst xmlns="http://schemas.openxmlformats.org/spreadsheetml/2006/main" count="193" uniqueCount="124">
  <si>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</si>
  <si>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</si>
  <si>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</si>
  <si>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</si>
  <si>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</si>
  <si>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</si>
  <si>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</si>
  <si>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</si>
  <si>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</si>
  <si>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</si>
  <si>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</si>
  <si>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</si>
  <si>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</si>
  <si>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</si>
  <si>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</si>
  <si>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</si>
  <si>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</si>
  <si>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</si>
  <si>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</si>
  <si>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</si>
  <si>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</si>
  <si>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</si>
  <si>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</si>
  <si>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</si>
  <si>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</si>
  <si>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</si>
  <si>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</si>
  <si>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</si>
  <si>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</si>
  <si>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</si>
  <si>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</si>
  <si>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</si>
  <si>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</si>
  <si>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</si>
  <si>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</si>
  <si>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</si>
  <si>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</si>
  <si>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</si>
  <si>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</si>
  <si>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</si>
  <si>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</si>
  <si>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</si>
  <si>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</si>
  <si>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</si>
  <si>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</si>
  <si>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</si>
  <si>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</si>
  <si>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</si>
  <si>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</si>
  <si>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</si>
  <si>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</si>
  <si>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</si>
  <si>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</si>
  <si>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</si>
  <si>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</si>
  <si>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</si>
  <si>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</si>
  <si>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</si>
  <si>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</si>
  <si>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</si>
  <si>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</si>
  <si>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</si>
  <si>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</si>
  <si>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</si>
  <si>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</si>
  <si>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</si>
  <si>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</si>
  <si>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</si>
  <si>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</si>
  <si>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</si>
  <si>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</si>
  <si>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</si>
  <si>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</si>
  <si>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</si>
  <si>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</si>
  <si>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</si>
  <si>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</si>
  <si>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</si>
  <si>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</si>
  <si>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</si>
  <si>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</si>
  <si>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</si>
  <si>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</si>
  <si>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</si>
  <si>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</si>
  <si>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</si>
  <si>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</si>
  <si>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</si>
  <si>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</si>
  <si>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</si>
  <si>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</si>
  <si>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</si>
  <si>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</si>
  <si>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Leandro</t>
  </si>
  <si>
    <t xml:space="preserve">Leonor </t>
  </si>
  <si>
    <t>INGRESOS CORRESPONDIENTES AL PAGO DE EXPENSAS</t>
  </si>
  <si>
    <t>Sueldo personal de limpieza y maestranza</t>
  </si>
  <si>
    <t>Seguro de vida Sra encargada</t>
  </si>
  <si>
    <t>CAJA ANTERIOR</t>
  </si>
  <si>
    <t>Gastos extraordinarios:</t>
  </si>
  <si>
    <t>Expensas ordinarias:</t>
  </si>
  <si>
    <t>ORDINARIAS</t>
  </si>
  <si>
    <t>Seguro de consorcio obligatorio -  federacion patronal - poliza nro. 2027630</t>
  </si>
  <si>
    <t>Anabella</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</si>
  <si>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</si>
  <si>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</si>
  <si>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Fumigacion</t>
  </si>
  <si>
    <t>EXTRAORD.</t>
  </si>
  <si>
    <t>ARBA:</t>
  </si>
  <si>
    <t>PUNITORIOS MAL COBRADOS</t>
  </si>
  <si>
    <t>EDESUR</t>
  </si>
  <si>
    <t>SIN EDESUR</t>
  </si>
  <si>
    <t xml:space="preserve">Subidos en EN3R0 </t>
  </si>
  <si>
    <t>PREVISION EXTRAORDINARIA - ARBA</t>
  </si>
  <si>
    <t>Vto. 13/03</t>
  </si>
  <si>
    <t>LIQUIDACIÓN EXPENSAS FEBRERO 2025</t>
  </si>
  <si>
    <t>EGRESOS DEL MES DE FEBRERO</t>
  </si>
  <si>
    <t>Articulos de limpieza</t>
  </si>
  <si>
    <t>Carnevalli Christian</t>
  </si>
  <si>
    <t>Espacio Edesur</t>
  </si>
  <si>
    <t>Ascensores Lema - Puesta en marcha de ascensor - Trabajos realizados con mecanismos de puerta en 2do piso</t>
  </si>
  <si>
    <t>ARBA - Cuota 3 del plan</t>
  </si>
  <si>
    <t>No llego factura</t>
  </si>
  <si>
    <t>ULTIMA CUOTA PLAN DE PAGOS 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</si>
</sst>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1"/>
      <color rgb="FFFF0000"/>
      <name val="Calibri"/>
      <family val="2"/>
      <scheme val="minor"/>
    </font>
    <font>
      <sz val="11"/>
      <color theme="0"/>
      <name val="Calibri"/>
      <family val="2"/>
    </font>
    <font>
      <b/>
      <sz val="10"/>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15">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170" fontId="25" fillId="6" borderId="15"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0" fontId="0" fillId="11"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3" fillId="6" borderId="15" xfId="0" applyFont="1" applyFill="1" applyBorder="1" applyAlignment="1">
      <alignment horizontal="center"/>
    </xf>
    <xf numFmtId="0" fontId="24" fillId="0" borderId="1" xfId="0" applyFont="1" applyBorder="1"/>
    <xf numFmtId="4" fontId="0" fillId="5" borderId="1" xfId="0" applyNumberFormat="1" applyFill="1" applyBorder="1"/>
    <xf numFmtId="164" fontId="19" fillId="5" borderId="1" xfId="0" applyNumberFormat="1" applyFont="1" applyFill="1" applyBorder="1"/>
    <xf numFmtId="44" fontId="20" fillId="5" borderId="4" xfId="2" applyNumberFormat="1" applyFont="1" applyFill="1" applyBorder="1"/>
    <xf numFmtId="4" fontId="32" fillId="0" borderId="1" xfId="0" applyNumberFormat="1" applyFont="1" applyBorder="1"/>
    <xf numFmtId="164" fontId="32" fillId="0" borderId="1" xfId="2" applyFont="1" applyBorder="1"/>
    <xf numFmtId="0" fontId="10" fillId="0" borderId="1" xfId="0" applyFont="1" applyBorder="1" applyAlignment="1">
      <alignment horizontal="center"/>
    </xf>
    <xf numFmtId="44" fontId="33" fillId="0" borderId="13" xfId="0" applyNumberFormat="1" applyFont="1" applyBorder="1"/>
    <xf numFmtId="171" fontId="34" fillId="5" borderId="1" xfId="0" applyNumberFormat="1" applyFont="1" applyFill="1" applyBorder="1"/>
    <xf numFmtId="166" fontId="19" fillId="0" borderId="4" xfId="0" applyNumberFormat="1" applyFont="1" applyBorder="1"/>
    <xf numFmtId="166" fontId="19" fillId="5" borderId="4" xfId="0" applyNumberFormat="1" applyFont="1" applyFill="1" applyBorder="1"/>
    <xf numFmtId="0" fontId="27" fillId="7" borderId="9" xfId="0" applyFont="1" applyFill="1" applyBorder="1" applyAlignment="1">
      <alignment horizontal="center" vertical="center" wrapText="1"/>
    </xf>
    <xf numFmtId="171" fontId="25" fillId="0" borderId="13" xfId="0" applyNumberFormat="1" applyFont="1" applyBorder="1"/>
    <xf numFmtId="171" fontId="28" fillId="5" borderId="13" xfId="0" applyNumberFormat="1" applyFont="1" applyFill="1" applyBorder="1"/>
    <xf numFmtId="171" fontId="28" fillId="5" borderId="1" xfId="0" applyNumberFormat="1" applyFont="1" applyFill="1" applyBorder="1"/>
    <xf numFmtId="171" fontId="25" fillId="5" borderId="1" xfId="0" applyNumberFormat="1" applyFont="1" applyFill="1" applyBorder="1" applyAlignment="1">
      <alignment horizontal="right" vertical="center"/>
    </xf>
    <xf numFmtId="171" fontId="25" fillId="6" borderId="1" xfId="0" applyNumberFormat="1" applyFont="1" applyFill="1" applyBorder="1"/>
    <xf numFmtId="171" fontId="28" fillId="6" borderId="1" xfId="0" applyNumberFormat="1" applyFont="1" applyFill="1" applyBorder="1"/>
    <xf numFmtId="0" fontId="19" fillId="5" borderId="1" xfId="0" applyFont="1" applyFill="1" applyBorder="1" applyAlignment="1">
      <alignment horizontal="left" vertical="center"/>
    </xf>
    <xf numFmtId="0" fontId="19" fillId="5" borderId="1" xfId="0" applyFont="1" applyFill="1" applyBorder="1" applyAlignment="1">
      <alignment horizontal="centerContinuous" vertical="center" wrapText="1"/>
    </xf>
    <xf numFmtId="4" fontId="10" fillId="5" borderId="1" xfId="0" applyNumberFormat="1" applyFont="1" applyFill="1" applyBorder="1" applyAlignment="1">
      <alignment horizontal="right" vertical="center"/>
    </xf>
    <xf numFmtId="0" fontId="23" fillId="5" borderId="15" xfId="0" applyFont="1" applyFill="1" applyBorder="1" applyAlignment="1">
      <alignment horizontal="left"/>
    </xf>
    <xf numFmtId="0" fontId="23" fillId="5" borderId="15" xfId="0" applyFont="1" applyFill="1" applyBorder="1" applyAlignment="1">
      <alignment horizontal="center"/>
    </xf>
    <xf numFmtId="0" fontId="26" fillId="6" borderId="3" xfId="3" applyFont="1" applyFill="1" applyBorder="1"/>
    <xf numFmtId="43" fontId="26" fillId="6" borderId="3" xfId="4" applyFont="1" applyFill="1" applyBorder="1"/>
    <xf numFmtId="0" fontId="19" fillId="6" borderId="15" xfId="0" applyFont="1" applyFill="1" applyBorder="1"/>
    <xf numFmtId="171" fontId="25" fillId="6" borderId="16" xfId="0" applyNumberFormat="1" applyFont="1" applyFill="1" applyBorder="1"/>
    <xf numFmtId="4" fontId="10" fillId="5" borderId="1" xfId="0" applyNumberFormat="1" applyFont="1" applyFill="1" applyBorder="1" applyAlignment="1">
      <alignment horizontal="right"/>
    </xf>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left" vertical="center" wrapText="1"/>
    </xf>
    <xf numFmtId="0" fontId="31" fillId="6" borderId="0" xfId="0" applyFont="1" applyFill="1" applyAlignment="1">
      <alignment horizontal="left" vertical="center"/>
    </xf>
    <xf numFmtId="0" fontId="0" fillId="5" borderId="5" xfId="0" applyFill="1" applyBorder="1" applyAlignment="1">
      <alignment horizontal="left" vertical="center" wrapText="1"/>
    </xf>
    <xf numFmtId="0" fontId="0" fillId="5" borderId="7" xfId="0" applyFill="1" applyBorder="1" applyAlignment="1">
      <alignment horizontal="left" vertical="center" wrapText="1"/>
    </xf>
    <xf numFmtId="164" fontId="0" fillId="0" borderId="2" xfId="2" applyFont="1" applyBorder="1" applyAlignment="1">
      <alignment horizontal="center"/>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33" fillId="0" borderId="13" xfId="0" applyNumberFormat="1" applyFont="1" applyBorder="1" applyAlignment="1">
      <alignment horizontal="center"/>
    </xf>
    <xf numFmtId="4" fontId="9" fillId="0" borderId="1" xfId="0" applyNumberFormat="1" applyFont="1" applyBorder="1"/>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571500</xdr:colOff>
      <xdr:row>1</xdr:row>
      <xdr:rowOff>104775</xdr:rowOff>
    </xdr:from>
    <xdr:ext cx="1647825" cy="981076"/>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581150" y="371475"/>
          <a:ext cx="1647825" cy="981076"/>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4"/>
  <sheetViews>
    <sheetView tabSelected="1" topLeftCell="A41" workbookViewId="0">
      <selection activeCell="A65" sqref="A65"/>
    </sheetView>
  </sheetViews>
  <sheetFormatPr baseColWidth="10" defaultRowHeight="15" x14ac:dyDescent="0.25"/>
  <cols>
    <col min="1" max="1" width="38" customWidth="1"/>
    <col min="2" max="2" width="40.28515625" customWidth="1"/>
    <col min="3" max="3" width="16.42578125" customWidth="1"/>
    <col min="4" max="4" width="13.8554687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115</v>
      </c>
      <c r="C7" s="17" t="s">
        <v>114</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102</v>
      </c>
      <c r="B18" s="38"/>
      <c r="C18" s="33">
        <v>76654</v>
      </c>
      <c r="D18" s="4"/>
      <c r="E18" s="6"/>
    </row>
    <row r="19" spans="1:6" x14ac:dyDescent="0.25">
      <c r="A19" s="28" t="s">
        <v>10</v>
      </c>
      <c r="B19" s="39"/>
      <c r="C19" s="199">
        <v>358727.59</v>
      </c>
      <c r="D19" s="20"/>
      <c r="F19" s="6"/>
    </row>
    <row r="20" spans="1:6" x14ac:dyDescent="0.25">
      <c r="A20" s="28" t="s">
        <v>25</v>
      </c>
      <c r="B20" s="39"/>
      <c r="C20" s="33">
        <v>85000</v>
      </c>
      <c r="D20" s="20"/>
      <c r="F20" s="6"/>
    </row>
    <row r="21" spans="1:6" ht="37.15" customHeight="1" x14ac:dyDescent="0.25">
      <c r="A21" s="204" t="s">
        <v>120</v>
      </c>
      <c r="B21" s="205"/>
      <c r="C21" s="33">
        <v>130000</v>
      </c>
      <c r="D21" s="20"/>
      <c r="F21" s="6"/>
    </row>
    <row r="22" spans="1:6" ht="20.45" customHeight="1" x14ac:dyDescent="0.25">
      <c r="A22" s="28" t="s">
        <v>121</v>
      </c>
      <c r="B22" s="39"/>
      <c r="C22" s="33">
        <v>1034026.5</v>
      </c>
      <c r="D22" s="20"/>
      <c r="F22" s="6"/>
    </row>
    <row r="23" spans="1:6" x14ac:dyDescent="0.25">
      <c r="A23" s="28" t="s">
        <v>11</v>
      </c>
      <c r="B23" s="39" t="s">
        <v>22</v>
      </c>
      <c r="C23" s="33">
        <v>89200</v>
      </c>
      <c r="F23" t="s">
        <v>112</v>
      </c>
    </row>
    <row r="24" spans="1:6" x14ac:dyDescent="0.25">
      <c r="A24" s="40"/>
      <c r="B24" s="41"/>
      <c r="C24" s="23">
        <f>SUM(C17:C23)</f>
        <v>1773608.09</v>
      </c>
    </row>
    <row r="25" spans="1:6" ht="15.75" x14ac:dyDescent="0.25">
      <c r="A25" s="35" t="s">
        <v>12</v>
      </c>
      <c r="B25" s="39"/>
      <c r="C25" s="178"/>
      <c r="D25" s="45"/>
      <c r="F25" s="12"/>
    </row>
    <row r="26" spans="1:6" ht="15.75" x14ac:dyDescent="0.25">
      <c r="A26" s="28" t="s">
        <v>96</v>
      </c>
      <c r="B26" s="42"/>
      <c r="C26" s="33">
        <f>349151.87+ (349151.87*10%)</f>
        <v>384067.05699999997</v>
      </c>
      <c r="D26" s="45"/>
      <c r="F26" s="12"/>
    </row>
    <row r="27" spans="1:6" ht="15.75" x14ac:dyDescent="0.25">
      <c r="A27" s="28" t="s">
        <v>97</v>
      </c>
      <c r="B27" s="28"/>
      <c r="C27" s="33">
        <v>7458</v>
      </c>
      <c r="D27" s="45"/>
      <c r="F27" s="12"/>
    </row>
    <row r="28" spans="1:6" ht="15.75" x14ac:dyDescent="0.25">
      <c r="A28" s="28" t="s">
        <v>117</v>
      </c>
      <c r="B28" s="42"/>
      <c r="C28" s="33">
        <v>84450</v>
      </c>
      <c r="D28" s="45"/>
      <c r="F28" s="12"/>
    </row>
    <row r="29" spans="1:6" ht="15.75" x14ac:dyDescent="0.25">
      <c r="A29" s="28" t="s">
        <v>106</v>
      </c>
      <c r="B29" s="42"/>
      <c r="C29" s="192" t="s">
        <v>122</v>
      </c>
      <c r="F29" s="12"/>
    </row>
    <row r="30" spans="1:6" ht="15.75" x14ac:dyDescent="0.25">
      <c r="A30" s="28" t="s">
        <v>91</v>
      </c>
      <c r="B30" s="39"/>
      <c r="C30" s="34"/>
      <c r="D30" s="4"/>
      <c r="E30" s="6"/>
      <c r="F30" s="12"/>
    </row>
    <row r="31" spans="1:6" ht="15.75" x14ac:dyDescent="0.25">
      <c r="A31" s="40"/>
      <c r="B31" s="41"/>
      <c r="C31" s="23">
        <f>SUM(C25:C30)</f>
        <v>475975.05699999997</v>
      </c>
      <c r="F31" s="12"/>
    </row>
    <row r="32" spans="1:6" ht="15.75" x14ac:dyDescent="0.25">
      <c r="A32" s="30" t="s">
        <v>6</v>
      </c>
      <c r="B32" s="30"/>
      <c r="C32" s="43">
        <f>+C31+C24</f>
        <v>2249583.1469999999</v>
      </c>
      <c r="F32" s="12"/>
    </row>
    <row r="33" spans="1:6" ht="15.75" x14ac:dyDescent="0.25">
      <c r="C33" s="24"/>
      <c r="F33" s="12"/>
    </row>
    <row r="34" spans="1:6" ht="15.75" x14ac:dyDescent="0.25">
      <c r="A34" s="13" t="s">
        <v>17</v>
      </c>
      <c r="C34" s="24"/>
      <c r="F34" s="12"/>
    </row>
    <row r="35" spans="1:6" ht="15.75" x14ac:dyDescent="0.25">
      <c r="A35" s="28"/>
      <c r="B35" s="28"/>
      <c r="C35" s="173"/>
      <c r="F35" s="12"/>
    </row>
    <row r="36" spans="1:6" ht="15.75" x14ac:dyDescent="0.25">
      <c r="A36" s="28"/>
      <c r="B36" s="28"/>
      <c r="C36" s="173"/>
      <c r="F36" s="12"/>
    </row>
    <row r="37" spans="1:6" ht="15.75" x14ac:dyDescent="0.25">
      <c r="A37" s="28"/>
      <c r="B37" s="28"/>
      <c r="C37" s="34"/>
      <c r="F37" s="12"/>
    </row>
    <row r="38" spans="1:6" ht="15.75" x14ac:dyDescent="0.25">
      <c r="C38" s="25"/>
      <c r="F38" s="12"/>
    </row>
    <row r="39" spans="1:6" ht="15.75" x14ac:dyDescent="0.25">
      <c r="A39" s="157" t="s">
        <v>113</v>
      </c>
      <c r="B39" s="157"/>
      <c r="C39" s="158">
        <v>500000</v>
      </c>
      <c r="F39" s="12"/>
    </row>
    <row r="40" spans="1:6" ht="15.75" x14ac:dyDescent="0.25">
      <c r="C40" s="25"/>
      <c r="F40" s="12"/>
    </row>
    <row r="41" spans="1:6" x14ac:dyDescent="0.25">
      <c r="A41" s="13" t="s">
        <v>15</v>
      </c>
      <c r="B41" s="13"/>
      <c r="C41" s="14">
        <f>+C35+C36+C37+C40</f>
        <v>0</v>
      </c>
      <c r="E41" s="6"/>
    </row>
    <row r="43" spans="1:6" x14ac:dyDescent="0.25">
      <c r="A43" s="18" t="s">
        <v>7</v>
      </c>
      <c r="B43" s="18"/>
      <c r="C43" s="19">
        <f>+C41+C32</f>
        <v>2249583.1469999999</v>
      </c>
    </row>
    <row r="45" spans="1:6" ht="15" customHeight="1" x14ac:dyDescent="0.25">
      <c r="A45" s="4"/>
      <c r="C45" s="141"/>
      <c r="D45" s="6"/>
      <c r="E45" s="6"/>
    </row>
    <row r="46" spans="1:6" x14ac:dyDescent="0.25">
      <c r="A46" s="163" t="s">
        <v>98</v>
      </c>
      <c r="B46" s="28"/>
      <c r="C46" s="164">
        <v>-141024.51037612878</v>
      </c>
      <c r="D46" s="6"/>
      <c r="E46" s="6"/>
    </row>
    <row r="47" spans="1:6" x14ac:dyDescent="0.25">
      <c r="A47" s="163" t="s">
        <v>116</v>
      </c>
      <c r="B47" s="28"/>
      <c r="C47" s="177">
        <f>-(C43-C30)</f>
        <v>-2249583.1469999999</v>
      </c>
      <c r="D47" s="6"/>
      <c r="E47" s="6"/>
    </row>
    <row r="48" spans="1:6" x14ac:dyDescent="0.25">
      <c r="A48" s="163" t="s">
        <v>95</v>
      </c>
      <c r="B48" s="28"/>
      <c r="C48" s="165">
        <f>'prorrateo '!F31</f>
        <v>4309983.1316235811</v>
      </c>
    </row>
    <row r="49" spans="1:6" x14ac:dyDescent="0.25">
      <c r="A49" s="163" t="s">
        <v>110</v>
      </c>
      <c r="B49" s="28"/>
      <c r="C49" s="176">
        <v>-987480.77</v>
      </c>
    </row>
    <row r="50" spans="1:6" x14ac:dyDescent="0.25">
      <c r="A50" s="163" t="s">
        <v>123</v>
      </c>
      <c r="B50" s="28"/>
      <c r="C50" s="214">
        <v>107386</v>
      </c>
    </row>
    <row r="51" spans="1:6" x14ac:dyDescent="0.25">
      <c r="A51" s="163" t="s">
        <v>109</v>
      </c>
      <c r="B51" s="28"/>
      <c r="C51" s="31">
        <v>0</v>
      </c>
    </row>
    <row r="52" spans="1:6" x14ac:dyDescent="0.25">
      <c r="A52" s="163" t="s">
        <v>8</v>
      </c>
      <c r="B52" s="28"/>
      <c r="C52" s="164">
        <f>SUM(C46:C51)</f>
        <v>1039280.7042474523</v>
      </c>
      <c r="D52" s="5"/>
    </row>
    <row r="53" spans="1:6" ht="12.75" customHeight="1" x14ac:dyDescent="0.25">
      <c r="A53" s="9"/>
      <c r="B53" s="8"/>
      <c r="C53" s="10"/>
    </row>
    <row r="54" spans="1:6" hidden="1" x14ac:dyDescent="0.25">
      <c r="A54" s="200"/>
      <c r="B54" s="200"/>
      <c r="C54" s="200"/>
      <c r="F54" s="44"/>
    </row>
    <row r="55" spans="1:6" ht="46.5" hidden="1" customHeight="1" x14ac:dyDescent="0.25">
      <c r="A55" s="201"/>
      <c r="B55" s="201"/>
      <c r="C55" s="201"/>
    </row>
    <row r="56" spans="1:6" ht="0.75" hidden="1" customHeight="1" x14ac:dyDescent="0.25">
      <c r="A56" s="26" t="s">
        <v>20</v>
      </c>
      <c r="B56" s="27"/>
      <c r="C56" s="29"/>
    </row>
    <row r="57" spans="1:6" hidden="1" x14ac:dyDescent="0.25">
      <c r="A57" s="28" t="s">
        <v>23</v>
      </c>
      <c r="B57" s="28"/>
      <c r="C57" s="31">
        <f>-C41</f>
        <v>0</v>
      </c>
    </row>
    <row r="58" spans="1:6" hidden="1" x14ac:dyDescent="0.25">
      <c r="A58" s="28"/>
      <c r="B58" s="28"/>
      <c r="C58" s="31"/>
    </row>
    <row r="59" spans="1:6" hidden="1" x14ac:dyDescent="0.25">
      <c r="A59" s="28"/>
      <c r="B59" s="28"/>
      <c r="C59" s="32"/>
    </row>
    <row r="60" spans="1:6" hidden="1" x14ac:dyDescent="0.25">
      <c r="A60" s="142" t="s">
        <v>0</v>
      </c>
      <c r="B60" s="143"/>
      <c r="C60" s="144">
        <f>SUM(C56:C59)</f>
        <v>0</v>
      </c>
    </row>
    <row r="61" spans="1:6" x14ac:dyDescent="0.25">
      <c r="A61" s="202" t="s">
        <v>105</v>
      </c>
      <c r="B61" s="203"/>
      <c r="C61" s="203"/>
    </row>
    <row r="62" spans="1:6" x14ac:dyDescent="0.25">
      <c r="A62" s="203"/>
      <c r="B62" s="203"/>
      <c r="C62" s="203"/>
    </row>
    <row r="63" spans="1:6" ht="45.75" customHeight="1" x14ac:dyDescent="0.25">
      <c r="A63" s="203"/>
      <c r="B63" s="203"/>
      <c r="C63" s="203"/>
    </row>
    <row r="64" spans="1:6" x14ac:dyDescent="0.25">
      <c r="A64" s="8"/>
      <c r="B64" s="8"/>
      <c r="C64" s="8"/>
    </row>
  </sheetData>
  <mergeCells count="3">
    <mergeCell ref="A54:C55"/>
    <mergeCell ref="A61:C63"/>
    <mergeCell ref="A21:B21"/>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6"/>
  <sheetViews>
    <sheetView topLeftCell="A2" workbookViewId="0">
      <selection activeCell="F10" sqref="F10"/>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710937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5.140625" style="11" customWidth="1"/>
    <col min="16" max="16" width="13" bestFit="1" customWidth="1"/>
  </cols>
  <sheetData>
    <row r="1" spans="1:16" x14ac:dyDescent="0.25">
      <c r="A1" s="1" t="s">
        <v>100</v>
      </c>
      <c r="B1" s="206">
        <f>N1</f>
        <v>2249583.1469999999</v>
      </c>
      <c r="C1" s="206"/>
      <c r="D1" s="135">
        <v>1667839.1270000001</v>
      </c>
      <c r="E1" t="s">
        <v>99</v>
      </c>
      <c r="G1" s="207">
        <v>0</v>
      </c>
      <c r="H1" s="207"/>
      <c r="I1" s="208" t="s">
        <v>108</v>
      </c>
      <c r="J1" s="208"/>
      <c r="K1" s="208"/>
      <c r="L1" s="206">
        <v>500000</v>
      </c>
      <c r="M1" s="206"/>
      <c r="N1">
        <v>2249583.1469999999</v>
      </c>
    </row>
    <row r="2" spans="1:16" ht="34.5" customHeight="1" x14ac:dyDescent="0.25">
      <c r="A2" s="46" t="s">
        <v>26</v>
      </c>
      <c r="B2" s="46" t="s">
        <v>19</v>
      </c>
      <c r="C2" s="134" t="s">
        <v>89</v>
      </c>
      <c r="D2" s="47" t="s">
        <v>1</v>
      </c>
      <c r="E2" s="48" t="s">
        <v>27</v>
      </c>
      <c r="F2" s="48" t="s">
        <v>28</v>
      </c>
      <c r="G2" s="49" t="s">
        <v>29</v>
      </c>
      <c r="H2" s="162" t="s">
        <v>92</v>
      </c>
      <c r="I2" s="50" t="s">
        <v>101</v>
      </c>
      <c r="J2" s="50" t="s">
        <v>110</v>
      </c>
      <c r="K2" s="50" t="s">
        <v>107</v>
      </c>
      <c r="L2" s="50" t="s">
        <v>104</v>
      </c>
      <c r="M2" s="51" t="s">
        <v>30</v>
      </c>
      <c r="O2" s="11" t="s">
        <v>111</v>
      </c>
    </row>
    <row r="3" spans="1:16" x14ac:dyDescent="0.25">
      <c r="A3" s="52" t="s">
        <v>31</v>
      </c>
      <c r="B3" s="53" t="s">
        <v>90</v>
      </c>
      <c r="C3" s="54" t="s">
        <v>32</v>
      </c>
      <c r="D3" s="55">
        <v>5.1100000000000003</v>
      </c>
      <c r="E3" s="126">
        <v>245146.06472309006</v>
      </c>
      <c r="F3" s="175">
        <f t="shared" ref="F3" si="0">E3</f>
        <v>245146.06472309006</v>
      </c>
      <c r="G3" s="181">
        <f>E3-F3</f>
        <v>0</v>
      </c>
      <c r="H3" s="56">
        <f>IF(G3&gt;0,G3*4%,0)</f>
        <v>0</v>
      </c>
      <c r="I3" s="56">
        <f>B$1*D3/100</f>
        <v>114953.69881170001</v>
      </c>
      <c r="J3" s="56">
        <f>Edesur!N10</f>
        <v>56073.660329590006</v>
      </c>
      <c r="K3" s="56">
        <f>G$1*D3/100</f>
        <v>0</v>
      </c>
      <c r="L3" s="56">
        <f>L$1*D3/100</f>
        <v>25550</v>
      </c>
      <c r="M3" s="57">
        <f>I3+G3+L3+K3+H3+J3</f>
        <v>196577.35914129001</v>
      </c>
      <c r="N3" s="44"/>
      <c r="O3" s="138">
        <f>M3-J3</f>
        <v>140503.69881170001</v>
      </c>
    </row>
    <row r="4" spans="1:16" x14ac:dyDescent="0.25">
      <c r="A4" s="58" t="s">
        <v>33</v>
      </c>
      <c r="B4" s="59"/>
      <c r="C4" s="60" t="s">
        <v>34</v>
      </c>
      <c r="D4" s="61">
        <v>5.09</v>
      </c>
      <c r="E4" s="126">
        <v>237726.73859071001</v>
      </c>
      <c r="F4" s="175">
        <v>110474</v>
      </c>
      <c r="G4" s="181">
        <f t="shared" ref="G4:G29" si="1">E4-F4</f>
        <v>127252.73859071001</v>
      </c>
      <c r="H4" s="56">
        <f t="shared" ref="H4:H29" si="2">IF(G4&gt;0,G4*4%,0)</f>
        <v>5090.1095436284004</v>
      </c>
      <c r="I4" s="56">
        <f t="shared" ref="I4:I29" si="3">B$1*D4/100</f>
        <v>114503.7821823</v>
      </c>
      <c r="J4" s="56">
        <f>Edesur!N11</f>
        <v>32949.206114210021</v>
      </c>
      <c r="K4" s="56">
        <f t="shared" ref="K4:K29" si="4">G$1*D4/100</f>
        <v>0</v>
      </c>
      <c r="L4" s="56">
        <f t="shared" ref="L4:L29" si="5">L$1*D4/100</f>
        <v>25450</v>
      </c>
      <c r="M4" s="57">
        <f t="shared" ref="M4:M29" si="6">I4+G4+L4+K4+H4+J4</f>
        <v>305245.8364308484</v>
      </c>
      <c r="N4" s="44"/>
      <c r="O4" s="138">
        <f t="shared" ref="O4:O29" si="7">M4-J4</f>
        <v>272296.63031663839</v>
      </c>
    </row>
    <row r="5" spans="1:16" x14ac:dyDescent="0.25">
      <c r="A5" s="58" t="s">
        <v>35</v>
      </c>
      <c r="B5" s="59"/>
      <c r="C5" s="60" t="s">
        <v>36</v>
      </c>
      <c r="D5" s="61">
        <v>5.04</v>
      </c>
      <c r="E5" s="126">
        <v>254798.71871768872</v>
      </c>
      <c r="F5" s="175">
        <f>301940.37-F23</f>
        <v>254798.71925147998</v>
      </c>
      <c r="G5" s="181">
        <f t="shared" si="1"/>
        <v>-5.3379125893115997E-4</v>
      </c>
      <c r="H5" s="56">
        <f t="shared" si="2"/>
        <v>0</v>
      </c>
      <c r="I5" s="56">
        <f t="shared" si="3"/>
        <v>113378.9906088</v>
      </c>
      <c r="J5" s="56">
        <f>Edesur!N12</f>
        <v>65764.448675759995</v>
      </c>
      <c r="K5" s="56">
        <f t="shared" si="4"/>
        <v>0</v>
      </c>
      <c r="L5" s="56">
        <f t="shared" si="5"/>
        <v>25200</v>
      </c>
      <c r="M5" s="57">
        <f t="shared" si="6"/>
        <v>204343.43875076872</v>
      </c>
      <c r="N5" s="44"/>
      <c r="O5" s="138">
        <f t="shared" si="7"/>
        <v>138578.99007500871</v>
      </c>
    </row>
    <row r="6" spans="1:16" x14ac:dyDescent="0.25">
      <c r="A6" s="62" t="s">
        <v>37</v>
      </c>
      <c r="B6" s="161"/>
      <c r="C6" s="63" t="s">
        <v>38</v>
      </c>
      <c r="D6" s="160">
        <v>5.21</v>
      </c>
      <c r="E6" s="126">
        <v>390207.9854617868</v>
      </c>
      <c r="F6" s="175">
        <f>E6</f>
        <v>390207.9854617868</v>
      </c>
      <c r="G6" s="182">
        <f t="shared" si="1"/>
        <v>0</v>
      </c>
      <c r="H6" s="64">
        <f t="shared" si="2"/>
        <v>0</v>
      </c>
      <c r="I6" s="64">
        <f t="shared" si="3"/>
        <v>117203.28195869998</v>
      </c>
      <c r="J6" s="64">
        <f>Edesur!N13</f>
        <v>44952.17960648999</v>
      </c>
      <c r="K6" s="64">
        <f t="shared" si="4"/>
        <v>0</v>
      </c>
      <c r="L6" s="64">
        <f t="shared" si="5"/>
        <v>26050</v>
      </c>
      <c r="M6" s="174">
        <f t="shared" si="6"/>
        <v>188205.46156518997</v>
      </c>
      <c r="O6" s="138">
        <f t="shared" si="7"/>
        <v>143253.28195869998</v>
      </c>
      <c r="P6" s="159"/>
    </row>
    <row r="7" spans="1:16" x14ac:dyDescent="0.25">
      <c r="A7" s="58" t="s">
        <v>35</v>
      </c>
      <c r="B7" s="59" t="s">
        <v>93</v>
      </c>
      <c r="C7" s="60" t="s">
        <v>39</v>
      </c>
      <c r="D7" s="61">
        <v>5.1100000000000003</v>
      </c>
      <c r="E7" s="126">
        <v>244958.48660897004</v>
      </c>
      <c r="F7" s="175">
        <f>199250.14+92850-F28</f>
        <v>244958.48925148</v>
      </c>
      <c r="G7" s="181">
        <f t="shared" si="1"/>
        <v>-2.642509964061901E-3</v>
      </c>
      <c r="H7" s="56">
        <f t="shared" si="2"/>
        <v>0</v>
      </c>
      <c r="I7" s="56">
        <f t="shared" si="3"/>
        <v>114953.69881170001</v>
      </c>
      <c r="J7" s="56">
        <f>Edesur!N14</f>
        <v>58709.075029589992</v>
      </c>
      <c r="K7" s="56">
        <f t="shared" si="4"/>
        <v>0</v>
      </c>
      <c r="L7" s="56">
        <f t="shared" si="5"/>
        <v>25550</v>
      </c>
      <c r="M7" s="57">
        <f t="shared" si="6"/>
        <v>199212.77119878004</v>
      </c>
      <c r="O7" s="138">
        <f t="shared" si="7"/>
        <v>140503.69616919005</v>
      </c>
      <c r="P7" s="159"/>
    </row>
    <row r="8" spans="1:16" x14ac:dyDescent="0.25">
      <c r="A8" s="58" t="s">
        <v>40</v>
      </c>
      <c r="B8" s="59"/>
      <c r="C8" s="60" t="s">
        <v>41</v>
      </c>
      <c r="D8" s="61">
        <v>5.09</v>
      </c>
      <c r="E8" s="126">
        <v>244451.26649070997</v>
      </c>
      <c r="F8" s="175">
        <f t="shared" ref="F8" si="8">E8</f>
        <v>244451.26649070997</v>
      </c>
      <c r="G8" s="181">
        <f t="shared" si="1"/>
        <v>0</v>
      </c>
      <c r="H8" s="56">
        <f t="shared" si="2"/>
        <v>0</v>
      </c>
      <c r="I8" s="56">
        <f t="shared" si="3"/>
        <v>114503.7821823</v>
      </c>
      <c r="J8" s="56">
        <f>Edesur!N15</f>
        <v>62295.158414209989</v>
      </c>
      <c r="K8" s="56">
        <f t="shared" si="4"/>
        <v>0</v>
      </c>
      <c r="L8" s="56">
        <f t="shared" si="5"/>
        <v>25450</v>
      </c>
      <c r="M8" s="57">
        <f t="shared" si="6"/>
        <v>202248.94059650999</v>
      </c>
      <c r="O8" s="138">
        <f t="shared" si="7"/>
        <v>139953.7821823</v>
      </c>
    </row>
    <row r="9" spans="1:16" x14ac:dyDescent="0.25">
      <c r="A9" s="58" t="s">
        <v>42</v>
      </c>
      <c r="B9" s="59"/>
      <c r="C9" s="60" t="s">
        <v>43</v>
      </c>
      <c r="D9" s="61">
        <v>5.1100000000000003</v>
      </c>
      <c r="E9" s="126">
        <v>231697.00892309</v>
      </c>
      <c r="F9" s="175">
        <f>E9</f>
        <v>231697.00892309</v>
      </c>
      <c r="G9" s="181">
        <f t="shared" si="1"/>
        <v>0</v>
      </c>
      <c r="H9" s="56">
        <f t="shared" si="2"/>
        <v>0</v>
      </c>
      <c r="I9" s="56">
        <f t="shared" si="3"/>
        <v>114953.69881170001</v>
      </c>
      <c r="J9" s="56">
        <f>Edesur!N16</f>
        <v>45513.244129590013</v>
      </c>
      <c r="K9" s="56">
        <f t="shared" si="4"/>
        <v>0</v>
      </c>
      <c r="L9" s="56">
        <f t="shared" si="5"/>
        <v>25550</v>
      </c>
      <c r="M9" s="57">
        <f t="shared" si="6"/>
        <v>186016.94294129004</v>
      </c>
      <c r="O9" s="138">
        <f t="shared" si="7"/>
        <v>140503.69881170001</v>
      </c>
      <c r="P9" s="159"/>
    </row>
    <row r="10" spans="1:16" ht="24.75" customHeight="1" x14ac:dyDescent="0.25">
      <c r="A10" s="190" t="s">
        <v>118</v>
      </c>
      <c r="B10" s="191"/>
      <c r="C10" s="63" t="s">
        <v>45</v>
      </c>
      <c r="D10" s="160">
        <v>5.09</v>
      </c>
      <c r="E10" s="126">
        <v>224924.81309071</v>
      </c>
      <c r="F10" s="175">
        <f>379452.66-107386-F22</f>
        <v>224925.00925147996</v>
      </c>
      <c r="G10" s="182">
        <f t="shared" si="1"/>
        <v>-0.19616076996317133</v>
      </c>
      <c r="H10" s="64"/>
      <c r="I10" s="64">
        <f t="shared" si="3"/>
        <v>114503.7821823</v>
      </c>
      <c r="J10" s="64">
        <f>Edesur!N17</f>
        <v>36438.08251421</v>
      </c>
      <c r="K10" s="64">
        <f t="shared" si="4"/>
        <v>0</v>
      </c>
      <c r="L10" s="64">
        <f t="shared" si="5"/>
        <v>25450</v>
      </c>
      <c r="M10" s="174">
        <f t="shared" si="6"/>
        <v>176391.66853574003</v>
      </c>
      <c r="O10" s="138">
        <f t="shared" si="7"/>
        <v>139953.58602153003</v>
      </c>
    </row>
    <row r="11" spans="1:16" x14ac:dyDescent="0.25">
      <c r="A11" s="58" t="s">
        <v>94</v>
      </c>
      <c r="B11" s="59"/>
      <c r="C11" s="60" t="s">
        <v>46</v>
      </c>
      <c r="D11" s="61">
        <v>5.04</v>
      </c>
      <c r="E11" s="126">
        <v>379810.43677728315</v>
      </c>
      <c r="F11" s="175">
        <f>E11</f>
        <v>379810.43677728315</v>
      </c>
      <c r="G11" s="181">
        <f t="shared" si="1"/>
        <v>0</v>
      </c>
      <c r="H11" s="56">
        <f t="shared" si="2"/>
        <v>0</v>
      </c>
      <c r="I11" s="56">
        <f t="shared" si="3"/>
        <v>113378.9906088</v>
      </c>
      <c r="J11" s="56">
        <f>Edesur!N18</f>
        <v>43527.550975760001</v>
      </c>
      <c r="K11" s="56">
        <f t="shared" si="4"/>
        <v>0</v>
      </c>
      <c r="L11" s="56">
        <f t="shared" si="5"/>
        <v>25200</v>
      </c>
      <c r="M11" s="57">
        <f t="shared" si="6"/>
        <v>182106.54158456001</v>
      </c>
      <c r="O11" s="138">
        <f t="shared" si="7"/>
        <v>138578.9906088</v>
      </c>
    </row>
    <row r="12" spans="1:16" x14ac:dyDescent="0.25">
      <c r="A12" s="58" t="s">
        <v>47</v>
      </c>
      <c r="B12" s="59"/>
      <c r="C12" s="60" t="s">
        <v>48</v>
      </c>
      <c r="D12" s="61">
        <v>5.21</v>
      </c>
      <c r="E12" s="126">
        <v>253412.57158498999</v>
      </c>
      <c r="F12" s="175">
        <f t="shared" ref="F12" si="9">E12</f>
        <v>253412.57158498999</v>
      </c>
      <c r="G12" s="181">
        <f t="shared" si="1"/>
        <v>0</v>
      </c>
      <c r="H12" s="56">
        <f t="shared" si="2"/>
        <v>0</v>
      </c>
      <c r="I12" s="56">
        <f t="shared" si="3"/>
        <v>117203.28195869998</v>
      </c>
      <c r="J12" s="56">
        <f>Edesur!N19</f>
        <v>68736.562806489994</v>
      </c>
      <c r="K12" s="56">
        <f t="shared" si="4"/>
        <v>0</v>
      </c>
      <c r="L12" s="56">
        <f t="shared" si="5"/>
        <v>26050</v>
      </c>
      <c r="M12" s="57">
        <f t="shared" si="6"/>
        <v>211989.84476518998</v>
      </c>
      <c r="O12" s="138">
        <f t="shared" si="7"/>
        <v>143253.28195869998</v>
      </c>
    </row>
    <row r="13" spans="1:16" x14ac:dyDescent="0.25">
      <c r="A13" s="58" t="s">
        <v>49</v>
      </c>
      <c r="B13" s="59" t="s">
        <v>50</v>
      </c>
      <c r="C13" s="60" t="s">
        <v>51</v>
      </c>
      <c r="D13" s="61">
        <v>5.1100000000000003</v>
      </c>
      <c r="E13" s="126">
        <v>253624.40360897002</v>
      </c>
      <c r="F13" s="175">
        <f>300766.05-F24</f>
        <v>253624.39925147998</v>
      </c>
      <c r="G13" s="181">
        <f t="shared" si="1"/>
        <v>4.3574900482781231E-3</v>
      </c>
      <c r="H13" s="56">
        <f t="shared" si="2"/>
        <v>1.7429960193112492E-4</v>
      </c>
      <c r="I13" s="56">
        <f t="shared" si="3"/>
        <v>114953.69881170001</v>
      </c>
      <c r="J13" s="56">
        <f>Edesur!N20</f>
        <v>64608.277329590012</v>
      </c>
      <c r="K13" s="56">
        <f t="shared" si="4"/>
        <v>0</v>
      </c>
      <c r="L13" s="56">
        <f t="shared" si="5"/>
        <v>25550</v>
      </c>
      <c r="M13" s="57">
        <f t="shared" si="6"/>
        <v>205111.98067307967</v>
      </c>
      <c r="N13" s="44"/>
      <c r="O13" s="138">
        <f t="shared" si="7"/>
        <v>140503.70334348967</v>
      </c>
    </row>
    <row r="14" spans="1:16" x14ac:dyDescent="0.25">
      <c r="A14" s="62" t="s">
        <v>49</v>
      </c>
      <c r="B14" s="161" t="s">
        <v>103</v>
      </c>
      <c r="C14" s="63" t="s">
        <v>52</v>
      </c>
      <c r="D14" s="160">
        <v>5.09</v>
      </c>
      <c r="E14" s="126">
        <v>228413.77099358285</v>
      </c>
      <c r="F14" s="175">
        <f>275555.42-F25</f>
        <v>228413.76925147997</v>
      </c>
      <c r="G14" s="182">
        <f t="shared" si="1"/>
        <v>1.7421028751414269E-3</v>
      </c>
      <c r="H14" s="64">
        <f t="shared" si="2"/>
        <v>6.9684115005657076E-5</v>
      </c>
      <c r="I14" s="64">
        <f t="shared" si="3"/>
        <v>114503.7821823</v>
      </c>
      <c r="J14" s="56">
        <f>Edesur!N21</f>
        <v>40799.178014210003</v>
      </c>
      <c r="K14" s="64">
        <f t="shared" si="4"/>
        <v>0</v>
      </c>
      <c r="L14" s="56">
        <f t="shared" si="5"/>
        <v>25450</v>
      </c>
      <c r="M14" s="57">
        <f t="shared" si="6"/>
        <v>180752.96200829698</v>
      </c>
      <c r="O14" s="138">
        <f t="shared" si="7"/>
        <v>139953.78399408696</v>
      </c>
    </row>
    <row r="15" spans="1:16" x14ac:dyDescent="0.25">
      <c r="A15" s="58" t="s">
        <v>53</v>
      </c>
      <c r="B15" s="59" t="s">
        <v>54</v>
      </c>
      <c r="C15" s="60" t="s">
        <v>55</v>
      </c>
      <c r="D15" s="61">
        <v>5.04</v>
      </c>
      <c r="E15" s="126">
        <v>229298.04770269</v>
      </c>
      <c r="F15" s="175"/>
      <c r="G15" s="181">
        <f t="shared" si="1"/>
        <v>229298.04770269</v>
      </c>
      <c r="H15" s="56">
        <f t="shared" si="2"/>
        <v>9171.9219081076008</v>
      </c>
      <c r="I15" s="56">
        <f t="shared" si="3"/>
        <v>113378.9906088</v>
      </c>
      <c r="J15" s="56">
        <f>Edesur!N22</f>
        <v>64882.850875760028</v>
      </c>
      <c r="K15" s="56">
        <f t="shared" si="4"/>
        <v>0</v>
      </c>
      <c r="L15" s="56">
        <f t="shared" si="5"/>
        <v>25200</v>
      </c>
      <c r="M15" s="57">
        <f t="shared" si="6"/>
        <v>441931.81109535758</v>
      </c>
      <c r="O15" s="138">
        <f t="shared" si="7"/>
        <v>377048.96021959756</v>
      </c>
    </row>
    <row r="16" spans="1:16" x14ac:dyDescent="0.25">
      <c r="A16" s="58" t="s">
        <v>56</v>
      </c>
      <c r="B16" s="59" t="s">
        <v>57</v>
      </c>
      <c r="C16" s="60" t="s">
        <v>58</v>
      </c>
      <c r="D16" s="61">
        <v>5.21</v>
      </c>
      <c r="E16" s="126">
        <v>257482.92123606999</v>
      </c>
      <c r="F16" s="175">
        <f>304624.57-F21</f>
        <v>257482.91925147999</v>
      </c>
      <c r="G16" s="181">
        <f t="shared" si="1"/>
        <v>1.9845899951178581E-3</v>
      </c>
      <c r="H16" s="56">
        <f t="shared" si="2"/>
        <v>7.9383599804714328E-5</v>
      </c>
      <c r="I16" s="56">
        <f t="shared" si="3"/>
        <v>117203.28195869998</v>
      </c>
      <c r="J16" s="56">
        <f>Edesur!N23</f>
        <v>57585.288506490018</v>
      </c>
      <c r="K16" s="56">
        <f t="shared" si="4"/>
        <v>0</v>
      </c>
      <c r="L16" s="56">
        <f t="shared" si="5"/>
        <v>26050</v>
      </c>
      <c r="M16" s="57">
        <f t="shared" si="6"/>
        <v>200838.57252916362</v>
      </c>
      <c r="N16" s="44"/>
      <c r="O16" s="138">
        <f t="shared" si="7"/>
        <v>143253.28402267362</v>
      </c>
    </row>
    <row r="17" spans="1:17" x14ac:dyDescent="0.25">
      <c r="A17" s="58" t="s">
        <v>59</v>
      </c>
      <c r="B17" s="59"/>
      <c r="C17" s="60" t="s">
        <v>60</v>
      </c>
      <c r="D17" s="61">
        <v>5.04</v>
      </c>
      <c r="E17" s="126">
        <v>97801.259959760006</v>
      </c>
      <c r="F17" s="175"/>
      <c r="G17" s="181">
        <f t="shared" si="1"/>
        <v>97801.259959760006</v>
      </c>
      <c r="H17" s="56">
        <f t="shared" si="2"/>
        <v>3912.0503983904005</v>
      </c>
      <c r="I17" s="56">
        <f t="shared" si="3"/>
        <v>113378.9906088</v>
      </c>
      <c r="J17" s="56">
        <f>Edesur!N24</f>
        <v>35780.744775759988</v>
      </c>
      <c r="K17" s="56">
        <f t="shared" si="4"/>
        <v>0</v>
      </c>
      <c r="L17" s="56">
        <f t="shared" si="5"/>
        <v>25200</v>
      </c>
      <c r="M17" s="57">
        <f t="shared" si="6"/>
        <v>276073.04574271035</v>
      </c>
      <c r="O17" s="138">
        <f t="shared" si="7"/>
        <v>240292.30096695037</v>
      </c>
    </row>
    <row r="18" spans="1:17" ht="23.25" customHeight="1" x14ac:dyDescent="0.25">
      <c r="A18" s="167" t="s">
        <v>61</v>
      </c>
      <c r="B18" s="168"/>
      <c r="C18" s="63" t="s">
        <v>62</v>
      </c>
      <c r="D18" s="160">
        <v>5.21</v>
      </c>
      <c r="E18" s="126">
        <v>239269.49198499002</v>
      </c>
      <c r="F18" s="175">
        <f t="shared" ref="F18:F21" si="10">E18</f>
        <v>239269.49198499002</v>
      </c>
      <c r="G18" s="182">
        <f t="shared" si="1"/>
        <v>0</v>
      </c>
      <c r="H18" s="64">
        <f t="shared" si="2"/>
        <v>0</v>
      </c>
      <c r="I18" s="64">
        <f t="shared" si="3"/>
        <v>117203.28195869998</v>
      </c>
      <c r="J18" s="56">
        <f>Edesur!N25</f>
        <v>48459.81340649</v>
      </c>
      <c r="K18" s="64">
        <f t="shared" si="4"/>
        <v>0</v>
      </c>
      <c r="L18" s="64">
        <f t="shared" si="5"/>
        <v>26050</v>
      </c>
      <c r="M18" s="57">
        <f t="shared" si="6"/>
        <v>191713.09536518998</v>
      </c>
      <c r="N18" s="170"/>
      <c r="O18" s="138">
        <f t="shared" si="7"/>
        <v>143253.28195869998</v>
      </c>
      <c r="P18" s="169"/>
      <c r="Q18" s="166"/>
    </row>
    <row r="19" spans="1:17" x14ac:dyDescent="0.25">
      <c r="A19" s="62" t="s">
        <v>63</v>
      </c>
      <c r="B19" s="161"/>
      <c r="C19" s="63" t="s">
        <v>64</v>
      </c>
      <c r="D19" s="160">
        <v>7.4</v>
      </c>
      <c r="E19" s="126">
        <v>374177.79418060009</v>
      </c>
      <c r="F19" s="175">
        <f t="shared" si="10"/>
        <v>374177.79418060009</v>
      </c>
      <c r="G19" s="182">
        <f t="shared" si="1"/>
        <v>0</v>
      </c>
      <c r="H19" s="64">
        <f t="shared" si="2"/>
        <v>0</v>
      </c>
      <c r="I19" s="64">
        <f t="shared" si="3"/>
        <v>166469.15287799999</v>
      </c>
      <c r="J19" s="56">
        <f>Edesur!N26</f>
        <v>91349.268190600007</v>
      </c>
      <c r="K19" s="64">
        <f t="shared" si="4"/>
        <v>0</v>
      </c>
      <c r="L19" s="64">
        <f t="shared" si="5"/>
        <v>37000</v>
      </c>
      <c r="M19" s="57">
        <f t="shared" si="6"/>
        <v>294818.42106860003</v>
      </c>
      <c r="O19" s="138">
        <f t="shared" si="7"/>
        <v>203469.15287800002</v>
      </c>
    </row>
    <row r="20" spans="1:17" x14ac:dyDescent="0.25">
      <c r="A20" s="62" t="s">
        <v>119</v>
      </c>
      <c r="B20" s="191"/>
      <c r="C20" s="63" t="s">
        <v>65</v>
      </c>
      <c r="D20" s="160">
        <v>1.08</v>
      </c>
      <c r="E20" s="126">
        <v>399381.20189270412</v>
      </c>
      <c r="F20" s="175">
        <v>0</v>
      </c>
      <c r="G20" s="182">
        <f t="shared" si="1"/>
        <v>399381.20189270412</v>
      </c>
      <c r="H20" s="64"/>
      <c r="I20" s="64">
        <f t="shared" si="3"/>
        <v>24295.4979876</v>
      </c>
      <c r="J20" s="64">
        <f>Edesur!N27</f>
        <v>6905.6180305199996</v>
      </c>
      <c r="K20" s="64">
        <f t="shared" si="4"/>
        <v>0</v>
      </c>
      <c r="L20" s="64">
        <f t="shared" si="5"/>
        <v>5400</v>
      </c>
      <c r="M20" s="174">
        <f t="shared" si="6"/>
        <v>435982.31791082409</v>
      </c>
      <c r="O20" s="138">
        <f t="shared" si="7"/>
        <v>429076.69988030411</v>
      </c>
    </row>
    <row r="21" spans="1:17" x14ac:dyDescent="0.25">
      <c r="A21" s="62"/>
      <c r="B21" s="59" t="s">
        <v>57</v>
      </c>
      <c r="C21" s="63" t="s">
        <v>66</v>
      </c>
      <c r="D21" s="61">
        <v>1.08</v>
      </c>
      <c r="E21" s="126">
        <v>47141.650748520005</v>
      </c>
      <c r="F21" s="175">
        <f t="shared" si="10"/>
        <v>47141.650748520005</v>
      </c>
      <c r="G21" s="181">
        <f t="shared" si="1"/>
        <v>0</v>
      </c>
      <c r="H21" s="56">
        <f t="shared" si="2"/>
        <v>0</v>
      </c>
      <c r="I21" s="56">
        <f t="shared" si="3"/>
        <v>24295.4979876</v>
      </c>
      <c r="J21" s="56">
        <f>Edesur!N28</f>
        <v>6905.6180305199996</v>
      </c>
      <c r="K21" s="56">
        <f t="shared" si="4"/>
        <v>0</v>
      </c>
      <c r="L21" s="56">
        <f t="shared" si="5"/>
        <v>5400</v>
      </c>
      <c r="M21" s="57">
        <f t="shared" si="6"/>
        <v>36601.116018119996</v>
      </c>
      <c r="O21" s="138">
        <f t="shared" si="7"/>
        <v>29695.497987599996</v>
      </c>
    </row>
    <row r="22" spans="1:17" x14ac:dyDescent="0.25">
      <c r="A22" s="62" t="s">
        <v>118</v>
      </c>
      <c r="B22" s="161"/>
      <c r="C22" s="63" t="s">
        <v>67</v>
      </c>
      <c r="D22" s="160">
        <v>1.08</v>
      </c>
      <c r="E22" s="126">
        <v>47141.650748520005</v>
      </c>
      <c r="F22" s="175">
        <v>47141.650748520005</v>
      </c>
      <c r="G22" s="182">
        <f t="shared" si="1"/>
        <v>0</v>
      </c>
      <c r="H22" s="64">
        <f t="shared" si="2"/>
        <v>0</v>
      </c>
      <c r="I22" s="64">
        <f t="shared" si="3"/>
        <v>24295.4979876</v>
      </c>
      <c r="J22" s="64">
        <f>Edesur!N29</f>
        <v>6905.6180305199996</v>
      </c>
      <c r="K22" s="64">
        <f t="shared" si="4"/>
        <v>0</v>
      </c>
      <c r="L22" s="64">
        <f t="shared" si="5"/>
        <v>5400</v>
      </c>
      <c r="M22" s="174">
        <f t="shared" si="6"/>
        <v>36601.116018119996</v>
      </c>
      <c r="O22" s="138">
        <f t="shared" si="7"/>
        <v>29695.497987599996</v>
      </c>
    </row>
    <row r="23" spans="1:17" x14ac:dyDescent="0.25">
      <c r="A23" s="58" t="s">
        <v>35</v>
      </c>
      <c r="B23" s="59"/>
      <c r="C23" s="60" t="s">
        <v>68</v>
      </c>
      <c r="D23" s="61">
        <v>1.08</v>
      </c>
      <c r="E23" s="126">
        <v>47141.650748520005</v>
      </c>
      <c r="F23" s="175">
        <f>E23</f>
        <v>47141.650748520005</v>
      </c>
      <c r="G23" s="181">
        <f t="shared" si="1"/>
        <v>0</v>
      </c>
      <c r="H23" s="56">
        <f t="shared" si="2"/>
        <v>0</v>
      </c>
      <c r="I23" s="56">
        <f t="shared" si="3"/>
        <v>24295.4979876</v>
      </c>
      <c r="J23" s="56">
        <f>Edesur!N30</f>
        <v>6905.6180305199996</v>
      </c>
      <c r="K23" s="56">
        <f t="shared" si="4"/>
        <v>0</v>
      </c>
      <c r="L23" s="56">
        <f t="shared" si="5"/>
        <v>5400</v>
      </c>
      <c r="M23" s="57">
        <f t="shared" si="6"/>
        <v>36601.116018119996</v>
      </c>
      <c r="O23" s="138">
        <f t="shared" si="7"/>
        <v>29695.497987599996</v>
      </c>
    </row>
    <row r="24" spans="1:17" x14ac:dyDescent="0.25">
      <c r="A24" s="58" t="s">
        <v>49</v>
      </c>
      <c r="B24" s="59" t="s">
        <v>50</v>
      </c>
      <c r="C24" s="60" t="s">
        <v>69</v>
      </c>
      <c r="D24" s="61">
        <v>1.08</v>
      </c>
      <c r="E24" s="126">
        <v>47141.650748520005</v>
      </c>
      <c r="F24" s="175">
        <f t="shared" ref="F24" si="11">E24</f>
        <v>47141.650748520005</v>
      </c>
      <c r="G24" s="181">
        <f t="shared" si="1"/>
        <v>0</v>
      </c>
      <c r="H24" s="56">
        <f t="shared" si="2"/>
        <v>0</v>
      </c>
      <c r="I24" s="56">
        <f t="shared" si="3"/>
        <v>24295.4979876</v>
      </c>
      <c r="J24" s="56">
        <f>Edesur!N31</f>
        <v>6905.6180305199996</v>
      </c>
      <c r="K24" s="56">
        <f t="shared" si="4"/>
        <v>0</v>
      </c>
      <c r="L24" s="56">
        <f t="shared" si="5"/>
        <v>5400</v>
      </c>
      <c r="M24" s="57">
        <f t="shared" si="6"/>
        <v>36601.116018119996</v>
      </c>
      <c r="O24" s="138">
        <f t="shared" si="7"/>
        <v>29695.497987599996</v>
      </c>
    </row>
    <row r="25" spans="1:17" x14ac:dyDescent="0.25">
      <c r="A25" s="58" t="s">
        <v>49</v>
      </c>
      <c r="B25" s="161" t="s">
        <v>103</v>
      </c>
      <c r="C25" s="60" t="s">
        <v>70</v>
      </c>
      <c r="D25" s="61">
        <v>1.08</v>
      </c>
      <c r="E25" s="126">
        <v>47141.650748520005</v>
      </c>
      <c r="F25" s="175">
        <f>E25</f>
        <v>47141.650748520005</v>
      </c>
      <c r="G25" s="181">
        <f t="shared" si="1"/>
        <v>0</v>
      </c>
      <c r="H25" s="56">
        <f t="shared" si="2"/>
        <v>0</v>
      </c>
      <c r="I25" s="56">
        <f t="shared" si="3"/>
        <v>24295.4979876</v>
      </c>
      <c r="J25" s="56">
        <f>Edesur!N32</f>
        <v>6905.6180305199996</v>
      </c>
      <c r="K25" s="56">
        <f t="shared" si="4"/>
        <v>0</v>
      </c>
      <c r="L25" s="56">
        <f t="shared" si="5"/>
        <v>5400</v>
      </c>
      <c r="M25" s="57">
        <f t="shared" si="6"/>
        <v>36601.116018119996</v>
      </c>
      <c r="O25" s="138">
        <f t="shared" si="7"/>
        <v>29695.497987599996</v>
      </c>
    </row>
    <row r="26" spans="1:17" x14ac:dyDescent="0.25">
      <c r="A26" s="58" t="s">
        <v>63</v>
      </c>
      <c r="B26" s="59"/>
      <c r="C26" s="60" t="s">
        <v>71</v>
      </c>
      <c r="D26" s="61">
        <v>1.08</v>
      </c>
      <c r="E26" s="126">
        <v>47141.650748520005</v>
      </c>
      <c r="F26" s="175">
        <f t="shared" ref="F26:F28" si="12">E26</f>
        <v>47141.650748520005</v>
      </c>
      <c r="G26" s="181">
        <f t="shared" si="1"/>
        <v>0</v>
      </c>
      <c r="H26" s="56">
        <f t="shared" si="2"/>
        <v>0</v>
      </c>
      <c r="I26" s="56">
        <f t="shared" si="3"/>
        <v>24295.4979876</v>
      </c>
      <c r="J26" s="56">
        <f>Edesur!N33</f>
        <v>6905.6180305199996</v>
      </c>
      <c r="K26" s="56">
        <f t="shared" si="4"/>
        <v>0</v>
      </c>
      <c r="L26" s="56">
        <f t="shared" si="5"/>
        <v>5400</v>
      </c>
      <c r="M26" s="57">
        <f t="shared" si="6"/>
        <v>36601.116018119996</v>
      </c>
      <c r="O26" s="138">
        <f t="shared" si="7"/>
        <v>29695.497987599996</v>
      </c>
    </row>
    <row r="27" spans="1:17" x14ac:dyDescent="0.25">
      <c r="A27" s="58" t="s">
        <v>63</v>
      </c>
      <c r="B27" s="65"/>
      <c r="C27" s="60" t="s">
        <v>72</v>
      </c>
      <c r="D27" s="61">
        <v>1.08</v>
      </c>
      <c r="E27" s="126">
        <v>47141.650748520005</v>
      </c>
      <c r="F27" s="175">
        <f t="shared" si="12"/>
        <v>47141.650748520005</v>
      </c>
      <c r="G27" s="181">
        <f t="shared" si="1"/>
        <v>0</v>
      </c>
      <c r="H27" s="56">
        <f t="shared" si="2"/>
        <v>0</v>
      </c>
      <c r="I27" s="56">
        <f t="shared" si="3"/>
        <v>24295.4979876</v>
      </c>
      <c r="J27" s="56">
        <f>Edesur!N34</f>
        <v>6905.6180305199996</v>
      </c>
      <c r="K27" s="56">
        <f t="shared" si="4"/>
        <v>0</v>
      </c>
      <c r="L27" s="56">
        <f t="shared" si="5"/>
        <v>5400</v>
      </c>
      <c r="M27" s="57">
        <f t="shared" si="6"/>
        <v>36601.116018119996</v>
      </c>
      <c r="O27" s="138">
        <f t="shared" si="7"/>
        <v>29695.497987599996</v>
      </c>
      <c r="P27" s="44">
        <f>F27+F26+F19</f>
        <v>468461.09567764011</v>
      </c>
    </row>
    <row r="28" spans="1:17" x14ac:dyDescent="0.25">
      <c r="A28" s="66"/>
      <c r="B28" s="65" t="str">
        <f>B7</f>
        <v>Leandro</v>
      </c>
      <c r="C28" s="60" t="s">
        <v>73</v>
      </c>
      <c r="D28" s="61">
        <v>1.08</v>
      </c>
      <c r="E28" s="126">
        <v>47141.650748520005</v>
      </c>
      <c r="F28" s="175">
        <f t="shared" si="12"/>
        <v>47141.650748520005</v>
      </c>
      <c r="G28" s="181">
        <f t="shared" si="1"/>
        <v>0</v>
      </c>
      <c r="H28" s="56">
        <f t="shared" si="2"/>
        <v>0</v>
      </c>
      <c r="I28" s="56">
        <f t="shared" si="3"/>
        <v>24295.4979876</v>
      </c>
      <c r="J28" s="56">
        <f>Edesur!N35</f>
        <v>6905.6180305199996</v>
      </c>
      <c r="K28" s="56">
        <f t="shared" si="4"/>
        <v>0</v>
      </c>
      <c r="L28" s="56">
        <f t="shared" si="5"/>
        <v>5400</v>
      </c>
      <c r="M28" s="57">
        <f t="shared" si="6"/>
        <v>36601.116018119996</v>
      </c>
      <c r="O28" s="138">
        <f t="shared" si="7"/>
        <v>29695.497987599996</v>
      </c>
    </row>
    <row r="29" spans="1:17" x14ac:dyDescent="0.25">
      <c r="A29" s="66" t="s">
        <v>53</v>
      </c>
      <c r="B29" s="59" t="s">
        <v>54</v>
      </c>
      <c r="C29" s="60" t="s">
        <v>74</v>
      </c>
      <c r="D29" s="61">
        <v>1.08</v>
      </c>
      <c r="E29" s="126">
        <v>47141.650748520005</v>
      </c>
      <c r="F29" s="175"/>
      <c r="G29" s="181">
        <f t="shared" si="1"/>
        <v>47141.650748520005</v>
      </c>
      <c r="H29" s="56">
        <f t="shared" si="2"/>
        <v>1885.6660299408002</v>
      </c>
      <c r="I29" s="56">
        <f t="shared" si="3"/>
        <v>24295.4979876</v>
      </c>
      <c r="J29" s="56">
        <f>Edesur!N36</f>
        <v>6905.6180305199996</v>
      </c>
      <c r="K29" s="56">
        <f t="shared" si="4"/>
        <v>0</v>
      </c>
      <c r="L29" s="56">
        <f t="shared" si="5"/>
        <v>5400</v>
      </c>
      <c r="M29" s="57">
        <f t="shared" si="6"/>
        <v>85628.43279658079</v>
      </c>
      <c r="O29" s="138">
        <f t="shared" si="7"/>
        <v>78722.814766060794</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2">
        <f>SUM(F3:F30)</f>
        <v>4309983.1316235811</v>
      </c>
      <c r="G31" s="75"/>
      <c r="H31" s="75"/>
      <c r="I31" s="133">
        <f>SUM(I3:I30)</f>
        <v>2249583.1469999999</v>
      </c>
      <c r="J31" s="133"/>
      <c r="K31" s="133">
        <f>SUM(K3:K30)</f>
        <v>0</v>
      </c>
      <c r="L31" s="132"/>
      <c r="M31" s="132">
        <f>SUM(M3:M29)</f>
        <v>4657998.3728449317</v>
      </c>
    </row>
    <row r="32" spans="1:17" x14ac:dyDescent="0.25">
      <c r="K32" s="22"/>
    </row>
    <row r="34" spans="5:6" x14ac:dyDescent="0.25">
      <c r="F34" s="44"/>
    </row>
    <row r="36" spans="5:6" x14ac:dyDescent="0.25">
      <c r="E36" s="21"/>
    </row>
  </sheetData>
  <mergeCells count="4">
    <mergeCell ref="B1:C1"/>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1" workbookViewId="0">
      <selection activeCell="Q13" sqref="Q13"/>
    </sheetView>
  </sheetViews>
  <sheetFormatPr baseColWidth="10" defaultRowHeight="15" x14ac:dyDescent="0.25"/>
  <cols>
    <col min="1" max="1" width="5" hidden="1" customWidth="1"/>
    <col min="2" max="2" width="8.28515625" hidden="1" customWidth="1"/>
    <col min="3" max="3" width="15.140625" customWidth="1"/>
    <col min="4" max="4" width="21.7109375" customWidth="1"/>
    <col min="5" max="5" width="0.140625" customWidth="1"/>
    <col min="6" max="6" width="12" hidden="1" customWidth="1"/>
    <col min="7" max="7" width="8.28515625" hidden="1" customWidth="1"/>
    <col min="8" max="8" width="5.28515625" hidden="1" customWidth="1"/>
    <col min="9" max="9" width="9.5703125" hidden="1" customWidth="1"/>
    <col min="10" max="10" width="10.140625" hidden="1" customWidth="1"/>
    <col min="11" max="11" width="12.7109375" hidden="1" customWidth="1"/>
    <col min="12" max="12" width="10.140625" hidden="1" customWidth="1"/>
    <col min="13" max="13" width="5.140625" hidden="1" customWidth="1"/>
    <col min="14" max="14" width="12.85546875" customWidth="1"/>
    <col min="15" max="15" width="11.42578125" hidden="1" customWidth="1"/>
  </cols>
  <sheetData>
    <row r="1" spans="1:19" ht="21" customHeight="1" x14ac:dyDescent="0.25">
      <c r="A1" s="209" t="s">
        <v>77</v>
      </c>
      <c r="B1" s="210"/>
      <c r="C1" s="210"/>
      <c r="D1" s="210"/>
      <c r="E1" s="210"/>
      <c r="F1" s="210"/>
      <c r="G1" s="210"/>
      <c r="H1" s="210"/>
      <c r="I1" s="210"/>
      <c r="J1" s="210"/>
      <c r="K1" s="210"/>
      <c r="L1" s="210"/>
      <c r="M1" s="210"/>
      <c r="N1" s="211"/>
      <c r="O1" s="76"/>
    </row>
    <row r="2" spans="1:19" x14ac:dyDescent="0.25">
      <c r="A2" s="77"/>
      <c r="B2" s="77"/>
      <c r="C2" s="146"/>
      <c r="D2" s="146"/>
      <c r="E2" s="146"/>
      <c r="F2" s="146"/>
      <c r="G2" s="146"/>
      <c r="H2" s="147"/>
      <c r="I2" s="146"/>
      <c r="J2" s="146"/>
      <c r="K2" s="146"/>
      <c r="L2" s="146"/>
      <c r="M2" s="146"/>
      <c r="N2" s="146"/>
      <c r="O2" s="78"/>
      <c r="P2" s="11"/>
    </row>
    <row r="3" spans="1:19" x14ac:dyDescent="0.25">
      <c r="A3" s="80"/>
      <c r="B3" s="80"/>
      <c r="C3" s="148"/>
      <c r="D3" s="148"/>
      <c r="E3" s="148"/>
      <c r="F3" s="148"/>
      <c r="G3" s="148"/>
      <c r="H3" s="147"/>
      <c r="I3" s="146"/>
      <c r="J3" s="146"/>
      <c r="K3" s="146"/>
      <c r="L3" s="146"/>
      <c r="M3" s="146"/>
      <c r="N3" s="146"/>
      <c r="O3" s="78"/>
      <c r="P3" s="11"/>
    </row>
    <row r="4" spans="1:19" x14ac:dyDescent="0.25">
      <c r="A4" s="80"/>
      <c r="B4" s="80"/>
      <c r="C4" s="148"/>
      <c r="D4" s="148"/>
      <c r="E4" s="148"/>
      <c r="F4" s="148"/>
      <c r="G4" s="148"/>
      <c r="H4" s="147"/>
      <c r="I4" s="146" t="s">
        <v>76</v>
      </c>
      <c r="J4" s="146"/>
      <c r="K4" s="146"/>
      <c r="L4" s="146"/>
      <c r="M4" s="146"/>
      <c r="N4" s="146"/>
      <c r="O4" s="78"/>
      <c r="P4" s="11"/>
    </row>
    <row r="5" spans="1:19" x14ac:dyDescent="0.25">
      <c r="A5" s="80"/>
      <c r="B5" s="80"/>
      <c r="C5" s="148"/>
      <c r="D5" s="148"/>
      <c r="E5" s="148"/>
      <c r="F5" s="148"/>
      <c r="G5" s="148"/>
      <c r="H5" s="147"/>
      <c r="I5" s="146"/>
      <c r="J5" s="146"/>
      <c r="K5" s="146"/>
      <c r="L5" s="146"/>
      <c r="M5" s="146"/>
      <c r="N5" s="146"/>
      <c r="O5" s="78"/>
      <c r="P5" s="11"/>
    </row>
    <row r="6" spans="1:19" x14ac:dyDescent="0.25">
      <c r="A6" s="80"/>
      <c r="B6" s="80"/>
      <c r="C6" s="172" t="str">
        <f>'detalle y gastos'!C7</f>
        <v>Vto. 13/03</v>
      </c>
      <c r="D6" s="28"/>
      <c r="E6" s="146"/>
      <c r="F6" s="146"/>
      <c r="G6" s="146"/>
      <c r="H6" s="147"/>
      <c r="I6" s="146"/>
      <c r="J6" s="146"/>
      <c r="K6" s="146"/>
      <c r="L6" s="146"/>
      <c r="M6" s="146"/>
      <c r="N6" s="146"/>
      <c r="O6" s="78"/>
      <c r="P6" s="11"/>
    </row>
    <row r="7" spans="1:19" ht="19.5" customHeight="1" x14ac:dyDescent="0.25">
      <c r="A7" s="81"/>
      <c r="B7" s="81" t="s">
        <v>77</v>
      </c>
      <c r="C7" s="180">
        <f>-'detalle y gastos'!C49</f>
        <v>987480.77</v>
      </c>
      <c r="D7" s="28"/>
      <c r="E7" s="146"/>
      <c r="F7" s="146"/>
      <c r="G7" s="146"/>
      <c r="H7" s="147"/>
      <c r="I7" s="146"/>
      <c r="J7" s="146"/>
      <c r="K7" s="146"/>
      <c r="L7" s="146"/>
      <c r="M7" s="146"/>
      <c r="N7" s="146"/>
      <c r="O7" s="78"/>
      <c r="P7" s="11"/>
    </row>
    <row r="8" spans="1:19" hidden="1" x14ac:dyDescent="0.25">
      <c r="A8" s="81"/>
      <c r="B8" s="80" t="s">
        <v>77</v>
      </c>
      <c r="C8" s="85"/>
      <c r="E8" s="82"/>
      <c r="F8" s="82"/>
      <c r="G8" s="82"/>
      <c r="H8" s="83"/>
      <c r="I8" s="82"/>
      <c r="J8" s="78"/>
      <c r="K8" s="179">
        <f>C8-J38</f>
        <v>-348071.69310000003</v>
      </c>
      <c r="L8" s="213">
        <f>C7-J38</f>
        <v>639409.07689999999</v>
      </c>
      <c r="M8" s="213"/>
      <c r="N8" s="84"/>
      <c r="O8" s="78"/>
      <c r="P8" s="11"/>
    </row>
    <row r="9" spans="1:19" ht="28.5" customHeight="1" x14ac:dyDescent="0.25">
      <c r="A9" s="86" t="s">
        <v>78</v>
      </c>
      <c r="B9" s="86" t="s">
        <v>78</v>
      </c>
      <c r="C9" s="117" t="s">
        <v>79</v>
      </c>
      <c r="D9" s="118" t="s">
        <v>80</v>
      </c>
      <c r="E9" s="118" t="s">
        <v>1</v>
      </c>
      <c r="F9" s="116" t="s">
        <v>81</v>
      </c>
      <c r="G9" s="116" t="s">
        <v>82</v>
      </c>
      <c r="H9" s="119" t="s">
        <v>85</v>
      </c>
      <c r="I9" s="120" t="s">
        <v>83</v>
      </c>
      <c r="J9" s="121" t="s">
        <v>77</v>
      </c>
      <c r="K9" s="183" t="s">
        <v>84</v>
      </c>
      <c r="L9" s="183" t="s">
        <v>84</v>
      </c>
      <c r="M9" s="122" t="s">
        <v>85</v>
      </c>
      <c r="N9" s="116" t="s">
        <v>86</v>
      </c>
      <c r="P9" s="11"/>
    </row>
    <row r="10" spans="1:19" x14ac:dyDescent="0.25">
      <c r="A10" s="97">
        <v>1</v>
      </c>
      <c r="B10" s="87">
        <v>1</v>
      </c>
      <c r="C10" s="113" t="s">
        <v>32</v>
      </c>
      <c r="D10" s="99" t="s">
        <v>31</v>
      </c>
      <c r="E10" s="100">
        <v>5.1100000000000003</v>
      </c>
      <c r="F10" s="102">
        <v>4893.5</v>
      </c>
      <c r="G10" s="102">
        <v>5143</v>
      </c>
      <c r="H10" s="103">
        <f>G10-F10</f>
        <v>249.5</v>
      </c>
      <c r="I10" s="104">
        <f t="shared" ref="I10:I37" si="0">H10*7%</f>
        <v>17.465000000000003</v>
      </c>
      <c r="J10" s="114">
        <f>M10*93.787</f>
        <v>23399.856500000002</v>
      </c>
      <c r="K10" s="114">
        <f>K8*E10%</f>
        <v>-17786.463517410004</v>
      </c>
      <c r="L10" s="186">
        <f>L$8*E10/S$12</f>
        <v>32673.803829590004</v>
      </c>
      <c r="M10" s="105">
        <f>G10-F10</f>
        <v>249.5</v>
      </c>
      <c r="N10" s="103">
        <f>J10+L10</f>
        <v>56073.660329590006</v>
      </c>
      <c r="O10" s="96">
        <f>N10+'prorrateo '!M3</f>
        <v>252651.01947088001</v>
      </c>
      <c r="P10" s="11"/>
    </row>
    <row r="11" spans="1:19" x14ac:dyDescent="0.25">
      <c r="A11" s="98">
        <v>2</v>
      </c>
      <c r="B11" s="88">
        <v>2</v>
      </c>
      <c r="C11" s="113" t="s">
        <v>34</v>
      </c>
      <c r="D11" s="99" t="s">
        <v>33</v>
      </c>
      <c r="E11" s="100">
        <v>5.09</v>
      </c>
      <c r="F11" s="102">
        <v>4543.8</v>
      </c>
      <c r="G11" s="102">
        <v>4548.1000000000004</v>
      </c>
      <c r="H11" s="103">
        <f t="shared" ref="H11:H27" si="1">G11-F11</f>
        <v>4.3000000000001819</v>
      </c>
      <c r="I11" s="104">
        <f t="shared" si="0"/>
        <v>0.30100000000001276</v>
      </c>
      <c r="J11" s="114">
        <f t="shared" ref="J11:J26" si="2">M11*93.787</f>
        <v>403.28410000001708</v>
      </c>
      <c r="K11" s="114">
        <f>K8*E11%</f>
        <v>-17716.849178790002</v>
      </c>
      <c r="L11" s="186">
        <f t="shared" ref="L11:L36" si="3">L$8*E11/S$12</f>
        <v>32545.922014210002</v>
      </c>
      <c r="M11" s="105">
        <f t="shared" ref="M11:M26" si="4">G11-F11</f>
        <v>4.3000000000001819</v>
      </c>
      <c r="N11" s="103">
        <f t="shared" ref="N11:N25" si="5">J11+L11</f>
        <v>32949.206114210021</v>
      </c>
      <c r="O11" s="96">
        <f>N11+'prorrateo '!M4</f>
        <v>338195.04254505842</v>
      </c>
      <c r="P11" s="11"/>
    </row>
    <row r="12" spans="1:19" ht="16.5" customHeight="1" x14ac:dyDescent="0.25">
      <c r="A12" s="97">
        <v>3</v>
      </c>
      <c r="B12" s="88">
        <v>3</v>
      </c>
      <c r="C12" s="113" t="s">
        <v>36</v>
      </c>
      <c r="D12" s="99" t="s">
        <v>35</v>
      </c>
      <c r="E12" s="100">
        <v>5.04</v>
      </c>
      <c r="F12" s="102">
        <v>2352.9</v>
      </c>
      <c r="G12" s="102">
        <v>2710.5</v>
      </c>
      <c r="H12" s="103">
        <f t="shared" si="1"/>
        <v>357.59999999999991</v>
      </c>
      <c r="I12" s="104">
        <f t="shared" si="0"/>
        <v>25.031999999999996</v>
      </c>
      <c r="J12" s="114">
        <f t="shared" si="2"/>
        <v>33538.231199999995</v>
      </c>
      <c r="K12" s="114">
        <f>K8*E12%</f>
        <v>-17542.813332240003</v>
      </c>
      <c r="L12" s="186">
        <f t="shared" si="3"/>
        <v>32226.217475760001</v>
      </c>
      <c r="M12" s="105">
        <f>G12-F12</f>
        <v>357.59999999999991</v>
      </c>
      <c r="N12" s="103">
        <f t="shared" si="5"/>
        <v>65764.448675759995</v>
      </c>
      <c r="O12" s="96">
        <f>N12+'prorrateo '!M5</f>
        <v>270107.88742652873</v>
      </c>
      <c r="P12" s="11"/>
      <c r="S12">
        <v>100</v>
      </c>
    </row>
    <row r="13" spans="1:19" x14ac:dyDescent="0.25">
      <c r="A13" s="97">
        <v>4</v>
      </c>
      <c r="B13" s="88" t="s">
        <v>87</v>
      </c>
      <c r="C13" s="149" t="s">
        <v>38</v>
      </c>
      <c r="D13" s="99" t="s">
        <v>37</v>
      </c>
      <c r="E13" s="150">
        <v>5.21</v>
      </c>
      <c r="F13" s="102">
        <v>1511.5</v>
      </c>
      <c r="G13" s="102">
        <v>1635.6</v>
      </c>
      <c r="H13" s="103">
        <f t="shared" si="1"/>
        <v>124.09999999999991</v>
      </c>
      <c r="I13" s="151">
        <f t="shared" si="0"/>
        <v>8.6869999999999941</v>
      </c>
      <c r="J13" s="114">
        <f t="shared" si="2"/>
        <v>11638.966699999992</v>
      </c>
      <c r="K13" s="187">
        <f>K8*E13%</f>
        <v>-18134.535210510003</v>
      </c>
      <c r="L13" s="186">
        <f t="shared" si="3"/>
        <v>33313.21290649</v>
      </c>
      <c r="M13" s="152">
        <f t="shared" si="4"/>
        <v>124.09999999999991</v>
      </c>
      <c r="N13" s="103">
        <f t="shared" si="5"/>
        <v>44952.17960648999</v>
      </c>
      <c r="O13" s="96">
        <f>N13+'prorrateo '!M6</f>
        <v>233157.64117167995</v>
      </c>
      <c r="P13" s="11"/>
    </row>
    <row r="14" spans="1:19" x14ac:dyDescent="0.25">
      <c r="A14" s="97">
        <v>6</v>
      </c>
      <c r="B14" s="88">
        <v>6</v>
      </c>
      <c r="C14" s="113" t="s">
        <v>39</v>
      </c>
      <c r="D14" s="99" t="s">
        <v>35</v>
      </c>
      <c r="E14" s="100">
        <v>5.1100000000000003</v>
      </c>
      <c r="F14" s="102">
        <v>2363.6</v>
      </c>
      <c r="G14" s="102">
        <v>2641.2</v>
      </c>
      <c r="H14" s="103">
        <f t="shared" si="1"/>
        <v>277.59999999999991</v>
      </c>
      <c r="I14" s="104">
        <f t="shared" si="0"/>
        <v>19.431999999999995</v>
      </c>
      <c r="J14" s="114">
        <f t="shared" si="2"/>
        <v>26035.271199999992</v>
      </c>
      <c r="K14" s="114">
        <f>K8*E14%</f>
        <v>-17786.463517410004</v>
      </c>
      <c r="L14" s="186">
        <f t="shared" si="3"/>
        <v>32673.803829590004</v>
      </c>
      <c r="M14" s="105">
        <f t="shared" si="4"/>
        <v>277.59999999999991</v>
      </c>
      <c r="N14" s="103">
        <f t="shared" si="5"/>
        <v>58709.075029589992</v>
      </c>
      <c r="O14" s="96">
        <f>N14+'prorrateo '!M7</f>
        <v>257921.84622837004</v>
      </c>
      <c r="P14" s="11"/>
    </row>
    <row r="15" spans="1:19" x14ac:dyDescent="0.25">
      <c r="A15" s="97">
        <v>7</v>
      </c>
      <c r="B15" s="88">
        <v>7</v>
      </c>
      <c r="C15" s="113" t="s">
        <v>41</v>
      </c>
      <c r="D15" s="99" t="s">
        <v>40</v>
      </c>
      <c r="E15" s="100">
        <v>5.09</v>
      </c>
      <c r="F15" s="102">
        <v>3564.3</v>
      </c>
      <c r="G15" s="102">
        <v>3881.5</v>
      </c>
      <c r="H15" s="103">
        <f t="shared" si="1"/>
        <v>317.19999999999982</v>
      </c>
      <c r="I15" s="104">
        <f t="shared" si="0"/>
        <v>22.20399999999999</v>
      </c>
      <c r="J15" s="114">
        <f t="shared" si="2"/>
        <v>29749.236399999983</v>
      </c>
      <c r="K15" s="114">
        <f>K8*E15%</f>
        <v>-17716.849178790002</v>
      </c>
      <c r="L15" s="186">
        <f t="shared" si="3"/>
        <v>32545.922014210002</v>
      </c>
      <c r="M15" s="105">
        <f t="shared" si="4"/>
        <v>317.19999999999982</v>
      </c>
      <c r="N15" s="103">
        <f t="shared" si="5"/>
        <v>62295.158414209989</v>
      </c>
      <c r="O15" s="96">
        <f>N15+'prorrateo '!M8</f>
        <v>264544.09901071998</v>
      </c>
    </row>
    <row r="16" spans="1:19" x14ac:dyDescent="0.25">
      <c r="A16" s="97">
        <v>8</v>
      </c>
      <c r="B16" s="88">
        <v>8</v>
      </c>
      <c r="C16" s="113" t="s">
        <v>43</v>
      </c>
      <c r="D16" s="99" t="s">
        <v>42</v>
      </c>
      <c r="E16" s="100">
        <v>5.1100000000000003</v>
      </c>
      <c r="F16" s="102">
        <v>2836.7</v>
      </c>
      <c r="G16" s="102">
        <v>2973.6</v>
      </c>
      <c r="H16" s="103">
        <f t="shared" si="1"/>
        <v>136.90000000000009</v>
      </c>
      <c r="I16" s="104">
        <f t="shared" si="0"/>
        <v>9.5830000000000073</v>
      </c>
      <c r="J16" s="114">
        <f t="shared" si="2"/>
        <v>12839.440300000009</v>
      </c>
      <c r="K16" s="114">
        <f>K8*E16%</f>
        <v>-17786.463517410004</v>
      </c>
      <c r="L16" s="186">
        <f t="shared" si="3"/>
        <v>32673.803829590004</v>
      </c>
      <c r="M16" s="105">
        <f t="shared" si="4"/>
        <v>136.90000000000009</v>
      </c>
      <c r="N16" s="103">
        <f t="shared" si="5"/>
        <v>45513.244129590013</v>
      </c>
      <c r="O16" s="96">
        <f>N16+'prorrateo '!M9</f>
        <v>231530.18707088006</v>
      </c>
    </row>
    <row r="17" spans="1:15" x14ac:dyDescent="0.25">
      <c r="A17" s="97">
        <v>9</v>
      </c>
      <c r="B17" s="88">
        <v>9</v>
      </c>
      <c r="C17" s="113" t="s">
        <v>45</v>
      </c>
      <c r="D17" s="99" t="s">
        <v>44</v>
      </c>
      <c r="E17" s="100">
        <v>5.09</v>
      </c>
      <c r="F17" s="102">
        <v>3459.5</v>
      </c>
      <c r="G17" s="102">
        <v>3501</v>
      </c>
      <c r="H17" s="103">
        <f t="shared" si="1"/>
        <v>41.5</v>
      </c>
      <c r="I17" s="104">
        <f t="shared" si="0"/>
        <v>2.9050000000000002</v>
      </c>
      <c r="J17" s="114">
        <f t="shared" si="2"/>
        <v>3892.1605000000004</v>
      </c>
      <c r="K17" s="114">
        <f>K8*E17%</f>
        <v>-17716.849178790002</v>
      </c>
      <c r="L17" s="186">
        <f t="shared" si="3"/>
        <v>32545.922014210002</v>
      </c>
      <c r="M17" s="105">
        <f t="shared" si="4"/>
        <v>41.5</v>
      </c>
      <c r="N17" s="103">
        <f t="shared" si="5"/>
        <v>36438.08251421</v>
      </c>
      <c r="O17" s="96">
        <f>N17+'prorrateo '!M10</f>
        <v>212829.75104995002</v>
      </c>
    </row>
    <row r="18" spans="1:15" x14ac:dyDescent="0.25">
      <c r="A18" s="97">
        <v>10</v>
      </c>
      <c r="B18" s="88">
        <v>10</v>
      </c>
      <c r="C18" s="113" t="s">
        <v>46</v>
      </c>
      <c r="D18" s="99" t="s">
        <v>94</v>
      </c>
      <c r="E18" s="100">
        <v>5.04</v>
      </c>
      <c r="F18" s="102">
        <v>2601.9</v>
      </c>
      <c r="G18" s="102">
        <v>2722.4</v>
      </c>
      <c r="H18" s="103">
        <f t="shared" si="1"/>
        <v>120.5</v>
      </c>
      <c r="I18" s="104">
        <f t="shared" si="0"/>
        <v>8.4350000000000005</v>
      </c>
      <c r="J18" s="114">
        <f t="shared" si="2"/>
        <v>11301.333500000001</v>
      </c>
      <c r="K18" s="114">
        <f>K8*E18%</f>
        <v>-17542.813332240003</v>
      </c>
      <c r="L18" s="186">
        <f t="shared" si="3"/>
        <v>32226.217475760001</v>
      </c>
      <c r="M18" s="105">
        <f t="shared" si="4"/>
        <v>120.5</v>
      </c>
      <c r="N18" s="103">
        <f t="shared" si="5"/>
        <v>43527.550975760001</v>
      </c>
      <c r="O18" s="96">
        <f>N18+'prorrateo '!M11</f>
        <v>225634.09256032002</v>
      </c>
    </row>
    <row r="19" spans="1:15" ht="15" customHeight="1" x14ac:dyDescent="0.25">
      <c r="A19" s="97">
        <v>11</v>
      </c>
      <c r="B19" s="88">
        <v>11</v>
      </c>
      <c r="C19" s="113" t="s">
        <v>48</v>
      </c>
      <c r="D19" s="106" t="s">
        <v>47</v>
      </c>
      <c r="E19" s="100">
        <v>5.21</v>
      </c>
      <c r="F19" s="102">
        <v>5191</v>
      </c>
      <c r="G19" s="102">
        <v>5568.7</v>
      </c>
      <c r="H19" s="103">
        <f t="shared" si="1"/>
        <v>377.69999999999982</v>
      </c>
      <c r="I19" s="104">
        <f t="shared" si="0"/>
        <v>26.438999999999989</v>
      </c>
      <c r="J19" s="114">
        <f t="shared" si="2"/>
        <v>35423.349899999987</v>
      </c>
      <c r="K19" s="114">
        <f>K8*E19%</f>
        <v>-18134.535210510003</v>
      </c>
      <c r="L19" s="186">
        <f t="shared" si="3"/>
        <v>33313.21290649</v>
      </c>
      <c r="M19" s="105">
        <f>G19-F19</f>
        <v>377.69999999999982</v>
      </c>
      <c r="N19" s="103">
        <f t="shared" si="5"/>
        <v>68736.562806489994</v>
      </c>
      <c r="O19" s="96">
        <f>N19+'prorrateo '!M12</f>
        <v>280726.40757167997</v>
      </c>
    </row>
    <row r="20" spans="1:15" ht="15" customHeight="1" x14ac:dyDescent="0.25">
      <c r="A20" s="97">
        <v>12</v>
      </c>
      <c r="B20" s="88">
        <v>12</v>
      </c>
      <c r="C20" s="113" t="s">
        <v>51</v>
      </c>
      <c r="D20" s="106" t="s">
        <v>49</v>
      </c>
      <c r="E20" s="100">
        <v>5.1100000000000003</v>
      </c>
      <c r="F20" s="102">
        <v>6705</v>
      </c>
      <c r="G20" s="102">
        <v>7045.5</v>
      </c>
      <c r="H20" s="103">
        <f t="shared" si="1"/>
        <v>340.5</v>
      </c>
      <c r="I20" s="104">
        <f t="shared" si="0"/>
        <v>23.835000000000001</v>
      </c>
      <c r="J20" s="114">
        <f t="shared" si="2"/>
        <v>31934.473500000004</v>
      </c>
      <c r="K20" s="114">
        <f>K8*E20%</f>
        <v>-17786.463517410004</v>
      </c>
      <c r="L20" s="186">
        <f t="shared" si="3"/>
        <v>32673.803829590004</v>
      </c>
      <c r="M20" s="105">
        <f t="shared" si="4"/>
        <v>340.5</v>
      </c>
      <c r="N20" s="103">
        <f t="shared" si="5"/>
        <v>64608.277329590012</v>
      </c>
      <c r="O20" s="96">
        <f>N20+'prorrateo '!M13</f>
        <v>269720.25800266967</v>
      </c>
    </row>
    <row r="21" spans="1:15" x14ac:dyDescent="0.25">
      <c r="A21" s="97">
        <v>13</v>
      </c>
      <c r="B21" s="88">
        <v>13</v>
      </c>
      <c r="C21" s="113" t="s">
        <v>52</v>
      </c>
      <c r="D21" s="99" t="s">
        <v>49</v>
      </c>
      <c r="E21" s="100">
        <v>5.09</v>
      </c>
      <c r="F21" s="102">
        <v>4338.3</v>
      </c>
      <c r="G21" s="102">
        <v>4426.3</v>
      </c>
      <c r="H21" s="103">
        <f t="shared" si="1"/>
        <v>88</v>
      </c>
      <c r="I21" s="104">
        <f t="shared" si="0"/>
        <v>6.16</v>
      </c>
      <c r="J21" s="114">
        <f t="shared" si="2"/>
        <v>8253.2560000000012</v>
      </c>
      <c r="K21" s="114">
        <f>K8*E21%</f>
        <v>-17716.849178790002</v>
      </c>
      <c r="L21" s="186">
        <f t="shared" si="3"/>
        <v>32545.922014210002</v>
      </c>
      <c r="M21" s="105">
        <f t="shared" si="4"/>
        <v>88</v>
      </c>
      <c r="N21" s="103">
        <f t="shared" si="5"/>
        <v>40799.178014210003</v>
      </c>
      <c r="O21" s="96">
        <f>N21+'prorrateo '!M14</f>
        <v>221552.140022507</v>
      </c>
    </row>
    <row r="22" spans="1:15" x14ac:dyDescent="0.25">
      <c r="A22" s="97">
        <v>14</v>
      </c>
      <c r="B22" s="88">
        <v>14</v>
      </c>
      <c r="C22" s="113" t="s">
        <v>55</v>
      </c>
      <c r="D22" s="99" t="s">
        <v>53</v>
      </c>
      <c r="E22" s="100">
        <v>5.04</v>
      </c>
      <c r="F22" s="102">
        <v>2797.6</v>
      </c>
      <c r="G22" s="102">
        <v>3145.8</v>
      </c>
      <c r="H22" s="103">
        <f t="shared" si="1"/>
        <v>348.20000000000027</v>
      </c>
      <c r="I22" s="104">
        <f t="shared" si="0"/>
        <v>24.37400000000002</v>
      </c>
      <c r="J22" s="114">
        <f t="shared" si="2"/>
        <v>32656.633400000028</v>
      </c>
      <c r="K22" s="114">
        <f>K8*E22%</f>
        <v>-17542.813332240003</v>
      </c>
      <c r="L22" s="186">
        <f t="shared" si="3"/>
        <v>32226.217475760001</v>
      </c>
      <c r="M22" s="105">
        <f t="shared" si="4"/>
        <v>348.20000000000027</v>
      </c>
      <c r="N22" s="103">
        <f t="shared" si="5"/>
        <v>64882.850875760028</v>
      </c>
      <c r="O22" s="96">
        <f>N22+'prorrateo '!M15</f>
        <v>506814.6619711176</v>
      </c>
    </row>
    <row r="23" spans="1:15" x14ac:dyDescent="0.25">
      <c r="A23" s="97">
        <v>15</v>
      </c>
      <c r="B23" s="88">
        <v>15</v>
      </c>
      <c r="C23" s="113" t="s">
        <v>58</v>
      </c>
      <c r="D23" s="99" t="s">
        <v>56</v>
      </c>
      <c r="E23" s="100">
        <v>5.21</v>
      </c>
      <c r="F23" s="102">
        <v>5576.5</v>
      </c>
      <c r="G23" s="102">
        <v>5835.3</v>
      </c>
      <c r="H23" s="103">
        <f t="shared" si="1"/>
        <v>258.80000000000018</v>
      </c>
      <c r="I23" s="104">
        <f t="shared" si="0"/>
        <v>18.116000000000014</v>
      </c>
      <c r="J23" s="114">
        <f t="shared" si="2"/>
        <v>24272.075600000018</v>
      </c>
      <c r="K23" s="114">
        <f>K8*E23%</f>
        <v>-18134.535210510003</v>
      </c>
      <c r="L23" s="186">
        <f t="shared" si="3"/>
        <v>33313.21290649</v>
      </c>
      <c r="M23" s="105">
        <f t="shared" si="4"/>
        <v>258.80000000000018</v>
      </c>
      <c r="N23" s="103">
        <f t="shared" si="5"/>
        <v>57585.288506490018</v>
      </c>
      <c r="O23" s="96">
        <f>N23+'prorrateo '!M16</f>
        <v>258423.86103565362</v>
      </c>
    </row>
    <row r="24" spans="1:15" x14ac:dyDescent="0.25">
      <c r="A24" s="97">
        <v>16</v>
      </c>
      <c r="B24" s="88">
        <v>16</v>
      </c>
      <c r="C24" s="113" t="s">
        <v>60</v>
      </c>
      <c r="D24" s="99" t="s">
        <v>59</v>
      </c>
      <c r="E24" s="100">
        <v>5.04</v>
      </c>
      <c r="F24" s="102">
        <v>1982.9</v>
      </c>
      <c r="G24" s="102">
        <v>2020.8</v>
      </c>
      <c r="H24" s="103">
        <f t="shared" si="1"/>
        <v>37.899999999999864</v>
      </c>
      <c r="I24" s="104">
        <f t="shared" si="0"/>
        <v>2.6529999999999907</v>
      </c>
      <c r="J24" s="114">
        <f t="shared" si="2"/>
        <v>3554.5272999999875</v>
      </c>
      <c r="K24" s="114">
        <f>K8*E24%</f>
        <v>-17542.813332240003</v>
      </c>
      <c r="L24" s="186">
        <f t="shared" si="3"/>
        <v>32226.217475760001</v>
      </c>
      <c r="M24" s="105">
        <f t="shared" si="4"/>
        <v>37.899999999999864</v>
      </c>
      <c r="N24" s="103">
        <f t="shared" si="5"/>
        <v>35780.744775759988</v>
      </c>
      <c r="O24" s="96">
        <f>N24+'prorrateo '!M17</f>
        <v>311853.79051847034</v>
      </c>
    </row>
    <row r="25" spans="1:15" x14ac:dyDescent="0.25">
      <c r="A25" s="97">
        <v>17</v>
      </c>
      <c r="B25" s="88">
        <v>17</v>
      </c>
      <c r="C25" s="113" t="s">
        <v>62</v>
      </c>
      <c r="D25" s="99" t="s">
        <v>61</v>
      </c>
      <c r="E25" s="100">
        <v>5.21</v>
      </c>
      <c r="F25" s="102">
        <v>2155.8000000000002</v>
      </c>
      <c r="G25" s="102">
        <v>2317.3000000000002</v>
      </c>
      <c r="H25" s="103">
        <f t="shared" si="1"/>
        <v>161.5</v>
      </c>
      <c r="I25" s="104">
        <f t="shared" si="0"/>
        <v>11.305000000000001</v>
      </c>
      <c r="J25" s="114">
        <f t="shared" si="2"/>
        <v>15146.6005</v>
      </c>
      <c r="K25" s="114">
        <f>K8*E25%</f>
        <v>-18134.535210510003</v>
      </c>
      <c r="L25" s="186">
        <f t="shared" si="3"/>
        <v>33313.21290649</v>
      </c>
      <c r="M25" s="105">
        <f t="shared" si="4"/>
        <v>161.5</v>
      </c>
      <c r="N25" s="103">
        <f t="shared" si="5"/>
        <v>48459.81340649</v>
      </c>
      <c r="O25" s="96">
        <f>N25+'prorrateo '!M18</f>
        <v>240172.90877167997</v>
      </c>
    </row>
    <row r="26" spans="1:15" x14ac:dyDescent="0.25">
      <c r="A26" s="97">
        <v>18</v>
      </c>
      <c r="B26" s="88">
        <v>18</v>
      </c>
      <c r="C26" s="113" t="s">
        <v>64</v>
      </c>
      <c r="D26" s="99" t="s">
        <v>63</v>
      </c>
      <c r="E26" s="100">
        <v>7.4</v>
      </c>
      <c r="F26" s="102">
        <v>9974.5</v>
      </c>
      <c r="G26" s="102">
        <v>10444</v>
      </c>
      <c r="H26" s="103">
        <f t="shared" si="1"/>
        <v>469.5</v>
      </c>
      <c r="I26" s="104">
        <f t="shared" si="0"/>
        <v>32.865000000000002</v>
      </c>
      <c r="J26" s="114">
        <f t="shared" si="2"/>
        <v>44032.996500000001</v>
      </c>
      <c r="K26" s="114">
        <f>K8*E26%</f>
        <v>-25757.305289400007</v>
      </c>
      <c r="L26" s="186">
        <f t="shared" si="3"/>
        <v>47316.271690599999</v>
      </c>
      <c r="M26" s="105">
        <f t="shared" si="4"/>
        <v>469.5</v>
      </c>
      <c r="N26" s="103">
        <f>J26+L26</f>
        <v>91349.268190600007</v>
      </c>
      <c r="O26" s="96">
        <f>N26+'prorrateo '!M19</f>
        <v>386167.68925920001</v>
      </c>
    </row>
    <row r="27" spans="1:15" ht="14.25" customHeight="1" x14ac:dyDescent="0.25">
      <c r="A27" s="193">
        <v>19</v>
      </c>
      <c r="B27" s="194">
        <v>19</v>
      </c>
      <c r="C27" s="145" t="s">
        <v>65</v>
      </c>
      <c r="D27" s="195"/>
      <c r="E27" s="196">
        <v>1.08</v>
      </c>
      <c r="F27" s="197"/>
      <c r="G27" s="197"/>
      <c r="H27" s="136">
        <f t="shared" si="1"/>
        <v>0</v>
      </c>
      <c r="I27" s="198">
        <f t="shared" si="0"/>
        <v>0</v>
      </c>
      <c r="J27" s="188"/>
      <c r="K27" s="188"/>
      <c r="L27" s="189">
        <f t="shared" si="3"/>
        <v>6905.6180305199996</v>
      </c>
      <c r="M27" s="137">
        <v>0</v>
      </c>
      <c r="N27" s="136">
        <f t="shared" ref="N27:N37" si="6">J27+L27</f>
        <v>6905.6180305199996</v>
      </c>
      <c r="O27" s="96">
        <f>N27+'prorrateo '!M20</f>
        <v>442887.93594134407</v>
      </c>
    </row>
    <row r="28" spans="1:15" x14ac:dyDescent="0.25">
      <c r="A28" s="97">
        <v>20</v>
      </c>
      <c r="B28" s="89"/>
      <c r="C28" s="153" t="s">
        <v>66</v>
      </c>
      <c r="D28" s="101"/>
      <c r="E28" s="101">
        <v>1.08</v>
      </c>
      <c r="F28" s="101"/>
      <c r="G28" s="101"/>
      <c r="H28" s="103">
        <v>0</v>
      </c>
      <c r="I28" s="154">
        <f t="shared" si="0"/>
        <v>0</v>
      </c>
      <c r="J28" s="155"/>
      <c r="K28" s="114"/>
      <c r="L28" s="186">
        <f t="shared" si="3"/>
        <v>6905.6180305199996</v>
      </c>
      <c r="M28" s="105">
        <v>0</v>
      </c>
      <c r="N28" s="103">
        <f t="shared" si="6"/>
        <v>6905.6180305199996</v>
      </c>
      <c r="O28" s="96">
        <f>N28+'prorrateo '!M21</f>
        <v>43506.734048639992</v>
      </c>
    </row>
    <row r="29" spans="1:15" x14ac:dyDescent="0.25">
      <c r="A29" s="97"/>
      <c r="B29" s="89"/>
      <c r="C29" s="153" t="s">
        <v>67</v>
      </c>
      <c r="D29" s="101"/>
      <c r="E29" s="101">
        <v>1.08</v>
      </c>
      <c r="F29" s="101"/>
      <c r="G29" s="101"/>
      <c r="H29" s="103"/>
      <c r="I29" s="154"/>
      <c r="J29" s="155"/>
      <c r="K29" s="114"/>
      <c r="L29" s="186">
        <f t="shared" si="3"/>
        <v>6905.6180305199996</v>
      </c>
      <c r="M29" s="105">
        <v>0</v>
      </c>
      <c r="N29" s="103">
        <f t="shared" si="6"/>
        <v>6905.6180305199996</v>
      </c>
      <c r="O29" s="96">
        <f>N29+'prorrateo '!M22</f>
        <v>43506.734048639992</v>
      </c>
    </row>
    <row r="30" spans="1:15" x14ac:dyDescent="0.25">
      <c r="A30" s="97"/>
      <c r="B30" s="89"/>
      <c r="C30" s="153" t="s">
        <v>68</v>
      </c>
      <c r="D30" s="101"/>
      <c r="E30" s="101">
        <v>1.08</v>
      </c>
      <c r="F30" s="101"/>
      <c r="G30" s="101"/>
      <c r="H30" s="103"/>
      <c r="I30" s="154"/>
      <c r="J30" s="155"/>
      <c r="K30" s="114"/>
      <c r="L30" s="186">
        <f t="shared" si="3"/>
        <v>6905.6180305199996</v>
      </c>
      <c r="M30" s="105">
        <v>0</v>
      </c>
      <c r="N30" s="103">
        <f t="shared" si="6"/>
        <v>6905.6180305199996</v>
      </c>
      <c r="O30" s="96">
        <f>N30+'prorrateo '!M23</f>
        <v>43506.734048639992</v>
      </c>
    </row>
    <row r="31" spans="1:15" x14ac:dyDescent="0.25">
      <c r="A31" s="97"/>
      <c r="B31" s="89"/>
      <c r="C31" s="153" t="s">
        <v>69</v>
      </c>
      <c r="D31" s="101" t="s">
        <v>49</v>
      </c>
      <c r="E31" s="101">
        <v>1.08</v>
      </c>
      <c r="F31" s="101"/>
      <c r="G31" s="101"/>
      <c r="H31" s="103"/>
      <c r="I31" s="154"/>
      <c r="J31" s="155"/>
      <c r="K31" s="114"/>
      <c r="L31" s="186">
        <f t="shared" si="3"/>
        <v>6905.6180305199996</v>
      </c>
      <c r="M31" s="105">
        <v>0</v>
      </c>
      <c r="N31" s="103">
        <f t="shared" si="6"/>
        <v>6905.6180305199996</v>
      </c>
      <c r="O31" s="96">
        <f>N31+'prorrateo '!M24</f>
        <v>43506.734048639992</v>
      </c>
    </row>
    <row r="32" spans="1:15" x14ac:dyDescent="0.25">
      <c r="A32" s="98"/>
      <c r="B32" s="171"/>
      <c r="C32" s="153" t="s">
        <v>70</v>
      </c>
      <c r="D32" s="101" t="s">
        <v>49</v>
      </c>
      <c r="E32" s="101">
        <v>1.08</v>
      </c>
      <c r="F32" s="101"/>
      <c r="G32" s="101"/>
      <c r="H32" s="103"/>
      <c r="I32" s="154"/>
      <c r="J32" s="155"/>
      <c r="K32" s="114"/>
      <c r="L32" s="186">
        <f t="shared" si="3"/>
        <v>6905.6180305199996</v>
      </c>
      <c r="M32" s="105">
        <v>0</v>
      </c>
      <c r="N32" s="103">
        <f t="shared" si="6"/>
        <v>6905.6180305199996</v>
      </c>
      <c r="O32" s="96">
        <f>N32+'prorrateo '!M25</f>
        <v>43506.734048639992</v>
      </c>
    </row>
    <row r="33" spans="1:16" x14ac:dyDescent="0.25">
      <c r="A33" s="97"/>
      <c r="B33" s="89"/>
      <c r="C33" s="127" t="s">
        <v>71</v>
      </c>
      <c r="D33" s="107" t="s">
        <v>63</v>
      </c>
      <c r="E33" s="107">
        <v>1.08</v>
      </c>
      <c r="F33" s="107"/>
      <c r="G33" s="107"/>
      <c r="H33" s="108"/>
      <c r="I33" s="109"/>
      <c r="J33" s="128"/>
      <c r="K33" s="115"/>
      <c r="L33" s="186">
        <f t="shared" si="3"/>
        <v>6905.6180305199996</v>
      </c>
      <c r="M33" s="105">
        <v>0</v>
      </c>
      <c r="N33" s="103">
        <f t="shared" si="6"/>
        <v>6905.6180305199996</v>
      </c>
      <c r="O33" s="96">
        <f>N33+'prorrateo '!M26</f>
        <v>43506.734048639992</v>
      </c>
    </row>
    <row r="34" spans="1:16" x14ac:dyDescent="0.25">
      <c r="A34" s="97"/>
      <c r="B34" s="89"/>
      <c r="C34" s="127" t="s">
        <v>72</v>
      </c>
      <c r="D34" s="107" t="s">
        <v>63</v>
      </c>
      <c r="E34" s="107">
        <v>1.08</v>
      </c>
      <c r="F34" s="107"/>
      <c r="G34" s="107"/>
      <c r="H34" s="108"/>
      <c r="I34" s="109"/>
      <c r="J34" s="128"/>
      <c r="K34" s="115"/>
      <c r="L34" s="186">
        <f t="shared" si="3"/>
        <v>6905.6180305199996</v>
      </c>
      <c r="M34" s="105">
        <v>0</v>
      </c>
      <c r="N34" s="103">
        <f t="shared" si="6"/>
        <v>6905.6180305199996</v>
      </c>
      <c r="O34" s="96">
        <f>N34+'prorrateo '!M27</f>
        <v>43506.734048639992</v>
      </c>
    </row>
    <row r="35" spans="1:16" x14ac:dyDescent="0.25">
      <c r="A35" s="97">
        <v>21</v>
      </c>
      <c r="B35" s="89"/>
      <c r="C35" s="153" t="s">
        <v>73</v>
      </c>
      <c r="D35" s="101"/>
      <c r="E35" s="101">
        <v>1.08</v>
      </c>
      <c r="F35" s="101"/>
      <c r="G35" s="101"/>
      <c r="H35" s="103">
        <v>0</v>
      </c>
      <c r="I35" s="154">
        <f t="shared" si="0"/>
        <v>0</v>
      </c>
      <c r="J35" s="156"/>
      <c r="K35" s="114"/>
      <c r="L35" s="186">
        <f t="shared" si="3"/>
        <v>6905.6180305199996</v>
      </c>
      <c r="M35" s="105">
        <v>0</v>
      </c>
      <c r="N35" s="103">
        <f t="shared" si="6"/>
        <v>6905.6180305199996</v>
      </c>
      <c r="O35" s="96">
        <f>N35+'prorrateo '!M28</f>
        <v>43506.734048639992</v>
      </c>
    </row>
    <row r="36" spans="1:16" x14ac:dyDescent="0.25">
      <c r="A36" s="97">
        <v>22</v>
      </c>
      <c r="B36" s="89"/>
      <c r="C36" s="153" t="s">
        <v>74</v>
      </c>
      <c r="D36" s="101" t="s">
        <v>53</v>
      </c>
      <c r="E36" s="101">
        <v>1.08</v>
      </c>
      <c r="F36" s="101"/>
      <c r="G36" s="101"/>
      <c r="H36" s="103">
        <v>0</v>
      </c>
      <c r="I36" s="154">
        <f t="shared" si="0"/>
        <v>0</v>
      </c>
      <c r="J36" s="156"/>
      <c r="K36" s="114"/>
      <c r="L36" s="186">
        <f t="shared" si="3"/>
        <v>6905.6180305199996</v>
      </c>
      <c r="M36" s="105">
        <v>0</v>
      </c>
      <c r="N36" s="103">
        <f t="shared" si="6"/>
        <v>6905.6180305199996</v>
      </c>
      <c r="O36" s="96">
        <f>N36+'prorrateo '!M29</f>
        <v>92534.050827100786</v>
      </c>
    </row>
    <row r="37" spans="1:16" x14ac:dyDescent="0.25">
      <c r="A37" s="97">
        <v>23</v>
      </c>
      <c r="B37" s="89"/>
      <c r="C37" s="107"/>
      <c r="D37" s="107"/>
      <c r="E37" s="107"/>
      <c r="F37" s="107"/>
      <c r="G37" s="107"/>
      <c r="H37" s="108">
        <v>0</v>
      </c>
      <c r="I37" s="109">
        <f t="shared" si="0"/>
        <v>0</v>
      </c>
      <c r="J37" s="129"/>
      <c r="K37" s="184"/>
      <c r="L37" s="185">
        <v>0</v>
      </c>
      <c r="M37" s="124">
        <v>0</v>
      </c>
      <c r="N37" s="103">
        <f t="shared" si="6"/>
        <v>0</v>
      </c>
    </row>
    <row r="38" spans="1:16" ht="14.25" customHeight="1" x14ac:dyDescent="0.25">
      <c r="A38" s="97">
        <v>24</v>
      </c>
      <c r="B38" s="89"/>
      <c r="C38" s="107"/>
      <c r="D38" s="107"/>
      <c r="E38" s="125"/>
      <c r="F38" s="107"/>
      <c r="G38" s="107"/>
      <c r="H38" s="108"/>
      <c r="I38" s="110"/>
      <c r="J38" s="115">
        <f>SUM(J10:J37)</f>
        <v>348071.69310000003</v>
      </c>
      <c r="K38" s="111"/>
      <c r="L38" s="111">
        <f>SUM(L10:L37)</f>
        <v>639409.07690000057</v>
      </c>
      <c r="M38" s="112"/>
      <c r="N38" s="108">
        <f>SUM(N10:N37)</f>
        <v>987480.77000000048</v>
      </c>
      <c r="P38" s="44"/>
    </row>
    <row r="39" spans="1:16" hidden="1" x14ac:dyDescent="0.25">
      <c r="A39" s="78"/>
      <c r="C39" s="90"/>
      <c r="D39" s="91"/>
      <c r="E39" s="131">
        <f>SUM(E10:E38)</f>
        <v>99.999999999999986</v>
      </c>
      <c r="F39" s="91"/>
      <c r="G39" s="91"/>
      <c r="H39" s="92"/>
      <c r="I39" s="93">
        <f>SUM(I10:I38)</f>
        <v>259.79100000000005</v>
      </c>
      <c r="J39" s="123"/>
      <c r="K39" s="93"/>
      <c r="L39" s="130">
        <f>L38+J38</f>
        <v>987480.7700000006</v>
      </c>
      <c r="M39" s="92"/>
      <c r="N39" s="92"/>
      <c r="O39" s="79"/>
    </row>
    <row r="40" spans="1:16" ht="30" hidden="1" x14ac:dyDescent="0.25">
      <c r="A40" s="94" t="s">
        <v>88</v>
      </c>
      <c r="C40" s="212"/>
      <c r="D40" s="210"/>
      <c r="E40" s="210"/>
      <c r="F40" s="210"/>
      <c r="G40" s="210"/>
      <c r="H40" s="210"/>
      <c r="I40" s="210"/>
      <c r="J40" s="210"/>
      <c r="K40" s="210"/>
      <c r="L40" s="210"/>
      <c r="M40" s="210"/>
      <c r="N40" s="210"/>
      <c r="O40" s="94"/>
    </row>
    <row r="41" spans="1:16" x14ac:dyDescent="0.25">
      <c r="H41" s="79"/>
      <c r="J41" s="95"/>
      <c r="K41" s="95"/>
      <c r="L41" s="95"/>
      <c r="N41" s="96"/>
    </row>
    <row r="43" spans="1:16" x14ac:dyDescent="0.25">
      <c r="E43" s="4"/>
    </row>
    <row r="44" spans="1:16" x14ac:dyDescent="0.25">
      <c r="L44" s="138"/>
    </row>
    <row r="45" spans="1:16" x14ac:dyDescent="0.25">
      <c r="L45" s="95"/>
    </row>
    <row r="46" spans="1:16" x14ac:dyDescent="0.25">
      <c r="E46" s="139"/>
      <c r="F46" s="139"/>
      <c r="G46" s="139"/>
      <c r="H46" s="139"/>
      <c r="I46" s="139"/>
      <c r="J46" s="139"/>
      <c r="K46" s="139"/>
      <c r="L46" s="140"/>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2026-03-18T12:48:27Z</cp:lastPrinted>
  <dcterms:created xsi:type="dcterms:W3CDTF">2020-12-10T00:27:53Z</dcterms:created>
  <dcterms:modified xsi:type="dcterms:W3CDTF">2026-03-18T12:48:31Z</dcterms:modified>
</cp:coreProperties>
</file>