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istemax\Desktop\rc-consorcio2025\2026\ROSALES\Marzo\"/>
    </mc:Choice>
  </mc:AlternateContent>
  <xr:revisionPtr revIDLastSave="0" documentId="13_ncr:1_{0215EE7C-4430-4BA0-9DF1-A145AFC9AA11}" xr6:coauthVersionLast="47" xr6:coauthVersionMax="47" xr10:uidLastSave="{00000000-0000-0000-0000-000000000000}"/>
  <bookViews>
    <workbookView xWindow="-120" yWindow="-120" windowWidth="20730" windowHeight="11160" activeTab="1" xr2:uid="{00000000-000D-0000-FFFF-FFFF00000000}"/>
  </bookViews>
  <sheets>
    <sheet name="detalle y gastos" sheetId="3" r:id="rId1"/>
    <sheet name="prorrateo " sheetId="1" r:id="rId2"/>
    <sheet name="Edesur" sheetId="4" r:id="rId3"/>
    <sheet name="SITUACION ARIEL" sheetId="5" r:id="rId4"/>
  </sheets>
  <definedNames>
    <definedName name="_xlnm.Print_Area" localSheetId="0">'detalle y gastos'!$A$1:$C$63</definedName>
    <definedName name="_xlnm.Print_Area" localSheetId="2">Edesur!$A$1:$N$40</definedName>
    <definedName name="_xlnm.Print_Area" localSheetId="1">'prorrateo '!$A$1:$M$33</definedName>
    <definedName name="_xlnm.Print_Area" localSheetId="3">'SITUACION ARIEL'!$D$4:$H$20</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3" i="1" l="1"/>
  <c r="B1" i="1"/>
  <c r="L1" i="1"/>
  <c r="F8" i="5" l="1"/>
  <c r="F13" i="5" s="1"/>
  <c r="F20" i="5" s="1"/>
  <c r="F16" i="5"/>
  <c r="F16" i="1" l="1"/>
  <c r="F15" i="1"/>
  <c r="F29" i="1"/>
  <c r="F17" i="1"/>
  <c r="F13" i="1"/>
  <c r="F22" i="1"/>
  <c r="F10" i="1"/>
  <c r="F5" i="1"/>
  <c r="F7" i="1"/>
  <c r="C24" i="3"/>
  <c r="C26" i="3"/>
  <c r="C32" i="3" s="1"/>
  <c r="F3" i="1" l="1"/>
  <c r="F6" i="1"/>
  <c r="F12" i="1"/>
  <c r="F11" i="1"/>
  <c r="F9" i="1" l="1"/>
  <c r="C7" i="4"/>
  <c r="C42" i="3" l="1"/>
  <c r="F8" i="1"/>
  <c r="C6" i="4" l="1"/>
  <c r="H10" i="4"/>
  <c r="F18" i="1"/>
  <c r="C33" i="3" l="1"/>
  <c r="L4" i="1"/>
  <c r="L5" i="1"/>
  <c r="L6" i="1"/>
  <c r="L7" i="1"/>
  <c r="L8" i="1"/>
  <c r="L9" i="1"/>
  <c r="L10" i="1"/>
  <c r="L11" i="1"/>
  <c r="L12" i="1"/>
  <c r="L13" i="1"/>
  <c r="L14" i="1"/>
  <c r="L15" i="1"/>
  <c r="L16" i="1"/>
  <c r="L17" i="1"/>
  <c r="L18" i="1"/>
  <c r="L19" i="1"/>
  <c r="L20" i="1"/>
  <c r="L21" i="1"/>
  <c r="L22" i="1"/>
  <c r="L23" i="1"/>
  <c r="L24" i="1"/>
  <c r="L25" i="1"/>
  <c r="L26" i="1"/>
  <c r="L27" i="1"/>
  <c r="L28" i="1"/>
  <c r="L29" i="1"/>
  <c r="L3" i="1"/>
  <c r="K3" i="1"/>
  <c r="F24" i="1" l="1"/>
  <c r="F21" i="1" l="1"/>
  <c r="F28" i="1" l="1"/>
  <c r="F26" i="1"/>
  <c r="F27" i="1"/>
  <c r="K4" i="1" l="1"/>
  <c r="K5" i="1"/>
  <c r="K6" i="1"/>
  <c r="K7" i="1"/>
  <c r="K8" i="1"/>
  <c r="K9" i="1"/>
  <c r="K10" i="1"/>
  <c r="K11" i="1"/>
  <c r="K12" i="1"/>
  <c r="K13" i="1"/>
  <c r="K14" i="1"/>
  <c r="K15" i="1"/>
  <c r="K16" i="1"/>
  <c r="K17" i="1"/>
  <c r="K18" i="1"/>
  <c r="K19" i="1"/>
  <c r="K20" i="1"/>
  <c r="K21" i="1"/>
  <c r="K22" i="1"/>
  <c r="K23" i="1"/>
  <c r="K24" i="1"/>
  <c r="K25" i="1"/>
  <c r="K26" i="1"/>
  <c r="K27" i="1"/>
  <c r="K28" i="1"/>
  <c r="K29" i="1"/>
  <c r="B28" i="1" l="1"/>
  <c r="I3" i="1" l="1"/>
  <c r="F19" i="1"/>
  <c r="P27" i="1" s="1"/>
  <c r="E39" i="4" l="1"/>
  <c r="N37" i="4"/>
  <c r="M25" i="4" l="1"/>
  <c r="M26" i="4"/>
  <c r="M10" i="4"/>
  <c r="J10" i="4" s="1"/>
  <c r="H13" i="4"/>
  <c r="I13" i="4" s="1"/>
  <c r="H15" i="4"/>
  <c r="I15" i="4" s="1"/>
  <c r="M16" i="4"/>
  <c r="J16" i="4" s="1"/>
  <c r="M17" i="4"/>
  <c r="J17" i="4" s="1"/>
  <c r="M22" i="4"/>
  <c r="J22" i="4" s="1"/>
  <c r="M23" i="4"/>
  <c r="J23" i="4" s="1"/>
  <c r="H24" i="4"/>
  <c r="I24" i="4" s="1"/>
  <c r="H25" i="4"/>
  <c r="I25" i="4" s="1"/>
  <c r="H26" i="4"/>
  <c r="I26" i="4" s="1"/>
  <c r="H11" i="4"/>
  <c r="I11" i="4" s="1"/>
  <c r="H12" i="4"/>
  <c r="I12" i="4" s="1"/>
  <c r="H14" i="4"/>
  <c r="I14" i="4" s="1"/>
  <c r="H18" i="4"/>
  <c r="I18" i="4" s="1"/>
  <c r="H19" i="4"/>
  <c r="I19" i="4" s="1"/>
  <c r="H20" i="4"/>
  <c r="I20" i="4" s="1"/>
  <c r="H21" i="4"/>
  <c r="I21" i="4" s="1"/>
  <c r="H22" i="4"/>
  <c r="I22" i="4" s="1"/>
  <c r="H23" i="4"/>
  <c r="I23" i="4" s="1"/>
  <c r="H27" i="4"/>
  <c r="I27" i="4" s="1"/>
  <c r="I37" i="4"/>
  <c r="I36" i="4"/>
  <c r="I35" i="4"/>
  <c r="I28" i="4"/>
  <c r="M21" i="4"/>
  <c r="J21" i="4" s="1"/>
  <c r="M20" i="4"/>
  <c r="J20" i="4" s="1"/>
  <c r="M19" i="4"/>
  <c r="J19" i="4" s="1"/>
  <c r="M18" i="4"/>
  <c r="J18" i="4" s="1"/>
  <c r="M14" i="4"/>
  <c r="J14" i="4" s="1"/>
  <c r="M13" i="4"/>
  <c r="J13" i="4" s="1"/>
  <c r="M12" i="4"/>
  <c r="M11" i="4"/>
  <c r="J11" i="4" s="1"/>
  <c r="H17" i="4" l="1"/>
  <c r="I17" i="4" s="1"/>
  <c r="H16" i="4"/>
  <c r="I16" i="4" s="1"/>
  <c r="M15" i="4"/>
  <c r="J15" i="4" s="1"/>
  <c r="M24" i="4"/>
  <c r="J24" i="4" s="1"/>
  <c r="J25" i="4"/>
  <c r="J26" i="4"/>
  <c r="I10" i="4"/>
  <c r="J12" i="4"/>
  <c r="J38" i="4" l="1"/>
  <c r="L8" i="4" s="1"/>
  <c r="L12" i="4" s="1"/>
  <c r="N12" i="4" s="1"/>
  <c r="J5" i="1" s="1"/>
  <c r="I39" i="4"/>
  <c r="K8" i="4" l="1"/>
  <c r="K22" i="4" s="1"/>
  <c r="L23" i="4"/>
  <c r="N23" i="4" s="1"/>
  <c r="J16" i="1" s="1"/>
  <c r="L31" i="4"/>
  <c r="N31" i="4" s="1"/>
  <c r="J24" i="1" s="1"/>
  <c r="L17" i="4"/>
  <c r="N17" i="4" s="1"/>
  <c r="J10" i="1" s="1"/>
  <c r="L22" i="4"/>
  <c r="N22" i="4" s="1"/>
  <c r="J15" i="1" s="1"/>
  <c r="L29" i="4"/>
  <c r="N29" i="4" s="1"/>
  <c r="J22" i="1" s="1"/>
  <c r="L15" i="4"/>
  <c r="N15" i="4" s="1"/>
  <c r="J8" i="1" s="1"/>
  <c r="L27" i="4"/>
  <c r="N27" i="4" s="1"/>
  <c r="J20" i="1" s="1"/>
  <c r="L13" i="4"/>
  <c r="N13" i="4" s="1"/>
  <c r="J6" i="1" s="1"/>
  <c r="L26" i="4"/>
  <c r="N26" i="4" s="1"/>
  <c r="J19" i="1" s="1"/>
  <c r="L33" i="4"/>
  <c r="N33" i="4" s="1"/>
  <c r="J26" i="1" s="1"/>
  <c r="L28" i="4"/>
  <c r="N28" i="4" s="1"/>
  <c r="J21" i="1" s="1"/>
  <c r="L24" i="4"/>
  <c r="N24" i="4" s="1"/>
  <c r="J17" i="1" s="1"/>
  <c r="L11" i="4"/>
  <c r="N11" i="4" s="1"/>
  <c r="J4" i="1" s="1"/>
  <c r="L34" i="4"/>
  <c r="N34" i="4" s="1"/>
  <c r="J27" i="1" s="1"/>
  <c r="L18" i="4"/>
  <c r="N18" i="4" s="1"/>
  <c r="J11" i="1" s="1"/>
  <c r="L19" i="4"/>
  <c r="N19" i="4" s="1"/>
  <c r="J12" i="1" s="1"/>
  <c r="L25" i="4"/>
  <c r="N25" i="4" s="1"/>
  <c r="J18" i="1" s="1"/>
  <c r="L36" i="4"/>
  <c r="N36" i="4" s="1"/>
  <c r="J29" i="1" s="1"/>
  <c r="L20" i="4"/>
  <c r="N20" i="4" s="1"/>
  <c r="J13" i="1" s="1"/>
  <c r="L35" i="4"/>
  <c r="N35" i="4" s="1"/>
  <c r="J28" i="1" s="1"/>
  <c r="L30" i="4"/>
  <c r="N30" i="4" s="1"/>
  <c r="J23" i="1" s="1"/>
  <c r="L14" i="4"/>
  <c r="N14" i="4" s="1"/>
  <c r="J7" i="1" s="1"/>
  <c r="L10" i="4"/>
  <c r="N10" i="4" s="1"/>
  <c r="J3" i="1" s="1"/>
  <c r="L21" i="4"/>
  <c r="N21" i="4" s="1"/>
  <c r="J14" i="1" s="1"/>
  <c r="L32" i="4"/>
  <c r="N32" i="4" s="1"/>
  <c r="J25" i="1" s="1"/>
  <c r="L16" i="4"/>
  <c r="N16" i="4" s="1"/>
  <c r="J9" i="1" s="1"/>
  <c r="K10" i="4" l="1"/>
  <c r="K16" i="4"/>
  <c r="K18" i="4"/>
  <c r="K21" i="4"/>
  <c r="K14" i="4"/>
  <c r="K13" i="4"/>
  <c r="K24" i="4"/>
  <c r="K25" i="4"/>
  <c r="K23" i="4"/>
  <c r="K17" i="4"/>
  <c r="K12" i="4"/>
  <c r="K19" i="4"/>
  <c r="K26" i="4"/>
  <c r="K20" i="4"/>
  <c r="K11" i="4"/>
  <c r="K15" i="4"/>
  <c r="N38" i="4"/>
  <c r="L38" i="4"/>
  <c r="L39" i="4" s="1"/>
  <c r="I17" i="1"/>
  <c r="I18" i="1"/>
  <c r="I19" i="1"/>
  <c r="I20" i="1"/>
  <c r="I21" i="1"/>
  <c r="I22" i="1"/>
  <c r="I23" i="1"/>
  <c r="I24" i="1"/>
  <c r="I25" i="1"/>
  <c r="I26" i="1"/>
  <c r="I27" i="1"/>
  <c r="I28" i="1"/>
  <c r="I29" i="1"/>
  <c r="I4" i="1"/>
  <c r="I5" i="1"/>
  <c r="I6" i="1"/>
  <c r="I7" i="1"/>
  <c r="I8" i="1"/>
  <c r="I9" i="1"/>
  <c r="I10" i="1"/>
  <c r="I11" i="1"/>
  <c r="I12" i="1"/>
  <c r="I13" i="1"/>
  <c r="I14" i="1"/>
  <c r="I15" i="1"/>
  <c r="I16" i="1"/>
  <c r="K31" i="1"/>
  <c r="D31" i="1"/>
  <c r="G29" i="1"/>
  <c r="G28" i="1"/>
  <c r="G27" i="1"/>
  <c r="G26" i="1"/>
  <c r="G25" i="1"/>
  <c r="G24" i="1"/>
  <c r="G23" i="1"/>
  <c r="G22" i="1"/>
  <c r="G21" i="1"/>
  <c r="G20" i="1"/>
  <c r="G19" i="1"/>
  <c r="G18" i="1"/>
  <c r="G17" i="1"/>
  <c r="G16" i="1"/>
  <c r="G15" i="1"/>
  <c r="G14" i="1"/>
  <c r="G13" i="1"/>
  <c r="G12" i="1"/>
  <c r="G11" i="1"/>
  <c r="G10" i="1"/>
  <c r="G9" i="1"/>
  <c r="G8" i="1"/>
  <c r="G7" i="1"/>
  <c r="G6" i="1"/>
  <c r="G5" i="1"/>
  <c r="G4" i="1"/>
  <c r="G3" i="1"/>
  <c r="M10" i="1" l="1"/>
  <c r="O10" i="1" s="1"/>
  <c r="M20" i="1"/>
  <c r="O20" i="1" s="1"/>
  <c r="H6" i="1"/>
  <c r="H12" i="1"/>
  <c r="H24" i="1"/>
  <c r="M24" i="1" s="1"/>
  <c r="O24" i="1" s="1"/>
  <c r="H7" i="1"/>
  <c r="M7" i="1" s="1"/>
  <c r="O7" i="1" s="1"/>
  <c r="H13" i="1"/>
  <c r="H17" i="1"/>
  <c r="H21" i="1"/>
  <c r="M21" i="1" s="1"/>
  <c r="O21" i="1" s="1"/>
  <c r="H25" i="1"/>
  <c r="H4" i="1"/>
  <c r="H8" i="1"/>
  <c r="H11" i="1"/>
  <c r="M11" i="1" s="1"/>
  <c r="O11" i="1" s="1"/>
  <c r="H14" i="1"/>
  <c r="M14" i="1" s="1"/>
  <c r="O14" i="1" s="1"/>
  <c r="H18" i="1"/>
  <c r="H26" i="1"/>
  <c r="H9" i="1"/>
  <c r="M9" i="1" s="1"/>
  <c r="O9" i="1" s="1"/>
  <c r="H16" i="1"/>
  <c r="H28" i="1"/>
  <c r="H3" i="1"/>
  <c r="H29" i="1"/>
  <c r="M29" i="1" s="1"/>
  <c r="O29" i="1" s="1"/>
  <c r="H5" i="1"/>
  <c r="H15" i="1"/>
  <c r="H19" i="1"/>
  <c r="M19" i="1" s="1"/>
  <c r="O19" i="1" s="1"/>
  <c r="H23" i="1"/>
  <c r="H27" i="1"/>
  <c r="M27" i="1" s="1"/>
  <c r="O27" i="1" s="1"/>
  <c r="H22" i="1"/>
  <c r="M22" i="1" s="1"/>
  <c r="O22" i="1" s="1"/>
  <c r="I31" i="1"/>
  <c r="F31" i="1"/>
  <c r="C49" i="3" s="1"/>
  <c r="C57" i="3"/>
  <c r="M3" i="1" l="1"/>
  <c r="O3" i="1" s="1"/>
  <c r="O17" i="4"/>
  <c r="O27" i="4"/>
  <c r="O34" i="4"/>
  <c r="M5" i="1"/>
  <c r="O5" i="1" s="1"/>
  <c r="M26" i="1"/>
  <c r="O26" i="1" s="1"/>
  <c r="M28" i="1"/>
  <c r="O28" i="1" s="1"/>
  <c r="M17" i="1"/>
  <c r="O17" i="1" s="1"/>
  <c r="M4" i="1"/>
  <c r="O4" i="1" s="1"/>
  <c r="O14" i="4"/>
  <c r="M12" i="1"/>
  <c r="O12" i="1" s="1"/>
  <c r="M6" i="1"/>
  <c r="O6" i="1" s="1"/>
  <c r="M15" i="1"/>
  <c r="O15" i="1" s="1"/>
  <c r="M8" i="1"/>
  <c r="O8" i="1" s="1"/>
  <c r="O29" i="4"/>
  <c r="O36" i="4"/>
  <c r="O21" i="4"/>
  <c r="O26" i="4"/>
  <c r="O16" i="4"/>
  <c r="O18" i="4"/>
  <c r="O28" i="4"/>
  <c r="O31" i="4"/>
  <c r="M23" i="1"/>
  <c r="O23" i="1" s="1"/>
  <c r="M13" i="1"/>
  <c r="O13" i="1" s="1"/>
  <c r="M25" i="1"/>
  <c r="O25" i="1" s="1"/>
  <c r="M18" i="1"/>
  <c r="O18" i="1" s="1"/>
  <c r="M16" i="1"/>
  <c r="O16" i="1" s="1"/>
  <c r="O12" i="4" l="1"/>
  <c r="O35" i="4"/>
  <c r="O30" i="4"/>
  <c r="O11" i="4"/>
  <c r="O13" i="4"/>
  <c r="O19" i="4"/>
  <c r="M31" i="1"/>
  <c r="O20" i="4"/>
  <c r="O24" i="4"/>
  <c r="O23" i="4"/>
  <c r="O15" i="4"/>
  <c r="O32" i="4"/>
  <c r="O25" i="4"/>
  <c r="O22" i="4"/>
  <c r="O33" i="4"/>
  <c r="O10" i="4"/>
  <c r="C60" i="3"/>
  <c r="C44" i="3" l="1"/>
  <c r="C48" i="3" s="1"/>
  <c r="C52" i="3" s="1"/>
</calcChain>
</file>

<file path=xl/sharedStrings.xml><?xml version="1.0" encoding="utf-8"?>
<sst xmlns="http://schemas.openxmlformats.org/spreadsheetml/2006/main" count="206" uniqueCount="132">
  <si>
    <t>TOTAL</t>
  </si>
  <si>
    <t>%</t>
  </si>
  <si>
    <t>consorciosrc13@gmail.com</t>
  </si>
  <si>
    <t>Tel. 11 5320-2676</t>
  </si>
  <si>
    <t>ABONOS y SERVICIOS</t>
  </si>
  <si>
    <t>GASTOS ORDINARIOS</t>
  </si>
  <si>
    <t>TOTAL GASTOS ORDINARIOS (A)</t>
  </si>
  <si>
    <t>TOTAL GENERAL DE GASTOS (A) + (B)</t>
  </si>
  <si>
    <t>Saldo al cierre $ (pesos)</t>
  </si>
  <si>
    <t>CANCIANI, Carolina</t>
  </si>
  <si>
    <t>AYSA</t>
  </si>
  <si>
    <t>RC Adm Cons CANCIANI, Carolina</t>
  </si>
  <si>
    <t>LIMPIEZA / MANTENIMIENTO / GASTOS GENERALES</t>
  </si>
  <si>
    <t>EDESUR  0800-333-3787</t>
  </si>
  <si>
    <t>AySA  0800-321-2482</t>
  </si>
  <si>
    <t>TOTAL GASTOS EXTRAORDINARIOS (B)</t>
  </si>
  <si>
    <t>Metrogas 0800-333-6427</t>
  </si>
  <si>
    <t>GASTOS EXTRAORDINARIOS</t>
  </si>
  <si>
    <t xml:space="preserve">Teléfonos útiles </t>
  </si>
  <si>
    <t>Inquilinos</t>
  </si>
  <si>
    <t>CAJA EXTRAORDINARIA</t>
  </si>
  <si>
    <t>MP 1148</t>
  </si>
  <si>
    <t>Honorarios administracion</t>
  </si>
  <si>
    <t>Egreso extraordinario</t>
  </si>
  <si>
    <t>EDIFICIO ROSALES 624</t>
  </si>
  <si>
    <t>Ascensores Lema</t>
  </si>
  <si>
    <t>Propietarios</t>
  </si>
  <si>
    <t>SALDO ANTERIOR</t>
  </si>
  <si>
    <t>SALDO ABONADO</t>
  </si>
  <si>
    <t>SALDO</t>
  </si>
  <si>
    <t>A PAGAR</t>
  </si>
  <si>
    <t>Ferrea Nestor</t>
  </si>
  <si>
    <t>1ro. "A"</t>
  </si>
  <si>
    <t>Gnecchi Nicolas</t>
  </si>
  <si>
    <t>1ro. "B"</t>
  </si>
  <si>
    <t>Triñanes Gaston</t>
  </si>
  <si>
    <t>2do. "A"</t>
  </si>
  <si>
    <t>Nuñez Eva</t>
  </si>
  <si>
    <t>2do. "B"</t>
  </si>
  <si>
    <t>3ro. "A"</t>
  </si>
  <si>
    <t>Grecco Pedro</t>
  </si>
  <si>
    <t>3ro. "B"</t>
  </si>
  <si>
    <t>Mteljan Barbara</t>
  </si>
  <si>
    <t>4to. "A"</t>
  </si>
  <si>
    <t>Carnevalli</t>
  </si>
  <si>
    <t>4to. "B"</t>
  </si>
  <si>
    <t>5to. "A"</t>
  </si>
  <si>
    <t>Strangio Federico</t>
  </si>
  <si>
    <t>5to. "B"</t>
  </si>
  <si>
    <t>Senderowicz Rosalia</t>
  </si>
  <si>
    <t>Alejo</t>
  </si>
  <si>
    <t>6to. "A"</t>
  </si>
  <si>
    <t>6to. "B"</t>
  </si>
  <si>
    <t>Alonso Graciela</t>
  </si>
  <si>
    <t xml:space="preserve">Facundo </t>
  </si>
  <si>
    <t>7mo. "A"</t>
  </si>
  <si>
    <t>Perez Rodriguez</t>
  </si>
  <si>
    <t>Mariel</t>
  </si>
  <si>
    <t>7mo. "B"</t>
  </si>
  <si>
    <t>Mourelos Pablo</t>
  </si>
  <si>
    <t>8vo. "A"</t>
  </si>
  <si>
    <t>Calabria Carlos/Giarrizzo Silvia</t>
  </si>
  <si>
    <t>8vo. "B"</t>
  </si>
  <si>
    <t>Ariel</t>
  </si>
  <si>
    <t>9no. "A"</t>
  </si>
  <si>
    <t xml:space="preserve">COCHERA 1 </t>
  </si>
  <si>
    <t xml:space="preserve">COCHERA 2 </t>
  </si>
  <si>
    <t xml:space="preserve">COCHERA 3 </t>
  </si>
  <si>
    <t xml:space="preserve">COCHERA 4 </t>
  </si>
  <si>
    <t xml:space="preserve">COCHERA 5 </t>
  </si>
  <si>
    <t xml:space="preserve">COCHERA 6 </t>
  </si>
  <si>
    <t xml:space="preserve">COCHERA 7 </t>
  </si>
  <si>
    <t>COCHERA 8</t>
  </si>
  <si>
    <t>COCHERA 9</t>
  </si>
  <si>
    <t>COCHERA 10</t>
  </si>
  <si>
    <t>TOTAL  EXPENSAS</t>
  </si>
  <si>
    <t xml:space="preserve"> </t>
  </si>
  <si>
    <t xml:space="preserve">EDESUR </t>
  </si>
  <si>
    <t>U.F.</t>
  </si>
  <si>
    <t>PISO - DEPTO</t>
  </si>
  <si>
    <t>PROPIETARIOS</t>
  </si>
  <si>
    <t>CONSUMO ANT.</t>
  </si>
  <si>
    <t>CONSUMO ACTUAL</t>
  </si>
  <si>
    <t>INTERES POR MORA 7%</t>
  </si>
  <si>
    <t>PARTES COMUNES</t>
  </si>
  <si>
    <t>KWH</t>
  </si>
  <si>
    <t>EDESUR FINAL</t>
  </si>
  <si>
    <t>4 Y 5</t>
  </si>
  <si>
    <t>NOTA:</t>
  </si>
  <si>
    <t>UNIDAD  FUNCIONAL</t>
  </si>
  <si>
    <t>Gabriel</t>
  </si>
  <si>
    <t xml:space="preserve">PREVISION ORDINARIA </t>
  </si>
  <si>
    <t>PUNITORIOS 4%</t>
  </si>
  <si>
    <t>Leandro</t>
  </si>
  <si>
    <t xml:space="preserve">Leonor </t>
  </si>
  <si>
    <t>INGRESOS CORRESPONDIENTES AL PAGO DE EXPENSAS</t>
  </si>
  <si>
    <t>Sueldo personal de limpieza y maestranza</t>
  </si>
  <si>
    <t>Seguro de vida Sra encargada</t>
  </si>
  <si>
    <t>CAJA ANTERIOR</t>
  </si>
  <si>
    <t>Gastos extraordinarios:</t>
  </si>
  <si>
    <t>Expensas ordinarias:</t>
  </si>
  <si>
    <t>ORDINARIAS</t>
  </si>
  <si>
    <t>Seguro de consorcio obligatorio -  federacion patronal - poliza nro. 2027630</t>
  </si>
  <si>
    <t>Anabella</t>
  </si>
  <si>
    <t>ARBA</t>
  </si>
  <si>
    <t>ATENCIÓN: Al momento de abonar en efectivo las expensas (dado que no se dispone de cuenta bancaria), deberán cancelar el monto total correspondiente, que incluye tanto las expensas como el consumo de Edesur de cada unidad funcional.
Les recordamos que el pago debe realizarse con dinero justo.</t>
  </si>
  <si>
    <t>Fumigacion</t>
  </si>
  <si>
    <t>EXTRAORD.</t>
  </si>
  <si>
    <t>ARBA:</t>
  </si>
  <si>
    <t>PUNITORIOS MAL COBRADOS</t>
  </si>
  <si>
    <t>EDESUR</t>
  </si>
  <si>
    <t>SIN EDESUR</t>
  </si>
  <si>
    <t xml:space="preserve">Subidos en EN3R0 </t>
  </si>
  <si>
    <t>PREVISION EXTRAORDINARIA - ARBA</t>
  </si>
  <si>
    <t>Articulos de limpieza</t>
  </si>
  <si>
    <t>Carnevalli Christian</t>
  </si>
  <si>
    <t>Espacio Edesur</t>
  </si>
  <si>
    <t>Vto. 17/04</t>
  </si>
  <si>
    <t>LIQUIDACIÓN EXPENSAS MARZO 2025</t>
  </si>
  <si>
    <t>EGRESOS DEL MES DE MARZO</t>
  </si>
  <si>
    <t>ARBA - Cuota 4 del plan</t>
  </si>
  <si>
    <t>Fumigacion - Mes anterior</t>
  </si>
  <si>
    <t>En Febrero debia abonar:</t>
  </si>
  <si>
    <t>9A</t>
  </si>
  <si>
    <t>Cochera 7</t>
  </si>
  <si>
    <t>Cochera 8</t>
  </si>
  <si>
    <t>Abona:</t>
  </si>
  <si>
    <t>Portera</t>
  </si>
  <si>
    <t>TOTAL AL FINALIZAR FEBRERO (DEUDA)</t>
  </si>
  <si>
    <t>En marzo debia abonar:</t>
  </si>
  <si>
    <t>TOTAL + DEUDA FEB</t>
  </si>
  <si>
    <t>Gastos administrativos - Traspaso de administracion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</si>
</sst>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 #,##0.00_-;\-&quot;$&quot;\ * #,##0.00_-;_-&quot;$&quot;\ * &quot;-&quot;??_-;_-@_-"/>
    <numFmt numFmtId="43" formatCode="_-* #,##0.00_-;\-* #,##0.00_-;_-* &quot;-&quot;??_-;_-@_-"/>
    <numFmt numFmtId="164" formatCode="_ &quot;$&quot;\ * #,##0.00_ ;_ &quot;$&quot;\ * \-#,##0.00_ ;_ &quot;$&quot;\ * &quot;-&quot;??_ ;_ @_ "/>
    <numFmt numFmtId="165" formatCode="#,##0.0000"/>
    <numFmt numFmtId="166" formatCode="_ &quot;$&quot;\ * #,##0_ ;_ &quot;$&quot;\ * \-#,##0_ ;_ &quot;$&quot;\ * &quot;-&quot;??_ ;_ @_ "/>
    <numFmt numFmtId="167" formatCode="0.0000"/>
    <numFmt numFmtId="168" formatCode="&quot;$&quot;\ #,##0.00"/>
    <numFmt numFmtId="169" formatCode="0.0"/>
    <numFmt numFmtId="170" formatCode="_-&quot;$&quot;\ * #,##0_-;\-&quot;$&quot;\ * #,##0_-;_-&quot;$&quot;\ * &quot;-&quot;??_-;_-@"/>
    <numFmt numFmtId="171" formatCode="_-&quot;$&quot;\ * #,##0.00_-;\-&quot;$&quot;\ * #,##0.00_-;_-&quot;$&quot;\ * &quot;-&quot;??_-;_-@"/>
    <numFmt numFmtId="172" formatCode="_-* #,##0_-;\-* #,##0_-;_-* &quot;-&quot;??_-;_-@_-"/>
    <numFmt numFmtId="173" formatCode="_-* #,##0.000000_-;\-* #,##0.000000_-;_-* &quot;-&quot;??_-;_-@_-"/>
    <numFmt numFmtId="174" formatCode="_-[$$-2C0A]\ * #,##0.00_-;\-[$$-2C0A]\ * #,##0.00_-;_-[$$-2C0A]\ * &quot;-&quot;??_-;_-@_-"/>
  </numFmts>
  <fonts count="35"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u/>
      <sz val="11"/>
      <color theme="1"/>
      <name val="Calibri"/>
      <family val="2"/>
      <scheme val="minor"/>
    </font>
    <font>
      <b/>
      <sz val="10"/>
      <color theme="1"/>
      <name val="Calibri"/>
      <family val="2"/>
      <scheme val="minor"/>
    </font>
    <font>
      <sz val="10"/>
      <color theme="1"/>
      <name val="Calibri"/>
      <family val="2"/>
      <scheme val="minor"/>
    </font>
    <font>
      <sz val="12"/>
      <color theme="1"/>
      <name val="Calibri"/>
      <family val="2"/>
      <scheme val="minor"/>
    </font>
    <font>
      <b/>
      <sz val="11"/>
      <color theme="0"/>
      <name val="Calibri"/>
      <family val="2"/>
      <scheme val="minor"/>
    </font>
    <font>
      <b/>
      <sz val="11"/>
      <name val="Calibri"/>
      <family val="2"/>
      <scheme val="minor"/>
    </font>
    <font>
      <sz val="11"/>
      <name val="Calibri"/>
      <family val="2"/>
      <scheme val="minor"/>
    </font>
    <font>
      <b/>
      <sz val="10"/>
      <color theme="0"/>
      <name val="Calibri"/>
      <family val="2"/>
      <scheme val="minor"/>
    </font>
    <font>
      <b/>
      <sz val="12"/>
      <color theme="0"/>
      <name val="Calibri"/>
      <family val="2"/>
      <scheme val="minor"/>
    </font>
    <font>
      <sz val="9"/>
      <name val="Calibri"/>
      <family val="2"/>
      <scheme val="minor"/>
    </font>
    <font>
      <sz val="11"/>
      <color rgb="FFFF0000"/>
      <name val="Calibri"/>
      <family val="2"/>
      <scheme val="minor"/>
    </font>
    <font>
      <sz val="10"/>
      <color rgb="FFFF0000"/>
      <name val="Calibri"/>
      <family val="2"/>
      <scheme val="minor"/>
    </font>
    <font>
      <b/>
      <sz val="11"/>
      <name val="Calibri"/>
      <family val="2"/>
    </font>
    <font>
      <sz val="10"/>
      <name val="Calibri"/>
      <family val="2"/>
    </font>
    <font>
      <sz val="8"/>
      <name val="Calibri"/>
      <family val="2"/>
    </font>
    <font>
      <sz val="9"/>
      <name val="Calibri"/>
      <family val="2"/>
    </font>
    <font>
      <sz val="10"/>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9"/>
      <color theme="1"/>
      <name val="Calibri"/>
      <family val="2"/>
    </font>
    <font>
      <sz val="9"/>
      <color theme="1"/>
      <name val="Calibri"/>
      <family val="2"/>
      <scheme val="minor"/>
    </font>
    <font>
      <b/>
      <sz val="9"/>
      <color theme="1"/>
      <name val="Calibri"/>
      <family val="2"/>
    </font>
    <font>
      <sz val="8"/>
      <color theme="1"/>
      <name val="Calibri"/>
      <family val="2"/>
    </font>
    <font>
      <sz val="11"/>
      <color theme="0"/>
      <name val="Calibri"/>
      <family val="2"/>
      <scheme val="minor"/>
    </font>
    <font>
      <sz val="8"/>
      <name val="Calibri"/>
      <family val="2"/>
      <scheme val="minor"/>
    </font>
    <font>
      <b/>
      <sz val="12"/>
      <color theme="1"/>
      <name val="Calibri"/>
      <family val="2"/>
      <scheme val="minor"/>
    </font>
    <font>
      <b/>
      <sz val="11"/>
      <color rgb="FFFF0000"/>
      <name val="Calibri"/>
      <family val="2"/>
      <scheme val="minor"/>
    </font>
    <font>
      <sz val="11"/>
      <color theme="0"/>
      <name val="Calibri"/>
      <family val="2"/>
    </font>
    <font>
      <b/>
      <sz val="10"/>
      <name val="Calibri"/>
      <family val="2"/>
    </font>
  </fonts>
  <fills count="12">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CC2E5"/>
        <bgColor rgb="FF9CC2E5"/>
      </patternFill>
    </fill>
    <fill>
      <patternFill patternType="solid">
        <fgColor theme="0"/>
        <bgColor rgb="FF9CC2E5"/>
      </patternFill>
    </fill>
    <fill>
      <patternFill patternType="solid">
        <fgColor rgb="FFF4B083"/>
        <bgColor rgb="FFF4B083"/>
      </patternFill>
    </fill>
    <fill>
      <patternFill patternType="solid">
        <fgColor theme="3" tint="0.59999389629810485"/>
        <bgColor indexed="64"/>
      </patternFill>
    </fill>
    <fill>
      <patternFill patternType="solid">
        <fgColor theme="9" tint="-0.24997711111789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s>
  <cellStyleXfs count="5">
    <xf numFmtId="0" fontId="0" fillId="0" borderId="0"/>
    <xf numFmtId="0" fontId="2" fillId="0" borderId="0" applyNumberFormat="0" applyFill="0" applyBorder="0" applyAlignment="0" applyProtection="0"/>
    <xf numFmtId="164" fontId="3" fillId="0" borderId="0" applyFont="0" applyFill="0" applyBorder="0" applyAlignment="0" applyProtection="0"/>
    <xf numFmtId="0" fontId="3" fillId="0" borderId="0"/>
    <xf numFmtId="43" fontId="3" fillId="0" borderId="0" applyFont="0" applyFill="0" applyBorder="0" applyAlignment="0" applyProtection="0"/>
  </cellStyleXfs>
  <cellXfs count="208">
    <xf numFmtId="0" fontId="0" fillId="0" borderId="0" xfId="0"/>
    <xf numFmtId="0" fontId="0" fillId="0" borderId="0" xfId="0" applyAlignment="1">
      <alignment horizontal="center"/>
    </xf>
    <xf numFmtId="0" fontId="0" fillId="0" borderId="2" xfId="0" applyBorder="1"/>
    <xf numFmtId="0" fontId="2" fillId="0" borderId="0" xfId="1"/>
    <xf numFmtId="0" fontId="1" fillId="0" borderId="0" xfId="0" applyFont="1"/>
    <xf numFmtId="164" fontId="0" fillId="0" borderId="0" xfId="0" applyNumberFormat="1"/>
    <xf numFmtId="4" fontId="0" fillId="0" borderId="0" xfId="0" applyNumberFormat="1"/>
    <xf numFmtId="0" fontId="4" fillId="0" borderId="0" xfId="0" applyFont="1"/>
    <xf numFmtId="0" fontId="6" fillId="0" borderId="0" xfId="0" applyFont="1"/>
    <xf numFmtId="0" fontId="5" fillId="0" borderId="0" xfId="0" applyFont="1"/>
    <xf numFmtId="4" fontId="6" fillId="0" borderId="0" xfId="0" applyNumberFormat="1" applyFont="1"/>
    <xf numFmtId="2" fontId="0" fillId="0" borderId="0" xfId="0" applyNumberFormat="1"/>
    <xf numFmtId="0" fontId="7" fillId="0" borderId="0" xfId="0" applyFont="1"/>
    <xf numFmtId="0" fontId="8" fillId="3" borderId="0" xfId="0" applyFont="1" applyFill="1"/>
    <xf numFmtId="164" fontId="8" fillId="3" borderId="0" xfId="2" applyFont="1" applyFill="1"/>
    <xf numFmtId="0" fontId="2" fillId="0" borderId="2" xfId="1" applyBorder="1"/>
    <xf numFmtId="0" fontId="1" fillId="4" borderId="0" xfId="0" applyFont="1" applyFill="1"/>
    <xf numFmtId="0" fontId="1" fillId="4" borderId="0" xfId="0" applyFont="1" applyFill="1" applyAlignment="1">
      <alignment horizontal="center"/>
    </xf>
    <xf numFmtId="0" fontId="8" fillId="3" borderId="6" xfId="0" applyFont="1" applyFill="1" applyBorder="1"/>
    <xf numFmtId="164" fontId="8" fillId="3" borderId="7" xfId="2" applyFont="1" applyFill="1" applyBorder="1"/>
    <xf numFmtId="4" fontId="1" fillId="0" borderId="0" xfId="0" applyNumberFormat="1" applyFont="1"/>
    <xf numFmtId="166" fontId="0" fillId="0" borderId="0" xfId="0" applyNumberFormat="1"/>
    <xf numFmtId="165" fontId="0" fillId="0" borderId="0" xfId="0" applyNumberFormat="1"/>
    <xf numFmtId="164" fontId="9" fillId="2" borderId="1" xfId="2" applyFont="1" applyFill="1" applyBorder="1"/>
    <xf numFmtId="0" fontId="10" fillId="0" borderId="0" xfId="0" applyFont="1"/>
    <xf numFmtId="4" fontId="10" fillId="0" borderId="0" xfId="0" applyNumberFormat="1" applyFont="1"/>
    <xf numFmtId="0" fontId="12" fillId="3" borderId="1" xfId="0" applyFont="1" applyFill="1" applyBorder="1"/>
    <xf numFmtId="0" fontId="6" fillId="0" borderId="1" xfId="0" applyFont="1" applyBorder="1"/>
    <xf numFmtId="0" fontId="0" fillId="0" borderId="1" xfId="0" applyBorder="1"/>
    <xf numFmtId="164" fontId="6" fillId="0" borderId="1" xfId="2" applyFont="1" applyBorder="1"/>
    <xf numFmtId="0" fontId="8" fillId="3" borderId="1" xfId="0" applyFont="1" applyFill="1" applyBorder="1"/>
    <xf numFmtId="164" fontId="14" fillId="0" borderId="1" xfId="2" applyFont="1" applyBorder="1"/>
    <xf numFmtId="164" fontId="15" fillId="0" borderId="1" xfId="2" applyFont="1" applyBorder="1"/>
    <xf numFmtId="4" fontId="10" fillId="5" borderId="1" xfId="0" applyNumberFormat="1" applyFont="1" applyFill="1" applyBorder="1"/>
    <xf numFmtId="4" fontId="10" fillId="0" borderId="1" xfId="0" applyNumberFormat="1" applyFont="1" applyBorder="1"/>
    <xf numFmtId="0" fontId="4" fillId="0" borderId="1" xfId="0" applyFont="1" applyBorder="1"/>
    <xf numFmtId="0" fontId="0" fillId="0" borderId="1" xfId="0" applyBorder="1" applyAlignment="1">
      <alignment horizontal="center"/>
    </xf>
    <xf numFmtId="0" fontId="13" fillId="0" borderId="1" xfId="0" applyFont="1" applyBorder="1"/>
    <xf numFmtId="16" fontId="10" fillId="0" borderId="1" xfId="0" applyNumberFormat="1" applyFont="1" applyBorder="1"/>
    <xf numFmtId="0" fontId="10" fillId="0" borderId="1" xfId="0" applyFont="1" applyBorder="1"/>
    <xf numFmtId="0" fontId="1" fillId="2" borderId="1" xfId="0" applyFont="1" applyFill="1" applyBorder="1"/>
    <xf numFmtId="0" fontId="10" fillId="2" borderId="1" xfId="0" applyFont="1" applyFill="1" applyBorder="1"/>
    <xf numFmtId="17" fontId="10" fillId="0" borderId="1" xfId="0" applyNumberFormat="1" applyFont="1" applyBorder="1"/>
    <xf numFmtId="164" fontId="8" fillId="3" borderId="1" xfId="0" applyNumberFormat="1" applyFont="1" applyFill="1" applyBorder="1"/>
    <xf numFmtId="44" fontId="0" fillId="0" borderId="0" xfId="0" applyNumberFormat="1"/>
    <xf numFmtId="0" fontId="14" fillId="0" borderId="0" xfId="0" applyFont="1"/>
    <xf numFmtId="0" fontId="16" fillId="0" borderId="1" xfId="0" applyFont="1" applyBorder="1" applyAlignment="1">
      <alignment horizontal="center" vertical="center"/>
    </xf>
    <xf numFmtId="2" fontId="17" fillId="0" borderId="1" xfId="0" applyNumberFormat="1" applyFont="1" applyBorder="1" applyAlignment="1">
      <alignment horizontal="center" vertical="center"/>
    </xf>
    <xf numFmtId="167" fontId="18" fillId="0" borderId="1" xfId="0" applyNumberFormat="1" applyFont="1" applyBorder="1" applyAlignment="1">
      <alignment horizontal="center" vertical="center"/>
    </xf>
    <xf numFmtId="2" fontId="18" fillId="0" borderId="1" xfId="0" applyNumberFormat="1" applyFont="1" applyBorder="1" applyAlignment="1">
      <alignment horizontal="center" vertical="center"/>
    </xf>
    <xf numFmtId="168" fontId="18" fillId="0" borderId="1" xfId="0" applyNumberFormat="1" applyFont="1" applyBorder="1" applyAlignment="1">
      <alignment horizontal="center" vertical="center" wrapText="1"/>
    </xf>
    <xf numFmtId="168" fontId="18" fillId="0" borderId="1" xfId="0" applyNumberFormat="1" applyFont="1" applyBorder="1" applyAlignment="1">
      <alignment horizontal="center" vertical="center"/>
    </xf>
    <xf numFmtId="0" fontId="19" fillId="0" borderId="4" xfId="0" applyFont="1" applyBorder="1" applyAlignment="1">
      <alignment horizontal="left"/>
    </xf>
    <xf numFmtId="0" fontId="19" fillId="0" borderId="4" xfId="0" applyFont="1" applyBorder="1" applyAlignment="1">
      <alignment horizontal="center"/>
    </xf>
    <xf numFmtId="0" fontId="19" fillId="0" borderId="4" xfId="0" applyFont="1" applyBorder="1"/>
    <xf numFmtId="2" fontId="19" fillId="0" borderId="4" xfId="0" applyNumberFormat="1" applyFont="1" applyBorder="1"/>
    <xf numFmtId="164" fontId="19" fillId="0" borderId="4" xfId="0" applyNumberFormat="1" applyFont="1" applyBorder="1"/>
    <xf numFmtId="164" fontId="19" fillId="0" borderId="1" xfId="0" applyNumberFormat="1" applyFont="1" applyBorder="1"/>
    <xf numFmtId="0" fontId="19" fillId="0" borderId="1" xfId="0" applyFont="1" applyBorder="1" applyAlignment="1">
      <alignment horizontal="left"/>
    </xf>
    <xf numFmtId="0" fontId="19" fillId="0" borderId="1" xfId="0" applyFont="1" applyBorder="1" applyAlignment="1">
      <alignment horizontal="centerContinuous"/>
    </xf>
    <xf numFmtId="0" fontId="19" fillId="0" borderId="1" xfId="0" applyFont="1" applyBorder="1"/>
    <xf numFmtId="2" fontId="19" fillId="0" borderId="1" xfId="0" applyNumberFormat="1" applyFont="1" applyBorder="1"/>
    <xf numFmtId="0" fontId="19" fillId="5" borderId="1" xfId="0" applyFont="1" applyFill="1" applyBorder="1" applyAlignment="1">
      <alignment horizontal="left"/>
    </xf>
    <xf numFmtId="0" fontId="19" fillId="5" borderId="1" xfId="0" applyFont="1" applyFill="1" applyBorder="1"/>
    <xf numFmtId="164" fontId="19" fillId="5" borderId="4" xfId="0" applyNumberFormat="1" applyFont="1" applyFill="1" applyBorder="1"/>
    <xf numFmtId="0" fontId="19" fillId="0" borderId="5" xfId="0" applyFont="1" applyBorder="1" applyAlignment="1">
      <alignment horizontal="centerContinuous"/>
    </xf>
    <xf numFmtId="0" fontId="19" fillId="0" borderId="5" xfId="0" applyFont="1" applyBorder="1" applyAlignment="1">
      <alignment horizontal="left"/>
    </xf>
    <xf numFmtId="0" fontId="19" fillId="0" borderId="6" xfId="0" applyFont="1" applyBorder="1" applyAlignment="1">
      <alignment horizontal="centerContinuous"/>
    </xf>
    <xf numFmtId="0" fontId="19" fillId="0" borderId="6" xfId="0" applyFont="1" applyBorder="1"/>
    <xf numFmtId="167" fontId="19" fillId="0" borderId="6" xfId="0" applyNumberFormat="1" applyFont="1" applyBorder="1" applyAlignment="1">
      <alignment horizontal="center"/>
    </xf>
    <xf numFmtId="164" fontId="19" fillId="0" borderId="6" xfId="0" applyNumberFormat="1" applyFont="1" applyBorder="1"/>
    <xf numFmtId="164" fontId="19" fillId="0" borderId="0" xfId="0" applyNumberFormat="1" applyFont="1"/>
    <xf numFmtId="169" fontId="18" fillId="0" borderId="5" xfId="0" applyNumberFormat="1" applyFont="1" applyBorder="1"/>
    <xf numFmtId="169" fontId="18" fillId="0" borderId="6" xfId="0" applyNumberFormat="1" applyFont="1" applyBorder="1"/>
    <xf numFmtId="169" fontId="17" fillId="0" borderId="6" xfId="0" applyNumberFormat="1" applyFont="1" applyBorder="1"/>
    <xf numFmtId="164" fontId="17" fillId="0" borderId="6" xfId="2" applyFont="1" applyFill="1" applyBorder="1" applyAlignment="1"/>
    <xf numFmtId="0" fontId="21" fillId="8" borderId="0" xfId="0" applyFont="1" applyFill="1" applyAlignment="1">
      <alignment horizontal="center" vertical="center" wrapText="1"/>
    </xf>
    <xf numFmtId="0" fontId="23" fillId="0" borderId="11" xfId="0" applyFont="1" applyBorder="1"/>
    <xf numFmtId="0" fontId="23" fillId="0" borderId="0" xfId="0" applyFont="1"/>
    <xf numFmtId="170" fontId="23" fillId="0" borderId="0" xfId="0" applyNumberFormat="1" applyFont="1"/>
    <xf numFmtId="0" fontId="24" fillId="0" borderId="11" xfId="0" applyFont="1" applyBorder="1"/>
    <xf numFmtId="0" fontId="24" fillId="0" borderId="12" xfId="0" applyFont="1" applyBorder="1"/>
    <xf numFmtId="0" fontId="23" fillId="0" borderId="13" xfId="0" applyFont="1" applyBorder="1"/>
    <xf numFmtId="170" fontId="23" fillId="0" borderId="13" xfId="0" applyNumberFormat="1" applyFont="1" applyBorder="1"/>
    <xf numFmtId="0" fontId="23" fillId="0" borderId="14" xfId="0" applyFont="1" applyBorder="1"/>
    <xf numFmtId="171" fontId="16" fillId="0" borderId="13" xfId="0" applyNumberFormat="1" applyFont="1" applyBorder="1"/>
    <xf numFmtId="0" fontId="24" fillId="7" borderId="15" xfId="0" applyFont="1" applyFill="1" applyBorder="1" applyAlignment="1">
      <alignment horizontal="center" vertical="center"/>
    </xf>
    <xf numFmtId="0" fontId="3" fillId="5" borderId="4" xfId="3" applyFill="1" applyBorder="1" applyAlignment="1">
      <alignment horizontal="center"/>
    </xf>
    <xf numFmtId="0" fontId="3" fillId="5" borderId="1" xfId="3" applyFill="1" applyBorder="1" applyAlignment="1">
      <alignment horizontal="center"/>
    </xf>
    <xf numFmtId="0" fontId="23" fillId="0" borderId="15" xfId="0" applyFont="1" applyBorder="1" applyAlignment="1">
      <alignment horizontal="center"/>
    </xf>
    <xf numFmtId="0" fontId="23" fillId="0" borderId="8" xfId="0" applyFont="1" applyBorder="1"/>
    <xf numFmtId="0" fontId="23" fillId="0" borderId="9" xfId="0" applyFont="1" applyBorder="1"/>
    <xf numFmtId="170" fontId="23" fillId="0" borderId="9" xfId="0" applyNumberFormat="1" applyFont="1" applyBorder="1"/>
    <xf numFmtId="171" fontId="23" fillId="0" borderId="9" xfId="0" applyNumberFormat="1" applyFont="1" applyBorder="1"/>
    <xf numFmtId="0" fontId="24" fillId="9" borderId="0" xfId="0" applyFont="1" applyFill="1" applyAlignment="1">
      <alignment horizontal="left" vertical="center" wrapText="1"/>
    </xf>
    <xf numFmtId="171" fontId="0" fillId="0" borderId="0" xfId="0" applyNumberFormat="1"/>
    <xf numFmtId="170" fontId="0" fillId="0" borderId="0" xfId="0" applyNumberFormat="1"/>
    <xf numFmtId="0" fontId="23" fillId="0" borderId="15" xfId="0" applyFont="1" applyBorder="1" applyAlignment="1">
      <alignment horizontal="left"/>
    </xf>
    <xf numFmtId="0" fontId="23" fillId="6" borderId="15" xfId="0" applyFont="1" applyFill="1" applyBorder="1" applyAlignment="1">
      <alignment horizontal="left"/>
    </xf>
    <xf numFmtId="0" fontId="26" fillId="5" borderId="1" xfId="3" applyFont="1" applyFill="1" applyBorder="1"/>
    <xf numFmtId="43" fontId="26" fillId="5" borderId="1" xfId="4" applyFont="1" applyFill="1" applyBorder="1"/>
    <xf numFmtId="0" fontId="25" fillId="5" borderId="15" xfId="0" applyFont="1" applyFill="1" applyBorder="1"/>
    <xf numFmtId="0" fontId="19" fillId="5" borderId="15" xfId="0" applyFont="1" applyFill="1" applyBorder="1"/>
    <xf numFmtId="170" fontId="25" fillId="5" borderId="15" xfId="0" applyNumberFormat="1" applyFont="1" applyFill="1" applyBorder="1"/>
    <xf numFmtId="171" fontId="25" fillId="5" borderId="16" xfId="0" applyNumberFormat="1" applyFont="1" applyFill="1" applyBorder="1"/>
    <xf numFmtId="2" fontId="25" fillId="5" borderId="18" xfId="0" applyNumberFormat="1" applyFont="1" applyFill="1" applyBorder="1"/>
    <xf numFmtId="0" fontId="26" fillId="5" borderId="3" xfId="3" applyFont="1" applyFill="1" applyBorder="1" applyAlignment="1">
      <alignment vertical="center" wrapText="1"/>
    </xf>
    <xf numFmtId="0" fontId="25" fillId="0" borderId="15" xfId="0" applyFont="1" applyBorder="1"/>
    <xf numFmtId="170" fontId="25" fillId="0" borderId="15" xfId="0" applyNumberFormat="1" applyFont="1" applyBorder="1"/>
    <xf numFmtId="171" fontId="25" fillId="0" borderId="15" xfId="0" applyNumberFormat="1" applyFont="1" applyBorder="1"/>
    <xf numFmtId="171" fontId="25" fillId="0" borderId="16" xfId="0" applyNumberFormat="1" applyFont="1" applyBorder="1"/>
    <xf numFmtId="171" fontId="25" fillId="0" borderId="17" xfId="0" applyNumberFormat="1" applyFont="1" applyBorder="1"/>
    <xf numFmtId="170" fontId="25" fillId="0" borderId="18" xfId="0" applyNumberFormat="1" applyFont="1" applyBorder="1"/>
    <xf numFmtId="0" fontId="25" fillId="5" borderId="15" xfId="0" applyFont="1" applyFill="1" applyBorder="1" applyAlignment="1">
      <alignment horizontal="left" vertical="center"/>
    </xf>
    <xf numFmtId="171" fontId="25" fillId="5" borderId="1" xfId="0" applyNumberFormat="1" applyFont="1" applyFill="1" applyBorder="1"/>
    <xf numFmtId="171" fontId="25" fillId="0" borderId="1" xfId="0" applyNumberFormat="1" applyFont="1" applyBorder="1"/>
    <xf numFmtId="0" fontId="27" fillId="7" borderId="15" xfId="0" applyFont="1" applyFill="1" applyBorder="1" applyAlignment="1">
      <alignment horizontal="center" vertical="center" wrapText="1"/>
    </xf>
    <xf numFmtId="0" fontId="27" fillId="7" borderId="15" xfId="0" applyFont="1" applyFill="1" applyBorder="1" applyAlignment="1">
      <alignment horizontal="left" vertical="center" wrapText="1"/>
    </xf>
    <xf numFmtId="0" fontId="27" fillId="7" borderId="15" xfId="0" applyFont="1" applyFill="1" applyBorder="1" applyAlignment="1">
      <alignment horizontal="center" vertical="center"/>
    </xf>
    <xf numFmtId="170" fontId="27" fillId="7" borderId="15" xfId="0" applyNumberFormat="1" applyFont="1" applyFill="1" applyBorder="1" applyAlignment="1">
      <alignment horizontal="center" vertical="center" wrapText="1"/>
    </xf>
    <xf numFmtId="0" fontId="27" fillId="7" borderId="16" xfId="0" applyFont="1" applyFill="1" applyBorder="1" applyAlignment="1">
      <alignment horizontal="center" vertical="center" wrapText="1"/>
    </xf>
    <xf numFmtId="0" fontId="27" fillId="7" borderId="1" xfId="0" applyFont="1" applyFill="1" applyBorder="1" applyAlignment="1">
      <alignment horizontal="center" vertical="center" wrapText="1"/>
    </xf>
    <xf numFmtId="0" fontId="27" fillId="7" borderId="18" xfId="0" applyFont="1" applyFill="1" applyBorder="1" applyAlignment="1">
      <alignment horizontal="center" vertical="center" wrapText="1"/>
    </xf>
    <xf numFmtId="171" fontId="23" fillId="0" borderId="0" xfId="0" applyNumberFormat="1" applyFont="1"/>
    <xf numFmtId="171" fontId="28" fillId="5" borderId="17" xfId="0" applyNumberFormat="1" applyFont="1" applyFill="1" applyBorder="1"/>
    <xf numFmtId="173" fontId="25" fillId="0" borderId="15" xfId="0" applyNumberFormat="1" applyFont="1" applyBorder="1"/>
    <xf numFmtId="44" fontId="20" fillId="5" borderId="1" xfId="2" applyNumberFormat="1" applyFont="1" applyFill="1" applyBorder="1"/>
    <xf numFmtId="0" fontId="25" fillId="0" borderId="15" xfId="0" applyFont="1" applyBorder="1" applyAlignment="1">
      <alignment vertical="center"/>
    </xf>
    <xf numFmtId="171" fontId="25" fillId="0" borderId="21" xfId="0" applyNumberFormat="1" applyFont="1" applyBorder="1"/>
    <xf numFmtId="171" fontId="25" fillId="0" borderId="23" xfId="0" applyNumberFormat="1" applyFont="1" applyBorder="1"/>
    <xf numFmtId="171" fontId="25" fillId="0" borderId="9" xfId="0" applyNumberFormat="1" applyFont="1" applyBorder="1"/>
    <xf numFmtId="172" fontId="23" fillId="0" borderId="9" xfId="0" applyNumberFormat="1" applyFont="1" applyBorder="1"/>
    <xf numFmtId="166" fontId="17" fillId="0" borderId="7" xfId="2" applyNumberFormat="1" applyFont="1" applyFill="1" applyBorder="1" applyAlignment="1"/>
    <xf numFmtId="166" fontId="19" fillId="0" borderId="7" xfId="2" applyNumberFormat="1" applyFont="1" applyFill="1" applyBorder="1" applyAlignment="1"/>
    <xf numFmtId="2" fontId="17" fillId="0" borderId="1" xfId="0" applyNumberFormat="1" applyFont="1" applyBorder="1" applyAlignment="1">
      <alignment horizontal="center" vertical="center" wrapText="1"/>
    </xf>
    <xf numFmtId="0" fontId="29" fillId="0" borderId="0" xfId="0" applyFont="1"/>
    <xf numFmtId="164" fontId="0" fillId="0" borderId="0" xfId="2" applyFont="1"/>
    <xf numFmtId="0" fontId="1" fillId="6" borderId="0" xfId="0" applyFont="1" applyFill="1"/>
    <xf numFmtId="44" fontId="1" fillId="6" borderId="0" xfId="0" applyNumberFormat="1" applyFont="1" applyFill="1"/>
    <xf numFmtId="164" fontId="9" fillId="0" borderId="0" xfId="2" applyFont="1" applyBorder="1"/>
    <xf numFmtId="0" fontId="8" fillId="3" borderId="3" xfId="0" applyFont="1" applyFill="1" applyBorder="1"/>
    <xf numFmtId="0" fontId="11" fillId="3" borderId="3" xfId="0" applyFont="1" applyFill="1" applyBorder="1"/>
    <xf numFmtId="164" fontId="11" fillId="3" borderId="3" xfId="2" applyFont="1" applyFill="1" applyBorder="1"/>
    <xf numFmtId="0" fontId="23" fillId="0" borderId="1" xfId="0" applyFont="1" applyBorder="1"/>
    <xf numFmtId="170" fontId="23" fillId="0" borderId="1" xfId="0" applyNumberFormat="1" applyFont="1" applyBorder="1"/>
    <xf numFmtId="0" fontId="23" fillId="5" borderId="1" xfId="0" applyFont="1" applyFill="1" applyBorder="1" applyAlignment="1">
      <alignment vertical="center" wrapText="1"/>
    </xf>
    <xf numFmtId="0" fontId="25" fillId="5" borderId="19" xfId="0" applyFont="1" applyFill="1" applyBorder="1" applyAlignment="1">
      <alignment horizontal="left" vertical="center"/>
    </xf>
    <xf numFmtId="43" fontId="26" fillId="5" borderId="3" xfId="4" applyFont="1" applyFill="1" applyBorder="1" applyAlignment="1">
      <alignment horizontal="center" vertical="center" wrapText="1"/>
    </xf>
    <xf numFmtId="171" fontId="25" fillId="5" borderId="8" xfId="0" applyNumberFormat="1" applyFont="1" applyFill="1" applyBorder="1" applyAlignment="1">
      <alignment horizontal="right" vertical="center"/>
    </xf>
    <xf numFmtId="2" fontId="25" fillId="5" borderId="20" xfId="0" applyNumberFormat="1" applyFont="1" applyFill="1" applyBorder="1" applyAlignment="1">
      <alignment horizontal="right" vertical="center"/>
    </xf>
    <xf numFmtId="0" fontId="25" fillId="5" borderId="15" xfId="0" applyFont="1" applyFill="1" applyBorder="1" applyAlignment="1">
      <alignment vertical="center"/>
    </xf>
    <xf numFmtId="171" fontId="25" fillId="5" borderId="15" xfId="0" applyNumberFormat="1" applyFont="1" applyFill="1" applyBorder="1"/>
    <xf numFmtId="171" fontId="25" fillId="5" borderId="21" xfId="0" applyNumberFormat="1" applyFont="1" applyFill="1" applyBorder="1"/>
    <xf numFmtId="171" fontId="25" fillId="5" borderId="22" xfId="0" applyNumberFormat="1" applyFont="1" applyFill="1" applyBorder="1"/>
    <xf numFmtId="0" fontId="1" fillId="10" borderId="0" xfId="0" applyFont="1" applyFill="1"/>
    <xf numFmtId="174" fontId="9" fillId="10" borderId="0" xfId="0" applyNumberFormat="1" applyFont="1" applyFill="1"/>
    <xf numFmtId="43" fontId="0" fillId="0" borderId="0" xfId="0" applyNumberFormat="1"/>
    <xf numFmtId="2" fontId="19" fillId="5" borderId="1" xfId="0" applyNumberFormat="1" applyFont="1" applyFill="1" applyBorder="1"/>
    <xf numFmtId="0" fontId="19" fillId="5" borderId="1" xfId="0" applyFont="1" applyFill="1" applyBorder="1" applyAlignment="1">
      <alignment horizontal="centerContinuous"/>
    </xf>
    <xf numFmtId="2" fontId="18" fillId="0" borderId="1" xfId="0" applyNumberFormat="1" applyFont="1" applyBorder="1" applyAlignment="1">
      <alignment horizontal="center" vertical="center" wrapText="1"/>
    </xf>
    <xf numFmtId="0" fontId="1" fillId="0" borderId="1" xfId="0" applyFont="1" applyBorder="1"/>
    <xf numFmtId="164" fontId="9" fillId="0" borderId="1" xfId="2" applyFont="1" applyBorder="1"/>
    <xf numFmtId="4" fontId="1" fillId="0" borderId="1" xfId="0" applyNumberFormat="1" applyFont="1" applyBorder="1"/>
    <xf numFmtId="0" fontId="0" fillId="11" borderId="0" xfId="0" applyFill="1"/>
    <xf numFmtId="0" fontId="19" fillId="5" borderId="1" xfId="0" applyFont="1" applyFill="1" applyBorder="1" applyAlignment="1">
      <alignment horizontal="left" vertical="center" wrapText="1"/>
    </xf>
    <xf numFmtId="0" fontId="19" fillId="5" borderId="1" xfId="0" applyFont="1" applyFill="1" applyBorder="1" applyAlignment="1">
      <alignment horizontal="center" vertical="center" wrapText="1"/>
    </xf>
    <xf numFmtId="0" fontId="0" fillId="5" borderId="0" xfId="0" applyFill="1"/>
    <xf numFmtId="44" fontId="0" fillId="5" borderId="0" xfId="0" applyNumberFormat="1" applyFill="1"/>
    <xf numFmtId="0" fontId="23" fillId="6" borderId="15" xfId="0" applyFont="1" applyFill="1" applyBorder="1" applyAlignment="1">
      <alignment horizontal="center"/>
    </xf>
    <xf numFmtId="0" fontId="24" fillId="0" borderId="1" xfId="0" applyFont="1" applyBorder="1"/>
    <xf numFmtId="4" fontId="0" fillId="5" borderId="1" xfId="0" applyNumberFormat="1" applyFill="1" applyBorder="1"/>
    <xf numFmtId="164" fontId="19" fillId="5" borderId="1" xfId="0" applyNumberFormat="1" applyFont="1" applyFill="1" applyBorder="1"/>
    <xf numFmtId="44" fontId="20" fillId="5" borderId="4" xfId="2" applyNumberFormat="1" applyFont="1" applyFill="1" applyBorder="1"/>
    <xf numFmtId="4" fontId="32" fillId="0" borderId="1" xfId="0" applyNumberFormat="1" applyFont="1" applyBorder="1"/>
    <xf numFmtId="164" fontId="32" fillId="0" borderId="1" xfId="2" applyFont="1" applyBorder="1"/>
    <xf numFmtId="0" fontId="10" fillId="0" borderId="1" xfId="0" applyFont="1" applyBorder="1" applyAlignment="1">
      <alignment horizontal="center"/>
    </xf>
    <xf numFmtId="44" fontId="33" fillId="0" borderId="13" xfId="0" applyNumberFormat="1" applyFont="1" applyBorder="1"/>
    <xf numFmtId="171" fontId="34" fillId="5" borderId="1" xfId="0" applyNumberFormat="1" applyFont="1" applyFill="1" applyBorder="1"/>
    <xf numFmtId="166" fontId="19" fillId="0" borderId="4" xfId="0" applyNumberFormat="1" applyFont="1" applyBorder="1"/>
    <xf numFmtId="166" fontId="19" fillId="5" borderId="4" xfId="0" applyNumberFormat="1" applyFont="1" applyFill="1" applyBorder="1"/>
    <xf numFmtId="0" fontId="27" fillId="7" borderId="9" xfId="0" applyFont="1" applyFill="1" applyBorder="1" applyAlignment="1">
      <alignment horizontal="center" vertical="center" wrapText="1"/>
    </xf>
    <xf numFmtId="171" fontId="25" fillId="0" borderId="13" xfId="0" applyNumberFormat="1" applyFont="1" applyBorder="1"/>
    <xf numFmtId="171" fontId="28" fillId="5" borderId="13" xfId="0" applyNumberFormat="1" applyFont="1" applyFill="1" applyBorder="1"/>
    <xf numFmtId="171" fontId="28" fillId="5" borderId="1" xfId="0" applyNumberFormat="1" applyFont="1" applyFill="1" applyBorder="1"/>
    <xf numFmtId="171" fontId="25" fillId="5" borderId="1" xfId="0" applyNumberFormat="1" applyFont="1" applyFill="1" applyBorder="1" applyAlignment="1">
      <alignment horizontal="right" vertical="center"/>
    </xf>
    <xf numFmtId="0" fontId="19" fillId="5" borderId="1" xfId="0" applyFont="1" applyFill="1" applyBorder="1" applyAlignment="1">
      <alignment horizontal="left" vertical="center"/>
    </xf>
    <xf numFmtId="0" fontId="19" fillId="5" borderId="1" xfId="0" applyFont="1" applyFill="1" applyBorder="1" applyAlignment="1">
      <alignment horizontal="centerContinuous" vertical="center" wrapText="1"/>
    </xf>
    <xf numFmtId="0" fontId="23" fillId="5" borderId="15" xfId="0" applyFont="1" applyFill="1" applyBorder="1" applyAlignment="1">
      <alignment horizontal="left"/>
    </xf>
    <xf numFmtId="0" fontId="23" fillId="5" borderId="15" xfId="0" applyFont="1" applyFill="1" applyBorder="1" applyAlignment="1">
      <alignment horizontal="center"/>
    </xf>
    <xf numFmtId="164" fontId="1" fillId="6" borderId="0" xfId="0" applyNumberFormat="1" applyFont="1" applyFill="1"/>
    <xf numFmtId="164" fontId="1" fillId="0" borderId="0" xfId="2" applyFont="1"/>
    <xf numFmtId="0" fontId="26" fillId="5" borderId="3" xfId="3" applyFont="1" applyFill="1" applyBorder="1"/>
    <xf numFmtId="43" fontId="26" fillId="5" borderId="3" xfId="4" applyFont="1" applyFill="1" applyBorder="1"/>
    <xf numFmtId="4" fontId="10" fillId="5" borderId="1" xfId="0" applyNumberFormat="1" applyFont="1" applyFill="1" applyBorder="1" applyAlignment="1">
      <alignment horizontal="right"/>
    </xf>
    <xf numFmtId="4" fontId="10" fillId="5" borderId="1" xfId="0" applyNumberFormat="1" applyFont="1" applyFill="1" applyBorder="1" applyAlignment="1">
      <alignment horizontal="right" vertical="center"/>
    </xf>
    <xf numFmtId="0" fontId="5" fillId="6" borderId="0" xfId="0" applyFont="1" applyFill="1" applyAlignment="1">
      <alignment horizontal="center" vertical="center" wrapText="1"/>
    </xf>
    <xf numFmtId="0" fontId="5" fillId="6" borderId="2" xfId="0" applyFont="1" applyFill="1" applyBorder="1" applyAlignment="1">
      <alignment horizontal="center" vertical="center" wrapText="1"/>
    </xf>
    <xf numFmtId="0" fontId="31" fillId="6" borderId="0" xfId="0" applyFont="1" applyFill="1" applyAlignment="1">
      <alignment horizontal="left" vertical="center" wrapText="1"/>
    </xf>
    <xf numFmtId="0" fontId="31" fillId="6" borderId="0" xfId="0" applyFont="1" applyFill="1" applyAlignment="1">
      <alignment horizontal="left" vertical="center"/>
    </xf>
    <xf numFmtId="164" fontId="0" fillId="0" borderId="2" xfId="2" applyFont="1" applyBorder="1" applyAlignment="1">
      <alignment horizontal="center"/>
    </xf>
    <xf numFmtId="174" fontId="0" fillId="0" borderId="2" xfId="0" applyNumberFormat="1" applyBorder="1" applyAlignment="1">
      <alignment horizontal="center"/>
    </xf>
    <xf numFmtId="0" fontId="0" fillId="0" borderId="2" xfId="0" applyBorder="1" applyAlignment="1">
      <alignment horizontal="left"/>
    </xf>
    <xf numFmtId="0" fontId="21" fillId="7" borderId="8" xfId="0" applyFont="1" applyFill="1" applyBorder="1" applyAlignment="1">
      <alignment horizontal="center" vertical="center" wrapText="1"/>
    </xf>
    <xf numFmtId="0" fontId="22" fillId="0" borderId="9" xfId="0" applyFont="1" applyBorder="1"/>
    <xf numFmtId="0" fontId="22" fillId="0" borderId="10" xfId="0" applyFont="1" applyBorder="1"/>
    <xf numFmtId="0" fontId="24" fillId="9" borderId="8" xfId="0" applyFont="1" applyFill="1" applyBorder="1" applyAlignment="1">
      <alignment horizontal="left" vertical="center" wrapText="1"/>
    </xf>
    <xf numFmtId="44" fontId="33" fillId="0" borderId="13" xfId="0" applyNumberFormat="1" applyFont="1" applyBorder="1" applyAlignment="1">
      <alignment horizontal="center"/>
    </xf>
    <xf numFmtId="0" fontId="5" fillId="6" borderId="0" xfId="0" applyFont="1" applyFill="1" applyAlignment="1">
      <alignment horizontal="left" vertical="center" wrapText="1"/>
    </xf>
  </cellXfs>
  <cellStyles count="5">
    <cellStyle name="Hipervínculo" xfId="1" builtinId="8"/>
    <cellStyle name="Millares 2" xfId="4" xr:uid="{00000000-0005-0000-0000-000001000000}"/>
    <cellStyle name="Moneda" xfId="2" builtinId="4"/>
    <cellStyle name="Normal" xfId="0" builtinId="0"/>
    <cellStyle name="Normal 2" xfId="3" xr:uid="{00000000-0005-0000-0000-000004000000}"/>
  </cellStyles>
  <dxfs count="0"/>
  <tableStyles count="0" defaultTableStyle="TableStyleMedium2" defaultPivotStyle="PivotStyleLight16"/>
  <colors>
    <mruColors>
      <color rgb="FF09FF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38100</xdr:rowOff>
    </xdr:from>
    <xdr:to>
      <xdr:col>0</xdr:col>
      <xdr:colOff>1809750</xdr:colOff>
      <xdr:row>3</xdr:row>
      <xdr:rowOff>171450</xdr:rowOff>
    </xdr:to>
    <xdr:pic>
      <xdr:nvPicPr>
        <xdr:cNvPr id="2" name="1 Imagen" descr="C:\Users\Particular\Desktop\NATI\CONSORCIOS RC\WhatsApp Image 2020-12-10 at 14.53.20.jpe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38100"/>
          <a:ext cx="1666875" cy="7048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571500</xdr:colOff>
      <xdr:row>1</xdr:row>
      <xdr:rowOff>104775</xdr:rowOff>
    </xdr:from>
    <xdr:ext cx="1647825" cy="981076"/>
    <xdr:pic>
      <xdr:nvPicPr>
        <xdr:cNvPr id="3" name="image1.jp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cstate="print"/>
        <a:stretch>
          <a:fillRect/>
        </a:stretch>
      </xdr:blipFill>
      <xdr:spPr>
        <a:xfrm>
          <a:off x="1581150" y="371475"/>
          <a:ext cx="1647825" cy="981076"/>
        </a:xfrm>
        <a:prstGeom prst="rect">
          <a:avLst/>
        </a:prstGeom>
        <a:noFill/>
      </xdr:spPr>
    </xdr:pic>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onsorciosrc13@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F64"/>
  <sheetViews>
    <sheetView topLeftCell="A19" workbookViewId="0">
      <selection activeCell="C33" sqref="C33"/>
    </sheetView>
  </sheetViews>
  <sheetFormatPr baseColWidth="10" defaultRowHeight="15" x14ac:dyDescent="0.25"/>
  <cols>
    <col min="1" max="1" width="38" customWidth="1"/>
    <col min="2" max="2" width="40.28515625" customWidth="1"/>
    <col min="3" max="3" width="16.42578125" customWidth="1"/>
    <col min="4" max="4" width="13.85546875" bestFit="1" customWidth="1"/>
    <col min="6" max="6" width="13" bestFit="1" customWidth="1"/>
  </cols>
  <sheetData>
    <row r="2" spans="1:3" x14ac:dyDescent="0.25">
      <c r="B2" t="s">
        <v>9</v>
      </c>
      <c r="C2" t="s">
        <v>21</v>
      </c>
    </row>
    <row r="3" spans="1:3" x14ac:dyDescent="0.25">
      <c r="B3" t="s">
        <v>3</v>
      </c>
    </row>
    <row r="4" spans="1:3" x14ac:dyDescent="0.25">
      <c r="B4" s="3" t="s">
        <v>2</v>
      </c>
    </row>
    <row r="5" spans="1:3" ht="8.25" customHeight="1" x14ac:dyDescent="0.25">
      <c r="A5" s="2"/>
      <c r="B5" s="15"/>
      <c r="C5" s="2"/>
    </row>
    <row r="7" spans="1:3" x14ac:dyDescent="0.25">
      <c r="A7" s="16" t="s">
        <v>24</v>
      </c>
      <c r="B7" s="17" t="s">
        <v>118</v>
      </c>
      <c r="C7" s="17" t="s">
        <v>117</v>
      </c>
    </row>
    <row r="8" spans="1:3" x14ac:dyDescent="0.25">
      <c r="A8" s="2"/>
      <c r="B8" s="2"/>
      <c r="C8" s="2"/>
    </row>
    <row r="10" spans="1:3" x14ac:dyDescent="0.25">
      <c r="A10" s="7" t="s">
        <v>18</v>
      </c>
    </row>
    <row r="11" spans="1:3" x14ac:dyDescent="0.25">
      <c r="A11" t="s">
        <v>13</v>
      </c>
    </row>
    <row r="12" spans="1:3" x14ac:dyDescent="0.25">
      <c r="A12" t="s">
        <v>14</v>
      </c>
    </row>
    <row r="13" spans="1:3" x14ac:dyDescent="0.25">
      <c r="A13" t="s">
        <v>16</v>
      </c>
    </row>
    <row r="15" spans="1:3" x14ac:dyDescent="0.25">
      <c r="A15" s="13" t="s">
        <v>5</v>
      </c>
    </row>
    <row r="16" spans="1:3" x14ac:dyDescent="0.25">
      <c r="A16" s="35" t="s">
        <v>4</v>
      </c>
      <c r="B16" s="28"/>
      <c r="C16" s="36"/>
    </row>
    <row r="17" spans="1:6" x14ac:dyDescent="0.25">
      <c r="A17" s="28"/>
      <c r="B17" s="37"/>
      <c r="C17" s="33"/>
      <c r="D17" s="4"/>
      <c r="E17" s="6"/>
    </row>
    <row r="18" spans="1:6" x14ac:dyDescent="0.25">
      <c r="A18" s="28" t="s">
        <v>102</v>
      </c>
      <c r="B18" s="38"/>
      <c r="C18" s="33">
        <v>76654</v>
      </c>
      <c r="D18" s="4"/>
      <c r="E18" s="6"/>
    </row>
    <row r="19" spans="1:6" x14ac:dyDescent="0.25">
      <c r="A19" s="28" t="s">
        <v>10</v>
      </c>
      <c r="B19" s="39"/>
      <c r="C19" s="193">
        <v>372886.04</v>
      </c>
      <c r="D19" s="20"/>
      <c r="F19" s="6"/>
    </row>
    <row r="20" spans="1:6" x14ac:dyDescent="0.25">
      <c r="A20" s="28" t="s">
        <v>25</v>
      </c>
      <c r="B20" s="39"/>
      <c r="C20" s="33">
        <v>85000</v>
      </c>
      <c r="D20" s="20"/>
      <c r="F20" s="6"/>
    </row>
    <row r="21" spans="1:6" ht="15" customHeight="1" x14ac:dyDescent="0.25">
      <c r="A21" s="28" t="s">
        <v>120</v>
      </c>
      <c r="B21" s="39"/>
      <c r="C21" s="33">
        <v>1034026.5</v>
      </c>
      <c r="D21" s="20"/>
      <c r="F21" s="6"/>
    </row>
    <row r="22" spans="1:6" ht="15" customHeight="1" x14ac:dyDescent="0.25">
      <c r="A22" s="28" t="s">
        <v>131</v>
      </c>
      <c r="B22" s="39"/>
      <c r="C22" s="33">
        <v>200000</v>
      </c>
      <c r="D22" s="20"/>
      <c r="F22" s="6"/>
    </row>
    <row r="23" spans="1:6" x14ac:dyDescent="0.25">
      <c r="A23" s="28" t="s">
        <v>11</v>
      </c>
      <c r="B23" s="39" t="s">
        <v>22</v>
      </c>
      <c r="C23" s="33">
        <v>89200</v>
      </c>
      <c r="F23" t="s">
        <v>112</v>
      </c>
    </row>
    <row r="24" spans="1:6" x14ac:dyDescent="0.25">
      <c r="A24" s="40"/>
      <c r="B24" s="41"/>
      <c r="C24" s="23">
        <f>SUM(C17:C23)</f>
        <v>1857766.54</v>
      </c>
    </row>
    <row r="25" spans="1:6" ht="15.75" x14ac:dyDescent="0.25">
      <c r="A25" s="35" t="s">
        <v>12</v>
      </c>
      <c r="B25" s="39"/>
      <c r="C25" s="175"/>
      <c r="D25" s="45"/>
      <c r="F25" s="12"/>
    </row>
    <row r="26" spans="1:6" ht="15.75" x14ac:dyDescent="0.25">
      <c r="A26" s="28" t="s">
        <v>96</v>
      </c>
      <c r="B26" s="42"/>
      <c r="C26" s="33">
        <f>384067+ (384067*3%)</f>
        <v>395589.01</v>
      </c>
      <c r="D26" s="45"/>
      <c r="F26" s="12"/>
    </row>
    <row r="27" spans="1:6" ht="15.75" x14ac:dyDescent="0.25">
      <c r="A27" s="28" t="s">
        <v>97</v>
      </c>
      <c r="B27" s="28"/>
      <c r="C27" s="33">
        <v>7458</v>
      </c>
      <c r="D27" s="45"/>
      <c r="F27" s="12"/>
    </row>
    <row r="28" spans="1:6" ht="15.75" x14ac:dyDescent="0.25">
      <c r="A28" s="28" t="s">
        <v>114</v>
      </c>
      <c r="B28" s="42"/>
      <c r="C28" s="33">
        <v>0</v>
      </c>
      <c r="D28" s="45"/>
      <c r="F28" s="12"/>
    </row>
    <row r="29" spans="1:6" ht="15.75" x14ac:dyDescent="0.25">
      <c r="A29" s="28" t="s">
        <v>121</v>
      </c>
      <c r="B29" s="42"/>
      <c r="C29" s="194">
        <v>55000</v>
      </c>
      <c r="D29" s="45"/>
      <c r="F29" s="12"/>
    </row>
    <row r="30" spans="1:6" ht="15.75" x14ac:dyDescent="0.25">
      <c r="A30" s="28" t="s">
        <v>106</v>
      </c>
      <c r="B30" s="42"/>
      <c r="C30" s="194">
        <v>55000</v>
      </c>
      <c r="F30" s="12"/>
    </row>
    <row r="31" spans="1:6" ht="15.75" x14ac:dyDescent="0.25">
      <c r="A31" s="28" t="s">
        <v>91</v>
      </c>
      <c r="B31" s="39"/>
      <c r="C31" s="34"/>
      <c r="D31" s="4"/>
      <c r="E31" s="6"/>
      <c r="F31" s="12"/>
    </row>
    <row r="32" spans="1:6" ht="15.75" x14ac:dyDescent="0.25">
      <c r="A32" s="40"/>
      <c r="B32" s="41"/>
      <c r="C32" s="23">
        <f>SUM(C25:C31)</f>
        <v>513047.01</v>
      </c>
      <c r="F32" s="12"/>
    </row>
    <row r="33" spans="1:6" ht="15.75" x14ac:dyDescent="0.25">
      <c r="A33" s="30" t="s">
        <v>6</v>
      </c>
      <c r="B33" s="30"/>
      <c r="C33" s="43">
        <f>+C32+C24</f>
        <v>2370813.5499999998</v>
      </c>
      <c r="F33" s="12"/>
    </row>
    <row r="34" spans="1:6" ht="15.75" x14ac:dyDescent="0.25">
      <c r="C34" s="24"/>
      <c r="F34" s="12"/>
    </row>
    <row r="35" spans="1:6" ht="15.75" x14ac:dyDescent="0.25">
      <c r="A35" s="13" t="s">
        <v>17</v>
      </c>
      <c r="C35" s="24"/>
      <c r="F35" s="12"/>
    </row>
    <row r="36" spans="1:6" ht="15.75" x14ac:dyDescent="0.25">
      <c r="A36" s="28"/>
      <c r="B36" s="28"/>
      <c r="C36" s="170"/>
      <c r="F36" s="12"/>
    </row>
    <row r="37" spans="1:6" ht="15.75" x14ac:dyDescent="0.25">
      <c r="A37" s="28"/>
      <c r="B37" s="28"/>
      <c r="C37" s="170"/>
      <c r="F37" s="12"/>
    </row>
    <row r="38" spans="1:6" ht="15.75" x14ac:dyDescent="0.25">
      <c r="A38" s="28"/>
      <c r="B38" s="28"/>
      <c r="C38" s="34"/>
      <c r="F38" s="12"/>
    </row>
    <row r="39" spans="1:6" ht="15.75" x14ac:dyDescent="0.25">
      <c r="C39" s="25"/>
      <c r="F39" s="12"/>
    </row>
    <row r="40" spans="1:6" ht="15.75" x14ac:dyDescent="0.25">
      <c r="A40" s="154" t="s">
        <v>113</v>
      </c>
      <c r="B40" s="154"/>
      <c r="C40" s="155">
        <v>0</v>
      </c>
      <c r="F40" s="12"/>
    </row>
    <row r="41" spans="1:6" ht="15.75" x14ac:dyDescent="0.25">
      <c r="C41" s="25"/>
      <c r="F41" s="12"/>
    </row>
    <row r="42" spans="1:6" x14ac:dyDescent="0.25">
      <c r="A42" s="13" t="s">
        <v>15</v>
      </c>
      <c r="B42" s="13"/>
      <c r="C42" s="14">
        <f>+C36+C37+C38+C41</f>
        <v>0</v>
      </c>
      <c r="E42" s="6"/>
    </row>
    <row r="44" spans="1:6" x14ac:dyDescent="0.25">
      <c r="A44" s="18" t="s">
        <v>7</v>
      </c>
      <c r="B44" s="18"/>
      <c r="C44" s="19">
        <f>+C42+C33</f>
        <v>2370813.5499999998</v>
      </c>
    </row>
    <row r="46" spans="1:6" ht="15" customHeight="1" x14ac:dyDescent="0.25">
      <c r="A46" s="4"/>
      <c r="C46" s="139"/>
      <c r="D46" s="6"/>
      <c r="E46" s="6"/>
    </row>
    <row r="47" spans="1:6" x14ac:dyDescent="0.25">
      <c r="A47" s="160" t="s">
        <v>98</v>
      </c>
      <c r="B47" s="28"/>
      <c r="C47" s="161">
        <v>1039280.7042474523</v>
      </c>
      <c r="D47" s="6"/>
      <c r="E47" s="6"/>
    </row>
    <row r="48" spans="1:6" x14ac:dyDescent="0.25">
      <c r="A48" s="160" t="s">
        <v>119</v>
      </c>
      <c r="B48" s="28"/>
      <c r="C48" s="174">
        <f>-(C44-C31)</f>
        <v>-2370813.5499999998</v>
      </c>
      <c r="D48" s="6"/>
      <c r="E48" s="6"/>
    </row>
    <row r="49" spans="1:6" x14ac:dyDescent="0.25">
      <c r="A49" s="160" t="s">
        <v>95</v>
      </c>
      <c r="B49" s="28"/>
      <c r="C49" s="162">
        <f>'prorrateo '!F31</f>
        <v>3661916.314806771</v>
      </c>
    </row>
    <row r="50" spans="1:6" x14ac:dyDescent="0.25">
      <c r="A50" s="160" t="s">
        <v>110</v>
      </c>
      <c r="B50" s="28"/>
      <c r="C50" s="173">
        <v>-1024355.45</v>
      </c>
    </row>
    <row r="51" spans="1:6" x14ac:dyDescent="0.25">
      <c r="A51" s="160" t="s">
        <v>109</v>
      </c>
      <c r="B51" s="28"/>
      <c r="C51" s="31">
        <v>0</v>
      </c>
    </row>
    <row r="52" spans="1:6" x14ac:dyDescent="0.25">
      <c r="A52" s="160" t="s">
        <v>8</v>
      </c>
      <c r="B52" s="28"/>
      <c r="C52" s="161">
        <f>SUM(C47:C51)</f>
        <v>1306028.0190542236</v>
      </c>
      <c r="D52" s="5"/>
    </row>
    <row r="53" spans="1:6" ht="12.75" customHeight="1" x14ac:dyDescent="0.25">
      <c r="A53" s="9"/>
      <c r="B53" s="8"/>
      <c r="C53" s="10"/>
    </row>
    <row r="54" spans="1:6" hidden="1" x14ac:dyDescent="0.25">
      <c r="A54" s="195"/>
      <c r="B54" s="195"/>
      <c r="C54" s="195"/>
      <c r="F54" s="44"/>
    </row>
    <row r="55" spans="1:6" ht="46.5" hidden="1" customHeight="1" x14ac:dyDescent="0.25">
      <c r="A55" s="196"/>
      <c r="B55" s="196"/>
      <c r="C55" s="196"/>
    </row>
    <row r="56" spans="1:6" ht="0.75" hidden="1" customHeight="1" x14ac:dyDescent="0.25">
      <c r="A56" s="26" t="s">
        <v>20</v>
      </c>
      <c r="B56" s="27"/>
      <c r="C56" s="29"/>
    </row>
    <row r="57" spans="1:6" hidden="1" x14ac:dyDescent="0.25">
      <c r="A57" s="28" t="s">
        <v>23</v>
      </c>
      <c r="B57" s="28"/>
      <c r="C57" s="31">
        <f>-C42</f>
        <v>0</v>
      </c>
    </row>
    <row r="58" spans="1:6" hidden="1" x14ac:dyDescent="0.25">
      <c r="A58" s="28"/>
      <c r="B58" s="28"/>
      <c r="C58" s="31"/>
    </row>
    <row r="59" spans="1:6" hidden="1" x14ac:dyDescent="0.25">
      <c r="A59" s="28"/>
      <c r="B59" s="28"/>
      <c r="C59" s="32"/>
    </row>
    <row r="60" spans="1:6" hidden="1" x14ac:dyDescent="0.25">
      <c r="A60" s="140" t="s">
        <v>0</v>
      </c>
      <c r="B60" s="141"/>
      <c r="C60" s="142">
        <f>SUM(C56:C59)</f>
        <v>0</v>
      </c>
    </row>
    <row r="61" spans="1:6" x14ac:dyDescent="0.25">
      <c r="A61" s="197" t="s">
        <v>105</v>
      </c>
      <c r="B61" s="198"/>
      <c r="C61" s="198"/>
    </row>
    <row r="62" spans="1:6" x14ac:dyDescent="0.25">
      <c r="A62" s="198"/>
      <c r="B62" s="198"/>
      <c r="C62" s="198"/>
    </row>
    <row r="63" spans="1:6" ht="45.75" customHeight="1" x14ac:dyDescent="0.25">
      <c r="A63" s="198"/>
      <c r="B63" s="198"/>
      <c r="C63" s="198"/>
    </row>
    <row r="64" spans="1:6" x14ac:dyDescent="0.25">
      <c r="A64" s="8"/>
      <c r="B64" s="8"/>
      <c r="C64" s="8"/>
    </row>
  </sheetData>
  <mergeCells count="2">
    <mergeCell ref="A54:C55"/>
    <mergeCell ref="A61:C63"/>
  </mergeCells>
  <phoneticPr fontId="30" type="noConversion"/>
  <hyperlinks>
    <hyperlink ref="B4" r:id="rId1" xr:uid="{00000000-0004-0000-0000-000000000000}"/>
  </hyperlinks>
  <printOptions horizontalCentered="1"/>
  <pageMargins left="0.23622047244094491" right="0.23622047244094491" top="0.19685039370078741" bottom="0.74803149606299213" header="0.31496062992125984" footer="0.31496062992125984"/>
  <pageSetup paperSize="9" scale="91"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36"/>
  <sheetViews>
    <sheetView tabSelected="1" topLeftCell="A5" workbookViewId="0">
      <selection activeCell="F5" sqref="F5"/>
    </sheetView>
  </sheetViews>
  <sheetFormatPr baseColWidth="10" defaultRowHeight="15" x14ac:dyDescent="0.25"/>
  <cols>
    <col min="1" max="1" width="19.42578125" style="1" customWidth="1"/>
    <col min="2" max="2" width="12.140625" style="1" customWidth="1"/>
    <col min="3" max="3" width="13.85546875" customWidth="1"/>
    <col min="4" max="4" width="9.85546875" bestFit="1" customWidth="1"/>
    <col min="5" max="5" width="16.28515625" customWidth="1"/>
    <col min="6" max="6" width="12.7109375" bestFit="1" customWidth="1"/>
    <col min="7" max="7" width="12.140625" customWidth="1"/>
    <col min="8" max="8" width="10.85546875" customWidth="1"/>
    <col min="9" max="10" width="10.7109375" customWidth="1"/>
    <col min="11" max="11" width="10.5703125" customWidth="1"/>
    <col min="12" max="12" width="11.5703125" customWidth="1"/>
    <col min="13" max="13" width="12.42578125" bestFit="1" customWidth="1"/>
    <col min="14" max="14" width="14.5703125" bestFit="1" customWidth="1"/>
    <col min="15" max="15" width="15.140625" style="11" customWidth="1"/>
    <col min="16" max="16" width="13" bestFit="1" customWidth="1"/>
  </cols>
  <sheetData>
    <row r="1" spans="1:16" x14ac:dyDescent="0.25">
      <c r="A1" s="1" t="s">
        <v>100</v>
      </c>
      <c r="B1" s="199">
        <f>N1-L1</f>
        <v>1336787.0499999998</v>
      </c>
      <c r="C1" s="199"/>
      <c r="D1" s="135">
        <v>1667839.1270000001</v>
      </c>
      <c r="E1" t="s">
        <v>99</v>
      </c>
      <c r="G1" s="200">
        <v>0</v>
      </c>
      <c r="H1" s="200"/>
      <c r="I1" s="201" t="s">
        <v>108</v>
      </c>
      <c r="J1" s="201"/>
      <c r="K1" s="201"/>
      <c r="L1" s="199">
        <f>O1</f>
        <v>1034026.5</v>
      </c>
      <c r="M1" s="199"/>
      <c r="N1">
        <v>2370813.5499999998</v>
      </c>
      <c r="O1" s="11">
        <v>1034026.5</v>
      </c>
    </row>
    <row r="2" spans="1:16" ht="34.5" customHeight="1" x14ac:dyDescent="0.25">
      <c r="A2" s="46" t="s">
        <v>26</v>
      </c>
      <c r="B2" s="46" t="s">
        <v>19</v>
      </c>
      <c r="C2" s="134" t="s">
        <v>89</v>
      </c>
      <c r="D2" s="47" t="s">
        <v>1</v>
      </c>
      <c r="E2" s="48" t="s">
        <v>27</v>
      </c>
      <c r="F2" s="48" t="s">
        <v>28</v>
      </c>
      <c r="G2" s="49" t="s">
        <v>29</v>
      </c>
      <c r="H2" s="159" t="s">
        <v>92</v>
      </c>
      <c r="I2" s="50" t="s">
        <v>101</v>
      </c>
      <c r="J2" s="50" t="s">
        <v>110</v>
      </c>
      <c r="K2" s="50" t="s">
        <v>107</v>
      </c>
      <c r="L2" s="50" t="s">
        <v>104</v>
      </c>
      <c r="M2" s="51" t="s">
        <v>30</v>
      </c>
      <c r="O2" s="11" t="s">
        <v>111</v>
      </c>
    </row>
    <row r="3" spans="1:16" x14ac:dyDescent="0.25">
      <c r="A3" s="52" t="s">
        <v>31</v>
      </c>
      <c r="B3" s="53" t="s">
        <v>90</v>
      </c>
      <c r="C3" s="54" t="s">
        <v>32</v>
      </c>
      <c r="D3" s="55">
        <v>5.1100000000000003</v>
      </c>
      <c r="E3" s="126">
        <v>196577.35914129001</v>
      </c>
      <c r="F3" s="172">
        <f t="shared" ref="F3" si="0">E3</f>
        <v>196577.35914129001</v>
      </c>
      <c r="G3" s="178">
        <f>E3-F3</f>
        <v>0</v>
      </c>
      <c r="H3" s="56">
        <f>IF(G3&gt;0,G3*4%,0)</f>
        <v>0</v>
      </c>
      <c r="I3" s="56">
        <f>B$1*D3/100</f>
        <v>68309.818254999991</v>
      </c>
      <c r="J3" s="56">
        <f>Edesur!N10</f>
        <v>54290.037880980017</v>
      </c>
      <c r="K3" s="56">
        <f>G$1*D3/100</f>
        <v>0</v>
      </c>
      <c r="L3" s="56">
        <f>L$1*D3/100</f>
        <v>52838.754150000001</v>
      </c>
      <c r="M3" s="57">
        <f>I3+G3+L3+K3+H3+J3</f>
        <v>175438.61028597999</v>
      </c>
      <c r="N3" s="44"/>
      <c r="O3" s="136">
        <f>M3-J3</f>
        <v>121148.57240499997</v>
      </c>
    </row>
    <row r="4" spans="1:16" x14ac:dyDescent="0.25">
      <c r="A4" s="58" t="s">
        <v>33</v>
      </c>
      <c r="B4" s="59"/>
      <c r="C4" s="60" t="s">
        <v>34</v>
      </c>
      <c r="D4" s="61">
        <v>5.09</v>
      </c>
      <c r="E4" s="126">
        <v>305245.8364308484</v>
      </c>
      <c r="F4" s="172"/>
      <c r="G4" s="178">
        <f t="shared" ref="G4:G29" si="1">E4-F4</f>
        <v>305245.8364308484</v>
      </c>
      <c r="H4" s="56">
        <f t="shared" ref="H4:H29" si="2">IF(G4&gt;0,G4*4%,0)</f>
        <v>12209.833457233935</v>
      </c>
      <c r="I4" s="56">
        <f t="shared" ref="I4:I29" si="3">B$1*D4/100</f>
        <v>68042.460844999994</v>
      </c>
      <c r="J4" s="56">
        <f>Edesur!N11</f>
        <v>45259.408682619964</v>
      </c>
      <c r="K4" s="56">
        <f t="shared" ref="K4:K29" si="4">G$1*D4/100</f>
        <v>0</v>
      </c>
      <c r="L4" s="56">
        <f t="shared" ref="L4:L29" si="5">L$1*D4/100</f>
        <v>52631.948850000001</v>
      </c>
      <c r="M4" s="57">
        <f t="shared" ref="M4:M29" si="6">I4+G4+L4+K4+H4+J4</f>
        <v>483389.48826570227</v>
      </c>
      <c r="N4" s="44"/>
      <c r="O4" s="136">
        <f t="shared" ref="O4:O29" si="7">M4-J4</f>
        <v>438130.07958308229</v>
      </c>
    </row>
    <row r="5" spans="1:16" x14ac:dyDescent="0.25">
      <c r="A5" s="58" t="s">
        <v>35</v>
      </c>
      <c r="B5" s="59"/>
      <c r="C5" s="60" t="s">
        <v>36</v>
      </c>
      <c r="D5" s="61">
        <v>5.04</v>
      </c>
      <c r="E5" s="126">
        <v>204343.43875076872</v>
      </c>
      <c r="F5" s="172">
        <f>240944.56-F23</f>
        <v>204343.44398188</v>
      </c>
      <c r="G5" s="178">
        <f t="shared" si="1"/>
        <v>-5.23111128131859E-3</v>
      </c>
      <c r="H5" s="56">
        <f t="shared" si="2"/>
        <v>0</v>
      </c>
      <c r="I5" s="56">
        <f t="shared" si="3"/>
        <v>67374.067319999987</v>
      </c>
      <c r="J5" s="56">
        <f>Edesur!N12</f>
        <v>53829.498386719992</v>
      </c>
      <c r="K5" s="56">
        <f t="shared" si="4"/>
        <v>0</v>
      </c>
      <c r="L5" s="56">
        <f t="shared" si="5"/>
        <v>52114.935599999997</v>
      </c>
      <c r="M5" s="57">
        <f t="shared" si="6"/>
        <v>173318.49607560871</v>
      </c>
      <c r="N5" s="44"/>
      <c r="O5" s="136">
        <f t="shared" si="7"/>
        <v>119488.99768888872</v>
      </c>
    </row>
    <row r="6" spans="1:16" x14ac:dyDescent="0.25">
      <c r="A6" s="62" t="s">
        <v>37</v>
      </c>
      <c r="B6" s="158"/>
      <c r="C6" s="63" t="s">
        <v>38</v>
      </c>
      <c r="D6" s="157">
        <v>5.21</v>
      </c>
      <c r="E6" s="126">
        <v>188205.46156518997</v>
      </c>
      <c r="F6" s="172">
        <f>E6</f>
        <v>188205.46156518997</v>
      </c>
      <c r="G6" s="179">
        <f t="shared" si="1"/>
        <v>0</v>
      </c>
      <c r="H6" s="64">
        <f t="shared" si="2"/>
        <v>0</v>
      </c>
      <c r="I6" s="64">
        <f t="shared" si="3"/>
        <v>69646.60530499999</v>
      </c>
      <c r="J6" s="64">
        <f>Edesur!N13</f>
        <v>51555.541672780004</v>
      </c>
      <c r="K6" s="64">
        <f t="shared" si="4"/>
        <v>0</v>
      </c>
      <c r="L6" s="64">
        <f t="shared" si="5"/>
        <v>53872.780650000001</v>
      </c>
      <c r="M6" s="171">
        <f t="shared" si="6"/>
        <v>175074.92762778001</v>
      </c>
      <c r="O6" s="136">
        <f t="shared" si="7"/>
        <v>123519.38595500001</v>
      </c>
      <c r="P6" s="156"/>
    </row>
    <row r="7" spans="1:16" x14ac:dyDescent="0.25">
      <c r="A7" s="58" t="s">
        <v>35</v>
      </c>
      <c r="B7" s="59" t="s">
        <v>93</v>
      </c>
      <c r="C7" s="60" t="s">
        <v>39</v>
      </c>
      <c r="D7" s="61">
        <v>5.1100000000000003</v>
      </c>
      <c r="E7" s="126">
        <v>199212.77119878004</v>
      </c>
      <c r="F7" s="172">
        <f>235813.89-F28</f>
        <v>199212.77398188002</v>
      </c>
      <c r="G7" s="178">
        <f t="shared" si="1"/>
        <v>-2.7830999752040952E-3</v>
      </c>
      <c r="H7" s="56">
        <f t="shared" si="2"/>
        <v>0</v>
      </c>
      <c r="I7" s="56">
        <f t="shared" si="3"/>
        <v>68309.818254999991</v>
      </c>
      <c r="J7" s="56">
        <f>Edesur!N14</f>
        <v>56850.422980980038</v>
      </c>
      <c r="K7" s="56">
        <f t="shared" si="4"/>
        <v>0</v>
      </c>
      <c r="L7" s="56">
        <f t="shared" si="5"/>
        <v>52838.754150000001</v>
      </c>
      <c r="M7" s="57">
        <f t="shared" si="6"/>
        <v>177998.99260288005</v>
      </c>
      <c r="O7" s="136">
        <f t="shared" si="7"/>
        <v>121148.56962190001</v>
      </c>
      <c r="P7" s="156"/>
    </row>
    <row r="8" spans="1:16" x14ac:dyDescent="0.25">
      <c r="A8" s="58" t="s">
        <v>40</v>
      </c>
      <c r="B8" s="59"/>
      <c r="C8" s="60" t="s">
        <v>41</v>
      </c>
      <c r="D8" s="61">
        <v>5.09</v>
      </c>
      <c r="E8" s="126">
        <v>202248.94059650999</v>
      </c>
      <c r="F8" s="172">
        <f t="shared" ref="F8" si="8">E8</f>
        <v>202248.94059650999</v>
      </c>
      <c r="G8" s="178">
        <f t="shared" si="1"/>
        <v>0</v>
      </c>
      <c r="H8" s="56">
        <f t="shared" si="2"/>
        <v>0</v>
      </c>
      <c r="I8" s="56">
        <f t="shared" si="3"/>
        <v>68042.460844999994</v>
      </c>
      <c r="J8" s="56">
        <f>Edesur!N15</f>
        <v>52602.93078261998</v>
      </c>
      <c r="K8" s="56">
        <f t="shared" si="4"/>
        <v>0</v>
      </c>
      <c r="L8" s="56">
        <f t="shared" si="5"/>
        <v>52631.948850000001</v>
      </c>
      <c r="M8" s="57">
        <f t="shared" si="6"/>
        <v>173277.34047761996</v>
      </c>
      <c r="O8" s="136">
        <f t="shared" si="7"/>
        <v>120674.40969499998</v>
      </c>
    </row>
    <row r="9" spans="1:16" x14ac:dyDescent="0.25">
      <c r="A9" s="58" t="s">
        <v>42</v>
      </c>
      <c r="B9" s="59"/>
      <c r="C9" s="60" t="s">
        <v>43</v>
      </c>
      <c r="D9" s="61">
        <v>5.1100000000000003</v>
      </c>
      <c r="E9" s="126">
        <v>186016.94294129004</v>
      </c>
      <c r="F9" s="172">
        <f>E9</f>
        <v>186016.94294129004</v>
      </c>
      <c r="G9" s="178">
        <f t="shared" si="1"/>
        <v>0</v>
      </c>
      <c r="H9" s="56">
        <f t="shared" si="2"/>
        <v>0</v>
      </c>
      <c r="I9" s="56">
        <f t="shared" si="3"/>
        <v>68309.818254999991</v>
      </c>
      <c r="J9" s="56">
        <f>Edesur!N16</f>
        <v>52948.883780980002</v>
      </c>
      <c r="K9" s="56">
        <f t="shared" si="4"/>
        <v>0</v>
      </c>
      <c r="L9" s="56">
        <f t="shared" si="5"/>
        <v>52838.754150000001</v>
      </c>
      <c r="M9" s="57">
        <f t="shared" si="6"/>
        <v>174097.45618598</v>
      </c>
      <c r="O9" s="136">
        <f t="shared" si="7"/>
        <v>121148.572405</v>
      </c>
      <c r="P9" s="156"/>
    </row>
    <row r="10" spans="1:16" ht="24.75" customHeight="1" x14ac:dyDescent="0.25">
      <c r="A10" s="185" t="s">
        <v>115</v>
      </c>
      <c r="B10" s="186"/>
      <c r="C10" s="63" t="s">
        <v>45</v>
      </c>
      <c r="D10" s="157">
        <v>5.09</v>
      </c>
      <c r="E10" s="126">
        <v>176391.66853574003</v>
      </c>
      <c r="F10" s="172">
        <f>212992.98-F22</f>
        <v>176391.86398188001</v>
      </c>
      <c r="G10" s="179">
        <f t="shared" si="1"/>
        <v>-0.1954461399873253</v>
      </c>
      <c r="H10" s="64"/>
      <c r="I10" s="64">
        <f t="shared" si="3"/>
        <v>68042.460844999994</v>
      </c>
      <c r="J10" s="64">
        <f>Edesur!N17</f>
        <v>46563.047982620017</v>
      </c>
      <c r="K10" s="64">
        <f t="shared" si="4"/>
        <v>0</v>
      </c>
      <c r="L10" s="64">
        <f t="shared" si="5"/>
        <v>52631.948850000001</v>
      </c>
      <c r="M10" s="171">
        <f t="shared" si="6"/>
        <v>167237.26223148004</v>
      </c>
      <c r="O10" s="136">
        <f t="shared" si="7"/>
        <v>120674.21424886002</v>
      </c>
    </row>
    <row r="11" spans="1:16" x14ac:dyDescent="0.25">
      <c r="A11" s="58" t="s">
        <v>94</v>
      </c>
      <c r="B11" s="59"/>
      <c r="C11" s="60" t="s">
        <v>46</v>
      </c>
      <c r="D11" s="61">
        <v>5.04</v>
      </c>
      <c r="E11" s="126">
        <v>182106.54158456001</v>
      </c>
      <c r="F11" s="172">
        <f>E11</f>
        <v>182106.54158456001</v>
      </c>
      <c r="G11" s="178">
        <f t="shared" si="1"/>
        <v>0</v>
      </c>
      <c r="H11" s="56">
        <f t="shared" si="2"/>
        <v>0</v>
      </c>
      <c r="I11" s="56">
        <f t="shared" si="3"/>
        <v>67374.067319999987</v>
      </c>
      <c r="J11" s="56">
        <f>Edesur!N18</f>
        <v>50340.621986719969</v>
      </c>
      <c r="K11" s="56">
        <f t="shared" si="4"/>
        <v>0</v>
      </c>
      <c r="L11" s="56">
        <f t="shared" si="5"/>
        <v>52114.935599999997</v>
      </c>
      <c r="M11" s="57">
        <f t="shared" si="6"/>
        <v>169829.62490671995</v>
      </c>
      <c r="O11" s="136">
        <f t="shared" si="7"/>
        <v>119489.00291999998</v>
      </c>
    </row>
    <row r="12" spans="1:16" x14ac:dyDescent="0.25">
      <c r="A12" s="58" t="s">
        <v>47</v>
      </c>
      <c r="B12" s="59"/>
      <c r="C12" s="60" t="s">
        <v>48</v>
      </c>
      <c r="D12" s="61">
        <v>5.21</v>
      </c>
      <c r="E12" s="126">
        <v>211989.84476518998</v>
      </c>
      <c r="F12" s="172">
        <f t="shared" ref="F12" si="9">E12</f>
        <v>211989.84476518998</v>
      </c>
      <c r="G12" s="178">
        <f t="shared" si="1"/>
        <v>0</v>
      </c>
      <c r="H12" s="56">
        <f t="shared" si="2"/>
        <v>0</v>
      </c>
      <c r="I12" s="56">
        <f t="shared" si="3"/>
        <v>69646.60530499999</v>
      </c>
      <c r="J12" s="56">
        <f>Edesur!N19</f>
        <v>62941.283472780036</v>
      </c>
      <c r="K12" s="56">
        <f t="shared" si="4"/>
        <v>0</v>
      </c>
      <c r="L12" s="56">
        <f t="shared" si="5"/>
        <v>53872.780650000001</v>
      </c>
      <c r="M12" s="57">
        <f t="shared" si="6"/>
        <v>186460.66942778003</v>
      </c>
      <c r="O12" s="136">
        <f t="shared" si="7"/>
        <v>123519.38595499999</v>
      </c>
    </row>
    <row r="13" spans="1:16" x14ac:dyDescent="0.25">
      <c r="A13" s="58" t="s">
        <v>49</v>
      </c>
      <c r="B13" s="59" t="s">
        <v>50</v>
      </c>
      <c r="C13" s="60" t="s">
        <v>51</v>
      </c>
      <c r="D13" s="61">
        <v>5.1100000000000003</v>
      </c>
      <c r="E13" s="126">
        <v>205111.98067307967</v>
      </c>
      <c r="F13" s="172">
        <f>241713-F24</f>
        <v>205111.88398188</v>
      </c>
      <c r="G13" s="178">
        <f t="shared" si="1"/>
        <v>9.6691199665656313E-2</v>
      </c>
      <c r="H13" s="56">
        <f t="shared" si="2"/>
        <v>3.8676479866262526E-3</v>
      </c>
      <c r="I13" s="56">
        <f t="shared" si="3"/>
        <v>68309.818254999991</v>
      </c>
      <c r="J13" s="56">
        <f>Edesur!N20</f>
        <v>60142.346680979987</v>
      </c>
      <c r="K13" s="56">
        <f t="shared" si="4"/>
        <v>0</v>
      </c>
      <c r="L13" s="56">
        <f t="shared" si="5"/>
        <v>52838.754150000001</v>
      </c>
      <c r="M13" s="57">
        <f t="shared" si="6"/>
        <v>181291.01964482764</v>
      </c>
      <c r="N13" s="44"/>
      <c r="O13" s="136">
        <f t="shared" si="7"/>
        <v>121148.67296384765</v>
      </c>
    </row>
    <row r="14" spans="1:16" x14ac:dyDescent="0.25">
      <c r="A14" s="62" t="s">
        <v>49</v>
      </c>
      <c r="B14" s="158" t="s">
        <v>103</v>
      </c>
      <c r="C14" s="63" t="s">
        <v>52</v>
      </c>
      <c r="D14" s="157">
        <v>5.09</v>
      </c>
      <c r="E14" s="126">
        <v>180752.96200829698</v>
      </c>
      <c r="F14" s="172"/>
      <c r="G14" s="179">
        <f t="shared" si="1"/>
        <v>180752.96200829698</v>
      </c>
      <c r="H14" s="64">
        <f t="shared" si="2"/>
        <v>7230.1184803318793</v>
      </c>
      <c r="I14" s="64">
        <f t="shared" si="3"/>
        <v>68042.460844999994</v>
      </c>
      <c r="J14" s="56">
        <f>Edesur!N21</f>
        <v>50126.95398262002</v>
      </c>
      <c r="K14" s="64">
        <f t="shared" si="4"/>
        <v>0</v>
      </c>
      <c r="L14" s="56">
        <f t="shared" si="5"/>
        <v>52631.948850000001</v>
      </c>
      <c r="M14" s="57">
        <f t="shared" si="6"/>
        <v>358784.4441662489</v>
      </c>
      <c r="O14" s="136">
        <f t="shared" si="7"/>
        <v>308657.49018362886</v>
      </c>
    </row>
    <row r="15" spans="1:16" x14ac:dyDescent="0.25">
      <c r="A15" s="58" t="s">
        <v>53</v>
      </c>
      <c r="B15" s="59" t="s">
        <v>54</v>
      </c>
      <c r="C15" s="60" t="s">
        <v>55</v>
      </c>
      <c r="D15" s="61">
        <v>5.04</v>
      </c>
      <c r="E15" s="126">
        <v>441931.81109535758</v>
      </c>
      <c r="F15" s="172">
        <f>490000-F29</f>
        <v>404371.56720341922</v>
      </c>
      <c r="G15" s="178">
        <f t="shared" si="1"/>
        <v>37560.243891938357</v>
      </c>
      <c r="H15" s="56">
        <f t="shared" si="2"/>
        <v>1502.4097556775343</v>
      </c>
      <c r="I15" s="56">
        <f t="shared" si="3"/>
        <v>67374.067319999987</v>
      </c>
      <c r="J15" s="56">
        <f>Edesur!N22</f>
        <v>55808.404086719987</v>
      </c>
      <c r="K15" s="56">
        <f t="shared" si="4"/>
        <v>0</v>
      </c>
      <c r="L15" s="56">
        <f t="shared" si="5"/>
        <v>52114.935599999997</v>
      </c>
      <c r="M15" s="57">
        <f t="shared" si="6"/>
        <v>214360.06065433589</v>
      </c>
      <c r="O15" s="136">
        <f t="shared" si="7"/>
        <v>158551.65656761589</v>
      </c>
    </row>
    <row r="16" spans="1:16" x14ac:dyDescent="0.25">
      <c r="A16" s="58" t="s">
        <v>56</v>
      </c>
      <c r="B16" s="59" t="s">
        <v>57</v>
      </c>
      <c r="C16" s="60" t="s">
        <v>58</v>
      </c>
      <c r="D16" s="61">
        <v>5.21</v>
      </c>
      <c r="E16" s="126">
        <v>200838.57252916362</v>
      </c>
      <c r="F16" s="172">
        <f>237500-F21</f>
        <v>200898.88398188</v>
      </c>
      <c r="G16" s="178">
        <f t="shared" si="1"/>
        <v>-60.311452716385247</v>
      </c>
      <c r="H16" s="56">
        <f t="shared" si="2"/>
        <v>0</v>
      </c>
      <c r="I16" s="56">
        <f t="shared" si="3"/>
        <v>69646.60530499999</v>
      </c>
      <c r="J16" s="56">
        <f>Edesur!N23</f>
        <v>59171.046072779965</v>
      </c>
      <c r="K16" s="56">
        <f t="shared" si="4"/>
        <v>0</v>
      </c>
      <c r="L16" s="56">
        <f t="shared" si="5"/>
        <v>53872.780650000001</v>
      </c>
      <c r="M16" s="57">
        <f t="shared" si="6"/>
        <v>182630.12057506357</v>
      </c>
      <c r="N16" s="44"/>
      <c r="O16" s="136">
        <f t="shared" si="7"/>
        <v>123459.07450228361</v>
      </c>
    </row>
    <row r="17" spans="1:17" x14ac:dyDescent="0.25">
      <c r="A17" s="58" t="s">
        <v>59</v>
      </c>
      <c r="B17" s="59"/>
      <c r="C17" s="60" t="s">
        <v>60</v>
      </c>
      <c r="D17" s="61">
        <v>5.04</v>
      </c>
      <c r="E17" s="126">
        <v>276073.04574271035</v>
      </c>
      <c r="F17" s="172">
        <f>E17</f>
        <v>276073.04574271035</v>
      </c>
      <c r="G17" s="178">
        <f t="shared" si="1"/>
        <v>0</v>
      </c>
      <c r="H17" s="56">
        <f t="shared" si="2"/>
        <v>0</v>
      </c>
      <c r="I17" s="56">
        <f t="shared" si="3"/>
        <v>67374.067319999987</v>
      </c>
      <c r="J17" s="56">
        <f>Edesur!N24</f>
        <v>46701.686386719994</v>
      </c>
      <c r="K17" s="56">
        <f t="shared" si="4"/>
        <v>0</v>
      </c>
      <c r="L17" s="56">
        <f t="shared" si="5"/>
        <v>52114.935599999997</v>
      </c>
      <c r="M17" s="57">
        <f t="shared" si="6"/>
        <v>166190.68930671999</v>
      </c>
      <c r="O17" s="136">
        <f t="shared" si="7"/>
        <v>119489.00292</v>
      </c>
    </row>
    <row r="18" spans="1:17" ht="23.25" customHeight="1" x14ac:dyDescent="0.25">
      <c r="A18" s="164" t="s">
        <v>61</v>
      </c>
      <c r="B18" s="165"/>
      <c r="C18" s="63" t="s">
        <v>62</v>
      </c>
      <c r="D18" s="157">
        <v>5.21</v>
      </c>
      <c r="E18" s="126">
        <v>191713.09536518998</v>
      </c>
      <c r="F18" s="172">
        <f t="shared" ref="F18:F21" si="10">E18</f>
        <v>191713.09536518998</v>
      </c>
      <c r="G18" s="179">
        <f t="shared" si="1"/>
        <v>0</v>
      </c>
      <c r="H18" s="64">
        <f t="shared" si="2"/>
        <v>0</v>
      </c>
      <c r="I18" s="64">
        <f t="shared" si="3"/>
        <v>69646.60530499999</v>
      </c>
      <c r="J18" s="56">
        <f>Edesur!N25</f>
        <v>52333.973772780002</v>
      </c>
      <c r="K18" s="64">
        <f t="shared" si="4"/>
        <v>0</v>
      </c>
      <c r="L18" s="64">
        <f t="shared" si="5"/>
        <v>53872.780650000001</v>
      </c>
      <c r="M18" s="57">
        <f t="shared" si="6"/>
        <v>175853.35972777999</v>
      </c>
      <c r="N18" s="167"/>
      <c r="O18" s="136">
        <f t="shared" si="7"/>
        <v>123519.38595499998</v>
      </c>
      <c r="P18" s="166"/>
      <c r="Q18" s="163"/>
    </row>
    <row r="19" spans="1:17" x14ac:dyDescent="0.25">
      <c r="A19" s="62" t="s">
        <v>63</v>
      </c>
      <c r="B19" s="158"/>
      <c r="C19" s="63" t="s">
        <v>64</v>
      </c>
      <c r="D19" s="157">
        <v>7.4</v>
      </c>
      <c r="E19" s="126">
        <v>294818.42106860003</v>
      </c>
      <c r="F19" s="172">
        <f t="shared" si="10"/>
        <v>294818.42106860003</v>
      </c>
      <c r="G19" s="179">
        <f t="shared" si="1"/>
        <v>0</v>
      </c>
      <c r="H19" s="64">
        <f t="shared" si="2"/>
        <v>0</v>
      </c>
      <c r="I19" s="64">
        <f t="shared" si="3"/>
        <v>98922.241699999999</v>
      </c>
      <c r="J19" s="56">
        <f>Edesur!N26</f>
        <v>77235.70629320007</v>
      </c>
      <c r="K19" s="64">
        <f t="shared" si="4"/>
        <v>0</v>
      </c>
      <c r="L19" s="64">
        <f t="shared" si="5"/>
        <v>76517.96100000001</v>
      </c>
      <c r="M19" s="57">
        <f t="shared" si="6"/>
        <v>252675.90899320011</v>
      </c>
      <c r="O19" s="136">
        <f t="shared" si="7"/>
        <v>175440.20270000002</v>
      </c>
    </row>
    <row r="20" spans="1:17" x14ac:dyDescent="0.25">
      <c r="A20" s="62" t="s">
        <v>116</v>
      </c>
      <c r="B20" s="186"/>
      <c r="C20" s="63" t="s">
        <v>65</v>
      </c>
      <c r="D20" s="157">
        <v>1.08</v>
      </c>
      <c r="E20" s="126">
        <v>435982.31791082409</v>
      </c>
      <c r="F20" s="172">
        <v>0</v>
      </c>
      <c r="G20" s="179">
        <f t="shared" si="1"/>
        <v>435982.31791082409</v>
      </c>
      <c r="H20" s="64"/>
      <c r="I20" s="64">
        <f t="shared" si="3"/>
        <v>14437.300139999999</v>
      </c>
      <c r="J20" s="64">
        <f>Edesur!N27</f>
        <v>9565.3655114400008</v>
      </c>
      <c r="K20" s="64">
        <f t="shared" si="4"/>
        <v>0</v>
      </c>
      <c r="L20" s="64">
        <f t="shared" si="5"/>
        <v>11167.486200000001</v>
      </c>
      <c r="M20" s="171">
        <f t="shared" si="6"/>
        <v>471152.46976226405</v>
      </c>
      <c r="O20" s="136">
        <f t="shared" si="7"/>
        <v>461587.10425082408</v>
      </c>
    </row>
    <row r="21" spans="1:17" x14ac:dyDescent="0.25">
      <c r="A21" s="62"/>
      <c r="B21" s="59" t="s">
        <v>57</v>
      </c>
      <c r="C21" s="63" t="s">
        <v>66</v>
      </c>
      <c r="D21" s="61">
        <v>1.08</v>
      </c>
      <c r="E21" s="126">
        <v>36601.116018119996</v>
      </c>
      <c r="F21" s="172">
        <f t="shared" si="10"/>
        <v>36601.116018119996</v>
      </c>
      <c r="G21" s="178">
        <f t="shared" si="1"/>
        <v>0</v>
      </c>
      <c r="H21" s="56">
        <f t="shared" si="2"/>
        <v>0</v>
      </c>
      <c r="I21" s="56">
        <f t="shared" si="3"/>
        <v>14437.300139999999</v>
      </c>
      <c r="J21" s="56">
        <f>Edesur!N28</f>
        <v>9565.3655114400008</v>
      </c>
      <c r="K21" s="56">
        <f t="shared" si="4"/>
        <v>0</v>
      </c>
      <c r="L21" s="56">
        <f t="shared" si="5"/>
        <v>11167.486200000001</v>
      </c>
      <c r="M21" s="57">
        <f t="shared" si="6"/>
        <v>35170.151851440001</v>
      </c>
      <c r="O21" s="136">
        <f t="shared" si="7"/>
        <v>25604.786339999999</v>
      </c>
    </row>
    <row r="22" spans="1:17" x14ac:dyDescent="0.25">
      <c r="A22" s="62" t="s">
        <v>115</v>
      </c>
      <c r="B22" s="158"/>
      <c r="C22" s="63" t="s">
        <v>67</v>
      </c>
      <c r="D22" s="157">
        <v>1.08</v>
      </c>
      <c r="E22" s="126">
        <v>36601.116018119996</v>
      </c>
      <c r="F22" s="172">
        <f>E22</f>
        <v>36601.116018119996</v>
      </c>
      <c r="G22" s="179">
        <f t="shared" si="1"/>
        <v>0</v>
      </c>
      <c r="H22" s="64">
        <f t="shared" si="2"/>
        <v>0</v>
      </c>
      <c r="I22" s="64">
        <f t="shared" si="3"/>
        <v>14437.300139999999</v>
      </c>
      <c r="J22" s="64">
        <f>Edesur!N29</f>
        <v>9565.3655114400008</v>
      </c>
      <c r="K22" s="64">
        <f t="shared" si="4"/>
        <v>0</v>
      </c>
      <c r="L22" s="64">
        <f t="shared" si="5"/>
        <v>11167.486200000001</v>
      </c>
      <c r="M22" s="171">
        <f t="shared" si="6"/>
        <v>35170.151851440001</v>
      </c>
      <c r="O22" s="136">
        <f t="shared" si="7"/>
        <v>25604.786339999999</v>
      </c>
    </row>
    <row r="23" spans="1:17" x14ac:dyDescent="0.25">
      <c r="A23" s="58" t="s">
        <v>35</v>
      </c>
      <c r="B23" s="59"/>
      <c r="C23" s="60" t="s">
        <v>68</v>
      </c>
      <c r="D23" s="61">
        <v>1.08</v>
      </c>
      <c r="E23" s="126">
        <v>36601.116018119996</v>
      </c>
      <c r="F23" s="172">
        <f>E23</f>
        <v>36601.116018119996</v>
      </c>
      <c r="G23" s="178">
        <f t="shared" si="1"/>
        <v>0</v>
      </c>
      <c r="H23" s="56">
        <f t="shared" si="2"/>
        <v>0</v>
      </c>
      <c r="I23" s="56">
        <f t="shared" si="3"/>
        <v>14437.300139999999</v>
      </c>
      <c r="J23" s="56">
        <f>Edesur!N30</f>
        <v>9565.3655114400008</v>
      </c>
      <c r="K23" s="56">
        <f t="shared" si="4"/>
        <v>0</v>
      </c>
      <c r="L23" s="56">
        <f t="shared" si="5"/>
        <v>11167.486200000001</v>
      </c>
      <c r="M23" s="57">
        <f t="shared" si="6"/>
        <v>35170.151851440001</v>
      </c>
      <c r="O23" s="136">
        <f t="shared" si="7"/>
        <v>25604.786339999999</v>
      </c>
    </row>
    <row r="24" spans="1:17" x14ac:dyDescent="0.25">
      <c r="A24" s="58" t="s">
        <v>49</v>
      </c>
      <c r="B24" s="59" t="s">
        <v>50</v>
      </c>
      <c r="C24" s="60" t="s">
        <v>69</v>
      </c>
      <c r="D24" s="61">
        <v>1.08</v>
      </c>
      <c r="E24" s="126">
        <v>36601.116018119996</v>
      </c>
      <c r="F24" s="172">
        <f t="shared" ref="F24" si="11">E24</f>
        <v>36601.116018119996</v>
      </c>
      <c r="G24" s="178">
        <f t="shared" si="1"/>
        <v>0</v>
      </c>
      <c r="H24" s="56">
        <f t="shared" si="2"/>
        <v>0</v>
      </c>
      <c r="I24" s="56">
        <f t="shared" si="3"/>
        <v>14437.300139999999</v>
      </c>
      <c r="J24" s="56">
        <f>Edesur!N31</f>
        <v>9565.3655114400008</v>
      </c>
      <c r="K24" s="56">
        <f t="shared" si="4"/>
        <v>0</v>
      </c>
      <c r="L24" s="56">
        <f t="shared" si="5"/>
        <v>11167.486200000001</v>
      </c>
      <c r="M24" s="57">
        <f t="shared" si="6"/>
        <v>35170.151851440001</v>
      </c>
      <c r="O24" s="136">
        <f t="shared" si="7"/>
        <v>25604.786339999999</v>
      </c>
    </row>
    <row r="25" spans="1:17" x14ac:dyDescent="0.25">
      <c r="A25" s="58" t="s">
        <v>49</v>
      </c>
      <c r="B25" s="158" t="s">
        <v>103</v>
      </c>
      <c r="C25" s="60" t="s">
        <v>70</v>
      </c>
      <c r="D25" s="61">
        <v>1.08</v>
      </c>
      <c r="E25" s="126">
        <v>36601.116018119996</v>
      </c>
      <c r="F25" s="172"/>
      <c r="G25" s="178">
        <f t="shared" si="1"/>
        <v>36601.116018119996</v>
      </c>
      <c r="H25" s="56">
        <f t="shared" si="2"/>
        <v>1464.0446407247998</v>
      </c>
      <c r="I25" s="56">
        <f t="shared" si="3"/>
        <v>14437.300139999999</v>
      </c>
      <c r="J25" s="56">
        <f>Edesur!N32</f>
        <v>9565.3655114400008</v>
      </c>
      <c r="K25" s="56">
        <f t="shared" si="4"/>
        <v>0</v>
      </c>
      <c r="L25" s="56">
        <f t="shared" si="5"/>
        <v>11167.486200000001</v>
      </c>
      <c r="M25" s="57">
        <f t="shared" si="6"/>
        <v>73235.312510284799</v>
      </c>
      <c r="O25" s="136">
        <f t="shared" si="7"/>
        <v>63669.946998844796</v>
      </c>
    </row>
    <row r="26" spans="1:17" x14ac:dyDescent="0.25">
      <c r="A26" s="58" t="s">
        <v>63</v>
      </c>
      <c r="B26" s="59"/>
      <c r="C26" s="60" t="s">
        <v>71</v>
      </c>
      <c r="D26" s="61">
        <v>1.08</v>
      </c>
      <c r="E26" s="126">
        <v>36601.116018119996</v>
      </c>
      <c r="F26" s="172">
        <f t="shared" ref="F26:F28" si="12">E26</f>
        <v>36601.116018119996</v>
      </c>
      <c r="G26" s="178">
        <f t="shared" si="1"/>
        <v>0</v>
      </c>
      <c r="H26" s="56">
        <f t="shared" si="2"/>
        <v>0</v>
      </c>
      <c r="I26" s="56">
        <f t="shared" si="3"/>
        <v>14437.300139999999</v>
      </c>
      <c r="J26" s="56">
        <f>Edesur!N33</f>
        <v>9565.3655114400008</v>
      </c>
      <c r="K26" s="56">
        <f t="shared" si="4"/>
        <v>0</v>
      </c>
      <c r="L26" s="56">
        <f t="shared" si="5"/>
        <v>11167.486200000001</v>
      </c>
      <c r="M26" s="57">
        <f t="shared" si="6"/>
        <v>35170.151851440001</v>
      </c>
      <c r="O26" s="136">
        <f t="shared" si="7"/>
        <v>25604.786339999999</v>
      </c>
    </row>
    <row r="27" spans="1:17" x14ac:dyDescent="0.25">
      <c r="A27" s="58" t="s">
        <v>63</v>
      </c>
      <c r="B27" s="65"/>
      <c r="C27" s="60" t="s">
        <v>72</v>
      </c>
      <c r="D27" s="61">
        <v>1.08</v>
      </c>
      <c r="E27" s="126">
        <v>36601.116018119996</v>
      </c>
      <c r="F27" s="172">
        <f t="shared" si="12"/>
        <v>36601.116018119996</v>
      </c>
      <c r="G27" s="178">
        <f t="shared" si="1"/>
        <v>0</v>
      </c>
      <c r="H27" s="56">
        <f t="shared" si="2"/>
        <v>0</v>
      </c>
      <c r="I27" s="56">
        <f t="shared" si="3"/>
        <v>14437.300139999999</v>
      </c>
      <c r="J27" s="56">
        <f>Edesur!N34</f>
        <v>9565.3655114400008</v>
      </c>
      <c r="K27" s="56">
        <f t="shared" si="4"/>
        <v>0</v>
      </c>
      <c r="L27" s="56">
        <f t="shared" si="5"/>
        <v>11167.486200000001</v>
      </c>
      <c r="M27" s="57">
        <f t="shared" si="6"/>
        <v>35170.151851440001</v>
      </c>
      <c r="O27" s="136">
        <f t="shared" si="7"/>
        <v>25604.786339999999</v>
      </c>
      <c r="P27" s="44">
        <f>F27+F26+F19</f>
        <v>368020.65310484002</v>
      </c>
    </row>
    <row r="28" spans="1:17" x14ac:dyDescent="0.25">
      <c r="A28" s="66"/>
      <c r="B28" s="65" t="str">
        <f>B7</f>
        <v>Leandro</v>
      </c>
      <c r="C28" s="60" t="s">
        <v>73</v>
      </c>
      <c r="D28" s="61">
        <v>1.08</v>
      </c>
      <c r="E28" s="126">
        <v>36601.116018119996</v>
      </c>
      <c r="F28" s="172">
        <f t="shared" si="12"/>
        <v>36601.116018119996</v>
      </c>
      <c r="G28" s="178">
        <f t="shared" si="1"/>
        <v>0</v>
      </c>
      <c r="H28" s="56">
        <f t="shared" si="2"/>
        <v>0</v>
      </c>
      <c r="I28" s="56">
        <f t="shared" si="3"/>
        <v>14437.300139999999</v>
      </c>
      <c r="J28" s="56">
        <f>Edesur!N35</f>
        <v>9565.3655114400008</v>
      </c>
      <c r="K28" s="56">
        <f t="shared" si="4"/>
        <v>0</v>
      </c>
      <c r="L28" s="56">
        <f t="shared" si="5"/>
        <v>11167.486200000001</v>
      </c>
      <c r="M28" s="57">
        <f t="shared" si="6"/>
        <v>35170.151851440001</v>
      </c>
      <c r="O28" s="136">
        <f t="shared" si="7"/>
        <v>25604.786339999999</v>
      </c>
    </row>
    <row r="29" spans="1:17" x14ac:dyDescent="0.25">
      <c r="A29" s="66" t="s">
        <v>53</v>
      </c>
      <c r="B29" s="59" t="s">
        <v>54</v>
      </c>
      <c r="C29" s="60" t="s">
        <v>74</v>
      </c>
      <c r="D29" s="61">
        <v>1.08</v>
      </c>
      <c r="E29" s="126">
        <v>85628.43279658079</v>
      </c>
      <c r="F29" s="172">
        <f>E29</f>
        <v>85628.43279658079</v>
      </c>
      <c r="G29" s="178">
        <f t="shared" si="1"/>
        <v>0</v>
      </c>
      <c r="H29" s="56">
        <f t="shared" si="2"/>
        <v>0</v>
      </c>
      <c r="I29" s="56">
        <f t="shared" si="3"/>
        <v>14437.300139999999</v>
      </c>
      <c r="J29" s="56">
        <f>Edesur!N36</f>
        <v>9565.3655114400008</v>
      </c>
      <c r="K29" s="56">
        <f t="shared" si="4"/>
        <v>0</v>
      </c>
      <c r="L29" s="56">
        <f t="shared" si="5"/>
        <v>11167.486200000001</v>
      </c>
      <c r="M29" s="57">
        <f t="shared" si="6"/>
        <v>35170.151851440001</v>
      </c>
      <c r="O29" s="136">
        <f t="shared" si="7"/>
        <v>25604.786339999999</v>
      </c>
    </row>
    <row r="30" spans="1:17" x14ac:dyDescent="0.25">
      <c r="A30" s="67"/>
      <c r="B30" s="67"/>
      <c r="C30" s="68"/>
      <c r="D30" s="68"/>
      <c r="E30" s="69"/>
      <c r="F30" s="69"/>
      <c r="G30" s="70"/>
      <c r="H30" s="70"/>
      <c r="I30" s="70"/>
      <c r="J30" s="71"/>
      <c r="K30" s="71"/>
      <c r="L30" s="71"/>
      <c r="M30" s="71"/>
    </row>
    <row r="31" spans="1:17" x14ac:dyDescent="0.25">
      <c r="A31" s="72"/>
      <c r="B31" s="73"/>
      <c r="C31" s="74" t="s">
        <v>75</v>
      </c>
      <c r="D31" s="74">
        <f>SUM(D3:D30)</f>
        <v>99.999999999999986</v>
      </c>
      <c r="E31" s="73"/>
      <c r="F31" s="132">
        <f>SUM(F3:F30)</f>
        <v>3661916.314806771</v>
      </c>
      <c r="G31" s="75"/>
      <c r="H31" s="75"/>
      <c r="I31" s="133">
        <f>SUM(I3:I30)</f>
        <v>1336787.0499999993</v>
      </c>
      <c r="J31" s="133"/>
      <c r="K31" s="133">
        <f>SUM(K3:K30)</f>
        <v>0</v>
      </c>
      <c r="L31" s="132"/>
      <c r="M31" s="132">
        <f>SUM(M3:M29)</f>
        <v>4413657.468239774</v>
      </c>
    </row>
    <row r="32" spans="1:17" x14ac:dyDescent="0.25">
      <c r="K32" s="22"/>
    </row>
    <row r="34" spans="5:6" x14ac:dyDescent="0.25">
      <c r="F34" s="44"/>
    </row>
    <row r="36" spans="5:6" x14ac:dyDescent="0.25">
      <c r="E36" s="21"/>
    </row>
  </sheetData>
  <mergeCells count="4">
    <mergeCell ref="B1:C1"/>
    <mergeCell ref="G1:H1"/>
    <mergeCell ref="I1:K1"/>
    <mergeCell ref="L1:M1"/>
  </mergeCells>
  <printOptions horizontalCentered="1" verticalCentered="1"/>
  <pageMargins left="0.19685039370078741" right="0.19685039370078741" top="0.19685039370078741" bottom="0.19685039370078741" header="0.31496062992125984" footer="0.31496062992125984"/>
  <pageSetup paperSize="9" scale="8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6"/>
  <sheetViews>
    <sheetView topLeftCell="C4" workbookViewId="0">
      <selection activeCell="G22" sqref="G22"/>
    </sheetView>
  </sheetViews>
  <sheetFormatPr baseColWidth="10" defaultRowHeight="15" x14ac:dyDescent="0.25"/>
  <cols>
    <col min="1" max="1" width="5" hidden="1" customWidth="1"/>
    <col min="2" max="2" width="8.28515625" hidden="1" customWidth="1"/>
    <col min="3" max="3" width="15.140625" customWidth="1"/>
    <col min="4" max="4" width="21.5703125" customWidth="1"/>
    <col min="5" max="5" width="5.28515625" customWidth="1"/>
    <col min="6" max="6" width="8.28515625" hidden="1" customWidth="1"/>
    <col min="7" max="7" width="7.7109375" hidden="1" customWidth="1"/>
    <col min="8" max="8" width="5.28515625" hidden="1" customWidth="1"/>
    <col min="9" max="9" width="9.5703125" hidden="1" customWidth="1"/>
    <col min="10" max="10" width="10.140625" hidden="1" customWidth="1"/>
    <col min="11" max="11" width="12.7109375" hidden="1" customWidth="1"/>
    <col min="12" max="12" width="11.28515625" hidden="1" customWidth="1"/>
    <col min="13" max="13" width="5.140625" hidden="1" customWidth="1"/>
    <col min="14" max="14" width="12.85546875" customWidth="1"/>
    <col min="15" max="15" width="11.42578125" hidden="1" customWidth="1"/>
  </cols>
  <sheetData>
    <row r="1" spans="1:19" ht="21" customHeight="1" x14ac:dyDescent="0.25">
      <c r="A1" s="202" t="s">
        <v>77</v>
      </c>
      <c r="B1" s="203"/>
      <c r="C1" s="203"/>
      <c r="D1" s="203"/>
      <c r="E1" s="203"/>
      <c r="F1" s="203"/>
      <c r="G1" s="203"/>
      <c r="H1" s="203"/>
      <c r="I1" s="203"/>
      <c r="J1" s="203"/>
      <c r="K1" s="203"/>
      <c r="L1" s="203"/>
      <c r="M1" s="203"/>
      <c r="N1" s="204"/>
      <c r="O1" s="76"/>
    </row>
    <row r="2" spans="1:19" x14ac:dyDescent="0.25">
      <c r="A2" s="77"/>
      <c r="B2" s="77"/>
      <c r="C2" s="143"/>
      <c r="D2" s="143"/>
      <c r="E2" s="143"/>
      <c r="F2" s="143"/>
      <c r="G2" s="143"/>
      <c r="H2" s="144"/>
      <c r="I2" s="143"/>
      <c r="J2" s="143"/>
      <c r="K2" s="143"/>
      <c r="L2" s="143"/>
      <c r="M2" s="143"/>
      <c r="N2" s="143"/>
      <c r="O2" s="78"/>
      <c r="P2" s="11"/>
    </row>
    <row r="3" spans="1:19" x14ac:dyDescent="0.25">
      <c r="A3" s="80"/>
      <c r="B3" s="80"/>
      <c r="C3" s="145"/>
      <c r="D3" s="145"/>
      <c r="E3" s="145"/>
      <c r="F3" s="145"/>
      <c r="G3" s="145"/>
      <c r="H3" s="144"/>
      <c r="I3" s="143"/>
      <c r="J3" s="143"/>
      <c r="K3" s="143"/>
      <c r="L3" s="143"/>
      <c r="M3" s="143"/>
      <c r="N3" s="143"/>
      <c r="O3" s="78"/>
      <c r="P3" s="11"/>
    </row>
    <row r="4" spans="1:19" x14ac:dyDescent="0.25">
      <c r="A4" s="80"/>
      <c r="B4" s="80"/>
      <c r="C4" s="145"/>
      <c r="D4" s="145"/>
      <c r="E4" s="145"/>
      <c r="F4" s="145"/>
      <c r="G4" s="145"/>
      <c r="H4" s="144"/>
      <c r="I4" s="143" t="s">
        <v>76</v>
      </c>
      <c r="J4" s="143"/>
      <c r="K4" s="143"/>
      <c r="L4" s="143"/>
      <c r="M4" s="143"/>
      <c r="N4" s="143"/>
      <c r="O4" s="78"/>
      <c r="P4" s="11"/>
    </row>
    <row r="5" spans="1:19" x14ac:dyDescent="0.25">
      <c r="A5" s="80"/>
      <c r="B5" s="80"/>
      <c r="C5" s="145"/>
      <c r="D5" s="145"/>
      <c r="E5" s="145"/>
      <c r="F5" s="145"/>
      <c r="G5" s="145"/>
      <c r="H5" s="144"/>
      <c r="I5" s="143"/>
      <c r="J5" s="143"/>
      <c r="K5" s="143"/>
      <c r="L5" s="143"/>
      <c r="M5" s="143"/>
      <c r="N5" s="143"/>
      <c r="O5" s="78"/>
      <c r="P5" s="11"/>
    </row>
    <row r="6" spans="1:19" x14ac:dyDescent="0.25">
      <c r="A6" s="80"/>
      <c r="B6" s="80"/>
      <c r="C6" s="169" t="str">
        <f>'detalle y gastos'!C7</f>
        <v>Vto. 17/04</v>
      </c>
      <c r="D6" s="28"/>
      <c r="E6" s="143"/>
      <c r="F6" s="143"/>
      <c r="G6" s="143"/>
      <c r="H6" s="144"/>
      <c r="I6" s="143"/>
      <c r="J6" s="143"/>
      <c r="K6" s="143"/>
      <c r="L6" s="143"/>
      <c r="M6" s="143"/>
      <c r="N6" s="143"/>
      <c r="O6" s="78"/>
      <c r="P6" s="11"/>
    </row>
    <row r="7" spans="1:19" ht="19.5" customHeight="1" x14ac:dyDescent="0.25">
      <c r="A7" s="81"/>
      <c r="B7" s="81" t="s">
        <v>77</v>
      </c>
      <c r="C7" s="177">
        <f>-'detalle y gastos'!C50</f>
        <v>1024355.45</v>
      </c>
      <c r="D7" s="28"/>
      <c r="E7" s="143"/>
      <c r="F7" s="143"/>
      <c r="G7" s="143"/>
      <c r="H7" s="144"/>
      <c r="I7" s="143"/>
      <c r="J7" s="143"/>
      <c r="K7" s="143"/>
      <c r="L7" s="143"/>
      <c r="M7" s="143"/>
      <c r="N7" s="143"/>
      <c r="O7" s="78"/>
      <c r="P7" s="11"/>
    </row>
    <row r="8" spans="1:19" hidden="1" x14ac:dyDescent="0.25">
      <c r="A8" s="81"/>
      <c r="B8" s="80" t="s">
        <v>77</v>
      </c>
      <c r="C8" s="85"/>
      <c r="E8" s="82"/>
      <c r="F8" s="82"/>
      <c r="G8" s="82"/>
      <c r="H8" s="83"/>
      <c r="I8" s="82"/>
      <c r="J8" s="78"/>
      <c r="K8" s="176">
        <f>C8-J38</f>
        <v>-138673.45820000005</v>
      </c>
      <c r="L8" s="206">
        <f>C7-J38</f>
        <v>885681.99179999996</v>
      </c>
      <c r="M8" s="206"/>
      <c r="N8" s="84"/>
      <c r="O8" s="78"/>
      <c r="P8" s="11"/>
    </row>
    <row r="9" spans="1:19" ht="28.5" customHeight="1" x14ac:dyDescent="0.25">
      <c r="A9" s="86" t="s">
        <v>78</v>
      </c>
      <c r="B9" s="86" t="s">
        <v>78</v>
      </c>
      <c r="C9" s="117" t="s">
        <v>79</v>
      </c>
      <c r="D9" s="118" t="s">
        <v>80</v>
      </c>
      <c r="E9" s="118" t="s">
        <v>1</v>
      </c>
      <c r="F9" s="116" t="s">
        <v>81</v>
      </c>
      <c r="G9" s="116" t="s">
        <v>82</v>
      </c>
      <c r="H9" s="119" t="s">
        <v>85</v>
      </c>
      <c r="I9" s="120" t="s">
        <v>83</v>
      </c>
      <c r="J9" s="121" t="s">
        <v>77</v>
      </c>
      <c r="K9" s="180" t="s">
        <v>84</v>
      </c>
      <c r="L9" s="180" t="s">
        <v>84</v>
      </c>
      <c r="M9" s="122" t="s">
        <v>85</v>
      </c>
      <c r="N9" s="116" t="s">
        <v>86</v>
      </c>
      <c r="P9" s="11"/>
    </row>
    <row r="10" spans="1:19" x14ac:dyDescent="0.25">
      <c r="A10" s="97">
        <v>1</v>
      </c>
      <c r="B10" s="87">
        <v>1</v>
      </c>
      <c r="C10" s="113" t="s">
        <v>32</v>
      </c>
      <c r="D10" s="99" t="s">
        <v>31</v>
      </c>
      <c r="E10" s="100">
        <v>5.1100000000000003</v>
      </c>
      <c r="F10" s="102">
        <v>5143</v>
      </c>
      <c r="G10" s="102">
        <v>5239.3</v>
      </c>
      <c r="H10" s="103">
        <f>G10-F10</f>
        <v>96.300000000000182</v>
      </c>
      <c r="I10" s="104">
        <f t="shared" ref="I10:I37" si="0">H10*7%</f>
        <v>6.741000000000013</v>
      </c>
      <c r="J10" s="114">
        <f>M10*93.787</f>
        <v>9031.6881000000176</v>
      </c>
      <c r="K10" s="114">
        <f>K8*E10%</f>
        <v>-7086.2137140200039</v>
      </c>
      <c r="L10" s="183">
        <f>L$8*E10/S$12</f>
        <v>45258.349780980003</v>
      </c>
      <c r="M10" s="105">
        <f>G10-F10</f>
        <v>96.300000000000182</v>
      </c>
      <c r="N10" s="103">
        <f>J10+L10</f>
        <v>54290.037880980017</v>
      </c>
      <c r="O10" s="96">
        <f>N10+'prorrateo '!M3</f>
        <v>229728.64816695999</v>
      </c>
      <c r="P10" s="11"/>
    </row>
    <row r="11" spans="1:19" x14ac:dyDescent="0.25">
      <c r="A11" s="98">
        <v>2</v>
      </c>
      <c r="B11" s="88">
        <v>2</v>
      </c>
      <c r="C11" s="113" t="s">
        <v>34</v>
      </c>
      <c r="D11" s="99" t="s">
        <v>33</v>
      </c>
      <c r="E11" s="100">
        <v>5.09</v>
      </c>
      <c r="F11" s="102">
        <v>4548.1000000000004</v>
      </c>
      <c r="G11" s="102">
        <v>4550</v>
      </c>
      <c r="H11" s="103">
        <f t="shared" ref="H11:H27" si="1">G11-F11</f>
        <v>1.8999999999996362</v>
      </c>
      <c r="I11" s="104">
        <f t="shared" si="0"/>
        <v>0.13299999999997456</v>
      </c>
      <c r="J11" s="114">
        <f t="shared" ref="J11:J26" si="2">M11*93.787</f>
        <v>178.1952999999659</v>
      </c>
      <c r="K11" s="114">
        <f>K8*E11%</f>
        <v>-7058.4790223800028</v>
      </c>
      <c r="L11" s="183">
        <f t="shared" ref="L11:L36" si="3">L$8*E11/S$12</f>
        <v>45081.213382620001</v>
      </c>
      <c r="M11" s="105">
        <f t="shared" ref="M11:M26" si="4">G11-F11</f>
        <v>1.8999999999996362</v>
      </c>
      <c r="N11" s="103">
        <f t="shared" ref="N11:N25" si="5">J11+L11</f>
        <v>45259.408682619964</v>
      </c>
      <c r="O11" s="96">
        <f>N11+'prorrateo '!M4</f>
        <v>528648.89694832219</v>
      </c>
      <c r="P11" s="11"/>
    </row>
    <row r="12" spans="1:19" ht="16.5" customHeight="1" x14ac:dyDescent="0.25">
      <c r="A12" s="97">
        <v>3</v>
      </c>
      <c r="B12" s="88">
        <v>3</v>
      </c>
      <c r="C12" s="113" t="s">
        <v>36</v>
      </c>
      <c r="D12" s="99" t="s">
        <v>35</v>
      </c>
      <c r="E12" s="100">
        <v>5.04</v>
      </c>
      <c r="F12" s="102">
        <v>2710.5</v>
      </c>
      <c r="G12" s="102">
        <v>2808.5</v>
      </c>
      <c r="H12" s="103">
        <f t="shared" si="1"/>
        <v>98</v>
      </c>
      <c r="I12" s="104">
        <f t="shared" si="0"/>
        <v>6.86</v>
      </c>
      <c r="J12" s="114">
        <f t="shared" si="2"/>
        <v>9191.1260000000002</v>
      </c>
      <c r="K12" s="114">
        <f>K8*E12%</f>
        <v>-6989.1422932800024</v>
      </c>
      <c r="L12" s="183">
        <f t="shared" si="3"/>
        <v>44638.372386719995</v>
      </c>
      <c r="M12" s="105">
        <f>G12-F12</f>
        <v>98</v>
      </c>
      <c r="N12" s="103">
        <f t="shared" si="5"/>
        <v>53829.498386719992</v>
      </c>
      <c r="O12" s="96">
        <f>N12+'prorrateo '!M5</f>
        <v>227147.9944623287</v>
      </c>
      <c r="P12" s="11"/>
      <c r="S12">
        <v>100</v>
      </c>
    </row>
    <row r="13" spans="1:19" x14ac:dyDescent="0.25">
      <c r="A13" s="97">
        <v>4</v>
      </c>
      <c r="B13" s="88" t="s">
        <v>87</v>
      </c>
      <c r="C13" s="146" t="s">
        <v>38</v>
      </c>
      <c r="D13" s="99" t="s">
        <v>37</v>
      </c>
      <c r="E13" s="147">
        <v>5.21</v>
      </c>
      <c r="F13" s="102">
        <v>1635.6</v>
      </c>
      <c r="G13" s="102">
        <v>1693.3</v>
      </c>
      <c r="H13" s="103">
        <f t="shared" si="1"/>
        <v>57.700000000000045</v>
      </c>
      <c r="I13" s="148">
        <f t="shared" si="0"/>
        <v>4.0390000000000033</v>
      </c>
      <c r="J13" s="114">
        <f t="shared" si="2"/>
        <v>5411.5099000000046</v>
      </c>
      <c r="K13" s="184">
        <f>K8*E13%</f>
        <v>-7224.8871722200029</v>
      </c>
      <c r="L13" s="183">
        <f t="shared" si="3"/>
        <v>46144.031772779999</v>
      </c>
      <c r="M13" s="149">
        <f t="shared" si="4"/>
        <v>57.700000000000045</v>
      </c>
      <c r="N13" s="103">
        <f t="shared" si="5"/>
        <v>51555.541672780004</v>
      </c>
      <c r="O13" s="96">
        <f>N13+'prorrateo '!M6</f>
        <v>226630.46930056001</v>
      </c>
      <c r="P13" s="11"/>
    </row>
    <row r="14" spans="1:19" x14ac:dyDescent="0.25">
      <c r="A14" s="97">
        <v>6</v>
      </c>
      <c r="B14" s="88">
        <v>6</v>
      </c>
      <c r="C14" s="113" t="s">
        <v>39</v>
      </c>
      <c r="D14" s="99" t="s">
        <v>35</v>
      </c>
      <c r="E14" s="100">
        <v>5.1100000000000003</v>
      </c>
      <c r="F14" s="102">
        <v>2641.2</v>
      </c>
      <c r="G14" s="102">
        <v>2764.8</v>
      </c>
      <c r="H14" s="103">
        <f t="shared" si="1"/>
        <v>123.60000000000036</v>
      </c>
      <c r="I14" s="104">
        <f t="shared" si="0"/>
        <v>8.6520000000000259</v>
      </c>
      <c r="J14" s="114">
        <f t="shared" si="2"/>
        <v>11592.073200000035</v>
      </c>
      <c r="K14" s="114">
        <f>K8*E14%</f>
        <v>-7086.2137140200039</v>
      </c>
      <c r="L14" s="183">
        <f t="shared" si="3"/>
        <v>45258.349780980003</v>
      </c>
      <c r="M14" s="105">
        <f t="shared" si="4"/>
        <v>123.60000000000036</v>
      </c>
      <c r="N14" s="103">
        <f t="shared" si="5"/>
        <v>56850.422980980038</v>
      </c>
      <c r="O14" s="96">
        <f>N14+'prorrateo '!M7</f>
        <v>234849.4155838601</v>
      </c>
      <c r="P14" s="11"/>
    </row>
    <row r="15" spans="1:19" x14ac:dyDescent="0.25">
      <c r="A15" s="97">
        <v>7</v>
      </c>
      <c r="B15" s="88">
        <v>7</v>
      </c>
      <c r="C15" s="113" t="s">
        <v>41</v>
      </c>
      <c r="D15" s="99" t="s">
        <v>40</v>
      </c>
      <c r="E15" s="100">
        <v>5.09</v>
      </c>
      <c r="F15" s="102">
        <v>3881.5</v>
      </c>
      <c r="G15" s="102">
        <v>3961.7</v>
      </c>
      <c r="H15" s="103">
        <f t="shared" si="1"/>
        <v>80.199999999999818</v>
      </c>
      <c r="I15" s="104">
        <f t="shared" si="0"/>
        <v>5.6139999999999874</v>
      </c>
      <c r="J15" s="114">
        <f t="shared" si="2"/>
        <v>7521.7173999999832</v>
      </c>
      <c r="K15" s="114">
        <f>K8*E15%</f>
        <v>-7058.4790223800028</v>
      </c>
      <c r="L15" s="183">
        <f t="shared" si="3"/>
        <v>45081.213382620001</v>
      </c>
      <c r="M15" s="105">
        <f t="shared" si="4"/>
        <v>80.199999999999818</v>
      </c>
      <c r="N15" s="103">
        <f t="shared" si="5"/>
        <v>52602.93078261998</v>
      </c>
      <c r="O15" s="96">
        <f>N15+'prorrateo '!M8</f>
        <v>225880.27126023994</v>
      </c>
    </row>
    <row r="16" spans="1:19" x14ac:dyDescent="0.25">
      <c r="A16" s="97">
        <v>8</v>
      </c>
      <c r="B16" s="88">
        <v>8</v>
      </c>
      <c r="C16" s="113" t="s">
        <v>43</v>
      </c>
      <c r="D16" s="99" t="s">
        <v>42</v>
      </c>
      <c r="E16" s="100">
        <v>5.1100000000000003</v>
      </c>
      <c r="F16" s="102">
        <v>2973.6</v>
      </c>
      <c r="G16" s="102">
        <v>3055.6</v>
      </c>
      <c r="H16" s="103">
        <f t="shared" si="1"/>
        <v>82</v>
      </c>
      <c r="I16" s="104">
        <f t="shared" si="0"/>
        <v>5.74</v>
      </c>
      <c r="J16" s="114">
        <f t="shared" si="2"/>
        <v>7690.5340000000006</v>
      </c>
      <c r="K16" s="114">
        <f>K8*E16%</f>
        <v>-7086.2137140200039</v>
      </c>
      <c r="L16" s="183">
        <f t="shared" si="3"/>
        <v>45258.349780980003</v>
      </c>
      <c r="M16" s="105">
        <f t="shared" si="4"/>
        <v>82</v>
      </c>
      <c r="N16" s="103">
        <f t="shared" si="5"/>
        <v>52948.883780980002</v>
      </c>
      <c r="O16" s="96">
        <f>N16+'prorrateo '!M9</f>
        <v>227046.33996696002</v>
      </c>
    </row>
    <row r="17" spans="1:15" x14ac:dyDescent="0.25">
      <c r="A17" s="97">
        <v>9</v>
      </c>
      <c r="B17" s="88">
        <v>9</v>
      </c>
      <c r="C17" s="113" t="s">
        <v>45</v>
      </c>
      <c r="D17" s="99" t="s">
        <v>44</v>
      </c>
      <c r="E17" s="100">
        <v>5.09</v>
      </c>
      <c r="F17" s="102">
        <v>3501</v>
      </c>
      <c r="G17" s="102">
        <v>3516.8</v>
      </c>
      <c r="H17" s="103">
        <f t="shared" si="1"/>
        <v>15.800000000000182</v>
      </c>
      <c r="I17" s="104">
        <f t="shared" si="0"/>
        <v>1.1060000000000128</v>
      </c>
      <c r="J17" s="114">
        <f t="shared" si="2"/>
        <v>1481.8346000000172</v>
      </c>
      <c r="K17" s="114">
        <f>K8*E17%</f>
        <v>-7058.4790223800028</v>
      </c>
      <c r="L17" s="183">
        <f t="shared" si="3"/>
        <v>45081.213382620001</v>
      </c>
      <c r="M17" s="105">
        <f t="shared" si="4"/>
        <v>15.800000000000182</v>
      </c>
      <c r="N17" s="103">
        <f t="shared" si="5"/>
        <v>46563.047982620017</v>
      </c>
      <c r="O17" s="96">
        <f>N17+'prorrateo '!M10</f>
        <v>213800.31021410006</v>
      </c>
    </row>
    <row r="18" spans="1:15" x14ac:dyDescent="0.25">
      <c r="A18" s="97">
        <v>10</v>
      </c>
      <c r="B18" s="88">
        <v>10</v>
      </c>
      <c r="C18" s="113" t="s">
        <v>46</v>
      </c>
      <c r="D18" s="99" t="s">
        <v>94</v>
      </c>
      <c r="E18" s="100">
        <v>5.04</v>
      </c>
      <c r="F18" s="102">
        <v>2722.4</v>
      </c>
      <c r="G18" s="102">
        <v>2783.2</v>
      </c>
      <c r="H18" s="103">
        <f t="shared" si="1"/>
        <v>60.799999999999727</v>
      </c>
      <c r="I18" s="104">
        <f t="shared" si="0"/>
        <v>4.2559999999999816</v>
      </c>
      <c r="J18" s="114">
        <f t="shared" si="2"/>
        <v>5702.2495999999746</v>
      </c>
      <c r="K18" s="114">
        <f>K8*E18%</f>
        <v>-6989.1422932800024</v>
      </c>
      <c r="L18" s="183">
        <f t="shared" si="3"/>
        <v>44638.372386719995</v>
      </c>
      <c r="M18" s="105">
        <f t="shared" si="4"/>
        <v>60.799999999999727</v>
      </c>
      <c r="N18" s="103">
        <f t="shared" si="5"/>
        <v>50340.621986719969</v>
      </c>
      <c r="O18" s="96">
        <f>N18+'prorrateo '!M11</f>
        <v>220170.24689343991</v>
      </c>
    </row>
    <row r="19" spans="1:15" ht="15" customHeight="1" x14ac:dyDescent="0.25">
      <c r="A19" s="97">
        <v>11</v>
      </c>
      <c r="B19" s="88">
        <v>11</v>
      </c>
      <c r="C19" s="113" t="s">
        <v>48</v>
      </c>
      <c r="D19" s="106" t="s">
        <v>47</v>
      </c>
      <c r="E19" s="100">
        <v>5.21</v>
      </c>
      <c r="F19" s="102">
        <v>5568.7</v>
      </c>
      <c r="G19" s="102">
        <v>5747.8</v>
      </c>
      <c r="H19" s="103">
        <f t="shared" si="1"/>
        <v>179.10000000000036</v>
      </c>
      <c r="I19" s="104">
        <f t="shared" si="0"/>
        <v>12.537000000000027</v>
      </c>
      <c r="J19" s="114">
        <f t="shared" si="2"/>
        <v>16797.251700000033</v>
      </c>
      <c r="K19" s="114">
        <f>K8*E19%</f>
        <v>-7224.8871722200029</v>
      </c>
      <c r="L19" s="183">
        <f t="shared" si="3"/>
        <v>46144.031772779999</v>
      </c>
      <c r="M19" s="105">
        <f>G19-F19</f>
        <v>179.10000000000036</v>
      </c>
      <c r="N19" s="103">
        <f t="shared" si="5"/>
        <v>62941.283472780036</v>
      </c>
      <c r="O19" s="96">
        <f>N19+'prorrateo '!M12</f>
        <v>249401.95290056005</v>
      </c>
    </row>
    <row r="20" spans="1:15" ht="15" customHeight="1" x14ac:dyDescent="0.25">
      <c r="A20" s="97">
        <v>12</v>
      </c>
      <c r="B20" s="88">
        <v>12</v>
      </c>
      <c r="C20" s="113" t="s">
        <v>51</v>
      </c>
      <c r="D20" s="106" t="s">
        <v>49</v>
      </c>
      <c r="E20" s="100">
        <v>5.1100000000000003</v>
      </c>
      <c r="F20" s="102">
        <v>7045.5</v>
      </c>
      <c r="G20" s="102">
        <v>7204.2</v>
      </c>
      <c r="H20" s="103">
        <f t="shared" si="1"/>
        <v>158.69999999999982</v>
      </c>
      <c r="I20" s="104">
        <f t="shared" si="0"/>
        <v>11.108999999999988</v>
      </c>
      <c r="J20" s="114">
        <f t="shared" si="2"/>
        <v>14883.996899999984</v>
      </c>
      <c r="K20" s="114">
        <f>K8*E20%</f>
        <v>-7086.2137140200039</v>
      </c>
      <c r="L20" s="183">
        <f t="shared" si="3"/>
        <v>45258.349780980003</v>
      </c>
      <c r="M20" s="105">
        <f t="shared" si="4"/>
        <v>158.69999999999982</v>
      </c>
      <c r="N20" s="103">
        <f t="shared" si="5"/>
        <v>60142.346680979987</v>
      </c>
      <c r="O20" s="96">
        <f>N20+'prorrateo '!M13</f>
        <v>241433.36632580764</v>
      </c>
    </row>
    <row r="21" spans="1:15" x14ac:dyDescent="0.25">
      <c r="A21" s="97">
        <v>13</v>
      </c>
      <c r="B21" s="88">
        <v>13</v>
      </c>
      <c r="C21" s="113" t="s">
        <v>52</v>
      </c>
      <c r="D21" s="99" t="s">
        <v>49</v>
      </c>
      <c r="E21" s="100">
        <v>5.09</v>
      </c>
      <c r="F21" s="102">
        <v>4426.3</v>
      </c>
      <c r="G21" s="102">
        <v>4480.1000000000004</v>
      </c>
      <c r="H21" s="103">
        <f t="shared" si="1"/>
        <v>53.800000000000182</v>
      </c>
      <c r="I21" s="104">
        <f t="shared" si="0"/>
        <v>3.7660000000000129</v>
      </c>
      <c r="J21" s="114">
        <f t="shared" si="2"/>
        <v>5045.7406000000174</v>
      </c>
      <c r="K21" s="114">
        <f>K8*E21%</f>
        <v>-7058.4790223800028</v>
      </c>
      <c r="L21" s="183">
        <f t="shared" si="3"/>
        <v>45081.213382620001</v>
      </c>
      <c r="M21" s="105">
        <f t="shared" si="4"/>
        <v>53.800000000000182</v>
      </c>
      <c r="N21" s="103">
        <f t="shared" si="5"/>
        <v>50126.95398262002</v>
      </c>
      <c r="O21" s="96">
        <f>N21+'prorrateo '!M14</f>
        <v>408911.39814886893</v>
      </c>
    </row>
    <row r="22" spans="1:15" x14ac:dyDescent="0.25">
      <c r="A22" s="97">
        <v>14</v>
      </c>
      <c r="B22" s="88">
        <v>14</v>
      </c>
      <c r="C22" s="113" t="s">
        <v>55</v>
      </c>
      <c r="D22" s="99" t="s">
        <v>53</v>
      </c>
      <c r="E22" s="100">
        <v>5.04</v>
      </c>
      <c r="F22" s="102">
        <v>3145.8</v>
      </c>
      <c r="G22" s="102">
        <v>3264.9</v>
      </c>
      <c r="H22" s="103">
        <f t="shared" si="1"/>
        <v>119.09999999999991</v>
      </c>
      <c r="I22" s="104">
        <f t="shared" si="0"/>
        <v>8.3369999999999944</v>
      </c>
      <c r="J22" s="114">
        <f t="shared" si="2"/>
        <v>11170.031699999992</v>
      </c>
      <c r="K22" s="114">
        <f>K8*E22%</f>
        <v>-6989.1422932800024</v>
      </c>
      <c r="L22" s="183">
        <f t="shared" si="3"/>
        <v>44638.372386719995</v>
      </c>
      <c r="M22" s="105">
        <f t="shared" si="4"/>
        <v>119.09999999999991</v>
      </c>
      <c r="N22" s="103">
        <f t="shared" si="5"/>
        <v>55808.404086719987</v>
      </c>
      <c r="O22" s="96">
        <f>N22+'prorrateo '!M15</f>
        <v>270168.46474105585</v>
      </c>
    </row>
    <row r="23" spans="1:15" x14ac:dyDescent="0.25">
      <c r="A23" s="97">
        <v>15</v>
      </c>
      <c r="B23" s="88">
        <v>15</v>
      </c>
      <c r="C23" s="113" t="s">
        <v>58</v>
      </c>
      <c r="D23" s="99" t="s">
        <v>56</v>
      </c>
      <c r="E23" s="100">
        <v>5.21</v>
      </c>
      <c r="F23" s="102">
        <v>5835.3</v>
      </c>
      <c r="G23" s="102">
        <v>5974.2</v>
      </c>
      <c r="H23" s="103">
        <f t="shared" si="1"/>
        <v>138.89999999999964</v>
      </c>
      <c r="I23" s="104">
        <f t="shared" si="0"/>
        <v>9.7229999999999759</v>
      </c>
      <c r="J23" s="114">
        <f t="shared" si="2"/>
        <v>13027.014299999966</v>
      </c>
      <c r="K23" s="114">
        <f>K8*E23%</f>
        <v>-7224.8871722200029</v>
      </c>
      <c r="L23" s="183">
        <f t="shared" si="3"/>
        <v>46144.031772779999</v>
      </c>
      <c r="M23" s="105">
        <f t="shared" si="4"/>
        <v>138.89999999999964</v>
      </c>
      <c r="N23" s="103">
        <f t="shared" si="5"/>
        <v>59171.046072779965</v>
      </c>
      <c r="O23" s="96">
        <f>N23+'prorrateo '!M16</f>
        <v>241801.16664784355</v>
      </c>
    </row>
    <row r="24" spans="1:15" x14ac:dyDescent="0.25">
      <c r="A24" s="97">
        <v>16</v>
      </c>
      <c r="B24" s="88">
        <v>16</v>
      </c>
      <c r="C24" s="113" t="s">
        <v>60</v>
      </c>
      <c r="D24" s="99" t="s">
        <v>59</v>
      </c>
      <c r="E24" s="100">
        <v>5.04</v>
      </c>
      <c r="F24" s="102">
        <v>2020.8</v>
      </c>
      <c r="G24" s="102">
        <v>2042.8</v>
      </c>
      <c r="H24" s="103">
        <f t="shared" si="1"/>
        <v>22</v>
      </c>
      <c r="I24" s="104">
        <f t="shared" si="0"/>
        <v>1.54</v>
      </c>
      <c r="J24" s="114">
        <f t="shared" si="2"/>
        <v>2063.3140000000003</v>
      </c>
      <c r="K24" s="114">
        <f>K8*E24%</f>
        <v>-6989.1422932800024</v>
      </c>
      <c r="L24" s="183">
        <f t="shared" si="3"/>
        <v>44638.372386719995</v>
      </c>
      <c r="M24" s="105">
        <f t="shared" si="4"/>
        <v>22</v>
      </c>
      <c r="N24" s="103">
        <f t="shared" si="5"/>
        <v>46701.686386719994</v>
      </c>
      <c r="O24" s="96">
        <f>N24+'prorrateo '!M17</f>
        <v>212892.37569343997</v>
      </c>
    </row>
    <row r="25" spans="1:15" x14ac:dyDescent="0.25">
      <c r="A25" s="97">
        <v>17</v>
      </c>
      <c r="B25" s="88">
        <v>17</v>
      </c>
      <c r="C25" s="113" t="s">
        <v>62</v>
      </c>
      <c r="D25" s="99" t="s">
        <v>61</v>
      </c>
      <c r="E25" s="100">
        <v>5.21</v>
      </c>
      <c r="F25" s="102">
        <v>2317.3000000000002</v>
      </c>
      <c r="G25" s="102">
        <v>2383.3000000000002</v>
      </c>
      <c r="H25" s="103">
        <f t="shared" si="1"/>
        <v>66</v>
      </c>
      <c r="I25" s="104">
        <f t="shared" si="0"/>
        <v>4.62</v>
      </c>
      <c r="J25" s="114">
        <f t="shared" si="2"/>
        <v>6189.942</v>
      </c>
      <c r="K25" s="114">
        <f>K8*E25%</f>
        <v>-7224.8871722200029</v>
      </c>
      <c r="L25" s="183">
        <f t="shared" si="3"/>
        <v>46144.031772779999</v>
      </c>
      <c r="M25" s="105">
        <f t="shared" si="4"/>
        <v>66</v>
      </c>
      <c r="N25" s="103">
        <f t="shared" si="5"/>
        <v>52333.973772780002</v>
      </c>
      <c r="O25" s="96">
        <f>N25+'prorrateo '!M18</f>
        <v>228187.33350055999</v>
      </c>
    </row>
    <row r="26" spans="1:15" x14ac:dyDescent="0.25">
      <c r="A26" s="97">
        <v>18</v>
      </c>
      <c r="B26" s="88">
        <v>18</v>
      </c>
      <c r="C26" s="113" t="s">
        <v>64</v>
      </c>
      <c r="D26" s="99" t="s">
        <v>63</v>
      </c>
      <c r="E26" s="100">
        <v>7.4</v>
      </c>
      <c r="F26" s="102">
        <v>10444</v>
      </c>
      <c r="G26" s="102">
        <v>10568.7</v>
      </c>
      <c r="H26" s="103">
        <f t="shared" si="1"/>
        <v>124.70000000000073</v>
      </c>
      <c r="I26" s="104">
        <f t="shared" si="0"/>
        <v>8.7290000000000525</v>
      </c>
      <c r="J26" s="114">
        <f t="shared" si="2"/>
        <v>11695.238900000069</v>
      </c>
      <c r="K26" s="114">
        <f>K8*E26%</f>
        <v>-10261.835906800005</v>
      </c>
      <c r="L26" s="183">
        <f t="shared" si="3"/>
        <v>65540.467393200001</v>
      </c>
      <c r="M26" s="105">
        <f t="shared" si="4"/>
        <v>124.70000000000073</v>
      </c>
      <c r="N26" s="103">
        <f>J26+L26</f>
        <v>77235.70629320007</v>
      </c>
      <c r="O26" s="96">
        <f>N26+'prorrateo '!M19</f>
        <v>329911.61528640019</v>
      </c>
    </row>
    <row r="27" spans="1:15" ht="14.25" customHeight="1" x14ac:dyDescent="0.25">
      <c r="A27" s="187">
        <v>19</v>
      </c>
      <c r="B27" s="188">
        <v>19</v>
      </c>
      <c r="C27" s="150" t="s">
        <v>65</v>
      </c>
      <c r="D27" s="191"/>
      <c r="E27" s="192">
        <v>1.08</v>
      </c>
      <c r="F27" s="102"/>
      <c r="G27" s="102"/>
      <c r="H27" s="103">
        <f t="shared" si="1"/>
        <v>0</v>
      </c>
      <c r="I27" s="104">
        <f t="shared" si="0"/>
        <v>0</v>
      </c>
      <c r="J27" s="114"/>
      <c r="K27" s="114"/>
      <c r="L27" s="183">
        <f t="shared" si="3"/>
        <v>9565.3655114400008</v>
      </c>
      <c r="M27" s="105">
        <v>0</v>
      </c>
      <c r="N27" s="103">
        <f t="shared" ref="N27:N37" si="6">J27+L27</f>
        <v>9565.3655114400008</v>
      </c>
      <c r="O27" s="96">
        <f>N27+'prorrateo '!M20</f>
        <v>480717.83527370403</v>
      </c>
    </row>
    <row r="28" spans="1:15" x14ac:dyDescent="0.25">
      <c r="A28" s="97">
        <v>20</v>
      </c>
      <c r="B28" s="89"/>
      <c r="C28" s="150" t="s">
        <v>66</v>
      </c>
      <c r="D28" s="101"/>
      <c r="E28" s="101">
        <v>1.08</v>
      </c>
      <c r="F28" s="101"/>
      <c r="G28" s="101"/>
      <c r="H28" s="103">
        <v>0</v>
      </c>
      <c r="I28" s="151">
        <f t="shared" si="0"/>
        <v>0</v>
      </c>
      <c r="J28" s="152"/>
      <c r="K28" s="114"/>
      <c r="L28" s="183">
        <f t="shared" si="3"/>
        <v>9565.3655114400008</v>
      </c>
      <c r="M28" s="105">
        <v>0</v>
      </c>
      <c r="N28" s="103">
        <f t="shared" si="6"/>
        <v>9565.3655114400008</v>
      </c>
      <c r="O28" s="96">
        <f>N28+'prorrateo '!M21</f>
        <v>44735.517362880004</v>
      </c>
    </row>
    <row r="29" spans="1:15" x14ac:dyDescent="0.25">
      <c r="A29" s="97"/>
      <c r="B29" s="89"/>
      <c r="C29" s="150" t="s">
        <v>67</v>
      </c>
      <c r="D29" s="101"/>
      <c r="E29" s="101">
        <v>1.08</v>
      </c>
      <c r="F29" s="101"/>
      <c r="G29" s="101"/>
      <c r="H29" s="103"/>
      <c r="I29" s="151"/>
      <c r="J29" s="152"/>
      <c r="K29" s="114"/>
      <c r="L29" s="183">
        <f t="shared" si="3"/>
        <v>9565.3655114400008</v>
      </c>
      <c r="M29" s="105">
        <v>0</v>
      </c>
      <c r="N29" s="103">
        <f t="shared" si="6"/>
        <v>9565.3655114400008</v>
      </c>
      <c r="O29" s="96">
        <f>N29+'prorrateo '!M22</f>
        <v>44735.517362880004</v>
      </c>
    </row>
    <row r="30" spans="1:15" x14ac:dyDescent="0.25">
      <c r="A30" s="97"/>
      <c r="B30" s="89"/>
      <c r="C30" s="150" t="s">
        <v>68</v>
      </c>
      <c r="D30" s="101"/>
      <c r="E30" s="101">
        <v>1.08</v>
      </c>
      <c r="F30" s="101"/>
      <c r="G30" s="101"/>
      <c r="H30" s="103"/>
      <c r="I30" s="151"/>
      <c r="J30" s="152"/>
      <c r="K30" s="114"/>
      <c r="L30" s="183">
        <f t="shared" si="3"/>
        <v>9565.3655114400008</v>
      </c>
      <c r="M30" s="105">
        <v>0</v>
      </c>
      <c r="N30" s="103">
        <f t="shared" si="6"/>
        <v>9565.3655114400008</v>
      </c>
      <c r="O30" s="96">
        <f>N30+'prorrateo '!M23</f>
        <v>44735.517362880004</v>
      </c>
    </row>
    <row r="31" spans="1:15" x14ac:dyDescent="0.25">
      <c r="A31" s="97"/>
      <c r="B31" s="89"/>
      <c r="C31" s="150" t="s">
        <v>69</v>
      </c>
      <c r="D31" s="101" t="s">
        <v>49</v>
      </c>
      <c r="E31" s="101">
        <v>1.08</v>
      </c>
      <c r="F31" s="101"/>
      <c r="G31" s="101"/>
      <c r="H31" s="103"/>
      <c r="I31" s="151"/>
      <c r="J31" s="152"/>
      <c r="K31" s="114"/>
      <c r="L31" s="183">
        <f t="shared" si="3"/>
        <v>9565.3655114400008</v>
      </c>
      <c r="M31" s="105">
        <v>0</v>
      </c>
      <c r="N31" s="103">
        <f t="shared" si="6"/>
        <v>9565.3655114400008</v>
      </c>
      <c r="O31" s="96">
        <f>N31+'prorrateo '!M24</f>
        <v>44735.517362880004</v>
      </c>
    </row>
    <row r="32" spans="1:15" x14ac:dyDescent="0.25">
      <c r="A32" s="98"/>
      <c r="B32" s="168"/>
      <c r="C32" s="150" t="s">
        <v>70</v>
      </c>
      <c r="D32" s="101" t="s">
        <v>49</v>
      </c>
      <c r="E32" s="101">
        <v>1.08</v>
      </c>
      <c r="F32" s="101"/>
      <c r="G32" s="101"/>
      <c r="H32" s="103"/>
      <c r="I32" s="151"/>
      <c r="J32" s="152"/>
      <c r="K32" s="114"/>
      <c r="L32" s="183">
        <f t="shared" si="3"/>
        <v>9565.3655114400008</v>
      </c>
      <c r="M32" s="105">
        <v>0</v>
      </c>
      <c r="N32" s="103">
        <f t="shared" si="6"/>
        <v>9565.3655114400008</v>
      </c>
      <c r="O32" s="96">
        <f>N32+'prorrateo '!M25</f>
        <v>82800.678021724802</v>
      </c>
    </row>
    <row r="33" spans="1:16" x14ac:dyDescent="0.25">
      <c r="A33" s="97"/>
      <c r="B33" s="89"/>
      <c r="C33" s="127" t="s">
        <v>71</v>
      </c>
      <c r="D33" s="107" t="s">
        <v>63</v>
      </c>
      <c r="E33" s="107">
        <v>1.08</v>
      </c>
      <c r="F33" s="107"/>
      <c r="G33" s="107"/>
      <c r="H33" s="108"/>
      <c r="I33" s="109"/>
      <c r="J33" s="128"/>
      <c r="K33" s="115"/>
      <c r="L33" s="183">
        <f t="shared" si="3"/>
        <v>9565.3655114400008</v>
      </c>
      <c r="M33" s="105">
        <v>0</v>
      </c>
      <c r="N33" s="103">
        <f t="shared" si="6"/>
        <v>9565.3655114400008</v>
      </c>
      <c r="O33" s="96">
        <f>N33+'prorrateo '!M26</f>
        <v>44735.517362880004</v>
      </c>
    </row>
    <row r="34" spans="1:16" x14ac:dyDescent="0.25">
      <c r="A34" s="97"/>
      <c r="B34" s="89"/>
      <c r="C34" s="127" t="s">
        <v>72</v>
      </c>
      <c r="D34" s="107" t="s">
        <v>63</v>
      </c>
      <c r="E34" s="107">
        <v>1.08</v>
      </c>
      <c r="F34" s="107"/>
      <c r="G34" s="107"/>
      <c r="H34" s="108"/>
      <c r="I34" s="109"/>
      <c r="J34" s="128"/>
      <c r="K34" s="115"/>
      <c r="L34" s="183">
        <f t="shared" si="3"/>
        <v>9565.3655114400008</v>
      </c>
      <c r="M34" s="105">
        <v>0</v>
      </c>
      <c r="N34" s="103">
        <f t="shared" si="6"/>
        <v>9565.3655114400008</v>
      </c>
      <c r="O34" s="96">
        <f>N34+'prorrateo '!M27</f>
        <v>44735.517362880004</v>
      </c>
    </row>
    <row r="35" spans="1:16" x14ac:dyDescent="0.25">
      <c r="A35" s="97">
        <v>21</v>
      </c>
      <c r="B35" s="89"/>
      <c r="C35" s="150" t="s">
        <v>73</v>
      </c>
      <c r="D35" s="101"/>
      <c r="E35" s="101">
        <v>1.08</v>
      </c>
      <c r="F35" s="101"/>
      <c r="G35" s="101"/>
      <c r="H35" s="103">
        <v>0</v>
      </c>
      <c r="I35" s="151">
        <f t="shared" si="0"/>
        <v>0</v>
      </c>
      <c r="J35" s="153"/>
      <c r="K35" s="114"/>
      <c r="L35" s="183">
        <f t="shared" si="3"/>
        <v>9565.3655114400008</v>
      </c>
      <c r="M35" s="105">
        <v>0</v>
      </c>
      <c r="N35" s="103">
        <f t="shared" si="6"/>
        <v>9565.3655114400008</v>
      </c>
      <c r="O35" s="96">
        <f>N35+'prorrateo '!M28</f>
        <v>44735.517362880004</v>
      </c>
    </row>
    <row r="36" spans="1:16" x14ac:dyDescent="0.25">
      <c r="A36" s="97">
        <v>22</v>
      </c>
      <c r="B36" s="89"/>
      <c r="C36" s="150" t="s">
        <v>74</v>
      </c>
      <c r="D36" s="101" t="s">
        <v>53</v>
      </c>
      <c r="E36" s="101">
        <v>1.08</v>
      </c>
      <c r="F36" s="101"/>
      <c r="G36" s="101"/>
      <c r="H36" s="103">
        <v>0</v>
      </c>
      <c r="I36" s="151">
        <f t="shared" si="0"/>
        <v>0</v>
      </c>
      <c r="J36" s="153"/>
      <c r="K36" s="114"/>
      <c r="L36" s="183">
        <f t="shared" si="3"/>
        <v>9565.3655114400008</v>
      </c>
      <c r="M36" s="105">
        <v>0</v>
      </c>
      <c r="N36" s="103">
        <f t="shared" si="6"/>
        <v>9565.3655114400008</v>
      </c>
      <c r="O36" s="96">
        <f>N36+'prorrateo '!M29</f>
        <v>44735.517362880004</v>
      </c>
    </row>
    <row r="37" spans="1:16" x14ac:dyDescent="0.25">
      <c r="A37" s="97">
        <v>23</v>
      </c>
      <c r="B37" s="89"/>
      <c r="C37" s="107"/>
      <c r="D37" s="107"/>
      <c r="E37" s="107"/>
      <c r="F37" s="107"/>
      <c r="G37" s="107"/>
      <c r="H37" s="108">
        <v>0</v>
      </c>
      <c r="I37" s="109">
        <f t="shared" si="0"/>
        <v>0</v>
      </c>
      <c r="J37" s="129"/>
      <c r="K37" s="181"/>
      <c r="L37" s="182">
        <v>0</v>
      </c>
      <c r="M37" s="124">
        <v>0</v>
      </c>
      <c r="N37" s="103">
        <f t="shared" si="6"/>
        <v>0</v>
      </c>
    </row>
    <row r="38" spans="1:16" ht="14.25" customHeight="1" x14ac:dyDescent="0.25">
      <c r="A38" s="97">
        <v>24</v>
      </c>
      <c r="B38" s="89"/>
      <c r="C38" s="107"/>
      <c r="D38" s="107"/>
      <c r="E38" s="125"/>
      <c r="F38" s="107"/>
      <c r="G38" s="107"/>
      <c r="H38" s="108"/>
      <c r="I38" s="110"/>
      <c r="J38" s="115">
        <f>SUM(J10:J37)</f>
        <v>138673.45820000005</v>
      </c>
      <c r="K38" s="111"/>
      <c r="L38" s="111">
        <f>SUM(L10:L37)</f>
        <v>885681.99179999984</v>
      </c>
      <c r="M38" s="112"/>
      <c r="N38" s="108">
        <f>SUM(N10:N37)</f>
        <v>1024355.4499999997</v>
      </c>
      <c r="P38" s="44"/>
    </row>
    <row r="39" spans="1:16" hidden="1" x14ac:dyDescent="0.25">
      <c r="A39" s="78"/>
      <c r="C39" s="90"/>
      <c r="D39" s="91"/>
      <c r="E39" s="131">
        <f>SUM(E10:E38)</f>
        <v>99.999999999999986</v>
      </c>
      <c r="F39" s="91"/>
      <c r="G39" s="91"/>
      <c r="H39" s="92"/>
      <c r="I39" s="93">
        <f>SUM(I10:I38)</f>
        <v>103.50200000000005</v>
      </c>
      <c r="J39" s="123"/>
      <c r="K39" s="93"/>
      <c r="L39" s="130">
        <f>L38+J38</f>
        <v>1024355.45</v>
      </c>
      <c r="M39" s="92"/>
      <c r="N39" s="92"/>
      <c r="O39" s="79"/>
    </row>
    <row r="40" spans="1:16" ht="30" hidden="1" x14ac:dyDescent="0.25">
      <c r="A40" s="94" t="s">
        <v>88</v>
      </c>
      <c r="C40" s="205"/>
      <c r="D40" s="203"/>
      <c r="E40" s="203"/>
      <c r="F40" s="203"/>
      <c r="G40" s="203"/>
      <c r="H40" s="203"/>
      <c r="I40" s="203"/>
      <c r="J40" s="203"/>
      <c r="K40" s="203"/>
      <c r="L40" s="203"/>
      <c r="M40" s="203"/>
      <c r="N40" s="203"/>
      <c r="O40" s="94"/>
    </row>
    <row r="41" spans="1:16" x14ac:dyDescent="0.25">
      <c r="H41" s="79"/>
      <c r="J41" s="95"/>
      <c r="K41" s="95"/>
      <c r="L41" s="95"/>
      <c r="N41" s="96"/>
    </row>
    <row r="43" spans="1:16" x14ac:dyDescent="0.25">
      <c r="E43" s="4"/>
    </row>
    <row r="44" spans="1:16" x14ac:dyDescent="0.25">
      <c r="L44" s="136"/>
    </row>
    <row r="45" spans="1:16" x14ac:dyDescent="0.25">
      <c r="L45" s="95"/>
    </row>
    <row r="46" spans="1:16" x14ac:dyDescent="0.25">
      <c r="E46" s="137"/>
      <c r="F46" s="137"/>
      <c r="G46" s="137"/>
      <c r="H46" s="137"/>
      <c r="I46" s="137"/>
      <c r="J46" s="137"/>
      <c r="K46" s="137"/>
      <c r="L46" s="138"/>
    </row>
  </sheetData>
  <mergeCells count="3">
    <mergeCell ref="A1:N1"/>
    <mergeCell ref="C40:N40"/>
    <mergeCell ref="L8:M8"/>
  </mergeCells>
  <pageMargins left="0.7" right="0.7" top="0.75" bottom="0.75" header="0.3" footer="0.3"/>
  <pageSetup scale="8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C2D6A-355E-4DA5-9817-628575299AB4}">
  <dimension ref="D4:H25"/>
  <sheetViews>
    <sheetView workbookViewId="0">
      <selection activeCell="D4" sqref="D4:H20"/>
    </sheetView>
  </sheetViews>
  <sheetFormatPr baseColWidth="10" defaultRowHeight="15" x14ac:dyDescent="0.25"/>
  <cols>
    <col min="6" max="6" width="13" bestFit="1" customWidth="1"/>
  </cols>
  <sheetData>
    <row r="4" spans="4:7" x14ac:dyDescent="0.25">
      <c r="D4" t="s">
        <v>122</v>
      </c>
      <c r="F4" s="136">
        <v>374177.79418060009</v>
      </c>
      <c r="G4" t="s">
        <v>123</v>
      </c>
    </row>
    <row r="5" spans="4:7" x14ac:dyDescent="0.25">
      <c r="F5" s="136">
        <v>47141.650748520005</v>
      </c>
      <c r="G5" t="s">
        <v>124</v>
      </c>
    </row>
    <row r="6" spans="4:7" x14ac:dyDescent="0.25">
      <c r="F6" s="136">
        <v>47141.650748520005</v>
      </c>
      <c r="G6" t="s">
        <v>125</v>
      </c>
    </row>
    <row r="8" spans="4:7" x14ac:dyDescent="0.25">
      <c r="F8" s="136">
        <f>SUM(F4:F7)</f>
        <v>468461.09567764006</v>
      </c>
      <c r="G8" t="s">
        <v>0</v>
      </c>
    </row>
    <row r="10" spans="4:7" x14ac:dyDescent="0.25">
      <c r="D10" t="s">
        <v>126</v>
      </c>
      <c r="F10" s="136">
        <v>-55000</v>
      </c>
      <c r="G10" t="s">
        <v>106</v>
      </c>
    </row>
    <row r="11" spans="4:7" x14ac:dyDescent="0.25">
      <c r="F11" s="136">
        <v>-384067</v>
      </c>
      <c r="G11" t="s">
        <v>127</v>
      </c>
    </row>
    <row r="13" spans="4:7" ht="31.9" customHeight="1" x14ac:dyDescent="0.25">
      <c r="D13" s="207" t="s">
        <v>128</v>
      </c>
      <c r="E13" s="207"/>
      <c r="F13" s="189">
        <f>SUM(F8:F12)</f>
        <v>29394.095677640056</v>
      </c>
    </row>
    <row r="16" spans="4:7" x14ac:dyDescent="0.25">
      <c r="D16" t="s">
        <v>129</v>
      </c>
      <c r="F16" s="44">
        <f>'prorrateo '!E19</f>
        <v>294818.42106860003</v>
      </c>
      <c r="G16" t="s">
        <v>123</v>
      </c>
    </row>
    <row r="17" spans="4:8" x14ac:dyDescent="0.25">
      <c r="F17" s="136">
        <v>36601.116018119996</v>
      </c>
      <c r="G17" t="s">
        <v>124</v>
      </c>
    </row>
    <row r="18" spans="4:8" x14ac:dyDescent="0.25">
      <c r="F18" s="136">
        <v>36601.116018119996</v>
      </c>
      <c r="G18" t="s">
        <v>125</v>
      </c>
    </row>
    <row r="20" spans="4:8" x14ac:dyDescent="0.25">
      <c r="D20" s="4"/>
      <c r="E20" s="4"/>
      <c r="F20" s="190">
        <f>SUM(F13:F19)</f>
        <v>397414.74878248002</v>
      </c>
      <c r="G20" s="4" t="s">
        <v>130</v>
      </c>
      <c r="H20" s="4"/>
    </row>
    <row r="22" spans="4:8" x14ac:dyDescent="0.25">
      <c r="F22" s="136"/>
    </row>
    <row r="23" spans="4:8" x14ac:dyDescent="0.25">
      <c r="F23" s="136"/>
    </row>
    <row r="25" spans="4:8" x14ac:dyDescent="0.25">
      <c r="F25" s="44"/>
    </row>
  </sheetData>
  <mergeCells count="1">
    <mergeCell ref="D13:E1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4</vt:i4>
      </vt:variant>
    </vt:vector>
  </HeadingPairs>
  <TitlesOfParts>
    <vt:vector size="8" baseType="lpstr">
      <vt:lpstr>detalle y gastos</vt:lpstr>
      <vt:lpstr>prorrateo </vt:lpstr>
      <vt:lpstr>Edesur</vt:lpstr>
      <vt:lpstr>SITUACION ARIEL</vt:lpstr>
      <vt:lpstr>'detalle y gastos'!Área_de_impresión</vt:lpstr>
      <vt:lpstr>Edesur!Área_de_impresión</vt:lpstr>
      <vt:lpstr>'prorrateo '!Área_de_impresión</vt:lpstr>
      <vt:lpstr>'SITUACION ARIEL'!Área_de_impresión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Particular</dc:creator>
  <cp:lastModifiedBy>Sistemax</cp:lastModifiedBy>
  <cp:lastPrinted>2026-03-31T13:07:15Z</cp:lastPrinted>
  <dcterms:created xsi:type="dcterms:W3CDTF">2020-12-10T00:27:53Z</dcterms:created>
  <dcterms:modified xsi:type="dcterms:W3CDTF">2026-04-07T13:15:18Z</dcterms:modified>
</cp:coreProperties>
</file>