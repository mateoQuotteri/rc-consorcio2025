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Abril\"/>
    </mc:Choice>
  </mc:AlternateContent>
  <xr:revisionPtr revIDLastSave="0" documentId="13_ncr:1_{459DAFC6-E3FC-4DFA-85A0-4BF70B18242D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G16" i="2"/>
  <c r="G11" i="2"/>
  <c r="G7" i="2"/>
  <c r="D51" i="1" l="1"/>
  <c r="G8" i="2"/>
  <c r="G13" i="2"/>
  <c r="B95" i="1" l="1"/>
  <c r="G12" i="2" l="1"/>
  <c r="B1" i="2"/>
  <c r="K5" i="2"/>
  <c r="L5" i="2"/>
  <c r="I5" i="2"/>
  <c r="J5" i="2" s="1"/>
  <c r="P6" i="2"/>
  <c r="E18" i="2"/>
  <c r="N5" i="2" l="1"/>
  <c r="D46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7" i="1" s="1"/>
  <c r="B83" i="1" l="1"/>
  <c r="N4" i="2" l="1"/>
  <c r="G18" i="2" l="1"/>
  <c r="B82" i="1" s="1"/>
  <c r="F18" i="2"/>
  <c r="B76" i="1" l="1"/>
  <c r="K18" i="2"/>
  <c r="B74" i="1" l="1"/>
  <c r="L6" i="2"/>
  <c r="L7" i="2"/>
  <c r="L8" i="2"/>
  <c r="L9" i="2"/>
  <c r="L10" i="2"/>
  <c r="L11" i="2"/>
  <c r="L12" i="2"/>
  <c r="L13" i="2"/>
  <c r="L14" i="2"/>
  <c r="L15" i="2"/>
  <c r="L16" i="2"/>
  <c r="B86" i="1" l="1"/>
  <c r="B88" i="1" s="1"/>
  <c r="L18" i="2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<sst xmlns="http://schemas.openxmlformats.org/spreadsheetml/2006/main" count="151" uniqueCount="134">
  <si>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</si>
  <si>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</si>
  <si>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</si>
  <si>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</si>
  <si>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</si>
  <si>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</si>
  <si>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</si>
  <si>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</si>
  <si>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</si>
  <si>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</si>
  <si>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</si>
  <si>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</si>
  <si>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</si>
  <si>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</si>
  <si>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</si>
  <si>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</si>
  <si>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</si>
  <si>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</si>
  <si>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</si>
  <si>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</si>
  <si>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</si>
  <si>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</si>
  <si>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</si>
  <si>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</si>
  <si>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</si>
  <si>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</si>
  <si>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</si>
  <si>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</si>
  <si>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</si>
  <si>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</si>
  <si>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</si>
  <si>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</si>
  <si>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</si>
  <si>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</si>
  <si>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</si>
  <si>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</si>
  <si>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</si>
  <si>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</si>
  <si>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</si>
  <si>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</si>
  <si>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</si>
  <si>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</si>
  <si>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</si>
  <si>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</si>
  <si>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</si>
  <si>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</si>
  <si>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</si>
  <si>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</si>
  <si>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</si>
  <si>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</si>
  <si>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</si>
  <si>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</si>
  <si>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</si>
  <si>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</si>
  <si>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</si>
  <si>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</si>
  <si>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</si>
  <si>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</si>
  <si>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</si>
  <si>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</si>
  <si>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</si>
  <si>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</si>
  <si>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</si>
  <si>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</si>
  <si>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</si>
  <si>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</si>
  <si>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</si>
  <si>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</si>
  <si>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</si>
  <si>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</si>
  <si>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</si>
  <si>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</si>
  <si>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</si>
  <si>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</si>
  <si>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</si>
  <si>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</si>
  <si>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</si>
  <si>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</si>
  <si>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</si>
  <si>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</si>
  <si>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</si>
  <si>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</si>
  <si>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</si>
  <si>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</si>
  <si>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</si>
  <si>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</si>
  <si>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</si>
  <si>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</si>
  <si>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</si>
  <si>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</si>
  <si>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</si>
  <si>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</si>
  <si>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</si>
  <si>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</si>
  <si>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</si>
  <si>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</si>
  <si>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</si>
  <si>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</si>
  <si>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</si>
  <si>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</si>
  <si>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</si>
  <si>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</si>
  <si>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</si>
  <si>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</si>
  <si>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</si>
  <si>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</si>
  <si>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</si>
  <si>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Ezequiel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</si>
  <si>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</si>
  <si>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</si>
  <si>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</si>
  <si>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</si>
  <si>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</si>
  <si>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Saldo anterior REAL según banco</t>
  </si>
  <si>
    <t>MEDIOS DE CONTACTOS: cabrera140rc@gmail.com  - INFORMAR CUALQUIER TIPO DE PAGO POR ALLI</t>
  </si>
  <si>
    <t>Melisa Belmonte</t>
  </si>
  <si>
    <t xml:space="preserve">franco attolino </t>
  </si>
  <si>
    <t>Transferencia ya identificada mes anterior</t>
  </si>
  <si>
    <t>Facundo Guarinello</t>
  </si>
  <si>
    <t>PREVISION ORDINARIA - LIMPIEZA DE TANQUE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</si>
  <si>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</si>
  <si>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</si>
  <si>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</si>
  <si>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</si>
  <si>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VTO 15/05</t>
  </si>
  <si>
    <t>Honorarios administracion - Mes anterior - Se adeuda ABRIL</t>
  </si>
  <si>
    <t>Mes de MARZO</t>
  </si>
  <si>
    <t>Transf 06/04</t>
  </si>
  <si>
    <t>Servicio de cerrajeria, extraccion de llave trabada en el cilindro de la puerta de reja</t>
  </si>
  <si>
    <t>Transf 08/04</t>
  </si>
  <si>
    <t>Debito 06/04</t>
  </si>
  <si>
    <t>Servicio de cerrajeria, cerradura angosta colocada</t>
  </si>
  <si>
    <t>Transf 13/04</t>
  </si>
  <si>
    <t>Abdon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</si>
</sst>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0" fontId="16" fillId="11" borderId="1" xfId="0" applyFont="1" applyFill="1" applyBorder="1"/>
    <xf numFmtId="8" fontId="17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16" fillId="11" borderId="3" xfId="0" applyFont="1" applyFill="1" applyBorder="1"/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1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8" fontId="4" fillId="2" borderId="1" xfId="0" applyNumberFormat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4" borderId="1" xfId="0" applyFont="1" applyFill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opLeftCell="A53" workbookViewId="0">
      <selection activeCell="D57" sqref="D5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82" t="s">
        <v>50</v>
      </c>
      <c r="B1" s="77"/>
      <c r="C1" s="3"/>
      <c r="D1" s="3"/>
    </row>
    <row r="2" spans="1:8" x14ac:dyDescent="0.25">
      <c r="A2" s="78" t="s">
        <v>102</v>
      </c>
      <c r="B2" s="78"/>
      <c r="C2" s="78"/>
      <c r="D2" s="78"/>
    </row>
    <row r="3" spans="1:8" ht="16.899999999999999" customHeight="1" x14ac:dyDescent="0.25">
      <c r="A3" s="78" t="s">
        <v>57</v>
      </c>
      <c r="B3" s="78"/>
      <c r="C3" s="78"/>
      <c r="D3" s="78"/>
    </row>
    <row r="4" spans="1:8" ht="32.25" customHeight="1" x14ac:dyDescent="0.25">
      <c r="A4" s="119" t="s">
        <v>109</v>
      </c>
      <c r="B4" s="119"/>
      <c r="C4" s="79"/>
      <c r="D4" s="79"/>
    </row>
    <row r="5" spans="1:8" x14ac:dyDescent="0.25">
      <c r="A5" s="119"/>
      <c r="B5" s="119"/>
      <c r="C5" s="79"/>
      <c r="D5" s="79"/>
    </row>
    <row r="6" spans="1:8" x14ac:dyDescent="0.25">
      <c r="A6" s="119"/>
      <c r="B6" s="119"/>
      <c r="C6" s="79"/>
      <c r="D6" s="79"/>
    </row>
    <row r="7" spans="1:8" ht="6.6" customHeight="1" x14ac:dyDescent="0.25">
      <c r="A7" s="119"/>
      <c r="B7" s="119"/>
      <c r="C7" s="79"/>
      <c r="D7" s="79"/>
    </row>
    <row r="9" spans="1:8" x14ac:dyDescent="0.25">
      <c r="B9" s="122" t="s">
        <v>124</v>
      </c>
    </row>
    <row r="10" spans="1:8" x14ac:dyDescent="0.25">
      <c r="B10" s="122"/>
    </row>
    <row r="11" spans="1:8" x14ac:dyDescent="0.25">
      <c r="B11" s="122"/>
    </row>
    <row r="13" spans="1:8" ht="14.45" hidden="1" customHeight="1" x14ac:dyDescent="0.25">
      <c r="F13" t="s">
        <v>99</v>
      </c>
      <c r="G13" t="s">
        <v>100</v>
      </c>
      <c r="H13" t="s">
        <v>101</v>
      </c>
    </row>
    <row r="14" spans="1:8" ht="15" customHeight="1" x14ac:dyDescent="0.25">
      <c r="A14" s="120" t="s">
        <v>49</v>
      </c>
      <c r="B14" s="120"/>
      <c r="C14" s="120"/>
      <c r="D14" s="120"/>
    </row>
    <row r="15" spans="1:8" ht="15" customHeight="1" x14ac:dyDescent="0.25">
      <c r="A15" s="120"/>
      <c r="B15" s="120"/>
      <c r="C15" s="120"/>
      <c r="D15" s="120"/>
    </row>
    <row r="16" spans="1:8" ht="15" customHeight="1" x14ac:dyDescent="0.25">
      <c r="A16" s="120"/>
      <c r="B16" s="120"/>
      <c r="C16" s="120"/>
      <c r="D16" s="120"/>
    </row>
    <row r="17" spans="1:7" ht="53.25" customHeight="1" x14ac:dyDescent="0.25">
      <c r="A17" s="120"/>
      <c r="B17" s="120"/>
      <c r="C17" s="120"/>
      <c r="D17" s="120"/>
    </row>
    <row r="18" spans="1:7" ht="14.25" customHeight="1" thickBot="1" x14ac:dyDescent="0.3"/>
    <row r="19" spans="1:7" ht="15.75" hidden="1" thickBot="1" x14ac:dyDescent="0.3">
      <c r="A19" s="1"/>
    </row>
    <row r="20" spans="1:7" ht="15.75" hidden="1" thickBot="1" x14ac:dyDescent="0.3"/>
    <row r="21" spans="1:7" x14ac:dyDescent="0.25">
      <c r="A21" s="6" t="s">
        <v>15</v>
      </c>
      <c r="B21" s="7"/>
      <c r="C21" s="5"/>
      <c r="D21" s="8"/>
    </row>
    <row r="22" spans="1:7" x14ac:dyDescent="0.25">
      <c r="A22" s="15" t="s">
        <v>40</v>
      </c>
      <c r="B22" s="15"/>
      <c r="C22" s="13"/>
      <c r="D22" s="13"/>
    </row>
    <row r="23" spans="1:7" ht="14.25" customHeight="1" x14ac:dyDescent="0.25">
      <c r="A23" s="2" t="s">
        <v>104</v>
      </c>
      <c r="B23" s="2"/>
      <c r="C23" s="92">
        <v>475000</v>
      </c>
      <c r="D23" s="85" t="s">
        <v>129</v>
      </c>
    </row>
    <row r="24" spans="1:7" hidden="1" x14ac:dyDescent="0.25">
      <c r="A24" s="2"/>
      <c r="B24" s="2"/>
      <c r="C24" s="92"/>
      <c r="D24" s="81"/>
    </row>
    <row r="25" spans="1:7" hidden="1" x14ac:dyDescent="0.25">
      <c r="A25" s="2"/>
      <c r="B25" s="2"/>
      <c r="C25" s="92"/>
      <c r="D25" s="81"/>
    </row>
    <row r="26" spans="1:7" hidden="1" x14ac:dyDescent="0.25">
      <c r="A26" s="2"/>
      <c r="B26" s="2"/>
      <c r="C26" s="92"/>
      <c r="D26" s="81"/>
    </row>
    <row r="27" spans="1:7" hidden="1" x14ac:dyDescent="0.25">
      <c r="A27" s="2"/>
      <c r="B27" s="2"/>
      <c r="C27" s="93"/>
      <c r="D27" s="81"/>
    </row>
    <row r="28" spans="1:7" hidden="1" x14ac:dyDescent="0.25">
      <c r="A28" s="29" t="s">
        <v>41</v>
      </c>
      <c r="B28" s="80"/>
      <c r="C28" s="30">
        <f>SUM(C24:C27)</f>
        <v>0</v>
      </c>
      <c r="D28" s="54"/>
    </row>
    <row r="29" spans="1:7" ht="14.25" customHeight="1" thickBot="1" x14ac:dyDescent="0.3">
      <c r="A29" s="11" t="s">
        <v>0</v>
      </c>
      <c r="B29" s="11"/>
      <c r="C29" s="12"/>
      <c r="D29" s="55">
        <f>C23+C28</f>
        <v>475000</v>
      </c>
      <c r="E29" s="9"/>
      <c r="F29" s="9"/>
    </row>
    <row r="30" spans="1:7" x14ac:dyDescent="0.25">
      <c r="A30" s="15" t="s">
        <v>26</v>
      </c>
      <c r="B30" s="15"/>
      <c r="C30" s="16"/>
      <c r="D30" s="56"/>
      <c r="F30" s="9"/>
    </row>
    <row r="31" spans="1:7" ht="21" customHeight="1" x14ac:dyDescent="0.25">
      <c r="A31" s="150" t="s">
        <v>125</v>
      </c>
      <c r="B31" s="151"/>
      <c r="C31" s="111">
        <v>102000</v>
      </c>
      <c r="D31" s="90" t="s">
        <v>132</v>
      </c>
      <c r="G31" s="9"/>
    </row>
    <row r="32" spans="1:7" ht="15.75" thickBot="1" x14ac:dyDescent="0.3">
      <c r="A32" s="14" t="s">
        <v>22</v>
      </c>
      <c r="B32" s="14"/>
      <c r="C32" s="19"/>
      <c r="D32" s="55">
        <f>SUM(C31:C31)</f>
        <v>102000</v>
      </c>
    </row>
    <row r="33" spans="1:6" x14ac:dyDescent="0.25">
      <c r="A33" s="13" t="s">
        <v>37</v>
      </c>
      <c r="B33" s="14"/>
      <c r="C33" s="17"/>
      <c r="D33" s="37"/>
    </row>
    <row r="34" spans="1:6" s="22" customFormat="1" ht="16.899999999999999" customHeight="1" x14ac:dyDescent="0.25">
      <c r="A34" s="152" t="s">
        <v>121</v>
      </c>
      <c r="B34" s="153"/>
      <c r="C34" s="113">
        <v>87769</v>
      </c>
      <c r="D34" s="89" t="s">
        <v>130</v>
      </c>
    </row>
    <row r="35" spans="1:6" ht="14.45" customHeight="1" thickBot="1" x14ac:dyDescent="0.3">
      <c r="A35" s="14" t="s">
        <v>1</v>
      </c>
      <c r="B35" s="14"/>
      <c r="C35" s="19"/>
      <c r="D35" s="57">
        <f>SUM(C34:C34)</f>
        <v>87769</v>
      </c>
    </row>
    <row r="36" spans="1:6" hidden="1" x14ac:dyDescent="0.25">
      <c r="A36" s="13" t="s">
        <v>23</v>
      </c>
      <c r="B36" s="154"/>
      <c r="C36" s="20"/>
      <c r="D36" s="58"/>
    </row>
    <row r="37" spans="1:6" hidden="1" x14ac:dyDescent="0.25">
      <c r="A37" s="53" t="s">
        <v>51</v>
      </c>
      <c r="B37" s="53" t="s">
        <v>126</v>
      </c>
      <c r="C37" s="114"/>
      <c r="D37" s="89"/>
      <c r="F37" s="83"/>
    </row>
    <row r="38" spans="1:6" hidden="1" x14ac:dyDescent="0.25">
      <c r="A38" s="53" t="s">
        <v>52</v>
      </c>
      <c r="B38" s="53" t="s">
        <v>126</v>
      </c>
      <c r="C38" s="94"/>
      <c r="D38" s="89"/>
    </row>
    <row r="39" spans="1:6" hidden="1" x14ac:dyDescent="0.25">
      <c r="A39" s="53" t="s">
        <v>53</v>
      </c>
      <c r="B39" s="53" t="s">
        <v>126</v>
      </c>
      <c r="C39" s="94"/>
      <c r="D39" s="89"/>
    </row>
    <row r="40" spans="1:6" hidden="1" x14ac:dyDescent="0.25">
      <c r="A40" s="53" t="s">
        <v>54</v>
      </c>
      <c r="B40" s="53" t="s">
        <v>126</v>
      </c>
      <c r="C40" s="94"/>
      <c r="D40" s="88"/>
    </row>
    <row r="41" spans="1:6" ht="15" hidden="1" customHeight="1" thickBot="1" x14ac:dyDescent="0.3">
      <c r="A41" s="14" t="s">
        <v>2</v>
      </c>
      <c r="B41" s="154"/>
      <c r="C41" s="21"/>
      <c r="D41" s="57">
        <f>SUM(C37:C40)</f>
        <v>0</v>
      </c>
    </row>
    <row r="42" spans="1:6" x14ac:dyDescent="0.25">
      <c r="A42" s="13" t="s">
        <v>25</v>
      </c>
      <c r="B42" s="154"/>
      <c r="C42" s="20"/>
      <c r="D42" s="58"/>
    </row>
    <row r="43" spans="1:6" ht="14.25" customHeight="1" x14ac:dyDescent="0.25">
      <c r="A43" s="68" t="s">
        <v>96</v>
      </c>
      <c r="B43" s="53"/>
      <c r="C43" s="94">
        <v>84428.58</v>
      </c>
      <c r="D43" s="87" t="s">
        <v>127</v>
      </c>
    </row>
    <row r="44" spans="1:6" ht="14.25" customHeight="1" x14ac:dyDescent="0.25">
      <c r="A44" s="53" t="s">
        <v>95</v>
      </c>
      <c r="B44" s="53"/>
      <c r="C44" s="94">
        <v>154799.45000000001</v>
      </c>
      <c r="D44" s="87" t="s">
        <v>127</v>
      </c>
    </row>
    <row r="45" spans="1:6" ht="14.25" customHeight="1" x14ac:dyDescent="0.25">
      <c r="A45" s="53" t="s">
        <v>103</v>
      </c>
      <c r="B45" s="53"/>
      <c r="C45" s="94">
        <v>319719.27</v>
      </c>
      <c r="D45" s="87" t="s">
        <v>127</v>
      </c>
    </row>
    <row r="46" spans="1:6" ht="15.75" thickBot="1" x14ac:dyDescent="0.3">
      <c r="A46" s="14" t="s">
        <v>3</v>
      </c>
      <c r="B46" s="14"/>
      <c r="C46" s="19"/>
      <c r="D46" s="57">
        <f>SUM(C43:C45)</f>
        <v>558947.30000000005</v>
      </c>
    </row>
    <row r="47" spans="1:6" ht="15.75" thickBot="1" x14ac:dyDescent="0.3">
      <c r="A47" s="13" t="s">
        <v>24</v>
      </c>
      <c r="B47" s="14"/>
      <c r="C47" s="19"/>
      <c r="D47" s="60"/>
    </row>
    <row r="48" spans="1:6" ht="33.75" customHeight="1" x14ac:dyDescent="0.25">
      <c r="A48" s="152" t="s">
        <v>122</v>
      </c>
      <c r="B48" s="153"/>
      <c r="C48" s="94">
        <v>73200</v>
      </c>
      <c r="D48" s="85" t="s">
        <v>129</v>
      </c>
    </row>
    <row r="49" spans="1:6" ht="15.75" customHeight="1" x14ac:dyDescent="0.25">
      <c r="A49" s="155" t="s">
        <v>131</v>
      </c>
      <c r="B49" s="156"/>
      <c r="C49" s="94">
        <v>84000</v>
      </c>
      <c r="D49" s="87" t="s">
        <v>127</v>
      </c>
      <c r="E49" s="25"/>
    </row>
    <row r="50" spans="1:6" ht="33.75" customHeight="1" x14ac:dyDescent="0.25">
      <c r="A50" s="152" t="s">
        <v>128</v>
      </c>
      <c r="B50" s="153"/>
      <c r="C50" s="94">
        <v>65000</v>
      </c>
      <c r="D50" s="87" t="s">
        <v>127</v>
      </c>
    </row>
    <row r="51" spans="1:6" ht="15.75" thickBot="1" x14ac:dyDescent="0.3">
      <c r="A51" s="14" t="s">
        <v>8</v>
      </c>
      <c r="B51" s="13"/>
      <c r="C51" s="13"/>
      <c r="D51" s="63">
        <f>SUM(C48:C50)</f>
        <v>222200</v>
      </c>
    </row>
    <row r="52" spans="1:6" ht="15.75" thickBot="1" x14ac:dyDescent="0.3">
      <c r="A52" s="13" t="s">
        <v>18</v>
      </c>
      <c r="B52" s="157"/>
      <c r="C52" s="12"/>
      <c r="D52" s="60"/>
    </row>
    <row r="53" spans="1:6" x14ac:dyDescent="0.25">
      <c r="A53" s="53" t="s">
        <v>98</v>
      </c>
      <c r="B53" s="53"/>
      <c r="C53" s="94">
        <v>57500</v>
      </c>
      <c r="D53" s="64"/>
    </row>
    <row r="54" spans="1:6" x14ac:dyDescent="0.25">
      <c r="A54" s="53" t="s">
        <v>97</v>
      </c>
      <c r="B54" s="53"/>
      <c r="C54" s="94">
        <v>37161.9</v>
      </c>
      <c r="D54" s="62"/>
    </row>
    <row r="55" spans="1:6" ht="15.75" thickBot="1" x14ac:dyDescent="0.3">
      <c r="A55" s="158" t="s">
        <v>22</v>
      </c>
      <c r="B55" s="158"/>
      <c r="C55" s="65"/>
      <c r="D55" s="57">
        <f>SUM(C53:C54)</f>
        <v>94661.9</v>
      </c>
    </row>
    <row r="56" spans="1:6" ht="15.75" thickBot="1" x14ac:dyDescent="0.3">
      <c r="A56" s="53"/>
      <c r="B56" s="53"/>
      <c r="C56" s="53"/>
      <c r="D56" s="66"/>
    </row>
    <row r="57" spans="1:6" ht="22.5" customHeight="1" thickBot="1" x14ac:dyDescent="0.3">
      <c r="A57" s="159" t="s">
        <v>119</v>
      </c>
      <c r="B57" s="160"/>
      <c r="C57" s="161"/>
      <c r="D57" s="67"/>
    </row>
    <row r="58" spans="1:6" ht="15.75" thickBot="1" x14ac:dyDescent="0.3">
      <c r="A58" s="162"/>
      <c r="B58" s="68"/>
      <c r="C58" s="68"/>
      <c r="D58" s="69"/>
      <c r="E58" s="25"/>
    </row>
    <row r="59" spans="1:6" ht="15.75" thickBot="1" x14ac:dyDescent="0.3">
      <c r="A59" s="163" t="s">
        <v>19</v>
      </c>
      <c r="B59" s="164"/>
      <c r="C59" s="70"/>
      <c r="D59" s="71">
        <f>(SUM(D24:D57))</f>
        <v>1540578.2</v>
      </c>
      <c r="E59" s="25"/>
      <c r="F59" s="25"/>
    </row>
    <row r="60" spans="1:6" x14ac:dyDescent="0.25">
      <c r="A60" s="68"/>
      <c r="B60" s="68"/>
      <c r="C60" s="68"/>
      <c r="D60" s="68"/>
      <c r="F60" s="84"/>
    </row>
    <row r="61" spans="1:6" ht="15.75" thickBot="1" x14ac:dyDescent="0.3">
      <c r="A61" s="68"/>
      <c r="B61" s="68"/>
      <c r="C61" s="68"/>
      <c r="D61" s="68"/>
    </row>
    <row r="62" spans="1:6" x14ac:dyDescent="0.25">
      <c r="A62" s="165" t="s">
        <v>27</v>
      </c>
      <c r="B62" s="166"/>
      <c r="C62" s="72"/>
      <c r="D62" s="73"/>
    </row>
    <row r="63" spans="1:6" x14ac:dyDescent="0.25">
      <c r="A63" s="152"/>
      <c r="B63" s="153"/>
      <c r="C63" s="61"/>
      <c r="D63" s="59"/>
    </row>
    <row r="64" spans="1:6" x14ac:dyDescent="0.25">
      <c r="A64" s="152"/>
      <c r="B64" s="153"/>
      <c r="C64" s="61"/>
      <c r="D64" s="59"/>
    </row>
    <row r="65" spans="1:4" x14ac:dyDescent="0.25">
      <c r="A65" s="167"/>
      <c r="B65" s="168"/>
      <c r="C65" s="61"/>
      <c r="D65" s="59"/>
    </row>
    <row r="66" spans="1:4" x14ac:dyDescent="0.25">
      <c r="A66" s="169"/>
      <c r="B66" s="170"/>
      <c r="C66" s="171"/>
      <c r="D66" s="31">
        <f>SUM(C63:C65)</f>
        <v>0</v>
      </c>
    </row>
    <row r="67" spans="1:4" ht="15" customHeight="1" x14ac:dyDescent="0.25">
      <c r="A67" s="68"/>
      <c r="B67" s="68"/>
      <c r="C67" s="68"/>
    </row>
    <row r="68" spans="1:4" hidden="1" x14ac:dyDescent="0.25">
      <c r="A68" s="68"/>
      <c r="B68" s="68"/>
      <c r="C68" s="68"/>
    </row>
    <row r="69" spans="1:4" x14ac:dyDescent="0.25">
      <c r="A69" s="172" t="s">
        <v>28</v>
      </c>
      <c r="B69" s="172"/>
      <c r="C69" s="173"/>
      <c r="D69" s="91"/>
    </row>
    <row r="70" spans="1:4" ht="15.75" thickBot="1" x14ac:dyDescent="0.3">
      <c r="A70" s="68"/>
      <c r="B70" s="68"/>
      <c r="C70" s="68"/>
    </row>
    <row r="71" spans="1:4" ht="15.75" thickBot="1" x14ac:dyDescent="0.3">
      <c r="A71" s="163" t="s">
        <v>29</v>
      </c>
      <c r="B71" s="164"/>
      <c r="C71" s="70"/>
      <c r="D71" s="38">
        <f>D66+D69</f>
        <v>0</v>
      </c>
    </row>
    <row r="72" spans="1:4" ht="15.75" thickBot="1" x14ac:dyDescent="0.3">
      <c r="A72" s="68"/>
      <c r="B72" s="68"/>
      <c r="C72" s="68"/>
    </row>
    <row r="73" spans="1:4" ht="15.75" thickBot="1" x14ac:dyDescent="0.3">
      <c r="A73" s="174" t="s">
        <v>20</v>
      </c>
      <c r="B73" s="175">
        <f>D59</f>
        <v>1540578.2</v>
      </c>
      <c r="C73" s="176"/>
    </row>
    <row r="74" spans="1:4" ht="15.75" thickBot="1" x14ac:dyDescent="0.3">
      <c r="A74" s="174" t="s">
        <v>21</v>
      </c>
      <c r="B74" s="175">
        <f>D59-D57</f>
        <v>1540578.2</v>
      </c>
      <c r="C74" s="68"/>
    </row>
    <row r="75" spans="1:4" ht="15.75" thickBot="1" x14ac:dyDescent="0.3">
      <c r="A75" s="174" t="s">
        <v>30</v>
      </c>
      <c r="B75" s="175">
        <f>D71-D69</f>
        <v>0</v>
      </c>
      <c r="C75" s="68"/>
    </row>
    <row r="76" spans="1:4" ht="15.75" thickBot="1" x14ac:dyDescent="0.3">
      <c r="A76" s="174" t="s">
        <v>45</v>
      </c>
      <c r="B76" s="175">
        <f>D71</f>
        <v>0</v>
      </c>
      <c r="C76" s="68"/>
    </row>
    <row r="77" spans="1:4" x14ac:dyDescent="0.25">
      <c r="A77" s="68"/>
      <c r="B77" s="68"/>
      <c r="C77" s="68"/>
    </row>
    <row r="78" spans="1:4" x14ac:dyDescent="0.25">
      <c r="A78" s="68"/>
      <c r="B78" s="68"/>
      <c r="C78" s="68"/>
    </row>
    <row r="79" spans="1:4" x14ac:dyDescent="0.25">
      <c r="A79" s="68"/>
      <c r="B79" s="68"/>
      <c r="C79" s="68"/>
    </row>
    <row r="80" spans="1:4" x14ac:dyDescent="0.25">
      <c r="A80" s="177" t="s">
        <v>39</v>
      </c>
      <c r="B80" s="178"/>
      <c r="C80" s="68"/>
    </row>
    <row r="81" spans="1:12" ht="18" customHeight="1" x14ac:dyDescent="0.25">
      <c r="A81" s="106" t="s">
        <v>113</v>
      </c>
      <c r="B81" s="76">
        <v>973176.49999999977</v>
      </c>
      <c r="C81" s="176"/>
      <c r="D81" s="25"/>
    </row>
    <row r="82" spans="1:12" ht="18" customHeight="1" x14ac:dyDescent="0.25">
      <c r="A82" s="107" t="s">
        <v>48</v>
      </c>
      <c r="B82" s="23">
        <f>PRORRATEO!G18</f>
        <v>1408850.6600000001</v>
      </c>
    </row>
    <row r="83" spans="1:12" ht="18" customHeight="1" x14ac:dyDescent="0.25">
      <c r="A83" s="107" t="s">
        <v>47</v>
      </c>
      <c r="B83" s="62">
        <f>B95</f>
        <v>0</v>
      </c>
    </row>
    <row r="84" spans="1:12" ht="18" customHeight="1" x14ac:dyDescent="0.25">
      <c r="A84" s="107" t="s">
        <v>117</v>
      </c>
      <c r="B84" s="86">
        <v>-105000</v>
      </c>
    </row>
    <row r="85" spans="1:12" ht="18" customHeight="1" x14ac:dyDescent="0.25">
      <c r="A85" s="107" t="s">
        <v>55</v>
      </c>
      <c r="B85" s="86">
        <v>-2873</v>
      </c>
    </row>
    <row r="86" spans="1:12" ht="18" customHeight="1" x14ac:dyDescent="0.25">
      <c r="A86" s="10" t="s">
        <v>31</v>
      </c>
      <c r="B86" s="86">
        <f>-B74</f>
        <v>-1540578.2</v>
      </c>
    </row>
    <row r="87" spans="1:12" ht="18" customHeight="1" x14ac:dyDescent="0.25">
      <c r="A87" s="10" t="s">
        <v>32</v>
      </c>
      <c r="B87" s="62">
        <f>-(B75)</f>
        <v>0</v>
      </c>
    </row>
    <row r="88" spans="1:12" ht="18" customHeight="1" x14ac:dyDescent="0.25">
      <c r="A88" s="108" t="s">
        <v>8</v>
      </c>
      <c r="B88" s="76">
        <f>SUM(B81:B87)</f>
        <v>733575.9600000002</v>
      </c>
      <c r="D88" s="25"/>
    </row>
    <row r="89" spans="1:12" ht="34.5" customHeight="1" x14ac:dyDescent="0.25">
      <c r="B89" s="24"/>
      <c r="C89" s="25"/>
    </row>
    <row r="91" spans="1:12" x14ac:dyDescent="0.25">
      <c r="A91" s="121" t="s">
        <v>38</v>
      </c>
      <c r="B91" s="121"/>
    </row>
    <row r="92" spans="1:12" ht="27.75" customHeight="1" x14ac:dyDescent="0.25">
      <c r="A92" s="121"/>
      <c r="B92" s="121"/>
    </row>
    <row r="93" spans="1:12" ht="32.25" customHeight="1" x14ac:dyDescent="0.25">
      <c r="A93" s="74"/>
      <c r="B93" s="18"/>
    </row>
    <row r="94" spans="1:12" ht="32.25" customHeight="1" x14ac:dyDescent="0.25">
      <c r="A94" s="74"/>
      <c r="B94" s="18"/>
    </row>
    <row r="95" spans="1:12" x14ac:dyDescent="0.25">
      <c r="A95" s="26" t="s">
        <v>8</v>
      </c>
      <c r="B95" s="75">
        <f>SUM(B93:B94)</f>
        <v>0</v>
      </c>
    </row>
    <row r="96" spans="1:12" x14ac:dyDescent="0.25">
      <c r="L96" s="4"/>
    </row>
  </sheetData>
  <mergeCells count="10">
    <mergeCell ref="A4:B7"/>
    <mergeCell ref="A14:D17"/>
    <mergeCell ref="A57:C57"/>
    <mergeCell ref="A91:B92"/>
    <mergeCell ref="A64:B64"/>
    <mergeCell ref="A63:B63"/>
    <mergeCell ref="B9:B11"/>
    <mergeCell ref="A34:B34"/>
    <mergeCell ref="A48:B48"/>
    <mergeCell ref="A50:B5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J1" sqref="J1:K2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3"/>
      <c r="B1" s="140" t="str">
        <f>RESUMEN!A4</f>
        <v>Banco: Santander
C.U.I.T.   30-71774143-5
CBU: 0720533020000000956840 ALIAS: BLONDA.LAGO.CORO
Nº de cuenta: 533-009568/4</v>
      </c>
      <c r="C1" s="141"/>
      <c r="D1" s="141"/>
      <c r="E1" s="142"/>
      <c r="F1" s="140" t="s">
        <v>114</v>
      </c>
      <c r="G1" s="141"/>
      <c r="H1" s="141"/>
      <c r="I1" s="142"/>
      <c r="J1" s="136" t="s">
        <v>110</v>
      </c>
      <c r="K1" s="137"/>
      <c r="L1" s="115" t="s">
        <v>111</v>
      </c>
      <c r="M1" s="115"/>
      <c r="N1" s="117">
        <v>1250000</v>
      </c>
      <c r="O1" s="109"/>
      <c r="P1" s="9"/>
    </row>
    <row r="2" spans="1:18" ht="43.9" customHeight="1" thickBot="1" x14ac:dyDescent="0.3">
      <c r="A2" s="3"/>
      <c r="B2" s="143"/>
      <c r="C2" s="144"/>
      <c r="D2" s="144"/>
      <c r="E2" s="145"/>
      <c r="F2" s="143"/>
      <c r="G2" s="144"/>
      <c r="H2" s="144"/>
      <c r="I2" s="145"/>
      <c r="J2" s="138"/>
      <c r="K2" s="139"/>
      <c r="L2" s="116" t="s">
        <v>112</v>
      </c>
      <c r="M2" s="116"/>
      <c r="N2" s="95"/>
      <c r="O2" s="110"/>
    </row>
    <row r="3" spans="1:18" x14ac:dyDescent="0.25">
      <c r="A3" s="146" t="s">
        <v>4</v>
      </c>
      <c r="B3" s="148" t="s">
        <v>58</v>
      </c>
      <c r="C3" s="126" t="s">
        <v>59</v>
      </c>
      <c r="D3" s="126" t="s">
        <v>5</v>
      </c>
      <c r="E3" s="126" t="s">
        <v>17</v>
      </c>
      <c r="F3" s="126" t="s">
        <v>46</v>
      </c>
      <c r="G3" s="126" t="s">
        <v>6</v>
      </c>
      <c r="H3" s="126" t="s">
        <v>35</v>
      </c>
      <c r="I3" s="131" t="s">
        <v>36</v>
      </c>
      <c r="J3" s="128" t="s">
        <v>34</v>
      </c>
      <c r="K3" s="128" t="s">
        <v>7</v>
      </c>
      <c r="L3" s="128" t="s">
        <v>33</v>
      </c>
      <c r="M3" s="134" t="s">
        <v>44</v>
      </c>
      <c r="N3" s="34" t="s">
        <v>43</v>
      </c>
      <c r="O3" s="123" t="s">
        <v>42</v>
      </c>
      <c r="R3" s="25"/>
    </row>
    <row r="4" spans="1:18" ht="15.75" customHeight="1" x14ac:dyDescent="0.25">
      <c r="A4" s="147"/>
      <c r="B4" s="149"/>
      <c r="C4" s="130"/>
      <c r="D4" s="130"/>
      <c r="E4" s="127"/>
      <c r="F4" s="130"/>
      <c r="G4" s="130"/>
      <c r="H4" s="127"/>
      <c r="I4" s="132"/>
      <c r="J4" s="129"/>
      <c r="K4" s="133"/>
      <c r="L4" s="129"/>
      <c r="M4" s="135"/>
      <c r="N4" s="32" t="str">
        <f>RESUMEN!B9</f>
        <v>VTO 15/05</v>
      </c>
      <c r="O4" s="124"/>
    </row>
    <row r="5" spans="1:18" ht="16.899999999999999" customHeight="1" x14ac:dyDescent="0.25">
      <c r="A5" s="2" t="s">
        <v>9</v>
      </c>
      <c r="B5" s="35" t="s">
        <v>60</v>
      </c>
      <c r="C5" s="35" t="s">
        <v>61</v>
      </c>
      <c r="D5" s="102" t="s">
        <v>62</v>
      </c>
      <c r="E5" s="36">
        <v>6.84</v>
      </c>
      <c r="F5" s="40">
        <v>85500.01</v>
      </c>
      <c r="G5" s="41">
        <v>88065</v>
      </c>
      <c r="H5" s="42"/>
      <c r="I5" s="43">
        <f>F5-G5</f>
        <v>-2564.9900000000052</v>
      </c>
      <c r="J5" s="43">
        <f>IF(I5&gt;0,I5*2.95%,0)</f>
        <v>0</v>
      </c>
      <c r="K5" s="44">
        <f t="shared" ref="K5:K16" si="0">N$2*E5%</f>
        <v>0</v>
      </c>
      <c r="L5" s="44">
        <f t="shared" ref="L5:L16" si="1">N$1*E5%</f>
        <v>85500</v>
      </c>
      <c r="M5" s="45">
        <v>0</v>
      </c>
      <c r="N5" s="46">
        <f>ROUND(I5+J5+K5+L5+M5,0) + P5</f>
        <v>82935.009999999995</v>
      </c>
      <c r="O5" s="47">
        <f t="shared" ref="O5:O16" si="2">ROUND(N5*3%,0) + N5</f>
        <v>85423.01</v>
      </c>
      <c r="P5" s="25">
        <v>0.01</v>
      </c>
      <c r="Q5" s="25" t="s">
        <v>123</v>
      </c>
    </row>
    <row r="6" spans="1:18" ht="16.899999999999999" customHeight="1" x14ac:dyDescent="0.25">
      <c r="A6" s="2" t="s">
        <v>9</v>
      </c>
      <c r="B6" s="103" t="s">
        <v>63</v>
      </c>
      <c r="C6" s="103" t="s">
        <v>64</v>
      </c>
      <c r="D6" s="96" t="s">
        <v>65</v>
      </c>
      <c r="E6" s="104">
        <v>7.79</v>
      </c>
      <c r="F6" s="40">
        <v>197623.02</v>
      </c>
      <c r="G6" s="41">
        <f>105000+98552.02+2873</f>
        <v>206425.02000000002</v>
      </c>
      <c r="H6" s="42"/>
      <c r="I6" s="97">
        <f t="shared" ref="I6:I16" si="3">F6-G6</f>
        <v>-8802.0000000000291</v>
      </c>
      <c r="J6" s="97">
        <f t="shared" ref="J6:J16" si="4">IF(I6&gt;0,I6*2.95%,0)</f>
        <v>0</v>
      </c>
      <c r="K6" s="98">
        <f t="shared" si="0"/>
        <v>0</v>
      </c>
      <c r="L6" s="98">
        <f t="shared" si="1"/>
        <v>97375</v>
      </c>
      <c r="M6" s="99">
        <v>0</v>
      </c>
      <c r="N6" s="100">
        <f t="shared" ref="N6:N16" si="5">ROUND(SUM(I6:M6),0) + P6</f>
        <v>88573.02</v>
      </c>
      <c r="O6" s="101">
        <f t="shared" si="2"/>
        <v>91230.02</v>
      </c>
      <c r="P6" s="25">
        <f>P5+0.01</f>
        <v>0.02</v>
      </c>
      <c r="Q6" t="s">
        <v>133</v>
      </c>
    </row>
    <row r="7" spans="1:18" ht="16.899999999999999" customHeight="1" x14ac:dyDescent="0.25">
      <c r="A7" s="118" t="s">
        <v>10</v>
      </c>
      <c r="B7" s="103" t="s">
        <v>66</v>
      </c>
      <c r="C7" s="103" t="s">
        <v>67</v>
      </c>
      <c r="D7" s="103" t="s">
        <v>68</v>
      </c>
      <c r="E7" s="104">
        <v>6.75</v>
      </c>
      <c r="F7" s="41">
        <v>84375.03</v>
      </c>
      <c r="G7" s="41">
        <f>F7</f>
        <v>84375.03</v>
      </c>
      <c r="H7" s="42"/>
      <c r="I7" s="43">
        <f t="shared" si="3"/>
        <v>0</v>
      </c>
      <c r="J7" s="43">
        <f t="shared" si="4"/>
        <v>0</v>
      </c>
      <c r="K7" s="44">
        <f t="shared" si="0"/>
        <v>0</v>
      </c>
      <c r="L7" s="44">
        <f t="shared" si="1"/>
        <v>84375</v>
      </c>
      <c r="M7" s="45">
        <v>0</v>
      </c>
      <c r="N7" s="46">
        <f t="shared" si="5"/>
        <v>84375.03</v>
      </c>
      <c r="O7" s="47">
        <f t="shared" si="2"/>
        <v>86906.03</v>
      </c>
      <c r="P7" s="25">
        <f t="shared" ref="P7:P16" si="6">P6+0.01</f>
        <v>0.03</v>
      </c>
      <c r="Q7" t="s">
        <v>107</v>
      </c>
      <c r="R7" s="25"/>
    </row>
    <row r="8" spans="1:18" ht="16.899999999999999" customHeight="1" x14ac:dyDescent="0.25">
      <c r="A8" s="2" t="s">
        <v>10</v>
      </c>
      <c r="B8" s="103" t="s">
        <v>69</v>
      </c>
      <c r="C8" s="103" t="s">
        <v>70</v>
      </c>
      <c r="D8" s="103" t="s">
        <v>71</v>
      </c>
      <c r="E8" s="104">
        <v>7.41</v>
      </c>
      <c r="F8" s="41">
        <v>92625.04</v>
      </c>
      <c r="G8" s="41">
        <f>F8</f>
        <v>92625.04</v>
      </c>
      <c r="H8" s="42"/>
      <c r="I8" s="43">
        <f t="shared" si="3"/>
        <v>0</v>
      </c>
      <c r="J8" s="43">
        <f t="shared" si="4"/>
        <v>0</v>
      </c>
      <c r="K8" s="44">
        <f t="shared" si="0"/>
        <v>0</v>
      </c>
      <c r="L8" s="44">
        <f t="shared" si="1"/>
        <v>92625</v>
      </c>
      <c r="M8" s="45">
        <v>0</v>
      </c>
      <c r="N8" s="46">
        <f t="shared" si="5"/>
        <v>92625.04</v>
      </c>
      <c r="O8" s="47">
        <f t="shared" si="2"/>
        <v>95404.04</v>
      </c>
      <c r="P8" s="25">
        <f t="shared" si="6"/>
        <v>0.04</v>
      </c>
      <c r="Q8" t="s">
        <v>116</v>
      </c>
      <c r="R8" s="25"/>
    </row>
    <row r="9" spans="1:18" ht="16.899999999999999" customHeight="1" x14ac:dyDescent="0.25">
      <c r="A9" s="118" t="s">
        <v>11</v>
      </c>
      <c r="B9" s="103" t="s">
        <v>72</v>
      </c>
      <c r="C9" s="103" t="s">
        <v>73</v>
      </c>
      <c r="D9" s="103" t="s">
        <v>74</v>
      </c>
      <c r="E9" s="112">
        <v>8</v>
      </c>
      <c r="F9" s="40">
        <v>100000.05</v>
      </c>
      <c r="G9" s="41">
        <v>100000</v>
      </c>
      <c r="H9" s="42"/>
      <c r="I9" s="43">
        <f t="shared" si="3"/>
        <v>5.0000000002910383E-2</v>
      </c>
      <c r="J9" s="43">
        <f t="shared" si="4"/>
        <v>1.4750000000858564E-3</v>
      </c>
      <c r="K9" s="44">
        <f t="shared" si="0"/>
        <v>0</v>
      </c>
      <c r="L9" s="44">
        <f t="shared" si="1"/>
        <v>100000</v>
      </c>
      <c r="M9" s="45">
        <v>0</v>
      </c>
      <c r="N9" s="46">
        <f t="shared" si="5"/>
        <v>100000.05</v>
      </c>
      <c r="O9" s="47">
        <f t="shared" si="2"/>
        <v>103000.05</v>
      </c>
      <c r="P9" s="25">
        <f t="shared" si="6"/>
        <v>0.05</v>
      </c>
      <c r="Q9" t="s">
        <v>120</v>
      </c>
    </row>
    <row r="10" spans="1:18" ht="16.899999999999999" customHeight="1" x14ac:dyDescent="0.25">
      <c r="A10" s="2" t="s">
        <v>11</v>
      </c>
      <c r="B10" s="102" t="s">
        <v>75</v>
      </c>
      <c r="C10" s="103" t="s">
        <v>76</v>
      </c>
      <c r="D10" s="103" t="s">
        <v>77</v>
      </c>
      <c r="E10" s="102">
        <v>6.97</v>
      </c>
      <c r="F10" s="40">
        <v>158969.06</v>
      </c>
      <c r="G10" s="41">
        <v>110000</v>
      </c>
      <c r="H10" s="42"/>
      <c r="I10" s="43">
        <f t="shared" si="3"/>
        <v>48969.06</v>
      </c>
      <c r="J10" s="43">
        <f t="shared" si="4"/>
        <v>1444.58727</v>
      </c>
      <c r="K10" s="44">
        <f t="shared" si="0"/>
        <v>0</v>
      </c>
      <c r="L10" s="44">
        <f t="shared" si="1"/>
        <v>87125</v>
      </c>
      <c r="M10" s="45">
        <v>0</v>
      </c>
      <c r="N10" s="46">
        <f t="shared" si="5"/>
        <v>137539.06</v>
      </c>
      <c r="O10" s="47">
        <f t="shared" si="2"/>
        <v>141665.06</v>
      </c>
      <c r="P10" s="25">
        <f t="shared" si="6"/>
        <v>6.0000000000000005E-2</v>
      </c>
      <c r="Q10" s="84"/>
      <c r="R10" s="83"/>
    </row>
    <row r="11" spans="1:18" ht="16.899999999999999" customHeight="1" x14ac:dyDescent="0.25">
      <c r="A11" s="2" t="s">
        <v>12</v>
      </c>
      <c r="B11" s="102" t="s">
        <v>78</v>
      </c>
      <c r="C11" s="102" t="s">
        <v>79</v>
      </c>
      <c r="D11" s="102" t="s">
        <v>80</v>
      </c>
      <c r="E11" s="105">
        <v>6.75</v>
      </c>
      <c r="F11" s="40">
        <v>84375.07</v>
      </c>
      <c r="G11" s="41">
        <f>F11</f>
        <v>84375.07</v>
      </c>
      <c r="H11" s="42"/>
      <c r="I11" s="43">
        <f t="shared" si="3"/>
        <v>0</v>
      </c>
      <c r="J11" s="43">
        <f t="shared" si="4"/>
        <v>0</v>
      </c>
      <c r="K11" s="44">
        <f t="shared" si="0"/>
        <v>0</v>
      </c>
      <c r="L11" s="44">
        <f t="shared" si="1"/>
        <v>84375</v>
      </c>
      <c r="M11" s="45">
        <v>0</v>
      </c>
      <c r="N11" s="46">
        <f t="shared" si="5"/>
        <v>84375.07</v>
      </c>
      <c r="O11" s="47">
        <f t="shared" si="2"/>
        <v>86906.07</v>
      </c>
      <c r="P11" s="25">
        <f t="shared" si="6"/>
        <v>7.0000000000000007E-2</v>
      </c>
      <c r="Q11" t="s">
        <v>106</v>
      </c>
    </row>
    <row r="12" spans="1:18" ht="16.899999999999999" customHeight="1" x14ac:dyDescent="0.25">
      <c r="A12" s="2" t="s">
        <v>12</v>
      </c>
      <c r="B12" s="102" t="s">
        <v>81</v>
      </c>
      <c r="C12" s="102" t="s">
        <v>82</v>
      </c>
      <c r="D12" s="102" t="s">
        <v>83</v>
      </c>
      <c r="E12" s="105">
        <v>7.79</v>
      </c>
      <c r="F12" s="40">
        <v>97375.08</v>
      </c>
      <c r="G12" s="41">
        <f>F12</f>
        <v>97375.08</v>
      </c>
      <c r="H12" s="42"/>
      <c r="I12" s="43">
        <f t="shared" si="3"/>
        <v>0</v>
      </c>
      <c r="J12" s="43">
        <f t="shared" si="4"/>
        <v>0</v>
      </c>
      <c r="K12" s="44">
        <f t="shared" si="0"/>
        <v>0</v>
      </c>
      <c r="L12" s="44">
        <f t="shared" si="1"/>
        <v>97375</v>
      </c>
      <c r="M12" s="45">
        <v>0</v>
      </c>
      <c r="N12" s="46">
        <f t="shared" si="5"/>
        <v>97375.08</v>
      </c>
      <c r="O12" s="47">
        <f t="shared" si="2"/>
        <v>100296.08</v>
      </c>
      <c r="P12" s="25">
        <f t="shared" si="6"/>
        <v>0.08</v>
      </c>
    </row>
    <row r="13" spans="1:18" ht="16.899999999999999" customHeight="1" x14ac:dyDescent="0.25">
      <c r="A13" s="2" t="s">
        <v>13</v>
      </c>
      <c r="B13" s="103" t="s">
        <v>84</v>
      </c>
      <c r="C13" s="103" t="s">
        <v>85</v>
      </c>
      <c r="D13" s="103" t="s">
        <v>86</v>
      </c>
      <c r="E13" s="104">
        <v>7.62</v>
      </c>
      <c r="F13" s="41">
        <v>95250.09</v>
      </c>
      <c r="G13" s="41">
        <f>F13</f>
        <v>95250.09</v>
      </c>
      <c r="H13" s="42"/>
      <c r="I13" s="43">
        <f t="shared" si="3"/>
        <v>0</v>
      </c>
      <c r="J13" s="43">
        <f t="shared" si="4"/>
        <v>0</v>
      </c>
      <c r="K13" s="44">
        <f t="shared" si="0"/>
        <v>0</v>
      </c>
      <c r="L13" s="44">
        <f t="shared" si="1"/>
        <v>95250</v>
      </c>
      <c r="M13" s="45">
        <v>0</v>
      </c>
      <c r="N13" s="46">
        <f t="shared" si="5"/>
        <v>95250.09</v>
      </c>
      <c r="O13" s="47">
        <f t="shared" si="2"/>
        <v>98108.09</v>
      </c>
      <c r="P13" s="25">
        <f t="shared" si="6"/>
        <v>0.09</v>
      </c>
      <c r="Q13" t="s">
        <v>115</v>
      </c>
    </row>
    <row r="14" spans="1:18" ht="16.899999999999999" customHeight="1" x14ac:dyDescent="0.25">
      <c r="A14" s="2" t="s">
        <v>13</v>
      </c>
      <c r="B14" s="102" t="s">
        <v>87</v>
      </c>
      <c r="C14" s="102" t="s">
        <v>88</v>
      </c>
      <c r="D14" s="102" t="s">
        <v>108</v>
      </c>
      <c r="E14" s="105">
        <v>6.97</v>
      </c>
      <c r="F14" s="40">
        <v>87125.1</v>
      </c>
      <c r="G14" s="41">
        <v>89739.1</v>
      </c>
      <c r="H14" s="42"/>
      <c r="I14" s="43">
        <f t="shared" si="3"/>
        <v>-2614</v>
      </c>
      <c r="J14" s="43">
        <f t="shared" si="4"/>
        <v>0</v>
      </c>
      <c r="K14" s="44">
        <f t="shared" si="0"/>
        <v>0</v>
      </c>
      <c r="L14" s="44">
        <f t="shared" si="1"/>
        <v>87125</v>
      </c>
      <c r="M14" s="45">
        <v>0</v>
      </c>
      <c r="N14" s="46">
        <f t="shared" si="5"/>
        <v>84511.1</v>
      </c>
      <c r="O14" s="47">
        <f t="shared" si="2"/>
        <v>87046.1</v>
      </c>
      <c r="P14" s="25">
        <f t="shared" si="6"/>
        <v>9.9999999999999992E-2</v>
      </c>
    </row>
    <row r="15" spans="1:18" ht="16.899999999999999" customHeight="1" x14ac:dyDescent="0.25">
      <c r="A15" s="2" t="s">
        <v>14</v>
      </c>
      <c r="B15" s="102" t="s">
        <v>89</v>
      </c>
      <c r="C15" s="102" t="s">
        <v>90</v>
      </c>
      <c r="D15" s="102" t="s">
        <v>91</v>
      </c>
      <c r="E15" s="105">
        <v>14.01</v>
      </c>
      <c r="F15" s="40">
        <v>169871.11</v>
      </c>
      <c r="G15" s="41">
        <v>196871.11</v>
      </c>
      <c r="H15" s="42"/>
      <c r="I15" s="43">
        <f t="shared" si="3"/>
        <v>-27000</v>
      </c>
      <c r="J15" s="43">
        <f t="shared" si="4"/>
        <v>0</v>
      </c>
      <c r="K15" s="44">
        <f t="shared" si="0"/>
        <v>0</v>
      </c>
      <c r="L15" s="44">
        <f t="shared" si="1"/>
        <v>175125</v>
      </c>
      <c r="M15" s="45">
        <v>0</v>
      </c>
      <c r="N15" s="46">
        <f t="shared" si="5"/>
        <v>148125.10999999999</v>
      </c>
      <c r="O15" s="47">
        <f t="shared" si="2"/>
        <v>152569.10999999999</v>
      </c>
      <c r="P15" s="25">
        <f t="shared" si="6"/>
        <v>0.10999999999999999</v>
      </c>
      <c r="Q15" t="s">
        <v>118</v>
      </c>
    </row>
    <row r="16" spans="1:18" ht="16.899999999999999" customHeight="1" x14ac:dyDescent="0.25">
      <c r="A16" s="2" t="s">
        <v>14</v>
      </c>
      <c r="B16" s="102" t="s">
        <v>92</v>
      </c>
      <c r="C16" s="102" t="s">
        <v>93</v>
      </c>
      <c r="D16" s="102" t="s">
        <v>94</v>
      </c>
      <c r="E16" s="105">
        <v>13.1</v>
      </c>
      <c r="F16" s="40">
        <v>163750.12</v>
      </c>
      <c r="G16" s="41">
        <f>F16</f>
        <v>163750.12</v>
      </c>
      <c r="H16" s="42"/>
      <c r="I16" s="43">
        <f t="shared" si="3"/>
        <v>0</v>
      </c>
      <c r="J16" s="43">
        <f t="shared" si="4"/>
        <v>0</v>
      </c>
      <c r="K16" s="44">
        <f t="shared" si="0"/>
        <v>0</v>
      </c>
      <c r="L16" s="44">
        <f t="shared" si="1"/>
        <v>163750</v>
      </c>
      <c r="M16" s="45">
        <v>0</v>
      </c>
      <c r="N16" s="46">
        <f t="shared" si="5"/>
        <v>163750.12</v>
      </c>
      <c r="O16" s="47">
        <f t="shared" si="2"/>
        <v>168663.12</v>
      </c>
      <c r="P16" s="25">
        <f t="shared" si="6"/>
        <v>0.11999999999999998</v>
      </c>
      <c r="Q16" t="s">
        <v>105</v>
      </c>
    </row>
    <row r="17" spans="1:16" ht="17.100000000000001" customHeight="1" thickBot="1" x14ac:dyDescent="0.3">
      <c r="A17" s="2" t="s">
        <v>16</v>
      </c>
      <c r="B17" s="35"/>
      <c r="C17" s="35"/>
      <c r="D17" s="35"/>
      <c r="E17" s="39"/>
      <c r="F17" s="40"/>
      <c r="G17" s="41"/>
      <c r="H17" s="42"/>
      <c r="I17" s="43"/>
      <c r="J17" s="43"/>
      <c r="K17" s="44"/>
      <c r="L17" s="44"/>
      <c r="M17" s="45"/>
      <c r="N17" s="46"/>
      <c r="O17" s="47"/>
      <c r="P17" s="25"/>
    </row>
    <row r="18" spans="1:16" ht="17.100000000000001" customHeight="1" thickBot="1" x14ac:dyDescent="0.3">
      <c r="B18" s="48"/>
      <c r="C18" s="49"/>
      <c r="D18" s="50"/>
      <c r="E18" s="51">
        <f>SUM(E5:E17)</f>
        <v>100</v>
      </c>
      <c r="F18" s="28">
        <f>SUM(F5:F17)</f>
        <v>1416838.7800000003</v>
      </c>
      <c r="G18" s="33">
        <f>SUM(G5:G17)</f>
        <v>1408850.6600000001</v>
      </c>
      <c r="H18" s="33">
        <f>SUM(H5:H17)</f>
        <v>0</v>
      </c>
      <c r="I18" s="33"/>
      <c r="J18" s="33"/>
      <c r="K18" s="33">
        <f>SUM(K5:K17)</f>
        <v>0</v>
      </c>
      <c r="L18" s="33">
        <f>SUM(L5:L17)</f>
        <v>1250000</v>
      </c>
      <c r="M18" s="33">
        <f>SUM(M5:M17)</f>
        <v>0</v>
      </c>
      <c r="N18" s="52">
        <f>SUM(N5:N17)</f>
        <v>1259433.7799999998</v>
      </c>
      <c r="O18" s="52">
        <f>SUM(O5:O17)</f>
        <v>1297216.7799999998</v>
      </c>
    </row>
    <row r="19" spans="1:16" x14ac:dyDescent="0.25">
      <c r="D19" s="27"/>
    </row>
    <row r="20" spans="1:16" x14ac:dyDescent="0.25">
      <c r="D20" s="125" t="s">
        <v>56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6" x14ac:dyDescent="0.25"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</row>
    <row r="22" spans="1:16" x14ac:dyDescent="0.25"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6" x14ac:dyDescent="0.25"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6" x14ac:dyDescent="0.25"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6" ht="4.9000000000000004" customHeight="1" x14ac:dyDescent="0.25"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</sheetData>
  <mergeCells count="18">
    <mergeCell ref="J1:K2"/>
    <mergeCell ref="B1:E2"/>
    <mergeCell ref="F1:I2"/>
    <mergeCell ref="A3:A4"/>
    <mergeCell ref="B3:B4"/>
    <mergeCell ref="C3:C4"/>
    <mergeCell ref="D3:D4"/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2026-05-01T16:56:04Z</cp:lastPrinted>
  <dcterms:created xsi:type="dcterms:W3CDTF">2023-09-17T12:29:07Z</dcterms:created>
  <dcterms:modified xsi:type="dcterms:W3CDTF">2026-05-01T16:56:10Z</dcterms:modified>
</cp:coreProperties>
</file>