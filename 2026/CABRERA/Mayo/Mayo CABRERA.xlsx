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CABRERA\Mayo\"/>
    </mc:Choice>
  </mc:AlternateContent>
  <xr:revisionPtr revIDLastSave="0" documentId="13_ncr:1_{A137D91A-70EE-4D97-AC77-C5EDB43A699E}" xr6:coauthVersionLast="47" xr6:coauthVersionMax="47" xr10:uidLastSave="{00000000-0000-0000-0000-000000000000}"/>
  <bookViews>
    <workbookView xWindow="-120" yWindow="-120" windowWidth="20730" windowHeight="11040" tabRatio="793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PRORRATEO!$A$1:$O$26</definedName>
    <definedName name="_xlnm.Print_Area" localSheetId="0">RESUMEN!$A$1:$D$93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" i="2" l="1"/>
  <c r="G14" i="2" l="1"/>
  <c r="G6" i="2"/>
  <c r="G12" i="2"/>
  <c r="G8" i="2"/>
  <c r="G16" i="2"/>
  <c r="G13" i="2"/>
  <c r="G15" i="2"/>
  <c r="G11" i="2" l="1"/>
  <c r="G7" i="2"/>
  <c r="D50" i="1" l="1"/>
  <c r="B92" i="1" l="1"/>
  <c r="B1" i="2" l="1"/>
  <c r="K5" i="2"/>
  <c r="L5" i="2"/>
  <c r="I5" i="2"/>
  <c r="J5" i="2" s="1"/>
  <c r="P6" i="2"/>
  <c r="E18" i="2"/>
  <c r="N5" i="2" l="1"/>
  <c r="D46" i="1"/>
  <c r="D32" i="1" l="1"/>
  <c r="D54" i="1"/>
  <c r="D35" i="1"/>
  <c r="I12" i="2" l="1"/>
  <c r="D41" i="1"/>
  <c r="C28" i="1" l="1"/>
  <c r="D29" i="1" s="1"/>
  <c r="D58" i="1" s="1"/>
  <c r="I16" i="2"/>
  <c r="J16" i="2" s="1"/>
  <c r="I14" i="2"/>
  <c r="J14" i="2" s="1"/>
  <c r="I9" i="2"/>
  <c r="J9" i="2" s="1"/>
  <c r="I6" i="2"/>
  <c r="J6" i="2" s="1"/>
  <c r="I7" i="2"/>
  <c r="J7" i="2" s="1"/>
  <c r="I8" i="2"/>
  <c r="J8" i="2" s="1"/>
  <c r="I10" i="2"/>
  <c r="J10" i="2" s="1"/>
  <c r="I11" i="2"/>
  <c r="J11" i="2" s="1"/>
  <c r="J12" i="2"/>
  <c r="I13" i="2"/>
  <c r="J13" i="2" s="1"/>
  <c r="I15" i="2"/>
  <c r="J15" i="2" s="1"/>
  <c r="H18" i="2" l="1"/>
  <c r="K6" i="2" l="1"/>
  <c r="K7" i="2"/>
  <c r="K8" i="2"/>
  <c r="K9" i="2"/>
  <c r="K10" i="2"/>
  <c r="K11" i="2"/>
  <c r="K12" i="2"/>
  <c r="K13" i="2"/>
  <c r="K14" i="2"/>
  <c r="K15" i="2"/>
  <c r="K16" i="2"/>
  <c r="D65" i="1" l="1"/>
  <c r="D70" i="1" s="1"/>
  <c r="B74" i="1" s="1"/>
  <c r="B84" i="1" s="1"/>
  <c r="B82" i="1" l="1"/>
  <c r="N4" i="2" l="1"/>
  <c r="G18" i="2" l="1"/>
  <c r="B81" i="1" s="1"/>
  <c r="F18" i="2"/>
  <c r="B75" i="1" l="1"/>
  <c r="K18" i="2"/>
  <c r="B73" i="1" l="1"/>
  <c r="L6" i="2"/>
  <c r="L7" i="2"/>
  <c r="L8" i="2"/>
  <c r="L9" i="2"/>
  <c r="L10" i="2"/>
  <c r="L11" i="2"/>
  <c r="L12" i="2"/>
  <c r="L13" i="2"/>
  <c r="L14" i="2"/>
  <c r="L15" i="2"/>
  <c r="L16" i="2"/>
  <c r="B83" i="1" l="1"/>
  <c r="B85" i="1" s="1"/>
  <c r="L18" i="2"/>
  <c r="B72" i="1" l="1"/>
  <c r="M18" i="2" l="1"/>
  <c r="P7" i="2"/>
  <c r="P8" i="2" l="1"/>
  <c r="N7" i="2"/>
  <c r="O7" i="2" s="1"/>
  <c r="N6" i="2"/>
  <c r="O5" i="2"/>
  <c r="O6" i="2" l="1"/>
  <c r="P9" i="2"/>
  <c r="N8" i="2"/>
  <c r="O8" i="2" s="1"/>
  <c r="N9" i="2" l="1"/>
  <c r="O9" i="2" s="1"/>
  <c r="P10" i="2"/>
  <c r="P11" i="2" l="1"/>
  <c r="N10" i="2"/>
  <c r="O10" i="2" s="1"/>
  <c r="N11" i="2" l="1"/>
  <c r="O11" i="2" s="1"/>
  <c r="P12" i="2"/>
  <c r="N12" i="2" l="1"/>
  <c r="O12" i="2" s="1"/>
  <c r="P13" i="2"/>
  <c r="N13" i="2" l="1"/>
  <c r="O13" i="2" s="1"/>
  <c r="P14" i="2"/>
  <c r="P15" i="2" l="1"/>
  <c r="N14" i="2"/>
  <c r="O14" i="2" s="1"/>
  <c r="P16" i="2" l="1"/>
  <c r="N16" i="2" s="1"/>
  <c r="N15" i="2"/>
  <c r="O15" i="2" s="1"/>
  <c r="O16" i="2" l="1"/>
  <c r="O18" i="2" s="1"/>
  <c r="N18" i="2"/>
</calcChain>
</file>

<file path=xl/sharedStrings.xml><?xml version="1.0" encoding="utf-8"?>
<sst xmlns="http://schemas.openxmlformats.org/spreadsheetml/2006/main" count="146" uniqueCount="133">
  <si>
    <t>TOTAL SUELDO</t>
  </si>
  <si>
    <t>TOTAL IMPUESTO</t>
  </si>
  <si>
    <t>TOTAL Aportes y Contribuciones - Sindicato</t>
  </si>
  <si>
    <t>TOTAL ABONOS Y SERVICIOS</t>
  </si>
  <si>
    <t>Piso</t>
  </si>
  <si>
    <t>Propietario</t>
  </si>
  <si>
    <t xml:space="preserve">Ingreso </t>
  </si>
  <si>
    <t>Expensas extraor.</t>
  </si>
  <si>
    <t>TOTAL</t>
  </si>
  <si>
    <t>3º</t>
  </si>
  <si>
    <t>4º</t>
  </si>
  <si>
    <t>5º</t>
  </si>
  <si>
    <t>6º</t>
  </si>
  <si>
    <t>7º</t>
  </si>
  <si>
    <t>8º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</si>
  <si>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</si>
  <si>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</si>
  <si>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</si>
  <si>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</si>
  <si>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</si>
  <si>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</si>
  <si>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</si>
  <si>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</si>
  <si>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</si>
  <si>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</si>
  <si>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</si>
  <si>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</si>
  <si>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</si>
  <si>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</si>
  <si>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</si>
  <si>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</si>
  <si>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</si>
  <si>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</si>
  <si>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</si>
  <si>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</si>
  <si>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Pago por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</si>
  <si>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</si>
  <si>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</si>
  <si>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</si>
  <si>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</si>
  <si>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</si>
  <si>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</si>
  <si>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</si>
  <si>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</si>
  <si>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</si>
  <si>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</si>
  <si>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</si>
  <si>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</si>
  <si>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</si>
  <si>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</si>
  <si>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</si>
  <si>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</si>
  <si>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</si>
  <si>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</si>
  <si>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</si>
  <si>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</si>
  <si>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HORARIOS DE ATENCION: 10 A 15HS - LUNES A VIERNES</t>
  </si>
  <si>
    <t>U.F.</t>
  </si>
  <si>
    <t>UF/Polígono</t>
  </si>
  <si>
    <t>PB A</t>
  </si>
  <si>
    <t>uf 1/00-01</t>
  </si>
  <si>
    <t>FRANCES, Hernan Javier</t>
  </si>
  <si>
    <t>PB B/C</t>
  </si>
  <si>
    <t>uf 2/00-02</t>
  </si>
  <si>
    <t>POZZUTO, Andrea</t>
  </si>
  <si>
    <t>P. 1° A</t>
  </si>
  <si>
    <t>uf 4/01-02</t>
  </si>
  <si>
    <t>MAZZOTTI, Martin</t>
  </si>
  <si>
    <t>P. 1° B</t>
  </si>
  <si>
    <t>uf 3/01-01</t>
  </si>
  <si>
    <t>ZANELLO, Ariel</t>
  </si>
  <si>
    <t>P. 1° C/D</t>
  </si>
  <si>
    <t>uf 6/01-04</t>
  </si>
  <si>
    <t>VAZQUEZ, Gustavo</t>
  </si>
  <si>
    <t>P. 1° D</t>
  </si>
  <si>
    <t>uf 5/01-03</t>
  </si>
  <si>
    <t>GARCIA, Liliana</t>
  </si>
  <si>
    <t>P. 2° A</t>
  </si>
  <si>
    <t>uf 8/02-02</t>
  </si>
  <si>
    <t>LOPEZ JAUREGUI, Lucia</t>
  </si>
  <si>
    <t>P. 2° B/C</t>
  </si>
  <si>
    <t>uf 7/02-01</t>
  </si>
  <si>
    <t>SCOTT, Sergio</t>
  </si>
  <si>
    <t>P. 2° C</t>
  </si>
  <si>
    <t>uf 10/02-04</t>
  </si>
  <si>
    <t>CAPAZZO, Julian Ignacio</t>
  </si>
  <si>
    <t>P. 2° D</t>
  </si>
  <si>
    <t>uf 9/02-03</t>
  </si>
  <si>
    <t>P. 3° A/C</t>
  </si>
  <si>
    <t>uf 11/03-01</t>
  </si>
  <si>
    <t>CIVES, Jose</t>
  </si>
  <si>
    <t>P. 3° B</t>
  </si>
  <si>
    <t>uf 12/03-02</t>
  </si>
  <si>
    <t>MARUNCHIAK, Andres</t>
  </si>
  <si>
    <t>MetroGas N° cliente 20425514800</t>
  </si>
  <si>
    <t>Edesur cliente 1470141</t>
  </si>
  <si>
    <t>Banco Santander  - Gastos bancarios</t>
  </si>
  <si>
    <t>Banco Santander  - Mantenimiento de cuenta</t>
  </si>
  <si>
    <t>Email</t>
  </si>
  <si>
    <t>notificaciones</t>
  </si>
  <si>
    <t>micaelabarrella@hotmail.com</t>
  </si>
  <si>
    <t>TELEFONO : 11-5320-2676 - MAIL: cabrera140rc@gmail.com - OFICINA CON CITA PREVIA - DR MELO 2958 8° PISO</t>
  </si>
  <si>
    <t xml:space="preserve">AySA </t>
  </si>
  <si>
    <t xml:space="preserve">Salvati Leonel Amilcar - Servicio de limpieza </t>
  </si>
  <si>
    <t>Lucia de dominicis</t>
  </si>
  <si>
    <t>Acosta Cristian</t>
  </si>
  <si>
    <t>JAUREGUIBERRY, Candela</t>
  </si>
  <si>
    <t>Banco: Santander
C.U.I.T.   30-71774143-5
CBU: 0720533020000000956840 ALIAS: BLONDA.LAGO.CORO
Nº de cuenta: 533-009568/4</t>
  </si>
  <si>
    <t>POR FAVOR RESPETAR CENTAVOS AL ABONAR</t>
  </si>
  <si>
    <t>ORDINARIOS:</t>
  </si>
  <si>
    <t>EXTRAORDINARIOS:</t>
  </si>
  <si>
    <t>MEDIOS DE CONTACTOS: cabrera140rc@gmail.com  - INFORMAR CUALQUIER TIPO DE PAGO POR ALLI</t>
  </si>
  <si>
    <t>Melisa Belmonte</t>
  </si>
  <si>
    <t xml:space="preserve">franco attolino </t>
  </si>
  <si>
    <t>Facundo Guarinello</t>
  </si>
  <si>
    <t>PREVISION ORDINARIA - LIMPIEZA DE TANQUE</t>
  </si>
  <si>
    <t>Silvia Marin De Sarni</t>
  </si>
  <si>
    <t>Federacion Patronal - Poliza nro. 1-2277498-0</t>
  </si>
  <si>
    <t>Ascensores Guillemi - Mantenimiento de ascensores - Se debe un mes por falta de presentacion ante municipalidad</t>
  </si>
  <si>
    <t>Lucas damian rivero</t>
  </si>
  <si>
    <t>Abdon alberto</t>
  </si>
  <si>
    <t>VTO 18/06</t>
  </si>
  <si>
    <t>Honorarios administracion - Mes anterior - Se adeuda MAYO</t>
  </si>
  <si>
    <t>Mes de ABRIL</t>
  </si>
  <si>
    <t>Transf 04/05</t>
  </si>
  <si>
    <t>Transf 06/05</t>
  </si>
  <si>
    <t>Transf 08/05</t>
  </si>
  <si>
    <t>Debito 05/05</t>
  </si>
  <si>
    <t>Transf 11/05</t>
  </si>
  <si>
    <t>Ezequiel Mazzio</t>
  </si>
  <si>
    <t>Transf 26/05</t>
  </si>
  <si>
    <t xml:space="preserve">Saldo anterior </t>
  </si>
  <si>
    <t>Hace unos meses venimos arrastrando una diferencia de caja de $51.266 (Tenemos mas en el banco de lo que dice el excel)- 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</si>
</sst>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0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0" borderId="1" xfId="0" applyFont="1" applyBorder="1" applyAlignment="1">
      <alignment vertical="center" wrapText="1"/>
    </xf>
    <xf numFmtId="0" fontId="2" fillId="4" borderId="1" xfId="0" applyFont="1" applyFill="1" applyBorder="1"/>
    <xf numFmtId="8" fontId="6" fillId="4" borderId="6" xfId="0" applyNumberFormat="1" applyFont="1" applyFill="1" applyBorder="1"/>
    <xf numFmtId="0" fontId="9" fillId="4" borderId="1" xfId="0" applyFont="1" applyFill="1" applyBorder="1"/>
    <xf numFmtId="0" fontId="6" fillId="4" borderId="1" xfId="0" applyFont="1" applyFill="1" applyBorder="1"/>
    <xf numFmtId="0" fontId="10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1" fillId="0" borderId="0" xfId="0" applyFont="1"/>
    <xf numFmtId="44" fontId="12" fillId="4" borderId="13" xfId="0" applyNumberFormat="1" applyFont="1" applyFill="1" applyBorder="1"/>
    <xf numFmtId="0" fontId="16" fillId="11" borderId="1" xfId="0" applyFont="1" applyFill="1" applyBorder="1"/>
    <xf numFmtId="8" fontId="17" fillId="11" borderId="6" xfId="0" applyNumberFormat="1" applyFont="1" applyFill="1" applyBorder="1"/>
    <xf numFmtId="44" fontId="0" fillId="4" borderId="0" xfId="1" applyFont="1" applyFill="1"/>
    <xf numFmtId="0" fontId="13" fillId="3" borderId="20" xfId="0" applyFont="1" applyFill="1" applyBorder="1" applyAlignment="1">
      <alignment horizontal="center" vertical="center" wrapText="1"/>
    </xf>
    <xf numFmtId="165" fontId="12" fillId="4" borderId="13" xfId="0" applyNumberFormat="1" applyFont="1" applyFill="1" applyBorder="1"/>
    <xf numFmtId="0" fontId="13" fillId="3" borderId="18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44" fontId="8" fillId="4" borderId="1" xfId="1" applyFont="1" applyFill="1" applyBorder="1"/>
    <xf numFmtId="44" fontId="5" fillId="5" borderId="11" xfId="0" applyNumberFormat="1" applyFont="1" applyFill="1" applyBorder="1"/>
    <xf numFmtId="0" fontId="12" fillId="0" borderId="1" xfId="0" applyFont="1" applyBorder="1" applyAlignment="1">
      <alignment horizontal="center"/>
    </xf>
    <xf numFmtId="44" fontId="18" fillId="0" borderId="1" xfId="1" applyFont="1" applyBorder="1"/>
    <xf numFmtId="44" fontId="18" fillId="2" borderId="1" xfId="1" applyFont="1" applyFill="1" applyBorder="1"/>
    <xf numFmtId="165" fontId="18" fillId="2" borderId="1" xfId="1" applyNumberFormat="1" applyFont="1" applyFill="1" applyBorder="1"/>
    <xf numFmtId="165" fontId="12" fillId="0" borderId="1" xfId="0" applyNumberFormat="1" applyFont="1" applyBorder="1"/>
    <xf numFmtId="165" fontId="12" fillId="0" borderId="1" xfId="1" applyNumberFormat="1" applyFont="1" applyBorder="1"/>
    <xf numFmtId="44" fontId="12" fillId="0" borderId="6" xfId="1" applyFont="1" applyBorder="1"/>
    <xf numFmtId="44" fontId="18" fillId="0" borderId="25" xfId="1" applyFont="1" applyBorder="1"/>
    <xf numFmtId="44" fontId="18" fillId="0" borderId="27" xfId="1" applyFont="1" applyBorder="1"/>
    <xf numFmtId="0" fontId="12" fillId="10" borderId="21" xfId="0" applyFont="1" applyFill="1" applyBorder="1"/>
    <xf numFmtId="0" fontId="12" fillId="4" borderId="26" xfId="0" applyFont="1" applyFill="1" applyBorder="1"/>
    <xf numFmtId="0" fontId="12" fillId="4" borderId="13" xfId="0" applyFont="1" applyFill="1" applyBorder="1"/>
    <xf numFmtId="0" fontId="12" fillId="4" borderId="13" xfId="0" applyFont="1" applyFill="1" applyBorder="1" applyAlignment="1">
      <alignment horizontal="center"/>
    </xf>
    <xf numFmtId="44" fontId="12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9" fillId="4" borderId="3" xfId="1" applyFont="1" applyFill="1" applyBorder="1"/>
    <xf numFmtId="44" fontId="8" fillId="4" borderId="21" xfId="1" applyFont="1" applyFill="1" applyBorder="1"/>
    <xf numFmtId="44" fontId="20" fillId="4" borderId="3" xfId="1" applyFont="1" applyFill="1" applyBorder="1"/>
    <xf numFmtId="0" fontId="20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4" fillId="2" borderId="6" xfId="1" applyFont="1" applyFill="1" applyBorder="1"/>
    <xf numFmtId="44" fontId="20" fillId="2" borderId="1" xfId="1" applyFont="1" applyFill="1" applyBorder="1"/>
    <xf numFmtId="44" fontId="8" fillId="4" borderId="2" xfId="1" applyFont="1" applyFill="1" applyBorder="1"/>
    <xf numFmtId="44" fontId="20" fillId="2" borderId="3" xfId="1" applyFont="1" applyFill="1" applyBorder="1"/>
    <xf numFmtId="8" fontId="6" fillId="4" borderId="22" xfId="0" applyNumberFormat="1" applyFont="1" applyFill="1" applyBorder="1"/>
    <xf numFmtId="0" fontId="20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20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44" fontId="6" fillId="0" borderId="1" xfId="1" applyFont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16" fillId="11" borderId="3" xfId="0" applyFont="1" applyFill="1" applyBorder="1"/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3" fillId="2" borderId="1" xfId="1" applyNumberFormat="1" applyFont="1" applyFill="1" applyBorder="1" applyAlignment="1">
      <alignment wrapText="1"/>
    </xf>
    <xf numFmtId="44" fontId="21" fillId="2" borderId="1" xfId="1" applyFont="1" applyFill="1" applyBorder="1"/>
    <xf numFmtId="0" fontId="13" fillId="2" borderId="1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/>
    <xf numFmtId="0" fontId="13" fillId="2" borderId="1" xfId="1" applyNumberFormat="1" applyFont="1" applyFill="1" applyBorder="1" applyAlignment="1"/>
    <xf numFmtId="44" fontId="13" fillId="0" borderId="1" xfId="1" applyFont="1" applyBorder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2" borderId="1" xfId="1" applyFont="1" applyFill="1" applyBorder="1"/>
    <xf numFmtId="165" fontId="0" fillId="3" borderId="8" xfId="1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165" fontId="12" fillId="2" borderId="1" xfId="0" applyNumberFormat="1" applyFont="1" applyFill="1" applyBorder="1"/>
    <xf numFmtId="165" fontId="12" fillId="2" borderId="1" xfId="1" applyNumberFormat="1" applyFont="1" applyFill="1" applyBorder="1"/>
    <xf numFmtId="44" fontId="12" fillId="2" borderId="6" xfId="1" applyFont="1" applyFill="1" applyBorder="1"/>
    <xf numFmtId="44" fontId="18" fillId="2" borderId="25" xfId="1" applyFont="1" applyFill="1" applyBorder="1"/>
    <xf numFmtId="44" fontId="18" fillId="2" borderId="27" xfId="1" applyFont="1" applyFill="1" applyBorder="1"/>
    <xf numFmtId="0" fontId="12" fillId="0" borderId="1" xfId="0" applyFont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8" fillId="2" borderId="0" xfId="0" applyFont="1" applyFill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4" fontId="0" fillId="3" borderId="15" xfId="1" applyFont="1" applyFill="1" applyBorder="1" applyAlignment="1"/>
    <xf numFmtId="44" fontId="0" fillId="3" borderId="26" xfId="1" applyFont="1" applyFill="1" applyBorder="1" applyAlignment="1">
      <alignment vertical="center"/>
    </xf>
    <xf numFmtId="2" fontId="12" fillId="0" borderId="1" xfId="0" applyNumberFormat="1" applyFont="1" applyBorder="1" applyAlignment="1">
      <alignment vertical="center"/>
    </xf>
    <xf numFmtId="44" fontId="4" fillId="0" borderId="1" xfId="1" applyFont="1" applyBorder="1" applyAlignment="1">
      <alignment vertical="center" wrapText="1"/>
    </xf>
    <xf numFmtId="44" fontId="4" fillId="0" borderId="1" xfId="1" applyFont="1" applyBorder="1"/>
    <xf numFmtId="0" fontId="0" fillId="3" borderId="12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44" fontId="0" fillId="3" borderId="12" xfId="1" applyFont="1" applyFill="1" applyBorder="1" applyAlignment="1">
      <alignment vertical="center"/>
    </xf>
    <xf numFmtId="0" fontId="0" fillId="2" borderId="1" xfId="0" applyFill="1" applyBorder="1"/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4" borderId="1" xfId="0" applyFont="1" applyFill="1" applyBorder="1"/>
    <xf numFmtId="0" fontId="4" fillId="0" borderId="6" xfId="0" applyFont="1" applyBorder="1" applyAlignment="1">
      <alignment horizontal="left" vertical="center"/>
    </xf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2" borderId="1" xfId="1" applyFont="1" applyFill="1" applyBorder="1"/>
    <xf numFmtId="8" fontId="4" fillId="2" borderId="1" xfId="0" applyNumberFormat="1" applyFont="1" applyFill="1" applyBorder="1" applyAlignment="1">
      <alignment vertical="center"/>
    </xf>
    <xf numFmtId="0" fontId="5" fillId="3" borderId="0" xfId="0" applyFont="1" applyFill="1" applyAlignment="1">
      <alignment horizontal="left" vertical="top" wrapText="1"/>
    </xf>
    <xf numFmtId="0" fontId="14" fillId="3" borderId="0" xfId="0" applyFont="1" applyFill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 wrapText="1"/>
    </xf>
    <xf numFmtId="0" fontId="6" fillId="8" borderId="24" xfId="0" applyFont="1" applyFill="1" applyBorder="1" applyAlignment="1">
      <alignment horizontal="left" vertical="center" wrapText="1"/>
    </xf>
    <xf numFmtId="0" fontId="6" fillId="8" borderId="28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5" fillId="9" borderId="0" xfId="0" applyFont="1" applyFill="1" applyAlignment="1">
      <alignment horizontal="center" vertical="center"/>
    </xf>
    <xf numFmtId="0" fontId="2" fillId="9" borderId="14" xfId="0" applyFont="1" applyFill="1" applyBorder="1" applyAlignment="1">
      <alignment horizontal="left" vertical="center" wrapText="1"/>
    </xf>
    <xf numFmtId="0" fontId="2" fillId="9" borderId="15" xfId="0" applyFont="1" applyFill="1" applyBorder="1" applyAlignment="1">
      <alignment horizontal="left" vertical="center" wrapText="1"/>
    </xf>
    <xf numFmtId="0" fontId="2" fillId="9" borderId="29" xfId="0" applyFont="1" applyFill="1" applyBorder="1" applyAlignment="1">
      <alignment horizontal="left" vertical="center" wrapText="1"/>
    </xf>
    <xf numFmtId="0" fontId="2" fillId="9" borderId="26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1588770</xdr:colOff>
      <xdr:row>2</xdr:row>
      <xdr:rowOff>26670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93845" y="40767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workbookViewId="0">
      <selection activeCell="F93" sqref="A1:F93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6" width="13.140625" bestFit="1" customWidth="1"/>
    <col min="7" max="7" width="42.28515625" customWidth="1"/>
    <col min="10" max="10" width="18" customWidth="1"/>
    <col min="11" max="11" width="18.28515625" customWidth="1"/>
  </cols>
  <sheetData>
    <row r="1" spans="1:8" x14ac:dyDescent="0.25">
      <c r="A1" s="82" t="s">
        <v>50</v>
      </c>
      <c r="B1" s="77"/>
      <c r="C1" s="3"/>
      <c r="D1" s="3"/>
    </row>
    <row r="2" spans="1:8" x14ac:dyDescent="0.25">
      <c r="A2" s="78" t="s">
        <v>101</v>
      </c>
      <c r="B2" s="78"/>
      <c r="C2" s="78"/>
      <c r="D2" s="78"/>
    </row>
    <row r="3" spans="1:8" ht="16.899999999999999" customHeight="1" x14ac:dyDescent="0.25">
      <c r="A3" s="78" t="s">
        <v>56</v>
      </c>
      <c r="B3" s="78"/>
      <c r="C3" s="78"/>
      <c r="D3" s="78"/>
    </row>
    <row r="4" spans="1:8" ht="32.25" customHeight="1" x14ac:dyDescent="0.25">
      <c r="A4" s="143" t="s">
        <v>107</v>
      </c>
      <c r="B4" s="143"/>
      <c r="C4" s="79"/>
      <c r="D4" s="79"/>
    </row>
    <row r="5" spans="1:8" x14ac:dyDescent="0.25">
      <c r="A5" s="143"/>
      <c r="B5" s="143"/>
      <c r="C5" s="79"/>
      <c r="D5" s="79"/>
    </row>
    <row r="6" spans="1:8" x14ac:dyDescent="0.25">
      <c r="A6" s="143"/>
      <c r="B6" s="143"/>
      <c r="C6" s="79"/>
      <c r="D6" s="79"/>
    </row>
    <row r="7" spans="1:8" ht="6.6" customHeight="1" x14ac:dyDescent="0.25">
      <c r="A7" s="143"/>
      <c r="B7" s="143"/>
      <c r="C7" s="79"/>
      <c r="D7" s="79"/>
    </row>
    <row r="9" spans="1:8" x14ac:dyDescent="0.25">
      <c r="B9" s="151" t="s">
        <v>121</v>
      </c>
    </row>
    <row r="10" spans="1:8" x14ac:dyDescent="0.25">
      <c r="B10" s="151"/>
    </row>
    <row r="11" spans="1:8" x14ac:dyDescent="0.25">
      <c r="B11" s="151"/>
    </row>
    <row r="13" spans="1:8" ht="14.45" hidden="1" customHeight="1" x14ac:dyDescent="0.25">
      <c r="F13" t="s">
        <v>98</v>
      </c>
      <c r="G13" t="s">
        <v>99</v>
      </c>
      <c r="H13" t="s">
        <v>100</v>
      </c>
    </row>
    <row r="14" spans="1:8" ht="15" customHeight="1" x14ac:dyDescent="0.25">
      <c r="A14" s="144" t="s">
        <v>49</v>
      </c>
      <c r="B14" s="144"/>
      <c r="C14" s="144"/>
      <c r="D14" s="144"/>
    </row>
    <row r="15" spans="1:8" ht="15" customHeight="1" x14ac:dyDescent="0.25">
      <c r="A15" s="144"/>
      <c r="B15" s="144"/>
      <c r="C15" s="144"/>
      <c r="D15" s="144"/>
    </row>
    <row r="16" spans="1:8" ht="15" customHeight="1" x14ac:dyDescent="0.25">
      <c r="A16" s="144"/>
      <c r="B16" s="144"/>
      <c r="C16" s="144"/>
      <c r="D16" s="144"/>
    </row>
    <row r="17" spans="1:7" ht="53.25" customHeight="1" x14ac:dyDescent="0.25">
      <c r="A17" s="144"/>
      <c r="B17" s="144"/>
      <c r="C17" s="144"/>
      <c r="D17" s="144"/>
    </row>
    <row r="18" spans="1:7" ht="14.25" customHeight="1" thickBot="1" x14ac:dyDescent="0.3"/>
    <row r="19" spans="1:7" ht="15.75" hidden="1" thickBot="1" x14ac:dyDescent="0.3">
      <c r="A19" s="1"/>
    </row>
    <row r="20" spans="1:7" ht="15.75" hidden="1" thickBot="1" x14ac:dyDescent="0.3"/>
    <row r="21" spans="1:7" x14ac:dyDescent="0.25">
      <c r="A21" s="6" t="s">
        <v>15</v>
      </c>
      <c r="B21" s="7"/>
      <c r="C21" s="5"/>
      <c r="D21" s="8"/>
    </row>
    <row r="22" spans="1:7" x14ac:dyDescent="0.25">
      <c r="A22" s="15" t="s">
        <v>40</v>
      </c>
      <c r="B22" s="15"/>
      <c r="C22" s="13"/>
      <c r="D22" s="13"/>
    </row>
    <row r="23" spans="1:7" ht="14.25" customHeight="1" x14ac:dyDescent="0.25">
      <c r="A23" s="2" t="s">
        <v>103</v>
      </c>
      <c r="B23" s="2"/>
      <c r="C23" s="92">
        <v>475000</v>
      </c>
      <c r="D23" s="85" t="s">
        <v>124</v>
      </c>
    </row>
    <row r="24" spans="1:7" hidden="1" x14ac:dyDescent="0.25">
      <c r="A24" s="2"/>
      <c r="B24" s="2"/>
      <c r="C24" s="92"/>
      <c r="D24" s="81"/>
    </row>
    <row r="25" spans="1:7" hidden="1" x14ac:dyDescent="0.25">
      <c r="A25" s="2"/>
      <c r="B25" s="2"/>
      <c r="C25" s="92"/>
      <c r="D25" s="81"/>
    </row>
    <row r="26" spans="1:7" hidden="1" x14ac:dyDescent="0.25">
      <c r="A26" s="2"/>
      <c r="B26" s="2"/>
      <c r="C26" s="92"/>
      <c r="D26" s="81"/>
    </row>
    <row r="27" spans="1:7" hidden="1" x14ac:dyDescent="0.25">
      <c r="A27" s="2"/>
      <c r="B27" s="2"/>
      <c r="C27" s="93"/>
      <c r="D27" s="81"/>
    </row>
    <row r="28" spans="1:7" hidden="1" x14ac:dyDescent="0.25">
      <c r="A28" s="29" t="s">
        <v>41</v>
      </c>
      <c r="B28" s="80"/>
      <c r="C28" s="30">
        <f>SUM(C24:C27)</f>
        <v>0</v>
      </c>
      <c r="D28" s="54"/>
    </row>
    <row r="29" spans="1:7" ht="14.25" customHeight="1" thickBot="1" x14ac:dyDescent="0.3">
      <c r="A29" s="11" t="s">
        <v>0</v>
      </c>
      <c r="B29" s="11"/>
      <c r="C29" s="12"/>
      <c r="D29" s="55">
        <f>C23+C28</f>
        <v>475000</v>
      </c>
      <c r="E29" s="9"/>
      <c r="F29" s="9"/>
    </row>
    <row r="30" spans="1:7" x14ac:dyDescent="0.25">
      <c r="A30" s="15" t="s">
        <v>26</v>
      </c>
      <c r="B30" s="15"/>
      <c r="C30" s="16"/>
      <c r="D30" s="56"/>
      <c r="F30" s="9"/>
    </row>
    <row r="31" spans="1:7" ht="21" customHeight="1" x14ac:dyDescent="0.25">
      <c r="A31" s="118" t="s">
        <v>122</v>
      </c>
      <c r="B31" s="119"/>
      <c r="C31" s="142">
        <v>102000</v>
      </c>
      <c r="D31" s="90" t="s">
        <v>128</v>
      </c>
      <c r="G31" s="9"/>
    </row>
    <row r="32" spans="1:7" ht="15.75" thickBot="1" x14ac:dyDescent="0.3">
      <c r="A32" s="14" t="s">
        <v>22</v>
      </c>
      <c r="B32" s="14"/>
      <c r="C32" s="19"/>
      <c r="D32" s="55">
        <f>SUM(C31:C31)</f>
        <v>102000</v>
      </c>
    </row>
    <row r="33" spans="1:6" x14ac:dyDescent="0.25">
      <c r="A33" s="13" t="s">
        <v>37</v>
      </c>
      <c r="B33" s="14"/>
      <c r="C33" s="17"/>
      <c r="D33" s="37"/>
    </row>
    <row r="34" spans="1:6" s="22" customFormat="1" ht="16.899999999999999" customHeight="1" x14ac:dyDescent="0.25">
      <c r="A34" s="149" t="s">
        <v>117</v>
      </c>
      <c r="B34" s="150"/>
      <c r="C34" s="112">
        <v>87769</v>
      </c>
      <c r="D34" s="89" t="s">
        <v>127</v>
      </c>
    </row>
    <row r="35" spans="1:6" ht="14.45" customHeight="1" thickBot="1" x14ac:dyDescent="0.3">
      <c r="A35" s="14" t="s">
        <v>1</v>
      </c>
      <c r="B35" s="14"/>
      <c r="C35" s="19"/>
      <c r="D35" s="57">
        <f>SUM(C34:C34)</f>
        <v>87769</v>
      </c>
    </row>
    <row r="36" spans="1:6" hidden="1" x14ac:dyDescent="0.25">
      <c r="A36" s="13" t="s">
        <v>23</v>
      </c>
      <c r="B36" s="121"/>
      <c r="C36" s="20"/>
      <c r="D36" s="58"/>
    </row>
    <row r="37" spans="1:6" hidden="1" x14ac:dyDescent="0.25">
      <c r="A37" s="53" t="s">
        <v>51</v>
      </c>
      <c r="B37" s="53" t="s">
        <v>123</v>
      </c>
      <c r="C37" s="113"/>
      <c r="D37" s="89"/>
      <c r="F37" s="83"/>
    </row>
    <row r="38" spans="1:6" hidden="1" x14ac:dyDescent="0.25">
      <c r="A38" s="53" t="s">
        <v>52</v>
      </c>
      <c r="B38" s="53" t="s">
        <v>123</v>
      </c>
      <c r="C38" s="94"/>
      <c r="D38" s="89"/>
    </row>
    <row r="39" spans="1:6" hidden="1" x14ac:dyDescent="0.25">
      <c r="A39" s="53" t="s">
        <v>53</v>
      </c>
      <c r="B39" s="53" t="s">
        <v>123</v>
      </c>
      <c r="C39" s="94"/>
      <c r="D39" s="89"/>
    </row>
    <row r="40" spans="1:6" hidden="1" x14ac:dyDescent="0.25">
      <c r="A40" s="53" t="s">
        <v>54</v>
      </c>
      <c r="B40" s="53" t="s">
        <v>123</v>
      </c>
      <c r="C40" s="94"/>
      <c r="D40" s="88"/>
    </row>
    <row r="41" spans="1:6" ht="15" hidden="1" customHeight="1" thickBot="1" x14ac:dyDescent="0.3">
      <c r="A41" s="14" t="s">
        <v>2</v>
      </c>
      <c r="B41" s="121"/>
      <c r="C41" s="21"/>
      <c r="D41" s="57">
        <f>SUM(C37:C40)</f>
        <v>0</v>
      </c>
    </row>
    <row r="42" spans="1:6" x14ac:dyDescent="0.25">
      <c r="A42" s="13" t="s">
        <v>25</v>
      </c>
      <c r="B42" s="121"/>
      <c r="C42" s="20"/>
      <c r="D42" s="58"/>
    </row>
    <row r="43" spans="1:6" ht="14.25" customHeight="1" x14ac:dyDescent="0.25">
      <c r="A43" s="68" t="s">
        <v>95</v>
      </c>
      <c r="B43" s="53"/>
      <c r="C43" s="94">
        <v>96924.479999999996</v>
      </c>
      <c r="D43" s="87" t="s">
        <v>125</v>
      </c>
    </row>
    <row r="44" spans="1:6" ht="14.25" customHeight="1" x14ac:dyDescent="0.25">
      <c r="A44" s="53" t="s">
        <v>94</v>
      </c>
      <c r="B44" s="53"/>
      <c r="C44" s="94">
        <v>205492.85</v>
      </c>
      <c r="D44" s="87" t="s">
        <v>125</v>
      </c>
    </row>
    <row r="45" spans="1:6" ht="14.25" customHeight="1" x14ac:dyDescent="0.25">
      <c r="A45" s="53" t="s">
        <v>102</v>
      </c>
      <c r="B45" s="53"/>
      <c r="C45" s="94">
        <v>324588.2</v>
      </c>
      <c r="D45" s="87" t="s">
        <v>126</v>
      </c>
    </row>
    <row r="46" spans="1:6" ht="15.75" thickBot="1" x14ac:dyDescent="0.3">
      <c r="A46" s="14" t="s">
        <v>3</v>
      </c>
      <c r="B46" s="14"/>
      <c r="C46" s="19"/>
      <c r="D46" s="57">
        <f>SUM(C43:C45)</f>
        <v>627005.53</v>
      </c>
    </row>
    <row r="47" spans="1:6" ht="15.75" thickBot="1" x14ac:dyDescent="0.3">
      <c r="A47" s="13" t="s">
        <v>24</v>
      </c>
      <c r="B47" s="14"/>
      <c r="C47" s="19"/>
      <c r="D47" s="60"/>
    </row>
    <row r="48" spans="1:6" ht="33.75" customHeight="1" x14ac:dyDescent="0.25">
      <c r="A48" s="149" t="s">
        <v>118</v>
      </c>
      <c r="B48" s="150"/>
      <c r="C48" s="94">
        <v>73200</v>
      </c>
      <c r="D48" s="85" t="s">
        <v>130</v>
      </c>
    </row>
    <row r="49" spans="1:6" ht="15.75" customHeight="1" x14ac:dyDescent="0.25">
      <c r="A49" s="122"/>
      <c r="B49" s="120"/>
      <c r="C49" s="94"/>
      <c r="D49" s="87"/>
      <c r="E49" s="25"/>
    </row>
    <row r="50" spans="1:6" ht="15.75" thickBot="1" x14ac:dyDescent="0.3">
      <c r="A50" s="14" t="s">
        <v>8</v>
      </c>
      <c r="B50" s="13"/>
      <c r="C50" s="13"/>
      <c r="D50" s="63">
        <f>SUM(C48:C49)</f>
        <v>73200</v>
      </c>
    </row>
    <row r="51" spans="1:6" ht="15.75" thickBot="1" x14ac:dyDescent="0.3">
      <c r="A51" s="13" t="s">
        <v>18</v>
      </c>
      <c r="B51" s="123"/>
      <c r="C51" s="12"/>
      <c r="D51" s="60"/>
    </row>
    <row r="52" spans="1:6" x14ac:dyDescent="0.25">
      <c r="A52" s="53" t="s">
        <v>97</v>
      </c>
      <c r="B52" s="53"/>
      <c r="C52" s="94">
        <v>69000</v>
      </c>
      <c r="D52" s="64"/>
    </row>
    <row r="53" spans="1:6" x14ac:dyDescent="0.25">
      <c r="A53" s="53" t="s">
        <v>96</v>
      </c>
      <c r="B53" s="53"/>
      <c r="C53" s="94">
        <v>37109.67</v>
      </c>
      <c r="D53" s="62"/>
    </row>
    <row r="54" spans="1:6" ht="15.75" thickBot="1" x14ac:dyDescent="0.3">
      <c r="A54" s="124" t="s">
        <v>22</v>
      </c>
      <c r="B54" s="124"/>
      <c r="C54" s="65"/>
      <c r="D54" s="57">
        <f>SUM(C52:C53)</f>
        <v>106109.67</v>
      </c>
    </row>
    <row r="55" spans="1:6" ht="15.75" thickBot="1" x14ac:dyDescent="0.3">
      <c r="A55" s="53"/>
      <c r="B55" s="53"/>
      <c r="C55" s="53"/>
      <c r="D55" s="66"/>
    </row>
    <row r="56" spans="1:6" ht="22.5" customHeight="1" thickBot="1" x14ac:dyDescent="0.3">
      <c r="A56" s="145" t="s">
        <v>115</v>
      </c>
      <c r="B56" s="146"/>
      <c r="C56" s="147"/>
      <c r="D56" s="67"/>
    </row>
    <row r="57" spans="1:6" ht="15.75" thickBot="1" x14ac:dyDescent="0.3">
      <c r="A57" s="125"/>
      <c r="B57" s="68"/>
      <c r="C57" s="68"/>
      <c r="D57" s="69"/>
      <c r="E57" s="25"/>
    </row>
    <row r="58" spans="1:6" ht="15.75" thickBot="1" x14ac:dyDescent="0.3">
      <c r="A58" s="126" t="s">
        <v>19</v>
      </c>
      <c r="B58" s="127"/>
      <c r="C58" s="70"/>
      <c r="D58" s="71">
        <f>(SUM(D24:D56))</f>
        <v>1471084.2</v>
      </c>
      <c r="E58" s="25"/>
      <c r="F58" s="25"/>
    </row>
    <row r="59" spans="1:6" x14ac:dyDescent="0.25">
      <c r="A59" s="68"/>
      <c r="B59" s="68"/>
      <c r="C59" s="68"/>
      <c r="D59" s="68"/>
      <c r="F59" s="84"/>
    </row>
    <row r="60" spans="1:6" ht="15.75" thickBot="1" x14ac:dyDescent="0.3">
      <c r="A60" s="68"/>
      <c r="B60" s="68"/>
      <c r="C60" s="68"/>
      <c r="D60" s="68"/>
    </row>
    <row r="61" spans="1:6" x14ac:dyDescent="0.25">
      <c r="A61" s="128" t="s">
        <v>27</v>
      </c>
      <c r="B61" s="129"/>
      <c r="C61" s="72"/>
      <c r="D61" s="73"/>
    </row>
    <row r="62" spans="1:6" x14ac:dyDescent="0.25">
      <c r="A62" s="149"/>
      <c r="B62" s="150"/>
      <c r="C62" s="61"/>
      <c r="D62" s="59"/>
    </row>
    <row r="63" spans="1:6" x14ac:dyDescent="0.25">
      <c r="A63" s="149"/>
      <c r="B63" s="150"/>
      <c r="C63" s="61"/>
      <c r="D63" s="59"/>
    </row>
    <row r="64" spans="1:6" x14ac:dyDescent="0.25">
      <c r="A64" s="130"/>
      <c r="B64" s="131"/>
      <c r="C64" s="61"/>
      <c r="D64" s="59"/>
    </row>
    <row r="65" spans="1:7" x14ac:dyDescent="0.25">
      <c r="A65" s="132"/>
      <c r="B65" s="133"/>
      <c r="C65" s="134"/>
      <c r="D65" s="31">
        <f>SUM(C62:C64)</f>
        <v>0</v>
      </c>
    </row>
    <row r="66" spans="1:7" ht="15" customHeight="1" x14ac:dyDescent="0.25">
      <c r="A66" s="68"/>
      <c r="B66" s="68"/>
      <c r="C66" s="68"/>
    </row>
    <row r="67" spans="1:7" hidden="1" x14ac:dyDescent="0.25">
      <c r="A67" s="68"/>
      <c r="B67" s="68"/>
      <c r="C67" s="68"/>
    </row>
    <row r="68" spans="1:7" x14ac:dyDescent="0.25">
      <c r="A68" s="135" t="s">
        <v>28</v>
      </c>
      <c r="B68" s="135"/>
      <c r="C68" s="136"/>
      <c r="D68" s="91"/>
    </row>
    <row r="69" spans="1:7" ht="15.75" thickBot="1" x14ac:dyDescent="0.3">
      <c r="A69" s="68"/>
      <c r="B69" s="68"/>
      <c r="C69" s="68"/>
    </row>
    <row r="70" spans="1:7" ht="15.75" thickBot="1" x14ac:dyDescent="0.3">
      <c r="A70" s="126" t="s">
        <v>29</v>
      </c>
      <c r="B70" s="127"/>
      <c r="C70" s="70"/>
      <c r="D70" s="38">
        <f>D65+D68</f>
        <v>0</v>
      </c>
    </row>
    <row r="71" spans="1:7" ht="15.75" thickBot="1" x14ac:dyDescent="0.3">
      <c r="A71" s="68"/>
      <c r="B71" s="68"/>
      <c r="C71" s="68"/>
    </row>
    <row r="72" spans="1:7" ht="15.75" thickBot="1" x14ac:dyDescent="0.3">
      <c r="A72" s="137" t="s">
        <v>20</v>
      </c>
      <c r="B72" s="138">
        <f>D58</f>
        <v>1471084.2</v>
      </c>
      <c r="C72" s="139"/>
    </row>
    <row r="73" spans="1:7" ht="15.75" thickBot="1" x14ac:dyDescent="0.3">
      <c r="A73" s="137" t="s">
        <v>21</v>
      </c>
      <c r="B73" s="138">
        <f>D58-D56</f>
        <v>1471084.2</v>
      </c>
      <c r="C73" s="68"/>
    </row>
    <row r="74" spans="1:7" ht="15.75" thickBot="1" x14ac:dyDescent="0.3">
      <c r="A74" s="137" t="s">
        <v>30</v>
      </c>
      <c r="B74" s="138">
        <f>D70-D68</f>
        <v>0</v>
      </c>
      <c r="C74" s="68"/>
    </row>
    <row r="75" spans="1:7" ht="15.75" thickBot="1" x14ac:dyDescent="0.3">
      <c r="A75" s="137" t="s">
        <v>45</v>
      </c>
      <c r="B75" s="138">
        <f>D70</f>
        <v>0</v>
      </c>
      <c r="C75" s="68"/>
    </row>
    <row r="76" spans="1:7" x14ac:dyDescent="0.25">
      <c r="A76" s="68"/>
      <c r="B76" s="68"/>
      <c r="C76" s="68"/>
    </row>
    <row r="77" spans="1:7" x14ac:dyDescent="0.25">
      <c r="A77" s="68"/>
      <c r="B77" s="68"/>
      <c r="C77" s="68"/>
    </row>
    <row r="78" spans="1:7" x14ac:dyDescent="0.25">
      <c r="A78" s="68"/>
      <c r="B78" s="68"/>
      <c r="C78" s="68"/>
    </row>
    <row r="79" spans="1:7" x14ac:dyDescent="0.25">
      <c r="A79" s="140" t="s">
        <v>39</v>
      </c>
      <c r="B79" s="141"/>
      <c r="C79" s="68"/>
    </row>
    <row r="80" spans="1:7" ht="18" customHeight="1" x14ac:dyDescent="0.25">
      <c r="A80" s="106" t="s">
        <v>131</v>
      </c>
      <c r="B80" s="76">
        <v>733575.9600000002</v>
      </c>
      <c r="C80" s="139"/>
      <c r="D80" s="25"/>
      <c r="G80" s="179" t="s">
        <v>132</v>
      </c>
    </row>
    <row r="81" spans="1:12" ht="18" customHeight="1" x14ac:dyDescent="0.25">
      <c r="A81" s="107" t="s">
        <v>48</v>
      </c>
      <c r="B81" s="23">
        <f>PRORRATEO!G18</f>
        <v>1220574.6600000001</v>
      </c>
      <c r="G81" s="179"/>
    </row>
    <row r="82" spans="1:12" ht="18" customHeight="1" x14ac:dyDescent="0.25">
      <c r="A82" s="107" t="s">
        <v>47</v>
      </c>
      <c r="B82" s="62">
        <f>B92</f>
        <v>0</v>
      </c>
      <c r="G82" s="179"/>
    </row>
    <row r="83" spans="1:12" ht="18" customHeight="1" x14ac:dyDescent="0.25">
      <c r="A83" s="10" t="s">
        <v>31</v>
      </c>
      <c r="B83" s="86">
        <f>-B73</f>
        <v>-1471084.2</v>
      </c>
      <c r="G83" s="179"/>
    </row>
    <row r="84" spans="1:12" ht="18" customHeight="1" x14ac:dyDescent="0.25">
      <c r="A84" s="10" t="s">
        <v>32</v>
      </c>
      <c r="B84" s="62">
        <f>-(B74)</f>
        <v>0</v>
      </c>
      <c r="G84" s="179"/>
    </row>
    <row r="85" spans="1:12" ht="18" customHeight="1" x14ac:dyDescent="0.25">
      <c r="A85" s="108" t="s">
        <v>8</v>
      </c>
      <c r="B85" s="76">
        <f>SUM(B80:B84)</f>
        <v>483066.42000000039</v>
      </c>
      <c r="C85" s="25"/>
      <c r="D85" s="25"/>
      <c r="G85" s="179"/>
    </row>
    <row r="86" spans="1:12" ht="34.5" customHeight="1" x14ac:dyDescent="0.25">
      <c r="B86" s="24"/>
      <c r="C86" s="25"/>
    </row>
    <row r="88" spans="1:12" x14ac:dyDescent="0.25">
      <c r="A88" s="148" t="s">
        <v>38</v>
      </c>
      <c r="B88" s="148"/>
    </row>
    <row r="89" spans="1:12" ht="27.75" customHeight="1" x14ac:dyDescent="0.25">
      <c r="A89" s="148"/>
      <c r="B89" s="148"/>
    </row>
    <row r="90" spans="1:12" ht="32.25" customHeight="1" x14ac:dyDescent="0.25">
      <c r="A90" s="74"/>
      <c r="B90" s="18"/>
    </row>
    <row r="91" spans="1:12" ht="32.25" customHeight="1" x14ac:dyDescent="0.25">
      <c r="A91" s="74"/>
      <c r="B91" s="18"/>
    </row>
    <row r="92" spans="1:12" x14ac:dyDescent="0.25">
      <c r="A92" s="26" t="s">
        <v>8</v>
      </c>
      <c r="B92" s="75">
        <f>SUM(B90:B91)</f>
        <v>0</v>
      </c>
    </row>
    <row r="93" spans="1:12" x14ac:dyDescent="0.25">
      <c r="L93" s="4"/>
    </row>
  </sheetData>
  <mergeCells count="10">
    <mergeCell ref="G80:G85"/>
    <mergeCell ref="A4:B7"/>
    <mergeCell ref="A14:D17"/>
    <mergeCell ref="A56:C56"/>
    <mergeCell ref="A88:B89"/>
    <mergeCell ref="A63:B63"/>
    <mergeCell ref="A62:B62"/>
    <mergeCell ref="B9:B11"/>
    <mergeCell ref="A34:B34"/>
    <mergeCell ref="A48:B48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tabSelected="1" zoomScaleNormal="100" workbookViewId="0">
      <selection activeCell="N1" sqref="N1"/>
    </sheetView>
  </sheetViews>
  <sheetFormatPr baseColWidth="10" defaultRowHeight="15" x14ac:dyDescent="0.25"/>
  <cols>
    <col min="1" max="1" width="4.5703125" bestFit="1" customWidth="1"/>
    <col min="2" max="2" width="7.28515625" customWidth="1"/>
    <col min="3" max="3" width="10.140625" customWidth="1"/>
    <col min="4" max="4" width="18.5703125" customWidth="1"/>
    <col min="5" max="5" width="5.140625" customWidth="1"/>
    <col min="6" max="6" width="14.140625" customWidth="1"/>
    <col min="7" max="7" width="14" customWidth="1"/>
    <col min="8" max="8" width="7.7109375" hidden="1" customWidth="1"/>
    <col min="9" max="9" width="14.140625" customWidth="1"/>
    <col min="10" max="10" width="14.28515625" customWidth="1"/>
    <col min="11" max="11" width="14.140625" customWidth="1"/>
    <col min="12" max="12" width="12.42578125" customWidth="1"/>
    <col min="13" max="13" width="10.42578125" bestFit="1" customWidth="1"/>
    <col min="14" max="14" width="15.28515625" customWidth="1"/>
    <col min="15" max="15" width="14.140625" customWidth="1"/>
    <col min="16" max="16" width="7.42578125" bestFit="1" customWidth="1"/>
    <col min="17" max="17" width="12" bestFit="1" customWidth="1"/>
    <col min="18" max="18" width="13" bestFit="1" customWidth="1"/>
  </cols>
  <sheetData>
    <row r="1" spans="1:18" ht="33.75" customHeight="1" x14ac:dyDescent="0.25">
      <c r="A1" s="3"/>
      <c r="B1" s="156" t="str">
        <f>RESUMEN!A4</f>
        <v>Banco: Santander
C.U.I.T.   30-71774143-5
CBU: 0720533020000000956840 ALIAS: BLONDA.LAGO.CORO
Nº de cuenta: 533-009568/4</v>
      </c>
      <c r="C1" s="157"/>
      <c r="D1" s="157"/>
      <c r="E1" s="158"/>
      <c r="F1" s="156" t="s">
        <v>111</v>
      </c>
      <c r="G1" s="157"/>
      <c r="H1" s="157"/>
      <c r="I1" s="158"/>
      <c r="J1" s="152" t="s">
        <v>108</v>
      </c>
      <c r="K1" s="153"/>
      <c r="L1" s="114" t="s">
        <v>109</v>
      </c>
      <c r="M1" s="114"/>
      <c r="N1" s="116">
        <f>1250000+(1250000*15%)</f>
        <v>1437500</v>
      </c>
      <c r="O1" s="109"/>
      <c r="P1" s="9"/>
    </row>
    <row r="2" spans="1:18" ht="43.9" customHeight="1" thickBot="1" x14ac:dyDescent="0.3">
      <c r="A2" s="3"/>
      <c r="B2" s="159"/>
      <c r="C2" s="160"/>
      <c r="D2" s="160"/>
      <c r="E2" s="161"/>
      <c r="F2" s="159"/>
      <c r="G2" s="160"/>
      <c r="H2" s="160"/>
      <c r="I2" s="161"/>
      <c r="J2" s="154"/>
      <c r="K2" s="155"/>
      <c r="L2" s="115" t="s">
        <v>110</v>
      </c>
      <c r="M2" s="115"/>
      <c r="N2" s="95"/>
      <c r="O2" s="110"/>
    </row>
    <row r="3" spans="1:18" x14ac:dyDescent="0.25">
      <c r="A3" s="162" t="s">
        <v>4</v>
      </c>
      <c r="B3" s="164" t="s">
        <v>57</v>
      </c>
      <c r="C3" s="166" t="s">
        <v>58</v>
      </c>
      <c r="D3" s="166" t="s">
        <v>5</v>
      </c>
      <c r="E3" s="166" t="s">
        <v>17</v>
      </c>
      <c r="F3" s="166" t="s">
        <v>46</v>
      </c>
      <c r="G3" s="166" t="s">
        <v>6</v>
      </c>
      <c r="H3" s="166" t="s">
        <v>35</v>
      </c>
      <c r="I3" s="174" t="s">
        <v>36</v>
      </c>
      <c r="J3" s="172" t="s">
        <v>34</v>
      </c>
      <c r="K3" s="172" t="s">
        <v>7</v>
      </c>
      <c r="L3" s="172" t="s">
        <v>33</v>
      </c>
      <c r="M3" s="177" t="s">
        <v>44</v>
      </c>
      <c r="N3" s="34" t="s">
        <v>43</v>
      </c>
      <c r="O3" s="168" t="s">
        <v>42</v>
      </c>
      <c r="R3" s="25"/>
    </row>
    <row r="4" spans="1:18" ht="15.75" customHeight="1" x14ac:dyDescent="0.25">
      <c r="A4" s="163"/>
      <c r="B4" s="165"/>
      <c r="C4" s="167"/>
      <c r="D4" s="167"/>
      <c r="E4" s="171"/>
      <c r="F4" s="167"/>
      <c r="G4" s="167"/>
      <c r="H4" s="171"/>
      <c r="I4" s="175"/>
      <c r="J4" s="173"/>
      <c r="K4" s="176"/>
      <c r="L4" s="173"/>
      <c r="M4" s="178"/>
      <c r="N4" s="32" t="str">
        <f>RESUMEN!B9</f>
        <v>VTO 18/06</v>
      </c>
      <c r="O4" s="169"/>
    </row>
    <row r="5" spans="1:18" ht="16.899999999999999" customHeight="1" x14ac:dyDescent="0.25">
      <c r="A5" s="2" t="s">
        <v>9</v>
      </c>
      <c r="B5" s="35" t="s">
        <v>59</v>
      </c>
      <c r="C5" s="35" t="s">
        <v>60</v>
      </c>
      <c r="D5" s="102" t="s">
        <v>61</v>
      </c>
      <c r="E5" s="36">
        <v>6.84</v>
      </c>
      <c r="F5" s="40">
        <v>82935.009999999995</v>
      </c>
      <c r="G5" s="41">
        <v>85423</v>
      </c>
      <c r="H5" s="42"/>
      <c r="I5" s="43">
        <f>F5-G5</f>
        <v>-2487.9900000000052</v>
      </c>
      <c r="J5" s="43">
        <f>IF(I5&gt;0,I5*2.95%,0)</f>
        <v>0</v>
      </c>
      <c r="K5" s="44">
        <f t="shared" ref="K5:K16" si="0">N$2*E5%</f>
        <v>0</v>
      </c>
      <c r="L5" s="44">
        <f t="shared" ref="L5:L16" si="1">N$1*E5%</f>
        <v>98325</v>
      </c>
      <c r="M5" s="45">
        <v>0</v>
      </c>
      <c r="N5" s="46">
        <f>ROUND(I5+J5+K5+L5+M5,0) + P5</f>
        <v>95837.01</v>
      </c>
      <c r="O5" s="47">
        <f t="shared" ref="O5:O16" si="2">ROUND(N5*3%,0) + N5</f>
        <v>98712.01</v>
      </c>
      <c r="P5" s="25">
        <v>0.01</v>
      </c>
      <c r="Q5" s="25" t="s">
        <v>119</v>
      </c>
    </row>
    <row r="6" spans="1:18" ht="16.899999999999999" customHeight="1" x14ac:dyDescent="0.25">
      <c r="A6" s="2" t="s">
        <v>9</v>
      </c>
      <c r="B6" s="103" t="s">
        <v>62</v>
      </c>
      <c r="C6" s="103" t="s">
        <v>63</v>
      </c>
      <c r="D6" s="96" t="s">
        <v>64</v>
      </c>
      <c r="E6" s="104">
        <v>7.79</v>
      </c>
      <c r="F6" s="40">
        <v>91230.02</v>
      </c>
      <c r="G6" s="41">
        <f>F6</f>
        <v>91230.02</v>
      </c>
      <c r="H6" s="42"/>
      <c r="I6" s="97">
        <f t="shared" ref="I6:I16" si="3">F6-G6</f>
        <v>0</v>
      </c>
      <c r="J6" s="97">
        <f t="shared" ref="J6:J16" si="4">IF(I6&gt;0,I6*2.95%,0)</f>
        <v>0</v>
      </c>
      <c r="K6" s="98">
        <f t="shared" si="0"/>
        <v>0</v>
      </c>
      <c r="L6" s="98">
        <f t="shared" si="1"/>
        <v>111981.25</v>
      </c>
      <c r="M6" s="99">
        <v>0</v>
      </c>
      <c r="N6" s="100">
        <f t="shared" ref="N6:N16" si="5">ROUND(SUM(I6:M6),0) + P6</f>
        <v>111981.02</v>
      </c>
      <c r="O6" s="101">
        <f t="shared" si="2"/>
        <v>115340.02</v>
      </c>
      <c r="P6" s="25">
        <f>P5+0.01</f>
        <v>0.02</v>
      </c>
      <c r="Q6" t="s">
        <v>120</v>
      </c>
    </row>
    <row r="7" spans="1:18" ht="16.899999999999999" customHeight="1" x14ac:dyDescent="0.25">
      <c r="A7" s="117" t="s">
        <v>10</v>
      </c>
      <c r="B7" s="103" t="s">
        <v>65</v>
      </c>
      <c r="C7" s="103" t="s">
        <v>66</v>
      </c>
      <c r="D7" s="103" t="s">
        <v>67</v>
      </c>
      <c r="E7" s="104">
        <v>6.75</v>
      </c>
      <c r="F7" s="41">
        <v>84375.03</v>
      </c>
      <c r="G7" s="41">
        <f>F7</f>
        <v>84375.03</v>
      </c>
      <c r="H7" s="42"/>
      <c r="I7" s="43">
        <f t="shared" si="3"/>
        <v>0</v>
      </c>
      <c r="J7" s="43">
        <f t="shared" si="4"/>
        <v>0</v>
      </c>
      <c r="K7" s="44">
        <f t="shared" si="0"/>
        <v>0</v>
      </c>
      <c r="L7" s="44">
        <f t="shared" si="1"/>
        <v>97031.25</v>
      </c>
      <c r="M7" s="45">
        <v>0</v>
      </c>
      <c r="N7" s="46">
        <f t="shared" si="5"/>
        <v>97031.03</v>
      </c>
      <c r="O7" s="47">
        <f t="shared" si="2"/>
        <v>99942.03</v>
      </c>
      <c r="P7" s="25">
        <f t="shared" ref="P7:P16" si="6">P6+0.01</f>
        <v>0.03</v>
      </c>
      <c r="Q7" t="s">
        <v>129</v>
      </c>
      <c r="R7" s="25"/>
    </row>
    <row r="8" spans="1:18" ht="16.899999999999999" customHeight="1" x14ac:dyDescent="0.25">
      <c r="A8" s="2" t="s">
        <v>10</v>
      </c>
      <c r="B8" s="103" t="s">
        <v>68</v>
      </c>
      <c r="C8" s="103" t="s">
        <v>69</v>
      </c>
      <c r="D8" s="103" t="s">
        <v>70</v>
      </c>
      <c r="E8" s="104">
        <v>7.41</v>
      </c>
      <c r="F8" s="41">
        <v>92625.04</v>
      </c>
      <c r="G8" s="41">
        <f>F8</f>
        <v>92625.04</v>
      </c>
      <c r="H8" s="42"/>
      <c r="I8" s="43">
        <f t="shared" si="3"/>
        <v>0</v>
      </c>
      <c r="J8" s="43">
        <f t="shared" si="4"/>
        <v>0</v>
      </c>
      <c r="K8" s="44">
        <f t="shared" si="0"/>
        <v>0</v>
      </c>
      <c r="L8" s="44">
        <f t="shared" si="1"/>
        <v>106518.75</v>
      </c>
      <c r="M8" s="45">
        <v>0</v>
      </c>
      <c r="N8" s="46">
        <f t="shared" si="5"/>
        <v>106519.03999999999</v>
      </c>
      <c r="O8" s="47">
        <f t="shared" si="2"/>
        <v>109715.04</v>
      </c>
      <c r="P8" s="25">
        <f t="shared" si="6"/>
        <v>0.04</v>
      </c>
      <c r="Q8" t="s">
        <v>113</v>
      </c>
      <c r="R8" s="25"/>
    </row>
    <row r="9" spans="1:18" ht="16.899999999999999" customHeight="1" x14ac:dyDescent="0.25">
      <c r="A9" s="117" t="s">
        <v>11</v>
      </c>
      <c r="B9" s="103" t="s">
        <v>71</v>
      </c>
      <c r="C9" s="103" t="s">
        <v>72</v>
      </c>
      <c r="D9" s="103" t="s">
        <v>73</v>
      </c>
      <c r="E9" s="111">
        <v>8</v>
      </c>
      <c r="F9" s="40">
        <v>100000.05</v>
      </c>
      <c r="G9" s="41">
        <v>101000</v>
      </c>
      <c r="H9" s="42"/>
      <c r="I9" s="43">
        <f t="shared" si="3"/>
        <v>-999.94999999999709</v>
      </c>
      <c r="J9" s="43">
        <f t="shared" si="4"/>
        <v>0</v>
      </c>
      <c r="K9" s="44">
        <f t="shared" si="0"/>
        <v>0</v>
      </c>
      <c r="L9" s="44">
        <f t="shared" si="1"/>
        <v>115000</v>
      </c>
      <c r="M9" s="45">
        <v>0</v>
      </c>
      <c r="N9" s="46">
        <f t="shared" si="5"/>
        <v>114000.05</v>
      </c>
      <c r="O9" s="47">
        <f t="shared" si="2"/>
        <v>117420.05</v>
      </c>
      <c r="P9" s="25">
        <f t="shared" si="6"/>
        <v>0.05</v>
      </c>
      <c r="Q9" t="s">
        <v>116</v>
      </c>
    </row>
    <row r="10" spans="1:18" ht="16.899999999999999" customHeight="1" x14ac:dyDescent="0.25">
      <c r="A10" s="2" t="s">
        <v>11</v>
      </c>
      <c r="B10" s="102" t="s">
        <v>74</v>
      </c>
      <c r="C10" s="103" t="s">
        <v>75</v>
      </c>
      <c r="D10" s="103" t="s">
        <v>76</v>
      </c>
      <c r="E10" s="102">
        <v>6.97</v>
      </c>
      <c r="F10" s="40">
        <v>141665.06</v>
      </c>
      <c r="G10" s="41">
        <v>90000</v>
      </c>
      <c r="H10" s="42"/>
      <c r="I10" s="43">
        <f t="shared" si="3"/>
        <v>51665.06</v>
      </c>
      <c r="J10" s="43">
        <f t="shared" si="4"/>
        <v>1524.1192700000001</v>
      </c>
      <c r="K10" s="44">
        <f t="shared" si="0"/>
        <v>0</v>
      </c>
      <c r="L10" s="44">
        <f t="shared" si="1"/>
        <v>100193.75</v>
      </c>
      <c r="M10" s="45">
        <v>0</v>
      </c>
      <c r="N10" s="46">
        <f t="shared" si="5"/>
        <v>153383.06</v>
      </c>
      <c r="O10" s="47">
        <f t="shared" si="2"/>
        <v>157984.06</v>
      </c>
      <c r="P10" s="25">
        <f t="shared" si="6"/>
        <v>6.0000000000000005E-2</v>
      </c>
      <c r="Q10" s="84"/>
      <c r="R10" s="83"/>
    </row>
    <row r="11" spans="1:18" ht="16.899999999999999" customHeight="1" x14ac:dyDescent="0.25">
      <c r="A11" s="2" t="s">
        <v>12</v>
      </c>
      <c r="B11" s="102" t="s">
        <v>77</v>
      </c>
      <c r="C11" s="102" t="s">
        <v>78</v>
      </c>
      <c r="D11" s="102" t="s">
        <v>79</v>
      </c>
      <c r="E11" s="105">
        <v>6.75</v>
      </c>
      <c r="F11" s="40">
        <v>84375.07</v>
      </c>
      <c r="G11" s="41">
        <f>F11</f>
        <v>84375.07</v>
      </c>
      <c r="H11" s="42"/>
      <c r="I11" s="43">
        <f t="shared" si="3"/>
        <v>0</v>
      </c>
      <c r="J11" s="43">
        <f t="shared" si="4"/>
        <v>0</v>
      </c>
      <c r="K11" s="44">
        <f t="shared" si="0"/>
        <v>0</v>
      </c>
      <c r="L11" s="44">
        <f t="shared" si="1"/>
        <v>97031.25</v>
      </c>
      <c r="M11" s="45">
        <v>0</v>
      </c>
      <c r="N11" s="46">
        <f t="shared" si="5"/>
        <v>97031.07</v>
      </c>
      <c r="O11" s="47">
        <f t="shared" si="2"/>
        <v>99942.07</v>
      </c>
      <c r="P11" s="25">
        <f t="shared" si="6"/>
        <v>7.0000000000000007E-2</v>
      </c>
      <c r="Q11" t="s">
        <v>105</v>
      </c>
    </row>
    <row r="12" spans="1:18" ht="16.899999999999999" customHeight="1" x14ac:dyDescent="0.25">
      <c r="A12" s="2" t="s">
        <v>12</v>
      </c>
      <c r="B12" s="102" t="s">
        <v>80</v>
      </c>
      <c r="C12" s="102" t="s">
        <v>81</v>
      </c>
      <c r="D12" s="102" t="s">
        <v>82</v>
      </c>
      <c r="E12" s="105">
        <v>7.79</v>
      </c>
      <c r="F12" s="40">
        <v>97375.08</v>
      </c>
      <c r="G12" s="41">
        <f>F12</f>
        <v>97375.08</v>
      </c>
      <c r="H12" s="42"/>
      <c r="I12" s="43">
        <f t="shared" si="3"/>
        <v>0</v>
      </c>
      <c r="J12" s="43">
        <f t="shared" si="4"/>
        <v>0</v>
      </c>
      <c r="K12" s="44">
        <f t="shared" si="0"/>
        <v>0</v>
      </c>
      <c r="L12" s="44">
        <f t="shared" si="1"/>
        <v>111981.25</v>
      </c>
      <c r="M12" s="45">
        <v>0</v>
      </c>
      <c r="N12" s="46">
        <f t="shared" si="5"/>
        <v>111981.08</v>
      </c>
      <c r="O12" s="47">
        <f t="shared" si="2"/>
        <v>115340.08</v>
      </c>
      <c r="P12" s="25">
        <f t="shared" si="6"/>
        <v>0.08</v>
      </c>
    </row>
    <row r="13" spans="1:18" ht="16.899999999999999" customHeight="1" x14ac:dyDescent="0.25">
      <c r="A13" s="2" t="s">
        <v>13</v>
      </c>
      <c r="B13" s="103" t="s">
        <v>83</v>
      </c>
      <c r="C13" s="103" t="s">
        <v>84</v>
      </c>
      <c r="D13" s="103" t="s">
        <v>85</v>
      </c>
      <c r="E13" s="104">
        <v>7.62</v>
      </c>
      <c r="F13" s="41">
        <v>95250.09</v>
      </c>
      <c r="G13" s="41">
        <f>F13</f>
        <v>95250.09</v>
      </c>
      <c r="H13" s="42"/>
      <c r="I13" s="43">
        <f t="shared" si="3"/>
        <v>0</v>
      </c>
      <c r="J13" s="43">
        <f t="shared" si="4"/>
        <v>0</v>
      </c>
      <c r="K13" s="44">
        <f t="shared" si="0"/>
        <v>0</v>
      </c>
      <c r="L13" s="44">
        <f t="shared" si="1"/>
        <v>109537.5</v>
      </c>
      <c r="M13" s="45">
        <v>0</v>
      </c>
      <c r="N13" s="46">
        <f t="shared" si="5"/>
        <v>109538.09</v>
      </c>
      <c r="O13" s="47">
        <f t="shared" si="2"/>
        <v>112824.09</v>
      </c>
      <c r="P13" s="25">
        <f t="shared" si="6"/>
        <v>0.09</v>
      </c>
      <c r="Q13" t="s">
        <v>112</v>
      </c>
    </row>
    <row r="14" spans="1:18" ht="16.899999999999999" customHeight="1" x14ac:dyDescent="0.25">
      <c r="A14" s="2" t="s">
        <v>13</v>
      </c>
      <c r="B14" s="102" t="s">
        <v>86</v>
      </c>
      <c r="C14" s="102" t="s">
        <v>87</v>
      </c>
      <c r="D14" s="102" t="s">
        <v>106</v>
      </c>
      <c r="E14" s="105">
        <v>6.97</v>
      </c>
      <c r="F14" s="40">
        <v>87046.1</v>
      </c>
      <c r="G14" s="41">
        <f>60000+27046.1</f>
        <v>87046.1</v>
      </c>
      <c r="H14" s="42"/>
      <c r="I14" s="43">
        <f t="shared" si="3"/>
        <v>0</v>
      </c>
      <c r="J14" s="43">
        <f t="shared" si="4"/>
        <v>0</v>
      </c>
      <c r="K14" s="44">
        <f t="shared" si="0"/>
        <v>0</v>
      </c>
      <c r="L14" s="44">
        <f t="shared" si="1"/>
        <v>100193.75</v>
      </c>
      <c r="M14" s="45">
        <v>0</v>
      </c>
      <c r="N14" s="46">
        <f t="shared" si="5"/>
        <v>100194.1</v>
      </c>
      <c r="O14" s="47">
        <f t="shared" si="2"/>
        <v>103200.1</v>
      </c>
      <c r="P14" s="25">
        <f t="shared" si="6"/>
        <v>9.9999999999999992E-2</v>
      </c>
    </row>
    <row r="15" spans="1:18" ht="16.899999999999999" customHeight="1" x14ac:dyDescent="0.25">
      <c r="A15" s="2" t="s">
        <v>14</v>
      </c>
      <c r="B15" s="102" t="s">
        <v>88</v>
      </c>
      <c r="C15" s="102" t="s">
        <v>89</v>
      </c>
      <c r="D15" s="102" t="s">
        <v>90</v>
      </c>
      <c r="E15" s="105">
        <v>14.01</v>
      </c>
      <c r="F15" s="40">
        <v>148125.10999999999</v>
      </c>
      <c r="G15" s="41">
        <f>F15</f>
        <v>148125.10999999999</v>
      </c>
      <c r="H15" s="42"/>
      <c r="I15" s="43">
        <f t="shared" si="3"/>
        <v>0</v>
      </c>
      <c r="J15" s="43">
        <f t="shared" si="4"/>
        <v>0</v>
      </c>
      <c r="K15" s="44">
        <f t="shared" si="0"/>
        <v>0</v>
      </c>
      <c r="L15" s="44">
        <f t="shared" si="1"/>
        <v>201393.75</v>
      </c>
      <c r="M15" s="45">
        <v>0</v>
      </c>
      <c r="N15" s="46">
        <f t="shared" si="5"/>
        <v>201394.11</v>
      </c>
      <c r="O15" s="47">
        <f t="shared" si="2"/>
        <v>207436.11</v>
      </c>
      <c r="P15" s="25">
        <f t="shared" si="6"/>
        <v>0.10999999999999999</v>
      </c>
      <c r="Q15" t="s">
        <v>114</v>
      </c>
    </row>
    <row r="16" spans="1:18" ht="16.899999999999999" customHeight="1" x14ac:dyDescent="0.25">
      <c r="A16" s="2" t="s">
        <v>14</v>
      </c>
      <c r="B16" s="102" t="s">
        <v>91</v>
      </c>
      <c r="C16" s="102" t="s">
        <v>92</v>
      </c>
      <c r="D16" s="102" t="s">
        <v>93</v>
      </c>
      <c r="E16" s="105">
        <v>13.1</v>
      </c>
      <c r="F16" s="40">
        <v>163750.12</v>
      </c>
      <c r="G16" s="41">
        <f>F16</f>
        <v>163750.12</v>
      </c>
      <c r="H16" s="42"/>
      <c r="I16" s="43">
        <f t="shared" si="3"/>
        <v>0</v>
      </c>
      <c r="J16" s="43">
        <f t="shared" si="4"/>
        <v>0</v>
      </c>
      <c r="K16" s="44">
        <f t="shared" si="0"/>
        <v>0</v>
      </c>
      <c r="L16" s="44">
        <f t="shared" si="1"/>
        <v>188312.5</v>
      </c>
      <c r="M16" s="45">
        <v>0</v>
      </c>
      <c r="N16" s="46">
        <f t="shared" si="5"/>
        <v>188313.12</v>
      </c>
      <c r="O16" s="47">
        <f t="shared" si="2"/>
        <v>193962.12</v>
      </c>
      <c r="P16" s="25">
        <f t="shared" si="6"/>
        <v>0.11999999999999998</v>
      </c>
      <c r="Q16" t="s">
        <v>104</v>
      </c>
    </row>
    <row r="17" spans="1:16" ht="17.100000000000001" customHeight="1" thickBot="1" x14ac:dyDescent="0.3">
      <c r="A17" s="2" t="s">
        <v>16</v>
      </c>
      <c r="B17" s="35"/>
      <c r="C17" s="35"/>
      <c r="D17" s="35"/>
      <c r="E17" s="39"/>
      <c r="F17" s="40"/>
      <c r="G17" s="41"/>
      <c r="H17" s="42"/>
      <c r="I17" s="43"/>
      <c r="J17" s="43"/>
      <c r="K17" s="44"/>
      <c r="L17" s="44"/>
      <c r="M17" s="45"/>
      <c r="N17" s="46"/>
      <c r="O17" s="47"/>
      <c r="P17" s="25"/>
    </row>
    <row r="18" spans="1:16" ht="17.100000000000001" customHeight="1" thickBot="1" x14ac:dyDescent="0.3">
      <c r="B18" s="48"/>
      <c r="C18" s="49"/>
      <c r="D18" s="50"/>
      <c r="E18" s="51">
        <f>SUM(E5:E17)</f>
        <v>100</v>
      </c>
      <c r="F18" s="28">
        <f>SUM(F5:F17)</f>
        <v>1268751.7799999998</v>
      </c>
      <c r="G18" s="33">
        <f>SUM(G5:G17)</f>
        <v>1220574.6600000001</v>
      </c>
      <c r="H18" s="33">
        <f>SUM(H5:H17)</f>
        <v>0</v>
      </c>
      <c r="I18" s="33"/>
      <c r="J18" s="33"/>
      <c r="K18" s="33">
        <f>SUM(K5:K17)</f>
        <v>0</v>
      </c>
      <c r="L18" s="33">
        <f>SUM(L5:L17)</f>
        <v>1437500</v>
      </c>
      <c r="M18" s="33">
        <f>SUM(M5:M17)</f>
        <v>0</v>
      </c>
      <c r="N18" s="52">
        <f>SUM(N5:N17)</f>
        <v>1487202.7800000003</v>
      </c>
      <c r="O18" s="52">
        <f>SUM(O5:O17)</f>
        <v>1531817.7800000003</v>
      </c>
    </row>
    <row r="19" spans="1:16" x14ac:dyDescent="0.25">
      <c r="D19" s="27"/>
    </row>
    <row r="20" spans="1:16" x14ac:dyDescent="0.25">
      <c r="D20" s="170" t="s">
        <v>55</v>
      </c>
      <c r="E20" s="170"/>
      <c r="F20" s="170"/>
      <c r="G20" s="170"/>
      <c r="H20" s="170"/>
      <c r="I20" s="170"/>
      <c r="J20" s="170"/>
      <c r="K20" s="170"/>
      <c r="L20" s="170"/>
      <c r="M20" s="170"/>
      <c r="N20" s="170"/>
    </row>
    <row r="21" spans="1:16" x14ac:dyDescent="0.25"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</row>
    <row r="22" spans="1:16" x14ac:dyDescent="0.25"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</row>
    <row r="23" spans="1:16" x14ac:dyDescent="0.25"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</row>
    <row r="24" spans="1:16" x14ac:dyDescent="0.25"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</row>
    <row r="25" spans="1:16" ht="4.9000000000000004" customHeight="1" x14ac:dyDescent="0.25"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</row>
  </sheetData>
  <mergeCells count="18">
    <mergeCell ref="O3:O4"/>
    <mergeCell ref="D20:N25"/>
    <mergeCell ref="H3:H4"/>
    <mergeCell ref="J3:J4"/>
    <mergeCell ref="F3:F4"/>
    <mergeCell ref="G3:G4"/>
    <mergeCell ref="I3:I4"/>
    <mergeCell ref="K3:K4"/>
    <mergeCell ref="L3:L4"/>
    <mergeCell ref="M3:M4"/>
    <mergeCell ref="E3:E4"/>
    <mergeCell ref="J1:K2"/>
    <mergeCell ref="B1:E2"/>
    <mergeCell ref="F1:I2"/>
    <mergeCell ref="A3:A4"/>
    <mergeCell ref="B3:B4"/>
    <mergeCell ref="C3:C4"/>
    <mergeCell ref="D3:D4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F1C8-DABE-4F17-BF70-F15A1A832000}">
  <dimension ref="C4"/>
  <sheetViews>
    <sheetView topLeftCell="A2" workbookViewId="0">
      <selection activeCell="C5" sqref="C5"/>
    </sheetView>
  </sheetViews>
  <sheetFormatPr baseColWidth="10" defaultRowHeight="15" x14ac:dyDescent="0.25"/>
  <sheetData>
    <row r="4" spans="3:3" x14ac:dyDescent="0.25">
      <c r="C4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2026-06-01T19:36:13Z</cp:lastPrinted>
  <dcterms:created xsi:type="dcterms:W3CDTF">2023-09-17T12:29:07Z</dcterms:created>
  <dcterms:modified xsi:type="dcterms:W3CDTF">2026-06-01T19:36:29Z</dcterms:modified>
</cp:coreProperties>
</file>