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CABRERA\Febrero\"/>
    </mc:Choice>
  </mc:AlternateContent>
  <xr:revisionPtr revIDLastSave="0" documentId="13_ncr:1_{D4C39D34-5D6B-4B72-B393-6767E245EE89}" xr6:coauthVersionLast="47" xr6:coauthVersionMax="47" xr10:uidLastSave="{00000000-0000-0000-0000-000000000000}"/>
  <bookViews>
    <workbookView xWindow="-108" yWindow="-108" windowWidth="23256" windowHeight="12576" tabRatio="793" activeTab="2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PRORRATEO!$A$1:$O$26</definedName>
    <definedName name="_xlnm.Print_Area" localSheetId="0">RESUMEN!$A$1:$D$98</definedName>
  </definedNames>
  <calcPr calcId="181029"/>
</workbook>
</file>

<file path=xl/calcChain.xml><?xml version="1.0" encoding="utf-8"?>
<calcChain xmlns="http://schemas.openxmlformats.org/spreadsheetml/2006/main">
  <c r="D55" i="1" l="1"/>
  <c r="C52" i="1"/>
  <c r="B97" i="1"/>
  <c r="G15" i="2"/>
  <c r="G13" i="2"/>
  <c r="G8" i="2"/>
  <c r="G11" i="2"/>
  <c r="G7" i="2"/>
  <c r="G12" i="2" l="1"/>
  <c r="D49" i="1"/>
  <c r="B1" i="2"/>
  <c r="K5" i="2"/>
  <c r="L5" i="2"/>
  <c r="G6" i="2"/>
  <c r="I5" i="2"/>
  <c r="J5" i="2" s="1"/>
  <c r="P6" i="2"/>
  <c r="E18" i="2"/>
  <c r="N5" i="2" l="1"/>
  <c r="D46" i="1"/>
  <c r="D32" i="1" l="1"/>
  <c r="D53" i="1"/>
  <c r="D35" i="1"/>
  <c r="I12" i="2" l="1"/>
  <c r="D41" i="1"/>
  <c r="C28" i="1" l="1"/>
  <c r="D29" i="1" s="1"/>
  <c r="D57" i="1" s="1"/>
  <c r="I16" i="2"/>
  <c r="J16" i="2" s="1"/>
  <c r="I14" i="2"/>
  <c r="J14" i="2" s="1"/>
  <c r="I9" i="2"/>
  <c r="J9" i="2" s="1"/>
  <c r="I6" i="2"/>
  <c r="J6" i="2" s="1"/>
  <c r="I7" i="2"/>
  <c r="J7" i="2" s="1"/>
  <c r="I8" i="2"/>
  <c r="J8" i="2" s="1"/>
  <c r="I10" i="2"/>
  <c r="J10" i="2" s="1"/>
  <c r="I11" i="2"/>
  <c r="J11" i="2" s="1"/>
  <c r="J12" i="2"/>
  <c r="I13" i="2"/>
  <c r="J13" i="2" s="1"/>
  <c r="I15" i="2"/>
  <c r="J15" i="2" s="1"/>
  <c r="H18" i="2" l="1"/>
  <c r="K6" i="2" l="1"/>
  <c r="K7" i="2"/>
  <c r="K8" i="2"/>
  <c r="K9" i="2"/>
  <c r="K10" i="2"/>
  <c r="K11" i="2"/>
  <c r="K12" i="2"/>
  <c r="K13" i="2"/>
  <c r="K14" i="2"/>
  <c r="K15" i="2"/>
  <c r="K16" i="2"/>
  <c r="D64" i="1" l="1"/>
  <c r="D69" i="1" s="1"/>
  <c r="B73" i="1" s="1"/>
  <c r="B89" i="1" s="1"/>
  <c r="B81" i="1" l="1"/>
  <c r="N4" i="2" l="1"/>
  <c r="G18" i="2" l="1"/>
  <c r="B80" i="1" s="1"/>
  <c r="F18" i="2"/>
  <c r="B74" i="1" l="1"/>
  <c r="K18" i="2"/>
  <c r="B72" i="1" l="1"/>
  <c r="B88" i="1" s="1"/>
  <c r="B90" i="1" s="1"/>
  <c r="L6" i="2"/>
  <c r="L7" i="2"/>
  <c r="L8" i="2"/>
  <c r="L9" i="2"/>
  <c r="L10" i="2"/>
  <c r="L11" i="2"/>
  <c r="L12" i="2"/>
  <c r="L13" i="2"/>
  <c r="L14" i="2"/>
  <c r="L15" i="2"/>
  <c r="L16" i="2"/>
  <c r="L18" i="2" l="1"/>
  <c r="B71" i="1" l="1"/>
  <c r="M18" i="2" l="1"/>
  <c r="P7" i="2"/>
  <c r="P8" i="2" l="1"/>
  <c r="N7" i="2"/>
  <c r="O7" i="2" s="1"/>
  <c r="N6" i="2"/>
  <c r="O5" i="2"/>
  <c r="O6" i="2" l="1"/>
  <c r="P9" i="2"/>
  <c r="N8" i="2"/>
  <c r="O8" i="2" s="1"/>
  <c r="N9" i="2" l="1"/>
  <c r="O9" i="2" s="1"/>
  <c r="P10" i="2"/>
  <c r="P11" i="2" l="1"/>
  <c r="N10" i="2"/>
  <c r="O10" i="2" s="1"/>
  <c r="N11" i="2" l="1"/>
  <c r="O11" i="2" s="1"/>
  <c r="P12" i="2"/>
  <c r="N12" i="2" l="1"/>
  <c r="O12" i="2" s="1"/>
  <c r="P13" i="2"/>
  <c r="N13" i="2" l="1"/>
  <c r="O13" i="2" s="1"/>
  <c r="P14" i="2"/>
  <c r="P15" i="2" l="1"/>
  <c r="N14" i="2"/>
  <c r="O14" i="2" s="1"/>
  <c r="P16" i="2" l="1"/>
  <c r="N16" i="2" s="1"/>
  <c r="N15" i="2"/>
  <c r="O15" i="2" s="1"/>
  <c r="O16" i="2" l="1"/>
  <c r="O18" i="2" s="1"/>
  <c r="N18" i="2"/>
</calcChain>
</file>

<file path=xl/sharedStrings.xml><?xml version="1.0" encoding="utf-8"?>
<sst xmlns="http://schemas.openxmlformats.org/spreadsheetml/2006/main" count="151" uniqueCount="134">
  <si>
    <t>TOTAL SUELDO</t>
  </si>
  <si>
    <t>TOTAL IMPUESTO</t>
  </si>
  <si>
    <t>TOTAL Aportes y Contribuciones - Sindicato</t>
  </si>
  <si>
    <t>TOTAL ABONOS Y SERVICIOS</t>
  </si>
  <si>
    <t>Piso</t>
  </si>
  <si>
    <t>Propietario</t>
  </si>
  <si>
    <t xml:space="preserve">Ingreso </t>
  </si>
  <si>
    <t>Expensas extraor.</t>
  </si>
  <si>
    <t>TOTAL</t>
  </si>
  <si>
    <t>3º</t>
  </si>
  <si>
    <t>4º</t>
  </si>
  <si>
    <t>5º</t>
  </si>
  <si>
    <t>6º</t>
  </si>
  <si>
    <t>7º</t>
  </si>
  <si>
    <t>8º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</si>
  <si>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</si>
  <si>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</si>
  <si>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</si>
  <si>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</si>
  <si>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</si>
  <si>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</si>
  <si>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</si>
  <si>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</si>
  <si>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</si>
  <si>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</si>
  <si>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</si>
  <si>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</si>
  <si>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</si>
  <si>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</si>
  <si>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</si>
  <si>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</si>
  <si>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</si>
  <si>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</si>
  <si>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</si>
  <si>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</si>
  <si>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Pago por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</si>
  <si>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</si>
  <si>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</si>
  <si>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</si>
  <si>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</si>
  <si>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</si>
  <si>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</si>
  <si>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</si>
  <si>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</si>
  <si>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</si>
  <si>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</si>
  <si>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</si>
  <si>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</si>
  <si>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</si>
  <si>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</si>
  <si>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</si>
  <si>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</si>
  <si>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</si>
  <si>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</si>
  <si>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</si>
  <si>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Punitorios mal cobrados</t>
  </si>
  <si>
    <t>SI EN LA COLUMNA LLAMADA DEUDA O SALDO A FAVOR FIGURA UN NUMERO EN NEGATIVO SIGNIFICA QUE LA UF POSEE DINERO A FAVOR (ES DECIR PAGO DE MAS)</t>
  </si>
  <si>
    <t>HORARIOS DE ATENCION: 10 A 15HS - LUNES A VIERNES</t>
  </si>
  <si>
    <t>U.F.</t>
  </si>
  <si>
    <t>UF/Polígono</t>
  </si>
  <si>
    <t>PB A</t>
  </si>
  <si>
    <t>uf 1/00-01</t>
  </si>
  <si>
    <t>FRANCES, Hernan Javier</t>
  </si>
  <si>
    <t>PB B/C</t>
  </si>
  <si>
    <t>uf 2/00-02</t>
  </si>
  <si>
    <t>POZZUTO, Andrea</t>
  </si>
  <si>
    <t>P. 1° A</t>
  </si>
  <si>
    <t>uf 4/01-02</t>
  </si>
  <si>
    <t>MAZZOTTI, Martin</t>
  </si>
  <si>
    <t>P. 1° B</t>
  </si>
  <si>
    <t>uf 3/01-01</t>
  </si>
  <si>
    <t>ZANELLO, Ariel</t>
  </si>
  <si>
    <t>P. 1° C/D</t>
  </si>
  <si>
    <t>uf 6/01-04</t>
  </si>
  <si>
    <t>VAZQUEZ, Gustavo</t>
  </si>
  <si>
    <t>P. 1° D</t>
  </si>
  <si>
    <t>uf 5/01-03</t>
  </si>
  <si>
    <t>GARCIA, Liliana</t>
  </si>
  <si>
    <t>P. 2° A</t>
  </si>
  <si>
    <t>uf 8/02-02</t>
  </si>
  <si>
    <t>LOPEZ JAUREGUI, Lucia</t>
  </si>
  <si>
    <t>P. 2° B/C</t>
  </si>
  <si>
    <t>uf 7/02-01</t>
  </si>
  <si>
    <t>SCOTT, Sergio</t>
  </si>
  <si>
    <t>P. 2° C</t>
  </si>
  <si>
    <t>uf 10/02-04</t>
  </si>
  <si>
    <t>CAPAZZO, Julian Ignacio</t>
  </si>
  <si>
    <t>P. 2° D</t>
  </si>
  <si>
    <t>uf 9/02-03</t>
  </si>
  <si>
    <t>P. 3° A/C</t>
  </si>
  <si>
    <t>uf 11/03-01</t>
  </si>
  <si>
    <t>CIVES, Jose</t>
  </si>
  <si>
    <t>P. 3° B</t>
  </si>
  <si>
    <t>uf 12/03-02</t>
  </si>
  <si>
    <t>MARUNCHIAK, Andres</t>
  </si>
  <si>
    <t>Mogensen Montenegro - Póliza Integral de Consorcio</t>
  </si>
  <si>
    <t>MetroGas N° cliente 20425514800</t>
  </si>
  <si>
    <t>Edesur cliente 1470141</t>
  </si>
  <si>
    <t>Ascensores Guillemi - Mantenimiento de ascensores</t>
  </si>
  <si>
    <t>Banco Santander  - Gastos bancarios</t>
  </si>
  <si>
    <t>Banco Santander  - Mantenimiento de cuenta</t>
  </si>
  <si>
    <t>Email</t>
  </si>
  <si>
    <t>notificaciones</t>
  </si>
  <si>
    <t>micaelabarrella@hotmail.com</t>
  </si>
  <si>
    <t>TELEFONO : 11-5320-2676 - MAIL: cabrera140rc@gmail.com - OFICINA CON CITA PREVIA - DR MELO 2958 8° PISO</t>
  </si>
  <si>
    <t xml:space="preserve">AySA </t>
  </si>
  <si>
    <t xml:space="preserve">Salvati Leonel Amilcar - Servicio de limpieza </t>
  </si>
  <si>
    <t>Lucia de dominicis</t>
  </si>
  <si>
    <t>Acosta Cristian</t>
  </si>
  <si>
    <t>Ezequiel</t>
  </si>
  <si>
    <t>JAUREGUIBERRY, Candela</t>
  </si>
  <si>
    <t>Banco: Santander
C.U.I.T.   30-71774143-5
CBU: 0720533020000000956840 ALIAS: BLONDA.LAGO.CORO
Nº de cuenta: 533-009568/4</t>
  </si>
  <si>
    <t>POR FAVOR RESPETAR CENTAVOS AL ABONAR</t>
  </si>
  <si>
    <t>ORDINARIOS:</t>
  </si>
  <si>
    <t>EXTRAORDINARIOS:</t>
  </si>
  <si>
    <t>Saldo anterior REAL según banco</t>
  </si>
  <si>
    <t>MEDIOS DE CONTACTOS: cabrera140rc@gmail.com  - INFORMAR CUALQUIER TIPO DE PAGO POR ALLI</t>
  </si>
  <si>
    <t>Melisa Belmonte</t>
  </si>
  <si>
    <t xml:space="preserve">franco attolino </t>
  </si>
  <si>
    <t>VTO 13/03</t>
  </si>
  <si>
    <t>Mes de enero</t>
  </si>
  <si>
    <t>Transf 02/02</t>
  </si>
  <si>
    <t>Debito 02/02</t>
  </si>
  <si>
    <t>Transf 06/02</t>
  </si>
  <si>
    <t>Honorarios administracion - Mes anterior - Se adeuda Febrero</t>
  </si>
  <si>
    <t>Falta presentar documentacion</t>
  </si>
  <si>
    <t>Transferencia ya identificada mes anterior</t>
  </si>
  <si>
    <t>Transferencia 11/02 - Sra Silvia Marin De Sarni</t>
  </si>
  <si>
    <t>Facundo Guarinello</t>
  </si>
  <si>
    <t>Transferencia 24/02 - Sr De Rivero Lucas Damian</t>
  </si>
  <si>
    <t>No se debito</t>
  </si>
  <si>
    <t>PREVISION ORDINARIA - LIMPIEZA DE TANQUE</t>
  </si>
  <si>
    <t>Silvia Marin De Sarni</t>
  </si>
  <si>
    <t>Los depositos no identificados de meses anteriores de Silvia Sarni son del 1C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</si>
</sst>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79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7" fillId="4" borderId="1" xfId="0" applyFont="1" applyFill="1" applyBorder="1"/>
    <xf numFmtId="0" fontId="11" fillId="4" borderId="1" xfId="0" applyFont="1" applyFill="1" applyBorder="1"/>
    <xf numFmtId="8" fontId="10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44" fontId="13" fillId="4" borderId="13" xfId="0" applyNumberFormat="1" applyFont="1" applyFill="1" applyBorder="1"/>
    <xf numFmtId="0" fontId="17" fillId="11" borderId="1" xfId="0" applyFont="1" applyFill="1" applyBorder="1"/>
    <xf numFmtId="8" fontId="18" fillId="11" borderId="6" xfId="0" applyNumberFormat="1" applyFont="1" applyFill="1" applyBorder="1"/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2" fillId="4" borderId="1" xfId="0" applyFont="1" applyFill="1" applyBorder="1" applyAlignment="1">
      <alignment wrapText="1"/>
    </xf>
    <xf numFmtId="44" fontId="9" fillId="4" borderId="1" xfId="1" applyFont="1" applyFill="1" applyBorder="1"/>
    <xf numFmtId="44" fontId="6" fillId="5" borderId="11" xfId="0" applyNumberFormat="1" applyFont="1" applyFill="1" applyBorder="1"/>
    <xf numFmtId="0" fontId="13" fillId="0" borderId="1" xfId="0" applyFont="1" applyBorder="1" applyAlignment="1">
      <alignment horizontal="center"/>
    </xf>
    <xf numFmtId="44" fontId="19" fillId="0" borderId="1" xfId="1" applyFont="1" applyBorder="1"/>
    <xf numFmtId="44" fontId="19" fillId="2" borderId="1" xfId="1" applyFont="1" applyFill="1" applyBorder="1"/>
    <xf numFmtId="165" fontId="19" fillId="2" borderId="1" xfId="1" applyNumberFormat="1" applyFont="1" applyFill="1" applyBorder="1"/>
    <xf numFmtId="165" fontId="13" fillId="0" borderId="1" xfId="0" applyNumberFormat="1" applyFont="1" applyBorder="1"/>
    <xf numFmtId="165" fontId="13" fillId="0" borderId="1" xfId="1" applyNumberFormat="1" applyFont="1" applyBorder="1"/>
    <xf numFmtId="44" fontId="13" fillId="0" borderId="6" xfId="1" applyFont="1" applyBorder="1"/>
    <xf numFmtId="44" fontId="19" fillId="0" borderId="25" xfId="1" applyFont="1" applyBorder="1"/>
    <xf numFmtId="44" fontId="19" fillId="0" borderId="27" xfId="1" applyFont="1" applyBorder="1"/>
    <xf numFmtId="0" fontId="13" fillId="10" borderId="21" xfId="0" applyFont="1" applyFill="1" applyBorder="1"/>
    <xf numFmtId="0" fontId="13" fillId="4" borderId="26" xfId="0" applyFont="1" applyFill="1" applyBorder="1"/>
    <xf numFmtId="0" fontId="13" fillId="4" borderId="13" xfId="0" applyFont="1" applyFill="1" applyBorder="1"/>
    <xf numFmtId="0" fontId="13" fillId="4" borderId="13" xfId="0" applyFont="1" applyFill="1" applyBorder="1" applyAlignment="1">
      <alignment horizontal="center"/>
    </xf>
    <xf numFmtId="44" fontId="13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20" fillId="4" borderId="3" xfId="1" applyFont="1" applyFill="1" applyBorder="1"/>
    <xf numFmtId="44" fontId="9" fillId="4" borderId="21" xfId="1" applyFont="1" applyFill="1" applyBorder="1"/>
    <xf numFmtId="44" fontId="21" fillId="4" borderId="3" xfId="1" applyFont="1" applyFill="1" applyBorder="1"/>
    <xf numFmtId="0" fontId="21" fillId="0" borderId="1" xfId="1" applyNumberFormat="1" applyFont="1" applyBorder="1" applyAlignment="1">
      <alignment horizontal="left"/>
    </xf>
    <xf numFmtId="44" fontId="9" fillId="4" borderId="13" xfId="1" applyFont="1" applyFill="1" applyBorder="1"/>
    <xf numFmtId="44" fontId="4" fillId="2" borderId="6" xfId="1" applyFont="1" applyFill="1" applyBorder="1"/>
    <xf numFmtId="44" fontId="21" fillId="2" borderId="1" xfId="1" applyFont="1" applyFill="1" applyBorder="1"/>
    <xf numFmtId="44" fontId="9" fillId="4" borderId="2" xfId="1" applyFont="1" applyFill="1" applyBorder="1"/>
    <xf numFmtId="44" fontId="21" fillId="2" borderId="3" xfId="1" applyFont="1" applyFill="1" applyBorder="1"/>
    <xf numFmtId="8" fontId="7" fillId="4" borderId="22" xfId="0" applyNumberFormat="1" applyFont="1" applyFill="1" applyBorder="1"/>
    <xf numFmtId="0" fontId="21" fillId="0" borderId="4" xfId="0" applyFont="1" applyBorder="1"/>
    <xf numFmtId="44" fontId="9" fillId="8" borderId="13" xfId="1" applyFont="1" applyFill="1" applyBorder="1"/>
    <xf numFmtId="0" fontId="4" fillId="0" borderId="0" xfId="0" applyFont="1"/>
    <xf numFmtId="0" fontId="21" fillId="0" borderId="17" xfId="0" applyFont="1" applyBorder="1"/>
    <xf numFmtId="0" fontId="7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44" fontId="7" fillId="0" borderId="1" xfId="1" applyFont="1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0" fontId="17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3" fontId="0" fillId="0" borderId="0" xfId="0" applyNumberFormat="1"/>
    <xf numFmtId="0" fontId="0" fillId="0" borderId="7" xfId="0" applyBorder="1" applyAlignment="1">
      <alignment vertical="center" wrapText="1"/>
    </xf>
    <xf numFmtId="0" fontId="14" fillId="2" borderId="1" xfId="1" applyNumberFormat="1" applyFont="1" applyFill="1" applyBorder="1" applyAlignment="1">
      <alignment wrapText="1"/>
    </xf>
    <xf numFmtId="44" fontId="22" fillId="2" borderId="1" xfId="1" applyFont="1" applyFill="1" applyBorder="1"/>
    <xf numFmtId="0" fontId="14" fillId="2" borderId="1" xfId="1" applyNumberFormat="1" applyFont="1" applyFill="1" applyBorder="1" applyAlignment="1">
      <alignment horizontal="left"/>
    </xf>
    <xf numFmtId="0" fontId="14" fillId="2" borderId="2" xfId="1" applyNumberFormat="1" applyFont="1" applyFill="1" applyBorder="1" applyAlignment="1"/>
    <xf numFmtId="0" fontId="14" fillId="2" borderId="1" xfId="1" applyNumberFormat="1" applyFont="1" applyFill="1" applyBorder="1" applyAlignment="1"/>
    <xf numFmtId="44" fontId="14" fillId="0" borderId="1" xfId="1" applyFont="1" applyBorder="1"/>
    <xf numFmtId="44" fontId="6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2" borderId="1" xfId="1" applyFont="1" applyFill="1" applyBorder="1"/>
    <xf numFmtId="165" fontId="0" fillId="3" borderId="8" xfId="1" applyNumberFormat="1" applyFont="1" applyFill="1" applyBorder="1" applyAlignment="1">
      <alignment vertical="center"/>
    </xf>
    <xf numFmtId="0" fontId="13" fillId="2" borderId="1" xfId="0" applyFont="1" applyFill="1" applyBorder="1" applyAlignment="1">
      <alignment horizontal="left" vertical="center" wrapText="1"/>
    </xf>
    <xf numFmtId="165" fontId="13" fillId="2" borderId="1" xfId="0" applyNumberFormat="1" applyFont="1" applyFill="1" applyBorder="1"/>
    <xf numFmtId="165" fontId="13" fillId="2" borderId="1" xfId="1" applyNumberFormat="1" applyFont="1" applyFill="1" applyBorder="1"/>
    <xf numFmtId="44" fontId="13" fillId="2" borderId="6" xfId="1" applyFont="1" applyFill="1" applyBorder="1"/>
    <xf numFmtId="44" fontId="19" fillId="2" borderId="25" xfId="1" applyFont="1" applyFill="1" applyBorder="1"/>
    <xf numFmtId="44" fontId="19" fillId="2" borderId="27" xfId="1" applyFont="1" applyFill="1" applyBorder="1"/>
    <xf numFmtId="0" fontId="13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0" fillId="0" borderId="6" xfId="0" applyBorder="1" applyAlignment="1">
      <alignment vertical="center"/>
    </xf>
    <xf numFmtId="0" fontId="9" fillId="2" borderId="0" xfId="0" applyFont="1" applyFill="1" applyAlignment="1">
      <alignment vertical="center"/>
    </xf>
    <xf numFmtId="0" fontId="6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44" fontId="0" fillId="3" borderId="15" xfId="1" applyFont="1" applyFill="1" applyBorder="1" applyAlignment="1"/>
    <xf numFmtId="44" fontId="0" fillId="3" borderId="26" xfId="1" applyFont="1" applyFill="1" applyBorder="1" applyAlignment="1">
      <alignment vertical="center"/>
    </xf>
    <xf numFmtId="8" fontId="4" fillId="2" borderId="1" xfId="0" applyNumberFormat="1" applyFont="1" applyFill="1" applyBorder="1" applyAlignment="1">
      <alignment vertical="center"/>
    </xf>
    <xf numFmtId="2" fontId="13" fillId="0" borderId="1" xfId="0" applyNumberFormat="1" applyFont="1" applyBorder="1" applyAlignment="1">
      <alignment vertical="center"/>
    </xf>
    <xf numFmtId="44" fontId="4" fillId="0" borderId="1" xfId="1" applyFont="1" applyBorder="1" applyAlignment="1">
      <alignment vertical="center" wrapText="1"/>
    </xf>
    <xf numFmtId="44" fontId="4" fillId="0" borderId="1" xfId="1" applyFont="1" applyBorder="1"/>
    <xf numFmtId="0" fontId="0" fillId="3" borderId="12" xfId="0" applyFill="1" applyBorder="1" applyAlignment="1">
      <alignment vertical="center"/>
    </xf>
    <xf numFmtId="0" fontId="0" fillId="3" borderId="8" xfId="0" applyFill="1" applyBorder="1" applyAlignment="1">
      <alignment vertical="center"/>
    </xf>
    <xf numFmtId="44" fontId="0" fillId="3" borderId="12" xfId="1" applyFont="1" applyFill="1" applyBorder="1" applyAlignment="1">
      <alignment vertical="center"/>
    </xf>
    <xf numFmtId="0" fontId="0" fillId="2" borderId="1" xfId="0" applyFill="1" applyBorder="1"/>
    <xf numFmtId="0" fontId="6" fillId="3" borderId="0" xfId="0" applyFont="1" applyFill="1" applyAlignment="1">
      <alignment horizontal="left" vertical="top" wrapText="1"/>
    </xf>
    <xf numFmtId="0" fontId="15" fillId="3" borderId="0" xfId="0" applyFont="1" applyFill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8" fillId="6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16" fillId="9" borderId="0" xfId="0" applyFont="1" applyFill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9" borderId="14" xfId="0" applyFont="1" applyFill="1" applyBorder="1" applyAlignment="1">
      <alignment horizontal="left" vertical="center" wrapText="1"/>
    </xf>
    <xf numFmtId="0" fontId="2" fillId="9" borderId="15" xfId="0" applyFont="1" applyFill="1" applyBorder="1" applyAlignment="1">
      <alignment horizontal="left" vertical="center" wrapText="1"/>
    </xf>
    <xf numFmtId="0" fontId="2" fillId="9" borderId="29" xfId="0" applyFont="1" applyFill="1" applyBorder="1" applyAlignment="1">
      <alignment horizontal="left" vertical="center" wrapText="1"/>
    </xf>
    <xf numFmtId="0" fontId="2" fillId="9" borderId="26" xfId="0" applyFont="1" applyFill="1" applyBorder="1" applyAlignment="1">
      <alignment horizontal="left" vertical="center" wrapText="1"/>
    </xf>
    <xf numFmtId="0" fontId="2" fillId="3" borderId="14" xfId="0" applyFont="1" applyFill="1" applyBorder="1" applyAlignment="1">
      <alignment horizontal="left" vertical="center" wrapText="1"/>
    </xf>
    <xf numFmtId="0" fontId="2" fillId="3" borderId="12" xfId="0" applyFont="1" applyFill="1" applyBorder="1" applyAlignment="1">
      <alignment horizontal="left" vertical="center" wrapText="1"/>
    </xf>
    <xf numFmtId="0" fontId="2" fillId="3" borderId="15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0" fillId="9" borderId="1" xfId="0" applyFill="1" applyBorder="1"/>
    <xf numFmtId="0" fontId="13" fillId="9" borderId="1" xfId="0" applyFont="1" applyFill="1" applyBorder="1" applyAlignment="1">
      <alignment vertical="center"/>
    </xf>
    <xf numFmtId="0" fontId="0" fillId="9" borderId="0" xfId="0" applyFill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1588770</xdr:colOff>
      <xdr:row>2</xdr:row>
      <xdr:rowOff>26670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93845" y="40767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8"/>
  <sheetViews>
    <sheetView topLeftCell="A90" workbookViewId="0">
      <selection activeCell="A108" sqref="A107:A108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6" width="13.109375" bestFit="1" customWidth="1"/>
    <col min="7" max="7" width="42.33203125" customWidth="1"/>
    <col min="10" max="10" width="18" customWidth="1"/>
    <col min="11" max="11" width="18.33203125" customWidth="1"/>
  </cols>
  <sheetData>
    <row r="1" spans="1:8" x14ac:dyDescent="0.3">
      <c r="A1" s="100" t="s">
        <v>50</v>
      </c>
      <c r="B1" s="95"/>
      <c r="C1" s="6"/>
      <c r="D1" s="6"/>
    </row>
    <row r="2" spans="1:8" x14ac:dyDescent="0.3">
      <c r="A2" s="96" t="s">
        <v>104</v>
      </c>
      <c r="B2" s="96"/>
      <c r="C2" s="96"/>
      <c r="D2" s="96"/>
    </row>
    <row r="3" spans="1:8" ht="16.95" customHeight="1" x14ac:dyDescent="0.3">
      <c r="A3" s="96" t="s">
        <v>57</v>
      </c>
      <c r="B3" s="96"/>
      <c r="C3" s="96"/>
      <c r="D3" s="96"/>
    </row>
    <row r="4" spans="1:8" ht="32.25" customHeight="1" x14ac:dyDescent="0.3">
      <c r="A4" s="140" t="s">
        <v>111</v>
      </c>
      <c r="B4" s="140"/>
      <c r="C4" s="97"/>
      <c r="D4" s="97"/>
    </row>
    <row r="5" spans="1:8" x14ac:dyDescent="0.3">
      <c r="A5" s="140"/>
      <c r="B5" s="140"/>
      <c r="C5" s="97"/>
      <c r="D5" s="97"/>
    </row>
    <row r="6" spans="1:8" x14ac:dyDescent="0.3">
      <c r="A6" s="140"/>
      <c r="B6" s="140"/>
      <c r="C6" s="97"/>
      <c r="D6" s="97"/>
    </row>
    <row r="7" spans="1:8" ht="6.6" customHeight="1" x14ac:dyDescent="0.3">
      <c r="A7" s="140"/>
      <c r="B7" s="140"/>
      <c r="C7" s="97"/>
      <c r="D7" s="97"/>
    </row>
    <row r="9" spans="1:8" x14ac:dyDescent="0.3">
      <c r="B9" s="148" t="s">
        <v>119</v>
      </c>
    </row>
    <row r="10" spans="1:8" x14ac:dyDescent="0.3">
      <c r="B10" s="148"/>
    </row>
    <row r="11" spans="1:8" x14ac:dyDescent="0.3">
      <c r="B11" s="148"/>
    </row>
    <row r="13" spans="1:8" ht="14.4" hidden="1" customHeight="1" x14ac:dyDescent="0.3">
      <c r="F13" t="s">
        <v>101</v>
      </c>
      <c r="G13" t="s">
        <v>102</v>
      </c>
      <c r="H13" t="s">
        <v>103</v>
      </c>
    </row>
    <row r="14" spans="1:8" ht="15" customHeight="1" x14ac:dyDescent="0.3">
      <c r="A14" s="141" t="s">
        <v>49</v>
      </c>
      <c r="B14" s="141"/>
      <c r="C14" s="141"/>
      <c r="D14" s="141"/>
    </row>
    <row r="15" spans="1:8" ht="15" customHeight="1" x14ac:dyDescent="0.3">
      <c r="A15" s="141"/>
      <c r="B15" s="141"/>
      <c r="C15" s="141"/>
      <c r="D15" s="141"/>
    </row>
    <row r="16" spans="1:8" ht="15" customHeight="1" x14ac:dyDescent="0.3">
      <c r="A16" s="141"/>
      <c r="B16" s="141"/>
      <c r="C16" s="141"/>
      <c r="D16" s="141"/>
    </row>
    <row r="17" spans="1:7" ht="53.25" customHeight="1" x14ac:dyDescent="0.3">
      <c r="A17" s="141"/>
      <c r="B17" s="141"/>
      <c r="C17" s="141"/>
      <c r="D17" s="141"/>
    </row>
    <row r="18" spans="1:7" ht="14.25" customHeight="1" thickBot="1" x14ac:dyDescent="0.35"/>
    <row r="19" spans="1:7" ht="15" hidden="1" thickBot="1" x14ac:dyDescent="0.35">
      <c r="A19" s="2"/>
    </row>
    <row r="20" spans="1:7" ht="15" hidden="1" thickBot="1" x14ac:dyDescent="0.35"/>
    <row r="21" spans="1:7" x14ac:dyDescent="0.3">
      <c r="A21" s="10" t="s">
        <v>15</v>
      </c>
      <c r="B21" s="11"/>
      <c r="C21" s="8"/>
      <c r="D21" s="12"/>
    </row>
    <row r="22" spans="1:7" x14ac:dyDescent="0.3">
      <c r="A22" s="23" t="s">
        <v>40</v>
      </c>
      <c r="B22" s="23"/>
      <c r="C22" s="21"/>
      <c r="D22" s="21"/>
    </row>
    <row r="23" spans="1:7" ht="14.25" customHeight="1" x14ac:dyDescent="0.3">
      <c r="A23" s="5" t="s">
        <v>106</v>
      </c>
      <c r="B23" s="5"/>
      <c r="C23" s="112">
        <v>395000</v>
      </c>
      <c r="D23" s="105" t="s">
        <v>123</v>
      </c>
    </row>
    <row r="24" spans="1:7" hidden="1" x14ac:dyDescent="0.3">
      <c r="A24" s="5"/>
      <c r="B24" s="5"/>
      <c r="C24" s="112"/>
      <c r="D24" s="99"/>
    </row>
    <row r="25" spans="1:7" hidden="1" x14ac:dyDescent="0.3">
      <c r="A25" s="5"/>
      <c r="B25" s="5"/>
      <c r="C25" s="112"/>
      <c r="D25" s="99"/>
    </row>
    <row r="26" spans="1:7" hidden="1" x14ac:dyDescent="0.3">
      <c r="A26" s="5"/>
      <c r="B26" s="5"/>
      <c r="C26" s="112"/>
      <c r="D26" s="99"/>
    </row>
    <row r="27" spans="1:7" hidden="1" x14ac:dyDescent="0.3">
      <c r="A27" s="5"/>
      <c r="B27" s="5"/>
      <c r="C27" s="113"/>
      <c r="D27" s="99"/>
    </row>
    <row r="28" spans="1:7" hidden="1" x14ac:dyDescent="0.3">
      <c r="A28" s="41" t="s">
        <v>41</v>
      </c>
      <c r="B28" s="98"/>
      <c r="C28" s="42">
        <f>SUM(C24:C27)</f>
        <v>0</v>
      </c>
      <c r="D28" s="69"/>
    </row>
    <row r="29" spans="1:7" ht="14.25" customHeight="1" thickBot="1" x14ac:dyDescent="0.35">
      <c r="A29" s="16" t="s">
        <v>0</v>
      </c>
      <c r="B29" s="16"/>
      <c r="C29" s="18"/>
      <c r="D29" s="70">
        <f>C23+C28</f>
        <v>395000</v>
      </c>
      <c r="E29" s="13"/>
      <c r="F29" s="13"/>
    </row>
    <row r="30" spans="1:7" x14ac:dyDescent="0.3">
      <c r="A30" s="23" t="s">
        <v>26</v>
      </c>
      <c r="B30" s="23"/>
      <c r="C30" s="24"/>
      <c r="D30" s="71"/>
      <c r="F30" s="13"/>
    </row>
    <row r="31" spans="1:7" ht="21" customHeight="1" x14ac:dyDescent="0.3">
      <c r="A31" s="101" t="s">
        <v>124</v>
      </c>
      <c r="B31" s="94"/>
      <c r="C31" s="132">
        <v>102000</v>
      </c>
      <c r="D31" s="110"/>
      <c r="G31" s="13"/>
    </row>
    <row r="32" spans="1:7" ht="15" thickBot="1" x14ac:dyDescent="0.35">
      <c r="A32" s="16" t="s">
        <v>22</v>
      </c>
      <c r="B32" s="16"/>
      <c r="C32" s="27"/>
      <c r="D32" s="70">
        <f>SUM(C31:C31)</f>
        <v>102000</v>
      </c>
    </row>
    <row r="33" spans="1:6" x14ac:dyDescent="0.3">
      <c r="A33" s="21" t="s">
        <v>37</v>
      </c>
      <c r="B33" s="22"/>
      <c r="C33" s="25"/>
      <c r="D33" s="50"/>
    </row>
    <row r="34" spans="1:6" s="30" customFormat="1" ht="16.95" customHeight="1" x14ac:dyDescent="0.3">
      <c r="A34" s="146" t="s">
        <v>95</v>
      </c>
      <c r="B34" s="147"/>
      <c r="C34" s="134" t="s">
        <v>130</v>
      </c>
      <c r="D34" s="109"/>
    </row>
    <row r="35" spans="1:6" ht="14.4" customHeight="1" thickBot="1" x14ac:dyDescent="0.35">
      <c r="A35" s="16" t="s">
        <v>1</v>
      </c>
      <c r="B35" s="16"/>
      <c r="C35" s="27"/>
      <c r="D35" s="72">
        <f>SUM(C34:C34)</f>
        <v>0</v>
      </c>
    </row>
    <row r="36" spans="1:6" hidden="1" x14ac:dyDescent="0.3">
      <c r="A36" s="23" t="s">
        <v>23</v>
      </c>
      <c r="B36" s="17"/>
      <c r="C36" s="28"/>
      <c r="D36" s="73"/>
    </row>
    <row r="37" spans="1:6" hidden="1" x14ac:dyDescent="0.3">
      <c r="A37" s="5" t="s">
        <v>51</v>
      </c>
      <c r="B37" s="5" t="s">
        <v>120</v>
      </c>
      <c r="C37" s="135"/>
      <c r="D37" s="109"/>
      <c r="F37" s="102"/>
    </row>
    <row r="38" spans="1:6" hidden="1" x14ac:dyDescent="0.3">
      <c r="A38" s="5" t="s">
        <v>52</v>
      </c>
      <c r="B38" s="5" t="s">
        <v>120</v>
      </c>
      <c r="C38" s="114"/>
      <c r="D38" s="109"/>
    </row>
    <row r="39" spans="1:6" hidden="1" x14ac:dyDescent="0.3">
      <c r="A39" s="5" t="s">
        <v>53</v>
      </c>
      <c r="B39" s="5" t="s">
        <v>120</v>
      </c>
      <c r="C39" s="114"/>
      <c r="D39" s="109"/>
    </row>
    <row r="40" spans="1:6" hidden="1" x14ac:dyDescent="0.3">
      <c r="A40" s="5" t="s">
        <v>54</v>
      </c>
      <c r="B40" s="5" t="s">
        <v>120</v>
      </c>
      <c r="C40" s="114"/>
      <c r="D40" s="108"/>
    </row>
    <row r="41" spans="1:6" ht="15" hidden="1" customHeight="1" thickBot="1" x14ac:dyDescent="0.35">
      <c r="A41" s="16" t="s">
        <v>2</v>
      </c>
      <c r="B41" s="17"/>
      <c r="C41" s="29"/>
      <c r="D41" s="72">
        <f>SUM(C37:C40)</f>
        <v>0</v>
      </c>
    </row>
    <row r="42" spans="1:6" x14ac:dyDescent="0.3">
      <c r="A42" s="23" t="s">
        <v>25</v>
      </c>
      <c r="B42" s="17"/>
      <c r="C42" s="28"/>
      <c r="D42" s="73"/>
    </row>
    <row r="43" spans="1:6" ht="14.25" customHeight="1" x14ac:dyDescent="0.3">
      <c r="A43" t="s">
        <v>97</v>
      </c>
      <c r="B43" s="5"/>
      <c r="C43" s="114">
        <v>84708.24</v>
      </c>
      <c r="D43" s="107" t="s">
        <v>121</v>
      </c>
    </row>
    <row r="44" spans="1:6" ht="14.25" customHeight="1" x14ac:dyDescent="0.3">
      <c r="A44" s="5" t="s">
        <v>96</v>
      </c>
      <c r="B44" s="5"/>
      <c r="C44" s="114">
        <v>185724.36</v>
      </c>
      <c r="D44" s="105" t="s">
        <v>122</v>
      </c>
    </row>
    <row r="45" spans="1:6" ht="14.25" customHeight="1" x14ac:dyDescent="0.3">
      <c r="A45" s="5" t="s">
        <v>105</v>
      </c>
      <c r="B45" s="5"/>
      <c r="C45" s="114">
        <v>259590</v>
      </c>
      <c r="D45" s="105" t="s">
        <v>122</v>
      </c>
    </row>
    <row r="46" spans="1:6" ht="15" thickBot="1" x14ac:dyDescent="0.35">
      <c r="A46" s="16" t="s">
        <v>3</v>
      </c>
      <c r="B46" s="16"/>
      <c r="C46" s="27"/>
      <c r="D46" s="72">
        <f>SUM(C43:C45)</f>
        <v>530022.6</v>
      </c>
    </row>
    <row r="47" spans="1:6" ht="15" thickBot="1" x14ac:dyDescent="0.35">
      <c r="A47" s="23" t="s">
        <v>24</v>
      </c>
      <c r="B47" s="16"/>
      <c r="C47" s="27"/>
      <c r="D47" s="75"/>
    </row>
    <row r="48" spans="1:6" ht="16.95" customHeight="1" x14ac:dyDescent="0.3">
      <c r="A48" s="126" t="s">
        <v>98</v>
      </c>
      <c r="B48" s="104"/>
      <c r="C48" s="114" t="s">
        <v>125</v>
      </c>
      <c r="D48" s="105"/>
    </row>
    <row r="49" spans="1:6" ht="15" thickBot="1" x14ac:dyDescent="0.35">
      <c r="A49" s="16" t="s">
        <v>8</v>
      </c>
      <c r="B49" s="23"/>
      <c r="C49" s="21"/>
      <c r="D49" s="78">
        <f>SUM(C48:C48)</f>
        <v>0</v>
      </c>
    </row>
    <row r="50" spans="1:6" ht="15" thickBot="1" x14ac:dyDescent="0.35">
      <c r="A50" s="23" t="s">
        <v>18</v>
      </c>
      <c r="B50" s="49"/>
      <c r="C50" s="18"/>
      <c r="D50" s="75"/>
    </row>
    <row r="51" spans="1:6" x14ac:dyDescent="0.3">
      <c r="A51" s="5" t="s">
        <v>100</v>
      </c>
      <c r="B51" s="5"/>
      <c r="C51" s="114">
        <v>57500</v>
      </c>
      <c r="D51" s="79"/>
    </row>
    <row r="52" spans="1:6" x14ac:dyDescent="0.3">
      <c r="A52" s="5" t="s">
        <v>99</v>
      </c>
      <c r="B52" s="5"/>
      <c r="C52" s="114">
        <f>4684.8+33979.94</f>
        <v>38664.740000000005</v>
      </c>
      <c r="D52" s="77"/>
    </row>
    <row r="53" spans="1:6" ht="15" thickBot="1" x14ac:dyDescent="0.35">
      <c r="A53" s="39" t="s">
        <v>22</v>
      </c>
      <c r="B53" s="39"/>
      <c r="C53" s="80"/>
      <c r="D53" s="72">
        <f>SUM(C51:C52)</f>
        <v>96164.74</v>
      </c>
    </row>
    <row r="54" spans="1:6" ht="15" thickBot="1" x14ac:dyDescent="0.35">
      <c r="A54" s="5"/>
      <c r="B54" s="5"/>
      <c r="C54" s="68"/>
      <c r="D54" s="81"/>
    </row>
    <row r="55" spans="1:6" ht="22.5" customHeight="1" thickBot="1" x14ac:dyDescent="0.35">
      <c r="A55" s="142" t="s">
        <v>131</v>
      </c>
      <c r="B55" s="143"/>
      <c r="C55" s="144"/>
      <c r="D55" s="82">
        <f>1350000-1123187.34</f>
        <v>226812.65999999992</v>
      </c>
    </row>
    <row r="56" spans="1:6" ht="15" thickBot="1" x14ac:dyDescent="0.35">
      <c r="A56" s="1"/>
      <c r="C56" s="83"/>
      <c r="D56" s="84"/>
      <c r="E56" s="34"/>
    </row>
    <row r="57" spans="1:6" ht="15" thickBot="1" x14ac:dyDescent="0.35">
      <c r="A57" s="3" t="s">
        <v>19</v>
      </c>
      <c r="B57" s="9"/>
      <c r="C57" s="85"/>
      <c r="D57" s="86">
        <f>(SUM(D24:D55))</f>
        <v>1350000</v>
      </c>
      <c r="E57" s="34"/>
      <c r="F57" s="34"/>
    </row>
    <row r="58" spans="1:6" x14ac:dyDescent="0.3">
      <c r="C58" s="83"/>
      <c r="D58" s="83"/>
      <c r="F58" s="103"/>
    </row>
    <row r="59" spans="1:6" ht="15" thickBot="1" x14ac:dyDescent="0.35">
      <c r="C59" s="83"/>
      <c r="D59" s="83"/>
    </row>
    <row r="60" spans="1:6" x14ac:dyDescent="0.3">
      <c r="A60" s="10" t="s">
        <v>27</v>
      </c>
      <c r="B60" s="11"/>
      <c r="C60" s="87"/>
      <c r="D60" s="88"/>
    </row>
    <row r="61" spans="1:6" x14ac:dyDescent="0.3">
      <c r="A61" s="146"/>
      <c r="B61" s="147"/>
      <c r="C61" s="76"/>
      <c r="D61" s="74"/>
    </row>
    <row r="62" spans="1:6" x14ac:dyDescent="0.3">
      <c r="A62" s="146"/>
      <c r="B62" s="147"/>
      <c r="C62" s="76"/>
      <c r="D62" s="74"/>
    </row>
    <row r="63" spans="1:6" x14ac:dyDescent="0.3">
      <c r="A63" s="91"/>
      <c r="B63" s="92"/>
      <c r="C63" s="76"/>
      <c r="D63" s="74"/>
    </row>
    <row r="64" spans="1:6" x14ac:dyDescent="0.3">
      <c r="A64" s="37"/>
      <c r="B64" s="36"/>
      <c r="C64" s="43"/>
      <c r="D64" s="43">
        <f>SUM(C61:C63)</f>
        <v>0</v>
      </c>
    </row>
    <row r="65" spans="1:4" ht="15" customHeight="1" x14ac:dyDescent="0.3"/>
    <row r="66" spans="1:4" hidden="1" x14ac:dyDescent="0.3"/>
    <row r="67" spans="1:4" x14ac:dyDescent="0.3">
      <c r="A67" s="19" t="s">
        <v>28</v>
      </c>
      <c r="B67" s="19"/>
      <c r="C67" s="20"/>
      <c r="D67" s="111"/>
    </row>
    <row r="68" spans="1:4" ht="15" thickBot="1" x14ac:dyDescent="0.35"/>
    <row r="69" spans="1:4" ht="15" thickBot="1" x14ac:dyDescent="0.35">
      <c r="A69" s="3" t="s">
        <v>29</v>
      </c>
      <c r="B69" s="9"/>
      <c r="C69" s="4"/>
      <c r="D69" s="51">
        <f>D64+D67</f>
        <v>0</v>
      </c>
    </row>
    <row r="70" spans="1:4" ht="15" thickBot="1" x14ac:dyDescent="0.35"/>
    <row r="71" spans="1:4" ht="15" thickBot="1" x14ac:dyDescent="0.35">
      <c r="A71" s="66" t="s">
        <v>20</v>
      </c>
      <c r="B71" s="67">
        <f>D57</f>
        <v>1350000</v>
      </c>
      <c r="C71" s="34"/>
    </row>
    <row r="72" spans="1:4" ht="15" thickBot="1" x14ac:dyDescent="0.35">
      <c r="A72" s="66" t="s">
        <v>21</v>
      </c>
      <c r="B72" s="67">
        <f>D57-D55</f>
        <v>1123187.3400000001</v>
      </c>
    </row>
    <row r="73" spans="1:4" ht="15" thickBot="1" x14ac:dyDescent="0.35">
      <c r="A73" s="66" t="s">
        <v>30</v>
      </c>
      <c r="B73" s="67">
        <f>D69-D67</f>
        <v>0</v>
      </c>
    </row>
    <row r="74" spans="1:4" ht="15" thickBot="1" x14ac:dyDescent="0.35">
      <c r="A74" s="66" t="s">
        <v>45</v>
      </c>
      <c r="B74" s="67">
        <f>D69</f>
        <v>0</v>
      </c>
    </row>
    <row r="78" spans="1:4" x14ac:dyDescent="0.3">
      <c r="A78" s="14" t="s">
        <v>39</v>
      </c>
      <c r="B78" s="31"/>
    </row>
    <row r="79" spans="1:4" ht="18" customHeight="1" x14ac:dyDescent="0.3">
      <c r="A79" s="127" t="s">
        <v>115</v>
      </c>
      <c r="B79" s="93">
        <v>532845.39999999991</v>
      </c>
      <c r="D79" s="34"/>
    </row>
    <row r="80" spans="1:4" ht="18" customHeight="1" x14ac:dyDescent="0.3">
      <c r="A80" s="128" t="s">
        <v>48</v>
      </c>
      <c r="B80" s="32">
        <f>PRORRATEO!G18</f>
        <v>1685206.5899999999</v>
      </c>
    </row>
    <row r="81" spans="1:4" ht="18" customHeight="1" x14ac:dyDescent="0.3">
      <c r="A81" s="128" t="s">
        <v>47</v>
      </c>
      <c r="B81" s="77">
        <f>B97</f>
        <v>200000</v>
      </c>
    </row>
    <row r="82" spans="1:4" ht="18" customHeight="1" x14ac:dyDescent="0.3">
      <c r="A82" s="15" t="s">
        <v>55</v>
      </c>
      <c r="B82" s="106">
        <v>-2372</v>
      </c>
    </row>
    <row r="83" spans="1:4" ht="18" customHeight="1" x14ac:dyDescent="0.3">
      <c r="A83" s="15" t="s">
        <v>55</v>
      </c>
      <c r="B83" s="106">
        <v>-2997</v>
      </c>
    </row>
    <row r="84" spans="1:4" ht="18" customHeight="1" x14ac:dyDescent="0.3">
      <c r="A84" s="15" t="s">
        <v>55</v>
      </c>
      <c r="B84" s="106">
        <v>-15817</v>
      </c>
    </row>
    <row r="85" spans="1:4" ht="18" customHeight="1" x14ac:dyDescent="0.3">
      <c r="A85" s="15" t="s">
        <v>126</v>
      </c>
      <c r="B85" s="106">
        <v>-119447.13</v>
      </c>
    </row>
    <row r="86" spans="1:4" ht="18" customHeight="1" x14ac:dyDescent="0.3">
      <c r="A86" s="15" t="s">
        <v>126</v>
      </c>
      <c r="B86" s="106">
        <v>-80500</v>
      </c>
    </row>
    <row r="87" spans="1:4" ht="18" customHeight="1" x14ac:dyDescent="0.3">
      <c r="A87" s="15" t="s">
        <v>126</v>
      </c>
      <c r="B87" s="106">
        <v>-185000</v>
      </c>
    </row>
    <row r="88" spans="1:4" ht="18" customHeight="1" x14ac:dyDescent="0.3">
      <c r="A88" s="15" t="s">
        <v>31</v>
      </c>
      <c r="B88" s="106">
        <f>-B72</f>
        <v>-1123187.3400000001</v>
      </c>
    </row>
    <row r="89" spans="1:4" ht="18" customHeight="1" x14ac:dyDescent="0.3">
      <c r="A89" s="15" t="s">
        <v>32</v>
      </c>
      <c r="B89" s="77">
        <f>-(B73)</f>
        <v>0</v>
      </c>
    </row>
    <row r="90" spans="1:4" ht="18" customHeight="1" x14ac:dyDescent="0.3">
      <c r="A90" s="129" t="s">
        <v>8</v>
      </c>
      <c r="B90" s="93">
        <f>SUM(B79:B89)</f>
        <v>888731.51999999979</v>
      </c>
      <c r="D90" s="34"/>
    </row>
    <row r="91" spans="1:4" ht="34.5" customHeight="1" x14ac:dyDescent="0.3">
      <c r="B91" s="33"/>
      <c r="C91" s="34"/>
    </row>
    <row r="93" spans="1:4" x14ac:dyDescent="0.3">
      <c r="A93" s="145" t="s">
        <v>38</v>
      </c>
      <c r="B93" s="145"/>
    </row>
    <row r="94" spans="1:4" ht="27.75" customHeight="1" x14ac:dyDescent="0.3">
      <c r="A94" s="145"/>
      <c r="B94" s="145"/>
    </row>
    <row r="95" spans="1:4" ht="32.25" customHeight="1" x14ac:dyDescent="0.3">
      <c r="A95" s="89" t="s">
        <v>127</v>
      </c>
      <c r="B95" s="26">
        <v>100000</v>
      </c>
    </row>
    <row r="96" spans="1:4" ht="32.25" customHeight="1" x14ac:dyDescent="0.3">
      <c r="A96" s="89" t="s">
        <v>129</v>
      </c>
      <c r="B96" s="26">
        <v>100000</v>
      </c>
    </row>
    <row r="97" spans="1:12" x14ac:dyDescent="0.3">
      <c r="A97" s="35" t="s">
        <v>8</v>
      </c>
      <c r="B97" s="90">
        <f>SUM(B95:B96)</f>
        <v>200000</v>
      </c>
    </row>
    <row r="98" spans="1:12" x14ac:dyDescent="0.3">
      <c r="L98" s="7"/>
    </row>
  </sheetData>
  <mergeCells count="8">
    <mergeCell ref="A4:B7"/>
    <mergeCell ref="A14:D17"/>
    <mergeCell ref="A55:C55"/>
    <mergeCell ref="A93:B94"/>
    <mergeCell ref="A62:B62"/>
    <mergeCell ref="A61:B61"/>
    <mergeCell ref="B9:B11"/>
    <mergeCell ref="A34:B34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"/>
  <sheetViews>
    <sheetView zoomScaleNormal="100" workbookViewId="0">
      <selection activeCell="D9" sqref="A9:D9"/>
    </sheetView>
  </sheetViews>
  <sheetFormatPr baseColWidth="10" defaultRowHeight="14.4" x14ac:dyDescent="0.3"/>
  <cols>
    <col min="1" max="1" width="4.5546875" bestFit="1" customWidth="1"/>
    <col min="2" max="2" width="7.33203125" customWidth="1"/>
    <col min="3" max="3" width="10.109375" customWidth="1"/>
    <col min="4" max="4" width="18.5546875" customWidth="1"/>
    <col min="5" max="5" width="5.109375" customWidth="1"/>
    <col min="6" max="6" width="14.109375" customWidth="1"/>
    <col min="7" max="7" width="14" customWidth="1"/>
    <col min="8" max="8" width="7.6640625" hidden="1" customWidth="1"/>
    <col min="9" max="9" width="14.109375" customWidth="1"/>
    <col min="10" max="10" width="14.33203125" customWidth="1"/>
    <col min="11" max="11" width="14.109375" customWidth="1"/>
    <col min="12" max="12" width="12.44140625" customWidth="1"/>
    <col min="13" max="13" width="10.44140625" bestFit="1" customWidth="1"/>
    <col min="14" max="14" width="15.33203125" customWidth="1"/>
    <col min="15" max="15" width="14.109375" customWidth="1"/>
    <col min="16" max="16" width="7.44140625" bestFit="1" customWidth="1"/>
    <col min="17" max="17" width="12" bestFit="1" customWidth="1"/>
    <col min="18" max="18" width="13" bestFit="1" customWidth="1"/>
  </cols>
  <sheetData>
    <row r="1" spans="1:18" ht="33.75" customHeight="1" x14ac:dyDescent="0.3">
      <c r="A1" s="6"/>
      <c r="B1" s="166" t="str">
        <f>RESUMEN!A4</f>
        <v>Banco: Santander
C.U.I.T.   30-71774143-5
CBU: 0720533020000000956840 ALIAS: BLONDA.LAGO.CORO
Nº de cuenta: 533-009568/4</v>
      </c>
      <c r="C1" s="167"/>
      <c r="D1" s="167"/>
      <c r="E1" s="168"/>
      <c r="F1" s="166" t="s">
        <v>116</v>
      </c>
      <c r="G1" s="167"/>
      <c r="H1" s="167"/>
      <c r="I1" s="168"/>
      <c r="J1" s="162" t="s">
        <v>112</v>
      </c>
      <c r="K1" s="163"/>
      <c r="L1" s="136" t="s">
        <v>113</v>
      </c>
      <c r="M1" s="136"/>
      <c r="N1" s="138">
        <v>1250000</v>
      </c>
      <c r="O1" s="130"/>
      <c r="P1" s="13"/>
    </row>
    <row r="2" spans="1:18" ht="43.95" customHeight="1" thickBot="1" x14ac:dyDescent="0.35">
      <c r="A2" s="6"/>
      <c r="B2" s="169"/>
      <c r="C2" s="170"/>
      <c r="D2" s="170"/>
      <c r="E2" s="171"/>
      <c r="F2" s="169"/>
      <c r="G2" s="170"/>
      <c r="H2" s="170"/>
      <c r="I2" s="171"/>
      <c r="J2" s="164"/>
      <c r="K2" s="165"/>
      <c r="L2" s="137" t="s">
        <v>114</v>
      </c>
      <c r="M2" s="137"/>
      <c r="N2" s="115"/>
      <c r="O2" s="131"/>
    </row>
    <row r="3" spans="1:18" x14ac:dyDescent="0.3">
      <c r="A3" s="172" t="s">
        <v>4</v>
      </c>
      <c r="B3" s="174" t="s">
        <v>58</v>
      </c>
      <c r="C3" s="152" t="s">
        <v>59</v>
      </c>
      <c r="D3" s="152" t="s">
        <v>5</v>
      </c>
      <c r="E3" s="152" t="s">
        <v>17</v>
      </c>
      <c r="F3" s="152" t="s">
        <v>46</v>
      </c>
      <c r="G3" s="152" t="s">
        <v>6</v>
      </c>
      <c r="H3" s="152" t="s">
        <v>35</v>
      </c>
      <c r="I3" s="157" t="s">
        <v>36</v>
      </c>
      <c r="J3" s="154" t="s">
        <v>34</v>
      </c>
      <c r="K3" s="154" t="s">
        <v>7</v>
      </c>
      <c r="L3" s="154" t="s">
        <v>33</v>
      </c>
      <c r="M3" s="160" t="s">
        <v>44</v>
      </c>
      <c r="N3" s="46" t="s">
        <v>43</v>
      </c>
      <c r="O3" s="149" t="s">
        <v>42</v>
      </c>
      <c r="R3" s="34"/>
    </row>
    <row r="4" spans="1:18" ht="15.75" customHeight="1" x14ac:dyDescent="0.3">
      <c r="A4" s="173"/>
      <c r="B4" s="175"/>
      <c r="C4" s="156"/>
      <c r="D4" s="156"/>
      <c r="E4" s="153"/>
      <c r="F4" s="156"/>
      <c r="G4" s="156"/>
      <c r="H4" s="153"/>
      <c r="I4" s="158"/>
      <c r="J4" s="155"/>
      <c r="K4" s="159"/>
      <c r="L4" s="155"/>
      <c r="M4" s="161"/>
      <c r="N4" s="44" t="str">
        <f>RESUMEN!B9</f>
        <v>VTO 13/03</v>
      </c>
      <c r="O4" s="150"/>
    </row>
    <row r="5" spans="1:18" ht="16.95" customHeight="1" x14ac:dyDescent="0.3">
      <c r="A5" s="5" t="s">
        <v>9</v>
      </c>
      <c r="B5" s="47" t="s">
        <v>60</v>
      </c>
      <c r="C5" s="47" t="s">
        <v>61</v>
      </c>
      <c r="D5" s="122" t="s">
        <v>62</v>
      </c>
      <c r="E5" s="48">
        <v>6.84</v>
      </c>
      <c r="F5" s="53">
        <v>148515.01</v>
      </c>
      <c r="G5" s="54"/>
      <c r="H5" s="55"/>
      <c r="I5" s="56">
        <f>F5-G5</f>
        <v>148515.01</v>
      </c>
      <c r="J5" s="56">
        <f>IF(I5&gt;0,I5*2.95%,0)</f>
        <v>4381.1927950000008</v>
      </c>
      <c r="K5" s="57">
        <f t="shared" ref="K5:K16" si="0">N$2*E5%</f>
        <v>0</v>
      </c>
      <c r="L5" s="57">
        <f t="shared" ref="L5:L16" si="1">N$1*E5%</f>
        <v>85500</v>
      </c>
      <c r="M5" s="58">
        <v>0</v>
      </c>
      <c r="N5" s="59">
        <f>ROUND(I5+J5+K5+L5+M5,0) + P5</f>
        <v>238396.01</v>
      </c>
      <c r="O5" s="60">
        <f t="shared" ref="O5:O16" si="2">ROUND(N5*3%,0) + N5</f>
        <v>245548.01</v>
      </c>
      <c r="P5" s="34">
        <v>0.01</v>
      </c>
      <c r="Q5" s="34"/>
    </row>
    <row r="6" spans="1:18" ht="16.95" customHeight="1" x14ac:dyDescent="0.3">
      <c r="A6" s="5" t="s">
        <v>9</v>
      </c>
      <c r="B6" s="123" t="s">
        <v>63</v>
      </c>
      <c r="C6" s="123" t="s">
        <v>64</v>
      </c>
      <c r="D6" s="116" t="s">
        <v>65</v>
      </c>
      <c r="E6" s="124">
        <v>7.79</v>
      </c>
      <c r="F6" s="53">
        <v>97375.02</v>
      </c>
      <c r="G6" s="54">
        <f t="shared" ref="G6" si="3">F6</f>
        <v>97375.02</v>
      </c>
      <c r="H6" s="55"/>
      <c r="I6" s="117">
        <f t="shared" ref="I6:I16" si="4">F6-G6</f>
        <v>0</v>
      </c>
      <c r="J6" s="117">
        <f t="shared" ref="J6:J16" si="5">IF(I6&gt;0,I6*2.95%,0)</f>
        <v>0</v>
      </c>
      <c r="K6" s="118">
        <f t="shared" si="0"/>
        <v>0</v>
      </c>
      <c r="L6" s="118">
        <f t="shared" si="1"/>
        <v>97375</v>
      </c>
      <c r="M6" s="119">
        <v>0</v>
      </c>
      <c r="N6" s="120">
        <f t="shared" ref="N6:N16" si="6">ROUND(SUM(I6:M6),0) + P6</f>
        <v>97375.02</v>
      </c>
      <c r="O6" s="121">
        <f t="shared" si="2"/>
        <v>100296.02</v>
      </c>
      <c r="P6" s="34">
        <f>P5+0.01</f>
        <v>0.02</v>
      </c>
    </row>
    <row r="7" spans="1:18" ht="16.95" customHeight="1" x14ac:dyDescent="0.3">
      <c r="A7" s="139" t="s">
        <v>10</v>
      </c>
      <c r="B7" s="123" t="s">
        <v>66</v>
      </c>
      <c r="C7" s="123" t="s">
        <v>67</v>
      </c>
      <c r="D7" s="123" t="s">
        <v>68</v>
      </c>
      <c r="E7" s="124">
        <v>6.75</v>
      </c>
      <c r="F7" s="54">
        <v>84375.03</v>
      </c>
      <c r="G7" s="54">
        <f>F7</f>
        <v>84375.03</v>
      </c>
      <c r="H7" s="55"/>
      <c r="I7" s="56">
        <f t="shared" si="4"/>
        <v>0</v>
      </c>
      <c r="J7" s="56">
        <f t="shared" si="5"/>
        <v>0</v>
      </c>
      <c r="K7" s="57">
        <f t="shared" si="0"/>
        <v>0</v>
      </c>
      <c r="L7" s="57">
        <f t="shared" si="1"/>
        <v>84375</v>
      </c>
      <c r="M7" s="58">
        <v>0</v>
      </c>
      <c r="N7" s="59">
        <f t="shared" si="6"/>
        <v>84375.03</v>
      </c>
      <c r="O7" s="60">
        <f t="shared" si="2"/>
        <v>86906.03</v>
      </c>
      <c r="P7" s="34">
        <f t="shared" ref="P7:P16" si="7">P6+0.01</f>
        <v>0.03</v>
      </c>
      <c r="Q7" t="s">
        <v>109</v>
      </c>
      <c r="R7" s="34"/>
    </row>
    <row r="8" spans="1:18" ht="16.95" customHeight="1" x14ac:dyDescent="0.3">
      <c r="A8" s="5" t="s">
        <v>10</v>
      </c>
      <c r="B8" s="123" t="s">
        <v>69</v>
      </c>
      <c r="C8" s="123" t="s">
        <v>70</v>
      </c>
      <c r="D8" s="123" t="s">
        <v>71</v>
      </c>
      <c r="E8" s="124">
        <v>7.41</v>
      </c>
      <c r="F8" s="54">
        <v>175424.04</v>
      </c>
      <c r="G8" s="54">
        <f>92552.04+80500+2372</f>
        <v>175424.03999999998</v>
      </c>
      <c r="H8" s="55"/>
      <c r="I8" s="56">
        <f t="shared" si="4"/>
        <v>0</v>
      </c>
      <c r="J8" s="56">
        <f t="shared" si="5"/>
        <v>0</v>
      </c>
      <c r="K8" s="57">
        <f t="shared" si="0"/>
        <v>0</v>
      </c>
      <c r="L8" s="57">
        <f t="shared" si="1"/>
        <v>92625</v>
      </c>
      <c r="M8" s="58">
        <v>0</v>
      </c>
      <c r="N8" s="59">
        <f t="shared" si="6"/>
        <v>92625.04</v>
      </c>
      <c r="O8" s="60">
        <f t="shared" si="2"/>
        <v>95404.04</v>
      </c>
      <c r="P8" s="34">
        <f t="shared" si="7"/>
        <v>0.04</v>
      </c>
      <c r="Q8" t="s">
        <v>118</v>
      </c>
      <c r="R8" s="34"/>
    </row>
    <row r="9" spans="1:18" ht="16.95" customHeight="1" x14ac:dyDescent="0.3">
      <c r="A9" s="176" t="s">
        <v>11</v>
      </c>
      <c r="B9" s="177" t="s">
        <v>72</v>
      </c>
      <c r="C9" s="177" t="s">
        <v>73</v>
      </c>
      <c r="D9" s="177" t="s">
        <v>74</v>
      </c>
      <c r="E9" s="133">
        <v>8</v>
      </c>
      <c r="F9" s="53">
        <v>187603.05</v>
      </c>
      <c r="G9" s="54"/>
      <c r="H9" s="55"/>
      <c r="I9" s="56">
        <f t="shared" si="4"/>
        <v>187603.05</v>
      </c>
      <c r="J9" s="56">
        <f t="shared" si="5"/>
        <v>5534.2899749999997</v>
      </c>
      <c r="K9" s="57">
        <f t="shared" si="0"/>
        <v>0</v>
      </c>
      <c r="L9" s="57">
        <f t="shared" si="1"/>
        <v>100000</v>
      </c>
      <c r="M9" s="58">
        <v>0</v>
      </c>
      <c r="N9" s="59">
        <f t="shared" si="6"/>
        <v>293137.05</v>
      </c>
      <c r="O9" s="60">
        <f t="shared" si="2"/>
        <v>301931.05</v>
      </c>
      <c r="P9" s="34">
        <f t="shared" si="7"/>
        <v>0.05</v>
      </c>
      <c r="Q9" t="s">
        <v>132</v>
      </c>
    </row>
    <row r="10" spans="1:18" ht="16.95" customHeight="1" x14ac:dyDescent="0.3">
      <c r="A10" s="5" t="s">
        <v>11</v>
      </c>
      <c r="B10" s="122" t="s">
        <v>75</v>
      </c>
      <c r="C10" s="123" t="s">
        <v>76</v>
      </c>
      <c r="D10" s="123" t="s">
        <v>77</v>
      </c>
      <c r="E10" s="122">
        <v>6.97</v>
      </c>
      <c r="F10" s="53">
        <v>187638.06</v>
      </c>
      <c r="G10" s="54">
        <v>97633</v>
      </c>
      <c r="H10" s="55"/>
      <c r="I10" s="56">
        <f t="shared" si="4"/>
        <v>90005.06</v>
      </c>
      <c r="J10" s="56">
        <f t="shared" si="5"/>
        <v>2655.1492699999999</v>
      </c>
      <c r="K10" s="57">
        <f t="shared" si="0"/>
        <v>0</v>
      </c>
      <c r="L10" s="57">
        <f t="shared" si="1"/>
        <v>87125</v>
      </c>
      <c r="M10" s="58">
        <v>0</v>
      </c>
      <c r="N10" s="59">
        <f t="shared" si="6"/>
        <v>179785.06</v>
      </c>
      <c r="O10" s="60">
        <f t="shared" si="2"/>
        <v>185179.06</v>
      </c>
      <c r="P10" s="34">
        <f t="shared" si="7"/>
        <v>6.0000000000000005E-2</v>
      </c>
      <c r="Q10" s="103"/>
      <c r="R10" s="102"/>
    </row>
    <row r="11" spans="1:18" ht="16.95" customHeight="1" x14ac:dyDescent="0.3">
      <c r="A11" s="5" t="s">
        <v>12</v>
      </c>
      <c r="B11" s="122" t="s">
        <v>78</v>
      </c>
      <c r="C11" s="122" t="s">
        <v>79</v>
      </c>
      <c r="D11" s="122" t="s">
        <v>80</v>
      </c>
      <c r="E11" s="125">
        <v>6.75</v>
      </c>
      <c r="F11" s="53">
        <v>84375.07</v>
      </c>
      <c r="G11" s="54">
        <f>F11</f>
        <v>84375.07</v>
      </c>
      <c r="H11" s="55"/>
      <c r="I11" s="56">
        <f t="shared" si="4"/>
        <v>0</v>
      </c>
      <c r="J11" s="56">
        <f t="shared" si="5"/>
        <v>0</v>
      </c>
      <c r="K11" s="57">
        <f t="shared" si="0"/>
        <v>0</v>
      </c>
      <c r="L11" s="57">
        <f t="shared" si="1"/>
        <v>84375</v>
      </c>
      <c r="M11" s="58">
        <v>0</v>
      </c>
      <c r="N11" s="59">
        <f t="shared" si="6"/>
        <v>84375.07</v>
      </c>
      <c r="O11" s="60">
        <f t="shared" si="2"/>
        <v>86906.07</v>
      </c>
      <c r="P11" s="34">
        <f t="shared" si="7"/>
        <v>7.0000000000000007E-2</v>
      </c>
      <c r="Q11" t="s">
        <v>108</v>
      </c>
    </row>
    <row r="12" spans="1:18" ht="16.95" customHeight="1" x14ac:dyDescent="0.3">
      <c r="A12" s="5" t="s">
        <v>12</v>
      </c>
      <c r="B12" s="122" t="s">
        <v>81</v>
      </c>
      <c r="C12" s="122" t="s">
        <v>82</v>
      </c>
      <c r="D12" s="122" t="s">
        <v>83</v>
      </c>
      <c r="E12" s="125">
        <v>7.79</v>
      </c>
      <c r="F12" s="53">
        <v>97375.08</v>
      </c>
      <c r="G12" s="54">
        <f>F12</f>
        <v>97375.08</v>
      </c>
      <c r="H12" s="55"/>
      <c r="I12" s="56">
        <f t="shared" si="4"/>
        <v>0</v>
      </c>
      <c r="J12" s="56">
        <f t="shared" si="5"/>
        <v>0</v>
      </c>
      <c r="K12" s="57">
        <f t="shared" si="0"/>
        <v>0</v>
      </c>
      <c r="L12" s="57">
        <f t="shared" si="1"/>
        <v>97375</v>
      </c>
      <c r="M12" s="58">
        <v>0</v>
      </c>
      <c r="N12" s="59">
        <f t="shared" si="6"/>
        <v>97375.08</v>
      </c>
      <c r="O12" s="60">
        <f t="shared" si="2"/>
        <v>100296.08</v>
      </c>
      <c r="P12" s="34">
        <f t="shared" si="7"/>
        <v>0.08</v>
      </c>
    </row>
    <row r="13" spans="1:18" ht="16.95" customHeight="1" x14ac:dyDescent="0.3">
      <c r="A13" s="5" t="s">
        <v>13</v>
      </c>
      <c r="B13" s="123" t="s">
        <v>84</v>
      </c>
      <c r="C13" s="123" t="s">
        <v>85</v>
      </c>
      <c r="D13" s="123" t="s">
        <v>86</v>
      </c>
      <c r="E13" s="124">
        <v>7.62</v>
      </c>
      <c r="F13" s="54">
        <v>199818.09</v>
      </c>
      <c r="G13" s="54">
        <f>77374+119447.13+2997</f>
        <v>199818.13</v>
      </c>
      <c r="H13" s="55"/>
      <c r="I13" s="56">
        <f t="shared" si="4"/>
        <v>-4.0000000008149073E-2</v>
      </c>
      <c r="J13" s="56">
        <f t="shared" si="5"/>
        <v>0</v>
      </c>
      <c r="K13" s="57">
        <f t="shared" si="0"/>
        <v>0</v>
      </c>
      <c r="L13" s="57">
        <f t="shared" si="1"/>
        <v>95250</v>
      </c>
      <c r="M13" s="58">
        <v>0</v>
      </c>
      <c r="N13" s="59">
        <f t="shared" si="6"/>
        <v>95250.09</v>
      </c>
      <c r="O13" s="60">
        <f t="shared" si="2"/>
        <v>98108.09</v>
      </c>
      <c r="P13" s="34">
        <f t="shared" si="7"/>
        <v>0.09</v>
      </c>
      <c r="Q13" t="s">
        <v>117</v>
      </c>
    </row>
    <row r="14" spans="1:18" ht="16.95" customHeight="1" x14ac:dyDescent="0.3">
      <c r="A14" s="5" t="s">
        <v>13</v>
      </c>
      <c r="B14" s="122" t="s">
        <v>87</v>
      </c>
      <c r="C14" s="122" t="s">
        <v>88</v>
      </c>
      <c r="D14" s="122" t="s">
        <v>110</v>
      </c>
      <c r="E14" s="125">
        <v>6.97</v>
      </c>
      <c r="F14" s="53">
        <v>87125.1</v>
      </c>
      <c r="G14" s="54">
        <v>89739.1</v>
      </c>
      <c r="H14" s="55"/>
      <c r="I14" s="56">
        <f t="shared" si="4"/>
        <v>-2614</v>
      </c>
      <c r="J14" s="56">
        <f t="shared" si="5"/>
        <v>0</v>
      </c>
      <c r="K14" s="57">
        <f t="shared" si="0"/>
        <v>0</v>
      </c>
      <c r="L14" s="57">
        <f t="shared" si="1"/>
        <v>87125</v>
      </c>
      <c r="M14" s="58">
        <v>0</v>
      </c>
      <c r="N14" s="59">
        <f t="shared" si="6"/>
        <v>84511.1</v>
      </c>
      <c r="O14" s="60">
        <f t="shared" si="2"/>
        <v>87046.1</v>
      </c>
      <c r="P14" s="34">
        <f t="shared" si="7"/>
        <v>9.9999999999999992E-2</v>
      </c>
    </row>
    <row r="15" spans="1:18" ht="16.95" customHeight="1" x14ac:dyDescent="0.3">
      <c r="A15" s="5" t="s">
        <v>14</v>
      </c>
      <c r="B15" s="122" t="s">
        <v>89</v>
      </c>
      <c r="C15" s="122" t="s">
        <v>90</v>
      </c>
      <c r="D15" s="122" t="s">
        <v>91</v>
      </c>
      <c r="E15" s="125">
        <v>14.01</v>
      </c>
      <c r="F15" s="53">
        <v>590429.11</v>
      </c>
      <c r="G15" s="54">
        <f>380000+9612+185000+15817</f>
        <v>590429</v>
      </c>
      <c r="H15" s="55"/>
      <c r="I15" s="56">
        <f t="shared" si="4"/>
        <v>0.10999999998603016</v>
      </c>
      <c r="J15" s="56">
        <f t="shared" si="5"/>
        <v>3.24499999958789E-3</v>
      </c>
      <c r="K15" s="57">
        <f t="shared" si="0"/>
        <v>0</v>
      </c>
      <c r="L15" s="57">
        <f t="shared" si="1"/>
        <v>175125</v>
      </c>
      <c r="M15" s="58">
        <v>0</v>
      </c>
      <c r="N15" s="59">
        <f t="shared" si="6"/>
        <v>175125.11</v>
      </c>
      <c r="O15" s="60">
        <f t="shared" si="2"/>
        <v>180379.11</v>
      </c>
      <c r="P15" s="34">
        <f t="shared" si="7"/>
        <v>0.10999999999999999</v>
      </c>
      <c r="Q15" t="s">
        <v>128</v>
      </c>
    </row>
    <row r="16" spans="1:18" ht="16.95" customHeight="1" x14ac:dyDescent="0.3">
      <c r="A16" s="5" t="s">
        <v>14</v>
      </c>
      <c r="B16" s="122" t="s">
        <v>92</v>
      </c>
      <c r="C16" s="122" t="s">
        <v>93</v>
      </c>
      <c r="D16" s="122" t="s">
        <v>94</v>
      </c>
      <c r="E16" s="125">
        <v>13.1</v>
      </c>
      <c r="F16" s="53">
        <v>163750.12</v>
      </c>
      <c r="G16" s="54">
        <v>168663.12</v>
      </c>
      <c r="H16" s="55"/>
      <c r="I16" s="56">
        <f t="shared" si="4"/>
        <v>-4913</v>
      </c>
      <c r="J16" s="56">
        <f t="shared" si="5"/>
        <v>0</v>
      </c>
      <c r="K16" s="57">
        <f t="shared" si="0"/>
        <v>0</v>
      </c>
      <c r="L16" s="57">
        <f t="shared" si="1"/>
        <v>163750</v>
      </c>
      <c r="M16" s="58">
        <v>0</v>
      </c>
      <c r="N16" s="59">
        <f t="shared" si="6"/>
        <v>158837.12</v>
      </c>
      <c r="O16" s="60">
        <f t="shared" si="2"/>
        <v>163602.12</v>
      </c>
      <c r="P16" s="34">
        <f t="shared" si="7"/>
        <v>0.11999999999999998</v>
      </c>
      <c r="Q16" t="s">
        <v>107</v>
      </c>
    </row>
    <row r="17" spans="1:16" ht="17.100000000000001" customHeight="1" thickBot="1" x14ac:dyDescent="0.35">
      <c r="A17" s="5" t="s">
        <v>16</v>
      </c>
      <c r="B17" s="47"/>
      <c r="C17" s="47"/>
      <c r="D17" s="47"/>
      <c r="E17" s="52"/>
      <c r="F17" s="53"/>
      <c r="G17" s="54"/>
      <c r="H17" s="55"/>
      <c r="I17" s="56"/>
      <c r="J17" s="56"/>
      <c r="K17" s="57"/>
      <c r="L17" s="57"/>
      <c r="M17" s="58"/>
      <c r="N17" s="59"/>
      <c r="O17" s="60"/>
      <c r="P17" s="34"/>
    </row>
    <row r="18" spans="1:16" ht="17.100000000000001" customHeight="1" thickBot="1" x14ac:dyDescent="0.35">
      <c r="B18" s="61"/>
      <c r="C18" s="62"/>
      <c r="D18" s="63"/>
      <c r="E18" s="64">
        <f>SUM(E5:E17)</f>
        <v>100</v>
      </c>
      <c r="F18" s="40">
        <f>SUM(F5:F17)</f>
        <v>2103802.7800000007</v>
      </c>
      <c r="G18" s="45">
        <f>SUM(G5:G17)</f>
        <v>1685206.5899999999</v>
      </c>
      <c r="H18" s="45">
        <f>SUM(H5:H17)</f>
        <v>0</v>
      </c>
      <c r="I18" s="45"/>
      <c r="J18" s="45"/>
      <c r="K18" s="45">
        <f>SUM(K5:K17)</f>
        <v>0</v>
      </c>
      <c r="L18" s="45">
        <f>SUM(L5:L17)</f>
        <v>1250000</v>
      </c>
      <c r="M18" s="45">
        <f>SUM(M5:M17)</f>
        <v>0</v>
      </c>
      <c r="N18" s="65">
        <f>SUM(N5:N17)</f>
        <v>1681166.7800000003</v>
      </c>
      <c r="O18" s="65">
        <f>SUM(O5:O17)</f>
        <v>1731601.7800000007</v>
      </c>
    </row>
    <row r="19" spans="1:16" x14ac:dyDescent="0.3">
      <c r="D19" s="38"/>
    </row>
    <row r="20" spans="1:16" x14ac:dyDescent="0.3">
      <c r="D20" s="151" t="s">
        <v>56</v>
      </c>
      <c r="E20" s="151"/>
      <c r="F20" s="151"/>
      <c r="G20" s="151"/>
      <c r="H20" s="151"/>
      <c r="I20" s="151"/>
      <c r="J20" s="151"/>
      <c r="K20" s="151"/>
      <c r="L20" s="151"/>
      <c r="M20" s="151"/>
      <c r="N20" s="151"/>
    </row>
    <row r="21" spans="1:16" x14ac:dyDescent="0.3">
      <c r="D21" s="151"/>
      <c r="E21" s="151"/>
      <c r="F21" s="151"/>
      <c r="G21" s="151"/>
      <c r="H21" s="151"/>
      <c r="I21" s="151"/>
      <c r="J21" s="151"/>
      <c r="K21" s="151"/>
      <c r="L21" s="151"/>
      <c r="M21" s="151"/>
      <c r="N21" s="151"/>
    </row>
    <row r="22" spans="1:16" x14ac:dyDescent="0.3">
      <c r="D22" s="151"/>
      <c r="E22" s="151"/>
      <c r="F22" s="151"/>
      <c r="G22" s="151"/>
      <c r="H22" s="151"/>
      <c r="I22" s="151"/>
      <c r="J22" s="151"/>
      <c r="K22" s="151"/>
      <c r="L22" s="151"/>
      <c r="M22" s="151"/>
      <c r="N22" s="151"/>
    </row>
    <row r="23" spans="1:16" x14ac:dyDescent="0.3"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</row>
    <row r="24" spans="1:16" x14ac:dyDescent="0.3">
      <c r="D24" s="151"/>
      <c r="E24" s="151"/>
      <c r="F24" s="151"/>
      <c r="G24" s="151"/>
      <c r="H24" s="151"/>
      <c r="I24" s="151"/>
      <c r="J24" s="151"/>
      <c r="K24" s="151"/>
      <c r="L24" s="151"/>
      <c r="M24" s="151"/>
      <c r="N24" s="151"/>
    </row>
    <row r="25" spans="1:16" ht="4.95" customHeight="1" x14ac:dyDescent="0.3">
      <c r="D25" s="151"/>
      <c r="E25" s="151"/>
      <c r="F25" s="151"/>
      <c r="G25" s="151"/>
      <c r="H25" s="151"/>
      <c r="I25" s="151"/>
      <c r="J25" s="151"/>
      <c r="K25" s="151"/>
      <c r="L25" s="151"/>
      <c r="M25" s="151"/>
      <c r="N25" s="151"/>
    </row>
  </sheetData>
  <mergeCells count="18">
    <mergeCell ref="J1:K2"/>
    <mergeCell ref="B1:E2"/>
    <mergeCell ref="F1:I2"/>
    <mergeCell ref="A3:A4"/>
    <mergeCell ref="B3:B4"/>
    <mergeCell ref="C3:C4"/>
    <mergeCell ref="D3:D4"/>
    <mergeCell ref="O3:O4"/>
    <mergeCell ref="D20:N25"/>
    <mergeCell ref="H3:H4"/>
    <mergeCell ref="J3:J4"/>
    <mergeCell ref="F3:F4"/>
    <mergeCell ref="G3:G4"/>
    <mergeCell ref="I3:I4"/>
    <mergeCell ref="K3:K4"/>
    <mergeCell ref="L3:L4"/>
    <mergeCell ref="M3:M4"/>
    <mergeCell ref="E3:E4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F1C8-DABE-4F17-BF70-F15A1A832000}">
  <dimension ref="C4"/>
  <sheetViews>
    <sheetView tabSelected="1" topLeftCell="A2" workbookViewId="0">
      <selection activeCell="C4" sqref="C4"/>
    </sheetView>
  </sheetViews>
  <sheetFormatPr baseColWidth="10" defaultRowHeight="14.4" x14ac:dyDescent="0.3"/>
  <sheetData>
    <row r="4" spans="3:3" x14ac:dyDescent="0.3">
      <c r="C4" s="178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2026-03-03T00:51:28Z</cp:lastPrinted>
  <dcterms:created xsi:type="dcterms:W3CDTF">2023-09-17T12:29:07Z</dcterms:created>
  <dcterms:modified xsi:type="dcterms:W3CDTF">2026-03-13T12:19:36Z</dcterms:modified>
</cp:coreProperties>
</file>