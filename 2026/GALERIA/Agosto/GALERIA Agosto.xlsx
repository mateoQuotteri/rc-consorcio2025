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2026\GALERIA\Agosto\"/>
    </mc:Choice>
  </mc:AlternateContent>
  <xr:revisionPtr revIDLastSave="0" documentId="13_ncr:1_{D3035728-9EEB-460E-9DDC-B4F52E4326A7}" xr6:coauthVersionLast="47" xr6:coauthVersionMax="47" xr10:uidLastSave="{00000000-0000-0000-0000-000000000000}"/>
  <bookViews>
    <workbookView xWindow="-120" yWindow="-120" windowWidth="20730" windowHeight="11040" tabRatio="793" xr2:uid="{00000000-000D-0000-FFFF-FFFF00000000}"/>
  </bookViews>
  <sheets>
    <sheet name="RESUMEN" sheetId="1" r:id="rId1"/>
    <sheet name="PRORRATEO" sheetId="2" r:id="rId2"/>
    <sheet name="ANOTACIONES" sheetId="16" r:id="rId3"/>
  </sheets>
  <definedNames>
    <definedName name="_xlnm.Print_Area" localSheetId="1">PRORRATEO!$A$1:$O$44</definedName>
    <definedName name="_xlnm.Print_Area" localSheetId="0">RESUMEN!$A$1:$E$101</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12" i="2" l="1"/>
  <c r="G22" i="2"/>
  <c r="G19" i="2"/>
  <c r="G27" i="2"/>
  <c r="G10" i="2"/>
  <c r="L3" i="2" l="1"/>
  <c r="E37" i="1"/>
  <c r="B100" i="1" l="1"/>
  <c r="E23" i="1"/>
  <c r="H10" i="2"/>
  <c r="I10" i="2" s="1"/>
  <c r="E34" i="1" l="1"/>
  <c r="E27" i="1" l="1"/>
  <c r="G35" i="2" l="1"/>
  <c r="I17" i="2" l="1"/>
  <c r="I18" i="2"/>
  <c r="I32" i="2"/>
  <c r="B81" i="1"/>
  <c r="E41" i="1" l="1"/>
  <c r="J9" i="2" l="1"/>
  <c r="J10" i="2"/>
  <c r="J11" i="2"/>
  <c r="J12" i="2"/>
  <c r="J13" i="2"/>
  <c r="J14" i="2"/>
  <c r="J15" i="2"/>
  <c r="J16" i="2"/>
  <c r="J17" i="2"/>
  <c r="J18" i="2"/>
  <c r="J19" i="2"/>
  <c r="J20" i="2"/>
  <c r="J21" i="2"/>
  <c r="J22" i="2"/>
  <c r="J23" i="2"/>
  <c r="J24" i="2"/>
  <c r="J25" i="2"/>
  <c r="J26" i="2"/>
  <c r="J27" i="2"/>
  <c r="J28" i="2"/>
  <c r="J29" i="2"/>
  <c r="J30" i="2"/>
  <c r="J31" i="2"/>
  <c r="J32" i="2"/>
  <c r="J33" i="2"/>
  <c r="J8" i="2"/>
  <c r="K8" i="2"/>
  <c r="K9" i="2"/>
  <c r="K10" i="2"/>
  <c r="K11" i="2"/>
  <c r="K12" i="2"/>
  <c r="K13" i="2"/>
  <c r="K14" i="2"/>
  <c r="K15" i="2"/>
  <c r="K16" i="2"/>
  <c r="K17" i="2"/>
  <c r="K18" i="2"/>
  <c r="K19" i="2"/>
  <c r="K20" i="2"/>
  <c r="K21" i="2"/>
  <c r="K22" i="2"/>
  <c r="K23" i="2"/>
  <c r="K24" i="2"/>
  <c r="K25" i="2"/>
  <c r="K26" i="2"/>
  <c r="K27" i="2"/>
  <c r="K28" i="2"/>
  <c r="K29" i="2"/>
  <c r="K30" i="2"/>
  <c r="K31" i="2"/>
  <c r="K32" i="2"/>
  <c r="K33" i="2"/>
  <c r="E45" i="1" l="1"/>
  <c r="E53" i="1" l="1"/>
  <c r="E58" i="1" s="1"/>
  <c r="B62" i="1" s="1"/>
  <c r="B84" i="1" s="1"/>
  <c r="H22" i="2" l="1"/>
  <c r="I22" i="2" s="1"/>
  <c r="M7" i="2" l="1"/>
  <c r="P9" i="2" l="1"/>
  <c r="P10" i="2" s="1"/>
  <c r="P11" i="2" s="1"/>
  <c r="P12" i="2" s="1"/>
  <c r="P13" i="2" s="1"/>
  <c r="P14" i="2" s="1"/>
  <c r="P15" i="2" s="1"/>
  <c r="P16" i="2" s="1"/>
  <c r="P17" i="2" s="1"/>
  <c r="P18" i="2" s="1"/>
  <c r="P19" i="2" s="1"/>
  <c r="P20" i="2" s="1"/>
  <c r="P21" i="2" s="1"/>
  <c r="P22" i="2" s="1"/>
  <c r="P23" i="2" s="1"/>
  <c r="P24" i="2" s="1"/>
  <c r="P25" i="2" s="1"/>
  <c r="P26" i="2" s="1"/>
  <c r="P27" i="2" s="1"/>
  <c r="P28" i="2" s="1"/>
  <c r="P29" i="2" s="1"/>
  <c r="P30" i="2" s="1"/>
  <c r="P31" i="2" s="1"/>
  <c r="P32" i="2" s="1"/>
  <c r="P33" i="2" l="1"/>
  <c r="M32" i="2"/>
  <c r="B76" i="1" l="1"/>
  <c r="E35" i="2"/>
  <c r="F35" i="2"/>
  <c r="B9" i="2"/>
  <c r="B10" i="2" l="1"/>
  <c r="B11" i="2" s="1"/>
  <c r="H9" i="2"/>
  <c r="I9" i="2" s="1"/>
  <c r="H11" i="2"/>
  <c r="I11" i="2" s="1"/>
  <c r="H12" i="2"/>
  <c r="I12" i="2" s="1"/>
  <c r="H13" i="2"/>
  <c r="I13" i="2" s="1"/>
  <c r="H14" i="2"/>
  <c r="I14" i="2" s="1"/>
  <c r="H15" i="2"/>
  <c r="I15" i="2" s="1"/>
  <c r="H16" i="2"/>
  <c r="I16" i="2" s="1"/>
  <c r="H19" i="2"/>
  <c r="I19" i="2" s="1"/>
  <c r="H20" i="2"/>
  <c r="I20" i="2" s="1"/>
  <c r="H21" i="2"/>
  <c r="I21" i="2" s="1"/>
  <c r="H23" i="2"/>
  <c r="I23" i="2" s="1"/>
  <c r="H24" i="2"/>
  <c r="I24" i="2" s="1"/>
  <c r="H25" i="2"/>
  <c r="I25" i="2" s="1"/>
  <c r="H26" i="2"/>
  <c r="I26" i="2" s="1"/>
  <c r="H27" i="2"/>
  <c r="I27" i="2" s="1"/>
  <c r="H28" i="2"/>
  <c r="I28" i="2" s="1"/>
  <c r="H29" i="2"/>
  <c r="I29" i="2" s="1"/>
  <c r="H30" i="2"/>
  <c r="I30" i="2" s="1"/>
  <c r="H31" i="2"/>
  <c r="I31" i="2" s="1"/>
  <c r="H33" i="2"/>
  <c r="I33" i="2" s="1"/>
  <c r="H8" i="2"/>
  <c r="I8" i="2" l="1"/>
  <c r="M8" i="2" s="1"/>
  <c r="H35" i="2"/>
  <c r="B12" i="2"/>
  <c r="B63" i="1"/>
  <c r="M13" i="2"/>
  <c r="J35" i="2"/>
  <c r="B13" i="2" l="1"/>
  <c r="B14" i="2" l="1"/>
  <c r="B61" i="1"/>
  <c r="B83" i="1" s="1"/>
  <c r="B85" i="1" s="1"/>
  <c r="B15" i="2" l="1"/>
  <c r="M9" i="2"/>
  <c r="M10" i="2"/>
  <c r="O10" i="2" s="1"/>
  <c r="M11" i="2"/>
  <c r="M12" i="2"/>
  <c r="M14" i="2"/>
  <c r="M15" i="2"/>
  <c r="M16" i="2"/>
  <c r="M17" i="2"/>
  <c r="M18" i="2"/>
  <c r="M19" i="2"/>
  <c r="M20" i="2"/>
  <c r="M21" i="2"/>
  <c r="M22" i="2"/>
  <c r="M23" i="2"/>
  <c r="M24" i="2"/>
  <c r="M25" i="2"/>
  <c r="M26" i="2"/>
  <c r="M27" i="2"/>
  <c r="M28" i="2"/>
  <c r="M29" i="2"/>
  <c r="M30" i="2"/>
  <c r="M31" i="2"/>
  <c r="M33" i="2" l="1"/>
  <c r="O33" i="2" s="1"/>
  <c r="B16" i="2"/>
  <c r="O29" i="2"/>
  <c r="O25" i="2"/>
  <c r="O21" i="2"/>
  <c r="O13" i="2"/>
  <c r="O9" i="2"/>
  <c r="O8" i="2"/>
  <c r="O28" i="2"/>
  <c r="O24" i="2"/>
  <c r="O20" i="2"/>
  <c r="O16" i="2"/>
  <c r="O12" i="2"/>
  <c r="O31" i="2"/>
  <c r="O27" i="2"/>
  <c r="O23" i="2"/>
  <c r="O19" i="2"/>
  <c r="O15" i="2"/>
  <c r="O11" i="2"/>
  <c r="O30" i="2"/>
  <c r="O26" i="2"/>
  <c r="O22" i="2"/>
  <c r="O14" i="2"/>
  <c r="N28" i="2"/>
  <c r="N16" i="2"/>
  <c r="N31" i="2"/>
  <c r="N27" i="2"/>
  <c r="N23" i="2"/>
  <c r="N19" i="2"/>
  <c r="N15" i="2"/>
  <c r="N11" i="2"/>
  <c r="N8" i="2"/>
  <c r="N32" i="2"/>
  <c r="N20" i="2"/>
  <c r="N30" i="2"/>
  <c r="N26" i="2"/>
  <c r="N22" i="2"/>
  <c r="N18" i="2"/>
  <c r="N14" i="2"/>
  <c r="N10" i="2"/>
  <c r="N24" i="2"/>
  <c r="N12" i="2"/>
  <c r="N29" i="2"/>
  <c r="N25" i="2"/>
  <c r="N21" i="2"/>
  <c r="N17" i="2"/>
  <c r="N13" i="2"/>
  <c r="N9" i="2"/>
  <c r="K35" i="2"/>
  <c r="N33" i="2" l="1"/>
  <c r="B17" i="2"/>
  <c r="B94" i="1"/>
  <c r="B18" i="2" l="1"/>
  <c r="B60" i="1"/>
  <c r="B19" i="2" l="1"/>
  <c r="B20" i="2" l="1"/>
  <c r="B21" i="2" l="1"/>
  <c r="B22" i="2" l="1"/>
  <c r="B23" i="2" l="1"/>
  <c r="B24" i="2" l="1"/>
  <c r="B25" i="2" l="1"/>
  <c r="B26" i="2" l="1"/>
  <c r="B27" i="2" l="1"/>
  <c r="B28" i="2" l="1"/>
  <c r="B29" i="2" l="1"/>
  <c r="B30" i="2" l="1"/>
  <c r="B31" i="2" l="1"/>
  <c r="B32" i="2" l="1"/>
  <c r="B33" i="2" l="1"/>
  <c r="L35" i="2" l="1"/>
  <c r="M35" i="2"/>
  <c r="N35" i="2" l="1"/>
  <c r="O35" i="2"/>
</calcChain>
</file>

<file path=xl/sharedStrings.xml><?xml version="1.0" encoding="utf-8"?>
<sst xmlns="http://schemas.openxmlformats.org/spreadsheetml/2006/main" count="149" uniqueCount="116">
  <si>
    <t>LIQUIDACION DE EXPENSAS</t>
  </si>
  <si>
    <t>TOTAL IMPUESTO</t>
  </si>
  <si>
    <t>TOTAL ABONOS Y SERVICIOS</t>
  </si>
  <si>
    <t>Piso</t>
  </si>
  <si>
    <t>UF</t>
  </si>
  <si>
    <t>Propietario</t>
  </si>
  <si>
    <t>Expensas extraor.</t>
  </si>
  <si>
    <t>TOTAL</t>
  </si>
  <si>
    <t>PB</t>
  </si>
  <si>
    <t>3º</t>
  </si>
  <si>
    <t>4º</t>
  </si>
  <si>
    <t>5º</t>
  </si>
  <si>
    <t>6º</t>
  </si>
  <si>
    <t>7º</t>
  </si>
  <si>
    <t>8º</t>
  </si>
  <si>
    <t>9º</t>
  </si>
  <si>
    <t>10º</t>
  </si>
  <si>
    <t>11º</t>
  </si>
  <si>
    <t>12º</t>
  </si>
  <si>
    <t>13º</t>
  </si>
  <si>
    <t>14º</t>
  </si>
  <si>
    <t>15º</t>
  </si>
  <si>
    <t>GASTOS ORDINARIOS UNIDADES FUNCIONALES:</t>
  </si>
  <si>
    <t>Ingresos</t>
  </si>
  <si>
    <t>COC</t>
  </si>
  <si>
    <t xml:space="preserve"> (%)</t>
  </si>
  <si>
    <t>GASTOS BANCARIOS</t>
  </si>
  <si>
    <t xml:space="preserve">TOTAL ORDINARIOS </t>
  </si>
  <si>
    <t>GASTOS ORDINARIOS + PREVISION :</t>
  </si>
  <si>
    <t>GASTOS ORDINARIOS SIN PREVISION:</t>
  </si>
  <si>
    <t>Saldo anterior</t>
  </si>
  <si>
    <t>RESUMEN CAJA</t>
  </si>
  <si>
    <t>Saldo final</t>
  </si>
  <si>
    <t xml:space="preserve">TOTAL </t>
  </si>
  <si>
    <t>GASTOS GENERALES / MANTENIMIENTO</t>
  </si>
  <si>
    <t>ABONOS Y SERVICIOS</t>
  </si>
  <si>
    <t>HONORARIOS</t>
  </si>
  <si>
    <t>GASTOS EXTRAORDINARIOS UNIDADES FUNCIONALES:</t>
  </si>
  <si>
    <t>PREVISION EXTRAORDINARIA</t>
  </si>
  <si>
    <t xml:space="preserve">TOTAL EXTRAORDINARIOS </t>
  </si>
  <si>
    <t>GASTOS EXTRAORDINARIOS SIN PREVISION:</t>
  </si>
  <si>
    <t>Egresos Ordinarios</t>
  </si>
  <si>
    <t>Egresos Extraordinarios</t>
  </si>
  <si>
    <t>Total 2do Vto.</t>
  </si>
  <si>
    <t>Expensas ord.</t>
  </si>
  <si>
    <t>TELEFONO: 11 5320-2676</t>
  </si>
  <si>
    <t>Inquilinos</t>
  </si>
  <si>
    <t>CUIT ADMINISTRACION: 27231256879</t>
  </si>
  <si>
    <t>Deuda o Saldo a favor</t>
  </si>
  <si>
    <t xml:space="preserve">SEGUROS </t>
  </si>
  <si>
    <t>DEPOSITOS NO IDENTIFICADOS</t>
  </si>
  <si>
    <t>RESUMEN</t>
  </si>
  <si>
    <t>Total 2do Vto</t>
  </si>
  <si>
    <t>Total 1er Vto</t>
  </si>
  <si>
    <t>Gastos part.</t>
  </si>
  <si>
    <t>GASTOS EXTRAORDINARIOS CON PREVISION:</t>
  </si>
  <si>
    <t>Saldo Ord</t>
  </si>
  <si>
    <t>Ingreso Ordinarias</t>
  </si>
  <si>
    <t>Ingreso Extraordinarias</t>
  </si>
  <si>
    <t>ZAFFINO, Fernando</t>
  </si>
  <si>
    <t>BERESTEIN, Javier</t>
  </si>
  <si>
    <t>VAZQUEZ PALLARES, Juan</t>
  </si>
  <si>
    <t>HUINCA HUEMUL S.A.</t>
  </si>
  <si>
    <t>LAZARTE, Irma</t>
  </si>
  <si>
    <t>MINOCHIO, Gustavo</t>
  </si>
  <si>
    <t>QUIROGA, Karina</t>
  </si>
  <si>
    <t>PENAS, Roberto</t>
  </si>
  <si>
    <t>MURPHY, Gabriel</t>
  </si>
  <si>
    <t>JAURETCHE, Claudio</t>
  </si>
  <si>
    <t>BRUZZONE, Héctor</t>
  </si>
  <si>
    <t>CALVI, José</t>
  </si>
  <si>
    <t>KOCKA, José</t>
  </si>
  <si>
    <t>LUCERO, Olga</t>
  </si>
  <si>
    <t>VERA, Ricardo</t>
  </si>
  <si>
    <t>SALAZAR, Javier</t>
  </si>
  <si>
    <t>QUINTANA, Hector</t>
  </si>
  <si>
    <t>EN JUICIO</t>
  </si>
  <si>
    <t>EDESUR - Cliente Nro. 80084190</t>
  </si>
  <si>
    <t>AYSA - Cuenta nro. 3480025</t>
  </si>
  <si>
    <t>Titularidad: CONS DE PROP BOEDO 266
Banco: Santander
Cuenta: CC$ 029-030888/3
CBU: 0720029820000003088836
Alias: ALA.CATRE.FUERTE</t>
  </si>
  <si>
    <t>Gastos ordinarios a prorratear:</t>
  </si>
  <si>
    <t>ADMINISTRADORA: CAROLINA CANCIANI  MP:1148</t>
  </si>
  <si>
    <t>CONSORCIO DE COPROPIETARIOS GALERIA BOEDO 266/270 LOMAS DE ZAMORA</t>
  </si>
  <si>
    <t>ESTIMADOS PROPIETARIOS E INQUILINOS: POR FAVOR LOS QUE ABONAN EN PRIMER VENCIMIENTO ABONEN EL MONTO DE PRIMER VENCIMIENTO, ASI AGILIZAN LA LIQUIDACION, RESPETEN LOS CENTAVOS CORRESPONDIENTES A LA UNIDAD FUNCIONAL. ES DE CARÁCTER OBLIGATORIO INFORMAR VIA MAIL LAS EXPENSAS. CASO CONTRARIO SE INFORMARA VIA CARTA DOCUMENTO A LA UNIDAD FUNCIONAL QUE CREEMOS QUE CORRESPONDE, CUYO COSTO SERA IMPUTADO A LA UNIDAD FUNCIONAL SOSPECHADA.</t>
  </si>
  <si>
    <t xml:space="preserve">MAIL: centerlongaleria@gmail.com
</t>
  </si>
  <si>
    <t>LASSALLE, Cristina</t>
  </si>
  <si>
    <t>Transf no identificadas</t>
  </si>
  <si>
    <t>Intereses</t>
  </si>
  <si>
    <t>Melanie P</t>
  </si>
  <si>
    <t>Maria Fernanda Garcia</t>
  </si>
  <si>
    <t xml:space="preserve">Saldo anterior </t>
  </si>
  <si>
    <t>LAS FILAS COLOREADAS CON GRIS CORRESPONDEN A PLANES DE PAGO EN VIGENCIA O FINALIZADOS QUE EN EL TRANSCURSO DE LA SEMANA NOS IREMOS COMUNICANDO CON ELLOS PARA ESTAR AL TANTO DE LA SITUACION (CUOTAS CAIDAS). SI QUIEREN COMUNICARSE CON LA ADMINISTRACION PUEDEN HACERLO MEDIANTE WHATSAPP AL 11-5320-2676. A QUIENES LES FIGURA UN SALDO NEGATIVO EN LA COLUMNA LLAMADA "DEUDA O SALDO A FAVOR" SIGNIFICA QUE POSEE DINERO A FAVOR, ES DECIR PAGO POR DEMAS.</t>
  </si>
  <si>
    <t xml:space="preserve">Pablo Fontela </t>
  </si>
  <si>
    <t>ACUERDO DE RECONOCIMIENTO DE DEUDA LOCAL 8: SE ABONAN $250.000 DE CUOTA INICIAL Y 6 RESTANTES CONSECUTIVAS DE $200.000 SUMADO A MANTENERSE AL DIA CON EL PAGO DE EXPENSAS - TOTAL: $1.450.000 - MENOS LOS HONORARIOS DE ALA ABOGADA QUE CORREN POR CUENTA DE ELLOS - SE ABONARA $1.325.000 AL FINALIZAR EL CONVENIO</t>
  </si>
  <si>
    <t xml:space="preserve">Fabio Leonel </t>
  </si>
  <si>
    <t>Claudia Silvana Decker</t>
  </si>
  <si>
    <t>LOS LOCALES MARCADOS EN COLOR ROJO deberán comunicarse hasta el día 16/02, mediante WhatsApp al número +54 9 11 5320-2676.
En caso de no realizar dicha comunicación dentro del plazo indicado, se procederá a prohibir el acceso al baño común y se iniciarán las acciones legales correspondientes para el recupero de la deuda.</t>
  </si>
  <si>
    <t xml:space="preserve">Mercantil andina seguro integral de consorcio - Poliza nro. 001166139 </t>
  </si>
  <si>
    <t>Cuota plan de pago local 8 (3/6)</t>
  </si>
  <si>
    <t>Gastos extraordinarios a prorratear:</t>
  </si>
  <si>
    <t xml:space="preserve">Fotocopias BYN </t>
  </si>
  <si>
    <t xml:space="preserve">GASTOS BANCARIOS </t>
  </si>
  <si>
    <t xml:space="preserve">COMISION POR CUENTA </t>
  </si>
  <si>
    <t>Local 15: Deposito 270.000 el día 17/3/2026 - Esta como no identificado en Junio - Este mes debe abonar: $135.138,15</t>
  </si>
  <si>
    <t>VTO 17/09</t>
  </si>
  <si>
    <t>CUIT DEL EDIFICIO: 30-66055743-8 - PERÍODO:  agosto - HORARIOS DE ATENCION: LUNES A VIERNES 10 A 15HS</t>
  </si>
  <si>
    <t>Seguro de vida Sra. Silvana - La Holando - Mes de julio</t>
  </si>
  <si>
    <t>Gasto particular: Reliquidacion de deuda UF 9 y 26</t>
  </si>
  <si>
    <t>Debito 12/08</t>
  </si>
  <si>
    <t>Honorarios administracion - leer cartel debajo</t>
  </si>
  <si>
    <t>Deposito ya identificado 27/03</t>
  </si>
  <si>
    <t>Punitorios mal cobrados</t>
  </si>
  <si>
    <t>Transf 03/08</t>
  </si>
  <si>
    <t>A LA ADMINISTRACION SE LE DEBE EN CONCEPTO DE HONORARIOS NO COBRADOS (EN LOS MESES MENCIONADOS) UN TOTAL DEL $1.981.282,36 -EN JULIO SE ABONAR PARTE DE LA MISMA -  LA DEUDA DESCIENDE A $1.581.282,36 - EN AGOSTO SE VUELVE A ABONAR PARTE DE LA MISMA ($400.000) - LA DEUDA AL FINALIZAR AGOSTO SE UBICA EN: $1.181.282,36</t>
  </si>
  <si>
    <t>Debito 05/08</t>
  </si>
  <si>
    <t>PREVISION ORDINARIA - EDESUR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</si>
</sst>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2C0A]\ * #,##0.00_-;\-[$$-2C0A]\ * #,##0.00_-;_-[$$-2C0A]\ * &quot;-&quot;??_-;_-@_-"/>
  </numFmts>
  <fonts count="25"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b/>
      <i/>
      <u/>
      <sz val="11"/>
      <color theme="1"/>
      <name val="Calibri"/>
      <family val="2"/>
      <scheme val="minor"/>
    </font>
    <font>
      <sz val="9"/>
      <color theme="1"/>
      <name val="Calibri"/>
      <family val="2"/>
      <scheme val="minor"/>
    </font>
    <font>
      <b/>
      <sz val="11"/>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sz val="16"/>
      <color theme="1"/>
      <name val="Calibri"/>
      <family val="2"/>
      <scheme val="minor"/>
    </font>
    <font>
      <sz val="8"/>
      <name val="Calibri"/>
      <family val="2"/>
      <scheme val="minor"/>
    </font>
    <font>
      <b/>
      <i/>
      <u/>
      <sz val="10"/>
      <name val="Calibri"/>
      <family val="2"/>
      <scheme val="minor"/>
    </font>
    <font>
      <sz val="10"/>
      <name val="Calibri"/>
      <family val="2"/>
      <scheme val="minor"/>
    </font>
    <font>
      <b/>
      <sz val="9"/>
      <color theme="1"/>
      <name val="Calibri"/>
      <family val="2"/>
      <scheme val="minor"/>
    </font>
    <font>
      <sz val="10"/>
      <color rgb="FFFF0000"/>
      <name val="Calibri"/>
      <family val="2"/>
      <scheme val="minor"/>
    </font>
    <font>
      <sz val="8"/>
      <color rgb="FFFF0000"/>
      <name val="Calibri"/>
      <family val="2"/>
      <scheme val="minor"/>
    </font>
  </fonts>
  <fills count="14">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0" tint="-0.14999847407452621"/>
        <bgColor indexed="64"/>
      </patternFill>
    </fill>
    <fill>
      <patternFill patternType="solid">
        <fgColor theme="2"/>
        <bgColor indexed="64"/>
      </patternFill>
    </fill>
    <fill>
      <patternFill patternType="solid">
        <fgColor rgb="FFFF0000"/>
        <bgColor indexed="64"/>
      </patternFill>
    </fill>
    <fill>
      <patternFill patternType="solid">
        <fgColor rgb="FF00B050"/>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medium">
        <color indexed="64"/>
      </right>
      <top style="thin">
        <color indexed="64"/>
      </top>
      <bottom style="thin">
        <color indexed="64"/>
      </bottom>
      <diagonal/>
    </border>
  </borders>
  <cellStyleXfs count="3">
    <xf numFmtId="0" fontId="0" fillId="0" borderId="0"/>
    <xf numFmtId="44" fontId="1" fillId="0" borderId="0" applyFont="0" applyFill="0" applyBorder="0" applyAlignment="0" applyProtection="0"/>
    <xf numFmtId="164" fontId="1" fillId="0" borderId="0" applyFont="0" applyFill="0" applyBorder="0" applyAlignment="0" applyProtection="0"/>
  </cellStyleXfs>
  <cellXfs count="217">
    <xf numFmtId="0" fontId="0" fillId="0" borderId="0" xfId="0"/>
    <xf numFmtId="0" fontId="0" fillId="0" borderId="16" xfId="0" applyBorder="1"/>
    <xf numFmtId="0" fontId="2" fillId="0" borderId="0" xfId="0" applyFont="1"/>
    <xf numFmtId="0" fontId="2" fillId="5" borderId="9" xfId="0" applyFont="1" applyFill="1" applyBorder="1"/>
    <xf numFmtId="0" fontId="2" fillId="5" borderId="10" xfId="0" applyFont="1" applyFill="1" applyBorder="1"/>
    <xf numFmtId="0" fontId="0" fillId="0" borderId="1" xfId="0" applyBorder="1"/>
    <xf numFmtId="0" fontId="0" fillId="3" borderId="0" xfId="0" applyFill="1"/>
    <xf numFmtId="8" fontId="0" fillId="3" borderId="0" xfId="0" applyNumberFormat="1" applyFill="1"/>
    <xf numFmtId="0" fontId="0" fillId="0" borderId="5" xfId="0" applyBorder="1"/>
    <xf numFmtId="0" fontId="0" fillId="5" borderId="12" xfId="0" applyFill="1" applyBorder="1"/>
    <xf numFmtId="10" fontId="2" fillId="5" borderId="10" xfId="0" applyNumberFormat="1" applyFont="1" applyFill="1" applyBorder="1"/>
    <xf numFmtId="0" fontId="2" fillId="5" borderId="14" xfId="0" applyFont="1" applyFill="1" applyBorder="1"/>
    <xf numFmtId="0" fontId="2" fillId="5" borderId="12" xfId="0" applyFont="1" applyFill="1" applyBorder="1"/>
    <xf numFmtId="10" fontId="2" fillId="5" borderId="12" xfId="0" applyNumberFormat="1" applyFont="1" applyFill="1" applyBorder="1"/>
    <xf numFmtId="0" fontId="0" fillId="5" borderId="15" xfId="0" applyFill="1" applyBorder="1"/>
    <xf numFmtId="0" fontId="2" fillId="3" borderId="14" xfId="0" applyFont="1" applyFill="1" applyBorder="1"/>
    <xf numFmtId="0" fontId="2" fillId="3" borderId="16" xfId="0" applyFont="1" applyFill="1" applyBorder="1"/>
    <xf numFmtId="0" fontId="2" fillId="3" borderId="0" xfId="0" applyFont="1" applyFill="1"/>
    <xf numFmtId="0" fontId="2" fillId="3" borderId="17" xfId="0" applyFont="1" applyFill="1" applyBorder="1"/>
    <xf numFmtId="0" fontId="2" fillId="3" borderId="9" xfId="0" applyFont="1" applyFill="1" applyBorder="1"/>
    <xf numFmtId="0" fontId="2" fillId="3" borderId="10" xfId="0" applyFont="1" applyFill="1" applyBorder="1"/>
    <xf numFmtId="0" fontId="2" fillId="3" borderId="11" xfId="0" applyFont="1" applyFill="1" applyBorder="1"/>
    <xf numFmtId="8" fontId="0" fillId="0" borderId="0" xfId="0" applyNumberFormat="1"/>
    <xf numFmtId="164" fontId="3" fillId="0" borderId="0" xfId="0" applyNumberFormat="1" applyFont="1"/>
    <xf numFmtId="0" fontId="6" fillId="0" borderId="1" xfId="0" applyFont="1" applyBorder="1"/>
    <xf numFmtId="4" fontId="0" fillId="0" borderId="0" xfId="0" applyNumberFormat="1"/>
    <xf numFmtId="4" fontId="6" fillId="0" borderId="0" xfId="0" applyNumberFormat="1" applyFont="1"/>
    <xf numFmtId="0" fontId="6" fillId="0" borderId="1" xfId="0" applyFont="1" applyBorder="1" applyAlignment="1">
      <alignment vertical="center" wrapText="1"/>
    </xf>
    <xf numFmtId="164" fontId="0" fillId="0" borderId="0" xfId="0" applyNumberFormat="1"/>
    <xf numFmtId="0" fontId="2" fillId="4" borderId="1" xfId="0" applyFont="1" applyFill="1" applyBorder="1"/>
    <xf numFmtId="0" fontId="0" fillId="4" borderId="1" xfId="0" applyFill="1" applyBorder="1"/>
    <xf numFmtId="8" fontId="7" fillId="4" borderId="6" xfId="0" applyNumberFormat="1" applyFont="1" applyFill="1" applyBorder="1"/>
    <xf numFmtId="0" fontId="2" fillId="8" borderId="1" xfId="0" applyFont="1" applyFill="1" applyBorder="1"/>
    <xf numFmtId="0" fontId="2" fillId="8" borderId="6" xfId="0" applyFont="1" applyFill="1" applyBorder="1"/>
    <xf numFmtId="0" fontId="2" fillId="0" borderId="1" xfId="0" applyFont="1" applyBorder="1"/>
    <xf numFmtId="0" fontId="9" fillId="6" borderId="1" xfId="0" applyFont="1" applyFill="1" applyBorder="1"/>
    <xf numFmtId="0" fontId="11" fillId="4" borderId="1" xfId="0" applyFont="1" applyFill="1" applyBorder="1"/>
    <xf numFmtId="0" fontId="7" fillId="4" borderId="1" xfId="0" applyFont="1" applyFill="1" applyBorder="1"/>
    <xf numFmtId="0" fontId="12" fillId="4" borderId="1" xfId="0" applyFont="1" applyFill="1" applyBorder="1"/>
    <xf numFmtId="8" fontId="11" fillId="4" borderId="1" xfId="0" applyNumberFormat="1" applyFont="1" applyFill="1" applyBorder="1"/>
    <xf numFmtId="44" fontId="0" fillId="0" borderId="1" xfId="1" applyFont="1" applyBorder="1"/>
    <xf numFmtId="44" fontId="4" fillId="0" borderId="1" xfId="1" applyFont="1" applyBorder="1"/>
    <xf numFmtId="44" fontId="7" fillId="4" borderId="6" xfId="1" applyFont="1" applyFill="1" applyBorder="1"/>
    <xf numFmtId="44" fontId="4" fillId="4" borderId="1" xfId="1" applyFont="1" applyFill="1" applyBorder="1"/>
    <xf numFmtId="4" fontId="6" fillId="0" borderId="0" xfId="0" applyNumberFormat="1" applyFont="1" applyAlignment="1">
      <alignment wrapText="1"/>
    </xf>
    <xf numFmtId="0" fontId="0" fillId="0" borderId="0" xfId="0" applyAlignment="1">
      <alignment wrapText="1"/>
    </xf>
    <xf numFmtId="0" fontId="6" fillId="0" borderId="1" xfId="0" applyFont="1" applyBorder="1" applyAlignment="1">
      <alignment vertical="top" wrapText="1"/>
    </xf>
    <xf numFmtId="44" fontId="3" fillId="2" borderId="1" xfId="1" applyFont="1" applyFill="1" applyBorder="1"/>
    <xf numFmtId="44" fontId="0" fillId="0" borderId="0" xfId="1" applyFont="1"/>
    <xf numFmtId="44" fontId="3" fillId="0" borderId="0" xfId="1" applyFont="1"/>
    <xf numFmtId="0" fontId="8" fillId="2" borderId="0" xfId="0" applyFont="1" applyFill="1"/>
    <xf numFmtId="44" fontId="0" fillId="0" borderId="0" xfId="0" applyNumberFormat="1"/>
    <xf numFmtId="0" fontId="9" fillId="6" borderId="0" xfId="0" applyFont="1" applyFill="1"/>
    <xf numFmtId="44" fontId="9" fillId="6" borderId="0" xfId="1" applyFont="1" applyFill="1"/>
    <xf numFmtId="44" fontId="0" fillId="0" borderId="0" xfId="0" applyNumberFormat="1" applyAlignment="1">
      <alignment wrapText="1"/>
    </xf>
    <xf numFmtId="44" fontId="14" fillId="0" borderId="1" xfId="1" applyFont="1" applyBorder="1"/>
    <xf numFmtId="0" fontId="0" fillId="4" borderId="0" xfId="0" applyFill="1"/>
    <xf numFmtId="0" fontId="2" fillId="4" borderId="0" xfId="0" applyFont="1" applyFill="1"/>
    <xf numFmtId="0" fontId="13" fillId="0" borderId="0" xfId="0" applyFont="1"/>
    <xf numFmtId="0" fontId="2" fillId="4" borderId="3" xfId="0" applyFont="1" applyFill="1" applyBorder="1"/>
    <xf numFmtId="0" fontId="0" fillId="2" borderId="1" xfId="0" applyFill="1" applyBorder="1"/>
    <xf numFmtId="44" fontId="15" fillId="4" borderId="13" xfId="0" applyNumberFormat="1" applyFont="1" applyFill="1" applyBorder="1"/>
    <xf numFmtId="44" fontId="0" fillId="3" borderId="0" xfId="1" applyFont="1" applyFill="1" applyAlignment="1"/>
    <xf numFmtId="44" fontId="0" fillId="4" borderId="0" xfId="1" applyFont="1" applyFill="1"/>
    <xf numFmtId="44" fontId="0" fillId="3" borderId="0" xfId="1" applyFont="1" applyFill="1" applyBorder="1" applyAlignment="1">
      <alignment vertical="center"/>
    </xf>
    <xf numFmtId="0" fontId="16" fillId="3" borderId="20" xfId="0" applyFont="1" applyFill="1" applyBorder="1" applyAlignment="1">
      <alignment horizontal="center" vertical="center" wrapText="1"/>
    </xf>
    <xf numFmtId="165" fontId="15" fillId="4" borderId="13" xfId="0" applyNumberFormat="1" applyFont="1" applyFill="1" applyBorder="1"/>
    <xf numFmtId="0" fontId="16" fillId="3" borderId="18" xfId="0" applyFont="1" applyFill="1" applyBorder="1" applyAlignment="1">
      <alignment horizontal="center" vertical="center" wrapText="1"/>
    </xf>
    <xf numFmtId="0" fontId="15" fillId="2" borderId="1" xfId="0" applyFont="1" applyFill="1" applyBorder="1"/>
    <xf numFmtId="0" fontId="15" fillId="0" borderId="1" xfId="0" applyFont="1" applyBorder="1"/>
    <xf numFmtId="0" fontId="15" fillId="0" borderId="1" xfId="0" applyFont="1" applyBorder="1" applyAlignment="1">
      <alignment wrapText="1"/>
    </xf>
    <xf numFmtId="0" fontId="2" fillId="4" borderId="1" xfId="0" applyFont="1" applyFill="1" applyBorder="1" applyAlignment="1">
      <alignment wrapText="1"/>
    </xf>
    <xf numFmtId="44" fontId="6" fillId="5" borderId="11" xfId="0" applyNumberFormat="1" applyFont="1" applyFill="1" applyBorder="1"/>
    <xf numFmtId="0" fontId="6" fillId="3" borderId="12" xfId="0" applyFont="1" applyFill="1" applyBorder="1"/>
    <xf numFmtId="0" fontId="6" fillId="3" borderId="15" xfId="0" applyFont="1" applyFill="1" applyBorder="1"/>
    <xf numFmtId="0" fontId="6" fillId="3" borderId="0" xfId="0" applyFont="1" applyFill="1"/>
    <xf numFmtId="0" fontId="6" fillId="3" borderId="17" xfId="0" applyFont="1" applyFill="1" applyBorder="1"/>
    <xf numFmtId="0" fontId="15" fillId="0" borderId="1" xfId="0" applyFont="1" applyBorder="1" applyAlignment="1">
      <alignment horizontal="center"/>
    </xf>
    <xf numFmtId="44" fontId="19" fillId="0" borderId="1" xfId="1" applyFont="1" applyBorder="1"/>
    <xf numFmtId="44" fontId="19" fillId="2" borderId="1" xfId="1" applyFont="1" applyFill="1" applyBorder="1"/>
    <xf numFmtId="165" fontId="15" fillId="0" borderId="1" xfId="0" applyNumberFormat="1" applyFont="1" applyBorder="1"/>
    <xf numFmtId="165" fontId="15" fillId="0" borderId="1" xfId="1" applyNumberFormat="1" applyFont="1" applyBorder="1"/>
    <xf numFmtId="44" fontId="15" fillId="0" borderId="6" xfId="1" applyFont="1" applyBorder="1"/>
    <xf numFmtId="44" fontId="19" fillId="0" borderId="26" xfId="1" applyFont="1" applyBorder="1"/>
    <xf numFmtId="44" fontId="19" fillId="0" borderId="6" xfId="1" applyFont="1" applyBorder="1"/>
    <xf numFmtId="44" fontId="19" fillId="0" borderId="28" xfId="1" applyFont="1" applyBorder="1"/>
    <xf numFmtId="0" fontId="15" fillId="2" borderId="1" xfId="0" applyFont="1" applyFill="1" applyBorder="1" applyAlignment="1">
      <alignment wrapText="1"/>
    </xf>
    <xf numFmtId="2" fontId="15" fillId="2" borderId="1" xfId="0" applyNumberFormat="1" applyFont="1" applyFill="1" applyBorder="1" applyAlignment="1">
      <alignment horizontal="center"/>
    </xf>
    <xf numFmtId="0" fontId="15" fillId="4" borderId="27" xfId="0" applyFont="1" applyFill="1" applyBorder="1"/>
    <xf numFmtId="0" fontId="15" fillId="4" borderId="13" xfId="0" applyFont="1" applyFill="1" applyBorder="1"/>
    <xf numFmtId="0" fontId="15" fillId="4" borderId="13" xfId="0" applyFont="1" applyFill="1" applyBorder="1" applyAlignment="1">
      <alignment horizontal="center"/>
    </xf>
    <xf numFmtId="44" fontId="15" fillId="4" borderId="21" xfId="0" applyNumberFormat="1" applyFont="1" applyFill="1" applyBorder="1"/>
    <xf numFmtId="0" fontId="2" fillId="3" borderId="10" xfId="0" applyFont="1" applyFill="1" applyBorder="1" applyAlignment="1">
      <alignment horizontal="left"/>
    </xf>
    <xf numFmtId="0" fontId="2" fillId="3" borderId="0" xfId="0" applyFont="1" applyFill="1" applyAlignment="1">
      <alignment vertical="center"/>
    </xf>
    <xf numFmtId="0" fontId="6" fillId="7" borderId="9" xfId="0" applyFont="1" applyFill="1" applyBorder="1"/>
    <xf numFmtId="44" fontId="6" fillId="7" borderId="11" xfId="0" applyNumberFormat="1" applyFont="1" applyFill="1" applyBorder="1"/>
    <xf numFmtId="165" fontId="15" fillId="2" borderId="1" xfId="0" applyNumberFormat="1" applyFont="1" applyFill="1" applyBorder="1"/>
    <xf numFmtId="0" fontId="4" fillId="0" borderId="1" xfId="0" applyFont="1" applyBorder="1"/>
    <xf numFmtId="44" fontId="20" fillId="4" borderId="3" xfId="1" applyFont="1" applyFill="1" applyBorder="1"/>
    <xf numFmtId="44" fontId="10" fillId="4" borderId="21" xfId="1" applyFont="1" applyFill="1" applyBorder="1"/>
    <xf numFmtId="44" fontId="21" fillId="4" borderId="3" xfId="1" applyFont="1" applyFill="1" applyBorder="1"/>
    <xf numFmtId="0" fontId="21" fillId="0" borderId="1" xfId="1" applyNumberFormat="1" applyFont="1" applyBorder="1" applyAlignment="1">
      <alignment horizontal="left"/>
    </xf>
    <xf numFmtId="44" fontId="10" fillId="4" borderId="13" xfId="1" applyFont="1" applyFill="1" applyBorder="1"/>
    <xf numFmtId="44" fontId="4" fillId="2" borderId="6" xfId="1" applyFont="1" applyFill="1" applyBorder="1"/>
    <xf numFmtId="0" fontId="21" fillId="2" borderId="1" xfId="1" applyNumberFormat="1" applyFont="1" applyFill="1" applyBorder="1" applyAlignment="1">
      <alignment horizontal="left"/>
    </xf>
    <xf numFmtId="44" fontId="21" fillId="2" borderId="1" xfId="1" applyFont="1" applyFill="1" applyBorder="1"/>
    <xf numFmtId="44" fontId="10" fillId="4" borderId="2" xfId="1" applyFont="1" applyFill="1" applyBorder="1"/>
    <xf numFmtId="44" fontId="21" fillId="2" borderId="3" xfId="1" applyFont="1" applyFill="1" applyBorder="1"/>
    <xf numFmtId="8" fontId="7" fillId="4" borderId="22" xfId="0" applyNumberFormat="1" applyFont="1" applyFill="1" applyBorder="1"/>
    <xf numFmtId="0" fontId="21" fillId="0" borderId="4" xfId="0" applyFont="1" applyBorder="1"/>
    <xf numFmtId="0" fontId="7" fillId="8" borderId="6" xfId="0" applyFont="1" applyFill="1" applyBorder="1"/>
    <xf numFmtId="44" fontId="10" fillId="8" borderId="13" xfId="1" applyFont="1" applyFill="1" applyBorder="1"/>
    <xf numFmtId="0" fontId="4" fillId="0" borderId="0" xfId="0" applyFont="1"/>
    <xf numFmtId="0" fontId="21" fillId="0" borderId="17" xfId="0" applyFont="1" applyBorder="1"/>
    <xf numFmtId="0" fontId="7" fillId="5" borderId="10" xfId="0" applyFont="1" applyFill="1" applyBorder="1"/>
    <xf numFmtId="44" fontId="10" fillId="5" borderId="11" xfId="0" applyNumberFormat="1" applyFont="1" applyFill="1" applyBorder="1"/>
    <xf numFmtId="0" fontId="4" fillId="5" borderId="12" xfId="0" applyFont="1" applyFill="1" applyBorder="1"/>
    <xf numFmtId="0" fontId="4" fillId="5" borderId="15" xfId="0" applyFont="1" applyFill="1" applyBorder="1"/>
    <xf numFmtId="0" fontId="3" fillId="0" borderId="1" xfId="0" applyFont="1" applyBorder="1" applyAlignment="1">
      <alignment vertical="center" wrapText="1"/>
    </xf>
    <xf numFmtId="44" fontId="9" fillId="6" borderId="0" xfId="0" applyNumberFormat="1" applyFont="1" applyFill="1"/>
    <xf numFmtId="44" fontId="4" fillId="2" borderId="1" xfId="1" applyFont="1" applyFill="1" applyBorder="1"/>
    <xf numFmtId="44" fontId="21" fillId="2" borderId="1" xfId="1" applyFont="1" applyFill="1" applyBorder="1" applyAlignment="1">
      <alignment wrapText="1"/>
    </xf>
    <xf numFmtId="0" fontId="0" fillId="2" borderId="6" xfId="0" applyFill="1" applyBorder="1" applyAlignment="1">
      <alignment horizontal="left" vertical="center" wrapText="1"/>
    </xf>
    <xf numFmtId="0" fontId="0" fillId="2" borderId="25" xfId="0" applyFill="1" applyBorder="1" applyAlignment="1">
      <alignment horizontal="left" vertical="center" wrapText="1"/>
    </xf>
    <xf numFmtId="44" fontId="7" fillId="0" borderId="1" xfId="1" applyFont="1" applyBorder="1"/>
    <xf numFmtId="44" fontId="22" fillId="8" borderId="1" xfId="1" applyFont="1" applyFill="1" applyBorder="1" applyAlignment="1">
      <alignment vertical="center"/>
    </xf>
    <xf numFmtId="8" fontId="0" fillId="3" borderId="0" xfId="0" applyNumberFormat="1" applyFill="1" applyAlignment="1">
      <alignment vertical="top"/>
    </xf>
    <xf numFmtId="166" fontId="15" fillId="0" borderId="1" xfId="1" applyNumberFormat="1" applyFont="1" applyBorder="1"/>
    <xf numFmtId="2" fontId="15" fillId="0" borderId="1" xfId="0" applyNumberFormat="1" applyFont="1" applyBorder="1" applyAlignment="1">
      <alignment horizontal="center"/>
    </xf>
    <xf numFmtId="44" fontId="0" fillId="2" borderId="0" xfId="0" applyNumberFormat="1" applyFill="1"/>
    <xf numFmtId="0" fontId="0" fillId="2" borderId="0" xfId="0" applyFill="1"/>
    <xf numFmtId="166" fontId="19" fillId="0" borderId="26" xfId="1" applyNumberFormat="1" applyFont="1" applyBorder="1"/>
    <xf numFmtId="166" fontId="19" fillId="0" borderId="6" xfId="1" applyNumberFormat="1" applyFont="1" applyBorder="1"/>
    <xf numFmtId="0" fontId="0" fillId="0" borderId="6" xfId="0" applyBorder="1" applyAlignment="1">
      <alignment vertical="center" wrapText="1"/>
    </xf>
    <xf numFmtId="44" fontId="7" fillId="4" borderId="2" xfId="1" applyFont="1" applyFill="1" applyBorder="1"/>
    <xf numFmtId="44" fontId="7" fillId="4" borderId="22" xfId="1" applyFont="1" applyFill="1" applyBorder="1"/>
    <xf numFmtId="0" fontId="15" fillId="10" borderId="1" xfId="0" applyFont="1" applyFill="1" applyBorder="1"/>
    <xf numFmtId="2" fontId="15" fillId="10" borderId="1" xfId="0" applyNumberFormat="1" applyFont="1" applyFill="1" applyBorder="1" applyAlignment="1">
      <alignment horizontal="center"/>
    </xf>
    <xf numFmtId="44" fontId="19" fillId="10" borderId="1" xfId="1" applyFont="1" applyFill="1" applyBorder="1"/>
    <xf numFmtId="165" fontId="15" fillId="10" borderId="1" xfId="0" applyNumberFormat="1" applyFont="1" applyFill="1" applyBorder="1"/>
    <xf numFmtId="166" fontId="15" fillId="10" borderId="1" xfId="1" applyNumberFormat="1" applyFont="1" applyFill="1" applyBorder="1"/>
    <xf numFmtId="44" fontId="15" fillId="10" borderId="6" xfId="1" applyFont="1" applyFill="1" applyBorder="1"/>
    <xf numFmtId="44" fontId="19" fillId="10" borderId="26" xfId="1" applyFont="1" applyFill="1" applyBorder="1"/>
    <xf numFmtId="44" fontId="19" fillId="10" borderId="6" xfId="1" applyFont="1" applyFill="1" applyBorder="1"/>
    <xf numFmtId="44" fontId="19" fillId="10" borderId="28" xfId="1" applyFont="1" applyFill="1" applyBorder="1"/>
    <xf numFmtId="0" fontId="15" fillId="10" borderId="1" xfId="0" applyFont="1" applyFill="1" applyBorder="1" applyAlignment="1">
      <alignment wrapText="1"/>
    </xf>
    <xf numFmtId="166" fontId="15" fillId="2" borderId="1" xfId="1" applyNumberFormat="1" applyFont="1" applyFill="1" applyBorder="1"/>
    <xf numFmtId="44" fontId="15" fillId="2" borderId="6" xfId="1" applyFont="1" applyFill="1" applyBorder="1"/>
    <xf numFmtId="44" fontId="19" fillId="2" borderId="26" xfId="1" applyFont="1" applyFill="1" applyBorder="1"/>
    <xf numFmtId="44" fontId="19" fillId="2" borderId="6" xfId="1" applyFont="1" applyFill="1" applyBorder="1"/>
    <xf numFmtId="44" fontId="19" fillId="2" borderId="28" xfId="1" applyFont="1" applyFill="1" applyBorder="1"/>
    <xf numFmtId="43" fontId="0" fillId="0" borderId="0" xfId="0" applyNumberFormat="1"/>
    <xf numFmtId="0" fontId="15" fillId="12" borderId="1" xfId="0" applyFont="1" applyFill="1" applyBorder="1"/>
    <xf numFmtId="2" fontId="15" fillId="12" borderId="1" xfId="0" applyNumberFormat="1" applyFont="1" applyFill="1" applyBorder="1" applyAlignment="1">
      <alignment horizontal="center"/>
    </xf>
    <xf numFmtId="44" fontId="19" fillId="12" borderId="1" xfId="1" applyFont="1" applyFill="1" applyBorder="1"/>
    <xf numFmtId="165" fontId="15" fillId="12" borderId="1" xfId="0" applyNumberFormat="1" applyFont="1" applyFill="1" applyBorder="1"/>
    <xf numFmtId="166" fontId="15" fillId="12" borderId="1" xfId="1" applyNumberFormat="1" applyFont="1" applyFill="1" applyBorder="1"/>
    <xf numFmtId="44" fontId="15" fillId="12" borderId="6" xfId="1" applyFont="1" applyFill="1" applyBorder="1"/>
    <xf numFmtId="44" fontId="19" fillId="12" borderId="26" xfId="1" applyFont="1" applyFill="1" applyBorder="1"/>
    <xf numFmtId="44" fontId="19" fillId="12" borderId="6" xfId="1" applyFont="1" applyFill="1" applyBorder="1"/>
    <xf numFmtId="44" fontId="19" fillId="12" borderId="28" xfId="1" applyFont="1" applyFill="1" applyBorder="1"/>
    <xf numFmtId="0" fontId="15" fillId="12" borderId="1" xfId="0" applyFont="1" applyFill="1" applyBorder="1" applyAlignment="1">
      <alignment wrapText="1"/>
    </xf>
    <xf numFmtId="8" fontId="10" fillId="4" borderId="21" xfId="1" applyNumberFormat="1" applyFont="1" applyFill="1" applyBorder="1"/>
    <xf numFmtId="0" fontId="2" fillId="2" borderId="0" xfId="0" applyFont="1" applyFill="1" applyAlignment="1">
      <alignment horizontal="left" vertical="center" wrapText="1"/>
    </xf>
    <xf numFmtId="44" fontId="0" fillId="0" borderId="7" xfId="1" applyFont="1" applyBorder="1"/>
    <xf numFmtId="0" fontId="5" fillId="6" borderId="1" xfId="0" applyFont="1" applyFill="1" applyBorder="1"/>
    <xf numFmtId="44" fontId="6" fillId="2" borderId="1" xfId="1" applyFont="1" applyFill="1" applyBorder="1"/>
    <xf numFmtId="0" fontId="10" fillId="2" borderId="1" xfId="0" applyFont="1" applyFill="1" applyBorder="1"/>
    <xf numFmtId="44" fontId="4" fillId="2" borderId="22" xfId="1" applyFont="1" applyFill="1" applyBorder="1" applyAlignment="1">
      <alignment wrapText="1"/>
    </xf>
    <xf numFmtId="44" fontId="23" fillId="2" borderId="1" xfId="1" applyFont="1" applyFill="1" applyBorder="1"/>
    <xf numFmtId="0" fontId="0" fillId="2" borderId="1" xfId="0" applyFill="1" applyBorder="1" applyAlignment="1">
      <alignment vertical="center"/>
    </xf>
    <xf numFmtId="0" fontId="0" fillId="13" borderId="0" xfId="0" applyFill="1"/>
    <xf numFmtId="8" fontId="4" fillId="2" borderId="1" xfId="0" applyNumberFormat="1" applyFont="1" applyFill="1" applyBorder="1"/>
    <xf numFmtId="44" fontId="24" fillId="2" borderId="1" xfId="1" applyFont="1" applyFill="1" applyBorder="1"/>
    <xf numFmtId="0" fontId="18" fillId="9" borderId="0" xfId="0" applyFont="1" applyFill="1" applyAlignment="1">
      <alignment horizontal="center" vertical="center"/>
    </xf>
    <xf numFmtId="0" fontId="0" fillId="0" borderId="6" xfId="0" applyBorder="1" applyAlignment="1">
      <alignment horizontal="left" vertical="center" wrapText="1"/>
    </xf>
    <xf numFmtId="0" fontId="0" fillId="0" borderId="7" xfId="0" applyBorder="1" applyAlignment="1">
      <alignment horizontal="left" vertical="center" wrapText="1"/>
    </xf>
    <xf numFmtId="0" fontId="2" fillId="9" borderId="0" xfId="0" applyFont="1" applyFill="1" applyAlignment="1">
      <alignment horizontal="center" vertical="center" wrapText="1"/>
    </xf>
    <xf numFmtId="0" fontId="9" fillId="6" borderId="0" xfId="0" applyFont="1" applyFill="1" applyAlignment="1">
      <alignment horizontal="center" vertical="center"/>
    </xf>
    <xf numFmtId="0" fontId="2" fillId="9" borderId="0" xfId="0" applyFont="1" applyFill="1" applyAlignment="1">
      <alignment horizontal="left" wrapText="1"/>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17" fillId="7" borderId="0" xfId="0" applyFont="1" applyFill="1" applyAlignment="1">
      <alignment horizontal="center" vertical="center" wrapText="1"/>
    </xf>
    <xf numFmtId="0" fontId="2" fillId="11" borderId="14" xfId="0" applyFont="1" applyFill="1" applyBorder="1" applyAlignment="1">
      <alignment horizontal="left" vertical="center" wrapText="1"/>
    </xf>
    <xf numFmtId="0" fontId="2" fillId="11" borderId="12" xfId="0" applyFont="1" applyFill="1" applyBorder="1" applyAlignment="1">
      <alignment horizontal="left" vertical="center" wrapText="1"/>
    </xf>
    <xf numFmtId="0" fontId="2" fillId="11" borderId="15" xfId="0" applyFont="1" applyFill="1" applyBorder="1" applyAlignment="1">
      <alignment horizontal="left" vertical="center" wrapText="1"/>
    </xf>
    <xf numFmtId="0" fontId="2" fillId="11" borderId="16" xfId="0" applyFont="1" applyFill="1" applyBorder="1" applyAlignment="1">
      <alignment horizontal="left" vertical="center" wrapText="1"/>
    </xf>
    <xf numFmtId="0" fontId="2" fillId="11" borderId="0" xfId="0" applyFont="1" applyFill="1" applyAlignment="1">
      <alignment horizontal="left" vertical="center" wrapText="1"/>
    </xf>
    <xf numFmtId="0" fontId="2" fillId="11" borderId="17" xfId="0" applyFont="1" applyFill="1" applyBorder="1" applyAlignment="1">
      <alignment horizontal="left" vertical="center" wrapText="1"/>
    </xf>
    <xf numFmtId="0" fontId="2" fillId="11" borderId="23" xfId="0" applyFont="1" applyFill="1" applyBorder="1" applyAlignment="1">
      <alignment horizontal="left" vertical="center" wrapText="1"/>
    </xf>
    <xf numFmtId="0" fontId="2" fillId="11" borderId="8" xfId="0" applyFont="1" applyFill="1" applyBorder="1" applyAlignment="1">
      <alignment horizontal="left" vertical="center" wrapText="1"/>
    </xf>
    <xf numFmtId="0" fontId="2" fillId="11" borderId="27" xfId="0" applyFont="1" applyFill="1" applyBorder="1" applyAlignment="1">
      <alignment horizontal="left" vertical="center" wrapText="1"/>
    </xf>
    <xf numFmtId="0" fontId="2" fillId="3" borderId="0" xfId="0" applyFont="1" applyFill="1" applyAlignment="1">
      <alignment horizontal="left" vertical="center" wrapText="1"/>
    </xf>
    <xf numFmtId="0" fontId="2" fillId="3" borderId="0" xfId="0" applyFont="1" applyFill="1" applyAlignment="1">
      <alignment horizontal="left" vertical="center"/>
    </xf>
    <xf numFmtId="166" fontId="0" fillId="3" borderId="0" xfId="0" applyNumberFormat="1" applyFill="1" applyAlignment="1">
      <alignment horizontal="center"/>
    </xf>
    <xf numFmtId="166" fontId="0" fillId="3" borderId="0" xfId="0" applyNumberFormat="1" applyFill="1" applyAlignment="1">
      <alignment horizontal="center" vertical="top"/>
    </xf>
    <xf numFmtId="0" fontId="0" fillId="3" borderId="18" xfId="0" applyFill="1" applyBorder="1" applyAlignment="1">
      <alignment horizontal="center" vertical="center"/>
    </xf>
    <xf numFmtId="0" fontId="0" fillId="3" borderId="19" xfId="0" applyFill="1" applyBorder="1" applyAlignment="1">
      <alignment horizontal="center" vertical="center"/>
    </xf>
    <xf numFmtId="0" fontId="13" fillId="3" borderId="18" xfId="0" applyFont="1" applyFill="1" applyBorder="1" applyAlignment="1">
      <alignment horizontal="center" vertical="center"/>
    </xf>
    <xf numFmtId="0" fontId="13" fillId="3" borderId="19" xfId="0" applyFont="1" applyFill="1" applyBorder="1" applyAlignment="1">
      <alignment horizontal="center" vertical="center"/>
    </xf>
    <xf numFmtId="0" fontId="2" fillId="12" borderId="9" xfId="0" applyFont="1" applyFill="1" applyBorder="1" applyAlignment="1">
      <alignment horizontal="left" vertical="center" wrapText="1"/>
    </xf>
    <xf numFmtId="0" fontId="2" fillId="12" borderId="10" xfId="0" applyFont="1" applyFill="1" applyBorder="1" applyAlignment="1">
      <alignment horizontal="left" vertical="center" wrapText="1"/>
    </xf>
    <xf numFmtId="0" fontId="2" fillId="12" borderId="11" xfId="0" applyFont="1" applyFill="1" applyBorder="1" applyAlignment="1">
      <alignment horizontal="left" vertical="center" wrapText="1"/>
    </xf>
    <xf numFmtId="0" fontId="16" fillId="3" borderId="18" xfId="0" applyFont="1" applyFill="1" applyBorder="1" applyAlignment="1">
      <alignment horizontal="center" vertical="center" wrapText="1"/>
    </xf>
    <xf numFmtId="0" fontId="16" fillId="3" borderId="19" xfId="0" applyFont="1" applyFill="1" applyBorder="1" applyAlignment="1">
      <alignment horizontal="center" vertical="center" wrapText="1"/>
    </xf>
    <xf numFmtId="0" fontId="2" fillId="10" borderId="0" xfId="0" applyFont="1" applyFill="1" applyAlignment="1">
      <alignment horizontal="center" vertical="center" wrapText="1"/>
    </xf>
    <xf numFmtId="0" fontId="13" fillId="3" borderId="20" xfId="0" applyFont="1" applyFill="1" applyBorder="1" applyAlignment="1">
      <alignment horizontal="center" vertical="center"/>
    </xf>
    <xf numFmtId="0" fontId="16" fillId="3" borderId="14" xfId="0" applyFont="1" applyFill="1" applyBorder="1" applyAlignment="1">
      <alignment horizontal="center" vertical="center" wrapText="1"/>
    </xf>
    <xf numFmtId="0" fontId="16" fillId="3" borderId="16" xfId="0" applyFont="1" applyFill="1" applyBorder="1" applyAlignment="1">
      <alignment horizontal="center" vertical="center" wrapText="1"/>
    </xf>
    <xf numFmtId="0" fontId="13" fillId="3" borderId="18" xfId="0" applyFont="1" applyFill="1" applyBorder="1" applyAlignment="1">
      <alignment horizontal="center" vertical="center" wrapText="1"/>
    </xf>
    <xf numFmtId="0" fontId="13" fillId="3" borderId="19" xfId="0" applyFont="1" applyFill="1" applyBorder="1" applyAlignment="1">
      <alignment horizontal="center" vertical="center" wrapText="1"/>
    </xf>
    <xf numFmtId="0" fontId="13" fillId="3" borderId="20" xfId="0" applyFont="1" applyFill="1" applyBorder="1" applyAlignment="1">
      <alignment horizontal="center" vertical="center" wrapText="1"/>
    </xf>
    <xf numFmtId="0" fontId="13" fillId="3" borderId="14" xfId="0" applyFont="1" applyFill="1" applyBorder="1" applyAlignment="1">
      <alignment horizontal="center" vertical="center" wrapText="1"/>
    </xf>
    <xf numFmtId="0" fontId="13" fillId="3" borderId="24" xfId="0" applyFont="1" applyFill="1" applyBorder="1" applyAlignment="1">
      <alignment horizontal="center" vertical="center" wrapText="1"/>
    </xf>
    <xf numFmtId="0" fontId="15" fillId="3" borderId="18" xfId="0" applyFont="1" applyFill="1" applyBorder="1" applyAlignment="1">
      <alignment horizontal="center" vertical="center" wrapText="1"/>
    </xf>
    <xf numFmtId="0" fontId="15" fillId="3" borderId="20" xfId="0" applyFont="1" applyFill="1" applyBorder="1" applyAlignment="1">
      <alignment horizontal="center" vertical="center" wrapText="1"/>
    </xf>
    <xf numFmtId="44" fontId="4" fillId="2" borderId="1" xfId="1" applyFont="1" applyFill="1" applyBorder="1" applyAlignment="1">
      <alignment wrapText="1"/>
    </xf>
  </cellXfs>
  <cellStyles count="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114300</xdr:colOff>
      <xdr:row>0</xdr:row>
      <xdr:rowOff>38100</xdr:rowOff>
    </xdr:from>
    <xdr:to>
      <xdr:col>0</xdr:col>
      <xdr:colOff>2343149</xdr:colOff>
      <xdr:row>2</xdr:row>
      <xdr:rowOff>314325</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4300" y="38100"/>
          <a:ext cx="2228849" cy="75247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5"/>
  <sheetViews>
    <sheetView tabSelected="1" topLeftCell="A32" workbookViewId="0">
      <selection activeCell="E45" sqref="E45"/>
    </sheetView>
  </sheetViews>
  <sheetFormatPr baseColWidth="10" defaultRowHeight="15" x14ac:dyDescent="0.25"/>
  <cols>
    <col min="1" max="1" width="37.5703125" customWidth="1"/>
    <col min="2" max="2" width="24.7109375" customWidth="1"/>
    <col min="3" max="3" width="15.85546875" hidden="1" customWidth="1"/>
    <col min="4" max="4" width="18.42578125" customWidth="1"/>
    <col min="5" max="5" width="17.42578125" customWidth="1"/>
    <col min="6" max="6" width="14.5703125" bestFit="1" customWidth="1"/>
    <col min="7" max="8" width="13.140625" bestFit="1" customWidth="1"/>
    <col min="11" max="11" width="18" customWidth="1"/>
    <col min="12" max="12" width="18.28515625" customWidth="1"/>
  </cols>
  <sheetData>
    <row r="1" spans="1:5" x14ac:dyDescent="0.25">
      <c r="A1" s="15"/>
      <c r="B1" s="73" t="s">
        <v>84</v>
      </c>
      <c r="C1" s="73"/>
      <c r="D1" s="73"/>
      <c r="E1" s="74"/>
    </row>
    <row r="2" spans="1:5" ht="22.5" customHeight="1" x14ac:dyDescent="0.25">
      <c r="A2" s="16"/>
      <c r="B2" s="75" t="s">
        <v>47</v>
      </c>
      <c r="C2" s="75"/>
      <c r="D2" s="75"/>
      <c r="E2" s="76"/>
    </row>
    <row r="3" spans="1:5" ht="32.25" customHeight="1" thickBot="1" x14ac:dyDescent="0.3">
      <c r="A3" s="16"/>
      <c r="B3" s="93" t="s">
        <v>45</v>
      </c>
      <c r="C3" s="75"/>
      <c r="D3" s="93"/>
      <c r="E3" s="76"/>
    </row>
    <row r="4" spans="1:5" ht="15.75" thickBot="1" x14ac:dyDescent="0.3">
      <c r="A4" s="19" t="s">
        <v>0</v>
      </c>
      <c r="B4" s="92" t="s">
        <v>81</v>
      </c>
      <c r="C4" s="20"/>
      <c r="D4" s="20"/>
      <c r="E4" s="21"/>
    </row>
    <row r="5" spans="1:5" ht="15.75" thickBot="1" x14ac:dyDescent="0.3">
      <c r="A5" s="16" t="s">
        <v>105</v>
      </c>
      <c r="B5" s="20"/>
      <c r="C5" s="17"/>
      <c r="D5" s="75"/>
      <c r="E5" s="18"/>
    </row>
    <row r="6" spans="1:5" ht="15.75" thickBot="1" x14ac:dyDescent="0.3">
      <c r="A6" s="19" t="s">
        <v>82</v>
      </c>
      <c r="B6" s="20"/>
      <c r="C6" s="20"/>
      <c r="D6" s="20"/>
      <c r="E6" s="21"/>
    </row>
    <row r="8" spans="1:5" x14ac:dyDescent="0.25">
      <c r="B8" s="174" t="s">
        <v>104</v>
      </c>
      <c r="C8" s="174"/>
    </row>
    <row r="9" spans="1:5" x14ac:dyDescent="0.25">
      <c r="B9" s="174"/>
      <c r="C9" s="174"/>
    </row>
    <row r="10" spans="1:5" x14ac:dyDescent="0.25">
      <c r="B10" s="174"/>
      <c r="C10" s="174"/>
    </row>
    <row r="12" spans="1:5" hidden="1" x14ac:dyDescent="0.25"/>
    <row r="13" spans="1:5" ht="15" customHeight="1" x14ac:dyDescent="0.25">
      <c r="A13" s="182" t="s">
        <v>83</v>
      </c>
      <c r="B13" s="182"/>
      <c r="C13" s="182"/>
      <c r="D13" s="182"/>
      <c r="E13" s="182"/>
    </row>
    <row r="14" spans="1:5" ht="15" customHeight="1" x14ac:dyDescent="0.25">
      <c r="A14" s="182"/>
      <c r="B14" s="182"/>
      <c r="C14" s="182"/>
      <c r="D14" s="182"/>
      <c r="E14" s="182"/>
    </row>
    <row r="15" spans="1:5" ht="15" customHeight="1" x14ac:dyDescent="0.25">
      <c r="A15" s="182"/>
      <c r="B15" s="182"/>
      <c r="C15" s="182"/>
      <c r="D15" s="182"/>
      <c r="E15" s="182"/>
    </row>
    <row r="16" spans="1:5" ht="53.25" customHeight="1" x14ac:dyDescent="0.25">
      <c r="A16" s="182"/>
      <c r="B16" s="182"/>
      <c r="C16" s="182"/>
      <c r="D16" s="182"/>
      <c r="E16" s="182"/>
    </row>
    <row r="17" spans="1:8" ht="14.25" customHeight="1" thickBot="1" x14ac:dyDescent="0.3"/>
    <row r="18" spans="1:8" hidden="1" x14ac:dyDescent="0.25">
      <c r="A18" s="2"/>
    </row>
    <row r="19" spans="1:8" ht="15.75" hidden="1" thickBot="1" x14ac:dyDescent="0.3"/>
    <row r="20" spans="1:8" x14ac:dyDescent="0.25">
      <c r="A20" s="11" t="s">
        <v>22</v>
      </c>
      <c r="B20" s="12"/>
      <c r="C20" s="13"/>
      <c r="D20" s="9"/>
      <c r="E20" s="14"/>
    </row>
    <row r="21" spans="1:8" x14ac:dyDescent="0.25">
      <c r="A21" s="38" t="s">
        <v>36</v>
      </c>
      <c r="B21" s="38"/>
      <c r="C21" s="38"/>
      <c r="D21" s="39"/>
      <c r="E21" s="98"/>
      <c r="G21" s="22"/>
    </row>
    <row r="22" spans="1:8" ht="35.450000000000003" customHeight="1" x14ac:dyDescent="0.25">
      <c r="A22" s="175" t="s">
        <v>109</v>
      </c>
      <c r="B22" s="176"/>
      <c r="C22" s="5"/>
      <c r="D22" s="172">
        <v>400000</v>
      </c>
      <c r="E22" s="121" t="s">
        <v>112</v>
      </c>
      <c r="F22" s="48"/>
      <c r="H22" s="22"/>
    </row>
    <row r="23" spans="1:8" ht="15.75" thickBot="1" x14ac:dyDescent="0.3">
      <c r="A23" s="29" t="s">
        <v>33</v>
      </c>
      <c r="B23" s="29"/>
      <c r="C23" s="29"/>
      <c r="D23" s="135"/>
      <c r="E23" s="162">
        <f>D22</f>
        <v>400000</v>
      </c>
    </row>
    <row r="24" spans="1:8" x14ac:dyDescent="0.25">
      <c r="A24" s="36" t="s">
        <v>49</v>
      </c>
      <c r="B24" s="37"/>
      <c r="C24" s="37"/>
      <c r="D24" s="134"/>
      <c r="E24" s="106"/>
    </row>
    <row r="25" spans="1:8" s="45" customFormat="1" ht="29.25" customHeight="1" x14ac:dyDescent="0.25">
      <c r="A25" s="175" t="s">
        <v>97</v>
      </c>
      <c r="B25" s="176"/>
      <c r="C25" s="133"/>
      <c r="D25" s="216">
        <v>149073.01</v>
      </c>
      <c r="E25" s="121" t="s">
        <v>108</v>
      </c>
    </row>
    <row r="26" spans="1:8" s="45" customFormat="1" ht="29.25" customHeight="1" x14ac:dyDescent="0.25">
      <c r="A26" s="175" t="s">
        <v>106</v>
      </c>
      <c r="B26" s="176"/>
      <c r="C26" s="133"/>
      <c r="D26" s="168">
        <v>0</v>
      </c>
      <c r="E26" s="121"/>
    </row>
    <row r="27" spans="1:8" ht="15.75" thickBot="1" x14ac:dyDescent="0.3">
      <c r="A27" s="29" t="s">
        <v>1</v>
      </c>
      <c r="B27" s="29"/>
      <c r="C27" s="29"/>
      <c r="D27" s="135"/>
      <c r="E27" s="99">
        <f>SUM(D25:D26)</f>
        <v>149073.01</v>
      </c>
      <c r="G27" s="151"/>
    </row>
    <row r="28" spans="1:8" x14ac:dyDescent="0.25">
      <c r="A28" s="38" t="s">
        <v>35</v>
      </c>
      <c r="B28" s="30"/>
      <c r="C28" s="30"/>
      <c r="D28" s="43"/>
      <c r="E28" s="100"/>
    </row>
    <row r="29" spans="1:8" ht="14.25" customHeight="1" x14ac:dyDescent="0.25">
      <c r="A29" s="5" t="s">
        <v>78</v>
      </c>
      <c r="B29" s="5"/>
      <c r="C29" s="5"/>
      <c r="D29" s="120"/>
      <c r="E29" s="104"/>
    </row>
    <row r="30" spans="1:8" ht="14.25" customHeight="1" x14ac:dyDescent="0.25">
      <c r="A30" s="5" t="s">
        <v>77</v>
      </c>
      <c r="B30" s="5"/>
      <c r="C30" s="5"/>
      <c r="D30" s="120">
        <v>750368</v>
      </c>
      <c r="E30" s="121" t="s">
        <v>114</v>
      </c>
    </row>
    <row r="31" spans="1:8" ht="14.25" customHeight="1" x14ac:dyDescent="0.25">
      <c r="A31" s="5" t="s">
        <v>77</v>
      </c>
      <c r="B31" s="5"/>
      <c r="C31" s="5"/>
      <c r="D31" s="120"/>
      <c r="E31" s="104"/>
    </row>
    <row r="32" spans="1:8" ht="14.25" customHeight="1" x14ac:dyDescent="0.25">
      <c r="A32" s="5" t="s">
        <v>77</v>
      </c>
      <c r="B32" s="5"/>
      <c r="C32" s="5"/>
      <c r="D32" s="120"/>
      <c r="E32" s="104"/>
    </row>
    <row r="33" spans="1:10" ht="14.25" customHeight="1" x14ac:dyDescent="0.25">
      <c r="A33" s="5"/>
      <c r="B33" s="5"/>
      <c r="C33" s="5"/>
      <c r="D33" s="120"/>
      <c r="E33" s="104"/>
    </row>
    <row r="34" spans="1:10" ht="15.75" thickBot="1" x14ac:dyDescent="0.3">
      <c r="A34" s="29" t="s">
        <v>2</v>
      </c>
      <c r="B34" s="29"/>
      <c r="C34" s="29"/>
      <c r="D34" s="42"/>
      <c r="E34" s="99">
        <f>SUM(D29:D33)</f>
        <v>750368</v>
      </c>
    </row>
    <row r="35" spans="1:10" ht="15.75" thickBot="1" x14ac:dyDescent="0.3">
      <c r="A35" s="38" t="s">
        <v>34</v>
      </c>
      <c r="B35" s="29"/>
      <c r="C35" s="29"/>
      <c r="D35" s="42"/>
      <c r="E35" s="102"/>
    </row>
    <row r="36" spans="1:10" ht="20.100000000000001" customHeight="1" x14ac:dyDescent="0.25">
      <c r="A36" s="170" t="s">
        <v>100</v>
      </c>
      <c r="B36" s="5"/>
      <c r="C36" s="5"/>
      <c r="D36" s="41">
        <v>0</v>
      </c>
      <c r="E36" s="121"/>
      <c r="J36" s="60"/>
    </row>
    <row r="37" spans="1:10" ht="15.75" thickBot="1" x14ac:dyDescent="0.3">
      <c r="A37" s="29" t="s">
        <v>7</v>
      </c>
      <c r="B37" s="38"/>
      <c r="C37" s="38"/>
      <c r="D37" s="36"/>
      <c r="E37" s="106">
        <f>SUM(D36:D36)</f>
        <v>0</v>
      </c>
    </row>
    <row r="38" spans="1:10" ht="15.75" thickBot="1" x14ac:dyDescent="0.3">
      <c r="A38" s="38" t="s">
        <v>26</v>
      </c>
      <c r="B38" s="71"/>
      <c r="C38" s="29"/>
      <c r="D38" s="31"/>
      <c r="E38" s="102"/>
    </row>
    <row r="39" spans="1:10" x14ac:dyDescent="0.25">
      <c r="A39" s="5" t="s">
        <v>101</v>
      </c>
      <c r="B39" s="5"/>
      <c r="C39" s="5"/>
      <c r="D39" s="120">
        <v>34240.639999999999</v>
      </c>
      <c r="E39" s="107"/>
    </row>
    <row r="40" spans="1:10" x14ac:dyDescent="0.25">
      <c r="A40" s="5" t="s">
        <v>102</v>
      </c>
      <c r="B40" s="5"/>
      <c r="C40" s="5"/>
      <c r="D40" s="120">
        <v>69000</v>
      </c>
      <c r="E40" s="105"/>
    </row>
    <row r="41" spans="1:10" ht="15.75" thickBot="1" x14ac:dyDescent="0.3">
      <c r="A41" s="59" t="s">
        <v>33</v>
      </c>
      <c r="B41" s="59"/>
      <c r="C41" s="59"/>
      <c r="D41" s="108"/>
      <c r="E41" s="99">
        <f>SUM(D39:D40)</f>
        <v>103240.64</v>
      </c>
    </row>
    <row r="42" spans="1:10" ht="15.75" thickBot="1" x14ac:dyDescent="0.3">
      <c r="A42" s="5"/>
      <c r="B42" s="5"/>
      <c r="C42" s="5"/>
      <c r="D42" s="97"/>
      <c r="E42" s="109"/>
    </row>
    <row r="43" spans="1:10" ht="15.75" thickBot="1" x14ac:dyDescent="0.3">
      <c r="A43" s="32" t="s">
        <v>115</v>
      </c>
      <c r="B43" s="32"/>
      <c r="C43" s="32"/>
      <c r="D43" s="110"/>
      <c r="E43" s="111">
        <v>1000000</v>
      </c>
    </row>
    <row r="44" spans="1:10" ht="15.75" thickBot="1" x14ac:dyDescent="0.3">
      <c r="A44" s="1"/>
      <c r="D44" s="112"/>
      <c r="E44" s="113"/>
      <c r="F44" s="51"/>
    </row>
    <row r="45" spans="1:10" ht="15.75" thickBot="1" x14ac:dyDescent="0.3">
      <c r="A45" s="3" t="s">
        <v>27</v>
      </c>
      <c r="B45" s="10"/>
      <c r="C45" s="4"/>
      <c r="D45" s="114"/>
      <c r="E45" s="115">
        <f>(SUM(E21:E43))</f>
        <v>2402681.65</v>
      </c>
      <c r="F45" s="51"/>
    </row>
    <row r="46" spans="1:10" x14ac:dyDescent="0.25">
      <c r="D46" s="112"/>
      <c r="E46" s="112"/>
    </row>
    <row r="47" spans="1:10" ht="15.75" thickBot="1" x14ac:dyDescent="0.3">
      <c r="D47" s="112"/>
      <c r="E47" s="112"/>
    </row>
    <row r="48" spans="1:10" x14ac:dyDescent="0.25">
      <c r="A48" s="11" t="s">
        <v>37</v>
      </c>
      <c r="B48" s="12"/>
      <c r="C48" s="13"/>
      <c r="D48" s="116"/>
      <c r="E48" s="117"/>
    </row>
    <row r="49" spans="1:5" ht="30" hidden="1" customHeight="1" x14ac:dyDescent="0.25">
      <c r="A49" s="175"/>
      <c r="B49" s="176"/>
      <c r="C49" s="5"/>
      <c r="D49" s="103"/>
      <c r="E49" s="101"/>
    </row>
    <row r="50" spans="1:5" ht="34.5" hidden="1" customHeight="1" x14ac:dyDescent="0.25">
      <c r="A50" s="175"/>
      <c r="B50" s="176"/>
      <c r="C50" s="5"/>
      <c r="D50" s="103"/>
      <c r="E50" s="101"/>
    </row>
    <row r="51" spans="1:5" ht="0.75" customHeight="1" x14ac:dyDescent="0.25">
      <c r="A51" s="180"/>
      <c r="B51" s="181"/>
      <c r="C51" s="5"/>
      <c r="D51" s="103"/>
      <c r="E51" s="101"/>
    </row>
    <row r="52" spans="1:5" x14ac:dyDescent="0.25">
      <c r="A52" s="122"/>
      <c r="B52" s="123"/>
      <c r="C52" s="60"/>
      <c r="D52" s="103"/>
      <c r="E52" s="101"/>
    </row>
    <row r="53" spans="1:5" x14ac:dyDescent="0.25">
      <c r="A53" s="57"/>
      <c r="B53" s="56"/>
      <c r="C53" s="56"/>
      <c r="D53" s="63"/>
      <c r="E53" s="63">
        <f>SUM(D49:D52)</f>
        <v>0</v>
      </c>
    </row>
    <row r="54" spans="1:5" ht="15" customHeight="1" x14ac:dyDescent="0.25"/>
    <row r="55" spans="1:5" ht="15.75" hidden="1" thickBot="1" x14ac:dyDescent="0.3"/>
    <row r="56" spans="1:5" x14ac:dyDescent="0.25">
      <c r="A56" s="32" t="s">
        <v>38</v>
      </c>
      <c r="B56" s="32"/>
      <c r="C56" s="32"/>
      <c r="D56" s="33"/>
      <c r="E56" s="125"/>
    </row>
    <row r="57" spans="1:5" ht="15.75" thickBot="1" x14ac:dyDescent="0.3"/>
    <row r="58" spans="1:5" ht="15.75" thickBot="1" x14ac:dyDescent="0.3">
      <c r="A58" s="3" t="s">
        <v>39</v>
      </c>
      <c r="B58" s="10"/>
      <c r="C58" s="4"/>
      <c r="D58" s="4"/>
      <c r="E58" s="72">
        <f>E53+E56</f>
        <v>0</v>
      </c>
    </row>
    <row r="59" spans="1:5" ht="15.75" thickBot="1" x14ac:dyDescent="0.3"/>
    <row r="60" spans="1:5" ht="15.75" thickBot="1" x14ac:dyDescent="0.3">
      <c r="A60" s="94" t="s">
        <v>28</v>
      </c>
      <c r="B60" s="95">
        <f>E45</f>
        <v>2402681.65</v>
      </c>
      <c r="D60" s="51"/>
    </row>
    <row r="61" spans="1:5" ht="15.75" thickBot="1" x14ac:dyDescent="0.3">
      <c r="A61" s="94" t="s">
        <v>29</v>
      </c>
      <c r="B61" s="95">
        <f>E45-E43</f>
        <v>1402681.65</v>
      </c>
    </row>
    <row r="62" spans="1:5" ht="15.75" thickBot="1" x14ac:dyDescent="0.3">
      <c r="A62" s="94" t="s">
        <v>40</v>
      </c>
      <c r="B62" s="95">
        <f>E58-E56</f>
        <v>0</v>
      </c>
    </row>
    <row r="63" spans="1:5" ht="15.75" thickBot="1" x14ac:dyDescent="0.3">
      <c r="A63" s="94" t="s">
        <v>55</v>
      </c>
      <c r="B63" s="95">
        <f>E58</f>
        <v>0</v>
      </c>
    </row>
    <row r="66" spans="1:5" x14ac:dyDescent="0.25">
      <c r="A66" s="179" t="s">
        <v>93</v>
      </c>
      <c r="B66" s="179"/>
      <c r="C66" s="179"/>
      <c r="D66" s="179"/>
      <c r="E66" s="179"/>
    </row>
    <row r="67" spans="1:5" x14ac:dyDescent="0.25">
      <c r="A67" s="179"/>
      <c r="B67" s="179"/>
      <c r="C67" s="179"/>
      <c r="D67" s="179"/>
      <c r="E67" s="179"/>
    </row>
    <row r="68" spans="1:5" ht="30.75" customHeight="1" x14ac:dyDescent="0.25">
      <c r="A68" s="179"/>
      <c r="B68" s="179"/>
      <c r="C68" s="179"/>
      <c r="D68" s="179"/>
      <c r="E68" s="179"/>
    </row>
    <row r="69" spans="1:5" ht="15.75" thickBot="1" x14ac:dyDescent="0.3"/>
    <row r="70" spans="1:5" x14ac:dyDescent="0.25">
      <c r="A70" s="183" t="s">
        <v>113</v>
      </c>
      <c r="B70" s="184"/>
      <c r="C70" s="184"/>
      <c r="D70" s="184"/>
      <c r="E70" s="185"/>
    </row>
    <row r="71" spans="1:5" x14ac:dyDescent="0.25">
      <c r="A71" s="186"/>
      <c r="B71" s="187"/>
      <c r="C71" s="187"/>
      <c r="D71" s="187"/>
      <c r="E71" s="188"/>
    </row>
    <row r="72" spans="1:5" ht="45" customHeight="1" thickBot="1" x14ac:dyDescent="0.3">
      <c r="A72" s="189"/>
      <c r="B72" s="190"/>
      <c r="C72" s="190"/>
      <c r="D72" s="190"/>
      <c r="E72" s="191"/>
    </row>
    <row r="73" spans="1:5" s="130" customFormat="1" ht="27" customHeight="1" x14ac:dyDescent="0.25">
      <c r="A73" s="163"/>
      <c r="B73" s="163"/>
      <c r="C73" s="163"/>
      <c r="D73" s="163"/>
      <c r="E73" s="163"/>
    </row>
    <row r="74" spans="1:5" x14ac:dyDescent="0.25">
      <c r="A74" s="165" t="s">
        <v>51</v>
      </c>
      <c r="B74" s="166"/>
      <c r="C74" s="23"/>
    </row>
    <row r="75" spans="1:5" ht="17.25" customHeight="1" x14ac:dyDescent="0.25">
      <c r="A75" s="167" t="s">
        <v>90</v>
      </c>
      <c r="B75" s="124">
        <v>1232001.3899999999</v>
      </c>
      <c r="C75" s="25"/>
    </row>
    <row r="76" spans="1:5" ht="14.25" customHeight="1" x14ac:dyDescent="0.25">
      <c r="A76" s="24" t="s">
        <v>57</v>
      </c>
      <c r="B76" s="47">
        <f>PRORRATEO!G35</f>
        <v>1111121.19</v>
      </c>
      <c r="C76" s="23"/>
    </row>
    <row r="77" spans="1:5" x14ac:dyDescent="0.25">
      <c r="A77" s="24" t="s">
        <v>58</v>
      </c>
      <c r="B77" s="47"/>
      <c r="C77" s="23"/>
    </row>
    <row r="78" spans="1:5" ht="28.5" customHeight="1" x14ac:dyDescent="0.25">
      <c r="A78" s="27" t="s">
        <v>107</v>
      </c>
      <c r="B78" s="169">
        <v>-99000</v>
      </c>
      <c r="C78" s="23"/>
    </row>
    <row r="79" spans="1:5" ht="28.5" customHeight="1" x14ac:dyDescent="0.25">
      <c r="A79" s="27" t="s">
        <v>110</v>
      </c>
      <c r="B79" s="169">
        <v>-270000</v>
      </c>
      <c r="C79" s="23"/>
    </row>
    <row r="80" spans="1:5" ht="28.5" customHeight="1" x14ac:dyDescent="0.25">
      <c r="A80" s="27" t="s">
        <v>111</v>
      </c>
      <c r="B80" s="169">
        <v>-86980</v>
      </c>
      <c r="C80" s="23"/>
    </row>
    <row r="81" spans="1:6" x14ac:dyDescent="0.25">
      <c r="A81" s="24" t="s">
        <v>86</v>
      </c>
      <c r="B81" s="47">
        <f>B100</f>
        <v>0</v>
      </c>
      <c r="C81" s="23"/>
    </row>
    <row r="82" spans="1:6" x14ac:dyDescent="0.25">
      <c r="A82" s="24" t="s">
        <v>98</v>
      </c>
      <c r="B82" s="47">
        <v>0</v>
      </c>
      <c r="C82" s="23"/>
    </row>
    <row r="83" spans="1:6" x14ac:dyDescent="0.25">
      <c r="A83" s="46" t="s">
        <v>41</v>
      </c>
      <c r="B83" s="169">
        <f>-B61</f>
        <v>-1402681.65</v>
      </c>
      <c r="C83" s="23"/>
    </row>
    <row r="84" spans="1:6" x14ac:dyDescent="0.25">
      <c r="A84" s="27" t="s">
        <v>42</v>
      </c>
      <c r="B84" s="105">
        <f>-(B62)</f>
        <v>0</v>
      </c>
      <c r="C84" s="23"/>
    </row>
    <row r="85" spans="1:6" x14ac:dyDescent="0.25">
      <c r="A85" s="34" t="s">
        <v>33</v>
      </c>
      <c r="B85" s="124">
        <f>SUM(B75:B84)</f>
        <v>484460.93000000017</v>
      </c>
      <c r="C85" s="26"/>
      <c r="D85" s="151"/>
      <c r="E85" s="151"/>
      <c r="F85" s="151"/>
    </row>
    <row r="86" spans="1:6" ht="34.5" customHeight="1" x14ac:dyDescent="0.25">
      <c r="B86" s="48"/>
      <c r="C86" s="26"/>
      <c r="D86" s="51"/>
    </row>
    <row r="87" spans="1:6" ht="14.25" hidden="1" customHeight="1" x14ac:dyDescent="0.25">
      <c r="B87" s="49"/>
      <c r="C87" s="26"/>
    </row>
    <row r="88" spans="1:6" s="45" customFormat="1" ht="27" hidden="1" customHeight="1" x14ac:dyDescent="0.25">
      <c r="A88"/>
      <c r="B88" s="48"/>
      <c r="C88" s="44"/>
    </row>
    <row r="89" spans="1:6" s="45" customFormat="1" ht="27" hidden="1" customHeight="1" x14ac:dyDescent="0.25">
      <c r="A89" s="35" t="s">
        <v>31</v>
      </c>
      <c r="B89" s="40"/>
      <c r="C89" s="44"/>
      <c r="D89" s="54"/>
    </row>
    <row r="90" spans="1:6" s="45" customFormat="1" ht="27" hidden="1" customHeight="1" x14ac:dyDescent="0.25">
      <c r="A90" s="5" t="s">
        <v>30</v>
      </c>
      <c r="B90" s="41">
        <v>0</v>
      </c>
      <c r="C90" s="44"/>
    </row>
    <row r="91" spans="1:6" ht="14.25" hidden="1" customHeight="1" x14ac:dyDescent="0.25">
      <c r="A91" s="5" t="s">
        <v>23</v>
      </c>
      <c r="B91" s="40">
        <v>0</v>
      </c>
      <c r="C91" s="26"/>
      <c r="D91" s="51"/>
    </row>
    <row r="92" spans="1:6" hidden="1" x14ac:dyDescent="0.25">
      <c r="A92" s="5" t="s">
        <v>41</v>
      </c>
      <c r="B92" s="40">
        <v>0</v>
      </c>
      <c r="C92" s="26"/>
    </row>
    <row r="93" spans="1:6" hidden="1" x14ac:dyDescent="0.25">
      <c r="A93" s="5" t="s">
        <v>42</v>
      </c>
      <c r="B93" s="40">
        <v>0</v>
      </c>
      <c r="C93" s="28"/>
    </row>
    <row r="94" spans="1:6" hidden="1" x14ac:dyDescent="0.25">
      <c r="A94" s="35" t="s">
        <v>32</v>
      </c>
      <c r="B94" s="55">
        <f>SUM(B90:B93)</f>
        <v>0</v>
      </c>
      <c r="C94" s="23"/>
    </row>
    <row r="95" spans="1:6" hidden="1" x14ac:dyDescent="0.25"/>
    <row r="96" spans="1:6" ht="60.75" hidden="1" customHeight="1" x14ac:dyDescent="0.25"/>
    <row r="97" spans="1:13" x14ac:dyDescent="0.25">
      <c r="A97" s="178" t="s">
        <v>50</v>
      </c>
      <c r="B97" s="178"/>
      <c r="C97" s="178"/>
    </row>
    <row r="98" spans="1:13" ht="27.75" customHeight="1" x14ac:dyDescent="0.25">
      <c r="A98" s="178"/>
      <c r="B98" s="178"/>
      <c r="C98" s="178"/>
    </row>
    <row r="99" spans="1:13" ht="32.25" customHeight="1" x14ac:dyDescent="0.25">
      <c r="A99" s="118"/>
      <c r="B99" s="40"/>
      <c r="C99" s="164">
        <v>40000</v>
      </c>
    </row>
    <row r="100" spans="1:13" x14ac:dyDescent="0.25">
      <c r="A100" s="52" t="s">
        <v>7</v>
      </c>
      <c r="B100" s="119">
        <f>SUM(B99:B99)</f>
        <v>0</v>
      </c>
      <c r="C100" s="53"/>
    </row>
    <row r="101" spans="1:13" x14ac:dyDescent="0.25">
      <c r="M101" s="8"/>
    </row>
    <row r="102" spans="1:13" ht="15" customHeight="1" x14ac:dyDescent="0.25">
      <c r="A102" s="177"/>
      <c r="B102" s="177"/>
      <c r="C102" s="177"/>
      <c r="D102" s="177"/>
      <c r="E102" s="177"/>
    </row>
    <row r="103" spans="1:13" x14ac:dyDescent="0.25">
      <c r="A103" s="177"/>
      <c r="B103" s="177"/>
      <c r="C103" s="177"/>
      <c r="D103" s="177"/>
      <c r="E103" s="177"/>
    </row>
    <row r="104" spans="1:13" x14ac:dyDescent="0.25">
      <c r="A104" s="177"/>
      <c r="B104" s="177"/>
      <c r="C104" s="177"/>
      <c r="D104" s="177"/>
      <c r="E104" s="177"/>
    </row>
    <row r="105" spans="1:13" x14ac:dyDescent="0.25">
      <c r="A105" s="177"/>
      <c r="B105" s="177"/>
      <c r="C105" s="177"/>
      <c r="D105" s="177"/>
      <c r="E105" s="177"/>
    </row>
  </sheetData>
  <mergeCells count="12">
    <mergeCell ref="B8:C10"/>
    <mergeCell ref="A25:B25"/>
    <mergeCell ref="A102:E105"/>
    <mergeCell ref="A97:C98"/>
    <mergeCell ref="A66:E68"/>
    <mergeCell ref="A50:B50"/>
    <mergeCell ref="A49:B49"/>
    <mergeCell ref="A51:B51"/>
    <mergeCell ref="A13:E16"/>
    <mergeCell ref="A22:B22"/>
    <mergeCell ref="A70:E72"/>
    <mergeCell ref="A26:B26"/>
  </mergeCells>
  <pageMargins left="0.25" right="0.25"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43"/>
  <sheetViews>
    <sheetView topLeftCell="B1" zoomScaleNormal="100" workbookViewId="0">
      <selection activeCell="Q3" sqref="Q3"/>
    </sheetView>
  </sheetViews>
  <sheetFormatPr baseColWidth="10" defaultRowHeight="15" x14ac:dyDescent="0.25"/>
  <cols>
    <col min="1" max="1" width="5" hidden="1" customWidth="1"/>
    <col min="2" max="2" width="4.28515625" customWidth="1"/>
    <col min="3" max="3" width="18.5703125" customWidth="1"/>
    <col min="4" max="4" width="9.140625" bestFit="1" customWidth="1"/>
    <col min="5" max="5" width="5.140625" customWidth="1"/>
    <col min="6" max="6" width="14.140625" customWidth="1"/>
    <col min="7" max="7" width="14.5703125" customWidth="1"/>
    <col min="8" max="9" width="10.5703125" customWidth="1"/>
    <col min="10" max="10" width="14.42578125" customWidth="1"/>
    <col min="11" max="11" width="16.28515625" customWidth="1"/>
    <col min="12" max="12" width="10.42578125" bestFit="1" customWidth="1"/>
    <col min="13" max="13" width="14.7109375" customWidth="1"/>
    <col min="14" max="14" width="0.42578125" hidden="1" customWidth="1"/>
    <col min="15" max="15" width="14.140625" customWidth="1"/>
    <col min="16" max="16" width="7.42578125" bestFit="1" customWidth="1"/>
    <col min="17" max="17" width="12" bestFit="1" customWidth="1"/>
    <col min="18" max="18" width="13" bestFit="1" customWidth="1"/>
  </cols>
  <sheetData>
    <row r="1" spans="1:18" ht="12.95" customHeight="1" x14ac:dyDescent="0.25">
      <c r="A1" s="6"/>
      <c r="B1" s="6"/>
      <c r="C1" s="192" t="s">
        <v>79</v>
      </c>
      <c r="D1" s="193"/>
      <c r="E1" s="193"/>
      <c r="F1" s="193"/>
      <c r="G1" s="6"/>
      <c r="H1" s="6"/>
      <c r="I1" s="6"/>
      <c r="J1" s="7"/>
      <c r="K1" s="6"/>
      <c r="L1" s="6"/>
      <c r="M1" s="62"/>
      <c r="N1" s="62"/>
      <c r="O1" s="62"/>
      <c r="P1" s="22"/>
    </row>
    <row r="2" spans="1:18" ht="12.95" customHeight="1" x14ac:dyDescent="0.25">
      <c r="A2" s="6"/>
      <c r="B2" s="6"/>
      <c r="C2" s="193"/>
      <c r="D2" s="193"/>
      <c r="E2" s="193"/>
      <c r="F2" s="193"/>
      <c r="G2" s="6"/>
      <c r="H2" s="6"/>
      <c r="I2" s="6"/>
      <c r="J2" s="7"/>
      <c r="K2" s="6"/>
      <c r="L2" s="6"/>
      <c r="M2" s="62"/>
      <c r="N2" s="62"/>
      <c r="O2" s="62"/>
      <c r="P2" s="22"/>
    </row>
    <row r="3" spans="1:18" ht="12.95" customHeight="1" x14ac:dyDescent="0.25">
      <c r="A3" s="6"/>
      <c r="B3" s="6"/>
      <c r="C3" s="193"/>
      <c r="D3" s="193"/>
      <c r="E3" s="193"/>
      <c r="F3" s="193"/>
      <c r="G3" s="6"/>
      <c r="H3" s="6"/>
      <c r="I3" s="6"/>
      <c r="J3" s="7" t="s">
        <v>80</v>
      </c>
      <c r="K3" s="6"/>
      <c r="L3" s="194">
        <f>Q3</f>
        <v>2402681.65</v>
      </c>
      <c r="M3" s="194"/>
      <c r="N3" s="62"/>
      <c r="O3" s="62"/>
      <c r="P3" s="22"/>
      <c r="Q3">
        <v>2402681.65</v>
      </c>
    </row>
    <row r="4" spans="1:18" ht="41.25" customHeight="1" thickBot="1" x14ac:dyDescent="0.3">
      <c r="A4" s="6"/>
      <c r="B4" s="6"/>
      <c r="C4" s="193"/>
      <c r="D4" s="193"/>
      <c r="E4" s="193"/>
      <c r="F4" s="193"/>
      <c r="G4" s="6"/>
      <c r="H4" s="6"/>
      <c r="I4" s="6"/>
      <c r="J4" s="126" t="s">
        <v>99</v>
      </c>
      <c r="K4" s="6"/>
      <c r="L4" s="195"/>
      <c r="M4" s="195"/>
      <c r="N4" s="64"/>
      <c r="O4" s="64"/>
    </row>
    <row r="5" spans="1:18" ht="83.25" customHeight="1" thickBot="1" x14ac:dyDescent="0.3">
      <c r="A5" s="200" t="s">
        <v>96</v>
      </c>
      <c r="B5" s="201"/>
      <c r="C5" s="201"/>
      <c r="D5" s="201"/>
      <c r="E5" s="201"/>
      <c r="F5" s="201"/>
      <c r="G5" s="201"/>
      <c r="H5" s="201"/>
      <c r="I5" s="201"/>
      <c r="J5" s="201"/>
      <c r="K5" s="201"/>
      <c r="L5" s="201"/>
      <c r="M5" s="201"/>
      <c r="N5" s="201"/>
      <c r="O5" s="202"/>
    </row>
    <row r="6" spans="1:18" x14ac:dyDescent="0.25">
      <c r="A6" s="196" t="s">
        <v>3</v>
      </c>
      <c r="B6" s="198" t="s">
        <v>4</v>
      </c>
      <c r="C6" s="198" t="s">
        <v>5</v>
      </c>
      <c r="D6" s="198" t="s">
        <v>46</v>
      </c>
      <c r="E6" s="198" t="s">
        <v>25</v>
      </c>
      <c r="F6" s="198" t="s">
        <v>56</v>
      </c>
      <c r="G6" s="198" t="s">
        <v>23</v>
      </c>
      <c r="H6" s="214" t="s">
        <v>48</v>
      </c>
      <c r="I6" s="214" t="s">
        <v>87</v>
      </c>
      <c r="J6" s="209" t="s">
        <v>6</v>
      </c>
      <c r="K6" s="209" t="s">
        <v>44</v>
      </c>
      <c r="L6" s="212" t="s">
        <v>54</v>
      </c>
      <c r="M6" s="67" t="s">
        <v>53</v>
      </c>
      <c r="N6" s="207" t="s">
        <v>43</v>
      </c>
      <c r="O6" s="203" t="s">
        <v>52</v>
      </c>
      <c r="R6" s="51"/>
    </row>
    <row r="7" spans="1:18" ht="15.75" customHeight="1" x14ac:dyDescent="0.25">
      <c r="A7" s="197"/>
      <c r="B7" s="199"/>
      <c r="C7" s="199"/>
      <c r="D7" s="206"/>
      <c r="E7" s="199"/>
      <c r="F7" s="199"/>
      <c r="G7" s="199"/>
      <c r="H7" s="215"/>
      <c r="I7" s="215"/>
      <c r="J7" s="210"/>
      <c r="K7" s="211"/>
      <c r="L7" s="213"/>
      <c r="M7" s="65" t="str">
        <f>RESUMEN!B8</f>
        <v>VTO 17/09</v>
      </c>
      <c r="N7" s="208"/>
      <c r="O7" s="204"/>
    </row>
    <row r="8" spans="1:18" ht="17.100000000000001" customHeight="1" x14ac:dyDescent="0.25">
      <c r="A8" s="5" t="s">
        <v>8</v>
      </c>
      <c r="B8" s="69">
        <v>1</v>
      </c>
      <c r="C8" s="69" t="s">
        <v>59</v>
      </c>
      <c r="D8" s="69"/>
      <c r="E8" s="77">
        <v>6.8</v>
      </c>
      <c r="F8" s="78">
        <v>507403.01</v>
      </c>
      <c r="G8" s="79">
        <v>0</v>
      </c>
      <c r="H8" s="80">
        <f>F8-G8</f>
        <v>507403.01</v>
      </c>
      <c r="I8" s="80">
        <f>IF(H8&gt;0,H8*15%,0)</f>
        <v>76110.451499999996</v>
      </c>
      <c r="J8" s="127">
        <f t="shared" ref="J8:J33" si="0">L$4*E8/100</f>
        <v>0</v>
      </c>
      <c r="K8" s="127">
        <f t="shared" ref="K8:K33" si="1">L$3*E8/100</f>
        <v>163382.35219999999</v>
      </c>
      <c r="L8" s="82">
        <v>0</v>
      </c>
      <c r="M8" s="83">
        <f t="shared" ref="M8:M33" si="2">ROUND(SUM(H8:L8),0) + P8</f>
        <v>746896.01</v>
      </c>
      <c r="N8" s="84">
        <f>ROUND(M8*6% + M8,0) + P8</f>
        <v>791710.01</v>
      </c>
      <c r="O8" s="85">
        <f>ROUND(M8*3%,0) + M8</f>
        <v>769303.01</v>
      </c>
      <c r="P8" s="51">
        <v>0.01</v>
      </c>
    </row>
    <row r="9" spans="1:18" ht="17.100000000000001" customHeight="1" x14ac:dyDescent="0.25">
      <c r="A9" s="60" t="s">
        <v>9</v>
      </c>
      <c r="B9" s="68">
        <f>B8+1</f>
        <v>2</v>
      </c>
      <c r="C9" s="68" t="s">
        <v>60</v>
      </c>
      <c r="D9" s="86"/>
      <c r="E9" s="87">
        <v>5.0999999999999996</v>
      </c>
      <c r="F9" s="79">
        <v>-282333.98</v>
      </c>
      <c r="G9" s="79">
        <v>0</v>
      </c>
      <c r="H9" s="96">
        <f>F9-G9</f>
        <v>-282333.98</v>
      </c>
      <c r="I9" s="96">
        <f>IF(H9&gt;0,H9*15%,0)</f>
        <v>0</v>
      </c>
      <c r="J9" s="146">
        <f t="shared" si="0"/>
        <v>0</v>
      </c>
      <c r="K9" s="146">
        <f t="shared" si="1"/>
        <v>122536.76414999999</v>
      </c>
      <c r="L9" s="147">
        <v>0</v>
      </c>
      <c r="M9" s="148">
        <f t="shared" si="2"/>
        <v>-159796.98000000001</v>
      </c>
      <c r="N9" s="149">
        <f t="shared" ref="N9:N33" si="3">ROUND(M9*6% + M9,0) + P9</f>
        <v>-169384.98</v>
      </c>
      <c r="O9" s="150">
        <f t="shared" ref="O9:O33" si="4">ROUND(M9*3%,0) + M9</f>
        <v>-164590.98000000001</v>
      </c>
      <c r="P9" s="51">
        <f>P8+0.01</f>
        <v>0.02</v>
      </c>
      <c r="Q9" s="51"/>
      <c r="R9" t="s">
        <v>92</v>
      </c>
    </row>
    <row r="10" spans="1:18" ht="17.100000000000001" customHeight="1" x14ac:dyDescent="0.25">
      <c r="A10" s="60" t="s">
        <v>9</v>
      </c>
      <c r="B10" s="68">
        <f t="shared" ref="B10:B33" si="5">B9+1</f>
        <v>3</v>
      </c>
      <c r="C10" s="68" t="s">
        <v>61</v>
      </c>
      <c r="D10" s="86"/>
      <c r="E10" s="87">
        <v>5.6</v>
      </c>
      <c r="F10" s="79">
        <v>93457.03</v>
      </c>
      <c r="G10" s="173">
        <f>F10</f>
        <v>93457.03</v>
      </c>
      <c r="H10" s="96">
        <f>F10-G10</f>
        <v>0</v>
      </c>
      <c r="I10" s="96">
        <f>IF(H10&gt;0,H10*15%,0)</f>
        <v>0</v>
      </c>
      <c r="J10" s="146">
        <f t="shared" si="0"/>
        <v>0</v>
      </c>
      <c r="K10" s="146">
        <f t="shared" si="1"/>
        <v>134550.17239999998</v>
      </c>
      <c r="L10" s="147">
        <v>0</v>
      </c>
      <c r="M10" s="148">
        <f t="shared" si="2"/>
        <v>134550.03</v>
      </c>
      <c r="N10" s="149">
        <f t="shared" si="3"/>
        <v>142623.03</v>
      </c>
      <c r="O10" s="150">
        <f t="shared" si="4"/>
        <v>138587.03</v>
      </c>
      <c r="P10" s="51">
        <f t="shared" ref="P10:P33" si="6">P9+0.01</f>
        <v>0.03</v>
      </c>
    </row>
    <row r="11" spans="1:18" ht="17.100000000000001" customHeight="1" x14ac:dyDescent="0.25">
      <c r="A11" s="5" t="s">
        <v>10</v>
      </c>
      <c r="B11" s="69">
        <f t="shared" si="5"/>
        <v>4</v>
      </c>
      <c r="C11" s="69" t="s">
        <v>62</v>
      </c>
      <c r="D11" s="70"/>
      <c r="E11" s="128">
        <v>2.8</v>
      </c>
      <c r="F11" s="78">
        <v>-1118791.96</v>
      </c>
      <c r="G11" s="79">
        <v>0</v>
      </c>
      <c r="H11" s="80">
        <f t="shared" ref="H11:H16" si="7">F11-G11</f>
        <v>-1118791.96</v>
      </c>
      <c r="I11" s="80">
        <f t="shared" ref="I11:I33" si="8">IF(H11&gt;0,H11*15%,0)</f>
        <v>0</v>
      </c>
      <c r="J11" s="127">
        <f t="shared" si="0"/>
        <v>0</v>
      </c>
      <c r="K11" s="127">
        <f t="shared" si="1"/>
        <v>67275.086199999991</v>
      </c>
      <c r="L11" s="82">
        <v>0</v>
      </c>
      <c r="M11" s="83">
        <f t="shared" si="2"/>
        <v>-1051516.96</v>
      </c>
      <c r="N11" s="84">
        <f t="shared" si="3"/>
        <v>-1114607.96</v>
      </c>
      <c r="O11" s="85">
        <f t="shared" si="4"/>
        <v>-1083062.96</v>
      </c>
      <c r="P11" s="51">
        <f t="shared" si="6"/>
        <v>0.04</v>
      </c>
      <c r="R11" s="51" t="s">
        <v>89</v>
      </c>
    </row>
    <row r="12" spans="1:18" ht="17.100000000000001" customHeight="1" x14ac:dyDescent="0.25">
      <c r="A12" s="5" t="s">
        <v>10</v>
      </c>
      <c r="B12" s="69">
        <f t="shared" si="5"/>
        <v>5</v>
      </c>
      <c r="C12" s="69" t="s">
        <v>63</v>
      </c>
      <c r="D12" s="70"/>
      <c r="E12" s="128">
        <v>2.8</v>
      </c>
      <c r="F12" s="78">
        <v>133955.04999999999</v>
      </c>
      <c r="G12" s="173">
        <f>137974.05</f>
        <v>137974.04999999999</v>
      </c>
      <c r="H12" s="80">
        <f t="shared" si="7"/>
        <v>-4019</v>
      </c>
      <c r="I12" s="80">
        <f t="shared" si="8"/>
        <v>0</v>
      </c>
      <c r="J12" s="127">
        <f t="shared" si="0"/>
        <v>0</v>
      </c>
      <c r="K12" s="127">
        <f t="shared" si="1"/>
        <v>67275.086199999991</v>
      </c>
      <c r="L12" s="82">
        <v>0</v>
      </c>
      <c r="M12" s="83">
        <f t="shared" si="2"/>
        <v>63256.05</v>
      </c>
      <c r="N12" s="84">
        <f t="shared" si="3"/>
        <v>67051.05</v>
      </c>
      <c r="O12" s="85">
        <f t="shared" si="4"/>
        <v>65154.05</v>
      </c>
      <c r="P12" s="51">
        <f t="shared" si="6"/>
        <v>0.05</v>
      </c>
      <c r="R12" s="51"/>
    </row>
    <row r="13" spans="1:18" ht="17.100000000000001" customHeight="1" x14ac:dyDescent="0.25">
      <c r="A13" s="5" t="s">
        <v>11</v>
      </c>
      <c r="B13" s="69">
        <f t="shared" si="5"/>
        <v>6</v>
      </c>
      <c r="C13" s="69" t="s">
        <v>64</v>
      </c>
      <c r="D13" s="69"/>
      <c r="E13" s="128">
        <v>2.8</v>
      </c>
      <c r="F13" s="78">
        <v>-27483.94</v>
      </c>
      <c r="G13" s="79">
        <v>0</v>
      </c>
      <c r="H13" s="80">
        <f t="shared" si="7"/>
        <v>-27483.94</v>
      </c>
      <c r="I13" s="80">
        <f t="shared" si="8"/>
        <v>0</v>
      </c>
      <c r="J13" s="127">
        <f t="shared" si="0"/>
        <v>0</v>
      </c>
      <c r="K13" s="127">
        <f t="shared" si="1"/>
        <v>67275.086199999991</v>
      </c>
      <c r="L13" s="82">
        <v>0</v>
      </c>
      <c r="M13" s="83">
        <f t="shared" si="2"/>
        <v>39791.06</v>
      </c>
      <c r="N13" s="84">
        <f t="shared" si="3"/>
        <v>42179.06</v>
      </c>
      <c r="O13" s="85">
        <f t="shared" si="4"/>
        <v>40985.06</v>
      </c>
      <c r="P13" s="51">
        <f t="shared" si="6"/>
        <v>6.0000000000000005E-2</v>
      </c>
      <c r="R13" t="s">
        <v>88</v>
      </c>
    </row>
    <row r="14" spans="1:18" ht="17.100000000000001" customHeight="1" x14ac:dyDescent="0.25">
      <c r="A14" s="5" t="s">
        <v>11</v>
      </c>
      <c r="B14" s="152">
        <f t="shared" si="5"/>
        <v>7</v>
      </c>
      <c r="C14" s="152" t="s">
        <v>65</v>
      </c>
      <c r="D14" s="152"/>
      <c r="E14" s="153">
        <v>4</v>
      </c>
      <c r="F14" s="154">
        <v>2985045.07</v>
      </c>
      <c r="G14" s="154">
        <v>0</v>
      </c>
      <c r="H14" s="155">
        <f t="shared" si="7"/>
        <v>2985045.07</v>
      </c>
      <c r="I14" s="155">
        <f t="shared" si="8"/>
        <v>447756.76049999997</v>
      </c>
      <c r="J14" s="156">
        <f t="shared" si="0"/>
        <v>0</v>
      </c>
      <c r="K14" s="156">
        <f t="shared" si="1"/>
        <v>96107.266000000003</v>
      </c>
      <c r="L14" s="157">
        <v>0</v>
      </c>
      <c r="M14" s="158">
        <f t="shared" si="2"/>
        <v>3528909.07</v>
      </c>
      <c r="N14" s="159">
        <f t="shared" si="3"/>
        <v>3740644.07</v>
      </c>
      <c r="O14" s="160">
        <f t="shared" si="4"/>
        <v>3634776.07</v>
      </c>
      <c r="P14" s="51">
        <f t="shared" si="6"/>
        <v>7.0000000000000007E-2</v>
      </c>
    </row>
    <row r="15" spans="1:18" ht="17.100000000000001" customHeight="1" x14ac:dyDescent="0.25">
      <c r="A15" s="5" t="s">
        <v>12</v>
      </c>
      <c r="B15" s="136">
        <f t="shared" si="5"/>
        <v>8</v>
      </c>
      <c r="C15" s="136" t="s">
        <v>66</v>
      </c>
      <c r="D15" s="145"/>
      <c r="E15" s="137">
        <v>3.2</v>
      </c>
      <c r="F15" s="138">
        <v>53404.08</v>
      </c>
      <c r="G15" s="138">
        <v>0</v>
      </c>
      <c r="H15" s="139">
        <f t="shared" si="7"/>
        <v>53404.08</v>
      </c>
      <c r="I15" s="139">
        <f t="shared" si="8"/>
        <v>8010.6120000000001</v>
      </c>
      <c r="J15" s="140">
        <f t="shared" si="0"/>
        <v>0</v>
      </c>
      <c r="K15" s="140">
        <f t="shared" si="1"/>
        <v>76885.8128</v>
      </c>
      <c r="L15" s="141">
        <v>0</v>
      </c>
      <c r="M15" s="142">
        <f t="shared" si="2"/>
        <v>138301.07999999999</v>
      </c>
      <c r="N15" s="143">
        <f t="shared" si="3"/>
        <v>146599.07999999999</v>
      </c>
      <c r="O15" s="144">
        <f t="shared" si="4"/>
        <v>142450.07999999999</v>
      </c>
      <c r="P15" s="51">
        <f t="shared" si="6"/>
        <v>0.08</v>
      </c>
    </row>
    <row r="16" spans="1:18" ht="17.100000000000001" customHeight="1" x14ac:dyDescent="0.25">
      <c r="A16" s="5" t="s">
        <v>12</v>
      </c>
      <c r="B16" s="152">
        <f t="shared" si="5"/>
        <v>9</v>
      </c>
      <c r="C16" s="152" t="s">
        <v>67</v>
      </c>
      <c r="D16" s="161"/>
      <c r="E16" s="153">
        <v>2.8</v>
      </c>
      <c r="F16" s="154">
        <v>2600810.09</v>
      </c>
      <c r="G16" s="154">
        <v>0</v>
      </c>
      <c r="H16" s="155">
        <f t="shared" si="7"/>
        <v>2600810.09</v>
      </c>
      <c r="I16" s="155">
        <f t="shared" si="8"/>
        <v>390121.51349999994</v>
      </c>
      <c r="J16" s="156">
        <f t="shared" si="0"/>
        <v>0</v>
      </c>
      <c r="K16" s="156">
        <f t="shared" si="1"/>
        <v>67275.086199999991</v>
      </c>
      <c r="L16" s="157">
        <v>0</v>
      </c>
      <c r="M16" s="158">
        <f t="shared" si="2"/>
        <v>3058207.09</v>
      </c>
      <c r="N16" s="159">
        <f t="shared" si="3"/>
        <v>3241700.09</v>
      </c>
      <c r="O16" s="160">
        <f t="shared" si="4"/>
        <v>3149953.09</v>
      </c>
      <c r="P16" s="51">
        <f t="shared" si="6"/>
        <v>0.09</v>
      </c>
    </row>
    <row r="17" spans="1:18" ht="17.100000000000001" customHeight="1" x14ac:dyDescent="0.25">
      <c r="A17" s="5" t="s">
        <v>13</v>
      </c>
      <c r="B17" s="69">
        <f t="shared" si="5"/>
        <v>10</v>
      </c>
      <c r="C17" s="69" t="s">
        <v>68</v>
      </c>
      <c r="D17" s="70"/>
      <c r="E17" s="128">
        <v>2.8</v>
      </c>
      <c r="F17" s="79">
        <v>46728.1</v>
      </c>
      <c r="G17" s="79" t="s">
        <v>76</v>
      </c>
      <c r="H17" s="69"/>
      <c r="I17" s="80">
        <f t="shared" si="8"/>
        <v>0</v>
      </c>
      <c r="J17" s="127">
        <f t="shared" si="0"/>
        <v>0</v>
      </c>
      <c r="K17" s="127">
        <f t="shared" si="1"/>
        <v>67275.086199999991</v>
      </c>
      <c r="L17" s="82">
        <v>0</v>
      </c>
      <c r="M17" s="83">
        <f t="shared" si="2"/>
        <v>67275.100000000006</v>
      </c>
      <c r="N17" s="84">
        <f t="shared" si="3"/>
        <v>71312.100000000006</v>
      </c>
      <c r="O17" s="79" t="s">
        <v>76</v>
      </c>
      <c r="P17" s="51">
        <f t="shared" si="6"/>
        <v>9.9999999999999992E-2</v>
      </c>
    </row>
    <row r="18" spans="1:18" ht="17.100000000000001" customHeight="1" x14ac:dyDescent="0.25">
      <c r="A18" s="5" t="s">
        <v>13</v>
      </c>
      <c r="B18" s="69">
        <f t="shared" si="5"/>
        <v>11</v>
      </c>
      <c r="C18" s="69" t="s">
        <v>69</v>
      </c>
      <c r="D18" s="70"/>
      <c r="E18" s="128">
        <v>2.8</v>
      </c>
      <c r="F18" s="79">
        <v>46728.11</v>
      </c>
      <c r="G18" s="79" t="s">
        <v>76</v>
      </c>
      <c r="H18" s="80"/>
      <c r="I18" s="80">
        <f t="shared" si="8"/>
        <v>0</v>
      </c>
      <c r="J18" s="127">
        <f t="shared" si="0"/>
        <v>0</v>
      </c>
      <c r="K18" s="127">
        <f t="shared" si="1"/>
        <v>67275.086199999991</v>
      </c>
      <c r="L18" s="82">
        <v>0</v>
      </c>
      <c r="M18" s="83">
        <f t="shared" si="2"/>
        <v>67275.11</v>
      </c>
      <c r="N18" s="84">
        <f t="shared" si="3"/>
        <v>71312.11</v>
      </c>
      <c r="O18" s="79" t="s">
        <v>76</v>
      </c>
      <c r="P18" s="51">
        <f t="shared" si="6"/>
        <v>0.10999999999999999</v>
      </c>
    </row>
    <row r="19" spans="1:18" ht="17.100000000000001" customHeight="1" x14ac:dyDescent="0.25">
      <c r="A19" s="60" t="s">
        <v>14</v>
      </c>
      <c r="B19" s="68">
        <f t="shared" si="5"/>
        <v>12</v>
      </c>
      <c r="C19" s="68" t="s">
        <v>62</v>
      </c>
      <c r="D19" s="86"/>
      <c r="E19" s="87">
        <v>2.8</v>
      </c>
      <c r="F19" s="79">
        <v>135771.12</v>
      </c>
      <c r="G19" s="173">
        <f>F19</f>
        <v>135771.12</v>
      </c>
      <c r="H19" s="96">
        <f t="shared" ref="H19:H31" si="9">F19-G19</f>
        <v>0</v>
      </c>
      <c r="I19" s="96">
        <f t="shared" si="8"/>
        <v>0</v>
      </c>
      <c r="J19" s="146">
        <f t="shared" si="0"/>
        <v>0</v>
      </c>
      <c r="K19" s="146">
        <f t="shared" si="1"/>
        <v>67275.086199999991</v>
      </c>
      <c r="L19" s="147">
        <v>0</v>
      </c>
      <c r="M19" s="148">
        <f t="shared" si="2"/>
        <v>67275.12</v>
      </c>
      <c r="N19" s="149">
        <f t="shared" si="3"/>
        <v>71312.12</v>
      </c>
      <c r="O19" s="150">
        <f t="shared" si="4"/>
        <v>69293.119999999995</v>
      </c>
      <c r="P19" s="51">
        <f t="shared" si="6"/>
        <v>0.11999999999999998</v>
      </c>
    </row>
    <row r="20" spans="1:18" ht="17.100000000000001" customHeight="1" x14ac:dyDescent="0.25">
      <c r="A20" s="60" t="s">
        <v>14</v>
      </c>
      <c r="B20" s="68">
        <f t="shared" si="5"/>
        <v>13</v>
      </c>
      <c r="C20" s="68" t="s">
        <v>70</v>
      </c>
      <c r="D20" s="86"/>
      <c r="E20" s="87">
        <v>5.0999999999999996</v>
      </c>
      <c r="F20" s="79">
        <v>1666904.13</v>
      </c>
      <c r="G20" s="173">
        <v>141029.64000000001</v>
      </c>
      <c r="H20" s="96">
        <f t="shared" si="9"/>
        <v>1525874.4899999998</v>
      </c>
      <c r="I20" s="96">
        <f t="shared" si="8"/>
        <v>228881.17349999995</v>
      </c>
      <c r="J20" s="146">
        <f t="shared" si="0"/>
        <v>0</v>
      </c>
      <c r="K20" s="146">
        <f t="shared" si="1"/>
        <v>122536.76414999999</v>
      </c>
      <c r="L20" s="147">
        <v>0</v>
      </c>
      <c r="M20" s="148">
        <f t="shared" si="2"/>
        <v>1877292.13</v>
      </c>
      <c r="N20" s="149">
        <f t="shared" si="3"/>
        <v>1989930.13</v>
      </c>
      <c r="O20" s="150">
        <f t="shared" si="4"/>
        <v>1933611.13</v>
      </c>
      <c r="P20" s="51">
        <f t="shared" si="6"/>
        <v>0.12999999999999998</v>
      </c>
      <c r="R20" t="s">
        <v>95</v>
      </c>
    </row>
    <row r="21" spans="1:18" ht="17.100000000000001" customHeight="1" x14ac:dyDescent="0.25">
      <c r="A21" s="5" t="s">
        <v>15</v>
      </c>
      <c r="B21" s="152">
        <f t="shared" si="5"/>
        <v>14</v>
      </c>
      <c r="C21" s="152" t="s">
        <v>66</v>
      </c>
      <c r="D21" s="161"/>
      <c r="E21" s="153">
        <v>2.6</v>
      </c>
      <c r="F21" s="154">
        <v>1762210.14</v>
      </c>
      <c r="G21" s="154">
        <v>0</v>
      </c>
      <c r="H21" s="155">
        <f t="shared" si="9"/>
        <v>1762210.14</v>
      </c>
      <c r="I21" s="155">
        <f t="shared" si="8"/>
        <v>264331.52099999995</v>
      </c>
      <c r="J21" s="156">
        <f t="shared" si="0"/>
        <v>0</v>
      </c>
      <c r="K21" s="156">
        <f t="shared" si="1"/>
        <v>62469.722900000001</v>
      </c>
      <c r="L21" s="157">
        <v>0</v>
      </c>
      <c r="M21" s="158">
        <f t="shared" si="2"/>
        <v>2089011.14</v>
      </c>
      <c r="N21" s="159">
        <f t="shared" si="3"/>
        <v>2214352.14</v>
      </c>
      <c r="O21" s="160">
        <f t="shared" si="4"/>
        <v>2151681.1399999997</v>
      </c>
      <c r="P21" s="51">
        <f t="shared" si="6"/>
        <v>0.13999999999999999</v>
      </c>
      <c r="R21" t="s">
        <v>94</v>
      </c>
    </row>
    <row r="22" spans="1:18" ht="17.100000000000001" customHeight="1" x14ac:dyDescent="0.25">
      <c r="A22" s="5" t="s">
        <v>15</v>
      </c>
      <c r="B22" s="68">
        <f t="shared" si="5"/>
        <v>15</v>
      </c>
      <c r="C22" s="68" t="s">
        <v>71</v>
      </c>
      <c r="D22" s="86"/>
      <c r="E22" s="87">
        <v>2.8</v>
      </c>
      <c r="F22" s="79">
        <v>492118.15</v>
      </c>
      <c r="G22" s="173">
        <f>135138.15+270000+86980</f>
        <v>492118.15</v>
      </c>
      <c r="H22" s="96">
        <f t="shared" si="9"/>
        <v>0</v>
      </c>
      <c r="I22" s="96">
        <f t="shared" si="8"/>
        <v>0</v>
      </c>
      <c r="J22" s="146">
        <f t="shared" si="0"/>
        <v>0</v>
      </c>
      <c r="K22" s="146">
        <f t="shared" si="1"/>
        <v>67275.086199999991</v>
      </c>
      <c r="L22" s="147">
        <v>0</v>
      </c>
      <c r="M22" s="148">
        <f t="shared" si="2"/>
        <v>67275.149999999994</v>
      </c>
      <c r="N22" s="149">
        <f t="shared" si="3"/>
        <v>71312.149999999994</v>
      </c>
      <c r="O22" s="150">
        <f t="shared" si="4"/>
        <v>69293.149999999994</v>
      </c>
      <c r="P22" s="51">
        <f t="shared" si="6"/>
        <v>0.15</v>
      </c>
    </row>
    <row r="23" spans="1:18" ht="17.100000000000001" customHeight="1" x14ac:dyDescent="0.25">
      <c r="A23" s="5" t="s">
        <v>16</v>
      </c>
      <c r="B23" s="68">
        <f t="shared" si="5"/>
        <v>16</v>
      </c>
      <c r="C23" s="68" t="s">
        <v>85</v>
      </c>
      <c r="D23" s="69"/>
      <c r="E23" s="128">
        <v>2.6</v>
      </c>
      <c r="F23" s="78">
        <v>-436483.84000000003</v>
      </c>
      <c r="G23" s="173">
        <v>44000</v>
      </c>
      <c r="H23" s="80">
        <f t="shared" si="9"/>
        <v>-480483.84000000003</v>
      </c>
      <c r="I23" s="80">
        <f t="shared" si="8"/>
        <v>0</v>
      </c>
      <c r="J23" s="127">
        <f t="shared" si="0"/>
        <v>0</v>
      </c>
      <c r="K23" s="127">
        <f t="shared" si="1"/>
        <v>62469.722900000001</v>
      </c>
      <c r="L23" s="82">
        <v>0</v>
      </c>
      <c r="M23" s="83">
        <f t="shared" si="2"/>
        <v>-418013.84</v>
      </c>
      <c r="N23" s="84">
        <f t="shared" si="3"/>
        <v>-443094.84</v>
      </c>
      <c r="O23" s="85">
        <f t="shared" si="4"/>
        <v>-430553.84</v>
      </c>
      <c r="P23" s="51">
        <f t="shared" si="6"/>
        <v>0.16</v>
      </c>
      <c r="R23" s="50"/>
    </row>
    <row r="24" spans="1:18" ht="17.100000000000001" customHeight="1" x14ac:dyDescent="0.25">
      <c r="A24" s="60" t="s">
        <v>16</v>
      </c>
      <c r="B24" s="152">
        <f t="shared" si="5"/>
        <v>17</v>
      </c>
      <c r="C24" s="152" t="s">
        <v>72</v>
      </c>
      <c r="D24" s="161"/>
      <c r="E24" s="153">
        <v>4.5</v>
      </c>
      <c r="F24" s="154">
        <v>2650779.17</v>
      </c>
      <c r="G24" s="154"/>
      <c r="H24" s="155">
        <f t="shared" si="9"/>
        <v>2650779.17</v>
      </c>
      <c r="I24" s="155">
        <f t="shared" si="8"/>
        <v>397616.87549999997</v>
      </c>
      <c r="J24" s="156">
        <f t="shared" si="0"/>
        <v>0</v>
      </c>
      <c r="K24" s="156">
        <f t="shared" si="1"/>
        <v>108120.67424999998</v>
      </c>
      <c r="L24" s="157">
        <v>0</v>
      </c>
      <c r="M24" s="158">
        <f t="shared" si="2"/>
        <v>3156517.17</v>
      </c>
      <c r="N24" s="159">
        <f t="shared" si="3"/>
        <v>3345908.17</v>
      </c>
      <c r="O24" s="160">
        <f t="shared" si="4"/>
        <v>3251213.17</v>
      </c>
      <c r="P24" s="51">
        <f t="shared" si="6"/>
        <v>0.17</v>
      </c>
    </row>
    <row r="25" spans="1:18" ht="17.100000000000001" customHeight="1" x14ac:dyDescent="0.25">
      <c r="A25" s="60" t="s">
        <v>17</v>
      </c>
      <c r="B25" s="68">
        <f t="shared" si="5"/>
        <v>18</v>
      </c>
      <c r="C25" s="68" t="s">
        <v>64</v>
      </c>
      <c r="D25" s="68"/>
      <c r="E25" s="87">
        <v>2.8</v>
      </c>
      <c r="F25" s="79">
        <v>46728.18</v>
      </c>
      <c r="G25" s="79">
        <v>0</v>
      </c>
      <c r="H25" s="96">
        <f t="shared" si="9"/>
        <v>46728.18</v>
      </c>
      <c r="I25" s="96">
        <f t="shared" si="8"/>
        <v>7009.2269999999999</v>
      </c>
      <c r="J25" s="146">
        <f t="shared" si="0"/>
        <v>0</v>
      </c>
      <c r="K25" s="146">
        <f t="shared" si="1"/>
        <v>67275.086199999991</v>
      </c>
      <c r="L25" s="147">
        <v>0</v>
      </c>
      <c r="M25" s="148">
        <f t="shared" si="2"/>
        <v>121012.18</v>
      </c>
      <c r="N25" s="149">
        <f t="shared" si="3"/>
        <v>128273.18</v>
      </c>
      <c r="O25" s="150">
        <f t="shared" si="4"/>
        <v>124642.18</v>
      </c>
      <c r="P25" s="51">
        <f t="shared" si="6"/>
        <v>0.18000000000000002</v>
      </c>
    </row>
    <row r="26" spans="1:18" ht="17.100000000000001" customHeight="1" x14ac:dyDescent="0.25">
      <c r="A26" s="60" t="s">
        <v>17</v>
      </c>
      <c r="B26" s="68">
        <f t="shared" si="5"/>
        <v>19</v>
      </c>
      <c r="C26" s="68" t="s">
        <v>73</v>
      </c>
      <c r="D26" s="86"/>
      <c r="E26" s="87">
        <v>2.8</v>
      </c>
      <c r="F26" s="79">
        <v>808011.19</v>
      </c>
      <c r="G26" s="79"/>
      <c r="H26" s="96">
        <f t="shared" si="9"/>
        <v>808011.19</v>
      </c>
      <c r="I26" s="96">
        <f t="shared" si="8"/>
        <v>121201.67849999998</v>
      </c>
      <c r="J26" s="146">
        <f t="shared" si="0"/>
        <v>0</v>
      </c>
      <c r="K26" s="146">
        <f t="shared" si="1"/>
        <v>67275.086199999991</v>
      </c>
      <c r="L26" s="147">
        <v>0</v>
      </c>
      <c r="M26" s="148">
        <f t="shared" si="2"/>
        <v>996488.19</v>
      </c>
      <c r="N26" s="149">
        <f t="shared" si="3"/>
        <v>1056277.19</v>
      </c>
      <c r="O26" s="150">
        <f t="shared" si="4"/>
        <v>1026383.19</v>
      </c>
      <c r="P26" s="51">
        <f t="shared" si="6"/>
        <v>0.19000000000000003</v>
      </c>
    </row>
    <row r="27" spans="1:18" ht="17.100000000000001" customHeight="1" x14ac:dyDescent="0.25">
      <c r="A27" s="60" t="s">
        <v>18</v>
      </c>
      <c r="B27" s="68">
        <f t="shared" si="5"/>
        <v>20</v>
      </c>
      <c r="C27" s="68" t="s">
        <v>62</v>
      </c>
      <c r="D27" s="68"/>
      <c r="E27" s="87">
        <v>2.8</v>
      </c>
      <c r="F27" s="79">
        <v>66771.199999999997</v>
      </c>
      <c r="G27" s="173">
        <f>F27</f>
        <v>66771.199999999997</v>
      </c>
      <c r="H27" s="96">
        <f t="shared" si="9"/>
        <v>0</v>
      </c>
      <c r="I27" s="96">
        <f t="shared" si="8"/>
        <v>0</v>
      </c>
      <c r="J27" s="146">
        <f t="shared" si="0"/>
        <v>0</v>
      </c>
      <c r="K27" s="146">
        <f t="shared" si="1"/>
        <v>67275.086199999991</v>
      </c>
      <c r="L27" s="147">
        <v>0</v>
      </c>
      <c r="M27" s="148">
        <f t="shared" si="2"/>
        <v>67275.199999999997</v>
      </c>
      <c r="N27" s="149">
        <f t="shared" si="3"/>
        <v>71312.2</v>
      </c>
      <c r="O27" s="150">
        <f t="shared" si="4"/>
        <v>69293.2</v>
      </c>
      <c r="P27" s="51">
        <f t="shared" si="6"/>
        <v>0.20000000000000004</v>
      </c>
    </row>
    <row r="28" spans="1:18" ht="17.100000000000001" customHeight="1" x14ac:dyDescent="0.25">
      <c r="A28" s="60" t="s">
        <v>19</v>
      </c>
      <c r="B28" s="152">
        <f t="shared" si="5"/>
        <v>21</v>
      </c>
      <c r="C28" s="152" t="s">
        <v>65</v>
      </c>
      <c r="D28" s="161"/>
      <c r="E28" s="153">
        <v>3</v>
      </c>
      <c r="F28" s="154">
        <v>2238784.21</v>
      </c>
      <c r="G28" s="154">
        <v>0</v>
      </c>
      <c r="H28" s="155">
        <f t="shared" si="9"/>
        <v>2238784.21</v>
      </c>
      <c r="I28" s="155">
        <f t="shared" si="8"/>
        <v>335817.63149999996</v>
      </c>
      <c r="J28" s="156">
        <f t="shared" si="0"/>
        <v>0</v>
      </c>
      <c r="K28" s="156">
        <f t="shared" si="1"/>
        <v>72080.449499999988</v>
      </c>
      <c r="L28" s="157">
        <v>0</v>
      </c>
      <c r="M28" s="158">
        <f t="shared" si="2"/>
        <v>2646682.21</v>
      </c>
      <c r="N28" s="159">
        <f t="shared" si="3"/>
        <v>2805483.21</v>
      </c>
      <c r="O28" s="160">
        <f t="shared" si="4"/>
        <v>2726082.21</v>
      </c>
      <c r="P28" s="51">
        <f t="shared" si="6"/>
        <v>0.21000000000000005</v>
      </c>
    </row>
    <row r="29" spans="1:18" ht="17.100000000000001" customHeight="1" x14ac:dyDescent="0.25">
      <c r="A29" s="60" t="s">
        <v>20</v>
      </c>
      <c r="B29" s="152">
        <f t="shared" si="5"/>
        <v>22</v>
      </c>
      <c r="C29" s="152" t="s">
        <v>65</v>
      </c>
      <c r="D29" s="161"/>
      <c r="E29" s="153">
        <v>4.0999999999999996</v>
      </c>
      <c r="F29" s="154">
        <v>3059672.22</v>
      </c>
      <c r="G29" s="154">
        <v>0</v>
      </c>
      <c r="H29" s="155">
        <f t="shared" si="9"/>
        <v>3059672.22</v>
      </c>
      <c r="I29" s="155">
        <f t="shared" si="8"/>
        <v>458950.83300000004</v>
      </c>
      <c r="J29" s="156">
        <f t="shared" si="0"/>
        <v>0</v>
      </c>
      <c r="K29" s="156">
        <f t="shared" si="1"/>
        <v>98509.947649999987</v>
      </c>
      <c r="L29" s="157">
        <v>0</v>
      </c>
      <c r="M29" s="158">
        <f t="shared" si="2"/>
        <v>3617133.22</v>
      </c>
      <c r="N29" s="159">
        <f t="shared" si="3"/>
        <v>3834161.22</v>
      </c>
      <c r="O29" s="160">
        <f t="shared" si="4"/>
        <v>3725647.22</v>
      </c>
      <c r="P29" s="51">
        <f t="shared" si="6"/>
        <v>0.22000000000000006</v>
      </c>
    </row>
    <row r="30" spans="1:18" ht="17.100000000000001" customHeight="1" x14ac:dyDescent="0.25">
      <c r="A30" s="5" t="s">
        <v>21</v>
      </c>
      <c r="B30" s="69">
        <f t="shared" si="5"/>
        <v>23</v>
      </c>
      <c r="C30" s="69" t="s">
        <v>74</v>
      </c>
      <c r="D30" s="70"/>
      <c r="E30" s="128">
        <v>5.0999999999999996</v>
      </c>
      <c r="F30" s="78">
        <v>1558208.23</v>
      </c>
      <c r="G30" s="79"/>
      <c r="H30" s="80">
        <f t="shared" si="9"/>
        <v>1558208.23</v>
      </c>
      <c r="I30" s="80">
        <f t="shared" si="8"/>
        <v>233731.23449999999</v>
      </c>
      <c r="J30" s="127">
        <f t="shared" si="0"/>
        <v>0</v>
      </c>
      <c r="K30" s="127">
        <f t="shared" si="1"/>
        <v>122536.76414999999</v>
      </c>
      <c r="L30" s="82">
        <v>0</v>
      </c>
      <c r="M30" s="83">
        <f t="shared" si="2"/>
        <v>1914476.23</v>
      </c>
      <c r="N30" s="84">
        <f t="shared" si="3"/>
        <v>2029345.23</v>
      </c>
      <c r="O30" s="85">
        <f t="shared" si="4"/>
        <v>1971910.23</v>
      </c>
      <c r="P30" s="51">
        <f t="shared" si="6"/>
        <v>0.23000000000000007</v>
      </c>
    </row>
    <row r="31" spans="1:18" ht="17.100000000000001" customHeight="1" x14ac:dyDescent="0.25">
      <c r="A31" s="5" t="s">
        <v>24</v>
      </c>
      <c r="B31" s="152">
        <f t="shared" si="5"/>
        <v>24</v>
      </c>
      <c r="C31" s="152" t="s">
        <v>65</v>
      </c>
      <c r="D31" s="161"/>
      <c r="E31" s="153">
        <v>5.9</v>
      </c>
      <c r="F31" s="154">
        <v>4402941.24</v>
      </c>
      <c r="G31" s="154">
        <v>0</v>
      </c>
      <c r="H31" s="155">
        <f t="shared" si="9"/>
        <v>4402941.24</v>
      </c>
      <c r="I31" s="155">
        <f t="shared" si="8"/>
        <v>660441.18599999999</v>
      </c>
      <c r="J31" s="156">
        <f t="shared" si="0"/>
        <v>0</v>
      </c>
      <c r="K31" s="156">
        <f t="shared" si="1"/>
        <v>141758.21734999999</v>
      </c>
      <c r="L31" s="157">
        <v>0</v>
      </c>
      <c r="M31" s="158">
        <f t="shared" si="2"/>
        <v>5205141.24</v>
      </c>
      <c r="N31" s="159">
        <f t="shared" si="3"/>
        <v>5517450.2400000002</v>
      </c>
      <c r="O31" s="160">
        <f t="shared" si="4"/>
        <v>5361295.24</v>
      </c>
      <c r="P31" s="51">
        <f t="shared" si="6"/>
        <v>0.24000000000000007</v>
      </c>
    </row>
    <row r="32" spans="1:18" ht="17.100000000000001" customHeight="1" x14ac:dyDescent="0.25">
      <c r="A32" s="5" t="s">
        <v>24</v>
      </c>
      <c r="B32" s="69">
        <f t="shared" si="5"/>
        <v>25</v>
      </c>
      <c r="C32" s="69" t="s">
        <v>75</v>
      </c>
      <c r="D32" s="69"/>
      <c r="E32" s="128">
        <v>5.5</v>
      </c>
      <c r="F32" s="79">
        <v>91788.25</v>
      </c>
      <c r="G32" s="79" t="s">
        <v>76</v>
      </c>
      <c r="H32" s="80"/>
      <c r="I32" s="80">
        <f t="shared" si="8"/>
        <v>0</v>
      </c>
      <c r="J32" s="127">
        <f t="shared" si="0"/>
        <v>0</v>
      </c>
      <c r="K32" s="127">
        <f t="shared" si="1"/>
        <v>132147.49075</v>
      </c>
      <c r="L32" s="82">
        <v>0</v>
      </c>
      <c r="M32" s="131">
        <f t="shared" si="2"/>
        <v>132147.25</v>
      </c>
      <c r="N32" s="132">
        <f t="shared" si="3"/>
        <v>140076.25</v>
      </c>
      <c r="O32" s="79" t="s">
        <v>76</v>
      </c>
      <c r="P32" s="51">
        <f t="shared" si="6"/>
        <v>0.25000000000000006</v>
      </c>
    </row>
    <row r="33" spans="1:17" ht="17.100000000000001" customHeight="1" x14ac:dyDescent="0.25">
      <c r="A33" s="5" t="s">
        <v>24</v>
      </c>
      <c r="B33" s="152">
        <f t="shared" si="5"/>
        <v>26</v>
      </c>
      <c r="C33" s="152" t="s">
        <v>67</v>
      </c>
      <c r="D33" s="152"/>
      <c r="E33" s="153">
        <v>6.1</v>
      </c>
      <c r="F33" s="154">
        <v>4898539.26</v>
      </c>
      <c r="G33" s="154">
        <v>0</v>
      </c>
      <c r="H33" s="155">
        <f>F33-G33</f>
        <v>4898539.26</v>
      </c>
      <c r="I33" s="155">
        <f t="shared" si="8"/>
        <v>734780.88899999997</v>
      </c>
      <c r="J33" s="156">
        <f t="shared" si="0"/>
        <v>0</v>
      </c>
      <c r="K33" s="156">
        <f t="shared" si="1"/>
        <v>146563.58064999999</v>
      </c>
      <c r="L33" s="157">
        <v>0</v>
      </c>
      <c r="M33" s="158">
        <f t="shared" si="2"/>
        <v>5779884.2599999998</v>
      </c>
      <c r="N33" s="159">
        <f t="shared" si="3"/>
        <v>6126677.2599999998</v>
      </c>
      <c r="O33" s="160">
        <f t="shared" si="4"/>
        <v>5953281.2599999998</v>
      </c>
      <c r="P33" s="129">
        <f t="shared" si="6"/>
        <v>0.26000000000000006</v>
      </c>
      <c r="Q33" s="130"/>
    </row>
    <row r="34" spans="1:17" ht="17.100000000000001" customHeight="1" thickBot="1" x14ac:dyDescent="0.3">
      <c r="A34" s="5" t="s">
        <v>24</v>
      </c>
      <c r="B34" s="69"/>
      <c r="C34" s="69"/>
      <c r="D34" s="70"/>
      <c r="E34" s="77"/>
      <c r="F34" s="78"/>
      <c r="G34" s="79"/>
      <c r="H34" s="80"/>
      <c r="I34" s="80"/>
      <c r="J34" s="81"/>
      <c r="K34" s="81"/>
      <c r="L34" s="82"/>
      <c r="M34" s="83"/>
      <c r="N34" s="84"/>
      <c r="O34" s="85"/>
      <c r="P34" s="51"/>
    </row>
    <row r="35" spans="1:17" ht="17.100000000000001" customHeight="1" thickBot="1" x14ac:dyDescent="0.3">
      <c r="B35" s="88"/>
      <c r="C35" s="89"/>
      <c r="D35" s="89"/>
      <c r="E35" s="90">
        <f>SUM(E8:E34)</f>
        <v>99.999999999999972</v>
      </c>
      <c r="F35" s="61">
        <f>SUM(F8:F34)</f>
        <v>28481663.509999998</v>
      </c>
      <c r="G35" s="66">
        <f>SUM(G8:G34)</f>
        <v>1111121.19</v>
      </c>
      <c r="H35" s="66">
        <f>SUM(H8:H33)</f>
        <v>27185297.859999992</v>
      </c>
      <c r="I35" s="66"/>
      <c r="J35" s="66">
        <f t="shared" ref="J35:O35" si="10">SUM(J8:J34)</f>
        <v>0</v>
      </c>
      <c r="K35" s="61">
        <f t="shared" si="10"/>
        <v>2402681.6499999994</v>
      </c>
      <c r="L35" s="66">
        <f t="shared" si="10"/>
        <v>0</v>
      </c>
      <c r="M35" s="91">
        <f t="shared" si="10"/>
        <v>33952743.509999998</v>
      </c>
      <c r="N35" s="91">
        <f t="shared" si="10"/>
        <v>35989913.509999998</v>
      </c>
      <c r="O35" s="91">
        <f t="shared" si="10"/>
        <v>34696627.049999997</v>
      </c>
    </row>
    <row r="36" spans="1:17" ht="12.75" customHeight="1" x14ac:dyDescent="0.25">
      <c r="C36" s="58"/>
      <c r="D36" s="58"/>
    </row>
    <row r="37" spans="1:17" hidden="1" x14ac:dyDescent="0.25"/>
    <row r="38" spans="1:17" ht="9" customHeight="1" x14ac:dyDescent="0.25">
      <c r="C38" s="205" t="s">
        <v>91</v>
      </c>
      <c r="D38" s="205"/>
      <c r="E38" s="205"/>
      <c r="F38" s="205"/>
      <c r="G38" s="205"/>
      <c r="H38" s="205"/>
      <c r="I38" s="205"/>
      <c r="J38" s="205"/>
      <c r="K38" s="205"/>
      <c r="L38" s="205"/>
      <c r="M38" s="205"/>
    </row>
    <row r="39" spans="1:17" ht="12" hidden="1" customHeight="1" x14ac:dyDescent="0.25">
      <c r="C39" s="205"/>
      <c r="D39" s="205"/>
      <c r="E39" s="205"/>
      <c r="F39" s="205"/>
      <c r="G39" s="205"/>
      <c r="H39" s="205"/>
      <c r="I39" s="205"/>
      <c r="J39" s="205"/>
      <c r="K39" s="205"/>
      <c r="L39" s="205"/>
      <c r="M39" s="205"/>
    </row>
    <row r="40" spans="1:17" ht="12" hidden="1" customHeight="1" x14ac:dyDescent="0.25">
      <c r="C40" s="205"/>
      <c r="D40" s="205"/>
      <c r="E40" s="205"/>
      <c r="F40" s="205"/>
      <c r="G40" s="205"/>
      <c r="H40" s="205"/>
      <c r="I40" s="205"/>
      <c r="J40" s="205"/>
      <c r="K40" s="205"/>
      <c r="L40" s="205"/>
      <c r="M40" s="205"/>
    </row>
    <row r="41" spans="1:17" ht="12" hidden="1" customHeight="1" x14ac:dyDescent="0.25">
      <c r="C41" s="205"/>
      <c r="D41" s="205"/>
      <c r="E41" s="205"/>
      <c r="F41" s="205"/>
      <c r="G41" s="205"/>
      <c r="H41" s="205"/>
      <c r="I41" s="205"/>
      <c r="J41" s="205"/>
      <c r="K41" s="205"/>
      <c r="L41" s="205"/>
      <c r="M41" s="205"/>
    </row>
    <row r="42" spans="1:17" ht="12" hidden="1" customHeight="1" x14ac:dyDescent="0.25">
      <c r="C42" s="205"/>
      <c r="D42" s="205"/>
      <c r="E42" s="205"/>
      <c r="F42" s="205"/>
      <c r="G42" s="205"/>
      <c r="H42" s="205"/>
      <c r="I42" s="205"/>
      <c r="J42" s="205"/>
      <c r="K42" s="205"/>
      <c r="L42" s="205"/>
      <c r="M42" s="205"/>
    </row>
    <row r="43" spans="1:17" ht="70.5" customHeight="1" x14ac:dyDescent="0.25">
      <c r="C43" s="205"/>
      <c r="D43" s="205"/>
      <c r="E43" s="205"/>
      <c r="F43" s="205"/>
      <c r="G43" s="205"/>
      <c r="H43" s="205"/>
      <c r="I43" s="205"/>
      <c r="J43" s="205"/>
      <c r="K43" s="205"/>
      <c r="L43" s="205"/>
      <c r="M43" s="205"/>
    </row>
  </sheetData>
  <mergeCells count="19">
    <mergeCell ref="C38:M43"/>
    <mergeCell ref="D6:D7"/>
    <mergeCell ref="N6:N7"/>
    <mergeCell ref="J6:J7"/>
    <mergeCell ref="K6:K7"/>
    <mergeCell ref="L6:L7"/>
    <mergeCell ref="I6:I7"/>
    <mergeCell ref="G6:G7"/>
    <mergeCell ref="H6:H7"/>
    <mergeCell ref="C1:F4"/>
    <mergeCell ref="L3:M3"/>
    <mergeCell ref="L4:M4"/>
    <mergeCell ref="A6:A7"/>
    <mergeCell ref="B6:B7"/>
    <mergeCell ref="C6:C7"/>
    <mergeCell ref="E6:E7"/>
    <mergeCell ref="F6:F7"/>
    <mergeCell ref="A5:O5"/>
    <mergeCell ref="O6:O7"/>
  </mergeCells>
  <pageMargins left="0.25" right="0.25" top="0.75" bottom="0.75" header="0.3" footer="0.3"/>
  <pageSetup paperSize="3"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5B88-8B45-4057-AF50-E99CF1B30302}">
  <dimension ref="C6"/>
  <sheetViews>
    <sheetView workbookViewId="0">
      <selection activeCell="C7" sqref="C7"/>
    </sheetView>
  </sheetViews>
  <sheetFormatPr baseColWidth="10" defaultRowHeight="15" x14ac:dyDescent="0.25"/>
  <sheetData>
    <row r="6" spans="3:3" x14ac:dyDescent="0.25">
      <c r="C6" s="171" t="s">
        <v>103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2026-09-02T13:41:06Z</cp:lastPrinted>
  <dcterms:created xsi:type="dcterms:W3CDTF">2023-09-17T12:29:07Z</dcterms:created>
  <dcterms:modified xsi:type="dcterms:W3CDTF">2026-09-02T13:42:23Z</dcterms:modified>
</cp:coreProperties>
</file>