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\Desktop\rc-consorcio2025\2026\GALERIA\desgloses quiroga\"/>
    </mc:Choice>
  </mc:AlternateContent>
  <xr:revisionPtr revIDLastSave="0" documentId="13_ncr:1_{9C2C9E9C-ADFB-4652-9D1A-9869DAFAF1C7}" xr6:coauthVersionLast="47" xr6:coauthVersionMax="47" xr10:uidLastSave="{00000000-0000-0000-0000-000000000000}"/>
  <bookViews>
    <workbookView xWindow="-108" yWindow="-108" windowWidth="23256" windowHeight="12576" xr2:uid="{8F1AF50A-3D5A-4AA7-9C02-0BC7EBCDB2F5}"/>
  </bookViews>
  <sheets>
    <sheet name="Hoja1" sheetId="1" r:id="rId1"/>
  </sheets>
  <definedNames>
    <definedName name="_xlnm.Print_Area" localSheetId="0">Hoja1!$Y$4:$AC$177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7" i="1" l="1"/>
  <c r="O109" i="1"/>
  <c r="O94" i="1"/>
  <c r="AC82" i="1"/>
  <c r="AB174" i="1"/>
  <c r="Y174" i="1"/>
  <c r="R174" i="1"/>
  <c r="U174" i="1"/>
  <c r="N174" i="1"/>
  <c r="K174" i="1"/>
  <c r="Z172" i="1"/>
  <c r="S172" i="1"/>
  <c r="L172" i="1"/>
  <c r="E172" i="1"/>
  <c r="Z169" i="1" l="1"/>
  <c r="S169" i="1"/>
  <c r="L169" i="1"/>
  <c r="E169" i="1"/>
  <c r="Z160" i="1" l="1"/>
  <c r="S160" i="1"/>
  <c r="L160" i="1"/>
  <c r="E160" i="1"/>
  <c r="Z157" i="1" l="1"/>
  <c r="S157" i="1"/>
  <c r="L157" i="1"/>
  <c r="V141" i="1" l="1"/>
  <c r="AC46" i="1"/>
  <c r="AC43" i="1"/>
  <c r="AC40" i="1"/>
  <c r="AC37" i="1"/>
  <c r="V46" i="1"/>
  <c r="V43" i="1"/>
  <c r="V40" i="1"/>
  <c r="V37" i="1"/>
  <c r="O46" i="1"/>
  <c r="O43" i="1"/>
  <c r="O40" i="1"/>
  <c r="O37" i="1"/>
  <c r="H46" i="1"/>
  <c r="H43" i="1"/>
  <c r="H40" i="1"/>
  <c r="H37" i="1"/>
  <c r="AC34" i="1"/>
  <c r="V34" i="1"/>
  <c r="O34" i="1"/>
  <c r="H34" i="1"/>
  <c r="AC31" i="1"/>
  <c r="V31" i="1"/>
  <c r="O31" i="1"/>
  <c r="H31" i="1"/>
  <c r="AC28" i="1"/>
  <c r="V28" i="1"/>
  <c r="O28" i="1"/>
  <c r="H28" i="1"/>
  <c r="AC25" i="1"/>
  <c r="V25" i="1"/>
  <c r="O25" i="1"/>
  <c r="H25" i="1"/>
  <c r="AC22" i="1"/>
  <c r="V22" i="1"/>
  <c r="O22" i="1"/>
  <c r="H22" i="1"/>
  <c r="AC19" i="1"/>
  <c r="V19" i="1"/>
  <c r="O19" i="1"/>
  <c r="H19" i="1"/>
  <c r="AC16" i="1"/>
  <c r="V16" i="1"/>
  <c r="O16" i="1"/>
  <c r="H16" i="1"/>
  <c r="AC13" i="1"/>
  <c r="V13" i="1"/>
  <c r="O13" i="1"/>
  <c r="H13" i="1"/>
  <c r="Y10" i="1"/>
  <c r="Y13" i="1" s="1"/>
  <c r="Y16" i="1" s="1"/>
  <c r="Y19" i="1" s="1"/>
  <c r="Y22" i="1" s="1"/>
  <c r="Y25" i="1" s="1"/>
  <c r="Y28" i="1" s="1"/>
  <c r="Y31" i="1" s="1"/>
  <c r="Y34" i="1" s="1"/>
  <c r="Y37" i="1" s="1"/>
  <c r="Y40" i="1" s="1"/>
  <c r="Y43" i="1" s="1"/>
  <c r="Y46" i="1" s="1"/>
  <c r="R10" i="1"/>
  <c r="R13" i="1" s="1"/>
  <c r="R16" i="1" s="1"/>
  <c r="R19" i="1" s="1"/>
  <c r="R22" i="1" s="1"/>
  <c r="R25" i="1" s="1"/>
  <c r="R28" i="1" s="1"/>
  <c r="R31" i="1" s="1"/>
  <c r="R34" i="1" s="1"/>
  <c r="R37" i="1" s="1"/>
  <c r="R40" i="1" s="1"/>
  <c r="R43" i="1" s="1"/>
  <c r="R46" i="1" s="1"/>
  <c r="K10" i="1"/>
  <c r="K13" i="1" s="1"/>
  <c r="K16" i="1" s="1"/>
  <c r="K19" i="1" s="1"/>
  <c r="K22" i="1" s="1"/>
  <c r="K25" i="1" s="1"/>
  <c r="K28" i="1" s="1"/>
  <c r="K31" i="1" s="1"/>
  <c r="K34" i="1" s="1"/>
  <c r="K37" i="1" s="1"/>
  <c r="K40" i="1" s="1"/>
  <c r="K43" i="1" s="1"/>
  <c r="K46" i="1" s="1"/>
  <c r="AC10" i="1"/>
  <c r="V10" i="1"/>
  <c r="O10" i="1"/>
  <c r="D10" i="1"/>
  <c r="D13" i="1" s="1"/>
  <c r="D16" i="1" s="1"/>
  <c r="D19" i="1" s="1"/>
  <c r="D22" i="1" s="1"/>
  <c r="D25" i="1" s="1"/>
  <c r="D28" i="1" s="1"/>
  <c r="D31" i="1" s="1"/>
  <c r="D34" i="1" s="1"/>
  <c r="D37" i="1" s="1"/>
  <c r="D40" i="1" s="1"/>
  <c r="D43" i="1" s="1"/>
  <c r="D46" i="1" s="1"/>
  <c r="H10" i="1"/>
  <c r="AC7" i="1"/>
  <c r="V7" i="1"/>
  <c r="O7" i="1"/>
  <c r="H7" i="1"/>
  <c r="V88" i="1"/>
  <c r="V63" i="1"/>
  <c r="V66" i="1" s="1"/>
  <c r="V69" i="1" s="1"/>
  <c r="V72" i="1" s="1"/>
  <c r="V75" i="1" s="1"/>
  <c r="V78" i="1" s="1"/>
  <c r="V81" i="1" s="1"/>
  <c r="V84" i="1" s="1"/>
  <c r="V87" i="1" s="1"/>
  <c r="V90" i="1" s="1"/>
  <c r="V93" i="1" s="1"/>
  <c r="V96" i="1" s="1"/>
  <c r="V99" i="1" s="1"/>
  <c r="V102" i="1" s="1"/>
  <c r="V105" i="1" s="1"/>
  <c r="V108" i="1" s="1"/>
  <c r="V111" i="1" s="1"/>
  <c r="V114" i="1" s="1"/>
  <c r="V117" i="1" s="1"/>
  <c r="V120" i="1" s="1"/>
  <c r="V123" i="1" s="1"/>
  <c r="V126" i="1" s="1"/>
  <c r="V129" i="1" s="1"/>
  <c r="V132" i="1" s="1"/>
  <c r="AC172" i="1"/>
  <c r="AC169" i="1"/>
  <c r="AC166" i="1"/>
  <c r="AC163" i="1"/>
  <c r="AC160" i="1"/>
  <c r="AC157" i="1"/>
  <c r="AC154" i="1"/>
  <c r="AC151" i="1"/>
  <c r="AC148" i="1"/>
  <c r="Y148" i="1"/>
  <c r="Y151" i="1" s="1"/>
  <c r="Y154" i="1" s="1"/>
  <c r="Y157" i="1" s="1"/>
  <c r="Y160" i="1" s="1"/>
  <c r="Y163" i="1" s="1"/>
  <c r="Y166" i="1" s="1"/>
  <c r="Y169" i="1" s="1"/>
  <c r="Y172" i="1" s="1"/>
  <c r="AC145" i="1"/>
  <c r="AC142" i="1"/>
  <c r="AC133" i="1"/>
  <c r="AC130" i="1"/>
  <c r="AC127" i="1"/>
  <c r="AC124" i="1"/>
  <c r="AC121" i="1"/>
  <c r="AC118" i="1"/>
  <c r="AC115" i="1"/>
  <c r="AC112" i="1"/>
  <c r="AC109" i="1"/>
  <c r="AC106" i="1"/>
  <c r="AC103" i="1"/>
  <c r="AC100" i="1"/>
  <c r="AC97" i="1"/>
  <c r="AC94" i="1"/>
  <c r="AC91" i="1"/>
  <c r="AC88" i="1"/>
  <c r="AC85" i="1"/>
  <c r="AC79" i="1"/>
  <c r="AC76" i="1"/>
  <c r="AC73" i="1"/>
  <c r="AC70" i="1"/>
  <c r="AC67" i="1"/>
  <c r="AC64" i="1"/>
  <c r="AC61" i="1"/>
  <c r="AC58" i="1"/>
  <c r="AC55" i="1"/>
  <c r="AC52" i="1"/>
  <c r="Y52" i="1"/>
  <c r="Y55" i="1" s="1"/>
  <c r="Y58" i="1" s="1"/>
  <c r="Y61" i="1" s="1"/>
  <c r="Y64" i="1" s="1"/>
  <c r="Y67" i="1" s="1"/>
  <c r="Y70" i="1" s="1"/>
  <c r="Y73" i="1" s="1"/>
  <c r="Y76" i="1" s="1"/>
  <c r="Y79" i="1" s="1"/>
  <c r="Y82" i="1" s="1"/>
  <c r="Y85" i="1" s="1"/>
  <c r="Y88" i="1" s="1"/>
  <c r="Y91" i="1" s="1"/>
  <c r="Y94" i="1" s="1"/>
  <c r="Y97" i="1" s="1"/>
  <c r="Y100" i="1" s="1"/>
  <c r="Y103" i="1" s="1"/>
  <c r="Y106" i="1" s="1"/>
  <c r="Y109" i="1" s="1"/>
  <c r="Y112" i="1" s="1"/>
  <c r="Y115" i="1" s="1"/>
  <c r="Y118" i="1" s="1"/>
  <c r="Y121" i="1" s="1"/>
  <c r="Y124" i="1" s="1"/>
  <c r="Y127" i="1" s="1"/>
  <c r="Y130" i="1" s="1"/>
  <c r="Y133" i="1" s="1"/>
  <c r="Y136" i="1" s="1"/>
  <c r="Y139" i="1" s="1"/>
  <c r="AC49" i="1"/>
  <c r="V144" i="1" l="1"/>
  <c r="V147" i="1" s="1"/>
  <c r="V150" i="1" s="1"/>
  <c r="V153" i="1" s="1"/>
  <c r="V156" i="1" s="1"/>
  <c r="V159" i="1" s="1"/>
  <c r="V162" i="1" s="1"/>
  <c r="V165" i="1" s="1"/>
  <c r="V168" i="1" s="1"/>
  <c r="V172" i="1"/>
  <c r="V169" i="1"/>
  <c r="V166" i="1"/>
  <c r="V163" i="1"/>
  <c r="V160" i="1"/>
  <c r="V157" i="1"/>
  <c r="V154" i="1"/>
  <c r="V151" i="1"/>
  <c r="V148" i="1"/>
  <c r="R148" i="1"/>
  <c r="R151" i="1" s="1"/>
  <c r="R154" i="1" s="1"/>
  <c r="R157" i="1" s="1"/>
  <c r="R160" i="1" s="1"/>
  <c r="R163" i="1" s="1"/>
  <c r="R166" i="1" s="1"/>
  <c r="R169" i="1" s="1"/>
  <c r="R172" i="1" s="1"/>
  <c r="V145" i="1"/>
  <c r="V142" i="1"/>
  <c r="V133" i="1"/>
  <c r="V130" i="1"/>
  <c r="V127" i="1"/>
  <c r="V124" i="1"/>
  <c r="V121" i="1"/>
  <c r="V118" i="1"/>
  <c r="V115" i="1"/>
  <c r="V112" i="1"/>
  <c r="V109" i="1"/>
  <c r="V106" i="1"/>
  <c r="V103" i="1"/>
  <c r="V100" i="1"/>
  <c r="V97" i="1"/>
  <c r="V94" i="1"/>
  <c r="V91" i="1"/>
  <c r="V85" i="1"/>
  <c r="V82" i="1"/>
  <c r="V79" i="1"/>
  <c r="V76" i="1"/>
  <c r="V73" i="1"/>
  <c r="V70" i="1"/>
  <c r="V67" i="1"/>
  <c r="V64" i="1"/>
  <c r="V61" i="1"/>
  <c r="V58" i="1"/>
  <c r="V55" i="1"/>
  <c r="V52" i="1"/>
  <c r="R52" i="1"/>
  <c r="R55" i="1" s="1"/>
  <c r="R58" i="1" s="1"/>
  <c r="R61" i="1" s="1"/>
  <c r="R64" i="1" s="1"/>
  <c r="R67" i="1" s="1"/>
  <c r="R70" i="1" s="1"/>
  <c r="R73" i="1" s="1"/>
  <c r="R76" i="1" s="1"/>
  <c r="R79" i="1" s="1"/>
  <c r="R82" i="1" s="1"/>
  <c r="R85" i="1" s="1"/>
  <c r="R88" i="1" s="1"/>
  <c r="R91" i="1" s="1"/>
  <c r="R94" i="1" s="1"/>
  <c r="R97" i="1" s="1"/>
  <c r="R100" i="1" s="1"/>
  <c r="R103" i="1" s="1"/>
  <c r="R106" i="1" s="1"/>
  <c r="R109" i="1" s="1"/>
  <c r="R112" i="1" s="1"/>
  <c r="R115" i="1" s="1"/>
  <c r="R118" i="1" s="1"/>
  <c r="R121" i="1" s="1"/>
  <c r="R124" i="1" s="1"/>
  <c r="R127" i="1" s="1"/>
  <c r="R130" i="1" s="1"/>
  <c r="R133" i="1" s="1"/>
  <c r="R136" i="1" s="1"/>
  <c r="R139" i="1" s="1"/>
  <c r="V49" i="1"/>
  <c r="AB177" i="1" l="1"/>
  <c r="U177" i="1"/>
  <c r="O172" i="1"/>
  <c r="O169" i="1"/>
  <c r="O166" i="1"/>
  <c r="O163" i="1"/>
  <c r="O160" i="1"/>
  <c r="O157" i="1"/>
  <c r="O154" i="1"/>
  <c r="O151" i="1"/>
  <c r="O148" i="1"/>
  <c r="K148" i="1"/>
  <c r="K151" i="1" s="1"/>
  <c r="K154" i="1" s="1"/>
  <c r="K157" i="1" s="1"/>
  <c r="K160" i="1" s="1"/>
  <c r="K163" i="1" s="1"/>
  <c r="K166" i="1" s="1"/>
  <c r="K169" i="1" s="1"/>
  <c r="K172" i="1" s="1"/>
  <c r="O145" i="1"/>
  <c r="O142" i="1"/>
  <c r="O133" i="1"/>
  <c r="O130" i="1"/>
  <c r="O127" i="1"/>
  <c r="O124" i="1"/>
  <c r="O121" i="1"/>
  <c r="O118" i="1"/>
  <c r="O115" i="1"/>
  <c r="O112" i="1"/>
  <c r="O106" i="1"/>
  <c r="O103" i="1"/>
  <c r="O100" i="1"/>
  <c r="O97" i="1"/>
  <c r="O91" i="1"/>
  <c r="O88" i="1"/>
  <c r="O85" i="1"/>
  <c r="O82" i="1"/>
  <c r="O79" i="1"/>
  <c r="O76" i="1"/>
  <c r="O73" i="1"/>
  <c r="O70" i="1"/>
  <c r="O67" i="1"/>
  <c r="O64" i="1"/>
  <c r="O61" i="1"/>
  <c r="O58" i="1"/>
  <c r="O55" i="1"/>
  <c r="O52" i="1"/>
  <c r="K52" i="1"/>
  <c r="K55" i="1" s="1"/>
  <c r="K58" i="1" s="1"/>
  <c r="K61" i="1" s="1"/>
  <c r="K64" i="1" s="1"/>
  <c r="K67" i="1" s="1"/>
  <c r="K70" i="1" s="1"/>
  <c r="K73" i="1" s="1"/>
  <c r="K76" i="1" s="1"/>
  <c r="K79" i="1" s="1"/>
  <c r="K82" i="1" s="1"/>
  <c r="K85" i="1" s="1"/>
  <c r="K88" i="1" s="1"/>
  <c r="K91" i="1" s="1"/>
  <c r="K94" i="1" s="1"/>
  <c r="K97" i="1" s="1"/>
  <c r="K100" i="1" s="1"/>
  <c r="K103" i="1" s="1"/>
  <c r="K106" i="1" s="1"/>
  <c r="K109" i="1" s="1"/>
  <c r="K112" i="1" s="1"/>
  <c r="K115" i="1" s="1"/>
  <c r="K118" i="1" s="1"/>
  <c r="K121" i="1" s="1"/>
  <c r="K124" i="1" s="1"/>
  <c r="K127" i="1" s="1"/>
  <c r="K130" i="1" s="1"/>
  <c r="K133" i="1" s="1"/>
  <c r="K136" i="1" s="1"/>
  <c r="K139" i="1" s="1"/>
  <c r="O49" i="1"/>
  <c r="N177" i="1" l="1"/>
  <c r="H172" i="1" l="1"/>
  <c r="H169" i="1"/>
  <c r="H166" i="1"/>
  <c r="H163" i="1"/>
  <c r="H160" i="1" l="1"/>
  <c r="H157" i="1" l="1"/>
  <c r="H154" i="1"/>
  <c r="H151" i="1"/>
  <c r="H148" i="1"/>
  <c r="H145" i="1"/>
  <c r="H133" i="1"/>
  <c r="H130" i="1"/>
  <c r="H127" i="1"/>
  <c r="H124" i="1"/>
  <c r="H121" i="1"/>
  <c r="H118" i="1"/>
  <c r="H115" i="1"/>
  <c r="H112" i="1"/>
  <c r="H109" i="1"/>
  <c r="H106" i="1"/>
  <c r="H103" i="1"/>
  <c r="H100" i="1"/>
  <c r="H97" i="1"/>
  <c r="H94" i="1"/>
  <c r="H91" i="1"/>
  <c r="H88" i="1"/>
  <c r="H85" i="1"/>
  <c r="H82" i="1"/>
  <c r="H79" i="1"/>
  <c r="H76" i="1"/>
  <c r="H73" i="1"/>
  <c r="H70" i="1"/>
  <c r="H64" i="1"/>
  <c r="H61" i="1"/>
  <c r="H58" i="1"/>
  <c r="H55" i="1"/>
  <c r="H52" i="1"/>
  <c r="H49" i="1"/>
  <c r="D174" i="1" l="1"/>
  <c r="H142" i="1" l="1"/>
  <c r="G174" i="1" s="1"/>
  <c r="D52" i="1"/>
  <c r="D55" i="1" s="1"/>
  <c r="D58" i="1" s="1"/>
  <c r="D61" i="1" s="1"/>
  <c r="D64" i="1" s="1"/>
  <c r="D67" i="1" s="1"/>
  <c r="D70" i="1" s="1"/>
  <c r="D73" i="1" s="1"/>
  <c r="D76" i="1" s="1"/>
  <c r="D79" i="1" s="1"/>
  <c r="D82" i="1" s="1"/>
  <c r="D85" i="1" s="1"/>
  <c r="D88" i="1" s="1"/>
  <c r="D91" i="1" s="1"/>
  <c r="D94" i="1" s="1"/>
  <c r="D97" i="1" s="1"/>
  <c r="D100" i="1" s="1"/>
  <c r="D103" i="1" s="1"/>
  <c r="D106" i="1" s="1"/>
  <c r="D109" i="1" s="1"/>
  <c r="D112" i="1" s="1"/>
  <c r="D115" i="1" s="1"/>
  <c r="D118" i="1" s="1"/>
  <c r="D121" i="1" s="1"/>
  <c r="D124" i="1" s="1"/>
  <c r="D127" i="1" s="1"/>
  <c r="D130" i="1" s="1"/>
  <c r="D133" i="1" s="1"/>
  <c r="D136" i="1" s="1"/>
  <c r="D139" i="1" s="1"/>
  <c r="D148" i="1" s="1"/>
  <c r="D151" i="1" s="1"/>
  <c r="D154" i="1" s="1"/>
  <c r="D157" i="1" s="1"/>
  <c r="D160" i="1" s="1"/>
  <c r="D163" i="1" s="1"/>
  <c r="D166" i="1" s="1"/>
  <c r="D169" i="1" s="1"/>
  <c r="D172" i="1" s="1"/>
  <c r="G177" i="1" l="1"/>
</calcChain>
</file>

<file path=xl/sharedStrings.xml><?xml version="1.0" encoding="utf-8"?>
<sst xmlns="http://schemas.openxmlformats.org/spreadsheetml/2006/main" count="657" uniqueCount="11">
  <si>
    <t>Mes:</t>
  </si>
  <si>
    <t>Expensas:</t>
  </si>
  <si>
    <t>Expensas Extra.</t>
  </si>
  <si>
    <t>TOTAL EXPENSAS</t>
  </si>
  <si>
    <t>TOTAL PUNITORIOS</t>
  </si>
  <si>
    <t>TOTAL (EXPENSAS + PUNITORIOS):</t>
  </si>
  <si>
    <t>Desglose de Deuda - UF N. 7 - Propietario: QUIROGA KARINA</t>
  </si>
  <si>
    <t>Desglose de Deuda - UF N. 21 - Propietario: QUIROGA KARINA</t>
  </si>
  <si>
    <t>Desglose de Deuda - UF N. 22 - Propietario: QUIROGA KARINA</t>
  </si>
  <si>
    <t>Desglose de Deuda - UF N. 24 - Propietario: QUIROGA KARINA</t>
  </si>
  <si>
    <t>Interes mensual (15%)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</si>
</sst>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4" xfId="0" applyBorder="1"/>
    <xf numFmtId="0" fontId="0" fillId="0" borderId="5" xfId="0" applyBorder="1"/>
    <xf numFmtId="44" fontId="0" fillId="0" borderId="0" xfId="1" applyFont="1" applyBorder="1"/>
    <xf numFmtId="44" fontId="0" fillId="0" borderId="5" xfId="0" applyNumberFormat="1" applyBorder="1"/>
    <xf numFmtId="17" fontId="0" fillId="0" borderId="4" xfId="0" applyNumberFormat="1" applyBorder="1"/>
    <xf numFmtId="44" fontId="0" fillId="6" borderId="0" xfId="1" applyFont="1" applyFill="1" applyBorder="1"/>
    <xf numFmtId="0" fontId="0" fillId="6" borderId="0" xfId="0" applyFill="1"/>
    <xf numFmtId="8" fontId="0" fillId="0" borderId="0" xfId="1" applyNumberFormat="1" applyFont="1" applyBorder="1"/>
    <xf numFmtId="0" fontId="3" fillId="5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44" fontId="3" fillId="5" borderId="2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Moneda" xfId="1" builtinId="4"/>
    <cellStyle name="Moneda 2" xfId="3" xr:uid="{4BBE563C-E1A3-4EEE-A400-86FE2A4D19DB}"/>
    <cellStyle name="Moneda 3" xfId="2" xr:uid="{F95AEB4A-DE8B-4AB6-8580-BDE6F903A25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D908-669A-45B6-A771-84DC3A3FD613}">
  <dimension ref="C3:AC177"/>
  <sheetViews>
    <sheetView tabSelected="1" topLeftCell="N1" zoomScale="80" zoomScaleNormal="80" workbookViewId="0">
      <selection activeCell="Y4" sqref="Y4:AC177"/>
    </sheetView>
  </sheetViews>
  <sheetFormatPr baseColWidth="10" defaultRowHeight="14.4" x14ac:dyDescent="0.3"/>
  <cols>
    <col min="2" max="2" width="0.88671875" customWidth="1"/>
    <col min="3" max="3" width="11.5546875" hidden="1" customWidth="1"/>
    <col min="5" max="5" width="13" customWidth="1"/>
    <col min="6" max="6" width="14.109375" customWidth="1"/>
    <col min="8" max="8" width="25" customWidth="1"/>
    <col min="11" max="11" width="17" customWidth="1"/>
    <col min="12" max="12" width="19.88671875" customWidth="1"/>
    <col min="13" max="13" width="12.6640625" customWidth="1"/>
    <col min="14" max="14" width="7.21875" customWidth="1"/>
    <col min="15" max="15" width="20.21875" customWidth="1"/>
    <col min="18" max="18" width="15.6640625" customWidth="1"/>
    <col min="19" max="19" width="15.44140625" customWidth="1"/>
    <col min="20" max="20" width="15.5546875" customWidth="1"/>
    <col min="21" max="21" width="7.5546875" customWidth="1"/>
    <col min="22" max="22" width="23.21875" customWidth="1"/>
    <col min="25" max="25" width="13.5546875" customWidth="1"/>
    <col min="26" max="26" width="16.109375" customWidth="1"/>
    <col min="27" max="27" width="14.44140625" customWidth="1"/>
    <col min="29" max="29" width="24.5546875" customWidth="1"/>
  </cols>
  <sheetData>
    <row r="3" spans="4:29" ht="15" thickBot="1" x14ac:dyDescent="0.35"/>
    <row r="4" spans="4:29" ht="16.2" thickBot="1" x14ac:dyDescent="0.35">
      <c r="D4" s="14" t="s">
        <v>6</v>
      </c>
      <c r="E4" s="15"/>
      <c r="F4" s="15"/>
      <c r="G4" s="15"/>
      <c r="H4" s="16"/>
      <c r="K4" s="14" t="s">
        <v>7</v>
      </c>
      <c r="L4" s="15"/>
      <c r="M4" s="15"/>
      <c r="N4" s="15"/>
      <c r="O4" s="16"/>
      <c r="R4" s="14" t="s">
        <v>8</v>
      </c>
      <c r="S4" s="15"/>
      <c r="T4" s="15"/>
      <c r="U4" s="15"/>
      <c r="V4" s="16"/>
      <c r="Y4" s="14" t="s">
        <v>9</v>
      </c>
      <c r="Z4" s="15"/>
      <c r="AA4" s="15"/>
      <c r="AB4" s="15"/>
      <c r="AC4" s="16"/>
    </row>
    <row r="5" spans="4:29" ht="15" customHeight="1" x14ac:dyDescent="0.3">
      <c r="D5" s="1"/>
      <c r="H5" s="2"/>
      <c r="K5" s="1"/>
      <c r="O5" s="2"/>
      <c r="R5" s="1"/>
      <c r="V5" s="2"/>
      <c r="Y5" s="1"/>
      <c r="AC5" s="2"/>
    </row>
    <row r="6" spans="4:29" ht="15" customHeight="1" x14ac:dyDescent="0.3">
      <c r="D6" s="1" t="s">
        <v>0</v>
      </c>
      <c r="E6" t="s">
        <v>1</v>
      </c>
      <c r="H6" s="2" t="s">
        <v>10</v>
      </c>
      <c r="K6" s="1" t="s">
        <v>0</v>
      </c>
      <c r="L6" t="s">
        <v>1</v>
      </c>
      <c r="O6" s="2" t="s">
        <v>10</v>
      </c>
      <c r="R6" s="1" t="s">
        <v>0</v>
      </c>
      <c r="S6" t="s">
        <v>1</v>
      </c>
      <c r="V6" s="2" t="s">
        <v>10</v>
      </c>
      <c r="Y6" s="1" t="s">
        <v>0</v>
      </c>
      <c r="Z6" t="s">
        <v>1</v>
      </c>
      <c r="AC6" s="2" t="s">
        <v>10</v>
      </c>
    </row>
    <row r="7" spans="4:29" ht="15" customHeight="1" x14ac:dyDescent="0.3">
      <c r="D7" s="5">
        <v>44428</v>
      </c>
      <c r="E7" s="3">
        <v>6000</v>
      </c>
      <c r="H7" s="4">
        <f>E7*15%</f>
        <v>900</v>
      </c>
      <c r="K7" s="5">
        <v>44428</v>
      </c>
      <c r="L7" s="3">
        <v>4500</v>
      </c>
      <c r="O7" s="4">
        <f>L7*15%</f>
        <v>675</v>
      </c>
      <c r="R7" s="5">
        <v>44428</v>
      </c>
      <c r="S7" s="3">
        <v>6150</v>
      </c>
      <c r="V7" s="4">
        <f>S7*15%</f>
        <v>922.5</v>
      </c>
      <c r="Y7" s="5">
        <v>44428</v>
      </c>
      <c r="Z7" s="3">
        <v>8850</v>
      </c>
      <c r="AC7" s="4">
        <f>Z7*15%</f>
        <v>1327.5</v>
      </c>
    </row>
    <row r="8" spans="4:29" ht="15" customHeight="1" x14ac:dyDescent="0.3">
      <c r="D8" s="1"/>
      <c r="H8" s="2"/>
      <c r="K8" s="1"/>
      <c r="O8" s="2"/>
      <c r="R8" s="1"/>
      <c r="V8" s="2"/>
      <c r="Y8" s="1"/>
      <c r="AC8" s="2"/>
    </row>
    <row r="9" spans="4:29" ht="15" customHeight="1" x14ac:dyDescent="0.3">
      <c r="D9" s="1" t="s">
        <v>0</v>
      </c>
      <c r="E9" t="s">
        <v>1</v>
      </c>
      <c r="H9" s="2" t="s">
        <v>10</v>
      </c>
      <c r="K9" s="1" t="s">
        <v>0</v>
      </c>
      <c r="L9" t="s">
        <v>1</v>
      </c>
      <c r="O9" s="2" t="s">
        <v>10</v>
      </c>
      <c r="R9" s="1" t="s">
        <v>0</v>
      </c>
      <c r="S9" t="s">
        <v>1</v>
      </c>
      <c r="V9" s="2" t="s">
        <v>10</v>
      </c>
      <c r="Y9" s="1" t="s">
        <v>0</v>
      </c>
      <c r="Z9" t="s">
        <v>1</v>
      </c>
      <c r="AC9" s="2" t="s">
        <v>10</v>
      </c>
    </row>
    <row r="10" spans="4:29" ht="15" customHeight="1" x14ac:dyDescent="0.3">
      <c r="D10" s="5">
        <f>D7+30</f>
        <v>44458</v>
      </c>
      <c r="E10" s="3">
        <v>6000</v>
      </c>
      <c r="H10" s="4">
        <f>E10*15%</f>
        <v>900</v>
      </c>
      <c r="K10" s="5">
        <f>K7+30</f>
        <v>44458</v>
      </c>
      <c r="L10" s="3">
        <v>4500</v>
      </c>
      <c r="O10" s="4">
        <f>L10*15%</f>
        <v>675</v>
      </c>
      <c r="R10" s="5">
        <f>R7+30</f>
        <v>44458</v>
      </c>
      <c r="S10" s="3">
        <v>6150</v>
      </c>
      <c r="V10" s="4">
        <f>S10*15%</f>
        <v>922.5</v>
      </c>
      <c r="Y10" s="5">
        <f>Y7+30</f>
        <v>44458</v>
      </c>
      <c r="Z10" s="3">
        <v>8850</v>
      </c>
      <c r="AC10" s="4">
        <f>Z10*15%</f>
        <v>1327.5</v>
      </c>
    </row>
    <row r="11" spans="4:29" ht="15" customHeight="1" x14ac:dyDescent="0.3">
      <c r="D11" s="1"/>
      <c r="H11" s="2"/>
      <c r="K11" s="1"/>
      <c r="O11" s="2"/>
      <c r="R11" s="1"/>
      <c r="V11" s="2"/>
      <c r="Y11" s="1"/>
      <c r="AC11" s="2"/>
    </row>
    <row r="12" spans="4:29" ht="15" customHeight="1" x14ac:dyDescent="0.3">
      <c r="D12" s="1" t="s">
        <v>0</v>
      </c>
      <c r="E12" t="s">
        <v>1</v>
      </c>
      <c r="H12" s="2" t="s">
        <v>10</v>
      </c>
      <c r="K12" s="1" t="s">
        <v>0</v>
      </c>
      <c r="L12" t="s">
        <v>1</v>
      </c>
      <c r="O12" s="2" t="s">
        <v>10</v>
      </c>
      <c r="R12" s="1" t="s">
        <v>0</v>
      </c>
      <c r="S12" t="s">
        <v>1</v>
      </c>
      <c r="V12" s="2" t="s">
        <v>10</v>
      </c>
      <c r="Y12" s="1" t="s">
        <v>0</v>
      </c>
      <c r="Z12" t="s">
        <v>1</v>
      </c>
      <c r="AC12" s="2" t="s">
        <v>10</v>
      </c>
    </row>
    <row r="13" spans="4:29" ht="15" customHeight="1" x14ac:dyDescent="0.3">
      <c r="D13" s="5">
        <f>D10+30</f>
        <v>44488</v>
      </c>
      <c r="E13" s="3">
        <v>6000</v>
      </c>
      <c r="H13" s="4">
        <f>E13*15%</f>
        <v>900</v>
      </c>
      <c r="K13" s="5">
        <f>K10+30</f>
        <v>44488</v>
      </c>
      <c r="L13" s="3">
        <v>4500</v>
      </c>
      <c r="O13" s="4">
        <f>L13*15%</f>
        <v>675</v>
      </c>
      <c r="R13" s="5">
        <f>R10+30</f>
        <v>44488</v>
      </c>
      <c r="S13" s="3">
        <v>6150</v>
      </c>
      <c r="V13" s="4">
        <f>S13*15%</f>
        <v>922.5</v>
      </c>
      <c r="Y13" s="5">
        <f>Y10+30</f>
        <v>44488</v>
      </c>
      <c r="Z13" s="3">
        <v>8850</v>
      </c>
      <c r="AC13" s="4">
        <f>Z13*15%</f>
        <v>1327.5</v>
      </c>
    </row>
    <row r="14" spans="4:29" ht="15" customHeight="1" x14ac:dyDescent="0.3">
      <c r="D14" s="1"/>
      <c r="H14" s="2"/>
      <c r="K14" s="1"/>
      <c r="O14" s="2"/>
      <c r="R14" s="1"/>
      <c r="V14" s="2"/>
      <c r="Y14" s="1"/>
      <c r="AC14" s="2"/>
    </row>
    <row r="15" spans="4:29" ht="15" customHeight="1" x14ac:dyDescent="0.3">
      <c r="D15" s="1" t="s">
        <v>0</v>
      </c>
      <c r="E15" t="s">
        <v>1</v>
      </c>
      <c r="H15" s="2" t="s">
        <v>10</v>
      </c>
      <c r="K15" s="1" t="s">
        <v>0</v>
      </c>
      <c r="L15" t="s">
        <v>1</v>
      </c>
      <c r="O15" s="2" t="s">
        <v>10</v>
      </c>
      <c r="R15" s="1" t="s">
        <v>0</v>
      </c>
      <c r="S15" t="s">
        <v>1</v>
      </c>
      <c r="V15" s="2" t="s">
        <v>10</v>
      </c>
      <c r="Y15" s="1" t="s">
        <v>0</v>
      </c>
      <c r="Z15" t="s">
        <v>1</v>
      </c>
      <c r="AC15" s="2" t="s">
        <v>10</v>
      </c>
    </row>
    <row r="16" spans="4:29" ht="15" customHeight="1" x14ac:dyDescent="0.3">
      <c r="D16" s="5">
        <f>D13+30</f>
        <v>44518</v>
      </c>
      <c r="E16" s="3">
        <v>6000</v>
      </c>
      <c r="H16" s="4">
        <f>E16*15%</f>
        <v>900</v>
      </c>
      <c r="K16" s="5">
        <f>K13+30</f>
        <v>44518</v>
      </c>
      <c r="L16" s="3">
        <v>4500</v>
      </c>
      <c r="O16" s="4">
        <f>L16*15%</f>
        <v>675</v>
      </c>
      <c r="R16" s="5">
        <f>R13+30</f>
        <v>44518</v>
      </c>
      <c r="S16" s="3">
        <v>6150</v>
      </c>
      <c r="V16" s="4">
        <f>S16*15%</f>
        <v>922.5</v>
      </c>
      <c r="Y16" s="5">
        <f>Y13+30</f>
        <v>44518</v>
      </c>
      <c r="Z16" s="3">
        <v>8850</v>
      </c>
      <c r="AC16" s="4">
        <f>Z16*15%</f>
        <v>1327.5</v>
      </c>
    </row>
    <row r="17" spans="4:29" ht="15" customHeight="1" x14ac:dyDescent="0.3">
      <c r="D17" s="1"/>
      <c r="H17" s="2"/>
      <c r="K17" s="1"/>
      <c r="O17" s="2"/>
      <c r="R17" s="1"/>
      <c r="V17" s="2"/>
      <c r="Y17" s="1"/>
      <c r="AC17" s="2"/>
    </row>
    <row r="18" spans="4:29" ht="15" customHeight="1" x14ac:dyDescent="0.3">
      <c r="D18" s="1" t="s">
        <v>0</v>
      </c>
      <c r="E18" t="s">
        <v>1</v>
      </c>
      <c r="H18" s="2" t="s">
        <v>10</v>
      </c>
      <c r="K18" s="1" t="s">
        <v>0</v>
      </c>
      <c r="L18" t="s">
        <v>1</v>
      </c>
      <c r="O18" s="2" t="s">
        <v>10</v>
      </c>
      <c r="R18" s="1" t="s">
        <v>0</v>
      </c>
      <c r="S18" t="s">
        <v>1</v>
      </c>
      <c r="V18" s="2" t="s">
        <v>10</v>
      </c>
      <c r="Y18" s="1" t="s">
        <v>0</v>
      </c>
      <c r="Z18" t="s">
        <v>1</v>
      </c>
      <c r="AC18" s="2" t="s">
        <v>10</v>
      </c>
    </row>
    <row r="19" spans="4:29" ht="15" customHeight="1" x14ac:dyDescent="0.3">
      <c r="D19" s="5">
        <f>D16+30</f>
        <v>44548</v>
      </c>
      <c r="E19" s="3">
        <v>6000</v>
      </c>
      <c r="H19" s="4">
        <f>E19*15%</f>
        <v>900</v>
      </c>
      <c r="K19" s="5">
        <f>K16+30</f>
        <v>44548</v>
      </c>
      <c r="L19" s="3">
        <v>4500</v>
      </c>
      <c r="O19" s="4">
        <f>L19*15%</f>
        <v>675</v>
      </c>
      <c r="R19" s="5">
        <f>R16+30</f>
        <v>44548</v>
      </c>
      <c r="S19" s="3">
        <v>6150</v>
      </c>
      <c r="V19" s="4">
        <f>S19*15%</f>
        <v>922.5</v>
      </c>
      <c r="Y19" s="5">
        <f>Y16+30</f>
        <v>44548</v>
      </c>
      <c r="Z19" s="3">
        <v>8850</v>
      </c>
      <c r="AC19" s="4">
        <f>Z19*15%</f>
        <v>1327.5</v>
      </c>
    </row>
    <row r="20" spans="4:29" ht="15" customHeight="1" x14ac:dyDescent="0.3">
      <c r="D20" s="1"/>
      <c r="H20" s="2"/>
      <c r="K20" s="1"/>
      <c r="O20" s="2"/>
      <c r="R20" s="1"/>
      <c r="V20" s="2"/>
      <c r="Y20" s="1"/>
      <c r="AC20" s="2"/>
    </row>
    <row r="21" spans="4:29" ht="15" customHeight="1" x14ac:dyDescent="0.3">
      <c r="D21" s="1" t="s">
        <v>0</v>
      </c>
      <c r="E21" t="s">
        <v>1</v>
      </c>
      <c r="H21" s="2" t="s">
        <v>10</v>
      </c>
      <c r="K21" s="1" t="s">
        <v>0</v>
      </c>
      <c r="L21" t="s">
        <v>1</v>
      </c>
      <c r="O21" s="2" t="s">
        <v>10</v>
      </c>
      <c r="R21" s="1" t="s">
        <v>0</v>
      </c>
      <c r="S21" t="s">
        <v>1</v>
      </c>
      <c r="V21" s="2" t="s">
        <v>10</v>
      </c>
      <c r="Y21" s="1" t="s">
        <v>0</v>
      </c>
      <c r="Z21" t="s">
        <v>1</v>
      </c>
      <c r="AC21" s="2" t="s">
        <v>10</v>
      </c>
    </row>
    <row r="22" spans="4:29" ht="15" customHeight="1" x14ac:dyDescent="0.3">
      <c r="D22" s="5">
        <f>D19+30</f>
        <v>44578</v>
      </c>
      <c r="E22" s="3">
        <v>6000</v>
      </c>
      <c r="H22" s="4">
        <f>E22*15%</f>
        <v>900</v>
      </c>
      <c r="K22" s="5">
        <f>K19+30</f>
        <v>44578</v>
      </c>
      <c r="L22" s="3">
        <v>4500</v>
      </c>
      <c r="O22" s="4">
        <f>L22*15%</f>
        <v>675</v>
      </c>
      <c r="R22" s="5">
        <f>R19+30</f>
        <v>44578</v>
      </c>
      <c r="S22" s="3">
        <v>6150</v>
      </c>
      <c r="V22" s="4">
        <f>S22*15%</f>
        <v>922.5</v>
      </c>
      <c r="Y22" s="5">
        <f>Y19+30</f>
        <v>44578</v>
      </c>
      <c r="Z22" s="3">
        <v>8850</v>
      </c>
      <c r="AC22" s="4">
        <f>Z22*15%</f>
        <v>1327.5</v>
      </c>
    </row>
    <row r="23" spans="4:29" ht="15" customHeight="1" x14ac:dyDescent="0.3">
      <c r="D23" s="1"/>
      <c r="H23" s="2"/>
      <c r="K23" s="1"/>
      <c r="O23" s="2"/>
      <c r="R23" s="1"/>
      <c r="V23" s="2"/>
      <c r="Y23" s="1"/>
      <c r="AC23" s="2"/>
    </row>
    <row r="24" spans="4:29" ht="15" customHeight="1" x14ac:dyDescent="0.3">
      <c r="D24" s="1" t="s">
        <v>0</v>
      </c>
      <c r="E24" t="s">
        <v>1</v>
      </c>
      <c r="H24" s="2" t="s">
        <v>10</v>
      </c>
      <c r="K24" s="1" t="s">
        <v>0</v>
      </c>
      <c r="L24" t="s">
        <v>1</v>
      </c>
      <c r="O24" s="2" t="s">
        <v>10</v>
      </c>
      <c r="R24" s="1" t="s">
        <v>0</v>
      </c>
      <c r="S24" t="s">
        <v>1</v>
      </c>
      <c r="V24" s="2" t="s">
        <v>10</v>
      </c>
      <c r="Y24" s="1" t="s">
        <v>0</v>
      </c>
      <c r="Z24" t="s">
        <v>1</v>
      </c>
      <c r="AC24" s="2" t="s">
        <v>10</v>
      </c>
    </row>
    <row r="25" spans="4:29" ht="15" customHeight="1" x14ac:dyDescent="0.3">
      <c r="D25" s="5">
        <f>D22+30</f>
        <v>44608</v>
      </c>
      <c r="E25" s="3">
        <v>6000</v>
      </c>
      <c r="H25" s="4">
        <f>E25*15%</f>
        <v>900</v>
      </c>
      <c r="K25" s="5">
        <f>K22+30</f>
        <v>44608</v>
      </c>
      <c r="L25" s="3">
        <v>4500</v>
      </c>
      <c r="O25" s="4">
        <f>L25*15%</f>
        <v>675</v>
      </c>
      <c r="R25" s="5">
        <f>R22+30</f>
        <v>44608</v>
      </c>
      <c r="S25" s="3">
        <v>6150</v>
      </c>
      <c r="V25" s="4">
        <f>S25*15%</f>
        <v>922.5</v>
      </c>
      <c r="Y25" s="5">
        <f>Y22+30</f>
        <v>44608</v>
      </c>
      <c r="Z25" s="3">
        <v>8850</v>
      </c>
      <c r="AC25" s="4">
        <f>Z25*15%</f>
        <v>1327.5</v>
      </c>
    </row>
    <row r="26" spans="4:29" ht="15" customHeight="1" x14ac:dyDescent="0.3">
      <c r="D26" s="1"/>
      <c r="H26" s="2"/>
      <c r="K26" s="1"/>
      <c r="O26" s="2"/>
      <c r="R26" s="1"/>
      <c r="V26" s="2"/>
      <c r="Y26" s="1"/>
      <c r="AC26" s="2"/>
    </row>
    <row r="27" spans="4:29" ht="15" customHeight="1" x14ac:dyDescent="0.3">
      <c r="D27" s="1" t="s">
        <v>0</v>
      </c>
      <c r="E27" t="s">
        <v>1</v>
      </c>
      <c r="H27" s="2" t="s">
        <v>10</v>
      </c>
      <c r="K27" s="1" t="s">
        <v>0</v>
      </c>
      <c r="L27" t="s">
        <v>1</v>
      </c>
      <c r="O27" s="2" t="s">
        <v>10</v>
      </c>
      <c r="R27" s="1" t="s">
        <v>0</v>
      </c>
      <c r="S27" t="s">
        <v>1</v>
      </c>
      <c r="V27" s="2" t="s">
        <v>10</v>
      </c>
      <c r="Y27" s="1" t="s">
        <v>0</v>
      </c>
      <c r="Z27" t="s">
        <v>1</v>
      </c>
      <c r="AC27" s="2" t="s">
        <v>10</v>
      </c>
    </row>
    <row r="28" spans="4:29" ht="15" customHeight="1" x14ac:dyDescent="0.3">
      <c r="D28" s="5">
        <f>D25+30</f>
        <v>44638</v>
      </c>
      <c r="E28" s="3">
        <v>6000</v>
      </c>
      <c r="H28" s="4">
        <f>E28*15%</f>
        <v>900</v>
      </c>
      <c r="K28" s="5">
        <f>K25+30</f>
        <v>44638</v>
      </c>
      <c r="L28" s="3">
        <v>4500</v>
      </c>
      <c r="O28" s="4">
        <f>L28*15%</f>
        <v>675</v>
      </c>
      <c r="R28" s="5">
        <f>R25+30</f>
        <v>44638</v>
      </c>
      <c r="S28" s="3">
        <v>6150</v>
      </c>
      <c r="V28" s="4">
        <f>S28*15%</f>
        <v>922.5</v>
      </c>
      <c r="Y28" s="5">
        <f>Y25+30</f>
        <v>44638</v>
      </c>
      <c r="Z28" s="3">
        <v>8850</v>
      </c>
      <c r="AC28" s="4">
        <f>Z28*15%</f>
        <v>1327.5</v>
      </c>
    </row>
    <row r="29" spans="4:29" ht="15" customHeight="1" x14ac:dyDescent="0.3">
      <c r="D29" s="1"/>
      <c r="H29" s="2"/>
      <c r="K29" s="1"/>
      <c r="O29" s="2"/>
      <c r="R29" s="1"/>
      <c r="V29" s="2"/>
      <c r="Y29" s="1"/>
      <c r="AC29" s="2"/>
    </row>
    <row r="30" spans="4:29" ht="15" customHeight="1" x14ac:dyDescent="0.3">
      <c r="D30" s="1" t="s">
        <v>0</v>
      </c>
      <c r="E30" t="s">
        <v>1</v>
      </c>
      <c r="H30" s="2" t="s">
        <v>10</v>
      </c>
      <c r="K30" s="1" t="s">
        <v>0</v>
      </c>
      <c r="L30" t="s">
        <v>1</v>
      </c>
      <c r="O30" s="2" t="s">
        <v>10</v>
      </c>
      <c r="R30" s="1" t="s">
        <v>0</v>
      </c>
      <c r="S30" t="s">
        <v>1</v>
      </c>
      <c r="V30" s="2" t="s">
        <v>10</v>
      </c>
      <c r="Y30" s="1" t="s">
        <v>0</v>
      </c>
      <c r="Z30" t="s">
        <v>1</v>
      </c>
      <c r="AC30" s="2" t="s">
        <v>10</v>
      </c>
    </row>
    <row r="31" spans="4:29" ht="15" customHeight="1" x14ac:dyDescent="0.3">
      <c r="D31" s="5">
        <f>D28+30</f>
        <v>44668</v>
      </c>
      <c r="E31" s="3">
        <v>6000</v>
      </c>
      <c r="H31" s="4">
        <f>E31*15%</f>
        <v>900</v>
      </c>
      <c r="K31" s="5">
        <f>K28+30</f>
        <v>44668</v>
      </c>
      <c r="L31" s="3">
        <v>4500</v>
      </c>
      <c r="O31" s="4">
        <f>L31*15%</f>
        <v>675</v>
      </c>
      <c r="R31" s="5">
        <f>R28+30</f>
        <v>44668</v>
      </c>
      <c r="S31" s="3">
        <v>6150</v>
      </c>
      <c r="V31" s="4">
        <f>S31*15%</f>
        <v>922.5</v>
      </c>
      <c r="Y31" s="5">
        <f>Y28+30</f>
        <v>44668</v>
      </c>
      <c r="Z31" s="3">
        <v>8850</v>
      </c>
      <c r="AC31" s="4">
        <f>Z31*15%</f>
        <v>1327.5</v>
      </c>
    </row>
    <row r="32" spans="4:29" ht="15" customHeight="1" x14ac:dyDescent="0.3">
      <c r="D32" s="1"/>
      <c r="H32" s="2"/>
      <c r="K32" s="1"/>
      <c r="O32" s="2"/>
      <c r="R32" s="1"/>
      <c r="V32" s="2"/>
      <c r="Y32" s="1"/>
      <c r="AC32" s="2"/>
    </row>
    <row r="33" spans="4:29" ht="15" customHeight="1" x14ac:dyDescent="0.3">
      <c r="D33" s="1" t="s">
        <v>0</v>
      </c>
      <c r="E33" t="s">
        <v>1</v>
      </c>
      <c r="H33" s="2" t="s">
        <v>10</v>
      </c>
      <c r="K33" s="1" t="s">
        <v>0</v>
      </c>
      <c r="L33" t="s">
        <v>1</v>
      </c>
      <c r="O33" s="2" t="s">
        <v>10</v>
      </c>
      <c r="R33" s="1" t="s">
        <v>0</v>
      </c>
      <c r="S33" t="s">
        <v>1</v>
      </c>
      <c r="V33" s="2" t="s">
        <v>10</v>
      </c>
      <c r="Y33" s="1" t="s">
        <v>0</v>
      </c>
      <c r="Z33" t="s">
        <v>1</v>
      </c>
      <c r="AC33" s="2" t="s">
        <v>10</v>
      </c>
    </row>
    <row r="34" spans="4:29" ht="15" customHeight="1" x14ac:dyDescent="0.3">
      <c r="D34" s="5">
        <f>D31+30</f>
        <v>44698</v>
      </c>
      <c r="E34" s="3">
        <v>6000</v>
      </c>
      <c r="H34" s="4">
        <f>E34*15%</f>
        <v>900</v>
      </c>
      <c r="K34" s="5">
        <f>K31+30</f>
        <v>44698</v>
      </c>
      <c r="L34" s="3">
        <v>4500</v>
      </c>
      <c r="O34" s="4">
        <f>L34*15%</f>
        <v>675</v>
      </c>
      <c r="R34" s="5">
        <f>R31+30</f>
        <v>44698</v>
      </c>
      <c r="S34" s="3">
        <v>6150</v>
      </c>
      <c r="V34" s="4">
        <f>S34*15%</f>
        <v>922.5</v>
      </c>
      <c r="Y34" s="5">
        <f>Y31+30</f>
        <v>44698</v>
      </c>
      <c r="Z34" s="3">
        <v>8850</v>
      </c>
      <c r="AC34" s="4">
        <f>Z34*15%</f>
        <v>1327.5</v>
      </c>
    </row>
    <row r="35" spans="4:29" ht="15" customHeight="1" x14ac:dyDescent="0.3">
      <c r="D35" s="1"/>
      <c r="H35" s="2"/>
      <c r="K35" s="1"/>
      <c r="O35" s="2"/>
      <c r="R35" s="1"/>
      <c r="V35" s="2"/>
      <c r="Y35" s="1"/>
      <c r="AC35" s="2"/>
    </row>
    <row r="36" spans="4:29" ht="15" customHeight="1" x14ac:dyDescent="0.3">
      <c r="D36" s="1" t="s">
        <v>0</v>
      </c>
      <c r="E36" t="s">
        <v>1</v>
      </c>
      <c r="H36" s="2" t="s">
        <v>10</v>
      </c>
      <c r="K36" s="1" t="s">
        <v>0</v>
      </c>
      <c r="L36" t="s">
        <v>1</v>
      </c>
      <c r="O36" s="2" t="s">
        <v>10</v>
      </c>
      <c r="R36" s="1" t="s">
        <v>0</v>
      </c>
      <c r="S36" t="s">
        <v>1</v>
      </c>
      <c r="V36" s="2" t="s">
        <v>10</v>
      </c>
      <c r="Y36" s="1" t="s">
        <v>0</v>
      </c>
      <c r="Z36" t="s">
        <v>1</v>
      </c>
      <c r="AC36" s="2" t="s">
        <v>10</v>
      </c>
    </row>
    <row r="37" spans="4:29" ht="15" customHeight="1" x14ac:dyDescent="0.3">
      <c r="D37" s="5">
        <f>D34+30</f>
        <v>44728</v>
      </c>
      <c r="E37" s="3">
        <v>6000</v>
      </c>
      <c r="H37" s="4">
        <f>E37*15%</f>
        <v>900</v>
      </c>
      <c r="K37" s="5">
        <f>K34+30</f>
        <v>44728</v>
      </c>
      <c r="L37" s="3">
        <v>4500</v>
      </c>
      <c r="O37" s="4">
        <f>L37*15%</f>
        <v>675</v>
      </c>
      <c r="R37" s="5">
        <f>R34+30</f>
        <v>44728</v>
      </c>
      <c r="S37" s="3">
        <v>6150</v>
      </c>
      <c r="V37" s="4">
        <f>S37*15%</f>
        <v>922.5</v>
      </c>
      <c r="Y37" s="5">
        <f>Y34+30</f>
        <v>44728</v>
      </c>
      <c r="Z37" s="3">
        <v>8850</v>
      </c>
      <c r="AC37" s="4">
        <f>Z37*15%</f>
        <v>1327.5</v>
      </c>
    </row>
    <row r="38" spans="4:29" ht="15" customHeight="1" x14ac:dyDescent="0.3">
      <c r="D38" s="1"/>
      <c r="H38" s="2"/>
      <c r="K38" s="1"/>
      <c r="O38" s="2"/>
      <c r="R38" s="1"/>
      <c r="V38" s="2"/>
      <c r="Y38" s="1"/>
      <c r="AC38" s="2"/>
    </row>
    <row r="39" spans="4:29" ht="15" customHeight="1" x14ac:dyDescent="0.3">
      <c r="D39" s="1" t="s">
        <v>0</v>
      </c>
      <c r="E39" t="s">
        <v>1</v>
      </c>
      <c r="H39" s="2" t="s">
        <v>10</v>
      </c>
      <c r="K39" s="1" t="s">
        <v>0</v>
      </c>
      <c r="L39" t="s">
        <v>1</v>
      </c>
      <c r="O39" s="2" t="s">
        <v>10</v>
      </c>
      <c r="R39" s="1" t="s">
        <v>0</v>
      </c>
      <c r="S39" t="s">
        <v>1</v>
      </c>
      <c r="V39" s="2" t="s">
        <v>10</v>
      </c>
      <c r="Y39" s="1" t="s">
        <v>0</v>
      </c>
      <c r="Z39" t="s">
        <v>1</v>
      </c>
      <c r="AC39" s="2" t="s">
        <v>10</v>
      </c>
    </row>
    <row r="40" spans="4:29" ht="15" customHeight="1" x14ac:dyDescent="0.3">
      <c r="D40" s="5">
        <f>D37+30</f>
        <v>44758</v>
      </c>
      <c r="E40" s="3">
        <v>6000</v>
      </c>
      <c r="H40" s="4">
        <f>E40*15%</f>
        <v>900</v>
      </c>
      <c r="K40" s="5">
        <f>K37+30</f>
        <v>44758</v>
      </c>
      <c r="L40" s="3">
        <v>4500</v>
      </c>
      <c r="O40" s="4">
        <f>L40*15%</f>
        <v>675</v>
      </c>
      <c r="R40" s="5">
        <f>R37+30</f>
        <v>44758</v>
      </c>
      <c r="S40" s="3">
        <v>6150</v>
      </c>
      <c r="V40" s="4">
        <f>S40*15%</f>
        <v>922.5</v>
      </c>
      <c r="Y40" s="5">
        <f>Y37+30</f>
        <v>44758</v>
      </c>
      <c r="Z40" s="3">
        <v>8850</v>
      </c>
      <c r="AC40" s="4">
        <f>Z40*15%</f>
        <v>1327.5</v>
      </c>
    </row>
    <row r="41" spans="4:29" ht="15" customHeight="1" x14ac:dyDescent="0.3">
      <c r="D41" s="1"/>
      <c r="H41" s="2"/>
      <c r="K41" s="1"/>
      <c r="O41" s="2"/>
      <c r="R41" s="1"/>
      <c r="V41" s="2"/>
      <c r="Y41" s="1"/>
      <c r="AC41" s="2"/>
    </row>
    <row r="42" spans="4:29" ht="15" customHeight="1" x14ac:dyDescent="0.3">
      <c r="D42" s="1" t="s">
        <v>0</v>
      </c>
      <c r="E42" t="s">
        <v>1</v>
      </c>
      <c r="H42" s="2" t="s">
        <v>10</v>
      </c>
      <c r="K42" s="1" t="s">
        <v>0</v>
      </c>
      <c r="L42" t="s">
        <v>1</v>
      </c>
      <c r="O42" s="2" t="s">
        <v>10</v>
      </c>
      <c r="R42" s="1" t="s">
        <v>0</v>
      </c>
      <c r="S42" t="s">
        <v>1</v>
      </c>
      <c r="V42" s="2" t="s">
        <v>10</v>
      </c>
      <c r="Y42" s="1" t="s">
        <v>0</v>
      </c>
      <c r="Z42" t="s">
        <v>1</v>
      </c>
      <c r="AC42" s="2" t="s">
        <v>10</v>
      </c>
    </row>
    <row r="43" spans="4:29" ht="15" customHeight="1" x14ac:dyDescent="0.3">
      <c r="D43" s="5">
        <f>D40+30</f>
        <v>44788</v>
      </c>
      <c r="E43" s="3">
        <v>6000</v>
      </c>
      <c r="H43" s="4">
        <f>E43*15%</f>
        <v>900</v>
      </c>
      <c r="K43" s="5">
        <f>K40+30</f>
        <v>44788</v>
      </c>
      <c r="L43" s="3">
        <v>4500</v>
      </c>
      <c r="O43" s="4">
        <f>L43*15%</f>
        <v>675</v>
      </c>
      <c r="R43" s="5">
        <f>R40+30</f>
        <v>44788</v>
      </c>
      <c r="S43" s="3">
        <v>6150</v>
      </c>
      <c r="V43" s="4">
        <f>S43*15%</f>
        <v>922.5</v>
      </c>
      <c r="Y43" s="5">
        <f>Y40+30</f>
        <v>44788</v>
      </c>
      <c r="Z43" s="3">
        <v>8850</v>
      </c>
      <c r="AC43" s="4">
        <f>Z43*15%</f>
        <v>1327.5</v>
      </c>
    </row>
    <row r="44" spans="4:29" ht="15.6" customHeight="1" x14ac:dyDescent="0.3">
      <c r="D44" s="1"/>
      <c r="H44" s="2"/>
      <c r="K44" s="1"/>
      <c r="O44" s="2"/>
      <c r="R44" s="1"/>
      <c r="V44" s="2"/>
      <c r="Y44" s="1"/>
      <c r="AC44" s="2"/>
    </row>
    <row r="45" spans="4:29" ht="15" customHeight="1" x14ac:dyDescent="0.3">
      <c r="D45" s="1" t="s">
        <v>0</v>
      </c>
      <c r="E45" t="s">
        <v>1</v>
      </c>
      <c r="H45" s="2" t="s">
        <v>10</v>
      </c>
      <c r="K45" s="1" t="s">
        <v>0</v>
      </c>
      <c r="L45" t="s">
        <v>1</v>
      </c>
      <c r="O45" s="2" t="s">
        <v>10</v>
      </c>
      <c r="R45" s="1" t="s">
        <v>0</v>
      </c>
      <c r="S45" t="s">
        <v>1</v>
      </c>
      <c r="V45" s="2" t="s">
        <v>10</v>
      </c>
      <c r="Y45" s="1" t="s">
        <v>0</v>
      </c>
      <c r="Z45" t="s">
        <v>1</v>
      </c>
      <c r="AC45" s="2" t="s">
        <v>10</v>
      </c>
    </row>
    <row r="46" spans="4:29" ht="15" customHeight="1" x14ac:dyDescent="0.3">
      <c r="D46" s="5">
        <f>D43+30</f>
        <v>44818</v>
      </c>
      <c r="E46" s="3">
        <v>6000</v>
      </c>
      <c r="H46" s="4">
        <f>E46*15%</f>
        <v>900</v>
      </c>
      <c r="K46" s="5">
        <f>K43+30</f>
        <v>44818</v>
      </c>
      <c r="L46" s="3">
        <v>4500</v>
      </c>
      <c r="O46" s="4">
        <f>L46*15%</f>
        <v>675</v>
      </c>
      <c r="R46" s="5">
        <f>R43+30</f>
        <v>44818</v>
      </c>
      <c r="S46" s="3">
        <v>6150</v>
      </c>
      <c r="V46" s="4">
        <f>S46*15%</f>
        <v>922.5</v>
      </c>
      <c r="Y46" s="5">
        <f>Y43+30</f>
        <v>44818</v>
      </c>
      <c r="Z46" s="3">
        <v>8850</v>
      </c>
      <c r="AC46" s="4">
        <f>Z46*15%</f>
        <v>1327.5</v>
      </c>
    </row>
    <row r="47" spans="4:29" ht="15" customHeight="1" x14ac:dyDescent="0.3">
      <c r="D47" s="1"/>
      <c r="E47" s="3"/>
      <c r="H47" s="4"/>
      <c r="K47" s="1"/>
      <c r="L47" s="3"/>
      <c r="O47" s="4"/>
      <c r="R47" s="1"/>
      <c r="S47" s="3"/>
      <c r="V47" s="4"/>
      <c r="Y47" s="1"/>
      <c r="Z47" s="3"/>
      <c r="AC47" s="4"/>
    </row>
    <row r="48" spans="4:29" x14ac:dyDescent="0.3">
      <c r="D48" s="1" t="s">
        <v>0</v>
      </c>
      <c r="E48" t="s">
        <v>1</v>
      </c>
      <c r="H48" s="2" t="s">
        <v>10</v>
      </c>
      <c r="K48" s="1" t="s">
        <v>0</v>
      </c>
      <c r="L48" t="s">
        <v>1</v>
      </c>
      <c r="O48" s="2" t="s">
        <v>10</v>
      </c>
      <c r="R48" s="1" t="s">
        <v>0</v>
      </c>
      <c r="S48" t="s">
        <v>1</v>
      </c>
      <c r="V48" s="2" t="s">
        <v>10</v>
      </c>
      <c r="Y48" s="1" t="s">
        <v>0</v>
      </c>
      <c r="Z48" t="s">
        <v>1</v>
      </c>
      <c r="AC48" s="2" t="s">
        <v>10</v>
      </c>
    </row>
    <row r="49" spans="4:29" x14ac:dyDescent="0.3">
      <c r="D49" s="5">
        <v>44835</v>
      </c>
      <c r="E49" s="3">
        <v>6000</v>
      </c>
      <c r="H49" s="4">
        <f>E49*15%</f>
        <v>900</v>
      </c>
      <c r="K49" s="5">
        <v>44835</v>
      </c>
      <c r="L49" s="3">
        <v>4500</v>
      </c>
      <c r="O49" s="4">
        <f>L49*15%</f>
        <v>675</v>
      </c>
      <c r="R49" s="5">
        <v>44835</v>
      </c>
      <c r="S49" s="3">
        <v>6150</v>
      </c>
      <c r="V49" s="4">
        <f>S49*15%</f>
        <v>922.5</v>
      </c>
      <c r="Y49" s="5">
        <v>44835</v>
      </c>
      <c r="Z49" s="3">
        <v>8850</v>
      </c>
      <c r="AC49" s="4">
        <f>Z49*15%</f>
        <v>1327.5</v>
      </c>
    </row>
    <row r="50" spans="4:29" x14ac:dyDescent="0.3">
      <c r="D50" s="1"/>
      <c r="E50" s="3"/>
      <c r="H50" s="2"/>
      <c r="K50" s="1"/>
      <c r="L50" s="3"/>
      <c r="O50" s="2"/>
      <c r="R50" s="1"/>
      <c r="S50" s="3"/>
      <c r="V50" s="2"/>
      <c r="Y50" s="1"/>
      <c r="Z50" s="3"/>
      <c r="AC50" s="2"/>
    </row>
    <row r="51" spans="4:29" x14ac:dyDescent="0.3">
      <c r="D51" s="1" t="s">
        <v>0</v>
      </c>
      <c r="E51" s="3" t="s">
        <v>1</v>
      </c>
      <c r="H51" s="2" t="s">
        <v>10</v>
      </c>
      <c r="K51" s="1" t="s">
        <v>0</v>
      </c>
      <c r="L51" s="3" t="s">
        <v>1</v>
      </c>
      <c r="O51" s="2" t="s">
        <v>10</v>
      </c>
      <c r="R51" s="1" t="s">
        <v>0</v>
      </c>
      <c r="S51" s="3" t="s">
        <v>1</v>
      </c>
      <c r="V51" s="2" t="s">
        <v>10</v>
      </c>
      <c r="Y51" s="1" t="s">
        <v>0</v>
      </c>
      <c r="Z51" s="3" t="s">
        <v>1</v>
      </c>
      <c r="AC51" s="2" t="s">
        <v>10</v>
      </c>
    </row>
    <row r="52" spans="4:29" x14ac:dyDescent="0.3">
      <c r="D52" s="5">
        <f>D49+31</f>
        <v>44866</v>
      </c>
      <c r="E52" s="3">
        <v>6000</v>
      </c>
      <c r="H52" s="4">
        <f>E52*15%</f>
        <v>900</v>
      </c>
      <c r="K52" s="5">
        <f>K49+31</f>
        <v>44866</v>
      </c>
      <c r="L52" s="3">
        <v>4500</v>
      </c>
      <c r="O52" s="4">
        <f>L52*15%</f>
        <v>675</v>
      </c>
      <c r="R52" s="5">
        <f>R49+31</f>
        <v>44866</v>
      </c>
      <c r="S52" s="3">
        <v>6150</v>
      </c>
      <c r="V52" s="4">
        <f>S52*15%</f>
        <v>922.5</v>
      </c>
      <c r="Y52" s="5">
        <f>Y49+31</f>
        <v>44866</v>
      </c>
      <c r="Z52" s="3">
        <v>8850</v>
      </c>
      <c r="AC52" s="4">
        <f>Z52*15%</f>
        <v>1327.5</v>
      </c>
    </row>
    <row r="53" spans="4:29" x14ac:dyDescent="0.3">
      <c r="D53" s="1"/>
      <c r="E53" s="3"/>
      <c r="H53" s="2"/>
      <c r="K53" s="1"/>
      <c r="L53" s="3"/>
      <c r="O53" s="2"/>
      <c r="R53" s="1"/>
      <c r="S53" s="3"/>
      <c r="V53" s="2"/>
      <c r="Y53" s="1"/>
      <c r="Z53" s="3"/>
      <c r="AC53" s="2"/>
    </row>
    <row r="54" spans="4:29" x14ac:dyDescent="0.3">
      <c r="D54" s="1" t="s">
        <v>0</v>
      </c>
      <c r="E54" s="3" t="s">
        <v>1</v>
      </c>
      <c r="H54" s="2" t="s">
        <v>10</v>
      </c>
      <c r="K54" s="1" t="s">
        <v>0</v>
      </c>
      <c r="L54" s="3" t="s">
        <v>1</v>
      </c>
      <c r="O54" s="2" t="s">
        <v>10</v>
      </c>
      <c r="R54" s="1" t="s">
        <v>0</v>
      </c>
      <c r="S54" s="3" t="s">
        <v>1</v>
      </c>
      <c r="V54" s="2" t="s">
        <v>10</v>
      </c>
      <c r="Y54" s="1" t="s">
        <v>0</v>
      </c>
      <c r="Z54" s="3" t="s">
        <v>1</v>
      </c>
      <c r="AC54" s="2" t="s">
        <v>10</v>
      </c>
    </row>
    <row r="55" spans="4:29" x14ac:dyDescent="0.3">
      <c r="D55" s="5">
        <f>D52+31</f>
        <v>44897</v>
      </c>
      <c r="E55" s="3">
        <v>7200</v>
      </c>
      <c r="H55" s="4">
        <f>E55*15%</f>
        <v>1080</v>
      </c>
      <c r="K55" s="5">
        <f>K52+31</f>
        <v>44897</v>
      </c>
      <c r="L55" s="3">
        <v>5400</v>
      </c>
      <c r="O55" s="4">
        <f>L55*15%</f>
        <v>810</v>
      </c>
      <c r="R55" s="5">
        <f>R52+31</f>
        <v>44897</v>
      </c>
      <c r="S55" s="3">
        <v>7380</v>
      </c>
      <c r="V55" s="4">
        <f>S55*15%</f>
        <v>1107</v>
      </c>
      <c r="Y55" s="5">
        <f>Y52+31</f>
        <v>44897</v>
      </c>
      <c r="Z55" s="3">
        <v>10620</v>
      </c>
      <c r="AC55" s="4">
        <f>Z55*15%</f>
        <v>1593</v>
      </c>
    </row>
    <row r="56" spans="4:29" x14ac:dyDescent="0.3">
      <c r="D56" s="1"/>
      <c r="E56" s="3"/>
      <c r="H56" s="2"/>
      <c r="K56" s="1"/>
      <c r="L56" s="3"/>
      <c r="O56" s="2"/>
      <c r="R56" s="1"/>
      <c r="S56" s="3"/>
      <c r="V56" s="2"/>
      <c r="Y56" s="1"/>
      <c r="Z56" s="3"/>
      <c r="AC56" s="2"/>
    </row>
    <row r="57" spans="4:29" x14ac:dyDescent="0.3">
      <c r="D57" s="1" t="s">
        <v>0</v>
      </c>
      <c r="E57" s="3" t="s">
        <v>1</v>
      </c>
      <c r="H57" s="2" t="s">
        <v>10</v>
      </c>
      <c r="K57" s="1" t="s">
        <v>0</v>
      </c>
      <c r="L57" s="3" t="s">
        <v>1</v>
      </c>
      <c r="O57" s="2" t="s">
        <v>10</v>
      </c>
      <c r="R57" s="1" t="s">
        <v>0</v>
      </c>
      <c r="S57" s="3" t="s">
        <v>1</v>
      </c>
      <c r="V57" s="2" t="s">
        <v>10</v>
      </c>
      <c r="Y57" s="1" t="s">
        <v>0</v>
      </c>
      <c r="Z57" s="3" t="s">
        <v>1</v>
      </c>
      <c r="AC57" s="2" t="s">
        <v>10</v>
      </c>
    </row>
    <row r="58" spans="4:29" x14ac:dyDescent="0.3">
      <c r="D58" s="5">
        <f>D55+31</f>
        <v>44928</v>
      </c>
      <c r="E58" s="3">
        <v>11200</v>
      </c>
      <c r="H58" s="4">
        <f>E58*15%</f>
        <v>1680</v>
      </c>
      <c r="K58" s="5">
        <f>K55+31</f>
        <v>44928</v>
      </c>
      <c r="L58" s="3">
        <v>8400</v>
      </c>
      <c r="O58" s="4">
        <f>L58*15%</f>
        <v>1260</v>
      </c>
      <c r="R58" s="5">
        <f>R55+31</f>
        <v>44928</v>
      </c>
      <c r="S58" s="3">
        <v>11480</v>
      </c>
      <c r="V58" s="4">
        <f>S58*15%</f>
        <v>1722</v>
      </c>
      <c r="Y58" s="5">
        <f>Y55+31</f>
        <v>44928</v>
      </c>
      <c r="Z58" s="3">
        <v>16520</v>
      </c>
      <c r="AC58" s="4">
        <f>Z58*15%</f>
        <v>2478</v>
      </c>
    </row>
    <row r="59" spans="4:29" x14ac:dyDescent="0.3">
      <c r="D59" s="1"/>
      <c r="E59" s="3"/>
      <c r="H59" s="2"/>
      <c r="K59" s="1"/>
      <c r="L59" s="3"/>
      <c r="O59" s="2"/>
      <c r="R59" s="1"/>
      <c r="S59" s="3"/>
      <c r="V59" s="2"/>
      <c r="Y59" s="1"/>
      <c r="Z59" s="3"/>
      <c r="AC59" s="2"/>
    </row>
    <row r="60" spans="4:29" x14ac:dyDescent="0.3">
      <c r="D60" s="1" t="s">
        <v>0</v>
      </c>
      <c r="E60" s="3" t="s">
        <v>1</v>
      </c>
      <c r="H60" s="2" t="s">
        <v>10</v>
      </c>
      <c r="K60" s="1" t="s">
        <v>0</v>
      </c>
      <c r="L60" s="3" t="s">
        <v>1</v>
      </c>
      <c r="O60" s="2" t="s">
        <v>10</v>
      </c>
      <c r="R60" s="1" t="s">
        <v>0</v>
      </c>
      <c r="S60" s="3" t="s">
        <v>1</v>
      </c>
      <c r="V60" s="2" t="s">
        <v>10</v>
      </c>
      <c r="Y60" s="1" t="s">
        <v>0</v>
      </c>
      <c r="Z60" s="3" t="s">
        <v>1</v>
      </c>
      <c r="AC60" s="2" t="s">
        <v>10</v>
      </c>
    </row>
    <row r="61" spans="4:29" x14ac:dyDescent="0.3">
      <c r="D61" s="5">
        <f>D58+31</f>
        <v>44959</v>
      </c>
      <c r="E61" s="3">
        <v>15200</v>
      </c>
      <c r="H61" s="4">
        <f>E61*15%</f>
        <v>2280</v>
      </c>
      <c r="K61" s="5">
        <f>K58+31</f>
        <v>44959</v>
      </c>
      <c r="L61" s="3">
        <v>11400</v>
      </c>
      <c r="O61" s="4">
        <f>L61*15%</f>
        <v>1710</v>
      </c>
      <c r="R61" s="5">
        <f>R58+31</f>
        <v>44959</v>
      </c>
      <c r="S61" s="3">
        <v>15580</v>
      </c>
      <c r="V61" s="4">
        <f>S61*15%</f>
        <v>2337</v>
      </c>
      <c r="Y61" s="5">
        <f>Y58+31</f>
        <v>44959</v>
      </c>
      <c r="Z61" s="3">
        <v>22420</v>
      </c>
      <c r="AC61" s="4">
        <f>Z61*15%</f>
        <v>3363</v>
      </c>
    </row>
    <row r="62" spans="4:29" x14ac:dyDescent="0.3">
      <c r="D62" s="1"/>
      <c r="E62" s="3"/>
      <c r="H62" s="2"/>
      <c r="K62" s="1"/>
      <c r="L62" s="3"/>
      <c r="O62" s="2"/>
      <c r="R62" s="1"/>
      <c r="S62" s="3"/>
      <c r="V62" s="2"/>
      <c r="Y62" s="1"/>
      <c r="Z62" s="3"/>
      <c r="AC62" s="2"/>
    </row>
    <row r="63" spans="4:29" x14ac:dyDescent="0.3">
      <c r="D63" s="1" t="s">
        <v>0</v>
      </c>
      <c r="E63" s="3" t="s">
        <v>1</v>
      </c>
      <c r="H63" s="2" t="s">
        <v>10</v>
      </c>
      <c r="K63" s="1" t="s">
        <v>0</v>
      </c>
      <c r="L63" s="3" t="s">
        <v>1</v>
      </c>
      <c r="O63" s="2" t="s">
        <v>10</v>
      </c>
      <c r="R63" s="1" t="s">
        <v>0</v>
      </c>
      <c r="S63" s="3" t="s">
        <v>1</v>
      </c>
      <c r="V63" s="2" t="str">
        <f>V60</f>
        <v>Interes mensual (15%)</v>
      </c>
      <c r="Y63" s="1" t="s">
        <v>0</v>
      </c>
      <c r="Z63" s="3" t="s">
        <v>1</v>
      </c>
      <c r="AC63" s="2" t="s">
        <v>10</v>
      </c>
    </row>
    <row r="64" spans="4:29" x14ac:dyDescent="0.3">
      <c r="D64" s="5">
        <f>D61+31</f>
        <v>44990</v>
      </c>
      <c r="E64" s="3">
        <v>15200</v>
      </c>
      <c r="H64" s="4">
        <f>E64*15%</f>
        <v>2280</v>
      </c>
      <c r="K64" s="5">
        <f>K61+31</f>
        <v>44990</v>
      </c>
      <c r="L64" s="3">
        <v>11400</v>
      </c>
      <c r="O64" s="4">
        <f>L64*15%</f>
        <v>1710</v>
      </c>
      <c r="R64" s="5">
        <f>R61+31</f>
        <v>44990</v>
      </c>
      <c r="S64" s="3">
        <v>15580</v>
      </c>
      <c r="V64" s="4">
        <f>S64*15%</f>
        <v>2337</v>
      </c>
      <c r="Y64" s="5">
        <f>Y61+31</f>
        <v>44990</v>
      </c>
      <c r="Z64" s="3">
        <v>22420</v>
      </c>
      <c r="AC64" s="4">
        <f>Z64*15%</f>
        <v>3363</v>
      </c>
    </row>
    <row r="65" spans="4:29" x14ac:dyDescent="0.3">
      <c r="D65" s="1"/>
      <c r="E65" s="6"/>
      <c r="H65" s="2"/>
      <c r="K65" s="1"/>
      <c r="L65" s="6"/>
      <c r="O65" s="2"/>
      <c r="R65" s="1"/>
      <c r="S65" s="6"/>
      <c r="V65" s="2"/>
      <c r="Y65" s="1"/>
      <c r="Z65" s="6"/>
      <c r="AC65" s="2"/>
    </row>
    <row r="66" spans="4:29" x14ac:dyDescent="0.3">
      <c r="D66" s="1" t="s">
        <v>0</v>
      </c>
      <c r="E66" s="6" t="s">
        <v>1</v>
      </c>
      <c r="H66" s="2" t="s">
        <v>10</v>
      </c>
      <c r="K66" s="1" t="s">
        <v>0</v>
      </c>
      <c r="L66" s="6" t="s">
        <v>1</v>
      </c>
      <c r="O66" s="2" t="s">
        <v>10</v>
      </c>
      <c r="R66" s="1" t="s">
        <v>0</v>
      </c>
      <c r="S66" s="6" t="s">
        <v>1</v>
      </c>
      <c r="V66" s="2" t="str">
        <f>V63</f>
        <v>Interes mensual (15%)</v>
      </c>
      <c r="Y66" s="1" t="s">
        <v>0</v>
      </c>
      <c r="Z66" s="6" t="s">
        <v>1</v>
      </c>
      <c r="AC66" s="2" t="s">
        <v>10</v>
      </c>
    </row>
    <row r="67" spans="4:29" x14ac:dyDescent="0.3">
      <c r="D67" s="5">
        <f t="shared" ref="D67" si="0">D64+31</f>
        <v>45021</v>
      </c>
      <c r="E67" s="3">
        <v>15200</v>
      </c>
      <c r="H67" s="4">
        <f>E67*15%</f>
        <v>2280</v>
      </c>
      <c r="K67" s="5">
        <f t="shared" ref="K67" si="1">K64+31</f>
        <v>45021</v>
      </c>
      <c r="L67" s="3">
        <v>11400</v>
      </c>
      <c r="O67" s="4">
        <f>L67*15%</f>
        <v>1710</v>
      </c>
      <c r="R67" s="5">
        <f t="shared" ref="R67" si="2">R64+31</f>
        <v>45021</v>
      </c>
      <c r="S67" s="6">
        <v>15580</v>
      </c>
      <c r="V67" s="4">
        <f>S67*15%</f>
        <v>2337</v>
      </c>
      <c r="Y67" s="5">
        <f t="shared" ref="Y67" si="3">Y64+31</f>
        <v>45021</v>
      </c>
      <c r="Z67" s="3">
        <v>22420</v>
      </c>
      <c r="AC67" s="4">
        <f>Z67*15%</f>
        <v>3363</v>
      </c>
    </row>
    <row r="68" spans="4:29" x14ac:dyDescent="0.3">
      <c r="D68" s="1"/>
      <c r="E68" s="3"/>
      <c r="H68" s="2"/>
      <c r="K68" s="1"/>
      <c r="L68" s="3"/>
      <c r="O68" s="2"/>
      <c r="R68" s="1"/>
      <c r="S68" s="3"/>
      <c r="V68" s="2"/>
      <c r="Y68" s="1"/>
      <c r="Z68" s="3"/>
      <c r="AC68" s="2"/>
    </row>
    <row r="69" spans="4:29" x14ac:dyDescent="0.3">
      <c r="D69" s="1" t="s">
        <v>0</v>
      </c>
      <c r="E69" s="3" t="s">
        <v>1</v>
      </c>
      <c r="H69" s="2" t="s">
        <v>10</v>
      </c>
      <c r="K69" s="1" t="s">
        <v>0</v>
      </c>
      <c r="L69" s="3" t="s">
        <v>1</v>
      </c>
      <c r="O69" s="2" t="s">
        <v>10</v>
      </c>
      <c r="R69" s="1" t="s">
        <v>0</v>
      </c>
      <c r="S69" s="3" t="s">
        <v>1</v>
      </c>
      <c r="V69" s="2" t="str">
        <f>V66</f>
        <v>Interes mensual (15%)</v>
      </c>
      <c r="Y69" s="1" t="s">
        <v>0</v>
      </c>
      <c r="Z69" s="3" t="s">
        <v>1</v>
      </c>
      <c r="AC69" s="2" t="s">
        <v>10</v>
      </c>
    </row>
    <row r="70" spans="4:29" x14ac:dyDescent="0.3">
      <c r="D70" s="5">
        <f t="shared" ref="D70" si="4">D67+31</f>
        <v>45052</v>
      </c>
      <c r="E70" s="3">
        <v>18000</v>
      </c>
      <c r="H70" s="4">
        <f>E70*15%</f>
        <v>2700</v>
      </c>
      <c r="K70" s="5">
        <f t="shared" ref="K70" si="5">K67+31</f>
        <v>45052</v>
      </c>
      <c r="L70" s="3">
        <v>13500</v>
      </c>
      <c r="O70" s="4">
        <f>L70*15%</f>
        <v>2025</v>
      </c>
      <c r="R70" s="5">
        <f t="shared" ref="R70" si="6">R67+31</f>
        <v>45052</v>
      </c>
      <c r="S70" s="3">
        <v>18450</v>
      </c>
      <c r="V70" s="4">
        <f>S70*15%</f>
        <v>2767.5</v>
      </c>
      <c r="Y70" s="5">
        <f t="shared" ref="Y70" si="7">Y67+31</f>
        <v>45052</v>
      </c>
      <c r="Z70" s="3">
        <v>26650</v>
      </c>
      <c r="AC70" s="4">
        <f>Z70*15%</f>
        <v>3997.5</v>
      </c>
    </row>
    <row r="71" spans="4:29" x14ac:dyDescent="0.3">
      <c r="D71" s="1"/>
      <c r="E71" s="3"/>
      <c r="H71" s="2"/>
      <c r="K71" s="1"/>
      <c r="L71" s="3"/>
      <c r="O71" s="2"/>
      <c r="R71" s="1"/>
      <c r="S71" s="3"/>
      <c r="V71" s="2"/>
      <c r="Y71" s="1"/>
      <c r="Z71" s="3"/>
      <c r="AC71" s="2"/>
    </row>
    <row r="72" spans="4:29" x14ac:dyDescent="0.3">
      <c r="D72" s="1" t="s">
        <v>0</v>
      </c>
      <c r="E72" s="3" t="s">
        <v>1</v>
      </c>
      <c r="H72" s="2" t="s">
        <v>10</v>
      </c>
      <c r="K72" s="1" t="s">
        <v>0</v>
      </c>
      <c r="L72" s="3" t="s">
        <v>1</v>
      </c>
      <c r="O72" s="2" t="s">
        <v>10</v>
      </c>
      <c r="R72" s="1" t="s">
        <v>0</v>
      </c>
      <c r="S72" s="3" t="s">
        <v>1</v>
      </c>
      <c r="V72" s="2" t="str">
        <f>V69</f>
        <v>Interes mensual (15%)</v>
      </c>
      <c r="Y72" s="1" t="s">
        <v>0</v>
      </c>
      <c r="Z72" s="3" t="s">
        <v>1</v>
      </c>
      <c r="AC72" s="2" t="s">
        <v>10</v>
      </c>
    </row>
    <row r="73" spans="4:29" x14ac:dyDescent="0.3">
      <c r="D73" s="5">
        <f t="shared" ref="D73" si="8">D70+31</f>
        <v>45083</v>
      </c>
      <c r="E73" s="3">
        <v>18000</v>
      </c>
      <c r="H73" s="4">
        <f>E73*15%</f>
        <v>2700</v>
      </c>
      <c r="K73" s="5">
        <f t="shared" ref="K73" si="9">K70+31</f>
        <v>45083</v>
      </c>
      <c r="L73" s="3">
        <v>13500</v>
      </c>
      <c r="O73" s="4">
        <f>L73*15%</f>
        <v>2025</v>
      </c>
      <c r="R73" s="5">
        <f t="shared" ref="R73" si="10">R70+31</f>
        <v>45083</v>
      </c>
      <c r="S73" s="3">
        <v>18450</v>
      </c>
      <c r="V73" s="4">
        <f>S73*15%</f>
        <v>2767.5</v>
      </c>
      <c r="Y73" s="5">
        <f t="shared" ref="Y73" si="11">Y70+31</f>
        <v>45083</v>
      </c>
      <c r="Z73" s="3">
        <v>26650</v>
      </c>
      <c r="AC73" s="4">
        <f>Z73*15%</f>
        <v>3997.5</v>
      </c>
    </row>
    <row r="74" spans="4:29" x14ac:dyDescent="0.3">
      <c r="D74" s="1"/>
      <c r="E74" s="3"/>
      <c r="H74" s="2"/>
      <c r="K74" s="1"/>
      <c r="L74" s="3"/>
      <c r="O74" s="2"/>
      <c r="R74" s="1"/>
      <c r="S74" s="3"/>
      <c r="V74" s="2"/>
      <c r="Y74" s="1"/>
      <c r="Z74" s="3"/>
      <c r="AC74" s="2"/>
    </row>
    <row r="75" spans="4:29" x14ac:dyDescent="0.3">
      <c r="D75" s="1" t="s">
        <v>0</v>
      </c>
      <c r="E75" s="3" t="s">
        <v>1</v>
      </c>
      <c r="H75" s="2" t="s">
        <v>10</v>
      </c>
      <c r="K75" s="1" t="s">
        <v>0</v>
      </c>
      <c r="L75" s="3" t="s">
        <v>1</v>
      </c>
      <c r="O75" s="2" t="s">
        <v>10</v>
      </c>
      <c r="R75" s="1" t="s">
        <v>0</v>
      </c>
      <c r="S75" s="3" t="s">
        <v>1</v>
      </c>
      <c r="V75" s="2" t="str">
        <f>V72</f>
        <v>Interes mensual (15%)</v>
      </c>
      <c r="Y75" s="1" t="s">
        <v>0</v>
      </c>
      <c r="Z75" s="3" t="s">
        <v>1</v>
      </c>
      <c r="AC75" s="2" t="s">
        <v>10</v>
      </c>
    </row>
    <row r="76" spans="4:29" x14ac:dyDescent="0.3">
      <c r="D76" s="5">
        <f t="shared" ref="D76" si="12">D73+31</f>
        <v>45114</v>
      </c>
      <c r="E76" s="3">
        <v>18000</v>
      </c>
      <c r="H76" s="4">
        <f>E76*15%</f>
        <v>2700</v>
      </c>
      <c r="K76" s="5">
        <f t="shared" ref="K76" si="13">K73+31</f>
        <v>45114</v>
      </c>
      <c r="L76" s="3">
        <v>13500</v>
      </c>
      <c r="O76" s="4">
        <f>L76*15%</f>
        <v>2025</v>
      </c>
      <c r="R76" s="5">
        <f t="shared" ref="R76" si="14">R73+31</f>
        <v>45114</v>
      </c>
      <c r="S76" s="3">
        <v>18450</v>
      </c>
      <c r="V76" s="4">
        <f>S76*15%</f>
        <v>2767.5</v>
      </c>
      <c r="Y76" s="5">
        <f t="shared" ref="Y76" si="15">Y73+31</f>
        <v>45114</v>
      </c>
      <c r="Z76" s="3">
        <v>26650</v>
      </c>
      <c r="AC76" s="4">
        <f>Z76*15%</f>
        <v>3997.5</v>
      </c>
    </row>
    <row r="77" spans="4:29" x14ac:dyDescent="0.3">
      <c r="D77" s="1"/>
      <c r="E77" s="3"/>
      <c r="H77" s="2"/>
      <c r="K77" s="1"/>
      <c r="L77" s="3"/>
      <c r="O77" s="2"/>
      <c r="R77" s="1"/>
      <c r="S77" s="3"/>
      <c r="V77" s="2"/>
      <c r="Y77" s="1"/>
      <c r="Z77" s="3"/>
      <c r="AC77" s="2"/>
    </row>
    <row r="78" spans="4:29" x14ac:dyDescent="0.3">
      <c r="D78" s="1" t="s">
        <v>0</v>
      </c>
      <c r="E78" s="3" t="s">
        <v>1</v>
      </c>
      <c r="H78" s="2" t="s">
        <v>10</v>
      </c>
      <c r="K78" s="1" t="s">
        <v>0</v>
      </c>
      <c r="L78" s="3" t="s">
        <v>1</v>
      </c>
      <c r="O78" s="2" t="s">
        <v>10</v>
      </c>
      <c r="R78" s="1" t="s">
        <v>0</v>
      </c>
      <c r="S78" s="3" t="s">
        <v>1</v>
      </c>
      <c r="V78" s="2" t="str">
        <f>V75</f>
        <v>Interes mensual (15%)</v>
      </c>
      <c r="Y78" s="1" t="s">
        <v>0</v>
      </c>
      <c r="Z78" s="3" t="s">
        <v>1</v>
      </c>
      <c r="AC78" s="2" t="s">
        <v>10</v>
      </c>
    </row>
    <row r="79" spans="4:29" x14ac:dyDescent="0.3">
      <c r="D79" s="5">
        <f t="shared" ref="D79" si="16">D76+31</f>
        <v>45145</v>
      </c>
      <c r="E79" s="3">
        <v>18000</v>
      </c>
      <c r="H79" s="4">
        <f>E79*15%</f>
        <v>2700</v>
      </c>
      <c r="K79" s="5">
        <f t="shared" ref="K79" si="17">K76+31</f>
        <v>45145</v>
      </c>
      <c r="L79" s="3">
        <v>13500</v>
      </c>
      <c r="O79" s="4">
        <f>L79*15%</f>
        <v>2025</v>
      </c>
      <c r="R79" s="5">
        <f t="shared" ref="R79" si="18">R76+31</f>
        <v>45145</v>
      </c>
      <c r="S79" s="3">
        <v>18450</v>
      </c>
      <c r="V79" s="4">
        <f>S79*15%</f>
        <v>2767.5</v>
      </c>
      <c r="Y79" s="5">
        <f t="shared" ref="Y79" si="19">Y76+31</f>
        <v>45145</v>
      </c>
      <c r="Z79" s="3">
        <v>26650</v>
      </c>
      <c r="AC79" s="4">
        <f>Z79*15%</f>
        <v>3997.5</v>
      </c>
    </row>
    <row r="80" spans="4:29" x14ac:dyDescent="0.3">
      <c r="D80" s="1"/>
      <c r="E80" s="3"/>
      <c r="H80" s="2"/>
      <c r="K80" s="1"/>
      <c r="L80" s="3"/>
      <c r="O80" s="2"/>
      <c r="R80" s="1"/>
      <c r="S80" s="3"/>
      <c r="V80" s="2"/>
      <c r="Y80" s="1"/>
      <c r="Z80" s="3"/>
      <c r="AC80" s="2"/>
    </row>
    <row r="81" spans="4:29" x14ac:dyDescent="0.3">
      <c r="D81" s="1" t="s">
        <v>0</v>
      </c>
      <c r="E81" s="3" t="s">
        <v>1</v>
      </c>
      <c r="H81" s="2" t="s">
        <v>10</v>
      </c>
      <c r="K81" s="1" t="s">
        <v>0</v>
      </c>
      <c r="L81" s="3" t="s">
        <v>1</v>
      </c>
      <c r="O81" s="2" t="s">
        <v>10</v>
      </c>
      <c r="R81" s="1" t="s">
        <v>0</v>
      </c>
      <c r="S81" s="3" t="s">
        <v>1</v>
      </c>
      <c r="V81" s="2" t="str">
        <f>V78</f>
        <v>Interes mensual (15%)</v>
      </c>
      <c r="Y81" s="1" t="s">
        <v>0</v>
      </c>
      <c r="Z81" s="3" t="s">
        <v>1</v>
      </c>
      <c r="AC81" s="2" t="s">
        <v>10</v>
      </c>
    </row>
    <row r="82" spans="4:29" x14ac:dyDescent="0.3">
      <c r="D82" s="5">
        <f t="shared" ref="D82" si="20">D79+31</f>
        <v>45176</v>
      </c>
      <c r="E82" s="3">
        <v>18000</v>
      </c>
      <c r="H82" s="4">
        <f>E82*15%</f>
        <v>2700</v>
      </c>
      <c r="K82" s="5">
        <f t="shared" ref="K82" si="21">K79+31</f>
        <v>45176</v>
      </c>
      <c r="L82" s="3">
        <v>13500</v>
      </c>
      <c r="O82" s="4">
        <f>L82*15%</f>
        <v>2025</v>
      </c>
      <c r="R82" s="5">
        <f t="shared" ref="R82" si="22">R79+31</f>
        <v>45176</v>
      </c>
      <c r="S82" s="3">
        <v>18450</v>
      </c>
      <c r="V82" s="4">
        <f>S82*15%</f>
        <v>2767.5</v>
      </c>
      <c r="Y82" s="5">
        <f t="shared" ref="Y82" si="23">Y79+31</f>
        <v>45176</v>
      </c>
      <c r="Z82" s="3">
        <v>26650</v>
      </c>
      <c r="AC82" s="4">
        <f>Z82*15%</f>
        <v>3997.5</v>
      </c>
    </row>
    <row r="83" spans="4:29" x14ac:dyDescent="0.3">
      <c r="D83" s="1"/>
      <c r="E83" s="3"/>
      <c r="H83" s="2"/>
      <c r="K83" s="1"/>
      <c r="L83" s="3"/>
      <c r="O83" s="2"/>
      <c r="R83" s="1"/>
      <c r="S83" s="3"/>
      <c r="V83" s="2"/>
      <c r="Y83" s="1"/>
      <c r="Z83" s="3"/>
      <c r="AC83" s="2"/>
    </row>
    <row r="84" spans="4:29" x14ac:dyDescent="0.3">
      <c r="D84" s="1" t="s">
        <v>0</v>
      </c>
      <c r="E84" s="3" t="s">
        <v>1</v>
      </c>
      <c r="H84" s="2" t="s">
        <v>10</v>
      </c>
      <c r="K84" s="1" t="s">
        <v>0</v>
      </c>
      <c r="L84" s="3" t="s">
        <v>1</v>
      </c>
      <c r="O84" s="2" t="s">
        <v>10</v>
      </c>
      <c r="R84" s="1" t="s">
        <v>0</v>
      </c>
      <c r="S84" s="3" t="s">
        <v>1</v>
      </c>
      <c r="V84" s="2" t="str">
        <f>V81</f>
        <v>Interes mensual (15%)</v>
      </c>
      <c r="Y84" s="1" t="s">
        <v>0</v>
      </c>
      <c r="Z84" s="3" t="s">
        <v>1</v>
      </c>
      <c r="AC84" s="2" t="s">
        <v>10</v>
      </c>
    </row>
    <row r="85" spans="4:29" x14ac:dyDescent="0.3">
      <c r="D85" s="5">
        <f t="shared" ref="D85" si="24">D82+31</f>
        <v>45207</v>
      </c>
      <c r="E85" s="3">
        <v>18000</v>
      </c>
      <c r="H85" s="4">
        <f>E85*15%</f>
        <v>2700</v>
      </c>
      <c r="K85" s="5">
        <f t="shared" ref="K85" si="25">K82+31</f>
        <v>45207</v>
      </c>
      <c r="L85" s="3">
        <v>13500</v>
      </c>
      <c r="O85" s="4">
        <f>L85*15%</f>
        <v>2025</v>
      </c>
      <c r="R85" s="5">
        <f t="shared" ref="R85" si="26">R82+31</f>
        <v>45207</v>
      </c>
      <c r="S85" s="3">
        <v>18450</v>
      </c>
      <c r="V85" s="4">
        <f>S85*15%</f>
        <v>2767.5</v>
      </c>
      <c r="Y85" s="5">
        <f t="shared" ref="Y85" si="27">Y82+31</f>
        <v>45207</v>
      </c>
      <c r="Z85" s="3">
        <v>26650</v>
      </c>
      <c r="AC85" s="4">
        <f>Z85*15%</f>
        <v>3997.5</v>
      </c>
    </row>
    <row r="86" spans="4:29" x14ac:dyDescent="0.3">
      <c r="D86" s="1"/>
      <c r="E86" s="3"/>
      <c r="H86" s="2"/>
      <c r="K86" s="1"/>
      <c r="L86" s="3"/>
      <c r="O86" s="2"/>
      <c r="R86" s="1"/>
      <c r="S86" s="3"/>
      <c r="V86" s="2"/>
      <c r="Y86" s="1"/>
      <c r="Z86" s="3"/>
      <c r="AC86" s="2"/>
    </row>
    <row r="87" spans="4:29" x14ac:dyDescent="0.3">
      <c r="D87" s="1" t="s">
        <v>0</v>
      </c>
      <c r="E87" s="3" t="s">
        <v>1</v>
      </c>
      <c r="H87" s="2" t="s">
        <v>10</v>
      </c>
      <c r="K87" s="1" t="s">
        <v>0</v>
      </c>
      <c r="L87" s="3" t="s">
        <v>1</v>
      </c>
      <c r="O87" s="2" t="s">
        <v>10</v>
      </c>
      <c r="R87" s="1" t="s">
        <v>0</v>
      </c>
      <c r="S87" s="3" t="s">
        <v>1</v>
      </c>
      <c r="V87" s="2" t="str">
        <f>V84</f>
        <v>Interes mensual (15%)</v>
      </c>
      <c r="Y87" s="1" t="s">
        <v>0</v>
      </c>
      <c r="Z87" s="3" t="s">
        <v>1</v>
      </c>
      <c r="AC87" s="2" t="s">
        <v>10</v>
      </c>
    </row>
    <row r="88" spans="4:29" x14ac:dyDescent="0.3">
      <c r="D88" s="5">
        <f t="shared" ref="D88" si="28">D85+31</f>
        <v>45238</v>
      </c>
      <c r="E88" s="3">
        <v>26000</v>
      </c>
      <c r="H88" s="4">
        <f>E88*15%</f>
        <v>3900</v>
      </c>
      <c r="K88" s="5">
        <f t="shared" ref="K88" si="29">K85+31</f>
        <v>45238</v>
      </c>
      <c r="L88" s="3">
        <v>19500</v>
      </c>
      <c r="O88" s="4">
        <f>L88*15%</f>
        <v>2925</v>
      </c>
      <c r="R88" s="5">
        <f t="shared" ref="R88" si="30">R85+31</f>
        <v>45238</v>
      </c>
      <c r="S88" s="3">
        <v>26650</v>
      </c>
      <c r="V88" s="4">
        <f>S88*15%</f>
        <v>3997.5</v>
      </c>
      <c r="Y88" s="5">
        <f t="shared" ref="Y88" si="31">Y85+31</f>
        <v>45238</v>
      </c>
      <c r="Z88" s="3">
        <v>38350</v>
      </c>
      <c r="AC88" s="4">
        <f>Z88*15%</f>
        <v>5752.5</v>
      </c>
    </row>
    <row r="89" spans="4:29" x14ac:dyDescent="0.3">
      <c r="D89" s="1"/>
      <c r="E89" s="3"/>
      <c r="H89" s="2"/>
      <c r="K89" s="1"/>
      <c r="L89" s="3"/>
      <c r="O89" s="2"/>
      <c r="R89" s="1"/>
      <c r="S89" s="3"/>
      <c r="V89" s="2"/>
      <c r="Y89" s="1"/>
      <c r="Z89" s="3"/>
      <c r="AC89" s="2"/>
    </row>
    <row r="90" spans="4:29" x14ac:dyDescent="0.3">
      <c r="D90" s="1" t="s">
        <v>0</v>
      </c>
      <c r="E90" s="3" t="s">
        <v>1</v>
      </c>
      <c r="H90" s="2" t="s">
        <v>10</v>
      </c>
      <c r="K90" s="1" t="s">
        <v>0</v>
      </c>
      <c r="L90" s="3" t="s">
        <v>1</v>
      </c>
      <c r="O90" s="2" t="s">
        <v>10</v>
      </c>
      <c r="R90" s="1" t="s">
        <v>0</v>
      </c>
      <c r="S90" s="3" t="s">
        <v>1</v>
      </c>
      <c r="V90" s="2" t="str">
        <f>V87</f>
        <v>Interes mensual (15%)</v>
      </c>
      <c r="Y90" s="1" t="s">
        <v>0</v>
      </c>
      <c r="Z90" s="3" t="s">
        <v>1</v>
      </c>
      <c r="AC90" s="2" t="s">
        <v>10</v>
      </c>
    </row>
    <row r="91" spans="4:29" x14ac:dyDescent="0.3">
      <c r="D91" s="5">
        <f t="shared" ref="D91" si="32">D88+31</f>
        <v>45269</v>
      </c>
      <c r="E91" s="3">
        <v>26000</v>
      </c>
      <c r="H91" s="4">
        <f>E91*15%</f>
        <v>3900</v>
      </c>
      <c r="K91" s="5">
        <f t="shared" ref="K91" si="33">K88+31</f>
        <v>45269</v>
      </c>
      <c r="L91" s="3">
        <v>19500</v>
      </c>
      <c r="O91" s="4">
        <f>L91*15%</f>
        <v>2925</v>
      </c>
      <c r="R91" s="5">
        <f t="shared" ref="R91" si="34">R88+31</f>
        <v>45269</v>
      </c>
      <c r="S91" s="3">
        <v>26650</v>
      </c>
      <c r="V91" s="4">
        <f>S91*15%</f>
        <v>3997.5</v>
      </c>
      <c r="Y91" s="5">
        <f t="shared" ref="Y91" si="35">Y88+31</f>
        <v>45269</v>
      </c>
      <c r="Z91" s="3">
        <v>38350</v>
      </c>
      <c r="AC91" s="4">
        <f>Z91*15%</f>
        <v>5752.5</v>
      </c>
    </row>
    <row r="92" spans="4:29" x14ac:dyDescent="0.3">
      <c r="D92" s="1"/>
      <c r="E92" s="7"/>
      <c r="H92" s="2"/>
      <c r="K92" s="1"/>
      <c r="L92" s="7"/>
      <c r="O92" s="2"/>
      <c r="R92" s="1"/>
      <c r="S92" s="7"/>
      <c r="V92" s="2"/>
      <c r="Y92" s="1"/>
      <c r="Z92" s="7"/>
      <c r="AC92" s="2"/>
    </row>
    <row r="93" spans="4:29" x14ac:dyDescent="0.3">
      <c r="D93" s="1" t="s">
        <v>0</v>
      </c>
      <c r="E93" s="6" t="s">
        <v>1</v>
      </c>
      <c r="H93" s="2" t="s">
        <v>10</v>
      </c>
      <c r="K93" s="1" t="s">
        <v>0</v>
      </c>
      <c r="L93" s="6" t="s">
        <v>1</v>
      </c>
      <c r="O93" s="2" t="s">
        <v>10</v>
      </c>
      <c r="R93" s="1" t="s">
        <v>0</v>
      </c>
      <c r="S93" s="6" t="s">
        <v>1</v>
      </c>
      <c r="V93" s="2" t="str">
        <f>V90</f>
        <v>Interes mensual (15%)</v>
      </c>
      <c r="Y93" s="1" t="s">
        <v>0</v>
      </c>
      <c r="Z93" s="6" t="s">
        <v>1</v>
      </c>
      <c r="AC93" s="2" t="s">
        <v>10</v>
      </c>
    </row>
    <row r="94" spans="4:29" x14ac:dyDescent="0.3">
      <c r="D94" s="5">
        <f t="shared" ref="D94" si="36">D91+31</f>
        <v>45300</v>
      </c>
      <c r="E94" s="3">
        <v>26000</v>
      </c>
      <c r="H94" s="4">
        <f>E94*15%</f>
        <v>3900</v>
      </c>
      <c r="K94" s="5">
        <f t="shared" ref="K94" si="37">K91+31</f>
        <v>45300</v>
      </c>
      <c r="L94" s="3">
        <v>19500</v>
      </c>
      <c r="O94" s="4">
        <f>L94*15%</f>
        <v>2925</v>
      </c>
      <c r="R94" s="5">
        <f t="shared" ref="R94" si="38">R91+31</f>
        <v>45300</v>
      </c>
      <c r="S94" s="3">
        <v>26650</v>
      </c>
      <c r="V94" s="4">
        <f>S94*15%</f>
        <v>3997.5</v>
      </c>
      <c r="Y94" s="5">
        <f t="shared" ref="Y94" si="39">Y91+31</f>
        <v>45300</v>
      </c>
      <c r="Z94" s="3">
        <v>38350</v>
      </c>
      <c r="AC94" s="4">
        <f>Z94*15%</f>
        <v>5752.5</v>
      </c>
    </row>
    <row r="95" spans="4:29" x14ac:dyDescent="0.3">
      <c r="D95" s="1"/>
      <c r="H95" s="2"/>
      <c r="K95" s="1"/>
      <c r="O95" s="2"/>
      <c r="R95" s="1"/>
      <c r="V95" s="2"/>
      <c r="Y95" s="1"/>
      <c r="AC95" s="2"/>
    </row>
    <row r="96" spans="4:29" x14ac:dyDescent="0.3">
      <c r="D96" s="1" t="s">
        <v>0</v>
      </c>
      <c r="E96" s="3" t="s">
        <v>1</v>
      </c>
      <c r="H96" s="2" t="s">
        <v>10</v>
      </c>
      <c r="K96" s="1" t="s">
        <v>0</v>
      </c>
      <c r="L96" s="3" t="s">
        <v>1</v>
      </c>
      <c r="O96" s="2" t="s">
        <v>10</v>
      </c>
      <c r="R96" s="1" t="s">
        <v>0</v>
      </c>
      <c r="S96" s="3" t="s">
        <v>1</v>
      </c>
      <c r="V96" s="2" t="str">
        <f>V93</f>
        <v>Interes mensual (15%)</v>
      </c>
      <c r="Y96" s="1" t="s">
        <v>0</v>
      </c>
      <c r="Z96" s="3" t="s">
        <v>1</v>
      </c>
      <c r="AC96" s="2" t="s">
        <v>10</v>
      </c>
    </row>
    <row r="97" spans="4:29" x14ac:dyDescent="0.3">
      <c r="D97" s="5">
        <f t="shared" ref="D97" si="40">D94+31</f>
        <v>45331</v>
      </c>
      <c r="E97" s="3">
        <v>31200</v>
      </c>
      <c r="H97" s="4">
        <f>E97*15%</f>
        <v>4680</v>
      </c>
      <c r="K97" s="5">
        <f t="shared" ref="K97" si="41">K94+31</f>
        <v>45331</v>
      </c>
      <c r="L97" s="3">
        <v>23400</v>
      </c>
      <c r="O97" s="4">
        <f>L97*15%</f>
        <v>3510</v>
      </c>
      <c r="R97" s="5">
        <f t="shared" ref="R97" si="42">R94+31</f>
        <v>45331</v>
      </c>
      <c r="S97" s="3">
        <v>31980</v>
      </c>
      <c r="V97" s="4">
        <f>S97*15%</f>
        <v>4797</v>
      </c>
      <c r="Y97" s="5">
        <f t="shared" ref="Y97" si="43">Y94+31</f>
        <v>45331</v>
      </c>
      <c r="Z97" s="3">
        <v>46020</v>
      </c>
      <c r="AC97" s="4">
        <f>Z97*15%</f>
        <v>6903</v>
      </c>
    </row>
    <row r="98" spans="4:29" x14ac:dyDescent="0.3">
      <c r="D98" s="1"/>
      <c r="H98" s="2"/>
      <c r="K98" s="1"/>
      <c r="O98" s="2"/>
      <c r="R98" s="1"/>
      <c r="V98" s="2"/>
      <c r="Y98" s="1"/>
      <c r="AC98" s="2"/>
    </row>
    <row r="99" spans="4:29" x14ac:dyDescent="0.3">
      <c r="D99" s="1" t="s">
        <v>0</v>
      </c>
      <c r="E99" s="3" t="s">
        <v>1</v>
      </c>
      <c r="H99" s="2" t="s">
        <v>10</v>
      </c>
      <c r="K99" s="1" t="s">
        <v>0</v>
      </c>
      <c r="L99" s="3" t="s">
        <v>1</v>
      </c>
      <c r="O99" s="2" t="s">
        <v>10</v>
      </c>
      <c r="R99" s="1" t="s">
        <v>0</v>
      </c>
      <c r="S99" s="3" t="s">
        <v>1</v>
      </c>
      <c r="V99" s="2" t="str">
        <f>V96</f>
        <v>Interes mensual (15%)</v>
      </c>
      <c r="Y99" s="1" t="s">
        <v>0</v>
      </c>
      <c r="Z99" s="3" t="s">
        <v>1</v>
      </c>
      <c r="AC99" s="2" t="s">
        <v>10</v>
      </c>
    </row>
    <row r="100" spans="4:29" x14ac:dyDescent="0.3">
      <c r="D100" s="5">
        <f t="shared" ref="D100" si="44">D97+31</f>
        <v>45362</v>
      </c>
      <c r="E100" s="3">
        <v>31200</v>
      </c>
      <c r="H100" s="4">
        <f>E100*15%</f>
        <v>4680</v>
      </c>
      <c r="K100" s="5">
        <f t="shared" ref="K100" si="45">K97+31</f>
        <v>45362</v>
      </c>
      <c r="L100" s="3">
        <v>23400</v>
      </c>
      <c r="O100" s="4">
        <f>L100*15%</f>
        <v>3510</v>
      </c>
      <c r="R100" s="5">
        <f t="shared" ref="R100" si="46">R97+31</f>
        <v>45362</v>
      </c>
      <c r="S100" s="3">
        <v>31980</v>
      </c>
      <c r="V100" s="4">
        <f>S100*15%</f>
        <v>4797</v>
      </c>
      <c r="Y100" s="5">
        <f t="shared" ref="Y100" si="47">Y97+31</f>
        <v>45362</v>
      </c>
      <c r="Z100" s="3">
        <v>46020</v>
      </c>
      <c r="AC100" s="4">
        <f>Z100*15%</f>
        <v>6903</v>
      </c>
    </row>
    <row r="101" spans="4:29" x14ac:dyDescent="0.3">
      <c r="D101" s="1"/>
      <c r="H101" s="2"/>
      <c r="K101" s="1"/>
      <c r="O101" s="2"/>
      <c r="R101" s="1"/>
      <c r="V101" s="2"/>
      <c r="Y101" s="1"/>
      <c r="AC101" s="2"/>
    </row>
    <row r="102" spans="4:29" x14ac:dyDescent="0.3">
      <c r="D102" s="1" t="s">
        <v>0</v>
      </c>
      <c r="E102" s="3" t="s">
        <v>1</v>
      </c>
      <c r="H102" s="2" t="s">
        <v>10</v>
      </c>
      <c r="K102" s="1" t="s">
        <v>0</v>
      </c>
      <c r="L102" s="3" t="s">
        <v>1</v>
      </c>
      <c r="O102" s="2" t="s">
        <v>10</v>
      </c>
      <c r="R102" s="1" t="s">
        <v>0</v>
      </c>
      <c r="S102" s="3" t="s">
        <v>1</v>
      </c>
      <c r="V102" s="2" t="str">
        <f>V99</f>
        <v>Interes mensual (15%)</v>
      </c>
      <c r="Y102" s="1" t="s">
        <v>0</v>
      </c>
      <c r="Z102" s="3" t="s">
        <v>1</v>
      </c>
      <c r="AC102" s="2" t="s">
        <v>10</v>
      </c>
    </row>
    <row r="103" spans="4:29" x14ac:dyDescent="0.3">
      <c r="D103" s="5">
        <f t="shared" ref="D103" si="48">D100+31</f>
        <v>45393</v>
      </c>
      <c r="E103" s="3">
        <v>31200</v>
      </c>
      <c r="H103" s="4">
        <f>E103*15%</f>
        <v>4680</v>
      </c>
      <c r="K103" s="5">
        <f t="shared" ref="K103" si="49">K100+31</f>
        <v>45393</v>
      </c>
      <c r="L103" s="3">
        <v>23400</v>
      </c>
      <c r="O103" s="4">
        <f>L103*15%</f>
        <v>3510</v>
      </c>
      <c r="R103" s="5">
        <f t="shared" ref="R103" si="50">R100+31</f>
        <v>45393</v>
      </c>
      <c r="S103" s="3">
        <v>31980</v>
      </c>
      <c r="V103" s="4">
        <f>S103*15%</f>
        <v>4797</v>
      </c>
      <c r="Y103" s="5">
        <f t="shared" ref="Y103" si="51">Y100+31</f>
        <v>45393</v>
      </c>
      <c r="Z103" s="3">
        <v>46020</v>
      </c>
      <c r="AC103" s="4">
        <f>Z103*15%</f>
        <v>6903</v>
      </c>
    </row>
    <row r="104" spans="4:29" x14ac:dyDescent="0.3">
      <c r="D104" s="1"/>
      <c r="H104" s="2"/>
      <c r="K104" s="1"/>
      <c r="O104" s="2"/>
      <c r="R104" s="1"/>
      <c r="V104" s="2"/>
      <c r="Y104" s="1"/>
      <c r="AC104" s="2"/>
    </row>
    <row r="105" spans="4:29" x14ac:dyDescent="0.3">
      <c r="D105" s="1" t="s">
        <v>0</v>
      </c>
      <c r="E105" s="3" t="s">
        <v>1</v>
      </c>
      <c r="H105" s="2" t="s">
        <v>10</v>
      </c>
      <c r="K105" s="1" t="s">
        <v>0</v>
      </c>
      <c r="L105" s="3" t="s">
        <v>1</v>
      </c>
      <c r="O105" s="2" t="s">
        <v>10</v>
      </c>
      <c r="R105" s="1" t="s">
        <v>0</v>
      </c>
      <c r="S105" s="3" t="s">
        <v>1</v>
      </c>
      <c r="V105" s="2" t="str">
        <f>V102</f>
        <v>Interes mensual (15%)</v>
      </c>
      <c r="Y105" s="1" t="s">
        <v>0</v>
      </c>
      <c r="Z105" s="3" t="s">
        <v>1</v>
      </c>
      <c r="AC105" s="2" t="s">
        <v>10</v>
      </c>
    </row>
    <row r="106" spans="4:29" x14ac:dyDescent="0.3">
      <c r="D106" s="5">
        <f t="shared" ref="D106" si="52">D103+31</f>
        <v>45424</v>
      </c>
      <c r="E106" s="3">
        <v>31200</v>
      </c>
      <c r="H106" s="4">
        <f>E106*15%</f>
        <v>4680</v>
      </c>
      <c r="K106" s="5">
        <f t="shared" ref="K106" si="53">K103+31</f>
        <v>45424</v>
      </c>
      <c r="L106" s="3">
        <v>23400</v>
      </c>
      <c r="O106" s="4">
        <f>L106*15%</f>
        <v>3510</v>
      </c>
      <c r="R106" s="5">
        <f t="shared" ref="R106" si="54">R103+31</f>
        <v>45424</v>
      </c>
      <c r="S106" s="3">
        <v>31980</v>
      </c>
      <c r="V106" s="4">
        <f>S106*15%</f>
        <v>4797</v>
      </c>
      <c r="Y106" s="5">
        <f t="shared" ref="Y106" si="55">Y103+31</f>
        <v>45424</v>
      </c>
      <c r="Z106" s="3">
        <v>46020</v>
      </c>
      <c r="AC106" s="4">
        <f>Z106*15%</f>
        <v>6903</v>
      </c>
    </row>
    <row r="107" spans="4:29" x14ac:dyDescent="0.3">
      <c r="D107" s="1"/>
      <c r="H107" s="2"/>
      <c r="K107" s="1"/>
      <c r="O107" s="2"/>
      <c r="R107" s="1"/>
      <c r="V107" s="2"/>
      <c r="Y107" s="1"/>
      <c r="AC107" s="2"/>
    </row>
    <row r="108" spans="4:29" x14ac:dyDescent="0.3">
      <c r="D108" s="1" t="s">
        <v>0</v>
      </c>
      <c r="E108" s="3" t="s">
        <v>1</v>
      </c>
      <c r="H108" s="2" t="s">
        <v>10</v>
      </c>
      <c r="K108" s="1" t="s">
        <v>0</v>
      </c>
      <c r="L108" s="3" t="s">
        <v>1</v>
      </c>
      <c r="O108" s="2" t="s">
        <v>10</v>
      </c>
      <c r="R108" s="1" t="s">
        <v>0</v>
      </c>
      <c r="S108" s="3" t="s">
        <v>1</v>
      </c>
      <c r="V108" s="2" t="str">
        <f>V105</f>
        <v>Interes mensual (15%)</v>
      </c>
      <c r="Y108" s="1" t="s">
        <v>0</v>
      </c>
      <c r="Z108" s="3" t="s">
        <v>1</v>
      </c>
      <c r="AC108" s="2" t="s">
        <v>10</v>
      </c>
    </row>
    <row r="109" spans="4:29" x14ac:dyDescent="0.3">
      <c r="D109" s="5">
        <f t="shared" ref="D109" si="56">D106+31</f>
        <v>45455</v>
      </c>
      <c r="E109" s="3">
        <v>31200</v>
      </c>
      <c r="H109" s="4">
        <f>E109*15%</f>
        <v>4680</v>
      </c>
      <c r="K109" s="5">
        <f t="shared" ref="K109" si="57">K106+31</f>
        <v>45455</v>
      </c>
      <c r="L109" s="3">
        <v>23400</v>
      </c>
      <c r="O109" s="4">
        <f>L109*15%</f>
        <v>3510</v>
      </c>
      <c r="R109" s="5">
        <f t="shared" ref="R109" si="58">R106+31</f>
        <v>45455</v>
      </c>
      <c r="S109" s="3">
        <v>31980</v>
      </c>
      <c r="V109" s="4">
        <f>S109*15%</f>
        <v>4797</v>
      </c>
      <c r="Y109" s="5">
        <f t="shared" ref="Y109" si="59">Y106+31</f>
        <v>45455</v>
      </c>
      <c r="Z109" s="3">
        <v>46020</v>
      </c>
      <c r="AC109" s="4">
        <f>Z109*15%</f>
        <v>6903</v>
      </c>
    </row>
    <row r="110" spans="4:29" x14ac:dyDescent="0.3">
      <c r="D110" s="1"/>
      <c r="H110" s="2"/>
      <c r="K110" s="1"/>
      <c r="O110" s="2"/>
      <c r="R110" s="1"/>
      <c r="V110" s="2"/>
      <c r="Y110" s="1"/>
      <c r="AC110" s="2"/>
    </row>
    <row r="111" spans="4:29" x14ac:dyDescent="0.3">
      <c r="D111" s="1" t="s">
        <v>0</v>
      </c>
      <c r="E111" s="3" t="s">
        <v>1</v>
      </c>
      <c r="H111" s="2" t="s">
        <v>10</v>
      </c>
      <c r="K111" s="1" t="s">
        <v>0</v>
      </c>
      <c r="L111" s="3" t="s">
        <v>1</v>
      </c>
      <c r="O111" s="2" t="s">
        <v>10</v>
      </c>
      <c r="R111" s="1" t="s">
        <v>0</v>
      </c>
      <c r="S111" s="3" t="s">
        <v>1</v>
      </c>
      <c r="V111" s="2" t="str">
        <f>V108</f>
        <v>Interes mensual (15%)</v>
      </c>
      <c r="Y111" s="1" t="s">
        <v>0</v>
      </c>
      <c r="Z111" s="3" t="s">
        <v>1</v>
      </c>
      <c r="AC111" s="2" t="s">
        <v>10</v>
      </c>
    </row>
    <row r="112" spans="4:29" x14ac:dyDescent="0.3">
      <c r="D112" s="5">
        <f t="shared" ref="D112" si="60">D109+31</f>
        <v>45486</v>
      </c>
      <c r="E112" s="3">
        <v>31200</v>
      </c>
      <c r="H112" s="4">
        <f>E112*15%</f>
        <v>4680</v>
      </c>
      <c r="K112" s="5">
        <f t="shared" ref="K112" si="61">K109+31</f>
        <v>45486</v>
      </c>
      <c r="L112" s="3">
        <v>23400</v>
      </c>
      <c r="O112" s="4">
        <f>L112*15%</f>
        <v>3510</v>
      </c>
      <c r="R112" s="5">
        <f t="shared" ref="R112" si="62">R109+31</f>
        <v>45486</v>
      </c>
      <c r="S112" s="3">
        <v>31980</v>
      </c>
      <c r="V112" s="4">
        <f>S112*15%</f>
        <v>4797</v>
      </c>
      <c r="Y112" s="5">
        <f t="shared" ref="Y112" si="63">Y109+31</f>
        <v>45486</v>
      </c>
      <c r="Z112" s="3">
        <v>46020</v>
      </c>
      <c r="AC112" s="4">
        <f>Z112*15%</f>
        <v>6903</v>
      </c>
    </row>
    <row r="113" spans="4:29" x14ac:dyDescent="0.3">
      <c r="D113" s="1"/>
      <c r="H113" s="2"/>
      <c r="K113" s="1"/>
      <c r="O113" s="2"/>
      <c r="R113" s="1"/>
      <c r="V113" s="2"/>
      <c r="Y113" s="1"/>
      <c r="AC113" s="2"/>
    </row>
    <row r="114" spans="4:29" x14ac:dyDescent="0.3">
      <c r="D114" s="1" t="s">
        <v>0</v>
      </c>
      <c r="E114" s="3" t="s">
        <v>1</v>
      </c>
      <c r="H114" s="2" t="s">
        <v>10</v>
      </c>
      <c r="K114" s="1" t="s">
        <v>0</v>
      </c>
      <c r="L114" s="3" t="s">
        <v>1</v>
      </c>
      <c r="O114" s="2" t="s">
        <v>10</v>
      </c>
      <c r="R114" s="1" t="s">
        <v>0</v>
      </c>
      <c r="S114" s="3" t="s">
        <v>1</v>
      </c>
      <c r="V114" s="2" t="str">
        <f>V111</f>
        <v>Interes mensual (15%)</v>
      </c>
      <c r="Y114" s="1" t="s">
        <v>0</v>
      </c>
      <c r="Z114" s="3" t="s">
        <v>1</v>
      </c>
      <c r="AC114" s="2" t="s">
        <v>10</v>
      </c>
    </row>
    <row r="115" spans="4:29" x14ac:dyDescent="0.3">
      <c r="D115" s="5">
        <f t="shared" ref="D115" si="64">D112+31</f>
        <v>45517</v>
      </c>
      <c r="E115" s="3">
        <v>31200</v>
      </c>
      <c r="H115" s="4">
        <f>E115*15%</f>
        <v>4680</v>
      </c>
      <c r="K115" s="5">
        <f t="shared" ref="K115" si="65">K112+31</f>
        <v>45517</v>
      </c>
      <c r="L115" s="3">
        <v>23400</v>
      </c>
      <c r="O115" s="4">
        <f>L115*15%</f>
        <v>3510</v>
      </c>
      <c r="R115" s="5">
        <f t="shared" ref="R115" si="66">R112+31</f>
        <v>45517</v>
      </c>
      <c r="S115" s="3">
        <v>31980</v>
      </c>
      <c r="V115" s="4">
        <f>S115*15%</f>
        <v>4797</v>
      </c>
      <c r="Y115" s="5">
        <f t="shared" ref="Y115" si="67">Y112+31</f>
        <v>45517</v>
      </c>
      <c r="Z115" s="3">
        <v>46020</v>
      </c>
      <c r="AC115" s="4">
        <f>Z115*15%</f>
        <v>6903</v>
      </c>
    </row>
    <row r="116" spans="4:29" x14ac:dyDescent="0.3">
      <c r="D116" s="1"/>
      <c r="H116" s="2"/>
      <c r="K116" s="1"/>
      <c r="O116" s="2"/>
      <c r="R116" s="1"/>
      <c r="V116" s="2"/>
      <c r="Y116" s="1"/>
      <c r="AC116" s="2"/>
    </row>
    <row r="117" spans="4:29" x14ac:dyDescent="0.3">
      <c r="D117" s="1" t="s">
        <v>0</v>
      </c>
      <c r="E117" s="3" t="s">
        <v>1</v>
      </c>
      <c r="F117" t="s">
        <v>2</v>
      </c>
      <c r="H117" s="2" t="s">
        <v>10</v>
      </c>
      <c r="K117" s="1" t="s">
        <v>0</v>
      </c>
      <c r="L117" s="3" t="s">
        <v>1</v>
      </c>
      <c r="M117" t="s">
        <v>2</v>
      </c>
      <c r="O117" s="2" t="s">
        <v>10</v>
      </c>
      <c r="R117" s="1" t="s">
        <v>0</v>
      </c>
      <c r="S117" s="3" t="s">
        <v>1</v>
      </c>
      <c r="T117" t="s">
        <v>2</v>
      </c>
      <c r="V117" s="2" t="str">
        <f>V114</f>
        <v>Interes mensual (15%)</v>
      </c>
      <c r="Y117" s="1" t="s">
        <v>0</v>
      </c>
      <c r="Z117" s="3" t="s">
        <v>1</v>
      </c>
      <c r="AA117" t="s">
        <v>2</v>
      </c>
      <c r="AC117" s="2" t="s">
        <v>10</v>
      </c>
    </row>
    <row r="118" spans="4:29" x14ac:dyDescent="0.3">
      <c r="D118" s="5">
        <f t="shared" ref="D118" si="68">D115+31</f>
        <v>45548</v>
      </c>
      <c r="E118" s="3">
        <v>40000</v>
      </c>
      <c r="F118" s="3">
        <v>40000</v>
      </c>
      <c r="H118" s="4">
        <f>E118*15%+F118*15%</f>
        <v>12000</v>
      </c>
      <c r="K118" s="5">
        <f t="shared" ref="K118" si="69">K115+31</f>
        <v>45548</v>
      </c>
      <c r="L118" s="3">
        <v>30000</v>
      </c>
      <c r="M118" s="3">
        <v>30000</v>
      </c>
      <c r="O118" s="4">
        <f>L118*15%+M118*15%</f>
        <v>9000</v>
      </c>
      <c r="R118" s="5">
        <f t="shared" ref="R118" si="70">R115+31</f>
        <v>45548</v>
      </c>
      <c r="S118" s="3">
        <v>41000</v>
      </c>
      <c r="T118" s="3">
        <v>41000</v>
      </c>
      <c r="V118" s="4">
        <f>S118*15%+T118*15%</f>
        <v>12300</v>
      </c>
      <c r="Y118" s="5">
        <f t="shared" ref="Y118" si="71">Y115+31</f>
        <v>45548</v>
      </c>
      <c r="Z118" s="3">
        <v>59000</v>
      </c>
      <c r="AA118" s="3">
        <v>59000</v>
      </c>
      <c r="AC118" s="4">
        <f>Z118*15%+AA118*15%</f>
        <v>17700</v>
      </c>
    </row>
    <row r="119" spans="4:29" x14ac:dyDescent="0.3">
      <c r="D119" s="1"/>
      <c r="H119" s="2"/>
      <c r="K119" s="1"/>
      <c r="O119" s="2"/>
      <c r="R119" s="1"/>
      <c r="V119" s="2"/>
      <c r="Y119" s="1"/>
      <c r="AC119" s="2"/>
    </row>
    <row r="120" spans="4:29" x14ac:dyDescent="0.3">
      <c r="D120" s="1" t="s">
        <v>0</v>
      </c>
      <c r="E120" s="3" t="s">
        <v>1</v>
      </c>
      <c r="F120" t="s">
        <v>2</v>
      </c>
      <c r="H120" s="2" t="s">
        <v>10</v>
      </c>
      <c r="K120" s="1" t="s">
        <v>0</v>
      </c>
      <c r="L120" s="3" t="s">
        <v>1</v>
      </c>
      <c r="M120" t="s">
        <v>2</v>
      </c>
      <c r="O120" s="2" t="s">
        <v>10</v>
      </c>
      <c r="R120" s="1" t="s">
        <v>0</v>
      </c>
      <c r="S120" s="3" t="s">
        <v>1</v>
      </c>
      <c r="T120" t="s">
        <v>2</v>
      </c>
      <c r="V120" s="2" t="str">
        <f>V117</f>
        <v>Interes mensual (15%)</v>
      </c>
      <c r="Y120" s="1" t="s">
        <v>0</v>
      </c>
      <c r="Z120" s="3" t="s">
        <v>1</v>
      </c>
      <c r="AA120" t="s">
        <v>2</v>
      </c>
      <c r="AC120" s="2" t="s">
        <v>10</v>
      </c>
    </row>
    <row r="121" spans="4:29" x14ac:dyDescent="0.3">
      <c r="D121" s="5">
        <f t="shared" ref="D121" si="72">D118+31</f>
        <v>45579</v>
      </c>
      <c r="E121" s="3">
        <v>40000</v>
      </c>
      <c r="F121" s="3">
        <v>40000</v>
      </c>
      <c r="H121" s="4">
        <f>E121*15%+F121*15%</f>
        <v>12000</v>
      </c>
      <c r="K121" s="5">
        <f t="shared" ref="K121" si="73">K118+31</f>
        <v>45579</v>
      </c>
      <c r="L121" s="3">
        <v>30000</v>
      </c>
      <c r="M121" s="3">
        <v>30000</v>
      </c>
      <c r="O121" s="4">
        <f>L121*15%+M121*15%</f>
        <v>9000</v>
      </c>
      <c r="R121" s="5">
        <f t="shared" ref="R121" si="74">R118+31</f>
        <v>45579</v>
      </c>
      <c r="S121" s="3">
        <v>41000</v>
      </c>
      <c r="T121" s="3">
        <v>41000</v>
      </c>
      <c r="V121" s="4">
        <f>S121*15%+T121*15%</f>
        <v>12300</v>
      </c>
      <c r="Y121" s="5">
        <f t="shared" ref="Y121" si="75">Y118+31</f>
        <v>45579</v>
      </c>
      <c r="Z121" s="3">
        <v>59000</v>
      </c>
      <c r="AA121" s="3">
        <v>59000</v>
      </c>
      <c r="AC121" s="4">
        <f>Z121*15%+AA121*15%</f>
        <v>17700</v>
      </c>
    </row>
    <row r="122" spans="4:29" x14ac:dyDescent="0.3">
      <c r="D122" s="1"/>
      <c r="H122" s="2"/>
      <c r="K122" s="1"/>
      <c r="O122" s="2"/>
      <c r="R122" s="1"/>
      <c r="V122" s="2"/>
      <c r="Y122" s="1"/>
      <c r="AC122" s="2"/>
    </row>
    <row r="123" spans="4:29" x14ac:dyDescent="0.3">
      <c r="D123" s="1" t="s">
        <v>0</v>
      </c>
      <c r="E123" s="3" t="s">
        <v>1</v>
      </c>
      <c r="F123" t="s">
        <v>2</v>
      </c>
      <c r="H123" s="2" t="s">
        <v>10</v>
      </c>
      <c r="K123" s="1" t="s">
        <v>0</v>
      </c>
      <c r="L123" s="3" t="s">
        <v>1</v>
      </c>
      <c r="M123" t="s">
        <v>2</v>
      </c>
      <c r="O123" s="2" t="s">
        <v>10</v>
      </c>
      <c r="R123" s="1" t="s">
        <v>0</v>
      </c>
      <c r="S123" s="3" t="s">
        <v>1</v>
      </c>
      <c r="T123" t="s">
        <v>2</v>
      </c>
      <c r="V123" s="2" t="str">
        <f>V120</f>
        <v>Interes mensual (15%)</v>
      </c>
      <c r="Y123" s="1" t="s">
        <v>0</v>
      </c>
      <c r="Z123" s="3" t="s">
        <v>1</v>
      </c>
      <c r="AA123" t="s">
        <v>2</v>
      </c>
      <c r="AC123" s="2" t="s">
        <v>10</v>
      </c>
    </row>
    <row r="124" spans="4:29" x14ac:dyDescent="0.3">
      <c r="D124" s="5">
        <f t="shared" ref="D124" si="76">D121+31</f>
        <v>45610</v>
      </c>
      <c r="E124" s="3">
        <v>40000</v>
      </c>
      <c r="F124" s="3">
        <v>40000</v>
      </c>
      <c r="H124" s="4">
        <f>E124*15%+F124*15%</f>
        <v>12000</v>
      </c>
      <c r="K124" s="5">
        <f t="shared" ref="K124" si="77">K121+31</f>
        <v>45610</v>
      </c>
      <c r="L124" s="3">
        <v>30000</v>
      </c>
      <c r="M124" s="3">
        <v>30000</v>
      </c>
      <c r="O124" s="4">
        <f>L124*15%+M124*15%</f>
        <v>9000</v>
      </c>
      <c r="R124" s="5">
        <f t="shared" ref="R124" si="78">R121+31</f>
        <v>45610</v>
      </c>
      <c r="S124" s="3">
        <v>41000</v>
      </c>
      <c r="T124" s="3">
        <v>41000</v>
      </c>
      <c r="V124" s="4">
        <f>S124*15%+T124*15%</f>
        <v>12300</v>
      </c>
      <c r="Y124" s="5">
        <f t="shared" ref="Y124" si="79">Y121+31</f>
        <v>45610</v>
      </c>
      <c r="Z124" s="3">
        <v>59000</v>
      </c>
      <c r="AA124" s="3">
        <v>59000</v>
      </c>
      <c r="AC124" s="4">
        <f>Z124*15%+AA124*15%</f>
        <v>17700</v>
      </c>
    </row>
    <row r="125" spans="4:29" x14ac:dyDescent="0.3">
      <c r="D125" s="1"/>
      <c r="H125" s="2"/>
      <c r="K125" s="1"/>
      <c r="O125" s="2"/>
      <c r="R125" s="1"/>
      <c r="V125" s="2"/>
      <c r="Y125" s="1"/>
      <c r="AC125" s="2"/>
    </row>
    <row r="126" spans="4:29" x14ac:dyDescent="0.3">
      <c r="D126" s="1" t="s">
        <v>0</v>
      </c>
      <c r="E126" s="3" t="s">
        <v>1</v>
      </c>
      <c r="H126" s="2" t="s">
        <v>10</v>
      </c>
      <c r="K126" s="1" t="s">
        <v>0</v>
      </c>
      <c r="L126" s="3" t="s">
        <v>1</v>
      </c>
      <c r="O126" s="2" t="s">
        <v>10</v>
      </c>
      <c r="R126" s="1" t="s">
        <v>0</v>
      </c>
      <c r="S126" s="3" t="s">
        <v>1</v>
      </c>
      <c r="V126" s="2" t="str">
        <f>V123</f>
        <v>Interes mensual (15%)</v>
      </c>
      <c r="Y126" s="1" t="s">
        <v>0</v>
      </c>
      <c r="Z126" s="3" t="s">
        <v>1</v>
      </c>
      <c r="AC126" s="2" t="s">
        <v>10</v>
      </c>
    </row>
    <row r="127" spans="4:29" x14ac:dyDescent="0.3">
      <c r="D127" s="5">
        <f t="shared" ref="D127" si="80">D124+31</f>
        <v>45641</v>
      </c>
      <c r="E127" s="6">
        <v>40000</v>
      </c>
      <c r="H127" s="4">
        <f>E127*15%</f>
        <v>6000</v>
      </c>
      <c r="K127" s="5">
        <f t="shared" ref="K127" si="81">K124+31</f>
        <v>45641</v>
      </c>
      <c r="L127" s="3">
        <v>30000</v>
      </c>
      <c r="O127" s="4">
        <f>L127*15%</f>
        <v>4500</v>
      </c>
      <c r="R127" s="5">
        <f t="shared" ref="R127" si="82">R124+31</f>
        <v>45641</v>
      </c>
      <c r="S127" s="3">
        <v>41000</v>
      </c>
      <c r="V127" s="4">
        <f>S127*15%</f>
        <v>6150</v>
      </c>
      <c r="Y127" s="5">
        <f t="shared" ref="Y127" si="83">Y124+31</f>
        <v>45641</v>
      </c>
      <c r="Z127" s="3">
        <v>59000</v>
      </c>
      <c r="AC127" s="4">
        <f>Z127*15%</f>
        <v>8850</v>
      </c>
    </row>
    <row r="128" spans="4:29" x14ac:dyDescent="0.3">
      <c r="D128" s="1"/>
      <c r="E128" s="7"/>
      <c r="H128" s="2"/>
      <c r="K128" s="1"/>
      <c r="L128" s="7"/>
      <c r="O128" s="2"/>
      <c r="R128" s="1"/>
      <c r="S128" s="7"/>
      <c r="V128" s="2"/>
      <c r="Y128" s="1"/>
      <c r="Z128" s="7"/>
      <c r="AC128" s="2"/>
    </row>
    <row r="129" spans="4:29" x14ac:dyDescent="0.3">
      <c r="D129" s="1" t="s">
        <v>0</v>
      </c>
      <c r="E129" s="6" t="s">
        <v>1</v>
      </c>
      <c r="H129" s="2" t="s">
        <v>10</v>
      </c>
      <c r="K129" s="1" t="s">
        <v>0</v>
      </c>
      <c r="L129" s="6" t="s">
        <v>1</v>
      </c>
      <c r="O129" s="2" t="s">
        <v>10</v>
      </c>
      <c r="R129" s="1" t="s">
        <v>0</v>
      </c>
      <c r="S129" s="6" t="s">
        <v>1</v>
      </c>
      <c r="V129" s="2" t="str">
        <f>V126</f>
        <v>Interes mensual (15%)</v>
      </c>
      <c r="Y129" s="1" t="s">
        <v>0</v>
      </c>
      <c r="Z129" s="6" t="s">
        <v>1</v>
      </c>
      <c r="AC129" s="2" t="s">
        <v>10</v>
      </c>
    </row>
    <row r="130" spans="4:29" x14ac:dyDescent="0.3">
      <c r="D130" s="5">
        <f t="shared" ref="D130" si="84">D127+31</f>
        <v>45672</v>
      </c>
      <c r="E130" s="6">
        <v>40000</v>
      </c>
      <c r="H130" s="4">
        <f>E130*15%</f>
        <v>6000</v>
      </c>
      <c r="K130" s="5">
        <f t="shared" ref="K130" si="85">K127+31</f>
        <v>45672</v>
      </c>
      <c r="L130" s="3">
        <v>30000</v>
      </c>
      <c r="O130" s="4">
        <f>L130*15%</f>
        <v>4500</v>
      </c>
      <c r="R130" s="5">
        <f t="shared" ref="R130" si="86">R127+31</f>
        <v>45672</v>
      </c>
      <c r="S130" s="3">
        <v>41000</v>
      </c>
      <c r="V130" s="4">
        <f>S130*15%</f>
        <v>6150</v>
      </c>
      <c r="Y130" s="5">
        <f t="shared" ref="Y130" si="87">Y127+31</f>
        <v>45672</v>
      </c>
      <c r="Z130" s="3">
        <v>59000</v>
      </c>
      <c r="AC130" s="4">
        <f>Z130*15%</f>
        <v>8850</v>
      </c>
    </row>
    <row r="131" spans="4:29" x14ac:dyDescent="0.3">
      <c r="D131" s="1"/>
      <c r="H131" s="2"/>
      <c r="K131" s="1"/>
      <c r="O131" s="2"/>
      <c r="R131" s="1"/>
      <c r="V131" s="2"/>
      <c r="Y131" s="1"/>
      <c r="AC131" s="2"/>
    </row>
    <row r="132" spans="4:29" x14ac:dyDescent="0.3">
      <c r="D132" s="1" t="s">
        <v>0</v>
      </c>
      <c r="E132" s="3" t="s">
        <v>1</v>
      </c>
      <c r="H132" s="2" t="s">
        <v>10</v>
      </c>
      <c r="K132" s="1" t="s">
        <v>0</v>
      </c>
      <c r="L132" s="3" t="s">
        <v>1</v>
      </c>
      <c r="O132" s="2" t="s">
        <v>10</v>
      </c>
      <c r="R132" s="1" t="s">
        <v>0</v>
      </c>
      <c r="S132" s="3" t="s">
        <v>1</v>
      </c>
      <c r="V132" s="2" t="str">
        <f>V129</f>
        <v>Interes mensual (15%)</v>
      </c>
      <c r="Y132" s="1" t="s">
        <v>0</v>
      </c>
      <c r="Z132" s="3" t="s">
        <v>1</v>
      </c>
      <c r="AC132" s="2" t="s">
        <v>10</v>
      </c>
    </row>
    <row r="133" spans="4:29" x14ac:dyDescent="0.3">
      <c r="D133" s="5">
        <f t="shared" ref="D133" si="88">D130+31</f>
        <v>45703</v>
      </c>
      <c r="E133" s="3">
        <v>60000</v>
      </c>
      <c r="H133" s="4">
        <f>E133*15%</f>
        <v>9000</v>
      </c>
      <c r="K133" s="5">
        <f t="shared" ref="K133" si="89">K130+31</f>
        <v>45703</v>
      </c>
      <c r="L133" s="3">
        <v>45000</v>
      </c>
      <c r="O133" s="4">
        <f>L133*15%</f>
        <v>6750</v>
      </c>
      <c r="R133" s="5">
        <f t="shared" ref="R133" si="90">R130+31</f>
        <v>45703</v>
      </c>
      <c r="S133" s="3">
        <v>61500</v>
      </c>
      <c r="V133" s="4">
        <f>S133*15%</f>
        <v>9225</v>
      </c>
      <c r="Y133" s="5">
        <f t="shared" ref="Y133" si="91">Y130+31</f>
        <v>45703</v>
      </c>
      <c r="Z133" s="3">
        <v>88500</v>
      </c>
      <c r="AC133" s="4">
        <f>Z133*15%</f>
        <v>13275</v>
      </c>
    </row>
    <row r="134" spans="4:29" x14ac:dyDescent="0.3">
      <c r="D134" s="1"/>
      <c r="H134" s="2"/>
      <c r="K134" s="1"/>
      <c r="O134" s="2"/>
      <c r="R134" s="1"/>
      <c r="V134" s="2"/>
      <c r="Y134" s="1"/>
      <c r="AC134" s="2"/>
    </row>
    <row r="135" spans="4:29" ht="14.4" hidden="1" customHeight="1" x14ac:dyDescent="0.3">
      <c r="D135" s="1" t="s">
        <v>0</v>
      </c>
      <c r="E135" s="3" t="s">
        <v>1</v>
      </c>
      <c r="H135" s="2"/>
      <c r="K135" s="1" t="s">
        <v>0</v>
      </c>
      <c r="L135" s="3" t="s">
        <v>1</v>
      </c>
      <c r="O135" s="2"/>
      <c r="R135" s="1" t="s">
        <v>0</v>
      </c>
      <c r="S135" s="3" t="s">
        <v>1</v>
      </c>
      <c r="V135" s="2"/>
      <c r="Y135" s="1" t="s">
        <v>0</v>
      </c>
      <c r="Z135" s="3" t="s">
        <v>1</v>
      </c>
      <c r="AC135" s="2"/>
    </row>
    <row r="136" spans="4:29" ht="14.4" hidden="1" customHeight="1" x14ac:dyDescent="0.3">
      <c r="D136" s="5" t="e">
        <f>#REF!+31</f>
        <v>#REF!</v>
      </c>
      <c r="E136" s="3"/>
      <c r="H136" s="2"/>
      <c r="K136" s="5" t="e">
        <f>#REF!+31</f>
        <v>#REF!</v>
      </c>
      <c r="L136" s="3"/>
      <c r="O136" s="2"/>
      <c r="R136" s="5" t="e">
        <f>#REF!+31</f>
        <v>#REF!</v>
      </c>
      <c r="S136" s="3"/>
      <c r="V136" s="2"/>
      <c r="Y136" s="5" t="e">
        <f>#REF!+31</f>
        <v>#REF!</v>
      </c>
      <c r="Z136" s="3"/>
      <c r="AC136" s="2"/>
    </row>
    <row r="137" spans="4:29" ht="14.4" hidden="1" customHeight="1" x14ac:dyDescent="0.3">
      <c r="D137" s="1"/>
      <c r="H137" s="2"/>
      <c r="K137" s="1"/>
      <c r="O137" s="2"/>
      <c r="R137" s="1"/>
      <c r="V137" s="2"/>
      <c r="Y137" s="1"/>
      <c r="AC137" s="2"/>
    </row>
    <row r="138" spans="4:29" ht="14.4" hidden="1" customHeight="1" x14ac:dyDescent="0.3">
      <c r="D138" s="1" t="s">
        <v>0</v>
      </c>
      <c r="E138" s="3" t="s">
        <v>1</v>
      </c>
      <c r="H138" s="2"/>
      <c r="K138" s="1" t="s">
        <v>0</v>
      </c>
      <c r="L138" s="3" t="s">
        <v>1</v>
      </c>
      <c r="O138" s="2"/>
      <c r="R138" s="1" t="s">
        <v>0</v>
      </c>
      <c r="S138" s="3" t="s">
        <v>1</v>
      </c>
      <c r="V138" s="2"/>
      <c r="Y138" s="1" t="s">
        <v>0</v>
      </c>
      <c r="Z138" s="3" t="s">
        <v>1</v>
      </c>
      <c r="AC138" s="2"/>
    </row>
    <row r="139" spans="4:29" ht="14.4" hidden="1" customHeight="1" x14ac:dyDescent="0.3">
      <c r="D139" s="5" t="e">
        <f t="shared" ref="D139" si="92">D136+31</f>
        <v>#REF!</v>
      </c>
      <c r="E139" s="3"/>
      <c r="H139" s="2"/>
      <c r="K139" s="5" t="e">
        <f t="shared" ref="K139" si="93">K136+31</f>
        <v>#REF!</v>
      </c>
      <c r="L139" s="3"/>
      <c r="O139" s="2"/>
      <c r="R139" s="5" t="e">
        <f t="shared" ref="R139" si="94">R136+31</f>
        <v>#REF!</v>
      </c>
      <c r="S139" s="3"/>
      <c r="V139" s="2"/>
      <c r="Y139" s="5" t="e">
        <f t="shared" ref="Y139" si="95">Y136+31</f>
        <v>#REF!</v>
      </c>
      <c r="Z139" s="3"/>
      <c r="AC139" s="2"/>
    </row>
    <row r="140" spans="4:29" ht="14.4" hidden="1" customHeight="1" x14ac:dyDescent="0.3">
      <c r="D140" s="1"/>
      <c r="H140" s="2"/>
      <c r="K140" s="1"/>
      <c r="O140" s="2"/>
      <c r="R140" s="1"/>
      <c r="V140" s="2"/>
      <c r="Y140" s="1"/>
      <c r="AC140" s="2"/>
    </row>
    <row r="141" spans="4:29" x14ac:dyDescent="0.3">
      <c r="D141" s="1" t="s">
        <v>0</v>
      </c>
      <c r="E141" s="3" t="s">
        <v>1</v>
      </c>
      <c r="H141" s="2" t="s">
        <v>10</v>
      </c>
      <c r="K141" s="1" t="s">
        <v>0</v>
      </c>
      <c r="L141" s="3" t="s">
        <v>1</v>
      </c>
      <c r="O141" s="2" t="s">
        <v>10</v>
      </c>
      <c r="R141" s="1" t="s">
        <v>0</v>
      </c>
      <c r="S141" s="3" t="s">
        <v>1</v>
      </c>
      <c r="V141" s="2" t="str">
        <f>V132</f>
        <v>Interes mensual (15%)</v>
      </c>
      <c r="Y141" s="1" t="s">
        <v>0</v>
      </c>
      <c r="Z141" s="3" t="s">
        <v>1</v>
      </c>
      <c r="AC141" s="2" t="s">
        <v>10</v>
      </c>
    </row>
    <row r="142" spans="4:29" ht="17.399999999999999" customHeight="1" x14ac:dyDescent="0.3">
      <c r="D142" s="5">
        <v>45809</v>
      </c>
      <c r="E142" s="3">
        <v>180000</v>
      </c>
      <c r="H142" s="4">
        <f>E142*15%</f>
        <v>27000</v>
      </c>
      <c r="K142" s="5">
        <v>45809</v>
      </c>
      <c r="L142" s="3">
        <v>135000</v>
      </c>
      <c r="O142" s="4">
        <f>L142*15%</f>
        <v>20250</v>
      </c>
      <c r="R142" s="5">
        <v>45809</v>
      </c>
      <c r="S142" s="3">
        <v>184500</v>
      </c>
      <c r="V142" s="4">
        <f>S142*15%</f>
        <v>27675</v>
      </c>
      <c r="Y142" s="5">
        <v>45809</v>
      </c>
      <c r="Z142" s="3">
        <v>265500</v>
      </c>
      <c r="AC142" s="4">
        <f>Z142*15%</f>
        <v>39825</v>
      </c>
    </row>
    <row r="143" spans="4:29" x14ac:dyDescent="0.3">
      <c r="D143" s="1"/>
      <c r="H143" s="2"/>
      <c r="K143" s="1"/>
      <c r="O143" s="2"/>
      <c r="R143" s="1"/>
      <c r="V143" s="2"/>
      <c r="Y143" s="1"/>
      <c r="AC143" s="2"/>
    </row>
    <row r="144" spans="4:29" x14ac:dyDescent="0.3">
      <c r="D144" s="1" t="s">
        <v>0</v>
      </c>
      <c r="E144" s="3" t="s">
        <v>1</v>
      </c>
      <c r="H144" s="2" t="s">
        <v>10</v>
      </c>
      <c r="K144" s="1" t="s">
        <v>0</v>
      </c>
      <c r="L144" s="3" t="s">
        <v>1</v>
      </c>
      <c r="O144" s="2" t="s">
        <v>10</v>
      </c>
      <c r="R144" s="1" t="s">
        <v>0</v>
      </c>
      <c r="S144" s="3" t="s">
        <v>1</v>
      </c>
      <c r="V144" s="2" t="str">
        <f>V141</f>
        <v>Interes mensual (15%)</v>
      </c>
      <c r="Y144" s="1" t="s">
        <v>0</v>
      </c>
      <c r="Z144" s="3" t="s">
        <v>1</v>
      </c>
      <c r="AC144" s="2" t="s">
        <v>10</v>
      </c>
    </row>
    <row r="145" spans="4:29" x14ac:dyDescent="0.3">
      <c r="D145" s="5">
        <v>45839</v>
      </c>
      <c r="E145" s="3">
        <v>80000</v>
      </c>
      <c r="H145" s="4">
        <f>E145*15%</f>
        <v>12000</v>
      </c>
      <c r="K145" s="5">
        <v>45839</v>
      </c>
      <c r="L145" s="3">
        <v>60000</v>
      </c>
      <c r="O145" s="4">
        <f>L145*15%</f>
        <v>9000</v>
      </c>
      <c r="R145" s="5">
        <v>45839</v>
      </c>
      <c r="S145" s="3">
        <v>81999.999999999985</v>
      </c>
      <c r="V145" s="4">
        <f>S145*15%</f>
        <v>12299.999999999998</v>
      </c>
      <c r="Y145" s="5">
        <v>45839</v>
      </c>
      <c r="Z145" s="3">
        <v>118000</v>
      </c>
      <c r="AC145" s="4">
        <f>Z145*15%</f>
        <v>17700</v>
      </c>
    </row>
    <row r="146" spans="4:29" x14ac:dyDescent="0.3">
      <c r="D146" s="1"/>
      <c r="H146" s="2"/>
      <c r="K146" s="1"/>
      <c r="O146" s="2"/>
      <c r="R146" s="1"/>
      <c r="V146" s="2"/>
      <c r="Y146" s="1"/>
      <c r="AC146" s="2"/>
    </row>
    <row r="147" spans="4:29" x14ac:dyDescent="0.3">
      <c r="D147" s="1" t="s">
        <v>0</v>
      </c>
      <c r="E147" s="3" t="s">
        <v>1</v>
      </c>
      <c r="H147" s="2" t="s">
        <v>10</v>
      </c>
      <c r="K147" s="1" t="s">
        <v>0</v>
      </c>
      <c r="L147" s="3" t="s">
        <v>1</v>
      </c>
      <c r="O147" s="2" t="s">
        <v>10</v>
      </c>
      <c r="R147" s="1" t="s">
        <v>0</v>
      </c>
      <c r="S147" s="3" t="s">
        <v>1</v>
      </c>
      <c r="V147" s="2" t="str">
        <f>V144</f>
        <v>Interes mensual (15%)</v>
      </c>
      <c r="Y147" s="1" t="s">
        <v>0</v>
      </c>
      <c r="Z147" s="3" t="s">
        <v>1</v>
      </c>
      <c r="AC147" s="2" t="s">
        <v>10</v>
      </c>
    </row>
    <row r="148" spans="4:29" x14ac:dyDescent="0.3">
      <c r="D148" s="5">
        <f t="shared" ref="D148" si="96">D145+31</f>
        <v>45870</v>
      </c>
      <c r="E148" s="3">
        <v>80000</v>
      </c>
      <c r="H148" s="4">
        <f>E148*15%</f>
        <v>12000</v>
      </c>
      <c r="K148" s="5">
        <f t="shared" ref="K148" si="97">K145+31</f>
        <v>45870</v>
      </c>
      <c r="L148" s="3">
        <v>60000</v>
      </c>
      <c r="O148" s="4">
        <f>L148*15%</f>
        <v>9000</v>
      </c>
      <c r="R148" s="5">
        <f t="shared" ref="R148" si="98">R145+31</f>
        <v>45870</v>
      </c>
      <c r="S148" s="3">
        <v>81999.999999999985</v>
      </c>
      <c r="V148" s="4">
        <f>S148*15%</f>
        <v>12299.999999999998</v>
      </c>
      <c r="Y148" s="5">
        <f t="shared" ref="Y148" si="99">Y145+31</f>
        <v>45870</v>
      </c>
      <c r="Z148" s="3">
        <v>118000</v>
      </c>
      <c r="AC148" s="4">
        <f>Z148*15%</f>
        <v>17700</v>
      </c>
    </row>
    <row r="149" spans="4:29" x14ac:dyDescent="0.3">
      <c r="D149" s="1"/>
      <c r="H149" s="2"/>
      <c r="K149" s="1"/>
      <c r="O149" s="2"/>
      <c r="R149" s="1"/>
      <c r="V149" s="2"/>
      <c r="Y149" s="1"/>
      <c r="AC149" s="2"/>
    </row>
    <row r="150" spans="4:29" x14ac:dyDescent="0.3">
      <c r="D150" s="1" t="s">
        <v>0</v>
      </c>
      <c r="E150" s="3" t="s">
        <v>1</v>
      </c>
      <c r="H150" s="2" t="s">
        <v>10</v>
      </c>
      <c r="K150" s="1" t="s">
        <v>0</v>
      </c>
      <c r="L150" s="3" t="s">
        <v>1</v>
      </c>
      <c r="O150" s="2" t="s">
        <v>10</v>
      </c>
      <c r="R150" s="1" t="s">
        <v>0</v>
      </c>
      <c r="S150" s="3" t="s">
        <v>1</v>
      </c>
      <c r="V150" s="2" t="str">
        <f>V147</f>
        <v>Interes mensual (15%)</v>
      </c>
      <c r="Y150" s="1" t="s">
        <v>0</v>
      </c>
      <c r="Z150" s="3" t="s">
        <v>1</v>
      </c>
      <c r="AC150" s="2" t="s">
        <v>10</v>
      </c>
    </row>
    <row r="151" spans="4:29" x14ac:dyDescent="0.3">
      <c r="D151" s="5">
        <f t="shared" ref="D151" si="100">D148+31</f>
        <v>45901</v>
      </c>
      <c r="E151" s="3">
        <v>100000</v>
      </c>
      <c r="H151" s="4">
        <f>E151*15%</f>
        <v>15000</v>
      </c>
      <c r="K151" s="5">
        <f t="shared" ref="K151" si="101">K148+31</f>
        <v>45901</v>
      </c>
      <c r="L151" s="3">
        <v>75000</v>
      </c>
      <c r="O151" s="4">
        <f>L151*15%</f>
        <v>11250</v>
      </c>
      <c r="R151" s="5">
        <f t="shared" ref="R151" si="102">R148+31</f>
        <v>45901</v>
      </c>
      <c r="S151" s="3">
        <v>102500</v>
      </c>
      <c r="V151" s="4">
        <f>S151*15%</f>
        <v>15375</v>
      </c>
      <c r="Y151" s="5">
        <f t="shared" ref="Y151" si="103">Y148+31</f>
        <v>45901</v>
      </c>
      <c r="Z151" s="3">
        <v>147500</v>
      </c>
      <c r="AC151" s="4">
        <f>Z151*15%</f>
        <v>22125</v>
      </c>
    </row>
    <row r="152" spans="4:29" x14ac:dyDescent="0.3">
      <c r="D152" s="1"/>
      <c r="H152" s="2"/>
      <c r="K152" s="1"/>
      <c r="O152" s="2"/>
      <c r="R152" s="1"/>
      <c r="V152" s="2"/>
      <c r="Y152" s="1"/>
      <c r="AC152" s="2"/>
    </row>
    <row r="153" spans="4:29" x14ac:dyDescent="0.3">
      <c r="D153" s="1" t="s">
        <v>0</v>
      </c>
      <c r="E153" s="3" t="s">
        <v>1</v>
      </c>
      <c r="H153" s="2" t="s">
        <v>10</v>
      </c>
      <c r="K153" s="1" t="s">
        <v>0</v>
      </c>
      <c r="L153" s="3" t="s">
        <v>1</v>
      </c>
      <c r="O153" s="2" t="s">
        <v>10</v>
      </c>
      <c r="R153" s="1" t="s">
        <v>0</v>
      </c>
      <c r="S153" s="3" t="s">
        <v>1</v>
      </c>
      <c r="V153" s="2" t="str">
        <f>V150</f>
        <v>Interes mensual (15%)</v>
      </c>
      <c r="Y153" s="1" t="s">
        <v>0</v>
      </c>
      <c r="Z153" s="3" t="s">
        <v>1</v>
      </c>
      <c r="AC153" s="2" t="s">
        <v>10</v>
      </c>
    </row>
    <row r="154" spans="4:29" x14ac:dyDescent="0.3">
      <c r="D154" s="5">
        <f t="shared" ref="D154" si="104">D151+31</f>
        <v>45932</v>
      </c>
      <c r="E154" s="3">
        <v>120000</v>
      </c>
      <c r="H154" s="4">
        <f>E154*15%</f>
        <v>18000</v>
      </c>
      <c r="K154" s="5">
        <f t="shared" ref="K154" si="105">K151+31</f>
        <v>45932</v>
      </c>
      <c r="L154" s="3">
        <v>90000</v>
      </c>
      <c r="O154" s="4">
        <f>L154*15%</f>
        <v>13500</v>
      </c>
      <c r="R154" s="5">
        <f t="shared" ref="R154" si="106">R151+31</f>
        <v>45932</v>
      </c>
      <c r="S154" s="3">
        <v>123000</v>
      </c>
      <c r="V154" s="4">
        <f>S154*15%</f>
        <v>18450</v>
      </c>
      <c r="Y154" s="5">
        <f t="shared" ref="Y154" si="107">Y151+31</f>
        <v>45932</v>
      </c>
      <c r="Z154" s="8">
        <v>177000</v>
      </c>
      <c r="AC154" s="4">
        <f>Z154*15%</f>
        <v>26550</v>
      </c>
    </row>
    <row r="155" spans="4:29" x14ac:dyDescent="0.3">
      <c r="D155" s="1"/>
      <c r="H155" s="2"/>
      <c r="K155" s="1"/>
      <c r="O155" s="2"/>
      <c r="R155" s="1"/>
      <c r="V155" s="2"/>
      <c r="Y155" s="1"/>
      <c r="AC155" s="2"/>
    </row>
    <row r="156" spans="4:29" x14ac:dyDescent="0.3">
      <c r="D156" s="1" t="s">
        <v>0</v>
      </c>
      <c r="E156" s="3" t="s">
        <v>1</v>
      </c>
      <c r="H156" s="2" t="s">
        <v>10</v>
      </c>
      <c r="K156" s="1" t="s">
        <v>0</v>
      </c>
      <c r="L156" s="3" t="s">
        <v>1</v>
      </c>
      <c r="O156" s="2" t="s">
        <v>10</v>
      </c>
      <c r="R156" s="1" t="s">
        <v>0</v>
      </c>
      <c r="S156" s="3" t="s">
        <v>1</v>
      </c>
      <c r="V156" s="2" t="str">
        <f>V153</f>
        <v>Interes mensual (15%)</v>
      </c>
      <c r="Y156" s="1" t="s">
        <v>0</v>
      </c>
      <c r="Z156" s="3" t="s">
        <v>1</v>
      </c>
      <c r="AC156" s="2" t="s">
        <v>10</v>
      </c>
    </row>
    <row r="157" spans="4:29" x14ac:dyDescent="0.3">
      <c r="D157" s="5">
        <f t="shared" ref="D157" si="108">D154+31</f>
        <v>45963</v>
      </c>
      <c r="E157" s="3">
        <v>120000</v>
      </c>
      <c r="H157" s="4">
        <f>E157*15%</f>
        <v>18000</v>
      </c>
      <c r="K157" s="5">
        <f t="shared" ref="K157" si="109">K154+31</f>
        <v>45963</v>
      </c>
      <c r="L157" s="3">
        <f>L154</f>
        <v>90000</v>
      </c>
      <c r="O157" s="4">
        <f>L157*15%</f>
        <v>13500</v>
      </c>
      <c r="R157" s="5">
        <f t="shared" ref="R157" si="110">R154+31</f>
        <v>45963</v>
      </c>
      <c r="S157" s="3">
        <f>S154</f>
        <v>123000</v>
      </c>
      <c r="V157" s="4">
        <f>S157*15%</f>
        <v>18450</v>
      </c>
      <c r="Y157" s="5">
        <f t="shared" ref="Y157" si="111">Y154+31</f>
        <v>45963</v>
      </c>
      <c r="Z157" s="3">
        <f>Z154</f>
        <v>177000</v>
      </c>
      <c r="AC157" s="4">
        <f>Z157*15%</f>
        <v>26550</v>
      </c>
    </row>
    <row r="158" spans="4:29" x14ac:dyDescent="0.3">
      <c r="D158" s="1"/>
      <c r="H158" s="2"/>
      <c r="K158" s="1"/>
      <c r="O158" s="2"/>
      <c r="R158" s="1"/>
      <c r="V158" s="2"/>
      <c r="Y158" s="1"/>
      <c r="AC158" s="2"/>
    </row>
    <row r="159" spans="4:29" x14ac:dyDescent="0.3">
      <c r="D159" s="1" t="s">
        <v>0</v>
      </c>
      <c r="E159" s="3" t="s">
        <v>1</v>
      </c>
      <c r="H159" s="2" t="s">
        <v>10</v>
      </c>
      <c r="K159" s="1" t="s">
        <v>0</v>
      </c>
      <c r="L159" s="3" t="s">
        <v>1</v>
      </c>
      <c r="O159" s="2" t="s">
        <v>10</v>
      </c>
      <c r="R159" s="1" t="s">
        <v>0</v>
      </c>
      <c r="S159" s="3" t="s">
        <v>1</v>
      </c>
      <c r="V159" s="2" t="str">
        <f>V156</f>
        <v>Interes mensual (15%)</v>
      </c>
      <c r="Y159" s="1" t="s">
        <v>0</v>
      </c>
      <c r="Z159" s="3" t="s">
        <v>1</v>
      </c>
      <c r="AC159" s="2" t="s">
        <v>10</v>
      </c>
    </row>
    <row r="160" spans="4:29" x14ac:dyDescent="0.3">
      <c r="D160" s="5">
        <f t="shared" ref="D160" si="112">D157+31</f>
        <v>45994</v>
      </c>
      <c r="E160" s="3">
        <f>E157</f>
        <v>120000</v>
      </c>
      <c r="H160" s="4">
        <f>E160*15%</f>
        <v>18000</v>
      </c>
      <c r="K160" s="5">
        <f t="shared" ref="K160" si="113">K157+31</f>
        <v>45994</v>
      </c>
      <c r="L160" s="3">
        <f>L157</f>
        <v>90000</v>
      </c>
      <c r="O160" s="4">
        <f>L160*15%</f>
        <v>13500</v>
      </c>
      <c r="R160" s="5">
        <f t="shared" ref="R160" si="114">R157+31</f>
        <v>45994</v>
      </c>
      <c r="S160" s="3">
        <f>S157</f>
        <v>123000</v>
      </c>
      <c r="V160" s="4">
        <f>S160*15%</f>
        <v>18450</v>
      </c>
      <c r="Y160" s="5">
        <f t="shared" ref="Y160" si="115">Y157+31</f>
        <v>45994</v>
      </c>
      <c r="Z160" s="3">
        <f>Z157</f>
        <v>177000</v>
      </c>
      <c r="AC160" s="4">
        <f>Z160*15%</f>
        <v>26550</v>
      </c>
    </row>
    <row r="161" spans="4:29" x14ac:dyDescent="0.3">
      <c r="D161" s="5"/>
      <c r="E161" s="3"/>
      <c r="H161" s="4"/>
      <c r="K161" s="5"/>
      <c r="L161" s="3"/>
      <c r="O161" s="4"/>
      <c r="R161" s="5"/>
      <c r="S161" s="3"/>
      <c r="V161" s="4"/>
      <c r="Y161" s="5"/>
      <c r="Z161" s="3"/>
      <c r="AC161" s="4"/>
    </row>
    <row r="162" spans="4:29" x14ac:dyDescent="0.3">
      <c r="D162" s="1" t="s">
        <v>0</v>
      </c>
      <c r="E162" s="3" t="s">
        <v>1</v>
      </c>
      <c r="H162" s="2" t="s">
        <v>10</v>
      </c>
      <c r="K162" s="1" t="s">
        <v>0</v>
      </c>
      <c r="L162" s="3" t="s">
        <v>1</v>
      </c>
      <c r="O162" s="2" t="s">
        <v>10</v>
      </c>
      <c r="R162" s="1" t="s">
        <v>0</v>
      </c>
      <c r="S162" s="3" t="s">
        <v>1</v>
      </c>
      <c r="V162" s="2" t="str">
        <f>V159</f>
        <v>Interes mensual (15%)</v>
      </c>
      <c r="Y162" s="1" t="s">
        <v>0</v>
      </c>
      <c r="Z162" s="3" t="s">
        <v>1</v>
      </c>
      <c r="AC162" s="2" t="s">
        <v>10</v>
      </c>
    </row>
    <row r="163" spans="4:29" x14ac:dyDescent="0.3">
      <c r="D163" s="5">
        <f t="shared" ref="D163" si="116">D160+31</f>
        <v>46025</v>
      </c>
      <c r="E163" s="3">
        <v>128000</v>
      </c>
      <c r="H163" s="4">
        <f>E163*15%</f>
        <v>19200</v>
      </c>
      <c r="K163" s="5">
        <f t="shared" ref="K163" si="117">K160+31</f>
        <v>46025</v>
      </c>
      <c r="L163" s="3">
        <v>96000</v>
      </c>
      <c r="O163" s="4">
        <f>L163*15%</f>
        <v>14400</v>
      </c>
      <c r="R163" s="5">
        <f t="shared" ref="R163" si="118">R160+31</f>
        <v>46025</v>
      </c>
      <c r="S163" s="3">
        <v>131199.99999999997</v>
      </c>
      <c r="V163" s="4">
        <f>S163*15%</f>
        <v>19679.999999999996</v>
      </c>
      <c r="Y163" s="5">
        <f t="shared" ref="Y163" si="119">Y160+31</f>
        <v>46025</v>
      </c>
      <c r="Z163" s="3">
        <v>188800</v>
      </c>
      <c r="AC163" s="4">
        <f>Z163*15%</f>
        <v>28320</v>
      </c>
    </row>
    <row r="164" spans="4:29" x14ac:dyDescent="0.3">
      <c r="D164" s="5"/>
      <c r="E164" s="3"/>
      <c r="H164" s="4"/>
      <c r="K164" s="5"/>
      <c r="L164" s="3"/>
      <c r="O164" s="4"/>
      <c r="R164" s="5"/>
      <c r="S164" s="3"/>
      <c r="V164" s="4"/>
      <c r="Y164" s="5"/>
      <c r="Z164" s="3"/>
      <c r="AC164" s="4"/>
    </row>
    <row r="165" spans="4:29" x14ac:dyDescent="0.3">
      <c r="D165" s="1" t="s">
        <v>0</v>
      </c>
      <c r="E165" s="3" t="s">
        <v>1</v>
      </c>
      <c r="H165" s="2" t="s">
        <v>10</v>
      </c>
      <c r="K165" s="1" t="s">
        <v>0</v>
      </c>
      <c r="L165" s="3" t="s">
        <v>1</v>
      </c>
      <c r="O165" s="2" t="s">
        <v>10</v>
      </c>
      <c r="R165" s="1" t="s">
        <v>0</v>
      </c>
      <c r="S165" s="3" t="s">
        <v>1</v>
      </c>
      <c r="V165" s="2" t="str">
        <f>V162</f>
        <v>Interes mensual (15%)</v>
      </c>
      <c r="Y165" s="1" t="s">
        <v>0</v>
      </c>
      <c r="Z165" s="3" t="s">
        <v>1</v>
      </c>
      <c r="AC165" s="2" t="s">
        <v>10</v>
      </c>
    </row>
    <row r="166" spans="4:29" x14ac:dyDescent="0.3">
      <c r="D166" s="5">
        <f t="shared" ref="D166" si="120">D163+31</f>
        <v>46056</v>
      </c>
      <c r="E166" s="3">
        <v>79027.368000000002</v>
      </c>
      <c r="H166" s="4">
        <f>E166*15%</f>
        <v>11854.1052</v>
      </c>
      <c r="K166" s="5">
        <f t="shared" ref="K166" si="121">K163+31</f>
        <v>46056</v>
      </c>
      <c r="L166" s="3">
        <v>59270.525999999998</v>
      </c>
      <c r="O166" s="4">
        <f>L166*15%</f>
        <v>8890.5788999999986</v>
      </c>
      <c r="R166" s="5">
        <f t="shared" ref="R166" si="122">R163+31</f>
        <v>46056</v>
      </c>
      <c r="S166" s="3">
        <v>81003.052199999991</v>
      </c>
      <c r="V166" s="4">
        <f>S166*15%</f>
        <v>12150.457829999998</v>
      </c>
      <c r="Y166" s="5">
        <f t="shared" ref="Y166" si="123">Y163+31</f>
        <v>46056</v>
      </c>
      <c r="Z166" s="3">
        <v>116565.36780000001</v>
      </c>
      <c r="AC166" s="4">
        <f>Z166*15%</f>
        <v>17484.80517</v>
      </c>
    </row>
    <row r="167" spans="4:29" x14ac:dyDescent="0.3">
      <c r="D167" s="5"/>
      <c r="E167" s="3"/>
      <c r="H167" s="4"/>
      <c r="K167" s="5"/>
      <c r="L167" s="3"/>
      <c r="O167" s="4"/>
      <c r="R167" s="5"/>
      <c r="S167" s="3"/>
      <c r="V167" s="4"/>
      <c r="Y167" s="5"/>
      <c r="Z167" s="3"/>
      <c r="AC167" s="4"/>
    </row>
    <row r="168" spans="4:29" x14ac:dyDescent="0.3">
      <c r="D168" s="1" t="s">
        <v>0</v>
      </c>
      <c r="E168" s="3" t="s">
        <v>1</v>
      </c>
      <c r="H168" s="2" t="s">
        <v>10</v>
      </c>
      <c r="K168" s="1" t="s">
        <v>0</v>
      </c>
      <c r="L168" s="3" t="s">
        <v>1</v>
      </c>
      <c r="O168" s="2" t="s">
        <v>10</v>
      </c>
      <c r="R168" s="1" t="s">
        <v>0</v>
      </c>
      <c r="S168" s="3" t="s">
        <v>1</v>
      </c>
      <c r="V168" s="2" t="str">
        <f>V165</f>
        <v>Interes mensual (15%)</v>
      </c>
      <c r="Y168" s="1" t="s">
        <v>0</v>
      </c>
      <c r="Z168" s="3" t="s">
        <v>1</v>
      </c>
      <c r="AC168" s="2" t="s">
        <v>10</v>
      </c>
    </row>
    <row r="169" spans="4:29" x14ac:dyDescent="0.3">
      <c r="D169" s="5">
        <f t="shared" ref="D169" si="124">D166+31</f>
        <v>46087</v>
      </c>
      <c r="E169" s="3">
        <f>E166</f>
        <v>79027.368000000002</v>
      </c>
      <c r="H169" s="4">
        <f>E169*15%</f>
        <v>11854.1052</v>
      </c>
      <c r="K169" s="5">
        <f t="shared" ref="K169" si="125">K166+31</f>
        <v>46087</v>
      </c>
      <c r="L169" s="3">
        <f>L166</f>
        <v>59270.525999999998</v>
      </c>
      <c r="O169" s="4">
        <f>L169*15%</f>
        <v>8890.5788999999986</v>
      </c>
      <c r="R169" s="5">
        <f t="shared" ref="R169" si="126">R166+31</f>
        <v>46087</v>
      </c>
      <c r="S169" s="3">
        <f>S166</f>
        <v>81003.052199999991</v>
      </c>
      <c r="V169" s="4">
        <f>S169*15%</f>
        <v>12150.457829999998</v>
      </c>
      <c r="Y169" s="5">
        <f t="shared" ref="Y169" si="127">Y166+31</f>
        <v>46087</v>
      </c>
      <c r="Z169" s="3">
        <f>Z166</f>
        <v>116565.36780000001</v>
      </c>
      <c r="AC169" s="4">
        <f>Z169*15%</f>
        <v>17484.80517</v>
      </c>
    </row>
    <row r="170" spans="4:29" x14ac:dyDescent="0.3">
      <c r="D170" s="5"/>
      <c r="E170" s="3"/>
      <c r="H170" s="4"/>
      <c r="K170" s="5"/>
      <c r="L170" s="3"/>
      <c r="O170" s="4"/>
      <c r="R170" s="5"/>
      <c r="S170" s="3"/>
      <c r="V170" s="4"/>
      <c r="Y170" s="5"/>
      <c r="Z170" s="3"/>
      <c r="AC170" s="4"/>
    </row>
    <row r="171" spans="4:29" x14ac:dyDescent="0.3">
      <c r="D171" s="1" t="s">
        <v>0</v>
      </c>
      <c r="E171" s="3" t="s">
        <v>1</v>
      </c>
      <c r="H171" s="2" t="s">
        <v>10</v>
      </c>
      <c r="K171" s="1" t="s">
        <v>0</v>
      </c>
      <c r="L171" s="3" t="s">
        <v>1</v>
      </c>
      <c r="O171" s="2" t="s">
        <v>10</v>
      </c>
      <c r="R171" s="1" t="s">
        <v>0</v>
      </c>
      <c r="S171" s="3" t="s">
        <v>1</v>
      </c>
      <c r="V171" s="2"/>
      <c r="Y171" s="1" t="s">
        <v>0</v>
      </c>
      <c r="Z171" s="3" t="s">
        <v>1</v>
      </c>
      <c r="AC171" s="2" t="s">
        <v>10</v>
      </c>
    </row>
    <row r="172" spans="4:29" x14ac:dyDescent="0.3">
      <c r="D172" s="5">
        <f t="shared" ref="D172" si="128">D169+31</f>
        <v>46118</v>
      </c>
      <c r="E172" s="3">
        <f>E169</f>
        <v>79027.368000000002</v>
      </c>
      <c r="H172" s="4">
        <f>E172*15%</f>
        <v>11854.1052</v>
      </c>
      <c r="K172" s="5">
        <f t="shared" ref="K172" si="129">K169+31</f>
        <v>46118</v>
      </c>
      <c r="L172" s="3">
        <f>L169</f>
        <v>59270.525999999998</v>
      </c>
      <c r="O172" s="4">
        <f>L172*15%</f>
        <v>8890.5788999999986</v>
      </c>
      <c r="R172" s="5">
        <f t="shared" ref="R172" si="130">R169+31</f>
        <v>46118</v>
      </c>
      <c r="S172" s="3">
        <f>S169</f>
        <v>81003.052199999991</v>
      </c>
      <c r="V172" s="4">
        <f>S172*15%</f>
        <v>12150.457829999998</v>
      </c>
      <c r="Y172" s="5">
        <f t="shared" ref="Y172" si="131">Y169+31</f>
        <v>46118</v>
      </c>
      <c r="Z172" s="3">
        <f>Z169</f>
        <v>116565.36780000001</v>
      </c>
      <c r="AC172" s="4">
        <f>Z172*15%</f>
        <v>17484.80517</v>
      </c>
    </row>
    <row r="173" spans="4:29" x14ac:dyDescent="0.3">
      <c r="D173" s="17" t="s">
        <v>3</v>
      </c>
      <c r="E173" s="18"/>
      <c r="F173" s="18"/>
      <c r="G173" s="19" t="s">
        <v>4</v>
      </c>
      <c r="H173" s="20"/>
      <c r="K173" s="17" t="s">
        <v>3</v>
      </c>
      <c r="L173" s="18"/>
      <c r="M173" s="18"/>
      <c r="N173" s="19" t="s">
        <v>4</v>
      </c>
      <c r="O173" s="20"/>
      <c r="R173" s="17" t="s">
        <v>3</v>
      </c>
      <c r="S173" s="18"/>
      <c r="T173" s="18"/>
      <c r="U173" s="19" t="s">
        <v>4</v>
      </c>
      <c r="V173" s="20"/>
      <c r="Y173" s="17" t="s">
        <v>3</v>
      </c>
      <c r="Z173" s="18"/>
      <c r="AA173" s="18"/>
      <c r="AB173" s="19" t="s">
        <v>4</v>
      </c>
      <c r="AC173" s="20"/>
    </row>
    <row r="174" spans="4:29" x14ac:dyDescent="0.3">
      <c r="D174" s="21">
        <f>SUM(E7:E172)+F118+F121+F124</f>
        <v>2109482.1040000003</v>
      </c>
      <c r="E174" s="22"/>
      <c r="F174" s="22"/>
      <c r="G174" s="23">
        <f>SUM(H6:H172)</f>
        <v>316422.31559999997</v>
      </c>
      <c r="H174" s="24"/>
      <c r="K174" s="21">
        <f>SUM(L7:L172)+M118+M121+M124</f>
        <v>1582111.5780000002</v>
      </c>
      <c r="L174" s="22"/>
      <c r="M174" s="22"/>
      <c r="N174" s="23">
        <f>SUM(O6:O172)</f>
        <v>237316.73669999998</v>
      </c>
      <c r="O174" s="24"/>
      <c r="R174" s="21">
        <f>SUM(S7:S172)+T118+T121+T124</f>
        <v>2162219.1566000003</v>
      </c>
      <c r="S174" s="22"/>
      <c r="T174" s="22"/>
      <c r="U174" s="23">
        <f>SUM(V7:V172)</f>
        <v>324332.87348999991</v>
      </c>
      <c r="V174" s="24"/>
      <c r="Y174" s="21">
        <f>SUM(Z7:Z172)+AA118+AA121+AA124</f>
        <v>3112086.1034000004</v>
      </c>
      <c r="Z174" s="22"/>
      <c r="AA174" s="22"/>
      <c r="AB174" s="23">
        <f>SUM(AC7:AC172)</f>
        <v>466812.91551000002</v>
      </c>
      <c r="AC174" s="24"/>
    </row>
    <row r="175" spans="4:29" x14ac:dyDescent="0.3">
      <c r="D175" s="1"/>
      <c r="H175" s="2"/>
      <c r="K175" s="1"/>
      <c r="O175" s="2"/>
      <c r="R175" s="1"/>
      <c r="V175" s="2"/>
      <c r="Y175" s="1"/>
      <c r="AC175" s="2"/>
    </row>
    <row r="176" spans="4:29" ht="15" thickBot="1" x14ac:dyDescent="0.35">
      <c r="D176" s="1"/>
      <c r="H176" s="2"/>
      <c r="K176" s="1"/>
      <c r="O176" s="2"/>
      <c r="R176" s="1"/>
      <c r="V176" s="2"/>
      <c r="Y176" s="1"/>
      <c r="AC176" s="2"/>
    </row>
    <row r="177" spans="4:29" ht="15" thickBot="1" x14ac:dyDescent="0.35">
      <c r="D177" s="9" t="s">
        <v>5</v>
      </c>
      <c r="E177" s="10"/>
      <c r="F177" s="11"/>
      <c r="G177" s="12">
        <f>D174+G174</f>
        <v>2425904.4196000001</v>
      </c>
      <c r="H177" s="13"/>
      <c r="K177" s="9" t="s">
        <v>5</v>
      </c>
      <c r="L177" s="10"/>
      <c r="M177" s="11"/>
      <c r="N177" s="12">
        <f>K174+N174</f>
        <v>1819428.3147000002</v>
      </c>
      <c r="O177" s="13"/>
      <c r="R177" s="9" t="s">
        <v>5</v>
      </c>
      <c r="S177" s="10"/>
      <c r="T177" s="11"/>
      <c r="U177" s="12">
        <f>R174+U174</f>
        <v>2486552.0300900005</v>
      </c>
      <c r="V177" s="13"/>
      <c r="Y177" s="9" t="s">
        <v>5</v>
      </c>
      <c r="Z177" s="10"/>
      <c r="AA177" s="11"/>
      <c r="AB177" s="12">
        <f>Y174+AB174</f>
        <v>3578899.0189100006</v>
      </c>
      <c r="AC177" s="13"/>
    </row>
  </sheetData>
  <mergeCells count="28">
    <mergeCell ref="AB177:AC177"/>
    <mergeCell ref="R4:V4"/>
    <mergeCell ref="Y4:AC4"/>
    <mergeCell ref="K177:M177"/>
    <mergeCell ref="N177:O177"/>
    <mergeCell ref="R173:T173"/>
    <mergeCell ref="U173:V173"/>
    <mergeCell ref="R174:T174"/>
    <mergeCell ref="U174:V174"/>
    <mergeCell ref="R177:T177"/>
    <mergeCell ref="U177:V177"/>
    <mergeCell ref="Y173:AA173"/>
    <mergeCell ref="AB173:AC173"/>
    <mergeCell ref="Y174:AA174"/>
    <mergeCell ref="AB174:AC174"/>
    <mergeCell ref="Y177:AA177"/>
    <mergeCell ref="K4:O4"/>
    <mergeCell ref="K173:M173"/>
    <mergeCell ref="N173:O173"/>
    <mergeCell ref="K174:M174"/>
    <mergeCell ref="N174:O174"/>
    <mergeCell ref="D177:F177"/>
    <mergeCell ref="G177:H177"/>
    <mergeCell ref="D4:H4"/>
    <mergeCell ref="D173:F173"/>
    <mergeCell ref="G173:H173"/>
    <mergeCell ref="D174:F174"/>
    <mergeCell ref="G174:H17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Quotteri</dc:creator>
  <cp:lastModifiedBy>Mateo Quotteri</cp:lastModifiedBy>
  <cp:lastPrinted>2026-07-27T22:56:58Z</cp:lastPrinted>
  <dcterms:created xsi:type="dcterms:W3CDTF">2025-12-17T14:59:07Z</dcterms:created>
  <dcterms:modified xsi:type="dcterms:W3CDTF">2026-07-27T23:12:58Z</dcterms:modified>
</cp:coreProperties>
</file>