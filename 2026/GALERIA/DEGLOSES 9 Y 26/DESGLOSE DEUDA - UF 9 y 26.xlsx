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GALERIA\DEGLOSES 9 Y 26\"/>
    </mc:Choice>
  </mc:AlternateContent>
  <xr:revisionPtr revIDLastSave="0" documentId="13_ncr:1_{942118A1-7B6B-4A97-BE1D-758DF1AC0B8A}" xr6:coauthVersionLast="47" xr6:coauthVersionMax="47" xr10:uidLastSave="{00000000-0000-0000-0000-000000000000}"/>
  <bookViews>
    <workbookView xWindow="-108" yWindow="-108" windowWidth="23256" windowHeight="12576" xr2:uid="{8F1AF50A-3D5A-4AA7-9C02-0BC7EBCDB2F5}"/>
  </bookViews>
  <sheets>
    <sheet name="Hoja1" sheetId="1" r:id="rId1"/>
  </sheets>
  <definedNames>
    <definedName name="_xlnm.Print_Area" localSheetId="0">Hoja1!$J$4:$N$189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5" i="1" l="1"/>
  <c r="K112" i="1"/>
  <c r="N112" i="1" s="1"/>
  <c r="K109" i="1"/>
  <c r="K106" i="1"/>
  <c r="K103" i="1"/>
  <c r="K100" i="1"/>
  <c r="K85" i="1"/>
  <c r="N184" i="1"/>
  <c r="N181" i="1"/>
  <c r="N178" i="1"/>
  <c r="N175" i="1"/>
  <c r="K175" i="1"/>
  <c r="N172" i="1"/>
  <c r="N169" i="1"/>
  <c r="N166" i="1"/>
  <c r="K160" i="1"/>
  <c r="K163" i="1" s="1"/>
  <c r="N163" i="1" s="1"/>
  <c r="N157" i="1"/>
  <c r="N154" i="1"/>
  <c r="N151" i="1"/>
  <c r="J151" i="1"/>
  <c r="J154" i="1" s="1"/>
  <c r="J157" i="1" s="1"/>
  <c r="J160" i="1" s="1"/>
  <c r="J163" i="1" s="1"/>
  <c r="J166" i="1" s="1"/>
  <c r="J169" i="1" s="1"/>
  <c r="J172" i="1" s="1"/>
  <c r="J175" i="1" s="1"/>
  <c r="J178" i="1" s="1"/>
  <c r="J181" i="1" s="1"/>
  <c r="J184" i="1" s="1"/>
  <c r="N148" i="1"/>
  <c r="N145" i="1"/>
  <c r="N142" i="1"/>
  <c r="N139" i="1"/>
  <c r="N136" i="1"/>
  <c r="N133" i="1"/>
  <c r="N130" i="1"/>
  <c r="N127" i="1"/>
  <c r="L124" i="1"/>
  <c r="N124" i="1" s="1"/>
  <c r="N121" i="1"/>
  <c r="L121" i="1"/>
  <c r="L118" i="1"/>
  <c r="N115" i="1"/>
  <c r="N109" i="1"/>
  <c r="N106" i="1"/>
  <c r="N103" i="1"/>
  <c r="N100" i="1"/>
  <c r="N97" i="1"/>
  <c r="N94" i="1"/>
  <c r="K94" i="1"/>
  <c r="N91" i="1"/>
  <c r="N88" i="1"/>
  <c r="N85" i="1"/>
  <c r="K73" i="1"/>
  <c r="K76" i="1" s="1"/>
  <c r="N70" i="1"/>
  <c r="K64" i="1"/>
  <c r="K67" i="1" s="1"/>
  <c r="N67" i="1" s="1"/>
  <c r="N61" i="1"/>
  <c r="N58" i="1"/>
  <c r="N55" i="1"/>
  <c r="J52" i="1"/>
  <c r="J55" i="1" s="1"/>
  <c r="J58" i="1" s="1"/>
  <c r="J61" i="1" s="1"/>
  <c r="J64" i="1" s="1"/>
  <c r="J67" i="1" s="1"/>
  <c r="J70" i="1" s="1"/>
  <c r="J73" i="1" s="1"/>
  <c r="J76" i="1" s="1"/>
  <c r="J79" i="1" s="1"/>
  <c r="J82" i="1" s="1"/>
  <c r="J85" i="1" s="1"/>
  <c r="J88" i="1" s="1"/>
  <c r="J91" i="1" s="1"/>
  <c r="J94" i="1" s="1"/>
  <c r="J97" i="1" s="1"/>
  <c r="J100" i="1" s="1"/>
  <c r="J103" i="1" s="1"/>
  <c r="J106" i="1" s="1"/>
  <c r="J109" i="1" s="1"/>
  <c r="J112" i="1" s="1"/>
  <c r="J115" i="1" s="1"/>
  <c r="J118" i="1" s="1"/>
  <c r="J121" i="1" s="1"/>
  <c r="J124" i="1" s="1"/>
  <c r="J127" i="1" s="1"/>
  <c r="J130" i="1" s="1"/>
  <c r="J133" i="1" s="1"/>
  <c r="J136" i="1" s="1"/>
  <c r="J139" i="1" s="1"/>
  <c r="J142" i="1" s="1"/>
  <c r="J13" i="1"/>
  <c r="J16" i="1" s="1"/>
  <c r="J19" i="1" s="1"/>
  <c r="J22" i="1" s="1"/>
  <c r="J25" i="1" s="1"/>
  <c r="J28" i="1" s="1"/>
  <c r="J31" i="1" s="1"/>
  <c r="J34" i="1" s="1"/>
  <c r="J37" i="1" s="1"/>
  <c r="J40" i="1" s="1"/>
  <c r="J43" i="1" s="1"/>
  <c r="J46" i="1" s="1"/>
  <c r="K10" i="1"/>
  <c r="N10" i="1" s="1"/>
  <c r="J10" i="1"/>
  <c r="N7" i="1"/>
  <c r="K13" i="1" l="1"/>
  <c r="K16" i="1" s="1"/>
  <c r="N16" i="1" s="1"/>
  <c r="K79" i="1"/>
  <c r="N76" i="1"/>
  <c r="N64" i="1"/>
  <c r="N13" i="1"/>
  <c r="N160" i="1"/>
  <c r="N73" i="1"/>
  <c r="N118" i="1"/>
  <c r="K19" i="1" l="1"/>
  <c r="N19" i="1" s="1"/>
  <c r="K82" i="1"/>
  <c r="N82" i="1" s="1"/>
  <c r="N79" i="1"/>
  <c r="K22" i="1" l="1"/>
  <c r="N22" i="1"/>
  <c r="K25" i="1"/>
  <c r="N25" i="1" l="1"/>
  <c r="K28" i="1"/>
  <c r="N28" i="1" l="1"/>
  <c r="K31" i="1"/>
  <c r="K34" i="1" l="1"/>
  <c r="N31" i="1"/>
  <c r="K37" i="1" l="1"/>
  <c r="N34" i="1"/>
  <c r="K40" i="1" l="1"/>
  <c r="N37" i="1"/>
  <c r="N40" i="1" l="1"/>
  <c r="K43" i="1"/>
  <c r="K46" i="1" l="1"/>
  <c r="N43" i="1"/>
  <c r="K49" i="1" l="1"/>
  <c r="N46" i="1"/>
  <c r="K52" i="1" l="1"/>
  <c r="N49" i="1"/>
  <c r="N52" i="1" l="1"/>
  <c r="M186" i="1" s="1"/>
  <c r="J186" i="1"/>
  <c r="M189" i="1" s="1"/>
  <c r="D184" i="1" l="1"/>
  <c r="H181" i="1"/>
  <c r="D181" i="1"/>
  <c r="H178" i="1"/>
  <c r="D178" i="1"/>
  <c r="H184" i="1" l="1"/>
  <c r="D186" i="1"/>
  <c r="E160" i="1" l="1"/>
  <c r="E94" i="1" l="1"/>
  <c r="H142" i="1"/>
  <c r="H139" i="1"/>
  <c r="H136" i="1"/>
  <c r="G186" i="1" s="1"/>
  <c r="F124" i="1"/>
  <c r="F121" i="1"/>
  <c r="F118" i="1"/>
  <c r="E73" i="1"/>
  <c r="E76" i="1" s="1"/>
  <c r="E79" i="1" s="1"/>
  <c r="E82" i="1" s="1"/>
  <c r="E64" i="1"/>
  <c r="E67" i="1" s="1"/>
  <c r="E10" i="1"/>
  <c r="E13" i="1" s="1"/>
  <c r="E16" i="1" s="1"/>
  <c r="E19" i="1" s="1"/>
  <c r="E22" i="1" s="1"/>
  <c r="E25" i="1" s="1"/>
  <c r="E28" i="1" s="1"/>
  <c r="E31" i="1" s="1"/>
  <c r="E34" i="1" s="1"/>
  <c r="E37" i="1" s="1"/>
  <c r="E40" i="1" s="1"/>
  <c r="E43" i="1" s="1"/>
  <c r="E46" i="1" s="1"/>
  <c r="E49" i="1" s="1"/>
  <c r="E52" i="1" s="1"/>
  <c r="E175" i="1" l="1"/>
  <c r="H169" i="1"/>
  <c r="H166" i="1"/>
  <c r="E163" i="1"/>
  <c r="H163" i="1" s="1"/>
  <c r="H160" i="1"/>
  <c r="H157" i="1"/>
  <c r="H154" i="1"/>
  <c r="H151" i="1"/>
  <c r="D151" i="1"/>
  <c r="D154" i="1" s="1"/>
  <c r="D157" i="1" s="1"/>
  <c r="D160" i="1" s="1"/>
  <c r="D163" i="1" s="1"/>
  <c r="D166" i="1" s="1"/>
  <c r="D169" i="1" s="1"/>
  <c r="D172" i="1" s="1"/>
  <c r="D175" i="1" s="1"/>
  <c r="H148" i="1"/>
  <c r="H145" i="1"/>
  <c r="H133" i="1"/>
  <c r="H130" i="1"/>
  <c r="H127" i="1"/>
  <c r="H124" i="1"/>
  <c r="H121" i="1"/>
  <c r="H118" i="1"/>
  <c r="H115" i="1"/>
  <c r="H112" i="1"/>
  <c r="H109" i="1"/>
  <c r="H106" i="1"/>
  <c r="H103" i="1"/>
  <c r="H100" i="1"/>
  <c r="H97" i="1"/>
  <c r="H94" i="1"/>
  <c r="H91" i="1"/>
  <c r="H88" i="1"/>
  <c r="H85" i="1"/>
  <c r="H82" i="1"/>
  <c r="H79" i="1"/>
  <c r="H76" i="1"/>
  <c r="H73" i="1"/>
  <c r="H70" i="1"/>
  <c r="H67" i="1"/>
  <c r="H64" i="1"/>
  <c r="H61" i="1"/>
  <c r="H58" i="1"/>
  <c r="H55" i="1"/>
  <c r="H52" i="1"/>
  <c r="D52" i="1"/>
  <c r="D55" i="1" s="1"/>
  <c r="D58" i="1" s="1"/>
  <c r="D61" i="1" s="1"/>
  <c r="D64" i="1" s="1"/>
  <c r="D67" i="1" s="1"/>
  <c r="D70" i="1" s="1"/>
  <c r="D73" i="1" s="1"/>
  <c r="D76" i="1" s="1"/>
  <c r="D79" i="1" s="1"/>
  <c r="D82" i="1" s="1"/>
  <c r="D85" i="1" s="1"/>
  <c r="D88" i="1" s="1"/>
  <c r="D91" i="1" s="1"/>
  <c r="D94" i="1" s="1"/>
  <c r="D97" i="1" s="1"/>
  <c r="D100" i="1" s="1"/>
  <c r="D103" i="1" s="1"/>
  <c r="H49" i="1"/>
  <c r="H46" i="1"/>
  <c r="H43" i="1"/>
  <c r="H40" i="1"/>
  <c r="H37" i="1"/>
  <c r="H34" i="1"/>
  <c r="H31" i="1"/>
  <c r="H28" i="1"/>
  <c r="H25" i="1"/>
  <c r="H22" i="1"/>
  <c r="H19" i="1"/>
  <c r="H16" i="1"/>
  <c r="H13" i="1"/>
  <c r="H10" i="1"/>
  <c r="D10" i="1"/>
  <c r="D13" i="1" s="1"/>
  <c r="D16" i="1" s="1"/>
  <c r="D19" i="1" s="1"/>
  <c r="D22" i="1" s="1"/>
  <c r="D25" i="1" s="1"/>
  <c r="D28" i="1" s="1"/>
  <c r="D31" i="1" s="1"/>
  <c r="D34" i="1" s="1"/>
  <c r="D37" i="1" s="1"/>
  <c r="D40" i="1" s="1"/>
  <c r="D43" i="1" s="1"/>
  <c r="D46" i="1" s="1"/>
  <c r="H7" i="1"/>
  <c r="H172" i="1" l="1"/>
  <c r="D106" i="1"/>
  <c r="D109" i="1" s="1"/>
  <c r="D112" i="1" s="1"/>
  <c r="D115" i="1" s="1"/>
  <c r="D118" i="1" s="1"/>
  <c r="D121" i="1" s="1"/>
  <c r="D124" i="1" s="1"/>
  <c r="D127" i="1" s="1"/>
  <c r="D130" i="1" s="1"/>
  <c r="D133" i="1" s="1"/>
  <c r="D136" i="1" s="1"/>
  <c r="D139" i="1" s="1"/>
  <c r="D142" i="1" s="1"/>
  <c r="H175" i="1"/>
  <c r="G189" i="1" l="1"/>
</calcChain>
</file>

<file path=xl/sharedStrings.xml><?xml version="1.0" encoding="utf-8"?>
<sst xmlns="http://schemas.openxmlformats.org/spreadsheetml/2006/main" count="374" uniqueCount="9">
  <si>
    <t>Mes:</t>
  </si>
  <si>
    <t>Expensas:</t>
  </si>
  <si>
    <t>Expensas Extra.</t>
  </si>
  <si>
    <t>TOTAL EXPENSAS</t>
  </si>
  <si>
    <t>TOTAL PUNITORIOS</t>
  </si>
  <si>
    <t>TOTAL (EXPENSAS + PUNITORIOS):</t>
  </si>
  <si>
    <t>Desglose de Deuda - UF N. 9 - Propietario: MURPHY, Gabriel</t>
  </si>
  <si>
    <t>Interes mensual (15%)</t>
  </si>
  <si>
    <t>Desglose de Deuda - UF N. 26 - Propietario: MURPHY,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</si>
</sst>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4" xfId="0" applyBorder="1"/>
    <xf numFmtId="0" fontId="0" fillId="0" borderId="5" xfId="0" applyBorder="1"/>
    <xf numFmtId="44" fontId="0" fillId="0" borderId="0" xfId="1" applyFont="1" applyBorder="1"/>
    <xf numFmtId="44" fontId="0" fillId="0" borderId="5" xfId="0" applyNumberFormat="1" applyBorder="1"/>
    <xf numFmtId="17" fontId="0" fillId="0" borderId="4" xfId="0" applyNumberFormat="1" applyBorder="1"/>
    <xf numFmtId="44" fontId="0" fillId="6" borderId="0" xfId="1" applyFont="1" applyFill="1" applyBorder="1"/>
    <xf numFmtId="0" fontId="0" fillId="6" borderId="0" xfId="0" applyFill="1"/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44" fontId="3" fillId="5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D908-669A-45B6-A771-84DC3A3FD613}">
  <dimension ref="C3:N189"/>
  <sheetViews>
    <sheetView tabSelected="1" workbookViewId="0">
      <selection activeCell="J4" sqref="J4:N189"/>
    </sheetView>
  </sheetViews>
  <sheetFormatPr baseColWidth="10" defaultRowHeight="14.4" x14ac:dyDescent="0.3"/>
  <cols>
    <col min="2" max="2" width="0.88671875" customWidth="1"/>
    <col min="3" max="3" width="11.5546875" hidden="1" customWidth="1"/>
    <col min="5" max="5" width="13" customWidth="1"/>
    <col min="6" max="6" width="14.109375" customWidth="1"/>
    <col min="8" max="8" width="25" customWidth="1"/>
    <col min="11" max="11" width="14.33203125" customWidth="1"/>
    <col min="14" max="14" width="24.88671875" customWidth="1"/>
  </cols>
  <sheetData>
    <row r="3" spans="4:14" ht="15" thickBot="1" x14ac:dyDescent="0.35"/>
    <row r="4" spans="4:14" ht="16.2" thickBot="1" x14ac:dyDescent="0.35">
      <c r="D4" s="13" t="s">
        <v>6</v>
      </c>
      <c r="E4" s="14"/>
      <c r="F4" s="14"/>
      <c r="G4" s="14"/>
      <c r="H4" s="15"/>
      <c r="J4" s="13" t="s">
        <v>8</v>
      </c>
      <c r="K4" s="14"/>
      <c r="L4" s="14"/>
      <c r="M4" s="14"/>
      <c r="N4" s="15"/>
    </row>
    <row r="5" spans="4:14" x14ac:dyDescent="0.3">
      <c r="D5" s="1"/>
      <c r="H5" s="2"/>
      <c r="J5" s="1"/>
      <c r="N5" s="2"/>
    </row>
    <row r="6" spans="4:14" x14ac:dyDescent="0.3">
      <c r="D6" s="1" t="s">
        <v>0</v>
      </c>
      <c r="E6" t="s">
        <v>1</v>
      </c>
      <c r="H6" s="2" t="s">
        <v>7</v>
      </c>
      <c r="J6" s="1" t="s">
        <v>0</v>
      </c>
      <c r="K6" t="s">
        <v>1</v>
      </c>
      <c r="N6" s="2" t="s">
        <v>7</v>
      </c>
    </row>
    <row r="7" spans="4:14" x14ac:dyDescent="0.3">
      <c r="D7" s="5">
        <v>44428</v>
      </c>
      <c r="E7" s="3">
        <v>4200</v>
      </c>
      <c r="H7" s="4">
        <f>E7*15%</f>
        <v>630</v>
      </c>
      <c r="J7" s="5">
        <v>44428</v>
      </c>
      <c r="K7" s="3">
        <v>9150</v>
      </c>
      <c r="N7" s="4">
        <f>K7*15%</f>
        <v>1372.5</v>
      </c>
    </row>
    <row r="8" spans="4:14" x14ac:dyDescent="0.3">
      <c r="D8" s="1"/>
      <c r="H8" s="2"/>
      <c r="J8" s="1"/>
      <c r="N8" s="2"/>
    </row>
    <row r="9" spans="4:14" x14ac:dyDescent="0.3">
      <c r="D9" s="1" t="s">
        <v>0</v>
      </c>
      <c r="E9" t="s">
        <v>1</v>
      </c>
      <c r="H9" s="2" t="s">
        <v>7</v>
      </c>
      <c r="J9" s="1" t="s">
        <v>0</v>
      </c>
      <c r="K9" t="s">
        <v>1</v>
      </c>
      <c r="N9" s="2" t="s">
        <v>7</v>
      </c>
    </row>
    <row r="10" spans="4:14" x14ac:dyDescent="0.3">
      <c r="D10" s="5">
        <f>D7+30</f>
        <v>44458</v>
      </c>
      <c r="E10" s="3">
        <f>E7</f>
        <v>4200</v>
      </c>
      <c r="H10" s="4">
        <f>E10*15%</f>
        <v>630</v>
      </c>
      <c r="J10" s="5">
        <f>J7+30</f>
        <v>44458</v>
      </c>
      <c r="K10" s="3">
        <f>K7</f>
        <v>9150</v>
      </c>
      <c r="N10" s="4">
        <f>K10*15%</f>
        <v>1372.5</v>
      </c>
    </row>
    <row r="11" spans="4:14" x14ac:dyDescent="0.3">
      <c r="D11" s="1"/>
      <c r="H11" s="2"/>
      <c r="J11" s="1"/>
      <c r="N11" s="2"/>
    </row>
    <row r="12" spans="4:14" x14ac:dyDescent="0.3">
      <c r="D12" s="1" t="s">
        <v>0</v>
      </c>
      <c r="E12" t="s">
        <v>1</v>
      </c>
      <c r="H12" s="2" t="s">
        <v>7</v>
      </c>
      <c r="J12" s="1" t="s">
        <v>0</v>
      </c>
      <c r="K12" t="s">
        <v>1</v>
      </c>
      <c r="N12" s="2" t="s">
        <v>7</v>
      </c>
    </row>
    <row r="13" spans="4:14" x14ac:dyDescent="0.3">
      <c r="D13" s="5">
        <f>D10+30</f>
        <v>44488</v>
      </c>
      <c r="E13" s="3">
        <f>E10</f>
        <v>4200</v>
      </c>
      <c r="H13" s="4">
        <f>E13*15%</f>
        <v>630</v>
      </c>
      <c r="J13" s="5">
        <f>J10+30</f>
        <v>44488</v>
      </c>
      <c r="K13" s="3">
        <f>K10</f>
        <v>9150</v>
      </c>
      <c r="N13" s="4">
        <f>K13*15%</f>
        <v>1372.5</v>
      </c>
    </row>
    <row r="14" spans="4:14" x14ac:dyDescent="0.3">
      <c r="D14" s="1"/>
      <c r="H14" s="2"/>
      <c r="J14" s="1"/>
      <c r="N14" s="2"/>
    </row>
    <row r="15" spans="4:14" x14ac:dyDescent="0.3">
      <c r="D15" s="1" t="s">
        <v>0</v>
      </c>
      <c r="E15" t="s">
        <v>1</v>
      </c>
      <c r="H15" s="2" t="s">
        <v>7</v>
      </c>
      <c r="J15" s="1" t="s">
        <v>0</v>
      </c>
      <c r="K15" t="s">
        <v>1</v>
      </c>
      <c r="N15" s="2" t="s">
        <v>7</v>
      </c>
    </row>
    <row r="16" spans="4:14" x14ac:dyDescent="0.3">
      <c r="D16" s="5">
        <f>D13+30</f>
        <v>44518</v>
      </c>
      <c r="E16" s="3">
        <f>E13</f>
        <v>4200</v>
      </c>
      <c r="H16" s="4">
        <f>E16*15%</f>
        <v>630</v>
      </c>
      <c r="J16" s="5">
        <f>J13+30</f>
        <v>44518</v>
      </c>
      <c r="K16" s="3">
        <f>K13</f>
        <v>9150</v>
      </c>
      <c r="N16" s="4">
        <f>K16*15%</f>
        <v>1372.5</v>
      </c>
    </row>
    <row r="17" spans="4:14" x14ac:dyDescent="0.3">
      <c r="D17" s="1"/>
      <c r="H17" s="2"/>
      <c r="J17" s="1"/>
      <c r="N17" s="2"/>
    </row>
    <row r="18" spans="4:14" x14ac:dyDescent="0.3">
      <c r="D18" s="1" t="s">
        <v>0</v>
      </c>
      <c r="E18" t="s">
        <v>1</v>
      </c>
      <c r="H18" s="2" t="s">
        <v>7</v>
      </c>
      <c r="J18" s="1" t="s">
        <v>0</v>
      </c>
      <c r="K18" t="s">
        <v>1</v>
      </c>
      <c r="N18" s="2" t="s">
        <v>7</v>
      </c>
    </row>
    <row r="19" spans="4:14" x14ac:dyDescent="0.3">
      <c r="D19" s="5">
        <f>D16+30</f>
        <v>44548</v>
      </c>
      <c r="E19" s="3">
        <f>E16</f>
        <v>4200</v>
      </c>
      <c r="H19" s="4">
        <f>E19*15%</f>
        <v>630</v>
      </c>
      <c r="J19" s="5">
        <f>J16+30</f>
        <v>44548</v>
      </c>
      <c r="K19" s="3">
        <f>K16</f>
        <v>9150</v>
      </c>
      <c r="N19" s="4">
        <f>K19*15%</f>
        <v>1372.5</v>
      </c>
    </row>
    <row r="20" spans="4:14" x14ac:dyDescent="0.3">
      <c r="D20" s="1"/>
      <c r="H20" s="2"/>
      <c r="J20" s="1"/>
      <c r="N20" s="2"/>
    </row>
    <row r="21" spans="4:14" x14ac:dyDescent="0.3">
      <c r="D21" s="1" t="s">
        <v>0</v>
      </c>
      <c r="E21" t="s">
        <v>1</v>
      </c>
      <c r="H21" s="2" t="s">
        <v>7</v>
      </c>
      <c r="J21" s="1" t="s">
        <v>0</v>
      </c>
      <c r="K21" t="s">
        <v>1</v>
      </c>
      <c r="N21" s="2" t="s">
        <v>7</v>
      </c>
    </row>
    <row r="22" spans="4:14" x14ac:dyDescent="0.3">
      <c r="D22" s="5">
        <f>D19+30</f>
        <v>44578</v>
      </c>
      <c r="E22" s="3">
        <f>E19</f>
        <v>4200</v>
      </c>
      <c r="H22" s="4">
        <f>E22*15%</f>
        <v>630</v>
      </c>
      <c r="J22" s="5">
        <f>J19+30</f>
        <v>44578</v>
      </c>
      <c r="K22" s="3">
        <f>K19</f>
        <v>9150</v>
      </c>
      <c r="N22" s="4">
        <f>K22*15%</f>
        <v>1372.5</v>
      </c>
    </row>
    <row r="23" spans="4:14" x14ac:dyDescent="0.3">
      <c r="D23" s="1"/>
      <c r="H23" s="2"/>
      <c r="J23" s="1"/>
      <c r="N23" s="2"/>
    </row>
    <row r="24" spans="4:14" x14ac:dyDescent="0.3">
      <c r="D24" s="1" t="s">
        <v>0</v>
      </c>
      <c r="E24" t="s">
        <v>1</v>
      </c>
      <c r="H24" s="2" t="s">
        <v>7</v>
      </c>
      <c r="J24" s="1" t="s">
        <v>0</v>
      </c>
      <c r="K24" t="s">
        <v>1</v>
      </c>
      <c r="N24" s="2" t="s">
        <v>7</v>
      </c>
    </row>
    <row r="25" spans="4:14" x14ac:dyDescent="0.3">
      <c r="D25" s="5">
        <f>D22+30</f>
        <v>44608</v>
      </c>
      <c r="E25" s="3">
        <f>E22</f>
        <v>4200</v>
      </c>
      <c r="H25" s="4">
        <f>E25*15%</f>
        <v>630</v>
      </c>
      <c r="J25" s="5">
        <f>J22+30</f>
        <v>44608</v>
      </c>
      <c r="K25" s="3">
        <f>K22</f>
        <v>9150</v>
      </c>
      <c r="N25" s="4">
        <f>K25*15%</f>
        <v>1372.5</v>
      </c>
    </row>
    <row r="26" spans="4:14" x14ac:dyDescent="0.3">
      <c r="D26" s="1"/>
      <c r="H26" s="2"/>
      <c r="J26" s="1"/>
      <c r="N26" s="2"/>
    </row>
    <row r="27" spans="4:14" x14ac:dyDescent="0.3">
      <c r="D27" s="1" t="s">
        <v>0</v>
      </c>
      <c r="E27" t="s">
        <v>1</v>
      </c>
      <c r="H27" s="2" t="s">
        <v>7</v>
      </c>
      <c r="J27" s="1" t="s">
        <v>0</v>
      </c>
      <c r="K27" t="s">
        <v>1</v>
      </c>
      <c r="N27" s="2" t="s">
        <v>7</v>
      </c>
    </row>
    <row r="28" spans="4:14" x14ac:dyDescent="0.3">
      <c r="D28" s="5">
        <f>D25+30</f>
        <v>44638</v>
      </c>
      <c r="E28" s="3">
        <f>E25</f>
        <v>4200</v>
      </c>
      <c r="H28" s="4">
        <f>E28*15%</f>
        <v>630</v>
      </c>
      <c r="J28" s="5">
        <f>J25+30</f>
        <v>44638</v>
      </c>
      <c r="K28" s="3">
        <f>K25</f>
        <v>9150</v>
      </c>
      <c r="N28" s="4">
        <f>K28*15%</f>
        <v>1372.5</v>
      </c>
    </row>
    <row r="29" spans="4:14" x14ac:dyDescent="0.3">
      <c r="D29" s="1"/>
      <c r="H29" s="2"/>
      <c r="J29" s="1"/>
      <c r="N29" s="2"/>
    </row>
    <row r="30" spans="4:14" x14ac:dyDescent="0.3">
      <c r="D30" s="1" t="s">
        <v>0</v>
      </c>
      <c r="E30" t="s">
        <v>1</v>
      </c>
      <c r="H30" s="2" t="s">
        <v>7</v>
      </c>
      <c r="J30" s="1" t="s">
        <v>0</v>
      </c>
      <c r="K30" t="s">
        <v>1</v>
      </c>
      <c r="N30" s="2" t="s">
        <v>7</v>
      </c>
    </row>
    <row r="31" spans="4:14" x14ac:dyDescent="0.3">
      <c r="D31" s="5">
        <f>D28+30</f>
        <v>44668</v>
      </c>
      <c r="E31" s="3">
        <f>E28</f>
        <v>4200</v>
      </c>
      <c r="H31" s="4">
        <f>E31*15%</f>
        <v>630</v>
      </c>
      <c r="J31" s="5">
        <f>J28+30</f>
        <v>44668</v>
      </c>
      <c r="K31" s="3">
        <f>K28</f>
        <v>9150</v>
      </c>
      <c r="N31" s="4">
        <f>K31*15%</f>
        <v>1372.5</v>
      </c>
    </row>
    <row r="32" spans="4:14" x14ac:dyDescent="0.3">
      <c r="D32" s="1"/>
      <c r="H32" s="2"/>
      <c r="J32" s="1"/>
      <c r="N32" s="2"/>
    </row>
    <row r="33" spans="4:14" x14ac:dyDescent="0.3">
      <c r="D33" s="1" t="s">
        <v>0</v>
      </c>
      <c r="E33" t="s">
        <v>1</v>
      </c>
      <c r="H33" s="2" t="s">
        <v>7</v>
      </c>
      <c r="J33" s="1" t="s">
        <v>0</v>
      </c>
      <c r="K33" t="s">
        <v>1</v>
      </c>
      <c r="N33" s="2" t="s">
        <v>7</v>
      </c>
    </row>
    <row r="34" spans="4:14" x14ac:dyDescent="0.3">
      <c r="D34" s="5">
        <f>D31+30</f>
        <v>44698</v>
      </c>
      <c r="E34" s="3">
        <f>E31</f>
        <v>4200</v>
      </c>
      <c r="H34" s="4">
        <f>E34*15%</f>
        <v>630</v>
      </c>
      <c r="J34" s="5">
        <f>J31+30</f>
        <v>44698</v>
      </c>
      <c r="K34" s="3">
        <f>K31</f>
        <v>9150</v>
      </c>
      <c r="N34" s="4">
        <f>K34*15%</f>
        <v>1372.5</v>
      </c>
    </row>
    <row r="35" spans="4:14" x14ac:dyDescent="0.3">
      <c r="D35" s="1"/>
      <c r="H35" s="2"/>
      <c r="J35" s="1"/>
      <c r="N35" s="2"/>
    </row>
    <row r="36" spans="4:14" x14ac:dyDescent="0.3">
      <c r="D36" s="1" t="s">
        <v>0</v>
      </c>
      <c r="E36" t="s">
        <v>1</v>
      </c>
      <c r="H36" s="2" t="s">
        <v>7</v>
      </c>
      <c r="J36" s="1" t="s">
        <v>0</v>
      </c>
      <c r="K36" t="s">
        <v>1</v>
      </c>
      <c r="N36" s="2" t="s">
        <v>7</v>
      </c>
    </row>
    <row r="37" spans="4:14" x14ac:dyDescent="0.3">
      <c r="D37" s="5">
        <f>D34+30</f>
        <v>44728</v>
      </c>
      <c r="E37" s="3">
        <f>E34</f>
        <v>4200</v>
      </c>
      <c r="H37" s="4">
        <f>E37*15%</f>
        <v>630</v>
      </c>
      <c r="J37" s="5">
        <f>J34+30</f>
        <v>44728</v>
      </c>
      <c r="K37" s="3">
        <f>K34</f>
        <v>9150</v>
      </c>
      <c r="N37" s="4">
        <f>K37*15%</f>
        <v>1372.5</v>
      </c>
    </row>
    <row r="38" spans="4:14" x14ac:dyDescent="0.3">
      <c r="D38" s="1"/>
      <c r="H38" s="2"/>
      <c r="J38" s="1"/>
      <c r="N38" s="2"/>
    </row>
    <row r="39" spans="4:14" x14ac:dyDescent="0.3">
      <c r="D39" s="1" t="s">
        <v>0</v>
      </c>
      <c r="E39" t="s">
        <v>1</v>
      </c>
      <c r="H39" s="2" t="s">
        <v>7</v>
      </c>
      <c r="J39" s="1" t="s">
        <v>0</v>
      </c>
      <c r="K39" t="s">
        <v>1</v>
      </c>
      <c r="N39" s="2" t="s">
        <v>7</v>
      </c>
    </row>
    <row r="40" spans="4:14" x14ac:dyDescent="0.3">
      <c r="D40" s="5">
        <f>D37+30</f>
        <v>44758</v>
      </c>
      <c r="E40" s="3">
        <f>E37</f>
        <v>4200</v>
      </c>
      <c r="H40" s="4">
        <f>E40*15%</f>
        <v>630</v>
      </c>
      <c r="J40" s="5">
        <f>J37+30</f>
        <v>44758</v>
      </c>
      <c r="K40" s="3">
        <f>K37</f>
        <v>9150</v>
      </c>
      <c r="N40" s="4">
        <f>K40*15%</f>
        <v>1372.5</v>
      </c>
    </row>
    <row r="41" spans="4:14" x14ac:dyDescent="0.3">
      <c r="D41" s="1"/>
      <c r="H41" s="2"/>
      <c r="J41" s="1"/>
      <c r="N41" s="2"/>
    </row>
    <row r="42" spans="4:14" x14ac:dyDescent="0.3">
      <c r="D42" s="1" t="s">
        <v>0</v>
      </c>
      <c r="E42" t="s">
        <v>1</v>
      </c>
      <c r="H42" s="2" t="s">
        <v>7</v>
      </c>
      <c r="J42" s="1" t="s">
        <v>0</v>
      </c>
      <c r="K42" t="s">
        <v>1</v>
      </c>
      <c r="N42" s="2" t="s">
        <v>7</v>
      </c>
    </row>
    <row r="43" spans="4:14" x14ac:dyDescent="0.3">
      <c r="D43" s="5">
        <f>D40+30</f>
        <v>44788</v>
      </c>
      <c r="E43" s="3">
        <f>E40</f>
        <v>4200</v>
      </c>
      <c r="H43" s="4">
        <f>E43*15%</f>
        <v>630</v>
      </c>
      <c r="J43" s="5">
        <f>J40+30</f>
        <v>44788</v>
      </c>
      <c r="K43" s="3">
        <f>K40</f>
        <v>9150</v>
      </c>
      <c r="N43" s="4">
        <f>K43*15%</f>
        <v>1372.5</v>
      </c>
    </row>
    <row r="44" spans="4:14" x14ac:dyDescent="0.3">
      <c r="D44" s="1"/>
      <c r="H44" s="2"/>
      <c r="J44" s="1"/>
      <c r="N44" s="2"/>
    </row>
    <row r="45" spans="4:14" x14ac:dyDescent="0.3">
      <c r="D45" s="1" t="s">
        <v>0</v>
      </c>
      <c r="E45" t="s">
        <v>1</v>
      </c>
      <c r="H45" s="2" t="s">
        <v>7</v>
      </c>
      <c r="J45" s="1" t="s">
        <v>0</v>
      </c>
      <c r="K45" t="s">
        <v>1</v>
      </c>
      <c r="N45" s="2" t="s">
        <v>7</v>
      </c>
    </row>
    <row r="46" spans="4:14" x14ac:dyDescent="0.3">
      <c r="D46" s="5">
        <f>D43+30</f>
        <v>44818</v>
      </c>
      <c r="E46" s="3">
        <f>E43</f>
        <v>4200</v>
      </c>
      <c r="H46" s="4">
        <f>E46*15%</f>
        <v>630</v>
      </c>
      <c r="J46" s="5">
        <f>J43+30</f>
        <v>44818</v>
      </c>
      <c r="K46" s="3">
        <f>K43</f>
        <v>9150</v>
      </c>
      <c r="N46" s="4">
        <f>K46*15%</f>
        <v>1372.5</v>
      </c>
    </row>
    <row r="47" spans="4:14" x14ac:dyDescent="0.3">
      <c r="D47" s="1"/>
      <c r="E47" s="3"/>
      <c r="H47" s="4"/>
      <c r="J47" s="1"/>
      <c r="K47" s="3"/>
      <c r="N47" s="4"/>
    </row>
    <row r="48" spans="4:14" x14ac:dyDescent="0.3">
      <c r="D48" s="1" t="s">
        <v>0</v>
      </c>
      <c r="E48" t="s">
        <v>1</v>
      </c>
      <c r="H48" s="2" t="s">
        <v>7</v>
      </c>
      <c r="J48" s="1" t="s">
        <v>0</v>
      </c>
      <c r="K48" t="s">
        <v>1</v>
      </c>
      <c r="N48" s="2" t="s">
        <v>7</v>
      </c>
    </row>
    <row r="49" spans="4:14" x14ac:dyDescent="0.3">
      <c r="D49" s="5">
        <v>44835</v>
      </c>
      <c r="E49" s="3">
        <f>E46</f>
        <v>4200</v>
      </c>
      <c r="H49" s="4">
        <f>E49*15%</f>
        <v>630</v>
      </c>
      <c r="J49" s="5">
        <v>44835</v>
      </c>
      <c r="K49" s="3">
        <f>K46</f>
        <v>9150</v>
      </c>
      <c r="N49" s="4">
        <f>K49*15%</f>
        <v>1372.5</v>
      </c>
    </row>
    <row r="50" spans="4:14" x14ac:dyDescent="0.3">
      <c r="D50" s="1"/>
      <c r="E50" s="3"/>
      <c r="H50" s="2"/>
      <c r="J50" s="1"/>
      <c r="K50" s="3"/>
      <c r="N50" s="2"/>
    </row>
    <row r="51" spans="4:14" x14ac:dyDescent="0.3">
      <c r="D51" s="1" t="s">
        <v>0</v>
      </c>
      <c r="E51" s="3" t="s">
        <v>1</v>
      </c>
      <c r="H51" s="2" t="s">
        <v>7</v>
      </c>
      <c r="J51" s="1" t="s">
        <v>0</v>
      </c>
      <c r="K51" s="3" t="s">
        <v>1</v>
      </c>
      <c r="N51" s="2" t="s">
        <v>7</v>
      </c>
    </row>
    <row r="52" spans="4:14" x14ac:dyDescent="0.3">
      <c r="D52" s="5">
        <f>D49+31</f>
        <v>44866</v>
      </c>
      <c r="E52" s="3">
        <f>E49</f>
        <v>4200</v>
      </c>
      <c r="H52" s="4">
        <f>E52*15%</f>
        <v>630</v>
      </c>
      <c r="J52" s="5">
        <f>J49+31</f>
        <v>44866</v>
      </c>
      <c r="K52" s="3">
        <f>K49</f>
        <v>9150</v>
      </c>
      <c r="N52" s="4">
        <f>K52*15%</f>
        <v>1372.5</v>
      </c>
    </row>
    <row r="53" spans="4:14" x14ac:dyDescent="0.3">
      <c r="D53" s="1"/>
      <c r="E53" s="3"/>
      <c r="H53" s="2"/>
      <c r="J53" s="1"/>
      <c r="K53" s="3"/>
      <c r="N53" s="2"/>
    </row>
    <row r="54" spans="4:14" x14ac:dyDescent="0.3">
      <c r="D54" s="1" t="s">
        <v>0</v>
      </c>
      <c r="E54" s="3" t="s">
        <v>1</v>
      </c>
      <c r="H54" s="2" t="s">
        <v>7</v>
      </c>
      <c r="J54" s="1" t="s">
        <v>0</v>
      </c>
      <c r="K54" s="3" t="s">
        <v>1</v>
      </c>
      <c r="N54" s="2" t="s">
        <v>7</v>
      </c>
    </row>
    <row r="55" spans="4:14" x14ac:dyDescent="0.3">
      <c r="D55" s="5">
        <f>D52+31</f>
        <v>44897</v>
      </c>
      <c r="E55" s="3">
        <v>5040</v>
      </c>
      <c r="H55" s="4">
        <f>E55*15%</f>
        <v>756</v>
      </c>
      <c r="J55" s="5">
        <f>J52+31</f>
        <v>44897</v>
      </c>
      <c r="K55" s="3">
        <v>10980</v>
      </c>
      <c r="N55" s="4">
        <f>K55*15%</f>
        <v>1647</v>
      </c>
    </row>
    <row r="56" spans="4:14" x14ac:dyDescent="0.3">
      <c r="D56" s="1"/>
      <c r="E56" s="3"/>
      <c r="H56" s="2"/>
      <c r="J56" s="1"/>
      <c r="K56" s="3"/>
      <c r="N56" s="2"/>
    </row>
    <row r="57" spans="4:14" x14ac:dyDescent="0.3">
      <c r="D57" s="1" t="s">
        <v>0</v>
      </c>
      <c r="E57" s="3" t="s">
        <v>1</v>
      </c>
      <c r="H57" s="2" t="s">
        <v>7</v>
      </c>
      <c r="J57" s="1" t="s">
        <v>0</v>
      </c>
      <c r="K57" s="3" t="s">
        <v>1</v>
      </c>
      <c r="N57" s="2" t="s">
        <v>7</v>
      </c>
    </row>
    <row r="58" spans="4:14" x14ac:dyDescent="0.3">
      <c r="D58" s="5">
        <f>D55+31</f>
        <v>44928</v>
      </c>
      <c r="E58" s="3">
        <v>7840</v>
      </c>
      <c r="H58" s="4">
        <f>E58*15%</f>
        <v>1176</v>
      </c>
      <c r="J58" s="5">
        <f>J55+31</f>
        <v>44928</v>
      </c>
      <c r="K58" s="3">
        <v>17080</v>
      </c>
      <c r="N58" s="4">
        <f>K58*15%</f>
        <v>2562</v>
      </c>
    </row>
    <row r="59" spans="4:14" x14ac:dyDescent="0.3">
      <c r="D59" s="1"/>
      <c r="E59" s="3"/>
      <c r="H59" s="2"/>
      <c r="J59" s="1"/>
      <c r="K59" s="3"/>
      <c r="N59" s="2"/>
    </row>
    <row r="60" spans="4:14" x14ac:dyDescent="0.3">
      <c r="D60" s="1" t="s">
        <v>0</v>
      </c>
      <c r="E60" s="3" t="s">
        <v>1</v>
      </c>
      <c r="H60" s="2" t="s">
        <v>7</v>
      </c>
      <c r="J60" s="1" t="s">
        <v>0</v>
      </c>
      <c r="K60" s="3" t="s">
        <v>1</v>
      </c>
      <c r="N60" s="2" t="s">
        <v>7</v>
      </c>
    </row>
    <row r="61" spans="4:14" x14ac:dyDescent="0.3">
      <c r="D61" s="5">
        <f>D58+31</f>
        <v>44959</v>
      </c>
      <c r="E61" s="3">
        <v>10640</v>
      </c>
      <c r="H61" s="4">
        <f>E61*15%</f>
        <v>1596</v>
      </c>
      <c r="J61" s="5">
        <f>J58+31</f>
        <v>44959</v>
      </c>
      <c r="K61" s="3">
        <v>23180</v>
      </c>
      <c r="N61" s="4">
        <f>K61*15%</f>
        <v>3477</v>
      </c>
    </row>
    <row r="62" spans="4:14" x14ac:dyDescent="0.3">
      <c r="D62" s="1"/>
      <c r="E62" s="3"/>
      <c r="H62" s="2"/>
      <c r="J62" s="1"/>
      <c r="K62" s="3"/>
      <c r="N62" s="2"/>
    </row>
    <row r="63" spans="4:14" x14ac:dyDescent="0.3">
      <c r="D63" s="1" t="s">
        <v>0</v>
      </c>
      <c r="E63" s="3" t="s">
        <v>1</v>
      </c>
      <c r="H63" s="2" t="s">
        <v>7</v>
      </c>
      <c r="J63" s="1" t="s">
        <v>0</v>
      </c>
      <c r="K63" s="3" t="s">
        <v>1</v>
      </c>
      <c r="N63" s="2" t="s">
        <v>7</v>
      </c>
    </row>
    <row r="64" spans="4:14" x14ac:dyDescent="0.3">
      <c r="D64" s="5">
        <f>D61+31</f>
        <v>44990</v>
      </c>
      <c r="E64" s="3">
        <f>E61</f>
        <v>10640</v>
      </c>
      <c r="H64" s="4">
        <f>E64*15%</f>
        <v>1596</v>
      </c>
      <c r="J64" s="5">
        <f>J61+31</f>
        <v>44990</v>
      </c>
      <c r="K64" s="3">
        <f>K61</f>
        <v>23180</v>
      </c>
      <c r="N64" s="4">
        <f>K64*15%</f>
        <v>3477</v>
      </c>
    </row>
    <row r="65" spans="4:14" x14ac:dyDescent="0.3">
      <c r="D65" s="1"/>
      <c r="E65" s="6"/>
      <c r="H65" s="2"/>
      <c r="J65" s="1"/>
      <c r="K65" s="6"/>
      <c r="N65" s="2"/>
    </row>
    <row r="66" spans="4:14" x14ac:dyDescent="0.3">
      <c r="D66" s="1" t="s">
        <v>0</v>
      </c>
      <c r="E66" s="6" t="s">
        <v>1</v>
      </c>
      <c r="H66" s="2" t="s">
        <v>7</v>
      </c>
      <c r="J66" s="1" t="s">
        <v>0</v>
      </c>
      <c r="K66" s="6" t="s">
        <v>1</v>
      </c>
      <c r="N66" s="2" t="s">
        <v>7</v>
      </c>
    </row>
    <row r="67" spans="4:14" x14ac:dyDescent="0.3">
      <c r="D67" s="5">
        <f t="shared" ref="D67" si="0">D64+31</f>
        <v>45021</v>
      </c>
      <c r="E67" s="3">
        <f>E64</f>
        <v>10640</v>
      </c>
      <c r="H67" s="4">
        <f>E67*15%</f>
        <v>1596</v>
      </c>
      <c r="J67" s="5">
        <f t="shared" ref="J67" si="1">J64+31</f>
        <v>45021</v>
      </c>
      <c r="K67" s="3">
        <f>K64</f>
        <v>23180</v>
      </c>
      <c r="N67" s="4">
        <f>K67*15%</f>
        <v>3477</v>
      </c>
    </row>
    <row r="68" spans="4:14" x14ac:dyDescent="0.3">
      <c r="D68" s="1"/>
      <c r="E68" s="3"/>
      <c r="H68" s="2"/>
      <c r="J68" s="1"/>
      <c r="K68" s="3"/>
      <c r="N68" s="2"/>
    </row>
    <row r="69" spans="4:14" x14ac:dyDescent="0.3">
      <c r="D69" s="1" t="s">
        <v>0</v>
      </c>
      <c r="E69" s="3" t="s">
        <v>1</v>
      </c>
      <c r="H69" s="2" t="s">
        <v>7</v>
      </c>
      <c r="J69" s="1" t="s">
        <v>0</v>
      </c>
      <c r="K69" s="3" t="s">
        <v>1</v>
      </c>
      <c r="N69" s="2" t="s">
        <v>7</v>
      </c>
    </row>
    <row r="70" spans="4:14" x14ac:dyDescent="0.3">
      <c r="D70" s="5">
        <f t="shared" ref="D70" si="2">D67+31</f>
        <v>45052</v>
      </c>
      <c r="E70" s="3">
        <v>12600</v>
      </c>
      <c r="H70" s="4">
        <f>E70*15%</f>
        <v>1890</v>
      </c>
      <c r="J70" s="5">
        <f t="shared" ref="J70" si="3">J67+31</f>
        <v>45052</v>
      </c>
      <c r="K70" s="3">
        <v>27450</v>
      </c>
      <c r="N70" s="4">
        <f>K70*15%</f>
        <v>4117.5</v>
      </c>
    </row>
    <row r="71" spans="4:14" x14ac:dyDescent="0.3">
      <c r="D71" s="1"/>
      <c r="E71" s="3"/>
      <c r="H71" s="2"/>
      <c r="J71" s="1"/>
      <c r="K71" s="3"/>
      <c r="N71" s="2"/>
    </row>
    <row r="72" spans="4:14" x14ac:dyDescent="0.3">
      <c r="D72" s="1" t="s">
        <v>0</v>
      </c>
      <c r="E72" s="3" t="s">
        <v>1</v>
      </c>
      <c r="H72" s="2" t="s">
        <v>7</v>
      </c>
      <c r="J72" s="1" t="s">
        <v>0</v>
      </c>
      <c r="K72" s="3" t="s">
        <v>1</v>
      </c>
      <c r="N72" s="2" t="s">
        <v>7</v>
      </c>
    </row>
    <row r="73" spans="4:14" x14ac:dyDescent="0.3">
      <c r="D73" s="5">
        <f t="shared" ref="D73" si="4">D70+31</f>
        <v>45083</v>
      </c>
      <c r="E73" s="3">
        <f>E70</f>
        <v>12600</v>
      </c>
      <c r="H73" s="4">
        <f>E73*15%</f>
        <v>1890</v>
      </c>
      <c r="J73" s="5">
        <f t="shared" ref="J73" si="5">J70+31</f>
        <v>45083</v>
      </c>
      <c r="K73" s="3">
        <f>K70</f>
        <v>27450</v>
      </c>
      <c r="N73" s="4">
        <f>K73*15%</f>
        <v>4117.5</v>
      </c>
    </row>
    <row r="74" spans="4:14" x14ac:dyDescent="0.3">
      <c r="D74" s="1"/>
      <c r="E74" s="3"/>
      <c r="H74" s="2"/>
      <c r="J74" s="1"/>
      <c r="K74" s="3"/>
      <c r="N74" s="2"/>
    </row>
    <row r="75" spans="4:14" x14ac:dyDescent="0.3">
      <c r="D75" s="1" t="s">
        <v>0</v>
      </c>
      <c r="E75" s="3" t="s">
        <v>1</v>
      </c>
      <c r="H75" s="2" t="s">
        <v>7</v>
      </c>
      <c r="J75" s="1" t="s">
        <v>0</v>
      </c>
      <c r="K75" s="3" t="s">
        <v>1</v>
      </c>
      <c r="N75" s="2" t="s">
        <v>7</v>
      </c>
    </row>
    <row r="76" spans="4:14" x14ac:dyDescent="0.3">
      <c r="D76" s="5">
        <f t="shared" ref="D76" si="6">D73+31</f>
        <v>45114</v>
      </c>
      <c r="E76" s="3">
        <f>E73</f>
        <v>12600</v>
      </c>
      <c r="H76" s="4">
        <f>E76*15%</f>
        <v>1890</v>
      </c>
      <c r="J76" s="5">
        <f t="shared" ref="J76" si="7">J73+31</f>
        <v>45114</v>
      </c>
      <c r="K76" s="3">
        <f>K73</f>
        <v>27450</v>
      </c>
      <c r="N76" s="4">
        <f>K76*15%</f>
        <v>4117.5</v>
      </c>
    </row>
    <row r="77" spans="4:14" x14ac:dyDescent="0.3">
      <c r="D77" s="1"/>
      <c r="E77" s="3"/>
      <c r="H77" s="2"/>
      <c r="J77" s="1"/>
      <c r="K77" s="3"/>
      <c r="N77" s="2"/>
    </row>
    <row r="78" spans="4:14" x14ac:dyDescent="0.3">
      <c r="D78" s="1" t="s">
        <v>0</v>
      </c>
      <c r="E78" s="3" t="s">
        <v>1</v>
      </c>
      <c r="H78" s="2" t="s">
        <v>7</v>
      </c>
      <c r="J78" s="1" t="s">
        <v>0</v>
      </c>
      <c r="K78" s="3" t="s">
        <v>1</v>
      </c>
      <c r="N78" s="2" t="s">
        <v>7</v>
      </c>
    </row>
    <row r="79" spans="4:14" x14ac:dyDescent="0.3">
      <c r="D79" s="5">
        <f t="shared" ref="D79" si="8">D76+31</f>
        <v>45145</v>
      </c>
      <c r="E79" s="3">
        <f>E76</f>
        <v>12600</v>
      </c>
      <c r="H79" s="4">
        <f>E79*15%</f>
        <v>1890</v>
      </c>
      <c r="J79" s="5">
        <f t="shared" ref="J79" si="9">J76+31</f>
        <v>45145</v>
      </c>
      <c r="K79" s="3">
        <f>K76</f>
        <v>27450</v>
      </c>
      <c r="N79" s="4">
        <f>K79*15%</f>
        <v>4117.5</v>
      </c>
    </row>
    <row r="80" spans="4:14" x14ac:dyDescent="0.3">
      <c r="D80" s="1"/>
      <c r="E80" s="3"/>
      <c r="H80" s="2"/>
      <c r="J80" s="1"/>
      <c r="K80" s="3"/>
      <c r="N80" s="2"/>
    </row>
    <row r="81" spans="4:14" x14ac:dyDescent="0.3">
      <c r="D81" s="1" t="s">
        <v>0</v>
      </c>
      <c r="E81" s="3" t="s">
        <v>1</v>
      </c>
      <c r="H81" s="2" t="s">
        <v>7</v>
      </c>
      <c r="J81" s="1" t="s">
        <v>0</v>
      </c>
      <c r="K81" s="3" t="s">
        <v>1</v>
      </c>
      <c r="N81" s="2" t="s">
        <v>7</v>
      </c>
    </row>
    <row r="82" spans="4:14" x14ac:dyDescent="0.3">
      <c r="D82" s="5">
        <f t="shared" ref="D82" si="10">D79+31</f>
        <v>45176</v>
      </c>
      <c r="E82" s="3">
        <f>E79</f>
        <v>12600</v>
      </c>
      <c r="H82" s="4">
        <f>E82*15%</f>
        <v>1890</v>
      </c>
      <c r="J82" s="5">
        <f t="shared" ref="J82" si="11">J79+31</f>
        <v>45176</v>
      </c>
      <c r="K82" s="3">
        <f>K79</f>
        <v>27450</v>
      </c>
      <c r="N82" s="4">
        <f>K82*15%</f>
        <v>4117.5</v>
      </c>
    </row>
    <row r="83" spans="4:14" x14ac:dyDescent="0.3">
      <c r="D83" s="1"/>
      <c r="E83" s="3"/>
      <c r="H83" s="2"/>
      <c r="J83" s="1"/>
      <c r="K83" s="3"/>
      <c r="N83" s="2"/>
    </row>
    <row r="84" spans="4:14" x14ac:dyDescent="0.3">
      <c r="D84" s="1" t="s">
        <v>0</v>
      </c>
      <c r="E84" s="3" t="s">
        <v>1</v>
      </c>
      <c r="H84" s="2" t="s">
        <v>7</v>
      </c>
      <c r="J84" s="1" t="s">
        <v>0</v>
      </c>
      <c r="K84" s="3" t="s">
        <v>1</v>
      </c>
      <c r="N84" s="2" t="s">
        <v>7</v>
      </c>
    </row>
    <row r="85" spans="4:14" x14ac:dyDescent="0.3">
      <c r="D85" s="5">
        <f t="shared" ref="D85" si="12">D82+31</f>
        <v>45207</v>
      </c>
      <c r="E85" s="3">
        <v>12600</v>
      </c>
      <c r="H85" s="4">
        <f>E85*15%</f>
        <v>1890</v>
      </c>
      <c r="J85" s="5">
        <f t="shared" ref="J85" si="13">J82+31</f>
        <v>45207</v>
      </c>
      <c r="K85" s="3">
        <f>K82</f>
        <v>27450</v>
      </c>
      <c r="N85" s="4">
        <f>K85*15%</f>
        <v>4117.5</v>
      </c>
    </row>
    <row r="86" spans="4:14" x14ac:dyDescent="0.3">
      <c r="D86" s="1"/>
      <c r="E86" s="3"/>
      <c r="H86" s="2"/>
      <c r="J86" s="1"/>
      <c r="K86" s="3"/>
      <c r="N86" s="2"/>
    </row>
    <row r="87" spans="4:14" x14ac:dyDescent="0.3">
      <c r="D87" s="1" t="s">
        <v>0</v>
      </c>
      <c r="E87" s="3" t="s">
        <v>1</v>
      </c>
      <c r="H87" s="2" t="s">
        <v>7</v>
      </c>
      <c r="J87" s="1" t="s">
        <v>0</v>
      </c>
      <c r="K87" s="3" t="s">
        <v>1</v>
      </c>
      <c r="N87" s="2" t="s">
        <v>7</v>
      </c>
    </row>
    <row r="88" spans="4:14" x14ac:dyDescent="0.3">
      <c r="D88" s="5">
        <f t="shared" ref="D88" si="14">D85+31</f>
        <v>45238</v>
      </c>
      <c r="E88" s="3">
        <v>15400</v>
      </c>
      <c r="H88" s="4">
        <f>E88*15%</f>
        <v>2310</v>
      </c>
      <c r="J88" s="5">
        <f t="shared" ref="J88" si="15">J85+31</f>
        <v>45238</v>
      </c>
      <c r="K88" s="3">
        <v>33550</v>
      </c>
      <c r="N88" s="4">
        <f>K88*15%</f>
        <v>5032.5</v>
      </c>
    </row>
    <row r="89" spans="4:14" x14ac:dyDescent="0.3">
      <c r="D89" s="1"/>
      <c r="E89" s="3"/>
      <c r="H89" s="2"/>
      <c r="J89" s="1"/>
      <c r="K89" s="3"/>
      <c r="N89" s="2"/>
    </row>
    <row r="90" spans="4:14" x14ac:dyDescent="0.3">
      <c r="D90" s="1" t="s">
        <v>0</v>
      </c>
      <c r="E90" s="3" t="s">
        <v>1</v>
      </c>
      <c r="H90" s="2" t="s">
        <v>7</v>
      </c>
      <c r="J90" s="1" t="s">
        <v>0</v>
      </c>
      <c r="K90" s="3" t="s">
        <v>1</v>
      </c>
      <c r="N90" s="2" t="s">
        <v>7</v>
      </c>
    </row>
    <row r="91" spans="4:14" x14ac:dyDescent="0.3">
      <c r="D91" s="5">
        <f t="shared" ref="D91" si="16">D88+31</f>
        <v>45269</v>
      </c>
      <c r="E91" s="3">
        <v>18200</v>
      </c>
      <c r="H91" s="4">
        <f>E91*15%</f>
        <v>2730</v>
      </c>
      <c r="J91" s="5">
        <f t="shared" ref="J91" si="17">J88+31</f>
        <v>45269</v>
      </c>
      <c r="K91" s="3">
        <v>39650</v>
      </c>
      <c r="N91" s="4">
        <f>K91*15%</f>
        <v>5947.5</v>
      </c>
    </row>
    <row r="92" spans="4:14" x14ac:dyDescent="0.3">
      <c r="D92" s="1"/>
      <c r="E92" s="7"/>
      <c r="H92" s="2"/>
      <c r="J92" s="1"/>
      <c r="K92" s="7"/>
      <c r="N92" s="2"/>
    </row>
    <row r="93" spans="4:14" x14ac:dyDescent="0.3">
      <c r="D93" s="1" t="s">
        <v>0</v>
      </c>
      <c r="E93" s="6" t="s">
        <v>1</v>
      </c>
      <c r="H93" s="2" t="s">
        <v>7</v>
      </c>
      <c r="J93" s="1" t="s">
        <v>0</v>
      </c>
      <c r="K93" s="6" t="s">
        <v>1</v>
      </c>
      <c r="N93" s="2" t="s">
        <v>7</v>
      </c>
    </row>
    <row r="94" spans="4:14" x14ac:dyDescent="0.3">
      <c r="D94" s="5">
        <f t="shared" ref="D94" si="18">D91+31</f>
        <v>45300</v>
      </c>
      <c r="E94" s="6">
        <f>E91</f>
        <v>18200</v>
      </c>
      <c r="H94" s="4">
        <f>E94*15%</f>
        <v>2730</v>
      </c>
      <c r="J94" s="5">
        <f t="shared" ref="J94" si="19">J91+31</f>
        <v>45300</v>
      </c>
      <c r="K94" s="6">
        <f>K91</f>
        <v>39650</v>
      </c>
      <c r="N94" s="4">
        <f>K94*15%</f>
        <v>5947.5</v>
      </c>
    </row>
    <row r="95" spans="4:14" x14ac:dyDescent="0.3">
      <c r="D95" s="1"/>
      <c r="H95" s="2"/>
      <c r="J95" s="1"/>
      <c r="N95" s="2"/>
    </row>
    <row r="96" spans="4:14" x14ac:dyDescent="0.3">
      <c r="D96" s="1" t="s">
        <v>0</v>
      </c>
      <c r="E96" s="3" t="s">
        <v>1</v>
      </c>
      <c r="H96" s="2" t="s">
        <v>7</v>
      </c>
      <c r="J96" s="1" t="s">
        <v>0</v>
      </c>
      <c r="K96" s="3" t="s">
        <v>1</v>
      </c>
      <c r="N96" s="2" t="s">
        <v>7</v>
      </c>
    </row>
    <row r="97" spans="4:14" x14ac:dyDescent="0.3">
      <c r="D97" s="5">
        <f t="shared" ref="D97" si="20">D94+31</f>
        <v>45331</v>
      </c>
      <c r="E97" s="3">
        <v>21840</v>
      </c>
      <c r="H97" s="4">
        <f>E97*15%</f>
        <v>3276</v>
      </c>
      <c r="J97" s="5">
        <f t="shared" ref="J97" si="21">J94+31</f>
        <v>45331</v>
      </c>
      <c r="K97" s="3">
        <v>47580</v>
      </c>
      <c r="N97" s="4">
        <f>K97*15%</f>
        <v>7137</v>
      </c>
    </row>
    <row r="98" spans="4:14" ht="13.8" customHeight="1" x14ac:dyDescent="0.3">
      <c r="D98" s="1"/>
      <c r="H98" s="2"/>
      <c r="J98" s="1"/>
      <c r="N98" s="2"/>
    </row>
    <row r="99" spans="4:14" x14ac:dyDescent="0.3">
      <c r="D99" s="1" t="s">
        <v>0</v>
      </c>
      <c r="E99" s="3" t="s">
        <v>1</v>
      </c>
      <c r="H99" s="2" t="s">
        <v>7</v>
      </c>
      <c r="J99" s="1" t="s">
        <v>0</v>
      </c>
      <c r="K99" s="3" t="s">
        <v>1</v>
      </c>
      <c r="N99" s="2" t="s">
        <v>7</v>
      </c>
    </row>
    <row r="100" spans="4:14" x14ac:dyDescent="0.3">
      <c r="D100" s="5">
        <f t="shared" ref="D100" si="22">D97+31</f>
        <v>45362</v>
      </c>
      <c r="E100" s="3">
        <v>21840</v>
      </c>
      <c r="H100" s="4">
        <f>E100*15%</f>
        <v>3276</v>
      </c>
      <c r="J100" s="5">
        <f t="shared" ref="J100" si="23">J97+31</f>
        <v>45362</v>
      </c>
      <c r="K100" s="3">
        <f>K97</f>
        <v>47580</v>
      </c>
      <c r="N100" s="4">
        <f>K100*15%</f>
        <v>7137</v>
      </c>
    </row>
    <row r="101" spans="4:14" x14ac:dyDescent="0.3">
      <c r="D101" s="1"/>
      <c r="H101" s="2"/>
      <c r="J101" s="1"/>
      <c r="N101" s="2"/>
    </row>
    <row r="102" spans="4:14" x14ac:dyDescent="0.3">
      <c r="D102" s="1" t="s">
        <v>0</v>
      </c>
      <c r="E102" s="3" t="s">
        <v>1</v>
      </c>
      <c r="H102" s="2" t="s">
        <v>7</v>
      </c>
      <c r="J102" s="1" t="s">
        <v>0</v>
      </c>
      <c r="K102" s="3" t="s">
        <v>1</v>
      </c>
      <c r="N102" s="2" t="s">
        <v>7</v>
      </c>
    </row>
    <row r="103" spans="4:14" x14ac:dyDescent="0.3">
      <c r="D103" s="5">
        <f t="shared" ref="D103" si="24">D100+31</f>
        <v>45393</v>
      </c>
      <c r="E103" s="3">
        <v>21840</v>
      </c>
      <c r="H103" s="4">
        <f>E103*15%</f>
        <v>3276</v>
      </c>
      <c r="J103" s="5">
        <f t="shared" ref="J103" si="25">J100+31</f>
        <v>45393</v>
      </c>
      <c r="K103" s="3">
        <f>K100</f>
        <v>47580</v>
      </c>
      <c r="N103" s="4">
        <f>K103*15%</f>
        <v>7137</v>
      </c>
    </row>
    <row r="104" spans="4:14" x14ac:dyDescent="0.3">
      <c r="D104" s="1"/>
      <c r="H104" s="2"/>
      <c r="J104" s="1"/>
      <c r="N104" s="2"/>
    </row>
    <row r="105" spans="4:14" x14ac:dyDescent="0.3">
      <c r="D105" s="1" t="s">
        <v>0</v>
      </c>
      <c r="E105" s="3" t="s">
        <v>1</v>
      </c>
      <c r="H105" s="2" t="s">
        <v>7</v>
      </c>
      <c r="J105" s="1" t="s">
        <v>0</v>
      </c>
      <c r="K105" s="3" t="s">
        <v>1</v>
      </c>
      <c r="N105" s="2" t="s">
        <v>7</v>
      </c>
    </row>
    <row r="106" spans="4:14" ht="13.8" customHeight="1" x14ac:dyDescent="0.3">
      <c r="D106" s="5">
        <f>D103+31</f>
        <v>45424</v>
      </c>
      <c r="E106" s="3">
        <v>21840</v>
      </c>
      <c r="H106" s="4">
        <f>E106*15%</f>
        <v>3276</v>
      </c>
      <c r="J106" s="5">
        <f>J103+31</f>
        <v>45424</v>
      </c>
      <c r="K106" s="3">
        <f>K103</f>
        <v>47580</v>
      </c>
      <c r="N106" s="4">
        <f>K106*15%</f>
        <v>7137</v>
      </c>
    </row>
    <row r="107" spans="4:14" x14ac:dyDescent="0.3">
      <c r="D107" s="1"/>
      <c r="H107" s="2"/>
      <c r="J107" s="1"/>
      <c r="N107" s="2"/>
    </row>
    <row r="108" spans="4:14" x14ac:dyDescent="0.3">
      <c r="D108" s="1" t="s">
        <v>0</v>
      </c>
      <c r="E108" s="3" t="s">
        <v>1</v>
      </c>
      <c r="H108" s="2" t="s">
        <v>7</v>
      </c>
      <c r="J108" s="1" t="s">
        <v>0</v>
      </c>
      <c r="K108" s="3" t="s">
        <v>1</v>
      </c>
      <c r="N108" s="2" t="s">
        <v>7</v>
      </c>
    </row>
    <row r="109" spans="4:14" x14ac:dyDescent="0.3">
      <c r="D109" s="5">
        <f t="shared" ref="D109" si="26">D106+31</f>
        <v>45455</v>
      </c>
      <c r="E109" s="3">
        <v>21840</v>
      </c>
      <c r="H109" s="4">
        <f>E109*15%</f>
        <v>3276</v>
      </c>
      <c r="J109" s="5">
        <f t="shared" ref="J109" si="27">J106+31</f>
        <v>45455</v>
      </c>
      <c r="K109" s="3">
        <f>K106</f>
        <v>47580</v>
      </c>
      <c r="N109" s="4">
        <f>K109*15%</f>
        <v>7137</v>
      </c>
    </row>
    <row r="110" spans="4:14" x14ac:dyDescent="0.3">
      <c r="D110" s="1"/>
      <c r="H110" s="2"/>
      <c r="J110" s="1"/>
      <c r="N110" s="2"/>
    </row>
    <row r="111" spans="4:14" x14ac:dyDescent="0.3">
      <c r="D111" s="1" t="s">
        <v>0</v>
      </c>
      <c r="E111" s="3" t="s">
        <v>1</v>
      </c>
      <c r="H111" s="2" t="s">
        <v>7</v>
      </c>
      <c r="J111" s="1" t="s">
        <v>0</v>
      </c>
      <c r="K111" s="3" t="s">
        <v>1</v>
      </c>
      <c r="N111" s="2" t="s">
        <v>7</v>
      </c>
    </row>
    <row r="112" spans="4:14" x14ac:dyDescent="0.3">
      <c r="D112" s="5">
        <f t="shared" ref="D112" si="28">D109+31</f>
        <v>45486</v>
      </c>
      <c r="E112" s="3">
        <v>21840</v>
      </c>
      <c r="H112" s="4">
        <f>E112*15%</f>
        <v>3276</v>
      </c>
      <c r="J112" s="5">
        <f t="shared" ref="J112" si="29">J109+31</f>
        <v>45486</v>
      </c>
      <c r="K112" s="3">
        <f>K109</f>
        <v>47580</v>
      </c>
      <c r="N112" s="4">
        <f>K112*15%</f>
        <v>7137</v>
      </c>
    </row>
    <row r="113" spans="4:14" x14ac:dyDescent="0.3">
      <c r="D113" s="1"/>
      <c r="H113" s="2"/>
      <c r="J113" s="1"/>
      <c r="N113" s="2"/>
    </row>
    <row r="114" spans="4:14" x14ac:dyDescent="0.3">
      <c r="D114" s="1" t="s">
        <v>0</v>
      </c>
      <c r="E114" s="3" t="s">
        <v>1</v>
      </c>
      <c r="H114" s="2" t="s">
        <v>7</v>
      </c>
      <c r="J114" s="1" t="s">
        <v>0</v>
      </c>
      <c r="K114" s="3" t="s">
        <v>1</v>
      </c>
      <c r="N114" s="2" t="s">
        <v>7</v>
      </c>
    </row>
    <row r="115" spans="4:14" x14ac:dyDescent="0.3">
      <c r="D115" s="5">
        <f t="shared" ref="D115" si="30">D112+31</f>
        <v>45517</v>
      </c>
      <c r="E115" s="3">
        <v>21840</v>
      </c>
      <c r="H115" s="4">
        <f>E115*15%</f>
        <v>3276</v>
      </c>
      <c r="J115" s="5">
        <f t="shared" ref="J115" si="31">J112+31</f>
        <v>45517</v>
      </c>
      <c r="K115" s="3">
        <f>K112</f>
        <v>47580</v>
      </c>
      <c r="N115" s="4">
        <f>K115*15%</f>
        <v>7137</v>
      </c>
    </row>
    <row r="116" spans="4:14" x14ac:dyDescent="0.3">
      <c r="D116" s="1"/>
      <c r="H116" s="2"/>
      <c r="J116" s="1"/>
      <c r="N116" s="2"/>
    </row>
    <row r="117" spans="4:14" x14ac:dyDescent="0.3">
      <c r="D117" s="1" t="s">
        <v>0</v>
      </c>
      <c r="E117" s="3" t="s">
        <v>1</v>
      </c>
      <c r="F117" t="s">
        <v>2</v>
      </c>
      <c r="H117" s="2" t="s">
        <v>7</v>
      </c>
      <c r="J117" s="1" t="s">
        <v>0</v>
      </c>
      <c r="K117" s="3" t="s">
        <v>1</v>
      </c>
      <c r="L117" t="s">
        <v>2</v>
      </c>
      <c r="N117" s="2" t="s">
        <v>7</v>
      </c>
    </row>
    <row r="118" spans="4:14" x14ac:dyDescent="0.3">
      <c r="D118" s="5">
        <f t="shared" ref="D118" si="32">D115+31</f>
        <v>45548</v>
      </c>
      <c r="E118" s="3">
        <v>28000</v>
      </c>
      <c r="F118" s="3">
        <f>E118</f>
        <v>28000</v>
      </c>
      <c r="H118" s="4">
        <f>E118*15%+F118*15%</f>
        <v>8400</v>
      </c>
      <c r="J118" s="5">
        <f t="shared" ref="J118" si="33">J115+31</f>
        <v>45548</v>
      </c>
      <c r="K118" s="3">
        <v>61000</v>
      </c>
      <c r="L118" s="3">
        <f>K118</f>
        <v>61000</v>
      </c>
      <c r="N118" s="4">
        <f>K118*15%+L118*15%</f>
        <v>18300</v>
      </c>
    </row>
    <row r="119" spans="4:14" x14ac:dyDescent="0.3">
      <c r="D119" s="1"/>
      <c r="H119" s="2"/>
      <c r="J119" s="1"/>
      <c r="N119" s="2"/>
    </row>
    <row r="120" spans="4:14" x14ac:dyDescent="0.3">
      <c r="D120" s="1" t="s">
        <v>0</v>
      </c>
      <c r="E120" s="3" t="s">
        <v>1</v>
      </c>
      <c r="F120" t="s">
        <v>2</v>
      </c>
      <c r="H120" s="2" t="s">
        <v>7</v>
      </c>
      <c r="J120" s="1" t="s">
        <v>0</v>
      </c>
      <c r="K120" s="3" t="s">
        <v>1</v>
      </c>
      <c r="L120" t="s">
        <v>2</v>
      </c>
      <c r="N120" s="2" t="s">
        <v>7</v>
      </c>
    </row>
    <row r="121" spans="4:14" x14ac:dyDescent="0.3">
      <c r="D121" s="5">
        <f t="shared" ref="D121" si="34">D118+31</f>
        <v>45579</v>
      </c>
      <c r="E121" s="3">
        <v>28000</v>
      </c>
      <c r="F121" s="3">
        <f>E121</f>
        <v>28000</v>
      </c>
      <c r="H121" s="4">
        <f>E121*15%+F121*15%</f>
        <v>8400</v>
      </c>
      <c r="J121" s="5">
        <f t="shared" ref="J121" si="35">J118+31</f>
        <v>45579</v>
      </c>
      <c r="K121" s="3">
        <v>61000</v>
      </c>
      <c r="L121" s="3">
        <f>K121</f>
        <v>61000</v>
      </c>
      <c r="N121" s="4">
        <f>K121*15%+L121*15%</f>
        <v>18300</v>
      </c>
    </row>
    <row r="122" spans="4:14" x14ac:dyDescent="0.3">
      <c r="D122" s="1"/>
      <c r="H122" s="2"/>
      <c r="J122" s="1"/>
      <c r="N122" s="2"/>
    </row>
    <row r="123" spans="4:14" x14ac:dyDescent="0.3">
      <c r="D123" s="1" t="s">
        <v>0</v>
      </c>
      <c r="E123" s="3" t="s">
        <v>1</v>
      </c>
      <c r="F123" t="s">
        <v>2</v>
      </c>
      <c r="H123" s="2" t="s">
        <v>7</v>
      </c>
      <c r="J123" s="1" t="s">
        <v>0</v>
      </c>
      <c r="K123" s="3" t="s">
        <v>1</v>
      </c>
      <c r="L123" t="s">
        <v>2</v>
      </c>
      <c r="N123" s="2" t="s">
        <v>7</v>
      </c>
    </row>
    <row r="124" spans="4:14" x14ac:dyDescent="0.3">
      <c r="D124" s="5">
        <f t="shared" ref="D124" si="36">D121+31</f>
        <v>45610</v>
      </c>
      <c r="E124" s="3">
        <v>28000</v>
      </c>
      <c r="F124" s="3">
        <f>E124</f>
        <v>28000</v>
      </c>
      <c r="H124" s="4">
        <f>E124*15%+F124*15%</f>
        <v>8400</v>
      </c>
      <c r="J124" s="5">
        <f t="shared" ref="J124" si="37">J121+31</f>
        <v>45610</v>
      </c>
      <c r="K124" s="3">
        <v>61000</v>
      </c>
      <c r="L124" s="3">
        <f>K124</f>
        <v>61000</v>
      </c>
      <c r="N124" s="4">
        <f>K124*15%+L124*15%</f>
        <v>18300</v>
      </c>
    </row>
    <row r="125" spans="4:14" x14ac:dyDescent="0.3">
      <c r="D125" s="1"/>
      <c r="H125" s="2"/>
      <c r="J125" s="1"/>
      <c r="N125" s="2"/>
    </row>
    <row r="126" spans="4:14" x14ac:dyDescent="0.3">
      <c r="D126" s="1" t="s">
        <v>0</v>
      </c>
      <c r="E126" s="3" t="s">
        <v>1</v>
      </c>
      <c r="H126" s="2" t="s">
        <v>7</v>
      </c>
      <c r="J126" s="1" t="s">
        <v>0</v>
      </c>
      <c r="K126" s="3" t="s">
        <v>1</v>
      </c>
      <c r="N126" s="2" t="s">
        <v>7</v>
      </c>
    </row>
    <row r="127" spans="4:14" x14ac:dyDescent="0.3">
      <c r="D127" s="5">
        <f t="shared" ref="D127" si="38">D124+31</f>
        <v>45641</v>
      </c>
      <c r="E127" s="3">
        <v>28000</v>
      </c>
      <c r="H127" s="4">
        <f>E127*15%</f>
        <v>4200</v>
      </c>
      <c r="J127" s="5">
        <f t="shared" ref="J127" si="39">J124+31</f>
        <v>45641</v>
      </c>
      <c r="K127" s="3">
        <v>61000</v>
      </c>
      <c r="N127" s="4">
        <f>K127*15%</f>
        <v>9150</v>
      </c>
    </row>
    <row r="128" spans="4:14" x14ac:dyDescent="0.3">
      <c r="D128" s="1"/>
      <c r="E128" s="7"/>
      <c r="H128" s="2"/>
      <c r="J128" s="1"/>
      <c r="K128" s="7"/>
      <c r="N128" s="2"/>
    </row>
    <row r="129" spans="4:14" x14ac:dyDescent="0.3">
      <c r="D129" s="1" t="s">
        <v>0</v>
      </c>
      <c r="E129" s="6" t="s">
        <v>1</v>
      </c>
      <c r="H129" s="2" t="s">
        <v>7</v>
      </c>
      <c r="J129" s="1" t="s">
        <v>0</v>
      </c>
      <c r="K129" s="6" t="s">
        <v>1</v>
      </c>
      <c r="N129" s="2" t="s">
        <v>7</v>
      </c>
    </row>
    <row r="130" spans="4:14" x14ac:dyDescent="0.3">
      <c r="D130" s="5">
        <f t="shared" ref="D130" si="40">D127+31</f>
        <v>45672</v>
      </c>
      <c r="E130" s="3">
        <v>28000</v>
      </c>
      <c r="H130" s="4">
        <f>E130*15%</f>
        <v>4200</v>
      </c>
      <c r="J130" s="5">
        <f t="shared" ref="J130" si="41">J127+31</f>
        <v>45672</v>
      </c>
      <c r="K130" s="3">
        <v>61000</v>
      </c>
      <c r="N130" s="4">
        <f>K130*15%</f>
        <v>9150</v>
      </c>
    </row>
    <row r="131" spans="4:14" x14ac:dyDescent="0.3">
      <c r="D131" s="1"/>
      <c r="H131" s="2"/>
      <c r="J131" s="1"/>
      <c r="N131" s="2"/>
    </row>
    <row r="132" spans="4:14" x14ac:dyDescent="0.3">
      <c r="D132" s="1" t="s">
        <v>0</v>
      </c>
      <c r="E132" s="3" t="s">
        <v>1</v>
      </c>
      <c r="H132" s="2" t="s">
        <v>7</v>
      </c>
      <c r="J132" s="1" t="s">
        <v>0</v>
      </c>
      <c r="K132" s="3" t="s">
        <v>1</v>
      </c>
      <c r="N132" s="2" t="s">
        <v>7</v>
      </c>
    </row>
    <row r="133" spans="4:14" x14ac:dyDescent="0.3">
      <c r="D133" s="5">
        <f t="shared" ref="D133" si="42">D130+31</f>
        <v>45703</v>
      </c>
      <c r="E133" s="3">
        <v>42000</v>
      </c>
      <c r="H133" s="4">
        <f>E133*15%</f>
        <v>6300</v>
      </c>
      <c r="J133" s="5">
        <f t="shared" ref="J133" si="43">J130+31</f>
        <v>45703</v>
      </c>
      <c r="K133" s="3">
        <v>91500</v>
      </c>
      <c r="N133" s="4">
        <f>K133*15%</f>
        <v>13725</v>
      </c>
    </row>
    <row r="134" spans="4:14" x14ac:dyDescent="0.3">
      <c r="D134" s="1"/>
      <c r="H134" s="2"/>
      <c r="J134" s="1"/>
      <c r="N134" s="2"/>
    </row>
    <row r="135" spans="4:14" ht="0.6" hidden="1" customHeight="1" x14ac:dyDescent="0.3">
      <c r="D135" s="1" t="s">
        <v>0</v>
      </c>
      <c r="E135" s="3" t="s">
        <v>1</v>
      </c>
      <c r="H135" s="2" t="s">
        <v>7</v>
      </c>
      <c r="J135" s="1" t="s">
        <v>0</v>
      </c>
      <c r="K135" s="3" t="s">
        <v>1</v>
      </c>
      <c r="N135" s="2" t="s">
        <v>7</v>
      </c>
    </row>
    <row r="136" spans="4:14" hidden="1" x14ac:dyDescent="0.3">
      <c r="D136" s="5">
        <f>D133+31</f>
        <v>45734</v>
      </c>
      <c r="E136" s="3">
        <v>0</v>
      </c>
      <c r="H136" s="4">
        <f>E136*15%</f>
        <v>0</v>
      </c>
      <c r="J136" s="5">
        <f>J133+31</f>
        <v>45734</v>
      </c>
      <c r="K136" s="3">
        <v>0</v>
      </c>
      <c r="N136" s="4">
        <f>K136*15%</f>
        <v>0</v>
      </c>
    </row>
    <row r="137" spans="4:14" hidden="1" x14ac:dyDescent="0.3">
      <c r="D137" s="1"/>
      <c r="H137" s="2"/>
      <c r="J137" s="1"/>
      <c r="N137" s="2"/>
    </row>
    <row r="138" spans="4:14" hidden="1" x14ac:dyDescent="0.3">
      <c r="D138" s="1" t="s">
        <v>0</v>
      </c>
      <c r="E138" s="3" t="s">
        <v>1</v>
      </c>
      <c r="H138" s="2" t="s">
        <v>7</v>
      </c>
      <c r="J138" s="1" t="s">
        <v>0</v>
      </c>
      <c r="K138" s="3" t="s">
        <v>1</v>
      </c>
      <c r="N138" s="2" t="s">
        <v>7</v>
      </c>
    </row>
    <row r="139" spans="4:14" hidden="1" x14ac:dyDescent="0.3">
      <c r="D139" s="5">
        <f t="shared" ref="D139" si="44">D136+31</f>
        <v>45765</v>
      </c>
      <c r="E139" s="3">
        <v>0</v>
      </c>
      <c r="H139" s="4">
        <f>E139*15%</f>
        <v>0</v>
      </c>
      <c r="J139" s="5">
        <f t="shared" ref="J139" si="45">J136+31</f>
        <v>45765</v>
      </c>
      <c r="K139" s="3">
        <v>0</v>
      </c>
      <c r="N139" s="4">
        <f>K139*15%</f>
        <v>0</v>
      </c>
    </row>
    <row r="140" spans="4:14" hidden="1" x14ac:dyDescent="0.3">
      <c r="D140" s="5"/>
      <c r="E140" s="3"/>
      <c r="H140" s="2"/>
      <c r="J140" s="5"/>
      <c r="K140" s="3"/>
      <c r="N140" s="2"/>
    </row>
    <row r="141" spans="4:14" hidden="1" x14ac:dyDescent="0.3">
      <c r="D141" s="1" t="s">
        <v>0</v>
      </c>
      <c r="E141" s="3" t="s">
        <v>1</v>
      </c>
      <c r="H141" s="2" t="s">
        <v>7</v>
      </c>
      <c r="J141" s="1" t="s">
        <v>0</v>
      </c>
      <c r="K141" s="3" t="s">
        <v>1</v>
      </c>
      <c r="N141" s="2" t="s">
        <v>7</v>
      </c>
    </row>
    <row r="142" spans="4:14" hidden="1" x14ac:dyDescent="0.3">
      <c r="D142" s="5">
        <f t="shared" ref="D142" si="46">D139+31</f>
        <v>45796</v>
      </c>
      <c r="E142" s="3">
        <v>0</v>
      </c>
      <c r="H142" s="4">
        <f>E142*15%</f>
        <v>0</v>
      </c>
      <c r="J142" s="5">
        <f t="shared" ref="J142" si="47">J139+31</f>
        <v>45796</v>
      </c>
      <c r="K142" s="3">
        <v>0</v>
      </c>
      <c r="N142" s="4">
        <f>K142*15%</f>
        <v>0</v>
      </c>
    </row>
    <row r="143" spans="4:14" hidden="1" x14ac:dyDescent="0.3">
      <c r="D143" s="5"/>
      <c r="E143" s="3"/>
      <c r="H143" s="2"/>
      <c r="J143" s="5"/>
      <c r="K143" s="3"/>
      <c r="N143" s="2"/>
    </row>
    <row r="144" spans="4:14" x14ac:dyDescent="0.3">
      <c r="D144" s="1" t="s">
        <v>0</v>
      </c>
      <c r="E144" s="3" t="s">
        <v>1</v>
      </c>
      <c r="H144" s="2" t="s">
        <v>7</v>
      </c>
      <c r="J144" s="1" t="s">
        <v>0</v>
      </c>
      <c r="K144" s="3" t="s">
        <v>1</v>
      </c>
      <c r="N144" s="2" t="s">
        <v>7</v>
      </c>
    </row>
    <row r="145" spans="4:14" x14ac:dyDescent="0.3">
      <c r="D145" s="5">
        <v>45809</v>
      </c>
      <c r="E145" s="3">
        <v>126000</v>
      </c>
      <c r="H145" s="4">
        <f>E145*15%</f>
        <v>18900</v>
      </c>
      <c r="J145" s="5">
        <v>45809</v>
      </c>
      <c r="K145" s="3">
        <v>274500</v>
      </c>
      <c r="N145" s="4">
        <f>K145*15%</f>
        <v>41175</v>
      </c>
    </row>
    <row r="146" spans="4:14" x14ac:dyDescent="0.3">
      <c r="D146" s="1"/>
      <c r="H146" s="2"/>
      <c r="J146" s="1"/>
      <c r="N146" s="2"/>
    </row>
    <row r="147" spans="4:14" x14ac:dyDescent="0.3">
      <c r="D147" s="1" t="s">
        <v>0</v>
      </c>
      <c r="E147" s="3" t="s">
        <v>1</v>
      </c>
      <c r="H147" s="2" t="s">
        <v>7</v>
      </c>
      <c r="J147" s="1" t="s">
        <v>0</v>
      </c>
      <c r="K147" s="3" t="s">
        <v>1</v>
      </c>
      <c r="N147" s="2" t="s">
        <v>7</v>
      </c>
    </row>
    <row r="148" spans="4:14" x14ac:dyDescent="0.3">
      <c r="D148" s="5">
        <v>45839</v>
      </c>
      <c r="E148" s="3">
        <v>56000</v>
      </c>
      <c r="H148" s="4">
        <f>E148*15%</f>
        <v>8400</v>
      </c>
      <c r="J148" s="5">
        <v>45839</v>
      </c>
      <c r="K148" s="3">
        <v>122000</v>
      </c>
      <c r="N148" s="4">
        <f>K148*15%</f>
        <v>18300</v>
      </c>
    </row>
    <row r="149" spans="4:14" x14ac:dyDescent="0.3">
      <c r="D149" s="1"/>
      <c r="H149" s="2"/>
      <c r="J149" s="1"/>
      <c r="N149" s="2"/>
    </row>
    <row r="150" spans="4:14" x14ac:dyDescent="0.3">
      <c r="D150" s="1" t="s">
        <v>0</v>
      </c>
      <c r="E150" s="3" t="s">
        <v>1</v>
      </c>
      <c r="H150" s="2" t="s">
        <v>7</v>
      </c>
      <c r="J150" s="1" t="s">
        <v>0</v>
      </c>
      <c r="K150" s="3" t="s">
        <v>1</v>
      </c>
      <c r="N150" s="2" t="s">
        <v>7</v>
      </c>
    </row>
    <row r="151" spans="4:14" x14ac:dyDescent="0.3">
      <c r="D151" s="5">
        <f t="shared" ref="D151" si="48">D148+31</f>
        <v>45870</v>
      </c>
      <c r="E151" s="3">
        <v>56000</v>
      </c>
      <c r="H151" s="4">
        <f>E151*15%</f>
        <v>8400</v>
      </c>
      <c r="J151" s="5">
        <f t="shared" ref="J151" si="49">J148+31</f>
        <v>45870</v>
      </c>
      <c r="K151" s="3">
        <v>122000</v>
      </c>
      <c r="N151" s="4">
        <f>K151*15%</f>
        <v>18300</v>
      </c>
    </row>
    <row r="152" spans="4:14" x14ac:dyDescent="0.3">
      <c r="D152" s="1"/>
      <c r="H152" s="2"/>
      <c r="J152" s="1"/>
      <c r="N152" s="2"/>
    </row>
    <row r="153" spans="4:14" x14ac:dyDescent="0.3">
      <c r="D153" s="1" t="s">
        <v>0</v>
      </c>
      <c r="E153" s="3" t="s">
        <v>1</v>
      </c>
      <c r="H153" s="2" t="s">
        <v>7</v>
      </c>
      <c r="J153" s="1" t="s">
        <v>0</v>
      </c>
      <c r="K153" s="3" t="s">
        <v>1</v>
      </c>
      <c r="N153" s="2" t="s">
        <v>7</v>
      </c>
    </row>
    <row r="154" spans="4:14" x14ac:dyDescent="0.3">
      <c r="D154" s="5">
        <f t="shared" ref="D154" si="50">D151+31</f>
        <v>45901</v>
      </c>
      <c r="E154" s="3">
        <v>70000</v>
      </c>
      <c r="H154" s="4">
        <f>E154*15%</f>
        <v>10500</v>
      </c>
      <c r="J154" s="5">
        <f t="shared" ref="J154" si="51">J151+31</f>
        <v>45901</v>
      </c>
      <c r="K154" s="3">
        <v>152500</v>
      </c>
      <c r="N154" s="4">
        <f>K154*15%</f>
        <v>22875</v>
      </c>
    </row>
    <row r="155" spans="4:14" x14ac:dyDescent="0.3">
      <c r="D155" s="1"/>
      <c r="H155" s="2"/>
      <c r="J155" s="1"/>
      <c r="N155" s="2"/>
    </row>
    <row r="156" spans="4:14" x14ac:dyDescent="0.3">
      <c r="D156" s="1" t="s">
        <v>0</v>
      </c>
      <c r="E156" s="3" t="s">
        <v>1</v>
      </c>
      <c r="H156" s="2" t="s">
        <v>7</v>
      </c>
      <c r="J156" s="1" t="s">
        <v>0</v>
      </c>
      <c r="K156" s="3" t="s">
        <v>1</v>
      </c>
      <c r="N156" s="2" t="s">
        <v>7</v>
      </c>
    </row>
    <row r="157" spans="4:14" x14ac:dyDescent="0.3">
      <c r="D157" s="5">
        <f t="shared" ref="D157" si="52">D154+31</f>
        <v>45932</v>
      </c>
      <c r="E157" s="3">
        <v>84000</v>
      </c>
      <c r="H157" s="4">
        <f>E157*15%</f>
        <v>12600</v>
      </c>
      <c r="J157" s="5">
        <f t="shared" ref="J157" si="53">J154+31</f>
        <v>45932</v>
      </c>
      <c r="K157" s="3">
        <v>183000</v>
      </c>
      <c r="N157" s="4">
        <f>K157*15%</f>
        <v>27450</v>
      </c>
    </row>
    <row r="158" spans="4:14" x14ac:dyDescent="0.3">
      <c r="D158" s="1"/>
      <c r="H158" s="2"/>
      <c r="J158" s="1"/>
      <c r="N158" s="2"/>
    </row>
    <row r="159" spans="4:14" x14ac:dyDescent="0.3">
      <c r="D159" s="1" t="s">
        <v>0</v>
      </c>
      <c r="E159" s="3" t="s">
        <v>1</v>
      </c>
      <c r="H159" s="2" t="s">
        <v>7</v>
      </c>
      <c r="J159" s="1" t="s">
        <v>0</v>
      </c>
      <c r="K159" s="3" t="s">
        <v>1</v>
      </c>
      <c r="N159" s="2" t="s">
        <v>7</v>
      </c>
    </row>
    <row r="160" spans="4:14" x14ac:dyDescent="0.3">
      <c r="D160" s="5">
        <f t="shared" ref="D160" si="54">D157+31</f>
        <v>45963</v>
      </c>
      <c r="E160" s="3">
        <f>E157</f>
        <v>84000</v>
      </c>
      <c r="H160" s="4">
        <f>E160*15%</f>
        <v>12600</v>
      </c>
      <c r="J160" s="5">
        <f t="shared" ref="J160" si="55">J157+31</f>
        <v>45963</v>
      </c>
      <c r="K160" s="3">
        <f>K157</f>
        <v>183000</v>
      </c>
      <c r="N160" s="4">
        <f>K160*15%</f>
        <v>27450</v>
      </c>
    </row>
    <row r="161" spans="4:14" x14ac:dyDescent="0.3">
      <c r="D161" s="1"/>
      <c r="H161" s="2"/>
      <c r="J161" s="1"/>
      <c r="N161" s="2"/>
    </row>
    <row r="162" spans="4:14" x14ac:dyDescent="0.3">
      <c r="D162" s="1" t="s">
        <v>0</v>
      </c>
      <c r="E162" s="3" t="s">
        <v>1</v>
      </c>
      <c r="H162" s="2" t="s">
        <v>7</v>
      </c>
      <c r="J162" s="1" t="s">
        <v>0</v>
      </c>
      <c r="K162" s="3" t="s">
        <v>1</v>
      </c>
      <c r="N162" s="2" t="s">
        <v>7</v>
      </c>
    </row>
    <row r="163" spans="4:14" x14ac:dyDescent="0.3">
      <c r="D163" s="5">
        <f t="shared" ref="D163" si="56">D160+31</f>
        <v>45994</v>
      </c>
      <c r="E163" s="3">
        <f>E160</f>
        <v>84000</v>
      </c>
      <c r="H163" s="4">
        <f>E163*15%</f>
        <v>12600</v>
      </c>
      <c r="J163" s="5">
        <f t="shared" ref="J163" si="57">J160+31</f>
        <v>45994</v>
      </c>
      <c r="K163" s="3">
        <f>K160</f>
        <v>183000</v>
      </c>
      <c r="N163" s="4">
        <f>K163*15%</f>
        <v>27450</v>
      </c>
    </row>
    <row r="164" spans="4:14" x14ac:dyDescent="0.3">
      <c r="D164" s="5"/>
      <c r="E164" s="3"/>
      <c r="H164" s="4"/>
      <c r="J164" s="5"/>
      <c r="K164" s="3"/>
      <c r="N164" s="4"/>
    </row>
    <row r="165" spans="4:14" x14ac:dyDescent="0.3">
      <c r="D165" s="1" t="s">
        <v>0</v>
      </c>
      <c r="E165" s="3" t="s">
        <v>1</v>
      </c>
      <c r="H165" s="2" t="s">
        <v>7</v>
      </c>
      <c r="J165" s="1" t="s">
        <v>0</v>
      </c>
      <c r="K165" s="3" t="s">
        <v>1</v>
      </c>
      <c r="N165" s="2" t="s">
        <v>7</v>
      </c>
    </row>
    <row r="166" spans="4:14" x14ac:dyDescent="0.3">
      <c r="D166" s="5">
        <f t="shared" ref="D166" si="58">D163+31</f>
        <v>46025</v>
      </c>
      <c r="E166" s="3">
        <v>89600</v>
      </c>
      <c r="H166" s="4">
        <f>E166*15%</f>
        <v>13440</v>
      </c>
      <c r="J166" s="5">
        <f t="shared" ref="J166" si="59">J163+31</f>
        <v>46025</v>
      </c>
      <c r="K166" s="3">
        <v>195200</v>
      </c>
      <c r="N166" s="4">
        <f>K166*15%</f>
        <v>29280</v>
      </c>
    </row>
    <row r="167" spans="4:14" x14ac:dyDescent="0.3">
      <c r="D167" s="5"/>
      <c r="E167" s="3"/>
      <c r="H167" s="4"/>
      <c r="J167" s="5"/>
      <c r="K167" s="3"/>
      <c r="N167" s="4"/>
    </row>
    <row r="168" spans="4:14" x14ac:dyDescent="0.3">
      <c r="D168" s="1" t="s">
        <v>0</v>
      </c>
      <c r="E168" s="3" t="s">
        <v>1</v>
      </c>
      <c r="H168" s="2" t="s">
        <v>7</v>
      </c>
      <c r="J168" s="1" t="s">
        <v>0</v>
      </c>
      <c r="K168" s="3" t="s">
        <v>1</v>
      </c>
      <c r="N168" s="2" t="s">
        <v>7</v>
      </c>
    </row>
    <row r="169" spans="4:14" x14ac:dyDescent="0.3">
      <c r="D169" s="5">
        <f t="shared" ref="D169" si="60">D166+31</f>
        <v>46056</v>
      </c>
      <c r="E169" s="3">
        <v>55319.157599999999</v>
      </c>
      <c r="H169" s="4">
        <f>E169*15%</f>
        <v>8297.8736399999998</v>
      </c>
      <c r="J169" s="5">
        <f t="shared" ref="J169" si="61">J166+31</f>
        <v>46056</v>
      </c>
      <c r="K169" s="3">
        <v>120516.73619999998</v>
      </c>
      <c r="N169" s="4">
        <f>K169*15%</f>
        <v>18077.510429999998</v>
      </c>
    </row>
    <row r="170" spans="4:14" x14ac:dyDescent="0.3">
      <c r="D170" s="5"/>
      <c r="E170" s="3"/>
      <c r="H170" s="4"/>
      <c r="J170" s="5"/>
      <c r="K170" s="3"/>
      <c r="N170" s="4"/>
    </row>
    <row r="171" spans="4:14" x14ac:dyDescent="0.3">
      <c r="D171" s="1" t="s">
        <v>0</v>
      </c>
      <c r="E171" s="3" t="s">
        <v>1</v>
      </c>
      <c r="H171" s="2" t="s">
        <v>7</v>
      </c>
      <c r="J171" s="1" t="s">
        <v>0</v>
      </c>
      <c r="K171" s="3" t="s">
        <v>1</v>
      </c>
      <c r="N171" s="2" t="s">
        <v>7</v>
      </c>
    </row>
    <row r="172" spans="4:14" x14ac:dyDescent="0.3">
      <c r="D172" s="5">
        <f t="shared" ref="D172" si="62">D169+31</f>
        <v>46087</v>
      </c>
      <c r="E172" s="3">
        <v>55319.157599999999</v>
      </c>
      <c r="H172" s="4">
        <f>E172*15%</f>
        <v>8297.8736399999998</v>
      </c>
      <c r="J172" s="5">
        <f t="shared" ref="J172" si="63">J169+31</f>
        <v>46087</v>
      </c>
      <c r="K172" s="3">
        <v>120516.73619999998</v>
      </c>
      <c r="N172" s="4">
        <f>K172*15%</f>
        <v>18077.510429999998</v>
      </c>
    </row>
    <row r="173" spans="4:14" x14ac:dyDescent="0.3">
      <c r="D173" s="5"/>
      <c r="E173" s="3"/>
      <c r="H173" s="4"/>
      <c r="J173" s="5"/>
      <c r="K173" s="3"/>
      <c r="N173" s="4"/>
    </row>
    <row r="174" spans="4:14" x14ac:dyDescent="0.3">
      <c r="D174" s="1" t="s">
        <v>0</v>
      </c>
      <c r="E174" s="3" t="s">
        <v>1</v>
      </c>
      <c r="H174" s="2" t="s">
        <v>7</v>
      </c>
      <c r="J174" s="1" t="s">
        <v>0</v>
      </c>
      <c r="K174" s="3" t="s">
        <v>1</v>
      </c>
      <c r="N174" s="2" t="s">
        <v>7</v>
      </c>
    </row>
    <row r="175" spans="4:14" x14ac:dyDescent="0.3">
      <c r="D175" s="5">
        <f t="shared" ref="D175" si="64">D172+31</f>
        <v>46118</v>
      </c>
      <c r="E175" s="3">
        <f>E172</f>
        <v>55319.157599999999</v>
      </c>
      <c r="H175" s="4">
        <f>E175*15%</f>
        <v>8297.8736399999998</v>
      </c>
      <c r="J175" s="5">
        <f t="shared" ref="J175" si="65">J172+31</f>
        <v>46118</v>
      </c>
      <c r="K175" s="3">
        <f>K172</f>
        <v>120516.73619999998</v>
      </c>
      <c r="N175" s="4">
        <f>K175*15%</f>
        <v>18077.510429999998</v>
      </c>
    </row>
    <row r="176" spans="4:14" x14ac:dyDescent="0.3">
      <c r="D176" s="5"/>
      <c r="E176" s="3"/>
      <c r="H176" s="4"/>
      <c r="J176" s="5"/>
      <c r="K176" s="3"/>
      <c r="N176" s="4"/>
    </row>
    <row r="177" spans="4:14" x14ac:dyDescent="0.3">
      <c r="D177" s="1" t="s">
        <v>0</v>
      </c>
      <c r="E177" s="3" t="s">
        <v>1</v>
      </c>
      <c r="H177" s="2" t="s">
        <v>7</v>
      </c>
      <c r="J177" s="1" t="s">
        <v>0</v>
      </c>
      <c r="K177" s="3" t="s">
        <v>1</v>
      </c>
      <c r="N177" s="2" t="s">
        <v>7</v>
      </c>
    </row>
    <row r="178" spans="4:14" x14ac:dyDescent="0.3">
      <c r="D178" s="5">
        <f t="shared" ref="D178" si="66">D175+31</f>
        <v>46149</v>
      </c>
      <c r="E178" s="3">
        <v>0</v>
      </c>
      <c r="H178" s="4">
        <f>E178*15%</f>
        <v>0</v>
      </c>
      <c r="J178" s="5">
        <f t="shared" ref="J178" si="67">J175+31</f>
        <v>46149</v>
      </c>
      <c r="K178" s="3">
        <v>0</v>
      </c>
      <c r="N178" s="4">
        <f>K178*15%</f>
        <v>0</v>
      </c>
    </row>
    <row r="179" spans="4:14" x14ac:dyDescent="0.3">
      <c r="D179" s="5"/>
      <c r="E179" s="3"/>
      <c r="H179" s="4"/>
      <c r="J179" s="5"/>
      <c r="K179" s="3"/>
      <c r="N179" s="4"/>
    </row>
    <row r="180" spans="4:14" x14ac:dyDescent="0.3">
      <c r="D180" s="1" t="s">
        <v>0</v>
      </c>
      <c r="E180" s="3" t="s">
        <v>1</v>
      </c>
      <c r="H180" s="2" t="s">
        <v>7</v>
      </c>
      <c r="J180" s="1" t="s">
        <v>0</v>
      </c>
      <c r="K180" s="3" t="s">
        <v>1</v>
      </c>
      <c r="N180" s="2" t="s">
        <v>7</v>
      </c>
    </row>
    <row r="181" spans="4:14" x14ac:dyDescent="0.3">
      <c r="D181" s="5">
        <f t="shared" ref="D181" si="68">D178+31</f>
        <v>46180</v>
      </c>
      <c r="E181" s="3">
        <v>77428.035999999993</v>
      </c>
      <c r="H181" s="4">
        <f>E181*15%</f>
        <v>11614.205399999999</v>
      </c>
      <c r="J181" s="5">
        <f t="shared" ref="J181" si="69">J178+31</f>
        <v>46180</v>
      </c>
      <c r="K181" s="3">
        <v>168682.50699999998</v>
      </c>
      <c r="N181" s="4">
        <f>K181*15%</f>
        <v>25302.376049999995</v>
      </c>
    </row>
    <row r="182" spans="4:14" x14ac:dyDescent="0.3">
      <c r="D182" s="5"/>
      <c r="E182" s="3"/>
      <c r="H182" s="4"/>
      <c r="J182" s="5"/>
      <c r="K182" s="3"/>
      <c r="N182" s="4"/>
    </row>
    <row r="183" spans="4:14" x14ac:dyDescent="0.3">
      <c r="D183" s="1" t="s">
        <v>0</v>
      </c>
      <c r="E183" s="3" t="s">
        <v>1</v>
      </c>
      <c r="H183" s="2" t="s">
        <v>7</v>
      </c>
      <c r="J183" s="1" t="s">
        <v>0</v>
      </c>
      <c r="K183" s="3" t="s">
        <v>1</v>
      </c>
      <c r="N183" s="2" t="s">
        <v>7</v>
      </c>
    </row>
    <row r="184" spans="4:14" x14ac:dyDescent="0.3">
      <c r="D184" s="5">
        <f t="shared" ref="D184" si="70">D181+31</f>
        <v>46211</v>
      </c>
      <c r="E184" s="3">
        <v>46728.498040000006</v>
      </c>
      <c r="H184" s="4">
        <f>E184*15%</f>
        <v>7009.2747060000011</v>
      </c>
      <c r="J184" s="5">
        <f t="shared" ref="J184" si="71">J181+31</f>
        <v>46211</v>
      </c>
      <c r="K184" s="3">
        <v>101801.37073000001</v>
      </c>
      <c r="N184" s="4">
        <f>K184*15%</f>
        <v>15270.205609500001</v>
      </c>
    </row>
    <row r="185" spans="4:14" x14ac:dyDescent="0.3">
      <c r="D185" s="16" t="s">
        <v>3</v>
      </c>
      <c r="E185" s="17"/>
      <c r="F185" s="17"/>
      <c r="G185" s="18" t="s">
        <v>4</v>
      </c>
      <c r="H185" s="19"/>
      <c r="J185" s="16" t="s">
        <v>3</v>
      </c>
      <c r="K185" s="17"/>
      <c r="L185" s="17"/>
      <c r="M185" s="18" t="s">
        <v>4</v>
      </c>
      <c r="N185" s="19"/>
    </row>
    <row r="186" spans="4:14" x14ac:dyDescent="0.3">
      <c r="D186" s="20">
        <f>SUM(E7:E184)+F118+F121+F124</f>
        <v>1597994.0068400002</v>
      </c>
      <c r="E186" s="21"/>
      <c r="F186" s="21"/>
      <c r="G186" s="22">
        <f>SUM(H6:H184)</f>
        <v>239699.10102600002</v>
      </c>
      <c r="H186" s="23"/>
      <c r="J186" s="20">
        <f>SUM(K7:K184)+L118+L121+L124</f>
        <v>3481344.0863300008</v>
      </c>
      <c r="K186" s="21"/>
      <c r="L186" s="21"/>
      <c r="M186" s="22">
        <f>SUM(N6:N184)</f>
        <v>522201.61294950009</v>
      </c>
      <c r="N186" s="23"/>
    </row>
    <row r="187" spans="4:14" x14ac:dyDescent="0.3">
      <c r="D187" s="1"/>
      <c r="H187" s="2"/>
      <c r="J187" s="1"/>
      <c r="N187" s="2"/>
    </row>
    <row r="188" spans="4:14" ht="15" thickBot="1" x14ac:dyDescent="0.35">
      <c r="D188" s="1"/>
      <c r="H188" s="2"/>
      <c r="J188" s="1"/>
      <c r="N188" s="2"/>
    </row>
    <row r="189" spans="4:14" ht="15" thickBot="1" x14ac:dyDescent="0.35">
      <c r="D189" s="8" t="s">
        <v>5</v>
      </c>
      <c r="E189" s="9"/>
      <c r="F189" s="10"/>
      <c r="G189" s="11">
        <f>D186+G186</f>
        <v>1837693.1078660002</v>
      </c>
      <c r="H189" s="12"/>
      <c r="J189" s="8" t="s">
        <v>5</v>
      </c>
      <c r="K189" s="9"/>
      <c r="L189" s="10"/>
      <c r="M189" s="11">
        <f>J186+M186</f>
        <v>4003545.6992795011</v>
      </c>
      <c r="N189" s="12"/>
    </row>
  </sheetData>
  <mergeCells count="14">
    <mergeCell ref="D4:H4"/>
    <mergeCell ref="D185:F185"/>
    <mergeCell ref="G185:H185"/>
    <mergeCell ref="D186:F186"/>
    <mergeCell ref="G186:H186"/>
    <mergeCell ref="D189:F189"/>
    <mergeCell ref="G189:H189"/>
    <mergeCell ref="J189:L189"/>
    <mergeCell ref="M189:N189"/>
    <mergeCell ref="J4:N4"/>
    <mergeCell ref="J185:L185"/>
    <mergeCell ref="M185:N185"/>
    <mergeCell ref="J186:L186"/>
    <mergeCell ref="M186:N18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2026-08-19T14:37:04Z</cp:lastPrinted>
  <dcterms:created xsi:type="dcterms:W3CDTF">2025-12-17T14:59:07Z</dcterms:created>
  <dcterms:modified xsi:type="dcterms:W3CDTF">2026-08-19T14:37:15Z</dcterms:modified>
</cp:coreProperties>
</file>