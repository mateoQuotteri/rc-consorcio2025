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GALERIA\Septiembre\"/>
    </mc:Choice>
  </mc:AlternateContent>
  <xr:revisionPtr revIDLastSave="0" documentId="13_ncr:1_{A9385459-5F95-471C-9F7F-3EBA01AE04C0}" xr6:coauthVersionLast="47" xr6:coauthVersionMax="47" xr10:uidLastSave="{00000000-0000-0000-0000-000000000000}"/>
  <bookViews>
    <workbookView xWindow="-120" yWindow="-120" windowWidth="20730" windowHeight="11040" tabRatio="793" xr2:uid="{00000000-000D-0000-FFFF-FFFF00000000}"/>
  </bookViews>
  <sheets>
    <sheet name="RESUMEN" sheetId="1" r:id="rId1"/>
    <sheet name="PRORRATEO" sheetId="2" r:id="rId2"/>
    <sheet name="ANOTACIONES" sheetId="16" r:id="rId3"/>
  </sheets>
  <definedNames>
    <definedName name="_xlnm.Print_Area" localSheetId="1">PRORRATEO!$A$1:$O$44</definedName>
    <definedName name="_xlnm.Print_Area" localSheetId="0">RESUMEN!$A$1:$E$99</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 i="2" l="1"/>
  <c r="G13" i="2"/>
  <c r="L3" i="2" l="1"/>
  <c r="E38" i="1"/>
  <c r="B98" i="1" l="1"/>
  <c r="E24" i="1"/>
  <c r="H10" i="2"/>
  <c r="I10" i="2" s="1"/>
  <c r="E35" i="1" l="1"/>
  <c r="E28" i="1" l="1"/>
  <c r="G35" i="2" l="1"/>
  <c r="I17" i="2" l="1"/>
  <c r="I18" i="2"/>
  <c r="I32" i="2"/>
  <c r="B79" i="1"/>
  <c r="E42"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6" i="1" l="1"/>
  <c r="E54" i="1" l="1"/>
  <c r="E59" i="1" s="1"/>
  <c r="B63" i="1" s="1"/>
  <c r="B82" i="1" s="1"/>
  <c r="H22" i="2" l="1"/>
  <c r="I22" i="2" s="1"/>
  <c r="M7" i="2" l="1"/>
  <c r="P9" i="2" l="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B77" i="1" l="1"/>
  <c r="E35" i="2"/>
  <c r="F35" i="2"/>
  <c r="B9" i="2"/>
  <c r="B10" i="2" l="1"/>
  <c r="B11" i="2" s="1"/>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B12" i="2"/>
  <c r="B64" i="1"/>
  <c r="M13" i="2"/>
  <c r="J35" i="2"/>
  <c r="B13" i="2" l="1"/>
  <c r="B14" i="2" l="1"/>
  <c r="B62" i="1"/>
  <c r="B81" i="1" s="1"/>
  <c r="B83" i="1" s="1"/>
  <c r="B15" i="2" l="1"/>
  <c r="M9" i="2"/>
  <c r="M10" i="2"/>
  <c r="O10" i="2" s="1"/>
  <c r="M11" i="2"/>
  <c r="M12" i="2"/>
  <c r="M14" i="2"/>
  <c r="M15" i="2"/>
  <c r="M16" i="2"/>
  <c r="M17" i="2"/>
  <c r="M18" i="2"/>
  <c r="M19" i="2"/>
  <c r="M20" i="2"/>
  <c r="M21" i="2"/>
  <c r="M22" i="2"/>
  <c r="M23" i="2"/>
  <c r="M24" i="2"/>
  <c r="M25" i="2"/>
  <c r="M26" i="2"/>
  <c r="M27" i="2"/>
  <c r="M28" i="2"/>
  <c r="M29" i="2"/>
  <c r="M30" i="2"/>
  <c r="M31" i="2"/>
  <c r="M33" i="2" l="1"/>
  <c r="O33" i="2" s="1"/>
  <c r="B16" i="2"/>
  <c r="O29" i="2"/>
  <c r="O25" i="2"/>
  <c r="O21" i="2"/>
  <c r="O13" i="2"/>
  <c r="O9" i="2"/>
  <c r="O8" i="2"/>
  <c r="O28" i="2"/>
  <c r="O24" i="2"/>
  <c r="O20" i="2"/>
  <c r="O16" i="2"/>
  <c r="O12" i="2"/>
  <c r="O31" i="2"/>
  <c r="O27" i="2"/>
  <c r="O23" i="2"/>
  <c r="O19" i="2"/>
  <c r="O15" i="2"/>
  <c r="O11" i="2"/>
  <c r="O30" i="2"/>
  <c r="O26" i="2"/>
  <c r="O22" i="2"/>
  <c r="O14" i="2"/>
  <c r="N28" i="2"/>
  <c r="N16" i="2"/>
  <c r="N31" i="2"/>
  <c r="N27" i="2"/>
  <c r="N23" i="2"/>
  <c r="N19" i="2"/>
  <c r="N15" i="2"/>
  <c r="N11" i="2"/>
  <c r="N8" i="2"/>
  <c r="N32" i="2"/>
  <c r="N20" i="2"/>
  <c r="N30" i="2"/>
  <c r="N26" i="2"/>
  <c r="N22" i="2"/>
  <c r="N18" i="2"/>
  <c r="N14" i="2"/>
  <c r="N10" i="2"/>
  <c r="N24" i="2"/>
  <c r="N12" i="2"/>
  <c r="N29" i="2"/>
  <c r="N25" i="2"/>
  <c r="N21" i="2"/>
  <c r="N17" i="2"/>
  <c r="N13" i="2"/>
  <c r="N9" i="2"/>
  <c r="K35" i="2"/>
  <c r="N33" i="2" l="1"/>
  <c r="B17" i="2"/>
  <c r="B92" i="1"/>
  <c r="B18" i="2" l="1"/>
  <c r="B61" i="1"/>
  <c r="B19" i="2" l="1"/>
  <c r="B20" i="2" l="1"/>
  <c r="B21" i="2" l="1"/>
  <c r="B22" i="2" l="1"/>
  <c r="B23" i="2" l="1"/>
  <c r="B24" i="2" l="1"/>
  <c r="B25" i="2" l="1"/>
  <c r="B26" i="2" l="1"/>
  <c r="B27" i="2" l="1"/>
  <c r="B28" i="2" l="1"/>
  <c r="B29" i="2" l="1"/>
  <c r="B30" i="2" l="1"/>
  <c r="B31" i="2" l="1"/>
  <c r="B32" i="2" l="1"/>
  <c r="B33" i="2" l="1"/>
  <c r="L35" i="2" l="1"/>
  <c r="M35" i="2"/>
  <c r="N35" i="2" l="1"/>
  <c r="O35" i="2"/>
</calcChain>
</file>

<file path=xl/sharedStrings.xml><?xml version="1.0" encoding="utf-8"?>
<sst xmlns="http://schemas.openxmlformats.org/spreadsheetml/2006/main" count="145" uniqueCount="112">
  <si>
    <t>LIQUIDACION DE EXPENSAS</t>
  </si>
  <si>
    <t>TOTAL IMPUESTO</t>
  </si>
  <si>
    <t>TOTAL ABONOS Y SERVICIOS</t>
  </si>
  <si>
    <t>Piso</t>
  </si>
  <si>
    <t>UF</t>
  </si>
  <si>
    <t>Propietario</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</si>
  <si>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</si>
  <si>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</si>
  <si>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</si>
  <si>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</si>
  <si>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</si>
  <si>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</si>
  <si>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</si>
  <si>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</si>
  <si>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</si>
  <si>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</si>
  <si>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</si>
  <si>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</si>
  <si>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</si>
  <si>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</si>
  <si>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</si>
  <si>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</si>
  <si>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</si>
  <si>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</si>
  <si>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</si>
  <si>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</si>
  <si>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</si>
  <si>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</si>
  <si>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</si>
  <si>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</si>
  <si>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</si>
  <si>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</si>
  <si>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</si>
  <si>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</si>
  <si>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</si>
  <si>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</si>
  <si>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</si>
  <si>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</si>
  <si>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</si>
  <si>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</si>
  <si>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</si>
  <si>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</si>
  <si>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</si>
  <si>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</si>
  <si>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</si>
  <si>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TELEFONO: 11 5320-2676</t>
  </si>
  <si>
    <t>Inquilinos</t>
  </si>
  <si>
    <t>CUIT ADMINISTRACION: 27231256879</t>
  </si>
  <si>
    <t>Deuda o Saldo a favor</t>
  </si>
  <si>
    <t xml:space="preserve">SEGUROS </t>
  </si>
  <si>
    <t>DEPOSITOS NO IDENTIFICADOS</t>
  </si>
  <si>
    <t>RESUMEN</t>
  </si>
  <si>
    <t>Total 2do Vto</t>
  </si>
  <si>
    <t>Total 1er Vto</t>
  </si>
  <si>
    <t>Gastos part.</t>
  </si>
  <si>
    <t>GASTOS EXTRAORDINARIOS CON PREVISION:</t>
  </si>
  <si>
    <t>Saldo Ord</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</si>
  <si>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</si>
  <si>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</si>
  <si>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</si>
  <si>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</si>
  <si>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</si>
  <si>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</si>
  <si>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</si>
  <si>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</si>
  <si>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</si>
  <si>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</si>
  <si>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</si>
  <si>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</si>
  <si>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</si>
  <si>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</si>
  <si>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</si>
  <si>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</si>
  <si>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</si>
  <si>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</si>
  <si>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</si>
  <si>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</si>
  <si>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</si>
  <si>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</si>
  <si>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</si>
  <si>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</si>
  <si>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</si>
  <si>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</si>
  <si>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</si>
  <si>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</si>
  <si>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</si>
  <si>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</si>
  <si>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</si>
  <si>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</si>
  <si>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</si>
  <si>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</si>
  <si>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</si>
  <si>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</si>
  <si>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</si>
  <si>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</si>
  <si>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</si>
  <si>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</si>
  <si>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 xml:space="preserve">Mercantil andina seguro integral de consorcio - Poliza nro. 001166139 </t>
  </si>
  <si>
    <t>Cuota plan de pago local 8 (3/6)</t>
  </si>
  <si>
    <t>Gastos extraordinarios a prorratear:</t>
  </si>
  <si>
    <t xml:space="preserve">Fotocopias BYN </t>
  </si>
  <si>
    <t xml:space="preserve">GASTOS BANCARIOS </t>
  </si>
  <si>
    <t xml:space="preserve">COMISION POR CUENTA </t>
  </si>
  <si>
    <t>PREVISION ORDINARIA - EDESUR</t>
  </si>
  <si>
    <t>VTO 16/10</t>
  </si>
  <si>
    <t>CUIT DEL EDIFICIO: 30-66055743-8 - PERÍODO:  SEPTIEMBRE - HORARIOS DE ATENCION: LUNES A VIERNES 10 A 15HS</t>
  </si>
  <si>
    <t>Seguro de vida Sra. Silvana - La Holando - Mes de AGOSTO</t>
  </si>
  <si>
    <t>Debito 09/09</t>
  </si>
  <si>
    <t>Transf 21/09</t>
  </si>
  <si>
    <t xml:space="preserve">A LA ADMINISTRACION SE LE DEBE EN CONCEPTO DE HONORARIOS NO COBRADOS (EN LOS MESES MENCIONADOS) UN TOTAL DEL $1.981.282,36 -EN EL MES 7 SE ABONAR PARTE DE LA MISMA -  LA DEUDA DESCIENDE A $1.581.282,36 - EN EL MES 8 SE VUELVE A ABONAR PARTE DE LA MISMA ($400.000) - EN EL MES 9 SE VUELVE A ABONAR PARTE DE LA MISMA ($400.000) -   LA DEUDA AL FINALIZAR SEPTIEMBRE SE UBICA EN: $781.282,36 </t>
  </si>
  <si>
    <t>Honorarios administracion - leer cartel debajo - Deuda vieja</t>
  </si>
  <si>
    <t>A la administracion se le debe en conepto de "deuda vieja" el monto especificado en el cartel de abajo - Por separado se adeudan honorarios del mes 7, 8 y 9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</si>
</sst>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b/>
      <i/>
      <u/>
      <sz val="10"/>
      <name val="Calibri"/>
      <family val="2"/>
      <scheme val="minor"/>
    </font>
    <font>
      <sz val="10"/>
      <name val="Calibri"/>
      <family val="2"/>
      <scheme val="minor"/>
    </font>
    <font>
      <b/>
      <sz val="9"/>
      <color theme="1"/>
      <name val="Calibri"/>
      <family val="2"/>
      <scheme val="minor"/>
    </font>
    <font>
      <sz val="10"/>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5" fillId="0" borderId="1" xfId="0" applyNumberFormat="1" applyFont="1" applyBorder="1"/>
    <xf numFmtId="165" fontId="15" fillId="0" borderId="1" xfId="1" applyNumberFormat="1" applyFont="1" applyBorder="1"/>
    <xf numFmtId="44" fontId="15" fillId="0" borderId="6" xfId="1" applyFont="1" applyBorder="1"/>
    <xf numFmtId="44" fontId="19" fillId="0" borderId="26" xfId="1" applyFont="1" applyBorder="1"/>
    <xf numFmtId="44" fontId="19" fillId="0" borderId="6" xfId="1" applyFont="1" applyBorder="1"/>
    <xf numFmtId="44" fontId="19" fillId="0" borderId="28"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4" borderId="27"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0" fillId="4" borderId="3" xfId="1" applyFont="1" applyFill="1" applyBorder="1"/>
    <xf numFmtId="44" fontId="10" fillId="4" borderId="21" xfId="1" applyFont="1" applyFill="1" applyBorder="1"/>
    <xf numFmtId="44" fontId="21" fillId="4" borderId="3" xfId="1" applyFont="1" applyFill="1" applyBorder="1"/>
    <xf numFmtId="0" fontId="21"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0" fontId="21" fillId="2" borderId="1" xfId="1" applyNumberFormat="1" applyFont="1" applyFill="1" applyBorder="1" applyAlignment="1">
      <alignment horizontal="left"/>
    </xf>
    <xf numFmtId="44" fontId="21" fillId="2" borderId="1" xfId="1" applyFont="1" applyFill="1" applyBorder="1"/>
    <xf numFmtId="44" fontId="10" fillId="4" borderId="2" xfId="1" applyFont="1" applyFill="1" applyBorder="1"/>
    <xf numFmtId="44" fontId="21" fillId="2" borderId="3" xfId="1" applyFont="1" applyFill="1" applyBorder="1"/>
    <xf numFmtId="8" fontId="7" fillId="4" borderId="22" xfId="0" applyNumberFormat="1" applyFont="1" applyFill="1" applyBorder="1"/>
    <xf numFmtId="0" fontId="21"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1"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1" fillId="2" borderId="1" xfId="1" applyFont="1" applyFill="1" applyBorder="1" applyAlignment="1">
      <alignment wrapText="1"/>
    </xf>
    <xf numFmtId="0" fontId="0" fillId="2" borderId="6" xfId="0" applyFill="1" applyBorder="1" applyAlignment="1">
      <alignment horizontal="left" vertical="center" wrapText="1"/>
    </xf>
    <xf numFmtId="0" fontId="0" fillId="2" borderId="25" xfId="0" applyFill="1" applyBorder="1" applyAlignment="1">
      <alignment horizontal="left" vertical="center" wrapText="1"/>
    </xf>
    <xf numFmtId="44" fontId="7" fillId="0" borderId="1" xfId="1" applyFont="1" applyBorder="1"/>
    <xf numFmtId="44" fontId="22"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2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0" fontId="15" fillId="10" borderId="1" xfId="0" applyFont="1" applyFill="1" applyBorder="1"/>
    <xf numFmtId="2" fontId="15" fillId="10" borderId="1" xfId="0" applyNumberFormat="1" applyFont="1" applyFill="1" applyBorder="1" applyAlignment="1">
      <alignment horizontal="center"/>
    </xf>
    <xf numFmtId="44" fontId="19" fillId="10" borderId="1" xfId="1" applyFont="1" applyFill="1" applyBorder="1"/>
    <xf numFmtId="165" fontId="15" fillId="10" borderId="1" xfId="0" applyNumberFormat="1" applyFont="1" applyFill="1" applyBorder="1"/>
    <xf numFmtId="166" fontId="15" fillId="10" borderId="1" xfId="1" applyNumberFormat="1" applyFont="1" applyFill="1" applyBorder="1"/>
    <xf numFmtId="44" fontId="15" fillId="10" borderId="6" xfId="1" applyFont="1" applyFill="1" applyBorder="1"/>
    <xf numFmtId="44" fontId="19" fillId="10" borderId="26" xfId="1" applyFont="1" applyFill="1" applyBorder="1"/>
    <xf numFmtId="44" fontId="19" fillId="10" borderId="6" xfId="1" applyFont="1" applyFill="1" applyBorder="1"/>
    <xf numFmtId="44" fontId="19" fillId="10" borderId="28" xfId="1" applyFont="1" applyFill="1" applyBorder="1"/>
    <xf numFmtId="0" fontId="15" fillId="10"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26" xfId="1" applyFont="1" applyFill="1" applyBorder="1"/>
    <xf numFmtId="44" fontId="19" fillId="2" borderId="6" xfId="1" applyFont="1" applyFill="1" applyBorder="1"/>
    <xf numFmtId="44" fontId="19" fillId="2" borderId="28" xfId="1" applyFont="1" applyFill="1" applyBorder="1"/>
    <xf numFmtId="43" fontId="0" fillId="0" borderId="0" xfId="0" applyNumberFormat="1"/>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26" xfId="1" applyFont="1" applyFill="1" applyBorder="1"/>
    <xf numFmtId="44" fontId="19" fillId="12" borderId="6" xfId="1" applyFont="1" applyFill="1" applyBorder="1"/>
    <xf numFmtId="44" fontId="19" fillId="12" borderId="28" xfId="1" applyFont="1" applyFill="1" applyBorder="1"/>
    <xf numFmtId="0" fontId="15" fillId="12" borderId="1" xfId="0" applyFont="1" applyFill="1" applyBorder="1" applyAlignment="1">
      <alignment wrapText="1"/>
    </xf>
    <xf numFmtId="8" fontId="10" fillId="4" borderId="21" xfId="1" applyNumberFormat="1" applyFont="1" applyFill="1" applyBorder="1"/>
    <xf numFmtId="0" fontId="2" fillId="2" borderId="0" xfId="0" applyFont="1" applyFill="1" applyAlignment="1">
      <alignment horizontal="left" vertical="center" wrapText="1"/>
    </xf>
    <xf numFmtId="44" fontId="0" fillId="0" borderId="7" xfId="1" applyFont="1" applyBorder="1"/>
    <xf numFmtId="0" fontId="5" fillId="6" borderId="1" xfId="0" applyFont="1" applyFill="1" applyBorder="1"/>
    <xf numFmtId="44" fontId="6" fillId="2" borderId="1" xfId="1" applyFont="1" applyFill="1" applyBorder="1"/>
    <xf numFmtId="0" fontId="10" fillId="2" borderId="1" xfId="0" applyFont="1" applyFill="1" applyBorder="1"/>
    <xf numFmtId="44" fontId="4" fillId="2" borderId="22" xfId="1" applyFont="1" applyFill="1" applyBorder="1" applyAlignment="1">
      <alignment wrapText="1"/>
    </xf>
    <xf numFmtId="44" fontId="23" fillId="2" borderId="1" xfId="1" applyFont="1" applyFill="1" applyBorder="1"/>
    <xf numFmtId="0" fontId="0" fillId="2" borderId="1" xfId="0" applyFill="1" applyBorder="1" applyAlignment="1">
      <alignment vertical="center"/>
    </xf>
    <xf numFmtId="8" fontId="4" fillId="2" borderId="1" xfId="0" applyNumberFormat="1" applyFont="1" applyFill="1" applyBorder="1"/>
    <xf numFmtId="44" fontId="4" fillId="2" borderId="1" xfId="1" applyFont="1" applyFill="1" applyBorder="1" applyAlignment="1">
      <alignment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2" fillId="11" borderId="14" xfId="0" applyFont="1" applyFill="1" applyBorder="1" applyAlignment="1">
      <alignment horizontal="left" vertical="center" wrapText="1"/>
    </xf>
    <xf numFmtId="0" fontId="2" fillId="11" borderId="12" xfId="0" applyFont="1" applyFill="1" applyBorder="1" applyAlignment="1">
      <alignment horizontal="left" vertical="center" wrapText="1"/>
    </xf>
    <xf numFmtId="0" fontId="2" fillId="11" borderId="15" xfId="0" applyFont="1" applyFill="1" applyBorder="1" applyAlignment="1">
      <alignment horizontal="left" vertical="center" wrapText="1"/>
    </xf>
    <xf numFmtId="0" fontId="2" fillId="11" borderId="16" xfId="0" applyFont="1" applyFill="1" applyBorder="1" applyAlignment="1">
      <alignment horizontal="left" vertical="center" wrapText="1"/>
    </xf>
    <xf numFmtId="0" fontId="2" fillId="11" borderId="0" xfId="0" applyFont="1" applyFill="1" applyAlignment="1">
      <alignment horizontal="left" vertical="center" wrapText="1"/>
    </xf>
    <xf numFmtId="0" fontId="2" fillId="11" borderId="17" xfId="0" applyFont="1" applyFill="1" applyBorder="1" applyAlignment="1">
      <alignment horizontal="left" vertical="center" wrapText="1"/>
    </xf>
    <xf numFmtId="0" fontId="2" fillId="11" borderId="23"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1" borderId="27" xfId="0" applyFont="1" applyFill="1" applyBorder="1" applyAlignment="1">
      <alignment horizontal="left" vertical="center" wrapText="1"/>
    </xf>
    <xf numFmtId="0" fontId="2" fillId="10"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2" borderId="9" xfId="0" applyFont="1" applyFill="1" applyBorder="1" applyAlignment="1">
      <alignment horizontal="left" vertical="center" wrapText="1"/>
    </xf>
    <xf numFmtId="0" fontId="2" fillId="12" borderId="10" xfId="0" applyFont="1" applyFill="1" applyBorder="1" applyAlignment="1">
      <alignment horizontal="left" vertical="center" wrapText="1"/>
    </xf>
    <xf numFmtId="0" fontId="2" fillId="12"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abSelected="1" topLeftCell="A37" workbookViewId="0">
      <selection activeCell="E46" sqref="E46"/>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5"/>
      <c r="B1" s="73" t="s">
        <v>84</v>
      </c>
      <c r="C1" s="73"/>
      <c r="D1" s="73"/>
      <c r="E1" s="74"/>
    </row>
    <row r="2" spans="1:5" ht="22.5" customHeight="1" x14ac:dyDescent="0.25">
      <c r="A2" s="16"/>
      <c r="B2" s="75" t="s">
        <v>47</v>
      </c>
      <c r="C2" s="75"/>
      <c r="D2" s="75"/>
      <c r="E2" s="76"/>
    </row>
    <row r="3" spans="1:5" ht="32.25" customHeight="1" thickBot="1" x14ac:dyDescent="0.3">
      <c r="A3" s="16"/>
      <c r="B3" s="93" t="s">
        <v>45</v>
      </c>
      <c r="C3" s="75"/>
      <c r="D3" s="93"/>
      <c r="E3" s="76"/>
    </row>
    <row r="4" spans="1:5" ht="15.75" thickBot="1" x14ac:dyDescent="0.3">
      <c r="A4" s="19" t="s">
        <v>0</v>
      </c>
      <c r="B4" s="92" t="s">
        <v>81</v>
      </c>
      <c r="C4" s="20"/>
      <c r="D4" s="20"/>
      <c r="E4" s="21"/>
    </row>
    <row r="5" spans="1:5" ht="15.75" thickBot="1" x14ac:dyDescent="0.3">
      <c r="A5" s="16" t="s">
        <v>105</v>
      </c>
      <c r="B5" s="20"/>
      <c r="C5" s="17"/>
      <c r="D5" s="75"/>
      <c r="E5" s="18"/>
    </row>
    <row r="6" spans="1:5" ht="15.75" thickBot="1" x14ac:dyDescent="0.3">
      <c r="A6" s="19" t="s">
        <v>82</v>
      </c>
      <c r="B6" s="20"/>
      <c r="C6" s="20"/>
      <c r="D6" s="20"/>
      <c r="E6" s="21"/>
    </row>
    <row r="8" spans="1:5" x14ac:dyDescent="0.25">
      <c r="B8" s="173" t="s">
        <v>104</v>
      </c>
      <c r="C8" s="173"/>
    </row>
    <row r="9" spans="1:5" x14ac:dyDescent="0.25">
      <c r="B9" s="173"/>
      <c r="C9" s="173"/>
    </row>
    <row r="10" spans="1:5" x14ac:dyDescent="0.25">
      <c r="B10" s="173"/>
      <c r="C10" s="173"/>
    </row>
    <row r="12" spans="1:5" hidden="1" x14ac:dyDescent="0.25"/>
    <row r="13" spans="1:5" ht="15" customHeight="1" x14ac:dyDescent="0.25">
      <c r="A13" s="181" t="s">
        <v>83</v>
      </c>
      <c r="B13" s="181"/>
      <c r="C13" s="181"/>
      <c r="D13" s="181"/>
      <c r="E13" s="181"/>
    </row>
    <row r="14" spans="1:5" ht="15" customHeight="1" x14ac:dyDescent="0.25">
      <c r="A14" s="181"/>
      <c r="B14" s="181"/>
      <c r="C14" s="181"/>
      <c r="D14" s="181"/>
      <c r="E14" s="181"/>
    </row>
    <row r="15" spans="1:5" ht="15" customHeight="1" x14ac:dyDescent="0.25">
      <c r="A15" s="181"/>
      <c r="B15" s="181"/>
      <c r="C15" s="181"/>
      <c r="D15" s="181"/>
      <c r="E15" s="181"/>
    </row>
    <row r="16" spans="1:5" ht="53.25" customHeight="1" x14ac:dyDescent="0.25">
      <c r="A16" s="181"/>
      <c r="B16" s="181"/>
      <c r="C16" s="181"/>
      <c r="D16" s="181"/>
      <c r="E16" s="181"/>
    </row>
    <row r="17" spans="1:8" ht="14.25" customHeight="1" thickBot="1" x14ac:dyDescent="0.3"/>
    <row r="18" spans="1:8" hidden="1" x14ac:dyDescent="0.25">
      <c r="A18" s="2"/>
    </row>
    <row r="19" spans="1:8" ht="15.75" hidden="1" thickBot="1" x14ac:dyDescent="0.3"/>
    <row r="20" spans="1:8" x14ac:dyDescent="0.25">
      <c r="A20" s="11" t="s">
        <v>22</v>
      </c>
      <c r="B20" s="12"/>
      <c r="C20" s="13"/>
      <c r="D20" s="9"/>
      <c r="E20" s="14"/>
    </row>
    <row r="21" spans="1:8" x14ac:dyDescent="0.25">
      <c r="A21" s="38" t="s">
        <v>36</v>
      </c>
      <c r="B21" s="38"/>
      <c r="C21" s="38"/>
      <c r="D21" s="39"/>
      <c r="E21" s="98"/>
      <c r="G21" s="22"/>
    </row>
    <row r="22" spans="1:8" ht="35.450000000000003" customHeight="1" x14ac:dyDescent="0.25">
      <c r="A22" s="174" t="s">
        <v>110</v>
      </c>
      <c r="B22" s="175"/>
      <c r="C22" s="5"/>
      <c r="D22" s="171">
        <v>400000</v>
      </c>
      <c r="E22" s="121" t="s">
        <v>108</v>
      </c>
      <c r="F22" s="48"/>
      <c r="H22" s="22"/>
    </row>
    <row r="23" spans="1:8" ht="54" customHeight="1" x14ac:dyDescent="0.25">
      <c r="A23" s="174" t="s">
        <v>111</v>
      </c>
      <c r="B23" s="175"/>
      <c r="C23" s="5"/>
      <c r="D23" s="171"/>
      <c r="E23" s="121"/>
      <c r="F23" s="48"/>
      <c r="H23" s="22"/>
    </row>
    <row r="24" spans="1:8" ht="15.75" thickBot="1" x14ac:dyDescent="0.3">
      <c r="A24" s="29" t="s">
        <v>33</v>
      </c>
      <c r="B24" s="29"/>
      <c r="C24" s="29"/>
      <c r="D24" s="135"/>
      <c r="E24" s="162">
        <f>D22</f>
        <v>400000</v>
      </c>
    </row>
    <row r="25" spans="1:8" x14ac:dyDescent="0.25">
      <c r="A25" s="36" t="s">
        <v>49</v>
      </c>
      <c r="B25" s="37"/>
      <c r="C25" s="37"/>
      <c r="D25" s="134"/>
      <c r="E25" s="106"/>
    </row>
    <row r="26" spans="1:8" s="45" customFormat="1" ht="29.25" customHeight="1" x14ac:dyDescent="0.25">
      <c r="A26" s="174" t="s">
        <v>97</v>
      </c>
      <c r="B26" s="175"/>
      <c r="C26" s="133"/>
      <c r="D26" s="172">
        <v>149073.01</v>
      </c>
      <c r="E26" s="121" t="s">
        <v>107</v>
      </c>
    </row>
    <row r="27" spans="1:8" s="45" customFormat="1" ht="29.25" customHeight="1" x14ac:dyDescent="0.25">
      <c r="A27" s="174" t="s">
        <v>106</v>
      </c>
      <c r="B27" s="175"/>
      <c r="C27" s="133"/>
      <c r="D27" s="168">
        <v>0</v>
      </c>
      <c r="E27" s="121"/>
    </row>
    <row r="28" spans="1:8" ht="15.75" thickBot="1" x14ac:dyDescent="0.3">
      <c r="A28" s="29" t="s">
        <v>1</v>
      </c>
      <c r="B28" s="29"/>
      <c r="C28" s="29"/>
      <c r="D28" s="135"/>
      <c r="E28" s="99">
        <f>SUM(D26:D27)</f>
        <v>149073.01</v>
      </c>
      <c r="G28" s="151"/>
    </row>
    <row r="29" spans="1:8" x14ac:dyDescent="0.25">
      <c r="A29" s="38" t="s">
        <v>35</v>
      </c>
      <c r="B29" s="30"/>
      <c r="C29" s="30"/>
      <c r="D29" s="43"/>
      <c r="E29" s="100"/>
    </row>
    <row r="30" spans="1:8" ht="14.25" customHeight="1" x14ac:dyDescent="0.25">
      <c r="A30" s="5" t="s">
        <v>78</v>
      </c>
      <c r="B30" s="5"/>
      <c r="C30" s="5"/>
      <c r="D30" s="120"/>
      <c r="E30" s="104"/>
    </row>
    <row r="31" spans="1:8" ht="14.25" customHeight="1" x14ac:dyDescent="0.25">
      <c r="A31" s="5" t="s">
        <v>77</v>
      </c>
      <c r="B31" s="5"/>
      <c r="C31" s="5"/>
      <c r="D31" s="120">
        <v>0</v>
      </c>
      <c r="E31" s="121"/>
    </row>
    <row r="32" spans="1:8" ht="14.25" customHeight="1" x14ac:dyDescent="0.25">
      <c r="A32" s="5" t="s">
        <v>77</v>
      </c>
      <c r="B32" s="5"/>
      <c r="C32" s="5"/>
      <c r="D32" s="120"/>
      <c r="E32" s="104"/>
    </row>
    <row r="33" spans="1:10" ht="14.25" customHeight="1" x14ac:dyDescent="0.25">
      <c r="A33" s="5" t="s">
        <v>77</v>
      </c>
      <c r="B33" s="5"/>
      <c r="C33" s="5"/>
      <c r="D33" s="120"/>
      <c r="E33" s="104"/>
    </row>
    <row r="34" spans="1:10" ht="14.25" customHeight="1" x14ac:dyDescent="0.25">
      <c r="A34" s="5"/>
      <c r="B34" s="5"/>
      <c r="C34" s="5"/>
      <c r="D34" s="120"/>
      <c r="E34" s="104"/>
    </row>
    <row r="35" spans="1:10" ht="15.75" thickBot="1" x14ac:dyDescent="0.3">
      <c r="A35" s="29" t="s">
        <v>2</v>
      </c>
      <c r="B35" s="29"/>
      <c r="C35" s="29"/>
      <c r="D35" s="42"/>
      <c r="E35" s="99">
        <f>SUM(D30:D34)</f>
        <v>0</v>
      </c>
    </row>
    <row r="36" spans="1:10" ht="15.75" thickBot="1" x14ac:dyDescent="0.3">
      <c r="A36" s="38" t="s">
        <v>34</v>
      </c>
      <c r="B36" s="29"/>
      <c r="C36" s="29"/>
      <c r="D36" s="42"/>
      <c r="E36" s="102"/>
    </row>
    <row r="37" spans="1:10" ht="20.100000000000001" customHeight="1" x14ac:dyDescent="0.25">
      <c r="A37" s="170" t="s">
        <v>100</v>
      </c>
      <c r="B37" s="5"/>
      <c r="C37" s="5"/>
      <c r="D37" s="41">
        <v>0</v>
      </c>
      <c r="E37" s="121"/>
      <c r="J37" s="60"/>
    </row>
    <row r="38" spans="1:10" ht="15.75" thickBot="1" x14ac:dyDescent="0.3">
      <c r="A38" s="29" t="s">
        <v>7</v>
      </c>
      <c r="B38" s="38"/>
      <c r="C38" s="38"/>
      <c r="D38" s="36"/>
      <c r="E38" s="106">
        <f>SUM(D37:D37)</f>
        <v>0</v>
      </c>
    </row>
    <row r="39" spans="1:10" ht="15.75" thickBot="1" x14ac:dyDescent="0.3">
      <c r="A39" s="38" t="s">
        <v>26</v>
      </c>
      <c r="B39" s="71"/>
      <c r="C39" s="29"/>
      <c r="D39" s="31"/>
      <c r="E39" s="102"/>
    </row>
    <row r="40" spans="1:10" x14ac:dyDescent="0.25">
      <c r="A40" s="5" t="s">
        <v>101</v>
      </c>
      <c r="B40" s="5"/>
      <c r="C40" s="5"/>
      <c r="D40" s="120">
        <v>48318.25</v>
      </c>
      <c r="E40" s="107"/>
    </row>
    <row r="41" spans="1:10" x14ac:dyDescent="0.25">
      <c r="A41" s="5" t="s">
        <v>102</v>
      </c>
      <c r="B41" s="5"/>
      <c r="C41" s="5"/>
      <c r="D41" s="120">
        <v>69000</v>
      </c>
      <c r="E41" s="105"/>
    </row>
    <row r="42" spans="1:10" ht="15.75" thickBot="1" x14ac:dyDescent="0.3">
      <c r="A42" s="59" t="s">
        <v>33</v>
      </c>
      <c r="B42" s="59"/>
      <c r="C42" s="59"/>
      <c r="D42" s="108"/>
      <c r="E42" s="99">
        <f>SUM(D40:D41)</f>
        <v>117318.25</v>
      </c>
    </row>
    <row r="43" spans="1:10" ht="15.75" thickBot="1" x14ac:dyDescent="0.3">
      <c r="A43" s="5"/>
      <c r="B43" s="5"/>
      <c r="C43" s="5"/>
      <c r="D43" s="97"/>
      <c r="E43" s="109"/>
    </row>
    <row r="44" spans="1:10" ht="15.75" thickBot="1" x14ac:dyDescent="0.3">
      <c r="A44" s="32" t="s">
        <v>103</v>
      </c>
      <c r="B44" s="32"/>
      <c r="C44" s="32"/>
      <c r="D44" s="110"/>
      <c r="E44" s="111">
        <v>500000</v>
      </c>
    </row>
    <row r="45" spans="1:10" ht="15.75" thickBot="1" x14ac:dyDescent="0.3">
      <c r="A45" s="1"/>
      <c r="D45" s="112"/>
      <c r="E45" s="113"/>
      <c r="F45" s="51"/>
    </row>
    <row r="46" spans="1:10" ht="15.75" thickBot="1" x14ac:dyDescent="0.3">
      <c r="A46" s="3" t="s">
        <v>27</v>
      </c>
      <c r="B46" s="10"/>
      <c r="C46" s="4"/>
      <c r="D46" s="114"/>
      <c r="E46" s="115">
        <f>(SUM(E21:E44))</f>
        <v>1166391.26</v>
      </c>
      <c r="F46" s="51"/>
    </row>
    <row r="47" spans="1:10" x14ac:dyDescent="0.25">
      <c r="D47" s="112"/>
      <c r="E47" s="112"/>
    </row>
    <row r="48" spans="1:10" ht="15.75" thickBot="1" x14ac:dyDescent="0.3">
      <c r="D48" s="112"/>
      <c r="E48" s="112"/>
    </row>
    <row r="49" spans="1:5" x14ac:dyDescent="0.25">
      <c r="A49" s="11" t="s">
        <v>37</v>
      </c>
      <c r="B49" s="12"/>
      <c r="C49" s="13"/>
      <c r="D49" s="116"/>
      <c r="E49" s="117"/>
    </row>
    <row r="50" spans="1:5" ht="30" hidden="1" customHeight="1" x14ac:dyDescent="0.25">
      <c r="A50" s="174"/>
      <c r="B50" s="175"/>
      <c r="C50" s="5"/>
      <c r="D50" s="103"/>
      <c r="E50" s="101"/>
    </row>
    <row r="51" spans="1:5" ht="34.5" hidden="1" customHeight="1" x14ac:dyDescent="0.25">
      <c r="A51" s="174"/>
      <c r="B51" s="175"/>
      <c r="C51" s="5"/>
      <c r="D51" s="103"/>
      <c r="E51" s="101"/>
    </row>
    <row r="52" spans="1:5" ht="0.75" customHeight="1" x14ac:dyDescent="0.25">
      <c r="A52" s="179"/>
      <c r="B52" s="180"/>
      <c r="C52" s="5"/>
      <c r="D52" s="103"/>
      <c r="E52" s="101"/>
    </row>
    <row r="53" spans="1:5" x14ac:dyDescent="0.25">
      <c r="A53" s="122"/>
      <c r="B53" s="123"/>
      <c r="C53" s="60"/>
      <c r="D53" s="103"/>
      <c r="E53" s="101"/>
    </row>
    <row r="54" spans="1:5" x14ac:dyDescent="0.25">
      <c r="A54" s="57"/>
      <c r="B54" s="56"/>
      <c r="C54" s="56"/>
      <c r="D54" s="63"/>
      <c r="E54" s="63">
        <f>SUM(D50:D53)</f>
        <v>0</v>
      </c>
    </row>
    <row r="55" spans="1:5" ht="15" customHeight="1" x14ac:dyDescent="0.25"/>
    <row r="56" spans="1:5" ht="15.75" hidden="1" thickBot="1" x14ac:dyDescent="0.3"/>
    <row r="57" spans="1:5" x14ac:dyDescent="0.25">
      <c r="A57" s="32" t="s">
        <v>38</v>
      </c>
      <c r="B57" s="32"/>
      <c r="C57" s="32"/>
      <c r="D57" s="33"/>
      <c r="E57" s="125"/>
    </row>
    <row r="58" spans="1:5" ht="15.75" thickBot="1" x14ac:dyDescent="0.3"/>
    <row r="59" spans="1:5" ht="15.75" thickBot="1" x14ac:dyDescent="0.3">
      <c r="A59" s="3" t="s">
        <v>39</v>
      </c>
      <c r="B59" s="10"/>
      <c r="C59" s="4"/>
      <c r="D59" s="4"/>
      <c r="E59" s="72">
        <f>E54+E57</f>
        <v>0</v>
      </c>
    </row>
    <row r="60" spans="1:5" ht="15.75" thickBot="1" x14ac:dyDescent="0.3"/>
    <row r="61" spans="1:5" ht="15.75" thickBot="1" x14ac:dyDescent="0.3">
      <c r="A61" s="94" t="s">
        <v>28</v>
      </c>
      <c r="B61" s="95">
        <f>E46</f>
        <v>1166391.26</v>
      </c>
      <c r="D61" s="51"/>
    </row>
    <row r="62" spans="1:5" ht="15.75" thickBot="1" x14ac:dyDescent="0.3">
      <c r="A62" s="94" t="s">
        <v>29</v>
      </c>
      <c r="B62" s="95">
        <f>E46-E44</f>
        <v>666391.26</v>
      </c>
    </row>
    <row r="63" spans="1:5" ht="15.75" thickBot="1" x14ac:dyDescent="0.3">
      <c r="A63" s="94" t="s">
        <v>40</v>
      </c>
      <c r="B63" s="95">
        <f>E59-E57</f>
        <v>0</v>
      </c>
    </row>
    <row r="64" spans="1:5" ht="15.75" thickBot="1" x14ac:dyDescent="0.3">
      <c r="A64" s="94" t="s">
        <v>55</v>
      </c>
      <c r="B64" s="95">
        <f>E59</f>
        <v>0</v>
      </c>
    </row>
    <row r="67" spans="1:5" x14ac:dyDescent="0.25">
      <c r="A67" s="178" t="s">
        <v>93</v>
      </c>
      <c r="B67" s="178"/>
      <c r="C67" s="178"/>
      <c r="D67" s="178"/>
      <c r="E67" s="178"/>
    </row>
    <row r="68" spans="1:5" x14ac:dyDescent="0.25">
      <c r="A68" s="178"/>
      <c r="B68" s="178"/>
      <c r="C68" s="178"/>
      <c r="D68" s="178"/>
      <c r="E68" s="178"/>
    </row>
    <row r="69" spans="1:5" ht="30.75" customHeight="1" x14ac:dyDescent="0.25">
      <c r="A69" s="178"/>
      <c r="B69" s="178"/>
      <c r="C69" s="178"/>
      <c r="D69" s="178"/>
      <c r="E69" s="178"/>
    </row>
    <row r="70" spans="1:5" ht="15.75" thickBot="1" x14ac:dyDescent="0.3"/>
    <row r="71" spans="1:5" x14ac:dyDescent="0.25">
      <c r="A71" s="182" t="s">
        <v>109</v>
      </c>
      <c r="B71" s="183"/>
      <c r="C71" s="183"/>
      <c r="D71" s="183"/>
      <c r="E71" s="184"/>
    </row>
    <row r="72" spans="1:5" x14ac:dyDescent="0.25">
      <c r="A72" s="185"/>
      <c r="B72" s="186"/>
      <c r="C72" s="186"/>
      <c r="D72" s="186"/>
      <c r="E72" s="187"/>
    </row>
    <row r="73" spans="1:5" ht="45" customHeight="1" thickBot="1" x14ac:dyDescent="0.3">
      <c r="A73" s="188"/>
      <c r="B73" s="189"/>
      <c r="C73" s="189"/>
      <c r="D73" s="189"/>
      <c r="E73" s="190"/>
    </row>
    <row r="74" spans="1:5" s="130" customFormat="1" ht="27" customHeight="1" x14ac:dyDescent="0.25">
      <c r="A74" s="163"/>
      <c r="B74" s="163"/>
      <c r="C74" s="163"/>
      <c r="D74" s="163"/>
      <c r="E74" s="163"/>
    </row>
    <row r="75" spans="1:5" x14ac:dyDescent="0.25">
      <c r="A75" s="165" t="s">
        <v>51</v>
      </c>
      <c r="B75" s="166"/>
      <c r="C75" s="23"/>
    </row>
    <row r="76" spans="1:5" ht="17.25" customHeight="1" x14ac:dyDescent="0.25">
      <c r="A76" s="167" t="s">
        <v>90</v>
      </c>
      <c r="B76" s="124">
        <v>484460.93000000017</v>
      </c>
      <c r="C76" s="25"/>
    </row>
    <row r="77" spans="1:5" ht="14.25" customHeight="1" x14ac:dyDescent="0.25">
      <c r="A77" s="24" t="s">
        <v>57</v>
      </c>
      <c r="B77" s="47">
        <f>PRORRATEO!G35</f>
        <v>1649630.34</v>
      </c>
      <c r="C77" s="23"/>
    </row>
    <row r="78" spans="1:5" x14ac:dyDescent="0.25">
      <c r="A78" s="24" t="s">
        <v>58</v>
      </c>
      <c r="B78" s="47"/>
      <c r="C78" s="23"/>
    </row>
    <row r="79" spans="1:5" x14ac:dyDescent="0.25">
      <c r="A79" s="24" t="s">
        <v>86</v>
      </c>
      <c r="B79" s="47">
        <f>B98</f>
        <v>0</v>
      </c>
      <c r="C79" s="23"/>
    </row>
    <row r="80" spans="1:5" x14ac:dyDescent="0.25">
      <c r="A80" s="24" t="s">
        <v>98</v>
      </c>
      <c r="B80" s="47">
        <v>0</v>
      </c>
      <c r="C80" s="23"/>
    </row>
    <row r="81" spans="1:6" x14ac:dyDescent="0.25">
      <c r="A81" s="46" t="s">
        <v>41</v>
      </c>
      <c r="B81" s="169">
        <f>-B62</f>
        <v>-666391.26</v>
      </c>
      <c r="C81" s="23"/>
    </row>
    <row r="82" spans="1:6" x14ac:dyDescent="0.25">
      <c r="A82" s="27" t="s">
        <v>42</v>
      </c>
      <c r="B82" s="105">
        <f>-(B63)</f>
        <v>0</v>
      </c>
      <c r="C82" s="23"/>
    </row>
    <row r="83" spans="1:6" x14ac:dyDescent="0.25">
      <c r="A83" s="34" t="s">
        <v>33</v>
      </c>
      <c r="B83" s="124">
        <f>SUM(B76:B82)</f>
        <v>1467700.0100000005</v>
      </c>
      <c r="C83" s="26"/>
      <c r="D83" s="151"/>
      <c r="E83" s="151"/>
      <c r="F83" s="151"/>
    </row>
    <row r="84" spans="1:6" ht="34.5" customHeight="1" x14ac:dyDescent="0.25">
      <c r="B84" s="48"/>
      <c r="C84" s="26"/>
      <c r="D84" s="51"/>
    </row>
    <row r="85" spans="1:6" ht="14.25" hidden="1" customHeight="1" x14ac:dyDescent="0.25">
      <c r="B85" s="49"/>
      <c r="C85" s="26"/>
    </row>
    <row r="86" spans="1:6" s="45" customFormat="1" ht="27" hidden="1" customHeight="1" x14ac:dyDescent="0.25">
      <c r="A86"/>
      <c r="B86" s="48"/>
      <c r="C86" s="44"/>
    </row>
    <row r="87" spans="1:6" s="45" customFormat="1" ht="27" hidden="1" customHeight="1" x14ac:dyDescent="0.25">
      <c r="A87" s="35" t="s">
        <v>31</v>
      </c>
      <c r="B87" s="40"/>
      <c r="C87" s="44"/>
      <c r="D87" s="54"/>
    </row>
    <row r="88" spans="1:6" s="45" customFormat="1" ht="27" hidden="1" customHeight="1" x14ac:dyDescent="0.25">
      <c r="A88" s="5" t="s">
        <v>30</v>
      </c>
      <c r="B88" s="41">
        <v>0</v>
      </c>
      <c r="C88" s="44"/>
    </row>
    <row r="89" spans="1:6" ht="14.25" hidden="1" customHeight="1" x14ac:dyDescent="0.25">
      <c r="A89" s="5" t="s">
        <v>23</v>
      </c>
      <c r="B89" s="40">
        <v>0</v>
      </c>
      <c r="C89" s="26"/>
      <c r="D89" s="51"/>
    </row>
    <row r="90" spans="1:6" hidden="1" x14ac:dyDescent="0.25">
      <c r="A90" s="5" t="s">
        <v>41</v>
      </c>
      <c r="B90" s="40">
        <v>0</v>
      </c>
      <c r="C90" s="26"/>
    </row>
    <row r="91" spans="1:6" hidden="1" x14ac:dyDescent="0.25">
      <c r="A91" s="5" t="s">
        <v>42</v>
      </c>
      <c r="B91" s="40">
        <v>0</v>
      </c>
      <c r="C91" s="28"/>
    </row>
    <row r="92" spans="1:6" hidden="1" x14ac:dyDescent="0.25">
      <c r="A92" s="35" t="s">
        <v>32</v>
      </c>
      <c r="B92" s="55">
        <f>SUM(B88:B91)</f>
        <v>0</v>
      </c>
      <c r="C92" s="23"/>
    </row>
    <row r="93" spans="1:6" hidden="1" x14ac:dyDescent="0.25"/>
    <row r="94" spans="1:6" ht="60.75" hidden="1" customHeight="1" x14ac:dyDescent="0.25"/>
    <row r="95" spans="1:6" x14ac:dyDescent="0.25">
      <c r="A95" s="177" t="s">
        <v>50</v>
      </c>
      <c r="B95" s="177"/>
      <c r="C95" s="177"/>
    </row>
    <row r="96" spans="1:6" ht="27.75" customHeight="1" x14ac:dyDescent="0.25">
      <c r="A96" s="177"/>
      <c r="B96" s="177"/>
      <c r="C96" s="177"/>
    </row>
    <row r="97" spans="1:13" ht="32.25" customHeight="1" x14ac:dyDescent="0.25">
      <c r="A97" s="118"/>
      <c r="B97" s="40"/>
      <c r="C97" s="164">
        <v>40000</v>
      </c>
    </row>
    <row r="98" spans="1:13" x14ac:dyDescent="0.25">
      <c r="A98" s="52" t="s">
        <v>7</v>
      </c>
      <c r="B98" s="119">
        <f>SUM(B97:B97)</f>
        <v>0</v>
      </c>
      <c r="C98" s="53"/>
    </row>
    <row r="99" spans="1:13" x14ac:dyDescent="0.25">
      <c r="M99" s="8"/>
    </row>
    <row r="100" spans="1:13" ht="15" customHeight="1" x14ac:dyDescent="0.25">
      <c r="A100" s="176"/>
      <c r="B100" s="176"/>
      <c r="C100" s="176"/>
      <c r="D100" s="176"/>
      <c r="E100" s="176"/>
    </row>
    <row r="101" spans="1:13" x14ac:dyDescent="0.25">
      <c r="A101" s="176"/>
      <c r="B101" s="176"/>
      <c r="C101" s="176"/>
      <c r="D101" s="176"/>
      <c r="E101" s="176"/>
    </row>
    <row r="102" spans="1:13" x14ac:dyDescent="0.25">
      <c r="A102" s="176"/>
      <c r="B102" s="176"/>
      <c r="C102" s="176"/>
      <c r="D102" s="176"/>
      <c r="E102" s="176"/>
    </row>
    <row r="103" spans="1:13" x14ac:dyDescent="0.25">
      <c r="A103" s="176"/>
      <c r="B103" s="176"/>
      <c r="C103" s="176"/>
      <c r="D103" s="176"/>
      <c r="E103" s="176"/>
    </row>
  </sheetData>
  <mergeCells count="13">
    <mergeCell ref="B8:C10"/>
    <mergeCell ref="A26:B26"/>
    <mergeCell ref="A100:E103"/>
    <mergeCell ref="A95:C96"/>
    <mergeCell ref="A67:E69"/>
    <mergeCell ref="A51:B51"/>
    <mergeCell ref="A50:B50"/>
    <mergeCell ref="A52:B52"/>
    <mergeCell ref="A13:E16"/>
    <mergeCell ref="A22:B22"/>
    <mergeCell ref="A71:E73"/>
    <mergeCell ref="A27:B27"/>
    <mergeCell ref="A23:B2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1" zoomScaleNormal="100" workbookViewId="0">
      <selection activeCell="Q3" sqref="Q3"/>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4.5703125" customWidth="1"/>
    <col min="8" max="9" width="10.5703125" customWidth="1"/>
    <col min="10" max="10" width="14.42578125" customWidth="1"/>
    <col min="11" max="11" width="16.285156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6"/>
      <c r="B1" s="6"/>
      <c r="C1" s="204" t="s">
        <v>79</v>
      </c>
      <c r="D1" s="205"/>
      <c r="E1" s="205"/>
      <c r="F1" s="205"/>
      <c r="G1" s="6"/>
      <c r="H1" s="6"/>
      <c r="I1" s="6"/>
      <c r="J1" s="7"/>
      <c r="K1" s="6"/>
      <c r="L1" s="6"/>
      <c r="M1" s="62"/>
      <c r="N1" s="62"/>
      <c r="O1" s="62"/>
      <c r="P1" s="22"/>
    </row>
    <row r="2" spans="1:18" ht="12.95" customHeight="1" x14ac:dyDescent="0.25">
      <c r="A2" s="6"/>
      <c r="B2" s="6"/>
      <c r="C2" s="205"/>
      <c r="D2" s="205"/>
      <c r="E2" s="205"/>
      <c r="F2" s="205"/>
      <c r="G2" s="6"/>
      <c r="H2" s="6"/>
      <c r="I2" s="6"/>
      <c r="J2" s="7"/>
      <c r="K2" s="6"/>
      <c r="L2" s="6"/>
      <c r="M2" s="62"/>
      <c r="N2" s="62"/>
      <c r="O2" s="62"/>
      <c r="P2" s="22"/>
    </row>
    <row r="3" spans="1:18" ht="12.95" customHeight="1" x14ac:dyDescent="0.25">
      <c r="A3" s="6"/>
      <c r="B3" s="6"/>
      <c r="C3" s="205"/>
      <c r="D3" s="205"/>
      <c r="E3" s="205"/>
      <c r="F3" s="205"/>
      <c r="G3" s="6"/>
      <c r="H3" s="6"/>
      <c r="I3" s="6"/>
      <c r="J3" s="7" t="s">
        <v>80</v>
      </c>
      <c r="K3" s="6"/>
      <c r="L3" s="206">
        <f>Q3</f>
        <v>1166391.26</v>
      </c>
      <c r="M3" s="206"/>
      <c r="N3" s="62"/>
      <c r="O3" s="62"/>
      <c r="P3" s="22"/>
      <c r="Q3">
        <v>1166391.26</v>
      </c>
    </row>
    <row r="4" spans="1:18" ht="41.25" customHeight="1" thickBot="1" x14ac:dyDescent="0.3">
      <c r="A4" s="6"/>
      <c r="B4" s="6"/>
      <c r="C4" s="205"/>
      <c r="D4" s="205"/>
      <c r="E4" s="205"/>
      <c r="F4" s="205"/>
      <c r="G4" s="6"/>
      <c r="H4" s="6"/>
      <c r="I4" s="6"/>
      <c r="J4" s="126" t="s">
        <v>99</v>
      </c>
      <c r="K4" s="6"/>
      <c r="L4" s="207"/>
      <c r="M4" s="207"/>
      <c r="N4" s="64"/>
      <c r="O4" s="64"/>
    </row>
    <row r="5" spans="1:18" ht="83.25" customHeight="1" thickBot="1" x14ac:dyDescent="0.3">
      <c r="A5" s="210" t="s">
        <v>96</v>
      </c>
      <c r="B5" s="211"/>
      <c r="C5" s="211"/>
      <c r="D5" s="211"/>
      <c r="E5" s="211"/>
      <c r="F5" s="211"/>
      <c r="G5" s="211"/>
      <c r="H5" s="211"/>
      <c r="I5" s="211"/>
      <c r="J5" s="211"/>
      <c r="K5" s="211"/>
      <c r="L5" s="211"/>
      <c r="M5" s="211"/>
      <c r="N5" s="211"/>
      <c r="O5" s="212"/>
    </row>
    <row r="6" spans="1:18" x14ac:dyDescent="0.25">
      <c r="A6" s="208" t="s">
        <v>3</v>
      </c>
      <c r="B6" s="192" t="s">
        <v>4</v>
      </c>
      <c r="C6" s="192" t="s">
        <v>5</v>
      </c>
      <c r="D6" s="192" t="s">
        <v>46</v>
      </c>
      <c r="E6" s="192" t="s">
        <v>25</v>
      </c>
      <c r="F6" s="192" t="s">
        <v>56</v>
      </c>
      <c r="G6" s="192" t="s">
        <v>23</v>
      </c>
      <c r="H6" s="201" t="s">
        <v>48</v>
      </c>
      <c r="I6" s="201" t="s">
        <v>87</v>
      </c>
      <c r="J6" s="196" t="s">
        <v>6</v>
      </c>
      <c r="K6" s="196" t="s">
        <v>44</v>
      </c>
      <c r="L6" s="199" t="s">
        <v>54</v>
      </c>
      <c r="M6" s="67" t="s">
        <v>53</v>
      </c>
      <c r="N6" s="194" t="s">
        <v>43</v>
      </c>
      <c r="O6" s="213" t="s">
        <v>52</v>
      </c>
      <c r="R6" s="51"/>
    </row>
    <row r="7" spans="1:18" ht="15.75" customHeight="1" x14ac:dyDescent="0.25">
      <c r="A7" s="209"/>
      <c r="B7" s="203"/>
      <c r="C7" s="203"/>
      <c r="D7" s="193"/>
      <c r="E7" s="203"/>
      <c r="F7" s="203"/>
      <c r="G7" s="203"/>
      <c r="H7" s="202"/>
      <c r="I7" s="202"/>
      <c r="J7" s="197"/>
      <c r="K7" s="198"/>
      <c r="L7" s="200"/>
      <c r="M7" s="65" t="str">
        <f>RESUMEN!B8</f>
        <v>VTO 16/10</v>
      </c>
      <c r="N7" s="195"/>
      <c r="O7" s="214"/>
    </row>
    <row r="8" spans="1:18" ht="17.100000000000001" customHeight="1" x14ac:dyDescent="0.25">
      <c r="A8" s="5" t="s">
        <v>8</v>
      </c>
      <c r="B8" s="69">
        <v>1</v>
      </c>
      <c r="C8" s="69" t="s">
        <v>59</v>
      </c>
      <c r="D8" s="69"/>
      <c r="E8" s="77">
        <v>6.8</v>
      </c>
      <c r="F8" s="78">
        <v>769303.01</v>
      </c>
      <c r="G8" s="79">
        <v>769303.01</v>
      </c>
      <c r="H8" s="80">
        <f>F8-G8</f>
        <v>0</v>
      </c>
      <c r="I8" s="80">
        <f>IF(H8&gt;0,H8*15%,0)</f>
        <v>0</v>
      </c>
      <c r="J8" s="127">
        <f t="shared" ref="J8:J33" si="0">L$4*E8/100</f>
        <v>0</v>
      </c>
      <c r="K8" s="127">
        <f t="shared" ref="K8:K33" si="1">L$3*E8/100</f>
        <v>79314.605679999993</v>
      </c>
      <c r="L8" s="82">
        <v>0</v>
      </c>
      <c r="M8" s="83">
        <f t="shared" ref="M8:M33" si="2">ROUND(SUM(H8:L8),0) + P8</f>
        <v>79315.009999999995</v>
      </c>
      <c r="N8" s="84">
        <f>ROUND(M8*6% + M8,0) + P8</f>
        <v>84074.01</v>
      </c>
      <c r="O8" s="85">
        <f>ROUND(M8*3%,0) + M8</f>
        <v>81694.009999999995</v>
      </c>
      <c r="P8" s="51">
        <v>0.01</v>
      </c>
    </row>
    <row r="9" spans="1:18" ht="17.100000000000001" customHeight="1" x14ac:dyDescent="0.25">
      <c r="A9" s="60" t="s">
        <v>9</v>
      </c>
      <c r="B9" s="68">
        <f>B8+1</f>
        <v>2</v>
      </c>
      <c r="C9" s="68" t="s">
        <v>60</v>
      </c>
      <c r="D9" s="86"/>
      <c r="E9" s="87">
        <v>5.0999999999999996</v>
      </c>
      <c r="F9" s="79">
        <v>-159796.98000000001</v>
      </c>
      <c r="G9" s="79">
        <v>0</v>
      </c>
      <c r="H9" s="96">
        <f>F9-G9</f>
        <v>-159796.98000000001</v>
      </c>
      <c r="I9" s="96">
        <f>IF(H9&gt;0,H9*15%,0)</f>
        <v>0</v>
      </c>
      <c r="J9" s="146">
        <f t="shared" si="0"/>
        <v>0</v>
      </c>
      <c r="K9" s="146">
        <f t="shared" si="1"/>
        <v>59485.954259999999</v>
      </c>
      <c r="L9" s="147">
        <v>0</v>
      </c>
      <c r="M9" s="148">
        <f t="shared" si="2"/>
        <v>-100310.98</v>
      </c>
      <c r="N9" s="149">
        <f t="shared" ref="N9:N33" si="3">ROUND(M9*6% + M9,0) + P9</f>
        <v>-106329.98</v>
      </c>
      <c r="O9" s="150">
        <f t="shared" ref="O9:O33" si="4">ROUND(M9*3%,0) + M9</f>
        <v>-103319.98</v>
      </c>
      <c r="P9" s="51">
        <f>P8+0.01</f>
        <v>0.02</v>
      </c>
      <c r="Q9" s="51"/>
      <c r="R9" t="s">
        <v>92</v>
      </c>
    </row>
    <row r="10" spans="1:18" ht="17.100000000000001" customHeight="1" x14ac:dyDescent="0.25">
      <c r="A10" s="60" t="s">
        <v>9</v>
      </c>
      <c r="B10" s="68">
        <f t="shared" ref="B10:B33" si="5">B9+1</f>
        <v>3</v>
      </c>
      <c r="C10" s="68" t="s">
        <v>61</v>
      </c>
      <c r="D10" s="86"/>
      <c r="E10" s="87">
        <v>5.6</v>
      </c>
      <c r="F10" s="79">
        <v>138587.03</v>
      </c>
      <c r="G10" s="79">
        <v>138587.03</v>
      </c>
      <c r="H10" s="96">
        <f>F10-G10</f>
        <v>0</v>
      </c>
      <c r="I10" s="96">
        <f>IF(H10&gt;0,H10*15%,0)</f>
        <v>0</v>
      </c>
      <c r="J10" s="146">
        <f t="shared" si="0"/>
        <v>0</v>
      </c>
      <c r="K10" s="146">
        <f t="shared" si="1"/>
        <v>65317.910559999997</v>
      </c>
      <c r="L10" s="147">
        <v>0</v>
      </c>
      <c r="M10" s="148">
        <f t="shared" si="2"/>
        <v>65318.03</v>
      </c>
      <c r="N10" s="149">
        <f t="shared" si="3"/>
        <v>69237.03</v>
      </c>
      <c r="O10" s="150">
        <f t="shared" si="4"/>
        <v>67278.03</v>
      </c>
      <c r="P10" s="51">
        <f t="shared" ref="P10:P33" si="6">P9+0.01</f>
        <v>0.03</v>
      </c>
    </row>
    <row r="11" spans="1:18" ht="17.100000000000001" customHeight="1" x14ac:dyDescent="0.25">
      <c r="A11" s="5" t="s">
        <v>10</v>
      </c>
      <c r="B11" s="69">
        <f t="shared" si="5"/>
        <v>4</v>
      </c>
      <c r="C11" s="69" t="s">
        <v>62</v>
      </c>
      <c r="D11" s="70"/>
      <c r="E11" s="128">
        <v>2.8</v>
      </c>
      <c r="F11" s="78">
        <v>-1051516.96</v>
      </c>
      <c r="G11" s="79">
        <v>0</v>
      </c>
      <c r="H11" s="80">
        <f t="shared" ref="H11:H16" si="7">F11-G11</f>
        <v>-1051516.96</v>
      </c>
      <c r="I11" s="80">
        <f t="shared" ref="I11:I33" si="8">IF(H11&gt;0,H11*15%,0)</f>
        <v>0</v>
      </c>
      <c r="J11" s="127">
        <f t="shared" si="0"/>
        <v>0</v>
      </c>
      <c r="K11" s="127">
        <f t="shared" si="1"/>
        <v>32658.955279999998</v>
      </c>
      <c r="L11" s="82">
        <v>0</v>
      </c>
      <c r="M11" s="83">
        <f t="shared" si="2"/>
        <v>-1018857.96</v>
      </c>
      <c r="N11" s="84">
        <f t="shared" si="3"/>
        <v>-1079988.96</v>
      </c>
      <c r="O11" s="85">
        <f t="shared" si="4"/>
        <v>-1049423.96</v>
      </c>
      <c r="P11" s="51">
        <f t="shared" si="6"/>
        <v>0.04</v>
      </c>
      <c r="R11" s="51" t="s">
        <v>89</v>
      </c>
    </row>
    <row r="12" spans="1:18" ht="17.100000000000001" customHeight="1" x14ac:dyDescent="0.25">
      <c r="A12" s="5" t="s">
        <v>10</v>
      </c>
      <c r="B12" s="69">
        <f t="shared" si="5"/>
        <v>5</v>
      </c>
      <c r="C12" s="69" t="s">
        <v>63</v>
      </c>
      <c r="D12" s="70"/>
      <c r="E12" s="128">
        <v>2.8</v>
      </c>
      <c r="F12" s="78">
        <v>63256.05</v>
      </c>
      <c r="G12" s="79"/>
      <c r="H12" s="80">
        <f t="shared" si="7"/>
        <v>63256.05</v>
      </c>
      <c r="I12" s="80">
        <f t="shared" si="8"/>
        <v>9488.4074999999993</v>
      </c>
      <c r="J12" s="127">
        <f t="shared" si="0"/>
        <v>0</v>
      </c>
      <c r="K12" s="127">
        <f t="shared" si="1"/>
        <v>32658.955279999998</v>
      </c>
      <c r="L12" s="82">
        <v>0</v>
      </c>
      <c r="M12" s="83">
        <f t="shared" si="2"/>
        <v>105403.05</v>
      </c>
      <c r="N12" s="84">
        <f t="shared" si="3"/>
        <v>111727.05</v>
      </c>
      <c r="O12" s="85">
        <f t="shared" si="4"/>
        <v>108565.05</v>
      </c>
      <c r="P12" s="51">
        <f t="shared" si="6"/>
        <v>0.05</v>
      </c>
      <c r="R12" s="51"/>
    </row>
    <row r="13" spans="1:18" ht="17.100000000000001" customHeight="1" x14ac:dyDescent="0.25">
      <c r="A13" s="5" t="s">
        <v>11</v>
      </c>
      <c r="B13" s="69">
        <f t="shared" si="5"/>
        <v>6</v>
      </c>
      <c r="C13" s="69" t="s">
        <v>64</v>
      </c>
      <c r="D13" s="69"/>
      <c r="E13" s="128">
        <v>2.8</v>
      </c>
      <c r="F13" s="78">
        <v>39791.06</v>
      </c>
      <c r="G13" s="79">
        <f>46728.06+74000.06</f>
        <v>120728.12</v>
      </c>
      <c r="H13" s="80">
        <f t="shared" si="7"/>
        <v>-80937.06</v>
      </c>
      <c r="I13" s="80">
        <f t="shared" si="8"/>
        <v>0</v>
      </c>
      <c r="J13" s="127">
        <f t="shared" si="0"/>
        <v>0</v>
      </c>
      <c r="K13" s="127">
        <f t="shared" si="1"/>
        <v>32658.955279999998</v>
      </c>
      <c r="L13" s="82">
        <v>0</v>
      </c>
      <c r="M13" s="83">
        <f t="shared" si="2"/>
        <v>-48277.94</v>
      </c>
      <c r="N13" s="84">
        <f t="shared" si="3"/>
        <v>-51174.94</v>
      </c>
      <c r="O13" s="85">
        <f t="shared" si="4"/>
        <v>-49725.94</v>
      </c>
      <c r="P13" s="51">
        <f t="shared" si="6"/>
        <v>6.0000000000000005E-2</v>
      </c>
      <c r="R13" t="s">
        <v>88</v>
      </c>
    </row>
    <row r="14" spans="1:18" ht="17.100000000000001" customHeight="1" x14ac:dyDescent="0.25">
      <c r="A14" s="5" t="s">
        <v>11</v>
      </c>
      <c r="B14" s="152">
        <f t="shared" si="5"/>
        <v>7</v>
      </c>
      <c r="C14" s="152" t="s">
        <v>65</v>
      </c>
      <c r="D14" s="152"/>
      <c r="E14" s="153">
        <v>4</v>
      </c>
      <c r="F14" s="154">
        <v>3528909.07</v>
      </c>
      <c r="G14" s="154">
        <v>0</v>
      </c>
      <c r="H14" s="155">
        <f t="shared" si="7"/>
        <v>3528909.07</v>
      </c>
      <c r="I14" s="155">
        <f t="shared" si="8"/>
        <v>529336.36049999995</v>
      </c>
      <c r="J14" s="156">
        <f t="shared" si="0"/>
        <v>0</v>
      </c>
      <c r="K14" s="156">
        <f t="shared" si="1"/>
        <v>46655.650399999999</v>
      </c>
      <c r="L14" s="157">
        <v>0</v>
      </c>
      <c r="M14" s="158">
        <f t="shared" si="2"/>
        <v>4104901.07</v>
      </c>
      <c r="N14" s="159">
        <f t="shared" si="3"/>
        <v>4351195.07</v>
      </c>
      <c r="O14" s="160">
        <f t="shared" si="4"/>
        <v>4228048.07</v>
      </c>
      <c r="P14" s="51">
        <f t="shared" si="6"/>
        <v>7.0000000000000007E-2</v>
      </c>
    </row>
    <row r="15" spans="1:18" ht="17.100000000000001" customHeight="1" x14ac:dyDescent="0.25">
      <c r="A15" s="5" t="s">
        <v>12</v>
      </c>
      <c r="B15" s="136">
        <f t="shared" si="5"/>
        <v>8</v>
      </c>
      <c r="C15" s="136" t="s">
        <v>66</v>
      </c>
      <c r="D15" s="145"/>
      <c r="E15" s="137">
        <v>3.2</v>
      </c>
      <c r="F15" s="138">
        <v>138301.07999999999</v>
      </c>
      <c r="G15" s="138">
        <v>0</v>
      </c>
      <c r="H15" s="139">
        <f t="shared" si="7"/>
        <v>138301.07999999999</v>
      </c>
      <c r="I15" s="139">
        <f t="shared" si="8"/>
        <v>20745.161999999997</v>
      </c>
      <c r="J15" s="140">
        <f t="shared" si="0"/>
        <v>0</v>
      </c>
      <c r="K15" s="140">
        <f t="shared" si="1"/>
        <v>37324.520320000003</v>
      </c>
      <c r="L15" s="141">
        <v>0</v>
      </c>
      <c r="M15" s="142">
        <f t="shared" si="2"/>
        <v>196371.08</v>
      </c>
      <c r="N15" s="143">
        <f t="shared" si="3"/>
        <v>208153.08</v>
      </c>
      <c r="O15" s="144">
        <f t="shared" si="4"/>
        <v>202262.08</v>
      </c>
      <c r="P15" s="51">
        <f t="shared" si="6"/>
        <v>0.08</v>
      </c>
    </row>
    <row r="16" spans="1:18" ht="17.100000000000001" customHeight="1" x14ac:dyDescent="0.25">
      <c r="A16" s="5" t="s">
        <v>12</v>
      </c>
      <c r="B16" s="152">
        <f t="shared" si="5"/>
        <v>9</v>
      </c>
      <c r="C16" s="152" t="s">
        <v>67</v>
      </c>
      <c r="D16" s="161"/>
      <c r="E16" s="153">
        <v>2.8</v>
      </c>
      <c r="F16" s="154">
        <v>3058207.09</v>
      </c>
      <c r="G16" s="154">
        <v>0</v>
      </c>
      <c r="H16" s="155">
        <f t="shared" si="7"/>
        <v>3058207.09</v>
      </c>
      <c r="I16" s="155">
        <f t="shared" si="8"/>
        <v>458731.06349999999</v>
      </c>
      <c r="J16" s="156">
        <f t="shared" si="0"/>
        <v>0</v>
      </c>
      <c r="K16" s="156">
        <f t="shared" si="1"/>
        <v>32658.955279999998</v>
      </c>
      <c r="L16" s="157">
        <v>0</v>
      </c>
      <c r="M16" s="158">
        <f t="shared" si="2"/>
        <v>3549597.09</v>
      </c>
      <c r="N16" s="159">
        <f t="shared" si="3"/>
        <v>3762573.09</v>
      </c>
      <c r="O16" s="160">
        <f t="shared" si="4"/>
        <v>3656085.09</v>
      </c>
      <c r="P16" s="51">
        <f t="shared" si="6"/>
        <v>0.09</v>
      </c>
    </row>
    <row r="17" spans="1:18" ht="17.100000000000001" customHeight="1" x14ac:dyDescent="0.25">
      <c r="A17" s="5" t="s">
        <v>13</v>
      </c>
      <c r="B17" s="69">
        <f t="shared" si="5"/>
        <v>10</v>
      </c>
      <c r="C17" s="69" t="s">
        <v>68</v>
      </c>
      <c r="D17" s="70"/>
      <c r="E17" s="128">
        <v>2.8</v>
      </c>
      <c r="F17" s="79">
        <v>67275.100000000006</v>
      </c>
      <c r="G17" s="79" t="s">
        <v>76</v>
      </c>
      <c r="H17" s="69"/>
      <c r="I17" s="80">
        <f t="shared" si="8"/>
        <v>0</v>
      </c>
      <c r="J17" s="127">
        <f t="shared" si="0"/>
        <v>0</v>
      </c>
      <c r="K17" s="127">
        <f t="shared" si="1"/>
        <v>32658.955279999998</v>
      </c>
      <c r="L17" s="82">
        <v>0</v>
      </c>
      <c r="M17" s="83">
        <f t="shared" si="2"/>
        <v>32659.1</v>
      </c>
      <c r="N17" s="84">
        <f t="shared" si="3"/>
        <v>34619.1</v>
      </c>
      <c r="O17" s="79" t="s">
        <v>76</v>
      </c>
      <c r="P17" s="51">
        <f t="shared" si="6"/>
        <v>9.9999999999999992E-2</v>
      </c>
    </row>
    <row r="18" spans="1:18" ht="17.100000000000001" customHeight="1" x14ac:dyDescent="0.25">
      <c r="A18" s="5" t="s">
        <v>13</v>
      </c>
      <c r="B18" s="69">
        <f t="shared" si="5"/>
        <v>11</v>
      </c>
      <c r="C18" s="69" t="s">
        <v>69</v>
      </c>
      <c r="D18" s="70"/>
      <c r="E18" s="128">
        <v>2.8</v>
      </c>
      <c r="F18" s="79">
        <v>67275.11</v>
      </c>
      <c r="G18" s="79" t="s">
        <v>76</v>
      </c>
      <c r="H18" s="80"/>
      <c r="I18" s="80">
        <f t="shared" si="8"/>
        <v>0</v>
      </c>
      <c r="J18" s="127">
        <f t="shared" si="0"/>
        <v>0</v>
      </c>
      <c r="K18" s="127">
        <f t="shared" si="1"/>
        <v>32658.955279999998</v>
      </c>
      <c r="L18" s="82">
        <v>0</v>
      </c>
      <c r="M18" s="83">
        <f t="shared" si="2"/>
        <v>32659.11</v>
      </c>
      <c r="N18" s="84">
        <f t="shared" si="3"/>
        <v>34619.11</v>
      </c>
      <c r="O18" s="79" t="s">
        <v>76</v>
      </c>
      <c r="P18" s="51">
        <f t="shared" si="6"/>
        <v>0.10999999999999999</v>
      </c>
    </row>
    <row r="19" spans="1:18" ht="17.100000000000001" customHeight="1" x14ac:dyDescent="0.25">
      <c r="A19" s="60" t="s">
        <v>14</v>
      </c>
      <c r="B19" s="68">
        <f t="shared" si="5"/>
        <v>12</v>
      </c>
      <c r="C19" s="68" t="s">
        <v>62</v>
      </c>
      <c r="D19" s="86"/>
      <c r="E19" s="87">
        <v>2.8</v>
      </c>
      <c r="F19" s="79">
        <v>67275.12</v>
      </c>
      <c r="G19" s="79"/>
      <c r="H19" s="96">
        <f t="shared" ref="H19:H31" si="9">F19-G19</f>
        <v>67275.12</v>
      </c>
      <c r="I19" s="96">
        <f t="shared" si="8"/>
        <v>10091.267999999998</v>
      </c>
      <c r="J19" s="146">
        <f t="shared" si="0"/>
        <v>0</v>
      </c>
      <c r="K19" s="146">
        <f t="shared" si="1"/>
        <v>32658.955279999998</v>
      </c>
      <c r="L19" s="147">
        <v>0</v>
      </c>
      <c r="M19" s="148">
        <f t="shared" si="2"/>
        <v>110025.12</v>
      </c>
      <c r="N19" s="149">
        <f t="shared" si="3"/>
        <v>116627.12</v>
      </c>
      <c r="O19" s="150">
        <f t="shared" si="4"/>
        <v>113326.12</v>
      </c>
      <c r="P19" s="51">
        <f t="shared" si="6"/>
        <v>0.11999999999999998</v>
      </c>
    </row>
    <row r="20" spans="1:18" ht="17.100000000000001" customHeight="1" x14ac:dyDescent="0.25">
      <c r="A20" s="60" t="s">
        <v>14</v>
      </c>
      <c r="B20" s="68">
        <f t="shared" si="5"/>
        <v>13</v>
      </c>
      <c r="C20" s="68" t="s">
        <v>70</v>
      </c>
      <c r="D20" s="86"/>
      <c r="E20" s="87">
        <v>5.0999999999999996</v>
      </c>
      <c r="F20" s="79">
        <v>1877292.13</v>
      </c>
      <c r="G20" s="79">
        <v>500000</v>
      </c>
      <c r="H20" s="96">
        <f t="shared" si="9"/>
        <v>1377292.13</v>
      </c>
      <c r="I20" s="96">
        <f t="shared" si="8"/>
        <v>206593.81949999998</v>
      </c>
      <c r="J20" s="146">
        <f t="shared" si="0"/>
        <v>0</v>
      </c>
      <c r="K20" s="146">
        <f t="shared" si="1"/>
        <v>59485.954259999999</v>
      </c>
      <c r="L20" s="147">
        <v>0</v>
      </c>
      <c r="M20" s="148">
        <f t="shared" si="2"/>
        <v>1643372.13</v>
      </c>
      <c r="N20" s="149">
        <f t="shared" si="3"/>
        <v>1741974.13</v>
      </c>
      <c r="O20" s="150">
        <f t="shared" si="4"/>
        <v>1692673.13</v>
      </c>
      <c r="P20" s="51">
        <f t="shared" si="6"/>
        <v>0.12999999999999998</v>
      </c>
      <c r="R20" t="s">
        <v>95</v>
      </c>
    </row>
    <row r="21" spans="1:18" ht="17.100000000000001" customHeight="1" x14ac:dyDescent="0.25">
      <c r="A21" s="5" t="s">
        <v>15</v>
      </c>
      <c r="B21" s="152">
        <f t="shared" si="5"/>
        <v>14</v>
      </c>
      <c r="C21" s="152" t="s">
        <v>66</v>
      </c>
      <c r="D21" s="161"/>
      <c r="E21" s="153">
        <v>2.6</v>
      </c>
      <c r="F21" s="154">
        <v>2089011.14</v>
      </c>
      <c r="G21" s="154">
        <v>0</v>
      </c>
      <c r="H21" s="155">
        <f t="shared" si="9"/>
        <v>2089011.14</v>
      </c>
      <c r="I21" s="155">
        <f t="shared" si="8"/>
        <v>313351.67099999997</v>
      </c>
      <c r="J21" s="156">
        <f t="shared" si="0"/>
        <v>0</v>
      </c>
      <c r="K21" s="156">
        <f t="shared" si="1"/>
        <v>30326.172760000001</v>
      </c>
      <c r="L21" s="157">
        <v>0</v>
      </c>
      <c r="M21" s="158">
        <f t="shared" si="2"/>
        <v>2432689.14</v>
      </c>
      <c r="N21" s="159">
        <f t="shared" si="3"/>
        <v>2578650.14</v>
      </c>
      <c r="O21" s="160">
        <f t="shared" si="4"/>
        <v>2505670.14</v>
      </c>
      <c r="P21" s="51">
        <f t="shared" si="6"/>
        <v>0.13999999999999999</v>
      </c>
      <c r="R21" t="s">
        <v>94</v>
      </c>
    </row>
    <row r="22" spans="1:18" ht="17.100000000000001" customHeight="1" x14ac:dyDescent="0.25">
      <c r="A22" s="5" t="s">
        <v>15</v>
      </c>
      <c r="B22" s="68">
        <f t="shared" si="5"/>
        <v>15</v>
      </c>
      <c r="C22" s="68" t="s">
        <v>71</v>
      </c>
      <c r="D22" s="86"/>
      <c r="E22" s="87">
        <v>2.8</v>
      </c>
      <c r="F22" s="79">
        <v>67275.149999999994</v>
      </c>
      <c r="G22" s="79"/>
      <c r="H22" s="96">
        <f t="shared" si="9"/>
        <v>67275.149999999994</v>
      </c>
      <c r="I22" s="96">
        <f t="shared" si="8"/>
        <v>10091.272499999999</v>
      </c>
      <c r="J22" s="146">
        <f t="shared" si="0"/>
        <v>0</v>
      </c>
      <c r="K22" s="146">
        <f t="shared" si="1"/>
        <v>32658.955279999998</v>
      </c>
      <c r="L22" s="147">
        <v>0</v>
      </c>
      <c r="M22" s="148">
        <f t="shared" si="2"/>
        <v>110025.15</v>
      </c>
      <c r="N22" s="149">
        <f t="shared" si="3"/>
        <v>116627.15</v>
      </c>
      <c r="O22" s="150">
        <f t="shared" si="4"/>
        <v>113326.15</v>
      </c>
      <c r="P22" s="51">
        <f t="shared" si="6"/>
        <v>0.15</v>
      </c>
    </row>
    <row r="23" spans="1:18" ht="17.100000000000001" customHeight="1" x14ac:dyDescent="0.25">
      <c r="A23" s="5" t="s">
        <v>16</v>
      </c>
      <c r="B23" s="68">
        <f t="shared" si="5"/>
        <v>16</v>
      </c>
      <c r="C23" s="68" t="s">
        <v>85</v>
      </c>
      <c r="D23" s="69"/>
      <c r="E23" s="128">
        <v>2.6</v>
      </c>
      <c r="F23" s="78">
        <v>-418013.84</v>
      </c>
      <c r="G23" s="79"/>
      <c r="H23" s="80">
        <f t="shared" si="9"/>
        <v>-418013.84</v>
      </c>
      <c r="I23" s="80">
        <f t="shared" si="8"/>
        <v>0</v>
      </c>
      <c r="J23" s="127">
        <f t="shared" si="0"/>
        <v>0</v>
      </c>
      <c r="K23" s="127">
        <f t="shared" si="1"/>
        <v>30326.172760000001</v>
      </c>
      <c r="L23" s="82">
        <v>0</v>
      </c>
      <c r="M23" s="83">
        <f t="shared" si="2"/>
        <v>-387687.84</v>
      </c>
      <c r="N23" s="84">
        <f t="shared" si="3"/>
        <v>-410948.84</v>
      </c>
      <c r="O23" s="85">
        <f t="shared" si="4"/>
        <v>-399318.84</v>
      </c>
      <c r="P23" s="51">
        <f t="shared" si="6"/>
        <v>0.16</v>
      </c>
      <c r="R23" s="50"/>
    </row>
    <row r="24" spans="1:18" ht="17.100000000000001" customHeight="1" x14ac:dyDescent="0.25">
      <c r="A24" s="60" t="s">
        <v>16</v>
      </c>
      <c r="B24" s="152">
        <f t="shared" si="5"/>
        <v>17</v>
      </c>
      <c r="C24" s="152" t="s">
        <v>72</v>
      </c>
      <c r="D24" s="161"/>
      <c r="E24" s="153">
        <v>4.5</v>
      </c>
      <c r="F24" s="154">
        <v>3156517.17</v>
      </c>
      <c r="G24" s="154"/>
      <c r="H24" s="155">
        <f t="shared" si="9"/>
        <v>3156517.17</v>
      </c>
      <c r="I24" s="155">
        <f t="shared" si="8"/>
        <v>473477.57549999998</v>
      </c>
      <c r="J24" s="156">
        <f t="shared" si="0"/>
        <v>0</v>
      </c>
      <c r="K24" s="156">
        <f t="shared" si="1"/>
        <v>52487.606699999997</v>
      </c>
      <c r="L24" s="157">
        <v>0</v>
      </c>
      <c r="M24" s="158">
        <f t="shared" si="2"/>
        <v>3682482.17</v>
      </c>
      <c r="N24" s="159">
        <f t="shared" si="3"/>
        <v>3903431.17</v>
      </c>
      <c r="O24" s="160">
        <f t="shared" si="4"/>
        <v>3792956.17</v>
      </c>
      <c r="P24" s="51">
        <f t="shared" si="6"/>
        <v>0.17</v>
      </c>
    </row>
    <row r="25" spans="1:18" ht="17.100000000000001" customHeight="1" x14ac:dyDescent="0.25">
      <c r="A25" s="60" t="s">
        <v>17</v>
      </c>
      <c r="B25" s="68">
        <f t="shared" si="5"/>
        <v>18</v>
      </c>
      <c r="C25" s="68" t="s">
        <v>64</v>
      </c>
      <c r="D25" s="68"/>
      <c r="E25" s="87">
        <v>2.8</v>
      </c>
      <c r="F25" s="79">
        <v>121012.18</v>
      </c>
      <c r="G25" s="79">
        <f>F25</f>
        <v>121012.18</v>
      </c>
      <c r="H25" s="96">
        <f t="shared" si="9"/>
        <v>0</v>
      </c>
      <c r="I25" s="96">
        <f t="shared" si="8"/>
        <v>0</v>
      </c>
      <c r="J25" s="146">
        <f t="shared" si="0"/>
        <v>0</v>
      </c>
      <c r="K25" s="146">
        <f t="shared" si="1"/>
        <v>32658.955279999998</v>
      </c>
      <c r="L25" s="147">
        <v>0</v>
      </c>
      <c r="M25" s="148">
        <f t="shared" si="2"/>
        <v>32659.18</v>
      </c>
      <c r="N25" s="149">
        <f t="shared" si="3"/>
        <v>34619.18</v>
      </c>
      <c r="O25" s="150">
        <f t="shared" si="4"/>
        <v>33639.18</v>
      </c>
      <c r="P25" s="51">
        <f t="shared" si="6"/>
        <v>0.18000000000000002</v>
      </c>
    </row>
    <row r="26" spans="1:18" ht="17.100000000000001" customHeight="1" x14ac:dyDescent="0.25">
      <c r="A26" s="60" t="s">
        <v>17</v>
      </c>
      <c r="B26" s="68">
        <f t="shared" si="5"/>
        <v>19</v>
      </c>
      <c r="C26" s="68" t="s">
        <v>73</v>
      </c>
      <c r="D26" s="86"/>
      <c r="E26" s="87">
        <v>2.8</v>
      </c>
      <c r="F26" s="79">
        <v>996488.19</v>
      </c>
      <c r="G26" s="79"/>
      <c r="H26" s="96">
        <f t="shared" si="9"/>
        <v>996488.19</v>
      </c>
      <c r="I26" s="96">
        <f t="shared" si="8"/>
        <v>149473.2285</v>
      </c>
      <c r="J26" s="146">
        <f t="shared" si="0"/>
        <v>0</v>
      </c>
      <c r="K26" s="146">
        <f t="shared" si="1"/>
        <v>32658.955279999998</v>
      </c>
      <c r="L26" s="147">
        <v>0</v>
      </c>
      <c r="M26" s="148">
        <f t="shared" si="2"/>
        <v>1178620.19</v>
      </c>
      <c r="N26" s="149">
        <f t="shared" si="3"/>
        <v>1249337.19</v>
      </c>
      <c r="O26" s="150">
        <f t="shared" si="4"/>
        <v>1213979.19</v>
      </c>
      <c r="P26" s="51">
        <f t="shared" si="6"/>
        <v>0.19000000000000003</v>
      </c>
    </row>
    <row r="27" spans="1:18" ht="17.100000000000001" customHeight="1" x14ac:dyDescent="0.25">
      <c r="A27" s="60" t="s">
        <v>18</v>
      </c>
      <c r="B27" s="68">
        <f t="shared" si="5"/>
        <v>20</v>
      </c>
      <c r="C27" s="68" t="s">
        <v>62</v>
      </c>
      <c r="D27" s="68"/>
      <c r="E27" s="87">
        <v>2.8</v>
      </c>
      <c r="F27" s="79">
        <v>67275.199999999997</v>
      </c>
      <c r="G27" s="79"/>
      <c r="H27" s="96">
        <f t="shared" si="9"/>
        <v>67275.199999999997</v>
      </c>
      <c r="I27" s="96">
        <f t="shared" si="8"/>
        <v>10091.279999999999</v>
      </c>
      <c r="J27" s="146">
        <f t="shared" si="0"/>
        <v>0</v>
      </c>
      <c r="K27" s="146">
        <f t="shared" si="1"/>
        <v>32658.955279999998</v>
      </c>
      <c r="L27" s="147">
        <v>0</v>
      </c>
      <c r="M27" s="148">
        <f t="shared" si="2"/>
        <v>110025.2</v>
      </c>
      <c r="N27" s="149">
        <f t="shared" si="3"/>
        <v>116627.2</v>
      </c>
      <c r="O27" s="150">
        <f t="shared" si="4"/>
        <v>113326.2</v>
      </c>
      <c r="P27" s="51">
        <f t="shared" si="6"/>
        <v>0.20000000000000004</v>
      </c>
    </row>
    <row r="28" spans="1:18" ht="17.100000000000001" customHeight="1" x14ac:dyDescent="0.25">
      <c r="A28" s="60" t="s">
        <v>19</v>
      </c>
      <c r="B28" s="152">
        <f t="shared" si="5"/>
        <v>21</v>
      </c>
      <c r="C28" s="152" t="s">
        <v>65</v>
      </c>
      <c r="D28" s="161"/>
      <c r="E28" s="153">
        <v>3</v>
      </c>
      <c r="F28" s="154">
        <v>2646682.21</v>
      </c>
      <c r="G28" s="154">
        <v>0</v>
      </c>
      <c r="H28" s="155">
        <f t="shared" si="9"/>
        <v>2646682.21</v>
      </c>
      <c r="I28" s="155">
        <f t="shared" si="8"/>
        <v>397002.33149999997</v>
      </c>
      <c r="J28" s="156">
        <f t="shared" si="0"/>
        <v>0</v>
      </c>
      <c r="K28" s="156">
        <f t="shared" si="1"/>
        <v>34991.737800000003</v>
      </c>
      <c r="L28" s="157">
        <v>0</v>
      </c>
      <c r="M28" s="158">
        <f t="shared" si="2"/>
        <v>3078676.21</v>
      </c>
      <c r="N28" s="159">
        <f t="shared" si="3"/>
        <v>3263397.21</v>
      </c>
      <c r="O28" s="160">
        <f t="shared" si="4"/>
        <v>3171036.21</v>
      </c>
      <c r="P28" s="51">
        <f t="shared" si="6"/>
        <v>0.21000000000000005</v>
      </c>
    </row>
    <row r="29" spans="1:18" ht="17.100000000000001" customHeight="1" x14ac:dyDescent="0.25">
      <c r="A29" s="60" t="s">
        <v>20</v>
      </c>
      <c r="B29" s="152">
        <f t="shared" si="5"/>
        <v>22</v>
      </c>
      <c r="C29" s="152" t="s">
        <v>65</v>
      </c>
      <c r="D29" s="161"/>
      <c r="E29" s="153">
        <v>4.0999999999999996</v>
      </c>
      <c r="F29" s="154">
        <v>3617133.22</v>
      </c>
      <c r="G29" s="154">
        <v>0</v>
      </c>
      <c r="H29" s="155">
        <f t="shared" si="9"/>
        <v>3617133.22</v>
      </c>
      <c r="I29" s="155">
        <f t="shared" si="8"/>
        <v>542569.98300000001</v>
      </c>
      <c r="J29" s="156">
        <f t="shared" si="0"/>
        <v>0</v>
      </c>
      <c r="K29" s="156">
        <f t="shared" si="1"/>
        <v>47822.041659999995</v>
      </c>
      <c r="L29" s="157">
        <v>0</v>
      </c>
      <c r="M29" s="158">
        <f t="shared" si="2"/>
        <v>4207525.22</v>
      </c>
      <c r="N29" s="159">
        <f t="shared" si="3"/>
        <v>4459977.22</v>
      </c>
      <c r="O29" s="160">
        <f t="shared" si="4"/>
        <v>4333751.22</v>
      </c>
      <c r="P29" s="51">
        <f t="shared" si="6"/>
        <v>0.22000000000000006</v>
      </c>
    </row>
    <row r="30" spans="1:18" ht="17.100000000000001" customHeight="1" x14ac:dyDescent="0.25">
      <c r="A30" s="5" t="s">
        <v>21</v>
      </c>
      <c r="B30" s="69">
        <f t="shared" si="5"/>
        <v>23</v>
      </c>
      <c r="C30" s="69" t="s">
        <v>74</v>
      </c>
      <c r="D30" s="70"/>
      <c r="E30" s="128">
        <v>5.0999999999999996</v>
      </c>
      <c r="F30" s="78">
        <v>1914476.23</v>
      </c>
      <c r="G30" s="79"/>
      <c r="H30" s="80">
        <f t="shared" si="9"/>
        <v>1914476.23</v>
      </c>
      <c r="I30" s="80">
        <f t="shared" si="8"/>
        <v>287171.43449999997</v>
      </c>
      <c r="J30" s="127">
        <f t="shared" si="0"/>
        <v>0</v>
      </c>
      <c r="K30" s="127">
        <f t="shared" si="1"/>
        <v>59485.954259999999</v>
      </c>
      <c r="L30" s="82">
        <v>0</v>
      </c>
      <c r="M30" s="83">
        <f t="shared" si="2"/>
        <v>2261134.23</v>
      </c>
      <c r="N30" s="84">
        <f t="shared" si="3"/>
        <v>2396802.23</v>
      </c>
      <c r="O30" s="85">
        <f t="shared" si="4"/>
        <v>2328968.23</v>
      </c>
      <c r="P30" s="51">
        <f t="shared" si="6"/>
        <v>0.23000000000000007</v>
      </c>
    </row>
    <row r="31" spans="1:18" ht="17.100000000000001" customHeight="1" x14ac:dyDescent="0.25">
      <c r="A31" s="5" t="s">
        <v>24</v>
      </c>
      <c r="B31" s="152">
        <f t="shared" si="5"/>
        <v>24</v>
      </c>
      <c r="C31" s="152" t="s">
        <v>65</v>
      </c>
      <c r="D31" s="161"/>
      <c r="E31" s="153">
        <v>5.9</v>
      </c>
      <c r="F31" s="154">
        <v>5205141.24</v>
      </c>
      <c r="G31" s="154">
        <v>0</v>
      </c>
      <c r="H31" s="155">
        <f t="shared" si="9"/>
        <v>5205141.24</v>
      </c>
      <c r="I31" s="155">
        <f t="shared" si="8"/>
        <v>780771.18599999999</v>
      </c>
      <c r="J31" s="156">
        <f t="shared" si="0"/>
        <v>0</v>
      </c>
      <c r="K31" s="156">
        <f t="shared" si="1"/>
        <v>68817.084340000001</v>
      </c>
      <c r="L31" s="157">
        <v>0</v>
      </c>
      <c r="M31" s="158">
        <f t="shared" si="2"/>
        <v>6054730.2400000002</v>
      </c>
      <c r="N31" s="159">
        <f t="shared" si="3"/>
        <v>6418014.2400000002</v>
      </c>
      <c r="O31" s="160">
        <f t="shared" si="4"/>
        <v>6236372.2400000002</v>
      </c>
      <c r="P31" s="51">
        <f t="shared" si="6"/>
        <v>0.24000000000000007</v>
      </c>
    </row>
    <row r="32" spans="1:18" ht="17.100000000000001" customHeight="1" x14ac:dyDescent="0.25">
      <c r="A32" s="5" t="s">
        <v>24</v>
      </c>
      <c r="B32" s="69">
        <f t="shared" si="5"/>
        <v>25</v>
      </c>
      <c r="C32" s="69" t="s">
        <v>75</v>
      </c>
      <c r="D32" s="69"/>
      <c r="E32" s="128">
        <v>5.5</v>
      </c>
      <c r="F32" s="79">
        <v>132147.25</v>
      </c>
      <c r="G32" s="79" t="s">
        <v>76</v>
      </c>
      <c r="H32" s="80"/>
      <c r="I32" s="80">
        <f t="shared" si="8"/>
        <v>0</v>
      </c>
      <c r="J32" s="127">
        <f t="shared" si="0"/>
        <v>0</v>
      </c>
      <c r="K32" s="127">
        <f t="shared" si="1"/>
        <v>64151.5193</v>
      </c>
      <c r="L32" s="82">
        <v>0</v>
      </c>
      <c r="M32" s="131">
        <f t="shared" si="2"/>
        <v>64152.25</v>
      </c>
      <c r="N32" s="132">
        <f t="shared" si="3"/>
        <v>68001.25</v>
      </c>
      <c r="O32" s="79" t="s">
        <v>76</v>
      </c>
      <c r="P32" s="51">
        <f t="shared" si="6"/>
        <v>0.25000000000000006</v>
      </c>
    </row>
    <row r="33" spans="1:17" ht="17.100000000000001" customHeight="1" x14ac:dyDescent="0.25">
      <c r="A33" s="5" t="s">
        <v>24</v>
      </c>
      <c r="B33" s="152">
        <f t="shared" si="5"/>
        <v>26</v>
      </c>
      <c r="C33" s="152" t="s">
        <v>67</v>
      </c>
      <c r="D33" s="152"/>
      <c r="E33" s="153">
        <v>6.1</v>
      </c>
      <c r="F33" s="154">
        <v>5779884.2599999998</v>
      </c>
      <c r="G33" s="154">
        <v>0</v>
      </c>
      <c r="H33" s="155">
        <f>F33-G33</f>
        <v>5779884.2599999998</v>
      </c>
      <c r="I33" s="155">
        <f t="shared" si="8"/>
        <v>866982.63899999997</v>
      </c>
      <c r="J33" s="156">
        <f t="shared" si="0"/>
        <v>0</v>
      </c>
      <c r="K33" s="156">
        <f t="shared" si="1"/>
        <v>71149.866859999995</v>
      </c>
      <c r="L33" s="157">
        <v>0</v>
      </c>
      <c r="M33" s="158">
        <f t="shared" si="2"/>
        <v>6718017.2599999998</v>
      </c>
      <c r="N33" s="159">
        <f t="shared" si="3"/>
        <v>7121098.2599999998</v>
      </c>
      <c r="O33" s="160">
        <f t="shared" si="4"/>
        <v>6919558.2599999998</v>
      </c>
      <c r="P33" s="129">
        <f t="shared" si="6"/>
        <v>0.26000000000000006</v>
      </c>
      <c r="Q33" s="130"/>
    </row>
    <row r="34" spans="1:17" ht="17.100000000000001" customHeight="1" thickBot="1" x14ac:dyDescent="0.3">
      <c r="A34" s="5" t="s">
        <v>24</v>
      </c>
      <c r="B34" s="69"/>
      <c r="C34" s="69"/>
      <c r="D34" s="70"/>
      <c r="E34" s="77"/>
      <c r="F34" s="78"/>
      <c r="G34" s="79"/>
      <c r="H34" s="80"/>
      <c r="I34" s="80"/>
      <c r="J34" s="81"/>
      <c r="K34" s="81"/>
      <c r="L34" s="82"/>
      <c r="M34" s="83"/>
      <c r="N34" s="84"/>
      <c r="O34" s="85"/>
      <c r="P34" s="51"/>
    </row>
    <row r="35" spans="1:17" ht="17.100000000000001" customHeight="1" thickBot="1" x14ac:dyDescent="0.3">
      <c r="B35" s="88"/>
      <c r="C35" s="89"/>
      <c r="D35" s="89"/>
      <c r="E35" s="90">
        <f>SUM(E8:E34)</f>
        <v>99.999999999999972</v>
      </c>
      <c r="F35" s="61">
        <f>SUM(F8:F34)</f>
        <v>33979187.509999998</v>
      </c>
      <c r="G35" s="66">
        <f>SUM(G8:G34)</f>
        <v>1649630.34</v>
      </c>
      <c r="H35" s="66">
        <f>SUM(H8:H33)</f>
        <v>32062859.709999993</v>
      </c>
      <c r="I35" s="66"/>
      <c r="J35" s="66">
        <f t="shared" ref="J35:O35" si="10">SUM(J8:J34)</f>
        <v>0</v>
      </c>
      <c r="K35" s="61">
        <f t="shared" si="10"/>
        <v>1166391.26</v>
      </c>
      <c r="L35" s="66">
        <f t="shared" si="10"/>
        <v>0</v>
      </c>
      <c r="M35" s="91">
        <f t="shared" si="10"/>
        <v>38295222.509999998</v>
      </c>
      <c r="N35" s="91">
        <f t="shared" si="10"/>
        <v>40592938.509999998</v>
      </c>
      <c r="O35" s="91">
        <f t="shared" si="10"/>
        <v>39310726.049999997</v>
      </c>
    </row>
    <row r="36" spans="1:17" ht="12.75" customHeight="1" x14ac:dyDescent="0.25">
      <c r="C36" s="58"/>
      <c r="D36" s="58"/>
    </row>
    <row r="37" spans="1:17" hidden="1" x14ac:dyDescent="0.25"/>
    <row r="38" spans="1:17" ht="9" customHeight="1" x14ac:dyDescent="0.25">
      <c r="C38" s="191" t="s">
        <v>91</v>
      </c>
      <c r="D38" s="191"/>
      <c r="E38" s="191"/>
      <c r="F38" s="191"/>
      <c r="G38" s="191"/>
      <c r="H38" s="191"/>
      <c r="I38" s="191"/>
      <c r="J38" s="191"/>
      <c r="K38" s="191"/>
      <c r="L38" s="191"/>
      <c r="M38" s="191"/>
    </row>
    <row r="39" spans="1:17" ht="12" hidden="1" customHeight="1" x14ac:dyDescent="0.25">
      <c r="C39" s="191"/>
      <c r="D39" s="191"/>
      <c r="E39" s="191"/>
      <c r="F39" s="191"/>
      <c r="G39" s="191"/>
      <c r="H39" s="191"/>
      <c r="I39" s="191"/>
      <c r="J39" s="191"/>
      <c r="K39" s="191"/>
      <c r="L39" s="191"/>
      <c r="M39" s="191"/>
    </row>
    <row r="40" spans="1:17" ht="12" hidden="1" customHeight="1" x14ac:dyDescent="0.25">
      <c r="C40" s="191"/>
      <c r="D40" s="191"/>
      <c r="E40" s="191"/>
      <c r="F40" s="191"/>
      <c r="G40" s="191"/>
      <c r="H40" s="191"/>
      <c r="I40" s="191"/>
      <c r="J40" s="191"/>
      <c r="K40" s="191"/>
      <c r="L40" s="191"/>
      <c r="M40" s="191"/>
    </row>
    <row r="41" spans="1:17" ht="12" hidden="1" customHeight="1" x14ac:dyDescent="0.25">
      <c r="C41" s="191"/>
      <c r="D41" s="191"/>
      <c r="E41" s="191"/>
      <c r="F41" s="191"/>
      <c r="G41" s="191"/>
      <c r="H41" s="191"/>
      <c r="I41" s="191"/>
      <c r="J41" s="191"/>
      <c r="K41" s="191"/>
      <c r="L41" s="191"/>
      <c r="M41" s="191"/>
    </row>
    <row r="42" spans="1:17" ht="12" hidden="1" customHeight="1" x14ac:dyDescent="0.25">
      <c r="C42" s="191"/>
      <c r="D42" s="191"/>
      <c r="E42" s="191"/>
      <c r="F42" s="191"/>
      <c r="G42" s="191"/>
      <c r="H42" s="191"/>
      <c r="I42" s="191"/>
      <c r="J42" s="191"/>
      <c r="K42" s="191"/>
      <c r="L42" s="191"/>
      <c r="M42" s="191"/>
    </row>
    <row r="43" spans="1:17" ht="70.5" customHeight="1" x14ac:dyDescent="0.25">
      <c r="C43" s="191"/>
      <c r="D43" s="191"/>
      <c r="E43" s="191"/>
      <c r="F43" s="191"/>
      <c r="G43" s="191"/>
      <c r="H43" s="191"/>
      <c r="I43" s="191"/>
      <c r="J43" s="191"/>
      <c r="K43" s="191"/>
      <c r="L43" s="191"/>
      <c r="M43" s="191"/>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5B88-8B45-4057-AF50-E99CF1B30302}">
  <dimension ref="C6:C7"/>
  <sheetViews>
    <sheetView workbookViewId="0">
      <selection activeCell="C6" sqref="C6:C7"/>
    </sheetView>
  </sheetViews>
  <sheetFormatPr baseColWidth="10" defaultRowHeight="15" x14ac:dyDescent="0.25"/>
  <sheetData>
    <row r="6" spans="3:3" x14ac:dyDescent="0.25">
      <c r="C6" s="130"/>
    </row>
    <row r="7" spans="3:3" x14ac:dyDescent="0.25">
      <c r="C7" s="1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2026-10-03T22:32:25Z</cp:lastPrinted>
  <dcterms:created xsi:type="dcterms:W3CDTF">2023-09-17T12:29:07Z</dcterms:created>
  <dcterms:modified xsi:type="dcterms:W3CDTF">2026-10-03T22:32:30Z</dcterms:modified>
</cp:coreProperties>
</file>