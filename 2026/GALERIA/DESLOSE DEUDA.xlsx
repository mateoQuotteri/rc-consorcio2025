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6\GALERIA\"/>
    </mc:Choice>
  </mc:AlternateContent>
  <xr:revisionPtr revIDLastSave="0" documentId="13_ncr:1_{C7597A93-CD17-42B6-826E-E22C930A0D45}" xr6:coauthVersionLast="47" xr6:coauthVersionMax="47" xr10:uidLastSave="{00000000-0000-0000-0000-000000000000}"/>
  <bookViews>
    <workbookView xWindow="-108" yWindow="-108" windowWidth="23256" windowHeight="12576" xr2:uid="{8F1AF50A-3D5A-4AA7-9C02-0BC7EBCDB2F5}"/>
  </bookViews>
  <sheets>
    <sheet name="Hoja1" sheetId="1" r:id="rId1"/>
  </sheets>
  <definedNames>
    <definedName name="_xlnm.Print_Area" localSheetId="0">Hoja1!$D$4:$H$141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6" i="1" l="1"/>
  <c r="H133" i="1"/>
  <c r="H130" i="1"/>
  <c r="H127" i="1"/>
  <c r="G138" i="1"/>
  <c r="D138" i="1"/>
  <c r="D136" i="1" l="1"/>
  <c r="D133" i="1"/>
  <c r="D130" i="1"/>
  <c r="D127" i="1"/>
  <c r="H124" i="1"/>
  <c r="H121" i="1" l="1"/>
  <c r="H118" i="1"/>
  <c r="H115" i="1"/>
  <c r="H112" i="1"/>
  <c r="H109" i="1"/>
  <c r="H97" i="1"/>
  <c r="H94" i="1"/>
  <c r="H91" i="1"/>
  <c r="H88" i="1"/>
  <c r="H85" i="1"/>
  <c r="H82" i="1"/>
  <c r="H79" i="1"/>
  <c r="H76" i="1"/>
  <c r="H73" i="1"/>
  <c r="H70" i="1"/>
  <c r="H67" i="1"/>
  <c r="H64" i="1"/>
  <c r="H61" i="1"/>
  <c r="H58" i="1"/>
  <c r="H55" i="1"/>
  <c r="H52" i="1"/>
  <c r="H49" i="1"/>
  <c r="H46" i="1"/>
  <c r="H43" i="1"/>
  <c r="H40" i="1"/>
  <c r="H37" i="1"/>
  <c r="H34" i="1"/>
  <c r="H31" i="1"/>
  <c r="H28" i="1"/>
  <c r="H25" i="1"/>
  <c r="H22" i="1"/>
  <c r="H19" i="1"/>
  <c r="H16" i="1"/>
  <c r="H13" i="1"/>
  <c r="H10" i="1"/>
  <c r="H8" i="1"/>
  <c r="E106" i="1" l="1"/>
  <c r="H106" i="1" l="1"/>
  <c r="D13" i="1"/>
  <c r="D16" i="1" s="1"/>
  <c r="D19" i="1" s="1"/>
  <c r="D22" i="1" s="1"/>
  <c r="D25" i="1" s="1"/>
  <c r="D28" i="1" s="1"/>
  <c r="D31" i="1" s="1"/>
  <c r="D34" i="1" s="1"/>
  <c r="D37" i="1" s="1"/>
  <c r="D40" i="1" s="1"/>
  <c r="D43" i="1" s="1"/>
  <c r="D46" i="1" s="1"/>
  <c r="D49" i="1" s="1"/>
  <c r="D52" i="1" s="1"/>
  <c r="D55" i="1" s="1"/>
  <c r="D58" i="1" s="1"/>
  <c r="D61" i="1" s="1"/>
  <c r="D64" i="1" s="1"/>
  <c r="D67" i="1" s="1"/>
  <c r="D70" i="1" s="1"/>
  <c r="D73" i="1" s="1"/>
  <c r="D76" i="1" s="1"/>
  <c r="D79" i="1" s="1"/>
  <c r="D82" i="1" s="1"/>
  <c r="D85" i="1" s="1"/>
  <c r="D88" i="1" s="1"/>
  <c r="D91" i="1" s="1"/>
  <c r="D94" i="1" s="1"/>
  <c r="D97" i="1" s="1"/>
  <c r="D100" i="1" s="1"/>
  <c r="D103" i="1" s="1"/>
  <c r="D112" i="1" s="1"/>
  <c r="D115" i="1" s="1"/>
  <c r="D118" i="1" s="1"/>
  <c r="D121" i="1" s="1"/>
  <c r="D124" i="1" s="1"/>
  <c r="G141" i="1" l="1"/>
</calcChain>
</file>

<file path=xl/sharedStrings.xml><?xml version="1.0" encoding="utf-8"?>
<sst xmlns="http://schemas.openxmlformats.org/spreadsheetml/2006/main" count="96" uniqueCount="10">
  <si>
    <t>Mes:</t>
  </si>
  <si>
    <t>Expensas:</t>
  </si>
  <si>
    <t>Expensas Extra.</t>
  </si>
  <si>
    <t>Inicio deuda pre-octubre 2022 - Convenio No pago:</t>
  </si>
  <si>
    <t>Abril - Mayo - Junio 2025</t>
  </si>
  <si>
    <t>Interes - 15% Mensual</t>
  </si>
  <si>
    <t>Desglose de Deuda - UF nro. 3 - Propietario: VAZQUEZ PALLARES, JUAN</t>
  </si>
  <si>
    <t>TOTAL EXPENSAS</t>
  </si>
  <si>
    <t>TOTAL PUNITORIOS</t>
  </si>
  <si>
    <t>TOTAL (EXPENSAS + PUNITORIOS):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</si>
</sst>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4" xfId="0" applyBorder="1"/>
    <xf numFmtId="0" fontId="0" fillId="0" borderId="5" xfId="0" applyBorder="1"/>
    <xf numFmtId="44" fontId="0" fillId="0" borderId="0" xfId="1" applyFont="1" applyBorder="1"/>
    <xf numFmtId="44" fontId="0" fillId="0" borderId="5" xfId="0" applyNumberFormat="1" applyBorder="1"/>
    <xf numFmtId="17" fontId="0" fillId="0" borderId="4" xfId="0" applyNumberFormat="1" applyBorder="1"/>
    <xf numFmtId="17" fontId="0" fillId="0" borderId="4" xfId="0" applyNumberFormat="1" applyBorder="1" applyAlignment="1">
      <alignment vertical="center" wrapText="1"/>
    </xf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44" fontId="3" fillId="5" borderId="2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D908-669A-45B6-A771-84DC3A3FD613}">
  <dimension ref="C3:H141"/>
  <sheetViews>
    <sheetView tabSelected="1" topLeftCell="A120" workbookViewId="0">
      <selection activeCell="J134" sqref="J134"/>
    </sheetView>
  </sheetViews>
  <sheetFormatPr baseColWidth="10" defaultRowHeight="14.4" x14ac:dyDescent="0.3"/>
  <cols>
    <col min="2" max="2" width="0.88671875" customWidth="1"/>
    <col min="3" max="3" width="11.5546875" hidden="1" customWidth="1"/>
    <col min="5" max="5" width="13" customWidth="1"/>
    <col min="6" max="6" width="14.109375" customWidth="1"/>
    <col min="8" max="8" width="25" customWidth="1"/>
  </cols>
  <sheetData>
    <row r="3" spans="4:8" ht="15" thickBot="1" x14ac:dyDescent="0.35"/>
    <row r="4" spans="4:8" ht="16.2" thickBot="1" x14ac:dyDescent="0.35">
      <c r="D4" s="12" t="s">
        <v>6</v>
      </c>
      <c r="E4" s="13"/>
      <c r="F4" s="13"/>
      <c r="G4" s="13"/>
      <c r="H4" s="14"/>
    </row>
    <row r="5" spans="4:8" x14ac:dyDescent="0.3">
      <c r="D5" s="1"/>
      <c r="H5" s="2"/>
    </row>
    <row r="6" spans="4:8" x14ac:dyDescent="0.3">
      <c r="D6" s="1"/>
      <c r="H6" s="2"/>
    </row>
    <row r="7" spans="4:8" x14ac:dyDescent="0.3">
      <c r="D7" s="1" t="s">
        <v>3</v>
      </c>
      <c r="H7" s="2" t="s">
        <v>5</v>
      </c>
    </row>
    <row r="8" spans="4:8" x14ac:dyDescent="0.3">
      <c r="D8" s="1"/>
      <c r="E8" s="3">
        <v>57536</v>
      </c>
      <c r="H8" s="4">
        <f>E8*15%</f>
        <v>8630.4</v>
      </c>
    </row>
    <row r="9" spans="4:8" x14ac:dyDescent="0.3">
      <c r="D9" s="1" t="s">
        <v>0</v>
      </c>
      <c r="E9" t="s">
        <v>1</v>
      </c>
      <c r="H9" s="2"/>
    </row>
    <row r="10" spans="4:8" x14ac:dyDescent="0.3">
      <c r="D10" s="5">
        <v>44835</v>
      </c>
      <c r="E10" s="3">
        <v>8400</v>
      </c>
      <c r="H10" s="4">
        <f>E10*15%</f>
        <v>1260</v>
      </c>
    </row>
    <row r="11" spans="4:8" x14ac:dyDescent="0.3">
      <c r="D11" s="1"/>
      <c r="E11" s="3"/>
      <c r="H11" s="2"/>
    </row>
    <row r="12" spans="4:8" x14ac:dyDescent="0.3">
      <c r="D12" s="1" t="s">
        <v>0</v>
      </c>
      <c r="E12" s="3" t="s">
        <v>1</v>
      </c>
      <c r="H12" s="2"/>
    </row>
    <row r="13" spans="4:8" x14ac:dyDescent="0.3">
      <c r="D13" s="5">
        <f>D10+31</f>
        <v>44866</v>
      </c>
      <c r="E13" s="3">
        <v>8400</v>
      </c>
      <c r="H13" s="4">
        <f>E13*15%</f>
        <v>1260</v>
      </c>
    </row>
    <row r="14" spans="4:8" x14ac:dyDescent="0.3">
      <c r="D14" s="1"/>
      <c r="E14" s="3"/>
      <c r="H14" s="2"/>
    </row>
    <row r="15" spans="4:8" x14ac:dyDescent="0.3">
      <c r="D15" s="1" t="s">
        <v>0</v>
      </c>
      <c r="E15" s="3" t="s">
        <v>1</v>
      </c>
      <c r="H15" s="2"/>
    </row>
    <row r="16" spans="4:8" x14ac:dyDescent="0.3">
      <c r="D16" s="5">
        <f>D13+31</f>
        <v>44897</v>
      </c>
      <c r="E16" s="3">
        <v>10800</v>
      </c>
      <c r="H16" s="4">
        <f>E16*15%</f>
        <v>1620</v>
      </c>
    </row>
    <row r="17" spans="4:8" x14ac:dyDescent="0.3">
      <c r="D17" s="1"/>
      <c r="E17" s="3"/>
      <c r="H17" s="2"/>
    </row>
    <row r="18" spans="4:8" x14ac:dyDescent="0.3">
      <c r="D18" s="1" t="s">
        <v>0</v>
      </c>
      <c r="E18" s="3" t="s">
        <v>1</v>
      </c>
      <c r="H18" s="2"/>
    </row>
    <row r="19" spans="4:8" x14ac:dyDescent="0.3">
      <c r="D19" s="5">
        <f>D16+31</f>
        <v>44928</v>
      </c>
      <c r="E19" s="3">
        <v>15680</v>
      </c>
      <c r="H19" s="4">
        <f>E19*15%</f>
        <v>2352</v>
      </c>
    </row>
    <row r="20" spans="4:8" x14ac:dyDescent="0.3">
      <c r="D20" s="1"/>
      <c r="E20" s="3"/>
      <c r="H20" s="2"/>
    </row>
    <row r="21" spans="4:8" x14ac:dyDescent="0.3">
      <c r="D21" s="1" t="s">
        <v>0</v>
      </c>
      <c r="E21" s="3" t="s">
        <v>1</v>
      </c>
      <c r="H21" s="2"/>
    </row>
    <row r="22" spans="4:8" x14ac:dyDescent="0.3">
      <c r="D22" s="5">
        <f>D19+31</f>
        <v>44959</v>
      </c>
      <c r="E22" s="3">
        <v>21280</v>
      </c>
      <c r="H22" s="4">
        <f>E22*15%</f>
        <v>3192</v>
      </c>
    </row>
    <row r="23" spans="4:8" x14ac:dyDescent="0.3">
      <c r="D23" s="1"/>
      <c r="E23" s="3"/>
      <c r="H23" s="2"/>
    </row>
    <row r="24" spans="4:8" x14ac:dyDescent="0.3">
      <c r="D24" s="1" t="s">
        <v>0</v>
      </c>
      <c r="E24" s="3" t="s">
        <v>1</v>
      </c>
      <c r="H24" s="2"/>
    </row>
    <row r="25" spans="4:8" x14ac:dyDescent="0.3">
      <c r="D25" s="5">
        <f>D22+31</f>
        <v>44990</v>
      </c>
      <c r="E25" s="3">
        <v>21280</v>
      </c>
      <c r="H25" s="4">
        <f>E25*15%</f>
        <v>3192</v>
      </c>
    </row>
    <row r="26" spans="4:8" x14ac:dyDescent="0.3">
      <c r="D26" s="1"/>
      <c r="E26" s="3"/>
      <c r="H26" s="2"/>
    </row>
    <row r="27" spans="4:8" x14ac:dyDescent="0.3">
      <c r="D27" s="1" t="s">
        <v>0</v>
      </c>
      <c r="E27" s="3" t="s">
        <v>1</v>
      </c>
      <c r="H27" s="2"/>
    </row>
    <row r="28" spans="4:8" x14ac:dyDescent="0.3">
      <c r="D28" s="5">
        <f t="shared" ref="D28" si="0">D25+31</f>
        <v>45021</v>
      </c>
      <c r="E28" s="3">
        <v>21280</v>
      </c>
      <c r="H28" s="4">
        <f>E28*15%</f>
        <v>3192</v>
      </c>
    </row>
    <row r="29" spans="4:8" x14ac:dyDescent="0.3">
      <c r="D29" s="1"/>
      <c r="E29" s="3"/>
      <c r="H29" s="2"/>
    </row>
    <row r="30" spans="4:8" x14ac:dyDescent="0.3">
      <c r="D30" s="1" t="s">
        <v>0</v>
      </c>
      <c r="E30" s="3" t="s">
        <v>1</v>
      </c>
      <c r="H30" s="2"/>
    </row>
    <row r="31" spans="4:8" x14ac:dyDescent="0.3">
      <c r="D31" s="5">
        <f t="shared" ref="D31" si="1">D28+31</f>
        <v>45052</v>
      </c>
      <c r="E31" s="3">
        <v>25200</v>
      </c>
      <c r="H31" s="4">
        <f>E31*15%</f>
        <v>3780</v>
      </c>
    </row>
    <row r="32" spans="4:8" x14ac:dyDescent="0.3">
      <c r="D32" s="1"/>
      <c r="E32" s="3"/>
      <c r="H32" s="2"/>
    </row>
    <row r="33" spans="4:8" x14ac:dyDescent="0.3">
      <c r="D33" s="1" t="s">
        <v>0</v>
      </c>
      <c r="E33" s="3" t="s">
        <v>1</v>
      </c>
      <c r="H33" s="2"/>
    </row>
    <row r="34" spans="4:8" x14ac:dyDescent="0.3">
      <c r="D34" s="5">
        <f t="shared" ref="D34" si="2">D31+31</f>
        <v>45083</v>
      </c>
      <c r="E34" s="3">
        <v>25200</v>
      </c>
      <c r="H34" s="4">
        <f>E34*15%</f>
        <v>3780</v>
      </c>
    </row>
    <row r="35" spans="4:8" x14ac:dyDescent="0.3">
      <c r="D35" s="1"/>
      <c r="E35" s="3"/>
      <c r="H35" s="2"/>
    </row>
    <row r="36" spans="4:8" x14ac:dyDescent="0.3">
      <c r="D36" s="1" t="s">
        <v>0</v>
      </c>
      <c r="E36" s="3" t="s">
        <v>1</v>
      </c>
      <c r="H36" s="2"/>
    </row>
    <row r="37" spans="4:8" x14ac:dyDescent="0.3">
      <c r="D37" s="5">
        <f t="shared" ref="D37" si="3">D34+31</f>
        <v>45114</v>
      </c>
      <c r="E37" s="3">
        <v>25200</v>
      </c>
      <c r="H37" s="4">
        <f>E37*15%</f>
        <v>3780</v>
      </c>
    </row>
    <row r="38" spans="4:8" x14ac:dyDescent="0.3">
      <c r="D38" s="1"/>
      <c r="E38" s="3"/>
      <c r="H38" s="2"/>
    </row>
    <row r="39" spans="4:8" x14ac:dyDescent="0.3">
      <c r="D39" s="1" t="s">
        <v>0</v>
      </c>
      <c r="E39" s="3" t="s">
        <v>1</v>
      </c>
      <c r="H39" s="2"/>
    </row>
    <row r="40" spans="4:8" x14ac:dyDescent="0.3">
      <c r="D40" s="5">
        <f t="shared" ref="D40" si="4">D37+31</f>
        <v>45145</v>
      </c>
      <c r="E40" s="3">
        <v>25200</v>
      </c>
      <c r="H40" s="4">
        <f>E40*15%</f>
        <v>3780</v>
      </c>
    </row>
    <row r="41" spans="4:8" x14ac:dyDescent="0.3">
      <c r="D41" s="1"/>
      <c r="E41" s="3"/>
      <c r="H41" s="2"/>
    </row>
    <row r="42" spans="4:8" x14ac:dyDescent="0.3">
      <c r="D42" s="1" t="s">
        <v>0</v>
      </c>
      <c r="E42" s="3" t="s">
        <v>1</v>
      </c>
      <c r="H42" s="2"/>
    </row>
    <row r="43" spans="4:8" x14ac:dyDescent="0.3">
      <c r="D43" s="5">
        <f t="shared" ref="D43" si="5">D40+31</f>
        <v>45176</v>
      </c>
      <c r="E43" s="3">
        <v>25200</v>
      </c>
      <c r="H43" s="4">
        <f>E43*15%</f>
        <v>3780</v>
      </c>
    </row>
    <row r="44" spans="4:8" x14ac:dyDescent="0.3">
      <c r="D44" s="1"/>
      <c r="E44" s="3"/>
      <c r="H44" s="2"/>
    </row>
    <row r="45" spans="4:8" x14ac:dyDescent="0.3">
      <c r="D45" s="1" t="s">
        <v>0</v>
      </c>
      <c r="E45" s="3" t="s">
        <v>1</v>
      </c>
      <c r="H45" s="2"/>
    </row>
    <row r="46" spans="4:8" x14ac:dyDescent="0.3">
      <c r="D46" s="5">
        <f t="shared" ref="D46" si="6">D43+31</f>
        <v>45207</v>
      </c>
      <c r="E46" s="3">
        <v>25200</v>
      </c>
      <c r="H46" s="4">
        <f>E46*15%</f>
        <v>3780</v>
      </c>
    </row>
    <row r="47" spans="4:8" x14ac:dyDescent="0.3">
      <c r="D47" s="1"/>
      <c r="E47" s="3"/>
      <c r="H47" s="2"/>
    </row>
    <row r="48" spans="4:8" x14ac:dyDescent="0.3">
      <c r="D48" s="1" t="s">
        <v>0</v>
      </c>
      <c r="E48" s="3" t="s">
        <v>1</v>
      </c>
      <c r="H48" s="2"/>
    </row>
    <row r="49" spans="4:8" x14ac:dyDescent="0.3">
      <c r="D49" s="5">
        <f t="shared" ref="D49" si="7">D46+31</f>
        <v>45238</v>
      </c>
      <c r="E49" s="3">
        <v>30800</v>
      </c>
      <c r="H49" s="4">
        <f>E49*15%</f>
        <v>4620</v>
      </c>
    </row>
    <row r="50" spans="4:8" x14ac:dyDescent="0.3">
      <c r="D50" s="1"/>
      <c r="E50" s="3"/>
      <c r="H50" s="2"/>
    </row>
    <row r="51" spans="4:8" x14ac:dyDescent="0.3">
      <c r="D51" s="1" t="s">
        <v>0</v>
      </c>
      <c r="E51" s="3" t="s">
        <v>1</v>
      </c>
      <c r="H51" s="2"/>
    </row>
    <row r="52" spans="4:8" x14ac:dyDescent="0.3">
      <c r="D52" s="5">
        <f t="shared" ref="D52" si="8">D49+31</f>
        <v>45269</v>
      </c>
      <c r="E52" s="3">
        <v>36400</v>
      </c>
      <c r="H52" s="4">
        <f>E52*15%</f>
        <v>5460</v>
      </c>
    </row>
    <row r="53" spans="4:8" x14ac:dyDescent="0.3">
      <c r="D53" s="1"/>
      <c r="H53" s="2"/>
    </row>
    <row r="54" spans="4:8" x14ac:dyDescent="0.3">
      <c r="D54" s="1" t="s">
        <v>0</v>
      </c>
      <c r="E54" s="3" t="s">
        <v>1</v>
      </c>
      <c r="H54" s="2"/>
    </row>
    <row r="55" spans="4:8" x14ac:dyDescent="0.3">
      <c r="D55" s="5">
        <f t="shared" ref="D55" si="9">D52+31</f>
        <v>45300</v>
      </c>
      <c r="E55" s="3">
        <v>36400</v>
      </c>
      <c r="H55" s="4">
        <f>E55*15%</f>
        <v>5460</v>
      </c>
    </row>
    <row r="56" spans="4:8" x14ac:dyDescent="0.3">
      <c r="D56" s="1"/>
      <c r="H56" s="2"/>
    </row>
    <row r="57" spans="4:8" x14ac:dyDescent="0.3">
      <c r="D57" s="1" t="s">
        <v>0</v>
      </c>
      <c r="E57" s="3" t="s">
        <v>1</v>
      </c>
      <c r="H57" s="2"/>
    </row>
    <row r="58" spans="4:8" x14ac:dyDescent="0.3">
      <c r="D58" s="5">
        <f t="shared" ref="D58" si="10">D55+31</f>
        <v>45331</v>
      </c>
      <c r="E58" s="3">
        <v>43680</v>
      </c>
      <c r="H58" s="4">
        <f>E58*15%</f>
        <v>6552</v>
      </c>
    </row>
    <row r="59" spans="4:8" x14ac:dyDescent="0.3">
      <c r="D59" s="1"/>
      <c r="H59" s="2"/>
    </row>
    <row r="60" spans="4:8" x14ac:dyDescent="0.3">
      <c r="D60" s="1" t="s">
        <v>0</v>
      </c>
      <c r="E60" s="3" t="s">
        <v>1</v>
      </c>
      <c r="H60" s="2"/>
    </row>
    <row r="61" spans="4:8" x14ac:dyDescent="0.3">
      <c r="D61" s="5">
        <f t="shared" ref="D61" si="11">D58+31</f>
        <v>45362</v>
      </c>
      <c r="E61" s="3">
        <v>43680</v>
      </c>
      <c r="H61" s="4">
        <f>E61*15%</f>
        <v>6552</v>
      </c>
    </row>
    <row r="62" spans="4:8" x14ac:dyDescent="0.3">
      <c r="D62" s="1"/>
      <c r="H62" s="2"/>
    </row>
    <row r="63" spans="4:8" x14ac:dyDescent="0.3">
      <c r="D63" s="1" t="s">
        <v>0</v>
      </c>
      <c r="E63" s="3" t="s">
        <v>1</v>
      </c>
      <c r="H63" s="2"/>
    </row>
    <row r="64" spans="4:8" x14ac:dyDescent="0.3">
      <c r="D64" s="5">
        <f t="shared" ref="D64" si="12">D61+31</f>
        <v>45393</v>
      </c>
      <c r="E64" s="3">
        <v>43680</v>
      </c>
      <c r="H64" s="4">
        <f>E64*15%</f>
        <v>6552</v>
      </c>
    </row>
    <row r="65" spans="4:8" x14ac:dyDescent="0.3">
      <c r="D65" s="1"/>
      <c r="H65" s="2"/>
    </row>
    <row r="66" spans="4:8" x14ac:dyDescent="0.3">
      <c r="D66" s="1" t="s">
        <v>0</v>
      </c>
      <c r="E66" s="3" t="s">
        <v>1</v>
      </c>
      <c r="H66" s="2"/>
    </row>
    <row r="67" spans="4:8" x14ac:dyDescent="0.3">
      <c r="D67" s="5">
        <f t="shared" ref="D67" si="13">D64+31</f>
        <v>45424</v>
      </c>
      <c r="E67" s="3">
        <v>43680</v>
      </c>
      <c r="H67" s="4">
        <f>E67*15%</f>
        <v>6552</v>
      </c>
    </row>
    <row r="68" spans="4:8" x14ac:dyDescent="0.3">
      <c r="D68" s="1"/>
      <c r="H68" s="2"/>
    </row>
    <row r="69" spans="4:8" x14ac:dyDescent="0.3">
      <c r="D69" s="1" t="s">
        <v>0</v>
      </c>
      <c r="E69" s="3" t="s">
        <v>1</v>
      </c>
      <c r="H69" s="2"/>
    </row>
    <row r="70" spans="4:8" x14ac:dyDescent="0.3">
      <c r="D70" s="5">
        <f t="shared" ref="D70" si="14">D67+31</f>
        <v>45455</v>
      </c>
      <c r="E70" s="3">
        <v>43680</v>
      </c>
      <c r="H70" s="4">
        <f>E70*15%</f>
        <v>6552</v>
      </c>
    </row>
    <row r="71" spans="4:8" x14ac:dyDescent="0.3">
      <c r="D71" s="1"/>
      <c r="H71" s="2"/>
    </row>
    <row r="72" spans="4:8" x14ac:dyDescent="0.3">
      <c r="D72" s="1" t="s">
        <v>0</v>
      </c>
      <c r="E72" s="3" t="s">
        <v>1</v>
      </c>
      <c r="H72" s="2"/>
    </row>
    <row r="73" spans="4:8" x14ac:dyDescent="0.3">
      <c r="D73" s="5">
        <f t="shared" ref="D73" si="15">D70+31</f>
        <v>45486</v>
      </c>
      <c r="E73" s="3">
        <v>43680</v>
      </c>
      <c r="H73" s="4">
        <f>E73*15%</f>
        <v>6552</v>
      </c>
    </row>
    <row r="74" spans="4:8" x14ac:dyDescent="0.3">
      <c r="D74" s="1"/>
      <c r="H74" s="2"/>
    </row>
    <row r="75" spans="4:8" x14ac:dyDescent="0.3">
      <c r="D75" s="1" t="s">
        <v>0</v>
      </c>
      <c r="E75" s="3" t="s">
        <v>1</v>
      </c>
      <c r="H75" s="2"/>
    </row>
    <row r="76" spans="4:8" x14ac:dyDescent="0.3">
      <c r="D76" s="5">
        <f t="shared" ref="D76" si="16">D73+31</f>
        <v>45517</v>
      </c>
      <c r="E76" s="3">
        <v>43680</v>
      </c>
      <c r="H76" s="4">
        <f>E76*15%</f>
        <v>6552</v>
      </c>
    </row>
    <row r="77" spans="4:8" x14ac:dyDescent="0.3">
      <c r="D77" s="1"/>
      <c r="H77" s="2"/>
    </row>
    <row r="78" spans="4:8" x14ac:dyDescent="0.3">
      <c r="D78" s="1" t="s">
        <v>0</v>
      </c>
      <c r="E78" s="3" t="s">
        <v>1</v>
      </c>
      <c r="F78" t="s">
        <v>2</v>
      </c>
      <c r="H78" s="2"/>
    </row>
    <row r="79" spans="4:8" x14ac:dyDescent="0.3">
      <c r="D79" s="5">
        <f t="shared" ref="D79" si="17">D76+31</f>
        <v>45548</v>
      </c>
      <c r="E79" s="3">
        <v>56000</v>
      </c>
      <c r="F79" s="3">
        <v>56000</v>
      </c>
      <c r="H79" s="4">
        <f>E79*15%+F79*15%</f>
        <v>16800</v>
      </c>
    </row>
    <row r="80" spans="4:8" x14ac:dyDescent="0.3">
      <c r="D80" s="1"/>
      <c r="H80" s="2"/>
    </row>
    <row r="81" spans="4:8" x14ac:dyDescent="0.3">
      <c r="D81" s="1" t="s">
        <v>0</v>
      </c>
      <c r="E81" s="3" t="s">
        <v>1</v>
      </c>
      <c r="F81" t="s">
        <v>2</v>
      </c>
      <c r="H81" s="2"/>
    </row>
    <row r="82" spans="4:8" x14ac:dyDescent="0.3">
      <c r="D82" s="5">
        <f t="shared" ref="D82" si="18">D79+31</f>
        <v>45579</v>
      </c>
      <c r="E82" s="3">
        <v>56000</v>
      </c>
      <c r="F82" s="3">
        <v>56000</v>
      </c>
      <c r="H82" s="4">
        <f>E82*15%+F82*15%</f>
        <v>16800</v>
      </c>
    </row>
    <row r="83" spans="4:8" x14ac:dyDescent="0.3">
      <c r="D83" s="1"/>
      <c r="H83" s="2"/>
    </row>
    <row r="84" spans="4:8" x14ac:dyDescent="0.3">
      <c r="D84" s="1" t="s">
        <v>0</v>
      </c>
      <c r="E84" s="3" t="s">
        <v>1</v>
      </c>
      <c r="F84" t="s">
        <v>2</v>
      </c>
      <c r="H84" s="2"/>
    </row>
    <row r="85" spans="4:8" x14ac:dyDescent="0.3">
      <c r="D85" s="5">
        <f t="shared" ref="D85" si="19">D82+31</f>
        <v>45610</v>
      </c>
      <c r="E85" s="3">
        <v>56000</v>
      </c>
      <c r="F85" s="3">
        <v>56000</v>
      </c>
      <c r="H85" s="4">
        <f>E85*15%+F85*15%</f>
        <v>16800</v>
      </c>
    </row>
    <row r="86" spans="4:8" x14ac:dyDescent="0.3">
      <c r="D86" s="1"/>
      <c r="H86" s="2"/>
    </row>
    <row r="87" spans="4:8" x14ac:dyDescent="0.3">
      <c r="D87" s="1" t="s">
        <v>0</v>
      </c>
      <c r="E87" s="3" t="s">
        <v>1</v>
      </c>
      <c r="H87" s="2"/>
    </row>
    <row r="88" spans="4:8" x14ac:dyDescent="0.3">
      <c r="D88" s="5">
        <f t="shared" ref="D88" si="20">D85+31</f>
        <v>45641</v>
      </c>
      <c r="E88" s="3">
        <v>56000</v>
      </c>
      <c r="H88" s="4">
        <f>E88*15%</f>
        <v>8400</v>
      </c>
    </row>
    <row r="89" spans="4:8" x14ac:dyDescent="0.3">
      <c r="D89" s="1"/>
      <c r="H89" s="2"/>
    </row>
    <row r="90" spans="4:8" x14ac:dyDescent="0.3">
      <c r="D90" s="1" t="s">
        <v>0</v>
      </c>
      <c r="E90" s="3" t="s">
        <v>1</v>
      </c>
      <c r="H90" s="2"/>
    </row>
    <row r="91" spans="4:8" x14ac:dyDescent="0.3">
      <c r="D91" s="5">
        <f t="shared" ref="D91" si="21">D88+31</f>
        <v>45672</v>
      </c>
      <c r="E91" s="3">
        <v>56000</v>
      </c>
      <c r="H91" s="4">
        <f>E91*15%</f>
        <v>8400</v>
      </c>
    </row>
    <row r="92" spans="4:8" x14ac:dyDescent="0.3">
      <c r="D92" s="1"/>
      <c r="H92" s="2"/>
    </row>
    <row r="93" spans="4:8" x14ac:dyDescent="0.3">
      <c r="D93" s="1" t="s">
        <v>0</v>
      </c>
      <c r="E93" s="3" t="s">
        <v>1</v>
      </c>
      <c r="H93" s="2"/>
    </row>
    <row r="94" spans="4:8" x14ac:dyDescent="0.3">
      <c r="D94" s="5">
        <f t="shared" ref="D94" si="22">D91+31</f>
        <v>45703</v>
      </c>
      <c r="E94" s="3">
        <v>84000</v>
      </c>
      <c r="H94" s="4">
        <f>E94*15%</f>
        <v>12600</v>
      </c>
    </row>
    <row r="95" spans="4:8" x14ac:dyDescent="0.3">
      <c r="D95" s="1"/>
      <c r="H95" s="2"/>
    </row>
    <row r="96" spans="4:8" x14ac:dyDescent="0.3">
      <c r="D96" s="1" t="s">
        <v>0</v>
      </c>
      <c r="E96" s="3" t="s">
        <v>1</v>
      </c>
      <c r="H96" s="2"/>
    </row>
    <row r="97" spans="4:8" x14ac:dyDescent="0.3">
      <c r="D97" s="5">
        <f t="shared" ref="D97" si="23">D94+31</f>
        <v>45734</v>
      </c>
      <c r="E97" s="3">
        <v>84000</v>
      </c>
      <c r="H97" s="4">
        <f>E97*15%</f>
        <v>12600</v>
      </c>
    </row>
    <row r="98" spans="4:8" x14ac:dyDescent="0.3">
      <c r="D98" s="1"/>
      <c r="H98" s="2"/>
    </row>
    <row r="99" spans="4:8" hidden="1" x14ac:dyDescent="0.3">
      <c r="D99" s="1" t="s">
        <v>0</v>
      </c>
      <c r="E99" s="3" t="s">
        <v>1</v>
      </c>
      <c r="H99" s="2"/>
    </row>
    <row r="100" spans="4:8" hidden="1" x14ac:dyDescent="0.3">
      <c r="D100" s="5">
        <f t="shared" ref="D100" si="24">D97+31</f>
        <v>45765</v>
      </c>
      <c r="E100" s="3"/>
      <c r="H100" s="2"/>
    </row>
    <row r="101" spans="4:8" hidden="1" x14ac:dyDescent="0.3">
      <c r="D101" s="1"/>
      <c r="H101" s="2"/>
    </row>
    <row r="102" spans="4:8" hidden="1" x14ac:dyDescent="0.3">
      <c r="D102" s="1" t="s">
        <v>0</v>
      </c>
      <c r="E102" s="3" t="s">
        <v>1</v>
      </c>
      <c r="H102" s="2"/>
    </row>
    <row r="103" spans="4:8" hidden="1" x14ac:dyDescent="0.3">
      <c r="D103" s="5">
        <f t="shared" ref="D103" si="25">D100+31</f>
        <v>45796</v>
      </c>
      <c r="E103" s="3"/>
      <c r="H103" s="2"/>
    </row>
    <row r="104" spans="4:8" hidden="1" x14ac:dyDescent="0.3">
      <c r="D104" s="1"/>
      <c r="H104" s="2"/>
    </row>
    <row r="105" spans="4:8" x14ac:dyDescent="0.3">
      <c r="D105" s="1" t="s">
        <v>0</v>
      </c>
      <c r="E105" s="3" t="s">
        <v>1</v>
      </c>
      <c r="H105" s="2"/>
    </row>
    <row r="106" spans="4:8" ht="31.8" customHeight="1" x14ac:dyDescent="0.3">
      <c r="D106" s="6" t="s">
        <v>4</v>
      </c>
      <c r="E106" s="3">
        <f>252000</f>
        <v>252000</v>
      </c>
      <c r="H106" s="4">
        <f>E106*15%</f>
        <v>37800</v>
      </c>
    </row>
    <row r="107" spans="4:8" x14ac:dyDescent="0.3">
      <c r="D107" s="1"/>
      <c r="H107" s="2"/>
    </row>
    <row r="108" spans="4:8" x14ac:dyDescent="0.3">
      <c r="D108" s="1" t="s">
        <v>0</v>
      </c>
      <c r="E108" s="3" t="s">
        <v>1</v>
      </c>
      <c r="H108" s="2"/>
    </row>
    <row r="109" spans="4:8" x14ac:dyDescent="0.3">
      <c r="D109" s="5">
        <v>45839</v>
      </c>
      <c r="E109" s="3">
        <v>112000</v>
      </c>
      <c r="H109" s="4">
        <f>E109*15%</f>
        <v>16800</v>
      </c>
    </row>
    <row r="110" spans="4:8" x14ac:dyDescent="0.3">
      <c r="D110" s="1"/>
      <c r="H110" s="2"/>
    </row>
    <row r="111" spans="4:8" x14ac:dyDescent="0.3">
      <c r="D111" s="1" t="s">
        <v>0</v>
      </c>
      <c r="E111" s="3" t="s">
        <v>1</v>
      </c>
      <c r="H111" s="2"/>
    </row>
    <row r="112" spans="4:8" x14ac:dyDescent="0.3">
      <c r="D112" s="5">
        <f t="shared" ref="D112" si="26">D109+31</f>
        <v>45870</v>
      </c>
      <c r="E112" s="3">
        <v>112000</v>
      </c>
      <c r="H112" s="4">
        <f>E112*15%</f>
        <v>16800</v>
      </c>
    </row>
    <row r="113" spans="4:8" x14ac:dyDescent="0.3">
      <c r="D113" s="1"/>
      <c r="H113" s="2"/>
    </row>
    <row r="114" spans="4:8" x14ac:dyDescent="0.3">
      <c r="D114" s="1" t="s">
        <v>0</v>
      </c>
      <c r="E114" s="3" t="s">
        <v>1</v>
      </c>
      <c r="H114" s="2"/>
    </row>
    <row r="115" spans="4:8" x14ac:dyDescent="0.3">
      <c r="D115" s="5">
        <f t="shared" ref="D115" si="27">D112+31</f>
        <v>45901</v>
      </c>
      <c r="E115" s="3">
        <v>140000</v>
      </c>
      <c r="H115" s="4">
        <f>E115*15%</f>
        <v>21000</v>
      </c>
    </row>
    <row r="116" spans="4:8" x14ac:dyDescent="0.3">
      <c r="D116" s="1"/>
      <c r="H116" s="2"/>
    </row>
    <row r="117" spans="4:8" x14ac:dyDescent="0.3">
      <c r="D117" s="1" t="s">
        <v>0</v>
      </c>
      <c r="E117" s="3" t="s">
        <v>1</v>
      </c>
      <c r="H117" s="2"/>
    </row>
    <row r="118" spans="4:8" x14ac:dyDescent="0.3">
      <c r="D118" s="5">
        <f t="shared" ref="D118" si="28">D115+31</f>
        <v>45932</v>
      </c>
      <c r="E118" s="3">
        <v>168000</v>
      </c>
      <c r="H118" s="4">
        <f>E118*15%</f>
        <v>25200</v>
      </c>
    </row>
    <row r="119" spans="4:8" x14ac:dyDescent="0.3">
      <c r="D119" s="1"/>
      <c r="H119" s="2"/>
    </row>
    <row r="120" spans="4:8" x14ac:dyDescent="0.3">
      <c r="D120" s="1" t="s">
        <v>0</v>
      </c>
      <c r="E120" s="3" t="s">
        <v>1</v>
      </c>
      <c r="H120" s="2"/>
    </row>
    <row r="121" spans="4:8" x14ac:dyDescent="0.3">
      <c r="D121" s="5">
        <f t="shared" ref="D121" si="29">D118+31</f>
        <v>45963</v>
      </c>
      <c r="E121" s="3">
        <v>168000</v>
      </c>
      <c r="H121" s="4">
        <f>E121*15%</f>
        <v>25200</v>
      </c>
    </row>
    <row r="122" spans="4:8" x14ac:dyDescent="0.3">
      <c r="D122" s="1"/>
      <c r="H122" s="2"/>
    </row>
    <row r="123" spans="4:8" x14ac:dyDescent="0.3">
      <c r="D123" s="1" t="s">
        <v>0</v>
      </c>
      <c r="E123" s="3" t="s">
        <v>1</v>
      </c>
      <c r="H123" s="2"/>
    </row>
    <row r="124" spans="4:8" x14ac:dyDescent="0.3">
      <c r="D124" s="5">
        <f t="shared" ref="D124" si="30">D121+31</f>
        <v>45994</v>
      </c>
      <c r="E124" s="3">
        <v>168000</v>
      </c>
      <c r="H124" s="4">
        <f>E124*15%</f>
        <v>25200</v>
      </c>
    </row>
    <row r="125" spans="4:8" x14ac:dyDescent="0.3">
      <c r="D125" s="5"/>
      <c r="E125" s="3"/>
      <c r="H125" s="4"/>
    </row>
    <row r="126" spans="4:8" x14ac:dyDescent="0.3">
      <c r="D126" s="1" t="s">
        <v>0</v>
      </c>
      <c r="E126" s="3" t="s">
        <v>1</v>
      </c>
      <c r="H126" s="4"/>
    </row>
    <row r="127" spans="4:8" x14ac:dyDescent="0.3">
      <c r="D127" s="5">
        <f t="shared" ref="D127" si="31">D124+31</f>
        <v>46025</v>
      </c>
      <c r="E127" s="3">
        <v>217600</v>
      </c>
      <c r="H127" s="4">
        <f>E127*15%</f>
        <v>32640</v>
      </c>
    </row>
    <row r="128" spans="4:8" x14ac:dyDescent="0.3">
      <c r="D128" s="5"/>
      <c r="E128" s="3"/>
      <c r="H128" s="4"/>
    </row>
    <row r="129" spans="4:8" x14ac:dyDescent="0.3">
      <c r="D129" s="1" t="s">
        <v>0</v>
      </c>
      <c r="E129" s="3" t="s">
        <v>1</v>
      </c>
      <c r="H129" s="4"/>
    </row>
    <row r="130" spans="4:8" x14ac:dyDescent="0.3">
      <c r="D130" s="5">
        <f t="shared" ref="D130" si="32">D127+31</f>
        <v>46056</v>
      </c>
      <c r="E130" s="3">
        <v>110638.3152</v>
      </c>
      <c r="H130" s="4">
        <f>E130*15%</f>
        <v>16595.74728</v>
      </c>
    </row>
    <row r="131" spans="4:8" x14ac:dyDescent="0.3">
      <c r="D131" s="5"/>
      <c r="E131" s="3"/>
      <c r="H131" s="4"/>
    </row>
    <row r="132" spans="4:8" x14ac:dyDescent="0.3">
      <c r="D132" s="1" t="s">
        <v>0</v>
      </c>
      <c r="E132" s="3" t="s">
        <v>1</v>
      </c>
      <c r="H132" s="4"/>
    </row>
    <row r="133" spans="4:8" x14ac:dyDescent="0.3">
      <c r="D133" s="5">
        <f t="shared" ref="D133" si="33">D130+31</f>
        <v>46087</v>
      </c>
      <c r="E133" s="3">
        <v>110638.3152</v>
      </c>
      <c r="H133" s="4">
        <f>E133*15%</f>
        <v>16595.74728</v>
      </c>
    </row>
    <row r="134" spans="4:8" x14ac:dyDescent="0.3">
      <c r="D134" s="5"/>
      <c r="E134" s="3"/>
      <c r="H134" s="4"/>
    </row>
    <row r="135" spans="4:8" x14ac:dyDescent="0.3">
      <c r="D135" s="1" t="s">
        <v>0</v>
      </c>
      <c r="E135" s="3" t="s">
        <v>1</v>
      </c>
      <c r="H135" s="2"/>
    </row>
    <row r="136" spans="4:8" x14ac:dyDescent="0.3">
      <c r="D136" s="5">
        <f t="shared" ref="D136" si="34">D133+31</f>
        <v>46118</v>
      </c>
      <c r="E136" s="3">
        <v>110638.3152</v>
      </c>
      <c r="H136" s="4">
        <f>E136*15%</f>
        <v>16595.74728</v>
      </c>
    </row>
    <row r="137" spans="4:8" x14ac:dyDescent="0.3">
      <c r="D137" s="15" t="s">
        <v>7</v>
      </c>
      <c r="E137" s="16"/>
      <c r="F137" s="16"/>
      <c r="G137" s="17" t="s">
        <v>8</v>
      </c>
      <c r="H137" s="18"/>
    </row>
    <row r="138" spans="4:8" x14ac:dyDescent="0.3">
      <c r="D138" s="19">
        <f>SUM(E8:E136)+F79+F82+F85</f>
        <v>3010730.9456000002</v>
      </c>
      <c r="E138" s="20"/>
      <c r="F138" s="20"/>
      <c r="G138" s="21">
        <f>SUM(H8:H136)</f>
        <v>451609.64184000005</v>
      </c>
      <c r="H138" s="22"/>
    </row>
    <row r="139" spans="4:8" x14ac:dyDescent="0.3">
      <c r="D139" s="1"/>
      <c r="H139" s="2"/>
    </row>
    <row r="140" spans="4:8" ht="15" thickBot="1" x14ac:dyDescent="0.35">
      <c r="D140" s="1"/>
      <c r="H140" s="2"/>
    </row>
    <row r="141" spans="4:8" ht="15" thickBot="1" x14ac:dyDescent="0.35">
      <c r="D141" s="7" t="s">
        <v>9</v>
      </c>
      <c r="E141" s="8"/>
      <c r="F141" s="9"/>
      <c r="G141" s="10">
        <f>D138+G138</f>
        <v>3462340.5874400004</v>
      </c>
      <c r="H141" s="11"/>
    </row>
  </sheetData>
  <mergeCells count="7">
    <mergeCell ref="D141:F141"/>
    <mergeCell ref="G141:H141"/>
    <mergeCell ref="D4:H4"/>
    <mergeCell ref="D137:F137"/>
    <mergeCell ref="G137:H137"/>
    <mergeCell ref="D138:F138"/>
    <mergeCell ref="G138:H1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dcterms:created xsi:type="dcterms:W3CDTF">2025-12-17T14:59:07Z</dcterms:created>
  <dcterms:modified xsi:type="dcterms:W3CDTF">2026-06-09T17:01:59Z</dcterms:modified>
</cp:coreProperties>
</file>