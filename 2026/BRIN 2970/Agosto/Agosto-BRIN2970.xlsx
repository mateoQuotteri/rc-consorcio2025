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BRIN 2970\Agosto\"/>
    </mc:Choice>
  </mc:AlternateContent>
  <xr:revisionPtr revIDLastSave="0" documentId="13_ncr:1_{0B6F7144-C2BB-4935-9F62-6F7C1B4BCF50}" xr6:coauthVersionLast="47" xr6:coauthVersionMax="47" xr10:uidLastSave="{00000000-0000-0000-0000-000000000000}"/>
  <bookViews>
    <workbookView xWindow="-108" yWindow="-108" windowWidth="23256" windowHeight="12576" tabRatio="850" xr2:uid="{00000000-000D-0000-FFFF-FFFF00000000}"/>
  </bookViews>
  <sheets>
    <sheet name="RESUMEN" sheetId="1" r:id="rId1"/>
    <sheet name="PRORRATEO" sheetId="2" r:id="rId2"/>
    <sheet name="ANOTACIONES" sheetId="3" r:id="rId3"/>
  </sheets>
  <definedNames>
    <definedName name="_xlnm.Print_Area" localSheetId="1">PRORRATEO!$A$1:$T$35</definedName>
    <definedName name="_xlnm.Print_Area" localSheetId="0">RESUMEN!$A$1:$E$122</definedName>
  </definedNames>
  <calcPr calcId="181029"/>
</workbook>
</file>

<file path=xl/calcChain.xml><?xml version="1.0" encoding="utf-8"?>
<calcChain xmlns="http://schemas.openxmlformats.org/spreadsheetml/2006/main">
  <c r="R35" i="2" l="1"/>
  <c r="R11" i="2" l="1"/>
  <c r="E78" i="1"/>
  <c r="E85" i="1"/>
  <c r="N12" i="2" l="1"/>
  <c r="N13" i="2"/>
  <c r="N14" i="2"/>
  <c r="N15" i="2"/>
  <c r="N16" i="2"/>
  <c r="N17" i="2"/>
  <c r="N18" i="2"/>
  <c r="N19" i="2"/>
  <c r="N20" i="2"/>
  <c r="N21" i="2"/>
  <c r="N22" i="2"/>
  <c r="N23" i="2"/>
  <c r="N24" i="2"/>
  <c r="N25" i="2"/>
  <c r="N26" i="2"/>
  <c r="N27" i="2"/>
  <c r="N28" i="2"/>
  <c r="N29" i="2"/>
  <c r="N30" i="2"/>
  <c r="N31" i="2"/>
  <c r="N32" i="2"/>
  <c r="N33" i="2"/>
  <c r="N34" i="2"/>
  <c r="N11" i="2"/>
  <c r="R34" i="2"/>
  <c r="R33" i="2"/>
  <c r="R32" i="2"/>
  <c r="R31" i="2"/>
  <c r="R30" i="2"/>
  <c r="R29" i="2"/>
  <c r="R28" i="2"/>
  <c r="R26" i="2"/>
  <c r="R24" i="2"/>
  <c r="R22" i="2"/>
  <c r="R21" i="2"/>
  <c r="R20" i="2"/>
  <c r="R19" i="2"/>
  <c r="R18" i="2"/>
  <c r="R17" i="2"/>
  <c r="R15" i="2"/>
  <c r="R13" i="2"/>
  <c r="Q11" i="2"/>
  <c r="D25" i="1"/>
  <c r="D27" i="1" s="1"/>
  <c r="B102" i="1"/>
  <c r="E54" i="1"/>
  <c r="E48" i="1"/>
  <c r="E63" i="1"/>
  <c r="U12" i="2"/>
  <c r="U13" i="2"/>
  <c r="U14" i="2"/>
  <c r="U15" i="2"/>
  <c r="U16" i="2"/>
  <c r="U18" i="2"/>
  <c r="U30" i="2"/>
  <c r="U32" i="2"/>
  <c r="U11" i="2"/>
  <c r="D66" i="1"/>
  <c r="K12" i="2"/>
  <c r="E42" i="1"/>
  <c r="E37" i="1"/>
  <c r="L37" i="2"/>
  <c r="B111" i="1" s="1"/>
  <c r="E67" i="1" l="1"/>
  <c r="K22" i="2"/>
  <c r="K19" i="2"/>
  <c r="K21" i="2"/>
  <c r="K16" i="2"/>
  <c r="K25" i="2"/>
  <c r="K13" i="2"/>
  <c r="K17" i="2"/>
  <c r="K15" i="2"/>
  <c r="K30" i="2"/>
  <c r="Q15" i="2"/>
  <c r="F34" i="2"/>
  <c r="F33" i="2"/>
  <c r="F32" i="2"/>
  <c r="F31" i="2"/>
  <c r="I31" i="2" s="1"/>
  <c r="Q31" i="2" s="1"/>
  <c r="F30" i="2"/>
  <c r="F29" i="2"/>
  <c r="I29" i="2" s="1"/>
  <c r="Q29" i="2" s="1"/>
  <c r="F28" i="2"/>
  <c r="I12" i="2"/>
  <c r="Q12" i="2" s="1"/>
  <c r="I13" i="2"/>
  <c r="Q13" i="2" s="1"/>
  <c r="I14" i="2"/>
  <c r="Q14" i="2" s="1"/>
  <c r="I15" i="2"/>
  <c r="I16" i="2"/>
  <c r="Q16" i="2" s="1"/>
  <c r="I17" i="2"/>
  <c r="Q17" i="2" s="1"/>
  <c r="I18" i="2"/>
  <c r="Q18" i="2" s="1"/>
  <c r="I19" i="2"/>
  <c r="Q19" i="2" s="1"/>
  <c r="I20" i="2"/>
  <c r="Q20" i="2" s="1"/>
  <c r="I21" i="2"/>
  <c r="Q21" i="2" s="1"/>
  <c r="I22" i="2"/>
  <c r="Q22" i="2" s="1"/>
  <c r="I23" i="2"/>
  <c r="Q23" i="2" s="1"/>
  <c r="I24" i="2"/>
  <c r="Q24" i="2" s="1"/>
  <c r="I25" i="2"/>
  <c r="Q25" i="2" s="1"/>
  <c r="I26" i="2"/>
  <c r="Q26" i="2" s="1"/>
  <c r="I27" i="2"/>
  <c r="Q27" i="2" s="1"/>
  <c r="I28" i="2"/>
  <c r="Q28" i="2" s="1"/>
  <c r="I30" i="2"/>
  <c r="Q30" i="2" s="1"/>
  <c r="I32" i="2"/>
  <c r="Q32" i="2" s="1"/>
  <c r="I33" i="2"/>
  <c r="Q33" i="2" s="1"/>
  <c r="I34" i="2"/>
  <c r="Q34" i="2" s="1"/>
  <c r="I11" i="2"/>
  <c r="A19" i="2"/>
  <c r="K31" i="2"/>
  <c r="A20" i="2" l="1"/>
  <c r="U19" i="2"/>
  <c r="I35" i="2"/>
  <c r="K24" i="2"/>
  <c r="K14" i="2"/>
  <c r="A21" i="2" l="1"/>
  <c r="U20" i="2"/>
  <c r="D32" i="1"/>
  <c r="A22" i="2" l="1"/>
  <c r="U21" i="2"/>
  <c r="K29" i="2"/>
  <c r="K27" i="2"/>
  <c r="K11" i="2"/>
  <c r="A23" i="2" l="1"/>
  <c r="U22" i="2"/>
  <c r="K32" i="2"/>
  <c r="K26" i="2"/>
  <c r="K35" i="2" s="1"/>
  <c r="A24" i="2" l="1"/>
  <c r="U23" i="2"/>
  <c r="P12" i="2"/>
  <c r="S12" i="2" s="1"/>
  <c r="P16" i="2"/>
  <c r="S16" i="2" s="1"/>
  <c r="P20" i="2"/>
  <c r="S20" i="2" s="1"/>
  <c r="P24" i="2"/>
  <c r="S24" i="2" s="1"/>
  <c r="P28" i="2"/>
  <c r="P32" i="2"/>
  <c r="P27" i="2"/>
  <c r="S27" i="2" s="1"/>
  <c r="P13" i="2"/>
  <c r="S13" i="2" s="1"/>
  <c r="P17" i="2"/>
  <c r="S17" i="2" s="1"/>
  <c r="P21" i="2"/>
  <c r="S21" i="2" s="1"/>
  <c r="P25" i="2"/>
  <c r="S25" i="2" s="1"/>
  <c r="P29" i="2"/>
  <c r="P33" i="2"/>
  <c r="P15" i="2"/>
  <c r="S15" i="2" s="1"/>
  <c r="P19" i="2"/>
  <c r="S19" i="2" s="1"/>
  <c r="P31" i="2"/>
  <c r="P14" i="2"/>
  <c r="S14" i="2" s="1"/>
  <c r="P18" i="2"/>
  <c r="S18" i="2" s="1"/>
  <c r="P22" i="2"/>
  <c r="S22" i="2" s="1"/>
  <c r="P26" i="2"/>
  <c r="S26" i="2" s="1"/>
  <c r="P30" i="2"/>
  <c r="S30" i="2" s="1"/>
  <c r="P34" i="2"/>
  <c r="P23" i="2"/>
  <c r="S23" i="2" s="1"/>
  <c r="P11" i="2"/>
  <c r="S11" i="2" s="1"/>
  <c r="M29" i="2"/>
  <c r="M30" i="2"/>
  <c r="M31" i="2"/>
  <c r="M32" i="2"/>
  <c r="M34" i="2"/>
  <c r="J49" i="2"/>
  <c r="J53" i="2"/>
  <c r="E33" i="1"/>
  <c r="A4" i="2"/>
  <c r="S28" i="2" l="1"/>
  <c r="S32" i="2"/>
  <c r="A25" i="2"/>
  <c r="U24" i="2"/>
  <c r="M33" i="2"/>
  <c r="A26" i="2" l="1"/>
  <c r="U25" i="2"/>
  <c r="M22" i="2"/>
  <c r="A27" i="2" l="1"/>
  <c r="U26" i="2"/>
  <c r="E90" i="1"/>
  <c r="B94" i="1" s="1"/>
  <c r="A28" i="2" l="1"/>
  <c r="U28" i="2" s="1"/>
  <c r="U27" i="2"/>
  <c r="B101" i="1"/>
  <c r="B110" i="1" s="1"/>
  <c r="B112" i="1" s="1"/>
  <c r="B121" i="1"/>
  <c r="B103" i="1" l="1"/>
  <c r="M25" i="2" l="1"/>
  <c r="S10" i="2" l="1"/>
  <c r="E71" i="1" l="1"/>
  <c r="T29" i="2" l="1"/>
  <c r="H35" i="2"/>
  <c r="J35" i="2"/>
  <c r="T30" i="2" l="1"/>
  <c r="M12" i="2"/>
  <c r="M13" i="2"/>
  <c r="M14" i="2"/>
  <c r="M15" i="2"/>
  <c r="M16" i="2"/>
  <c r="M17" i="2"/>
  <c r="M19" i="2"/>
  <c r="M20" i="2"/>
  <c r="M21" i="2"/>
  <c r="M23" i="2"/>
  <c r="M24" i="2"/>
  <c r="M26" i="2"/>
  <c r="M27" i="2"/>
  <c r="M28" i="2"/>
  <c r="M11" i="2"/>
  <c r="T31" i="2" l="1"/>
  <c r="B95" i="1"/>
  <c r="T32" i="2" l="1"/>
  <c r="A46" i="1"/>
  <c r="A47" i="1" s="1"/>
  <c r="T33" i="2" l="1"/>
  <c r="T34" i="2" l="1"/>
  <c r="T28" i="2"/>
  <c r="T24" i="2"/>
  <c r="T20" i="2"/>
  <c r="T16" i="2"/>
  <c r="T12" i="2"/>
  <c r="T11" i="2"/>
  <c r="T27" i="2"/>
  <c r="T23" i="2"/>
  <c r="T19" i="2"/>
  <c r="T15" i="2"/>
  <c r="T26" i="2"/>
  <c r="T22" i="2"/>
  <c r="T14" i="2"/>
  <c r="T25" i="2"/>
  <c r="T21" i="2"/>
  <c r="T17" i="2"/>
  <c r="T13" i="2"/>
  <c r="P35" i="2"/>
  <c r="Q35" i="2" l="1"/>
  <c r="B93" i="1" l="1"/>
  <c r="B100" i="1" l="1"/>
  <c r="B92" i="1"/>
  <c r="L36" i="2"/>
  <c r="B104" i="1" s="1"/>
  <c r="N35" i="2"/>
  <c r="M18" i="2"/>
  <c r="M35" i="2"/>
  <c r="S35" i="2" l="1"/>
  <c r="B105" i="1"/>
  <c r="T18" i="2"/>
  <c r="T35" i="2" s="1"/>
</calcChain>
</file>

<file path=xl/sharedStrings.xml><?xml version="1.0" encoding="utf-8"?>
<sst xmlns="http://schemas.openxmlformats.org/spreadsheetml/2006/main" count="207" uniqueCount="163">
  <si>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</si>
  <si>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</si>
  <si>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</si>
  <si>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</si>
  <si>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</si>
  <si>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</si>
  <si>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</si>
  <si>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</si>
  <si>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</si>
  <si>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</si>
  <si>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</si>
  <si>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</si>
  <si>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</si>
  <si>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</si>
  <si>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</si>
  <si>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</si>
  <si>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</si>
  <si>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</si>
  <si>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</si>
  <si>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</si>
  <si>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</si>
  <si>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</si>
  <si>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</si>
  <si>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</si>
  <si>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</si>
  <si>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</si>
  <si>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</si>
  <si>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</si>
  <si>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</si>
  <si>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</si>
  <si>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GASTOS EXTRAORDINARIOS CON PREVISION:</t>
  </si>
  <si>
    <t>Sueldo encargado Balcazza Leonardo</t>
  </si>
  <si>
    <t>GASTOS EXTRAORDINARIOS:</t>
  </si>
  <si>
    <t xml:space="preserve">ARCA </t>
  </si>
  <si>
    <t>CAJA REAL</t>
  </si>
  <si>
    <t xml:space="preserve">Saldo Ord </t>
  </si>
  <si>
    <t>Egresos del mes ordinarios</t>
  </si>
  <si>
    <t>Egresos del mes extrordinarios</t>
  </si>
  <si>
    <t>Pagos sin identificar</t>
  </si>
  <si>
    <t>Gastos bancarios</t>
  </si>
  <si>
    <t>Mantenimiento de cuenta</t>
  </si>
  <si>
    <t>10 A 15HS - EMERGENCIAS 24HS</t>
  </si>
  <si>
    <t>Extraordinarios:</t>
  </si>
  <si>
    <t>Expensas extraord.</t>
  </si>
  <si>
    <t>TOTALES</t>
  </si>
  <si>
    <t>A</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</si>
  <si>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</si>
  <si>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Descuentos</t>
  </si>
  <si>
    <t>Redondeo</t>
  </si>
  <si>
    <t>Pago del abono del ascensor ADS - Mantenimiento</t>
  </si>
  <si>
    <t xml:space="preserve">Personal Flow (internet) para las Camaras de Seguridad </t>
  </si>
  <si>
    <t>Seracarh</t>
  </si>
  <si>
    <t>Fathery</t>
  </si>
  <si>
    <t>Suther</t>
  </si>
  <si>
    <t>Ordinarios:</t>
  </si>
  <si>
    <t>E</t>
  </si>
  <si>
    <t>Particular</t>
  </si>
  <si>
    <t xml:space="preserve">PREVISION EXTRAORDINARIA </t>
  </si>
  <si>
    <t>PREVISION ORDINARIA</t>
  </si>
  <si>
    <t>Gustavo Padron - Sr. Contador</t>
  </si>
  <si>
    <t>CUIT DEL EDIFICIO: 30-71424193-8</t>
  </si>
  <si>
    <t>CONSORCIO MINISTRO BRIN 2970</t>
  </si>
  <si>
    <t>CUIT ADMINISTRACION: 27-23125687-9</t>
  </si>
  <si>
    <t>Sueldo Sr. Pereyra Ariel Gustavo</t>
  </si>
  <si>
    <t>Honorarios administracion</t>
  </si>
  <si>
    <t>Seguro Intregal Mercantil Andina - Poliza N. 00113804200001</t>
  </si>
  <si>
    <t>Seguro La Holando - Accidentes personales - Poliza N. 660433</t>
  </si>
  <si>
    <t xml:space="preserve">Abono de mantenimiento de ascensores Tecnimet </t>
  </si>
  <si>
    <t>AySa - Cuenta de servicios 2389177</t>
  </si>
  <si>
    <t>Edesur  - Cliente: 01294126</t>
  </si>
  <si>
    <t xml:space="preserve">Servicio de internet </t>
  </si>
  <si>
    <t xml:space="preserve">Metrogas </t>
  </si>
  <si>
    <t>-</t>
  </si>
  <si>
    <t>Coch</t>
  </si>
  <si>
    <t>Baulera</t>
  </si>
  <si>
    <t>D</t>
  </si>
  <si>
    <t>F</t>
  </si>
  <si>
    <t>C</t>
  </si>
  <si>
    <t>Dpto</t>
  </si>
  <si>
    <t>1A</t>
  </si>
  <si>
    <t>1B</t>
  </si>
  <si>
    <t>2A</t>
  </si>
  <si>
    <t>2B</t>
  </si>
  <si>
    <t>3A</t>
  </si>
  <si>
    <t>3B</t>
  </si>
  <si>
    <t>C9</t>
  </si>
  <si>
    <t>4A</t>
  </si>
  <si>
    <t>4B</t>
  </si>
  <si>
    <t>5A</t>
  </si>
  <si>
    <t>5B</t>
  </si>
  <si>
    <t>6A</t>
  </si>
  <si>
    <t>6B</t>
  </si>
  <si>
    <t>7A</t>
  </si>
  <si>
    <t>7B</t>
  </si>
  <si>
    <t>8A</t>
  </si>
  <si>
    <t>8B</t>
  </si>
  <si>
    <t>11 - 12°</t>
  </si>
  <si>
    <t>Malbar Miriam</t>
  </si>
  <si>
    <t>Florek Francisco</t>
  </si>
  <si>
    <t>Indioquimica S.A</t>
  </si>
  <si>
    <t>Perez, Ana maria</t>
  </si>
  <si>
    <t>Alvarez Benigno</t>
  </si>
  <si>
    <t xml:space="preserve">Garcia Abel / Baruch </t>
  </si>
  <si>
    <t>Camarotta Alejandro</t>
  </si>
  <si>
    <t>Porchia Regina</t>
  </si>
  <si>
    <t>Pasarin Daniel</t>
  </si>
  <si>
    <t>Constantino Leandro</t>
  </si>
  <si>
    <t>Grandolfi F. / Casella G.</t>
  </si>
  <si>
    <t>Napoli Jose</t>
  </si>
  <si>
    <t>Gonzalez Silvana</t>
  </si>
  <si>
    <t>Mari, Lilliana</t>
  </si>
  <si>
    <t>Cavero matias</t>
  </si>
  <si>
    <t>Muller Ruben</t>
  </si>
  <si>
    <t>Rubini Hernan</t>
  </si>
  <si>
    <t>%</t>
  </si>
  <si>
    <t xml:space="preserve"> (%) Bauleras</t>
  </si>
  <si>
    <t xml:space="preserve"> (%) Dpto</t>
  </si>
  <si>
    <t xml:space="preserve"> (%) Coch</t>
  </si>
  <si>
    <t>Speziale Karina - Vidrio Laminado 3+3 colocacion - Retirar virio corte y colocacion</t>
  </si>
  <si>
    <t>Herreelec - Servicios: saldo pendiente servicios realizados</t>
  </si>
  <si>
    <t>Efectivo</t>
  </si>
  <si>
    <t>Transf 16/07</t>
  </si>
  <si>
    <t>Transf 23/07</t>
  </si>
  <si>
    <t>Ariel Sebastian Amaya</t>
  </si>
  <si>
    <t>Testi Gustavo Marcelo</t>
  </si>
  <si>
    <t>Agustin Cardozo</t>
  </si>
  <si>
    <t>Pablo Julian Michielin</t>
  </si>
  <si>
    <t>Dirrienzo Maria</t>
  </si>
  <si>
    <t>Gonzalez Jesica</t>
  </si>
  <si>
    <t>Gonzalez Maximiliano</t>
  </si>
  <si>
    <t>Espinola Christian - Arreglo de rampa</t>
  </si>
  <si>
    <t>Debito 16/07</t>
  </si>
  <si>
    <t>Debito 30/07</t>
  </si>
  <si>
    <t>Abona por</t>
  </si>
  <si>
    <t>B</t>
  </si>
  <si>
    <t>Banco</t>
  </si>
  <si>
    <t>Ingresos bancarios</t>
  </si>
  <si>
    <t>SALDO EN EFECTIVO</t>
  </si>
  <si>
    <t>Ingresos en efectivo</t>
  </si>
  <si>
    <t>Casa Ruan compra de luces</t>
  </si>
  <si>
    <t>Rubinetti Agostina</t>
  </si>
  <si>
    <t>SALDO EN BANCO AL 26/06</t>
  </si>
  <si>
    <t>GASTOS UNIDADES COMPLEMENTARIAS:</t>
  </si>
  <si>
    <t>Egresos del mes unidades complementarias</t>
  </si>
  <si>
    <t>UC:</t>
  </si>
  <si>
    <t>UC</t>
  </si>
  <si>
    <t>Interes 2%</t>
  </si>
  <si>
    <t>MAIL: consorciobrin2970@gmail.com</t>
  </si>
  <si>
    <t>PAGO DE EXPENSAS BANCO COMAFI - SUCURSAL LANUS - CTA. CTE. Nº 0090-01284-4 "CONSORCIO MINISTRO BRIN 2970" CBU   2990 0093 0090 0128 4400 08 CUIT: 30-71424193-8</t>
  </si>
  <si>
    <t>VTO 17/09</t>
  </si>
  <si>
    <t>PERÍODO: AGOSTO</t>
  </si>
  <si>
    <t>Abono celular + Jardin - Ariel Pereyra - JULIO y AGOSTO</t>
  </si>
  <si>
    <t>Se abona en efectivo el sueldo de JULIO (ultimo liquidado por la Sra. Mariana) por un total de $721.423,68. El abono se realiza mediante deposito bancario.</t>
  </si>
  <si>
    <t>Sindicatos mes de JULIO</t>
  </si>
  <si>
    <t>Abono de sueldo mes de JULIO - Deposito en efectivo</t>
  </si>
  <si>
    <t>Cuello Natalia - Repaso de colectora cloacal</t>
  </si>
  <si>
    <t>Transf 21/08</t>
  </si>
  <si>
    <t>Articulos de limpieza</t>
  </si>
  <si>
    <t>SA Seguridad</t>
  </si>
  <si>
    <t>Transf 05/08</t>
  </si>
  <si>
    <t>Ariel</t>
  </si>
  <si>
    <t>Tramsf 10/08</t>
  </si>
  <si>
    <t>Galvan Zaffalon - Cambio de swich de prezu rizadra mano de obra y repuesto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</si>
</sst>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2C0A]\ * #,##0.00_-;\-[$$-2C0A]\ * #,##0.00_-;_-[$$-2C0A]\ * &quot;-&quot;??_-;_-@_-"/>
    <numFmt numFmtId="168" formatCode="0.000"/>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
      <b/>
      <sz val="9"/>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3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thin">
        <color indexed="64"/>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thin">
        <color indexed="64"/>
      </top>
      <bottom/>
      <diagonal/>
    </border>
    <border>
      <left style="thin">
        <color indexed="64"/>
      </left>
      <right/>
      <top style="thin">
        <color indexed="64"/>
      </top>
      <bottom/>
      <diagonal/>
    </border>
    <border>
      <left style="medium">
        <color indexed="64"/>
      </left>
      <right style="medium">
        <color indexed="64"/>
      </right>
      <top style="thin">
        <color indexed="64"/>
      </top>
      <bottom/>
      <diagonal/>
    </border>
    <border>
      <left style="medium">
        <color indexed="64"/>
      </left>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40">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3" borderId="0" xfId="1" applyFont="1" applyFill="1" applyBorder="1" applyAlignment="1">
      <alignment vertical="center"/>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0"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3" xfId="0" applyBorder="1" applyAlignment="1">
      <alignment horizontal="left" vertical="center" wrapText="1"/>
    </xf>
    <xf numFmtId="8" fontId="7" fillId="4" borderId="21"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0" fontId="0" fillId="2" borderId="0" xfId="0" applyFill="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26" xfId="0" applyFont="1" applyFill="1" applyBorder="1" applyAlignment="1">
      <alignment horizontal="left" vertical="center" wrapText="1"/>
    </xf>
    <xf numFmtId="44" fontId="2" fillId="11" borderId="24"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0"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0" fontId="13" fillId="2" borderId="1" xfId="0" applyFont="1" applyFill="1" applyBorder="1"/>
    <xf numFmtId="44" fontId="15" fillId="2" borderId="1" xfId="1" applyFont="1" applyFill="1" applyBorder="1"/>
    <xf numFmtId="44" fontId="15" fillId="0" borderId="2" xfId="1" applyFont="1" applyBorder="1"/>
    <xf numFmtId="0" fontId="0" fillId="0" borderId="7" xfId="0" applyBorder="1"/>
    <xf numFmtId="44" fontId="13" fillId="0" borderId="0" xfId="1" applyFont="1"/>
    <xf numFmtId="44" fontId="3" fillId="0" borderId="0" xfId="0" applyNumberFormat="1" applyFont="1"/>
    <xf numFmtId="0" fontId="18" fillId="0" borderId="2" xfId="1" applyNumberFormat="1" applyFont="1" applyBorder="1"/>
    <xf numFmtId="0" fontId="2" fillId="8" borderId="27" xfId="0" applyFont="1" applyFill="1" applyBorder="1"/>
    <xf numFmtId="0" fontId="2" fillId="8" borderId="28" xfId="0" applyFont="1" applyFill="1" applyBorder="1"/>
    <xf numFmtId="8" fontId="4" fillId="2" borderId="1" xfId="0" applyNumberFormat="1" applyFont="1" applyFill="1" applyBorder="1"/>
    <xf numFmtId="8" fontId="22" fillId="10" borderId="1"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44" fontId="4" fillId="2" borderId="1" xfId="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44" fontId="20" fillId="8" borderId="13" xfId="1" applyFont="1" applyFill="1" applyBorder="1" applyAlignment="1">
      <alignment vertical="center"/>
    </xf>
    <xf numFmtId="44" fontId="15" fillId="2" borderId="2" xfId="1" applyFont="1" applyFill="1" applyBorder="1"/>
    <xf numFmtId="44" fontId="7" fillId="4" borderId="6" xfId="1" applyFont="1" applyFill="1" applyBorder="1"/>
    <xf numFmtId="44" fontId="7" fillId="4" borderId="1" xfId="1" applyFont="1" applyFill="1" applyBorder="1"/>
    <xf numFmtId="44" fontId="4" fillId="4" borderId="1" xfId="1" applyFont="1" applyFill="1" applyBorder="1"/>
    <xf numFmtId="44" fontId="4" fillId="4" borderId="6" xfId="1" applyFont="1" applyFill="1" applyBorder="1"/>
    <xf numFmtId="44" fontId="7" fillId="4" borderId="6" xfId="1" applyFont="1" applyFill="1" applyBorder="1" applyAlignment="1">
      <alignment horizontal="center"/>
    </xf>
    <xf numFmtId="165" fontId="15" fillId="0" borderId="1" xfId="0" applyNumberFormat="1" applyFont="1" applyBorder="1"/>
    <xf numFmtId="8" fontId="4" fillId="2" borderId="6" xfId="0" applyNumberFormat="1" applyFont="1" applyFill="1" applyBorder="1"/>
    <xf numFmtId="8" fontId="4" fillId="2" borderId="1" xfId="0" applyNumberFormat="1" applyFont="1" applyFill="1" applyBorder="1" applyAlignment="1">
      <alignment horizontal="right"/>
    </xf>
    <xf numFmtId="44" fontId="4" fillId="4" borderId="0" xfId="1" applyFont="1" applyFill="1"/>
    <xf numFmtId="0" fontId="7" fillId="8" borderId="29" xfId="0" applyFont="1" applyFill="1" applyBorder="1"/>
    <xf numFmtId="0" fontId="0" fillId="0" borderId="0" xfId="0" applyAlignment="1">
      <alignment horizontal="left"/>
    </xf>
    <xf numFmtId="44" fontId="0" fillId="0" borderId="0" xfId="1" applyFont="1" applyAlignment="1">
      <alignment horizontal="center"/>
    </xf>
    <xf numFmtId="0" fontId="8" fillId="0" borderId="7" xfId="0" applyFont="1" applyBorder="1" applyAlignment="1">
      <alignment horizontal="left" vertical="center" wrapText="1"/>
    </xf>
    <xf numFmtId="0" fontId="13" fillId="0" borderId="1" xfId="0" applyFont="1" applyBorder="1" applyAlignment="1">
      <alignment horizontal="center" vertical="center"/>
    </xf>
    <xf numFmtId="0" fontId="13" fillId="2" borderId="1" xfId="0" applyFont="1" applyFill="1" applyBorder="1" applyAlignment="1">
      <alignment horizontal="center" vertical="center"/>
    </xf>
    <xf numFmtId="0" fontId="13" fillId="2" borderId="1" xfId="0" applyFont="1" applyFill="1" applyBorder="1" applyAlignment="1">
      <alignment horizontal="center"/>
    </xf>
    <xf numFmtId="0" fontId="13" fillId="0" borderId="7" xfId="0" applyFont="1" applyBorder="1" applyAlignment="1">
      <alignment horizontal="center" vertical="center"/>
    </xf>
    <xf numFmtId="0" fontId="13" fillId="0" borderId="30" xfId="0" applyFont="1" applyBorder="1" applyAlignment="1">
      <alignment horizontal="center" vertical="center"/>
    </xf>
    <xf numFmtId="2" fontId="13" fillId="0" borderId="2" xfId="0" applyNumberFormat="1" applyFont="1" applyBorder="1" applyAlignment="1">
      <alignment horizontal="center" vertical="center"/>
    </xf>
    <xf numFmtId="2" fontId="13" fillId="0" borderId="1" xfId="0" applyNumberFormat="1" applyFont="1" applyBorder="1" applyAlignment="1">
      <alignment horizontal="center"/>
    </xf>
    <xf numFmtId="168" fontId="20" fillId="0" borderId="1" xfId="0" applyNumberFormat="1" applyFont="1" applyBorder="1" applyAlignment="1">
      <alignment horizontal="center"/>
    </xf>
    <xf numFmtId="44" fontId="23" fillId="0" borderId="25" xfId="1" applyFont="1" applyBorder="1"/>
    <xf numFmtId="0" fontId="4" fillId="0" borderId="6" xfId="0" applyFont="1" applyBorder="1" applyAlignment="1">
      <alignment horizontal="left" vertical="center" wrapText="1"/>
    </xf>
    <xf numFmtId="0" fontId="4" fillId="0" borderId="6" xfId="0" applyFont="1" applyBorder="1" applyAlignment="1">
      <alignment horizontal="left" vertical="center"/>
    </xf>
    <xf numFmtId="16" fontId="18" fillId="2" borderId="2" xfId="0" applyNumberFormat="1" applyFont="1" applyFill="1" applyBorder="1"/>
    <xf numFmtId="0" fontId="4" fillId="0" borderId="1" xfId="0" applyFont="1" applyBorder="1" applyAlignment="1">
      <alignment vertical="center"/>
    </xf>
    <xf numFmtId="0" fontId="4" fillId="0" borderId="1" xfId="0" applyFont="1" applyBorder="1" applyAlignment="1">
      <alignment vertical="center" wrapText="1"/>
    </xf>
    <xf numFmtId="0" fontId="7" fillId="4" borderId="1" xfId="0" applyFont="1" applyFill="1" applyBorder="1"/>
    <xf numFmtId="0" fontId="4" fillId="0" borderId="6" xfId="0" applyFont="1" applyBorder="1"/>
    <xf numFmtId="0" fontId="4" fillId="0" borderId="7" xfId="0" applyFont="1" applyBorder="1" applyAlignment="1">
      <alignment horizontal="left" vertical="center" wrapText="1"/>
    </xf>
    <xf numFmtId="16" fontId="18" fillId="2" borderId="1" xfId="0" applyNumberFormat="1" applyFont="1" applyFill="1" applyBorder="1"/>
    <xf numFmtId="16" fontId="18" fillId="2" borderId="1" xfId="0" applyNumberFormat="1" applyFont="1" applyFill="1" applyBorder="1" applyAlignment="1">
      <alignment horizontal="left"/>
    </xf>
    <xf numFmtId="44" fontId="8" fillId="0" borderId="1" xfId="0" applyNumberFormat="1" applyFont="1" applyBorder="1" applyAlignment="1">
      <alignment vertical="center" wrapText="1"/>
    </xf>
    <xf numFmtId="0" fontId="13" fillId="3" borderId="18" xfId="0" applyFont="1" applyFill="1" applyBorder="1" applyAlignment="1">
      <alignment horizontal="center" vertical="center"/>
    </xf>
    <xf numFmtId="0" fontId="15" fillId="3" borderId="18" xfId="0" applyFont="1" applyFill="1" applyBorder="1" applyAlignment="1">
      <alignment horizontal="center" vertical="center" wrapText="1"/>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13" fillId="0" borderId="31" xfId="0" applyFont="1" applyBorder="1" applyAlignment="1">
      <alignment horizontal="center" vertical="center"/>
    </xf>
    <xf numFmtId="0" fontId="13" fillId="2" borderId="31" xfId="0" applyFont="1" applyFill="1" applyBorder="1" applyAlignment="1">
      <alignment horizontal="center" vertical="center"/>
    </xf>
    <xf numFmtId="44" fontId="23" fillId="0" borderId="19" xfId="1" applyFont="1" applyBorder="1"/>
    <xf numFmtId="165" fontId="13" fillId="0" borderId="3" xfId="1" applyNumberFormat="1" applyFont="1" applyBorder="1"/>
    <xf numFmtId="165" fontId="13" fillId="0" borderId="21" xfId="1" applyNumberFormat="1" applyFont="1" applyBorder="1"/>
    <xf numFmtId="165" fontId="13" fillId="0" borderId="3" xfId="0" applyNumberFormat="1" applyFont="1" applyBorder="1"/>
    <xf numFmtId="44" fontId="15" fillId="2" borderId="4" xfId="1" applyFont="1" applyFill="1" applyBorder="1"/>
    <xf numFmtId="0" fontId="13" fillId="3" borderId="20" xfId="0" applyFont="1" applyFill="1" applyBorder="1" applyAlignment="1">
      <alignment horizontal="center" vertical="center"/>
    </xf>
    <xf numFmtId="44" fontId="15" fillId="0" borderId="3" xfId="1" applyFont="1" applyBorder="1"/>
    <xf numFmtId="0" fontId="13" fillId="0" borderId="3" xfId="0" applyFont="1" applyBorder="1"/>
    <xf numFmtId="0" fontId="13" fillId="0" borderId="3" xfId="0" applyFont="1" applyBorder="1" applyAlignment="1">
      <alignment horizontal="center"/>
    </xf>
    <xf numFmtId="168" fontId="13" fillId="0" borderId="3" xfId="0" applyNumberFormat="1" applyFont="1" applyBorder="1" applyAlignment="1">
      <alignment horizontal="center"/>
    </xf>
    <xf numFmtId="0" fontId="13" fillId="0" borderId="22" xfId="0" applyFont="1" applyBorder="1" applyAlignment="1">
      <alignment horizontal="center" vertical="center"/>
    </xf>
    <xf numFmtId="168" fontId="20" fillId="0" borderId="3" xfId="0" applyNumberFormat="1" applyFont="1" applyBorder="1" applyAlignment="1">
      <alignment horizontal="center"/>
    </xf>
    <xf numFmtId="0" fontId="0" fillId="0" borderId="6" xfId="0" applyBorder="1"/>
    <xf numFmtId="44" fontId="4" fillId="2" borderId="1" xfId="1" applyFont="1" applyFill="1" applyBorder="1" applyAlignment="1">
      <alignment wrapText="1"/>
    </xf>
    <xf numFmtId="167" fontId="2" fillId="3" borderId="0" xfId="0" applyNumberFormat="1" applyFont="1" applyFill="1" applyAlignment="1">
      <alignment horizontal="center"/>
    </xf>
    <xf numFmtId="44" fontId="2" fillId="4" borderId="0" xfId="1" applyFont="1" applyFill="1"/>
    <xf numFmtId="0" fontId="13" fillId="0" borderId="33" xfId="0" applyFont="1" applyBorder="1" applyAlignment="1">
      <alignment horizontal="center" vertical="center"/>
    </xf>
    <xf numFmtId="2" fontId="13" fillId="0" borderId="2" xfId="0" applyNumberFormat="1" applyFont="1" applyBorder="1" applyAlignment="1">
      <alignment horizontal="center"/>
    </xf>
    <xf numFmtId="168" fontId="20" fillId="0" borderId="2" xfId="0" applyNumberFormat="1" applyFont="1" applyBorder="1" applyAlignment="1">
      <alignment horizontal="center"/>
    </xf>
    <xf numFmtId="165" fontId="15" fillId="0" borderId="2" xfId="0" applyNumberFormat="1" applyFont="1" applyBorder="1"/>
    <xf numFmtId="165" fontId="13" fillId="0" borderId="4" xfId="0" applyNumberFormat="1" applyFont="1" applyBorder="1"/>
    <xf numFmtId="165" fontId="13" fillId="0" borderId="2" xfId="0" applyNumberFormat="1" applyFont="1" applyBorder="1"/>
    <xf numFmtId="165" fontId="13" fillId="0" borderId="2" xfId="1" applyNumberFormat="1" applyFont="1" applyBorder="1"/>
    <xf numFmtId="165" fontId="13" fillId="0" borderId="34" xfId="1" applyNumberFormat="1" applyFont="1" applyBorder="1"/>
    <xf numFmtId="44" fontId="23" fillId="0" borderId="35" xfId="1" applyFont="1" applyBorder="1"/>
    <xf numFmtId="0" fontId="20" fillId="4" borderId="11" xfId="0" applyFont="1" applyFill="1" applyBorder="1" applyAlignment="1">
      <alignment horizontal="left"/>
    </xf>
    <xf numFmtId="0" fontId="20" fillId="4" borderId="13" xfId="0" applyFont="1" applyFill="1" applyBorder="1" applyAlignment="1">
      <alignment horizontal="center"/>
    </xf>
    <xf numFmtId="44" fontId="20" fillId="4" borderId="13" xfId="0" applyNumberFormat="1" applyFont="1" applyFill="1" applyBorder="1"/>
    <xf numFmtId="166" fontId="20" fillId="4" borderId="13" xfId="0" applyNumberFormat="1" applyFont="1" applyFill="1" applyBorder="1"/>
    <xf numFmtId="165" fontId="20" fillId="4" borderId="13" xfId="0" applyNumberFormat="1" applyFont="1" applyFill="1" applyBorder="1"/>
    <xf numFmtId="165" fontId="13" fillId="0" borderId="5" xfId="1" applyNumberFormat="1" applyFont="1" applyBorder="1"/>
    <xf numFmtId="44" fontId="20" fillId="4" borderId="9" xfId="0" applyNumberFormat="1" applyFont="1" applyFill="1" applyBorder="1"/>
    <xf numFmtId="0" fontId="15" fillId="3" borderId="13" xfId="0" applyFont="1" applyFill="1" applyBorder="1" applyAlignment="1">
      <alignment horizontal="center" vertical="center" wrapText="1"/>
    </xf>
    <xf numFmtId="0" fontId="4" fillId="0" borderId="1" xfId="0" applyFont="1"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5"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4"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44" fontId="2" fillId="3" borderId="0" xfId="1" applyFont="1" applyFill="1" applyAlignment="1">
      <alignment horizontal="center"/>
    </xf>
    <xf numFmtId="167" fontId="2" fillId="3" borderId="0" xfId="0" applyNumberFormat="1" applyFont="1" applyFill="1" applyAlignment="1">
      <alignment horizontal="center"/>
    </xf>
    <xf numFmtId="0" fontId="20" fillId="4" borderId="9" xfId="0" applyFont="1" applyFill="1" applyBorder="1" applyAlignment="1">
      <alignment horizontal="left"/>
    </xf>
    <xf numFmtId="0" fontId="20" fillId="4" borderId="10" xfId="0" applyFont="1" applyFill="1" applyBorder="1" applyAlignment="1">
      <alignment horizontal="left"/>
    </xf>
    <xf numFmtId="0" fontId="20" fillId="4" borderId="11" xfId="0" applyFont="1" applyFill="1" applyBorder="1" applyAlignment="1">
      <alignment horizontal="left"/>
    </xf>
    <xf numFmtId="0" fontId="13" fillId="0" borderId="2" xfId="0" applyFont="1" applyBorder="1" applyAlignment="1">
      <alignment horizontal="center" vertical="center"/>
    </xf>
    <xf numFmtId="0" fontId="13" fillId="0" borderId="3" xfId="0" applyFont="1" applyBorder="1" applyAlignment="1">
      <alignment horizontal="center" vertical="center"/>
    </xf>
    <xf numFmtId="0" fontId="13" fillId="0" borderId="4" xfId="0" applyFont="1"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13" fillId="3" borderId="32" xfId="0" applyFont="1" applyFill="1" applyBorder="1" applyAlignment="1">
      <alignment horizontal="center" vertical="center" wrapText="1"/>
    </xf>
    <xf numFmtId="0" fontId="13" fillId="3" borderId="36" xfId="0" applyFont="1" applyFill="1" applyBorder="1" applyAlignment="1">
      <alignment horizontal="center"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8" fillId="2" borderId="1" xfId="1" applyFont="1" applyFill="1" applyBorder="1"/>
    <xf numFmtId="8" fontId="8" fillId="2" borderId="1" xfId="0" applyNumberFormat="1" applyFont="1" applyFill="1" applyBorder="1"/>
    <xf numFmtId="0" fontId="4" fillId="9" borderId="6" xfId="0" applyFont="1" applyFill="1" applyBorder="1" applyAlignment="1">
      <alignment horizontal="left"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6"/>
  <sheetViews>
    <sheetView tabSelected="1" topLeftCell="A42" workbookViewId="0">
      <selection activeCell="D51" sqref="D51"/>
    </sheetView>
  </sheetViews>
  <sheetFormatPr baseColWidth="10" defaultColWidth="10.6640625" defaultRowHeight="14.4" x14ac:dyDescent="0.3"/>
  <cols>
    <col min="1" max="1" width="37.5546875" customWidth="1"/>
    <col min="2" max="2" width="24.6640625" customWidth="1"/>
    <col min="3" max="3" width="15.6640625" hidden="1"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7" customHeight="1" x14ac:dyDescent="0.3">
      <c r="A1" s="14"/>
      <c r="B1" s="200" t="s">
        <v>147</v>
      </c>
      <c r="C1" s="200"/>
      <c r="D1" s="200"/>
      <c r="E1" s="47"/>
    </row>
    <row r="2" spans="1:5" x14ac:dyDescent="0.3">
      <c r="A2" s="15"/>
      <c r="B2" s="48" t="s">
        <v>62</v>
      </c>
      <c r="C2" s="48"/>
      <c r="D2" s="48"/>
      <c r="E2" s="49"/>
    </row>
    <row r="3" spans="1:5" ht="70.5" customHeight="1" thickBot="1" x14ac:dyDescent="0.35">
      <c r="A3" s="15"/>
      <c r="B3" s="201" t="s">
        <v>148</v>
      </c>
      <c r="C3" s="201"/>
      <c r="D3" s="201"/>
      <c r="E3" s="202"/>
    </row>
    <row r="4" spans="1:5" ht="15" thickBot="1" x14ac:dyDescent="0.35">
      <c r="A4" s="18" t="s">
        <v>0</v>
      </c>
      <c r="B4" s="50" t="s">
        <v>29</v>
      </c>
      <c r="C4" s="19"/>
      <c r="D4" s="19"/>
      <c r="E4" s="20"/>
    </row>
    <row r="5" spans="1:5" ht="15" thickBot="1" x14ac:dyDescent="0.35">
      <c r="A5" s="15" t="s">
        <v>60</v>
      </c>
      <c r="B5" s="19" t="s">
        <v>150</v>
      </c>
      <c r="C5" s="16"/>
      <c r="D5" s="48" t="s">
        <v>21</v>
      </c>
      <c r="E5" s="17"/>
    </row>
    <row r="6" spans="1:5" ht="15" thickBot="1" x14ac:dyDescent="0.35">
      <c r="A6" s="18" t="s">
        <v>61</v>
      </c>
      <c r="B6" s="19"/>
      <c r="C6" s="19"/>
      <c r="D6" s="19" t="s">
        <v>41</v>
      </c>
      <c r="E6" s="20"/>
    </row>
    <row r="8" spans="1:5" x14ac:dyDescent="0.3">
      <c r="B8" s="204" t="s">
        <v>149</v>
      </c>
      <c r="C8" s="204"/>
    </row>
    <row r="9" spans="1:5" x14ac:dyDescent="0.3">
      <c r="B9" s="204"/>
      <c r="C9" s="204"/>
    </row>
    <row r="10" spans="1:5" x14ac:dyDescent="0.3">
      <c r="B10" s="204"/>
      <c r="C10" s="204"/>
    </row>
    <row r="12" spans="1:5" hidden="1" x14ac:dyDescent="0.3"/>
    <row r="13" spans="1:5" ht="15" customHeight="1" x14ac:dyDescent="0.3">
      <c r="A13" s="203" t="s">
        <v>46</v>
      </c>
      <c r="B13" s="203"/>
      <c r="C13" s="203"/>
      <c r="D13" s="203"/>
      <c r="E13" s="203"/>
    </row>
    <row r="14" spans="1:5" ht="15" customHeight="1" x14ac:dyDescent="0.3">
      <c r="A14" s="203"/>
      <c r="B14" s="203"/>
      <c r="C14" s="203"/>
      <c r="D14" s="203"/>
      <c r="E14" s="203"/>
    </row>
    <row r="15" spans="1:5" ht="15" customHeight="1" x14ac:dyDescent="0.3">
      <c r="A15" s="203"/>
      <c r="B15" s="203"/>
      <c r="C15" s="203"/>
      <c r="D15" s="203"/>
      <c r="E15" s="203"/>
    </row>
    <row r="16" spans="1:5" ht="127.2" customHeight="1" x14ac:dyDescent="0.3">
      <c r="A16" s="203"/>
      <c r="B16" s="203"/>
      <c r="C16" s="203"/>
      <c r="D16" s="203"/>
      <c r="E16" s="203"/>
    </row>
    <row r="17" spans="1:7" ht="14.25" customHeight="1" thickBot="1" x14ac:dyDescent="0.35"/>
    <row r="18" spans="1:7" hidden="1" x14ac:dyDescent="0.3">
      <c r="A18" s="2"/>
    </row>
    <row r="19" spans="1:7" ht="15" hidden="1" thickBot="1" x14ac:dyDescent="0.35"/>
    <row r="20" spans="1:7" x14ac:dyDescent="0.3">
      <c r="A20" s="10" t="s">
        <v>9</v>
      </c>
      <c r="B20" s="11"/>
      <c r="C20" s="12"/>
      <c r="D20" s="8"/>
      <c r="E20" s="13"/>
    </row>
    <row r="21" spans="1:7" x14ac:dyDescent="0.3">
      <c r="A21" s="26" t="s">
        <v>25</v>
      </c>
      <c r="B21" s="26"/>
      <c r="C21" s="26"/>
      <c r="D21" s="25"/>
      <c r="E21" s="25"/>
    </row>
    <row r="22" spans="1:7" x14ac:dyDescent="0.3">
      <c r="A22" s="53" t="s">
        <v>63</v>
      </c>
      <c r="B22" s="5"/>
      <c r="C22" s="5"/>
      <c r="D22" s="108">
        <v>920874.33</v>
      </c>
      <c r="E22" s="5"/>
    </row>
    <row r="23" spans="1:7" x14ac:dyDescent="0.3">
      <c r="A23" s="5" t="s">
        <v>47</v>
      </c>
      <c r="B23" s="5"/>
      <c r="C23" s="5"/>
      <c r="D23" s="108">
        <v>-227916.33</v>
      </c>
      <c r="E23" s="5"/>
    </row>
    <row r="24" spans="1:7" x14ac:dyDescent="0.3">
      <c r="A24" s="5" t="s">
        <v>48</v>
      </c>
      <c r="B24" s="5"/>
      <c r="C24" s="5"/>
      <c r="D24" s="108">
        <v>0</v>
      </c>
      <c r="E24" s="5"/>
    </row>
    <row r="25" spans="1:7" x14ac:dyDescent="0.3">
      <c r="A25" s="172" t="s">
        <v>151</v>
      </c>
      <c r="B25" s="102"/>
      <c r="C25" s="5"/>
      <c r="D25" s="108">
        <f>3500*2</f>
        <v>7000</v>
      </c>
      <c r="E25" s="5"/>
    </row>
    <row r="26" spans="1:7" ht="56.25" customHeight="1" x14ac:dyDescent="0.3">
      <c r="A26" s="196" t="s">
        <v>152</v>
      </c>
      <c r="B26" s="197"/>
      <c r="C26" s="5"/>
      <c r="D26" s="108"/>
      <c r="E26" s="5"/>
    </row>
    <row r="27" spans="1:7" ht="14.25" customHeight="1" x14ac:dyDescent="0.3">
      <c r="A27" s="43" t="s">
        <v>26</v>
      </c>
      <c r="B27" s="43"/>
      <c r="C27" s="43"/>
      <c r="D27" s="109">
        <f>SUM(D22:D25)</f>
        <v>699958</v>
      </c>
      <c r="E27" s="80"/>
      <c r="G27" s="21"/>
    </row>
    <row r="28" spans="1:7" ht="14.25" hidden="1" customHeight="1" x14ac:dyDescent="0.3">
      <c r="A28" s="5" t="s">
        <v>31</v>
      </c>
      <c r="B28" s="5"/>
      <c r="C28" s="5"/>
      <c r="D28" s="108"/>
      <c r="E28" s="5"/>
    </row>
    <row r="29" spans="1:7" hidden="1" x14ac:dyDescent="0.3">
      <c r="A29" s="22"/>
      <c r="B29" s="5"/>
      <c r="C29" s="5"/>
      <c r="D29" s="108"/>
      <c r="E29" s="5"/>
    </row>
    <row r="30" spans="1:7" hidden="1" x14ac:dyDescent="0.3">
      <c r="A30" s="5"/>
      <c r="B30" s="5"/>
      <c r="C30" s="5"/>
      <c r="D30" s="108"/>
      <c r="E30" s="5"/>
    </row>
    <row r="31" spans="1:7" ht="0.45" customHeight="1" x14ac:dyDescent="0.3">
      <c r="A31" s="5"/>
      <c r="B31" s="5"/>
      <c r="C31" s="5"/>
      <c r="D31" s="125"/>
      <c r="E31" s="5"/>
    </row>
    <row r="32" spans="1:7" hidden="1" x14ac:dyDescent="0.3">
      <c r="A32" s="43" t="s">
        <v>26</v>
      </c>
      <c r="B32" s="43"/>
      <c r="C32" s="43"/>
      <c r="D32" s="110">
        <f>SUM(D28:D31)</f>
        <v>0</v>
      </c>
      <c r="E32" s="80"/>
    </row>
    <row r="33" spans="1:7" ht="15" thickBot="1" x14ac:dyDescent="0.35">
      <c r="A33" s="23" t="s">
        <v>1</v>
      </c>
      <c r="B33" s="23"/>
      <c r="C33" s="23"/>
      <c r="D33" s="111"/>
      <c r="E33" s="81">
        <f>D27+D32</f>
        <v>699958</v>
      </c>
      <c r="F33" s="21"/>
    </row>
    <row r="34" spans="1:7" x14ac:dyDescent="0.3">
      <c r="A34" s="26" t="s">
        <v>17</v>
      </c>
      <c r="B34" s="26"/>
      <c r="C34" s="26"/>
      <c r="D34" s="112"/>
      <c r="E34" s="82"/>
    </row>
    <row r="35" spans="1:7" ht="15" customHeight="1" x14ac:dyDescent="0.3">
      <c r="A35" s="198" t="s">
        <v>59</v>
      </c>
      <c r="B35" s="199"/>
      <c r="C35" s="40"/>
      <c r="D35" s="236">
        <v>100000</v>
      </c>
      <c r="E35" s="83" t="s">
        <v>156</v>
      </c>
    </row>
    <row r="36" spans="1:7" ht="15" customHeight="1" thickBot="1" x14ac:dyDescent="0.35">
      <c r="A36" s="198" t="s">
        <v>64</v>
      </c>
      <c r="B36" s="199"/>
      <c r="C36" s="40"/>
      <c r="D36" s="126">
        <v>0</v>
      </c>
      <c r="E36" s="83"/>
    </row>
    <row r="37" spans="1:7" ht="15" thickBot="1" x14ac:dyDescent="0.35">
      <c r="A37" s="23" t="s">
        <v>14</v>
      </c>
      <c r="B37" s="23"/>
      <c r="C37" s="23"/>
      <c r="D37" s="119"/>
      <c r="E37" s="84">
        <f>SUM(D35:D36)</f>
        <v>100000</v>
      </c>
    </row>
    <row r="38" spans="1:7" x14ac:dyDescent="0.3">
      <c r="A38" s="26" t="s">
        <v>23</v>
      </c>
      <c r="B38" s="23"/>
      <c r="C38" s="23"/>
      <c r="D38" s="120"/>
      <c r="E38" s="85"/>
    </row>
    <row r="39" spans="1:7" s="29" customFormat="1" ht="13.5" customHeight="1" x14ac:dyDescent="0.3">
      <c r="A39" s="193" t="s">
        <v>65</v>
      </c>
      <c r="B39" s="193"/>
      <c r="C39" s="41"/>
      <c r="D39" s="173">
        <v>44249</v>
      </c>
      <c r="E39" s="143" t="s">
        <v>131</v>
      </c>
    </row>
    <row r="40" spans="1:7" x14ac:dyDescent="0.3">
      <c r="A40" s="144" t="s">
        <v>66</v>
      </c>
      <c r="B40" s="145"/>
      <c r="C40" s="41"/>
      <c r="D40" s="173">
        <v>4406</v>
      </c>
      <c r="E40" s="149" t="s">
        <v>131</v>
      </c>
    </row>
    <row r="41" spans="1:7" x14ac:dyDescent="0.3">
      <c r="A41" s="193" t="s">
        <v>65</v>
      </c>
      <c r="B41" s="193"/>
      <c r="C41" s="41"/>
      <c r="D41" s="173">
        <v>44249</v>
      </c>
      <c r="E41" s="150" t="s">
        <v>132</v>
      </c>
    </row>
    <row r="42" spans="1:7" ht="15" thickBot="1" x14ac:dyDescent="0.35">
      <c r="A42" s="146" t="s">
        <v>2</v>
      </c>
      <c r="B42" s="146"/>
      <c r="C42" s="23"/>
      <c r="D42" s="119"/>
      <c r="E42" s="54">
        <f>SUM(D39:D41)</f>
        <v>92904</v>
      </c>
    </row>
    <row r="43" spans="1:7" x14ac:dyDescent="0.3">
      <c r="A43" s="26" t="s">
        <v>15</v>
      </c>
      <c r="B43" s="86"/>
      <c r="C43" s="86"/>
      <c r="D43" s="121"/>
      <c r="E43" s="114"/>
    </row>
    <row r="44" spans="1:7" x14ac:dyDescent="0.3">
      <c r="A44" s="5" t="s">
        <v>33</v>
      </c>
      <c r="B44" s="5"/>
      <c r="C44" s="40"/>
      <c r="D44" s="235">
        <v>839936.9</v>
      </c>
      <c r="E44" s="89"/>
      <c r="G44" s="71"/>
    </row>
    <row r="45" spans="1:7" x14ac:dyDescent="0.3">
      <c r="A45" s="5" t="s">
        <v>153</v>
      </c>
      <c r="B45" s="5" t="s">
        <v>53</v>
      </c>
      <c r="C45" s="5"/>
      <c r="D45" s="235">
        <v>84552.82</v>
      </c>
      <c r="E45" s="89"/>
    </row>
    <row r="46" spans="1:7" x14ac:dyDescent="0.3">
      <c r="A46" s="5" t="str">
        <f>A45</f>
        <v>Sindicatos mes de JULIO</v>
      </c>
      <c r="B46" s="5" t="s">
        <v>52</v>
      </c>
      <c r="C46" s="5"/>
      <c r="D46" s="235">
        <v>41439.33</v>
      </c>
      <c r="E46" s="90"/>
    </row>
    <row r="47" spans="1:7" x14ac:dyDescent="0.3">
      <c r="A47" s="5" t="str">
        <f>A46</f>
        <v>Sindicatos mes de JULIO</v>
      </c>
      <c r="B47" s="5" t="s">
        <v>51</v>
      </c>
      <c r="C47" s="5"/>
      <c r="D47" s="235">
        <v>4604.37</v>
      </c>
      <c r="E47" s="91"/>
    </row>
    <row r="48" spans="1:7" ht="15" customHeight="1" thickBot="1" x14ac:dyDescent="0.35">
      <c r="A48" s="23" t="s">
        <v>3</v>
      </c>
      <c r="B48" s="86"/>
      <c r="C48" s="86"/>
      <c r="D48" s="122"/>
      <c r="E48" s="54">
        <f>SUM(D44:D47)</f>
        <v>970533.41999999993</v>
      </c>
    </row>
    <row r="49" spans="1:5" x14ac:dyDescent="0.3">
      <c r="A49" s="26" t="s">
        <v>16</v>
      </c>
      <c r="B49" s="86"/>
      <c r="C49" s="86"/>
      <c r="D49" s="121"/>
      <c r="E49" s="114"/>
    </row>
    <row r="50" spans="1:5" ht="14.25" customHeight="1" x14ac:dyDescent="0.3">
      <c r="A50" s="53" t="s">
        <v>69</v>
      </c>
      <c r="B50" s="5"/>
      <c r="C50" s="5"/>
      <c r="D50" s="235">
        <v>334964.3</v>
      </c>
      <c r="E50" s="89" t="s">
        <v>159</v>
      </c>
    </row>
    <row r="51" spans="1:5" ht="14.25" customHeight="1" x14ac:dyDescent="0.3">
      <c r="A51" s="147" t="s">
        <v>71</v>
      </c>
      <c r="B51" s="102"/>
      <c r="C51" s="5"/>
      <c r="D51" s="235">
        <v>8417.26</v>
      </c>
      <c r="E51" s="89" t="s">
        <v>121</v>
      </c>
    </row>
    <row r="52" spans="1:5" ht="14.25" customHeight="1" x14ac:dyDescent="0.3">
      <c r="A52" s="147" t="s">
        <v>71</v>
      </c>
      <c r="B52" s="102"/>
      <c r="C52" s="5"/>
      <c r="D52" s="113">
        <v>8417.26</v>
      </c>
      <c r="E52" s="89" t="s">
        <v>122</v>
      </c>
    </row>
    <row r="53" spans="1:5" ht="14.25" customHeight="1" x14ac:dyDescent="0.3">
      <c r="A53" s="147" t="s">
        <v>68</v>
      </c>
      <c r="B53" s="102"/>
      <c r="C53" s="5"/>
      <c r="D53" s="235">
        <v>783602.88</v>
      </c>
      <c r="E53" s="89" t="s">
        <v>121</v>
      </c>
    </row>
    <row r="54" spans="1:5" ht="15" thickBot="1" x14ac:dyDescent="0.35">
      <c r="A54" s="23" t="s">
        <v>4</v>
      </c>
      <c r="B54" s="23"/>
      <c r="C54" s="23"/>
      <c r="D54" s="123"/>
      <c r="E54" s="54">
        <f>SUM(D50:D53)</f>
        <v>1135401.7</v>
      </c>
    </row>
    <row r="55" spans="1:5" ht="15" customHeight="1" thickBot="1" x14ac:dyDescent="0.35">
      <c r="A55" s="26"/>
      <c r="B55" s="23"/>
      <c r="C55" s="23"/>
      <c r="D55" s="119"/>
      <c r="E55" s="115"/>
    </row>
    <row r="56" spans="1:5" ht="20.100000000000001" customHeight="1" x14ac:dyDescent="0.3">
      <c r="A56" s="142" t="s">
        <v>67</v>
      </c>
      <c r="B56" s="148"/>
      <c r="C56" s="5"/>
      <c r="D56" s="113">
        <v>104000</v>
      </c>
      <c r="E56" s="89" t="s">
        <v>122</v>
      </c>
    </row>
    <row r="57" spans="1:5" ht="20.100000000000001" customHeight="1" x14ac:dyDescent="0.3">
      <c r="A57" s="142" t="s">
        <v>70</v>
      </c>
      <c r="B57" s="148"/>
      <c r="C57" s="5"/>
      <c r="D57" s="113">
        <v>0</v>
      </c>
      <c r="E57" s="105"/>
    </row>
    <row r="58" spans="1:5" ht="43.2" customHeight="1" x14ac:dyDescent="0.3">
      <c r="A58" s="238" t="s">
        <v>162</v>
      </c>
      <c r="B58" s="239"/>
      <c r="C58" s="5"/>
      <c r="D58" s="235">
        <v>330000</v>
      </c>
      <c r="E58" s="105" t="s">
        <v>161</v>
      </c>
    </row>
    <row r="59" spans="1:5" ht="20.100000000000001" customHeight="1" x14ac:dyDescent="0.3">
      <c r="A59" s="142" t="s">
        <v>157</v>
      </c>
      <c r="B59" s="148"/>
      <c r="C59" s="5"/>
      <c r="D59" s="235">
        <v>81000</v>
      </c>
      <c r="E59" s="105" t="s">
        <v>156</v>
      </c>
    </row>
    <row r="60" spans="1:5" ht="20.100000000000001" customHeight="1" x14ac:dyDescent="0.3">
      <c r="A60" s="237" t="s">
        <v>158</v>
      </c>
      <c r="B60" s="148"/>
      <c r="C60" s="5"/>
      <c r="D60" s="235">
        <v>3320350</v>
      </c>
      <c r="E60" s="105"/>
    </row>
    <row r="61" spans="1:5" ht="18.75" customHeight="1" x14ac:dyDescent="0.3">
      <c r="A61" s="141" t="s">
        <v>155</v>
      </c>
      <c r="B61" s="148"/>
      <c r="C61" s="5"/>
      <c r="D61" s="235">
        <v>95700</v>
      </c>
      <c r="E61" s="105" t="s">
        <v>156</v>
      </c>
    </row>
    <row r="62" spans="1:5" ht="18.75" customHeight="1" x14ac:dyDescent="0.3">
      <c r="A62" s="237" t="s">
        <v>160</v>
      </c>
      <c r="B62" s="131"/>
      <c r="C62" s="5"/>
      <c r="D62" s="235">
        <v>40000</v>
      </c>
      <c r="E62" s="89" t="s">
        <v>122</v>
      </c>
    </row>
    <row r="63" spans="1:5" ht="15" thickBot="1" x14ac:dyDescent="0.35">
      <c r="A63" s="23" t="s">
        <v>8</v>
      </c>
      <c r="B63" s="26"/>
      <c r="C63" s="26"/>
      <c r="D63" s="25"/>
      <c r="E63" s="116">
        <f>SUM(D56:D62)</f>
        <v>3971050</v>
      </c>
    </row>
    <row r="64" spans="1:5" ht="15" thickBot="1" x14ac:dyDescent="0.35">
      <c r="A64" s="26" t="s">
        <v>10</v>
      </c>
      <c r="B64" s="45"/>
      <c r="C64" s="23"/>
      <c r="D64" s="111"/>
      <c r="E64" s="87"/>
    </row>
    <row r="65" spans="1:12" x14ac:dyDescent="0.3">
      <c r="A65" s="5" t="s">
        <v>40</v>
      </c>
      <c r="B65" s="5"/>
      <c r="C65" s="5"/>
      <c r="D65" s="113">
        <v>0</v>
      </c>
      <c r="E65" s="88"/>
    </row>
    <row r="66" spans="1:12" x14ac:dyDescent="0.3">
      <c r="A66" s="5" t="s">
        <v>39</v>
      </c>
      <c r="B66" s="5"/>
      <c r="C66" s="5"/>
      <c r="D66" s="113">
        <f>-596+61144.22</f>
        <v>60548.22</v>
      </c>
      <c r="E66" s="30"/>
    </row>
    <row r="67" spans="1:12" ht="15" thickBot="1" x14ac:dyDescent="0.35">
      <c r="A67" s="39" t="s">
        <v>14</v>
      </c>
      <c r="B67" s="39"/>
      <c r="C67" s="39"/>
      <c r="D67" s="59"/>
      <c r="E67" s="54">
        <f>SUM(D65:D66)</f>
        <v>60548.22</v>
      </c>
    </row>
    <row r="68" spans="1:12" ht="15" thickBot="1" x14ac:dyDescent="0.35">
      <c r="A68" s="5"/>
      <c r="B68" s="5"/>
      <c r="C68" s="5"/>
      <c r="D68" s="53"/>
      <c r="E68" s="60"/>
    </row>
    <row r="69" spans="1:12" ht="15" thickBot="1" x14ac:dyDescent="0.35">
      <c r="A69" s="24" t="s">
        <v>58</v>
      </c>
      <c r="B69" s="24"/>
      <c r="C69" s="24"/>
      <c r="D69" s="61"/>
      <c r="E69" s="62">
        <v>0</v>
      </c>
    </row>
    <row r="70" spans="1:12" ht="15" thickBot="1" x14ac:dyDescent="0.35">
      <c r="A70" s="1"/>
      <c r="D70" s="63"/>
      <c r="E70" s="64"/>
      <c r="F70" s="32"/>
    </row>
    <row r="71" spans="1:12" ht="15" thickBot="1" x14ac:dyDescent="0.35">
      <c r="A71" s="3" t="s">
        <v>11</v>
      </c>
      <c r="B71" s="9"/>
      <c r="C71" s="4"/>
      <c r="D71" s="65"/>
      <c r="E71" s="66">
        <f>(SUM(E30:E69))</f>
        <v>7030395.3399999999</v>
      </c>
      <c r="F71" s="79"/>
      <c r="G71" s="32"/>
      <c r="H71" s="71"/>
      <c r="I71" s="71"/>
      <c r="J71" s="71"/>
      <c r="K71" s="71"/>
      <c r="L71" s="71"/>
    </row>
    <row r="72" spans="1:12" ht="15" thickBot="1" x14ac:dyDescent="0.35">
      <c r="D72" s="63"/>
      <c r="E72" s="63"/>
      <c r="H72" s="71"/>
      <c r="I72" s="71"/>
      <c r="J72" s="71"/>
      <c r="K72" s="71"/>
      <c r="L72" s="71"/>
    </row>
    <row r="73" spans="1:12" x14ac:dyDescent="0.3">
      <c r="A73" s="10" t="s">
        <v>142</v>
      </c>
      <c r="B73" s="11"/>
      <c r="C73" s="12"/>
      <c r="D73" s="67"/>
      <c r="E73" s="68"/>
      <c r="H73" s="71"/>
      <c r="I73" s="71"/>
      <c r="J73" s="71"/>
      <c r="K73" s="71"/>
      <c r="L73" s="71"/>
    </row>
    <row r="74" spans="1:12" x14ac:dyDescent="0.3">
      <c r="A74" s="196" t="s">
        <v>130</v>
      </c>
      <c r="B74" s="197"/>
      <c r="C74" s="5"/>
      <c r="D74" s="113">
        <v>80000</v>
      </c>
      <c r="E74" s="105" t="s">
        <v>121</v>
      </c>
      <c r="H74" s="71"/>
      <c r="I74" s="71"/>
      <c r="J74" s="71"/>
      <c r="K74" s="71"/>
      <c r="L74" s="71"/>
    </row>
    <row r="75" spans="1:12" ht="34.200000000000003" customHeight="1" x14ac:dyDescent="0.3">
      <c r="A75" s="196" t="s">
        <v>118</v>
      </c>
      <c r="B75" s="197"/>
      <c r="C75" s="5"/>
      <c r="D75" s="57">
        <v>650000</v>
      </c>
      <c r="E75" s="55"/>
      <c r="H75" s="71"/>
      <c r="I75" s="71"/>
      <c r="J75" s="71"/>
      <c r="K75" s="71"/>
      <c r="L75" s="71"/>
    </row>
    <row r="76" spans="1:12" x14ac:dyDescent="0.3">
      <c r="A76" s="196" t="s">
        <v>119</v>
      </c>
      <c r="B76" s="197"/>
      <c r="C76" s="5"/>
      <c r="D76" s="113">
        <v>1109418.75</v>
      </c>
      <c r="E76" s="55"/>
      <c r="H76" s="71"/>
      <c r="I76" s="71"/>
      <c r="J76" s="71"/>
      <c r="K76" s="71"/>
      <c r="L76" s="71"/>
    </row>
    <row r="77" spans="1:12" x14ac:dyDescent="0.3">
      <c r="A77" s="56"/>
      <c r="B77" s="58"/>
      <c r="C77" s="5"/>
      <c r="D77" s="57"/>
      <c r="E77" s="55"/>
      <c r="H77" s="71"/>
      <c r="I77" s="71"/>
      <c r="J77" s="71"/>
      <c r="K77" s="71"/>
      <c r="L77" s="71"/>
    </row>
    <row r="78" spans="1:12" x14ac:dyDescent="0.3">
      <c r="A78" s="37"/>
      <c r="B78" s="36"/>
      <c r="C78" s="36"/>
      <c r="D78" s="127"/>
      <c r="E78" s="175">
        <f>SUM(D74:D77)</f>
        <v>1839418.75</v>
      </c>
      <c r="H78" s="71"/>
      <c r="I78" s="71"/>
      <c r="J78" s="71"/>
      <c r="K78" s="71"/>
      <c r="L78" s="71"/>
    </row>
    <row r="79" spans="1:12" x14ac:dyDescent="0.3">
      <c r="D79" s="63"/>
      <c r="E79" s="63"/>
      <c r="H79" s="71"/>
      <c r="I79" s="71"/>
      <c r="J79" s="71"/>
      <c r="K79" s="71"/>
      <c r="L79" s="71"/>
    </row>
    <row r="80" spans="1:12" ht="15" thickBot="1" x14ac:dyDescent="0.35">
      <c r="D80" s="63"/>
      <c r="E80" s="63"/>
      <c r="H80" s="92"/>
    </row>
    <row r="81" spans="1:5" x14ac:dyDescent="0.3">
      <c r="A81" s="10" t="s">
        <v>32</v>
      </c>
      <c r="B81" s="11"/>
      <c r="C81" s="12"/>
      <c r="D81" s="67"/>
      <c r="E81" s="68"/>
    </row>
    <row r="82" spans="1:5" x14ac:dyDescent="0.3">
      <c r="A82" s="196"/>
      <c r="B82" s="197"/>
      <c r="C82" s="5"/>
      <c r="D82" s="113"/>
      <c r="E82" s="55"/>
    </row>
    <row r="83" spans="1:5" ht="15.75" customHeight="1" x14ac:dyDescent="0.3">
      <c r="A83" s="198"/>
      <c r="B83" s="199"/>
      <c r="C83" s="5"/>
      <c r="D83" s="57"/>
      <c r="E83" s="55"/>
    </row>
    <row r="84" spans="1:5" x14ac:dyDescent="0.3">
      <c r="A84" s="56"/>
      <c r="B84" s="58"/>
      <c r="C84" s="5"/>
      <c r="D84" s="57"/>
      <c r="E84" s="55"/>
    </row>
    <row r="85" spans="1:5" x14ac:dyDescent="0.3">
      <c r="A85" s="37"/>
      <c r="B85" s="36"/>
      <c r="C85" s="36"/>
      <c r="D85" s="127"/>
      <c r="E85" s="175">
        <f>SUM(D82:D84)</f>
        <v>0</v>
      </c>
    </row>
    <row r="86" spans="1:5" ht="15" customHeight="1" thickBot="1" x14ac:dyDescent="0.35">
      <c r="D86" s="63"/>
    </row>
    <row r="87" spans="1:5" ht="15" hidden="1" thickBot="1" x14ac:dyDescent="0.35">
      <c r="D87" s="63"/>
    </row>
    <row r="88" spans="1:5" ht="15" thickBot="1" x14ac:dyDescent="0.35">
      <c r="A88" s="106" t="s">
        <v>57</v>
      </c>
      <c r="B88" s="107"/>
      <c r="C88" s="107"/>
      <c r="D88" s="128"/>
      <c r="E88" s="117">
        <v>0</v>
      </c>
    </row>
    <row r="89" spans="1:5" ht="15" thickBot="1" x14ac:dyDescent="0.35">
      <c r="D89" s="63"/>
    </row>
    <row r="90" spans="1:5" ht="15" thickBot="1" x14ac:dyDescent="0.35">
      <c r="A90" s="3" t="s">
        <v>18</v>
      </c>
      <c r="B90" s="9"/>
      <c r="C90" s="4"/>
      <c r="D90" s="65"/>
      <c r="E90" s="46">
        <f>E85+E88</f>
        <v>0</v>
      </c>
    </row>
    <row r="91" spans="1:5" ht="15" thickBot="1" x14ac:dyDescent="0.35">
      <c r="D91" s="63"/>
    </row>
    <row r="92" spans="1:5" ht="15" thickBot="1" x14ac:dyDescent="0.35">
      <c r="A92" s="51" t="s">
        <v>12</v>
      </c>
      <c r="B92" s="52">
        <f>E71</f>
        <v>7030395.3399999999</v>
      </c>
      <c r="D92" s="63"/>
    </row>
    <row r="93" spans="1:5" ht="15" thickBot="1" x14ac:dyDescent="0.35">
      <c r="A93" s="51" t="s">
        <v>13</v>
      </c>
      <c r="B93" s="52">
        <f>E71-E69</f>
        <v>7030395.3399999999</v>
      </c>
      <c r="D93" s="63"/>
    </row>
    <row r="94" spans="1:5" ht="15" thickBot="1" x14ac:dyDescent="0.35">
      <c r="A94" s="51" t="s">
        <v>19</v>
      </c>
      <c r="B94" s="52">
        <f>E90-E88</f>
        <v>0</v>
      </c>
      <c r="D94" s="63"/>
    </row>
    <row r="95" spans="1:5" ht="15" thickBot="1" x14ac:dyDescent="0.35">
      <c r="A95" s="51" t="s">
        <v>30</v>
      </c>
      <c r="B95" s="52">
        <f>E90</f>
        <v>0</v>
      </c>
      <c r="D95" s="63"/>
    </row>
    <row r="96" spans="1:5" x14ac:dyDescent="0.3">
      <c r="D96" s="63"/>
    </row>
    <row r="97" spans="1:5" x14ac:dyDescent="0.3">
      <c r="D97" s="63"/>
    </row>
    <row r="98" spans="1:5" s="29" customFormat="1" x14ac:dyDescent="0.3">
      <c r="A98"/>
      <c r="B98" s="31"/>
      <c r="C98" s="28"/>
      <c r="D98"/>
    </row>
    <row r="99" spans="1:5" s="29" customFormat="1" x14ac:dyDescent="0.3">
      <c r="A99" s="72" t="s">
        <v>141</v>
      </c>
      <c r="B99" s="73">
        <v>8196318.3700000001</v>
      </c>
      <c r="C99" s="28"/>
      <c r="D99" s="35"/>
    </row>
    <row r="100" spans="1:5" x14ac:dyDescent="0.3">
      <c r="A100" s="41" t="s">
        <v>36</v>
      </c>
      <c r="B100" s="77">
        <f>-B93</f>
        <v>-7030395.3399999999</v>
      </c>
      <c r="E100" s="32"/>
    </row>
    <row r="101" spans="1:5" x14ac:dyDescent="0.3">
      <c r="A101" s="41" t="s">
        <v>37</v>
      </c>
      <c r="B101" s="77">
        <f>-B94</f>
        <v>0</v>
      </c>
    </row>
    <row r="102" spans="1:5" x14ac:dyDescent="0.3">
      <c r="A102" s="41" t="s">
        <v>143</v>
      </c>
      <c r="B102" s="77">
        <f>-E78</f>
        <v>-1839418.75</v>
      </c>
    </row>
    <row r="103" spans="1:5" x14ac:dyDescent="0.3">
      <c r="A103" s="41" t="s">
        <v>38</v>
      </c>
      <c r="B103" s="77">
        <f>B121</f>
        <v>0</v>
      </c>
    </row>
    <row r="104" spans="1:5" x14ac:dyDescent="0.3">
      <c r="A104" s="41" t="s">
        <v>136</v>
      </c>
      <c r="B104" s="78">
        <f>PRORRATEO!L36</f>
        <v>3548957.26</v>
      </c>
    </row>
    <row r="105" spans="1:5" ht="15" thickBot="1" x14ac:dyDescent="0.35">
      <c r="A105" s="75" t="s">
        <v>34</v>
      </c>
      <c r="B105" s="76">
        <f>SUM(B99:C104)</f>
        <v>2875461.54</v>
      </c>
      <c r="D105" s="31"/>
      <c r="E105" s="32"/>
    </row>
    <row r="106" spans="1:5" x14ac:dyDescent="0.3">
      <c r="A106" s="74"/>
      <c r="B106" s="74"/>
    </row>
    <row r="107" spans="1:5" x14ac:dyDescent="0.3">
      <c r="A107" s="72" t="s">
        <v>137</v>
      </c>
      <c r="B107" s="73">
        <v>747013</v>
      </c>
    </row>
    <row r="108" spans="1:5" ht="31.5" customHeight="1" x14ac:dyDescent="0.3">
      <c r="A108" s="41" t="s">
        <v>154</v>
      </c>
      <c r="B108" s="151">
        <v>-721423.6</v>
      </c>
    </row>
    <row r="109" spans="1:5" x14ac:dyDescent="0.3">
      <c r="A109" s="41" t="s">
        <v>139</v>
      </c>
      <c r="B109" s="151">
        <v>-36000</v>
      </c>
    </row>
    <row r="110" spans="1:5" x14ac:dyDescent="0.3">
      <c r="A110" s="41" t="s">
        <v>37</v>
      </c>
      <c r="B110" s="77">
        <f>-B101</f>
        <v>0</v>
      </c>
    </row>
    <row r="111" spans="1:5" x14ac:dyDescent="0.3">
      <c r="A111" s="41" t="s">
        <v>138</v>
      </c>
      <c r="B111" s="78">
        <f>PRORRATEO!L37</f>
        <v>208570</v>
      </c>
    </row>
    <row r="112" spans="1:5" ht="15" thickBot="1" x14ac:dyDescent="0.35">
      <c r="A112" s="75" t="s">
        <v>34</v>
      </c>
      <c r="B112" s="76">
        <f>SUM(B107:C111)</f>
        <v>198159.40000000002</v>
      </c>
    </row>
    <row r="113" spans="1:13" x14ac:dyDescent="0.3">
      <c r="A113" s="74"/>
      <c r="B113" s="74"/>
    </row>
    <row r="114" spans="1:13" x14ac:dyDescent="0.3">
      <c r="A114" s="74"/>
      <c r="B114" s="74"/>
    </row>
    <row r="115" spans="1:13" x14ac:dyDescent="0.3">
      <c r="A115" s="74"/>
      <c r="B115" s="74"/>
    </row>
    <row r="116" spans="1:13" x14ac:dyDescent="0.3">
      <c r="A116" s="74"/>
      <c r="B116" s="74"/>
    </row>
    <row r="117" spans="1:13" ht="34.5" customHeight="1" x14ac:dyDescent="0.3"/>
    <row r="118" spans="1:13" x14ac:dyDescent="0.3">
      <c r="A118" s="195" t="s">
        <v>24</v>
      </c>
      <c r="B118" s="195"/>
      <c r="C118" s="195"/>
    </row>
    <row r="119" spans="1:13" x14ac:dyDescent="0.3">
      <c r="A119" s="195"/>
      <c r="B119" s="195"/>
      <c r="C119" s="195"/>
    </row>
    <row r="120" spans="1:13" ht="35.25" customHeight="1" x14ac:dyDescent="0.3">
      <c r="A120" s="69"/>
      <c r="B120" s="27"/>
      <c r="C120" s="27">
        <v>40000</v>
      </c>
      <c r="E120" s="79"/>
    </row>
    <row r="121" spans="1:13" x14ac:dyDescent="0.3">
      <c r="A121" s="33" t="s">
        <v>8</v>
      </c>
      <c r="B121" s="70">
        <f>SUM(B120:B120)</f>
        <v>0</v>
      </c>
      <c r="C121" s="34"/>
    </row>
    <row r="122" spans="1:13" x14ac:dyDescent="0.3">
      <c r="M122" s="7"/>
    </row>
    <row r="123" spans="1:13" ht="15" customHeight="1" x14ac:dyDescent="0.3">
      <c r="A123" s="194"/>
      <c r="B123" s="194"/>
      <c r="C123" s="194"/>
      <c r="D123" s="194"/>
      <c r="E123" s="194"/>
    </row>
    <row r="124" spans="1:13" x14ac:dyDescent="0.3">
      <c r="A124" s="194"/>
      <c r="B124" s="194"/>
      <c r="C124" s="194"/>
      <c r="D124" s="194"/>
      <c r="E124" s="194"/>
    </row>
    <row r="125" spans="1:13" x14ac:dyDescent="0.3">
      <c r="A125" s="194"/>
      <c r="B125" s="194"/>
      <c r="C125" s="194"/>
      <c r="D125" s="194"/>
      <c r="E125" s="194"/>
    </row>
    <row r="126" spans="1:13" x14ac:dyDescent="0.3">
      <c r="A126" s="194"/>
      <c r="B126" s="194"/>
      <c r="C126" s="194"/>
      <c r="D126" s="194"/>
      <c r="E126" s="194"/>
    </row>
  </sheetData>
  <mergeCells count="17">
    <mergeCell ref="A39:B39"/>
    <mergeCell ref="A26:B26"/>
    <mergeCell ref="B1:D1"/>
    <mergeCell ref="A36:B36"/>
    <mergeCell ref="A35:B35"/>
    <mergeCell ref="B3:E3"/>
    <mergeCell ref="A13:E16"/>
    <mergeCell ref="B8:C10"/>
    <mergeCell ref="A41:B41"/>
    <mergeCell ref="A123:E126"/>
    <mergeCell ref="A118:C119"/>
    <mergeCell ref="A82:B82"/>
    <mergeCell ref="A83:B83"/>
    <mergeCell ref="A74:B74"/>
    <mergeCell ref="A75:B75"/>
    <mergeCell ref="A76:B76"/>
    <mergeCell ref="A58:B58"/>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53"/>
  <sheetViews>
    <sheetView topLeftCell="C1" zoomScaleNormal="100" workbookViewId="0">
      <selection activeCell="Q2" sqref="Q2:S2"/>
    </sheetView>
  </sheetViews>
  <sheetFormatPr baseColWidth="10" defaultColWidth="10.6640625" defaultRowHeight="14.4" x14ac:dyDescent="0.3"/>
  <cols>
    <col min="1" max="1" width="4.33203125" customWidth="1"/>
    <col min="2" max="4" width="6.5546875" customWidth="1"/>
    <col min="5" max="5" width="20.44140625" customWidth="1"/>
    <col min="6" max="6" width="9.109375" customWidth="1"/>
    <col min="7" max="8" width="8.33203125" customWidth="1"/>
    <col min="9" max="9" width="8.44140625" customWidth="1"/>
    <col min="10" max="10" width="14.33203125" customWidth="1"/>
    <col min="11" max="11" width="13.44140625" customWidth="1"/>
    <col min="12" max="12" width="12.44140625" hidden="1" customWidth="1"/>
    <col min="13" max="13" width="13" customWidth="1"/>
    <col min="14" max="14" width="11.109375" customWidth="1"/>
    <col min="15" max="15" width="11.33203125" customWidth="1"/>
    <col min="16" max="18" width="12.44140625" customWidth="1"/>
    <col min="19" max="19" width="14.6640625" customWidth="1"/>
    <col min="20" max="20" width="14.33203125" customWidth="1"/>
    <col min="21" max="21" width="7.33203125" bestFit="1" customWidth="1"/>
    <col min="22" max="22" width="14.33203125" bestFit="1" customWidth="1"/>
    <col min="23" max="23" width="13.5546875" bestFit="1" customWidth="1"/>
  </cols>
  <sheetData>
    <row r="1" spans="1:23" ht="12.6" customHeight="1" x14ac:dyDescent="0.3">
      <c r="A1" s="6"/>
      <c r="B1" s="6"/>
      <c r="C1" s="6"/>
      <c r="D1" s="6"/>
      <c r="E1" s="6"/>
      <c r="F1" s="6"/>
      <c r="G1" s="6"/>
      <c r="H1" s="205"/>
      <c r="I1" s="205"/>
      <c r="J1" s="205"/>
      <c r="K1" s="205"/>
      <c r="L1" s="205"/>
      <c r="M1" s="205"/>
      <c r="N1" s="205"/>
      <c r="O1" s="205"/>
      <c r="P1" s="205"/>
      <c r="Q1" s="205"/>
      <c r="R1" s="205"/>
      <c r="S1" s="205"/>
      <c r="T1" s="6"/>
    </row>
    <row r="2" spans="1:23" ht="13.2" customHeight="1" x14ac:dyDescent="0.3">
      <c r="A2" s="6"/>
      <c r="B2" s="6"/>
      <c r="C2" s="6"/>
      <c r="D2" s="6"/>
      <c r="E2" s="16" t="s">
        <v>42</v>
      </c>
      <c r="F2" s="220">
        <v>0</v>
      </c>
      <c r="G2" s="220"/>
      <c r="H2" s="174"/>
      <c r="I2" s="174"/>
      <c r="J2" s="16" t="s">
        <v>144</v>
      </c>
      <c r="K2" s="221">
        <v>1839418.75</v>
      </c>
      <c r="L2" s="221"/>
      <c r="M2" s="221"/>
      <c r="N2" s="16"/>
      <c r="O2" s="16"/>
      <c r="P2" s="16" t="s">
        <v>54</v>
      </c>
      <c r="Q2" s="220">
        <v>2678810.35</v>
      </c>
      <c r="R2" s="220"/>
      <c r="S2" s="220"/>
      <c r="T2" s="42"/>
      <c r="U2" s="21"/>
      <c r="V2">
        <v>4095718.96</v>
      </c>
    </row>
    <row r="3" spans="1:23" ht="13.2" customHeight="1" thickBot="1" x14ac:dyDescent="0.35">
      <c r="A3" s="6"/>
      <c r="B3" s="6"/>
      <c r="C3" s="6"/>
      <c r="D3" s="6"/>
      <c r="E3" s="6"/>
      <c r="F3" s="6"/>
      <c r="G3" s="6"/>
      <c r="H3" s="6"/>
      <c r="I3" s="6"/>
      <c r="J3" s="6"/>
      <c r="K3" s="6"/>
      <c r="L3" s="6"/>
      <c r="M3" s="6"/>
      <c r="N3" s="6"/>
      <c r="O3" s="6"/>
      <c r="P3" s="6"/>
      <c r="Q3" s="6"/>
      <c r="R3" s="6"/>
      <c r="S3" s="44"/>
      <c r="T3" s="44"/>
    </row>
    <row r="4" spans="1:23" ht="13.2" customHeight="1" x14ac:dyDescent="0.3">
      <c r="A4" s="212"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213"/>
      <c r="C4" s="213"/>
      <c r="D4" s="213"/>
      <c r="E4" s="213"/>
      <c r="F4" s="213"/>
      <c r="G4" s="213"/>
      <c r="H4" s="213"/>
      <c r="I4" s="213"/>
      <c r="J4" s="213"/>
      <c r="K4" s="213"/>
      <c r="L4" s="213"/>
      <c r="M4" s="213"/>
      <c r="N4" s="213"/>
      <c r="O4" s="213"/>
      <c r="P4" s="213"/>
      <c r="Q4" s="213"/>
      <c r="R4" s="213"/>
      <c r="S4" s="213"/>
      <c r="T4" s="214"/>
    </row>
    <row r="5" spans="1:23" ht="13.2" customHeight="1" x14ac:dyDescent="0.3">
      <c r="A5" s="215"/>
      <c r="B5" s="216"/>
      <c r="C5" s="216"/>
      <c r="D5" s="216"/>
      <c r="E5" s="216"/>
      <c r="F5" s="216"/>
      <c r="G5" s="216"/>
      <c r="H5" s="216"/>
      <c r="I5" s="216"/>
      <c r="J5" s="216"/>
      <c r="K5" s="216"/>
      <c r="L5" s="216"/>
      <c r="M5" s="216"/>
      <c r="N5" s="216"/>
      <c r="O5" s="216"/>
      <c r="P5" s="216"/>
      <c r="Q5" s="216"/>
      <c r="R5" s="216"/>
      <c r="S5" s="216"/>
      <c r="T5" s="217"/>
    </row>
    <row r="6" spans="1:23" ht="13.2" customHeight="1" x14ac:dyDescent="0.3">
      <c r="A6" s="215"/>
      <c r="B6" s="216"/>
      <c r="C6" s="216"/>
      <c r="D6" s="216"/>
      <c r="E6" s="216"/>
      <c r="F6" s="216"/>
      <c r="G6" s="216"/>
      <c r="H6" s="216"/>
      <c r="I6" s="216"/>
      <c r="J6" s="216"/>
      <c r="K6" s="216"/>
      <c r="L6" s="216"/>
      <c r="M6" s="216"/>
      <c r="N6" s="216"/>
      <c r="O6" s="216"/>
      <c r="P6" s="216"/>
      <c r="Q6" s="216"/>
      <c r="R6" s="216"/>
      <c r="S6" s="216"/>
      <c r="T6" s="217"/>
    </row>
    <row r="7" spans="1:23" ht="64.95" customHeight="1" x14ac:dyDescent="0.3">
      <c r="A7" s="215"/>
      <c r="B7" s="216"/>
      <c r="C7" s="216"/>
      <c r="D7" s="216"/>
      <c r="E7" s="216"/>
      <c r="F7" s="216"/>
      <c r="G7" s="216"/>
      <c r="H7" s="216"/>
      <c r="I7" s="216"/>
      <c r="J7" s="216"/>
      <c r="K7" s="216"/>
      <c r="L7" s="216"/>
      <c r="M7" s="216"/>
      <c r="N7" s="216"/>
      <c r="O7" s="216"/>
      <c r="P7" s="216"/>
      <c r="Q7" s="216"/>
      <c r="R7" s="216"/>
      <c r="S7" s="216"/>
      <c r="T7" s="217"/>
    </row>
    <row r="8" spans="1:23" ht="45.75" customHeight="1" thickBot="1" x14ac:dyDescent="0.35">
      <c r="A8" s="215"/>
      <c r="B8" s="216"/>
      <c r="C8" s="216"/>
      <c r="D8" s="216"/>
      <c r="E8" s="216"/>
      <c r="F8" s="216"/>
      <c r="G8" s="216"/>
      <c r="H8" s="216"/>
      <c r="I8" s="216"/>
      <c r="J8" s="216"/>
      <c r="K8" s="216"/>
      <c r="L8" s="216"/>
      <c r="M8" s="216"/>
      <c r="N8" s="216"/>
      <c r="O8" s="216"/>
      <c r="P8" s="216"/>
      <c r="Q8" s="216"/>
      <c r="R8" s="216"/>
      <c r="S8" s="216"/>
      <c r="T8" s="217"/>
    </row>
    <row r="9" spans="1:23" ht="15" thickBot="1" x14ac:dyDescent="0.35">
      <c r="A9" s="206" t="s">
        <v>5</v>
      </c>
      <c r="B9" s="208" t="s">
        <v>73</v>
      </c>
      <c r="C9" s="208" t="s">
        <v>74</v>
      </c>
      <c r="D9" s="208" t="s">
        <v>78</v>
      </c>
      <c r="E9" s="208" t="s">
        <v>6</v>
      </c>
      <c r="F9" s="208" t="s">
        <v>116</v>
      </c>
      <c r="G9" s="208" t="s">
        <v>117</v>
      </c>
      <c r="H9" s="206" t="s">
        <v>115</v>
      </c>
      <c r="I9" s="152" t="s">
        <v>14</v>
      </c>
      <c r="J9" s="206" t="s">
        <v>35</v>
      </c>
      <c r="K9" s="208" t="s">
        <v>7</v>
      </c>
      <c r="L9" s="208" t="s">
        <v>133</v>
      </c>
      <c r="M9" s="210" t="s">
        <v>22</v>
      </c>
      <c r="N9" s="206" t="s">
        <v>146</v>
      </c>
      <c r="O9" s="206" t="s">
        <v>56</v>
      </c>
      <c r="P9" s="206" t="s">
        <v>20</v>
      </c>
      <c r="Q9" s="206" t="s">
        <v>43</v>
      </c>
      <c r="R9" s="230" t="s">
        <v>145</v>
      </c>
      <c r="S9" s="153" t="s">
        <v>28</v>
      </c>
      <c r="T9" s="218" t="s">
        <v>27</v>
      </c>
    </row>
    <row r="10" spans="1:23" ht="15.75" customHeight="1" thickBot="1" x14ac:dyDescent="0.35">
      <c r="A10" s="207"/>
      <c r="B10" s="209"/>
      <c r="C10" s="209"/>
      <c r="D10" s="209"/>
      <c r="E10" s="209"/>
      <c r="F10" s="209"/>
      <c r="G10" s="209"/>
      <c r="H10" s="207"/>
      <c r="I10" s="165" t="s">
        <v>114</v>
      </c>
      <c r="J10" s="207"/>
      <c r="K10" s="209"/>
      <c r="L10" s="209"/>
      <c r="M10" s="211"/>
      <c r="N10" s="207"/>
      <c r="O10" s="207"/>
      <c r="P10" s="207"/>
      <c r="Q10" s="207"/>
      <c r="R10" s="231"/>
      <c r="S10" s="192" t="str">
        <f>RESUMEN!B8</f>
        <v>VTO 17/09</v>
      </c>
      <c r="T10" s="219"/>
    </row>
    <row r="11" spans="1:23" ht="17.100000000000001" customHeight="1" x14ac:dyDescent="0.3">
      <c r="A11" s="170">
        <v>19</v>
      </c>
      <c r="B11" s="155">
        <v>17</v>
      </c>
      <c r="C11" s="155"/>
      <c r="D11" s="155" t="s">
        <v>79</v>
      </c>
      <c r="E11" s="167" t="s">
        <v>97</v>
      </c>
      <c r="F11" s="168">
        <v>5.44</v>
      </c>
      <c r="G11" s="168">
        <v>0.12</v>
      </c>
      <c r="H11" s="169"/>
      <c r="I11" s="171">
        <f>SUM(F11:H11)</f>
        <v>5.5600000000000005</v>
      </c>
      <c r="J11" s="166">
        <v>208571.19</v>
      </c>
      <c r="K11" s="164">
        <f>J11</f>
        <v>208571.19</v>
      </c>
      <c r="L11" s="164" t="s">
        <v>134</v>
      </c>
      <c r="M11" s="163">
        <f t="shared" ref="M11:M34" si="0">J11-K11</f>
        <v>0</v>
      </c>
      <c r="N11" s="163">
        <f>IF(M11&gt;0,M11*2%,0)</f>
        <v>0</v>
      </c>
      <c r="O11" s="163"/>
      <c r="P11" s="161">
        <f>Q$2*I11/100</f>
        <v>148941.85546000002</v>
      </c>
      <c r="Q11" s="162">
        <f>F$2*I11/100</f>
        <v>0</v>
      </c>
      <c r="R11" s="162">
        <f>K$2/18</f>
        <v>102189.93055555556</v>
      </c>
      <c r="S11" s="160">
        <f>ROUND(SUM(M11:R11),0) + U11</f>
        <v>251132.19</v>
      </c>
      <c r="T11" s="160">
        <f t="shared" ref="T11:T34" si="1">ROUND(S11*3%,0) + S11</f>
        <v>258666.19</v>
      </c>
      <c r="U11" s="32">
        <f t="shared" ref="U11:U16" si="2">A11/100</f>
        <v>0.19</v>
      </c>
      <c r="V11" s="32" t="s">
        <v>124</v>
      </c>
    </row>
    <row r="12" spans="1:23" ht="17.100000000000001" customHeight="1" x14ac:dyDescent="0.3">
      <c r="A12" s="158">
        <v>20</v>
      </c>
      <c r="B12" s="132"/>
      <c r="C12" s="132"/>
      <c r="D12" s="132" t="s">
        <v>80</v>
      </c>
      <c r="E12" s="93" t="s">
        <v>98</v>
      </c>
      <c r="F12" s="94">
        <v>2.87</v>
      </c>
      <c r="G12" s="94"/>
      <c r="H12" s="138"/>
      <c r="I12" s="139">
        <f t="shared" ref="I12:I34" si="3">SUM(F12:H12)</f>
        <v>2.87</v>
      </c>
      <c r="J12" s="95">
        <v>99345.2</v>
      </c>
      <c r="K12" s="100">
        <f>J12</f>
        <v>99345.2</v>
      </c>
      <c r="L12" s="118" t="s">
        <v>134</v>
      </c>
      <c r="M12" s="96">
        <f t="shared" si="0"/>
        <v>0</v>
      </c>
      <c r="N12" s="163">
        <f t="shared" ref="N12:N34" si="4">IF(M12&gt;0,M12*2%,0)</f>
        <v>0</v>
      </c>
      <c r="O12" s="96"/>
      <c r="P12" s="97">
        <f t="shared" ref="P12:P34" si="5">Q$2*I12/100</f>
        <v>76881.857045000012</v>
      </c>
      <c r="Q12" s="98">
        <f t="shared" ref="Q12:Q34" si="6">F$2*I12/100</f>
        <v>0</v>
      </c>
      <c r="R12" s="98"/>
      <c r="S12" s="160">
        <f t="shared" ref="S12:S27" si="7">ROUND(SUM(M12:R12),0) + U12</f>
        <v>76882.2</v>
      </c>
      <c r="T12" s="140">
        <f t="shared" si="1"/>
        <v>79188.2</v>
      </c>
      <c r="U12" s="32">
        <f t="shared" si="2"/>
        <v>0.2</v>
      </c>
      <c r="V12" s="32" t="s">
        <v>140</v>
      </c>
    </row>
    <row r="13" spans="1:23" ht="17.100000000000001" customHeight="1" x14ac:dyDescent="0.3">
      <c r="A13" s="159">
        <v>21</v>
      </c>
      <c r="B13" s="133">
        <v>15</v>
      </c>
      <c r="C13" s="133"/>
      <c r="D13" s="133" t="s">
        <v>81</v>
      </c>
      <c r="E13" s="99" t="s">
        <v>99</v>
      </c>
      <c r="F13" s="94">
        <v>5.44</v>
      </c>
      <c r="G13" s="94">
        <v>0.12</v>
      </c>
      <c r="H13" s="138"/>
      <c r="I13" s="139">
        <f t="shared" si="3"/>
        <v>5.5600000000000005</v>
      </c>
      <c r="J13" s="100">
        <v>208571.21</v>
      </c>
      <c r="K13" s="100">
        <f>192459.4</f>
        <v>192459.4</v>
      </c>
      <c r="L13" s="118" t="s">
        <v>134</v>
      </c>
      <c r="M13" s="96">
        <f t="shared" si="0"/>
        <v>16111.809999999998</v>
      </c>
      <c r="N13" s="163">
        <f t="shared" si="4"/>
        <v>322.23619999999994</v>
      </c>
      <c r="O13" s="96"/>
      <c r="P13" s="97">
        <f t="shared" si="5"/>
        <v>148941.85546000002</v>
      </c>
      <c r="Q13" s="98">
        <f t="shared" si="6"/>
        <v>0</v>
      </c>
      <c r="R13" s="162">
        <f>K$2/18</f>
        <v>102189.93055555556</v>
      </c>
      <c r="S13" s="160">
        <f t="shared" si="7"/>
        <v>267566.21000000002</v>
      </c>
      <c r="T13" s="140">
        <f t="shared" si="1"/>
        <v>275593.21000000002</v>
      </c>
      <c r="U13" s="32">
        <f t="shared" si="2"/>
        <v>0.21</v>
      </c>
      <c r="V13" s="31"/>
    </row>
    <row r="14" spans="1:23" ht="17.100000000000001" customHeight="1" x14ac:dyDescent="0.3">
      <c r="A14" s="158">
        <v>22</v>
      </c>
      <c r="B14" s="132"/>
      <c r="C14" s="132"/>
      <c r="D14" s="132" t="s">
        <v>82</v>
      </c>
      <c r="E14" s="93" t="s">
        <v>98</v>
      </c>
      <c r="F14" s="94">
        <v>2.87</v>
      </c>
      <c r="G14" s="94"/>
      <c r="H14" s="138"/>
      <c r="I14" s="139">
        <f t="shared" si="3"/>
        <v>2.87</v>
      </c>
      <c r="J14" s="95">
        <v>99345.22</v>
      </c>
      <c r="K14" s="100">
        <f>J14</f>
        <v>99345.22</v>
      </c>
      <c r="L14" s="118" t="s">
        <v>134</v>
      </c>
      <c r="M14" s="96">
        <f t="shared" si="0"/>
        <v>0</v>
      </c>
      <c r="N14" s="163">
        <f t="shared" si="4"/>
        <v>0</v>
      </c>
      <c r="O14" s="96"/>
      <c r="P14" s="97">
        <f t="shared" si="5"/>
        <v>76881.857045000012</v>
      </c>
      <c r="Q14" s="98">
        <f t="shared" si="6"/>
        <v>0</v>
      </c>
      <c r="R14" s="98"/>
      <c r="S14" s="160">
        <f t="shared" si="7"/>
        <v>76882.22</v>
      </c>
      <c r="T14" s="140">
        <f t="shared" si="1"/>
        <v>79188.22</v>
      </c>
      <c r="U14" s="32">
        <f t="shared" si="2"/>
        <v>0.22</v>
      </c>
      <c r="V14" t="s">
        <v>123</v>
      </c>
      <c r="W14" s="32"/>
    </row>
    <row r="15" spans="1:23" ht="17.100000000000001" customHeight="1" x14ac:dyDescent="0.3">
      <c r="A15" s="158">
        <v>23</v>
      </c>
      <c r="B15" s="132">
        <v>7</v>
      </c>
      <c r="C15" s="132" t="s">
        <v>75</v>
      </c>
      <c r="D15" s="132" t="s">
        <v>83</v>
      </c>
      <c r="E15" s="93" t="s">
        <v>100</v>
      </c>
      <c r="F15" s="94">
        <v>5.44</v>
      </c>
      <c r="G15" s="94">
        <v>0.41</v>
      </c>
      <c r="H15" s="138">
        <v>0.09</v>
      </c>
      <c r="I15" s="139">
        <f t="shared" si="3"/>
        <v>5.94</v>
      </c>
      <c r="J15" s="95">
        <v>221724.23</v>
      </c>
      <c r="K15" s="100">
        <f>J15</f>
        <v>221724.23</v>
      </c>
      <c r="L15" s="118" t="s">
        <v>134</v>
      </c>
      <c r="M15" s="96">
        <f t="shared" si="0"/>
        <v>0</v>
      </c>
      <c r="N15" s="163">
        <f t="shared" si="4"/>
        <v>0</v>
      </c>
      <c r="O15" s="96"/>
      <c r="P15" s="97">
        <f t="shared" si="5"/>
        <v>159121.33479000002</v>
      </c>
      <c r="Q15" s="98">
        <f t="shared" si="6"/>
        <v>0</v>
      </c>
      <c r="R15" s="162">
        <f>K$2/18</f>
        <v>102189.93055555556</v>
      </c>
      <c r="S15" s="160">
        <f t="shared" si="7"/>
        <v>261311.23</v>
      </c>
      <c r="T15" s="140">
        <f t="shared" si="1"/>
        <v>269150.23</v>
      </c>
      <c r="U15" s="32">
        <f t="shared" si="2"/>
        <v>0.23</v>
      </c>
      <c r="W15" s="32"/>
    </row>
    <row r="16" spans="1:23" ht="17.100000000000001" customHeight="1" x14ac:dyDescent="0.3">
      <c r="A16" s="158">
        <v>24</v>
      </c>
      <c r="B16" s="132"/>
      <c r="C16" s="132"/>
      <c r="D16" s="132" t="s">
        <v>84</v>
      </c>
      <c r="E16" s="93" t="s">
        <v>101</v>
      </c>
      <c r="F16" s="94">
        <v>2.87</v>
      </c>
      <c r="G16" s="94"/>
      <c r="H16" s="138"/>
      <c r="I16" s="139">
        <f t="shared" si="3"/>
        <v>2.87</v>
      </c>
      <c r="J16" s="95">
        <v>99343.24</v>
      </c>
      <c r="K16" s="100">
        <f>J16</f>
        <v>99343.24</v>
      </c>
      <c r="L16" s="118" t="s">
        <v>134</v>
      </c>
      <c r="M16" s="96">
        <f t="shared" si="0"/>
        <v>0</v>
      </c>
      <c r="N16" s="163">
        <f t="shared" si="4"/>
        <v>0</v>
      </c>
      <c r="O16" s="96"/>
      <c r="P16" s="97">
        <f t="shared" si="5"/>
        <v>76881.857045000012</v>
      </c>
      <c r="Q16" s="98">
        <f t="shared" si="6"/>
        <v>0</v>
      </c>
      <c r="R16" s="98"/>
      <c r="S16" s="160">
        <f t="shared" si="7"/>
        <v>76882.240000000005</v>
      </c>
      <c r="T16" s="140">
        <f t="shared" si="1"/>
        <v>79188.240000000005</v>
      </c>
      <c r="U16" s="32">
        <f t="shared" si="2"/>
        <v>0.24</v>
      </c>
      <c r="V16" t="s">
        <v>127</v>
      </c>
    </row>
    <row r="17" spans="1:22" ht="17.100000000000001" customHeight="1" x14ac:dyDescent="0.3">
      <c r="A17" s="158" t="s">
        <v>72</v>
      </c>
      <c r="B17" s="132">
        <v>9</v>
      </c>
      <c r="C17" s="132"/>
      <c r="D17" s="132" t="s">
        <v>85</v>
      </c>
      <c r="E17" s="93" t="s">
        <v>101</v>
      </c>
      <c r="F17" s="94"/>
      <c r="G17" s="94">
        <v>0.53</v>
      </c>
      <c r="H17" s="138"/>
      <c r="I17" s="139">
        <f t="shared" si="3"/>
        <v>0.53</v>
      </c>
      <c r="J17" s="95">
        <v>34457.24</v>
      </c>
      <c r="K17" s="100">
        <f>J17</f>
        <v>34457.24</v>
      </c>
      <c r="L17" s="118" t="s">
        <v>134</v>
      </c>
      <c r="M17" s="96">
        <f t="shared" si="0"/>
        <v>0</v>
      </c>
      <c r="N17" s="163">
        <f t="shared" si="4"/>
        <v>0</v>
      </c>
      <c r="O17" s="96"/>
      <c r="P17" s="97">
        <f t="shared" si="5"/>
        <v>14197.694855000002</v>
      </c>
      <c r="Q17" s="98">
        <f t="shared" si="6"/>
        <v>0</v>
      </c>
      <c r="R17" s="162">
        <f t="shared" ref="R17:R22" si="8">K$2/18</f>
        <v>102189.93055555556</v>
      </c>
      <c r="S17" s="160">
        <f t="shared" si="7"/>
        <v>116388.24</v>
      </c>
      <c r="T17" s="140">
        <f t="shared" si="1"/>
        <v>119880.24</v>
      </c>
      <c r="U17" s="32">
        <v>0.24</v>
      </c>
    </row>
    <row r="18" spans="1:22" ht="17.100000000000001" customHeight="1" x14ac:dyDescent="0.3">
      <c r="A18" s="158">
        <v>25</v>
      </c>
      <c r="B18" s="132">
        <v>14</v>
      </c>
      <c r="C18" s="132"/>
      <c r="D18" s="132" t="s">
        <v>86</v>
      </c>
      <c r="E18" s="93" t="s">
        <v>102</v>
      </c>
      <c r="F18" s="94">
        <v>5.44</v>
      </c>
      <c r="G18" s="94">
        <v>0.12</v>
      </c>
      <c r="H18" s="138"/>
      <c r="I18" s="139">
        <f t="shared" si="3"/>
        <v>5.5600000000000005</v>
      </c>
      <c r="J18" s="95">
        <v>197376.25</v>
      </c>
      <c r="K18" s="100">
        <v>223850</v>
      </c>
      <c r="L18" s="118" t="s">
        <v>134</v>
      </c>
      <c r="M18" s="96">
        <f t="shared" si="0"/>
        <v>-26473.75</v>
      </c>
      <c r="N18" s="163">
        <f t="shared" si="4"/>
        <v>0</v>
      </c>
      <c r="O18" s="96"/>
      <c r="P18" s="97">
        <f t="shared" si="5"/>
        <v>148941.85546000002</v>
      </c>
      <c r="Q18" s="98">
        <f t="shared" si="6"/>
        <v>0</v>
      </c>
      <c r="R18" s="162">
        <f t="shared" si="8"/>
        <v>102189.93055555556</v>
      </c>
      <c r="S18" s="160">
        <f t="shared" si="7"/>
        <v>224658.25</v>
      </c>
      <c r="T18" s="140">
        <f t="shared" si="1"/>
        <v>231398.25</v>
      </c>
      <c r="U18" s="32">
        <f t="shared" ref="U18:U28" si="9">A18/100</f>
        <v>0.25</v>
      </c>
    </row>
    <row r="19" spans="1:22" ht="17.100000000000001" customHeight="1" x14ac:dyDescent="0.3">
      <c r="A19" s="158">
        <f>A18+1</f>
        <v>26</v>
      </c>
      <c r="B19" s="132">
        <v>8</v>
      </c>
      <c r="C19" s="132"/>
      <c r="D19" s="132" t="s">
        <v>87</v>
      </c>
      <c r="E19" s="93" t="s">
        <v>103</v>
      </c>
      <c r="F19" s="94">
        <v>2.87</v>
      </c>
      <c r="G19" s="94">
        <v>0.41</v>
      </c>
      <c r="H19" s="138"/>
      <c r="I19" s="139">
        <f t="shared" si="3"/>
        <v>3.2800000000000002</v>
      </c>
      <c r="J19" s="95">
        <v>129648.26</v>
      </c>
      <c r="K19" s="100">
        <f>J19</f>
        <v>129648.26</v>
      </c>
      <c r="L19" s="118" t="s">
        <v>134</v>
      </c>
      <c r="M19" s="96">
        <f t="shared" si="0"/>
        <v>0</v>
      </c>
      <c r="N19" s="163">
        <f t="shared" si="4"/>
        <v>0</v>
      </c>
      <c r="O19" s="96"/>
      <c r="P19" s="97">
        <f t="shared" si="5"/>
        <v>87864.979480000009</v>
      </c>
      <c r="Q19" s="98">
        <f t="shared" si="6"/>
        <v>0</v>
      </c>
      <c r="R19" s="162">
        <f t="shared" si="8"/>
        <v>102189.93055555556</v>
      </c>
      <c r="S19" s="160">
        <f t="shared" si="7"/>
        <v>190055.26</v>
      </c>
      <c r="T19" s="140">
        <f t="shared" si="1"/>
        <v>195757.26</v>
      </c>
      <c r="U19" s="32">
        <f t="shared" si="9"/>
        <v>0.26</v>
      </c>
      <c r="V19" t="s">
        <v>129</v>
      </c>
    </row>
    <row r="20" spans="1:22" ht="17.100000000000001" customHeight="1" x14ac:dyDescent="0.3">
      <c r="A20" s="158">
        <f t="shared" ref="A20:A28" si="10">A19+1</f>
        <v>27</v>
      </c>
      <c r="B20" s="132">
        <v>13</v>
      </c>
      <c r="C20" s="132"/>
      <c r="D20" s="132" t="s">
        <v>88</v>
      </c>
      <c r="E20" s="93" t="s">
        <v>104</v>
      </c>
      <c r="F20" s="94">
        <v>5.44</v>
      </c>
      <c r="G20" s="94">
        <v>0.12</v>
      </c>
      <c r="H20" s="138"/>
      <c r="I20" s="139">
        <f t="shared" si="3"/>
        <v>5.5600000000000005</v>
      </c>
      <c r="J20" s="95">
        <v>200025.27</v>
      </c>
      <c r="K20" s="100">
        <v>208570</v>
      </c>
      <c r="L20" s="118" t="s">
        <v>55</v>
      </c>
      <c r="M20" s="96">
        <f t="shared" si="0"/>
        <v>-8544.7300000000105</v>
      </c>
      <c r="N20" s="163">
        <f t="shared" si="4"/>
        <v>0</v>
      </c>
      <c r="O20" s="96"/>
      <c r="P20" s="97">
        <f t="shared" si="5"/>
        <v>148941.85546000002</v>
      </c>
      <c r="Q20" s="98">
        <f t="shared" si="6"/>
        <v>0</v>
      </c>
      <c r="R20" s="162">
        <f t="shared" si="8"/>
        <v>102189.93055555556</v>
      </c>
      <c r="S20" s="160">
        <f t="shared" si="7"/>
        <v>242587.27</v>
      </c>
      <c r="T20" s="140">
        <f t="shared" si="1"/>
        <v>249865.27</v>
      </c>
      <c r="U20" s="32">
        <f t="shared" si="9"/>
        <v>0.27</v>
      </c>
    </row>
    <row r="21" spans="1:22" ht="17.100000000000001" customHeight="1" x14ac:dyDescent="0.3">
      <c r="A21" s="158">
        <f t="shared" si="10"/>
        <v>28</v>
      </c>
      <c r="B21" s="132">
        <v>6</v>
      </c>
      <c r="C21" s="132"/>
      <c r="D21" s="132" t="s">
        <v>89</v>
      </c>
      <c r="E21" s="93" t="s">
        <v>103</v>
      </c>
      <c r="F21" s="94">
        <v>2.87</v>
      </c>
      <c r="G21" s="94">
        <v>0.41</v>
      </c>
      <c r="H21" s="138"/>
      <c r="I21" s="139">
        <f t="shared" si="3"/>
        <v>3.2800000000000002</v>
      </c>
      <c r="J21" s="95">
        <v>129648.28</v>
      </c>
      <c r="K21" s="118">
        <f>J21</f>
        <v>129648.28</v>
      </c>
      <c r="L21" s="118" t="s">
        <v>134</v>
      </c>
      <c r="M21" s="124">
        <f t="shared" si="0"/>
        <v>0</v>
      </c>
      <c r="N21" s="163">
        <f t="shared" si="4"/>
        <v>0</v>
      </c>
      <c r="O21" s="96"/>
      <c r="P21" s="97">
        <f t="shared" si="5"/>
        <v>87864.979480000009</v>
      </c>
      <c r="Q21" s="98">
        <f t="shared" si="6"/>
        <v>0</v>
      </c>
      <c r="R21" s="162">
        <f t="shared" si="8"/>
        <v>102189.93055555556</v>
      </c>
      <c r="S21" s="160">
        <f t="shared" si="7"/>
        <v>190055.28</v>
      </c>
      <c r="T21" s="140">
        <f t="shared" si="1"/>
        <v>195757.28</v>
      </c>
      <c r="U21" s="32">
        <f t="shared" si="9"/>
        <v>0.28000000000000003</v>
      </c>
      <c r="V21" t="s">
        <v>128</v>
      </c>
    </row>
    <row r="22" spans="1:22" ht="17.100000000000001" customHeight="1" x14ac:dyDescent="0.3">
      <c r="A22" s="158">
        <f t="shared" si="10"/>
        <v>29</v>
      </c>
      <c r="B22" s="132">
        <v>11</v>
      </c>
      <c r="C22" s="132" t="s">
        <v>76</v>
      </c>
      <c r="D22" s="132" t="s">
        <v>90</v>
      </c>
      <c r="E22" s="93" t="s">
        <v>105</v>
      </c>
      <c r="F22" s="94">
        <v>5.44</v>
      </c>
      <c r="G22" s="138">
        <v>0.2</v>
      </c>
      <c r="H22" s="138">
        <v>0.09</v>
      </c>
      <c r="I22" s="139">
        <f t="shared" si="3"/>
        <v>5.73</v>
      </c>
      <c r="J22" s="95">
        <v>214455.29</v>
      </c>
      <c r="K22" s="100">
        <f>J22</f>
        <v>214455.29</v>
      </c>
      <c r="L22" s="118" t="s">
        <v>134</v>
      </c>
      <c r="M22" s="124">
        <f t="shared" si="0"/>
        <v>0</v>
      </c>
      <c r="N22" s="163">
        <f t="shared" si="4"/>
        <v>0</v>
      </c>
      <c r="O22" s="96"/>
      <c r="P22" s="97">
        <f t="shared" si="5"/>
        <v>153495.83305500002</v>
      </c>
      <c r="Q22" s="98">
        <f t="shared" si="6"/>
        <v>0</v>
      </c>
      <c r="R22" s="162">
        <f t="shared" si="8"/>
        <v>102189.93055555556</v>
      </c>
      <c r="S22" s="160">
        <f t="shared" si="7"/>
        <v>255686.29</v>
      </c>
      <c r="T22" s="140">
        <f t="shared" si="1"/>
        <v>263357.29000000004</v>
      </c>
      <c r="U22" s="32">
        <f t="shared" si="9"/>
        <v>0.28999999999999998</v>
      </c>
    </row>
    <row r="23" spans="1:22" ht="17.100000000000001" customHeight="1" x14ac:dyDescent="0.3">
      <c r="A23" s="158">
        <f t="shared" si="10"/>
        <v>30</v>
      </c>
      <c r="B23" s="132"/>
      <c r="C23" s="132"/>
      <c r="D23" s="132" t="s">
        <v>91</v>
      </c>
      <c r="E23" s="93" t="s">
        <v>106</v>
      </c>
      <c r="F23" s="94">
        <v>2.87</v>
      </c>
      <c r="G23" s="94"/>
      <c r="H23" s="138"/>
      <c r="I23" s="139">
        <f t="shared" si="3"/>
        <v>2.87</v>
      </c>
      <c r="J23" s="95">
        <v>99255.3</v>
      </c>
      <c r="K23" s="100">
        <v>99500</v>
      </c>
      <c r="L23" s="118" t="s">
        <v>134</v>
      </c>
      <c r="M23" s="124">
        <f t="shared" si="0"/>
        <v>-244.69999999999709</v>
      </c>
      <c r="N23" s="163">
        <f t="shared" si="4"/>
        <v>0</v>
      </c>
      <c r="O23" s="96"/>
      <c r="P23" s="97">
        <f t="shared" si="5"/>
        <v>76881.857045000012</v>
      </c>
      <c r="Q23" s="98">
        <f t="shared" si="6"/>
        <v>0</v>
      </c>
      <c r="R23" s="98"/>
      <c r="S23" s="160">
        <f t="shared" si="7"/>
        <v>76637.3</v>
      </c>
      <c r="T23" s="140">
        <f t="shared" si="1"/>
        <v>78936.3</v>
      </c>
      <c r="U23" s="32">
        <f t="shared" si="9"/>
        <v>0.3</v>
      </c>
      <c r="V23" t="s">
        <v>125</v>
      </c>
    </row>
    <row r="24" spans="1:22" ht="17.100000000000001" customHeight="1" x14ac:dyDescent="0.3">
      <c r="A24" s="158">
        <f t="shared" si="10"/>
        <v>31</v>
      </c>
      <c r="B24" s="132">
        <v>1</v>
      </c>
      <c r="C24" s="132" t="s">
        <v>74</v>
      </c>
      <c r="D24" s="132" t="s">
        <v>92</v>
      </c>
      <c r="E24" s="93" t="s">
        <v>107</v>
      </c>
      <c r="F24" s="94">
        <v>5.44</v>
      </c>
      <c r="G24" s="94">
        <v>0.48</v>
      </c>
      <c r="H24" s="138">
        <v>0.09</v>
      </c>
      <c r="I24" s="139">
        <f t="shared" si="3"/>
        <v>6.01</v>
      </c>
      <c r="J24" s="95">
        <v>224147.31</v>
      </c>
      <c r="K24" s="100">
        <f>J24</f>
        <v>224147.31</v>
      </c>
      <c r="L24" s="118" t="s">
        <v>134</v>
      </c>
      <c r="M24" s="124">
        <f t="shared" si="0"/>
        <v>0</v>
      </c>
      <c r="N24" s="163">
        <f t="shared" si="4"/>
        <v>0</v>
      </c>
      <c r="O24" s="96"/>
      <c r="P24" s="97">
        <f t="shared" si="5"/>
        <v>160996.50203500001</v>
      </c>
      <c r="Q24" s="98">
        <f t="shared" si="6"/>
        <v>0</v>
      </c>
      <c r="R24" s="162">
        <f>K$2/18</f>
        <v>102189.93055555556</v>
      </c>
      <c r="S24" s="160">
        <f t="shared" si="7"/>
        <v>263186.31</v>
      </c>
      <c r="T24" s="140">
        <f t="shared" si="1"/>
        <v>271082.31</v>
      </c>
      <c r="U24" s="32">
        <f t="shared" si="9"/>
        <v>0.31</v>
      </c>
    </row>
    <row r="25" spans="1:22" ht="17.100000000000001" customHeight="1" x14ac:dyDescent="0.3">
      <c r="A25" s="158">
        <f t="shared" si="10"/>
        <v>32</v>
      </c>
      <c r="B25" s="133"/>
      <c r="C25" s="133"/>
      <c r="D25" s="133" t="s">
        <v>93</v>
      </c>
      <c r="E25" s="99" t="s">
        <v>108</v>
      </c>
      <c r="F25" s="94">
        <v>2.87</v>
      </c>
      <c r="G25" s="134"/>
      <c r="H25" s="138"/>
      <c r="I25" s="139">
        <f t="shared" si="3"/>
        <v>2.87</v>
      </c>
      <c r="J25" s="100">
        <v>99344.320000000007</v>
      </c>
      <c r="K25" s="100">
        <f>99345</f>
        <v>99345</v>
      </c>
      <c r="L25" s="118" t="s">
        <v>134</v>
      </c>
      <c r="M25" s="124">
        <f t="shared" si="0"/>
        <v>-0.67999999999301508</v>
      </c>
      <c r="N25" s="163">
        <f t="shared" si="4"/>
        <v>0</v>
      </c>
      <c r="O25" s="96"/>
      <c r="P25" s="97">
        <f t="shared" si="5"/>
        <v>76881.857045000012</v>
      </c>
      <c r="Q25" s="98">
        <f t="shared" si="6"/>
        <v>0</v>
      </c>
      <c r="R25" s="98"/>
      <c r="S25" s="160">
        <f t="shared" si="7"/>
        <v>76881.320000000007</v>
      </c>
      <c r="T25" s="140">
        <f t="shared" si="1"/>
        <v>79187.320000000007</v>
      </c>
      <c r="U25" s="32">
        <f t="shared" si="9"/>
        <v>0.32</v>
      </c>
      <c r="V25" t="s">
        <v>126</v>
      </c>
    </row>
    <row r="26" spans="1:22" ht="17.100000000000001" customHeight="1" x14ac:dyDescent="0.3">
      <c r="A26" s="158">
        <f t="shared" si="10"/>
        <v>33</v>
      </c>
      <c r="B26" s="132">
        <v>10</v>
      </c>
      <c r="C26" s="132"/>
      <c r="D26" s="132" t="s">
        <v>94</v>
      </c>
      <c r="E26" s="93" t="s">
        <v>109</v>
      </c>
      <c r="F26" s="94">
        <v>5.44</v>
      </c>
      <c r="G26" s="94">
        <v>0.45</v>
      </c>
      <c r="H26" s="138"/>
      <c r="I26" s="139">
        <f t="shared" si="3"/>
        <v>5.8900000000000006</v>
      </c>
      <c r="J26" s="95">
        <v>219993.33</v>
      </c>
      <c r="K26" s="100">
        <f>J26</f>
        <v>219993.33</v>
      </c>
      <c r="L26" s="118" t="s">
        <v>134</v>
      </c>
      <c r="M26" s="124">
        <f t="shared" si="0"/>
        <v>0</v>
      </c>
      <c r="N26" s="163">
        <f t="shared" si="4"/>
        <v>0</v>
      </c>
      <c r="O26" s="96"/>
      <c r="P26" s="97">
        <f t="shared" si="5"/>
        <v>157781.92961500003</v>
      </c>
      <c r="Q26" s="98">
        <f t="shared" si="6"/>
        <v>0</v>
      </c>
      <c r="R26" s="162">
        <f>K$2/18</f>
        <v>102189.93055555556</v>
      </c>
      <c r="S26" s="160">
        <f t="shared" si="7"/>
        <v>259972.33</v>
      </c>
      <c r="T26" s="140">
        <f t="shared" si="1"/>
        <v>267771.32999999996</v>
      </c>
      <c r="U26" s="32">
        <f t="shared" si="9"/>
        <v>0.33</v>
      </c>
    </row>
    <row r="27" spans="1:22" ht="17.100000000000001" customHeight="1" x14ac:dyDescent="0.3">
      <c r="A27" s="158">
        <f t="shared" si="10"/>
        <v>34</v>
      </c>
      <c r="B27" s="132"/>
      <c r="C27" s="132"/>
      <c r="D27" s="132" t="s">
        <v>95</v>
      </c>
      <c r="E27" s="93" t="s">
        <v>110</v>
      </c>
      <c r="F27" s="94">
        <v>2.87</v>
      </c>
      <c r="G27" s="94"/>
      <c r="H27" s="138"/>
      <c r="I27" s="139">
        <f t="shared" si="3"/>
        <v>2.87</v>
      </c>
      <c r="J27" s="100">
        <v>99345.34</v>
      </c>
      <c r="K27" s="100">
        <f>J27</f>
        <v>99345.34</v>
      </c>
      <c r="L27" s="118" t="s">
        <v>134</v>
      </c>
      <c r="M27" s="124">
        <f t="shared" si="0"/>
        <v>0</v>
      </c>
      <c r="N27" s="163">
        <f t="shared" si="4"/>
        <v>0</v>
      </c>
      <c r="O27" s="96"/>
      <c r="P27" s="97">
        <f t="shared" si="5"/>
        <v>76881.857045000012</v>
      </c>
      <c r="Q27" s="98">
        <f t="shared" si="6"/>
        <v>0</v>
      </c>
      <c r="R27" s="98"/>
      <c r="S27" s="160">
        <f t="shared" si="7"/>
        <v>76882.34</v>
      </c>
      <c r="T27" s="140">
        <f t="shared" si="1"/>
        <v>79188.34</v>
      </c>
      <c r="U27" s="32">
        <f t="shared" si="9"/>
        <v>0.34</v>
      </c>
    </row>
    <row r="28" spans="1:22" ht="17.100000000000001" customHeight="1" x14ac:dyDescent="0.3">
      <c r="A28" s="158">
        <f t="shared" si="10"/>
        <v>35</v>
      </c>
      <c r="B28" s="132">
        <v>4</v>
      </c>
      <c r="C28" s="132" t="s">
        <v>55</v>
      </c>
      <c r="D28" s="225">
        <v>9</v>
      </c>
      <c r="E28" s="225" t="s">
        <v>111</v>
      </c>
      <c r="F28" s="137">
        <f>7.73/2</f>
        <v>3.8650000000000002</v>
      </c>
      <c r="G28" s="154">
        <v>0.41</v>
      </c>
      <c r="H28" s="138">
        <v>0.09</v>
      </c>
      <c r="I28" s="139">
        <f t="shared" si="3"/>
        <v>4.3650000000000002</v>
      </c>
      <c r="J28" s="95">
        <v>337100.35</v>
      </c>
      <c r="K28" s="118">
        <v>338000</v>
      </c>
      <c r="L28" s="118" t="s">
        <v>134</v>
      </c>
      <c r="M28" s="124">
        <f t="shared" si="0"/>
        <v>-899.65000000002328</v>
      </c>
      <c r="N28" s="163">
        <f t="shared" si="4"/>
        <v>0</v>
      </c>
      <c r="O28" s="96"/>
      <c r="P28" s="97">
        <f t="shared" si="5"/>
        <v>116930.07177750001</v>
      </c>
      <c r="Q28" s="98">
        <f t="shared" si="6"/>
        <v>0</v>
      </c>
      <c r="R28" s="162">
        <f t="shared" ref="R28:R34" si="11">K$2/18</f>
        <v>102189.93055555556</v>
      </c>
      <c r="S28" s="140">
        <f>ROUND(SUM(M28:R28)+P29+Q29+R29,0) + U28</f>
        <v>434929.35</v>
      </c>
      <c r="T28" s="140">
        <f t="shared" si="1"/>
        <v>447977.35</v>
      </c>
      <c r="U28" s="32">
        <f t="shared" si="9"/>
        <v>0.35</v>
      </c>
    </row>
    <row r="29" spans="1:22" ht="14.7" customHeight="1" x14ac:dyDescent="0.3">
      <c r="A29" s="158" t="s">
        <v>72</v>
      </c>
      <c r="B29" s="132">
        <v>5</v>
      </c>
      <c r="C29" s="135"/>
      <c r="D29" s="226"/>
      <c r="E29" s="226"/>
      <c r="F29" s="137">
        <f>7.73/2</f>
        <v>3.8650000000000002</v>
      </c>
      <c r="G29" s="154">
        <v>0.41</v>
      </c>
      <c r="H29" s="138"/>
      <c r="I29" s="139">
        <f t="shared" si="3"/>
        <v>4.2750000000000004</v>
      </c>
      <c r="J29" s="95"/>
      <c r="K29" s="100">
        <f>J29</f>
        <v>0</v>
      </c>
      <c r="L29" s="118" t="s">
        <v>134</v>
      </c>
      <c r="M29" s="124">
        <f t="shared" si="0"/>
        <v>0</v>
      </c>
      <c r="N29" s="163">
        <f t="shared" si="4"/>
        <v>0</v>
      </c>
      <c r="O29" s="96"/>
      <c r="P29" s="97">
        <f t="shared" si="5"/>
        <v>114519.14246250002</v>
      </c>
      <c r="Q29" s="98">
        <f t="shared" si="6"/>
        <v>0</v>
      </c>
      <c r="R29" s="162">
        <f t="shared" si="11"/>
        <v>102189.93055555556</v>
      </c>
      <c r="S29" s="140">
        <v>0</v>
      </c>
      <c r="T29" s="140">
        <f t="shared" si="1"/>
        <v>0</v>
      </c>
      <c r="U29" s="32"/>
    </row>
    <row r="30" spans="1:22" ht="14.7" customHeight="1" x14ac:dyDescent="0.3">
      <c r="A30" s="158">
        <v>36</v>
      </c>
      <c r="B30" s="132">
        <v>2</v>
      </c>
      <c r="C30" s="135" t="s">
        <v>45</v>
      </c>
      <c r="D30" s="225">
        <v>10</v>
      </c>
      <c r="E30" s="228" t="s">
        <v>112</v>
      </c>
      <c r="F30" s="137">
        <f>7.73/2</f>
        <v>3.8650000000000002</v>
      </c>
      <c r="G30" s="156">
        <v>0.45</v>
      </c>
      <c r="H30" s="138">
        <v>7.0000000000000007E-2</v>
      </c>
      <c r="I30" s="139">
        <f t="shared" si="3"/>
        <v>4.3850000000000007</v>
      </c>
      <c r="J30" s="101">
        <v>321950.36</v>
      </c>
      <c r="K30" s="118">
        <f>J30</f>
        <v>321950.36</v>
      </c>
      <c r="L30" s="118" t="s">
        <v>134</v>
      </c>
      <c r="M30" s="124">
        <f t="shared" si="0"/>
        <v>0</v>
      </c>
      <c r="N30" s="163">
        <f t="shared" si="4"/>
        <v>0</v>
      </c>
      <c r="O30" s="96"/>
      <c r="P30" s="97">
        <f t="shared" si="5"/>
        <v>117465.83384750003</v>
      </c>
      <c r="Q30" s="98">
        <f t="shared" si="6"/>
        <v>0</v>
      </c>
      <c r="R30" s="162">
        <f t="shared" si="11"/>
        <v>102189.93055555556</v>
      </c>
      <c r="S30" s="140">
        <f>ROUND(SUM(M30:R30)+P31+Q31+R31,0) + U30</f>
        <v>428596.36</v>
      </c>
      <c r="T30" s="140">
        <f t="shared" si="1"/>
        <v>441454.36</v>
      </c>
      <c r="U30" s="32">
        <f>A30/100</f>
        <v>0.36</v>
      </c>
    </row>
    <row r="31" spans="1:22" ht="14.7" customHeight="1" x14ac:dyDescent="0.3">
      <c r="A31" s="158" t="s">
        <v>72</v>
      </c>
      <c r="B31" s="132">
        <v>18</v>
      </c>
      <c r="C31" s="135"/>
      <c r="D31" s="226"/>
      <c r="E31" s="229"/>
      <c r="F31" s="137">
        <f>7.73/2</f>
        <v>3.8650000000000002</v>
      </c>
      <c r="G31" s="157">
        <v>0.12</v>
      </c>
      <c r="H31" s="138"/>
      <c r="I31" s="139">
        <f t="shared" si="3"/>
        <v>3.9850000000000003</v>
      </c>
      <c r="J31" s="101"/>
      <c r="K31" s="118">
        <f>J31</f>
        <v>0</v>
      </c>
      <c r="L31" s="118" t="s">
        <v>134</v>
      </c>
      <c r="M31" s="124">
        <f t="shared" si="0"/>
        <v>0</v>
      </c>
      <c r="N31" s="163">
        <f t="shared" si="4"/>
        <v>0</v>
      </c>
      <c r="O31" s="96"/>
      <c r="P31" s="97">
        <f t="shared" si="5"/>
        <v>106750.59244750001</v>
      </c>
      <c r="Q31" s="98">
        <f t="shared" si="6"/>
        <v>0</v>
      </c>
      <c r="R31" s="162">
        <f t="shared" si="11"/>
        <v>102189.93055555556</v>
      </c>
      <c r="S31" s="140">
        <v>0</v>
      </c>
      <c r="T31" s="140">
        <f t="shared" si="1"/>
        <v>0</v>
      </c>
      <c r="U31" s="32"/>
    </row>
    <row r="32" spans="1:22" ht="14.7" customHeight="1" x14ac:dyDescent="0.3">
      <c r="A32" s="158">
        <v>37</v>
      </c>
      <c r="B32" s="132">
        <v>12</v>
      </c>
      <c r="C32" s="135" t="s">
        <v>77</v>
      </c>
      <c r="D32" s="225" t="s">
        <v>96</v>
      </c>
      <c r="E32" s="225" t="s">
        <v>113</v>
      </c>
      <c r="F32" s="137">
        <f>12.13/3</f>
        <v>4.0433333333333339</v>
      </c>
      <c r="G32" s="132">
        <v>0.12</v>
      </c>
      <c r="H32" s="138">
        <v>0.09</v>
      </c>
      <c r="I32" s="139">
        <f t="shared" si="3"/>
        <v>4.2533333333333339</v>
      </c>
      <c r="J32" s="101">
        <v>493828.37</v>
      </c>
      <c r="K32" s="118">
        <f t="shared" ref="K32" si="12">J32</f>
        <v>493828.37</v>
      </c>
      <c r="L32" s="118" t="s">
        <v>134</v>
      </c>
      <c r="M32" s="124">
        <f t="shared" si="0"/>
        <v>0</v>
      </c>
      <c r="N32" s="163">
        <f t="shared" si="4"/>
        <v>0</v>
      </c>
      <c r="O32" s="96"/>
      <c r="P32" s="97">
        <f t="shared" si="5"/>
        <v>113938.73355333335</v>
      </c>
      <c r="Q32" s="98">
        <f t="shared" si="6"/>
        <v>0</v>
      </c>
      <c r="R32" s="162">
        <f t="shared" si="11"/>
        <v>102189.93055555556</v>
      </c>
      <c r="S32" s="140">
        <f>ROUND(SUM(M32:R32)+P33+P34+Q33+Q34+R33+R34,0) + U32</f>
        <v>651333.37</v>
      </c>
      <c r="T32" s="140">
        <f t="shared" si="1"/>
        <v>670873.37</v>
      </c>
      <c r="U32" s="32">
        <f>A32/100</f>
        <v>0.37</v>
      </c>
    </row>
    <row r="33" spans="1:21" ht="14.7" customHeight="1" x14ac:dyDescent="0.3">
      <c r="A33" s="158" t="s">
        <v>72</v>
      </c>
      <c r="B33" s="132">
        <v>3</v>
      </c>
      <c r="C33" s="136"/>
      <c r="D33" s="227"/>
      <c r="E33" s="227"/>
      <c r="F33" s="137">
        <f>12.13/3</f>
        <v>4.0433333333333339</v>
      </c>
      <c r="G33" s="132">
        <v>0.41</v>
      </c>
      <c r="H33" s="138"/>
      <c r="I33" s="139">
        <f t="shared" si="3"/>
        <v>4.453333333333334</v>
      </c>
      <c r="J33" s="101"/>
      <c r="K33" s="118"/>
      <c r="L33" s="118"/>
      <c r="M33" s="124">
        <f t="shared" si="0"/>
        <v>0</v>
      </c>
      <c r="N33" s="163">
        <f t="shared" si="4"/>
        <v>0</v>
      </c>
      <c r="O33" s="96"/>
      <c r="P33" s="97">
        <f t="shared" si="5"/>
        <v>119296.35425333335</v>
      </c>
      <c r="Q33" s="98">
        <f t="shared" si="6"/>
        <v>0</v>
      </c>
      <c r="R33" s="162">
        <f t="shared" si="11"/>
        <v>102189.93055555556</v>
      </c>
      <c r="S33" s="140">
        <v>0</v>
      </c>
      <c r="T33" s="140">
        <f t="shared" si="1"/>
        <v>0</v>
      </c>
      <c r="U33" s="32"/>
    </row>
    <row r="34" spans="1:21" ht="14.7" customHeight="1" thickBot="1" x14ac:dyDescent="0.35">
      <c r="A34" s="176" t="s">
        <v>72</v>
      </c>
      <c r="B34" s="154">
        <v>16</v>
      </c>
      <c r="C34" s="136"/>
      <c r="D34" s="227"/>
      <c r="E34" s="227"/>
      <c r="F34" s="137">
        <f>12.13/3</f>
        <v>4.0433333333333339</v>
      </c>
      <c r="G34" s="154">
        <v>0.12</v>
      </c>
      <c r="H34" s="177"/>
      <c r="I34" s="178">
        <f t="shared" si="3"/>
        <v>4.163333333333334</v>
      </c>
      <c r="J34" s="101"/>
      <c r="K34" s="118"/>
      <c r="L34" s="118"/>
      <c r="M34" s="179">
        <f t="shared" si="0"/>
        <v>0</v>
      </c>
      <c r="N34" s="180">
        <f t="shared" si="4"/>
        <v>0</v>
      </c>
      <c r="O34" s="181"/>
      <c r="P34" s="182">
        <f t="shared" si="5"/>
        <v>111527.80423833335</v>
      </c>
      <c r="Q34" s="183">
        <f t="shared" si="6"/>
        <v>0</v>
      </c>
      <c r="R34" s="190">
        <f t="shared" si="11"/>
        <v>102189.93055555556</v>
      </c>
      <c r="S34" s="184">
        <v>0</v>
      </c>
      <c r="T34" s="184">
        <f t="shared" si="1"/>
        <v>0</v>
      </c>
      <c r="U34" s="32"/>
    </row>
    <row r="35" spans="1:21" ht="17.100000000000001" customHeight="1" thickBot="1" x14ac:dyDescent="0.35">
      <c r="A35" s="222" t="s">
        <v>44</v>
      </c>
      <c r="B35" s="223"/>
      <c r="C35" s="223"/>
      <c r="D35" s="223"/>
      <c r="E35" s="224"/>
      <c r="F35" s="185"/>
      <c r="G35" s="185"/>
      <c r="H35" s="186">
        <f t="shared" ref="H35:N35" si="13">SUM(H11:H34)</f>
        <v>0.52</v>
      </c>
      <c r="I35" s="186">
        <f t="shared" si="13"/>
        <v>100</v>
      </c>
      <c r="J35" s="187">
        <f t="shared" si="13"/>
        <v>3737475.5599999996</v>
      </c>
      <c r="K35" s="187">
        <f>SUM(K11:K34)</f>
        <v>3757527.26</v>
      </c>
      <c r="L35" s="187"/>
      <c r="M35" s="187">
        <f t="shared" si="13"/>
        <v>-20051.700000000026</v>
      </c>
      <c r="N35" s="187">
        <f t="shared" si="13"/>
        <v>322.23619999999994</v>
      </c>
      <c r="O35" s="188"/>
      <c r="P35" s="188">
        <f>SUM(P11:P34)</f>
        <v>2678810.35</v>
      </c>
      <c r="Q35" s="189">
        <f>SUM(Q11:Q34)</f>
        <v>0</v>
      </c>
      <c r="R35" s="191">
        <f>SUM(R11:R34)</f>
        <v>1839418.7499999995</v>
      </c>
      <c r="S35" s="187">
        <f>SUM(S11:S32)</f>
        <v>4498505.5599999996</v>
      </c>
      <c r="T35" s="187">
        <f>SUM(T11:T32)</f>
        <v>4633460.5599999996</v>
      </c>
    </row>
    <row r="36" spans="1:21" ht="22.2" customHeight="1" x14ac:dyDescent="0.3">
      <c r="E36" s="38"/>
      <c r="F36" s="38"/>
      <c r="G36" s="38"/>
      <c r="K36" s="103" t="s">
        <v>135</v>
      </c>
      <c r="L36" s="103">
        <f>SUMIF(L11:L34,"B",K11:K34)</f>
        <v>3548957.26</v>
      </c>
    </row>
    <row r="37" spans="1:21" x14ac:dyDescent="0.3">
      <c r="A37" s="232"/>
      <c r="B37" s="232"/>
      <c r="C37" s="129"/>
      <c r="D37" s="129"/>
      <c r="H37" s="233"/>
      <c r="I37" s="130"/>
      <c r="J37" s="234"/>
      <c r="K37" s="103" t="s">
        <v>120</v>
      </c>
      <c r="L37" s="103">
        <f>SUMIF(L11:L34,"E",K11:K34)</f>
        <v>208570</v>
      </c>
    </row>
    <row r="38" spans="1:21" x14ac:dyDescent="0.3">
      <c r="A38" s="232"/>
      <c r="B38" s="232"/>
      <c r="C38" s="129"/>
      <c r="D38" s="129"/>
      <c r="H38" s="233"/>
      <c r="I38" s="130"/>
      <c r="J38" s="234"/>
      <c r="K38" s="104"/>
      <c r="L38" s="104"/>
    </row>
    <row r="49" spans="1:10" x14ac:dyDescent="0.3">
      <c r="J49">
        <f>SUM(H47:H48)</f>
        <v>0</v>
      </c>
    </row>
    <row r="51" spans="1:10" x14ac:dyDescent="0.3">
      <c r="A51" t="s">
        <v>50</v>
      </c>
    </row>
    <row r="52" spans="1:10" x14ac:dyDescent="0.3">
      <c r="A52" t="s">
        <v>49</v>
      </c>
    </row>
    <row r="53" spans="1:10" x14ac:dyDescent="0.3">
      <c r="J53">
        <f>SUM(H51:H52)</f>
        <v>0</v>
      </c>
    </row>
  </sheetData>
  <mergeCells count="33">
    <mergeCell ref="R9:R10"/>
    <mergeCell ref="L9:L10"/>
    <mergeCell ref="A37:B38"/>
    <mergeCell ref="H37:H38"/>
    <mergeCell ref="J37:J38"/>
    <mergeCell ref="K2:M2"/>
    <mergeCell ref="A35:E35"/>
    <mergeCell ref="O9:O10"/>
    <mergeCell ref="G9:G10"/>
    <mergeCell ref="F9:F10"/>
    <mergeCell ref="D28:D29"/>
    <mergeCell ref="D30:D31"/>
    <mergeCell ref="D32:D34"/>
    <mergeCell ref="E32:E34"/>
    <mergeCell ref="E30:E31"/>
    <mergeCell ref="E28:E29"/>
    <mergeCell ref="F2:G2"/>
    <mergeCell ref="H1:S1"/>
    <mergeCell ref="N9:N10"/>
    <mergeCell ref="J9:J10"/>
    <mergeCell ref="K9:K10"/>
    <mergeCell ref="M9:M10"/>
    <mergeCell ref="P9:P10"/>
    <mergeCell ref="Q9:Q10"/>
    <mergeCell ref="A4:T8"/>
    <mergeCell ref="A9:A10"/>
    <mergeCell ref="E9:E10"/>
    <mergeCell ref="H9:H10"/>
    <mergeCell ref="B9:B10"/>
    <mergeCell ref="T9:T10"/>
    <mergeCell ref="C9:C10"/>
    <mergeCell ref="D9:D10"/>
    <mergeCell ref="Q2:S2"/>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664062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2026-08-14T12:23:48Z</cp:lastPrinted>
  <dcterms:created xsi:type="dcterms:W3CDTF">2023-09-17T12:29:07Z</dcterms:created>
  <dcterms:modified xsi:type="dcterms:W3CDTF">2026-08-25T20:00:47Z</dcterms:modified>
</cp:coreProperties>
</file>