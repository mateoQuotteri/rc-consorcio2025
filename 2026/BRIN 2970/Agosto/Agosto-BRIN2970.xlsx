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BRIN 2970\Agosto\"/>
    </mc:Choice>
  </mc:AlternateContent>
  <xr:revisionPtr revIDLastSave="0" documentId="13_ncr:1_{1FB03BC1-DC23-44BE-8CE1-FC4AFBDBC610}" xr6:coauthVersionLast="47" xr6:coauthVersionMax="47" xr10:uidLastSave="{00000000-0000-0000-0000-000000000000}"/>
  <bookViews>
    <workbookView xWindow="-120" yWindow="-120" windowWidth="20730" windowHeight="11040" tabRatio="850" xr2:uid="{00000000-000D-0000-FFFF-FFFF00000000}"/>
  </bookViews>
  <sheets>
    <sheet name="RESUMEN" sheetId="1" r:id="rId1"/>
    <sheet name="PRORRATEO" sheetId="2" r:id="rId2"/>
    <sheet name="ANOTACIONES" sheetId="3" r:id="rId3"/>
  </sheets>
  <definedNames>
    <definedName name="_xlnm.Print_Area" localSheetId="1">PRORRATEO!$A$1:$T$34</definedName>
    <definedName name="_xlnm.Print_Area" localSheetId="0">RESUMEN!$A$1:$E$117</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2" l="1"/>
  <c r="F2" i="2"/>
  <c r="D61" i="1"/>
  <c r="K17" i="2"/>
  <c r="K24" i="2" l="1"/>
  <c r="K27" i="2"/>
  <c r="K29" i="2"/>
  <c r="K18" i="2"/>
  <c r="K20" i="2"/>
  <c r="K14" i="2"/>
  <c r="B105" i="1"/>
  <c r="E46" i="1"/>
  <c r="E44" i="1"/>
  <c r="E45" i="1" s="1"/>
  <c r="E58" i="1" l="1"/>
  <c r="R10" i="2" l="1"/>
  <c r="E72" i="1"/>
  <c r="E79" i="1"/>
  <c r="R33" i="2" l="1"/>
  <c r="R32" i="2"/>
  <c r="R31" i="2"/>
  <c r="R30" i="2"/>
  <c r="R29" i="2"/>
  <c r="R28" i="2"/>
  <c r="R27" i="2"/>
  <c r="R25" i="2"/>
  <c r="R23" i="2"/>
  <c r="R21" i="2"/>
  <c r="R20" i="2"/>
  <c r="R19" i="2"/>
  <c r="R18" i="2"/>
  <c r="R17" i="2"/>
  <c r="R16" i="2"/>
  <c r="R14" i="2"/>
  <c r="R12" i="2"/>
  <c r="R34" i="2" s="1"/>
  <c r="D25" i="1"/>
  <c r="B96" i="1"/>
  <c r="E51" i="1"/>
  <c r="U11" i="2"/>
  <c r="U12" i="2"/>
  <c r="U13" i="2"/>
  <c r="U14" i="2"/>
  <c r="U15" i="2"/>
  <c r="U17" i="2"/>
  <c r="U29" i="2"/>
  <c r="U31" i="2"/>
  <c r="U10" i="2"/>
  <c r="E39" i="1"/>
  <c r="E35" i="1"/>
  <c r="L36" i="2"/>
  <c r="B106" i="1" s="1"/>
  <c r="E62" i="1" l="1"/>
  <c r="K16" i="2"/>
  <c r="F33" i="2"/>
  <c r="F32" i="2"/>
  <c r="F31" i="2"/>
  <c r="I31" i="2" s="1"/>
  <c r="Q31" i="2" s="1"/>
  <c r="F30" i="2"/>
  <c r="I30" i="2" s="1"/>
  <c r="Q30" i="2" s="1"/>
  <c r="F29" i="2"/>
  <c r="F28" i="2"/>
  <c r="I28" i="2" s="1"/>
  <c r="Q28" i="2" s="1"/>
  <c r="F27" i="2"/>
  <c r="I27" i="2" s="1"/>
  <c r="Q27" i="2" s="1"/>
  <c r="I11" i="2"/>
  <c r="Q11" i="2" s="1"/>
  <c r="I12" i="2"/>
  <c r="Q12" i="2" s="1"/>
  <c r="I13" i="2"/>
  <c r="Q13" i="2" s="1"/>
  <c r="I14" i="2"/>
  <c r="Q14" i="2" s="1"/>
  <c r="I15" i="2"/>
  <c r="Q15" i="2" s="1"/>
  <c r="I16" i="2"/>
  <c r="Q16" i="2" s="1"/>
  <c r="I17" i="2"/>
  <c r="Q17" i="2" s="1"/>
  <c r="I18" i="2"/>
  <c r="Q18" i="2" s="1"/>
  <c r="I19" i="2"/>
  <c r="Q19" i="2" s="1"/>
  <c r="I20" i="2"/>
  <c r="Q20" i="2" s="1"/>
  <c r="I21" i="2"/>
  <c r="Q21" i="2" s="1"/>
  <c r="I22" i="2"/>
  <c r="Q22" i="2" s="1"/>
  <c r="I23" i="2"/>
  <c r="Q23" i="2" s="1"/>
  <c r="I24" i="2"/>
  <c r="Q24" i="2" s="1"/>
  <c r="I25" i="2"/>
  <c r="Q25" i="2" s="1"/>
  <c r="I26" i="2"/>
  <c r="Q26" i="2" s="1"/>
  <c r="I29" i="2"/>
  <c r="Q29" i="2" s="1"/>
  <c r="I32" i="2"/>
  <c r="Q32" i="2" s="1"/>
  <c r="I33" i="2"/>
  <c r="Q33" i="2" s="1"/>
  <c r="I10" i="2"/>
  <c r="Q10" i="2" s="1"/>
  <c r="A18" i="2"/>
  <c r="K30" i="2"/>
  <c r="A19" i="2" l="1"/>
  <c r="U18" i="2"/>
  <c r="I34" i="2"/>
  <c r="K13" i="2"/>
  <c r="A20" i="2" l="1"/>
  <c r="U19" i="2"/>
  <c r="D30" i="1"/>
  <c r="A21" i="2" l="1"/>
  <c r="U20" i="2"/>
  <c r="K28" i="2"/>
  <c r="K10" i="2"/>
  <c r="A22" i="2" l="1"/>
  <c r="U21" i="2"/>
  <c r="K25" i="2"/>
  <c r="K34" i="2" s="1"/>
  <c r="A23" i="2" l="1"/>
  <c r="U22" i="2"/>
  <c r="P11" i="2"/>
  <c r="P15" i="2"/>
  <c r="P19" i="2"/>
  <c r="P23" i="2"/>
  <c r="P27" i="2"/>
  <c r="P31" i="2"/>
  <c r="P26" i="2"/>
  <c r="P12" i="2"/>
  <c r="P16" i="2"/>
  <c r="P20" i="2"/>
  <c r="P24" i="2"/>
  <c r="P28" i="2"/>
  <c r="P32" i="2"/>
  <c r="P14" i="2"/>
  <c r="P18" i="2"/>
  <c r="P30" i="2"/>
  <c r="P13" i="2"/>
  <c r="P17" i="2"/>
  <c r="P21" i="2"/>
  <c r="P25" i="2"/>
  <c r="P29" i="2"/>
  <c r="P33" i="2"/>
  <c r="P22" i="2"/>
  <c r="P10" i="2"/>
  <c r="M28" i="2"/>
  <c r="N28" i="2" s="1"/>
  <c r="M29" i="2"/>
  <c r="N29" i="2" s="1"/>
  <c r="M30" i="2"/>
  <c r="N30" i="2" s="1"/>
  <c r="M31" i="2"/>
  <c r="M33" i="2"/>
  <c r="N33" i="2" s="1"/>
  <c r="J48" i="2"/>
  <c r="J52" i="2"/>
  <c r="E31" i="1"/>
  <c r="S29" i="2" l="1"/>
  <c r="S31" i="2"/>
  <c r="A24" i="2"/>
  <c r="U23" i="2"/>
  <c r="M32" i="2"/>
  <c r="N32" i="2" s="1"/>
  <c r="A25" i="2" l="1"/>
  <c r="U24" i="2"/>
  <c r="M21" i="2"/>
  <c r="S21" i="2" l="1"/>
  <c r="A26" i="2"/>
  <c r="U25" i="2"/>
  <c r="E84" i="1"/>
  <c r="B88" i="1" s="1"/>
  <c r="A27" i="2" l="1"/>
  <c r="U27" i="2" s="1"/>
  <c r="U26" i="2"/>
  <c r="B107" i="1"/>
  <c r="B116" i="1"/>
  <c r="B98" i="1" l="1"/>
  <c r="M24" i="2" l="1"/>
  <c r="N24" i="2" l="1"/>
  <c r="S24" i="2" s="1"/>
  <c r="S9" i="2"/>
  <c r="E66" i="1" l="1"/>
  <c r="T28" i="2" l="1"/>
  <c r="H34" i="2"/>
  <c r="J34" i="2"/>
  <c r="T29" i="2" l="1"/>
  <c r="M11" i="2"/>
  <c r="M12" i="2"/>
  <c r="M13" i="2"/>
  <c r="M14" i="2"/>
  <c r="M15" i="2"/>
  <c r="M16" i="2"/>
  <c r="M18" i="2"/>
  <c r="M19" i="2"/>
  <c r="M20" i="2"/>
  <c r="M22" i="2"/>
  <c r="M23" i="2"/>
  <c r="M25" i="2"/>
  <c r="M26" i="2"/>
  <c r="M27" i="2"/>
  <c r="M10" i="2"/>
  <c r="N10" i="2" l="1"/>
  <c r="S10" i="2"/>
  <c r="S23" i="2"/>
  <c r="N18" i="2"/>
  <c r="S18" i="2" s="1"/>
  <c r="N13" i="2"/>
  <c r="S13" i="2" s="1"/>
  <c r="N12" i="2"/>
  <c r="S12" i="2"/>
  <c r="N22" i="2"/>
  <c r="S22" i="2" s="1"/>
  <c r="N15" i="2"/>
  <c r="S15" i="2" s="1"/>
  <c r="N27" i="2"/>
  <c r="S27" i="2" s="1"/>
  <c r="N16" i="2"/>
  <c r="S16" i="2"/>
  <c r="N26" i="2"/>
  <c r="S26" i="2" s="1"/>
  <c r="N20" i="2"/>
  <c r="S20" i="2" s="1"/>
  <c r="N11" i="2"/>
  <c r="S11" i="2" s="1"/>
  <c r="N25" i="2"/>
  <c r="S25" i="2"/>
  <c r="S19" i="2"/>
  <c r="N14" i="2"/>
  <c r="S14" i="2" s="1"/>
  <c r="T30" i="2"/>
  <c r="B89" i="1"/>
  <c r="T31" i="2" l="1"/>
  <c r="A44" i="1"/>
  <c r="A45" i="1" s="1"/>
  <c r="T32" i="2" l="1"/>
  <c r="T33" i="2" l="1"/>
  <c r="T27" i="2"/>
  <c r="T23" i="2"/>
  <c r="T19" i="2"/>
  <c r="T15" i="2"/>
  <c r="T11" i="2"/>
  <c r="T10" i="2"/>
  <c r="T26" i="2"/>
  <c r="T22" i="2"/>
  <c r="T18" i="2"/>
  <c r="T14" i="2"/>
  <c r="T25" i="2"/>
  <c r="T21" i="2"/>
  <c r="T13" i="2"/>
  <c r="T24" i="2"/>
  <c r="T20" i="2"/>
  <c r="T16" i="2"/>
  <c r="T12" i="2"/>
  <c r="P34" i="2"/>
  <c r="Q34" i="2" l="1"/>
  <c r="B87" i="1" l="1"/>
  <c r="B94" i="1" l="1"/>
  <c r="B86" i="1"/>
  <c r="L35" i="2"/>
  <c r="B99" i="1" s="1"/>
  <c r="M17" i="2"/>
  <c r="M34" i="2" s="1"/>
  <c r="N17" i="2" l="1"/>
  <c r="N34" i="2" s="1"/>
  <c r="B100" i="1"/>
  <c r="S17" i="2" l="1"/>
  <c r="S34" i="2" s="1"/>
  <c r="T17" i="2" l="1"/>
  <c r="T34" i="2" s="1"/>
</calcChain>
</file>

<file path=xl/sharedStrings.xml><?xml version="1.0" encoding="utf-8"?>
<sst xmlns="http://schemas.openxmlformats.org/spreadsheetml/2006/main" count="204" uniqueCount="163">
  <si>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</si>
  <si>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</si>
  <si>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</si>
  <si>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</si>
  <si>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</si>
  <si>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</si>
  <si>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</si>
  <si>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</si>
  <si>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</si>
  <si>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</si>
  <si>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</si>
  <si>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</si>
  <si>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</si>
  <si>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</si>
  <si>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</si>
  <si>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</si>
  <si>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</si>
  <si>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</si>
  <si>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</si>
  <si>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</si>
  <si>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</si>
  <si>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</si>
  <si>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</si>
  <si>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</si>
  <si>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</si>
  <si>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</si>
  <si>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</si>
  <si>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</si>
  <si>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</si>
  <si>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</si>
  <si>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</si>
  <si>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Sueldo encargado Balcazza Leonardo</t>
  </si>
  <si>
    <t>GASTOS EXTRAORDINARIOS:</t>
  </si>
  <si>
    <t xml:space="preserve">ARCA </t>
  </si>
  <si>
    <t>CAJA REAL</t>
  </si>
  <si>
    <t xml:space="preserve">Saldo Ord </t>
  </si>
  <si>
    <t>Egresos del mes ordinarios</t>
  </si>
  <si>
    <t>Egresos del mes extrordinarios</t>
  </si>
  <si>
    <t>Pagos sin identificar</t>
  </si>
  <si>
    <t>Gastos bancarios</t>
  </si>
  <si>
    <t>Mantenimiento de cuenta</t>
  </si>
  <si>
    <t>10 A 15HS - EMERGENCIAS 24HS</t>
  </si>
  <si>
    <t>Extraordinarios:</t>
  </si>
  <si>
    <t>Expensas extraord.</t>
  </si>
  <si>
    <t>TOTALES</t>
  </si>
  <si>
    <t>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</si>
  <si>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</si>
  <si>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Descuentos</t>
  </si>
  <si>
    <t>Redondeo</t>
  </si>
  <si>
    <t>Pago del abono del ascensor ADS - Mantenimiento</t>
  </si>
  <si>
    <t xml:space="preserve">Personal Flow (internet) para las Camaras de Seguridad </t>
  </si>
  <si>
    <t>Seracarh</t>
  </si>
  <si>
    <t>Fathery</t>
  </si>
  <si>
    <t>Suther</t>
  </si>
  <si>
    <t>Ordinarios:</t>
  </si>
  <si>
    <t>E</t>
  </si>
  <si>
    <t>Particular</t>
  </si>
  <si>
    <t xml:space="preserve">PREVISION EXTRAORDINARIA </t>
  </si>
  <si>
    <t>PREVISION ORDINARIA</t>
  </si>
  <si>
    <t>CUIT DEL EDIFICIO: 30-71424193-8</t>
  </si>
  <si>
    <t>CONSORCIO MINISTRO BRIN 2970</t>
  </si>
  <si>
    <t>CUIT ADMINISTRACION: 27-23125687-9</t>
  </si>
  <si>
    <t>Sueldo Sr. Pereyra Ariel Gustavo</t>
  </si>
  <si>
    <t>Honorarios administracion</t>
  </si>
  <si>
    <t>Seguro Intregal Mercantil Andina - Poliza N. 00113804200001</t>
  </si>
  <si>
    <t>Seguro La Holando - Accidentes personales - Poliza N. 660433</t>
  </si>
  <si>
    <t xml:space="preserve">Abono de mantenimiento de ascensores Tecnimet </t>
  </si>
  <si>
    <t>AySa - Cuenta de servicios 2389177</t>
  </si>
  <si>
    <t>Edesur  - Cliente: 01294126</t>
  </si>
  <si>
    <t xml:space="preserve">Servicio de internet </t>
  </si>
  <si>
    <t xml:space="preserve">Metrogas </t>
  </si>
  <si>
    <t>-</t>
  </si>
  <si>
    <t>Coch</t>
  </si>
  <si>
    <t>Baulera</t>
  </si>
  <si>
    <t>D</t>
  </si>
  <si>
    <t>F</t>
  </si>
  <si>
    <t>C</t>
  </si>
  <si>
    <t>Dpto</t>
  </si>
  <si>
    <t>1A</t>
  </si>
  <si>
    <t>1B</t>
  </si>
  <si>
    <t>2A</t>
  </si>
  <si>
    <t>2B</t>
  </si>
  <si>
    <t>3A</t>
  </si>
  <si>
    <t>3B</t>
  </si>
  <si>
    <t>C9</t>
  </si>
  <si>
    <t>4A</t>
  </si>
  <si>
    <t>4B</t>
  </si>
  <si>
    <t>5A</t>
  </si>
  <si>
    <t>5B</t>
  </si>
  <si>
    <t>6A</t>
  </si>
  <si>
    <t>6B</t>
  </si>
  <si>
    <t>7A</t>
  </si>
  <si>
    <t>7B</t>
  </si>
  <si>
    <t>8A</t>
  </si>
  <si>
    <t>8B</t>
  </si>
  <si>
    <t>11 - 12°</t>
  </si>
  <si>
    <t>Malbar Miriam</t>
  </si>
  <si>
    <t>Florek Francisco</t>
  </si>
  <si>
    <t>Indioquimica S.A</t>
  </si>
  <si>
    <t>Perez, Ana maria</t>
  </si>
  <si>
    <t>Alvarez Benigno</t>
  </si>
  <si>
    <t xml:space="preserve">Garcia Abel / Baruch </t>
  </si>
  <si>
    <t>Camarotta Alejandro</t>
  </si>
  <si>
    <t>Porchia Regina</t>
  </si>
  <si>
    <t>Pasarin Daniel</t>
  </si>
  <si>
    <t>Constantino Leandro</t>
  </si>
  <si>
    <t>Grandolfi F. / Casella G.</t>
  </si>
  <si>
    <t>Napoli Jose</t>
  </si>
  <si>
    <t>Gonzalez Silvana</t>
  </si>
  <si>
    <t>Mari, Lilliana</t>
  </si>
  <si>
    <t>Cavero matias</t>
  </si>
  <si>
    <t>Muller Ruben</t>
  </si>
  <si>
    <t>Rubini Hernan</t>
  </si>
  <si>
    <t>%</t>
  </si>
  <si>
    <t xml:space="preserve"> (%) Bauleras</t>
  </si>
  <si>
    <t xml:space="preserve"> (%) Dpto</t>
  </si>
  <si>
    <t xml:space="preserve"> (%) Coch</t>
  </si>
  <si>
    <t>Efectivo</t>
  </si>
  <si>
    <t>Ariel Sebastian Amaya</t>
  </si>
  <si>
    <t>Testi Gustavo Marcelo</t>
  </si>
  <si>
    <t>Agustin Cardozo</t>
  </si>
  <si>
    <t>Pablo Julian Michielin</t>
  </si>
  <si>
    <t>Dirrienzo Maria</t>
  </si>
  <si>
    <t>Gonzalez Jesica</t>
  </si>
  <si>
    <t>Gonzalez Maximiliano</t>
  </si>
  <si>
    <t>Abona por</t>
  </si>
  <si>
    <t>B</t>
  </si>
  <si>
    <t>Banco</t>
  </si>
  <si>
    <t>Ingresos bancarios</t>
  </si>
  <si>
    <t>SALDO EN EFECTIVO</t>
  </si>
  <si>
    <t>Ingresos en efectivo</t>
  </si>
  <si>
    <t>Rubinetti Agostina</t>
  </si>
  <si>
    <t>SALDO EN BANCO AL 26/06</t>
  </si>
  <si>
    <t>GASTOS UNIDADES COMPLEMENTARIAS:</t>
  </si>
  <si>
    <t>Egresos del mes unidades complementarias</t>
  </si>
  <si>
    <t>UC:</t>
  </si>
  <si>
    <t>UC</t>
  </si>
  <si>
    <t>Interes 2%</t>
  </si>
  <si>
    <t>MAIL: consorciobrin2970@gmail.com</t>
  </si>
  <si>
    <t>PAGO DE EXPENSAS BANCO COMAFI - SUCURSAL LANUS - CTA. CTE. Nº 0090-01284-4 "CONSORCIO MINISTRO BRIN 2970" CBU   2990 0093 0090 0128 4400 08 CUIT: 30-71424193-8</t>
  </si>
  <si>
    <t>VTO 17/09</t>
  </si>
  <si>
    <t>PERÍODO: AGOSTO</t>
  </si>
  <si>
    <t>Sindicatos mes de JULIO</t>
  </si>
  <si>
    <t>Transf 21/08</t>
  </si>
  <si>
    <t>Transf 05/08</t>
  </si>
  <si>
    <t>Tramsf 10/08</t>
  </si>
  <si>
    <t>Transf 03/08</t>
  </si>
  <si>
    <t>Debito 03/08</t>
  </si>
  <si>
    <t>Debito 05/08</t>
  </si>
  <si>
    <t>Galvan Zaffalon - Cambio de swich de presurizadora mano de obra y repuesto</t>
  </si>
  <si>
    <t>Cuello Natalia - CUIT: 27304166237 - Fc. 000358  - Repaso de colectora cloacal</t>
  </si>
  <si>
    <t>Quimica Edelweiss - Articulos de limpieza - Remito 7108</t>
  </si>
  <si>
    <t>Transf 31/08</t>
  </si>
  <si>
    <t>SA Seguridad - Presupuesto nro. 17753 - Colocacion de motor a cadena para porton guillotina - Mano de obra, instalacion - Automatizacion porton</t>
  </si>
  <si>
    <t>Mes de junio</t>
  </si>
  <si>
    <t>Debito 12/08</t>
  </si>
  <si>
    <t>Mes de julio</t>
  </si>
  <si>
    <t>Abono celular + Jardin - Ariel Pereyra - Agosto +  Diferencia de Julio y Junio</t>
  </si>
  <si>
    <t>Extraccion e efectivo 19/08</t>
  </si>
  <si>
    <t>Ingreso - Extraccion bancaria 19/08</t>
  </si>
  <si>
    <t>SOLICITAMOS ENCARECIDAMENTE RESPETAR LOS CENTAVOS AL ABONAR.</t>
  </si>
  <si>
    <t>Gustavo Padron - Sr. Contador - CUIT: 200271220 - Fc. 0000185 - 2 meses</t>
  </si>
  <si>
    <t>El 5A, 6A, 7A y dptoo 11/12 Deben recibir una quita de punitorios, ya que pagaron el monto de prorrateo indebido por un error en el importe del primer archivo emitido como pdf, luego se volvio a emitir otro prorrateo con distintos montos pero ellos ya habian 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</si>
</sst>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2C0A]\ * #,##0.00_-;\-[$$-2C0A]\ * #,##0.00_-;_-[$$-2C0A]\ * &quot;-&quot;??_-;_-@_-"/>
    <numFmt numFmtId="168"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6">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3" borderId="0" xfId="1" applyFont="1" applyFill="1" applyBorder="1" applyAlignment="1">
      <alignment vertical="center"/>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0"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8" fontId="7" fillId="4" borderId="21"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26" xfId="0" applyFont="1" applyFill="1" applyBorder="1" applyAlignment="1">
      <alignment horizontal="left" vertical="center" wrapText="1"/>
    </xf>
    <xf numFmtId="44" fontId="2" fillId="11" borderId="24"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0"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0" fontId="13" fillId="2" borderId="1" xfId="0" applyFont="1" applyFill="1" applyBorder="1"/>
    <xf numFmtId="44" fontId="15" fillId="2" borderId="1" xfId="1" applyFont="1" applyFill="1" applyBorder="1"/>
    <xf numFmtId="44" fontId="15" fillId="0" borderId="2" xfId="1" applyFont="1" applyBorder="1"/>
    <xf numFmtId="0" fontId="0" fillId="0" borderId="7" xfId="0" applyBorder="1"/>
    <xf numFmtId="44" fontId="13" fillId="0" borderId="0" xfId="1" applyFont="1"/>
    <xf numFmtId="44" fontId="3" fillId="0" borderId="0" xfId="0" applyNumberFormat="1" applyFont="1"/>
    <xf numFmtId="0" fontId="18" fillId="0" borderId="2" xfId="1" applyNumberFormat="1" applyFont="1" applyBorder="1"/>
    <xf numFmtId="0" fontId="2" fillId="8" borderId="27" xfId="0" applyFont="1" applyFill="1" applyBorder="1"/>
    <xf numFmtId="0" fontId="2" fillId="8" borderId="2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4" borderId="0" xfId="1" applyFont="1" applyFill="1"/>
    <xf numFmtId="0" fontId="7" fillId="8" borderId="29" xfId="0" applyFont="1" applyFill="1" applyBorder="1"/>
    <xf numFmtId="0" fontId="0" fillId="0" borderId="0" xfId="0" applyAlignment="1">
      <alignment horizontal="left"/>
    </xf>
    <xf numFmtId="44" fontId="0" fillId="0" borderId="0" xfId="1" applyFont="1" applyAlignment="1">
      <alignment horizont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xf>
    <xf numFmtId="0" fontId="13" fillId="0" borderId="7" xfId="0" applyFont="1" applyBorder="1" applyAlignment="1">
      <alignment horizontal="center" vertical="center"/>
    </xf>
    <xf numFmtId="0" fontId="13" fillId="0" borderId="30" xfId="0" applyFont="1" applyBorder="1" applyAlignment="1">
      <alignment horizontal="center" vertical="center"/>
    </xf>
    <xf numFmtId="2" fontId="13" fillId="0" borderId="2" xfId="0" applyNumberFormat="1" applyFont="1" applyBorder="1" applyAlignment="1">
      <alignment horizontal="center" vertical="center"/>
    </xf>
    <xf numFmtId="2" fontId="13" fillId="0" borderId="1" xfId="0" applyNumberFormat="1" applyFont="1" applyBorder="1" applyAlignment="1">
      <alignment horizontal="center"/>
    </xf>
    <xf numFmtId="168" fontId="20" fillId="0" borderId="1" xfId="0" applyNumberFormat="1" applyFont="1" applyBorder="1" applyAlignment="1">
      <alignment horizontal="center"/>
    </xf>
    <xf numFmtId="44" fontId="23" fillId="0" borderId="25" xfId="1" applyFont="1" applyBorder="1"/>
    <xf numFmtId="0" fontId="4" fillId="0" borderId="6" xfId="0" applyFont="1" applyBorder="1" applyAlignment="1">
      <alignment horizontal="left" vertical="center"/>
    </xf>
    <xf numFmtId="16" fontId="18" fillId="2" borderId="2" xfId="0" applyNumberFormat="1" applyFont="1" applyFill="1" applyBorder="1"/>
    <xf numFmtId="0" fontId="4" fillId="0" borderId="1" xfId="0" applyFont="1" applyBorder="1" applyAlignment="1">
      <alignment vertical="center"/>
    </xf>
    <xf numFmtId="0" fontId="4" fillId="0" borderId="1" xfId="0" applyFont="1" applyBorder="1" applyAlignment="1">
      <alignment vertical="center" wrapText="1"/>
    </xf>
    <xf numFmtId="0" fontId="7" fillId="4" borderId="1" xfId="0" applyFont="1" applyFill="1" applyBorder="1"/>
    <xf numFmtId="0" fontId="4" fillId="0" borderId="6" xfId="0" applyFont="1" applyBorder="1"/>
    <xf numFmtId="0" fontId="4" fillId="0" borderId="7" xfId="0" applyFont="1" applyBorder="1" applyAlignment="1">
      <alignment horizontal="left" vertical="center" wrapText="1"/>
    </xf>
    <xf numFmtId="16" fontId="18" fillId="2" borderId="1" xfId="0" applyNumberFormat="1" applyFont="1" applyFill="1" applyBorder="1"/>
    <xf numFmtId="44" fontId="8" fillId="0" borderId="1" xfId="0" applyNumberFormat="1" applyFont="1" applyBorder="1" applyAlignment="1">
      <alignment vertical="center" wrapText="1"/>
    </xf>
    <xf numFmtId="0" fontId="13" fillId="3" borderId="18" xfId="0" applyFont="1" applyFill="1" applyBorder="1" applyAlignment="1">
      <alignment horizontal="center" vertical="center"/>
    </xf>
    <xf numFmtId="0" fontId="15" fillId="3" borderId="18"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31" xfId="0" applyFont="1" applyBorder="1" applyAlignment="1">
      <alignment horizontal="center" vertical="center"/>
    </xf>
    <xf numFmtId="0" fontId="13" fillId="2" borderId="31" xfId="0" applyFont="1" applyFill="1" applyBorder="1" applyAlignment="1">
      <alignment horizontal="center" vertical="center"/>
    </xf>
    <xf numFmtId="44" fontId="23" fillId="0" borderId="19" xfId="1" applyFont="1" applyBorder="1"/>
    <xf numFmtId="165" fontId="13" fillId="0" borderId="3" xfId="1" applyNumberFormat="1" applyFont="1" applyBorder="1"/>
    <xf numFmtId="165" fontId="13" fillId="0" borderId="21" xfId="1" applyNumberFormat="1" applyFont="1" applyBorder="1"/>
    <xf numFmtId="165" fontId="13" fillId="0" borderId="3" xfId="0" applyNumberFormat="1" applyFont="1" applyBorder="1"/>
    <xf numFmtId="44" fontId="15" fillId="2" borderId="4" xfId="1" applyFont="1" applyFill="1" applyBorder="1"/>
    <xf numFmtId="0" fontId="13" fillId="3" borderId="20" xfId="0" applyFont="1" applyFill="1" applyBorder="1" applyAlignment="1">
      <alignment horizontal="center" vertical="center"/>
    </xf>
    <xf numFmtId="44" fontId="15" fillId="0" borderId="3" xfId="1" applyFont="1" applyBorder="1"/>
    <xf numFmtId="0" fontId="13" fillId="0" borderId="3" xfId="0" applyFont="1" applyBorder="1"/>
    <xf numFmtId="0" fontId="13" fillId="0" borderId="3" xfId="0" applyFont="1" applyBorder="1" applyAlignment="1">
      <alignment horizontal="center"/>
    </xf>
    <xf numFmtId="168" fontId="13" fillId="0" borderId="3" xfId="0" applyNumberFormat="1" applyFont="1" applyBorder="1" applyAlignment="1">
      <alignment horizontal="center"/>
    </xf>
    <xf numFmtId="0" fontId="13" fillId="0" borderId="22" xfId="0" applyFont="1" applyBorder="1" applyAlignment="1">
      <alignment horizontal="center" vertical="center"/>
    </xf>
    <xf numFmtId="168" fontId="20" fillId="0" borderId="3" xfId="0" applyNumberFormat="1" applyFont="1" applyBorder="1" applyAlignment="1">
      <alignment horizontal="center"/>
    </xf>
    <xf numFmtId="167" fontId="2" fillId="3" borderId="0" xfId="0" applyNumberFormat="1" applyFont="1" applyFill="1" applyAlignment="1">
      <alignment horizontal="center"/>
    </xf>
    <xf numFmtId="44" fontId="2" fillId="4" borderId="0" xfId="1" applyFont="1" applyFill="1"/>
    <xf numFmtId="0" fontId="13" fillId="0" borderId="33" xfId="0" applyFont="1" applyBorder="1" applyAlignment="1">
      <alignment horizontal="center" vertical="center"/>
    </xf>
    <xf numFmtId="2" fontId="13" fillId="0" borderId="2" xfId="0" applyNumberFormat="1" applyFont="1" applyBorder="1" applyAlignment="1">
      <alignment horizontal="center"/>
    </xf>
    <xf numFmtId="168" fontId="20" fillId="0" borderId="2" xfId="0" applyNumberFormat="1" applyFont="1" applyBorder="1" applyAlignment="1">
      <alignment horizontal="center"/>
    </xf>
    <xf numFmtId="165" fontId="15" fillId="0" borderId="2" xfId="0" applyNumberFormat="1" applyFont="1" applyBorder="1"/>
    <xf numFmtId="165" fontId="13" fillId="0" borderId="4" xfId="0" applyNumberFormat="1" applyFont="1" applyBorder="1"/>
    <xf numFmtId="165" fontId="13" fillId="0" borderId="2" xfId="0" applyNumberFormat="1" applyFont="1" applyBorder="1"/>
    <xf numFmtId="165" fontId="13" fillId="0" borderId="2" xfId="1" applyNumberFormat="1" applyFont="1" applyBorder="1"/>
    <xf numFmtId="165" fontId="13" fillId="0" borderId="34" xfId="1" applyNumberFormat="1" applyFont="1" applyBorder="1"/>
    <xf numFmtId="44" fontId="23" fillId="0" borderId="35" xfId="1" applyFont="1" applyBorder="1"/>
    <xf numFmtId="0" fontId="20" fillId="4" borderId="11" xfId="0" applyFont="1" applyFill="1" applyBorder="1" applyAlignment="1">
      <alignment horizontal="left"/>
    </xf>
    <xf numFmtId="0" fontId="20" fillId="4" borderId="13" xfId="0" applyFont="1" applyFill="1" applyBorder="1" applyAlignment="1">
      <alignment horizontal="center"/>
    </xf>
    <xf numFmtId="44" fontId="20" fillId="4" borderId="13" xfId="0" applyNumberFormat="1" applyFont="1" applyFill="1" applyBorder="1"/>
    <xf numFmtId="166" fontId="20" fillId="4" borderId="13" xfId="0" applyNumberFormat="1" applyFont="1" applyFill="1" applyBorder="1"/>
    <xf numFmtId="165" fontId="20" fillId="4" borderId="13" xfId="0" applyNumberFormat="1" applyFont="1" applyFill="1" applyBorder="1"/>
    <xf numFmtId="165" fontId="13" fillId="0" borderId="5" xfId="1" applyNumberFormat="1" applyFont="1" applyBorder="1"/>
    <xf numFmtId="44" fontId="20" fillId="4" borderId="9" xfId="0" applyNumberFormat="1" applyFont="1" applyFill="1" applyBorder="1"/>
    <xf numFmtId="0" fontId="15" fillId="3" borderId="13" xfId="0" applyFont="1" applyFill="1" applyBorder="1" applyAlignment="1">
      <alignment horizontal="center" vertical="center" wrapText="1"/>
    </xf>
    <xf numFmtId="0" fontId="4" fillId="0" borderId="7" xfId="0" applyFont="1" applyBorder="1" applyAlignment="1">
      <alignment horizontal="left" vertical="center" wrapText="1"/>
    </xf>
    <xf numFmtId="44" fontId="4" fillId="0" borderId="1" xfId="0" applyNumberFormat="1" applyFont="1" applyBorder="1" applyAlignment="1">
      <alignmen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horizontal="left" vertical="center" wrapText="1"/>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3" fillId="3" borderId="32"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167" fontId="2" fillId="3" borderId="0" xfId="0" applyNumberFormat="1" applyFont="1" applyFill="1" applyAlignment="1">
      <alignment horizontal="center"/>
    </xf>
    <xf numFmtId="0" fontId="20" fillId="4" borderId="9" xfId="0" applyFont="1" applyFill="1" applyBorder="1" applyAlignment="1">
      <alignment horizontal="left"/>
    </xf>
    <xf numFmtId="0" fontId="20" fillId="4" borderId="10" xfId="0" applyFont="1" applyFill="1" applyBorder="1" applyAlignment="1">
      <alignment horizontal="left"/>
    </xf>
    <xf numFmtId="0" fontId="20" fillId="4" borderId="11"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44" fontId="2" fillId="3" borderId="0" xfId="1" applyFont="1" applyFill="1" applyAlignment="1">
      <alignment horizontal="center"/>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6" fillId="9" borderId="14"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44" fontId="4" fillId="2" borderId="1" xfId="1" applyFont="1" applyFill="1" applyBorder="1" applyAlignment="1">
      <alignment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abSelected="1" topLeftCell="A60" workbookViewId="0">
      <selection activeCell="E66" sqref="E66"/>
    </sheetView>
  </sheetViews>
  <sheetFormatPr baseColWidth="10" defaultColWidth="10.7109375" defaultRowHeight="15" x14ac:dyDescent="0.25"/>
  <cols>
    <col min="1" max="1" width="37.5703125" customWidth="1"/>
    <col min="2" max="2" width="24.7109375" customWidth="1"/>
    <col min="3" max="3" width="15.71093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65" customHeight="1" x14ac:dyDescent="0.25">
      <c r="A1" s="13"/>
      <c r="B1" s="192" t="s">
        <v>138</v>
      </c>
      <c r="C1" s="192"/>
      <c r="D1" s="192"/>
      <c r="E1" s="46"/>
    </row>
    <row r="2" spans="1:5" x14ac:dyDescent="0.25">
      <c r="A2" s="14"/>
      <c r="B2" s="47" t="s">
        <v>61</v>
      </c>
      <c r="C2" s="47"/>
      <c r="D2" s="47"/>
      <c r="E2" s="48"/>
    </row>
    <row r="3" spans="1:5" ht="70.5" customHeight="1" thickBot="1" x14ac:dyDescent="0.3">
      <c r="A3" s="14"/>
      <c r="B3" s="195" t="s">
        <v>139</v>
      </c>
      <c r="C3" s="195"/>
      <c r="D3" s="195"/>
      <c r="E3" s="196"/>
    </row>
    <row r="4" spans="1:5" ht="15.75" thickBot="1" x14ac:dyDescent="0.3">
      <c r="A4" s="17" t="s">
        <v>0</v>
      </c>
      <c r="B4" s="49" t="s">
        <v>29</v>
      </c>
      <c r="C4" s="18"/>
      <c r="D4" s="18"/>
      <c r="E4" s="19"/>
    </row>
    <row r="5" spans="1:5" ht="15.75" thickBot="1" x14ac:dyDescent="0.3">
      <c r="A5" s="14" t="s">
        <v>59</v>
      </c>
      <c r="B5" s="18" t="s">
        <v>141</v>
      </c>
      <c r="C5" s="15"/>
      <c r="D5" s="47" t="s">
        <v>21</v>
      </c>
      <c r="E5" s="16"/>
    </row>
    <row r="6" spans="1:5" ht="15.75" thickBot="1" x14ac:dyDescent="0.3">
      <c r="A6" s="17" t="s">
        <v>60</v>
      </c>
      <c r="B6" s="18"/>
      <c r="C6" s="18"/>
      <c r="D6" s="18" t="s">
        <v>41</v>
      </c>
      <c r="E6" s="19"/>
    </row>
    <row r="8" spans="1:5" x14ac:dyDescent="0.25">
      <c r="B8" s="198" t="s">
        <v>140</v>
      </c>
      <c r="C8" s="198"/>
    </row>
    <row r="9" spans="1:5" x14ac:dyDescent="0.25">
      <c r="B9" s="198"/>
      <c r="C9" s="198"/>
    </row>
    <row r="10" spans="1:5" x14ac:dyDescent="0.25">
      <c r="B10" s="198"/>
      <c r="C10" s="198"/>
    </row>
    <row r="12" spans="1:5" hidden="1" x14ac:dyDescent="0.25"/>
    <row r="13" spans="1:5" ht="15" customHeight="1" x14ac:dyDescent="0.25">
      <c r="A13" s="197" t="s">
        <v>46</v>
      </c>
      <c r="B13" s="197"/>
      <c r="C13" s="197"/>
      <c r="D13" s="197"/>
      <c r="E13" s="197"/>
    </row>
    <row r="14" spans="1:5" ht="15" customHeight="1" x14ac:dyDescent="0.25">
      <c r="A14" s="197"/>
      <c r="B14" s="197"/>
      <c r="C14" s="197"/>
      <c r="D14" s="197"/>
      <c r="E14" s="197"/>
    </row>
    <row r="15" spans="1:5" ht="15" customHeight="1" x14ac:dyDescent="0.25">
      <c r="A15" s="197"/>
      <c r="B15" s="197"/>
      <c r="C15" s="197"/>
      <c r="D15" s="197"/>
      <c r="E15" s="197"/>
    </row>
    <row r="16" spans="1:5" ht="127.15" customHeight="1" x14ac:dyDescent="0.25">
      <c r="A16" s="197"/>
      <c r="B16" s="197"/>
      <c r="C16" s="197"/>
      <c r="D16" s="197"/>
      <c r="E16" s="197"/>
    </row>
    <row r="17" spans="1:7" ht="14.25" customHeight="1" thickBot="1" x14ac:dyDescent="0.3">
      <c r="D17" s="62"/>
    </row>
    <row r="18" spans="1:7" hidden="1" x14ac:dyDescent="0.25">
      <c r="A18" s="2"/>
      <c r="D18" s="62"/>
    </row>
    <row r="19" spans="1:7" ht="15.75" hidden="1" thickBot="1" x14ac:dyDescent="0.3">
      <c r="D19" s="62"/>
    </row>
    <row r="20" spans="1:7" x14ac:dyDescent="0.25">
      <c r="A20" s="9" t="s">
        <v>9</v>
      </c>
      <c r="B20" s="10"/>
      <c r="C20" s="11"/>
      <c r="D20" s="66"/>
      <c r="E20" s="12"/>
    </row>
    <row r="21" spans="1:7" x14ac:dyDescent="0.25">
      <c r="A21" s="25" t="s">
        <v>25</v>
      </c>
      <c r="B21" s="25"/>
      <c r="C21" s="25"/>
      <c r="D21" s="24"/>
      <c r="E21" s="24"/>
    </row>
    <row r="22" spans="1:7" x14ac:dyDescent="0.25">
      <c r="A22" s="52" t="s">
        <v>62</v>
      </c>
      <c r="B22" s="5"/>
      <c r="C22" s="5"/>
      <c r="D22" s="107">
        <v>1025699.49</v>
      </c>
      <c r="E22" s="5"/>
    </row>
    <row r="23" spans="1:7" x14ac:dyDescent="0.25">
      <c r="A23" s="5" t="s">
        <v>47</v>
      </c>
      <c r="B23" s="5"/>
      <c r="C23" s="5"/>
      <c r="D23" s="107">
        <v>-253860.49</v>
      </c>
      <c r="E23" s="5"/>
    </row>
    <row r="24" spans="1:7" x14ac:dyDescent="0.25">
      <c r="A24" s="5" t="s">
        <v>48</v>
      </c>
      <c r="B24" s="5"/>
      <c r="C24" s="5"/>
      <c r="D24" s="107">
        <v>0</v>
      </c>
      <c r="E24" s="5"/>
    </row>
    <row r="25" spans="1:7" ht="14.25" customHeight="1" x14ac:dyDescent="0.25">
      <c r="A25" s="42" t="s">
        <v>26</v>
      </c>
      <c r="B25" s="42"/>
      <c r="C25" s="42"/>
      <c r="D25" s="108">
        <f>SUM(D22:D24)</f>
        <v>771839</v>
      </c>
      <c r="E25" s="79"/>
      <c r="G25" s="20"/>
    </row>
    <row r="26" spans="1:7" ht="14.25" hidden="1" customHeight="1" x14ac:dyDescent="0.25">
      <c r="A26" s="5" t="s">
        <v>31</v>
      </c>
      <c r="B26" s="5"/>
      <c r="C26" s="5"/>
      <c r="D26" s="107"/>
      <c r="E26" s="5"/>
    </row>
    <row r="27" spans="1:7" hidden="1" x14ac:dyDescent="0.25">
      <c r="A27" s="21"/>
      <c r="B27" s="5"/>
      <c r="C27" s="5"/>
      <c r="D27" s="107"/>
      <c r="E27" s="5"/>
    </row>
    <row r="28" spans="1:7" hidden="1" x14ac:dyDescent="0.25">
      <c r="A28" s="5"/>
      <c r="B28" s="5"/>
      <c r="C28" s="5"/>
      <c r="D28" s="107"/>
      <c r="E28" s="5"/>
    </row>
    <row r="29" spans="1:7" ht="0.4" customHeight="1" x14ac:dyDescent="0.25">
      <c r="A29" s="5"/>
      <c r="B29" s="5"/>
      <c r="C29" s="5"/>
      <c r="D29" s="124"/>
      <c r="E29" s="5"/>
    </row>
    <row r="30" spans="1:7" hidden="1" x14ac:dyDescent="0.25">
      <c r="A30" s="42" t="s">
        <v>26</v>
      </c>
      <c r="B30" s="42"/>
      <c r="C30" s="42"/>
      <c r="D30" s="109">
        <f>SUM(D26:D29)</f>
        <v>0</v>
      </c>
      <c r="E30" s="79"/>
    </row>
    <row r="31" spans="1:7" ht="15.75" thickBot="1" x14ac:dyDescent="0.3">
      <c r="A31" s="22" t="s">
        <v>1</v>
      </c>
      <c r="B31" s="22"/>
      <c r="C31" s="22"/>
      <c r="D31" s="110"/>
      <c r="E31" s="80">
        <f>D25+D30</f>
        <v>771839</v>
      </c>
      <c r="F31" s="20"/>
    </row>
    <row r="32" spans="1:7" x14ac:dyDescent="0.25">
      <c r="A32" s="25" t="s">
        <v>17</v>
      </c>
      <c r="B32" s="25"/>
      <c r="C32" s="25"/>
      <c r="D32" s="111"/>
      <c r="E32" s="81"/>
    </row>
    <row r="33" spans="1:7" ht="35.25" customHeight="1" x14ac:dyDescent="0.25">
      <c r="A33" s="193" t="s">
        <v>161</v>
      </c>
      <c r="B33" s="194"/>
      <c r="C33" s="39"/>
      <c r="D33" s="107">
        <v>100000</v>
      </c>
      <c r="E33" s="82" t="s">
        <v>143</v>
      </c>
    </row>
    <row r="34" spans="1:7" ht="15" customHeight="1" thickBot="1" x14ac:dyDescent="0.3">
      <c r="A34" s="193" t="s">
        <v>63</v>
      </c>
      <c r="B34" s="194"/>
      <c r="C34" s="39"/>
      <c r="D34" s="125">
        <v>0</v>
      </c>
      <c r="E34" s="82"/>
    </row>
    <row r="35" spans="1:7" ht="15.75" thickBot="1" x14ac:dyDescent="0.3">
      <c r="A35" s="22" t="s">
        <v>14</v>
      </c>
      <c r="B35" s="22"/>
      <c r="C35" s="22"/>
      <c r="D35" s="118"/>
      <c r="E35" s="83">
        <f>SUM(D33:D34)</f>
        <v>100000</v>
      </c>
    </row>
    <row r="36" spans="1:7" x14ac:dyDescent="0.25">
      <c r="A36" s="25" t="s">
        <v>23</v>
      </c>
      <c r="B36" s="22"/>
      <c r="C36" s="22"/>
      <c r="D36" s="119"/>
      <c r="E36" s="84"/>
    </row>
    <row r="37" spans="1:7" s="28" customFormat="1" ht="13.5" customHeight="1" x14ac:dyDescent="0.25">
      <c r="A37" s="191" t="s">
        <v>64</v>
      </c>
      <c r="B37" s="191"/>
      <c r="C37" s="40"/>
      <c r="D37" s="235">
        <v>44249</v>
      </c>
      <c r="E37" s="140" t="s">
        <v>147</v>
      </c>
    </row>
    <row r="38" spans="1:7" x14ac:dyDescent="0.25">
      <c r="A38" s="141" t="s">
        <v>65</v>
      </c>
      <c r="B38" s="142"/>
      <c r="C38" s="40"/>
      <c r="D38" s="235">
        <v>4406</v>
      </c>
      <c r="E38" s="146" t="s">
        <v>148</v>
      </c>
    </row>
    <row r="39" spans="1:7" ht="15.75" thickBot="1" x14ac:dyDescent="0.3">
      <c r="A39" s="143" t="s">
        <v>2</v>
      </c>
      <c r="B39" s="143"/>
      <c r="C39" s="22"/>
      <c r="D39" s="118"/>
      <c r="E39" s="53">
        <f>SUM(D37:D38)</f>
        <v>48655</v>
      </c>
    </row>
    <row r="40" spans="1:7" x14ac:dyDescent="0.25">
      <c r="A40" s="25" t="s">
        <v>15</v>
      </c>
      <c r="B40" s="85"/>
      <c r="C40" s="85"/>
      <c r="D40" s="120"/>
      <c r="E40" s="113"/>
    </row>
    <row r="41" spans="1:7" x14ac:dyDescent="0.25">
      <c r="A41" s="5" t="s">
        <v>33</v>
      </c>
      <c r="B41" s="5" t="s">
        <v>154</v>
      </c>
      <c r="C41" s="39"/>
      <c r="D41" s="112">
        <v>839936.9</v>
      </c>
      <c r="E41" s="88" t="s">
        <v>152</v>
      </c>
      <c r="G41" s="70"/>
    </row>
    <row r="42" spans="1:7" x14ac:dyDescent="0.25">
      <c r="A42" s="5" t="s">
        <v>33</v>
      </c>
      <c r="B42" s="5" t="s">
        <v>156</v>
      </c>
      <c r="C42" s="39"/>
      <c r="D42" s="112">
        <v>518193.32</v>
      </c>
      <c r="E42" s="88" t="s">
        <v>152</v>
      </c>
      <c r="G42" s="70"/>
    </row>
    <row r="43" spans="1:7" x14ac:dyDescent="0.25">
      <c r="A43" s="5" t="s">
        <v>142</v>
      </c>
      <c r="B43" s="5" t="s">
        <v>53</v>
      </c>
      <c r="C43" s="5"/>
      <c r="D43" s="112">
        <v>84552.82</v>
      </c>
      <c r="E43" s="88" t="s">
        <v>155</v>
      </c>
    </row>
    <row r="44" spans="1:7" x14ac:dyDescent="0.25">
      <c r="A44" s="5" t="str">
        <f>A43</f>
        <v>Sindicatos mes de JULIO</v>
      </c>
      <c r="B44" s="5" t="s">
        <v>52</v>
      </c>
      <c r="C44" s="5"/>
      <c r="D44" s="112">
        <v>41439.33</v>
      </c>
      <c r="E44" s="89" t="str">
        <f>E43</f>
        <v>Debito 12/08</v>
      </c>
    </row>
    <row r="45" spans="1:7" x14ac:dyDescent="0.25">
      <c r="A45" s="5" t="str">
        <f>A44</f>
        <v>Sindicatos mes de JULIO</v>
      </c>
      <c r="B45" s="5" t="s">
        <v>51</v>
      </c>
      <c r="C45" s="5"/>
      <c r="D45" s="112">
        <v>4604.37</v>
      </c>
      <c r="E45" s="90" t="str">
        <f>E44</f>
        <v>Debito 12/08</v>
      </c>
    </row>
    <row r="46" spans="1:7" ht="15" customHeight="1" thickBot="1" x14ac:dyDescent="0.3">
      <c r="A46" s="22" t="s">
        <v>3</v>
      </c>
      <c r="B46" s="85"/>
      <c r="C46" s="85"/>
      <c r="D46" s="121"/>
      <c r="E46" s="53">
        <f>SUM(D41:D45)</f>
        <v>1488726.7400000002</v>
      </c>
    </row>
    <row r="47" spans="1:7" x14ac:dyDescent="0.25">
      <c r="A47" s="25" t="s">
        <v>16</v>
      </c>
      <c r="B47" s="85"/>
      <c r="C47" s="85"/>
      <c r="D47" s="120"/>
      <c r="E47" s="113"/>
    </row>
    <row r="48" spans="1:7" ht="14.25" customHeight="1" x14ac:dyDescent="0.25">
      <c r="A48" s="52" t="s">
        <v>68</v>
      </c>
      <c r="B48" s="5"/>
      <c r="C48" s="5"/>
      <c r="D48" s="112">
        <v>334964.3</v>
      </c>
      <c r="E48" s="88" t="s">
        <v>144</v>
      </c>
    </row>
    <row r="49" spans="1:5" ht="14.25" customHeight="1" x14ac:dyDescent="0.25">
      <c r="A49" s="144" t="s">
        <v>70</v>
      </c>
      <c r="B49" s="101"/>
      <c r="C49" s="5"/>
      <c r="D49" s="112">
        <v>0</v>
      </c>
      <c r="E49" s="88"/>
    </row>
    <row r="50" spans="1:5" ht="14.25" customHeight="1" x14ac:dyDescent="0.25">
      <c r="A50" s="144" t="s">
        <v>67</v>
      </c>
      <c r="B50" s="101"/>
      <c r="C50" s="5"/>
      <c r="D50" s="112">
        <v>783602.88</v>
      </c>
      <c r="E50" s="104" t="s">
        <v>146</v>
      </c>
    </row>
    <row r="51" spans="1:5" ht="15.75" thickBot="1" x14ac:dyDescent="0.3">
      <c r="A51" s="22" t="s">
        <v>4</v>
      </c>
      <c r="B51" s="22"/>
      <c r="C51" s="22"/>
      <c r="D51" s="122"/>
      <c r="E51" s="53">
        <f>SUM(D48:D50)</f>
        <v>1118567.18</v>
      </c>
    </row>
    <row r="52" spans="1:5" ht="15" customHeight="1" thickBot="1" x14ac:dyDescent="0.3">
      <c r="A52" s="25"/>
      <c r="B52" s="22"/>
      <c r="C52" s="22"/>
      <c r="D52" s="118"/>
      <c r="E52" s="114"/>
    </row>
    <row r="53" spans="1:5" ht="20.100000000000001" customHeight="1" x14ac:dyDescent="0.25">
      <c r="A53" s="139" t="s">
        <v>66</v>
      </c>
      <c r="B53" s="145"/>
      <c r="C53" s="5"/>
      <c r="D53" s="112">
        <v>0</v>
      </c>
      <c r="E53" s="88"/>
    </row>
    <row r="54" spans="1:5" ht="20.100000000000001" customHeight="1" x14ac:dyDescent="0.25">
      <c r="A54" s="139" t="s">
        <v>69</v>
      </c>
      <c r="B54" s="187"/>
      <c r="C54" s="5"/>
      <c r="D54" s="112">
        <v>48746</v>
      </c>
      <c r="E54" s="104" t="s">
        <v>148</v>
      </c>
    </row>
    <row r="55" spans="1:5" ht="43.15" customHeight="1" x14ac:dyDescent="0.25">
      <c r="A55" s="189" t="s">
        <v>149</v>
      </c>
      <c r="B55" s="190"/>
      <c r="C55" s="5"/>
      <c r="D55" s="112">
        <v>330000</v>
      </c>
      <c r="E55" s="104" t="s">
        <v>145</v>
      </c>
    </row>
    <row r="56" spans="1:5" ht="20.100000000000001" customHeight="1" x14ac:dyDescent="0.25">
      <c r="A56" s="139" t="s">
        <v>151</v>
      </c>
      <c r="B56" s="145"/>
      <c r="C56" s="5"/>
      <c r="D56" s="112">
        <v>81000</v>
      </c>
      <c r="E56" s="104" t="s">
        <v>143</v>
      </c>
    </row>
    <row r="57" spans="1:5" ht="31.5" customHeight="1" x14ac:dyDescent="0.25">
      <c r="A57" s="189" t="s">
        <v>150</v>
      </c>
      <c r="B57" s="190"/>
      <c r="C57" s="5"/>
      <c r="D57" s="112">
        <v>95700</v>
      </c>
      <c r="E57" s="104" t="s">
        <v>143</v>
      </c>
    </row>
    <row r="58" spans="1:5" ht="15.75" thickBot="1" x14ac:dyDescent="0.3">
      <c r="A58" s="22" t="s">
        <v>8</v>
      </c>
      <c r="B58" s="25"/>
      <c r="C58" s="25"/>
      <c r="D58" s="24"/>
      <c r="E58" s="115">
        <f>SUM(D53:D57)</f>
        <v>555446</v>
      </c>
    </row>
    <row r="59" spans="1:5" ht="15.75" thickBot="1" x14ac:dyDescent="0.3">
      <c r="A59" s="25" t="s">
        <v>10</v>
      </c>
      <c r="B59" s="44"/>
      <c r="C59" s="22"/>
      <c r="D59" s="110"/>
      <c r="E59" s="86"/>
    </row>
    <row r="60" spans="1:5" x14ac:dyDescent="0.25">
      <c r="A60" s="5" t="s">
        <v>40</v>
      </c>
      <c r="B60" s="5"/>
      <c r="C60" s="5"/>
      <c r="D60" s="112">
        <v>0</v>
      </c>
      <c r="E60" s="87"/>
    </row>
    <row r="61" spans="1:5" x14ac:dyDescent="0.25">
      <c r="A61" s="5" t="s">
        <v>39</v>
      </c>
      <c r="B61" s="5"/>
      <c r="C61" s="5"/>
      <c r="D61" s="112">
        <f>6403.5+74344.13</f>
        <v>80747.63</v>
      </c>
      <c r="E61" s="29"/>
    </row>
    <row r="62" spans="1:5" ht="15.75" thickBot="1" x14ac:dyDescent="0.3">
      <c r="A62" s="38" t="s">
        <v>14</v>
      </c>
      <c r="B62" s="38"/>
      <c r="C62" s="38"/>
      <c r="D62" s="58"/>
      <c r="E62" s="53">
        <f>SUM(D60:D61)</f>
        <v>80747.63</v>
      </c>
    </row>
    <row r="63" spans="1:5" ht="15.75" thickBot="1" x14ac:dyDescent="0.3">
      <c r="A63" s="5"/>
      <c r="B63" s="5"/>
      <c r="C63" s="5"/>
      <c r="D63" s="52"/>
      <c r="E63" s="59"/>
    </row>
    <row r="64" spans="1:5" ht="15.75" thickBot="1" x14ac:dyDescent="0.3">
      <c r="A64" s="23" t="s">
        <v>58</v>
      </c>
      <c r="B64" s="23"/>
      <c r="C64" s="23"/>
      <c r="D64" s="60"/>
      <c r="E64" s="61">
        <v>0</v>
      </c>
    </row>
    <row r="65" spans="1:12" ht="15.75" thickBot="1" x14ac:dyDescent="0.3">
      <c r="A65" s="1"/>
      <c r="D65" s="62"/>
      <c r="E65" s="63"/>
      <c r="F65" s="31"/>
    </row>
    <row r="66" spans="1:12" ht="15.75" thickBot="1" x14ac:dyDescent="0.3">
      <c r="A66" s="3" t="s">
        <v>11</v>
      </c>
      <c r="B66" s="8"/>
      <c r="C66" s="4"/>
      <c r="D66" s="64"/>
      <c r="E66" s="65">
        <f>(SUM(E28:E64))</f>
        <v>4163981.55</v>
      </c>
      <c r="F66" s="78"/>
      <c r="G66" s="31"/>
      <c r="H66" s="70"/>
      <c r="I66" s="70"/>
      <c r="J66" s="70"/>
      <c r="K66" s="70"/>
      <c r="L66" s="70"/>
    </row>
    <row r="67" spans="1:12" ht="15.75" thickBot="1" x14ac:dyDescent="0.3">
      <c r="D67" s="62"/>
      <c r="E67" s="62"/>
      <c r="H67" s="70"/>
      <c r="I67" s="70"/>
      <c r="J67" s="70"/>
      <c r="K67" s="70"/>
      <c r="L67" s="70"/>
    </row>
    <row r="68" spans="1:12" x14ac:dyDescent="0.25">
      <c r="A68" s="9" t="s">
        <v>133</v>
      </c>
      <c r="B68" s="10"/>
      <c r="C68" s="11"/>
      <c r="D68" s="66"/>
      <c r="E68" s="67"/>
      <c r="H68" s="70"/>
      <c r="I68" s="70"/>
      <c r="J68" s="70"/>
      <c r="K68" s="70"/>
      <c r="L68" s="70"/>
    </row>
    <row r="69" spans="1:12" x14ac:dyDescent="0.25">
      <c r="A69" s="203"/>
      <c r="B69" s="204"/>
      <c r="C69" s="5"/>
      <c r="D69" s="112"/>
      <c r="E69" s="104"/>
      <c r="H69" s="70"/>
      <c r="I69" s="70"/>
      <c r="J69" s="70"/>
      <c r="K69" s="70"/>
      <c r="L69" s="70"/>
    </row>
    <row r="70" spans="1:12" x14ac:dyDescent="0.25">
      <c r="A70" s="203"/>
      <c r="B70" s="204"/>
      <c r="C70" s="5"/>
      <c r="D70" s="112"/>
      <c r="E70" s="54"/>
      <c r="H70" s="70"/>
      <c r="I70" s="70"/>
      <c r="J70" s="70"/>
      <c r="K70" s="70"/>
      <c r="L70" s="70"/>
    </row>
    <row r="71" spans="1:12" x14ac:dyDescent="0.25">
      <c r="A71" s="55"/>
      <c r="B71" s="57"/>
      <c r="C71" s="5"/>
      <c r="D71" s="56"/>
      <c r="E71" s="54"/>
      <c r="H71" s="70"/>
      <c r="I71" s="70"/>
      <c r="J71" s="70"/>
      <c r="K71" s="70"/>
      <c r="L71" s="70"/>
    </row>
    <row r="72" spans="1:12" x14ac:dyDescent="0.25">
      <c r="A72" s="36"/>
      <c r="B72" s="35"/>
      <c r="C72" s="35"/>
      <c r="D72" s="126"/>
      <c r="E72" s="169">
        <f>SUM(D69:D71)</f>
        <v>0</v>
      </c>
      <c r="H72" s="70"/>
      <c r="I72" s="70"/>
      <c r="J72" s="70"/>
      <c r="K72" s="70"/>
      <c r="L72" s="70"/>
    </row>
    <row r="73" spans="1:12" x14ac:dyDescent="0.25">
      <c r="D73" s="62"/>
      <c r="E73" s="62"/>
      <c r="H73" s="70"/>
      <c r="I73" s="70"/>
      <c r="J73" s="70"/>
      <c r="K73" s="70"/>
      <c r="L73" s="70"/>
    </row>
    <row r="74" spans="1:12" ht="15.75" thickBot="1" x14ac:dyDescent="0.3">
      <c r="D74" s="62"/>
      <c r="E74" s="62"/>
      <c r="H74" s="91"/>
    </row>
    <row r="75" spans="1:12" x14ac:dyDescent="0.25">
      <c r="A75" s="9" t="s">
        <v>32</v>
      </c>
      <c r="B75" s="10"/>
      <c r="C75" s="11"/>
      <c r="D75" s="66"/>
      <c r="E75" s="67"/>
    </row>
    <row r="76" spans="1:12" ht="48.75" customHeight="1" x14ac:dyDescent="0.25">
      <c r="A76" s="201" t="s">
        <v>153</v>
      </c>
      <c r="B76" s="202"/>
      <c r="C76" s="5"/>
      <c r="D76" s="112">
        <v>3320350</v>
      </c>
      <c r="E76" s="104" t="s">
        <v>152</v>
      </c>
    </row>
    <row r="77" spans="1:12" ht="15.75" customHeight="1" x14ac:dyDescent="0.25">
      <c r="A77" s="193"/>
      <c r="B77" s="194"/>
      <c r="C77" s="5"/>
      <c r="D77" s="56"/>
      <c r="E77" s="54"/>
    </row>
    <row r="78" spans="1:12" x14ac:dyDescent="0.25">
      <c r="A78" s="55"/>
      <c r="B78" s="57"/>
      <c r="C78" s="5"/>
      <c r="D78" s="56"/>
      <c r="E78" s="54"/>
    </row>
    <row r="79" spans="1:12" x14ac:dyDescent="0.25">
      <c r="A79" s="36"/>
      <c r="B79" s="35"/>
      <c r="C79" s="35"/>
      <c r="D79" s="126"/>
      <c r="E79" s="169">
        <f>SUM(D76:D78)</f>
        <v>3320350</v>
      </c>
    </row>
    <row r="80" spans="1:12" ht="15" customHeight="1" thickBot="1" x14ac:dyDescent="0.3">
      <c r="D80" s="62"/>
    </row>
    <row r="81" spans="1:5" ht="15.75" hidden="1" thickBot="1" x14ac:dyDescent="0.3">
      <c r="D81" s="62"/>
    </row>
    <row r="82" spans="1:5" ht="15.75" thickBot="1" x14ac:dyDescent="0.3">
      <c r="A82" s="105" t="s">
        <v>57</v>
      </c>
      <c r="B82" s="106"/>
      <c r="C82" s="106"/>
      <c r="D82" s="127"/>
      <c r="E82" s="116">
        <v>0</v>
      </c>
    </row>
    <row r="83" spans="1:5" ht="15.75" thickBot="1" x14ac:dyDescent="0.3">
      <c r="D83" s="62"/>
    </row>
    <row r="84" spans="1:5" ht="15.75" thickBot="1" x14ac:dyDescent="0.3">
      <c r="A84" s="3" t="s">
        <v>18</v>
      </c>
      <c r="B84" s="8"/>
      <c r="C84" s="4"/>
      <c r="D84" s="64"/>
      <c r="E84" s="45">
        <f>E79+E82</f>
        <v>3320350</v>
      </c>
    </row>
    <row r="85" spans="1:5" ht="15.75" thickBot="1" x14ac:dyDescent="0.3">
      <c r="D85" s="62"/>
    </row>
    <row r="86" spans="1:5" ht="15.75" thickBot="1" x14ac:dyDescent="0.3">
      <c r="A86" s="50" t="s">
        <v>12</v>
      </c>
      <c r="B86" s="51">
        <f>E66</f>
        <v>4163981.55</v>
      </c>
      <c r="D86" s="62"/>
    </row>
    <row r="87" spans="1:5" ht="15.75" thickBot="1" x14ac:dyDescent="0.3">
      <c r="A87" s="50" t="s">
        <v>13</v>
      </c>
      <c r="B87" s="51">
        <f>E66-E64</f>
        <v>4163981.55</v>
      </c>
      <c r="D87" s="62"/>
    </row>
    <row r="88" spans="1:5" ht="15.75" thickBot="1" x14ac:dyDescent="0.3">
      <c r="A88" s="50" t="s">
        <v>19</v>
      </c>
      <c r="B88" s="51">
        <f>E84-E82</f>
        <v>3320350</v>
      </c>
      <c r="D88" s="62"/>
    </row>
    <row r="89" spans="1:5" ht="15.75" thickBot="1" x14ac:dyDescent="0.3">
      <c r="A89" s="50" t="s">
        <v>30</v>
      </c>
      <c r="B89" s="51">
        <f>E84</f>
        <v>3320350</v>
      </c>
      <c r="D89" s="62"/>
    </row>
    <row r="90" spans="1:5" x14ac:dyDescent="0.25">
      <c r="D90" s="62"/>
    </row>
    <row r="91" spans="1:5" x14ac:dyDescent="0.25">
      <c r="D91" s="62"/>
    </row>
    <row r="92" spans="1:5" s="28" customFormat="1" x14ac:dyDescent="0.25">
      <c r="A92"/>
      <c r="B92" s="30"/>
      <c r="C92" s="27"/>
      <c r="D92"/>
    </row>
    <row r="93" spans="1:5" s="28" customFormat="1" x14ac:dyDescent="0.25">
      <c r="A93" s="71" t="s">
        <v>132</v>
      </c>
      <c r="B93" s="72">
        <v>7227046.5299999993</v>
      </c>
      <c r="C93" s="27"/>
      <c r="D93" s="34"/>
    </row>
    <row r="94" spans="1:5" x14ac:dyDescent="0.25">
      <c r="A94" s="40" t="s">
        <v>36</v>
      </c>
      <c r="B94" s="76">
        <f>-B87</f>
        <v>-4163981.55</v>
      </c>
      <c r="E94" s="31"/>
    </row>
    <row r="95" spans="1:5" x14ac:dyDescent="0.25">
      <c r="A95" s="40" t="s">
        <v>37</v>
      </c>
      <c r="B95" s="76">
        <v>0</v>
      </c>
    </row>
    <row r="96" spans="1:5" ht="30" x14ac:dyDescent="0.25">
      <c r="A96" s="40" t="s">
        <v>134</v>
      </c>
      <c r="B96" s="76">
        <f>-E72</f>
        <v>0</v>
      </c>
    </row>
    <row r="97" spans="1:5" x14ac:dyDescent="0.25">
      <c r="A97" s="40" t="s">
        <v>158</v>
      </c>
      <c r="B97" s="147">
        <v>-3000000</v>
      </c>
    </row>
    <row r="98" spans="1:5" x14ac:dyDescent="0.25">
      <c r="A98" s="40" t="s">
        <v>38</v>
      </c>
      <c r="B98" s="76">
        <f>B116</f>
        <v>0</v>
      </c>
    </row>
    <row r="99" spans="1:5" x14ac:dyDescent="0.25">
      <c r="A99" s="40" t="s">
        <v>128</v>
      </c>
      <c r="B99" s="77">
        <f>PRORRATEO!L35</f>
        <v>3923179.17</v>
      </c>
    </row>
    <row r="100" spans="1:5" ht="15.75" thickBot="1" x14ac:dyDescent="0.3">
      <c r="A100" s="74" t="s">
        <v>34</v>
      </c>
      <c r="B100" s="75">
        <f>SUM(B93:C99)</f>
        <v>3986244.1499999994</v>
      </c>
      <c r="D100" s="30"/>
      <c r="E100" s="31"/>
    </row>
    <row r="101" spans="1:5" x14ac:dyDescent="0.25">
      <c r="A101" s="73"/>
      <c r="B101" s="73"/>
      <c r="D101" s="31"/>
    </row>
    <row r="102" spans="1:5" x14ac:dyDescent="0.25">
      <c r="A102" s="71" t="s">
        <v>129</v>
      </c>
      <c r="B102" s="72">
        <v>198159.40000000002</v>
      </c>
    </row>
    <row r="103" spans="1:5" ht="31.5" customHeight="1" x14ac:dyDescent="0.25">
      <c r="A103" s="40" t="s">
        <v>157</v>
      </c>
      <c r="B103" s="147">
        <v>-75000</v>
      </c>
    </row>
    <row r="104" spans="1:5" x14ac:dyDescent="0.25">
      <c r="A104" s="40" t="s">
        <v>159</v>
      </c>
      <c r="B104" s="188">
        <v>3000000</v>
      </c>
    </row>
    <row r="105" spans="1:5" x14ac:dyDescent="0.25">
      <c r="A105" s="40" t="s">
        <v>37</v>
      </c>
      <c r="B105" s="147">
        <f>-B88</f>
        <v>-3320350</v>
      </c>
    </row>
    <row r="106" spans="1:5" x14ac:dyDescent="0.25">
      <c r="A106" s="40" t="s">
        <v>130</v>
      </c>
      <c r="B106" s="77">
        <f>PRORRATEO!L36</f>
        <v>218300.27</v>
      </c>
    </row>
    <row r="107" spans="1:5" ht="15.75" thickBot="1" x14ac:dyDescent="0.3">
      <c r="A107" s="74" t="s">
        <v>34</v>
      </c>
      <c r="B107" s="75">
        <f>SUM(B102:C106)</f>
        <v>21109.669999999896</v>
      </c>
    </row>
    <row r="108" spans="1:5" x14ac:dyDescent="0.25">
      <c r="A108" s="73"/>
      <c r="B108" s="73"/>
    </row>
    <row r="109" spans="1:5" x14ac:dyDescent="0.25">
      <c r="A109" s="73"/>
      <c r="B109" s="73"/>
    </row>
    <row r="110" spans="1:5" x14ac:dyDescent="0.25">
      <c r="A110" s="73"/>
      <c r="B110" s="73"/>
    </row>
    <row r="111" spans="1:5" x14ac:dyDescent="0.25">
      <c r="A111" s="73"/>
      <c r="B111" s="73"/>
    </row>
    <row r="112" spans="1:5" ht="34.5" customHeight="1" x14ac:dyDescent="0.25"/>
    <row r="113" spans="1:13" x14ac:dyDescent="0.25">
      <c r="A113" s="200" t="s">
        <v>24</v>
      </c>
      <c r="B113" s="200"/>
      <c r="C113" s="200"/>
    </row>
    <row r="114" spans="1:13" x14ac:dyDescent="0.25">
      <c r="A114" s="200"/>
      <c r="B114" s="200"/>
      <c r="C114" s="200"/>
    </row>
    <row r="115" spans="1:13" ht="35.25" customHeight="1" x14ac:dyDescent="0.25">
      <c r="A115" s="68"/>
      <c r="B115" s="26"/>
      <c r="C115" s="26">
        <v>40000</v>
      </c>
      <c r="E115" s="78"/>
    </row>
    <row r="116" spans="1:13" x14ac:dyDescent="0.25">
      <c r="A116" s="32" t="s">
        <v>8</v>
      </c>
      <c r="B116" s="69">
        <f>SUM(B115:B115)</f>
        <v>0</v>
      </c>
      <c r="C116" s="33"/>
    </row>
    <row r="117" spans="1:13" x14ac:dyDescent="0.25">
      <c r="M117" s="7"/>
    </row>
    <row r="118" spans="1:13" ht="15" customHeight="1" x14ac:dyDescent="0.25">
      <c r="A118" s="199"/>
      <c r="B118" s="199"/>
      <c r="C118" s="199"/>
      <c r="D118" s="199"/>
      <c r="E118" s="199"/>
    </row>
    <row r="119" spans="1:13" x14ac:dyDescent="0.25">
      <c r="A119" s="199"/>
      <c r="B119" s="199"/>
      <c r="C119" s="199"/>
      <c r="D119" s="199"/>
      <c r="E119" s="199"/>
    </row>
    <row r="120" spans="1:13" x14ac:dyDescent="0.25">
      <c r="A120" s="199"/>
      <c r="B120" s="199"/>
      <c r="C120" s="199"/>
      <c r="D120" s="199"/>
      <c r="E120" s="199"/>
    </row>
    <row r="121" spans="1:13" x14ac:dyDescent="0.25">
      <c r="A121" s="199"/>
      <c r="B121" s="199"/>
      <c r="C121" s="199"/>
      <c r="D121" s="199"/>
      <c r="E121" s="199"/>
    </row>
  </sheetData>
  <mergeCells count="15">
    <mergeCell ref="A118:E121"/>
    <mergeCell ref="A113:C114"/>
    <mergeCell ref="A76:B76"/>
    <mergeCell ref="A77:B77"/>
    <mergeCell ref="A69:B69"/>
    <mergeCell ref="A70:B70"/>
    <mergeCell ref="A55:B55"/>
    <mergeCell ref="A57:B57"/>
    <mergeCell ref="A37:B37"/>
    <mergeCell ref="B1:D1"/>
    <mergeCell ref="A34:B34"/>
    <mergeCell ref="A33:B33"/>
    <mergeCell ref="B3:E3"/>
    <mergeCell ref="A13:E16"/>
    <mergeCell ref="B8:C1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2"/>
  <sheetViews>
    <sheetView zoomScaleNormal="100" workbookViewId="0">
      <selection activeCell="S17" sqref="A12:S17"/>
    </sheetView>
  </sheetViews>
  <sheetFormatPr baseColWidth="10" defaultColWidth="10.7109375" defaultRowHeight="15" x14ac:dyDescent="0.25"/>
  <cols>
    <col min="1" max="1" width="4.28515625" customWidth="1"/>
    <col min="2" max="4" width="6.5703125" customWidth="1"/>
    <col min="5" max="5" width="20.42578125" customWidth="1"/>
    <col min="6" max="6" width="9.140625" customWidth="1"/>
    <col min="7" max="8" width="8.28515625" customWidth="1"/>
    <col min="9" max="9" width="8.42578125" customWidth="1"/>
    <col min="10" max="10" width="14.28515625" customWidth="1"/>
    <col min="11" max="11" width="13.42578125" customWidth="1"/>
    <col min="12" max="12" width="12.42578125" hidden="1" customWidth="1"/>
    <col min="13" max="13" width="13" customWidth="1"/>
    <col min="14" max="14" width="11.140625" customWidth="1"/>
    <col min="15" max="15" width="11.28515625" customWidth="1"/>
    <col min="16" max="18" width="12.42578125" customWidth="1"/>
    <col min="19" max="19" width="14.7109375" customWidth="1"/>
    <col min="20" max="20" width="14.28515625" customWidth="1"/>
    <col min="21" max="21" width="7.28515625" bestFit="1" customWidth="1"/>
    <col min="22" max="22" width="14.28515625" bestFit="1" customWidth="1"/>
    <col min="23" max="23" width="13.5703125" bestFit="1" customWidth="1"/>
  </cols>
  <sheetData>
    <row r="1" spans="1:23" ht="12.6" customHeight="1" x14ac:dyDescent="0.25">
      <c r="A1" s="6"/>
      <c r="B1" s="6"/>
      <c r="C1" s="6"/>
      <c r="D1" s="6"/>
      <c r="E1" s="6"/>
      <c r="F1" s="6"/>
      <c r="G1" s="6"/>
      <c r="H1" s="224"/>
      <c r="I1" s="224"/>
      <c r="J1" s="224"/>
      <c r="K1" s="224"/>
      <c r="L1" s="224"/>
      <c r="M1" s="224"/>
      <c r="N1" s="224"/>
      <c r="O1" s="224"/>
      <c r="P1" s="224"/>
      <c r="Q1" s="224"/>
      <c r="R1" s="224"/>
      <c r="S1" s="224"/>
      <c r="T1" s="6"/>
    </row>
    <row r="2" spans="1:23" ht="13.15" customHeight="1" x14ac:dyDescent="0.25">
      <c r="A2" s="6"/>
      <c r="B2" s="6"/>
      <c r="C2" s="6"/>
      <c r="D2" s="6"/>
      <c r="E2" s="15" t="s">
        <v>42</v>
      </c>
      <c r="F2" s="223">
        <f>V3</f>
        <v>3320350</v>
      </c>
      <c r="G2" s="223"/>
      <c r="H2" s="168"/>
      <c r="I2" s="168"/>
      <c r="J2" s="15" t="s">
        <v>135</v>
      </c>
      <c r="K2" s="212">
        <v>0</v>
      </c>
      <c r="L2" s="212"/>
      <c r="M2" s="212"/>
      <c r="N2" s="15"/>
      <c r="O2" s="15"/>
      <c r="P2" s="15" t="s">
        <v>54</v>
      </c>
      <c r="Q2" s="223">
        <f>V2</f>
        <v>4163981.55</v>
      </c>
      <c r="R2" s="223"/>
      <c r="S2" s="223"/>
      <c r="T2" s="41"/>
      <c r="U2" s="20"/>
      <c r="V2">
        <v>4163981.55</v>
      </c>
    </row>
    <row r="3" spans="1:23" ht="13.15" customHeight="1" thickBot="1" x14ac:dyDescent="0.3">
      <c r="A3" s="6"/>
      <c r="B3" s="6"/>
      <c r="C3" s="6"/>
      <c r="D3" s="6"/>
      <c r="E3" s="6"/>
      <c r="F3" s="6"/>
      <c r="G3" s="6"/>
      <c r="H3" s="6"/>
      <c r="I3" s="6"/>
      <c r="J3" s="6"/>
      <c r="K3" s="6"/>
      <c r="L3" s="6"/>
      <c r="M3" s="6"/>
      <c r="N3" s="6"/>
      <c r="O3" s="6"/>
      <c r="P3" s="6"/>
      <c r="Q3" s="6"/>
      <c r="R3" s="6"/>
      <c r="S3" s="43"/>
      <c r="T3" s="43"/>
      <c r="V3">
        <v>3320350</v>
      </c>
    </row>
    <row r="4" spans="1:23" ht="13.15" customHeight="1" x14ac:dyDescent="0.25">
      <c r="A4" s="227" t="s">
        <v>160</v>
      </c>
      <c r="B4" s="228"/>
      <c r="C4" s="228"/>
      <c r="D4" s="228"/>
      <c r="E4" s="228"/>
      <c r="F4" s="228"/>
      <c r="G4" s="228"/>
      <c r="H4" s="228"/>
      <c r="I4" s="228"/>
      <c r="J4" s="228"/>
      <c r="K4" s="228"/>
      <c r="L4" s="228"/>
      <c r="M4" s="228"/>
      <c r="N4" s="228"/>
      <c r="O4" s="228"/>
      <c r="P4" s="228"/>
      <c r="Q4" s="228"/>
      <c r="R4" s="228"/>
      <c r="S4" s="228"/>
      <c r="T4" s="229"/>
    </row>
    <row r="5" spans="1:23" ht="13.15" customHeight="1" x14ac:dyDescent="0.25">
      <c r="A5" s="230"/>
      <c r="B5" s="231"/>
      <c r="C5" s="231"/>
      <c r="D5" s="231"/>
      <c r="E5" s="231"/>
      <c r="F5" s="231"/>
      <c r="G5" s="231"/>
      <c r="H5" s="231"/>
      <c r="I5" s="231"/>
      <c r="J5" s="231"/>
      <c r="K5" s="231"/>
      <c r="L5" s="231"/>
      <c r="M5" s="231"/>
      <c r="N5" s="231"/>
      <c r="O5" s="231"/>
      <c r="P5" s="231"/>
      <c r="Q5" s="231"/>
      <c r="R5" s="231"/>
      <c r="S5" s="231"/>
      <c r="T5" s="232"/>
    </row>
    <row r="6" spans="1:23" ht="13.15" customHeight="1" x14ac:dyDescent="0.25">
      <c r="A6" s="230"/>
      <c r="B6" s="231"/>
      <c r="C6" s="231"/>
      <c r="D6" s="231"/>
      <c r="E6" s="231"/>
      <c r="F6" s="231"/>
      <c r="G6" s="231"/>
      <c r="H6" s="231"/>
      <c r="I6" s="231"/>
      <c r="J6" s="231"/>
      <c r="K6" s="231"/>
      <c r="L6" s="231"/>
      <c r="M6" s="231"/>
      <c r="N6" s="231"/>
      <c r="O6" s="231"/>
      <c r="P6" s="231"/>
      <c r="Q6" s="231"/>
      <c r="R6" s="231"/>
      <c r="S6" s="231"/>
      <c r="T6" s="232"/>
    </row>
    <row r="7" spans="1:23" ht="30.75" customHeight="1" thickBot="1" x14ac:dyDescent="0.3">
      <c r="A7" s="230"/>
      <c r="B7" s="231"/>
      <c r="C7" s="231"/>
      <c r="D7" s="231"/>
      <c r="E7" s="231"/>
      <c r="F7" s="231"/>
      <c r="G7" s="231"/>
      <c r="H7" s="231"/>
      <c r="I7" s="231"/>
      <c r="J7" s="231"/>
      <c r="K7" s="231"/>
      <c r="L7" s="231"/>
      <c r="M7" s="231"/>
      <c r="N7" s="231"/>
      <c r="O7" s="231"/>
      <c r="P7" s="231"/>
      <c r="Q7" s="231"/>
      <c r="R7" s="231"/>
      <c r="S7" s="231"/>
      <c r="T7" s="232"/>
    </row>
    <row r="8" spans="1:23" ht="15.75" thickBot="1" x14ac:dyDescent="0.3">
      <c r="A8" s="216" t="s">
        <v>5</v>
      </c>
      <c r="B8" s="207" t="s">
        <v>72</v>
      </c>
      <c r="C8" s="207" t="s">
        <v>73</v>
      </c>
      <c r="D8" s="207" t="s">
        <v>77</v>
      </c>
      <c r="E8" s="207" t="s">
        <v>6</v>
      </c>
      <c r="F8" s="207" t="s">
        <v>115</v>
      </c>
      <c r="G8" s="207" t="s">
        <v>116</v>
      </c>
      <c r="H8" s="216" t="s">
        <v>114</v>
      </c>
      <c r="I8" s="148" t="s">
        <v>14</v>
      </c>
      <c r="J8" s="216" t="s">
        <v>35</v>
      </c>
      <c r="K8" s="207" t="s">
        <v>7</v>
      </c>
      <c r="L8" s="207" t="s">
        <v>125</v>
      </c>
      <c r="M8" s="225" t="s">
        <v>22</v>
      </c>
      <c r="N8" s="216" t="s">
        <v>137</v>
      </c>
      <c r="O8" s="216" t="s">
        <v>56</v>
      </c>
      <c r="P8" s="216" t="s">
        <v>20</v>
      </c>
      <c r="Q8" s="216" t="s">
        <v>43</v>
      </c>
      <c r="R8" s="205" t="s">
        <v>136</v>
      </c>
      <c r="S8" s="149" t="s">
        <v>28</v>
      </c>
      <c r="T8" s="233" t="s">
        <v>27</v>
      </c>
    </row>
    <row r="9" spans="1:23" ht="15.75" customHeight="1" thickBot="1" x14ac:dyDescent="0.3">
      <c r="A9" s="217"/>
      <c r="B9" s="208"/>
      <c r="C9" s="208"/>
      <c r="D9" s="208"/>
      <c r="E9" s="208"/>
      <c r="F9" s="208"/>
      <c r="G9" s="208"/>
      <c r="H9" s="217"/>
      <c r="I9" s="161" t="s">
        <v>113</v>
      </c>
      <c r="J9" s="217"/>
      <c r="K9" s="208"/>
      <c r="L9" s="208"/>
      <c r="M9" s="226"/>
      <c r="N9" s="217"/>
      <c r="O9" s="217"/>
      <c r="P9" s="217"/>
      <c r="Q9" s="217"/>
      <c r="R9" s="206"/>
      <c r="S9" s="186" t="str">
        <f>RESUMEN!B8</f>
        <v>VTO 17/09</v>
      </c>
      <c r="T9" s="234"/>
    </row>
    <row r="10" spans="1:23" ht="17.100000000000001" customHeight="1" x14ac:dyDescent="0.25">
      <c r="A10" s="166">
        <v>19</v>
      </c>
      <c r="B10" s="151">
        <v>17</v>
      </c>
      <c r="C10" s="151"/>
      <c r="D10" s="151" t="s">
        <v>78</v>
      </c>
      <c r="E10" s="163" t="s">
        <v>96</v>
      </c>
      <c r="F10" s="164">
        <v>5.44</v>
      </c>
      <c r="G10" s="164">
        <v>0.12</v>
      </c>
      <c r="H10" s="165"/>
      <c r="I10" s="167">
        <f>SUM(F10:H10)</f>
        <v>5.5600000000000005</v>
      </c>
      <c r="J10" s="162">
        <v>251132.19</v>
      </c>
      <c r="K10" s="160">
        <f>J10</f>
        <v>251132.19</v>
      </c>
      <c r="L10" s="160" t="s">
        <v>126</v>
      </c>
      <c r="M10" s="159">
        <f t="shared" ref="M10:M33" si="0">J10-K10</f>
        <v>0</v>
      </c>
      <c r="N10" s="159">
        <f>IF(M10&gt;0,M10*2%,0)</f>
        <v>0</v>
      </c>
      <c r="O10" s="159"/>
      <c r="P10" s="157">
        <f>Q$2*I10/100</f>
        <v>231517.37418000001</v>
      </c>
      <c r="Q10" s="158">
        <f>F$2*I10/100</f>
        <v>184611.46</v>
      </c>
      <c r="R10" s="158">
        <f>K$2/18</f>
        <v>0</v>
      </c>
      <c r="S10" s="156">
        <f>ROUND(SUM(M10:R10),0) + U10</f>
        <v>416129.19</v>
      </c>
      <c r="T10" s="156">
        <f t="shared" ref="T10:T33" si="1">ROUND(S10*3%,0) + S10</f>
        <v>428613.19</v>
      </c>
      <c r="U10" s="31">
        <f t="shared" ref="U10:U15" si="2">A10/100</f>
        <v>0.19</v>
      </c>
      <c r="V10" s="31" t="s">
        <v>119</v>
      </c>
    </row>
    <row r="11" spans="1:23" ht="17.100000000000001" customHeight="1" x14ac:dyDescent="0.25">
      <c r="A11" s="154">
        <v>20</v>
      </c>
      <c r="B11" s="130"/>
      <c r="C11" s="130"/>
      <c r="D11" s="130" t="s">
        <v>79</v>
      </c>
      <c r="E11" s="92" t="s">
        <v>97</v>
      </c>
      <c r="F11" s="93">
        <v>2.87</v>
      </c>
      <c r="G11" s="93"/>
      <c r="H11" s="136"/>
      <c r="I11" s="137">
        <f t="shared" ref="I11:I33" si="3">SUM(F11:H11)</f>
        <v>2.87</v>
      </c>
      <c r="J11" s="94">
        <v>76882.2</v>
      </c>
      <c r="K11" s="99">
        <v>99395</v>
      </c>
      <c r="L11" s="117" t="s">
        <v>126</v>
      </c>
      <c r="M11" s="95">
        <f t="shared" si="0"/>
        <v>-22512.800000000003</v>
      </c>
      <c r="N11" s="159">
        <f t="shared" ref="N11:N33" si="4">IF(M11&gt;0,M11*2%,0)</f>
        <v>0</v>
      </c>
      <c r="O11" s="95"/>
      <c r="P11" s="96">
        <f t="shared" ref="P11:P33" si="5">Q$2*I11/100</f>
        <v>119506.270485</v>
      </c>
      <c r="Q11" s="97">
        <f t="shared" ref="Q11:Q33" si="6">F$2*I11/100</f>
        <v>95294.044999999998</v>
      </c>
      <c r="R11" s="97"/>
      <c r="S11" s="156">
        <f t="shared" ref="S11:S26" si="7">ROUND(SUM(M11:R11),0) + U11</f>
        <v>192288.2</v>
      </c>
      <c r="T11" s="138">
        <f t="shared" si="1"/>
        <v>198057.2</v>
      </c>
      <c r="U11" s="31">
        <f t="shared" si="2"/>
        <v>0.2</v>
      </c>
      <c r="V11" s="31" t="s">
        <v>131</v>
      </c>
    </row>
    <row r="12" spans="1:23" ht="17.100000000000001" customHeight="1" x14ac:dyDescent="0.25">
      <c r="A12" s="155">
        <v>21</v>
      </c>
      <c r="B12" s="131">
        <v>15</v>
      </c>
      <c r="C12" s="131"/>
      <c r="D12" s="131" t="s">
        <v>80</v>
      </c>
      <c r="E12" s="98" t="s">
        <v>98</v>
      </c>
      <c r="F12" s="93">
        <v>5.44</v>
      </c>
      <c r="G12" s="93">
        <v>0.12</v>
      </c>
      <c r="H12" s="136"/>
      <c r="I12" s="137">
        <f t="shared" si="3"/>
        <v>5.5600000000000005</v>
      </c>
      <c r="J12" s="99">
        <v>267566.21000000002</v>
      </c>
      <c r="K12" s="99">
        <v>0</v>
      </c>
      <c r="L12" s="117" t="s">
        <v>126</v>
      </c>
      <c r="M12" s="95">
        <f t="shared" si="0"/>
        <v>267566.21000000002</v>
      </c>
      <c r="N12" s="159">
        <f t="shared" si="4"/>
        <v>5351.3242000000009</v>
      </c>
      <c r="O12" s="95"/>
      <c r="P12" s="96">
        <f t="shared" si="5"/>
        <v>231517.37418000001</v>
      </c>
      <c r="Q12" s="97">
        <f t="shared" si="6"/>
        <v>184611.46</v>
      </c>
      <c r="R12" s="158">
        <f>K$2/18</f>
        <v>0</v>
      </c>
      <c r="S12" s="156">
        <f t="shared" si="7"/>
        <v>689046.21</v>
      </c>
      <c r="T12" s="138">
        <f t="shared" si="1"/>
        <v>709717.21</v>
      </c>
      <c r="U12" s="31">
        <f t="shared" si="2"/>
        <v>0.21</v>
      </c>
      <c r="V12" s="30"/>
    </row>
    <row r="13" spans="1:23" ht="17.100000000000001" customHeight="1" x14ac:dyDescent="0.25">
      <c r="A13" s="154">
        <v>22</v>
      </c>
      <c r="B13" s="130"/>
      <c r="C13" s="130"/>
      <c r="D13" s="130" t="s">
        <v>81</v>
      </c>
      <c r="E13" s="92" t="s">
        <v>97</v>
      </c>
      <c r="F13" s="93">
        <v>2.87</v>
      </c>
      <c r="G13" s="93"/>
      <c r="H13" s="136"/>
      <c r="I13" s="137">
        <f t="shared" si="3"/>
        <v>2.87</v>
      </c>
      <c r="J13" s="94">
        <v>76882.22</v>
      </c>
      <c r="K13" s="99">
        <f>J13</f>
        <v>76882.22</v>
      </c>
      <c r="L13" s="117" t="s">
        <v>126</v>
      </c>
      <c r="M13" s="95">
        <f t="shared" si="0"/>
        <v>0</v>
      </c>
      <c r="N13" s="159">
        <f t="shared" si="4"/>
        <v>0</v>
      </c>
      <c r="O13" s="95"/>
      <c r="P13" s="96">
        <f t="shared" si="5"/>
        <v>119506.270485</v>
      </c>
      <c r="Q13" s="97">
        <f t="shared" si="6"/>
        <v>95294.044999999998</v>
      </c>
      <c r="R13" s="97"/>
      <c r="S13" s="156">
        <f t="shared" si="7"/>
        <v>214800.22</v>
      </c>
      <c r="T13" s="138">
        <f t="shared" si="1"/>
        <v>221244.22</v>
      </c>
      <c r="U13" s="31">
        <f t="shared" si="2"/>
        <v>0.22</v>
      </c>
      <c r="V13" t="s">
        <v>118</v>
      </c>
      <c r="W13" s="31"/>
    </row>
    <row r="14" spans="1:23" ht="17.100000000000001" customHeight="1" x14ac:dyDescent="0.25">
      <c r="A14" s="154">
        <v>23</v>
      </c>
      <c r="B14" s="130">
        <v>7</v>
      </c>
      <c r="C14" s="130" t="s">
        <v>74</v>
      </c>
      <c r="D14" s="130" t="s">
        <v>82</v>
      </c>
      <c r="E14" s="92" t="s">
        <v>99</v>
      </c>
      <c r="F14" s="93">
        <v>5.44</v>
      </c>
      <c r="G14" s="93">
        <v>0.41</v>
      </c>
      <c r="H14" s="136">
        <v>0.09</v>
      </c>
      <c r="I14" s="137">
        <f t="shared" si="3"/>
        <v>5.94</v>
      </c>
      <c r="J14" s="94">
        <v>261311.23</v>
      </c>
      <c r="K14" s="99">
        <f>19167.23+242144.23</f>
        <v>261311.46000000002</v>
      </c>
      <c r="L14" s="117" t="s">
        <v>126</v>
      </c>
      <c r="M14" s="95">
        <f t="shared" si="0"/>
        <v>-0.23000000001047738</v>
      </c>
      <c r="N14" s="159">
        <f t="shared" si="4"/>
        <v>0</v>
      </c>
      <c r="O14" s="95"/>
      <c r="P14" s="96">
        <f t="shared" si="5"/>
        <v>247340.50407000002</v>
      </c>
      <c r="Q14" s="97">
        <f t="shared" si="6"/>
        <v>197228.79</v>
      </c>
      <c r="R14" s="158">
        <f>K$2/18</f>
        <v>0</v>
      </c>
      <c r="S14" s="156">
        <f t="shared" si="7"/>
        <v>444569.23</v>
      </c>
      <c r="T14" s="138">
        <f t="shared" si="1"/>
        <v>457906.23</v>
      </c>
      <c r="U14" s="31">
        <f t="shared" si="2"/>
        <v>0.23</v>
      </c>
      <c r="W14" s="31"/>
    </row>
    <row r="15" spans="1:23" ht="17.100000000000001" customHeight="1" x14ac:dyDescent="0.25">
      <c r="A15" s="154">
        <v>24</v>
      </c>
      <c r="B15" s="130"/>
      <c r="C15" s="130"/>
      <c r="D15" s="130" t="s">
        <v>83</v>
      </c>
      <c r="E15" s="92" t="s">
        <v>100</v>
      </c>
      <c r="F15" s="93">
        <v>2.87</v>
      </c>
      <c r="G15" s="93"/>
      <c r="H15" s="136"/>
      <c r="I15" s="137">
        <f t="shared" si="3"/>
        <v>2.87</v>
      </c>
      <c r="J15" s="94">
        <v>76882.240000000005</v>
      </c>
      <c r="K15" s="99">
        <v>114800.24</v>
      </c>
      <c r="L15" s="117" t="s">
        <v>126</v>
      </c>
      <c r="M15" s="95">
        <f t="shared" si="0"/>
        <v>-37918</v>
      </c>
      <c r="N15" s="159">
        <f t="shared" si="4"/>
        <v>0</v>
      </c>
      <c r="O15" s="95"/>
      <c r="P15" s="96">
        <f t="shared" si="5"/>
        <v>119506.270485</v>
      </c>
      <c r="Q15" s="97">
        <f t="shared" si="6"/>
        <v>95294.044999999998</v>
      </c>
      <c r="R15" s="97"/>
      <c r="S15" s="156">
        <f t="shared" si="7"/>
        <v>176882.24</v>
      </c>
      <c r="T15" s="138">
        <f t="shared" si="1"/>
        <v>182188.24</v>
      </c>
      <c r="U15" s="31">
        <f t="shared" si="2"/>
        <v>0.24</v>
      </c>
      <c r="V15" t="s">
        <v>122</v>
      </c>
    </row>
    <row r="16" spans="1:23" ht="17.100000000000001" customHeight="1" x14ac:dyDescent="0.25">
      <c r="A16" s="154" t="s">
        <v>71</v>
      </c>
      <c r="B16" s="130">
        <v>9</v>
      </c>
      <c r="C16" s="130"/>
      <c r="D16" s="130" t="s">
        <v>84</v>
      </c>
      <c r="E16" s="92" t="s">
        <v>100</v>
      </c>
      <c r="F16" s="93"/>
      <c r="G16" s="93">
        <v>0.53</v>
      </c>
      <c r="H16" s="136"/>
      <c r="I16" s="137">
        <f t="shared" si="3"/>
        <v>0.53</v>
      </c>
      <c r="J16" s="94">
        <v>116388.24</v>
      </c>
      <c r="K16" s="99">
        <f>J16</f>
        <v>116388.24</v>
      </c>
      <c r="L16" s="117" t="s">
        <v>126</v>
      </c>
      <c r="M16" s="95">
        <f t="shared" si="0"/>
        <v>0</v>
      </c>
      <c r="N16" s="159">
        <f t="shared" si="4"/>
        <v>0</v>
      </c>
      <c r="O16" s="95"/>
      <c r="P16" s="96">
        <f t="shared" si="5"/>
        <v>22069.102214999999</v>
      </c>
      <c r="Q16" s="97">
        <f t="shared" si="6"/>
        <v>17597.855</v>
      </c>
      <c r="R16" s="158">
        <f t="shared" ref="R16:R21" si="8">K$2/18</f>
        <v>0</v>
      </c>
      <c r="S16" s="156">
        <f t="shared" si="7"/>
        <v>39667.24</v>
      </c>
      <c r="T16" s="138">
        <f t="shared" si="1"/>
        <v>40857.24</v>
      </c>
      <c r="U16" s="31">
        <v>0.24</v>
      </c>
    </row>
    <row r="17" spans="1:22" ht="17.100000000000001" customHeight="1" x14ac:dyDescent="0.25">
      <c r="A17" s="154">
        <v>25</v>
      </c>
      <c r="B17" s="130">
        <v>14</v>
      </c>
      <c r="C17" s="130"/>
      <c r="D17" s="130" t="s">
        <v>85</v>
      </c>
      <c r="E17" s="92" t="s">
        <v>101</v>
      </c>
      <c r="F17" s="93">
        <v>5.44</v>
      </c>
      <c r="G17" s="93">
        <v>0.12</v>
      </c>
      <c r="H17" s="136"/>
      <c r="I17" s="137">
        <f t="shared" si="3"/>
        <v>5.5600000000000005</v>
      </c>
      <c r="J17" s="94">
        <v>224658.25</v>
      </c>
      <c r="K17" s="99">
        <f>191500+33158.25</f>
        <v>224658.25</v>
      </c>
      <c r="L17" s="117" t="s">
        <v>126</v>
      </c>
      <c r="M17" s="95">
        <f t="shared" si="0"/>
        <v>0</v>
      </c>
      <c r="N17" s="159">
        <f t="shared" si="4"/>
        <v>0</v>
      </c>
      <c r="O17" s="95"/>
      <c r="P17" s="96">
        <f t="shared" si="5"/>
        <v>231517.37418000001</v>
      </c>
      <c r="Q17" s="97">
        <f t="shared" si="6"/>
        <v>184611.46</v>
      </c>
      <c r="R17" s="158">
        <f t="shared" si="8"/>
        <v>0</v>
      </c>
      <c r="S17" s="156">
        <f t="shared" si="7"/>
        <v>416129.25</v>
      </c>
      <c r="T17" s="138">
        <f t="shared" si="1"/>
        <v>428613.25</v>
      </c>
      <c r="U17" s="31">
        <f t="shared" ref="U17:U27" si="9">A17/100</f>
        <v>0.25</v>
      </c>
    </row>
    <row r="18" spans="1:22" ht="17.100000000000001" customHeight="1" x14ac:dyDescent="0.25">
      <c r="A18" s="154">
        <f>A17+1</f>
        <v>26</v>
      </c>
      <c r="B18" s="130">
        <v>8</v>
      </c>
      <c r="C18" s="130"/>
      <c r="D18" s="130" t="s">
        <v>86</v>
      </c>
      <c r="E18" s="92" t="s">
        <v>102</v>
      </c>
      <c r="F18" s="93">
        <v>2.87</v>
      </c>
      <c r="G18" s="93">
        <v>0.41</v>
      </c>
      <c r="H18" s="136"/>
      <c r="I18" s="137">
        <f t="shared" si="3"/>
        <v>3.2800000000000002</v>
      </c>
      <c r="J18" s="94">
        <v>190055.26</v>
      </c>
      <c r="K18" s="99">
        <f>135644.26+54411</f>
        <v>190055.26</v>
      </c>
      <c r="L18" s="117" t="s">
        <v>126</v>
      </c>
      <c r="M18" s="95">
        <f t="shared" si="0"/>
        <v>0</v>
      </c>
      <c r="N18" s="159">
        <f t="shared" si="4"/>
        <v>0</v>
      </c>
      <c r="O18" s="95"/>
      <c r="P18" s="96">
        <f t="shared" si="5"/>
        <v>136578.59484000001</v>
      </c>
      <c r="Q18" s="97">
        <f t="shared" si="6"/>
        <v>108907.48</v>
      </c>
      <c r="R18" s="158">
        <f t="shared" si="8"/>
        <v>0</v>
      </c>
      <c r="S18" s="156">
        <f t="shared" si="7"/>
        <v>245486.26</v>
      </c>
      <c r="T18" s="138">
        <f t="shared" si="1"/>
        <v>252851.26</v>
      </c>
      <c r="U18" s="31">
        <f t="shared" si="9"/>
        <v>0.26</v>
      </c>
      <c r="V18" t="s">
        <v>124</v>
      </c>
    </row>
    <row r="19" spans="1:22" ht="17.100000000000001" customHeight="1" x14ac:dyDescent="0.25">
      <c r="A19" s="154">
        <f t="shared" ref="A19:A27" si="10">A18+1</f>
        <v>27</v>
      </c>
      <c r="B19" s="130">
        <v>13</v>
      </c>
      <c r="C19" s="130"/>
      <c r="D19" s="130" t="s">
        <v>87</v>
      </c>
      <c r="E19" s="92" t="s">
        <v>103</v>
      </c>
      <c r="F19" s="93">
        <v>5.44</v>
      </c>
      <c r="G19" s="93">
        <v>0.12</v>
      </c>
      <c r="H19" s="136"/>
      <c r="I19" s="137">
        <f t="shared" si="3"/>
        <v>5.5600000000000005</v>
      </c>
      <c r="J19" s="94">
        <v>242587.27</v>
      </c>
      <c r="K19" s="99">
        <v>218300.27</v>
      </c>
      <c r="L19" s="117" t="s">
        <v>55</v>
      </c>
      <c r="M19" s="95">
        <f t="shared" si="0"/>
        <v>24287</v>
      </c>
      <c r="N19" s="159">
        <v>0</v>
      </c>
      <c r="O19" s="95"/>
      <c r="P19" s="96">
        <f t="shared" si="5"/>
        <v>231517.37418000001</v>
      </c>
      <c r="Q19" s="97">
        <f t="shared" si="6"/>
        <v>184611.46</v>
      </c>
      <c r="R19" s="158">
        <f t="shared" si="8"/>
        <v>0</v>
      </c>
      <c r="S19" s="156">
        <f t="shared" si="7"/>
        <v>440416.27</v>
      </c>
      <c r="T19" s="138">
        <f t="shared" si="1"/>
        <v>453628.27</v>
      </c>
      <c r="U19" s="31">
        <f t="shared" si="9"/>
        <v>0.27</v>
      </c>
    </row>
    <row r="20" spans="1:22" ht="17.100000000000001" customHeight="1" x14ac:dyDescent="0.25">
      <c r="A20" s="154">
        <f t="shared" si="10"/>
        <v>28</v>
      </c>
      <c r="B20" s="130">
        <v>6</v>
      </c>
      <c r="C20" s="130"/>
      <c r="D20" s="130" t="s">
        <v>88</v>
      </c>
      <c r="E20" s="92" t="s">
        <v>102</v>
      </c>
      <c r="F20" s="93">
        <v>2.87</v>
      </c>
      <c r="G20" s="93">
        <v>0.41</v>
      </c>
      <c r="H20" s="136"/>
      <c r="I20" s="137">
        <f t="shared" si="3"/>
        <v>3.2800000000000002</v>
      </c>
      <c r="J20" s="94">
        <v>190055.28</v>
      </c>
      <c r="K20" s="99">
        <f>135644.28+54411</f>
        <v>190055.28</v>
      </c>
      <c r="L20" s="117" t="s">
        <v>126</v>
      </c>
      <c r="M20" s="123">
        <f t="shared" si="0"/>
        <v>0</v>
      </c>
      <c r="N20" s="159">
        <f t="shared" si="4"/>
        <v>0</v>
      </c>
      <c r="O20" s="95"/>
      <c r="P20" s="96">
        <f t="shared" si="5"/>
        <v>136578.59484000001</v>
      </c>
      <c r="Q20" s="97">
        <f t="shared" si="6"/>
        <v>108907.48</v>
      </c>
      <c r="R20" s="158">
        <f t="shared" si="8"/>
        <v>0</v>
      </c>
      <c r="S20" s="156">
        <f t="shared" si="7"/>
        <v>245486.28</v>
      </c>
      <c r="T20" s="138">
        <f t="shared" si="1"/>
        <v>252851.28</v>
      </c>
      <c r="U20" s="31">
        <f t="shared" si="9"/>
        <v>0.28000000000000003</v>
      </c>
      <c r="V20" t="s">
        <v>123</v>
      </c>
    </row>
    <row r="21" spans="1:22" ht="17.100000000000001" customHeight="1" x14ac:dyDescent="0.25">
      <c r="A21" s="154">
        <f t="shared" si="10"/>
        <v>29</v>
      </c>
      <c r="B21" s="130">
        <v>11</v>
      </c>
      <c r="C21" s="130" t="s">
        <v>75</v>
      </c>
      <c r="D21" s="130" t="s">
        <v>89</v>
      </c>
      <c r="E21" s="92" t="s">
        <v>104</v>
      </c>
      <c r="F21" s="93">
        <v>5.44</v>
      </c>
      <c r="G21" s="136">
        <v>0.2</v>
      </c>
      <c r="H21" s="136">
        <v>0.09</v>
      </c>
      <c r="I21" s="137">
        <f t="shared" si="3"/>
        <v>5.73</v>
      </c>
      <c r="J21" s="94">
        <v>255686.29</v>
      </c>
      <c r="K21" s="99">
        <v>233644.29</v>
      </c>
      <c r="L21" s="117" t="s">
        <v>126</v>
      </c>
      <c r="M21" s="123">
        <f t="shared" si="0"/>
        <v>22042</v>
      </c>
      <c r="N21" s="159">
        <v>0</v>
      </c>
      <c r="O21" s="95"/>
      <c r="P21" s="96">
        <f t="shared" si="5"/>
        <v>238596.142815</v>
      </c>
      <c r="Q21" s="97">
        <f t="shared" si="6"/>
        <v>190256.05499999999</v>
      </c>
      <c r="R21" s="158">
        <f t="shared" si="8"/>
        <v>0</v>
      </c>
      <c r="S21" s="156">
        <f t="shared" si="7"/>
        <v>450894.29</v>
      </c>
      <c r="T21" s="138">
        <f t="shared" si="1"/>
        <v>464421.29</v>
      </c>
      <c r="U21" s="31">
        <f t="shared" si="9"/>
        <v>0.28999999999999998</v>
      </c>
    </row>
    <row r="22" spans="1:22" ht="17.100000000000001" customHeight="1" x14ac:dyDescent="0.25">
      <c r="A22" s="154">
        <f t="shared" si="10"/>
        <v>30</v>
      </c>
      <c r="B22" s="130"/>
      <c r="C22" s="130"/>
      <c r="D22" s="130" t="s">
        <v>90</v>
      </c>
      <c r="E22" s="92" t="s">
        <v>105</v>
      </c>
      <c r="F22" s="93">
        <v>2.87</v>
      </c>
      <c r="G22" s="93"/>
      <c r="H22" s="136"/>
      <c r="I22" s="137">
        <f t="shared" si="3"/>
        <v>2.87</v>
      </c>
      <c r="J22" s="94">
        <v>76637.3</v>
      </c>
      <c r="K22" s="99">
        <v>76700</v>
      </c>
      <c r="L22" s="117" t="s">
        <v>126</v>
      </c>
      <c r="M22" s="123">
        <f t="shared" si="0"/>
        <v>-62.69999999999709</v>
      </c>
      <c r="N22" s="159">
        <f t="shared" si="4"/>
        <v>0</v>
      </c>
      <c r="O22" s="95"/>
      <c r="P22" s="96">
        <f t="shared" si="5"/>
        <v>119506.270485</v>
      </c>
      <c r="Q22" s="97">
        <f t="shared" si="6"/>
        <v>95294.044999999998</v>
      </c>
      <c r="R22" s="97"/>
      <c r="S22" s="156">
        <f t="shared" si="7"/>
        <v>214738.3</v>
      </c>
      <c r="T22" s="138">
        <f t="shared" si="1"/>
        <v>221180.3</v>
      </c>
      <c r="U22" s="31">
        <f t="shared" si="9"/>
        <v>0.3</v>
      </c>
      <c r="V22" t="s">
        <v>120</v>
      </c>
    </row>
    <row r="23" spans="1:22" ht="17.100000000000001" customHeight="1" x14ac:dyDescent="0.25">
      <c r="A23" s="154">
        <f t="shared" si="10"/>
        <v>31</v>
      </c>
      <c r="B23" s="130">
        <v>1</v>
      </c>
      <c r="C23" s="130" t="s">
        <v>73</v>
      </c>
      <c r="D23" s="130" t="s">
        <v>91</v>
      </c>
      <c r="E23" s="92" t="s">
        <v>106</v>
      </c>
      <c r="F23" s="93">
        <v>5.44</v>
      </c>
      <c r="G23" s="93">
        <v>0.48</v>
      </c>
      <c r="H23" s="136">
        <v>0.09</v>
      </c>
      <c r="I23" s="137">
        <f t="shared" si="3"/>
        <v>6.01</v>
      </c>
      <c r="J23" s="94">
        <v>263186.31</v>
      </c>
      <c r="K23" s="99">
        <v>244944.31</v>
      </c>
      <c r="L23" s="117" t="s">
        <v>126</v>
      </c>
      <c r="M23" s="123">
        <f t="shared" si="0"/>
        <v>18242</v>
      </c>
      <c r="N23" s="159">
        <v>0</v>
      </c>
      <c r="O23" s="95"/>
      <c r="P23" s="96">
        <f t="shared" si="5"/>
        <v>250255.29115499998</v>
      </c>
      <c r="Q23" s="97">
        <f t="shared" si="6"/>
        <v>199553.035</v>
      </c>
      <c r="R23" s="158">
        <f>K$2/18</f>
        <v>0</v>
      </c>
      <c r="S23" s="156">
        <f t="shared" si="7"/>
        <v>468050.31</v>
      </c>
      <c r="T23" s="138">
        <f t="shared" si="1"/>
        <v>482092.31</v>
      </c>
      <c r="U23" s="31">
        <f t="shared" si="9"/>
        <v>0.31</v>
      </c>
    </row>
    <row r="24" spans="1:22" ht="17.100000000000001" customHeight="1" x14ac:dyDescent="0.25">
      <c r="A24" s="154">
        <f t="shared" si="10"/>
        <v>32</v>
      </c>
      <c r="B24" s="131"/>
      <c r="C24" s="131"/>
      <c r="D24" s="131" t="s">
        <v>92</v>
      </c>
      <c r="E24" s="98" t="s">
        <v>107</v>
      </c>
      <c r="F24" s="93">
        <v>2.87</v>
      </c>
      <c r="G24" s="132"/>
      <c r="H24" s="136"/>
      <c r="I24" s="137">
        <f t="shared" si="3"/>
        <v>2.87</v>
      </c>
      <c r="J24" s="99">
        <v>79187.320000000007</v>
      </c>
      <c r="K24" s="99">
        <f>J24</f>
        <v>79187.320000000007</v>
      </c>
      <c r="L24" s="117" t="s">
        <v>126</v>
      </c>
      <c r="M24" s="123">
        <f t="shared" si="0"/>
        <v>0</v>
      </c>
      <c r="N24" s="159">
        <f t="shared" si="4"/>
        <v>0</v>
      </c>
      <c r="O24" s="95"/>
      <c r="P24" s="96">
        <f t="shared" si="5"/>
        <v>119506.270485</v>
      </c>
      <c r="Q24" s="97">
        <f t="shared" si="6"/>
        <v>95294.044999999998</v>
      </c>
      <c r="R24" s="97"/>
      <c r="S24" s="156">
        <f t="shared" si="7"/>
        <v>214800.32</v>
      </c>
      <c r="T24" s="138">
        <f t="shared" si="1"/>
        <v>221244.32</v>
      </c>
      <c r="U24" s="31">
        <f t="shared" si="9"/>
        <v>0.32</v>
      </c>
      <c r="V24" t="s">
        <v>121</v>
      </c>
    </row>
    <row r="25" spans="1:22" ht="17.100000000000001" customHeight="1" x14ac:dyDescent="0.25">
      <c r="A25" s="154">
        <f t="shared" si="10"/>
        <v>33</v>
      </c>
      <c r="B25" s="130">
        <v>10</v>
      </c>
      <c r="C25" s="130"/>
      <c r="D25" s="130" t="s">
        <v>93</v>
      </c>
      <c r="E25" s="92" t="s">
        <v>108</v>
      </c>
      <c r="F25" s="93">
        <v>5.44</v>
      </c>
      <c r="G25" s="93">
        <v>0.45</v>
      </c>
      <c r="H25" s="136"/>
      <c r="I25" s="137">
        <f t="shared" si="3"/>
        <v>5.8900000000000006</v>
      </c>
      <c r="J25" s="94">
        <v>259972.33</v>
      </c>
      <c r="K25" s="99">
        <f>J25</f>
        <v>259972.33</v>
      </c>
      <c r="L25" s="117" t="s">
        <v>126</v>
      </c>
      <c r="M25" s="123">
        <f t="shared" si="0"/>
        <v>0</v>
      </c>
      <c r="N25" s="159">
        <f t="shared" si="4"/>
        <v>0</v>
      </c>
      <c r="O25" s="95"/>
      <c r="P25" s="96">
        <f t="shared" si="5"/>
        <v>245258.51329500001</v>
      </c>
      <c r="Q25" s="97">
        <f t="shared" si="6"/>
        <v>195568.61500000005</v>
      </c>
      <c r="R25" s="158">
        <f>K$2/18</f>
        <v>0</v>
      </c>
      <c r="S25" s="156">
        <f t="shared" si="7"/>
        <v>440827.33</v>
      </c>
      <c r="T25" s="138">
        <f t="shared" si="1"/>
        <v>454052.33</v>
      </c>
      <c r="U25" s="31">
        <f t="shared" si="9"/>
        <v>0.33</v>
      </c>
    </row>
    <row r="26" spans="1:22" ht="17.100000000000001" customHeight="1" x14ac:dyDescent="0.25">
      <c r="A26" s="154">
        <f t="shared" si="10"/>
        <v>34</v>
      </c>
      <c r="B26" s="130"/>
      <c r="C26" s="130"/>
      <c r="D26" s="130" t="s">
        <v>94</v>
      </c>
      <c r="E26" s="92" t="s">
        <v>109</v>
      </c>
      <c r="F26" s="93">
        <v>2.87</v>
      </c>
      <c r="G26" s="93"/>
      <c r="H26" s="136"/>
      <c r="I26" s="137">
        <f t="shared" si="3"/>
        <v>2.87</v>
      </c>
      <c r="J26" s="99">
        <v>76882.34</v>
      </c>
      <c r="K26" s="99">
        <v>99345.34</v>
      </c>
      <c r="L26" s="117" t="s">
        <v>126</v>
      </c>
      <c r="M26" s="123">
        <f t="shared" si="0"/>
        <v>-22463</v>
      </c>
      <c r="N26" s="159">
        <f t="shared" si="4"/>
        <v>0</v>
      </c>
      <c r="O26" s="95"/>
      <c r="P26" s="96">
        <f t="shared" si="5"/>
        <v>119506.270485</v>
      </c>
      <c r="Q26" s="97">
        <f t="shared" si="6"/>
        <v>95294.044999999998</v>
      </c>
      <c r="R26" s="97"/>
      <c r="S26" s="156">
        <f t="shared" si="7"/>
        <v>192337.34</v>
      </c>
      <c r="T26" s="138">
        <f t="shared" si="1"/>
        <v>198107.34</v>
      </c>
      <c r="U26" s="31">
        <f t="shared" si="9"/>
        <v>0.34</v>
      </c>
    </row>
    <row r="27" spans="1:22" ht="17.100000000000001" customHeight="1" x14ac:dyDescent="0.25">
      <c r="A27" s="154">
        <f t="shared" si="10"/>
        <v>35</v>
      </c>
      <c r="B27" s="130">
        <v>4</v>
      </c>
      <c r="C27" s="130" t="s">
        <v>55</v>
      </c>
      <c r="D27" s="218">
        <v>9</v>
      </c>
      <c r="E27" s="218" t="s">
        <v>110</v>
      </c>
      <c r="F27" s="135">
        <f>7.73/2</f>
        <v>3.8650000000000002</v>
      </c>
      <c r="G27" s="150">
        <v>0.41</v>
      </c>
      <c r="H27" s="136">
        <v>0.09</v>
      </c>
      <c r="I27" s="137">
        <f t="shared" si="3"/>
        <v>4.3650000000000002</v>
      </c>
      <c r="J27" s="94">
        <v>447977.35</v>
      </c>
      <c r="K27" s="117">
        <f>J27</f>
        <v>447977.35</v>
      </c>
      <c r="L27" s="117" t="s">
        <v>126</v>
      </c>
      <c r="M27" s="123">
        <f t="shared" si="0"/>
        <v>0</v>
      </c>
      <c r="N27" s="159">
        <f t="shared" si="4"/>
        <v>0</v>
      </c>
      <c r="O27" s="95"/>
      <c r="P27" s="96">
        <f t="shared" si="5"/>
        <v>181757.79465750002</v>
      </c>
      <c r="Q27" s="97">
        <f t="shared" si="6"/>
        <v>144933.2775</v>
      </c>
      <c r="R27" s="158">
        <f t="shared" ref="R27:R33" si="11">K$2/18</f>
        <v>0</v>
      </c>
      <c r="S27" s="138">
        <f>ROUND(SUM(M27:R27)+P28+Q28+R28,0) + U27</f>
        <v>646646.35</v>
      </c>
      <c r="T27" s="138">
        <f t="shared" si="1"/>
        <v>666045.35</v>
      </c>
      <c r="U27" s="31">
        <f t="shared" si="9"/>
        <v>0.35</v>
      </c>
    </row>
    <row r="28" spans="1:22" ht="14.65" customHeight="1" x14ac:dyDescent="0.25">
      <c r="A28" s="154" t="s">
        <v>71</v>
      </c>
      <c r="B28" s="130">
        <v>5</v>
      </c>
      <c r="C28" s="133"/>
      <c r="D28" s="219"/>
      <c r="E28" s="219"/>
      <c r="F28" s="135">
        <f>7.73/2</f>
        <v>3.8650000000000002</v>
      </c>
      <c r="G28" s="150">
        <v>0.41</v>
      </c>
      <c r="H28" s="136"/>
      <c r="I28" s="137">
        <f t="shared" si="3"/>
        <v>4.2750000000000004</v>
      </c>
      <c r="J28" s="94">
        <v>0</v>
      </c>
      <c r="K28" s="99">
        <f>J28</f>
        <v>0</v>
      </c>
      <c r="L28" s="117" t="s">
        <v>126</v>
      </c>
      <c r="M28" s="123">
        <f t="shared" si="0"/>
        <v>0</v>
      </c>
      <c r="N28" s="159">
        <f t="shared" si="4"/>
        <v>0</v>
      </c>
      <c r="O28" s="95"/>
      <c r="P28" s="96">
        <f t="shared" si="5"/>
        <v>178010.21126250003</v>
      </c>
      <c r="Q28" s="97">
        <f t="shared" si="6"/>
        <v>141944.96250000002</v>
      </c>
      <c r="R28" s="158">
        <f t="shared" si="11"/>
        <v>0</v>
      </c>
      <c r="S28" s="138">
        <v>0</v>
      </c>
      <c r="T28" s="138">
        <f t="shared" si="1"/>
        <v>0</v>
      </c>
      <c r="U28" s="31"/>
    </row>
    <row r="29" spans="1:22" ht="14.65" customHeight="1" x14ac:dyDescent="0.25">
      <c r="A29" s="154">
        <v>36</v>
      </c>
      <c r="B29" s="130">
        <v>2</v>
      </c>
      <c r="C29" s="133" t="s">
        <v>45</v>
      </c>
      <c r="D29" s="218">
        <v>10</v>
      </c>
      <c r="E29" s="221" t="s">
        <v>111</v>
      </c>
      <c r="F29" s="135">
        <f>7.73/2</f>
        <v>3.8650000000000002</v>
      </c>
      <c r="G29" s="152">
        <v>0.45</v>
      </c>
      <c r="H29" s="136">
        <v>7.0000000000000007E-2</v>
      </c>
      <c r="I29" s="137">
        <f t="shared" si="3"/>
        <v>4.3850000000000007</v>
      </c>
      <c r="J29" s="100">
        <v>428596.36</v>
      </c>
      <c r="K29" s="117">
        <f>84907.36+343689.36</f>
        <v>428596.72</v>
      </c>
      <c r="L29" s="117" t="s">
        <v>126</v>
      </c>
      <c r="M29" s="123">
        <f t="shared" si="0"/>
        <v>-0.35999999998603016</v>
      </c>
      <c r="N29" s="159">
        <f t="shared" si="4"/>
        <v>0</v>
      </c>
      <c r="O29" s="95"/>
      <c r="P29" s="96">
        <f t="shared" si="5"/>
        <v>182590.59096750003</v>
      </c>
      <c r="Q29" s="97">
        <f t="shared" si="6"/>
        <v>145597.34750000003</v>
      </c>
      <c r="R29" s="158">
        <f t="shared" si="11"/>
        <v>0</v>
      </c>
      <c r="S29" s="138">
        <f>ROUND(SUM(M29:R29)+P30+Q30+R30,0) + U29</f>
        <v>626438.36</v>
      </c>
      <c r="T29" s="138">
        <f t="shared" si="1"/>
        <v>645231.35999999999</v>
      </c>
      <c r="U29" s="31">
        <f>A29/100</f>
        <v>0.36</v>
      </c>
    </row>
    <row r="30" spans="1:22" ht="14.65" customHeight="1" x14ac:dyDescent="0.25">
      <c r="A30" s="154" t="s">
        <v>71</v>
      </c>
      <c r="B30" s="130">
        <v>18</v>
      </c>
      <c r="C30" s="133"/>
      <c r="D30" s="219"/>
      <c r="E30" s="222"/>
      <c r="F30" s="135">
        <f>7.73/2</f>
        <v>3.8650000000000002</v>
      </c>
      <c r="G30" s="153">
        <v>0.12</v>
      </c>
      <c r="H30" s="136"/>
      <c r="I30" s="137">
        <f t="shared" si="3"/>
        <v>3.9850000000000003</v>
      </c>
      <c r="J30" s="100">
        <v>0</v>
      </c>
      <c r="K30" s="117">
        <f>J30</f>
        <v>0</v>
      </c>
      <c r="L30" s="117" t="s">
        <v>126</v>
      </c>
      <c r="M30" s="123">
        <f t="shared" si="0"/>
        <v>0</v>
      </c>
      <c r="N30" s="159">
        <f t="shared" si="4"/>
        <v>0</v>
      </c>
      <c r="O30" s="95"/>
      <c r="P30" s="96">
        <f t="shared" si="5"/>
        <v>165934.66476750001</v>
      </c>
      <c r="Q30" s="97">
        <f t="shared" si="6"/>
        <v>132315.94750000001</v>
      </c>
      <c r="R30" s="158">
        <f t="shared" si="11"/>
        <v>0</v>
      </c>
      <c r="S30" s="138">
        <v>0</v>
      </c>
      <c r="T30" s="138">
        <f t="shared" si="1"/>
        <v>0</v>
      </c>
      <c r="U30" s="31"/>
    </row>
    <row r="31" spans="1:22" ht="14.65" customHeight="1" x14ac:dyDescent="0.25">
      <c r="A31" s="154">
        <v>37</v>
      </c>
      <c r="B31" s="130">
        <v>12</v>
      </c>
      <c r="C31" s="133" t="s">
        <v>76</v>
      </c>
      <c r="D31" s="218" t="s">
        <v>95</v>
      </c>
      <c r="E31" s="218" t="s">
        <v>112</v>
      </c>
      <c r="F31" s="135">
        <f>12.13/3</f>
        <v>4.0433333333333339</v>
      </c>
      <c r="G31" s="130">
        <v>0.12</v>
      </c>
      <c r="H31" s="136">
        <v>0.09</v>
      </c>
      <c r="I31" s="137">
        <f t="shared" si="3"/>
        <v>4.2533333333333339</v>
      </c>
      <c r="J31" s="100">
        <v>651333.37</v>
      </c>
      <c r="K31" s="117">
        <v>528133.37</v>
      </c>
      <c r="L31" s="117" t="s">
        <v>126</v>
      </c>
      <c r="M31" s="123">
        <f t="shared" si="0"/>
        <v>123200</v>
      </c>
      <c r="N31" s="159">
        <v>0</v>
      </c>
      <c r="O31" s="95"/>
      <c r="P31" s="96">
        <f t="shared" si="5"/>
        <v>177108.01526000001</v>
      </c>
      <c r="Q31" s="97">
        <f t="shared" si="6"/>
        <v>141225.55333333334</v>
      </c>
      <c r="R31" s="158">
        <f t="shared" si="11"/>
        <v>0</v>
      </c>
      <c r="S31" s="138">
        <f>ROUND(SUM(M31:R31)+P32+P33+Q32+Q33+R32+R33,0) + U31</f>
        <v>1086433.3700000001</v>
      </c>
      <c r="T31" s="138">
        <f t="shared" si="1"/>
        <v>1119026.3700000001</v>
      </c>
      <c r="U31" s="31">
        <f>A31/100</f>
        <v>0.37</v>
      </c>
    </row>
    <row r="32" spans="1:22" ht="14.65" customHeight="1" x14ac:dyDescent="0.25">
      <c r="A32" s="154" t="s">
        <v>71</v>
      </c>
      <c r="B32" s="130">
        <v>3</v>
      </c>
      <c r="C32" s="134"/>
      <c r="D32" s="220"/>
      <c r="E32" s="220"/>
      <c r="F32" s="135">
        <f>12.13/3</f>
        <v>4.0433333333333339</v>
      </c>
      <c r="G32" s="130">
        <v>0.41</v>
      </c>
      <c r="H32" s="136"/>
      <c r="I32" s="137">
        <f t="shared" si="3"/>
        <v>4.453333333333334</v>
      </c>
      <c r="J32" s="100">
        <v>0</v>
      </c>
      <c r="K32" s="117"/>
      <c r="L32" s="117"/>
      <c r="M32" s="123">
        <f t="shared" si="0"/>
        <v>0</v>
      </c>
      <c r="N32" s="159">
        <f t="shared" si="4"/>
        <v>0</v>
      </c>
      <c r="O32" s="95"/>
      <c r="P32" s="96">
        <f t="shared" si="5"/>
        <v>185435.97836000004</v>
      </c>
      <c r="Q32" s="97">
        <f t="shared" si="6"/>
        <v>147866.25333333336</v>
      </c>
      <c r="R32" s="158">
        <f t="shared" si="11"/>
        <v>0</v>
      </c>
      <c r="S32" s="138">
        <v>0</v>
      </c>
      <c r="T32" s="138">
        <f t="shared" si="1"/>
        <v>0</v>
      </c>
      <c r="U32" s="31"/>
    </row>
    <row r="33" spans="1:21" ht="14.65" customHeight="1" thickBot="1" x14ac:dyDescent="0.3">
      <c r="A33" s="170" t="s">
        <v>71</v>
      </c>
      <c r="B33" s="150">
        <v>16</v>
      </c>
      <c r="C33" s="134"/>
      <c r="D33" s="220"/>
      <c r="E33" s="220"/>
      <c r="F33" s="135">
        <f>12.13/3</f>
        <v>4.0433333333333339</v>
      </c>
      <c r="G33" s="150">
        <v>0.12</v>
      </c>
      <c r="H33" s="171"/>
      <c r="I33" s="172">
        <f t="shared" si="3"/>
        <v>4.163333333333334</v>
      </c>
      <c r="J33" s="100">
        <v>0</v>
      </c>
      <c r="K33" s="117"/>
      <c r="L33" s="117"/>
      <c r="M33" s="173">
        <f t="shared" si="0"/>
        <v>0</v>
      </c>
      <c r="N33" s="174">
        <f t="shared" si="4"/>
        <v>0</v>
      </c>
      <c r="O33" s="175"/>
      <c r="P33" s="176">
        <f t="shared" si="5"/>
        <v>173360.43186500002</v>
      </c>
      <c r="Q33" s="177">
        <f t="shared" si="6"/>
        <v>138237.23833333337</v>
      </c>
      <c r="R33" s="184">
        <f t="shared" si="11"/>
        <v>0</v>
      </c>
      <c r="S33" s="178">
        <v>0</v>
      </c>
      <c r="T33" s="178">
        <f t="shared" si="1"/>
        <v>0</v>
      </c>
      <c r="U33" s="31"/>
    </row>
    <row r="34" spans="1:21" ht="17.100000000000001" customHeight="1" thickBot="1" x14ac:dyDescent="0.3">
      <c r="A34" s="213" t="s">
        <v>44</v>
      </c>
      <c r="B34" s="214"/>
      <c r="C34" s="214"/>
      <c r="D34" s="214"/>
      <c r="E34" s="215"/>
      <c r="F34" s="179"/>
      <c r="G34" s="179"/>
      <c r="H34" s="180">
        <f t="shared" ref="H34:N34" si="12">SUM(H10:H33)</f>
        <v>0.52</v>
      </c>
      <c r="I34" s="180">
        <f t="shared" si="12"/>
        <v>100</v>
      </c>
      <c r="J34" s="181">
        <f t="shared" si="12"/>
        <v>4513859.5599999996</v>
      </c>
      <c r="K34" s="181">
        <f>SUM(K10:K33)</f>
        <v>4141479.4400000004</v>
      </c>
      <c r="L34" s="181"/>
      <c r="M34" s="181">
        <f t="shared" si="12"/>
        <v>372380.12000000005</v>
      </c>
      <c r="N34" s="181">
        <f t="shared" si="12"/>
        <v>5351.3242000000009</v>
      </c>
      <c r="O34" s="182"/>
      <c r="P34" s="182">
        <f>SUM(P10:P33)</f>
        <v>4163981.5500000007</v>
      </c>
      <c r="Q34" s="183">
        <f>SUM(Q10:Q33)</f>
        <v>3320350</v>
      </c>
      <c r="R34" s="185">
        <f>SUM(R10:R33)</f>
        <v>0</v>
      </c>
      <c r="S34" s="181">
        <f>SUM(S10:S31)</f>
        <v>7862066.5599999996</v>
      </c>
      <c r="T34" s="181">
        <f>SUM(T10:T31)</f>
        <v>8097928.5599999996</v>
      </c>
    </row>
    <row r="35" spans="1:21" ht="22.15" customHeight="1" x14ac:dyDescent="0.25">
      <c r="E35" s="37"/>
      <c r="F35" s="37"/>
      <c r="G35" s="37"/>
      <c r="K35" s="102" t="s">
        <v>127</v>
      </c>
      <c r="L35" s="102">
        <f>SUMIF(L10:L33,"B",K10:K33)</f>
        <v>3923179.17</v>
      </c>
    </row>
    <row r="36" spans="1:21" x14ac:dyDescent="0.25">
      <c r="A36" s="209"/>
      <c r="B36" s="209"/>
      <c r="C36" s="128"/>
      <c r="D36" s="128"/>
      <c r="H36" s="210"/>
      <c r="I36" s="129"/>
      <c r="J36" s="211"/>
      <c r="K36" s="102" t="s">
        <v>117</v>
      </c>
      <c r="L36" s="102">
        <f>SUMIF(L10:L33,"E",K10:K33)</f>
        <v>218300.27</v>
      </c>
    </row>
    <row r="37" spans="1:21" x14ac:dyDescent="0.25">
      <c r="A37" s="209"/>
      <c r="B37" s="209"/>
      <c r="C37" s="128"/>
      <c r="D37" s="128"/>
      <c r="H37" s="210"/>
      <c r="I37" s="129"/>
      <c r="J37" s="211"/>
      <c r="K37" s="103"/>
      <c r="L37" s="103"/>
    </row>
    <row r="48" spans="1:21" x14ac:dyDescent="0.25">
      <c r="J48">
        <f>SUM(H46:H47)</f>
        <v>0</v>
      </c>
    </row>
    <row r="50" spans="1:10" x14ac:dyDescent="0.25">
      <c r="A50" t="s">
        <v>50</v>
      </c>
    </row>
    <row r="51" spans="1:10" x14ac:dyDescent="0.25">
      <c r="A51" t="s">
        <v>49</v>
      </c>
    </row>
    <row r="52" spans="1:10" x14ac:dyDescent="0.25">
      <c r="J52">
        <f>SUM(H50:H51)</f>
        <v>0</v>
      </c>
    </row>
  </sheetData>
  <mergeCells count="33">
    <mergeCell ref="H1:S1"/>
    <mergeCell ref="N8:N9"/>
    <mergeCell ref="J8:J9"/>
    <mergeCell ref="K8:K9"/>
    <mergeCell ref="M8:M9"/>
    <mergeCell ref="P8:P9"/>
    <mergeCell ref="Q8:Q9"/>
    <mergeCell ref="A4:T7"/>
    <mergeCell ref="A8:A9"/>
    <mergeCell ref="E8:E9"/>
    <mergeCell ref="H8:H9"/>
    <mergeCell ref="B8:B9"/>
    <mergeCell ref="T8:T9"/>
    <mergeCell ref="C8:C9"/>
    <mergeCell ref="D8:D9"/>
    <mergeCell ref="Q2:S2"/>
    <mergeCell ref="K2:M2"/>
    <mergeCell ref="A34:E34"/>
    <mergeCell ref="O8:O9"/>
    <mergeCell ref="G8:G9"/>
    <mergeCell ref="F8:F9"/>
    <mergeCell ref="D27:D28"/>
    <mergeCell ref="D29:D30"/>
    <mergeCell ref="D31:D33"/>
    <mergeCell ref="E31:E33"/>
    <mergeCell ref="E29:E30"/>
    <mergeCell ref="E27:E28"/>
    <mergeCell ref="F2:G2"/>
    <mergeCell ref="R8:R9"/>
    <mergeCell ref="L8:L9"/>
    <mergeCell ref="A36:B37"/>
    <mergeCell ref="H36:H37"/>
    <mergeCell ref="J36:J37"/>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C3"/>
  <sheetViews>
    <sheetView workbookViewId="0">
      <selection activeCell="C4" sqref="C4"/>
    </sheetView>
  </sheetViews>
  <sheetFormatPr baseColWidth="10" defaultColWidth="10.7109375" defaultRowHeight="15" x14ac:dyDescent="0.25"/>
  <sheetData>
    <row r="3" spans="3:3" x14ac:dyDescent="0.25">
      <c r="C3"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2026-09-02T20:26:27Z</cp:lastPrinted>
  <dcterms:created xsi:type="dcterms:W3CDTF">2023-09-17T12:29:07Z</dcterms:created>
  <dcterms:modified xsi:type="dcterms:W3CDTF">2026-09-02T20:26:33Z</dcterms:modified>
</cp:coreProperties>
</file>