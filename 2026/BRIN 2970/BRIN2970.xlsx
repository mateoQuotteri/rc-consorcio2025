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USUARIOS\Downloads\"/>
    </mc:Choice>
  </mc:AlternateContent>
  <xr:revisionPtr revIDLastSave="0" documentId="13_ncr:1_{03B84CD4-C77A-4E2A-8FD2-742C5CE59F24}" xr6:coauthVersionLast="47" xr6:coauthVersionMax="47" xr10:uidLastSave="{00000000-0000-0000-0000-000000000000}"/>
  <bookViews>
    <workbookView xWindow="-108" yWindow="-108" windowWidth="23256" windowHeight="12576" tabRatio="850" activeTab="1" xr2:uid="{00000000-000D-0000-FFFF-FFFF00000000}"/>
  </bookViews>
  <sheets>
    <sheet name="RESUMEN" sheetId="1" r:id="rId1"/>
    <sheet name="PRORRATEO" sheetId="2" r:id="rId2"/>
    <sheet name="ANOTACIONES" sheetId="3" r:id="rId3"/>
  </sheets>
  <definedNames>
    <definedName name="_xlnm.Print_Area" localSheetId="1">PRORRATEO!$A$1:$R$35</definedName>
    <definedName name="_xlnm.Print_Area" localSheetId="0">RESUMEN!$A$1:$E$99</definedName>
  </definedNames>
  <calcPr calcId="181029"/>
</workbook>
</file>

<file path=xl/calcChain.xml><?xml version="1.0" encoding="utf-8"?>
<calcChain xmlns="http://schemas.openxmlformats.org/spreadsheetml/2006/main">
  <c r="O12" i="2" l="1"/>
  <c r="O13" i="2"/>
  <c r="O14" i="2"/>
  <c r="O15" i="2"/>
  <c r="O16" i="2"/>
  <c r="O17" i="2"/>
  <c r="O18" i="2"/>
  <c r="O19" i="2"/>
  <c r="O20" i="2"/>
  <c r="O21" i="2"/>
  <c r="O22" i="2"/>
  <c r="O23" i="2"/>
  <c r="O24" i="2"/>
  <c r="O25" i="2"/>
  <c r="O26" i="2"/>
  <c r="O27" i="2"/>
  <c r="O28" i="2"/>
  <c r="O29" i="2"/>
  <c r="O30" i="2"/>
  <c r="O31" i="2"/>
  <c r="O32" i="2"/>
  <c r="O33" i="2"/>
  <c r="O34" i="2"/>
  <c r="O11" i="2"/>
  <c r="P12" i="2"/>
  <c r="P13" i="2"/>
  <c r="P14" i="2"/>
  <c r="P15" i="2"/>
  <c r="P16" i="2"/>
  <c r="P17" i="2"/>
  <c r="P18" i="2"/>
  <c r="P19" i="2"/>
  <c r="P20" i="2"/>
  <c r="P21" i="2"/>
  <c r="P22" i="2"/>
  <c r="P23" i="2"/>
  <c r="P24" i="2"/>
  <c r="P25" i="2"/>
  <c r="P26" i="2"/>
  <c r="P27" i="2"/>
  <c r="P28" i="2"/>
  <c r="P29" i="2"/>
  <c r="P30" i="2"/>
  <c r="P31" i="2"/>
  <c r="P32" i="2"/>
  <c r="P33" i="2"/>
  <c r="P34" i="2"/>
  <c r="P11" i="2"/>
  <c r="F34" i="2"/>
  <c r="F33" i="2"/>
  <c r="F32" i="2"/>
  <c r="F31" i="2"/>
  <c r="I31" i="2" s="1"/>
  <c r="F30" i="2"/>
  <c r="F29" i="2"/>
  <c r="F28" i="2"/>
  <c r="K25" i="2"/>
  <c r="K35" i="2"/>
  <c r="I12" i="2"/>
  <c r="I13" i="2"/>
  <c r="I14" i="2"/>
  <c r="I15" i="2"/>
  <c r="I16" i="2"/>
  <c r="I17" i="2"/>
  <c r="I18" i="2"/>
  <c r="I19" i="2"/>
  <c r="I20" i="2"/>
  <c r="I21" i="2"/>
  <c r="I22" i="2"/>
  <c r="I23" i="2"/>
  <c r="I24" i="2"/>
  <c r="I25" i="2"/>
  <c r="I26" i="2"/>
  <c r="I27" i="2"/>
  <c r="I28" i="2"/>
  <c r="I29" i="2"/>
  <c r="I30" i="2"/>
  <c r="I32" i="2"/>
  <c r="I33" i="2"/>
  <c r="I34" i="2"/>
  <c r="I11" i="2"/>
  <c r="A19" i="2"/>
  <c r="A20" i="2" s="1"/>
  <c r="A21" i="2" s="1"/>
  <c r="A22" i="2" s="1"/>
  <c r="A23" i="2" s="1"/>
  <c r="A24" i="2" s="1"/>
  <c r="A25" i="2" s="1"/>
  <c r="A26" i="2" s="1"/>
  <c r="A27" i="2" s="1"/>
  <c r="A28" i="2" s="1"/>
  <c r="B87" i="1"/>
  <c r="E62" i="1"/>
  <c r="D59" i="1"/>
  <c r="K23" i="2"/>
  <c r="K31" i="2"/>
  <c r="I35" i="2" l="1"/>
  <c r="K24" i="2"/>
  <c r="K14" i="2"/>
  <c r="D30" i="1" l="1"/>
  <c r="K29" i="2" l="1"/>
  <c r="K27" i="2"/>
  <c r="K18" i="2"/>
  <c r="K11" i="2"/>
  <c r="K28" i="2"/>
  <c r="N19" i="2" l="1"/>
  <c r="E43" i="1" l="1"/>
  <c r="E44" i="1" s="1"/>
  <c r="E56" i="1" l="1"/>
  <c r="E50" i="1"/>
  <c r="P2" i="2" l="1"/>
  <c r="E45" i="1"/>
  <c r="K32" i="2"/>
  <c r="K17" i="2" s="1"/>
  <c r="K26" i="2"/>
  <c r="K33" i="2" l="1"/>
  <c r="L29" i="2"/>
  <c r="M29" i="2" s="1"/>
  <c r="L30" i="2"/>
  <c r="M30" i="2" s="1"/>
  <c r="L31" i="2"/>
  <c r="M31" i="2" s="1"/>
  <c r="L32" i="2"/>
  <c r="M32" i="2" s="1"/>
  <c r="L34" i="2"/>
  <c r="M34" i="2" s="1"/>
  <c r="J49" i="2"/>
  <c r="J53" i="2"/>
  <c r="D25" i="1"/>
  <c r="A4" i="2"/>
  <c r="L33" i="2" l="1"/>
  <c r="M33" i="2" s="1"/>
  <c r="K19" i="2"/>
  <c r="B90" i="1"/>
  <c r="E39" i="1"/>
  <c r="E60" i="1" l="1"/>
  <c r="E35" i="1" l="1"/>
  <c r="L22" i="2" l="1"/>
  <c r="E72" i="1" l="1"/>
  <c r="E77" i="1" s="1"/>
  <c r="B81" i="1" s="1"/>
  <c r="B88" i="1" l="1"/>
  <c r="B98" i="1"/>
  <c r="B89" i="1" l="1"/>
  <c r="L25" i="2" l="1"/>
  <c r="L35" i="2" s="1"/>
  <c r="Q10" i="2" l="1"/>
  <c r="E31" i="1" l="1"/>
  <c r="E64" i="1" s="1"/>
  <c r="S12" i="2" l="1"/>
  <c r="S13" i="2" s="1"/>
  <c r="S14" i="2" s="1"/>
  <c r="S15" i="2" s="1"/>
  <c r="S16" i="2" s="1"/>
  <c r="S17" i="2" s="1"/>
  <c r="S18" i="2" s="1"/>
  <c r="S19" i="2" s="1"/>
  <c r="S20" i="2" s="1"/>
  <c r="S21" i="2" s="1"/>
  <c r="S22" i="2" s="1"/>
  <c r="S23" i="2" s="1"/>
  <c r="S24" i="2" s="1"/>
  <c r="S25" i="2" s="1"/>
  <c r="S26" i="2" s="1"/>
  <c r="S27" i="2" s="1"/>
  <c r="S28" i="2" s="1"/>
  <c r="S29" i="2" s="1"/>
  <c r="S30" i="2" l="1"/>
  <c r="Q29" i="2"/>
  <c r="R29" i="2" s="1"/>
  <c r="H35" i="2"/>
  <c r="J35" i="2"/>
  <c r="S31" i="2" l="1"/>
  <c r="Q30" i="2"/>
  <c r="R30" i="2" s="1"/>
  <c r="L12" i="2"/>
  <c r="L13" i="2"/>
  <c r="L14" i="2"/>
  <c r="L15" i="2"/>
  <c r="L16" i="2"/>
  <c r="L17" i="2"/>
  <c r="L18" i="2"/>
  <c r="L19" i="2"/>
  <c r="L20" i="2"/>
  <c r="L21" i="2"/>
  <c r="L23" i="2"/>
  <c r="L24" i="2"/>
  <c r="L26" i="2"/>
  <c r="L27" i="2"/>
  <c r="L28" i="2"/>
  <c r="L11" i="2"/>
  <c r="S32" i="2" l="1"/>
  <c r="Q31" i="2"/>
  <c r="R31" i="2" s="1"/>
  <c r="B82" i="1"/>
  <c r="M28" i="2"/>
  <c r="M16" i="2"/>
  <c r="M27" i="2"/>
  <c r="M23" i="2"/>
  <c r="M19" i="2"/>
  <c r="Q19" i="2" s="1"/>
  <c r="M15" i="2"/>
  <c r="M24" i="2"/>
  <c r="M12" i="2"/>
  <c r="M26" i="2"/>
  <c r="M22" i="2"/>
  <c r="M18" i="2"/>
  <c r="M14" i="2"/>
  <c r="M20" i="2"/>
  <c r="M25" i="2"/>
  <c r="M35" i="2" s="1"/>
  <c r="M21" i="2"/>
  <c r="M17" i="2"/>
  <c r="M13" i="2"/>
  <c r="M11" i="2"/>
  <c r="Q11" i="2" l="1"/>
  <c r="S33" i="2"/>
  <c r="Q32" i="2"/>
  <c r="R32" i="2" s="1"/>
  <c r="A43" i="1"/>
  <c r="A44" i="1" s="1"/>
  <c r="S34" i="2" l="1"/>
  <c r="Q33" i="2"/>
  <c r="R33" i="2" s="1"/>
  <c r="Q12" i="2"/>
  <c r="Q13" i="2"/>
  <c r="Q14" i="2"/>
  <c r="Q15" i="2"/>
  <c r="Q16" i="2"/>
  <c r="Q17" i="2"/>
  <c r="Q18" i="2"/>
  <c r="Q20" i="2"/>
  <c r="Q21" i="2"/>
  <c r="Q22" i="2"/>
  <c r="Q23" i="2"/>
  <c r="Q24" i="2"/>
  <c r="Q25" i="2"/>
  <c r="Q26" i="2"/>
  <c r="Q27" i="2"/>
  <c r="Q28" i="2"/>
  <c r="Q34" i="2" l="1"/>
  <c r="R34" i="2" s="1"/>
  <c r="Q35" i="2"/>
  <c r="R28" i="2"/>
  <c r="R24" i="2"/>
  <c r="R20" i="2"/>
  <c r="R16" i="2"/>
  <c r="R12" i="2"/>
  <c r="R11" i="2"/>
  <c r="R27" i="2"/>
  <c r="R23" i="2"/>
  <c r="R19" i="2"/>
  <c r="R15" i="2"/>
  <c r="R26" i="2"/>
  <c r="R22" i="2"/>
  <c r="R18" i="2"/>
  <c r="R14" i="2"/>
  <c r="R25" i="2"/>
  <c r="R21" i="2"/>
  <c r="R17" i="2"/>
  <c r="R13" i="2"/>
  <c r="O35" i="2"/>
  <c r="R35" i="2" l="1"/>
  <c r="P35" i="2" l="1"/>
  <c r="B80" i="1" l="1"/>
  <c r="B91" i="1" s="1"/>
  <c r="B79" i="1" l="1"/>
</calcChain>
</file>

<file path=xl/sharedStrings.xml><?xml version="1.0" encoding="utf-8"?>
<sst xmlns="http://schemas.openxmlformats.org/spreadsheetml/2006/main" count="146" uniqueCount="132">
  <si>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</si>
  <si>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</si>
  <si>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</si>
  <si>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</si>
  <si>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</si>
  <si>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</si>
  <si>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</si>
  <si>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</si>
  <si>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</si>
  <si>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</si>
  <si>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</si>
  <si>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</si>
  <si>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</si>
  <si>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</si>
  <si>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</si>
  <si>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</si>
  <si>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</si>
  <si>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</si>
  <si>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</si>
  <si>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</si>
  <si>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</si>
  <si>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</si>
  <si>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</si>
  <si>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</si>
  <si>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</si>
  <si>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</si>
  <si>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</si>
  <si>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</si>
  <si>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</si>
  <si>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</si>
  <si>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</si>
  <si>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</si>
  <si>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</si>
  <si>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</si>
  <si>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</si>
  <si>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</si>
  <si>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</si>
  <si>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</si>
  <si>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</si>
  <si>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</si>
  <si>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</si>
  <si>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</si>
  <si>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</si>
  <si>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</si>
  <si>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</si>
  <si>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</si>
  <si>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</si>
  <si>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TOTALES</t>
  </si>
  <si>
    <t>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</si>
  <si>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</si>
  <si>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Descuentos</t>
  </si>
  <si>
    <t>Redondeo</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</si>
  <si>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</si>
  <si>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</si>
  <si>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</si>
  <si>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</si>
  <si>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</si>
  <si>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</si>
  <si>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Ordinarios:</t>
  </si>
  <si>
    <t>E</t>
  </si>
  <si>
    <t>Particular</t>
  </si>
  <si>
    <t xml:space="preserve">PREVISION EXTRAORDINARIA </t>
  </si>
  <si>
    <t>PREVISION ORDINARIA</t>
  </si>
  <si>
    <t>Gustavo Padron - Sr. Contador</t>
  </si>
  <si>
    <t>Transf 02/06</t>
  </si>
  <si>
    <t>Transf 05/06</t>
  </si>
  <si>
    <t>Transf 09/06</t>
  </si>
  <si>
    <t>Transf 10/06</t>
  </si>
  <si>
    <t>Debito 12/06</t>
  </si>
  <si>
    <t>VTO 17/07</t>
  </si>
  <si>
    <t>PERÍODO: JUNIO</t>
  </si>
  <si>
    <t>Sindicatos mes de JUNIO</t>
  </si>
  <si>
    <t xml:space="preserve">MAIL: </t>
  </si>
  <si>
    <t>CUIT DEL EDIFICIO: 30-71424193-8</t>
  </si>
  <si>
    <t>CONSORCIO MINISTRO BRIN 2970</t>
  </si>
  <si>
    <t>CUIT ADMINISTRACION: 27-23125687-9</t>
  </si>
  <si>
    <t>Sueldo Sr. Pereyra Ariel Gustavo</t>
  </si>
  <si>
    <t>Honorarios administracion</t>
  </si>
  <si>
    <t>Seguro Intregal Mercantil Andina - Poliza N. 00113804200001</t>
  </si>
  <si>
    <t>Seguro La Holando - Accidentes personales - Poliza N. 660433</t>
  </si>
  <si>
    <t xml:space="preserve">Abono de mantenimiento de ascensores Tecnimet </t>
  </si>
  <si>
    <t>AySa - Cuenta de servicios 2389177</t>
  </si>
  <si>
    <t>Edesur  - Cliente: 01294126</t>
  </si>
  <si>
    <t xml:space="preserve">Servicio de internet </t>
  </si>
  <si>
    <t>Fuigaciones Mageca</t>
  </si>
  <si>
    <t xml:space="preserve">Metrogas </t>
  </si>
  <si>
    <t>-</t>
  </si>
  <si>
    <t>Coch</t>
  </si>
  <si>
    <t>Baulera</t>
  </si>
  <si>
    <t>D</t>
  </si>
  <si>
    <t>F</t>
  </si>
  <si>
    <t>C</t>
  </si>
  <si>
    <t>Dpto</t>
  </si>
  <si>
    <t>1A</t>
  </si>
  <si>
    <t>1B</t>
  </si>
  <si>
    <t>2A</t>
  </si>
  <si>
    <t>2B</t>
  </si>
  <si>
    <t>3A</t>
  </si>
  <si>
    <t>3B</t>
  </si>
  <si>
    <t>C9</t>
  </si>
  <si>
    <t>4A</t>
  </si>
  <si>
    <t>4B</t>
  </si>
  <si>
    <t>5A</t>
  </si>
  <si>
    <t>5B</t>
  </si>
  <si>
    <t>6A</t>
  </si>
  <si>
    <t>6B</t>
  </si>
  <si>
    <t>7A</t>
  </si>
  <si>
    <t>7B</t>
  </si>
  <si>
    <t>8A</t>
  </si>
  <si>
    <t>8B</t>
  </si>
  <si>
    <t>11 - 12°</t>
  </si>
  <si>
    <t>Malbar Miriam</t>
  </si>
  <si>
    <t>Florek Francisco</t>
  </si>
  <si>
    <t>Indioquimica S.A</t>
  </si>
  <si>
    <t>Perez, Ana maria</t>
  </si>
  <si>
    <t>Alvarez Benigno</t>
  </si>
  <si>
    <t xml:space="preserve">Garcia Abel / Baruch </t>
  </si>
  <si>
    <t>Camarotta Alejandro</t>
  </si>
  <si>
    <t>Porchia Regina</t>
  </si>
  <si>
    <t>Pasarin Daniel</t>
  </si>
  <si>
    <t>Constantino Leandro</t>
  </si>
  <si>
    <t>Grandolfi F. / Casella G.</t>
  </si>
  <si>
    <t>Napoli Jose</t>
  </si>
  <si>
    <t>Gonzalez Silvana</t>
  </si>
  <si>
    <t>Mari, Lilliana</t>
  </si>
  <si>
    <t>Cavero matias</t>
  </si>
  <si>
    <t>Muller Ruben</t>
  </si>
  <si>
    <t>Rubini Hernan</t>
  </si>
  <si>
    <t>%</t>
  </si>
  <si>
    <t xml:space="preserve"> (%) Bauleras</t>
  </si>
  <si>
    <t xml:space="preserve"> (%) Dpto</t>
  </si>
  <si>
    <t xml:space="preserve"> (%) Coch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</si>
</sst>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2C0A]\ * #,##0.00_-;\-[$$-2C0A]\ * #,##0.00_-;_-[$$-2C0A]\ * &quot;-&quot;??_-;_-@_-"/>
    <numFmt numFmtId="168"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b/>
      <sz val="9"/>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1">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28" xfId="0" applyFont="1" applyFill="1" applyBorder="1" applyAlignment="1">
      <alignment horizontal="left" vertical="center" wrapText="1"/>
    </xf>
    <xf numFmtId="44" fontId="2" fillId="11" borderId="26"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8" fontId="13" fillId="0" borderId="1" xfId="0" applyNumberFormat="1" applyFont="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6" xfId="0" applyFont="1" applyFill="1" applyBorder="1" applyAlignment="1">
      <alignment horizontal="left"/>
    </xf>
    <xf numFmtId="0" fontId="0" fillId="0" borderId="7" xfId="0" applyBorder="1"/>
    <xf numFmtId="44" fontId="13" fillId="0" borderId="0" xfId="1" applyFont="1"/>
    <xf numFmtId="44" fontId="3" fillId="0" borderId="0" xfId="0" applyNumberFormat="1" applyFont="1"/>
    <xf numFmtId="0" fontId="18" fillId="2" borderId="2" xfId="0" applyFont="1" applyFill="1" applyBorder="1"/>
    <xf numFmtId="0" fontId="18" fillId="0" borderId="2" xfId="1" applyNumberFormat="1" applyFont="1" applyBorder="1"/>
    <xf numFmtId="0" fontId="2" fillId="8" borderId="29" xfId="0" applyFont="1" applyFill="1" applyBorder="1"/>
    <xf numFmtId="0" fontId="2" fillId="8" borderId="30"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165" fontId="15" fillId="0" borderId="1" xfId="0" applyNumberFormat="1" applyFont="1" applyBorder="1"/>
    <xf numFmtId="8" fontId="4" fillId="2" borderId="6" xfId="0" applyNumberFormat="1" applyFont="1" applyFill="1" applyBorder="1"/>
    <xf numFmtId="8" fontId="4" fillId="2" borderId="1" xfId="0" applyNumberFormat="1" applyFont="1" applyFill="1" applyBorder="1" applyAlignment="1">
      <alignment horizontal="right"/>
    </xf>
    <xf numFmtId="44" fontId="4" fillId="4" borderId="0" xfId="1" applyFont="1" applyFill="1"/>
    <xf numFmtId="0" fontId="7" fillId="8" borderId="31" xfId="0" applyFont="1" applyFill="1" applyBorder="1"/>
    <xf numFmtId="0" fontId="0" fillId="0" borderId="0" xfId="0" applyAlignment="1">
      <alignment horizontal="left"/>
    </xf>
    <xf numFmtId="44" fontId="0" fillId="0" borderId="0" xfId="1" applyFont="1" applyAlignment="1">
      <alignment horizontal="center"/>
    </xf>
    <xf numFmtId="167" fontId="0" fillId="3" borderId="0" xfId="0" applyNumberFormat="1" applyFill="1" applyAlignment="1">
      <alignment horizontal="center"/>
    </xf>
    <xf numFmtId="44" fontId="8" fillId="2" borderId="1" xfId="1" applyFont="1" applyFill="1" applyBorder="1" applyAlignment="1">
      <alignment wrapText="1"/>
    </xf>
    <xf numFmtId="0" fontId="8" fillId="0" borderId="6" xfId="0" applyFont="1" applyBorder="1" applyAlignment="1">
      <alignment horizontal="left" vertical="center"/>
    </xf>
    <xf numFmtId="0" fontId="8" fillId="0" borderId="7" xfId="0" applyFont="1" applyBorder="1" applyAlignment="1">
      <alignment horizontal="left" vertical="center" wrapText="1"/>
    </xf>
    <xf numFmtId="0" fontId="8" fillId="0" borderId="1" xfId="0" applyFont="1" applyBorder="1"/>
    <xf numFmtId="0" fontId="8" fillId="0" borderId="6" xfId="0" applyFont="1" applyBorder="1"/>
    <xf numFmtId="0" fontId="8" fillId="0" borderId="1" xfId="0" applyFont="1" applyBorder="1" applyAlignment="1">
      <alignment vertical="center"/>
    </xf>
    <xf numFmtId="0" fontId="8" fillId="0" borderId="1" xfId="0" applyFont="1" applyBorder="1" applyAlignment="1">
      <alignmen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8" fillId="0" borderId="1" xfId="0" applyFont="1" applyBorder="1" applyAlignment="1">
      <alignment horizontal="left" vertical="center" wrapText="1"/>
    </xf>
    <xf numFmtId="0" fontId="0" fillId="3" borderId="0" xfId="0" applyFill="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6"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7" fontId="0" fillId="3" borderId="0" xfId="0" applyNumberFormat="1" applyFill="1" applyAlignment="1">
      <alignment horizontal="center"/>
    </xf>
    <xf numFmtId="0" fontId="20" fillId="4" borderId="8" xfId="0" applyFont="1" applyFill="1" applyBorder="1" applyAlignment="1">
      <alignment horizontal="left"/>
    </xf>
    <xf numFmtId="0" fontId="20" fillId="4" borderId="26" xfId="0" applyFont="1" applyFill="1" applyBorder="1" applyAlignment="1">
      <alignment horizontal="left"/>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0" borderId="6" xfId="0" applyFont="1" applyBorder="1" applyAlignment="1">
      <alignment horizontal="center" vertical="center"/>
    </xf>
    <xf numFmtId="0" fontId="13" fillId="2" borderId="1" xfId="0" applyFont="1" applyFill="1" applyBorder="1" applyAlignment="1">
      <alignment horizontal="center"/>
    </xf>
    <xf numFmtId="0" fontId="13" fillId="0" borderId="7" xfId="0" applyFont="1" applyBorder="1" applyAlignment="1">
      <alignment horizontal="center" vertical="center"/>
    </xf>
    <xf numFmtId="0" fontId="13" fillId="2" borderId="6" xfId="0" applyFont="1" applyFill="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0" borderId="32" xfId="0" applyFont="1" applyBorder="1" applyAlignment="1">
      <alignment horizontal="center" vertical="center"/>
    </xf>
    <xf numFmtId="0" fontId="13" fillId="0" borderId="2"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2" fontId="13" fillId="0" borderId="2" xfId="0" applyNumberFormat="1" applyFont="1" applyBorder="1" applyAlignment="1">
      <alignment horizontal="center" vertical="center"/>
    </xf>
    <xf numFmtId="2" fontId="13" fillId="0" borderId="1" xfId="0" applyNumberFormat="1" applyFont="1" applyBorder="1" applyAlignment="1">
      <alignment horizontal="center"/>
    </xf>
    <xf numFmtId="168" fontId="20" fillId="0" borderId="1" xfId="0" applyNumberFormat="1" applyFont="1" applyBorder="1" applyAlignment="1">
      <alignment horizontal="center"/>
    </xf>
    <xf numFmtId="44" fontId="23" fillId="0" borderId="25" xfId="1" applyFont="1" applyBorder="1"/>
    <xf numFmtId="44" fontId="23" fillId="0" borderId="27" xfId="1" applyFont="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opLeftCell="A93" workbookViewId="0">
      <selection activeCell="B88" sqref="B88"/>
    </sheetView>
  </sheetViews>
  <sheetFormatPr baseColWidth="10" defaultColWidth="10.77734375" defaultRowHeight="14.4" x14ac:dyDescent="0.3"/>
  <cols>
    <col min="1" max="1" width="37.5546875" customWidth="1"/>
    <col min="2" max="2" width="24.77734375" customWidth="1"/>
    <col min="3" max="3" width="15.77734375" hidden="1" customWidth="1"/>
    <col min="4" max="4" width="21.77734375" customWidth="1"/>
    <col min="5" max="5" width="14.77734375" customWidth="1"/>
    <col min="6" max="6" width="13" bestFit="1" customWidth="1"/>
    <col min="7" max="7" width="14.5546875" bestFit="1" customWidth="1"/>
    <col min="8" max="8" width="12" bestFit="1" customWidth="1"/>
    <col min="11" max="11" width="18" customWidth="1"/>
    <col min="12" max="12" width="18.21875" customWidth="1"/>
  </cols>
  <sheetData>
    <row r="1" spans="1:5" ht="14.55" customHeight="1" x14ac:dyDescent="0.3">
      <c r="A1" s="14"/>
      <c r="B1" s="166" t="s">
        <v>72</v>
      </c>
      <c r="C1" s="166"/>
      <c r="D1" s="166"/>
      <c r="E1" s="50"/>
    </row>
    <row r="2" spans="1:5" x14ac:dyDescent="0.3">
      <c r="A2" s="15"/>
      <c r="B2" s="51" t="s">
        <v>75</v>
      </c>
      <c r="C2" s="51"/>
      <c r="D2" s="51"/>
      <c r="E2" s="52"/>
    </row>
    <row r="3" spans="1:5" ht="70.5" customHeight="1" thickBot="1" x14ac:dyDescent="0.35">
      <c r="A3" s="15"/>
      <c r="B3" s="167" t="s">
        <v>54</v>
      </c>
      <c r="C3" s="167"/>
      <c r="D3" s="167"/>
      <c r="E3" s="168"/>
    </row>
    <row r="4" spans="1:5" ht="15" thickBot="1" x14ac:dyDescent="0.35">
      <c r="A4" s="18" t="s">
        <v>0</v>
      </c>
      <c r="B4" s="53" t="s">
        <v>29</v>
      </c>
      <c r="C4" s="19"/>
      <c r="D4" s="19"/>
      <c r="E4" s="20"/>
    </row>
    <row r="5" spans="1:5" ht="15" thickBot="1" x14ac:dyDescent="0.35">
      <c r="A5" s="15" t="s">
        <v>73</v>
      </c>
      <c r="B5" s="19" t="s">
        <v>70</v>
      </c>
      <c r="C5" s="16"/>
      <c r="D5" s="51" t="s">
        <v>21</v>
      </c>
      <c r="E5" s="17"/>
    </row>
    <row r="6" spans="1:5" ht="15" thickBot="1" x14ac:dyDescent="0.35">
      <c r="A6" s="18" t="s">
        <v>74</v>
      </c>
      <c r="B6" s="19"/>
      <c r="C6" s="19"/>
      <c r="D6" s="19" t="s">
        <v>44</v>
      </c>
      <c r="E6" s="20"/>
    </row>
    <row r="8" spans="1:5" x14ac:dyDescent="0.3">
      <c r="B8" s="170" t="s">
        <v>69</v>
      </c>
      <c r="C8" s="170"/>
    </row>
    <row r="9" spans="1:5" x14ac:dyDescent="0.3">
      <c r="B9" s="170"/>
      <c r="C9" s="170"/>
    </row>
    <row r="10" spans="1:5" x14ac:dyDescent="0.3">
      <c r="B10" s="170"/>
      <c r="C10" s="170"/>
    </row>
    <row r="12" spans="1:5" hidden="1" x14ac:dyDescent="0.3"/>
    <row r="13" spans="1:5" ht="15" customHeight="1" x14ac:dyDescent="0.3">
      <c r="A13" s="169" t="s">
        <v>49</v>
      </c>
      <c r="B13" s="169"/>
      <c r="C13" s="169"/>
      <c r="D13" s="169"/>
      <c r="E13" s="169"/>
    </row>
    <row r="14" spans="1:5" ht="15" customHeight="1" x14ac:dyDescent="0.3">
      <c r="A14" s="169"/>
      <c r="B14" s="169"/>
      <c r="C14" s="169"/>
      <c r="D14" s="169"/>
      <c r="E14" s="169"/>
    </row>
    <row r="15" spans="1:5" ht="15" customHeight="1" x14ac:dyDescent="0.3">
      <c r="A15" s="169"/>
      <c r="B15" s="169"/>
      <c r="C15" s="169"/>
      <c r="D15" s="169"/>
      <c r="E15" s="169"/>
    </row>
    <row r="16" spans="1:5" ht="127.2" customHeight="1" x14ac:dyDescent="0.3">
      <c r="A16" s="169"/>
      <c r="B16" s="169"/>
      <c r="C16" s="169"/>
      <c r="D16" s="169"/>
      <c r="E16" s="169"/>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26" t="s">
        <v>25</v>
      </c>
      <c r="B21" s="26"/>
      <c r="C21" s="26"/>
      <c r="D21" s="25"/>
      <c r="E21" s="25"/>
    </row>
    <row r="22" spans="1:7" x14ac:dyDescent="0.3">
      <c r="A22" s="152" t="s">
        <v>76</v>
      </c>
      <c r="B22" s="5"/>
      <c r="C22" s="5"/>
      <c r="D22" s="125">
        <v>1899703.78</v>
      </c>
      <c r="E22" s="5"/>
    </row>
    <row r="23" spans="1:7" x14ac:dyDescent="0.3">
      <c r="A23" s="5" t="s">
        <v>50</v>
      </c>
      <c r="B23" s="5"/>
      <c r="C23" s="5"/>
      <c r="D23" s="125">
        <v>-470176.69</v>
      </c>
      <c r="E23" s="5"/>
    </row>
    <row r="24" spans="1:7" x14ac:dyDescent="0.3">
      <c r="A24" s="5" t="s">
        <v>51</v>
      </c>
      <c r="B24" s="5"/>
      <c r="C24" s="5"/>
      <c r="D24" s="125">
        <v>0.91</v>
      </c>
      <c r="E24" s="5"/>
    </row>
    <row r="25" spans="1:7" ht="14.25" customHeight="1" x14ac:dyDescent="0.3">
      <c r="A25" s="43" t="s">
        <v>26</v>
      </c>
      <c r="B25" s="43"/>
      <c r="C25" s="43"/>
      <c r="D25" s="126">
        <f>SUM(D22:D24)</f>
        <v>1429528</v>
      </c>
      <c r="E25" s="85"/>
      <c r="G25" s="21"/>
    </row>
    <row r="26" spans="1:7" ht="14.25" hidden="1" customHeight="1" x14ac:dyDescent="0.3">
      <c r="A26" s="5" t="s">
        <v>32</v>
      </c>
      <c r="B26" s="5"/>
      <c r="C26" s="5"/>
      <c r="D26" s="125"/>
      <c r="E26" s="5"/>
    </row>
    <row r="27" spans="1:7" hidden="1" x14ac:dyDescent="0.3">
      <c r="A27" s="22"/>
      <c r="B27" s="5"/>
      <c r="C27" s="5"/>
      <c r="D27" s="125"/>
      <c r="E27" s="5"/>
    </row>
    <row r="28" spans="1:7" hidden="1" x14ac:dyDescent="0.3">
      <c r="A28" s="5"/>
      <c r="B28" s="5"/>
      <c r="C28" s="5"/>
      <c r="D28" s="125"/>
      <c r="E28" s="5"/>
    </row>
    <row r="29" spans="1:7" ht="0.45" customHeight="1" x14ac:dyDescent="0.3">
      <c r="A29" s="5"/>
      <c r="B29" s="5"/>
      <c r="C29" s="5"/>
      <c r="D29" s="142"/>
      <c r="E29" s="5"/>
    </row>
    <row r="30" spans="1:7" hidden="1" x14ac:dyDescent="0.3">
      <c r="A30" s="43" t="s">
        <v>26</v>
      </c>
      <c r="B30" s="43"/>
      <c r="C30" s="43"/>
      <c r="D30" s="127">
        <f>SUM(D26:D29)</f>
        <v>0</v>
      </c>
      <c r="E30" s="85"/>
    </row>
    <row r="31" spans="1:7" ht="15" thickBot="1" x14ac:dyDescent="0.35">
      <c r="A31" s="23" t="s">
        <v>1</v>
      </c>
      <c r="B31" s="23"/>
      <c r="C31" s="23"/>
      <c r="D31" s="128"/>
      <c r="E31" s="86">
        <f>D25+D30</f>
        <v>1429528</v>
      </c>
      <c r="F31" s="21"/>
    </row>
    <row r="32" spans="1:7" x14ac:dyDescent="0.3">
      <c r="A32" s="26" t="s">
        <v>17</v>
      </c>
      <c r="B32" s="26"/>
      <c r="C32" s="26"/>
      <c r="D32" s="129"/>
      <c r="E32" s="87"/>
    </row>
    <row r="33" spans="1:7" ht="15" customHeight="1" x14ac:dyDescent="0.3">
      <c r="A33" s="162" t="s">
        <v>63</v>
      </c>
      <c r="B33" s="163"/>
      <c r="C33" s="40"/>
      <c r="D33" s="125">
        <v>45000</v>
      </c>
      <c r="E33" s="88" t="s">
        <v>65</v>
      </c>
    </row>
    <row r="34" spans="1:7" ht="15" customHeight="1" thickBot="1" x14ac:dyDescent="0.35">
      <c r="A34" s="162" t="s">
        <v>77</v>
      </c>
      <c r="B34" s="163"/>
      <c r="C34" s="40"/>
      <c r="D34" s="143"/>
      <c r="E34" s="88"/>
    </row>
    <row r="35" spans="1:7" ht="15" thickBot="1" x14ac:dyDescent="0.35">
      <c r="A35" s="23" t="s">
        <v>14</v>
      </c>
      <c r="B35" s="23"/>
      <c r="C35" s="23"/>
      <c r="D35" s="136"/>
      <c r="E35" s="89">
        <f>SUM(D33:D34)</f>
        <v>45000</v>
      </c>
    </row>
    <row r="36" spans="1:7" x14ac:dyDescent="0.3">
      <c r="A36" s="26" t="s">
        <v>23</v>
      </c>
      <c r="B36" s="23"/>
      <c r="C36" s="23"/>
      <c r="D36" s="137"/>
      <c r="E36" s="90"/>
    </row>
    <row r="37" spans="1:7" s="29" customFormat="1" ht="13.5" customHeight="1" x14ac:dyDescent="0.3">
      <c r="A37" s="171" t="s">
        <v>78</v>
      </c>
      <c r="B37" s="171"/>
      <c r="C37" s="41"/>
      <c r="D37" s="149">
        <v>44249</v>
      </c>
      <c r="E37" s="164"/>
    </row>
    <row r="38" spans="1:7" x14ac:dyDescent="0.3">
      <c r="A38" s="154" t="s">
        <v>79</v>
      </c>
      <c r="B38" s="155"/>
      <c r="C38" s="41"/>
      <c r="D38" s="149">
        <v>4406</v>
      </c>
      <c r="E38" s="165"/>
    </row>
    <row r="39" spans="1:7" ht="15" thickBot="1" x14ac:dyDescent="0.35">
      <c r="A39" s="23" t="s">
        <v>2</v>
      </c>
      <c r="B39" s="23"/>
      <c r="C39" s="23"/>
      <c r="D39" s="136"/>
      <c r="E39" s="57">
        <f>SUM(D37:D38)</f>
        <v>48655</v>
      </c>
    </row>
    <row r="40" spans="1:7" x14ac:dyDescent="0.3">
      <c r="A40" s="26" t="s">
        <v>15</v>
      </c>
      <c r="B40" s="91"/>
      <c r="C40" s="91"/>
      <c r="D40" s="138"/>
      <c r="E40" s="131"/>
    </row>
    <row r="41" spans="1:7" x14ac:dyDescent="0.3">
      <c r="A41" s="5" t="s">
        <v>34</v>
      </c>
      <c r="B41" s="5"/>
      <c r="C41" s="40"/>
      <c r="D41" s="130">
        <v>701906.85</v>
      </c>
      <c r="E41" s="95" t="s">
        <v>66</v>
      </c>
      <c r="G41" s="76"/>
    </row>
    <row r="42" spans="1:7" x14ac:dyDescent="0.3">
      <c r="A42" s="5" t="s">
        <v>71</v>
      </c>
      <c r="B42" s="5" t="s">
        <v>57</v>
      </c>
      <c r="C42" s="5"/>
      <c r="D42" s="130">
        <v>54804.85</v>
      </c>
      <c r="E42" s="95" t="s">
        <v>68</v>
      </c>
    </row>
    <row r="43" spans="1:7" x14ac:dyDescent="0.3">
      <c r="A43" s="5" t="str">
        <f>A42</f>
        <v>Sindicatos mes de JUNIO</v>
      </c>
      <c r="B43" s="5" t="s">
        <v>56</v>
      </c>
      <c r="C43" s="5"/>
      <c r="D43" s="130">
        <v>101643.56</v>
      </c>
      <c r="E43" s="96" t="str">
        <f>E42</f>
        <v>Debito 12/06</v>
      </c>
    </row>
    <row r="44" spans="1:7" x14ac:dyDescent="0.3">
      <c r="A44" s="5" t="str">
        <f>A43</f>
        <v>Sindicatos mes de JUNIO</v>
      </c>
      <c r="B44" s="5" t="s">
        <v>55</v>
      </c>
      <c r="C44" s="5"/>
      <c r="D44" s="130">
        <v>6089.43</v>
      </c>
      <c r="E44" s="97" t="str">
        <f>E43</f>
        <v>Debito 12/06</v>
      </c>
    </row>
    <row r="45" spans="1:7" ht="15" customHeight="1" thickBot="1" x14ac:dyDescent="0.35">
      <c r="A45" s="23" t="s">
        <v>3</v>
      </c>
      <c r="B45" s="91"/>
      <c r="C45" s="91"/>
      <c r="D45" s="139"/>
      <c r="E45" s="57">
        <f>SUM(D41:D44)</f>
        <v>864444.69000000006</v>
      </c>
    </row>
    <row r="46" spans="1:7" x14ac:dyDescent="0.3">
      <c r="A46" s="26" t="s">
        <v>16</v>
      </c>
      <c r="B46" s="91"/>
      <c r="C46" s="91"/>
      <c r="D46" s="138"/>
      <c r="E46" s="131"/>
    </row>
    <row r="47" spans="1:7" ht="14.25" customHeight="1" x14ac:dyDescent="0.3">
      <c r="A47" s="152" t="s">
        <v>82</v>
      </c>
      <c r="B47" s="5"/>
      <c r="C47" s="5"/>
      <c r="D47" s="130">
        <v>371485.85</v>
      </c>
      <c r="E47" s="95" t="s">
        <v>64</v>
      </c>
    </row>
    <row r="48" spans="1:7" ht="14.25" customHeight="1" x14ac:dyDescent="0.3">
      <c r="A48" s="153" t="s">
        <v>85</v>
      </c>
      <c r="B48" s="118"/>
      <c r="C48" s="5"/>
      <c r="D48" s="130"/>
      <c r="E48" s="95"/>
    </row>
    <row r="49" spans="1:12" ht="14.25" customHeight="1" x14ac:dyDescent="0.3">
      <c r="A49" s="153" t="s">
        <v>81</v>
      </c>
      <c r="B49" s="118"/>
      <c r="C49" s="5"/>
      <c r="D49" s="130">
        <v>355959.47</v>
      </c>
      <c r="E49" s="95" t="s">
        <v>64</v>
      </c>
    </row>
    <row r="50" spans="1:12" ht="15" thickBot="1" x14ac:dyDescent="0.35">
      <c r="A50" s="23" t="s">
        <v>4</v>
      </c>
      <c r="B50" s="23"/>
      <c r="C50" s="23"/>
      <c r="D50" s="140"/>
      <c r="E50" s="57">
        <f>SUM(D47:D49)</f>
        <v>727445.32</v>
      </c>
    </row>
    <row r="51" spans="1:12" ht="15" customHeight="1" thickBot="1" x14ac:dyDescent="0.35">
      <c r="A51" s="26"/>
      <c r="B51" s="23"/>
      <c r="C51" s="23"/>
      <c r="D51" s="136"/>
      <c r="E51" s="132"/>
    </row>
    <row r="52" spans="1:12" ht="20.100000000000001" customHeight="1" x14ac:dyDescent="0.3">
      <c r="A52" s="150" t="s">
        <v>80</v>
      </c>
      <c r="B52" s="151"/>
      <c r="C52" s="5"/>
      <c r="D52" s="130">
        <v>17700.11</v>
      </c>
      <c r="E52" s="95" t="s">
        <v>67</v>
      </c>
    </row>
    <row r="53" spans="1:12" ht="20.100000000000001" customHeight="1" x14ac:dyDescent="0.3">
      <c r="A53" s="150" t="s">
        <v>83</v>
      </c>
      <c r="B53" s="151"/>
      <c r="C53" s="5"/>
      <c r="D53" s="130">
        <v>105000</v>
      </c>
      <c r="E53" s="122" t="s">
        <v>65</v>
      </c>
    </row>
    <row r="54" spans="1:12" ht="18.75" customHeight="1" x14ac:dyDescent="0.3">
      <c r="A54" s="156" t="s">
        <v>84</v>
      </c>
      <c r="B54" s="157"/>
      <c r="C54" s="5"/>
      <c r="D54" s="130"/>
      <c r="E54" s="122"/>
    </row>
    <row r="55" spans="1:12" ht="20.100000000000001" customHeight="1" x14ac:dyDescent="0.3">
      <c r="A55" s="98"/>
      <c r="B55" s="94"/>
      <c r="C55" s="5"/>
      <c r="D55" s="130"/>
      <c r="E55" s="121"/>
    </row>
    <row r="56" spans="1:12" ht="15" thickBot="1" x14ac:dyDescent="0.35">
      <c r="A56" s="23" t="s">
        <v>8</v>
      </c>
      <c r="B56" s="26"/>
      <c r="C56" s="26"/>
      <c r="D56" s="25"/>
      <c r="E56" s="133">
        <f>SUM(D52:D55)</f>
        <v>122700.11</v>
      </c>
    </row>
    <row r="57" spans="1:12" ht="15" thickBot="1" x14ac:dyDescent="0.35">
      <c r="A57" s="26" t="s">
        <v>10</v>
      </c>
      <c r="B57" s="48"/>
      <c r="C57" s="23"/>
      <c r="D57" s="128"/>
      <c r="E57" s="92"/>
    </row>
    <row r="58" spans="1:12" x14ac:dyDescent="0.3">
      <c r="A58" s="5" t="s">
        <v>43</v>
      </c>
      <c r="B58" s="5"/>
      <c r="C58" s="5"/>
      <c r="D58" s="130">
        <v>69000</v>
      </c>
      <c r="E58" s="93"/>
    </row>
    <row r="59" spans="1:12" x14ac:dyDescent="0.3">
      <c r="A59" s="5" t="s">
        <v>42</v>
      </c>
      <c r="B59" s="5"/>
      <c r="C59" s="5"/>
      <c r="D59" s="130">
        <f>64674.37+1741</f>
        <v>66415.37</v>
      </c>
      <c r="E59" s="30"/>
    </row>
    <row r="60" spans="1:12" ht="15" thickBot="1" x14ac:dyDescent="0.35">
      <c r="A60" s="39" t="s">
        <v>14</v>
      </c>
      <c r="B60" s="39"/>
      <c r="C60" s="39"/>
      <c r="D60" s="62"/>
      <c r="E60" s="57">
        <f>SUM(D58:D59)</f>
        <v>135415.37</v>
      </c>
    </row>
    <row r="61" spans="1:12" ht="15" thickBot="1" x14ac:dyDescent="0.35">
      <c r="A61" s="5"/>
      <c r="B61" s="5"/>
      <c r="C61" s="5"/>
      <c r="D61" s="56"/>
      <c r="E61" s="63"/>
    </row>
    <row r="62" spans="1:12" ht="15" thickBot="1" x14ac:dyDescent="0.35">
      <c r="A62" s="24" t="s">
        <v>62</v>
      </c>
      <c r="B62" s="24"/>
      <c r="C62" s="24"/>
      <c r="D62" s="64"/>
      <c r="E62" s="65">
        <f>4095718.96-3509333.49</f>
        <v>586385.46999999974</v>
      </c>
    </row>
    <row r="63" spans="1:12" ht="15" thickBot="1" x14ac:dyDescent="0.35">
      <c r="A63" s="1"/>
      <c r="D63" s="66"/>
      <c r="E63" s="67"/>
      <c r="F63" s="32"/>
    </row>
    <row r="64" spans="1:12" ht="15" thickBot="1" x14ac:dyDescent="0.35">
      <c r="A64" s="3" t="s">
        <v>11</v>
      </c>
      <c r="B64" s="9"/>
      <c r="C64" s="4"/>
      <c r="D64" s="68"/>
      <c r="E64" s="69">
        <f>(SUM(E28:E62))</f>
        <v>3959573.9599999995</v>
      </c>
      <c r="F64" s="84"/>
      <c r="G64" s="32"/>
      <c r="H64" s="76"/>
      <c r="I64" s="76"/>
      <c r="J64" s="76"/>
      <c r="K64" s="76"/>
      <c r="L64" s="76"/>
    </row>
    <row r="65" spans="1:12" x14ac:dyDescent="0.3">
      <c r="D65" s="66"/>
      <c r="E65" s="66"/>
      <c r="H65" s="76"/>
      <c r="I65" s="76"/>
      <c r="J65" s="76"/>
      <c r="K65" s="76"/>
      <c r="L65" s="76"/>
    </row>
    <row r="66" spans="1:12" ht="15" thickBot="1" x14ac:dyDescent="0.35">
      <c r="D66" s="66"/>
      <c r="E66" s="66"/>
      <c r="H66" s="99"/>
    </row>
    <row r="67" spans="1:12" x14ac:dyDescent="0.3">
      <c r="A67" s="10" t="s">
        <v>33</v>
      </c>
      <c r="B67" s="11"/>
      <c r="C67" s="12"/>
      <c r="D67" s="70"/>
      <c r="E67" s="71"/>
    </row>
    <row r="68" spans="1:12" ht="15" customHeight="1" x14ac:dyDescent="0.3">
      <c r="A68" s="160"/>
      <c r="B68" s="161"/>
      <c r="C68" s="5"/>
      <c r="D68" s="60"/>
      <c r="E68" s="58"/>
    </row>
    <row r="69" spans="1:12" x14ac:dyDescent="0.3">
      <c r="A69" s="160"/>
      <c r="B69" s="161"/>
      <c r="C69" s="5"/>
      <c r="D69" s="60"/>
      <c r="E69" s="58"/>
    </row>
    <row r="70" spans="1:12" ht="15.75" customHeight="1" x14ac:dyDescent="0.3">
      <c r="A70" s="162"/>
      <c r="B70" s="163"/>
      <c r="C70" s="5"/>
      <c r="D70" s="60"/>
      <c r="E70" s="58"/>
    </row>
    <row r="71" spans="1:12" x14ac:dyDescent="0.3">
      <c r="A71" s="59"/>
      <c r="B71" s="61"/>
      <c r="C71" s="5"/>
      <c r="D71" s="60"/>
      <c r="E71" s="58"/>
    </row>
    <row r="72" spans="1:12" x14ac:dyDescent="0.3">
      <c r="A72" s="37"/>
      <c r="B72" s="36"/>
      <c r="C72" s="36"/>
      <c r="D72" s="144"/>
      <c r="E72" s="44">
        <f>SUM(D68:D71)</f>
        <v>0</v>
      </c>
    </row>
    <row r="73" spans="1:12" ht="15" customHeight="1" thickBot="1" x14ac:dyDescent="0.35">
      <c r="D73" s="66"/>
    </row>
    <row r="74" spans="1:12" ht="15" hidden="1" thickBot="1" x14ac:dyDescent="0.35">
      <c r="D74" s="66"/>
    </row>
    <row r="75" spans="1:12" ht="15" thickBot="1" x14ac:dyDescent="0.35">
      <c r="A75" s="123" t="s">
        <v>61</v>
      </c>
      <c r="B75" s="124"/>
      <c r="C75" s="124"/>
      <c r="D75" s="145"/>
      <c r="E75" s="134">
        <v>120000</v>
      </c>
    </row>
    <row r="76" spans="1:12" ht="15" thickBot="1" x14ac:dyDescent="0.35">
      <c r="D76" s="66"/>
    </row>
    <row r="77" spans="1:12" ht="15" thickBot="1" x14ac:dyDescent="0.35">
      <c r="A77" s="3" t="s">
        <v>18</v>
      </c>
      <c r="B77" s="9"/>
      <c r="C77" s="4"/>
      <c r="D77" s="68"/>
      <c r="E77" s="49">
        <f>E72+E75</f>
        <v>120000</v>
      </c>
    </row>
    <row r="78" spans="1:12" ht="15" thickBot="1" x14ac:dyDescent="0.35">
      <c r="D78" s="66"/>
    </row>
    <row r="79" spans="1:12" ht="15" thickBot="1" x14ac:dyDescent="0.35">
      <c r="A79" s="54" t="s">
        <v>12</v>
      </c>
      <c r="B79" s="55">
        <f>E64</f>
        <v>3959573.9599999995</v>
      </c>
      <c r="D79" s="66"/>
    </row>
    <row r="80" spans="1:12" ht="15" thickBot="1" x14ac:dyDescent="0.35">
      <c r="A80" s="54" t="s">
        <v>13</v>
      </c>
      <c r="B80" s="55">
        <f>E64-E62</f>
        <v>3373188.4899999998</v>
      </c>
      <c r="D80" s="66"/>
    </row>
    <row r="81" spans="1:5" ht="15" thickBot="1" x14ac:dyDescent="0.35">
      <c r="A81" s="54" t="s">
        <v>19</v>
      </c>
      <c r="B81" s="55">
        <f>E77-E75</f>
        <v>0</v>
      </c>
      <c r="D81" s="66"/>
    </row>
    <row r="82" spans="1:5" ht="15" thickBot="1" x14ac:dyDescent="0.35">
      <c r="A82" s="54" t="s">
        <v>30</v>
      </c>
      <c r="B82" s="55">
        <f>E77</f>
        <v>120000</v>
      </c>
      <c r="D82" s="66"/>
    </row>
    <row r="83" spans="1:5" x14ac:dyDescent="0.3">
      <c r="D83" s="66"/>
    </row>
    <row r="84" spans="1:5" x14ac:dyDescent="0.3">
      <c r="D84" s="66"/>
    </row>
    <row r="85" spans="1:5" s="29" customFormat="1" x14ac:dyDescent="0.3">
      <c r="A85"/>
      <c r="B85" s="31"/>
      <c r="C85" s="28"/>
      <c r="D85"/>
    </row>
    <row r="86" spans="1:5" s="29" customFormat="1" x14ac:dyDescent="0.3">
      <c r="A86" s="77" t="s">
        <v>41</v>
      </c>
      <c r="B86" s="78">
        <v>1575550.6</v>
      </c>
      <c r="C86" s="28"/>
      <c r="D86" s="35"/>
    </row>
    <row r="87" spans="1:5" x14ac:dyDescent="0.3">
      <c r="A87" s="41" t="s">
        <v>37</v>
      </c>
      <c r="B87" s="82">
        <f>-B80</f>
        <v>-3373188.4899999998</v>
      </c>
      <c r="E87" s="32"/>
    </row>
    <row r="88" spans="1:5" x14ac:dyDescent="0.3">
      <c r="A88" s="41" t="s">
        <v>38</v>
      </c>
      <c r="B88" s="82">
        <f>-B81</f>
        <v>0</v>
      </c>
    </row>
    <row r="89" spans="1:5" x14ac:dyDescent="0.3">
      <c r="A89" s="41" t="s">
        <v>40</v>
      </c>
      <c r="B89" s="82">
        <f>B98</f>
        <v>0</v>
      </c>
    </row>
    <row r="90" spans="1:5" x14ac:dyDescent="0.3">
      <c r="A90" s="41" t="s">
        <v>39</v>
      </c>
      <c r="B90" s="83">
        <f>PRORRATEO!K36</f>
        <v>0</v>
      </c>
    </row>
    <row r="91" spans="1:5" ht="15" thickBot="1" x14ac:dyDescent="0.35">
      <c r="A91" s="80" t="s">
        <v>35</v>
      </c>
      <c r="B91" s="81">
        <f>SUM(B86:C90)</f>
        <v>-1797637.8899999997</v>
      </c>
      <c r="D91" s="31"/>
      <c r="E91" s="32"/>
    </row>
    <row r="92" spans="1:5" x14ac:dyDescent="0.3">
      <c r="A92" s="79"/>
      <c r="B92" s="79"/>
    </row>
    <row r="93" spans="1:5" ht="34.5" customHeight="1" x14ac:dyDescent="0.3"/>
    <row r="94" spans="1:5" x14ac:dyDescent="0.3">
      <c r="A94" s="159" t="s">
        <v>24</v>
      </c>
      <c r="B94" s="159"/>
      <c r="C94" s="159"/>
    </row>
    <row r="95" spans="1:5" x14ac:dyDescent="0.3">
      <c r="A95" s="159"/>
      <c r="B95" s="159"/>
      <c r="C95" s="159"/>
    </row>
    <row r="96" spans="1:5" ht="35.25" customHeight="1" x14ac:dyDescent="0.3">
      <c r="A96" s="73"/>
      <c r="B96" s="27"/>
      <c r="C96" s="27">
        <v>40000</v>
      </c>
      <c r="E96" s="84"/>
    </row>
    <row r="97" spans="1:13" ht="27" customHeight="1" x14ac:dyDescent="0.3">
      <c r="A97" s="73"/>
      <c r="B97" s="75"/>
      <c r="C97" s="72"/>
      <c r="D97" s="84"/>
    </row>
    <row r="98" spans="1:13" x14ac:dyDescent="0.3">
      <c r="A98" s="33" t="s">
        <v>8</v>
      </c>
      <c r="B98" s="74">
        <f>SUM(B96:B97)</f>
        <v>0</v>
      </c>
      <c r="C98" s="34"/>
    </row>
    <row r="99" spans="1:13" x14ac:dyDescent="0.3">
      <c r="M99" s="7"/>
    </row>
    <row r="100" spans="1:13" ht="15" customHeight="1" x14ac:dyDescent="0.3">
      <c r="A100" s="158"/>
      <c r="B100" s="158"/>
      <c r="C100" s="158"/>
      <c r="D100" s="158"/>
      <c r="E100" s="158"/>
    </row>
    <row r="101" spans="1:13" x14ac:dyDescent="0.3">
      <c r="A101" s="158"/>
      <c r="B101" s="158"/>
      <c r="C101" s="158"/>
      <c r="D101" s="158"/>
      <c r="E101" s="158"/>
    </row>
    <row r="102" spans="1:13" x14ac:dyDescent="0.3">
      <c r="A102" s="158"/>
      <c r="B102" s="158"/>
      <c r="C102" s="158"/>
      <c r="D102" s="158"/>
      <c r="E102" s="158"/>
    </row>
    <row r="103" spans="1:13" x14ac:dyDescent="0.3">
      <c r="A103" s="158"/>
      <c r="B103" s="158"/>
      <c r="C103" s="158"/>
      <c r="D103" s="158"/>
      <c r="E103" s="158"/>
    </row>
  </sheetData>
  <mergeCells count="14">
    <mergeCell ref="E37:E38"/>
    <mergeCell ref="B1:D1"/>
    <mergeCell ref="A34:B34"/>
    <mergeCell ref="A33:B33"/>
    <mergeCell ref="B3:E3"/>
    <mergeCell ref="A13:E16"/>
    <mergeCell ref="B8:C10"/>
    <mergeCell ref="A37:B37"/>
    <mergeCell ref="A54:B54"/>
    <mergeCell ref="A100:E103"/>
    <mergeCell ref="A94:C95"/>
    <mergeCell ref="A69:B69"/>
    <mergeCell ref="A68:B68"/>
    <mergeCell ref="A70:B7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3"/>
  <sheetViews>
    <sheetView tabSelected="1" topLeftCell="A4" zoomScaleNormal="100" workbookViewId="0">
      <selection activeCell="N19" sqref="N19"/>
    </sheetView>
  </sheetViews>
  <sheetFormatPr baseColWidth="10" defaultColWidth="10.77734375" defaultRowHeight="14.4" x14ac:dyDescent="0.3"/>
  <cols>
    <col min="1" max="1" width="4.21875" customWidth="1"/>
    <col min="2" max="4" width="6.5546875" customWidth="1"/>
    <col min="5" max="5" width="20.44140625" customWidth="1"/>
    <col min="6" max="7" width="8.21875" customWidth="1"/>
    <col min="8" max="8" width="7.44140625" customWidth="1"/>
    <col min="9" max="9" width="8.44140625" customWidth="1"/>
    <col min="10" max="10" width="14.21875" customWidth="1"/>
    <col min="11" max="11" width="13.77734375" customWidth="1"/>
    <col min="12" max="12" width="10.5546875" customWidth="1"/>
    <col min="13" max="14" width="9.5546875" customWidth="1"/>
    <col min="15" max="16" width="12.44140625" customWidth="1"/>
    <col min="17" max="17" width="14.77734375" customWidth="1"/>
    <col min="18" max="18" width="14.21875" customWidth="1"/>
    <col min="19" max="19" width="7.21875" bestFit="1" customWidth="1"/>
    <col min="20" max="20" width="14.21875" bestFit="1" customWidth="1"/>
    <col min="21" max="21" width="13.5546875" bestFit="1" customWidth="1"/>
  </cols>
  <sheetData>
    <row r="1" spans="1:21" ht="12.6" customHeight="1" x14ac:dyDescent="0.3">
      <c r="A1" s="6"/>
      <c r="B1" s="6"/>
      <c r="C1" s="6"/>
      <c r="D1" s="6"/>
      <c r="E1" s="6"/>
      <c r="F1" s="6"/>
      <c r="G1" s="6"/>
      <c r="H1" s="172"/>
      <c r="I1" s="172"/>
      <c r="J1" s="172"/>
      <c r="K1" s="172"/>
      <c r="L1" s="172"/>
      <c r="M1" s="172"/>
      <c r="N1" s="172"/>
      <c r="O1" s="172"/>
      <c r="P1" s="172"/>
      <c r="Q1" s="172"/>
      <c r="R1" s="6"/>
    </row>
    <row r="2" spans="1:21" ht="13.05" customHeight="1" x14ac:dyDescent="0.3">
      <c r="A2" s="6"/>
      <c r="B2" s="6"/>
      <c r="C2" s="6"/>
      <c r="D2" s="6"/>
      <c r="E2" s="6" t="s">
        <v>45</v>
      </c>
      <c r="F2" s="6"/>
      <c r="G2" s="6"/>
      <c r="H2" s="148"/>
      <c r="I2" s="148"/>
      <c r="J2" s="6"/>
      <c r="K2" s="198"/>
      <c r="L2" s="198"/>
      <c r="M2" s="6"/>
      <c r="N2" s="6"/>
      <c r="O2" s="6" t="s">
        <v>58</v>
      </c>
      <c r="P2" s="197">
        <f>T2</f>
        <v>4095718.96</v>
      </c>
      <c r="Q2" s="197"/>
      <c r="R2" s="42"/>
      <c r="S2" s="21"/>
      <c r="T2">
        <v>4095718.96</v>
      </c>
    </row>
    <row r="3" spans="1:21" ht="13.05" customHeight="1" thickBot="1" x14ac:dyDescent="0.35">
      <c r="A3" s="6"/>
      <c r="B3" s="6"/>
      <c r="C3" s="6"/>
      <c r="D3" s="6"/>
      <c r="E3" s="6"/>
      <c r="F3" s="6"/>
      <c r="G3" s="6"/>
      <c r="H3" s="6"/>
      <c r="I3" s="6"/>
      <c r="J3" s="6"/>
      <c r="K3" s="6"/>
      <c r="L3" s="6"/>
      <c r="M3" s="6"/>
      <c r="N3" s="6"/>
      <c r="O3" s="6"/>
      <c r="P3" s="6"/>
      <c r="Q3" s="45"/>
      <c r="R3" s="45"/>
    </row>
    <row r="4" spans="1:21" ht="13.05" customHeight="1" x14ac:dyDescent="0.3">
      <c r="A4" s="181"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182"/>
      <c r="C4" s="182"/>
      <c r="D4" s="182"/>
      <c r="E4" s="182"/>
      <c r="F4" s="182"/>
      <c r="G4" s="182"/>
      <c r="H4" s="182"/>
      <c r="I4" s="182"/>
      <c r="J4" s="182"/>
      <c r="K4" s="182"/>
      <c r="L4" s="182"/>
      <c r="M4" s="182"/>
      <c r="N4" s="182"/>
      <c r="O4" s="182"/>
      <c r="P4" s="182"/>
      <c r="Q4" s="182"/>
      <c r="R4" s="183"/>
    </row>
    <row r="5" spans="1:21" ht="13.05" customHeight="1" x14ac:dyDescent="0.3">
      <c r="A5" s="184"/>
      <c r="B5" s="185"/>
      <c r="C5" s="185"/>
      <c r="D5" s="185"/>
      <c r="E5" s="185"/>
      <c r="F5" s="185"/>
      <c r="G5" s="185"/>
      <c r="H5" s="185"/>
      <c r="I5" s="185"/>
      <c r="J5" s="185"/>
      <c r="K5" s="185"/>
      <c r="L5" s="185"/>
      <c r="M5" s="185"/>
      <c r="N5" s="185"/>
      <c r="O5" s="185"/>
      <c r="P5" s="185"/>
      <c r="Q5" s="185"/>
      <c r="R5" s="186"/>
    </row>
    <row r="6" spans="1:21" ht="13.05" customHeight="1" x14ac:dyDescent="0.3">
      <c r="A6" s="184"/>
      <c r="B6" s="185"/>
      <c r="C6" s="185"/>
      <c r="D6" s="185"/>
      <c r="E6" s="185"/>
      <c r="F6" s="185"/>
      <c r="G6" s="185"/>
      <c r="H6" s="185"/>
      <c r="I6" s="185"/>
      <c r="J6" s="185"/>
      <c r="K6" s="185"/>
      <c r="L6" s="185"/>
      <c r="M6" s="185"/>
      <c r="N6" s="185"/>
      <c r="O6" s="185"/>
      <c r="P6" s="185"/>
      <c r="Q6" s="185"/>
      <c r="R6" s="186"/>
    </row>
    <row r="7" spans="1:21" ht="64.95" customHeight="1" x14ac:dyDescent="0.3">
      <c r="A7" s="184"/>
      <c r="B7" s="185"/>
      <c r="C7" s="185"/>
      <c r="D7" s="185"/>
      <c r="E7" s="185"/>
      <c r="F7" s="185"/>
      <c r="G7" s="185"/>
      <c r="H7" s="185"/>
      <c r="I7" s="185"/>
      <c r="J7" s="185"/>
      <c r="K7" s="185"/>
      <c r="L7" s="185"/>
      <c r="M7" s="185"/>
      <c r="N7" s="185"/>
      <c r="O7" s="185"/>
      <c r="P7" s="185"/>
      <c r="Q7" s="185"/>
      <c r="R7" s="186"/>
    </row>
    <row r="8" spans="1:21" ht="45.75" customHeight="1" thickBot="1" x14ac:dyDescent="0.35">
      <c r="A8" s="187"/>
      <c r="B8" s="188"/>
      <c r="C8" s="188"/>
      <c r="D8" s="188"/>
      <c r="E8" s="188"/>
      <c r="F8" s="188"/>
      <c r="G8" s="188"/>
      <c r="H8" s="188"/>
      <c r="I8" s="188"/>
      <c r="J8" s="188"/>
      <c r="K8" s="188"/>
      <c r="L8" s="188"/>
      <c r="M8" s="188"/>
      <c r="N8" s="188"/>
      <c r="O8" s="188"/>
      <c r="P8" s="188"/>
      <c r="Q8" s="188"/>
      <c r="R8" s="189"/>
    </row>
    <row r="9" spans="1:21" x14ac:dyDescent="0.3">
      <c r="A9" s="173" t="s">
        <v>5</v>
      </c>
      <c r="B9" s="175" t="s">
        <v>87</v>
      </c>
      <c r="C9" s="175" t="s">
        <v>88</v>
      </c>
      <c r="D9" s="175" t="s">
        <v>92</v>
      </c>
      <c r="E9" s="175" t="s">
        <v>6</v>
      </c>
      <c r="F9" s="175" t="s">
        <v>130</v>
      </c>
      <c r="G9" s="175" t="s">
        <v>131</v>
      </c>
      <c r="H9" s="173" t="s">
        <v>129</v>
      </c>
      <c r="I9" s="115" t="s">
        <v>14</v>
      </c>
      <c r="J9" s="173" t="s">
        <v>36</v>
      </c>
      <c r="K9" s="175" t="s">
        <v>7</v>
      </c>
      <c r="L9" s="177" t="s">
        <v>22</v>
      </c>
      <c r="M9" s="173" t="s">
        <v>31</v>
      </c>
      <c r="N9" s="173" t="s">
        <v>60</v>
      </c>
      <c r="O9" s="173" t="s">
        <v>20</v>
      </c>
      <c r="P9" s="179" t="s">
        <v>46</v>
      </c>
      <c r="Q9" s="47" t="s">
        <v>28</v>
      </c>
      <c r="R9" s="192" t="s">
        <v>27</v>
      </c>
    </row>
    <row r="10" spans="1:21" ht="15.75" customHeight="1" x14ac:dyDescent="0.3">
      <c r="A10" s="190"/>
      <c r="B10" s="191"/>
      <c r="C10" s="191"/>
      <c r="D10" s="191"/>
      <c r="E10" s="176"/>
      <c r="F10" s="176"/>
      <c r="G10" s="176"/>
      <c r="H10" s="190"/>
      <c r="I10" s="116" t="s">
        <v>128</v>
      </c>
      <c r="J10" s="174"/>
      <c r="K10" s="176"/>
      <c r="L10" s="178"/>
      <c r="M10" s="174"/>
      <c r="N10" s="174"/>
      <c r="O10" s="174"/>
      <c r="P10" s="180"/>
      <c r="Q10" s="46" t="str">
        <f>RESUMEN!B8</f>
        <v>VTO 17/07</v>
      </c>
      <c r="R10" s="193"/>
    </row>
    <row r="11" spans="1:21" ht="17.100000000000001" customHeight="1" x14ac:dyDescent="0.3">
      <c r="A11" s="203">
        <v>19</v>
      </c>
      <c r="B11" s="201">
        <v>17</v>
      </c>
      <c r="C11" s="201"/>
      <c r="D11" s="201" t="s">
        <v>93</v>
      </c>
      <c r="E11" s="100" t="s">
        <v>111</v>
      </c>
      <c r="F11" s="101">
        <v>5.44</v>
      </c>
      <c r="G11" s="101">
        <v>0.12</v>
      </c>
      <c r="H11" s="114"/>
      <c r="I11" s="218">
        <f>SUM(F11:H11)</f>
        <v>5.5600000000000005</v>
      </c>
      <c r="J11" s="102">
        <v>253115.01</v>
      </c>
      <c r="K11" s="135">
        <f>J11</f>
        <v>253115.01</v>
      </c>
      <c r="L11" s="103">
        <f>J11-K11</f>
        <v>0</v>
      </c>
      <c r="M11" s="103">
        <f>IF(L11&gt;0,L11*3%,0)</f>
        <v>0</v>
      </c>
      <c r="N11" s="103"/>
      <c r="O11" s="104">
        <f>P$2*I11/100</f>
        <v>227721.97417600002</v>
      </c>
      <c r="P11" s="105">
        <f>F$2*I11/100</f>
        <v>0</v>
      </c>
      <c r="Q11" s="219">
        <f t="shared" ref="Q11:Q34" si="0">ROUND(SUM(L11:P11),0) + S11</f>
        <v>227722.01</v>
      </c>
      <c r="R11" s="220">
        <f t="shared" ref="R11:R34" si="1">ROUND(Q11*3%,0) + Q11</f>
        <v>234554.01</v>
      </c>
      <c r="S11" s="32">
        <v>0.01</v>
      </c>
      <c r="T11" s="32"/>
    </row>
    <row r="12" spans="1:21" ht="17.100000000000001" customHeight="1" x14ac:dyDescent="0.3">
      <c r="A12" s="203">
        <v>20</v>
      </c>
      <c r="B12" s="201"/>
      <c r="C12" s="201"/>
      <c r="D12" s="201" t="s">
        <v>94</v>
      </c>
      <c r="E12" s="100" t="s">
        <v>112</v>
      </c>
      <c r="F12" s="101">
        <v>2.87</v>
      </c>
      <c r="G12" s="101"/>
      <c r="H12" s="217"/>
      <c r="I12" s="218">
        <f t="shared" ref="I12:I34" si="2">SUM(F12:H12)</f>
        <v>2.87</v>
      </c>
      <c r="J12" s="102">
        <v>172033.02</v>
      </c>
      <c r="K12" s="107">
        <v>177194.02</v>
      </c>
      <c r="L12" s="103">
        <f>J12-K12</f>
        <v>-5161</v>
      </c>
      <c r="M12" s="103">
        <f t="shared" ref="M12:M34" si="3">IF(L12&gt;0,L12*3%,0)</f>
        <v>0</v>
      </c>
      <c r="N12" s="103"/>
      <c r="O12" s="104">
        <f t="shared" ref="O12:O34" si="4">P$2*I12/100</f>
        <v>117547.13415200001</v>
      </c>
      <c r="P12" s="105">
        <f t="shared" ref="P12:P34" si="5">F$2*I12/100</f>
        <v>0</v>
      </c>
      <c r="Q12" s="219">
        <f t="shared" si="0"/>
        <v>112386.02</v>
      </c>
      <c r="R12" s="220">
        <f t="shared" si="1"/>
        <v>115758.02</v>
      </c>
      <c r="S12" s="32">
        <f>S11+0.01</f>
        <v>0.02</v>
      </c>
      <c r="T12" s="32"/>
    </row>
    <row r="13" spans="1:21" ht="17.100000000000001" customHeight="1" x14ac:dyDescent="0.3">
      <c r="A13" s="206">
        <v>21</v>
      </c>
      <c r="B13" s="202">
        <v>15</v>
      </c>
      <c r="C13" s="202"/>
      <c r="D13" s="202" t="s">
        <v>95</v>
      </c>
      <c r="E13" s="106" t="s">
        <v>113</v>
      </c>
      <c r="F13" s="101">
        <v>5.44</v>
      </c>
      <c r="G13" s="101">
        <v>0.12</v>
      </c>
      <c r="H13" s="217"/>
      <c r="I13" s="218">
        <f t="shared" si="2"/>
        <v>5.5600000000000005</v>
      </c>
      <c r="J13" s="107">
        <v>252358.03</v>
      </c>
      <c r="K13" s="107">
        <v>260000.03</v>
      </c>
      <c r="L13" s="103">
        <f>J13-K13</f>
        <v>-7642</v>
      </c>
      <c r="M13" s="103">
        <f t="shared" si="3"/>
        <v>0</v>
      </c>
      <c r="N13" s="103"/>
      <c r="O13" s="104">
        <f t="shared" si="4"/>
        <v>227721.97417600002</v>
      </c>
      <c r="P13" s="105">
        <f t="shared" si="5"/>
        <v>0</v>
      </c>
      <c r="Q13" s="219">
        <f t="shared" si="0"/>
        <v>220080.03</v>
      </c>
      <c r="R13" s="220">
        <f t="shared" si="1"/>
        <v>226682.03</v>
      </c>
      <c r="S13" s="32">
        <f t="shared" ref="S13:S34" si="6">S12+0.01</f>
        <v>0.03</v>
      </c>
      <c r="T13" s="31"/>
    </row>
    <row r="14" spans="1:21" ht="17.100000000000001" customHeight="1" x14ac:dyDescent="0.3">
      <c r="A14" s="203">
        <v>22</v>
      </c>
      <c r="B14" s="201"/>
      <c r="C14" s="201"/>
      <c r="D14" s="201" t="s">
        <v>96</v>
      </c>
      <c r="E14" s="100" t="s">
        <v>112</v>
      </c>
      <c r="F14" s="101">
        <v>2.87</v>
      </c>
      <c r="G14" s="101"/>
      <c r="H14" s="217"/>
      <c r="I14" s="218">
        <f t="shared" si="2"/>
        <v>2.87</v>
      </c>
      <c r="J14" s="102">
        <v>171869.04</v>
      </c>
      <c r="K14" s="107">
        <f>J14</f>
        <v>171869.04</v>
      </c>
      <c r="L14" s="103">
        <f>J14-K14</f>
        <v>0</v>
      </c>
      <c r="M14" s="103">
        <f t="shared" si="3"/>
        <v>0</v>
      </c>
      <c r="N14" s="103"/>
      <c r="O14" s="104">
        <f t="shared" si="4"/>
        <v>117547.13415200001</v>
      </c>
      <c r="P14" s="105">
        <f t="shared" si="5"/>
        <v>0</v>
      </c>
      <c r="Q14" s="219">
        <f t="shared" si="0"/>
        <v>117547.04</v>
      </c>
      <c r="R14" s="220">
        <f t="shared" si="1"/>
        <v>121073.04</v>
      </c>
      <c r="S14" s="32">
        <f t="shared" si="6"/>
        <v>0.04</v>
      </c>
      <c r="U14" s="32"/>
    </row>
    <row r="15" spans="1:21" ht="17.100000000000001" customHeight="1" x14ac:dyDescent="0.3">
      <c r="A15" s="203">
        <v>23</v>
      </c>
      <c r="B15" s="201">
        <v>7</v>
      </c>
      <c r="C15" s="201" t="s">
        <v>89</v>
      </c>
      <c r="D15" s="201" t="s">
        <v>97</v>
      </c>
      <c r="E15" s="100" t="s">
        <v>114</v>
      </c>
      <c r="F15" s="101">
        <v>5.44</v>
      </c>
      <c r="G15" s="101">
        <v>0.41</v>
      </c>
      <c r="H15" s="217">
        <v>0.09</v>
      </c>
      <c r="I15" s="218">
        <f t="shared" si="2"/>
        <v>5.94</v>
      </c>
      <c r="J15" s="102">
        <v>253115.05</v>
      </c>
      <c r="K15" s="107">
        <v>261000</v>
      </c>
      <c r="L15" s="103">
        <f>J15-K15</f>
        <v>-7884.9500000000116</v>
      </c>
      <c r="M15" s="103">
        <f t="shared" si="3"/>
        <v>0</v>
      </c>
      <c r="N15" s="103"/>
      <c r="O15" s="104">
        <f t="shared" si="4"/>
        <v>243285.70622399999</v>
      </c>
      <c r="P15" s="105">
        <f t="shared" si="5"/>
        <v>0</v>
      </c>
      <c r="Q15" s="219">
        <f t="shared" si="0"/>
        <v>235401.05</v>
      </c>
      <c r="R15" s="220">
        <f t="shared" si="1"/>
        <v>242463.05</v>
      </c>
      <c r="S15" s="32">
        <f t="shared" si="6"/>
        <v>0.05</v>
      </c>
      <c r="U15" s="32"/>
    </row>
    <row r="16" spans="1:21" ht="17.100000000000001" customHeight="1" x14ac:dyDescent="0.3">
      <c r="A16" s="203">
        <v>24</v>
      </c>
      <c r="B16" s="201"/>
      <c r="C16" s="201"/>
      <c r="D16" s="201" t="s">
        <v>98</v>
      </c>
      <c r="E16" s="100" t="s">
        <v>115</v>
      </c>
      <c r="F16" s="101">
        <v>2.87</v>
      </c>
      <c r="G16" s="101"/>
      <c r="H16" s="217"/>
      <c r="I16" s="218">
        <f t="shared" si="2"/>
        <v>2.87</v>
      </c>
      <c r="J16" s="102">
        <v>172029.06</v>
      </c>
      <c r="K16" s="107">
        <v>177190.06</v>
      </c>
      <c r="L16" s="103">
        <f>J16-K16</f>
        <v>-5161</v>
      </c>
      <c r="M16" s="103">
        <f t="shared" si="3"/>
        <v>0</v>
      </c>
      <c r="N16" s="103"/>
      <c r="O16" s="104">
        <f t="shared" si="4"/>
        <v>117547.13415200001</v>
      </c>
      <c r="P16" s="105">
        <f t="shared" si="5"/>
        <v>0</v>
      </c>
      <c r="Q16" s="219">
        <f t="shared" si="0"/>
        <v>112386.06</v>
      </c>
      <c r="R16" s="220">
        <f t="shared" si="1"/>
        <v>115758.06</v>
      </c>
      <c r="S16" s="32">
        <f t="shared" si="6"/>
        <v>6.0000000000000005E-2</v>
      </c>
    </row>
    <row r="17" spans="1:19" ht="17.100000000000001" customHeight="1" x14ac:dyDescent="0.3">
      <c r="A17" s="203" t="s">
        <v>86</v>
      </c>
      <c r="B17" s="201">
        <v>9</v>
      </c>
      <c r="C17" s="201"/>
      <c r="D17" s="201" t="s">
        <v>99</v>
      </c>
      <c r="E17" s="100" t="s">
        <v>115</v>
      </c>
      <c r="F17" s="101"/>
      <c r="G17" s="101">
        <v>0.53</v>
      </c>
      <c r="H17" s="217"/>
      <c r="I17" s="218">
        <f t="shared" si="2"/>
        <v>0.53</v>
      </c>
      <c r="J17" s="102">
        <v>247507.07</v>
      </c>
      <c r="K17" s="107">
        <f>290000-K32</f>
        <v>258339.78</v>
      </c>
      <c r="L17" s="103">
        <f>J17-K17</f>
        <v>-10832.709999999992</v>
      </c>
      <c r="M17" s="103">
        <f t="shared" si="3"/>
        <v>0</v>
      </c>
      <c r="N17" s="103"/>
      <c r="O17" s="104">
        <f t="shared" si="4"/>
        <v>21707.310487999999</v>
      </c>
      <c r="P17" s="105">
        <f t="shared" si="5"/>
        <v>0</v>
      </c>
      <c r="Q17" s="219">
        <f t="shared" si="0"/>
        <v>10875.07</v>
      </c>
      <c r="R17" s="220">
        <f t="shared" si="1"/>
        <v>11201.07</v>
      </c>
      <c r="S17" s="32">
        <f t="shared" si="6"/>
        <v>7.0000000000000007E-2</v>
      </c>
    </row>
    <row r="18" spans="1:19" ht="17.100000000000001" customHeight="1" x14ac:dyDescent="0.3">
      <c r="A18" s="203">
        <v>25</v>
      </c>
      <c r="B18" s="201">
        <v>14</v>
      </c>
      <c r="C18" s="201"/>
      <c r="D18" s="201" t="s">
        <v>100</v>
      </c>
      <c r="E18" s="100" t="s">
        <v>116</v>
      </c>
      <c r="F18" s="101">
        <v>5.44</v>
      </c>
      <c r="G18" s="101">
        <v>0.12</v>
      </c>
      <c r="H18" s="217"/>
      <c r="I18" s="218">
        <f t="shared" si="2"/>
        <v>5.5600000000000005</v>
      </c>
      <c r="J18" s="102">
        <v>177345.08</v>
      </c>
      <c r="K18" s="107">
        <f>J18</f>
        <v>177345.08</v>
      </c>
      <c r="L18" s="103">
        <f>J18-K18</f>
        <v>0</v>
      </c>
      <c r="M18" s="103">
        <f t="shared" si="3"/>
        <v>0</v>
      </c>
      <c r="N18" s="103"/>
      <c r="O18" s="104">
        <f t="shared" si="4"/>
        <v>227721.97417600002</v>
      </c>
      <c r="P18" s="105">
        <f t="shared" si="5"/>
        <v>0</v>
      </c>
      <c r="Q18" s="219">
        <f t="shared" si="0"/>
        <v>227722.08</v>
      </c>
      <c r="R18" s="220">
        <f t="shared" si="1"/>
        <v>234554.08</v>
      </c>
      <c r="S18" s="32">
        <f t="shared" si="6"/>
        <v>0.08</v>
      </c>
    </row>
    <row r="19" spans="1:19" ht="17.100000000000001" customHeight="1" x14ac:dyDescent="0.3">
      <c r="A19" s="203">
        <f>A18+1</f>
        <v>26</v>
      </c>
      <c r="B19" s="201">
        <v>8</v>
      </c>
      <c r="C19" s="201"/>
      <c r="D19" s="201" t="s">
        <v>101</v>
      </c>
      <c r="E19" s="100" t="s">
        <v>117</v>
      </c>
      <c r="F19" s="101">
        <v>2.87</v>
      </c>
      <c r="G19" s="101">
        <v>0.41</v>
      </c>
      <c r="H19" s="217"/>
      <c r="I19" s="218">
        <f t="shared" si="2"/>
        <v>3.2800000000000002</v>
      </c>
      <c r="J19" s="102">
        <v>348548.09</v>
      </c>
      <c r="K19" s="107">
        <f>400000-K33</f>
        <v>368339.78</v>
      </c>
      <c r="L19" s="103">
        <f>J19-K19</f>
        <v>-19791.690000000002</v>
      </c>
      <c r="M19" s="103">
        <f t="shared" si="3"/>
        <v>0</v>
      </c>
      <c r="N19" s="103">
        <f>80000+27000</f>
        <v>107000</v>
      </c>
      <c r="O19" s="104">
        <f t="shared" si="4"/>
        <v>134339.58188800002</v>
      </c>
      <c r="P19" s="105">
        <f t="shared" si="5"/>
        <v>0</v>
      </c>
      <c r="Q19" s="219">
        <f>ROUND(SUM(L19:P19),0) + S19</f>
        <v>221548.09</v>
      </c>
      <c r="R19" s="220">
        <f t="shared" si="1"/>
        <v>228194.09</v>
      </c>
      <c r="S19" s="32">
        <f t="shared" si="6"/>
        <v>0.09</v>
      </c>
    </row>
    <row r="20" spans="1:19" ht="17.100000000000001" customHeight="1" x14ac:dyDescent="0.3">
      <c r="A20" s="203">
        <f t="shared" ref="A20:A28" si="7">A19+1</f>
        <v>27</v>
      </c>
      <c r="B20" s="201">
        <v>13</v>
      </c>
      <c r="C20" s="201"/>
      <c r="D20" s="201" t="s">
        <v>102</v>
      </c>
      <c r="E20" s="100" t="s">
        <v>118</v>
      </c>
      <c r="F20" s="101">
        <v>5.44</v>
      </c>
      <c r="G20" s="101">
        <v>0.12</v>
      </c>
      <c r="H20" s="217"/>
      <c r="I20" s="218">
        <f t="shared" si="2"/>
        <v>5.5600000000000005</v>
      </c>
      <c r="J20" s="102">
        <v>172203.1</v>
      </c>
      <c r="K20" s="107">
        <v>177369</v>
      </c>
      <c r="L20" s="103">
        <f>J20-K20</f>
        <v>-5165.8999999999942</v>
      </c>
      <c r="M20" s="103">
        <f t="shared" si="3"/>
        <v>0</v>
      </c>
      <c r="N20" s="103"/>
      <c r="O20" s="104">
        <f t="shared" si="4"/>
        <v>227721.97417600002</v>
      </c>
      <c r="P20" s="105">
        <f t="shared" si="5"/>
        <v>0</v>
      </c>
      <c r="Q20" s="219">
        <f t="shared" si="0"/>
        <v>222556.1</v>
      </c>
      <c r="R20" s="220">
        <f t="shared" si="1"/>
        <v>229233.1</v>
      </c>
      <c r="S20" s="32">
        <f t="shared" si="6"/>
        <v>9.9999999999999992E-2</v>
      </c>
    </row>
    <row r="21" spans="1:19" ht="17.100000000000001" customHeight="1" x14ac:dyDescent="0.3">
      <c r="A21" s="203">
        <f t="shared" si="7"/>
        <v>28</v>
      </c>
      <c r="B21" s="201">
        <v>6</v>
      </c>
      <c r="C21" s="201"/>
      <c r="D21" s="201" t="s">
        <v>103</v>
      </c>
      <c r="E21" s="100" t="s">
        <v>117</v>
      </c>
      <c r="F21" s="101">
        <v>2.87</v>
      </c>
      <c r="G21" s="101">
        <v>0.41</v>
      </c>
      <c r="H21" s="217"/>
      <c r="I21" s="218">
        <f t="shared" si="2"/>
        <v>3.2800000000000002</v>
      </c>
      <c r="J21" s="102">
        <v>253115.11</v>
      </c>
      <c r="K21" s="135">
        <v>260708.11</v>
      </c>
      <c r="L21" s="141">
        <f>J21-K21</f>
        <v>-7593</v>
      </c>
      <c r="M21" s="141">
        <f t="shared" si="3"/>
        <v>0</v>
      </c>
      <c r="N21" s="103"/>
      <c r="O21" s="104">
        <f t="shared" si="4"/>
        <v>134339.58188800002</v>
      </c>
      <c r="P21" s="105">
        <f t="shared" si="5"/>
        <v>0</v>
      </c>
      <c r="Q21" s="219">
        <f t="shared" si="0"/>
        <v>126747.11</v>
      </c>
      <c r="R21" s="220">
        <f t="shared" si="1"/>
        <v>130549.11</v>
      </c>
      <c r="S21" s="32">
        <f t="shared" si="6"/>
        <v>0.10999999999999999</v>
      </c>
    </row>
    <row r="22" spans="1:19" ht="17.100000000000001" customHeight="1" x14ac:dyDescent="0.3">
      <c r="A22" s="203">
        <f t="shared" si="7"/>
        <v>29</v>
      </c>
      <c r="B22" s="201">
        <v>11</v>
      </c>
      <c r="C22" s="201" t="s">
        <v>90</v>
      </c>
      <c r="D22" s="201" t="s">
        <v>104</v>
      </c>
      <c r="E22" s="100" t="s">
        <v>119</v>
      </c>
      <c r="F22" s="101">
        <v>5.44</v>
      </c>
      <c r="G22" s="217">
        <v>0.2</v>
      </c>
      <c r="H22" s="217">
        <v>0.09</v>
      </c>
      <c r="I22" s="218">
        <f t="shared" si="2"/>
        <v>5.73</v>
      </c>
      <c r="J22" s="102">
        <v>172061.12</v>
      </c>
      <c r="K22" s="107">
        <v>178000</v>
      </c>
      <c r="L22" s="141">
        <f>J22-K22</f>
        <v>-5938.8800000000047</v>
      </c>
      <c r="M22" s="141">
        <f t="shared" si="3"/>
        <v>0</v>
      </c>
      <c r="N22" s="103"/>
      <c r="O22" s="104">
        <f t="shared" si="4"/>
        <v>234684.69640800002</v>
      </c>
      <c r="P22" s="105">
        <f t="shared" si="5"/>
        <v>0</v>
      </c>
      <c r="Q22" s="219">
        <f t="shared" si="0"/>
        <v>228746.12</v>
      </c>
      <c r="R22" s="220">
        <f t="shared" si="1"/>
        <v>235608.12</v>
      </c>
      <c r="S22" s="32">
        <f t="shared" si="6"/>
        <v>0.11999999999999998</v>
      </c>
    </row>
    <row r="23" spans="1:19" ht="17.100000000000001" customHeight="1" x14ac:dyDescent="0.3">
      <c r="A23" s="203">
        <f t="shared" si="7"/>
        <v>30</v>
      </c>
      <c r="B23" s="201"/>
      <c r="C23" s="201"/>
      <c r="D23" s="201" t="s">
        <v>105</v>
      </c>
      <c r="E23" s="100" t="s">
        <v>120</v>
      </c>
      <c r="F23" s="101">
        <v>2.87</v>
      </c>
      <c r="G23" s="101"/>
      <c r="H23" s="217"/>
      <c r="I23" s="218">
        <f t="shared" si="2"/>
        <v>2.87</v>
      </c>
      <c r="J23" s="102">
        <v>260708.13</v>
      </c>
      <c r="K23" s="107">
        <f>J23</f>
        <v>260708.13</v>
      </c>
      <c r="L23" s="141">
        <f>J23-K23</f>
        <v>0</v>
      </c>
      <c r="M23" s="141">
        <f t="shared" si="3"/>
        <v>0</v>
      </c>
      <c r="N23" s="103"/>
      <c r="O23" s="104">
        <f t="shared" si="4"/>
        <v>117547.13415200001</v>
      </c>
      <c r="P23" s="105">
        <f t="shared" si="5"/>
        <v>0</v>
      </c>
      <c r="Q23" s="219">
        <f t="shared" si="0"/>
        <v>117547.13</v>
      </c>
      <c r="R23" s="220">
        <f t="shared" si="1"/>
        <v>121073.13</v>
      </c>
      <c r="S23" s="32">
        <f t="shared" si="6"/>
        <v>0.12999999999999998</v>
      </c>
    </row>
    <row r="24" spans="1:19" ht="17.100000000000001" customHeight="1" x14ac:dyDescent="0.3">
      <c r="A24" s="203">
        <f t="shared" si="7"/>
        <v>31</v>
      </c>
      <c r="B24" s="201">
        <v>1</v>
      </c>
      <c r="C24" s="201" t="s">
        <v>88</v>
      </c>
      <c r="D24" s="201" t="s">
        <v>106</v>
      </c>
      <c r="E24" s="100" t="s">
        <v>121</v>
      </c>
      <c r="F24" s="101">
        <v>5.44</v>
      </c>
      <c r="G24" s="101">
        <v>0.48</v>
      </c>
      <c r="H24" s="217">
        <v>0.09</v>
      </c>
      <c r="I24" s="218">
        <f t="shared" si="2"/>
        <v>6.01</v>
      </c>
      <c r="J24" s="102">
        <v>177345.14</v>
      </c>
      <c r="K24" s="107">
        <f>J24</f>
        <v>177345.14</v>
      </c>
      <c r="L24" s="141">
        <f>J24-K24</f>
        <v>0</v>
      </c>
      <c r="M24" s="141">
        <f t="shared" si="3"/>
        <v>0</v>
      </c>
      <c r="N24" s="103"/>
      <c r="O24" s="104">
        <f t="shared" si="4"/>
        <v>246152.709496</v>
      </c>
      <c r="P24" s="105">
        <f t="shared" si="5"/>
        <v>0</v>
      </c>
      <c r="Q24" s="219">
        <f t="shared" si="0"/>
        <v>246153.14</v>
      </c>
      <c r="R24" s="220">
        <f t="shared" si="1"/>
        <v>253538.14</v>
      </c>
      <c r="S24" s="32">
        <f t="shared" si="6"/>
        <v>0.13999999999999999</v>
      </c>
    </row>
    <row r="25" spans="1:19" ht="17.100000000000001" customHeight="1" x14ac:dyDescent="0.3">
      <c r="A25" s="203">
        <f t="shared" si="7"/>
        <v>32</v>
      </c>
      <c r="B25" s="202"/>
      <c r="C25" s="202"/>
      <c r="D25" s="202" t="s">
        <v>107</v>
      </c>
      <c r="E25" s="106" t="s">
        <v>122</v>
      </c>
      <c r="F25" s="101">
        <v>2.87</v>
      </c>
      <c r="G25" s="204"/>
      <c r="H25" s="217"/>
      <c r="I25" s="218">
        <f t="shared" si="2"/>
        <v>2.87</v>
      </c>
      <c r="J25" s="107">
        <v>253116.15</v>
      </c>
      <c r="K25" s="107">
        <f>462120</f>
        <v>462120</v>
      </c>
      <c r="L25" s="141">
        <f>J25-K25</f>
        <v>-209003.85</v>
      </c>
      <c r="M25" s="141">
        <f t="shared" si="3"/>
        <v>0</v>
      </c>
      <c r="N25" s="103"/>
      <c r="O25" s="104">
        <f t="shared" si="4"/>
        <v>117547.13415200001</v>
      </c>
      <c r="P25" s="105">
        <f t="shared" si="5"/>
        <v>0</v>
      </c>
      <c r="Q25" s="219">
        <f t="shared" si="0"/>
        <v>-91456.85</v>
      </c>
      <c r="R25" s="220">
        <f t="shared" si="1"/>
        <v>-94200.85</v>
      </c>
      <c r="S25" s="32">
        <f t="shared" si="6"/>
        <v>0.15</v>
      </c>
    </row>
    <row r="26" spans="1:19" ht="17.100000000000001" customHeight="1" x14ac:dyDescent="0.3">
      <c r="A26" s="203">
        <f t="shared" si="7"/>
        <v>33</v>
      </c>
      <c r="B26" s="201">
        <v>10</v>
      </c>
      <c r="C26" s="201"/>
      <c r="D26" s="201" t="s">
        <v>108</v>
      </c>
      <c r="E26" s="100" t="s">
        <v>123</v>
      </c>
      <c r="F26" s="101">
        <v>5.44</v>
      </c>
      <c r="G26" s="101">
        <v>0.45</v>
      </c>
      <c r="H26" s="217"/>
      <c r="I26" s="218">
        <f t="shared" si="2"/>
        <v>5.8900000000000006</v>
      </c>
      <c r="J26" s="102">
        <v>177345.16</v>
      </c>
      <c r="K26" s="107">
        <f>J26</f>
        <v>177345.16</v>
      </c>
      <c r="L26" s="141">
        <f>J26-K26</f>
        <v>0</v>
      </c>
      <c r="M26" s="141">
        <f t="shared" si="3"/>
        <v>0</v>
      </c>
      <c r="N26" s="103"/>
      <c r="O26" s="104">
        <f t="shared" si="4"/>
        <v>241237.84674400001</v>
      </c>
      <c r="P26" s="105">
        <f t="shared" si="5"/>
        <v>0</v>
      </c>
      <c r="Q26" s="219">
        <f t="shared" si="0"/>
        <v>241238.16</v>
      </c>
      <c r="R26" s="220">
        <f t="shared" si="1"/>
        <v>248475.16</v>
      </c>
      <c r="S26" s="32">
        <f t="shared" si="6"/>
        <v>0.16</v>
      </c>
    </row>
    <row r="27" spans="1:19" ht="17.100000000000001" customHeight="1" x14ac:dyDescent="0.3">
      <c r="A27" s="203">
        <f t="shared" si="7"/>
        <v>34</v>
      </c>
      <c r="B27" s="201"/>
      <c r="C27" s="201"/>
      <c r="D27" s="201" t="s">
        <v>109</v>
      </c>
      <c r="E27" s="100" t="s">
        <v>124</v>
      </c>
      <c r="F27" s="101">
        <v>2.87</v>
      </c>
      <c r="G27" s="101"/>
      <c r="H27" s="217"/>
      <c r="I27" s="218">
        <f t="shared" si="2"/>
        <v>2.87</v>
      </c>
      <c r="J27" s="107">
        <v>253115.17</v>
      </c>
      <c r="K27" s="107">
        <f>J27</f>
        <v>253115.17</v>
      </c>
      <c r="L27" s="141">
        <f>J27-K27</f>
        <v>0</v>
      </c>
      <c r="M27" s="141">
        <f t="shared" si="3"/>
        <v>0</v>
      </c>
      <c r="N27" s="103"/>
      <c r="O27" s="104">
        <f t="shared" si="4"/>
        <v>117547.13415200001</v>
      </c>
      <c r="P27" s="105">
        <f t="shared" si="5"/>
        <v>0</v>
      </c>
      <c r="Q27" s="219">
        <f t="shared" si="0"/>
        <v>117547.17</v>
      </c>
      <c r="R27" s="220">
        <f t="shared" si="1"/>
        <v>121073.17</v>
      </c>
      <c r="S27" s="32">
        <f t="shared" si="6"/>
        <v>0.17</v>
      </c>
    </row>
    <row r="28" spans="1:19" ht="17.100000000000001" customHeight="1" x14ac:dyDescent="0.3">
      <c r="A28" s="203">
        <f t="shared" si="7"/>
        <v>35</v>
      </c>
      <c r="B28" s="201">
        <v>4</v>
      </c>
      <c r="C28" s="201" t="s">
        <v>59</v>
      </c>
      <c r="D28" s="207">
        <v>9</v>
      </c>
      <c r="E28" s="207" t="s">
        <v>125</v>
      </c>
      <c r="F28" s="216">
        <f>7.73/2</f>
        <v>3.8650000000000002</v>
      </c>
      <c r="G28" s="213">
        <v>0.41</v>
      </c>
      <c r="H28" s="217">
        <v>0.09</v>
      </c>
      <c r="I28" s="218">
        <f t="shared" si="2"/>
        <v>4.3650000000000002</v>
      </c>
      <c r="J28" s="102">
        <v>177345.18</v>
      </c>
      <c r="K28" s="135">
        <f>J28</f>
        <v>177345.18</v>
      </c>
      <c r="L28" s="141">
        <f>J28-K28</f>
        <v>0</v>
      </c>
      <c r="M28" s="141">
        <f t="shared" si="3"/>
        <v>0</v>
      </c>
      <c r="N28" s="103"/>
      <c r="O28" s="104">
        <f t="shared" si="4"/>
        <v>178778.13260400001</v>
      </c>
      <c r="P28" s="105">
        <f t="shared" si="5"/>
        <v>0</v>
      </c>
      <c r="Q28" s="219">
        <f t="shared" si="0"/>
        <v>178778.18</v>
      </c>
      <c r="R28" s="220">
        <f t="shared" si="1"/>
        <v>184141.18</v>
      </c>
      <c r="S28" s="32">
        <f t="shared" si="6"/>
        <v>0.18000000000000002</v>
      </c>
    </row>
    <row r="29" spans="1:19" ht="14.55" customHeight="1" x14ac:dyDescent="0.3">
      <c r="A29" s="203" t="s">
        <v>86</v>
      </c>
      <c r="B29" s="201">
        <v>5</v>
      </c>
      <c r="C29" s="205"/>
      <c r="D29" s="208"/>
      <c r="E29" s="208"/>
      <c r="F29" s="216">
        <f>7.73/2</f>
        <v>3.8650000000000002</v>
      </c>
      <c r="G29" s="213">
        <v>0.41</v>
      </c>
      <c r="H29" s="217"/>
      <c r="I29" s="218">
        <f t="shared" si="2"/>
        <v>4.2750000000000004</v>
      </c>
      <c r="J29" s="102">
        <v>31660.19</v>
      </c>
      <c r="K29" s="107">
        <f>J29</f>
        <v>31660.19</v>
      </c>
      <c r="L29" s="141">
        <f>J29-K29</f>
        <v>0</v>
      </c>
      <c r="M29" s="141">
        <f t="shared" si="3"/>
        <v>0</v>
      </c>
      <c r="N29" s="103"/>
      <c r="O29" s="104">
        <f t="shared" si="4"/>
        <v>175091.98554000002</v>
      </c>
      <c r="P29" s="105">
        <f t="shared" si="5"/>
        <v>0</v>
      </c>
      <c r="Q29" s="219">
        <f t="shared" si="0"/>
        <v>175092.19</v>
      </c>
      <c r="R29" s="220">
        <f t="shared" si="1"/>
        <v>180345.19</v>
      </c>
      <c r="S29" s="32">
        <f t="shared" si="6"/>
        <v>0.19000000000000003</v>
      </c>
    </row>
    <row r="30" spans="1:19" ht="14.55" customHeight="1" x14ac:dyDescent="0.3">
      <c r="A30" s="203">
        <v>36</v>
      </c>
      <c r="B30" s="201">
        <v>2</v>
      </c>
      <c r="C30" s="205" t="s">
        <v>48</v>
      </c>
      <c r="D30" s="207">
        <v>10</v>
      </c>
      <c r="E30" s="210" t="s">
        <v>126</v>
      </c>
      <c r="F30" s="216">
        <f>7.73/2</f>
        <v>3.8650000000000002</v>
      </c>
      <c r="G30" s="214">
        <v>0.45</v>
      </c>
      <c r="H30" s="217">
        <v>7.0000000000000007E-2</v>
      </c>
      <c r="I30" s="218">
        <f t="shared" si="2"/>
        <v>4.3850000000000007</v>
      </c>
      <c r="J30" s="108">
        <v>31210.2</v>
      </c>
      <c r="K30" s="135">
        <v>40000.199999999997</v>
      </c>
      <c r="L30" s="141">
        <f>J30-K30</f>
        <v>-8789.9999999999964</v>
      </c>
      <c r="M30" s="141">
        <f t="shared" si="3"/>
        <v>0</v>
      </c>
      <c r="N30" s="103"/>
      <c r="O30" s="104">
        <f t="shared" si="4"/>
        <v>179597.276396</v>
      </c>
      <c r="P30" s="105">
        <f t="shared" si="5"/>
        <v>0</v>
      </c>
      <c r="Q30" s="219">
        <f t="shared" si="0"/>
        <v>170807.2</v>
      </c>
      <c r="R30" s="220">
        <f t="shared" si="1"/>
        <v>175931.2</v>
      </c>
      <c r="S30" s="32">
        <f t="shared" si="6"/>
        <v>0.20000000000000004</v>
      </c>
    </row>
    <row r="31" spans="1:19" ht="14.55" customHeight="1" x14ac:dyDescent="0.3">
      <c r="A31" s="203" t="s">
        <v>86</v>
      </c>
      <c r="B31" s="201">
        <v>18</v>
      </c>
      <c r="C31" s="205"/>
      <c r="D31" s="208"/>
      <c r="E31" s="211"/>
      <c r="F31" s="216">
        <f>7.73/2</f>
        <v>3.8650000000000002</v>
      </c>
      <c r="G31" s="215">
        <v>0.12</v>
      </c>
      <c r="H31" s="217"/>
      <c r="I31" s="218">
        <f t="shared" si="2"/>
        <v>3.9850000000000003</v>
      </c>
      <c r="J31" s="108">
        <v>29520.21</v>
      </c>
      <c r="K31" s="135">
        <f>J31</f>
        <v>29520.21</v>
      </c>
      <c r="L31" s="141">
        <f>J31-K31</f>
        <v>0</v>
      </c>
      <c r="M31" s="141">
        <f t="shared" si="3"/>
        <v>0</v>
      </c>
      <c r="N31" s="103"/>
      <c r="O31" s="104">
        <f t="shared" si="4"/>
        <v>163214.40055600001</v>
      </c>
      <c r="P31" s="105">
        <f t="shared" si="5"/>
        <v>0</v>
      </c>
      <c r="Q31" s="219">
        <f t="shared" si="0"/>
        <v>163214.21</v>
      </c>
      <c r="R31" s="220">
        <f t="shared" si="1"/>
        <v>168110.21</v>
      </c>
      <c r="S31" s="32">
        <f t="shared" si="6"/>
        <v>0.21000000000000005</v>
      </c>
    </row>
    <row r="32" spans="1:19" ht="14.55" customHeight="1" x14ac:dyDescent="0.3">
      <c r="A32" s="203">
        <v>37</v>
      </c>
      <c r="B32" s="201">
        <v>12</v>
      </c>
      <c r="C32" s="205" t="s">
        <v>91</v>
      </c>
      <c r="D32" s="207" t="s">
        <v>110</v>
      </c>
      <c r="E32" s="207" t="s">
        <v>127</v>
      </c>
      <c r="F32" s="216">
        <f>12.13/3</f>
        <v>4.0433333333333339</v>
      </c>
      <c r="G32" s="201">
        <v>0.12</v>
      </c>
      <c r="H32" s="217">
        <v>0.09</v>
      </c>
      <c r="I32" s="218">
        <f t="shared" si="2"/>
        <v>4.2533333333333339</v>
      </c>
      <c r="J32" s="108">
        <v>31660.22</v>
      </c>
      <c r="K32" s="135">
        <f t="shared" ref="K32" si="8">J32</f>
        <v>31660.22</v>
      </c>
      <c r="L32" s="141">
        <f>J32-K32</f>
        <v>0</v>
      </c>
      <c r="M32" s="141">
        <f t="shared" si="3"/>
        <v>0</v>
      </c>
      <c r="N32" s="103"/>
      <c r="O32" s="104">
        <f t="shared" si="4"/>
        <v>174204.57976533336</v>
      </c>
      <c r="P32" s="105">
        <f t="shared" si="5"/>
        <v>0</v>
      </c>
      <c r="Q32" s="219">
        <f t="shared" si="0"/>
        <v>174205.22</v>
      </c>
      <c r="R32" s="220">
        <f t="shared" si="1"/>
        <v>179431.22</v>
      </c>
      <c r="S32" s="32">
        <f t="shared" si="6"/>
        <v>0.22000000000000006</v>
      </c>
    </row>
    <row r="33" spans="1:19" ht="14.55" customHeight="1" x14ac:dyDescent="0.3">
      <c r="A33" s="203" t="s">
        <v>86</v>
      </c>
      <c r="B33" s="201">
        <v>3</v>
      </c>
      <c r="C33" s="212"/>
      <c r="D33" s="209"/>
      <c r="E33" s="209"/>
      <c r="F33" s="216">
        <f>12.13/3</f>
        <v>4.0433333333333339</v>
      </c>
      <c r="G33" s="201">
        <v>0.41</v>
      </c>
      <c r="H33" s="217"/>
      <c r="I33" s="218">
        <f t="shared" si="2"/>
        <v>4.453333333333334</v>
      </c>
      <c r="J33" s="108">
        <v>30682.23</v>
      </c>
      <c r="K33" s="135">
        <f>K32</f>
        <v>31660.22</v>
      </c>
      <c r="L33" s="141">
        <f>J33-K33</f>
        <v>-977.9900000000016</v>
      </c>
      <c r="M33" s="141">
        <f t="shared" si="3"/>
        <v>0</v>
      </c>
      <c r="N33" s="103"/>
      <c r="O33" s="104">
        <f t="shared" si="4"/>
        <v>182396.01768533338</v>
      </c>
      <c r="P33" s="105">
        <f t="shared" si="5"/>
        <v>0</v>
      </c>
      <c r="Q33" s="219">
        <f t="shared" si="0"/>
        <v>181418.23</v>
      </c>
      <c r="R33" s="220">
        <f t="shared" si="1"/>
        <v>186861.23</v>
      </c>
      <c r="S33" s="32">
        <f t="shared" si="6"/>
        <v>0.23000000000000007</v>
      </c>
    </row>
    <row r="34" spans="1:19" ht="14.55" customHeight="1" thickBot="1" x14ac:dyDescent="0.35">
      <c r="A34" s="203" t="s">
        <v>86</v>
      </c>
      <c r="B34" s="201">
        <v>16</v>
      </c>
      <c r="C34" s="212"/>
      <c r="D34" s="209"/>
      <c r="E34" s="209"/>
      <c r="F34" s="216">
        <f>12.13/3</f>
        <v>4.0433333333333339</v>
      </c>
      <c r="G34" s="201">
        <v>0.12</v>
      </c>
      <c r="H34" s="217"/>
      <c r="I34" s="218">
        <f t="shared" si="2"/>
        <v>4.163333333333334</v>
      </c>
      <c r="J34" s="108">
        <v>31245.24</v>
      </c>
      <c r="K34" s="135">
        <v>32000</v>
      </c>
      <c r="L34" s="141">
        <f>J34-K34</f>
        <v>-754.7599999999984</v>
      </c>
      <c r="M34" s="141">
        <f t="shared" si="3"/>
        <v>0</v>
      </c>
      <c r="N34" s="103"/>
      <c r="O34" s="104">
        <f t="shared" si="4"/>
        <v>170518.43270133334</v>
      </c>
      <c r="P34" s="105">
        <f t="shared" si="5"/>
        <v>0</v>
      </c>
      <c r="Q34" s="219">
        <f t="shared" si="0"/>
        <v>169764.24</v>
      </c>
      <c r="R34" s="220">
        <f t="shared" si="1"/>
        <v>174857.24</v>
      </c>
      <c r="S34" s="32">
        <f t="shared" si="6"/>
        <v>0.24000000000000007</v>
      </c>
    </row>
    <row r="35" spans="1:19" ht="17.100000000000001" customHeight="1" thickBot="1" x14ac:dyDescent="0.35">
      <c r="A35" s="199" t="s">
        <v>47</v>
      </c>
      <c r="B35" s="199"/>
      <c r="C35" s="199"/>
      <c r="D35" s="199"/>
      <c r="E35" s="200"/>
      <c r="F35" s="117"/>
      <c r="G35" s="117"/>
      <c r="H35" s="109">
        <f>SUM(H11:H34)</f>
        <v>0.52</v>
      </c>
      <c r="I35" s="109">
        <f>SUM(I11:I34)</f>
        <v>100</v>
      </c>
      <c r="J35" s="110">
        <f>SUM(J11:J34)</f>
        <v>4130252.0000000009</v>
      </c>
      <c r="K35" s="110">
        <f>SUM(K11:K34)</f>
        <v>4424949.7300000004</v>
      </c>
      <c r="L35" s="110">
        <f>SUM(L11:L34)</f>
        <v>-294697.73</v>
      </c>
      <c r="M35" s="110">
        <f>SUM(M11:M34)</f>
        <v>0</v>
      </c>
      <c r="N35" s="112"/>
      <c r="O35" s="112">
        <f>SUM(O11:O34)</f>
        <v>4095718.9599999995</v>
      </c>
      <c r="P35" s="111">
        <f>SUM(P11:P34)</f>
        <v>0</v>
      </c>
      <c r="Q35" s="113">
        <f>SUM(Q11:Q28)</f>
        <v>2873523.7100000004</v>
      </c>
      <c r="R35" s="113">
        <f>SUM(R11:R34)</f>
        <v>4025264.0000000009</v>
      </c>
    </row>
    <row r="36" spans="1:19" ht="22.2" customHeight="1" x14ac:dyDescent="0.3">
      <c r="E36" s="38"/>
      <c r="F36" s="38"/>
      <c r="G36" s="38"/>
      <c r="K36" s="119"/>
    </row>
    <row r="37" spans="1:19" x14ac:dyDescent="0.3">
      <c r="A37" s="194"/>
      <c r="B37" s="194"/>
      <c r="C37" s="146"/>
      <c r="D37" s="146"/>
      <c r="H37" s="195"/>
      <c r="I37" s="147"/>
      <c r="J37" s="196"/>
      <c r="K37" s="119"/>
    </row>
    <row r="38" spans="1:19" x14ac:dyDescent="0.3">
      <c r="A38" s="194"/>
      <c r="B38" s="194"/>
      <c r="C38" s="146"/>
      <c r="D38" s="146"/>
      <c r="H38" s="195"/>
      <c r="I38" s="147"/>
      <c r="J38" s="196"/>
      <c r="K38" s="120"/>
    </row>
    <row r="49" spans="1:10" x14ac:dyDescent="0.3">
      <c r="J49">
        <f>SUM(H47:H48)</f>
        <v>0</v>
      </c>
    </row>
    <row r="51" spans="1:10" x14ac:dyDescent="0.3">
      <c r="A51" t="s">
        <v>53</v>
      </c>
    </row>
    <row r="52" spans="1:10" x14ac:dyDescent="0.3">
      <c r="A52" t="s">
        <v>52</v>
      </c>
    </row>
    <row r="53" spans="1:10" x14ac:dyDescent="0.3">
      <c r="J53">
        <f>SUM(H51:H52)</f>
        <v>0</v>
      </c>
    </row>
  </sheetData>
  <mergeCells count="30">
    <mergeCell ref="G9:G10"/>
    <mergeCell ref="F9:F10"/>
    <mergeCell ref="D28:D29"/>
    <mergeCell ref="D30:D31"/>
    <mergeCell ref="D32:D34"/>
    <mergeCell ref="E32:E34"/>
    <mergeCell ref="E30:E31"/>
    <mergeCell ref="E28:E29"/>
    <mergeCell ref="A37:B38"/>
    <mergeCell ref="H37:H38"/>
    <mergeCell ref="J37:J38"/>
    <mergeCell ref="P2:Q2"/>
    <mergeCell ref="K2:L2"/>
    <mergeCell ref="A35:E35"/>
    <mergeCell ref="N9:N10"/>
    <mergeCell ref="H1:Q1"/>
    <mergeCell ref="M9:M10"/>
    <mergeCell ref="J9:J10"/>
    <mergeCell ref="K9:K10"/>
    <mergeCell ref="L9:L10"/>
    <mergeCell ref="O9:O10"/>
    <mergeCell ref="P9:P10"/>
    <mergeCell ref="A4:R8"/>
    <mergeCell ref="A9:A10"/>
    <mergeCell ref="E9:E10"/>
    <mergeCell ref="H9:H10"/>
    <mergeCell ref="B9:B10"/>
    <mergeCell ref="R9:R10"/>
    <mergeCell ref="C9:C10"/>
    <mergeCell ref="D9:D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777343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2026-07-01T16:02:47Z</cp:lastPrinted>
  <dcterms:created xsi:type="dcterms:W3CDTF">2023-09-17T12:29:07Z</dcterms:created>
  <dcterms:modified xsi:type="dcterms:W3CDTF">2026-07-28T22:41:13Z</dcterms:modified>
</cp:coreProperties>
</file>