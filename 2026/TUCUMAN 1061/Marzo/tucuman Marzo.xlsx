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TUCUMAN 1061\Marzo\"/>
    </mc:Choice>
  </mc:AlternateContent>
  <xr:revisionPtr revIDLastSave="0" documentId="13_ncr:1_{FF7A30EF-52CB-450B-93A0-E359A93782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Gastos!$A$2:$H$55</definedName>
    <definedName name="_xlnm.Print_Area" localSheetId="1">Planilla!$A$1:$P$39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  <c r="H14" i="2"/>
  <c r="H11" i="2"/>
  <c r="H20" i="2"/>
  <c r="H19" i="2"/>
  <c r="H29" i="1"/>
  <c r="H12" i="2" l="1"/>
  <c r="H16" i="2"/>
  <c r="H28" i="2"/>
  <c r="H23" i="2"/>
  <c r="I26" i="2"/>
  <c r="I18" i="2"/>
  <c r="J18" i="2" s="1"/>
  <c r="I16" i="2"/>
  <c r="I21" i="2"/>
  <c r="I24" i="2"/>
  <c r="I28" i="2"/>
  <c r="J28" i="2" s="1"/>
  <c r="I11" i="2"/>
  <c r="J11" i="2" s="1"/>
  <c r="K28" i="2" l="1"/>
  <c r="J16" i="2"/>
  <c r="K16" i="2" s="1"/>
  <c r="J26" i="2"/>
  <c r="K26" i="2" s="1"/>
  <c r="K18" i="2"/>
  <c r="K11" i="2"/>
  <c r="J24" i="2"/>
  <c r="K24" i="2" s="1"/>
  <c r="J21" i="2"/>
  <c r="K21" i="2" s="1"/>
  <c r="I14" i="2" l="1"/>
  <c r="I23" i="2"/>
  <c r="H17" i="2"/>
  <c r="I17" i="2" s="1"/>
  <c r="I27" i="2"/>
  <c r="I15" i="2"/>
  <c r="I13" i="2"/>
  <c r="I19" i="2"/>
  <c r="J17" i="2" l="1"/>
  <c r="K17" i="2"/>
  <c r="J13" i="2"/>
  <c r="K13" i="2" s="1"/>
  <c r="J14" i="2"/>
  <c r="K14" i="2" s="1"/>
  <c r="J23" i="2"/>
  <c r="K23" i="2" s="1"/>
  <c r="J27" i="2"/>
  <c r="K27" i="2" s="1"/>
  <c r="J15" i="2"/>
  <c r="K15" i="2" s="1"/>
  <c r="J19" i="2"/>
  <c r="K19" i="2" s="1"/>
  <c r="H25" i="2"/>
  <c r="O10" i="2"/>
  <c r="A1" i="2"/>
  <c r="I12" i="2"/>
  <c r="J12" i="2" l="1"/>
  <c r="K12" i="2" s="1"/>
  <c r="I22" i="2"/>
  <c r="I29" i="2"/>
  <c r="I20" i="2"/>
  <c r="I25" i="2"/>
  <c r="Q12" i="2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J25" i="2" l="1"/>
  <c r="K25" i="2"/>
  <c r="J29" i="2"/>
  <c r="K29" i="2" s="1"/>
  <c r="J22" i="2"/>
  <c r="K22" i="2" s="1"/>
  <c r="J20" i="2"/>
  <c r="K20" i="2" s="1"/>
  <c r="H33" i="1"/>
  <c r="H23" i="1"/>
  <c r="C5" i="2"/>
  <c r="N11" i="2" s="1"/>
  <c r="H16" i="1"/>
  <c r="M11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1" i="2" l="1"/>
  <c r="L11" i="2"/>
  <c r="O11" i="2" s="1"/>
  <c r="N12" i="2"/>
  <c r="N13" i="2"/>
  <c r="N14" i="2"/>
  <c r="N15" i="2"/>
  <c r="N16" i="2"/>
  <c r="N17" i="2"/>
  <c r="N18" i="2"/>
  <c r="N19" i="2"/>
  <c r="N20" i="2"/>
  <c r="N21" i="2"/>
  <c r="N22" i="2"/>
  <c r="C9" i="4"/>
  <c r="M30" i="2" l="1"/>
  <c r="H18" i="1" l="1"/>
  <c r="H37" i="1" s="1"/>
  <c r="C10" i="4" l="1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N24" i="2" l="1"/>
  <c r="N25" i="2"/>
  <c r="N26" i="2"/>
  <c r="N27" i="2"/>
  <c r="N28" i="2"/>
  <c r="N29" i="2"/>
  <c r="N31" i="2" l="1"/>
  <c r="A3" i="4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29" i="2"/>
  <c r="D28" i="2"/>
  <c r="D27" i="2"/>
  <c r="D26" i="2"/>
  <c r="D25" i="2"/>
  <c r="D24" i="2"/>
  <c r="D23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G19" i="4"/>
  <c r="H19" i="4" s="1"/>
  <c r="G16" i="4"/>
  <c r="H16" i="4" s="1"/>
  <c r="G15" i="4"/>
  <c r="H15" i="4" s="1"/>
  <c r="G20" i="4"/>
  <c r="H20" i="4" s="1"/>
  <c r="G18" i="4"/>
  <c r="H18" i="4" s="1"/>
  <c r="G14" i="4"/>
  <c r="H14" i="4" s="1"/>
  <c r="G17" i="4"/>
  <c r="H17" i="4" s="1"/>
  <c r="H9" i="4"/>
  <c r="G12" i="4"/>
  <c r="H12" i="4" s="1"/>
  <c r="G10" i="4"/>
  <c r="H10" i="4" l="1"/>
  <c r="G11" i="4"/>
  <c r="H11" i="4" s="1"/>
  <c r="H21" i="4" l="1"/>
  <c r="J21" i="4" s="1"/>
  <c r="M30" i="4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G31" i="2"/>
  <c r="O26" i="2" l="1"/>
  <c r="P26" i="2" s="1"/>
  <c r="O17" i="2"/>
  <c r="P17" i="2" s="1"/>
  <c r="O18" i="2"/>
  <c r="P18" i="2" s="1"/>
  <c r="O23" i="2"/>
  <c r="P23" i="2" s="1"/>
  <c r="O21" i="2"/>
  <c r="P21" i="2" s="1"/>
  <c r="O22" i="2"/>
  <c r="P22" i="2" s="1"/>
  <c r="O29" i="2"/>
  <c r="P29" i="2" s="1"/>
  <c r="O28" i="2"/>
  <c r="P28" i="2" s="1"/>
  <c r="O27" i="2"/>
  <c r="P27" i="2" s="1"/>
  <c r="O20" i="2"/>
  <c r="O25" i="2"/>
  <c r="P25" i="2" s="1"/>
  <c r="O24" i="2"/>
  <c r="P24" i="2" s="1"/>
  <c r="O12" i="2"/>
  <c r="P12" i="2" s="1"/>
  <c r="I31" i="2"/>
  <c r="O14" i="2"/>
  <c r="P14" i="2" s="1"/>
  <c r="O16" i="2"/>
  <c r="P16" i="2" s="1"/>
  <c r="L31" i="2"/>
  <c r="O13" i="2"/>
  <c r="P13" i="2" s="1"/>
  <c r="O15" i="2"/>
  <c r="P15" i="2" s="1"/>
  <c r="P11" i="2"/>
  <c r="H31" i="2"/>
  <c r="H51" i="1" s="1"/>
  <c r="P20" i="2" l="1"/>
  <c r="O19" i="2"/>
  <c r="P19" i="2" s="1"/>
  <c r="O31" i="2" l="1"/>
  <c r="P31" i="2"/>
  <c r="H42" i="1"/>
  <c r="H47" i="1" s="1"/>
  <c r="H53" i="1" l="1"/>
  <c r="H45" i="1"/>
  <c r="H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<sst xmlns="http://schemas.openxmlformats.org/spreadsheetml/2006/main" count="181" uniqueCount="161">
  <si>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</si>
  <si>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</si>
  <si>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</si>
  <si>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</si>
  <si>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</si>
  <si>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</si>
  <si>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</si>
  <si>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</si>
  <si>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</si>
  <si>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</si>
  <si>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</si>
  <si>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</si>
  <si>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</si>
  <si>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</si>
  <si>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</si>
  <si>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TOTAL DE GASTOS ORDINARIOS 1,2,3,4,5,6;</t>
  </si>
  <si>
    <t>TOTAL</t>
  </si>
  <si>
    <t>MP:1148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</si>
  <si>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</si>
  <si>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</si>
  <si>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Gasto Extraordinario</t>
  </si>
  <si>
    <t>Total con Mora</t>
  </si>
  <si>
    <t xml:space="preserve">DEUDA </t>
  </si>
  <si>
    <t>EDESUR</t>
  </si>
  <si>
    <t xml:space="preserve">PAGOS </t>
  </si>
  <si>
    <t xml:space="preserve">% </t>
  </si>
  <si>
    <t>INQUILINOS</t>
  </si>
  <si>
    <t>PROPIETARIOS</t>
  </si>
  <si>
    <t>PISO - DEPTO</t>
  </si>
  <si>
    <t>U.F.</t>
  </si>
  <si>
    <t>Gastos Extraordinarios: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</si>
  <si>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</si>
  <si>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</si>
  <si>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</si>
  <si>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</si>
  <si>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</si>
  <si>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</si>
  <si>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</si>
  <si>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</si>
  <si>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</si>
  <si>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</si>
  <si>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</si>
  <si>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</si>
  <si>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ROSALES 624</t>
  </si>
  <si>
    <t>Edesur</t>
  </si>
  <si>
    <t xml:space="preserve">AYSA </t>
  </si>
  <si>
    <t xml:space="preserve">SUELDO </t>
  </si>
  <si>
    <t>3- MANTENIMIENTO DE PARTES COMUNES</t>
  </si>
  <si>
    <t>4- GASTO DE ADMINISTRACION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</si>
  <si>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</si>
  <si>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</si>
  <si>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</si>
  <si>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</si>
  <si>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</si>
  <si>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</si>
  <si>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</si>
  <si>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</si>
  <si>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</si>
  <si>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</si>
  <si>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</si>
  <si>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</si>
  <si>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</si>
  <si>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</si>
  <si>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</si>
  <si>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</si>
  <si>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</si>
  <si>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</si>
  <si>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</si>
  <si>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</si>
  <si>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</si>
  <si>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</si>
  <si>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</si>
  <si>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</si>
  <si>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</si>
  <si>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</si>
  <si>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</si>
  <si>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</si>
  <si>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</si>
  <si>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</si>
  <si>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</si>
  <si>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</si>
  <si>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</si>
  <si>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</si>
  <si>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</si>
  <si>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</si>
  <si>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</si>
  <si>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</si>
  <si>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</si>
  <si>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</si>
  <si>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</si>
  <si>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Estevez Norberto Omar</t>
  </si>
  <si>
    <t>Degl´Innocenti Julieta Antonella</t>
  </si>
  <si>
    <t>Scarlercio Jorge Omar</t>
  </si>
  <si>
    <t>Moro Vanesa Yania / Juan Carlos Moro</t>
  </si>
  <si>
    <t>SALDO  ANTERIOR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</si>
  <si>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</si>
  <si>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</si>
  <si>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</si>
  <si>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</si>
  <si>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</si>
  <si>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</si>
  <si>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</si>
  <si>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</si>
  <si>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</si>
  <si>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</si>
  <si>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</si>
  <si>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</si>
  <si>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</si>
  <si>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</si>
  <si>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</si>
  <si>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</si>
  <si>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</si>
  <si>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</si>
  <si>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</si>
  <si>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</si>
  <si>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</si>
  <si>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</si>
  <si>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</si>
  <si>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</si>
  <si>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</si>
  <si>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</si>
  <si>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</si>
  <si>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</si>
  <si>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</si>
  <si>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</si>
  <si>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</si>
  <si>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</si>
  <si>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Sr. Encargado Hernan</t>
  </si>
  <si>
    <t xml:space="preserve">Lema mantenimiento ascensores </t>
  </si>
  <si>
    <t>TOTAL DE GASTOS ORDINARIOS A PRORRATEAR</t>
  </si>
  <si>
    <t>Sofia</t>
  </si>
  <si>
    <t>Yago</t>
  </si>
  <si>
    <t>Lopez Gabriela</t>
  </si>
  <si>
    <t xml:space="preserve">Ingreso pago por expensas </t>
  </si>
  <si>
    <t xml:space="preserve">Egresos gastos del mes </t>
  </si>
  <si>
    <t>SALDO ANTERIOR</t>
  </si>
  <si>
    <t xml:space="preserve">Javier </t>
  </si>
  <si>
    <t>Rodriguez Flavio/Rodriguez Mauro</t>
  </si>
  <si>
    <t>TOTAL DE GASTOS EXTRAORDINARIOS</t>
  </si>
  <si>
    <t xml:space="preserve">Gasto Ordinario - Sin Edesur </t>
  </si>
  <si>
    <t>Gastos Ordinarios sin edesur:</t>
  </si>
  <si>
    <t>EDESUR:</t>
  </si>
  <si>
    <t>Perez Sebastian</t>
  </si>
  <si>
    <t xml:space="preserve">Banco santander - C DE P TUCUMAN 1061 1063 - Nro. De cuenta : 39-022068/6
CBU: 0720039720000002206868
</t>
  </si>
  <si>
    <t>5 - GASTOS BANCARIOS</t>
  </si>
  <si>
    <t xml:space="preserve">Gastos bancarios </t>
  </si>
  <si>
    <t>Luz / Martin</t>
  </si>
  <si>
    <t>IMPORTANTE
⚠️ Al abonar, respetar los centavos que figuran en la columna “Total a pagar”.
Respetar los centavos facilita la correcta identificación de los pagos y las unidades funcionales.
Si poseen departamento y cochera, les pedimos —en la medida de lo posible— que realicen dos pagos separados, respetando los centavos correspondientes a cada uno.
¡Muchas gracias por la colaboración! 🙌</t>
  </si>
  <si>
    <t>Seguro OBLIGATORIO DE CONSORCIO - POLIZA Nro. 191195427 - Mercantil Andina</t>
  </si>
  <si>
    <t>subidos en n0v 2025</t>
  </si>
  <si>
    <t>Punitorios mal cobrados</t>
  </si>
  <si>
    <t>2do vto</t>
  </si>
  <si>
    <t>QUIENES ESTAN MARCADOS EN ROJO NO ESTAN RESPETANDO LOS CENTAVOS AL ABONAR - LEER PORFAVOR EL CARTEL AMARILLO</t>
  </si>
  <si>
    <t>Celeste</t>
  </si>
  <si>
    <t xml:space="preserve">Prevision ordinaria </t>
  </si>
  <si>
    <t>SOLICITAMOS POR FAVOR QUE, SI REALIZAN EL PAGO ANTES DE LA FECHA DEL PRIMER VENCIMIENTO , ABONEN ÚNICAMENTE EL MONTO CORRESPONDIENTE A DICHO VENCIMIENTO Y NO EL DEL SEGUNDO.</t>
  </si>
  <si>
    <t>VTO: 17/04</t>
  </si>
  <si>
    <t xml:space="preserve">PERIODO: MARZO </t>
  </si>
  <si>
    <t>Poliza Sr. De Luca Carlos Hernan - La holando MARZO</t>
  </si>
  <si>
    <t>Administraciòn MARZO 2025:</t>
  </si>
  <si>
    <t>Articulos de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</si>
</sst>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.0000_-;\-* #,##0.0000_-;_-* &quot;-&quot;??_-;_-@_-"/>
    <numFmt numFmtId="166" formatCode="&quot;$&quot;\ #,##0.00"/>
    <numFmt numFmtId="167" formatCode="_ &quot;$&quot;\ * #,##0.00_ ;_ &quot;$&quot;\ * \-#,##0.00_ ;_ &quot;$&quot;\ * &quot;-&quot;??_ ;_ @_ "/>
    <numFmt numFmtId="168" formatCode="0.0000"/>
    <numFmt numFmtId="169" formatCode="0.0"/>
    <numFmt numFmtId="170" formatCode="0.000"/>
    <numFmt numFmtId="171" formatCode="0.000%"/>
    <numFmt numFmtId="172" formatCode="0.00000"/>
    <numFmt numFmtId="173" formatCode="#,##0.00_ ;[Red]\-#,##0.00\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" fontId="23" fillId="0" borderId="0"/>
    <xf numFmtId="9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" fontId="24" fillId="0" borderId="0"/>
  </cellStyleXfs>
  <cellXfs count="272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0" xfId="0" applyFont="1"/>
    <xf numFmtId="44" fontId="7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44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44" fontId="0" fillId="0" borderId="0" xfId="0" applyNumberFormat="1"/>
    <xf numFmtId="44" fontId="7" fillId="5" borderId="3" xfId="1" applyFont="1" applyFill="1" applyBorder="1"/>
    <xf numFmtId="8" fontId="10" fillId="5" borderId="3" xfId="1" applyNumberFormat="1" applyFont="1" applyFill="1" applyBorder="1"/>
    <xf numFmtId="0" fontId="0" fillId="0" borderId="0" xfId="0" applyAlignment="1">
      <alignment horizontal="center"/>
    </xf>
    <xf numFmtId="164" fontId="0" fillId="0" borderId="0" xfId="1" applyNumberFormat="1" applyFont="1"/>
    <xf numFmtId="43" fontId="0" fillId="0" borderId="0" xfId="0" applyNumberFormat="1"/>
    <xf numFmtId="164" fontId="0" fillId="0" borderId="0" xfId="1" applyNumberFormat="1" applyFont="1" applyBorder="1"/>
    <xf numFmtId="43" fontId="0" fillId="0" borderId="0" xfId="3" applyFont="1" applyBorder="1"/>
    <xf numFmtId="0" fontId="12" fillId="0" borderId="0" xfId="0" applyFont="1"/>
    <xf numFmtId="44" fontId="13" fillId="3" borderId="16" xfId="0" applyNumberFormat="1" applyFont="1" applyFill="1" applyBorder="1"/>
    <xf numFmtId="164" fontId="14" fillId="3" borderId="16" xfId="0" applyNumberFormat="1" applyFont="1" applyFill="1" applyBorder="1"/>
    <xf numFmtId="164" fontId="13" fillId="3" borderId="16" xfId="1" applyNumberFormat="1" applyFont="1" applyFill="1" applyBorder="1"/>
    <xf numFmtId="164" fontId="15" fillId="3" borderId="16" xfId="1" applyNumberFormat="1" applyFont="1" applyFill="1" applyBorder="1"/>
    <xf numFmtId="0" fontId="16" fillId="3" borderId="16" xfId="0" applyFont="1" applyFill="1" applyBorder="1" applyAlignment="1">
      <alignment horizontal="center"/>
    </xf>
    <xf numFmtId="164" fontId="17" fillId="0" borderId="3" xfId="0" applyNumberFormat="1" applyFont="1" applyBorder="1"/>
    <xf numFmtId="164" fontId="17" fillId="0" borderId="3" xfId="1" applyNumberFormat="1" applyFont="1" applyBorder="1"/>
    <xf numFmtId="164" fontId="17" fillId="0" borderId="18" xfId="1" applyNumberFormat="1" applyFont="1" applyBorder="1"/>
    <xf numFmtId="164" fontId="18" fillId="5" borderId="3" xfId="1" applyNumberFormat="1" applyFont="1" applyFill="1" applyBorder="1"/>
    <xf numFmtId="164" fontId="18" fillId="0" borderId="18" xfId="1" applyNumberFormat="1" applyFont="1" applyBorder="1"/>
    <xf numFmtId="43" fontId="17" fillId="0" borderId="18" xfId="3" applyFont="1" applyBorder="1"/>
    <xf numFmtId="0" fontId="19" fillId="0" borderId="18" xfId="0" applyFon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164" fontId="2" fillId="3" borderId="19" xfId="1" applyNumberFormat="1" applyFont="1" applyFill="1" applyBorder="1" applyAlignment="1">
      <alignment horizontal="center" vertical="center" wrapText="1"/>
    </xf>
    <xf numFmtId="43" fontId="2" fillId="3" borderId="19" xfId="1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6" fontId="2" fillId="0" borderId="2" xfId="1" applyNumberFormat="1" applyFont="1" applyBorder="1"/>
    <xf numFmtId="44" fontId="0" fillId="0" borderId="2" xfId="1" applyFont="1" applyBorder="1"/>
    <xf numFmtId="0" fontId="2" fillId="0" borderId="11" xfId="0" applyFont="1" applyBorder="1" applyAlignment="1">
      <alignment horizontal="center"/>
    </xf>
    <xf numFmtId="44" fontId="2" fillId="0" borderId="0" xfId="1" applyFont="1" applyBorder="1"/>
    <xf numFmtId="0" fontId="2" fillId="0" borderId="9" xfId="0" applyFont="1" applyBorder="1" applyAlignment="1">
      <alignment horizontal="left"/>
    </xf>
    <xf numFmtId="44" fontId="2" fillId="0" borderId="0" xfId="1" applyFont="1" applyBorder="1" applyAlignment="1">
      <alignment horizontal="left" vertical="top"/>
    </xf>
    <xf numFmtId="164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1" fillId="0" borderId="3" xfId="0" applyFont="1" applyBorder="1"/>
    <xf numFmtId="0" fontId="21" fillId="5" borderId="3" xfId="0" applyFont="1" applyFill="1" applyBorder="1"/>
    <xf numFmtId="2" fontId="21" fillId="0" borderId="3" xfId="0" applyNumberFormat="1" applyFont="1" applyBorder="1"/>
    <xf numFmtId="165" fontId="6" fillId="3" borderId="16" xfId="3" applyNumberFormat="1" applyFont="1" applyFill="1" applyBorder="1"/>
    <xf numFmtId="10" fontId="26" fillId="0" borderId="15" xfId="5" applyNumberFormat="1" applyFont="1" applyBorder="1"/>
    <xf numFmtId="10" fontId="26" fillId="0" borderId="21" xfId="5" applyNumberFormat="1" applyFont="1" applyFill="1" applyBorder="1"/>
    <xf numFmtId="167" fontId="25" fillId="0" borderId="22" xfId="6" applyFont="1" applyFill="1" applyBorder="1"/>
    <xf numFmtId="167" fontId="0" fillId="0" borderId="25" xfId="6" applyFont="1" applyBorder="1"/>
    <xf numFmtId="167" fontId="0" fillId="0" borderId="3" xfId="6" applyFont="1" applyBorder="1"/>
    <xf numFmtId="10" fontId="18" fillId="0" borderId="3" xfId="5" applyNumberFormat="1" applyFont="1" applyBorder="1"/>
    <xf numFmtId="171" fontId="0" fillId="0" borderId="0" xfId="5" applyNumberFormat="1" applyFont="1"/>
    <xf numFmtId="9" fontId="0" fillId="0" borderId="0" xfId="5" applyFont="1"/>
    <xf numFmtId="167" fontId="22" fillId="7" borderId="0" xfId="6" applyFont="1" applyFill="1" applyBorder="1" applyAlignment="1">
      <alignment vertical="center"/>
    </xf>
    <xf numFmtId="167" fontId="17" fillId="0" borderId="3" xfId="6" applyFont="1" applyBorder="1" applyAlignment="1">
      <alignment vertical="center"/>
    </xf>
    <xf numFmtId="164" fontId="17" fillId="0" borderId="18" xfId="0" applyNumberFormat="1" applyFont="1" applyBorder="1"/>
    <xf numFmtId="0" fontId="21" fillId="0" borderId="3" xfId="0" applyFont="1" applyBorder="1" applyAlignment="1">
      <alignment horizontal="centerContinuous"/>
    </xf>
    <xf numFmtId="0" fontId="30" fillId="0" borderId="3" xfId="0" applyFont="1" applyBorder="1" applyAlignment="1">
      <alignment horizontal="left" wrapText="1"/>
    </xf>
    <xf numFmtId="0" fontId="30" fillId="0" borderId="3" xfId="0" applyFont="1" applyBorder="1"/>
    <xf numFmtId="1" fontId="24" fillId="0" borderId="0" xfId="7"/>
    <xf numFmtId="167" fontId="0" fillId="0" borderId="22" xfId="6" applyFont="1" applyBorder="1"/>
    <xf numFmtId="1" fontId="24" fillId="0" borderId="23" xfId="7" applyBorder="1"/>
    <xf numFmtId="167" fontId="0" fillId="0" borderId="23" xfId="6" applyFont="1" applyFill="1" applyBorder="1"/>
    <xf numFmtId="49" fontId="24" fillId="0" borderId="24" xfId="7" applyNumberFormat="1" applyBorder="1"/>
    <xf numFmtId="167" fontId="0" fillId="0" borderId="36" xfId="6" applyFont="1" applyBorder="1"/>
    <xf numFmtId="1" fontId="24" fillId="0" borderId="18" xfId="7" applyBorder="1"/>
    <xf numFmtId="167" fontId="0" fillId="0" borderId="18" xfId="6" applyFont="1" applyFill="1" applyBorder="1"/>
    <xf numFmtId="49" fontId="24" fillId="0" borderId="37" xfId="7" applyNumberFormat="1" applyBorder="1"/>
    <xf numFmtId="1" fontId="24" fillId="0" borderId="3" xfId="7" applyBorder="1"/>
    <xf numFmtId="167" fontId="0" fillId="0" borderId="3" xfId="6" applyFont="1" applyFill="1" applyBorder="1"/>
    <xf numFmtId="49" fontId="24" fillId="0" borderId="32" xfId="7" applyNumberFormat="1" applyBorder="1"/>
    <xf numFmtId="2" fontId="24" fillId="0" borderId="0" xfId="7" applyNumberFormat="1"/>
    <xf numFmtId="172" fontId="24" fillId="0" borderId="0" xfId="7" applyNumberFormat="1"/>
    <xf numFmtId="169" fontId="24" fillId="0" borderId="0" xfId="7" applyNumberFormat="1"/>
    <xf numFmtId="1" fontId="25" fillId="0" borderId="25" xfId="7" applyFont="1" applyBorder="1"/>
    <xf numFmtId="1" fontId="25" fillId="0" borderId="3" xfId="7" applyFont="1" applyBorder="1"/>
    <xf numFmtId="1" fontId="25" fillId="0" borderId="32" xfId="7" applyFont="1" applyBorder="1"/>
    <xf numFmtId="1" fontId="24" fillId="0" borderId="0" xfId="7" quotePrefix="1"/>
    <xf numFmtId="1" fontId="25" fillId="0" borderId="13" xfId="7" applyFont="1" applyBorder="1"/>
    <xf numFmtId="166" fontId="24" fillId="0" borderId="0" xfId="7" applyNumberFormat="1"/>
    <xf numFmtId="1" fontId="25" fillId="0" borderId="20" xfId="7" applyFont="1" applyBorder="1"/>
    <xf numFmtId="168" fontId="24" fillId="0" borderId="23" xfId="7" applyNumberFormat="1" applyBorder="1"/>
    <xf numFmtId="1" fontId="18" fillId="0" borderId="23" xfId="7" applyFont="1" applyBorder="1"/>
    <xf numFmtId="1" fontId="25" fillId="0" borderId="23" xfId="7" applyFont="1" applyBorder="1"/>
    <xf numFmtId="1" fontId="27" fillId="0" borderId="24" xfId="7" applyFont="1" applyBorder="1"/>
    <xf numFmtId="1" fontId="18" fillId="0" borderId="3" xfId="7" applyFont="1" applyBorder="1"/>
    <xf numFmtId="1" fontId="28" fillId="0" borderId="26" xfId="7" applyFont="1" applyBorder="1"/>
    <xf numFmtId="170" fontId="24" fillId="0" borderId="0" xfId="7" applyNumberFormat="1"/>
    <xf numFmtId="1" fontId="28" fillId="0" borderId="27" xfId="7" applyFont="1" applyBorder="1"/>
    <xf numFmtId="1" fontId="18" fillId="0" borderId="28" xfId="7" applyFont="1" applyBorder="1"/>
    <xf numFmtId="1" fontId="18" fillId="0" borderId="19" xfId="7" applyFont="1" applyBorder="1"/>
    <xf numFmtId="1" fontId="24" fillId="7" borderId="0" xfId="7" applyFill="1"/>
    <xf numFmtId="1" fontId="18" fillId="0" borderId="0" xfId="7" applyFont="1"/>
    <xf numFmtId="1" fontId="18" fillId="0" borderId="22" xfId="7" applyFont="1" applyBorder="1"/>
    <xf numFmtId="2" fontId="17" fillId="0" borderId="23" xfId="7" applyNumberFormat="1" applyFont="1" applyBorder="1" applyAlignment="1">
      <alignment vertical="center"/>
    </xf>
    <xf numFmtId="2" fontId="17" fillId="0" borderId="24" xfId="7" applyNumberFormat="1" applyFont="1" applyBorder="1" applyAlignment="1">
      <alignment vertical="center"/>
    </xf>
    <xf numFmtId="1" fontId="18" fillId="0" borderId="25" xfId="7" applyFont="1" applyBorder="1"/>
    <xf numFmtId="2" fontId="17" fillId="0" borderId="3" xfId="7" applyNumberFormat="1" applyFont="1" applyBorder="1" applyAlignment="1">
      <alignment vertical="center"/>
    </xf>
    <xf numFmtId="2" fontId="17" fillId="0" borderId="32" xfId="7" applyNumberFormat="1" applyFont="1" applyBorder="1" applyAlignment="1">
      <alignment vertical="center"/>
    </xf>
    <xf numFmtId="1" fontId="18" fillId="0" borderId="3" xfId="7" applyFont="1" applyBorder="1" applyAlignment="1">
      <alignment horizontal="center"/>
    </xf>
    <xf numFmtId="1" fontId="18" fillId="0" borderId="32" xfId="7" applyFont="1" applyBorder="1"/>
    <xf numFmtId="0" fontId="30" fillId="0" borderId="6" xfId="0" applyFont="1" applyBorder="1" applyAlignment="1">
      <alignment horizontal="left" vertical="center" wrapText="1"/>
    </xf>
    <xf numFmtId="0" fontId="0" fillId="7" borderId="3" xfId="0" applyFill="1" applyBorder="1" applyAlignment="1">
      <alignment horizontal="left"/>
    </xf>
    <xf numFmtId="164" fontId="17" fillId="5" borderId="3" xfId="1" applyNumberFormat="1" applyFont="1" applyFill="1" applyBorder="1"/>
    <xf numFmtId="0" fontId="21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0" fillId="5" borderId="6" xfId="0" applyFont="1" applyFill="1" applyBorder="1" applyAlignment="1">
      <alignment horizontal="left" wrapText="1"/>
    </xf>
    <xf numFmtId="0" fontId="30" fillId="5" borderId="3" xfId="0" applyFont="1" applyFill="1" applyBorder="1"/>
    <xf numFmtId="2" fontId="21" fillId="5" borderId="3" xfId="0" applyNumberFormat="1" applyFont="1" applyFill="1" applyBorder="1"/>
    <xf numFmtId="0" fontId="30" fillId="5" borderId="3" xfId="0" applyFont="1" applyFill="1" applyBorder="1" applyAlignment="1">
      <alignment horizontal="left" wrapText="1"/>
    </xf>
    <xf numFmtId="173" fontId="0" fillId="0" borderId="0" xfId="0" applyNumberFormat="1"/>
    <xf numFmtId="0" fontId="31" fillId="5" borderId="3" xfId="0" applyFont="1" applyFill="1" applyBorder="1" applyAlignment="1">
      <alignment horizontal="centerContinuous"/>
    </xf>
    <xf numFmtId="0" fontId="31" fillId="5" borderId="3" xfId="0" applyFont="1" applyFill="1" applyBorder="1"/>
    <xf numFmtId="0" fontId="32" fillId="5" borderId="6" xfId="0" applyFont="1" applyFill="1" applyBorder="1" applyAlignment="1">
      <alignment horizontal="left" wrapText="1"/>
    </xf>
    <xf numFmtId="0" fontId="32" fillId="5" borderId="3" xfId="0" applyFont="1" applyFill="1" applyBorder="1"/>
    <xf numFmtId="2" fontId="31" fillId="5" borderId="3" xfId="0" applyNumberFormat="1" applyFont="1" applyFill="1" applyBorder="1"/>
    <xf numFmtId="0" fontId="0" fillId="9" borderId="3" xfId="0" applyFill="1" applyBorder="1" applyAlignment="1">
      <alignment horizontal="left"/>
    </xf>
    <xf numFmtId="0" fontId="21" fillId="5" borderId="1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21" fillId="5" borderId="19" xfId="0" applyFont="1" applyFill="1" applyBorder="1"/>
    <xf numFmtId="0" fontId="30" fillId="5" borderId="0" xfId="0" applyFont="1" applyFill="1" applyAlignment="1">
      <alignment horizontal="left" vertical="center" wrapText="1"/>
    </xf>
    <xf numFmtId="2" fontId="21" fillId="5" borderId="19" xfId="0" applyNumberFormat="1" applyFont="1" applyFill="1" applyBorder="1"/>
    <xf numFmtId="164" fontId="18" fillId="5" borderId="3" xfId="0" applyNumberFormat="1" applyFont="1" applyFill="1" applyBorder="1"/>
    <xf numFmtId="0" fontId="33" fillId="0" borderId="0" xfId="0" applyFont="1"/>
    <xf numFmtId="0" fontId="35" fillId="5" borderId="3" xfId="0" applyFont="1" applyFill="1" applyBorder="1" applyAlignment="1">
      <alignment horizontal="centerContinuous"/>
    </xf>
    <xf numFmtId="0" fontId="34" fillId="5" borderId="3" xfId="0" applyFont="1" applyFill="1" applyBorder="1" applyAlignment="1">
      <alignment horizontal="left"/>
    </xf>
    <xf numFmtId="0" fontId="9" fillId="5" borderId="0" xfId="0" applyFont="1" applyFill="1" applyAlignment="1">
      <alignment horizontal="left" vertical="center"/>
    </xf>
    <xf numFmtId="44" fontId="9" fillId="5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44" fontId="18" fillId="5" borderId="3" xfId="0" applyNumberFormat="1" applyFont="1" applyFill="1" applyBorder="1"/>
    <xf numFmtId="44" fontId="18" fillId="5" borderId="3" xfId="1" applyFont="1" applyFill="1" applyBorder="1"/>
    <xf numFmtId="0" fontId="4" fillId="3" borderId="10" xfId="0" applyFont="1" applyFill="1" applyBorder="1"/>
    <xf numFmtId="44" fontId="0" fillId="7" borderId="0" xfId="0" applyNumberFormat="1" applyFill="1"/>
    <xf numFmtId="44" fontId="17" fillId="5" borderId="3" xfId="1" applyFont="1" applyFill="1" applyBorder="1"/>
    <xf numFmtId="44" fontId="18" fillId="0" borderId="18" xfId="1" applyFont="1" applyBorder="1" applyAlignment="1">
      <alignment horizontal="center" wrapText="1"/>
    </xf>
    <xf numFmtId="44" fontId="18" fillId="0" borderId="3" xfId="1" applyFont="1" applyBorder="1"/>
    <xf numFmtId="44" fontId="34" fillId="5" borderId="3" xfId="1" applyFont="1" applyFill="1" applyBorder="1"/>
    <xf numFmtId="0" fontId="21" fillId="10" borderId="3" xfId="0" applyFont="1" applyFill="1" applyBorder="1" applyAlignment="1">
      <alignment horizontal="centerContinuous"/>
    </xf>
    <xf numFmtId="0" fontId="21" fillId="9" borderId="3" xfId="0" applyFont="1" applyFill="1" applyBorder="1"/>
    <xf numFmtId="0" fontId="30" fillId="9" borderId="6" xfId="0" applyFont="1" applyFill="1" applyBorder="1" applyAlignment="1">
      <alignment horizontal="left" wrapText="1"/>
    </xf>
    <xf numFmtId="0" fontId="30" fillId="9" borderId="3" xfId="0" applyFont="1" applyFill="1" applyBorder="1"/>
    <xf numFmtId="2" fontId="21" fillId="9" borderId="3" xfId="0" applyNumberFormat="1" applyFont="1" applyFill="1" applyBorder="1"/>
    <xf numFmtId="44" fontId="18" fillId="9" borderId="3" xfId="1" applyFont="1" applyFill="1" applyBorder="1"/>
    <xf numFmtId="164" fontId="17" fillId="9" borderId="3" xfId="1" applyNumberFormat="1" applyFont="1" applyFill="1" applyBorder="1"/>
    <xf numFmtId="164" fontId="18" fillId="9" borderId="3" xfId="1" applyNumberFormat="1" applyFont="1" applyFill="1" applyBorder="1"/>
    <xf numFmtId="44" fontId="18" fillId="9" borderId="3" xfId="0" applyNumberFormat="1" applyFont="1" applyFill="1" applyBorder="1"/>
    <xf numFmtId="0" fontId="16" fillId="2" borderId="4" xfId="0" applyFont="1" applyFill="1" applyBorder="1"/>
    <xf numFmtId="0" fontId="16" fillId="2" borderId="5" xfId="0" applyFont="1" applyFill="1" applyBorder="1"/>
    <xf numFmtId="8" fontId="16" fillId="2" borderId="6" xfId="0" applyNumberFormat="1" applyFont="1" applyFill="1" applyBorder="1"/>
    <xf numFmtId="0" fontId="2" fillId="6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8" fontId="2" fillId="6" borderId="0" xfId="0" applyNumberFormat="1" applyFont="1" applyFill="1" applyAlignment="1">
      <alignment vertical="center"/>
    </xf>
    <xf numFmtId="44" fontId="0" fillId="5" borderId="0" xfId="0" applyNumberFormat="1" applyFill="1"/>
    <xf numFmtId="2" fontId="28" fillId="5" borderId="3" xfId="3" applyNumberFormat="1" applyFont="1" applyFill="1" applyBorder="1" applyAlignment="1"/>
    <xf numFmtId="2" fontId="17" fillId="5" borderId="3" xfId="3" applyNumberFormat="1" applyFont="1" applyFill="1" applyBorder="1" applyAlignment="1">
      <alignment horizontal="right"/>
    </xf>
    <xf numFmtId="164" fontId="18" fillId="9" borderId="3" xfId="0" applyNumberFormat="1" applyFont="1" applyFill="1" applyBorder="1"/>
    <xf numFmtId="0" fontId="30" fillId="9" borderId="3" xfId="0" applyFont="1" applyFill="1" applyBorder="1" applyAlignment="1">
      <alignment horizontal="left" wrapText="1"/>
    </xf>
    <xf numFmtId="0" fontId="7" fillId="0" borderId="11" xfId="0" applyFont="1" applyBorder="1"/>
    <xf numFmtId="0" fontId="7" fillId="0" borderId="2" xfId="0" applyFont="1" applyBorder="1"/>
    <xf numFmtId="0" fontId="7" fillId="0" borderId="12" xfId="0" applyFont="1" applyBorder="1"/>
    <xf numFmtId="0" fontId="7" fillId="0" borderId="9" xfId="0" applyFont="1" applyBorder="1"/>
    <xf numFmtId="6" fontId="7" fillId="0" borderId="10" xfId="0" applyNumberFormat="1" applyFont="1" applyBorder="1"/>
    <xf numFmtId="6" fontId="7" fillId="5" borderId="10" xfId="0" applyNumberFormat="1" applyFont="1" applyFill="1" applyBorder="1"/>
    <xf numFmtId="2" fontId="37" fillId="0" borderId="9" xfId="0" applyNumberFormat="1" applyFont="1" applyBorder="1" applyAlignment="1">
      <alignment vertical="center"/>
    </xf>
    <xf numFmtId="0" fontId="7" fillId="4" borderId="9" xfId="0" applyFont="1" applyFill="1" applyBorder="1"/>
    <xf numFmtId="0" fontId="7" fillId="4" borderId="0" xfId="0" applyFont="1" applyFill="1"/>
    <xf numFmtId="6" fontId="8" fillId="4" borderId="10" xfId="0" applyNumberFormat="1" applyFont="1" applyFill="1" applyBorder="1"/>
    <xf numFmtId="16" fontId="7" fillId="0" borderId="0" xfId="0" applyNumberFormat="1" applyFont="1"/>
    <xf numFmtId="44" fontId="8" fillId="4" borderId="10" xfId="0" applyNumberFormat="1" applyFont="1" applyFill="1" applyBorder="1"/>
    <xf numFmtId="44" fontId="7" fillId="0" borderId="10" xfId="1" applyFont="1" applyBorder="1"/>
    <xf numFmtId="44" fontId="8" fillId="4" borderId="10" xfId="1" applyFont="1" applyFill="1" applyBorder="1"/>
    <xf numFmtId="44" fontId="8" fillId="5" borderId="10" xfId="1" applyFont="1" applyFill="1" applyBorder="1"/>
    <xf numFmtId="0" fontId="7" fillId="5" borderId="11" xfId="0" applyFont="1" applyFill="1" applyBorder="1"/>
    <xf numFmtId="0" fontId="7" fillId="5" borderId="2" xfId="0" applyFont="1" applyFill="1" applyBorder="1"/>
    <xf numFmtId="44" fontId="7" fillId="5" borderId="12" xfId="1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44" fontId="2" fillId="0" borderId="0" xfId="1" applyFont="1" applyBorder="1" applyAlignment="1">
      <alignment horizontal="center" vertical="top"/>
    </xf>
    <xf numFmtId="8" fontId="2" fillId="0" borderId="2" xfId="1" applyNumberFormat="1" applyFont="1" applyBorder="1" applyAlignment="1">
      <alignment horizontal="right"/>
    </xf>
    <xf numFmtId="0" fontId="2" fillId="7" borderId="35" xfId="0" applyFont="1" applyFill="1" applyBorder="1" applyAlignment="1">
      <alignment horizontal="left" vertical="center" wrapText="1"/>
    </xf>
    <xf numFmtId="0" fontId="2" fillId="7" borderId="34" xfId="0" applyFont="1" applyFill="1" applyBorder="1" applyAlignment="1">
      <alignment horizontal="left" vertical="center"/>
    </xf>
    <xf numFmtId="0" fontId="2" fillId="7" borderId="33" xfId="0" applyFont="1" applyFill="1" applyBorder="1" applyAlignment="1">
      <alignment horizontal="left" vertical="center"/>
    </xf>
    <xf numFmtId="0" fontId="2" fillId="7" borderId="21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20" xfId="0" applyFont="1" applyFill="1" applyBorder="1" applyAlignment="1">
      <alignment horizontal="left" vertical="center"/>
    </xf>
    <xf numFmtId="0" fontId="2" fillId="7" borderId="15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43" fontId="36" fillId="9" borderId="35" xfId="0" applyNumberFormat="1" applyFont="1" applyFill="1" applyBorder="1" applyAlignment="1">
      <alignment horizontal="left" vertical="center" wrapText="1"/>
    </xf>
    <xf numFmtId="43" fontId="36" fillId="9" borderId="34" xfId="0" applyNumberFormat="1" applyFont="1" applyFill="1" applyBorder="1" applyAlignment="1">
      <alignment horizontal="left" vertical="center" wrapText="1"/>
    </xf>
    <xf numFmtId="43" fontId="36" fillId="9" borderId="33" xfId="0" applyNumberFormat="1" applyFont="1" applyFill="1" applyBorder="1" applyAlignment="1">
      <alignment horizontal="left" vertical="center" wrapText="1"/>
    </xf>
    <xf numFmtId="43" fontId="36" fillId="9" borderId="21" xfId="0" applyNumberFormat="1" applyFont="1" applyFill="1" applyBorder="1" applyAlignment="1">
      <alignment horizontal="left" vertical="center" wrapText="1"/>
    </xf>
    <xf numFmtId="43" fontId="36" fillId="9" borderId="0" xfId="0" applyNumberFormat="1" applyFont="1" applyFill="1" applyAlignment="1">
      <alignment horizontal="left" vertical="center" wrapText="1"/>
    </xf>
    <xf numFmtId="43" fontId="36" fillId="9" borderId="20" xfId="0" applyNumberFormat="1" applyFont="1" applyFill="1" applyBorder="1" applyAlignment="1">
      <alignment horizontal="left" vertical="center" wrapText="1"/>
    </xf>
    <xf numFmtId="43" fontId="36" fillId="9" borderId="15" xfId="0" applyNumberFormat="1" applyFont="1" applyFill="1" applyBorder="1" applyAlignment="1">
      <alignment horizontal="left" vertical="center" wrapText="1"/>
    </xf>
    <xf numFmtId="43" fontId="36" fillId="9" borderId="14" xfId="0" applyNumberFormat="1" applyFont="1" applyFill="1" applyBorder="1" applyAlignment="1">
      <alignment horizontal="left" vertical="center" wrapText="1"/>
    </xf>
    <xf numFmtId="43" fontId="36" fillId="9" borderId="13" xfId="0" applyNumberFormat="1" applyFont="1" applyFill="1" applyBorder="1" applyAlignment="1">
      <alignment horizontal="left" vertical="center" wrapText="1"/>
    </xf>
    <xf numFmtId="43" fontId="13" fillId="11" borderId="35" xfId="0" applyNumberFormat="1" applyFont="1" applyFill="1" applyBorder="1" applyAlignment="1">
      <alignment horizontal="left" vertical="center" wrapText="1"/>
    </xf>
    <xf numFmtId="43" fontId="13" fillId="11" borderId="34" xfId="0" applyNumberFormat="1" applyFont="1" applyFill="1" applyBorder="1" applyAlignment="1">
      <alignment horizontal="left" vertical="center" wrapText="1"/>
    </xf>
    <xf numFmtId="43" fontId="13" fillId="11" borderId="33" xfId="0" applyNumberFormat="1" applyFont="1" applyFill="1" applyBorder="1" applyAlignment="1">
      <alignment horizontal="left" vertical="center" wrapText="1"/>
    </xf>
    <xf numFmtId="43" fontId="13" fillId="11" borderId="21" xfId="0" applyNumberFormat="1" applyFont="1" applyFill="1" applyBorder="1" applyAlignment="1">
      <alignment horizontal="left" vertical="center" wrapText="1"/>
    </xf>
    <xf numFmtId="43" fontId="13" fillId="11" borderId="0" xfId="0" applyNumberFormat="1" applyFont="1" applyFill="1" applyAlignment="1">
      <alignment horizontal="left" vertical="center" wrapText="1"/>
    </xf>
    <xf numFmtId="43" fontId="13" fillId="11" borderId="20" xfId="0" applyNumberFormat="1" applyFont="1" applyFill="1" applyBorder="1" applyAlignment="1">
      <alignment horizontal="left" vertical="center" wrapText="1"/>
    </xf>
    <xf numFmtId="43" fontId="13" fillId="11" borderId="15" xfId="0" applyNumberFormat="1" applyFont="1" applyFill="1" applyBorder="1" applyAlignment="1">
      <alignment horizontal="left" vertical="center" wrapText="1"/>
    </xf>
    <xf numFmtId="43" fontId="13" fillId="11" borderId="14" xfId="0" applyNumberFormat="1" applyFont="1" applyFill="1" applyBorder="1" applyAlignment="1">
      <alignment horizontal="left" vertical="center" wrapText="1"/>
    </xf>
    <xf numFmtId="43" fontId="13" fillId="11" borderId="13" xfId="0" applyNumberFormat="1" applyFont="1" applyFill="1" applyBorder="1" applyAlignment="1">
      <alignment horizontal="left" vertical="center" wrapText="1"/>
    </xf>
    <xf numFmtId="1" fontId="26" fillId="8" borderId="35" xfId="7" applyFont="1" applyFill="1" applyBorder="1" applyAlignment="1">
      <alignment horizontal="center" wrapText="1"/>
    </xf>
    <xf numFmtId="1" fontId="26" fillId="8" borderId="34" xfId="7" applyFont="1" applyFill="1" applyBorder="1" applyAlignment="1">
      <alignment horizontal="center" wrapText="1"/>
    </xf>
    <xf numFmtId="1" fontId="26" fillId="8" borderId="33" xfId="7" applyFont="1" applyFill="1" applyBorder="1" applyAlignment="1">
      <alignment horizontal="center" wrapText="1"/>
    </xf>
    <xf numFmtId="1" fontId="26" fillId="8" borderId="31" xfId="7" applyFont="1" applyFill="1" applyBorder="1" applyAlignment="1">
      <alignment horizontal="center"/>
    </xf>
    <xf numFmtId="1" fontId="26" fillId="8" borderId="30" xfId="7" applyFont="1" applyFill="1" applyBorder="1" applyAlignment="1">
      <alignment horizontal="center"/>
    </xf>
    <xf numFmtId="1" fontId="26" fillId="8" borderId="29" xfId="7" applyFont="1" applyFill="1" applyBorder="1" applyAlignment="1">
      <alignment horizontal="center"/>
    </xf>
    <xf numFmtId="1" fontId="25" fillId="8" borderId="31" xfId="7" applyFont="1" applyFill="1" applyBorder="1" applyAlignment="1">
      <alignment horizontal="center"/>
    </xf>
    <xf numFmtId="1" fontId="25" fillId="8" borderId="30" xfId="7" applyFont="1" applyFill="1" applyBorder="1" applyAlignment="1">
      <alignment horizontal="center"/>
    </xf>
    <xf numFmtId="1" fontId="25" fillId="8" borderId="29" xfId="7" applyFont="1" applyFill="1" applyBorder="1" applyAlignment="1">
      <alignment horizontal="center"/>
    </xf>
    <xf numFmtId="44" fontId="34" fillId="5" borderId="10" xfId="1" applyFont="1" applyFill="1" applyBorder="1"/>
  </cellXfs>
  <cellStyles count="8">
    <cellStyle name="Hipervínculo" xfId="2" builtinId="8"/>
    <cellStyle name="Millares" xfId="3" builtinId="3"/>
    <cellStyle name="Moneda" xfId="1" builtinId="4"/>
    <cellStyle name="Moneda 2" xfId="6" xr:uid="{00000000-0005-0000-0000-000003000000}"/>
    <cellStyle name="Normal" xfId="0" builtinId="0"/>
    <cellStyle name="Normal 2" xfId="4" xr:uid="{00000000-0005-0000-0000-000005000000}"/>
    <cellStyle name="Normal 3" xfId="7" xr:uid="{00000000-0005-0000-0000-000006000000}"/>
    <cellStyle name="Porcentaje 2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168275</xdr:rowOff>
    </xdr:from>
    <xdr:to>
      <xdr:col>2</xdr:col>
      <xdr:colOff>733425</xdr:colOff>
      <xdr:row>7</xdr:row>
      <xdr:rowOff>177800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275"/>
          <a:ext cx="2325158" cy="112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4"/>
  <sheetViews>
    <sheetView tabSelected="1" topLeftCell="A7" zoomScale="90" zoomScaleNormal="90" workbookViewId="0">
      <selection activeCell="H27" sqref="H27"/>
    </sheetView>
  </sheetViews>
  <sheetFormatPr baseColWidth="10" defaultRowHeight="14.4" x14ac:dyDescent="0.3"/>
  <cols>
    <col min="3" max="3" width="11.88671875" bestFit="1" customWidth="1"/>
    <col min="8" max="8" width="19.5546875" bestFit="1" customWidth="1"/>
    <col min="9" max="10" width="13.88671875" bestFit="1" customWidth="1"/>
  </cols>
  <sheetData>
    <row r="2" spans="1:10" x14ac:dyDescent="0.3">
      <c r="A2" s="2"/>
      <c r="B2" s="1"/>
      <c r="C2" s="1"/>
      <c r="D2" s="9" t="s">
        <v>0</v>
      </c>
      <c r="E2" t="s">
        <v>97</v>
      </c>
      <c r="G2" s="1"/>
      <c r="H2" s="3"/>
    </row>
    <row r="3" spans="1:10" x14ac:dyDescent="0.3">
      <c r="A3" s="4"/>
      <c r="D3" s="9" t="s">
        <v>1</v>
      </c>
      <c r="E3" s="199">
        <v>1153202676</v>
      </c>
      <c r="F3" s="199"/>
      <c r="H3" s="5"/>
    </row>
    <row r="4" spans="1:10" x14ac:dyDescent="0.3">
      <c r="A4" s="4"/>
      <c r="D4" s="9" t="s">
        <v>2</v>
      </c>
      <c r="E4" s="13" t="s">
        <v>98</v>
      </c>
      <c r="H4" s="5"/>
    </row>
    <row r="5" spans="1:10" x14ac:dyDescent="0.3">
      <c r="A5" s="4"/>
      <c r="D5" t="s">
        <v>17</v>
      </c>
      <c r="H5" s="5"/>
      <c r="J5" s="152"/>
    </row>
    <row r="6" spans="1:10" x14ac:dyDescent="0.3">
      <c r="A6" s="4"/>
      <c r="D6" s="200" t="s">
        <v>143</v>
      </c>
      <c r="E6" s="200"/>
      <c r="F6" s="200"/>
      <c r="G6" s="200"/>
      <c r="H6" s="201"/>
    </row>
    <row r="7" spans="1:10" x14ac:dyDescent="0.3">
      <c r="A7" s="4"/>
      <c r="D7" s="200"/>
      <c r="E7" s="200"/>
      <c r="F7" s="200"/>
      <c r="G7" s="200"/>
      <c r="H7" s="201"/>
    </row>
    <row r="8" spans="1:10" ht="22.95" customHeight="1" x14ac:dyDescent="0.3">
      <c r="A8" s="4"/>
      <c r="D8" s="200"/>
      <c r="E8" s="200"/>
      <c r="F8" s="200"/>
      <c r="G8" s="200"/>
      <c r="H8" s="201"/>
    </row>
    <row r="9" spans="1:10" ht="18" x14ac:dyDescent="0.35">
      <c r="A9" s="6" t="s">
        <v>3</v>
      </c>
      <c r="B9" s="7"/>
      <c r="C9" s="7"/>
      <c r="D9" s="7"/>
      <c r="E9" s="7" t="s">
        <v>157</v>
      </c>
      <c r="F9" s="7"/>
      <c r="G9" s="8"/>
      <c r="H9" s="155" t="s">
        <v>156</v>
      </c>
    </row>
    <row r="10" spans="1:10" x14ac:dyDescent="0.3">
      <c r="A10" s="2"/>
      <c r="B10" s="1"/>
      <c r="C10" s="1"/>
      <c r="D10" s="1"/>
      <c r="E10" s="1"/>
      <c r="F10" s="1"/>
      <c r="G10" s="1"/>
      <c r="H10" s="3"/>
    </row>
    <row r="11" spans="1:10" hidden="1" x14ac:dyDescent="0.3">
      <c r="A11" s="4"/>
      <c r="H11" s="5"/>
    </row>
    <row r="12" spans="1:10" hidden="1" x14ac:dyDescent="0.3">
      <c r="A12" s="4" t="s">
        <v>4</v>
      </c>
      <c r="B12" t="s">
        <v>43</v>
      </c>
      <c r="H12" s="5"/>
    </row>
    <row r="13" spans="1:10" x14ac:dyDescent="0.3">
      <c r="A13" s="181"/>
      <c r="B13" s="182"/>
      <c r="C13" s="182"/>
      <c r="D13" s="182"/>
      <c r="E13" s="182"/>
      <c r="F13" s="182"/>
      <c r="G13" s="182"/>
      <c r="H13" s="183"/>
    </row>
    <row r="14" spans="1:10" x14ac:dyDescent="0.3">
      <c r="A14" s="213" t="s">
        <v>11</v>
      </c>
      <c r="B14" s="213"/>
      <c r="C14" s="213"/>
      <c r="D14" s="213"/>
      <c r="E14" s="213"/>
      <c r="F14" s="213"/>
      <c r="G14" s="213"/>
      <c r="H14" s="213"/>
    </row>
    <row r="15" spans="1:10" x14ac:dyDescent="0.3">
      <c r="A15" s="184"/>
      <c r="B15" s="14"/>
      <c r="C15" s="14"/>
      <c r="D15" s="14"/>
      <c r="E15" s="14"/>
      <c r="F15" s="14"/>
      <c r="G15" s="14"/>
      <c r="H15" s="185"/>
    </row>
    <row r="16" spans="1:10" x14ac:dyDescent="0.3">
      <c r="A16" s="184" t="s">
        <v>46</v>
      </c>
      <c r="B16" s="14" t="s">
        <v>127</v>
      </c>
      <c r="C16" s="14"/>
      <c r="D16" s="14"/>
      <c r="E16" s="14"/>
      <c r="F16" s="14"/>
      <c r="G16" s="14"/>
      <c r="H16" s="186">
        <f>392270+392270*2%</f>
        <v>400115.4</v>
      </c>
    </row>
    <row r="17" spans="1:10" x14ac:dyDescent="0.3">
      <c r="A17" s="187" t="s">
        <v>158</v>
      </c>
      <c r="B17" s="14"/>
      <c r="C17" s="14"/>
      <c r="D17" s="14"/>
      <c r="E17" s="14"/>
      <c r="F17" s="14"/>
      <c r="G17" s="14"/>
      <c r="H17" s="186">
        <v>4030.28</v>
      </c>
    </row>
    <row r="18" spans="1:10" x14ac:dyDescent="0.3">
      <c r="A18" s="188" t="s">
        <v>5</v>
      </c>
      <c r="B18" s="189"/>
      <c r="C18" s="189"/>
      <c r="D18" s="189"/>
      <c r="E18" s="189"/>
      <c r="F18" s="189"/>
      <c r="G18" s="189"/>
      <c r="H18" s="190">
        <f>SUM(H15:H17)</f>
        <v>404145.68000000005</v>
      </c>
    </row>
    <row r="19" spans="1:10" ht="0.75" customHeight="1" x14ac:dyDescent="0.3">
      <c r="A19" s="181"/>
      <c r="B19" s="182"/>
      <c r="C19" s="182"/>
      <c r="D19" s="182"/>
      <c r="E19" s="182"/>
      <c r="F19" s="182"/>
      <c r="G19" s="182"/>
      <c r="H19" s="183"/>
    </row>
    <row r="20" spans="1:10" x14ac:dyDescent="0.3">
      <c r="A20" s="214" t="s">
        <v>6</v>
      </c>
      <c r="B20" s="215"/>
      <c r="C20" s="215"/>
      <c r="D20" s="215"/>
      <c r="E20" s="215"/>
      <c r="F20" s="215"/>
      <c r="G20" s="215"/>
      <c r="H20" s="216"/>
    </row>
    <row r="21" spans="1:10" x14ac:dyDescent="0.3">
      <c r="A21" s="184" t="s">
        <v>45</v>
      </c>
      <c r="B21" s="14"/>
      <c r="C21" s="191"/>
      <c r="D21" s="14"/>
      <c r="E21" s="14"/>
      <c r="F21" s="14"/>
      <c r="G21" s="14"/>
      <c r="H21" s="271">
        <v>18355.59</v>
      </c>
    </row>
    <row r="22" spans="1:10" x14ac:dyDescent="0.3">
      <c r="A22" s="184" t="s">
        <v>44</v>
      </c>
      <c r="B22" s="14"/>
      <c r="C22" s="191"/>
      <c r="D22" s="14"/>
      <c r="E22" s="14"/>
      <c r="F22" s="14"/>
      <c r="G22" s="14"/>
      <c r="H22" s="15">
        <v>974869.58</v>
      </c>
    </row>
    <row r="23" spans="1:10" x14ac:dyDescent="0.3">
      <c r="A23" s="188" t="s">
        <v>7</v>
      </c>
      <c r="B23" s="189"/>
      <c r="C23" s="189"/>
      <c r="D23" s="189"/>
      <c r="E23" s="189"/>
      <c r="F23" s="189"/>
      <c r="G23" s="189"/>
      <c r="H23" s="192">
        <f>SUM(H21:H22)</f>
        <v>993225.16999999993</v>
      </c>
    </row>
    <row r="24" spans="1:10" x14ac:dyDescent="0.3">
      <c r="A24" s="213" t="s">
        <v>47</v>
      </c>
      <c r="B24" s="213"/>
      <c r="C24" s="213"/>
      <c r="D24" s="213"/>
      <c r="E24" s="213"/>
      <c r="F24" s="213"/>
      <c r="G24" s="213"/>
      <c r="H24" s="213"/>
      <c r="J24" s="15"/>
    </row>
    <row r="25" spans="1:10" x14ac:dyDescent="0.3">
      <c r="A25" s="187" t="s">
        <v>148</v>
      </c>
      <c r="B25" s="14"/>
      <c r="C25" s="191"/>
      <c r="D25" s="14"/>
      <c r="E25" s="14"/>
      <c r="F25" s="14"/>
      <c r="G25" s="14"/>
      <c r="H25" s="15">
        <v>48099.519999999997</v>
      </c>
      <c r="I25" s="10"/>
      <c r="J25" s="10"/>
    </row>
    <row r="26" spans="1:10" x14ac:dyDescent="0.3">
      <c r="A26" s="187" t="s">
        <v>160</v>
      </c>
      <c r="B26" s="14"/>
      <c r="C26" s="191"/>
      <c r="D26" s="14"/>
      <c r="E26" s="14"/>
      <c r="F26" s="14"/>
      <c r="G26" s="14"/>
      <c r="H26" s="271">
        <v>32650</v>
      </c>
      <c r="I26" s="10"/>
      <c r="J26" s="10"/>
    </row>
    <row r="27" spans="1:10" x14ac:dyDescent="0.3">
      <c r="A27" s="187" t="s">
        <v>160</v>
      </c>
      <c r="B27" s="14"/>
      <c r="C27" s="191"/>
      <c r="D27" s="14"/>
      <c r="E27" s="14"/>
      <c r="F27" s="14"/>
      <c r="G27" s="14"/>
      <c r="H27" s="271">
        <v>65450</v>
      </c>
      <c r="I27" s="10"/>
      <c r="J27" s="10"/>
    </row>
    <row r="28" spans="1:10" ht="17.25" customHeight="1" x14ac:dyDescent="0.3">
      <c r="A28" s="187" t="s">
        <v>128</v>
      </c>
      <c r="B28" s="14"/>
      <c r="C28" s="14"/>
      <c r="D28" s="14"/>
      <c r="E28" s="14"/>
      <c r="F28" s="14"/>
      <c r="G28" s="14"/>
      <c r="H28" s="271">
        <v>80000</v>
      </c>
    </row>
    <row r="29" spans="1:10" x14ac:dyDescent="0.3">
      <c r="A29" s="188" t="s">
        <v>8</v>
      </c>
      <c r="B29" s="189"/>
      <c r="C29" s="189"/>
      <c r="D29" s="189"/>
      <c r="E29" s="189"/>
      <c r="F29" s="189"/>
      <c r="G29" s="189"/>
      <c r="H29" s="192">
        <f>SUM(H25:H28)</f>
        <v>226199.52</v>
      </c>
    </row>
    <row r="30" spans="1:10" x14ac:dyDescent="0.3">
      <c r="A30" s="214" t="s">
        <v>48</v>
      </c>
      <c r="B30" s="215"/>
      <c r="C30" s="215"/>
      <c r="D30" s="215"/>
      <c r="E30" s="215"/>
      <c r="F30" s="215"/>
      <c r="G30" s="215"/>
      <c r="H30" s="216"/>
    </row>
    <row r="31" spans="1:10" x14ac:dyDescent="0.3">
      <c r="A31" s="184" t="s">
        <v>9</v>
      </c>
      <c r="B31" s="14"/>
      <c r="C31" s="14" t="s">
        <v>10</v>
      </c>
      <c r="D31" s="14"/>
      <c r="E31" s="14"/>
      <c r="F31" s="14"/>
      <c r="G31" s="14"/>
      <c r="H31" s="193">
        <v>97600</v>
      </c>
      <c r="I31" s="28"/>
    </row>
    <row r="32" spans="1:10" x14ac:dyDescent="0.3">
      <c r="A32" s="184"/>
      <c r="B32" s="14"/>
      <c r="C32" s="14"/>
      <c r="D32" s="14"/>
      <c r="E32" s="14"/>
      <c r="F32" s="14"/>
      <c r="G32" s="14"/>
      <c r="H32" s="193">
        <v>0</v>
      </c>
      <c r="I32" s="28"/>
    </row>
    <row r="33" spans="1:14" x14ac:dyDescent="0.3">
      <c r="A33" s="188" t="s">
        <v>159</v>
      </c>
      <c r="B33" s="189"/>
      <c r="C33" s="189"/>
      <c r="D33" s="189"/>
      <c r="E33" s="189"/>
      <c r="F33" s="189"/>
      <c r="G33" s="189"/>
      <c r="H33" s="194">
        <f>SUM(H31:H32)</f>
        <v>97600</v>
      </c>
      <c r="I33" s="28"/>
      <c r="N33" t="s">
        <v>149</v>
      </c>
    </row>
    <row r="34" spans="1:14" x14ac:dyDescent="0.3">
      <c r="A34" s="184"/>
      <c r="B34" s="14"/>
      <c r="C34" s="14"/>
      <c r="D34" s="14"/>
      <c r="E34" s="14"/>
      <c r="F34" s="14"/>
      <c r="G34" s="14"/>
      <c r="H34" s="195"/>
    </row>
    <row r="35" spans="1:14" x14ac:dyDescent="0.3">
      <c r="A35" s="214" t="s">
        <v>144</v>
      </c>
      <c r="B35" s="215"/>
      <c r="C35" s="215"/>
      <c r="D35" s="215"/>
      <c r="E35" s="215"/>
      <c r="F35" s="215"/>
      <c r="G35" s="215"/>
      <c r="H35" s="216"/>
    </row>
    <row r="36" spans="1:14" x14ac:dyDescent="0.3">
      <c r="A36" s="196" t="s">
        <v>145</v>
      </c>
      <c r="B36" s="197"/>
      <c r="C36" s="197"/>
      <c r="D36" s="197"/>
      <c r="E36" s="197"/>
      <c r="F36" s="197"/>
      <c r="G36" s="197"/>
      <c r="H36" s="198">
        <v>14622.12</v>
      </c>
      <c r="J36" s="11"/>
    </row>
    <row r="37" spans="1:14" s="12" customFormat="1" ht="15.6" x14ac:dyDescent="0.3">
      <c r="A37" s="170" t="s">
        <v>15</v>
      </c>
      <c r="B37" s="171"/>
      <c r="C37" s="171"/>
      <c r="D37" s="171"/>
      <c r="E37" s="171"/>
      <c r="F37" s="171"/>
      <c r="G37" s="171"/>
      <c r="H37" s="172">
        <f>H18+H23+H29+H33+H36</f>
        <v>1735792.4900000002</v>
      </c>
    </row>
    <row r="38" spans="1:14" s="10" customFormat="1" ht="18" x14ac:dyDescent="0.3">
      <c r="A38" s="173" t="s">
        <v>154</v>
      </c>
      <c r="B38" s="174"/>
      <c r="C38" s="174"/>
      <c r="D38" s="174"/>
      <c r="E38" s="174"/>
      <c r="F38" s="174"/>
      <c r="G38" s="174"/>
      <c r="H38" s="175"/>
    </row>
    <row r="39" spans="1:14" ht="15" customHeight="1" x14ac:dyDescent="0.3">
      <c r="A39" s="204" t="s">
        <v>12</v>
      </c>
      <c r="B39" s="205"/>
      <c r="C39" s="205"/>
      <c r="D39" s="205"/>
      <c r="E39" s="205"/>
      <c r="F39" s="205"/>
      <c r="G39" s="205"/>
      <c r="H39" s="206"/>
      <c r="I39" s="134"/>
      <c r="K39" s="134"/>
    </row>
    <row r="40" spans="1:14" ht="18" customHeight="1" x14ac:dyDescent="0.3">
      <c r="A40" s="207"/>
      <c r="B40" s="208"/>
      <c r="C40" s="208"/>
      <c r="D40" s="208"/>
      <c r="E40" s="208"/>
      <c r="F40" s="208"/>
      <c r="G40" s="208"/>
      <c r="H40" s="209"/>
    </row>
    <row r="41" spans="1:14" ht="15.75" customHeight="1" x14ac:dyDescent="0.3">
      <c r="A41" s="217"/>
      <c r="B41" s="218"/>
      <c r="C41" s="218"/>
      <c r="D41" s="218"/>
      <c r="E41" s="218"/>
      <c r="F41" s="218"/>
      <c r="G41" s="219"/>
      <c r="H41" s="19"/>
    </row>
    <row r="42" spans="1:14" s="10" customFormat="1" ht="14.25" customHeight="1" x14ac:dyDescent="0.3">
      <c r="A42" s="220" t="s">
        <v>16</v>
      </c>
      <c r="B42" s="221"/>
      <c r="C42" s="221"/>
      <c r="D42" s="221"/>
      <c r="E42" s="221"/>
      <c r="F42" s="221"/>
      <c r="G42" s="222"/>
      <c r="H42" s="20">
        <f>SUM(H41:H41)</f>
        <v>0</v>
      </c>
    </row>
    <row r="43" spans="1:14" s="10" customFormat="1" ht="14.25" customHeight="1" x14ac:dyDescent="0.3">
      <c r="A43" s="150"/>
      <c r="B43" s="150"/>
      <c r="C43" s="150"/>
      <c r="D43" s="150"/>
      <c r="E43" s="150"/>
      <c r="F43" s="150"/>
      <c r="G43" s="150"/>
      <c r="H43" s="151"/>
    </row>
    <row r="44" spans="1:14" ht="15" customHeight="1" x14ac:dyDescent="0.3">
      <c r="H44" s="14"/>
      <c r="J44" s="11"/>
    </row>
    <row r="45" spans="1:14" ht="54.75" customHeight="1" x14ac:dyDescent="0.3">
      <c r="A45" s="202" t="s">
        <v>129</v>
      </c>
      <c r="B45" s="202"/>
      <c r="C45" s="202"/>
      <c r="D45" s="202"/>
      <c r="E45" s="202"/>
      <c r="F45" s="202"/>
      <c r="G45" s="202"/>
      <c r="H45" s="18">
        <f>+H37+H38</f>
        <v>1735792.4900000002</v>
      </c>
      <c r="J45" s="134"/>
    </row>
    <row r="46" spans="1:14" x14ac:dyDescent="0.3">
      <c r="A46" s="14"/>
      <c r="B46" s="14"/>
      <c r="C46" s="14"/>
      <c r="D46" s="14"/>
      <c r="E46" s="14"/>
      <c r="F46" s="14"/>
      <c r="G46" s="14"/>
      <c r="H46" s="14"/>
    </row>
    <row r="47" spans="1:14" ht="15.6" x14ac:dyDescent="0.3">
      <c r="A47" s="16" t="s">
        <v>138</v>
      </c>
      <c r="B47" s="17"/>
      <c r="C47" s="17"/>
      <c r="D47" s="17"/>
      <c r="E47" s="17"/>
      <c r="F47" s="17"/>
      <c r="G47" s="17"/>
      <c r="H47" s="21">
        <f>H42</f>
        <v>0</v>
      </c>
    </row>
    <row r="48" spans="1:14" x14ac:dyDescent="0.3">
      <c r="A48" s="14"/>
      <c r="B48" s="14"/>
      <c r="C48" s="14"/>
      <c r="D48" s="14"/>
      <c r="E48" s="14"/>
      <c r="F48" s="14"/>
      <c r="G48" s="14"/>
      <c r="H48" s="14"/>
    </row>
    <row r="49" spans="1:10" ht="18" hidden="1" x14ac:dyDescent="0.35">
      <c r="A49" s="210" t="s">
        <v>13</v>
      </c>
      <c r="B49" s="211"/>
      <c r="C49" s="211"/>
      <c r="D49" s="211"/>
      <c r="E49" s="211"/>
      <c r="F49" s="211"/>
      <c r="G49" s="211"/>
      <c r="H49" s="212"/>
    </row>
    <row r="50" spans="1:10" ht="39" customHeight="1" x14ac:dyDescent="0.35">
      <c r="A50" s="203" t="s">
        <v>135</v>
      </c>
      <c r="B50" s="203"/>
      <c r="C50" s="203"/>
      <c r="D50" s="203"/>
      <c r="E50" s="203"/>
      <c r="F50" s="203"/>
      <c r="G50" s="203"/>
      <c r="H50" s="27">
        <v>1842211.5713207321</v>
      </c>
    </row>
    <row r="51" spans="1:10" x14ac:dyDescent="0.3">
      <c r="A51" s="22" t="s">
        <v>133</v>
      </c>
      <c r="B51" s="23"/>
      <c r="C51" s="23"/>
      <c r="D51" s="23"/>
      <c r="E51" s="23"/>
      <c r="F51" s="23"/>
      <c r="G51" s="23"/>
      <c r="H51" s="29">
        <f>Planilla!H31</f>
        <v>1360767.85</v>
      </c>
    </row>
    <row r="52" spans="1:10" x14ac:dyDescent="0.3">
      <c r="A52" s="22" t="s">
        <v>150</v>
      </c>
      <c r="B52" s="23"/>
      <c r="C52" s="23"/>
      <c r="D52" s="23"/>
      <c r="E52" s="23"/>
      <c r="F52" s="23"/>
      <c r="G52" s="23"/>
      <c r="H52" s="160"/>
    </row>
    <row r="53" spans="1:10" x14ac:dyDescent="0.3">
      <c r="A53" s="22" t="s">
        <v>134</v>
      </c>
      <c r="B53" s="23"/>
      <c r="C53" s="23"/>
      <c r="D53" s="23"/>
      <c r="E53" s="23"/>
      <c r="F53" s="23"/>
      <c r="G53" s="23"/>
      <c r="H53" s="24">
        <f>-(H37+H42)</f>
        <v>-1735792.4900000002</v>
      </c>
      <c r="J53" s="11"/>
    </row>
    <row r="54" spans="1:10" ht="18" x14ac:dyDescent="0.35">
      <c r="A54" s="25" t="s">
        <v>14</v>
      </c>
      <c r="B54" s="26"/>
      <c r="C54" s="26"/>
      <c r="D54" s="26"/>
      <c r="E54" s="26"/>
      <c r="F54" s="26"/>
      <c r="G54" s="26"/>
      <c r="H54" s="30">
        <f>SUM(H50:H53)</f>
        <v>1467186.931320732</v>
      </c>
    </row>
  </sheetData>
  <mergeCells count="13">
    <mergeCell ref="E3:F3"/>
    <mergeCell ref="D6:H8"/>
    <mergeCell ref="A45:G45"/>
    <mergeCell ref="A50:G50"/>
    <mergeCell ref="A39:H40"/>
    <mergeCell ref="A49:H49"/>
    <mergeCell ref="A14:H14"/>
    <mergeCell ref="A20:H20"/>
    <mergeCell ref="A24:H24"/>
    <mergeCell ref="A30:H30"/>
    <mergeCell ref="A35:H35"/>
    <mergeCell ref="A41:G41"/>
    <mergeCell ref="A42:G42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8"/>
  <sheetViews>
    <sheetView topLeftCell="C1" zoomScaleNormal="100" workbookViewId="0">
      <selection activeCell="C9" sqref="C9:D9"/>
    </sheetView>
  </sheetViews>
  <sheetFormatPr baseColWidth="10" defaultRowHeight="14.4" x14ac:dyDescent="0.3"/>
  <cols>
    <col min="1" max="1" width="5.44140625" style="31" hidden="1" customWidth="1"/>
    <col min="2" max="2" width="11.33203125" hidden="1" customWidth="1"/>
    <col min="3" max="3" width="12.109375" customWidth="1"/>
    <col min="4" max="4" width="22.109375" customWidth="1"/>
    <col min="5" max="5" width="12.33203125" customWidth="1"/>
    <col min="6" max="6" width="6.33203125" style="33" customWidth="1"/>
    <col min="7" max="7" width="13.33203125" style="32" customWidth="1"/>
    <col min="8" max="8" width="14.6640625" style="32" customWidth="1"/>
    <col min="9" max="9" width="11.109375" style="32" customWidth="1"/>
    <col min="10" max="10" width="10.33203125" customWidth="1"/>
    <col min="11" max="11" width="12.88671875" customWidth="1"/>
    <col min="12" max="12" width="13.88671875" customWidth="1"/>
    <col min="13" max="13" width="14.6640625" customWidth="1"/>
    <col min="14" max="14" width="11.88671875" customWidth="1"/>
    <col min="15" max="15" width="13.33203125" customWidth="1"/>
    <col min="16" max="16" width="14" customWidth="1"/>
    <col min="17" max="17" width="12" hidden="1" customWidth="1"/>
  </cols>
  <sheetData>
    <row r="1" spans="1:17" ht="26.25" customHeight="1" thickBot="1" x14ac:dyDescent="0.35">
      <c r="A1" s="224" t="str">
        <f>Gastos!E9</f>
        <v xml:space="preserve">PERIODO: MARZO 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6"/>
    </row>
    <row r="2" spans="1:17" x14ac:dyDescent="0.3">
      <c r="A2" s="64"/>
      <c r="C2" s="147">
        <v>1667498.4700000002</v>
      </c>
      <c r="F2" s="244" t="s">
        <v>152</v>
      </c>
      <c r="G2" s="245"/>
      <c r="H2" s="245"/>
      <c r="I2" s="246"/>
      <c r="J2" s="234" t="s">
        <v>147</v>
      </c>
      <c r="K2" s="235"/>
      <c r="L2" s="235"/>
      <c r="M2" s="235"/>
      <c r="N2" s="235"/>
      <c r="O2" s="235"/>
      <c r="P2" s="236"/>
    </row>
    <row r="3" spans="1:17" x14ac:dyDescent="0.3">
      <c r="A3" s="61"/>
      <c r="D3" s="147">
        <v>974869.58</v>
      </c>
      <c r="F3" s="247"/>
      <c r="G3" s="248"/>
      <c r="H3" s="248"/>
      <c r="I3" s="249"/>
      <c r="J3" s="237"/>
      <c r="K3" s="238"/>
      <c r="L3" s="238"/>
      <c r="M3" s="238"/>
      <c r="N3" s="238"/>
      <c r="O3" s="238"/>
      <c r="P3" s="239"/>
    </row>
    <row r="4" spans="1:17" x14ac:dyDescent="0.3">
      <c r="A4" s="61"/>
      <c r="C4" s="243" t="s">
        <v>141</v>
      </c>
      <c r="D4" s="243"/>
      <c r="F4" s="247"/>
      <c r="G4" s="248"/>
      <c r="H4" s="248"/>
      <c r="I4" s="249"/>
      <c r="J4" s="237"/>
      <c r="K4" s="238"/>
      <c r="L4" s="238"/>
      <c r="M4" s="238"/>
      <c r="N4" s="238"/>
      <c r="O4" s="238"/>
      <c r="P4" s="239"/>
    </row>
    <row r="5" spans="1:17" ht="15" thickBot="1" x14ac:dyDescent="0.35">
      <c r="A5" s="61"/>
      <c r="B5" s="63"/>
      <c r="C5" s="232">
        <f>D3</f>
        <v>974869.58</v>
      </c>
      <c r="D5" s="232"/>
      <c r="E5" s="9"/>
      <c r="F5" s="250"/>
      <c r="G5" s="251"/>
      <c r="H5" s="251"/>
      <c r="I5" s="252"/>
      <c r="J5" s="237"/>
      <c r="K5" s="238"/>
      <c r="L5" s="238"/>
      <c r="M5" s="238"/>
      <c r="N5" s="238"/>
      <c r="O5" s="238"/>
      <c r="P5" s="239"/>
    </row>
    <row r="6" spans="1:17" x14ac:dyDescent="0.3">
      <c r="A6" s="61"/>
      <c r="C6" s="9" t="s">
        <v>140</v>
      </c>
      <c r="D6" s="9"/>
      <c r="E6" s="9"/>
      <c r="F6" s="253" t="s">
        <v>155</v>
      </c>
      <c r="G6" s="254"/>
      <c r="H6" s="254"/>
      <c r="I6" s="255"/>
      <c r="J6" s="237"/>
      <c r="K6" s="238"/>
      <c r="L6" s="238"/>
      <c r="M6" s="238"/>
      <c r="N6" s="238"/>
      <c r="O6" s="238"/>
      <c r="P6" s="239"/>
    </row>
    <row r="7" spans="1:17" x14ac:dyDescent="0.3">
      <c r="A7" s="61"/>
      <c r="B7" s="60"/>
      <c r="C7" s="232">
        <f>C2-D3</f>
        <v>692628.89000000025</v>
      </c>
      <c r="D7" s="232"/>
      <c r="E7" s="62"/>
      <c r="F7" s="256"/>
      <c r="G7" s="257"/>
      <c r="H7" s="257"/>
      <c r="I7" s="258"/>
      <c r="J7" s="237"/>
      <c r="K7" s="238"/>
      <c r="L7" s="238"/>
      <c r="M7" s="238"/>
      <c r="N7" s="238"/>
      <c r="O7" s="238"/>
      <c r="P7" s="239"/>
    </row>
    <row r="8" spans="1:17" x14ac:dyDescent="0.3">
      <c r="A8" s="61"/>
      <c r="B8" s="60"/>
      <c r="C8" s="60" t="s">
        <v>30</v>
      </c>
      <c r="D8" s="60"/>
      <c r="E8" s="60"/>
      <c r="F8" s="256"/>
      <c r="G8" s="257"/>
      <c r="H8" s="257"/>
      <c r="I8" s="258"/>
      <c r="J8" s="237"/>
      <c r="K8" s="238"/>
      <c r="L8" s="238"/>
      <c r="M8" s="238"/>
      <c r="N8" s="238"/>
      <c r="O8" s="238"/>
      <c r="P8" s="239"/>
    </row>
    <row r="9" spans="1:17" ht="19.5" customHeight="1" thickBot="1" x14ac:dyDescent="0.35">
      <c r="A9" s="59"/>
      <c r="B9" s="58"/>
      <c r="C9" s="233">
        <v>0</v>
      </c>
      <c r="D9" s="233"/>
      <c r="E9" s="57"/>
      <c r="F9" s="259"/>
      <c r="G9" s="260"/>
      <c r="H9" s="260"/>
      <c r="I9" s="261"/>
      <c r="J9" s="240"/>
      <c r="K9" s="241"/>
      <c r="L9" s="241"/>
      <c r="M9" s="241"/>
      <c r="N9" s="241"/>
      <c r="O9" s="241"/>
      <c r="P9" s="242"/>
    </row>
    <row r="10" spans="1:17" ht="44.25" customHeight="1" x14ac:dyDescent="0.3">
      <c r="A10" s="56" t="s">
        <v>29</v>
      </c>
      <c r="B10" s="52" t="s">
        <v>28</v>
      </c>
      <c r="C10" s="55" t="s">
        <v>27</v>
      </c>
      <c r="D10" s="55" t="s">
        <v>27</v>
      </c>
      <c r="E10" s="55" t="s">
        <v>26</v>
      </c>
      <c r="F10" s="54" t="s">
        <v>25</v>
      </c>
      <c r="G10" s="53" t="s">
        <v>94</v>
      </c>
      <c r="H10" s="53" t="s">
        <v>24</v>
      </c>
      <c r="I10" s="53" t="s">
        <v>22</v>
      </c>
      <c r="J10" s="52" t="s">
        <v>126</v>
      </c>
      <c r="K10" s="52" t="s">
        <v>21</v>
      </c>
      <c r="L10" s="52" t="s">
        <v>139</v>
      </c>
      <c r="M10" s="52" t="s">
        <v>20</v>
      </c>
      <c r="N10" s="52" t="s">
        <v>23</v>
      </c>
      <c r="O10" s="52" t="str">
        <f>"1ER vto - " &amp; Gastos!H9 &amp; "'"</f>
        <v>1ER vto - VTO: 17/04'</v>
      </c>
      <c r="P10" s="52" t="s">
        <v>151</v>
      </c>
    </row>
    <row r="11" spans="1:17" ht="29.25" customHeight="1" x14ac:dyDescent="0.3">
      <c r="A11" s="141" t="s">
        <v>66</v>
      </c>
      <c r="B11" s="142"/>
      <c r="C11" s="143" t="s">
        <v>31</v>
      </c>
      <c r="D11" s="144" t="s">
        <v>85</v>
      </c>
      <c r="E11" s="131"/>
      <c r="F11" s="145">
        <v>7.9</v>
      </c>
      <c r="G11" s="154">
        <v>186804.01</v>
      </c>
      <c r="H11" s="154">
        <f>G11</f>
        <v>186804.01</v>
      </c>
      <c r="I11" s="45">
        <f>G11-H11</f>
        <v>0</v>
      </c>
      <c r="J11" s="146">
        <f>(I11)*3%</f>
        <v>0</v>
      </c>
      <c r="K11" s="146">
        <f>I11+J11</f>
        <v>0</v>
      </c>
      <c r="L11" s="45">
        <f t="shared" ref="L11:L29" si="0">C$7*F11/100</f>
        <v>54717.682310000026</v>
      </c>
      <c r="M11" s="45">
        <f t="shared" ref="M11:M29" si="1">C$9*F11/100</f>
        <v>0</v>
      </c>
      <c r="N11" s="45">
        <f t="shared" ref="N11:N22" si="2">C$5*F11/100</f>
        <v>77014.696819999997</v>
      </c>
      <c r="O11" s="154">
        <f>ROUND(L11+K11+M11+N11,0) + Q11</f>
        <v>131732.01</v>
      </c>
      <c r="P11" s="153">
        <f>ROUND(O11+O11*3%,0) + Q11</f>
        <v>135684.01</v>
      </c>
      <c r="Q11" s="28">
        <v>0.01</v>
      </c>
    </row>
    <row r="12" spans="1:17" ht="21" customHeight="1" x14ac:dyDescent="0.3">
      <c r="A12" s="135" t="s">
        <v>67</v>
      </c>
      <c r="B12" s="129"/>
      <c r="C12" s="136" t="s">
        <v>32</v>
      </c>
      <c r="D12" s="137" t="s">
        <v>86</v>
      </c>
      <c r="E12" s="138"/>
      <c r="F12" s="139">
        <v>7.9</v>
      </c>
      <c r="G12" s="157">
        <v>190951.02</v>
      </c>
      <c r="H12" s="154">
        <f>G12</f>
        <v>190951.02</v>
      </c>
      <c r="I12" s="45">
        <f t="shared" ref="I12:I29" si="3">G12-H12</f>
        <v>0</v>
      </c>
      <c r="J12" s="146">
        <f t="shared" ref="J12:J29" si="4">(I12)*3%</f>
        <v>0</v>
      </c>
      <c r="K12" s="146">
        <f t="shared" ref="K12:K29" si="5">I12+J12</f>
        <v>0</v>
      </c>
      <c r="L12" s="127">
        <f t="shared" si="0"/>
        <v>54717.682310000026</v>
      </c>
      <c r="M12" s="45">
        <f t="shared" si="1"/>
        <v>0</v>
      </c>
      <c r="N12" s="45">
        <f t="shared" si="2"/>
        <v>77014.696819999997</v>
      </c>
      <c r="O12" s="154">
        <f t="shared" ref="O12:O29" si="6">ROUND(L12+K12+M12+N12,0) + Q12</f>
        <v>131732.01999999999</v>
      </c>
      <c r="P12" s="153">
        <f t="shared" ref="P12:P29" si="7">ROUND(O12+O12*3%,0) + Q12</f>
        <v>135684.01999999999</v>
      </c>
      <c r="Q12" s="28">
        <f t="shared" ref="Q12:Q29" si="8">Q11+0.01</f>
        <v>0.02</v>
      </c>
    </row>
    <row r="13" spans="1:17" ht="21" customHeight="1" x14ac:dyDescent="0.3">
      <c r="A13" s="128" t="s">
        <v>68</v>
      </c>
      <c r="B13" s="129"/>
      <c r="C13" s="162" t="s">
        <v>33</v>
      </c>
      <c r="D13" s="163" t="s">
        <v>87</v>
      </c>
      <c r="E13" s="164" t="s">
        <v>95</v>
      </c>
      <c r="F13" s="165">
        <v>7.9</v>
      </c>
      <c r="G13" s="166">
        <v>190951.03</v>
      </c>
      <c r="H13" s="166"/>
      <c r="I13" s="168">
        <f t="shared" si="3"/>
        <v>190951.03</v>
      </c>
      <c r="J13" s="179">
        <f t="shared" si="4"/>
        <v>5728.5308999999997</v>
      </c>
      <c r="K13" s="179">
        <f t="shared" si="5"/>
        <v>196679.56090000001</v>
      </c>
      <c r="L13" s="167">
        <f t="shared" si="0"/>
        <v>54717.682310000026</v>
      </c>
      <c r="M13" s="168">
        <f t="shared" si="1"/>
        <v>0</v>
      </c>
      <c r="N13" s="168">
        <f t="shared" si="2"/>
        <v>77014.696819999997</v>
      </c>
      <c r="O13" s="166">
        <f t="shared" si="6"/>
        <v>328412.03000000003</v>
      </c>
      <c r="P13" s="169">
        <f t="shared" si="7"/>
        <v>338264.03</v>
      </c>
      <c r="Q13" s="28">
        <f t="shared" si="8"/>
        <v>0.03</v>
      </c>
    </row>
    <row r="14" spans="1:17" ht="21" customHeight="1" x14ac:dyDescent="0.3">
      <c r="A14" s="80" t="s">
        <v>69</v>
      </c>
      <c r="B14" s="51"/>
      <c r="C14" s="65" t="s">
        <v>34</v>
      </c>
      <c r="D14" s="125" t="s">
        <v>88</v>
      </c>
      <c r="E14" s="82"/>
      <c r="F14" s="67">
        <v>7.9</v>
      </c>
      <c r="G14" s="158">
        <v>190951.04000000001</v>
      </c>
      <c r="H14" s="154">
        <f>G14</f>
        <v>190951.04000000001</v>
      </c>
      <c r="I14" s="45">
        <f t="shared" si="3"/>
        <v>0</v>
      </c>
      <c r="J14" s="146">
        <f t="shared" si="4"/>
        <v>0</v>
      </c>
      <c r="K14" s="146">
        <f t="shared" si="5"/>
        <v>0</v>
      </c>
      <c r="L14" s="43">
        <f t="shared" si="0"/>
        <v>54717.682310000026</v>
      </c>
      <c r="M14" s="45">
        <f t="shared" si="1"/>
        <v>0</v>
      </c>
      <c r="N14" s="45">
        <f t="shared" si="2"/>
        <v>77014.696819999997</v>
      </c>
      <c r="O14" s="154">
        <f t="shared" si="6"/>
        <v>131732.04</v>
      </c>
      <c r="P14" s="153">
        <f t="shared" si="7"/>
        <v>135684.04</v>
      </c>
      <c r="Q14" s="28">
        <f t="shared" si="8"/>
        <v>0.04</v>
      </c>
    </row>
    <row r="15" spans="1:17" ht="21" customHeight="1" x14ac:dyDescent="0.3">
      <c r="A15" s="80" t="s">
        <v>70</v>
      </c>
      <c r="B15" s="49"/>
      <c r="C15" s="66" t="s">
        <v>35</v>
      </c>
      <c r="D15" s="130" t="s">
        <v>89</v>
      </c>
      <c r="E15" s="131"/>
      <c r="F15" s="132">
        <v>7.9</v>
      </c>
      <c r="G15" s="154">
        <v>186706.05</v>
      </c>
      <c r="H15" s="154"/>
      <c r="I15" s="45">
        <f t="shared" si="3"/>
        <v>186706.05</v>
      </c>
      <c r="J15" s="146">
        <f t="shared" si="4"/>
        <v>5601.1814999999997</v>
      </c>
      <c r="K15" s="146">
        <f t="shared" si="5"/>
        <v>192307.23149999999</v>
      </c>
      <c r="L15" s="127">
        <f t="shared" si="0"/>
        <v>54717.682310000026</v>
      </c>
      <c r="M15" s="45">
        <f t="shared" si="1"/>
        <v>0</v>
      </c>
      <c r="N15" s="45">
        <f t="shared" si="2"/>
        <v>77014.696819999997</v>
      </c>
      <c r="O15" s="154">
        <f t="shared" si="6"/>
        <v>324040.05</v>
      </c>
      <c r="P15" s="153">
        <f t="shared" si="7"/>
        <v>333761.05</v>
      </c>
      <c r="Q15" s="28">
        <f t="shared" si="8"/>
        <v>0.05</v>
      </c>
    </row>
    <row r="16" spans="1:17" ht="21" customHeight="1" x14ac:dyDescent="0.3">
      <c r="A16" s="128" t="s">
        <v>71</v>
      </c>
      <c r="B16" s="129"/>
      <c r="C16" s="66" t="s">
        <v>36</v>
      </c>
      <c r="D16" s="130" t="s">
        <v>142</v>
      </c>
      <c r="E16" s="131" t="s">
        <v>146</v>
      </c>
      <c r="F16" s="132">
        <v>7.9</v>
      </c>
      <c r="G16" s="154">
        <v>190951.06</v>
      </c>
      <c r="H16" s="154">
        <f>G16</f>
        <v>190951.06</v>
      </c>
      <c r="I16" s="45">
        <f t="shared" si="3"/>
        <v>0</v>
      </c>
      <c r="J16" s="146">
        <f t="shared" si="4"/>
        <v>0</v>
      </c>
      <c r="K16" s="146">
        <f t="shared" si="5"/>
        <v>0</v>
      </c>
      <c r="L16" s="127">
        <f t="shared" si="0"/>
        <v>54717.682310000026</v>
      </c>
      <c r="M16" s="45">
        <f t="shared" si="1"/>
        <v>0</v>
      </c>
      <c r="N16" s="45">
        <f t="shared" si="2"/>
        <v>77014.696819999997</v>
      </c>
      <c r="O16" s="154">
        <f t="shared" si="6"/>
        <v>131732.06</v>
      </c>
      <c r="P16" s="153">
        <f t="shared" si="7"/>
        <v>135684.06</v>
      </c>
      <c r="Q16" s="28">
        <f t="shared" si="8"/>
        <v>6.0000000000000005E-2</v>
      </c>
    </row>
    <row r="17" spans="1:19" ht="21" customHeight="1" x14ac:dyDescent="0.3">
      <c r="A17" s="80" t="s">
        <v>72</v>
      </c>
      <c r="B17" s="49"/>
      <c r="C17" s="66" t="s">
        <v>37</v>
      </c>
      <c r="D17" s="130" t="s">
        <v>90</v>
      </c>
      <c r="E17" s="131" t="s">
        <v>130</v>
      </c>
      <c r="F17" s="132">
        <v>7.9</v>
      </c>
      <c r="G17" s="154">
        <v>190951.07</v>
      </c>
      <c r="H17" s="154">
        <f>G17</f>
        <v>190951.07</v>
      </c>
      <c r="I17" s="45">
        <f t="shared" si="3"/>
        <v>0</v>
      </c>
      <c r="J17" s="146">
        <f t="shared" si="4"/>
        <v>0</v>
      </c>
      <c r="K17" s="146">
        <f t="shared" si="5"/>
        <v>0</v>
      </c>
      <c r="L17" s="127">
        <f t="shared" si="0"/>
        <v>54717.682310000026</v>
      </c>
      <c r="M17" s="45">
        <f t="shared" si="1"/>
        <v>0</v>
      </c>
      <c r="N17" s="45">
        <f t="shared" si="2"/>
        <v>77014.696819999997</v>
      </c>
      <c r="O17" s="154">
        <f t="shared" si="6"/>
        <v>131732.07</v>
      </c>
      <c r="P17" s="153">
        <f t="shared" si="7"/>
        <v>135684.07</v>
      </c>
      <c r="Q17" s="28">
        <f t="shared" si="8"/>
        <v>7.0000000000000007E-2</v>
      </c>
    </row>
    <row r="18" spans="1:19" ht="21" customHeight="1" x14ac:dyDescent="0.3">
      <c r="A18" s="128" t="s">
        <v>73</v>
      </c>
      <c r="B18" s="129"/>
      <c r="C18" s="66" t="s">
        <v>38</v>
      </c>
      <c r="D18" s="130" t="s">
        <v>132</v>
      </c>
      <c r="E18" s="131" t="s">
        <v>131</v>
      </c>
      <c r="F18" s="132">
        <v>7.9</v>
      </c>
      <c r="G18" s="154">
        <v>190951.08</v>
      </c>
      <c r="H18" s="154"/>
      <c r="I18" s="45">
        <f t="shared" si="3"/>
        <v>190951.08</v>
      </c>
      <c r="J18" s="146">
        <f t="shared" si="4"/>
        <v>5728.5323999999991</v>
      </c>
      <c r="K18" s="146">
        <f t="shared" si="5"/>
        <v>196679.61239999998</v>
      </c>
      <c r="L18" s="127">
        <f t="shared" si="0"/>
        <v>54717.682310000026</v>
      </c>
      <c r="M18" s="45">
        <f t="shared" si="1"/>
        <v>0</v>
      </c>
      <c r="N18" s="45">
        <f t="shared" si="2"/>
        <v>77014.696819999997</v>
      </c>
      <c r="O18" s="154">
        <f t="shared" si="6"/>
        <v>328412.08</v>
      </c>
      <c r="P18" s="153">
        <f t="shared" si="7"/>
        <v>338264.08</v>
      </c>
      <c r="Q18" s="28">
        <f t="shared" si="8"/>
        <v>0.08</v>
      </c>
    </row>
    <row r="19" spans="1:19" ht="24" customHeight="1" x14ac:dyDescent="0.3">
      <c r="A19" s="128" t="s">
        <v>74</v>
      </c>
      <c r="B19" s="129"/>
      <c r="C19" s="66" t="s">
        <v>39</v>
      </c>
      <c r="D19" s="130" t="s">
        <v>91</v>
      </c>
      <c r="E19" s="131"/>
      <c r="F19" s="132">
        <v>7.9</v>
      </c>
      <c r="G19" s="154">
        <v>186706.09</v>
      </c>
      <c r="H19" s="154">
        <f>G19</f>
        <v>186706.09</v>
      </c>
      <c r="I19" s="45">
        <f t="shared" si="3"/>
        <v>0</v>
      </c>
      <c r="J19" s="146">
        <f t="shared" si="4"/>
        <v>0</v>
      </c>
      <c r="K19" s="146">
        <f t="shared" si="5"/>
        <v>0</v>
      </c>
      <c r="L19" s="127">
        <f t="shared" si="0"/>
        <v>54717.682310000026</v>
      </c>
      <c r="M19" s="45">
        <f t="shared" si="1"/>
        <v>0</v>
      </c>
      <c r="N19" s="45">
        <f t="shared" si="2"/>
        <v>77014.696819999997</v>
      </c>
      <c r="O19" s="154">
        <f t="shared" si="6"/>
        <v>131732.09</v>
      </c>
      <c r="P19" s="153">
        <f t="shared" si="7"/>
        <v>135684.09</v>
      </c>
      <c r="Q19" s="28">
        <f t="shared" si="8"/>
        <v>0.09</v>
      </c>
    </row>
    <row r="20" spans="1:19" ht="21" customHeight="1" x14ac:dyDescent="0.3">
      <c r="A20" s="161" t="s">
        <v>75</v>
      </c>
      <c r="B20" s="129"/>
      <c r="C20" s="66" t="s">
        <v>40</v>
      </c>
      <c r="D20" s="130" t="s">
        <v>92</v>
      </c>
      <c r="E20" s="131"/>
      <c r="F20" s="132">
        <v>7.9</v>
      </c>
      <c r="G20" s="154">
        <v>190951.1</v>
      </c>
      <c r="H20" s="154">
        <f>G20</f>
        <v>190951.1</v>
      </c>
      <c r="I20" s="45">
        <f t="shared" si="3"/>
        <v>0</v>
      </c>
      <c r="J20" s="146">
        <f t="shared" si="4"/>
        <v>0</v>
      </c>
      <c r="K20" s="146">
        <f t="shared" si="5"/>
        <v>0</v>
      </c>
      <c r="L20" s="127">
        <f t="shared" si="0"/>
        <v>54717.682310000026</v>
      </c>
      <c r="M20" s="45">
        <f t="shared" si="1"/>
        <v>0</v>
      </c>
      <c r="N20" s="45">
        <f t="shared" si="2"/>
        <v>77014.696819999997</v>
      </c>
      <c r="O20" s="154">
        <f t="shared" si="6"/>
        <v>131732.1</v>
      </c>
      <c r="P20" s="153">
        <f t="shared" si="7"/>
        <v>135684.1</v>
      </c>
      <c r="Q20" s="156">
        <f t="shared" si="8"/>
        <v>9.9999999999999992E-2</v>
      </c>
      <c r="R20" s="10"/>
    </row>
    <row r="21" spans="1:19" ht="24" customHeight="1" x14ac:dyDescent="0.3">
      <c r="A21" s="161" t="s">
        <v>76</v>
      </c>
      <c r="B21" s="129"/>
      <c r="C21" s="162" t="s">
        <v>41</v>
      </c>
      <c r="D21" s="163" t="s">
        <v>93</v>
      </c>
      <c r="E21" s="164" t="s">
        <v>96</v>
      </c>
      <c r="F21" s="165">
        <v>7.9</v>
      </c>
      <c r="G21" s="166">
        <v>183618.11</v>
      </c>
      <c r="H21" s="166"/>
      <c r="I21" s="168">
        <f t="shared" si="3"/>
        <v>183618.11</v>
      </c>
      <c r="J21" s="179">
        <f t="shared" si="4"/>
        <v>5508.5432999999994</v>
      </c>
      <c r="K21" s="179">
        <f t="shared" si="5"/>
        <v>189126.65329999998</v>
      </c>
      <c r="L21" s="167">
        <f t="shared" si="0"/>
        <v>54717.682310000026</v>
      </c>
      <c r="M21" s="168">
        <f t="shared" si="1"/>
        <v>0</v>
      </c>
      <c r="N21" s="168">
        <f t="shared" si="2"/>
        <v>77014.696819999997</v>
      </c>
      <c r="O21" s="166">
        <f t="shared" si="6"/>
        <v>320859.11</v>
      </c>
      <c r="P21" s="169">
        <f t="shared" si="7"/>
        <v>330485.11</v>
      </c>
      <c r="Q21" s="28">
        <f t="shared" si="8"/>
        <v>0.10999999999999999</v>
      </c>
    </row>
    <row r="22" spans="1:19" ht="24.75" customHeight="1" x14ac:dyDescent="0.3">
      <c r="A22" s="128" t="s">
        <v>77</v>
      </c>
      <c r="B22" s="129"/>
      <c r="C22" s="162" t="s">
        <v>42</v>
      </c>
      <c r="D22" s="163" t="s">
        <v>137</v>
      </c>
      <c r="E22" s="164" t="s">
        <v>136</v>
      </c>
      <c r="F22" s="165">
        <v>7.9</v>
      </c>
      <c r="G22" s="166">
        <v>190951.12</v>
      </c>
      <c r="H22" s="166"/>
      <c r="I22" s="168">
        <f t="shared" si="3"/>
        <v>190951.12</v>
      </c>
      <c r="J22" s="179">
        <f t="shared" si="4"/>
        <v>5728.5335999999998</v>
      </c>
      <c r="K22" s="179">
        <f t="shared" si="5"/>
        <v>196679.65359999999</v>
      </c>
      <c r="L22" s="167">
        <f t="shared" si="0"/>
        <v>54717.682310000026</v>
      </c>
      <c r="M22" s="168">
        <f t="shared" si="1"/>
        <v>0</v>
      </c>
      <c r="N22" s="168">
        <f t="shared" si="2"/>
        <v>77014.696819999997</v>
      </c>
      <c r="O22" s="166">
        <f t="shared" si="6"/>
        <v>328412.12</v>
      </c>
      <c r="P22" s="169">
        <f t="shared" si="7"/>
        <v>338264.12</v>
      </c>
      <c r="Q22" s="28">
        <f t="shared" si="8"/>
        <v>0.11999999999999998</v>
      </c>
      <c r="S22" t="s">
        <v>153</v>
      </c>
    </row>
    <row r="23" spans="1:19" ht="21" customHeight="1" x14ac:dyDescent="0.3">
      <c r="A23" s="128"/>
      <c r="B23" s="129"/>
      <c r="C23" s="66" t="s">
        <v>78</v>
      </c>
      <c r="D23" s="133" t="str">
        <f>D17</f>
        <v>Estevez Norberto Omar</v>
      </c>
      <c r="E23" s="131" t="s">
        <v>130</v>
      </c>
      <c r="F23" s="132">
        <v>0.74</v>
      </c>
      <c r="G23" s="154">
        <v>10834.13</v>
      </c>
      <c r="H23" s="154">
        <f>G23</f>
        <v>10834.13</v>
      </c>
      <c r="I23" s="45">
        <f t="shared" si="3"/>
        <v>0</v>
      </c>
      <c r="J23" s="146">
        <f t="shared" si="4"/>
        <v>0</v>
      </c>
      <c r="K23" s="146">
        <f t="shared" si="5"/>
        <v>0</v>
      </c>
      <c r="L23" s="127">
        <f t="shared" si="0"/>
        <v>5125.4537860000019</v>
      </c>
      <c r="M23" s="45">
        <f t="shared" si="1"/>
        <v>0</v>
      </c>
      <c r="N23" s="127"/>
      <c r="O23" s="154">
        <f t="shared" si="6"/>
        <v>5125.13</v>
      </c>
      <c r="P23" s="153">
        <f t="shared" si="7"/>
        <v>5279.13</v>
      </c>
      <c r="Q23" s="28">
        <f t="shared" si="8"/>
        <v>0.12999999999999998</v>
      </c>
    </row>
    <row r="24" spans="1:19" ht="24.75" customHeight="1" x14ac:dyDescent="0.3">
      <c r="A24" s="161"/>
      <c r="B24" s="129"/>
      <c r="C24" s="162" t="s">
        <v>79</v>
      </c>
      <c r="D24" s="180" t="str">
        <f>D21</f>
        <v>Moro Vanesa Yania / Juan Carlos Moro</v>
      </c>
      <c r="E24" s="164" t="s">
        <v>96</v>
      </c>
      <c r="F24" s="165">
        <v>0.74</v>
      </c>
      <c r="G24" s="166">
        <v>10475.14</v>
      </c>
      <c r="H24" s="166"/>
      <c r="I24" s="168">
        <f t="shared" si="3"/>
        <v>10475.14</v>
      </c>
      <c r="J24" s="179">
        <f t="shared" si="4"/>
        <v>314.25419999999997</v>
      </c>
      <c r="K24" s="179">
        <f t="shared" si="5"/>
        <v>10789.394199999999</v>
      </c>
      <c r="L24" s="167">
        <f t="shared" si="0"/>
        <v>5125.4537860000019</v>
      </c>
      <c r="M24" s="168">
        <f t="shared" si="1"/>
        <v>0</v>
      </c>
      <c r="N24" s="167">
        <f>'Calculo Servicios  (2)'!H22</f>
        <v>0</v>
      </c>
      <c r="O24" s="166">
        <f t="shared" si="6"/>
        <v>15915.14</v>
      </c>
      <c r="P24" s="169">
        <f t="shared" si="7"/>
        <v>16393.14</v>
      </c>
      <c r="Q24" s="28">
        <f t="shared" si="8"/>
        <v>0.13999999999999999</v>
      </c>
    </row>
    <row r="25" spans="1:19" ht="21" customHeight="1" x14ac:dyDescent="0.3">
      <c r="A25" s="128"/>
      <c r="B25" s="129"/>
      <c r="C25" s="66" t="s">
        <v>80</v>
      </c>
      <c r="D25" s="133" t="str">
        <f>D20</f>
        <v>Scarlercio Jorge Omar</v>
      </c>
      <c r="E25" s="133"/>
      <c r="F25" s="132">
        <v>0.74</v>
      </c>
      <c r="G25" s="154">
        <v>10834.15</v>
      </c>
      <c r="H25" s="154">
        <f>G25</f>
        <v>10834.15</v>
      </c>
      <c r="I25" s="45">
        <f t="shared" si="3"/>
        <v>0</v>
      </c>
      <c r="J25" s="146">
        <f t="shared" si="4"/>
        <v>0</v>
      </c>
      <c r="K25" s="146">
        <f t="shared" si="5"/>
        <v>0</v>
      </c>
      <c r="L25" s="127">
        <f t="shared" si="0"/>
        <v>5125.4537860000019</v>
      </c>
      <c r="M25" s="45">
        <f t="shared" si="1"/>
        <v>0</v>
      </c>
      <c r="N25" s="127">
        <f>'Calculo Servicios  (2)'!H23</f>
        <v>0</v>
      </c>
      <c r="O25" s="154">
        <f t="shared" si="6"/>
        <v>5125.1499999999996</v>
      </c>
      <c r="P25" s="153">
        <f t="shared" si="7"/>
        <v>5279.15</v>
      </c>
      <c r="Q25" s="176">
        <f t="shared" si="8"/>
        <v>0.15</v>
      </c>
      <c r="R25" s="10"/>
    </row>
    <row r="26" spans="1:19" ht="21" customHeight="1" x14ac:dyDescent="0.3">
      <c r="A26" s="128"/>
      <c r="B26" s="126"/>
      <c r="C26" s="66" t="s">
        <v>81</v>
      </c>
      <c r="D26" s="133" t="str">
        <f>D18</f>
        <v>Lopez Gabriela</v>
      </c>
      <c r="E26" s="131" t="s">
        <v>131</v>
      </c>
      <c r="F26" s="132">
        <v>0.74</v>
      </c>
      <c r="G26" s="154">
        <v>10834.16</v>
      </c>
      <c r="H26" s="154"/>
      <c r="I26" s="45">
        <f t="shared" si="3"/>
        <v>10834.16</v>
      </c>
      <c r="J26" s="146">
        <f t="shared" si="4"/>
        <v>325.02479999999997</v>
      </c>
      <c r="K26" s="146">
        <f t="shared" si="5"/>
        <v>11159.184799999999</v>
      </c>
      <c r="L26" s="127">
        <f t="shared" si="0"/>
        <v>5125.4537860000019</v>
      </c>
      <c r="M26" s="45">
        <f t="shared" si="1"/>
        <v>0</v>
      </c>
      <c r="N26" s="127">
        <f>'Calculo Servicios  (2)'!H24</f>
        <v>0</v>
      </c>
      <c r="O26" s="154">
        <f t="shared" si="6"/>
        <v>16285.16</v>
      </c>
      <c r="P26" s="153">
        <f t="shared" si="7"/>
        <v>16774.16</v>
      </c>
      <c r="Q26" s="28">
        <f t="shared" si="8"/>
        <v>0.16</v>
      </c>
    </row>
    <row r="27" spans="1:19" ht="21" customHeight="1" x14ac:dyDescent="0.3">
      <c r="A27" s="80"/>
      <c r="B27" s="49"/>
      <c r="C27" s="65" t="s">
        <v>82</v>
      </c>
      <c r="D27" s="81" t="str">
        <f>D15</f>
        <v>Cecilia Mariel Cassettari</v>
      </c>
      <c r="E27" s="81"/>
      <c r="F27" s="67">
        <v>0.74</v>
      </c>
      <c r="G27" s="159">
        <v>10676.17</v>
      </c>
      <c r="H27" s="154"/>
      <c r="I27" s="45">
        <f t="shared" si="3"/>
        <v>10676.17</v>
      </c>
      <c r="J27" s="146">
        <f t="shared" si="4"/>
        <v>320.2851</v>
      </c>
      <c r="K27" s="146">
        <f t="shared" si="5"/>
        <v>10996.455099999999</v>
      </c>
      <c r="L27" s="43">
        <f t="shared" si="0"/>
        <v>5125.4537860000019</v>
      </c>
      <c r="M27" s="45">
        <f t="shared" si="1"/>
        <v>0</v>
      </c>
      <c r="N27" s="43">
        <f>'Calculo Servicios  (2)'!H25</f>
        <v>0</v>
      </c>
      <c r="O27" s="154">
        <f t="shared" si="6"/>
        <v>16122.17</v>
      </c>
      <c r="P27" s="153">
        <f t="shared" si="7"/>
        <v>16606.169999999998</v>
      </c>
      <c r="Q27" s="28">
        <f t="shared" si="8"/>
        <v>0.17</v>
      </c>
    </row>
    <row r="28" spans="1:19" ht="21" customHeight="1" x14ac:dyDescent="0.3">
      <c r="A28" s="148"/>
      <c r="B28" s="149"/>
      <c r="C28" s="66" t="s">
        <v>83</v>
      </c>
      <c r="D28" s="133" t="str">
        <f>D16</f>
        <v>Perez Sebastian</v>
      </c>
      <c r="E28" s="131" t="s">
        <v>146</v>
      </c>
      <c r="F28" s="177">
        <v>0.74</v>
      </c>
      <c r="G28" s="154">
        <v>10834.18</v>
      </c>
      <c r="H28" s="154">
        <f>G28</f>
        <v>10834.18</v>
      </c>
      <c r="I28" s="45">
        <f t="shared" si="3"/>
        <v>0</v>
      </c>
      <c r="J28" s="146">
        <f t="shared" si="4"/>
        <v>0</v>
      </c>
      <c r="K28" s="146">
        <f t="shared" si="5"/>
        <v>0</v>
      </c>
      <c r="L28" s="45">
        <f t="shared" si="0"/>
        <v>5125.4537860000019</v>
      </c>
      <c r="M28" s="45">
        <f t="shared" si="1"/>
        <v>0</v>
      </c>
      <c r="N28" s="45">
        <f>'Calculo Servicios  (2)'!H26</f>
        <v>0</v>
      </c>
      <c r="O28" s="154">
        <f t="shared" si="6"/>
        <v>5125.18</v>
      </c>
      <c r="P28" s="153">
        <f t="shared" si="7"/>
        <v>5279.18</v>
      </c>
      <c r="Q28" s="28">
        <f t="shared" si="8"/>
        <v>0.18000000000000002</v>
      </c>
    </row>
    <row r="29" spans="1:19" ht="26.25" customHeight="1" thickBot="1" x14ac:dyDescent="0.35">
      <c r="A29" s="128"/>
      <c r="B29" s="140"/>
      <c r="C29" s="66" t="s">
        <v>84</v>
      </c>
      <c r="D29" s="133" t="str">
        <f>D22</f>
        <v>Rodriguez Flavio/Rodriguez Mauro</v>
      </c>
      <c r="E29" s="131" t="s">
        <v>136</v>
      </c>
      <c r="F29" s="178">
        <v>0.74</v>
      </c>
      <c r="G29" s="154">
        <v>10834.19</v>
      </c>
      <c r="H29" s="154"/>
      <c r="I29" s="45">
        <f t="shared" si="3"/>
        <v>10834.19</v>
      </c>
      <c r="J29" s="146">
        <f t="shared" si="4"/>
        <v>325.02570000000003</v>
      </c>
      <c r="K29" s="146">
        <f t="shared" si="5"/>
        <v>11159.215700000001</v>
      </c>
      <c r="L29" s="127">
        <f t="shared" si="0"/>
        <v>5125.4537860000019</v>
      </c>
      <c r="M29" s="45">
        <f t="shared" si="1"/>
        <v>0</v>
      </c>
      <c r="N29" s="127">
        <f>'Calculo Servicios  (2)'!H27</f>
        <v>0</v>
      </c>
      <c r="O29" s="154">
        <f t="shared" si="6"/>
        <v>16285.19</v>
      </c>
      <c r="P29" s="153">
        <f t="shared" si="7"/>
        <v>16774.189999999999</v>
      </c>
      <c r="Q29" s="28">
        <f t="shared" si="8"/>
        <v>0.19000000000000003</v>
      </c>
    </row>
    <row r="30" spans="1:19" ht="21" hidden="1" customHeight="1" thickBot="1" x14ac:dyDescent="0.35">
      <c r="A30" s="50"/>
      <c r="B30" s="49"/>
      <c r="C30" s="48"/>
      <c r="D30" s="48"/>
      <c r="E30" s="48"/>
      <c r="F30" s="47"/>
      <c r="G30" s="46"/>
      <c r="H30" s="45"/>
      <c r="I30" s="43"/>
      <c r="J30" s="42"/>
      <c r="K30" s="42"/>
      <c r="L30" s="43"/>
      <c r="M30" s="43" t="e">
        <f>#REF!*F30/100</f>
        <v>#REF!</v>
      </c>
      <c r="N30" s="43"/>
      <c r="O30" s="44"/>
      <c r="P30" s="79"/>
    </row>
    <row r="31" spans="1:19" s="36" customFormat="1" ht="21.6" thickBot="1" x14ac:dyDescent="0.45">
      <c r="A31" s="230"/>
      <c r="B31" s="231"/>
      <c r="C31" s="231"/>
      <c r="D31" s="41"/>
      <c r="E31" s="41"/>
      <c r="F31" s="68"/>
      <c r="G31" s="39">
        <f>SUM(G11:G30)</f>
        <v>2346764.9000000008</v>
      </c>
      <c r="H31" s="40">
        <f>SUM(H11:H30)</f>
        <v>1360767.85</v>
      </c>
      <c r="I31" s="40">
        <f>SUM(I11:I30)</f>
        <v>985997.04999999993</v>
      </c>
      <c r="J31" s="38"/>
      <c r="K31" s="37"/>
      <c r="L31" s="40">
        <f>SUM(L11:L30)</f>
        <v>692490.36422200047</v>
      </c>
      <c r="M31" s="40">
        <f>SUM(M11:M29)</f>
        <v>0</v>
      </c>
      <c r="N31" s="40">
        <f>SUM(N11:N29)</f>
        <v>924176.36183999979</v>
      </c>
      <c r="O31" s="40">
        <f>SUM(O11:O29)</f>
        <v>2632242.9000000008</v>
      </c>
      <c r="P31" s="40">
        <f>SUM(P11:P29)</f>
        <v>2711211.9000000008</v>
      </c>
      <c r="S31"/>
    </row>
    <row r="32" spans="1:19" ht="34.5" hidden="1" customHeight="1" x14ac:dyDescent="0.3">
      <c r="B32" s="227" t="s">
        <v>19</v>
      </c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9"/>
    </row>
    <row r="33" spans="3:12" x14ac:dyDescent="0.3">
      <c r="F33" s="35"/>
      <c r="G33" s="34"/>
      <c r="H33" s="34"/>
      <c r="I33" s="34" t="s">
        <v>18</v>
      </c>
    </row>
    <row r="34" spans="3:12" x14ac:dyDescent="0.3">
      <c r="C34" s="223"/>
      <c r="D34" s="223"/>
      <c r="E34" s="223"/>
      <c r="F34" s="223"/>
      <c r="G34" s="223"/>
      <c r="H34" s="223"/>
      <c r="I34" s="223"/>
      <c r="J34" s="223"/>
      <c r="K34" s="223"/>
      <c r="L34" s="223"/>
    </row>
    <row r="35" spans="3:12" x14ac:dyDescent="0.3">
      <c r="C35" s="223"/>
      <c r="D35" s="223"/>
      <c r="E35" s="223"/>
      <c r="F35" s="223"/>
      <c r="G35" s="223"/>
      <c r="H35" s="223"/>
      <c r="I35" s="223"/>
      <c r="J35" s="223"/>
      <c r="K35" s="223"/>
      <c r="L35" s="223"/>
    </row>
    <row r="36" spans="3:12" x14ac:dyDescent="0.3">
      <c r="C36" s="223"/>
      <c r="D36" s="223"/>
      <c r="E36" s="223"/>
      <c r="F36" s="223"/>
      <c r="G36" s="223"/>
      <c r="H36" s="223"/>
      <c r="I36" s="223"/>
      <c r="J36" s="223"/>
      <c r="K36" s="223"/>
      <c r="L36" s="223"/>
    </row>
    <row r="37" spans="3:12" x14ac:dyDescent="0.3">
      <c r="C37" s="223"/>
      <c r="D37" s="223"/>
      <c r="E37" s="223"/>
      <c r="F37" s="223"/>
      <c r="G37" s="223"/>
      <c r="H37" s="223"/>
      <c r="I37" s="223"/>
      <c r="J37" s="223"/>
      <c r="K37" s="223"/>
      <c r="L37" s="223"/>
    </row>
    <row r="38" spans="3:12" ht="25.5" customHeight="1" x14ac:dyDescent="0.3">
      <c r="C38" s="223"/>
      <c r="D38" s="223"/>
      <c r="E38" s="223"/>
      <c r="F38" s="223"/>
      <c r="G38" s="223"/>
      <c r="H38" s="223"/>
      <c r="I38" s="223"/>
      <c r="J38" s="223"/>
      <c r="K38" s="223"/>
      <c r="L38" s="223"/>
    </row>
  </sheetData>
  <mergeCells count="11">
    <mergeCell ref="C34:L38"/>
    <mergeCell ref="A1:P1"/>
    <mergeCell ref="B32:P32"/>
    <mergeCell ref="A31:C31"/>
    <mergeCell ref="C7:D7"/>
    <mergeCell ref="C5:D5"/>
    <mergeCell ref="C9:D9"/>
    <mergeCell ref="J2:P9"/>
    <mergeCell ref="C4:D4"/>
    <mergeCell ref="F2:I5"/>
    <mergeCell ref="F6:I9"/>
  </mergeCells>
  <pageMargins left="0.25" right="0.25" top="0.75" bottom="0.75" header="0.3" footer="0.3"/>
  <pageSetup scale="66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A8" sqref="A8"/>
    </sheetView>
  </sheetViews>
  <sheetFormatPr baseColWidth="10" defaultColWidth="11.44140625" defaultRowHeight="13.2" x14ac:dyDescent="0.25"/>
  <cols>
    <col min="1" max="1" width="12.109375" style="83" bestFit="1" customWidth="1"/>
    <col min="2" max="2" width="16.33203125" style="83" bestFit="1" customWidth="1"/>
    <col min="3" max="3" width="15.109375" style="83" bestFit="1" customWidth="1"/>
    <col min="4" max="4" width="13.109375" style="83" bestFit="1" customWidth="1"/>
    <col min="5" max="5" width="16.6640625" style="83" bestFit="1" customWidth="1"/>
    <col min="6" max="7" width="13.44140625" style="83" bestFit="1" customWidth="1"/>
    <col min="8" max="8" width="14" style="83" bestFit="1" customWidth="1"/>
    <col min="9" max="12" width="11.44140625" style="83"/>
    <col min="13" max="13" width="14.6640625" style="83" bestFit="1" customWidth="1"/>
    <col min="14" max="14" width="21.5546875" style="83" bestFit="1" customWidth="1"/>
    <col min="15" max="16384" width="11.44140625" style="83"/>
  </cols>
  <sheetData>
    <row r="1" spans="1:15" ht="13.8" x14ac:dyDescent="0.3">
      <c r="A1" s="262" t="s">
        <v>65</v>
      </c>
      <c r="B1" s="263"/>
      <c r="C1" s="263"/>
      <c r="D1" s="263"/>
      <c r="E1" s="264"/>
    </row>
    <row r="2" spans="1:15" ht="13.8" x14ac:dyDescent="0.3">
      <c r="A2" s="124"/>
      <c r="B2" s="109"/>
      <c r="C2" s="109"/>
      <c r="D2" s="123" t="s">
        <v>64</v>
      </c>
      <c r="E2" s="120"/>
    </row>
    <row r="3" spans="1:15" ht="13.8" x14ac:dyDescent="0.3">
      <c r="A3" s="122">
        <f>13+28+19</f>
        <v>60</v>
      </c>
      <c r="B3" s="78">
        <v>10531.71</v>
      </c>
      <c r="C3" s="121">
        <f>+B3/A3</f>
        <v>175.52849999999998</v>
      </c>
      <c r="D3" s="121">
        <v>4863.8999999999996</v>
      </c>
      <c r="E3" s="120" t="s">
        <v>125</v>
      </c>
      <c r="I3" s="83" t="s">
        <v>63</v>
      </c>
    </row>
    <row r="4" spans="1:15" ht="14.4" thickBot="1" x14ac:dyDescent="0.35">
      <c r="A4" s="119"/>
      <c r="B4" s="118"/>
      <c r="C4" s="118"/>
      <c r="D4" s="118"/>
      <c r="E4" s="117"/>
    </row>
    <row r="5" spans="1:15" ht="13.8" x14ac:dyDescent="0.3">
      <c r="A5" s="116"/>
      <c r="B5" s="116"/>
      <c r="C5" s="116"/>
      <c r="D5" s="116"/>
      <c r="E5" s="116"/>
    </row>
    <row r="6" spans="1:15" ht="14.4" thickBot="1" x14ac:dyDescent="0.35">
      <c r="A6" s="116"/>
      <c r="B6" s="116"/>
      <c r="C6" s="116"/>
      <c r="D6" s="116"/>
      <c r="E6" s="116"/>
    </row>
    <row r="7" spans="1:15" ht="13.8" x14ac:dyDescent="0.3">
      <c r="A7" s="265" t="s">
        <v>62</v>
      </c>
      <c r="B7" s="266"/>
      <c r="C7" s="266"/>
      <c r="D7" s="266"/>
      <c r="E7" s="266"/>
      <c r="F7" s="266"/>
      <c r="G7" s="266"/>
      <c r="H7" s="267"/>
      <c r="L7" s="83" t="s">
        <v>57</v>
      </c>
      <c r="M7" s="83" t="s">
        <v>61</v>
      </c>
    </row>
    <row r="8" spans="1:15" ht="13.8" x14ac:dyDescent="0.3">
      <c r="A8" s="77">
        <v>953033.85</v>
      </c>
      <c r="B8" s="114" t="s">
        <v>60</v>
      </c>
      <c r="C8" s="114" t="s">
        <v>59</v>
      </c>
      <c r="D8" s="114" t="s">
        <v>58</v>
      </c>
      <c r="E8" s="115">
        <f>3935/2</f>
        <v>1967.5</v>
      </c>
      <c r="F8" s="114" t="s">
        <v>57</v>
      </c>
      <c r="G8" s="114" t="s">
        <v>56</v>
      </c>
      <c r="H8" s="113" t="s">
        <v>55</v>
      </c>
      <c r="K8" s="109">
        <v>19</v>
      </c>
      <c r="L8" s="95">
        <v>7502.93</v>
      </c>
      <c r="M8" s="95">
        <v>2365.2600000000002</v>
      </c>
    </row>
    <row r="9" spans="1:15" ht="14.4" x14ac:dyDescent="0.3">
      <c r="A9" s="112" t="s">
        <v>31</v>
      </c>
      <c r="B9" s="109">
        <v>1617</v>
      </c>
      <c r="C9" s="109">
        <f>B9+J25</f>
        <v>1689</v>
      </c>
      <c r="D9" s="109">
        <f t="shared" ref="D9:D20" si="0">+C9-B9</f>
        <v>72</v>
      </c>
      <c r="E9" s="74">
        <f>+D9/E8</f>
        <v>3.6594663278271919E-2</v>
      </c>
      <c r="F9" s="73">
        <f>+A8*E9</f>
        <v>34875.95283354511</v>
      </c>
      <c r="G9" s="73">
        <f>+(A8*A23)/12</f>
        <v>23674.474926937735</v>
      </c>
      <c r="H9" s="72">
        <f>+G9+F9</f>
        <v>58550.427760482846</v>
      </c>
      <c r="K9" s="83">
        <v>106</v>
      </c>
      <c r="L9" s="95">
        <f>+L8*O9</f>
        <v>1575.6152999999999</v>
      </c>
      <c r="M9" s="83">
        <f>M8*21%</f>
        <v>496.70460000000003</v>
      </c>
      <c r="N9" s="83" t="s">
        <v>54</v>
      </c>
      <c r="O9" s="76">
        <v>0.21</v>
      </c>
    </row>
    <row r="10" spans="1:15" ht="14.4" x14ac:dyDescent="0.3">
      <c r="A10" s="110" t="s">
        <v>32</v>
      </c>
      <c r="B10" s="109">
        <v>4104</v>
      </c>
      <c r="C10" s="109">
        <f t="shared" ref="C10:C20" si="1">B10+J26</f>
        <v>4195</v>
      </c>
      <c r="D10" s="109">
        <f t="shared" si="0"/>
        <v>91</v>
      </c>
      <c r="E10" s="74">
        <f>+D10/E8</f>
        <v>4.6251588310038116E-2</v>
      </c>
      <c r="F10" s="73">
        <f>+A8*E10</f>
        <v>44079.329275730619</v>
      </c>
      <c r="G10" s="73">
        <f>+G9</f>
        <v>23674.474926937735</v>
      </c>
      <c r="H10" s="72">
        <f>+G10+F10</f>
        <v>67753.804202668354</v>
      </c>
      <c r="K10" s="83">
        <v>60</v>
      </c>
      <c r="L10" s="95">
        <f>+L8*O10</f>
        <v>481.98822320000005</v>
      </c>
      <c r="M10" s="83">
        <f>+M8*6.424%</f>
        <v>151.94430240000003</v>
      </c>
      <c r="N10" s="83" t="s">
        <v>53</v>
      </c>
      <c r="O10" s="75">
        <v>6.4240000000000005E-2</v>
      </c>
    </row>
    <row r="11" spans="1:15" ht="14.4" x14ac:dyDescent="0.3">
      <c r="A11" s="110" t="s">
        <v>33</v>
      </c>
      <c r="B11" s="109">
        <v>7644</v>
      </c>
      <c r="C11" s="109">
        <f t="shared" si="1"/>
        <v>7807</v>
      </c>
      <c r="D11" s="109">
        <f t="shared" si="0"/>
        <v>163</v>
      </c>
      <c r="E11" s="74">
        <f>+D11/E8</f>
        <v>8.2846251588310035E-2</v>
      </c>
      <c r="F11" s="73">
        <f>+A8*E11</f>
        <v>78955.282109275722</v>
      </c>
      <c r="G11" s="73">
        <f>G10</f>
        <v>23674.474926937735</v>
      </c>
      <c r="H11" s="72">
        <f>+G11+F11</f>
        <v>102629.75703621346</v>
      </c>
      <c r="K11" s="83">
        <v>79</v>
      </c>
      <c r="L11" s="95">
        <f>+L8*0.001%</f>
        <v>7.5029300000000007E-2</v>
      </c>
      <c r="M11" s="83">
        <v>0.03</v>
      </c>
      <c r="N11" s="83" t="s">
        <v>52</v>
      </c>
      <c r="O11" s="95">
        <v>0.1</v>
      </c>
    </row>
    <row r="12" spans="1:15" ht="14.4" x14ac:dyDescent="0.3">
      <c r="A12" s="110" t="s">
        <v>34</v>
      </c>
      <c r="B12" s="109">
        <v>6554</v>
      </c>
      <c r="C12" s="109">
        <f t="shared" si="1"/>
        <v>6730</v>
      </c>
      <c r="D12" s="109">
        <f t="shared" si="0"/>
        <v>176</v>
      </c>
      <c r="E12" s="74">
        <f>+D12/E8</f>
        <v>8.9453621346886919E-2</v>
      </c>
      <c r="F12" s="73">
        <f>+A8*E12</f>
        <v>85252.329148665827</v>
      </c>
      <c r="G12" s="73">
        <f>G9</f>
        <v>23674.474926937735</v>
      </c>
      <c r="H12" s="72">
        <f t="shared" ref="H12:H20" si="2">SUM(F12:G12)</f>
        <v>108926.80407560356</v>
      </c>
      <c r="K12" s="83">
        <v>89</v>
      </c>
      <c r="L12" s="95">
        <v>400</v>
      </c>
      <c r="M12" s="83">
        <v>253</v>
      </c>
      <c r="N12" s="83" t="s">
        <v>51</v>
      </c>
      <c r="O12" s="83">
        <v>653</v>
      </c>
    </row>
    <row r="13" spans="1:15" ht="14.4" x14ac:dyDescent="0.3">
      <c r="A13" s="110" t="s">
        <v>35</v>
      </c>
      <c r="B13" s="109">
        <v>7564</v>
      </c>
      <c r="C13" s="109">
        <f t="shared" si="1"/>
        <v>7767</v>
      </c>
      <c r="D13" s="109">
        <f t="shared" si="0"/>
        <v>203</v>
      </c>
      <c r="E13" s="74">
        <f>+D13/E8</f>
        <v>0.10317662007623889</v>
      </c>
      <c r="F13" s="73">
        <f>+A8*E13</f>
        <v>98330.811461245234</v>
      </c>
      <c r="G13" s="73">
        <f>G9</f>
        <v>23674.474926937735</v>
      </c>
      <c r="H13" s="72">
        <f t="shared" si="2"/>
        <v>122005.28638818297</v>
      </c>
      <c r="K13" s="83">
        <v>140</v>
      </c>
      <c r="L13" s="111">
        <f>SUM(L8:L12)-0.45</f>
        <v>9960.1585524999991</v>
      </c>
      <c r="M13" s="83">
        <f>SUM(M8:M12)</f>
        <v>3266.9389024000006</v>
      </c>
    </row>
    <row r="14" spans="1:15" ht="14.4" x14ac:dyDescent="0.3">
      <c r="A14" s="110" t="s">
        <v>36</v>
      </c>
      <c r="B14" s="109">
        <v>10119</v>
      </c>
      <c r="C14" s="109">
        <f t="shared" si="1"/>
        <v>10334</v>
      </c>
      <c r="D14" s="109">
        <f t="shared" si="0"/>
        <v>215</v>
      </c>
      <c r="E14" s="74">
        <f>+D14/E8</f>
        <v>0.10927573062261753</v>
      </c>
      <c r="F14" s="73">
        <f>+A8*E14</f>
        <v>104143.47026683608</v>
      </c>
      <c r="G14" s="73">
        <f>G9</f>
        <v>23674.474926937735</v>
      </c>
      <c r="H14" s="72">
        <f t="shared" si="2"/>
        <v>127817.94519377382</v>
      </c>
      <c r="K14" s="83">
        <v>143</v>
      </c>
    </row>
    <row r="15" spans="1:15" ht="14.4" x14ac:dyDescent="0.3">
      <c r="A15" s="110" t="s">
        <v>37</v>
      </c>
      <c r="B15" s="109">
        <v>8986</v>
      </c>
      <c r="C15" s="109">
        <f t="shared" si="1"/>
        <v>9068</v>
      </c>
      <c r="D15" s="109">
        <f t="shared" si="0"/>
        <v>82</v>
      </c>
      <c r="E15" s="74">
        <f>+D15/E8</f>
        <v>4.1677255400254132E-2</v>
      </c>
      <c r="F15" s="73">
        <f>+A8*E15</f>
        <v>39719.835171537488</v>
      </c>
      <c r="G15" s="73">
        <f>G9</f>
        <v>23674.474926937735</v>
      </c>
      <c r="H15" s="72">
        <f t="shared" si="2"/>
        <v>63394.310098475224</v>
      </c>
      <c r="K15" s="83">
        <v>221</v>
      </c>
      <c r="L15" s="83">
        <f>+L13+M13</f>
        <v>13227.0974549</v>
      </c>
    </row>
    <row r="16" spans="1:15" ht="14.4" x14ac:dyDescent="0.3">
      <c r="A16" s="110" t="s">
        <v>38</v>
      </c>
      <c r="B16" s="109">
        <v>7032</v>
      </c>
      <c r="C16" s="109">
        <f t="shared" si="1"/>
        <v>7034</v>
      </c>
      <c r="D16" s="109">
        <f t="shared" si="0"/>
        <v>2</v>
      </c>
      <c r="E16" s="74">
        <f>+D16/E8</f>
        <v>1.0165184243964421E-3</v>
      </c>
      <c r="F16" s="73">
        <f>+A8*E16</f>
        <v>968.77646759847516</v>
      </c>
      <c r="G16" s="73">
        <f>G9</f>
        <v>23674.474926937735</v>
      </c>
      <c r="H16" s="72">
        <f t="shared" si="2"/>
        <v>24643.251394536212</v>
      </c>
      <c r="K16" s="83">
        <v>32</v>
      </c>
    </row>
    <row r="17" spans="1:13" ht="14.4" x14ac:dyDescent="0.3">
      <c r="A17" s="110" t="s">
        <v>39</v>
      </c>
      <c r="B17" s="109">
        <v>1623</v>
      </c>
      <c r="C17" s="109">
        <f t="shared" si="1"/>
        <v>1668</v>
      </c>
      <c r="D17" s="109">
        <f t="shared" si="0"/>
        <v>45</v>
      </c>
      <c r="E17" s="74">
        <f>+D17/E8</f>
        <v>2.2871664548919948E-2</v>
      </c>
      <c r="F17" s="73">
        <f>+A8*E17</f>
        <v>21797.47052096569</v>
      </c>
      <c r="G17" s="73">
        <f>G9</f>
        <v>23674.474926937735</v>
      </c>
      <c r="H17" s="72">
        <f t="shared" si="2"/>
        <v>45471.945447903425</v>
      </c>
      <c r="K17" s="83">
        <v>80</v>
      </c>
    </row>
    <row r="18" spans="1:13" ht="14.4" x14ac:dyDescent="0.3">
      <c r="A18" s="110" t="s">
        <v>40</v>
      </c>
      <c r="B18" s="109">
        <v>3932</v>
      </c>
      <c r="C18" s="109">
        <f t="shared" si="1"/>
        <v>4021</v>
      </c>
      <c r="D18" s="109">
        <f t="shared" si="0"/>
        <v>89</v>
      </c>
      <c r="E18" s="74">
        <f>+D18/E8</f>
        <v>4.5235069885641674E-2</v>
      </c>
      <c r="F18" s="73">
        <f>+A8*E18</f>
        <v>43110.552808132146</v>
      </c>
      <c r="G18" s="73">
        <f>G9</f>
        <v>23674.474926937735</v>
      </c>
      <c r="H18" s="72">
        <f t="shared" si="2"/>
        <v>66785.027735069889</v>
      </c>
      <c r="K18" s="83">
        <v>113</v>
      </c>
    </row>
    <row r="19" spans="1:13" ht="14.4" x14ac:dyDescent="0.3">
      <c r="A19" s="110" t="s">
        <v>41</v>
      </c>
      <c r="B19" s="109">
        <v>6887</v>
      </c>
      <c r="C19" s="109">
        <f t="shared" si="1"/>
        <v>6994</v>
      </c>
      <c r="D19" s="109">
        <f t="shared" si="0"/>
        <v>107</v>
      </c>
      <c r="E19" s="74">
        <f>+D19/E8</f>
        <v>5.4383735705209657E-2</v>
      </c>
      <c r="F19" s="73">
        <f>+A8*E19</f>
        <v>51829.541016518422</v>
      </c>
      <c r="G19" s="73">
        <f>G9</f>
        <v>23674.474926937735</v>
      </c>
      <c r="H19" s="72">
        <f t="shared" si="2"/>
        <v>75504.01594345615</v>
      </c>
      <c r="K19" s="83">
        <v>2</v>
      </c>
    </row>
    <row r="20" spans="1:13" ht="14.4" x14ac:dyDescent="0.3">
      <c r="A20" s="110" t="s">
        <v>42</v>
      </c>
      <c r="B20" s="109">
        <v>1884</v>
      </c>
      <c r="C20" s="109">
        <f t="shared" si="1"/>
        <v>2020</v>
      </c>
      <c r="D20" s="109">
        <f t="shared" si="0"/>
        <v>136</v>
      </c>
      <c r="E20" s="74">
        <f>+D20/E8</f>
        <v>6.9123252858958067E-2</v>
      </c>
      <c r="F20" s="73">
        <f>+A8*E20</f>
        <v>65876.799796696316</v>
      </c>
      <c r="G20" s="73">
        <f>G9</f>
        <v>23674.474926937735</v>
      </c>
      <c r="H20" s="72">
        <f t="shared" si="2"/>
        <v>89551.274723634051</v>
      </c>
    </row>
    <row r="21" spans="1:13" ht="14.4" thickBot="1" x14ac:dyDescent="0.35">
      <c r="A21" s="108" t="s">
        <v>124</v>
      </c>
      <c r="B21" s="107"/>
      <c r="C21" s="107"/>
      <c r="D21" s="106">
        <f>SUM(D9:D20)</f>
        <v>1381</v>
      </c>
      <c r="E21" s="105"/>
      <c r="F21" s="85"/>
      <c r="G21" s="85"/>
      <c r="H21" s="71">
        <f>SUM(H9:H20)</f>
        <v>953033.85</v>
      </c>
      <c r="J21" s="95">
        <f>+H21-A8</f>
        <v>0</v>
      </c>
    </row>
    <row r="22" spans="1:13" ht="13.8" x14ac:dyDescent="0.3">
      <c r="A22" s="70">
        <f>+D21/E8</f>
        <v>0.70190597204574334</v>
      </c>
      <c r="B22" s="104" t="s">
        <v>50</v>
      </c>
      <c r="L22" s="103"/>
    </row>
    <row r="23" spans="1:13" ht="14.4" thickBot="1" x14ac:dyDescent="0.35">
      <c r="A23" s="69">
        <f>100%-A22</f>
        <v>0.29809402795425666</v>
      </c>
      <c r="B23" s="102" t="s">
        <v>49</v>
      </c>
    </row>
    <row r="25" spans="1:13" x14ac:dyDescent="0.25">
      <c r="A25" s="101"/>
      <c r="J25" s="83">
        <v>72</v>
      </c>
    </row>
    <row r="26" spans="1:13" x14ac:dyDescent="0.25">
      <c r="J26" s="83">
        <v>91</v>
      </c>
    </row>
    <row r="27" spans="1:13" ht="13.8" thickBot="1" x14ac:dyDescent="0.3">
      <c r="J27" s="83">
        <v>163</v>
      </c>
    </row>
    <row r="28" spans="1:13" x14ac:dyDescent="0.25">
      <c r="B28" s="268" t="s">
        <v>123</v>
      </c>
      <c r="C28" s="269"/>
      <c r="D28" s="269"/>
      <c r="E28" s="269"/>
      <c r="F28" s="270"/>
      <c r="J28" s="83">
        <v>176</v>
      </c>
    </row>
    <row r="29" spans="1:13" x14ac:dyDescent="0.25">
      <c r="B29" s="100" t="s">
        <v>122</v>
      </c>
      <c r="C29" s="99" t="s">
        <v>121</v>
      </c>
      <c r="D29" s="99" t="s">
        <v>120</v>
      </c>
      <c r="E29" s="99" t="s">
        <v>119</v>
      </c>
      <c r="F29" s="98" t="s">
        <v>118</v>
      </c>
      <c r="J29" s="83">
        <v>203</v>
      </c>
    </row>
    <row r="30" spans="1:13" ht="14.4" x14ac:dyDescent="0.3">
      <c r="B30" s="94" t="s">
        <v>117</v>
      </c>
      <c r="C30" s="73">
        <v>4000</v>
      </c>
      <c r="D30" s="73">
        <v>0</v>
      </c>
      <c r="E30" s="92"/>
      <c r="F30" s="72">
        <f>+C30</f>
        <v>4000</v>
      </c>
      <c r="J30" s="97">
        <v>215</v>
      </c>
      <c r="M30" s="83">
        <f>+H21-A8</f>
        <v>0</v>
      </c>
    </row>
    <row r="31" spans="1:13" ht="14.4" x14ac:dyDescent="0.3">
      <c r="B31" s="94" t="s">
        <v>116</v>
      </c>
      <c r="C31" s="73">
        <v>4000</v>
      </c>
      <c r="D31" s="73">
        <v>0</v>
      </c>
      <c r="E31" s="92"/>
      <c r="F31" s="72">
        <f t="shared" ref="F31:F44" si="3">+F30+C31-D31</f>
        <v>8000</v>
      </c>
      <c r="J31" s="83">
        <v>82</v>
      </c>
    </row>
    <row r="32" spans="1:13" ht="14.4" x14ac:dyDescent="0.3">
      <c r="B32" s="94" t="s">
        <v>115</v>
      </c>
      <c r="C32" s="73">
        <v>4000</v>
      </c>
      <c r="D32" s="73">
        <v>0</v>
      </c>
      <c r="E32" s="92"/>
      <c r="F32" s="72">
        <f t="shared" si="3"/>
        <v>12000</v>
      </c>
      <c r="J32" s="83">
        <v>2</v>
      </c>
    </row>
    <row r="33" spans="2:13" ht="14.4" x14ac:dyDescent="0.3">
      <c r="B33" s="94" t="s">
        <v>114</v>
      </c>
      <c r="C33" s="73">
        <v>4000</v>
      </c>
      <c r="D33" s="73">
        <v>0</v>
      </c>
      <c r="E33" s="92"/>
      <c r="F33" s="72">
        <f t="shared" si="3"/>
        <v>16000</v>
      </c>
      <c r="J33" s="83">
        <v>45</v>
      </c>
      <c r="K33" s="96">
        <f>11934.02-11933.71</f>
        <v>0.31000000000130967</v>
      </c>
    </row>
    <row r="34" spans="2:13" ht="14.4" x14ac:dyDescent="0.3">
      <c r="B34" s="94" t="s">
        <v>113</v>
      </c>
      <c r="C34" s="73">
        <v>4000</v>
      </c>
      <c r="D34" s="73">
        <v>0</v>
      </c>
      <c r="E34" s="92"/>
      <c r="F34" s="72">
        <f t="shared" si="3"/>
        <v>20000</v>
      </c>
      <c r="J34" s="83">
        <v>89</v>
      </c>
    </row>
    <row r="35" spans="2:13" ht="14.4" x14ac:dyDescent="0.3">
      <c r="B35" s="94" t="s">
        <v>112</v>
      </c>
      <c r="C35" s="73">
        <v>4000</v>
      </c>
      <c r="D35" s="73">
        <v>0</v>
      </c>
      <c r="E35" s="92"/>
      <c r="F35" s="72">
        <f t="shared" si="3"/>
        <v>24000</v>
      </c>
      <c r="J35" s="83">
        <v>107</v>
      </c>
    </row>
    <row r="36" spans="2:13" ht="14.4" x14ac:dyDescent="0.3">
      <c r="B36" s="94" t="s">
        <v>111</v>
      </c>
      <c r="C36" s="73">
        <v>4000</v>
      </c>
      <c r="D36" s="73">
        <v>0</v>
      </c>
      <c r="E36" s="92"/>
      <c r="F36" s="72">
        <f t="shared" si="3"/>
        <v>28000</v>
      </c>
      <c r="J36" s="83">
        <v>136</v>
      </c>
    </row>
    <row r="37" spans="2:13" ht="14.4" x14ac:dyDescent="0.3">
      <c r="B37" s="94" t="s">
        <v>110</v>
      </c>
      <c r="C37" s="93">
        <v>4000</v>
      </c>
      <c r="D37" s="73">
        <v>0</v>
      </c>
      <c r="E37" s="92"/>
      <c r="F37" s="72">
        <f t="shared" si="3"/>
        <v>32000</v>
      </c>
    </row>
    <row r="38" spans="2:13" ht="14.4" x14ac:dyDescent="0.3">
      <c r="B38" s="94" t="s">
        <v>109</v>
      </c>
      <c r="C38" s="93">
        <v>4000</v>
      </c>
      <c r="D38" s="93">
        <v>3500</v>
      </c>
      <c r="E38" s="92" t="s">
        <v>108</v>
      </c>
      <c r="F38" s="72">
        <f t="shared" si="3"/>
        <v>32500</v>
      </c>
      <c r="M38" s="95">
        <f>88.05-100</f>
        <v>-11.950000000000003</v>
      </c>
    </row>
    <row r="39" spans="2:13" ht="14.4" x14ac:dyDescent="0.3">
      <c r="B39" s="94" t="s">
        <v>107</v>
      </c>
      <c r="C39" s="93">
        <v>4000</v>
      </c>
      <c r="D39" s="92"/>
      <c r="E39" s="92"/>
      <c r="F39" s="72">
        <f t="shared" si="3"/>
        <v>36500</v>
      </c>
    </row>
    <row r="40" spans="2:13" ht="14.4" x14ac:dyDescent="0.3">
      <c r="B40" s="94" t="s">
        <v>106</v>
      </c>
      <c r="C40" s="93">
        <v>4000</v>
      </c>
      <c r="D40" s="92"/>
      <c r="E40" s="92"/>
      <c r="F40" s="72">
        <f t="shared" si="3"/>
        <v>40500</v>
      </c>
    </row>
    <row r="41" spans="2:13" ht="14.4" x14ac:dyDescent="0.3">
      <c r="B41" s="94" t="s">
        <v>105</v>
      </c>
      <c r="C41" s="93">
        <v>4000</v>
      </c>
      <c r="D41" s="92"/>
      <c r="E41" s="92"/>
      <c r="F41" s="72">
        <f t="shared" si="3"/>
        <v>44500</v>
      </c>
    </row>
    <row r="42" spans="2:13" ht="14.4" x14ac:dyDescent="0.3">
      <c r="B42" s="94" t="s">
        <v>104</v>
      </c>
      <c r="C42" s="93">
        <v>0</v>
      </c>
      <c r="D42" s="92"/>
      <c r="E42" s="92"/>
      <c r="F42" s="72">
        <f t="shared" si="3"/>
        <v>44500</v>
      </c>
    </row>
    <row r="43" spans="2:13" ht="14.4" x14ac:dyDescent="0.3">
      <c r="B43" s="94" t="s">
        <v>103</v>
      </c>
      <c r="C43" s="93">
        <v>0</v>
      </c>
      <c r="D43" s="92"/>
      <c r="E43" s="92"/>
      <c r="F43" s="72">
        <f t="shared" si="3"/>
        <v>44500</v>
      </c>
    </row>
    <row r="44" spans="2:13" ht="14.4" x14ac:dyDescent="0.3">
      <c r="B44" s="91" t="s">
        <v>102</v>
      </c>
      <c r="C44" s="90">
        <v>0</v>
      </c>
      <c r="D44" s="89"/>
      <c r="E44" s="89"/>
      <c r="F44" s="88">
        <f t="shared" si="3"/>
        <v>44500</v>
      </c>
    </row>
    <row r="45" spans="2:13" ht="14.4" x14ac:dyDescent="0.3">
      <c r="B45" s="91" t="s">
        <v>101</v>
      </c>
      <c r="C45" s="90">
        <v>0</v>
      </c>
      <c r="D45" s="89"/>
      <c r="E45" s="89"/>
      <c r="F45" s="88">
        <f>+F43+C45-D45</f>
        <v>44500</v>
      </c>
    </row>
    <row r="46" spans="2:13" ht="14.4" x14ac:dyDescent="0.3">
      <c r="B46" s="91" t="s">
        <v>100</v>
      </c>
      <c r="C46" s="90">
        <v>0</v>
      </c>
      <c r="D46" s="89"/>
      <c r="E46" s="89"/>
      <c r="F46" s="88">
        <f>+F44+C46-D46</f>
        <v>44500</v>
      </c>
    </row>
    <row r="47" spans="2:13" ht="15" thickBot="1" x14ac:dyDescent="0.35">
      <c r="B47" s="87" t="s">
        <v>99</v>
      </c>
      <c r="C47" s="86">
        <f>-A47</f>
        <v>0</v>
      </c>
      <c r="D47" s="85"/>
      <c r="E47" s="85"/>
      <c r="F47" s="84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Mateo Quotteri</cp:lastModifiedBy>
  <cp:lastPrinted>2026-03-08T12:53:42Z</cp:lastPrinted>
  <dcterms:created xsi:type="dcterms:W3CDTF">2021-11-02T15:18:42Z</dcterms:created>
  <dcterms:modified xsi:type="dcterms:W3CDTF">2026-03-27T16:44:23Z</dcterms:modified>
</cp:coreProperties>
</file>